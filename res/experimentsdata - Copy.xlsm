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My Projects\BiasedMind\res\"/>
    </mc:Choice>
  </mc:AlternateContent>
  <xr:revisionPtr revIDLastSave="0" documentId="13_ncr:40009_{0959283B-0476-43E9-8894-DEDC1885172C}" xr6:coauthVersionLast="44" xr6:coauthVersionMax="44" xr10:uidLastSave="{00000000-0000-0000-0000-000000000000}"/>
  <bookViews>
    <workbookView xWindow="1450" yWindow="1450" windowWidth="15360" windowHeight="7510"/>
  </bookViews>
  <sheets>
    <sheet name="experimentsdata - Copy" sheetId="1" r:id="rId1"/>
  </sheets>
  <definedNames>
    <definedName name="_xlnm._FilterDatabase" localSheetId="0" hidden="1">'experimentsdata - Copy'!$A$3:$EE$932</definedName>
  </definedNames>
  <calcPr calcId="0"/>
</workbook>
</file>

<file path=xl/calcChain.xml><?xml version="1.0" encoding="utf-8"?>
<calcChain xmlns="http://schemas.openxmlformats.org/spreadsheetml/2006/main">
  <c r="EQ4" i="1" l="1"/>
  <c r="ER4" i="1"/>
  <c r="ES4" i="1"/>
  <c r="ET4" i="1"/>
  <c r="EU4" i="1"/>
  <c r="EV4" i="1"/>
  <c r="EW4" i="1"/>
  <c r="EX4" i="1"/>
  <c r="EY4" i="1"/>
  <c r="EQ5" i="1"/>
  <c r="ER5" i="1"/>
  <c r="ES5" i="1"/>
  <c r="ET5" i="1"/>
  <c r="EU5" i="1"/>
  <c r="EV5" i="1"/>
  <c r="EW5" i="1"/>
  <c r="EX5" i="1"/>
  <c r="EY5" i="1"/>
  <c r="EQ6" i="1"/>
  <c r="ER6" i="1"/>
  <c r="ES6" i="1"/>
  <c r="ET6" i="1"/>
  <c r="EU6" i="1"/>
  <c r="EV6" i="1"/>
  <c r="EW6" i="1"/>
  <c r="EX6" i="1"/>
  <c r="EY6" i="1"/>
  <c r="EQ7" i="1"/>
  <c r="ER7" i="1"/>
  <c r="ES7" i="1"/>
  <c r="ET7" i="1"/>
  <c r="EU7" i="1"/>
  <c r="EV7" i="1"/>
  <c r="EW7" i="1"/>
  <c r="EX7" i="1"/>
  <c r="EY7" i="1"/>
  <c r="EQ8" i="1"/>
  <c r="ER8" i="1"/>
  <c r="ES8" i="1"/>
  <c r="ET8" i="1"/>
  <c r="EU8" i="1"/>
  <c r="EV8" i="1"/>
  <c r="EW8" i="1"/>
  <c r="EX8" i="1"/>
  <c r="EY8" i="1"/>
  <c r="EQ9" i="1"/>
  <c r="ER9" i="1"/>
  <c r="ES9" i="1"/>
  <c r="ET9" i="1"/>
  <c r="EU9" i="1"/>
  <c r="EV9" i="1"/>
  <c r="EW9" i="1"/>
  <c r="EX9" i="1"/>
  <c r="EY9" i="1"/>
  <c r="EQ10" i="1"/>
  <c r="ER10" i="1"/>
  <c r="ES10" i="1"/>
  <c r="ET10" i="1"/>
  <c r="EU10" i="1"/>
  <c r="EV10" i="1"/>
  <c r="EW10" i="1"/>
  <c r="EX10" i="1"/>
  <c r="EY10" i="1"/>
  <c r="EQ11" i="1"/>
  <c r="ER11" i="1"/>
  <c r="ES11" i="1"/>
  <c r="ET11" i="1"/>
  <c r="EU11" i="1"/>
  <c r="EV11" i="1"/>
  <c r="EW11" i="1"/>
  <c r="EX11" i="1"/>
  <c r="EY11" i="1"/>
  <c r="EQ12" i="1"/>
  <c r="ER12" i="1"/>
  <c r="ES12" i="1"/>
  <c r="ET12" i="1"/>
  <c r="EU12" i="1"/>
  <c r="EV12" i="1"/>
  <c r="EW12" i="1"/>
  <c r="EX12" i="1"/>
  <c r="EY12" i="1"/>
  <c r="EQ13" i="1"/>
  <c r="ER13" i="1"/>
  <c r="ES13" i="1"/>
  <c r="ET13" i="1"/>
  <c r="EU13" i="1"/>
  <c r="EV13" i="1"/>
  <c r="EW13" i="1"/>
  <c r="EX13" i="1"/>
  <c r="EY13" i="1"/>
  <c r="EQ14" i="1"/>
  <c r="ER14" i="1"/>
  <c r="ES14" i="1"/>
  <c r="ET14" i="1"/>
  <c r="EU14" i="1"/>
  <c r="EV14" i="1"/>
  <c r="EW14" i="1"/>
  <c r="EX14" i="1"/>
  <c r="EY14" i="1"/>
  <c r="EQ15" i="1"/>
  <c r="ER15" i="1"/>
  <c r="ES15" i="1"/>
  <c r="ET15" i="1"/>
  <c r="EU15" i="1"/>
  <c r="EV15" i="1"/>
  <c r="EW15" i="1"/>
  <c r="EX15" i="1"/>
  <c r="EY15" i="1"/>
  <c r="EQ16" i="1"/>
  <c r="ER16" i="1"/>
  <c r="ES16" i="1"/>
  <c r="ET16" i="1"/>
  <c r="EU16" i="1"/>
  <c r="EV16" i="1"/>
  <c r="EW16" i="1"/>
  <c r="EX16" i="1"/>
  <c r="EY16" i="1"/>
  <c r="EQ17" i="1"/>
  <c r="ER17" i="1"/>
  <c r="ES17" i="1"/>
  <c r="ET17" i="1"/>
  <c r="EU17" i="1"/>
  <c r="EV17" i="1"/>
  <c r="EW17" i="1"/>
  <c r="EX17" i="1"/>
  <c r="EY17" i="1"/>
  <c r="EQ18" i="1"/>
  <c r="ER18" i="1"/>
  <c r="ES18" i="1"/>
  <c r="ET18" i="1"/>
  <c r="EU18" i="1"/>
  <c r="EV18" i="1"/>
  <c r="EW18" i="1"/>
  <c r="EX18" i="1"/>
  <c r="EY18" i="1"/>
  <c r="EQ19" i="1"/>
  <c r="ER19" i="1"/>
  <c r="ES19" i="1"/>
  <c r="ET19" i="1"/>
  <c r="EU19" i="1"/>
  <c r="EV19" i="1"/>
  <c r="EW19" i="1"/>
  <c r="EX19" i="1"/>
  <c r="EY19" i="1"/>
  <c r="EQ20" i="1"/>
  <c r="ER20" i="1"/>
  <c r="ES20" i="1"/>
  <c r="ET20" i="1"/>
  <c r="EU20" i="1"/>
  <c r="EV20" i="1"/>
  <c r="EW20" i="1"/>
  <c r="EX20" i="1"/>
  <c r="EY20" i="1"/>
  <c r="EQ21" i="1"/>
  <c r="ER21" i="1"/>
  <c r="ES21" i="1"/>
  <c r="ET21" i="1"/>
  <c r="EU21" i="1"/>
  <c r="EV21" i="1"/>
  <c r="EW21" i="1"/>
  <c r="EX21" i="1"/>
  <c r="EY21" i="1"/>
  <c r="EQ22" i="1"/>
  <c r="ER22" i="1"/>
  <c r="ES22" i="1"/>
  <c r="ET22" i="1"/>
  <c r="EU22" i="1"/>
  <c r="EV22" i="1"/>
  <c r="EW22" i="1"/>
  <c r="EX22" i="1"/>
  <c r="EY22" i="1"/>
  <c r="EQ23" i="1"/>
  <c r="ER23" i="1"/>
  <c r="ES23" i="1"/>
  <c r="ET23" i="1"/>
  <c r="EU23" i="1"/>
  <c r="EV23" i="1"/>
  <c r="EW23" i="1"/>
  <c r="EX23" i="1"/>
  <c r="EY23" i="1"/>
  <c r="EQ24" i="1"/>
  <c r="ER24" i="1"/>
  <c r="ES24" i="1"/>
  <c r="ET24" i="1"/>
  <c r="EU24" i="1"/>
  <c r="EV24" i="1"/>
  <c r="EW24" i="1"/>
  <c r="EX24" i="1"/>
  <c r="EY24" i="1"/>
  <c r="EQ25" i="1"/>
  <c r="ER25" i="1"/>
  <c r="ES25" i="1"/>
  <c r="ET25" i="1"/>
  <c r="EU25" i="1"/>
  <c r="EV25" i="1"/>
  <c r="EW25" i="1"/>
  <c r="EX25" i="1"/>
  <c r="EY25" i="1"/>
  <c r="EQ26" i="1"/>
  <c r="ER26" i="1"/>
  <c r="ES26" i="1"/>
  <c r="ET26" i="1"/>
  <c r="EU26" i="1"/>
  <c r="EV26" i="1"/>
  <c r="EW26" i="1"/>
  <c r="EX26" i="1"/>
  <c r="EY26" i="1"/>
  <c r="EQ27" i="1"/>
  <c r="ER27" i="1"/>
  <c r="ES27" i="1"/>
  <c r="ET27" i="1"/>
  <c r="EU27" i="1"/>
  <c r="EV27" i="1"/>
  <c r="EW27" i="1"/>
  <c r="EX27" i="1"/>
  <c r="EY27" i="1"/>
  <c r="EQ28" i="1"/>
  <c r="ER28" i="1"/>
  <c r="ES28" i="1"/>
  <c r="ET28" i="1"/>
  <c r="EU28" i="1"/>
  <c r="EV28" i="1"/>
  <c r="EW28" i="1"/>
  <c r="EX28" i="1"/>
  <c r="EY28" i="1"/>
  <c r="EQ29" i="1"/>
  <c r="ER29" i="1"/>
  <c r="ES29" i="1"/>
  <c r="ET29" i="1"/>
  <c r="EU29" i="1"/>
  <c r="EV29" i="1"/>
  <c r="EW29" i="1"/>
  <c r="EX29" i="1"/>
  <c r="EY29" i="1"/>
  <c r="EQ30" i="1"/>
  <c r="ER30" i="1"/>
  <c r="ES30" i="1"/>
  <c r="ET30" i="1"/>
  <c r="EU30" i="1"/>
  <c r="EV30" i="1"/>
  <c r="EW30" i="1"/>
  <c r="EX30" i="1"/>
  <c r="EY30" i="1"/>
  <c r="EQ31" i="1"/>
  <c r="ER31" i="1"/>
  <c r="ES31" i="1"/>
  <c r="ET31" i="1"/>
  <c r="EU31" i="1"/>
  <c r="EV31" i="1"/>
  <c r="EW31" i="1"/>
  <c r="EX31" i="1"/>
  <c r="EY31" i="1"/>
  <c r="EQ32" i="1"/>
  <c r="ER32" i="1"/>
  <c r="ES32" i="1"/>
  <c r="ET32" i="1"/>
  <c r="EU32" i="1"/>
  <c r="EV32" i="1"/>
  <c r="EW32" i="1"/>
  <c r="EX32" i="1"/>
  <c r="EY32" i="1"/>
  <c r="EQ33" i="1"/>
  <c r="ER33" i="1"/>
  <c r="ES33" i="1"/>
  <c r="ET33" i="1"/>
  <c r="EU33" i="1"/>
  <c r="EV33" i="1"/>
  <c r="EW33" i="1"/>
  <c r="EX33" i="1"/>
  <c r="EY33" i="1"/>
  <c r="EQ34" i="1"/>
  <c r="ER34" i="1"/>
  <c r="ES34" i="1"/>
  <c r="ET34" i="1"/>
  <c r="EU34" i="1"/>
  <c r="EV34" i="1"/>
  <c r="EW34" i="1"/>
  <c r="EX34" i="1"/>
  <c r="EY34" i="1"/>
  <c r="EQ35" i="1"/>
  <c r="ER35" i="1"/>
  <c r="ES35" i="1"/>
  <c r="ET35" i="1"/>
  <c r="EU35" i="1"/>
  <c r="EV35" i="1"/>
  <c r="EW35" i="1"/>
  <c r="EX35" i="1"/>
  <c r="EY35" i="1"/>
  <c r="EQ36" i="1"/>
  <c r="ER36" i="1"/>
  <c r="ES36" i="1"/>
  <c r="ET36" i="1"/>
  <c r="EU36" i="1"/>
  <c r="EV36" i="1"/>
  <c r="EW36" i="1"/>
  <c r="EX36" i="1"/>
  <c r="EY36" i="1"/>
  <c r="EQ37" i="1"/>
  <c r="ER37" i="1"/>
  <c r="ES37" i="1"/>
  <c r="ET37" i="1"/>
  <c r="EU37" i="1"/>
  <c r="EV37" i="1"/>
  <c r="EW37" i="1"/>
  <c r="EX37" i="1"/>
  <c r="EY37" i="1"/>
  <c r="EQ38" i="1"/>
  <c r="ER38" i="1"/>
  <c r="ES38" i="1"/>
  <c r="ET38" i="1"/>
  <c r="EU38" i="1"/>
  <c r="EV38" i="1"/>
  <c r="EW38" i="1"/>
  <c r="EX38" i="1"/>
  <c r="EY38" i="1"/>
  <c r="EQ39" i="1"/>
  <c r="ER39" i="1"/>
  <c r="ES39" i="1"/>
  <c r="ET39" i="1"/>
  <c r="EU39" i="1"/>
  <c r="EV39" i="1"/>
  <c r="EW39" i="1"/>
  <c r="EX39" i="1"/>
  <c r="EY39" i="1"/>
  <c r="EQ40" i="1"/>
  <c r="ER40" i="1"/>
  <c r="ES40" i="1"/>
  <c r="ET40" i="1"/>
  <c r="EU40" i="1"/>
  <c r="EV40" i="1"/>
  <c r="EW40" i="1"/>
  <c r="EX40" i="1"/>
  <c r="EY40" i="1"/>
  <c r="EQ41" i="1"/>
  <c r="ER41" i="1"/>
  <c r="ES41" i="1"/>
  <c r="ET41" i="1"/>
  <c r="EU41" i="1"/>
  <c r="EV41" i="1"/>
  <c r="EW41" i="1"/>
  <c r="EX41" i="1"/>
  <c r="EY41" i="1"/>
  <c r="EQ42" i="1"/>
  <c r="ER42" i="1"/>
  <c r="ES42" i="1"/>
  <c r="ET42" i="1"/>
  <c r="EU42" i="1"/>
  <c r="EV42" i="1"/>
  <c r="EW42" i="1"/>
  <c r="EX42" i="1"/>
  <c r="EY42" i="1"/>
  <c r="EQ43" i="1"/>
  <c r="ER43" i="1"/>
  <c r="ES43" i="1"/>
  <c r="ET43" i="1"/>
  <c r="EU43" i="1"/>
  <c r="EV43" i="1"/>
  <c r="EW43" i="1"/>
  <c r="EX43" i="1"/>
  <c r="EY43" i="1"/>
  <c r="EQ44" i="1"/>
  <c r="ER44" i="1"/>
  <c r="ES44" i="1"/>
  <c r="ET44" i="1"/>
  <c r="EU44" i="1"/>
  <c r="EV44" i="1"/>
  <c r="EW44" i="1"/>
  <c r="EX44" i="1"/>
  <c r="EY44" i="1"/>
  <c r="EQ45" i="1"/>
  <c r="ER45" i="1"/>
  <c r="ES45" i="1"/>
  <c r="ET45" i="1"/>
  <c r="EU45" i="1"/>
  <c r="EV45" i="1"/>
  <c r="EW45" i="1"/>
  <c r="EX45" i="1"/>
  <c r="EY45" i="1"/>
  <c r="EQ46" i="1"/>
  <c r="ER46" i="1"/>
  <c r="ES46" i="1"/>
  <c r="ET46" i="1"/>
  <c r="EU46" i="1"/>
  <c r="EV46" i="1"/>
  <c r="EW46" i="1"/>
  <c r="EX46" i="1"/>
  <c r="EY46" i="1"/>
  <c r="EQ47" i="1"/>
  <c r="ER47" i="1"/>
  <c r="ES47" i="1"/>
  <c r="ET47" i="1"/>
  <c r="EU47" i="1"/>
  <c r="EV47" i="1"/>
  <c r="EW47" i="1"/>
  <c r="EX47" i="1"/>
  <c r="EY47" i="1"/>
  <c r="EQ48" i="1"/>
  <c r="ER48" i="1"/>
  <c r="ES48" i="1"/>
  <c r="ET48" i="1"/>
  <c r="EU48" i="1"/>
  <c r="EV48" i="1"/>
  <c r="EW48" i="1"/>
  <c r="EX48" i="1"/>
  <c r="EY48" i="1"/>
  <c r="EQ49" i="1"/>
  <c r="ER49" i="1"/>
  <c r="ES49" i="1"/>
  <c r="ET49" i="1"/>
  <c r="EU49" i="1"/>
  <c r="EV49" i="1"/>
  <c r="EW49" i="1"/>
  <c r="EX49" i="1"/>
  <c r="EY49" i="1"/>
  <c r="EQ50" i="1"/>
  <c r="ER50" i="1"/>
  <c r="ES50" i="1"/>
  <c r="ET50" i="1"/>
  <c r="EU50" i="1"/>
  <c r="EV50" i="1"/>
  <c r="EW50" i="1"/>
  <c r="EX50" i="1"/>
  <c r="EY50" i="1"/>
  <c r="EQ51" i="1"/>
  <c r="ER51" i="1"/>
  <c r="ES51" i="1"/>
  <c r="ET51" i="1"/>
  <c r="EU51" i="1"/>
  <c r="EV51" i="1"/>
  <c r="EW51" i="1"/>
  <c r="EX51" i="1"/>
  <c r="EY51" i="1"/>
  <c r="EQ52" i="1"/>
  <c r="ER52" i="1"/>
  <c r="ES52" i="1"/>
  <c r="ET52" i="1"/>
  <c r="EU52" i="1"/>
  <c r="EV52" i="1"/>
  <c r="EW52" i="1"/>
  <c r="EX52" i="1"/>
  <c r="EY52" i="1"/>
  <c r="EQ53" i="1"/>
  <c r="ER53" i="1"/>
  <c r="ES53" i="1"/>
  <c r="ET53" i="1"/>
  <c r="EU53" i="1"/>
  <c r="EV53" i="1"/>
  <c r="EW53" i="1"/>
  <c r="EX53" i="1"/>
  <c r="EY53" i="1"/>
  <c r="EQ54" i="1"/>
  <c r="ER54" i="1"/>
  <c r="ES54" i="1"/>
  <c r="ET54" i="1"/>
  <c r="EU54" i="1"/>
  <c r="EV54" i="1"/>
  <c r="EW54" i="1"/>
  <c r="EX54" i="1"/>
  <c r="EY54" i="1"/>
  <c r="EQ55" i="1"/>
  <c r="ER55" i="1"/>
  <c r="ES55" i="1"/>
  <c r="ET55" i="1"/>
  <c r="EU55" i="1"/>
  <c r="EV55" i="1"/>
  <c r="EW55" i="1"/>
  <c r="EX55" i="1"/>
  <c r="EY55" i="1"/>
  <c r="EQ56" i="1"/>
  <c r="ER56" i="1"/>
  <c r="ES56" i="1"/>
  <c r="ET56" i="1"/>
  <c r="EU56" i="1"/>
  <c r="EV56" i="1"/>
  <c r="EW56" i="1"/>
  <c r="EX56" i="1"/>
  <c r="EY56" i="1"/>
  <c r="EQ57" i="1"/>
  <c r="ER57" i="1"/>
  <c r="ES57" i="1"/>
  <c r="ET57" i="1"/>
  <c r="EU57" i="1"/>
  <c r="EV57" i="1"/>
  <c r="EW57" i="1"/>
  <c r="EX57" i="1"/>
  <c r="EY57" i="1"/>
  <c r="EQ58" i="1"/>
  <c r="ER58" i="1"/>
  <c r="ES58" i="1"/>
  <c r="ET58" i="1"/>
  <c r="EU58" i="1"/>
  <c r="EV58" i="1"/>
  <c r="EW58" i="1"/>
  <c r="EX58" i="1"/>
  <c r="EY58" i="1"/>
  <c r="EQ59" i="1"/>
  <c r="ER59" i="1"/>
  <c r="ES59" i="1"/>
  <c r="ET59" i="1"/>
  <c r="EU59" i="1"/>
  <c r="EV59" i="1"/>
  <c r="EW59" i="1"/>
  <c r="EX59" i="1"/>
  <c r="EY59" i="1"/>
  <c r="EQ60" i="1"/>
  <c r="ER60" i="1"/>
  <c r="ES60" i="1"/>
  <c r="ET60" i="1"/>
  <c r="EU60" i="1"/>
  <c r="EV60" i="1"/>
  <c r="EW60" i="1"/>
  <c r="EX60" i="1"/>
  <c r="EY60" i="1"/>
  <c r="EQ61" i="1"/>
  <c r="ER61" i="1"/>
  <c r="ES61" i="1"/>
  <c r="ET61" i="1"/>
  <c r="EU61" i="1"/>
  <c r="EV61" i="1"/>
  <c r="EW61" i="1"/>
  <c r="EX61" i="1"/>
  <c r="EY61" i="1"/>
  <c r="EQ62" i="1"/>
  <c r="ER62" i="1"/>
  <c r="ES62" i="1"/>
  <c r="ET62" i="1"/>
  <c r="EU62" i="1"/>
  <c r="EV62" i="1"/>
  <c r="EW62" i="1"/>
  <c r="EX62" i="1"/>
  <c r="EY62" i="1"/>
  <c r="EQ63" i="1"/>
  <c r="ER63" i="1"/>
  <c r="ES63" i="1"/>
  <c r="ET63" i="1"/>
  <c r="EU63" i="1"/>
  <c r="EV63" i="1"/>
  <c r="EW63" i="1"/>
  <c r="EX63" i="1"/>
  <c r="EY63" i="1"/>
  <c r="EQ64" i="1"/>
  <c r="ER64" i="1"/>
  <c r="ES64" i="1"/>
  <c r="ET64" i="1"/>
  <c r="EU64" i="1"/>
  <c r="EV64" i="1"/>
  <c r="EW64" i="1"/>
  <c r="EX64" i="1"/>
  <c r="EY64" i="1"/>
  <c r="EQ65" i="1"/>
  <c r="ER65" i="1"/>
  <c r="ES65" i="1"/>
  <c r="ET65" i="1"/>
  <c r="EU65" i="1"/>
  <c r="EV65" i="1"/>
  <c r="EW65" i="1"/>
  <c r="EX65" i="1"/>
  <c r="EY65" i="1"/>
  <c r="EQ66" i="1"/>
  <c r="ER66" i="1"/>
  <c r="ES66" i="1"/>
  <c r="ET66" i="1"/>
  <c r="EU66" i="1"/>
  <c r="EV66" i="1"/>
  <c r="EW66" i="1"/>
  <c r="EX66" i="1"/>
  <c r="EY66" i="1"/>
  <c r="EQ67" i="1"/>
  <c r="ER67" i="1"/>
  <c r="ES67" i="1"/>
  <c r="ET67" i="1"/>
  <c r="EU67" i="1"/>
  <c r="EV67" i="1"/>
  <c r="EW67" i="1"/>
  <c r="EX67" i="1"/>
  <c r="EY67" i="1"/>
  <c r="EQ68" i="1"/>
  <c r="ER68" i="1"/>
  <c r="ES68" i="1"/>
  <c r="ET68" i="1"/>
  <c r="EU68" i="1"/>
  <c r="EV68" i="1"/>
  <c r="EW68" i="1"/>
  <c r="EX68" i="1"/>
  <c r="EY68" i="1"/>
  <c r="EQ69" i="1"/>
  <c r="ER69" i="1"/>
  <c r="ES69" i="1"/>
  <c r="ET69" i="1"/>
  <c r="EU69" i="1"/>
  <c r="EV69" i="1"/>
  <c r="EW69" i="1"/>
  <c r="EX69" i="1"/>
  <c r="EY69" i="1"/>
  <c r="EQ70" i="1"/>
  <c r="ER70" i="1"/>
  <c r="ES70" i="1"/>
  <c r="ET70" i="1"/>
  <c r="EU70" i="1"/>
  <c r="EV70" i="1"/>
  <c r="EW70" i="1"/>
  <c r="EX70" i="1"/>
  <c r="EY70" i="1"/>
  <c r="EQ71" i="1"/>
  <c r="ER71" i="1"/>
  <c r="ES71" i="1"/>
  <c r="ET71" i="1"/>
  <c r="EU71" i="1"/>
  <c r="EV71" i="1"/>
  <c r="EW71" i="1"/>
  <c r="EX71" i="1"/>
  <c r="EY71" i="1"/>
  <c r="EQ72" i="1"/>
  <c r="ER72" i="1"/>
  <c r="ES72" i="1"/>
  <c r="ET72" i="1"/>
  <c r="EU72" i="1"/>
  <c r="EV72" i="1"/>
  <c r="EW72" i="1"/>
  <c r="EX72" i="1"/>
  <c r="EY72" i="1"/>
  <c r="EQ73" i="1"/>
  <c r="ER73" i="1"/>
  <c r="ES73" i="1"/>
  <c r="ET73" i="1"/>
  <c r="EU73" i="1"/>
  <c r="EV73" i="1"/>
  <c r="EW73" i="1"/>
  <c r="EX73" i="1"/>
  <c r="EY73" i="1"/>
  <c r="EQ74" i="1"/>
  <c r="ER74" i="1"/>
  <c r="ES74" i="1"/>
  <c r="ET74" i="1"/>
  <c r="EU74" i="1"/>
  <c r="EV74" i="1"/>
  <c r="EW74" i="1"/>
  <c r="EX74" i="1"/>
  <c r="EY74" i="1"/>
  <c r="EQ75" i="1"/>
  <c r="ER75" i="1"/>
  <c r="ES75" i="1"/>
  <c r="ET75" i="1"/>
  <c r="EU75" i="1"/>
  <c r="EV75" i="1"/>
  <c r="EW75" i="1"/>
  <c r="EX75" i="1"/>
  <c r="EY75" i="1"/>
  <c r="EQ76" i="1"/>
  <c r="ER76" i="1"/>
  <c r="ES76" i="1"/>
  <c r="ET76" i="1"/>
  <c r="EU76" i="1"/>
  <c r="EV76" i="1"/>
  <c r="EW76" i="1"/>
  <c r="EX76" i="1"/>
  <c r="EY76" i="1"/>
  <c r="EQ77" i="1"/>
  <c r="ER77" i="1"/>
  <c r="ES77" i="1"/>
  <c r="ET77" i="1"/>
  <c r="EU77" i="1"/>
  <c r="EV77" i="1"/>
  <c r="EW77" i="1"/>
  <c r="EX77" i="1"/>
  <c r="EY77" i="1"/>
  <c r="EQ78" i="1"/>
  <c r="ER78" i="1"/>
  <c r="ES78" i="1"/>
  <c r="ET78" i="1"/>
  <c r="EU78" i="1"/>
  <c r="EV78" i="1"/>
  <c r="EW78" i="1"/>
  <c r="EX78" i="1"/>
  <c r="EY78" i="1"/>
  <c r="EQ79" i="1"/>
  <c r="ER79" i="1"/>
  <c r="ES79" i="1"/>
  <c r="ET79" i="1"/>
  <c r="EU79" i="1"/>
  <c r="EV79" i="1"/>
  <c r="EW79" i="1"/>
  <c r="EX79" i="1"/>
  <c r="EY79" i="1"/>
  <c r="EQ80" i="1"/>
  <c r="ER80" i="1"/>
  <c r="ES80" i="1"/>
  <c r="ET80" i="1"/>
  <c r="EU80" i="1"/>
  <c r="EV80" i="1"/>
  <c r="EW80" i="1"/>
  <c r="EX80" i="1"/>
  <c r="EY80" i="1"/>
  <c r="EQ81" i="1"/>
  <c r="ER81" i="1"/>
  <c r="ES81" i="1"/>
  <c r="ET81" i="1"/>
  <c r="EU81" i="1"/>
  <c r="EV81" i="1"/>
  <c r="EW81" i="1"/>
  <c r="EX81" i="1"/>
  <c r="EY81" i="1"/>
  <c r="EQ82" i="1"/>
  <c r="ER82" i="1"/>
  <c r="ES82" i="1"/>
  <c r="ET82" i="1"/>
  <c r="EU82" i="1"/>
  <c r="EV82" i="1"/>
  <c r="EW82" i="1"/>
  <c r="EX82" i="1"/>
  <c r="EY82" i="1"/>
  <c r="EQ83" i="1"/>
  <c r="ER83" i="1"/>
  <c r="ES83" i="1"/>
  <c r="ET83" i="1"/>
  <c r="EU83" i="1"/>
  <c r="EV83" i="1"/>
  <c r="EW83" i="1"/>
  <c r="EX83" i="1"/>
  <c r="EY83" i="1"/>
  <c r="EQ84" i="1"/>
  <c r="ER84" i="1"/>
  <c r="ES84" i="1"/>
  <c r="ET84" i="1"/>
  <c r="EU84" i="1"/>
  <c r="EV84" i="1"/>
  <c r="EW84" i="1"/>
  <c r="EX84" i="1"/>
  <c r="EY84" i="1"/>
  <c r="EQ85" i="1"/>
  <c r="ER85" i="1"/>
  <c r="ES85" i="1"/>
  <c r="ET85" i="1"/>
  <c r="EU85" i="1"/>
  <c r="EV85" i="1"/>
  <c r="EW85" i="1"/>
  <c r="EX85" i="1"/>
  <c r="EY85" i="1"/>
  <c r="EQ86" i="1"/>
  <c r="ER86" i="1"/>
  <c r="ES86" i="1"/>
  <c r="ET86" i="1"/>
  <c r="EU86" i="1"/>
  <c r="EV86" i="1"/>
  <c r="EW86" i="1"/>
  <c r="EX86" i="1"/>
  <c r="EY86" i="1"/>
  <c r="EQ87" i="1"/>
  <c r="ER87" i="1"/>
  <c r="ES87" i="1"/>
  <c r="ET87" i="1"/>
  <c r="EU87" i="1"/>
  <c r="EV87" i="1"/>
  <c r="EW87" i="1"/>
  <c r="EX87" i="1"/>
  <c r="EY87" i="1"/>
  <c r="EQ88" i="1"/>
  <c r="ER88" i="1"/>
  <c r="ES88" i="1"/>
  <c r="ET88" i="1"/>
  <c r="EU88" i="1"/>
  <c r="EV88" i="1"/>
  <c r="EW88" i="1"/>
  <c r="EX88" i="1"/>
  <c r="EY88" i="1"/>
  <c r="EQ89" i="1"/>
  <c r="ER89" i="1"/>
  <c r="ES89" i="1"/>
  <c r="ET89" i="1"/>
  <c r="EU89" i="1"/>
  <c r="EV89" i="1"/>
  <c r="EW89" i="1"/>
  <c r="EX89" i="1"/>
  <c r="EY89" i="1"/>
  <c r="EQ90" i="1"/>
  <c r="ER90" i="1"/>
  <c r="ES90" i="1"/>
  <c r="ET90" i="1"/>
  <c r="EU90" i="1"/>
  <c r="EV90" i="1"/>
  <c r="EW90" i="1"/>
  <c r="EX90" i="1"/>
  <c r="EY90" i="1"/>
  <c r="EQ91" i="1"/>
  <c r="ER91" i="1"/>
  <c r="ES91" i="1"/>
  <c r="ET91" i="1"/>
  <c r="EU91" i="1"/>
  <c r="EV91" i="1"/>
  <c r="EW91" i="1"/>
  <c r="EX91" i="1"/>
  <c r="EY91" i="1"/>
  <c r="EQ92" i="1"/>
  <c r="ER92" i="1"/>
  <c r="ES92" i="1"/>
  <c r="ET92" i="1"/>
  <c r="EU92" i="1"/>
  <c r="EV92" i="1"/>
  <c r="EW92" i="1"/>
  <c r="EX92" i="1"/>
  <c r="EY92" i="1"/>
  <c r="EQ93" i="1"/>
  <c r="ER93" i="1"/>
  <c r="ES93" i="1"/>
  <c r="ET93" i="1"/>
  <c r="EU93" i="1"/>
  <c r="EV93" i="1"/>
  <c r="EW93" i="1"/>
  <c r="EX93" i="1"/>
  <c r="EY93" i="1"/>
  <c r="EQ94" i="1"/>
  <c r="ER94" i="1"/>
  <c r="ES94" i="1"/>
  <c r="ET94" i="1"/>
  <c r="EU94" i="1"/>
  <c r="EV94" i="1"/>
  <c r="EW94" i="1"/>
  <c r="EX94" i="1"/>
  <c r="EY94" i="1"/>
  <c r="EQ95" i="1"/>
  <c r="ER95" i="1"/>
  <c r="ES95" i="1"/>
  <c r="ET95" i="1"/>
  <c r="EU95" i="1"/>
  <c r="EV95" i="1"/>
  <c r="EW95" i="1"/>
  <c r="EX95" i="1"/>
  <c r="EY95" i="1"/>
  <c r="EQ96" i="1"/>
  <c r="ER96" i="1"/>
  <c r="ES96" i="1"/>
  <c r="ET96" i="1"/>
  <c r="EU96" i="1"/>
  <c r="EV96" i="1"/>
  <c r="EW96" i="1"/>
  <c r="EX96" i="1"/>
  <c r="EY96" i="1"/>
  <c r="EQ97" i="1"/>
  <c r="ER97" i="1"/>
  <c r="ES97" i="1"/>
  <c r="ET97" i="1"/>
  <c r="EU97" i="1"/>
  <c r="EV97" i="1"/>
  <c r="EW97" i="1"/>
  <c r="EX97" i="1"/>
  <c r="EY97" i="1"/>
  <c r="EQ98" i="1"/>
  <c r="ER98" i="1"/>
  <c r="ES98" i="1"/>
  <c r="ET98" i="1"/>
  <c r="EU98" i="1"/>
  <c r="EV98" i="1"/>
  <c r="EW98" i="1"/>
  <c r="EX98" i="1"/>
  <c r="EY98" i="1"/>
  <c r="EQ99" i="1"/>
  <c r="ER99" i="1"/>
  <c r="ES99" i="1"/>
  <c r="ET99" i="1"/>
  <c r="EU99" i="1"/>
  <c r="EV99" i="1"/>
  <c r="EW99" i="1"/>
  <c r="EX99" i="1"/>
  <c r="EY99" i="1"/>
  <c r="EQ100" i="1"/>
  <c r="ER100" i="1"/>
  <c r="ES100" i="1"/>
  <c r="ET100" i="1"/>
  <c r="EU100" i="1"/>
  <c r="EV100" i="1"/>
  <c r="EW100" i="1"/>
  <c r="EX100" i="1"/>
  <c r="EY100" i="1"/>
  <c r="EQ101" i="1"/>
  <c r="ER101" i="1"/>
  <c r="ES101" i="1"/>
  <c r="ET101" i="1"/>
  <c r="EU101" i="1"/>
  <c r="EV101" i="1"/>
  <c r="EW101" i="1"/>
  <c r="EX101" i="1"/>
  <c r="EY101" i="1"/>
  <c r="EQ102" i="1"/>
  <c r="ER102" i="1"/>
  <c r="ES102" i="1"/>
  <c r="ET102" i="1"/>
  <c r="EU102" i="1"/>
  <c r="EV102" i="1"/>
  <c r="EW102" i="1"/>
  <c r="EX102" i="1"/>
  <c r="EY102" i="1"/>
  <c r="EQ103" i="1"/>
  <c r="ER103" i="1"/>
  <c r="ES103" i="1"/>
  <c r="ET103" i="1"/>
  <c r="EU103" i="1"/>
  <c r="EV103" i="1"/>
  <c r="EW103" i="1"/>
  <c r="EX103" i="1"/>
  <c r="EY103" i="1"/>
  <c r="EQ104" i="1"/>
  <c r="ER104" i="1"/>
  <c r="ES104" i="1"/>
  <c r="ET104" i="1"/>
  <c r="EU104" i="1"/>
  <c r="EV104" i="1"/>
  <c r="EW104" i="1"/>
  <c r="EX104" i="1"/>
  <c r="EY104" i="1"/>
  <c r="EQ105" i="1"/>
  <c r="ER105" i="1"/>
  <c r="ES105" i="1"/>
  <c r="ET105" i="1"/>
  <c r="EU105" i="1"/>
  <c r="EV105" i="1"/>
  <c r="EW105" i="1"/>
  <c r="EX105" i="1"/>
  <c r="EY105" i="1"/>
  <c r="EQ106" i="1"/>
  <c r="ER106" i="1"/>
  <c r="ES106" i="1"/>
  <c r="ET106" i="1"/>
  <c r="EU106" i="1"/>
  <c r="EV106" i="1"/>
  <c r="EW106" i="1"/>
  <c r="EX106" i="1"/>
  <c r="EY106" i="1"/>
  <c r="EQ107" i="1"/>
  <c r="ER107" i="1"/>
  <c r="ES107" i="1"/>
  <c r="ET107" i="1"/>
  <c r="EU107" i="1"/>
  <c r="EV107" i="1"/>
  <c r="EW107" i="1"/>
  <c r="EX107" i="1"/>
  <c r="EY107" i="1"/>
  <c r="EQ108" i="1"/>
  <c r="ER108" i="1"/>
  <c r="ES108" i="1"/>
  <c r="ET108" i="1"/>
  <c r="EU108" i="1"/>
  <c r="EV108" i="1"/>
  <c r="EW108" i="1"/>
  <c r="EX108" i="1"/>
  <c r="EY108" i="1"/>
  <c r="EQ109" i="1"/>
  <c r="ER109" i="1"/>
  <c r="ES109" i="1"/>
  <c r="ET109" i="1"/>
  <c r="EU109" i="1"/>
  <c r="EV109" i="1"/>
  <c r="EW109" i="1"/>
  <c r="EX109" i="1"/>
  <c r="EY109" i="1"/>
  <c r="EQ110" i="1"/>
  <c r="ER110" i="1"/>
  <c r="ES110" i="1"/>
  <c r="ET110" i="1"/>
  <c r="EU110" i="1"/>
  <c r="EV110" i="1"/>
  <c r="EW110" i="1"/>
  <c r="EX110" i="1"/>
  <c r="EY110" i="1"/>
  <c r="EQ111" i="1"/>
  <c r="ER111" i="1"/>
  <c r="ES111" i="1"/>
  <c r="ET111" i="1"/>
  <c r="EU111" i="1"/>
  <c r="EV111" i="1"/>
  <c r="EW111" i="1"/>
  <c r="EX111" i="1"/>
  <c r="EY111" i="1"/>
  <c r="EQ112" i="1"/>
  <c r="ER112" i="1"/>
  <c r="ES112" i="1"/>
  <c r="ET112" i="1"/>
  <c r="EU112" i="1"/>
  <c r="EV112" i="1"/>
  <c r="EW112" i="1"/>
  <c r="EX112" i="1"/>
  <c r="EY112" i="1"/>
  <c r="EQ113" i="1"/>
  <c r="ER113" i="1"/>
  <c r="ES113" i="1"/>
  <c r="ET113" i="1"/>
  <c r="EU113" i="1"/>
  <c r="EV113" i="1"/>
  <c r="EW113" i="1"/>
  <c r="EX113" i="1"/>
  <c r="EY113" i="1"/>
  <c r="EQ114" i="1"/>
  <c r="ER114" i="1"/>
  <c r="ES114" i="1"/>
  <c r="ET114" i="1"/>
  <c r="EU114" i="1"/>
  <c r="EV114" i="1"/>
  <c r="EW114" i="1"/>
  <c r="EX114" i="1"/>
  <c r="EY114" i="1"/>
  <c r="EQ115" i="1"/>
  <c r="ER115" i="1"/>
  <c r="ES115" i="1"/>
  <c r="ET115" i="1"/>
  <c r="EU115" i="1"/>
  <c r="EV115" i="1"/>
  <c r="EW115" i="1"/>
  <c r="EX115" i="1"/>
  <c r="EY115" i="1"/>
  <c r="EQ116" i="1"/>
  <c r="ER116" i="1"/>
  <c r="ES116" i="1"/>
  <c r="ET116" i="1"/>
  <c r="EU116" i="1"/>
  <c r="EV116" i="1"/>
  <c r="EW116" i="1"/>
  <c r="EX116" i="1"/>
  <c r="EY116" i="1"/>
  <c r="EQ117" i="1"/>
  <c r="ER117" i="1"/>
  <c r="ES117" i="1"/>
  <c r="ET117" i="1"/>
  <c r="EU117" i="1"/>
  <c r="EV117" i="1"/>
  <c r="EW117" i="1"/>
  <c r="EX117" i="1"/>
  <c r="EY117" i="1"/>
  <c r="EQ118" i="1"/>
  <c r="ER118" i="1"/>
  <c r="ES118" i="1"/>
  <c r="ET118" i="1"/>
  <c r="EU118" i="1"/>
  <c r="EV118" i="1"/>
  <c r="EW118" i="1"/>
  <c r="EX118" i="1"/>
  <c r="EY118" i="1"/>
  <c r="EQ119" i="1"/>
  <c r="ER119" i="1"/>
  <c r="ES119" i="1"/>
  <c r="ET119" i="1"/>
  <c r="EU119" i="1"/>
  <c r="EV119" i="1"/>
  <c r="EW119" i="1"/>
  <c r="EX119" i="1"/>
  <c r="EY119" i="1"/>
  <c r="EQ120" i="1"/>
  <c r="ER120" i="1"/>
  <c r="ES120" i="1"/>
  <c r="ET120" i="1"/>
  <c r="EU120" i="1"/>
  <c r="EV120" i="1"/>
  <c r="EW120" i="1"/>
  <c r="EX120" i="1"/>
  <c r="EY120" i="1"/>
  <c r="EQ121" i="1"/>
  <c r="ER121" i="1"/>
  <c r="ES121" i="1"/>
  <c r="ET121" i="1"/>
  <c r="EU121" i="1"/>
  <c r="EV121" i="1"/>
  <c r="EW121" i="1"/>
  <c r="EX121" i="1"/>
  <c r="EY121" i="1"/>
  <c r="EQ122" i="1"/>
  <c r="ER122" i="1"/>
  <c r="ES122" i="1"/>
  <c r="ET122" i="1"/>
  <c r="EU122" i="1"/>
  <c r="EV122" i="1"/>
  <c r="EW122" i="1"/>
  <c r="EX122" i="1"/>
  <c r="EY122" i="1"/>
  <c r="EQ123" i="1"/>
  <c r="ER123" i="1"/>
  <c r="ES123" i="1"/>
  <c r="ET123" i="1"/>
  <c r="EU123" i="1"/>
  <c r="EV123" i="1"/>
  <c r="EW123" i="1"/>
  <c r="EX123" i="1"/>
  <c r="EY123" i="1"/>
  <c r="EQ124" i="1"/>
  <c r="ER124" i="1"/>
  <c r="ES124" i="1"/>
  <c r="ET124" i="1"/>
  <c r="EU124" i="1"/>
  <c r="EV124" i="1"/>
  <c r="EW124" i="1"/>
  <c r="EX124" i="1"/>
  <c r="EY124" i="1"/>
  <c r="EQ125" i="1"/>
  <c r="ER125" i="1"/>
  <c r="ES125" i="1"/>
  <c r="ET125" i="1"/>
  <c r="EU125" i="1"/>
  <c r="EV125" i="1"/>
  <c r="EW125" i="1"/>
  <c r="EX125" i="1"/>
  <c r="EY125" i="1"/>
  <c r="EQ126" i="1"/>
  <c r="ER126" i="1"/>
  <c r="ES126" i="1"/>
  <c r="ET126" i="1"/>
  <c r="EU126" i="1"/>
  <c r="EV126" i="1"/>
  <c r="EW126" i="1"/>
  <c r="EX126" i="1"/>
  <c r="EY126" i="1"/>
  <c r="EQ127" i="1"/>
  <c r="ER127" i="1"/>
  <c r="ES127" i="1"/>
  <c r="ET127" i="1"/>
  <c r="EU127" i="1"/>
  <c r="EV127" i="1"/>
  <c r="EW127" i="1"/>
  <c r="EX127" i="1"/>
  <c r="EY127" i="1"/>
  <c r="EQ128" i="1"/>
  <c r="ER128" i="1"/>
  <c r="ES128" i="1"/>
  <c r="ET128" i="1"/>
  <c r="EU128" i="1"/>
  <c r="EV128" i="1"/>
  <c r="EW128" i="1"/>
  <c r="EX128" i="1"/>
  <c r="EY128" i="1"/>
  <c r="EQ129" i="1"/>
  <c r="ER129" i="1"/>
  <c r="ES129" i="1"/>
  <c r="ET129" i="1"/>
  <c r="EU129" i="1"/>
  <c r="EV129" i="1"/>
  <c r="EW129" i="1"/>
  <c r="EX129" i="1"/>
  <c r="EY129" i="1"/>
  <c r="EQ130" i="1"/>
  <c r="ER130" i="1"/>
  <c r="ES130" i="1"/>
  <c r="ET130" i="1"/>
  <c r="EU130" i="1"/>
  <c r="EV130" i="1"/>
  <c r="EW130" i="1"/>
  <c r="EX130" i="1"/>
  <c r="EY130" i="1"/>
  <c r="EQ131" i="1"/>
  <c r="ER131" i="1"/>
  <c r="ES131" i="1"/>
  <c r="ET131" i="1"/>
  <c r="EU131" i="1"/>
  <c r="EV131" i="1"/>
  <c r="EW131" i="1"/>
  <c r="EX131" i="1"/>
  <c r="EY131" i="1"/>
  <c r="EQ132" i="1"/>
  <c r="ER132" i="1"/>
  <c r="ES132" i="1"/>
  <c r="ET132" i="1"/>
  <c r="EU132" i="1"/>
  <c r="EV132" i="1"/>
  <c r="EW132" i="1"/>
  <c r="EX132" i="1"/>
  <c r="EY132" i="1"/>
  <c r="EQ133" i="1"/>
  <c r="ER133" i="1"/>
  <c r="ES133" i="1"/>
  <c r="ET133" i="1"/>
  <c r="EU133" i="1"/>
  <c r="EV133" i="1"/>
  <c r="EW133" i="1"/>
  <c r="EX133" i="1"/>
  <c r="EY133" i="1"/>
  <c r="EQ134" i="1"/>
  <c r="ER134" i="1"/>
  <c r="ES134" i="1"/>
  <c r="ET134" i="1"/>
  <c r="EU134" i="1"/>
  <c r="EV134" i="1"/>
  <c r="EW134" i="1"/>
  <c r="EX134" i="1"/>
  <c r="EY134" i="1"/>
  <c r="EQ135" i="1"/>
  <c r="ER135" i="1"/>
  <c r="ES135" i="1"/>
  <c r="ET135" i="1"/>
  <c r="EU135" i="1"/>
  <c r="EV135" i="1"/>
  <c r="EW135" i="1"/>
  <c r="EX135" i="1"/>
  <c r="EY135" i="1"/>
  <c r="EQ136" i="1"/>
  <c r="ER136" i="1"/>
  <c r="ES136" i="1"/>
  <c r="ET136" i="1"/>
  <c r="EU136" i="1"/>
  <c r="EV136" i="1"/>
  <c r="EW136" i="1"/>
  <c r="EX136" i="1"/>
  <c r="EY136" i="1"/>
  <c r="EQ137" i="1"/>
  <c r="ER137" i="1"/>
  <c r="ES137" i="1"/>
  <c r="ET137" i="1"/>
  <c r="EU137" i="1"/>
  <c r="EV137" i="1"/>
  <c r="EW137" i="1"/>
  <c r="EX137" i="1"/>
  <c r="EY137" i="1"/>
  <c r="EQ138" i="1"/>
  <c r="ER138" i="1"/>
  <c r="ES138" i="1"/>
  <c r="ET138" i="1"/>
  <c r="EU138" i="1"/>
  <c r="EV138" i="1"/>
  <c r="EW138" i="1"/>
  <c r="EX138" i="1"/>
  <c r="EY138" i="1"/>
  <c r="EQ139" i="1"/>
  <c r="ER139" i="1"/>
  <c r="ES139" i="1"/>
  <c r="ET139" i="1"/>
  <c r="EU139" i="1"/>
  <c r="EV139" i="1"/>
  <c r="EW139" i="1"/>
  <c r="EX139" i="1"/>
  <c r="EY139" i="1"/>
  <c r="EQ140" i="1"/>
  <c r="ER140" i="1"/>
  <c r="ES140" i="1"/>
  <c r="ET140" i="1"/>
  <c r="EU140" i="1"/>
  <c r="EV140" i="1"/>
  <c r="EW140" i="1"/>
  <c r="EX140" i="1"/>
  <c r="EY140" i="1"/>
  <c r="EQ141" i="1"/>
  <c r="ER141" i="1"/>
  <c r="ES141" i="1"/>
  <c r="ET141" i="1"/>
  <c r="EU141" i="1"/>
  <c r="EV141" i="1"/>
  <c r="EW141" i="1"/>
  <c r="EX141" i="1"/>
  <c r="EY141" i="1"/>
  <c r="EQ142" i="1"/>
  <c r="ER142" i="1"/>
  <c r="ES142" i="1"/>
  <c r="ET142" i="1"/>
  <c r="EU142" i="1"/>
  <c r="EV142" i="1"/>
  <c r="EW142" i="1"/>
  <c r="EX142" i="1"/>
  <c r="EY142" i="1"/>
  <c r="EQ143" i="1"/>
  <c r="ER143" i="1"/>
  <c r="ES143" i="1"/>
  <c r="ET143" i="1"/>
  <c r="EU143" i="1"/>
  <c r="EV143" i="1"/>
  <c r="EW143" i="1"/>
  <c r="EX143" i="1"/>
  <c r="EY143" i="1"/>
  <c r="EQ144" i="1"/>
  <c r="ER144" i="1"/>
  <c r="ES144" i="1"/>
  <c r="ET144" i="1"/>
  <c r="EU144" i="1"/>
  <c r="EV144" i="1"/>
  <c r="EW144" i="1"/>
  <c r="EX144" i="1"/>
  <c r="EY144" i="1"/>
  <c r="EQ145" i="1"/>
  <c r="ER145" i="1"/>
  <c r="ES145" i="1"/>
  <c r="ET145" i="1"/>
  <c r="EU145" i="1"/>
  <c r="EV145" i="1"/>
  <c r="EW145" i="1"/>
  <c r="EX145" i="1"/>
  <c r="EY145" i="1"/>
  <c r="EQ146" i="1"/>
  <c r="ER146" i="1"/>
  <c r="ES146" i="1"/>
  <c r="ET146" i="1"/>
  <c r="EU146" i="1"/>
  <c r="EV146" i="1"/>
  <c r="EW146" i="1"/>
  <c r="EX146" i="1"/>
  <c r="EY146" i="1"/>
  <c r="EQ147" i="1"/>
  <c r="ER147" i="1"/>
  <c r="ES147" i="1"/>
  <c r="ET147" i="1"/>
  <c r="EU147" i="1"/>
  <c r="EV147" i="1"/>
  <c r="EW147" i="1"/>
  <c r="EX147" i="1"/>
  <c r="EY147" i="1"/>
  <c r="EQ148" i="1"/>
  <c r="ER148" i="1"/>
  <c r="ES148" i="1"/>
  <c r="ET148" i="1"/>
  <c r="EU148" i="1"/>
  <c r="EV148" i="1"/>
  <c r="EW148" i="1"/>
  <c r="EX148" i="1"/>
  <c r="EY148" i="1"/>
  <c r="EQ149" i="1"/>
  <c r="ER149" i="1"/>
  <c r="ES149" i="1"/>
  <c r="ET149" i="1"/>
  <c r="EU149" i="1"/>
  <c r="EV149" i="1"/>
  <c r="EW149" i="1"/>
  <c r="EX149" i="1"/>
  <c r="EY149" i="1"/>
  <c r="EQ150" i="1"/>
  <c r="ER150" i="1"/>
  <c r="ES150" i="1"/>
  <c r="ET150" i="1"/>
  <c r="EU150" i="1"/>
  <c r="EV150" i="1"/>
  <c r="EW150" i="1"/>
  <c r="EX150" i="1"/>
  <c r="EY150" i="1"/>
  <c r="EQ151" i="1"/>
  <c r="ER151" i="1"/>
  <c r="ES151" i="1"/>
  <c r="ET151" i="1"/>
  <c r="EU151" i="1"/>
  <c r="EV151" i="1"/>
  <c r="EW151" i="1"/>
  <c r="EX151" i="1"/>
  <c r="EY151" i="1"/>
  <c r="EQ152" i="1"/>
  <c r="ER152" i="1"/>
  <c r="ES152" i="1"/>
  <c r="ET152" i="1"/>
  <c r="EU152" i="1"/>
  <c r="EV152" i="1"/>
  <c r="EW152" i="1"/>
  <c r="EX152" i="1"/>
  <c r="EY152" i="1"/>
  <c r="EQ153" i="1"/>
  <c r="ER153" i="1"/>
  <c r="ES153" i="1"/>
  <c r="ET153" i="1"/>
  <c r="EU153" i="1"/>
  <c r="EV153" i="1"/>
  <c r="EW153" i="1"/>
  <c r="EX153" i="1"/>
  <c r="EY153" i="1"/>
  <c r="EQ154" i="1"/>
  <c r="ER154" i="1"/>
  <c r="ES154" i="1"/>
  <c r="ET154" i="1"/>
  <c r="EU154" i="1"/>
  <c r="EV154" i="1"/>
  <c r="EW154" i="1"/>
  <c r="EX154" i="1"/>
  <c r="EY154" i="1"/>
  <c r="EQ155" i="1"/>
  <c r="ER155" i="1"/>
  <c r="ES155" i="1"/>
  <c r="ET155" i="1"/>
  <c r="EU155" i="1"/>
  <c r="EV155" i="1"/>
  <c r="EW155" i="1"/>
  <c r="EX155" i="1"/>
  <c r="EY155" i="1"/>
  <c r="EQ156" i="1"/>
  <c r="ER156" i="1"/>
  <c r="ES156" i="1"/>
  <c r="ET156" i="1"/>
  <c r="EU156" i="1"/>
  <c r="EV156" i="1"/>
  <c r="EW156" i="1"/>
  <c r="EX156" i="1"/>
  <c r="EY156" i="1"/>
  <c r="EQ157" i="1"/>
  <c r="ER157" i="1"/>
  <c r="ES157" i="1"/>
  <c r="ET157" i="1"/>
  <c r="EU157" i="1"/>
  <c r="EV157" i="1"/>
  <c r="EW157" i="1"/>
  <c r="EX157" i="1"/>
  <c r="EY157" i="1"/>
  <c r="EQ158" i="1"/>
  <c r="ER158" i="1"/>
  <c r="ES158" i="1"/>
  <c r="ET158" i="1"/>
  <c r="EU158" i="1"/>
  <c r="EV158" i="1"/>
  <c r="EW158" i="1"/>
  <c r="EX158" i="1"/>
  <c r="EY158" i="1"/>
  <c r="EQ159" i="1"/>
  <c r="ER159" i="1"/>
  <c r="ES159" i="1"/>
  <c r="ET159" i="1"/>
  <c r="EU159" i="1"/>
  <c r="EV159" i="1"/>
  <c r="EW159" i="1"/>
  <c r="EX159" i="1"/>
  <c r="EY159" i="1"/>
  <c r="EQ160" i="1"/>
  <c r="ER160" i="1"/>
  <c r="ES160" i="1"/>
  <c r="ET160" i="1"/>
  <c r="EU160" i="1"/>
  <c r="EV160" i="1"/>
  <c r="EW160" i="1"/>
  <c r="EX160" i="1"/>
  <c r="EY160" i="1"/>
  <c r="EQ161" i="1"/>
  <c r="ER161" i="1"/>
  <c r="ES161" i="1"/>
  <c r="ET161" i="1"/>
  <c r="EU161" i="1"/>
  <c r="EV161" i="1"/>
  <c r="EW161" i="1"/>
  <c r="EX161" i="1"/>
  <c r="EY161" i="1"/>
  <c r="EQ162" i="1"/>
  <c r="ER162" i="1"/>
  <c r="ES162" i="1"/>
  <c r="ET162" i="1"/>
  <c r="EU162" i="1"/>
  <c r="EV162" i="1"/>
  <c r="EW162" i="1"/>
  <c r="EX162" i="1"/>
  <c r="EY162" i="1"/>
  <c r="EQ163" i="1"/>
  <c r="ER163" i="1"/>
  <c r="ES163" i="1"/>
  <c r="ET163" i="1"/>
  <c r="EU163" i="1"/>
  <c r="EV163" i="1"/>
  <c r="EW163" i="1"/>
  <c r="EX163" i="1"/>
  <c r="EY163" i="1"/>
  <c r="EQ164" i="1"/>
  <c r="ER164" i="1"/>
  <c r="ES164" i="1"/>
  <c r="ET164" i="1"/>
  <c r="EU164" i="1"/>
  <c r="EV164" i="1"/>
  <c r="EW164" i="1"/>
  <c r="EX164" i="1"/>
  <c r="EY164" i="1"/>
  <c r="EQ165" i="1"/>
  <c r="ER165" i="1"/>
  <c r="ES165" i="1"/>
  <c r="ET165" i="1"/>
  <c r="EU165" i="1"/>
  <c r="EV165" i="1"/>
  <c r="EW165" i="1"/>
  <c r="EX165" i="1"/>
  <c r="EY165" i="1"/>
  <c r="EQ166" i="1"/>
  <c r="ER166" i="1"/>
  <c r="ES166" i="1"/>
  <c r="ET166" i="1"/>
  <c r="EU166" i="1"/>
  <c r="EV166" i="1"/>
  <c r="EW166" i="1"/>
  <c r="EX166" i="1"/>
  <c r="EY166" i="1"/>
  <c r="EQ167" i="1"/>
  <c r="ER167" i="1"/>
  <c r="ES167" i="1"/>
  <c r="ET167" i="1"/>
  <c r="EU167" i="1"/>
  <c r="EV167" i="1"/>
  <c r="EW167" i="1"/>
  <c r="EX167" i="1"/>
  <c r="EY167" i="1"/>
  <c r="EQ168" i="1"/>
  <c r="ER168" i="1"/>
  <c r="ES168" i="1"/>
  <c r="ET168" i="1"/>
  <c r="EU168" i="1"/>
  <c r="EV168" i="1"/>
  <c r="EW168" i="1"/>
  <c r="EX168" i="1"/>
  <c r="EY168" i="1"/>
  <c r="EQ169" i="1"/>
  <c r="ER169" i="1"/>
  <c r="ES169" i="1"/>
  <c r="ET169" i="1"/>
  <c r="EU169" i="1"/>
  <c r="EV169" i="1"/>
  <c r="EW169" i="1"/>
  <c r="EX169" i="1"/>
  <c r="EY169" i="1"/>
  <c r="EQ170" i="1"/>
  <c r="ER170" i="1"/>
  <c r="ES170" i="1"/>
  <c r="ET170" i="1"/>
  <c r="EU170" i="1"/>
  <c r="EV170" i="1"/>
  <c r="EW170" i="1"/>
  <c r="EX170" i="1"/>
  <c r="EY170" i="1"/>
  <c r="EQ171" i="1"/>
  <c r="ER171" i="1"/>
  <c r="ES171" i="1"/>
  <c r="ET171" i="1"/>
  <c r="EU171" i="1"/>
  <c r="EV171" i="1"/>
  <c r="EW171" i="1"/>
  <c r="EX171" i="1"/>
  <c r="EY171" i="1"/>
  <c r="EQ172" i="1"/>
  <c r="ER172" i="1"/>
  <c r="ES172" i="1"/>
  <c r="ET172" i="1"/>
  <c r="EU172" i="1"/>
  <c r="EV172" i="1"/>
  <c r="EW172" i="1"/>
  <c r="EX172" i="1"/>
  <c r="EY172" i="1"/>
  <c r="EQ173" i="1"/>
  <c r="ER173" i="1"/>
  <c r="ES173" i="1"/>
  <c r="ET173" i="1"/>
  <c r="EU173" i="1"/>
  <c r="EV173" i="1"/>
  <c r="EW173" i="1"/>
  <c r="EX173" i="1"/>
  <c r="EY173" i="1"/>
  <c r="EQ174" i="1"/>
  <c r="ER174" i="1"/>
  <c r="ES174" i="1"/>
  <c r="ET174" i="1"/>
  <c r="EU174" i="1"/>
  <c r="EV174" i="1"/>
  <c r="EW174" i="1"/>
  <c r="EX174" i="1"/>
  <c r="EY174" i="1"/>
  <c r="EQ175" i="1"/>
  <c r="ER175" i="1"/>
  <c r="ES175" i="1"/>
  <c r="ET175" i="1"/>
  <c r="EU175" i="1"/>
  <c r="EV175" i="1"/>
  <c r="EW175" i="1"/>
  <c r="EX175" i="1"/>
  <c r="EY175" i="1"/>
  <c r="EQ176" i="1"/>
  <c r="ER176" i="1"/>
  <c r="ES176" i="1"/>
  <c r="ET176" i="1"/>
  <c r="EU176" i="1"/>
  <c r="EV176" i="1"/>
  <c r="EW176" i="1"/>
  <c r="EX176" i="1"/>
  <c r="EY176" i="1"/>
  <c r="EQ177" i="1"/>
  <c r="ER177" i="1"/>
  <c r="ES177" i="1"/>
  <c r="ET177" i="1"/>
  <c r="EU177" i="1"/>
  <c r="EV177" i="1"/>
  <c r="EW177" i="1"/>
  <c r="EX177" i="1"/>
  <c r="EY177" i="1"/>
  <c r="EQ178" i="1"/>
  <c r="ER178" i="1"/>
  <c r="ES178" i="1"/>
  <c r="ET178" i="1"/>
  <c r="EU178" i="1"/>
  <c r="EV178" i="1"/>
  <c r="EW178" i="1"/>
  <c r="EX178" i="1"/>
  <c r="EY178" i="1"/>
  <c r="EQ179" i="1"/>
  <c r="ER179" i="1"/>
  <c r="ES179" i="1"/>
  <c r="ET179" i="1"/>
  <c r="EU179" i="1"/>
  <c r="EV179" i="1"/>
  <c r="EW179" i="1"/>
  <c r="EX179" i="1"/>
  <c r="EY179" i="1"/>
  <c r="EQ180" i="1"/>
  <c r="ER180" i="1"/>
  <c r="ES180" i="1"/>
  <c r="ET180" i="1"/>
  <c r="EU180" i="1"/>
  <c r="EV180" i="1"/>
  <c r="EW180" i="1"/>
  <c r="EX180" i="1"/>
  <c r="EY180" i="1"/>
  <c r="EQ181" i="1"/>
  <c r="ER181" i="1"/>
  <c r="ES181" i="1"/>
  <c r="ET181" i="1"/>
  <c r="EU181" i="1"/>
  <c r="EV181" i="1"/>
  <c r="EW181" i="1"/>
  <c r="EX181" i="1"/>
  <c r="EY181" i="1"/>
  <c r="EQ182" i="1"/>
  <c r="ER182" i="1"/>
  <c r="ES182" i="1"/>
  <c r="ET182" i="1"/>
  <c r="EU182" i="1"/>
  <c r="EV182" i="1"/>
  <c r="EW182" i="1"/>
  <c r="EX182" i="1"/>
  <c r="EY182" i="1"/>
  <c r="EQ183" i="1"/>
  <c r="ER183" i="1"/>
  <c r="ES183" i="1"/>
  <c r="ET183" i="1"/>
  <c r="EU183" i="1"/>
  <c r="EV183" i="1"/>
  <c r="EW183" i="1"/>
  <c r="EX183" i="1"/>
  <c r="EY183" i="1"/>
  <c r="EQ184" i="1"/>
  <c r="ER184" i="1"/>
  <c r="ES184" i="1"/>
  <c r="ET184" i="1"/>
  <c r="EU184" i="1"/>
  <c r="EV184" i="1"/>
  <c r="EW184" i="1"/>
  <c r="EX184" i="1"/>
  <c r="EY184" i="1"/>
  <c r="EQ185" i="1"/>
  <c r="ER185" i="1"/>
  <c r="ES185" i="1"/>
  <c r="ET185" i="1"/>
  <c r="EU185" i="1"/>
  <c r="EV185" i="1"/>
  <c r="EW185" i="1"/>
  <c r="EX185" i="1"/>
  <c r="EY185" i="1"/>
  <c r="EQ186" i="1"/>
  <c r="ER186" i="1"/>
  <c r="ES186" i="1"/>
  <c r="ET186" i="1"/>
  <c r="EU186" i="1"/>
  <c r="EV186" i="1"/>
  <c r="EW186" i="1"/>
  <c r="EX186" i="1"/>
  <c r="EY186" i="1"/>
  <c r="EQ187" i="1"/>
  <c r="ER187" i="1"/>
  <c r="ES187" i="1"/>
  <c r="ET187" i="1"/>
  <c r="EU187" i="1"/>
  <c r="EV187" i="1"/>
  <c r="EW187" i="1"/>
  <c r="EX187" i="1"/>
  <c r="EY187" i="1"/>
  <c r="EQ188" i="1"/>
  <c r="ER188" i="1"/>
  <c r="ES188" i="1"/>
  <c r="ET188" i="1"/>
  <c r="EU188" i="1"/>
  <c r="EV188" i="1"/>
  <c r="EW188" i="1"/>
  <c r="EX188" i="1"/>
  <c r="EY188" i="1"/>
  <c r="EQ189" i="1"/>
  <c r="ER189" i="1"/>
  <c r="ES189" i="1"/>
  <c r="ET189" i="1"/>
  <c r="EU189" i="1"/>
  <c r="EV189" i="1"/>
  <c r="EW189" i="1"/>
  <c r="EX189" i="1"/>
  <c r="EY189" i="1"/>
  <c r="EQ190" i="1"/>
  <c r="ER190" i="1"/>
  <c r="ES190" i="1"/>
  <c r="ET190" i="1"/>
  <c r="EU190" i="1"/>
  <c r="EV190" i="1"/>
  <c r="EW190" i="1"/>
  <c r="EX190" i="1"/>
  <c r="EY190" i="1"/>
  <c r="EQ191" i="1"/>
  <c r="ER191" i="1"/>
  <c r="ES191" i="1"/>
  <c r="ET191" i="1"/>
  <c r="EU191" i="1"/>
  <c r="EV191" i="1"/>
  <c r="EW191" i="1"/>
  <c r="EX191" i="1"/>
  <c r="EY191" i="1"/>
  <c r="EQ192" i="1"/>
  <c r="ER192" i="1"/>
  <c r="ES192" i="1"/>
  <c r="ET192" i="1"/>
  <c r="EU192" i="1"/>
  <c r="EV192" i="1"/>
  <c r="EW192" i="1"/>
  <c r="EX192" i="1"/>
  <c r="EY192" i="1"/>
  <c r="EQ193" i="1"/>
  <c r="ER193" i="1"/>
  <c r="ES193" i="1"/>
  <c r="ET193" i="1"/>
  <c r="EU193" i="1"/>
  <c r="EV193" i="1"/>
  <c r="EW193" i="1"/>
  <c r="EX193" i="1"/>
  <c r="EY193" i="1"/>
  <c r="EQ194" i="1"/>
  <c r="ER194" i="1"/>
  <c r="ES194" i="1"/>
  <c r="ET194" i="1"/>
  <c r="EU194" i="1"/>
  <c r="EV194" i="1"/>
  <c r="EW194" i="1"/>
  <c r="EX194" i="1"/>
  <c r="EY194" i="1"/>
  <c r="EQ195" i="1"/>
  <c r="ER195" i="1"/>
  <c r="ES195" i="1"/>
  <c r="ET195" i="1"/>
  <c r="EU195" i="1"/>
  <c r="EV195" i="1"/>
  <c r="EW195" i="1"/>
  <c r="EX195" i="1"/>
  <c r="EY195" i="1"/>
  <c r="EQ196" i="1"/>
  <c r="ER196" i="1"/>
  <c r="ES196" i="1"/>
  <c r="ET196" i="1"/>
  <c r="EU196" i="1"/>
  <c r="EV196" i="1"/>
  <c r="EW196" i="1"/>
  <c r="EX196" i="1"/>
  <c r="EY196" i="1"/>
  <c r="EQ197" i="1"/>
  <c r="ER197" i="1"/>
  <c r="ES197" i="1"/>
  <c r="ET197" i="1"/>
  <c r="EU197" i="1"/>
  <c r="EV197" i="1"/>
  <c r="EW197" i="1"/>
  <c r="EX197" i="1"/>
  <c r="EY197" i="1"/>
  <c r="EQ198" i="1"/>
  <c r="ER198" i="1"/>
  <c r="ES198" i="1"/>
  <c r="ET198" i="1"/>
  <c r="EU198" i="1"/>
  <c r="EV198" i="1"/>
  <c r="EW198" i="1"/>
  <c r="EX198" i="1"/>
  <c r="EY198" i="1"/>
  <c r="EQ199" i="1"/>
  <c r="ER199" i="1"/>
  <c r="ES199" i="1"/>
  <c r="ET199" i="1"/>
  <c r="EU199" i="1"/>
  <c r="EV199" i="1"/>
  <c r="EW199" i="1"/>
  <c r="EX199" i="1"/>
  <c r="EY199" i="1"/>
  <c r="EQ200" i="1"/>
  <c r="ER200" i="1"/>
  <c r="ES200" i="1"/>
  <c r="ET200" i="1"/>
  <c r="EU200" i="1"/>
  <c r="EV200" i="1"/>
  <c r="EW200" i="1"/>
  <c r="EX200" i="1"/>
  <c r="EY200" i="1"/>
  <c r="EQ201" i="1"/>
  <c r="ER201" i="1"/>
  <c r="ES201" i="1"/>
  <c r="ET201" i="1"/>
  <c r="EU201" i="1"/>
  <c r="EV201" i="1"/>
  <c r="EW201" i="1"/>
  <c r="EX201" i="1"/>
  <c r="EY201" i="1"/>
  <c r="EQ202" i="1"/>
  <c r="ER202" i="1"/>
  <c r="ES202" i="1"/>
  <c r="ET202" i="1"/>
  <c r="EU202" i="1"/>
  <c r="EV202" i="1"/>
  <c r="EW202" i="1"/>
  <c r="EX202" i="1"/>
  <c r="EY202" i="1"/>
  <c r="EQ203" i="1"/>
  <c r="ER203" i="1"/>
  <c r="ES203" i="1"/>
  <c r="ET203" i="1"/>
  <c r="EU203" i="1"/>
  <c r="EV203" i="1"/>
  <c r="EW203" i="1"/>
  <c r="EX203" i="1"/>
  <c r="EY203" i="1"/>
  <c r="EQ204" i="1"/>
  <c r="ER204" i="1"/>
  <c r="ES204" i="1"/>
  <c r="ET204" i="1"/>
  <c r="EU204" i="1"/>
  <c r="EV204" i="1"/>
  <c r="EW204" i="1"/>
  <c r="EX204" i="1"/>
  <c r="EY204" i="1"/>
  <c r="EQ205" i="1"/>
  <c r="ER205" i="1"/>
  <c r="ES205" i="1"/>
  <c r="ET205" i="1"/>
  <c r="EU205" i="1"/>
  <c r="EV205" i="1"/>
  <c r="EW205" i="1"/>
  <c r="EX205" i="1"/>
  <c r="EY205" i="1"/>
  <c r="EQ206" i="1"/>
  <c r="ER206" i="1"/>
  <c r="ES206" i="1"/>
  <c r="ET206" i="1"/>
  <c r="EU206" i="1"/>
  <c r="EV206" i="1"/>
  <c r="EW206" i="1"/>
  <c r="EX206" i="1"/>
  <c r="EY206" i="1"/>
  <c r="EQ207" i="1"/>
  <c r="ER207" i="1"/>
  <c r="ES207" i="1"/>
  <c r="ET207" i="1"/>
  <c r="EU207" i="1"/>
  <c r="EV207" i="1"/>
  <c r="EW207" i="1"/>
  <c r="EX207" i="1"/>
  <c r="EY207" i="1"/>
  <c r="EQ208" i="1"/>
  <c r="ER208" i="1"/>
  <c r="ES208" i="1"/>
  <c r="ET208" i="1"/>
  <c r="EU208" i="1"/>
  <c r="EV208" i="1"/>
  <c r="EW208" i="1"/>
  <c r="EX208" i="1"/>
  <c r="EY208" i="1"/>
  <c r="EQ209" i="1"/>
  <c r="ER209" i="1"/>
  <c r="ES209" i="1"/>
  <c r="ET209" i="1"/>
  <c r="EU209" i="1"/>
  <c r="EV209" i="1"/>
  <c r="EW209" i="1"/>
  <c r="EX209" i="1"/>
  <c r="EY209" i="1"/>
  <c r="EQ210" i="1"/>
  <c r="ER210" i="1"/>
  <c r="ES210" i="1"/>
  <c r="ET210" i="1"/>
  <c r="EU210" i="1"/>
  <c r="EV210" i="1"/>
  <c r="EW210" i="1"/>
  <c r="EX210" i="1"/>
  <c r="EY210" i="1"/>
  <c r="EQ211" i="1"/>
  <c r="ER211" i="1"/>
  <c r="ES211" i="1"/>
  <c r="ET211" i="1"/>
  <c r="EU211" i="1"/>
  <c r="EV211" i="1"/>
  <c r="EW211" i="1"/>
  <c r="EX211" i="1"/>
  <c r="EY211" i="1"/>
  <c r="EQ212" i="1"/>
  <c r="ER212" i="1"/>
  <c r="ES212" i="1"/>
  <c r="ET212" i="1"/>
  <c r="EU212" i="1"/>
  <c r="EV212" i="1"/>
  <c r="EW212" i="1"/>
  <c r="EX212" i="1"/>
  <c r="EY212" i="1"/>
  <c r="EQ213" i="1"/>
  <c r="ER213" i="1"/>
  <c r="ES213" i="1"/>
  <c r="ET213" i="1"/>
  <c r="EU213" i="1"/>
  <c r="EV213" i="1"/>
  <c r="EW213" i="1"/>
  <c r="EX213" i="1"/>
  <c r="EY213" i="1"/>
  <c r="EQ214" i="1"/>
  <c r="ER214" i="1"/>
  <c r="ES214" i="1"/>
  <c r="ET214" i="1"/>
  <c r="EU214" i="1"/>
  <c r="EV214" i="1"/>
  <c r="EW214" i="1"/>
  <c r="EX214" i="1"/>
  <c r="EY214" i="1"/>
  <c r="EQ215" i="1"/>
  <c r="ER215" i="1"/>
  <c r="ES215" i="1"/>
  <c r="ET215" i="1"/>
  <c r="EU215" i="1"/>
  <c r="EV215" i="1"/>
  <c r="EW215" i="1"/>
  <c r="EX215" i="1"/>
  <c r="EY215" i="1"/>
  <c r="EQ216" i="1"/>
  <c r="ER216" i="1"/>
  <c r="ES216" i="1"/>
  <c r="ET216" i="1"/>
  <c r="EU216" i="1"/>
  <c r="EV216" i="1"/>
  <c r="EW216" i="1"/>
  <c r="EX216" i="1"/>
  <c r="EY216" i="1"/>
  <c r="EQ217" i="1"/>
  <c r="ER217" i="1"/>
  <c r="ES217" i="1"/>
  <c r="ET217" i="1"/>
  <c r="EU217" i="1"/>
  <c r="EV217" i="1"/>
  <c r="EW217" i="1"/>
  <c r="EX217" i="1"/>
  <c r="EY217" i="1"/>
  <c r="EQ218" i="1"/>
  <c r="ER218" i="1"/>
  <c r="ES218" i="1"/>
  <c r="ET218" i="1"/>
  <c r="EU218" i="1"/>
  <c r="EV218" i="1"/>
  <c r="EW218" i="1"/>
  <c r="EX218" i="1"/>
  <c r="EY218" i="1"/>
  <c r="EQ219" i="1"/>
  <c r="ER219" i="1"/>
  <c r="ES219" i="1"/>
  <c r="ET219" i="1"/>
  <c r="EU219" i="1"/>
  <c r="EV219" i="1"/>
  <c r="EW219" i="1"/>
  <c r="EX219" i="1"/>
  <c r="EY219" i="1"/>
  <c r="EQ220" i="1"/>
  <c r="ER220" i="1"/>
  <c r="ES220" i="1"/>
  <c r="ET220" i="1"/>
  <c r="EU220" i="1"/>
  <c r="EV220" i="1"/>
  <c r="EW220" i="1"/>
  <c r="EX220" i="1"/>
  <c r="EY220" i="1"/>
  <c r="EQ221" i="1"/>
  <c r="ER221" i="1"/>
  <c r="ES221" i="1"/>
  <c r="ET221" i="1"/>
  <c r="EU221" i="1"/>
  <c r="EV221" i="1"/>
  <c r="EW221" i="1"/>
  <c r="EX221" i="1"/>
  <c r="EY221" i="1"/>
  <c r="EQ222" i="1"/>
  <c r="ER222" i="1"/>
  <c r="ES222" i="1"/>
  <c r="ET222" i="1"/>
  <c r="EU222" i="1"/>
  <c r="EV222" i="1"/>
  <c r="EW222" i="1"/>
  <c r="EX222" i="1"/>
  <c r="EY222" i="1"/>
  <c r="EQ223" i="1"/>
  <c r="ER223" i="1"/>
  <c r="ES223" i="1"/>
  <c r="ET223" i="1"/>
  <c r="EU223" i="1"/>
  <c r="EV223" i="1"/>
  <c r="EW223" i="1"/>
  <c r="EX223" i="1"/>
  <c r="EY223" i="1"/>
  <c r="EQ224" i="1"/>
  <c r="ER224" i="1"/>
  <c r="ES224" i="1"/>
  <c r="ET224" i="1"/>
  <c r="EU224" i="1"/>
  <c r="EV224" i="1"/>
  <c r="EW224" i="1"/>
  <c r="EX224" i="1"/>
  <c r="EY224" i="1"/>
  <c r="EQ225" i="1"/>
  <c r="ER225" i="1"/>
  <c r="ES225" i="1"/>
  <c r="ET225" i="1"/>
  <c r="EU225" i="1"/>
  <c r="EV225" i="1"/>
  <c r="EW225" i="1"/>
  <c r="EX225" i="1"/>
  <c r="EY225" i="1"/>
  <c r="EQ226" i="1"/>
  <c r="ER226" i="1"/>
  <c r="ES226" i="1"/>
  <c r="ET226" i="1"/>
  <c r="EU226" i="1"/>
  <c r="EV226" i="1"/>
  <c r="EW226" i="1"/>
  <c r="EX226" i="1"/>
  <c r="EY226" i="1"/>
  <c r="EQ227" i="1"/>
  <c r="ER227" i="1"/>
  <c r="ES227" i="1"/>
  <c r="ET227" i="1"/>
  <c r="EU227" i="1"/>
  <c r="EV227" i="1"/>
  <c r="EW227" i="1"/>
  <c r="EX227" i="1"/>
  <c r="EY227" i="1"/>
  <c r="EQ228" i="1"/>
  <c r="ER228" i="1"/>
  <c r="ES228" i="1"/>
  <c r="ET228" i="1"/>
  <c r="EU228" i="1"/>
  <c r="EV228" i="1"/>
  <c r="EW228" i="1"/>
  <c r="EX228" i="1"/>
  <c r="EY228" i="1"/>
  <c r="EQ229" i="1"/>
  <c r="ER229" i="1"/>
  <c r="ES229" i="1"/>
  <c r="ET229" i="1"/>
  <c r="EU229" i="1"/>
  <c r="EV229" i="1"/>
  <c r="EW229" i="1"/>
  <c r="EX229" i="1"/>
  <c r="EY229" i="1"/>
  <c r="EQ230" i="1"/>
  <c r="ER230" i="1"/>
  <c r="ES230" i="1"/>
  <c r="ET230" i="1"/>
  <c r="EU230" i="1"/>
  <c r="EV230" i="1"/>
  <c r="EW230" i="1"/>
  <c r="EX230" i="1"/>
  <c r="EY230" i="1"/>
  <c r="EQ231" i="1"/>
  <c r="ER231" i="1"/>
  <c r="ES231" i="1"/>
  <c r="ET231" i="1"/>
  <c r="EU231" i="1"/>
  <c r="EV231" i="1"/>
  <c r="EW231" i="1"/>
  <c r="EX231" i="1"/>
  <c r="EY231" i="1"/>
  <c r="EQ232" i="1"/>
  <c r="ER232" i="1"/>
  <c r="ES232" i="1"/>
  <c r="ET232" i="1"/>
  <c r="EU232" i="1"/>
  <c r="EV232" i="1"/>
  <c r="EW232" i="1"/>
  <c r="EX232" i="1"/>
  <c r="EY232" i="1"/>
  <c r="EQ233" i="1"/>
  <c r="ER233" i="1"/>
  <c r="ES233" i="1"/>
  <c r="ET233" i="1"/>
  <c r="EU233" i="1"/>
  <c r="EV233" i="1"/>
  <c r="EW233" i="1"/>
  <c r="EX233" i="1"/>
  <c r="EY233" i="1"/>
  <c r="EQ234" i="1"/>
  <c r="ER234" i="1"/>
  <c r="ES234" i="1"/>
  <c r="ET234" i="1"/>
  <c r="EU234" i="1"/>
  <c r="EV234" i="1"/>
  <c r="EW234" i="1"/>
  <c r="EX234" i="1"/>
  <c r="EY234" i="1"/>
  <c r="EQ235" i="1"/>
  <c r="ER235" i="1"/>
  <c r="ES235" i="1"/>
  <c r="ET235" i="1"/>
  <c r="EU235" i="1"/>
  <c r="EV235" i="1"/>
  <c r="EW235" i="1"/>
  <c r="EX235" i="1"/>
  <c r="EY235" i="1"/>
  <c r="EQ236" i="1"/>
  <c r="ER236" i="1"/>
  <c r="ES236" i="1"/>
  <c r="ET236" i="1"/>
  <c r="EU236" i="1"/>
  <c r="EV236" i="1"/>
  <c r="EW236" i="1"/>
  <c r="EX236" i="1"/>
  <c r="EY236" i="1"/>
  <c r="EQ237" i="1"/>
  <c r="ER237" i="1"/>
  <c r="ES237" i="1"/>
  <c r="ET237" i="1"/>
  <c r="EU237" i="1"/>
  <c r="EV237" i="1"/>
  <c r="EW237" i="1"/>
  <c r="EX237" i="1"/>
  <c r="EY237" i="1"/>
  <c r="EQ238" i="1"/>
  <c r="ER238" i="1"/>
  <c r="ES238" i="1"/>
  <c r="ET238" i="1"/>
  <c r="EU238" i="1"/>
  <c r="EV238" i="1"/>
  <c r="EW238" i="1"/>
  <c r="EX238" i="1"/>
  <c r="EY238" i="1"/>
  <c r="EQ239" i="1"/>
  <c r="ER239" i="1"/>
  <c r="ES239" i="1"/>
  <c r="ET239" i="1"/>
  <c r="EU239" i="1"/>
  <c r="EV239" i="1"/>
  <c r="EW239" i="1"/>
  <c r="EX239" i="1"/>
  <c r="EY239" i="1"/>
  <c r="EQ240" i="1"/>
  <c r="ER240" i="1"/>
  <c r="ES240" i="1"/>
  <c r="ET240" i="1"/>
  <c r="EU240" i="1"/>
  <c r="EV240" i="1"/>
  <c r="EW240" i="1"/>
  <c r="EX240" i="1"/>
  <c r="EY240" i="1"/>
  <c r="EQ241" i="1"/>
  <c r="ER241" i="1"/>
  <c r="ES241" i="1"/>
  <c r="ET241" i="1"/>
  <c r="EU241" i="1"/>
  <c r="EV241" i="1"/>
  <c r="EW241" i="1"/>
  <c r="EX241" i="1"/>
  <c r="EY241" i="1"/>
  <c r="EQ242" i="1"/>
  <c r="ER242" i="1"/>
  <c r="ES242" i="1"/>
  <c r="ET242" i="1"/>
  <c r="EU242" i="1"/>
  <c r="EV242" i="1"/>
  <c r="EW242" i="1"/>
  <c r="EX242" i="1"/>
  <c r="EY242" i="1"/>
  <c r="EQ243" i="1"/>
  <c r="ER243" i="1"/>
  <c r="ES243" i="1"/>
  <c r="ET243" i="1"/>
  <c r="EU243" i="1"/>
  <c r="EV243" i="1"/>
  <c r="EW243" i="1"/>
  <c r="EX243" i="1"/>
  <c r="EY243" i="1"/>
  <c r="EQ244" i="1"/>
  <c r="ER244" i="1"/>
  <c r="ES244" i="1"/>
  <c r="ET244" i="1"/>
  <c r="EU244" i="1"/>
  <c r="EV244" i="1"/>
  <c r="EW244" i="1"/>
  <c r="EX244" i="1"/>
  <c r="EY244" i="1"/>
  <c r="EQ245" i="1"/>
  <c r="ER245" i="1"/>
  <c r="ES245" i="1"/>
  <c r="ET245" i="1"/>
  <c r="EU245" i="1"/>
  <c r="EV245" i="1"/>
  <c r="EW245" i="1"/>
  <c r="EX245" i="1"/>
  <c r="EY245" i="1"/>
  <c r="EQ246" i="1"/>
  <c r="ER246" i="1"/>
  <c r="ES246" i="1"/>
  <c r="ET246" i="1"/>
  <c r="EU246" i="1"/>
  <c r="EV246" i="1"/>
  <c r="EW246" i="1"/>
  <c r="EX246" i="1"/>
  <c r="EY246" i="1"/>
  <c r="EQ247" i="1"/>
  <c r="ER247" i="1"/>
  <c r="ES247" i="1"/>
  <c r="ET247" i="1"/>
  <c r="EU247" i="1"/>
  <c r="EV247" i="1"/>
  <c r="EW247" i="1"/>
  <c r="EX247" i="1"/>
  <c r="EY247" i="1"/>
  <c r="EQ248" i="1"/>
  <c r="ER248" i="1"/>
  <c r="ES248" i="1"/>
  <c r="ET248" i="1"/>
  <c r="EU248" i="1"/>
  <c r="EV248" i="1"/>
  <c r="EW248" i="1"/>
  <c r="EX248" i="1"/>
  <c r="EY248" i="1"/>
  <c r="EQ249" i="1"/>
  <c r="ER249" i="1"/>
  <c r="ES249" i="1"/>
  <c r="ET249" i="1"/>
  <c r="EU249" i="1"/>
  <c r="EV249" i="1"/>
  <c r="EW249" i="1"/>
  <c r="EX249" i="1"/>
  <c r="EY249" i="1"/>
  <c r="EQ250" i="1"/>
  <c r="ER250" i="1"/>
  <c r="ES250" i="1"/>
  <c r="ET250" i="1"/>
  <c r="EU250" i="1"/>
  <c r="EV250" i="1"/>
  <c r="EW250" i="1"/>
  <c r="EX250" i="1"/>
  <c r="EY250" i="1"/>
  <c r="EQ251" i="1"/>
  <c r="ER251" i="1"/>
  <c r="ES251" i="1"/>
  <c r="ET251" i="1"/>
  <c r="EU251" i="1"/>
  <c r="EV251" i="1"/>
  <c r="EW251" i="1"/>
  <c r="EX251" i="1"/>
  <c r="EY251" i="1"/>
  <c r="EQ252" i="1"/>
  <c r="ER252" i="1"/>
  <c r="ES252" i="1"/>
  <c r="ET252" i="1"/>
  <c r="EU252" i="1"/>
  <c r="EV252" i="1"/>
  <c r="EW252" i="1"/>
  <c r="EX252" i="1"/>
  <c r="EY252" i="1"/>
  <c r="EQ253" i="1"/>
  <c r="ER253" i="1"/>
  <c r="ES253" i="1"/>
  <c r="ET253" i="1"/>
  <c r="EU253" i="1"/>
  <c r="EV253" i="1"/>
  <c r="EW253" i="1"/>
  <c r="EX253" i="1"/>
  <c r="EY253" i="1"/>
  <c r="EQ254" i="1"/>
  <c r="ER254" i="1"/>
  <c r="ES254" i="1"/>
  <c r="ET254" i="1"/>
  <c r="EU254" i="1"/>
  <c r="EV254" i="1"/>
  <c r="EW254" i="1"/>
  <c r="EX254" i="1"/>
  <c r="EY254" i="1"/>
  <c r="EQ255" i="1"/>
  <c r="ER255" i="1"/>
  <c r="ES255" i="1"/>
  <c r="ET255" i="1"/>
  <c r="EU255" i="1"/>
  <c r="EV255" i="1"/>
  <c r="EW255" i="1"/>
  <c r="EX255" i="1"/>
  <c r="EY255" i="1"/>
  <c r="EQ256" i="1"/>
  <c r="ER256" i="1"/>
  <c r="ES256" i="1"/>
  <c r="ET256" i="1"/>
  <c r="EU256" i="1"/>
  <c r="EV256" i="1"/>
  <c r="EW256" i="1"/>
  <c r="EX256" i="1"/>
  <c r="EY256" i="1"/>
  <c r="EQ257" i="1"/>
  <c r="ER257" i="1"/>
  <c r="ES257" i="1"/>
  <c r="ET257" i="1"/>
  <c r="EU257" i="1"/>
  <c r="EV257" i="1"/>
  <c r="EW257" i="1"/>
  <c r="EX257" i="1"/>
  <c r="EY257" i="1"/>
  <c r="EQ258" i="1"/>
  <c r="ER258" i="1"/>
  <c r="ES258" i="1"/>
  <c r="ET258" i="1"/>
  <c r="EU258" i="1"/>
  <c r="EV258" i="1"/>
  <c r="EW258" i="1"/>
  <c r="EX258" i="1"/>
  <c r="EY258" i="1"/>
  <c r="EQ259" i="1"/>
  <c r="ER259" i="1"/>
  <c r="ES259" i="1"/>
  <c r="ET259" i="1"/>
  <c r="EU259" i="1"/>
  <c r="EV259" i="1"/>
  <c r="EW259" i="1"/>
  <c r="EX259" i="1"/>
  <c r="EY259" i="1"/>
  <c r="EQ260" i="1"/>
  <c r="ER260" i="1"/>
  <c r="ES260" i="1"/>
  <c r="ET260" i="1"/>
  <c r="EU260" i="1"/>
  <c r="EV260" i="1"/>
  <c r="EW260" i="1"/>
  <c r="EX260" i="1"/>
  <c r="EY260" i="1"/>
  <c r="EQ261" i="1"/>
  <c r="ER261" i="1"/>
  <c r="ES261" i="1"/>
  <c r="ET261" i="1"/>
  <c r="EU261" i="1"/>
  <c r="EV261" i="1"/>
  <c r="EW261" i="1"/>
  <c r="EX261" i="1"/>
  <c r="EY261" i="1"/>
  <c r="EQ262" i="1"/>
  <c r="ER262" i="1"/>
  <c r="ES262" i="1"/>
  <c r="ET262" i="1"/>
  <c r="EU262" i="1"/>
  <c r="EV262" i="1"/>
  <c r="EW262" i="1"/>
  <c r="EX262" i="1"/>
  <c r="EY262" i="1"/>
  <c r="EQ263" i="1"/>
  <c r="ER263" i="1"/>
  <c r="ES263" i="1"/>
  <c r="ET263" i="1"/>
  <c r="EU263" i="1"/>
  <c r="EV263" i="1"/>
  <c r="EW263" i="1"/>
  <c r="EX263" i="1"/>
  <c r="EY263" i="1"/>
  <c r="EQ264" i="1"/>
  <c r="ER264" i="1"/>
  <c r="ES264" i="1"/>
  <c r="ET264" i="1"/>
  <c r="EU264" i="1"/>
  <c r="EV264" i="1"/>
  <c r="EW264" i="1"/>
  <c r="EX264" i="1"/>
  <c r="EY264" i="1"/>
  <c r="EQ265" i="1"/>
  <c r="ER265" i="1"/>
  <c r="ES265" i="1"/>
  <c r="ET265" i="1"/>
  <c r="EU265" i="1"/>
  <c r="EV265" i="1"/>
  <c r="EW265" i="1"/>
  <c r="EX265" i="1"/>
  <c r="EY265" i="1"/>
  <c r="EQ266" i="1"/>
  <c r="ER266" i="1"/>
  <c r="ES266" i="1"/>
  <c r="ET266" i="1"/>
  <c r="EU266" i="1"/>
  <c r="EV266" i="1"/>
  <c r="EW266" i="1"/>
  <c r="EX266" i="1"/>
  <c r="EY266" i="1"/>
  <c r="EQ267" i="1"/>
  <c r="ER267" i="1"/>
  <c r="ES267" i="1"/>
  <c r="ET267" i="1"/>
  <c r="EU267" i="1"/>
  <c r="EV267" i="1"/>
  <c r="EW267" i="1"/>
  <c r="EX267" i="1"/>
  <c r="EY267" i="1"/>
  <c r="EQ268" i="1"/>
  <c r="ER268" i="1"/>
  <c r="ES268" i="1"/>
  <c r="ET268" i="1"/>
  <c r="EU268" i="1"/>
  <c r="EV268" i="1"/>
  <c r="EW268" i="1"/>
  <c r="EX268" i="1"/>
  <c r="EY268" i="1"/>
  <c r="EQ269" i="1"/>
  <c r="ER269" i="1"/>
  <c r="ES269" i="1"/>
  <c r="ET269" i="1"/>
  <c r="EU269" i="1"/>
  <c r="EV269" i="1"/>
  <c r="EW269" i="1"/>
  <c r="EX269" i="1"/>
  <c r="EY269" i="1"/>
  <c r="EQ270" i="1"/>
  <c r="ER270" i="1"/>
  <c r="ES270" i="1"/>
  <c r="ET270" i="1"/>
  <c r="EU270" i="1"/>
  <c r="EV270" i="1"/>
  <c r="EW270" i="1"/>
  <c r="EX270" i="1"/>
  <c r="EY270" i="1"/>
  <c r="EQ271" i="1"/>
  <c r="ER271" i="1"/>
  <c r="ES271" i="1"/>
  <c r="ET271" i="1"/>
  <c r="EU271" i="1"/>
  <c r="EV271" i="1"/>
  <c r="EW271" i="1"/>
  <c r="EX271" i="1"/>
  <c r="EY271" i="1"/>
  <c r="EQ272" i="1"/>
  <c r="ER272" i="1"/>
  <c r="ES272" i="1"/>
  <c r="ET272" i="1"/>
  <c r="EU272" i="1"/>
  <c r="EV272" i="1"/>
  <c r="EW272" i="1"/>
  <c r="EX272" i="1"/>
  <c r="EY272" i="1"/>
  <c r="EQ273" i="1"/>
  <c r="ER273" i="1"/>
  <c r="ES273" i="1"/>
  <c r="ET273" i="1"/>
  <c r="EU273" i="1"/>
  <c r="EV273" i="1"/>
  <c r="EW273" i="1"/>
  <c r="EX273" i="1"/>
  <c r="EY273" i="1"/>
  <c r="EQ274" i="1"/>
  <c r="ER274" i="1"/>
  <c r="ES274" i="1"/>
  <c r="ET274" i="1"/>
  <c r="EU274" i="1"/>
  <c r="EV274" i="1"/>
  <c r="EW274" i="1"/>
  <c r="EX274" i="1"/>
  <c r="EY274" i="1"/>
  <c r="EQ275" i="1"/>
  <c r="ER275" i="1"/>
  <c r="ES275" i="1"/>
  <c r="ET275" i="1"/>
  <c r="EU275" i="1"/>
  <c r="EV275" i="1"/>
  <c r="EW275" i="1"/>
  <c r="EX275" i="1"/>
  <c r="EY275" i="1"/>
  <c r="EQ276" i="1"/>
  <c r="ER276" i="1"/>
  <c r="ES276" i="1"/>
  <c r="ET276" i="1"/>
  <c r="EU276" i="1"/>
  <c r="EV276" i="1"/>
  <c r="EW276" i="1"/>
  <c r="EX276" i="1"/>
  <c r="EY276" i="1"/>
  <c r="EQ277" i="1"/>
  <c r="ER277" i="1"/>
  <c r="ES277" i="1"/>
  <c r="ET277" i="1"/>
  <c r="EU277" i="1"/>
  <c r="EV277" i="1"/>
  <c r="EW277" i="1"/>
  <c r="EX277" i="1"/>
  <c r="EY277" i="1"/>
  <c r="EQ278" i="1"/>
  <c r="ER278" i="1"/>
  <c r="ES278" i="1"/>
  <c r="ET278" i="1"/>
  <c r="EU278" i="1"/>
  <c r="EV278" i="1"/>
  <c r="EW278" i="1"/>
  <c r="EX278" i="1"/>
  <c r="EY278" i="1"/>
  <c r="EQ279" i="1"/>
  <c r="ER279" i="1"/>
  <c r="ES279" i="1"/>
  <c r="ET279" i="1"/>
  <c r="EU279" i="1"/>
  <c r="EV279" i="1"/>
  <c r="EW279" i="1"/>
  <c r="EX279" i="1"/>
  <c r="EY279" i="1"/>
  <c r="EQ280" i="1"/>
  <c r="ER280" i="1"/>
  <c r="ES280" i="1"/>
  <c r="ET280" i="1"/>
  <c r="EU280" i="1"/>
  <c r="EV280" i="1"/>
  <c r="EW280" i="1"/>
  <c r="EX280" i="1"/>
  <c r="EY280" i="1"/>
  <c r="EQ281" i="1"/>
  <c r="ER281" i="1"/>
  <c r="ES281" i="1"/>
  <c r="ET281" i="1"/>
  <c r="EU281" i="1"/>
  <c r="EV281" i="1"/>
  <c r="EW281" i="1"/>
  <c r="EX281" i="1"/>
  <c r="EY281" i="1"/>
  <c r="EQ282" i="1"/>
  <c r="ER282" i="1"/>
  <c r="ES282" i="1"/>
  <c r="ET282" i="1"/>
  <c r="EU282" i="1"/>
  <c r="EV282" i="1"/>
  <c r="EW282" i="1"/>
  <c r="EX282" i="1"/>
  <c r="EY282" i="1"/>
  <c r="EQ283" i="1"/>
  <c r="ER283" i="1"/>
  <c r="ES283" i="1"/>
  <c r="ET283" i="1"/>
  <c r="EU283" i="1"/>
  <c r="EV283" i="1"/>
  <c r="EW283" i="1"/>
  <c r="EX283" i="1"/>
  <c r="EY283" i="1"/>
  <c r="EQ284" i="1"/>
  <c r="ER284" i="1"/>
  <c r="ES284" i="1"/>
  <c r="ET284" i="1"/>
  <c r="EU284" i="1"/>
  <c r="EV284" i="1"/>
  <c r="EW284" i="1"/>
  <c r="EX284" i="1"/>
  <c r="EY284" i="1"/>
  <c r="EQ285" i="1"/>
  <c r="ER285" i="1"/>
  <c r="ES285" i="1"/>
  <c r="ET285" i="1"/>
  <c r="EU285" i="1"/>
  <c r="EV285" i="1"/>
  <c r="EW285" i="1"/>
  <c r="EX285" i="1"/>
  <c r="EY285" i="1"/>
  <c r="EQ286" i="1"/>
  <c r="ER286" i="1"/>
  <c r="ES286" i="1"/>
  <c r="ET286" i="1"/>
  <c r="EU286" i="1"/>
  <c r="EV286" i="1"/>
  <c r="EW286" i="1"/>
  <c r="EX286" i="1"/>
  <c r="EY286" i="1"/>
  <c r="EQ287" i="1"/>
  <c r="ER287" i="1"/>
  <c r="ES287" i="1"/>
  <c r="ET287" i="1"/>
  <c r="EU287" i="1"/>
  <c r="EV287" i="1"/>
  <c r="EW287" i="1"/>
  <c r="EX287" i="1"/>
  <c r="EY287" i="1"/>
  <c r="EQ288" i="1"/>
  <c r="ER288" i="1"/>
  <c r="ES288" i="1"/>
  <c r="ET288" i="1"/>
  <c r="EU288" i="1"/>
  <c r="EV288" i="1"/>
  <c r="EW288" i="1"/>
  <c r="EX288" i="1"/>
  <c r="EY288" i="1"/>
  <c r="EQ289" i="1"/>
  <c r="ER289" i="1"/>
  <c r="ES289" i="1"/>
  <c r="ET289" i="1"/>
  <c r="EU289" i="1"/>
  <c r="EV289" i="1"/>
  <c r="EW289" i="1"/>
  <c r="EX289" i="1"/>
  <c r="EY289" i="1"/>
  <c r="EQ290" i="1"/>
  <c r="ER290" i="1"/>
  <c r="ES290" i="1"/>
  <c r="ET290" i="1"/>
  <c r="EU290" i="1"/>
  <c r="EV290" i="1"/>
  <c r="EW290" i="1"/>
  <c r="EX290" i="1"/>
  <c r="EY290" i="1"/>
  <c r="EQ291" i="1"/>
  <c r="ER291" i="1"/>
  <c r="ES291" i="1"/>
  <c r="ET291" i="1"/>
  <c r="EU291" i="1"/>
  <c r="EV291" i="1"/>
  <c r="EW291" i="1"/>
  <c r="EX291" i="1"/>
  <c r="EY291" i="1"/>
  <c r="EQ292" i="1"/>
  <c r="ER292" i="1"/>
  <c r="ES292" i="1"/>
  <c r="ET292" i="1"/>
  <c r="EU292" i="1"/>
  <c r="EV292" i="1"/>
  <c r="EW292" i="1"/>
  <c r="EX292" i="1"/>
  <c r="EY292" i="1"/>
  <c r="EQ293" i="1"/>
  <c r="ER293" i="1"/>
  <c r="ES293" i="1"/>
  <c r="ET293" i="1"/>
  <c r="EU293" i="1"/>
  <c r="EV293" i="1"/>
  <c r="EW293" i="1"/>
  <c r="EX293" i="1"/>
  <c r="EY293" i="1"/>
  <c r="EQ294" i="1"/>
  <c r="ER294" i="1"/>
  <c r="ES294" i="1"/>
  <c r="ET294" i="1"/>
  <c r="EU294" i="1"/>
  <c r="EV294" i="1"/>
  <c r="EW294" i="1"/>
  <c r="EX294" i="1"/>
  <c r="EY294" i="1"/>
  <c r="EQ295" i="1"/>
  <c r="ER295" i="1"/>
  <c r="ES295" i="1"/>
  <c r="ET295" i="1"/>
  <c r="EU295" i="1"/>
  <c r="EV295" i="1"/>
  <c r="EW295" i="1"/>
  <c r="EX295" i="1"/>
  <c r="EY295" i="1"/>
  <c r="EQ296" i="1"/>
  <c r="ER296" i="1"/>
  <c r="ES296" i="1"/>
  <c r="ET296" i="1"/>
  <c r="EU296" i="1"/>
  <c r="EV296" i="1"/>
  <c r="EW296" i="1"/>
  <c r="EX296" i="1"/>
  <c r="EY296" i="1"/>
  <c r="EQ297" i="1"/>
  <c r="ER297" i="1"/>
  <c r="ES297" i="1"/>
  <c r="ET297" i="1"/>
  <c r="EU297" i="1"/>
  <c r="EV297" i="1"/>
  <c r="EW297" i="1"/>
  <c r="EX297" i="1"/>
  <c r="EY297" i="1"/>
  <c r="EQ298" i="1"/>
  <c r="ER298" i="1"/>
  <c r="ES298" i="1"/>
  <c r="ET298" i="1"/>
  <c r="EU298" i="1"/>
  <c r="EV298" i="1"/>
  <c r="EW298" i="1"/>
  <c r="EX298" i="1"/>
  <c r="EY298" i="1"/>
  <c r="EQ299" i="1"/>
  <c r="ER299" i="1"/>
  <c r="ES299" i="1"/>
  <c r="ET299" i="1"/>
  <c r="EU299" i="1"/>
  <c r="EV299" i="1"/>
  <c r="EW299" i="1"/>
  <c r="EX299" i="1"/>
  <c r="EY299" i="1"/>
  <c r="EQ300" i="1"/>
  <c r="ER300" i="1"/>
  <c r="ES300" i="1"/>
  <c r="ET300" i="1"/>
  <c r="EU300" i="1"/>
  <c r="EV300" i="1"/>
  <c r="EW300" i="1"/>
  <c r="EX300" i="1"/>
  <c r="EY300" i="1"/>
  <c r="EQ301" i="1"/>
  <c r="ER301" i="1"/>
  <c r="ES301" i="1"/>
  <c r="ET301" i="1"/>
  <c r="EU301" i="1"/>
  <c r="EV301" i="1"/>
  <c r="EW301" i="1"/>
  <c r="EX301" i="1"/>
  <c r="EY301" i="1"/>
  <c r="EQ302" i="1"/>
  <c r="ER302" i="1"/>
  <c r="ES302" i="1"/>
  <c r="ET302" i="1"/>
  <c r="EU302" i="1"/>
  <c r="EV302" i="1"/>
  <c r="EW302" i="1"/>
  <c r="EX302" i="1"/>
  <c r="EY302" i="1"/>
  <c r="EQ303" i="1"/>
  <c r="ER303" i="1"/>
  <c r="ES303" i="1"/>
  <c r="ET303" i="1"/>
  <c r="EU303" i="1"/>
  <c r="EV303" i="1"/>
  <c r="EW303" i="1"/>
  <c r="EX303" i="1"/>
  <c r="EY303" i="1"/>
  <c r="EQ304" i="1"/>
  <c r="ER304" i="1"/>
  <c r="ES304" i="1"/>
  <c r="ET304" i="1"/>
  <c r="EU304" i="1"/>
  <c r="EV304" i="1"/>
  <c r="EW304" i="1"/>
  <c r="EX304" i="1"/>
  <c r="EY304" i="1"/>
  <c r="EQ305" i="1"/>
  <c r="ER305" i="1"/>
  <c r="ES305" i="1"/>
  <c r="ET305" i="1"/>
  <c r="EU305" i="1"/>
  <c r="EV305" i="1"/>
  <c r="EW305" i="1"/>
  <c r="EX305" i="1"/>
  <c r="EY305" i="1"/>
  <c r="EQ306" i="1"/>
  <c r="ER306" i="1"/>
  <c r="ES306" i="1"/>
  <c r="ET306" i="1"/>
  <c r="EU306" i="1"/>
  <c r="EV306" i="1"/>
  <c r="EW306" i="1"/>
  <c r="EX306" i="1"/>
  <c r="EY306" i="1"/>
  <c r="EQ307" i="1"/>
  <c r="ER307" i="1"/>
  <c r="ES307" i="1"/>
  <c r="ET307" i="1"/>
  <c r="EU307" i="1"/>
  <c r="EV307" i="1"/>
  <c r="EW307" i="1"/>
  <c r="EX307" i="1"/>
  <c r="EY307" i="1"/>
  <c r="EQ308" i="1"/>
  <c r="ER308" i="1"/>
  <c r="ES308" i="1"/>
  <c r="ET308" i="1"/>
  <c r="EU308" i="1"/>
  <c r="EV308" i="1"/>
  <c r="EW308" i="1"/>
  <c r="EX308" i="1"/>
  <c r="EY308" i="1"/>
  <c r="EQ309" i="1"/>
  <c r="ER309" i="1"/>
  <c r="ES309" i="1"/>
  <c r="ET309" i="1"/>
  <c r="EU309" i="1"/>
  <c r="EV309" i="1"/>
  <c r="EW309" i="1"/>
  <c r="EX309" i="1"/>
  <c r="EY309" i="1"/>
  <c r="EQ310" i="1"/>
  <c r="ER310" i="1"/>
  <c r="ES310" i="1"/>
  <c r="ET310" i="1"/>
  <c r="EU310" i="1"/>
  <c r="EV310" i="1"/>
  <c r="EW310" i="1"/>
  <c r="EX310" i="1"/>
  <c r="EY310" i="1"/>
  <c r="EQ311" i="1"/>
  <c r="ER311" i="1"/>
  <c r="ES311" i="1"/>
  <c r="ET311" i="1"/>
  <c r="EU311" i="1"/>
  <c r="EV311" i="1"/>
  <c r="EW311" i="1"/>
  <c r="EX311" i="1"/>
  <c r="EY311" i="1"/>
  <c r="EQ312" i="1"/>
  <c r="ER312" i="1"/>
  <c r="ES312" i="1"/>
  <c r="ET312" i="1"/>
  <c r="EU312" i="1"/>
  <c r="EV312" i="1"/>
  <c r="EW312" i="1"/>
  <c r="EX312" i="1"/>
  <c r="EY312" i="1"/>
  <c r="EQ313" i="1"/>
  <c r="ER313" i="1"/>
  <c r="ES313" i="1"/>
  <c r="ET313" i="1"/>
  <c r="EU313" i="1"/>
  <c r="EV313" i="1"/>
  <c r="EW313" i="1"/>
  <c r="EX313" i="1"/>
  <c r="EY313" i="1"/>
  <c r="EQ314" i="1"/>
  <c r="ER314" i="1"/>
  <c r="ES314" i="1"/>
  <c r="ET314" i="1"/>
  <c r="EU314" i="1"/>
  <c r="EV314" i="1"/>
  <c r="EW314" i="1"/>
  <c r="EX314" i="1"/>
  <c r="EY314" i="1"/>
  <c r="EQ315" i="1"/>
  <c r="ER315" i="1"/>
  <c r="ES315" i="1"/>
  <c r="ET315" i="1"/>
  <c r="EU315" i="1"/>
  <c r="EV315" i="1"/>
  <c r="EW315" i="1"/>
  <c r="EX315" i="1"/>
  <c r="EY315" i="1"/>
  <c r="EQ316" i="1"/>
  <c r="ER316" i="1"/>
  <c r="ES316" i="1"/>
  <c r="ET316" i="1"/>
  <c r="EU316" i="1"/>
  <c r="EV316" i="1"/>
  <c r="EW316" i="1"/>
  <c r="EX316" i="1"/>
  <c r="EY316" i="1"/>
  <c r="EQ317" i="1"/>
  <c r="ER317" i="1"/>
  <c r="ES317" i="1"/>
  <c r="ET317" i="1"/>
  <c r="EU317" i="1"/>
  <c r="EV317" i="1"/>
  <c r="EW317" i="1"/>
  <c r="EX317" i="1"/>
  <c r="EY317" i="1"/>
  <c r="EQ318" i="1"/>
  <c r="ER318" i="1"/>
  <c r="ES318" i="1"/>
  <c r="ET318" i="1"/>
  <c r="EU318" i="1"/>
  <c r="EV318" i="1"/>
  <c r="EW318" i="1"/>
  <c r="EX318" i="1"/>
  <c r="EY318" i="1"/>
  <c r="EQ319" i="1"/>
  <c r="ER319" i="1"/>
  <c r="ES319" i="1"/>
  <c r="ET319" i="1"/>
  <c r="EU319" i="1"/>
  <c r="EV319" i="1"/>
  <c r="EW319" i="1"/>
  <c r="EX319" i="1"/>
  <c r="EY319" i="1"/>
  <c r="EQ320" i="1"/>
  <c r="ER320" i="1"/>
  <c r="ES320" i="1"/>
  <c r="ET320" i="1"/>
  <c r="EU320" i="1"/>
  <c r="EV320" i="1"/>
  <c r="EW320" i="1"/>
  <c r="EX320" i="1"/>
  <c r="EY320" i="1"/>
  <c r="EQ321" i="1"/>
  <c r="ER321" i="1"/>
  <c r="ES321" i="1"/>
  <c r="ET321" i="1"/>
  <c r="EU321" i="1"/>
  <c r="EV321" i="1"/>
  <c r="EW321" i="1"/>
  <c r="EX321" i="1"/>
  <c r="EY321" i="1"/>
  <c r="EQ322" i="1"/>
  <c r="ER322" i="1"/>
  <c r="ES322" i="1"/>
  <c r="ET322" i="1"/>
  <c r="EU322" i="1"/>
  <c r="EV322" i="1"/>
  <c r="EW322" i="1"/>
  <c r="EX322" i="1"/>
  <c r="EY322" i="1"/>
  <c r="EQ323" i="1"/>
  <c r="ER323" i="1"/>
  <c r="ES323" i="1"/>
  <c r="ET323" i="1"/>
  <c r="EU323" i="1"/>
  <c r="EV323" i="1"/>
  <c r="EW323" i="1"/>
  <c r="EX323" i="1"/>
  <c r="EY323" i="1"/>
  <c r="EQ324" i="1"/>
  <c r="ER324" i="1"/>
  <c r="ES324" i="1"/>
  <c r="ET324" i="1"/>
  <c r="EU324" i="1"/>
  <c r="EV324" i="1"/>
  <c r="EW324" i="1"/>
  <c r="EX324" i="1"/>
  <c r="EY324" i="1"/>
  <c r="EQ325" i="1"/>
  <c r="ER325" i="1"/>
  <c r="ES325" i="1"/>
  <c r="ET325" i="1"/>
  <c r="EU325" i="1"/>
  <c r="EV325" i="1"/>
  <c r="EW325" i="1"/>
  <c r="EX325" i="1"/>
  <c r="EY325" i="1"/>
  <c r="EQ326" i="1"/>
  <c r="ER326" i="1"/>
  <c r="ES326" i="1"/>
  <c r="ET326" i="1"/>
  <c r="EU326" i="1"/>
  <c r="EV326" i="1"/>
  <c r="EW326" i="1"/>
  <c r="EX326" i="1"/>
  <c r="EY326" i="1"/>
  <c r="EQ327" i="1"/>
  <c r="ER327" i="1"/>
  <c r="ES327" i="1"/>
  <c r="ET327" i="1"/>
  <c r="EU327" i="1"/>
  <c r="EV327" i="1"/>
  <c r="EW327" i="1"/>
  <c r="EX327" i="1"/>
  <c r="EY327" i="1"/>
  <c r="EQ328" i="1"/>
  <c r="ER328" i="1"/>
  <c r="ES328" i="1"/>
  <c r="ET328" i="1"/>
  <c r="EU328" i="1"/>
  <c r="EV328" i="1"/>
  <c r="EW328" i="1"/>
  <c r="EX328" i="1"/>
  <c r="EY328" i="1"/>
  <c r="EQ329" i="1"/>
  <c r="ER329" i="1"/>
  <c r="ES329" i="1"/>
  <c r="ET329" i="1"/>
  <c r="EU329" i="1"/>
  <c r="EV329" i="1"/>
  <c r="EW329" i="1"/>
  <c r="EX329" i="1"/>
  <c r="EY329" i="1"/>
  <c r="EQ330" i="1"/>
  <c r="ER330" i="1"/>
  <c r="ES330" i="1"/>
  <c r="ET330" i="1"/>
  <c r="EU330" i="1"/>
  <c r="EV330" i="1"/>
  <c r="EW330" i="1"/>
  <c r="EX330" i="1"/>
  <c r="EY330" i="1"/>
  <c r="EQ331" i="1"/>
  <c r="ER331" i="1"/>
  <c r="ES331" i="1"/>
  <c r="ET331" i="1"/>
  <c r="EU331" i="1"/>
  <c r="EV331" i="1"/>
  <c r="EW331" i="1"/>
  <c r="EX331" i="1"/>
  <c r="EY331" i="1"/>
  <c r="EQ332" i="1"/>
  <c r="ER332" i="1"/>
  <c r="ES332" i="1"/>
  <c r="ET332" i="1"/>
  <c r="EU332" i="1"/>
  <c r="EV332" i="1"/>
  <c r="EW332" i="1"/>
  <c r="EX332" i="1"/>
  <c r="EY332" i="1"/>
  <c r="EQ333" i="1"/>
  <c r="ER333" i="1"/>
  <c r="ES333" i="1"/>
  <c r="ET333" i="1"/>
  <c r="EU333" i="1"/>
  <c r="EV333" i="1"/>
  <c r="EW333" i="1"/>
  <c r="EX333" i="1"/>
  <c r="EY333" i="1"/>
  <c r="EQ334" i="1"/>
  <c r="ER334" i="1"/>
  <c r="ES334" i="1"/>
  <c r="ET334" i="1"/>
  <c r="EU334" i="1"/>
  <c r="EV334" i="1"/>
  <c r="EW334" i="1"/>
  <c r="EX334" i="1"/>
  <c r="EY334" i="1"/>
  <c r="EQ335" i="1"/>
  <c r="ER335" i="1"/>
  <c r="ES335" i="1"/>
  <c r="ET335" i="1"/>
  <c r="EU335" i="1"/>
  <c r="EV335" i="1"/>
  <c r="EW335" i="1"/>
  <c r="EX335" i="1"/>
  <c r="EY335" i="1"/>
  <c r="EQ336" i="1"/>
  <c r="ER336" i="1"/>
  <c r="ES336" i="1"/>
  <c r="ET336" i="1"/>
  <c r="EU336" i="1"/>
  <c r="EV336" i="1"/>
  <c r="EW336" i="1"/>
  <c r="EX336" i="1"/>
  <c r="EY336" i="1"/>
  <c r="EQ337" i="1"/>
  <c r="ER337" i="1"/>
  <c r="ES337" i="1"/>
  <c r="ET337" i="1"/>
  <c r="EU337" i="1"/>
  <c r="EV337" i="1"/>
  <c r="EW337" i="1"/>
  <c r="EX337" i="1"/>
  <c r="EY337" i="1"/>
  <c r="EQ338" i="1"/>
  <c r="ER338" i="1"/>
  <c r="ES338" i="1"/>
  <c r="ET338" i="1"/>
  <c r="EU338" i="1"/>
  <c r="EV338" i="1"/>
  <c r="EW338" i="1"/>
  <c r="EX338" i="1"/>
  <c r="EY338" i="1"/>
  <c r="EQ339" i="1"/>
  <c r="ER339" i="1"/>
  <c r="ES339" i="1"/>
  <c r="ET339" i="1"/>
  <c r="EU339" i="1"/>
  <c r="EV339" i="1"/>
  <c r="EW339" i="1"/>
  <c r="EX339" i="1"/>
  <c r="EY339" i="1"/>
  <c r="EQ340" i="1"/>
  <c r="ER340" i="1"/>
  <c r="ES340" i="1"/>
  <c r="ET340" i="1"/>
  <c r="EU340" i="1"/>
  <c r="EV340" i="1"/>
  <c r="EW340" i="1"/>
  <c r="EX340" i="1"/>
  <c r="EY340" i="1"/>
  <c r="EQ341" i="1"/>
  <c r="ER341" i="1"/>
  <c r="ES341" i="1"/>
  <c r="ET341" i="1"/>
  <c r="EU341" i="1"/>
  <c r="EV341" i="1"/>
  <c r="EW341" i="1"/>
  <c r="EX341" i="1"/>
  <c r="EY341" i="1"/>
  <c r="EQ342" i="1"/>
  <c r="ER342" i="1"/>
  <c r="ES342" i="1"/>
  <c r="ET342" i="1"/>
  <c r="EU342" i="1"/>
  <c r="EV342" i="1"/>
  <c r="EW342" i="1"/>
  <c r="EX342" i="1"/>
  <c r="EY342" i="1"/>
  <c r="EQ343" i="1"/>
  <c r="ER343" i="1"/>
  <c r="ES343" i="1"/>
  <c r="ET343" i="1"/>
  <c r="EU343" i="1"/>
  <c r="EV343" i="1"/>
  <c r="EW343" i="1"/>
  <c r="EX343" i="1"/>
  <c r="EY343" i="1"/>
  <c r="EQ344" i="1"/>
  <c r="ER344" i="1"/>
  <c r="ES344" i="1"/>
  <c r="ET344" i="1"/>
  <c r="EU344" i="1"/>
  <c r="EV344" i="1"/>
  <c r="EW344" i="1"/>
  <c r="EX344" i="1"/>
  <c r="EY344" i="1"/>
  <c r="EQ345" i="1"/>
  <c r="ER345" i="1"/>
  <c r="ES345" i="1"/>
  <c r="ET345" i="1"/>
  <c r="EU345" i="1"/>
  <c r="EV345" i="1"/>
  <c r="EW345" i="1"/>
  <c r="EX345" i="1"/>
  <c r="EY345" i="1"/>
  <c r="EQ346" i="1"/>
  <c r="ER346" i="1"/>
  <c r="ES346" i="1"/>
  <c r="ET346" i="1"/>
  <c r="EU346" i="1"/>
  <c r="EV346" i="1"/>
  <c r="EW346" i="1"/>
  <c r="EX346" i="1"/>
  <c r="EY346" i="1"/>
  <c r="EQ347" i="1"/>
  <c r="ER347" i="1"/>
  <c r="ES347" i="1"/>
  <c r="ET347" i="1"/>
  <c r="EU347" i="1"/>
  <c r="EV347" i="1"/>
  <c r="EW347" i="1"/>
  <c r="EX347" i="1"/>
  <c r="EY347" i="1"/>
  <c r="EQ348" i="1"/>
  <c r="ER348" i="1"/>
  <c r="ES348" i="1"/>
  <c r="ET348" i="1"/>
  <c r="EU348" i="1"/>
  <c r="EV348" i="1"/>
  <c r="EW348" i="1"/>
  <c r="EX348" i="1"/>
  <c r="EY348" i="1"/>
  <c r="EQ349" i="1"/>
  <c r="ER349" i="1"/>
  <c r="ES349" i="1"/>
  <c r="ET349" i="1"/>
  <c r="EU349" i="1"/>
  <c r="EV349" i="1"/>
  <c r="EW349" i="1"/>
  <c r="EX349" i="1"/>
  <c r="EY349" i="1"/>
  <c r="EQ350" i="1"/>
  <c r="ER350" i="1"/>
  <c r="ES350" i="1"/>
  <c r="ET350" i="1"/>
  <c r="EU350" i="1"/>
  <c r="EV350" i="1"/>
  <c r="EW350" i="1"/>
  <c r="EX350" i="1"/>
  <c r="EY350" i="1"/>
  <c r="EQ351" i="1"/>
  <c r="ER351" i="1"/>
  <c r="ES351" i="1"/>
  <c r="ET351" i="1"/>
  <c r="EU351" i="1"/>
  <c r="EV351" i="1"/>
  <c r="EW351" i="1"/>
  <c r="EX351" i="1"/>
  <c r="EY351" i="1"/>
  <c r="EQ352" i="1"/>
  <c r="ER352" i="1"/>
  <c r="ES352" i="1"/>
  <c r="ET352" i="1"/>
  <c r="EU352" i="1"/>
  <c r="EV352" i="1"/>
  <c r="EW352" i="1"/>
  <c r="EX352" i="1"/>
  <c r="EY352" i="1"/>
  <c r="EQ353" i="1"/>
  <c r="ER353" i="1"/>
  <c r="ES353" i="1"/>
  <c r="ET353" i="1"/>
  <c r="EU353" i="1"/>
  <c r="EV353" i="1"/>
  <c r="EW353" i="1"/>
  <c r="EX353" i="1"/>
  <c r="EY353" i="1"/>
  <c r="EQ354" i="1"/>
  <c r="ER354" i="1"/>
  <c r="ES354" i="1"/>
  <c r="ET354" i="1"/>
  <c r="EU354" i="1"/>
  <c r="EV354" i="1"/>
  <c r="EW354" i="1"/>
  <c r="EX354" i="1"/>
  <c r="EY354" i="1"/>
  <c r="EQ355" i="1"/>
  <c r="ER355" i="1"/>
  <c r="ES355" i="1"/>
  <c r="ET355" i="1"/>
  <c r="EU355" i="1"/>
  <c r="EV355" i="1"/>
  <c r="EW355" i="1"/>
  <c r="EX355" i="1"/>
  <c r="EY355" i="1"/>
  <c r="EQ356" i="1"/>
  <c r="ER356" i="1"/>
  <c r="ES356" i="1"/>
  <c r="ET356" i="1"/>
  <c r="EU356" i="1"/>
  <c r="EV356" i="1"/>
  <c r="EW356" i="1"/>
  <c r="EX356" i="1"/>
  <c r="EY356" i="1"/>
  <c r="EQ357" i="1"/>
  <c r="ER357" i="1"/>
  <c r="ES357" i="1"/>
  <c r="ET357" i="1"/>
  <c r="EU357" i="1"/>
  <c r="EV357" i="1"/>
  <c r="EW357" i="1"/>
  <c r="EX357" i="1"/>
  <c r="EY357" i="1"/>
  <c r="EQ358" i="1"/>
  <c r="ER358" i="1"/>
  <c r="ES358" i="1"/>
  <c r="ET358" i="1"/>
  <c r="EU358" i="1"/>
  <c r="EV358" i="1"/>
  <c r="EW358" i="1"/>
  <c r="EX358" i="1"/>
  <c r="EY358" i="1"/>
  <c r="EQ359" i="1"/>
  <c r="ER359" i="1"/>
  <c r="ES359" i="1"/>
  <c r="ET359" i="1"/>
  <c r="EU359" i="1"/>
  <c r="EV359" i="1"/>
  <c r="EW359" i="1"/>
  <c r="EX359" i="1"/>
  <c r="EY359" i="1"/>
  <c r="EQ360" i="1"/>
  <c r="ER360" i="1"/>
  <c r="ES360" i="1"/>
  <c r="ET360" i="1"/>
  <c r="EU360" i="1"/>
  <c r="EV360" i="1"/>
  <c r="EW360" i="1"/>
  <c r="EX360" i="1"/>
  <c r="EY360" i="1"/>
  <c r="EQ361" i="1"/>
  <c r="ER361" i="1"/>
  <c r="ES361" i="1"/>
  <c r="ET361" i="1"/>
  <c r="EU361" i="1"/>
  <c r="EV361" i="1"/>
  <c r="EW361" i="1"/>
  <c r="EX361" i="1"/>
  <c r="EY361" i="1"/>
  <c r="EQ362" i="1"/>
  <c r="ER362" i="1"/>
  <c r="ES362" i="1"/>
  <c r="ET362" i="1"/>
  <c r="EU362" i="1"/>
  <c r="EV362" i="1"/>
  <c r="EW362" i="1"/>
  <c r="EX362" i="1"/>
  <c r="EY362" i="1"/>
  <c r="EQ363" i="1"/>
  <c r="ER363" i="1"/>
  <c r="ES363" i="1"/>
  <c r="ET363" i="1"/>
  <c r="EU363" i="1"/>
  <c r="EV363" i="1"/>
  <c r="EW363" i="1"/>
  <c r="EX363" i="1"/>
  <c r="EY363" i="1"/>
  <c r="EQ364" i="1"/>
  <c r="ER364" i="1"/>
  <c r="ES364" i="1"/>
  <c r="ET364" i="1"/>
  <c r="EU364" i="1"/>
  <c r="EV364" i="1"/>
  <c r="EW364" i="1"/>
  <c r="EX364" i="1"/>
  <c r="EY364" i="1"/>
  <c r="EQ365" i="1"/>
  <c r="ER365" i="1"/>
  <c r="ES365" i="1"/>
  <c r="ET365" i="1"/>
  <c r="EU365" i="1"/>
  <c r="EV365" i="1"/>
  <c r="EW365" i="1"/>
  <c r="EX365" i="1"/>
  <c r="EY365" i="1"/>
  <c r="EQ366" i="1"/>
  <c r="ER366" i="1"/>
  <c r="ES366" i="1"/>
  <c r="ET366" i="1"/>
  <c r="EU366" i="1"/>
  <c r="EV366" i="1"/>
  <c r="EW366" i="1"/>
  <c r="EX366" i="1"/>
  <c r="EY366" i="1"/>
  <c r="EQ367" i="1"/>
  <c r="ER367" i="1"/>
  <c r="ES367" i="1"/>
  <c r="ET367" i="1"/>
  <c r="EU367" i="1"/>
  <c r="EV367" i="1"/>
  <c r="EW367" i="1"/>
  <c r="EX367" i="1"/>
  <c r="EY367" i="1"/>
  <c r="EQ368" i="1"/>
  <c r="ER368" i="1"/>
  <c r="ES368" i="1"/>
  <c r="ET368" i="1"/>
  <c r="EU368" i="1"/>
  <c r="EV368" i="1"/>
  <c r="EW368" i="1"/>
  <c r="EX368" i="1"/>
  <c r="EY368" i="1"/>
  <c r="EQ369" i="1"/>
  <c r="ER369" i="1"/>
  <c r="ES369" i="1"/>
  <c r="ET369" i="1"/>
  <c r="EU369" i="1"/>
  <c r="EV369" i="1"/>
  <c r="EW369" i="1"/>
  <c r="EX369" i="1"/>
  <c r="EY369" i="1"/>
  <c r="EQ370" i="1"/>
  <c r="ER370" i="1"/>
  <c r="ES370" i="1"/>
  <c r="ET370" i="1"/>
  <c r="EU370" i="1"/>
  <c r="EV370" i="1"/>
  <c r="EW370" i="1"/>
  <c r="EX370" i="1"/>
  <c r="EY370" i="1"/>
  <c r="EQ371" i="1"/>
  <c r="ER371" i="1"/>
  <c r="ES371" i="1"/>
  <c r="ET371" i="1"/>
  <c r="EU371" i="1"/>
  <c r="EV371" i="1"/>
  <c r="EW371" i="1"/>
  <c r="EX371" i="1"/>
  <c r="EY371" i="1"/>
  <c r="EQ372" i="1"/>
  <c r="ER372" i="1"/>
  <c r="ES372" i="1"/>
  <c r="ET372" i="1"/>
  <c r="EU372" i="1"/>
  <c r="EV372" i="1"/>
  <c r="EW372" i="1"/>
  <c r="EX372" i="1"/>
  <c r="EY372" i="1"/>
  <c r="EQ373" i="1"/>
  <c r="ER373" i="1"/>
  <c r="ES373" i="1"/>
  <c r="ET373" i="1"/>
  <c r="EU373" i="1"/>
  <c r="EV373" i="1"/>
  <c r="EW373" i="1"/>
  <c r="EX373" i="1"/>
  <c r="EY373" i="1"/>
  <c r="EQ374" i="1"/>
  <c r="ER374" i="1"/>
  <c r="ES374" i="1"/>
  <c r="ET374" i="1"/>
  <c r="EU374" i="1"/>
  <c r="EV374" i="1"/>
  <c r="EW374" i="1"/>
  <c r="EX374" i="1"/>
  <c r="EY374" i="1"/>
  <c r="EQ375" i="1"/>
  <c r="ER375" i="1"/>
  <c r="ES375" i="1"/>
  <c r="ET375" i="1"/>
  <c r="EU375" i="1"/>
  <c r="EV375" i="1"/>
  <c r="EW375" i="1"/>
  <c r="EX375" i="1"/>
  <c r="EY375" i="1"/>
  <c r="EQ376" i="1"/>
  <c r="ER376" i="1"/>
  <c r="ES376" i="1"/>
  <c r="ET376" i="1"/>
  <c r="EU376" i="1"/>
  <c r="EV376" i="1"/>
  <c r="EW376" i="1"/>
  <c r="EX376" i="1"/>
  <c r="EY376" i="1"/>
  <c r="EQ377" i="1"/>
  <c r="ER377" i="1"/>
  <c r="ES377" i="1"/>
  <c r="ET377" i="1"/>
  <c r="EU377" i="1"/>
  <c r="EV377" i="1"/>
  <c r="EW377" i="1"/>
  <c r="EX377" i="1"/>
  <c r="EY377" i="1"/>
  <c r="EQ378" i="1"/>
  <c r="ER378" i="1"/>
  <c r="ES378" i="1"/>
  <c r="ET378" i="1"/>
  <c r="EU378" i="1"/>
  <c r="EV378" i="1"/>
  <c r="EW378" i="1"/>
  <c r="EX378" i="1"/>
  <c r="EY378" i="1"/>
  <c r="EQ379" i="1"/>
  <c r="ER379" i="1"/>
  <c r="ES379" i="1"/>
  <c r="ET379" i="1"/>
  <c r="EU379" i="1"/>
  <c r="EV379" i="1"/>
  <c r="EW379" i="1"/>
  <c r="EX379" i="1"/>
  <c r="EY379" i="1"/>
  <c r="EQ380" i="1"/>
  <c r="ER380" i="1"/>
  <c r="ES380" i="1"/>
  <c r="ET380" i="1"/>
  <c r="EU380" i="1"/>
  <c r="EV380" i="1"/>
  <c r="EW380" i="1"/>
  <c r="EX380" i="1"/>
  <c r="EY380" i="1"/>
  <c r="EQ381" i="1"/>
  <c r="ER381" i="1"/>
  <c r="ES381" i="1"/>
  <c r="ET381" i="1"/>
  <c r="EU381" i="1"/>
  <c r="EV381" i="1"/>
  <c r="EW381" i="1"/>
  <c r="EX381" i="1"/>
  <c r="EY381" i="1"/>
  <c r="EQ382" i="1"/>
  <c r="ER382" i="1"/>
  <c r="ES382" i="1"/>
  <c r="ET382" i="1"/>
  <c r="EU382" i="1"/>
  <c r="EV382" i="1"/>
  <c r="EW382" i="1"/>
  <c r="EX382" i="1"/>
  <c r="EY382" i="1"/>
  <c r="EQ383" i="1"/>
  <c r="ER383" i="1"/>
  <c r="ES383" i="1"/>
  <c r="ET383" i="1"/>
  <c r="EU383" i="1"/>
  <c r="EV383" i="1"/>
  <c r="EW383" i="1"/>
  <c r="EX383" i="1"/>
  <c r="EY383" i="1"/>
  <c r="EQ384" i="1"/>
  <c r="ER384" i="1"/>
  <c r="ES384" i="1"/>
  <c r="ET384" i="1"/>
  <c r="EU384" i="1"/>
  <c r="EV384" i="1"/>
  <c r="EW384" i="1"/>
  <c r="EX384" i="1"/>
  <c r="EY384" i="1"/>
  <c r="EQ385" i="1"/>
  <c r="ER385" i="1"/>
  <c r="ES385" i="1"/>
  <c r="ET385" i="1"/>
  <c r="EU385" i="1"/>
  <c r="EV385" i="1"/>
  <c r="EW385" i="1"/>
  <c r="EX385" i="1"/>
  <c r="EY385" i="1"/>
  <c r="EQ386" i="1"/>
  <c r="ER386" i="1"/>
  <c r="ES386" i="1"/>
  <c r="ET386" i="1"/>
  <c r="EU386" i="1"/>
  <c r="EV386" i="1"/>
  <c r="EW386" i="1"/>
  <c r="EX386" i="1"/>
  <c r="EY386" i="1"/>
  <c r="EQ387" i="1"/>
  <c r="ER387" i="1"/>
  <c r="ES387" i="1"/>
  <c r="ET387" i="1"/>
  <c r="EU387" i="1"/>
  <c r="EV387" i="1"/>
  <c r="EW387" i="1"/>
  <c r="EX387" i="1"/>
  <c r="EY387" i="1"/>
  <c r="EQ388" i="1"/>
  <c r="ER388" i="1"/>
  <c r="ES388" i="1"/>
  <c r="ET388" i="1"/>
  <c r="EU388" i="1"/>
  <c r="EV388" i="1"/>
  <c r="EW388" i="1"/>
  <c r="EX388" i="1"/>
  <c r="EY388" i="1"/>
  <c r="EQ389" i="1"/>
  <c r="ER389" i="1"/>
  <c r="ES389" i="1"/>
  <c r="ET389" i="1"/>
  <c r="EU389" i="1"/>
  <c r="EV389" i="1"/>
  <c r="EW389" i="1"/>
  <c r="EX389" i="1"/>
  <c r="EY389" i="1"/>
  <c r="EQ390" i="1"/>
  <c r="ER390" i="1"/>
  <c r="ES390" i="1"/>
  <c r="ET390" i="1"/>
  <c r="EU390" i="1"/>
  <c r="EV390" i="1"/>
  <c r="EW390" i="1"/>
  <c r="EX390" i="1"/>
  <c r="EY390" i="1"/>
  <c r="EQ391" i="1"/>
  <c r="ER391" i="1"/>
  <c r="ES391" i="1"/>
  <c r="ET391" i="1"/>
  <c r="EU391" i="1"/>
  <c r="EV391" i="1"/>
  <c r="EW391" i="1"/>
  <c r="EX391" i="1"/>
  <c r="EY391" i="1"/>
  <c r="EQ392" i="1"/>
  <c r="ER392" i="1"/>
  <c r="ES392" i="1"/>
  <c r="ET392" i="1"/>
  <c r="EU392" i="1"/>
  <c r="EV392" i="1"/>
  <c r="EW392" i="1"/>
  <c r="EX392" i="1"/>
  <c r="EY392" i="1"/>
  <c r="EQ393" i="1"/>
  <c r="ER393" i="1"/>
  <c r="ES393" i="1"/>
  <c r="ET393" i="1"/>
  <c r="EU393" i="1"/>
  <c r="EV393" i="1"/>
  <c r="EW393" i="1"/>
  <c r="EX393" i="1"/>
  <c r="EY393" i="1"/>
  <c r="EQ394" i="1"/>
  <c r="ER394" i="1"/>
  <c r="ES394" i="1"/>
  <c r="ET394" i="1"/>
  <c r="EU394" i="1"/>
  <c r="EV394" i="1"/>
  <c r="EW394" i="1"/>
  <c r="EX394" i="1"/>
  <c r="EY394" i="1"/>
  <c r="EQ395" i="1"/>
  <c r="ER395" i="1"/>
  <c r="ES395" i="1"/>
  <c r="ET395" i="1"/>
  <c r="EU395" i="1"/>
  <c r="EV395" i="1"/>
  <c r="EW395" i="1"/>
  <c r="EX395" i="1"/>
  <c r="EY395" i="1"/>
  <c r="EQ396" i="1"/>
  <c r="ER396" i="1"/>
  <c r="ES396" i="1"/>
  <c r="ET396" i="1"/>
  <c r="EU396" i="1"/>
  <c r="EV396" i="1"/>
  <c r="EW396" i="1"/>
  <c r="EX396" i="1"/>
  <c r="EY396" i="1"/>
  <c r="EQ397" i="1"/>
  <c r="ER397" i="1"/>
  <c r="ES397" i="1"/>
  <c r="ET397" i="1"/>
  <c r="EU397" i="1"/>
  <c r="EV397" i="1"/>
  <c r="EW397" i="1"/>
  <c r="EX397" i="1"/>
  <c r="EY397" i="1"/>
  <c r="EQ398" i="1"/>
  <c r="ER398" i="1"/>
  <c r="ES398" i="1"/>
  <c r="ET398" i="1"/>
  <c r="EU398" i="1"/>
  <c r="EV398" i="1"/>
  <c r="EW398" i="1"/>
  <c r="EX398" i="1"/>
  <c r="EY398" i="1"/>
  <c r="EQ399" i="1"/>
  <c r="ER399" i="1"/>
  <c r="ES399" i="1"/>
  <c r="ET399" i="1"/>
  <c r="EU399" i="1"/>
  <c r="EV399" i="1"/>
  <c r="EW399" i="1"/>
  <c r="EX399" i="1"/>
  <c r="EY399" i="1"/>
  <c r="EQ400" i="1"/>
  <c r="ER400" i="1"/>
  <c r="ES400" i="1"/>
  <c r="ET400" i="1"/>
  <c r="EU400" i="1"/>
  <c r="EV400" i="1"/>
  <c r="EW400" i="1"/>
  <c r="EX400" i="1"/>
  <c r="EY400" i="1"/>
  <c r="EQ401" i="1"/>
  <c r="ER401" i="1"/>
  <c r="ES401" i="1"/>
  <c r="ET401" i="1"/>
  <c r="EU401" i="1"/>
  <c r="EV401" i="1"/>
  <c r="EW401" i="1"/>
  <c r="EX401" i="1"/>
  <c r="EY401" i="1"/>
  <c r="EQ402" i="1"/>
  <c r="ER402" i="1"/>
  <c r="ES402" i="1"/>
  <c r="ET402" i="1"/>
  <c r="EU402" i="1"/>
  <c r="EV402" i="1"/>
  <c r="EW402" i="1"/>
  <c r="EX402" i="1"/>
  <c r="EY402" i="1"/>
  <c r="EQ403" i="1"/>
  <c r="ER403" i="1"/>
  <c r="ES403" i="1"/>
  <c r="ET403" i="1"/>
  <c r="EU403" i="1"/>
  <c r="EV403" i="1"/>
  <c r="EW403" i="1"/>
  <c r="EX403" i="1"/>
  <c r="EY403" i="1"/>
  <c r="EQ404" i="1"/>
  <c r="ER404" i="1"/>
  <c r="ES404" i="1"/>
  <c r="ET404" i="1"/>
  <c r="EU404" i="1"/>
  <c r="EV404" i="1"/>
  <c r="EW404" i="1"/>
  <c r="EX404" i="1"/>
  <c r="EY404" i="1"/>
  <c r="EQ405" i="1"/>
  <c r="ER405" i="1"/>
  <c r="ES405" i="1"/>
  <c r="ET405" i="1"/>
  <c r="EU405" i="1"/>
  <c r="EV405" i="1"/>
  <c r="EW405" i="1"/>
  <c r="EX405" i="1"/>
  <c r="EY405" i="1"/>
  <c r="EQ406" i="1"/>
  <c r="ER406" i="1"/>
  <c r="ES406" i="1"/>
  <c r="ET406" i="1"/>
  <c r="EU406" i="1"/>
  <c r="EV406" i="1"/>
  <c r="EW406" i="1"/>
  <c r="EX406" i="1"/>
  <c r="EY406" i="1"/>
  <c r="EQ407" i="1"/>
  <c r="ER407" i="1"/>
  <c r="ES407" i="1"/>
  <c r="ET407" i="1"/>
  <c r="EU407" i="1"/>
  <c r="EV407" i="1"/>
  <c r="EW407" i="1"/>
  <c r="EX407" i="1"/>
  <c r="EY407" i="1"/>
  <c r="EQ408" i="1"/>
  <c r="ER408" i="1"/>
  <c r="ES408" i="1"/>
  <c r="ET408" i="1"/>
  <c r="EU408" i="1"/>
  <c r="EV408" i="1"/>
  <c r="EW408" i="1"/>
  <c r="EX408" i="1"/>
  <c r="EY408" i="1"/>
  <c r="EQ409" i="1"/>
  <c r="ER409" i="1"/>
  <c r="ES409" i="1"/>
  <c r="ET409" i="1"/>
  <c r="EU409" i="1"/>
  <c r="EV409" i="1"/>
  <c r="EW409" i="1"/>
  <c r="EX409" i="1"/>
  <c r="EY409" i="1"/>
  <c r="EQ410" i="1"/>
  <c r="ER410" i="1"/>
  <c r="ES410" i="1"/>
  <c r="ET410" i="1"/>
  <c r="EU410" i="1"/>
  <c r="EV410" i="1"/>
  <c r="EW410" i="1"/>
  <c r="EX410" i="1"/>
  <c r="EY410" i="1"/>
  <c r="EQ411" i="1"/>
  <c r="ER411" i="1"/>
  <c r="ES411" i="1"/>
  <c r="ET411" i="1"/>
  <c r="EU411" i="1"/>
  <c r="EV411" i="1"/>
  <c r="EW411" i="1"/>
  <c r="EX411" i="1"/>
  <c r="EY411" i="1"/>
  <c r="EQ412" i="1"/>
  <c r="ER412" i="1"/>
  <c r="ES412" i="1"/>
  <c r="ET412" i="1"/>
  <c r="EU412" i="1"/>
  <c r="EV412" i="1"/>
  <c r="EW412" i="1"/>
  <c r="EX412" i="1"/>
  <c r="EY412" i="1"/>
  <c r="EQ413" i="1"/>
  <c r="ER413" i="1"/>
  <c r="ES413" i="1"/>
  <c r="ET413" i="1"/>
  <c r="EU413" i="1"/>
  <c r="EV413" i="1"/>
  <c r="EW413" i="1"/>
  <c r="EX413" i="1"/>
  <c r="EY413" i="1"/>
  <c r="EQ414" i="1"/>
  <c r="ER414" i="1"/>
  <c r="ES414" i="1"/>
  <c r="ET414" i="1"/>
  <c r="EU414" i="1"/>
  <c r="EV414" i="1"/>
  <c r="EW414" i="1"/>
  <c r="EX414" i="1"/>
  <c r="EY414" i="1"/>
  <c r="EQ415" i="1"/>
  <c r="ER415" i="1"/>
  <c r="ES415" i="1"/>
  <c r="ET415" i="1"/>
  <c r="EU415" i="1"/>
  <c r="EV415" i="1"/>
  <c r="EW415" i="1"/>
  <c r="EX415" i="1"/>
  <c r="EY415" i="1"/>
  <c r="EQ416" i="1"/>
  <c r="ER416" i="1"/>
  <c r="ES416" i="1"/>
  <c r="ET416" i="1"/>
  <c r="EU416" i="1"/>
  <c r="EV416" i="1"/>
  <c r="EW416" i="1"/>
  <c r="EX416" i="1"/>
  <c r="EY416" i="1"/>
  <c r="EQ417" i="1"/>
  <c r="ER417" i="1"/>
  <c r="ES417" i="1"/>
  <c r="ET417" i="1"/>
  <c r="EU417" i="1"/>
  <c r="EV417" i="1"/>
  <c r="EW417" i="1"/>
  <c r="EX417" i="1"/>
  <c r="EY417" i="1"/>
  <c r="EQ418" i="1"/>
  <c r="ER418" i="1"/>
  <c r="ES418" i="1"/>
  <c r="ET418" i="1"/>
  <c r="EU418" i="1"/>
  <c r="EV418" i="1"/>
  <c r="EW418" i="1"/>
  <c r="EX418" i="1"/>
  <c r="EY418" i="1"/>
  <c r="EQ419" i="1"/>
  <c r="ER419" i="1"/>
  <c r="ES419" i="1"/>
  <c r="ET419" i="1"/>
  <c r="EU419" i="1"/>
  <c r="EV419" i="1"/>
  <c r="EW419" i="1"/>
  <c r="EX419" i="1"/>
  <c r="EY419" i="1"/>
  <c r="EQ420" i="1"/>
  <c r="ER420" i="1"/>
  <c r="ES420" i="1"/>
  <c r="ET420" i="1"/>
  <c r="EU420" i="1"/>
  <c r="EV420" i="1"/>
  <c r="EW420" i="1"/>
  <c r="EX420" i="1"/>
  <c r="EY420" i="1"/>
  <c r="EQ421" i="1"/>
  <c r="ER421" i="1"/>
  <c r="ES421" i="1"/>
  <c r="ET421" i="1"/>
  <c r="EU421" i="1"/>
  <c r="EV421" i="1"/>
  <c r="EW421" i="1"/>
  <c r="EX421" i="1"/>
  <c r="EY421" i="1"/>
  <c r="EQ422" i="1"/>
  <c r="ER422" i="1"/>
  <c r="ES422" i="1"/>
  <c r="ET422" i="1"/>
  <c r="EU422" i="1"/>
  <c r="EV422" i="1"/>
  <c r="EW422" i="1"/>
  <c r="EX422" i="1"/>
  <c r="EY422" i="1"/>
  <c r="EQ423" i="1"/>
  <c r="ER423" i="1"/>
  <c r="ES423" i="1"/>
  <c r="ET423" i="1"/>
  <c r="EU423" i="1"/>
  <c r="EV423" i="1"/>
  <c r="EW423" i="1"/>
  <c r="EX423" i="1"/>
  <c r="EY423" i="1"/>
  <c r="EQ424" i="1"/>
  <c r="ER424" i="1"/>
  <c r="ES424" i="1"/>
  <c r="ET424" i="1"/>
  <c r="EU424" i="1"/>
  <c r="EV424" i="1"/>
  <c r="EW424" i="1"/>
  <c r="EX424" i="1"/>
  <c r="EY424" i="1"/>
  <c r="EQ425" i="1"/>
  <c r="ER425" i="1"/>
  <c r="ES425" i="1"/>
  <c r="ET425" i="1"/>
  <c r="EU425" i="1"/>
  <c r="EV425" i="1"/>
  <c r="EW425" i="1"/>
  <c r="EX425" i="1"/>
  <c r="EY425" i="1"/>
  <c r="EQ426" i="1"/>
  <c r="ER426" i="1"/>
  <c r="ES426" i="1"/>
  <c r="ET426" i="1"/>
  <c r="EU426" i="1"/>
  <c r="EV426" i="1"/>
  <c r="EW426" i="1"/>
  <c r="EX426" i="1"/>
  <c r="EY426" i="1"/>
  <c r="EQ427" i="1"/>
  <c r="ER427" i="1"/>
  <c r="ES427" i="1"/>
  <c r="ET427" i="1"/>
  <c r="EU427" i="1"/>
  <c r="EV427" i="1"/>
  <c r="EW427" i="1"/>
  <c r="EX427" i="1"/>
  <c r="EY427" i="1"/>
  <c r="EQ428" i="1"/>
  <c r="ER428" i="1"/>
  <c r="ES428" i="1"/>
  <c r="ET428" i="1"/>
  <c r="EU428" i="1"/>
  <c r="EV428" i="1"/>
  <c r="EW428" i="1"/>
  <c r="EX428" i="1"/>
  <c r="EY428" i="1"/>
  <c r="EQ429" i="1"/>
  <c r="ER429" i="1"/>
  <c r="ES429" i="1"/>
  <c r="ET429" i="1"/>
  <c r="EU429" i="1"/>
  <c r="EV429" i="1"/>
  <c r="EW429" i="1"/>
  <c r="EX429" i="1"/>
  <c r="EY429" i="1"/>
  <c r="EQ430" i="1"/>
  <c r="ER430" i="1"/>
  <c r="ES430" i="1"/>
  <c r="ET430" i="1"/>
  <c r="EU430" i="1"/>
  <c r="EV430" i="1"/>
  <c r="EW430" i="1"/>
  <c r="EX430" i="1"/>
  <c r="EY430" i="1"/>
  <c r="EQ431" i="1"/>
  <c r="ER431" i="1"/>
  <c r="ES431" i="1"/>
  <c r="ET431" i="1"/>
  <c r="EU431" i="1"/>
  <c r="EV431" i="1"/>
  <c r="EW431" i="1"/>
  <c r="EX431" i="1"/>
  <c r="EY431" i="1"/>
  <c r="EQ432" i="1"/>
  <c r="ER432" i="1"/>
  <c r="ES432" i="1"/>
  <c r="ET432" i="1"/>
  <c r="EU432" i="1"/>
  <c r="EV432" i="1"/>
  <c r="EW432" i="1"/>
  <c r="EX432" i="1"/>
  <c r="EY432" i="1"/>
  <c r="EQ433" i="1"/>
  <c r="ER433" i="1"/>
  <c r="ES433" i="1"/>
  <c r="ET433" i="1"/>
  <c r="EU433" i="1"/>
  <c r="EV433" i="1"/>
  <c r="EW433" i="1"/>
  <c r="EX433" i="1"/>
  <c r="EY433" i="1"/>
  <c r="EQ434" i="1"/>
  <c r="ER434" i="1"/>
  <c r="ES434" i="1"/>
  <c r="ET434" i="1"/>
  <c r="EU434" i="1"/>
  <c r="EV434" i="1"/>
  <c r="EW434" i="1"/>
  <c r="EX434" i="1"/>
  <c r="EY434" i="1"/>
  <c r="EQ435" i="1"/>
  <c r="ER435" i="1"/>
  <c r="ES435" i="1"/>
  <c r="ET435" i="1"/>
  <c r="EU435" i="1"/>
  <c r="EV435" i="1"/>
  <c r="EW435" i="1"/>
  <c r="EX435" i="1"/>
  <c r="EY435" i="1"/>
  <c r="EQ436" i="1"/>
  <c r="ER436" i="1"/>
  <c r="ES436" i="1"/>
  <c r="ET436" i="1"/>
  <c r="EU436" i="1"/>
  <c r="EV436" i="1"/>
  <c r="EW436" i="1"/>
  <c r="EX436" i="1"/>
  <c r="EY436" i="1"/>
  <c r="EQ437" i="1"/>
  <c r="ER437" i="1"/>
  <c r="ES437" i="1"/>
  <c r="ET437" i="1"/>
  <c r="EU437" i="1"/>
  <c r="EV437" i="1"/>
  <c r="EW437" i="1"/>
  <c r="EX437" i="1"/>
  <c r="EY437" i="1"/>
  <c r="EQ438" i="1"/>
  <c r="ER438" i="1"/>
  <c r="ES438" i="1"/>
  <c r="ET438" i="1"/>
  <c r="EU438" i="1"/>
  <c r="EV438" i="1"/>
  <c r="EW438" i="1"/>
  <c r="EX438" i="1"/>
  <c r="EY438" i="1"/>
  <c r="EQ439" i="1"/>
  <c r="ER439" i="1"/>
  <c r="ES439" i="1"/>
  <c r="ET439" i="1"/>
  <c r="EU439" i="1"/>
  <c r="EV439" i="1"/>
  <c r="EW439" i="1"/>
  <c r="EX439" i="1"/>
  <c r="EY439" i="1"/>
  <c r="EQ440" i="1"/>
  <c r="ER440" i="1"/>
  <c r="ES440" i="1"/>
  <c r="ET440" i="1"/>
  <c r="EU440" i="1"/>
  <c r="EV440" i="1"/>
  <c r="EW440" i="1"/>
  <c r="EX440" i="1"/>
  <c r="EY440" i="1"/>
  <c r="EQ441" i="1"/>
  <c r="ER441" i="1"/>
  <c r="ES441" i="1"/>
  <c r="ET441" i="1"/>
  <c r="EU441" i="1"/>
  <c r="EV441" i="1"/>
  <c r="EW441" i="1"/>
  <c r="EX441" i="1"/>
  <c r="EY441" i="1"/>
  <c r="EQ442" i="1"/>
  <c r="ER442" i="1"/>
  <c r="ES442" i="1"/>
  <c r="ET442" i="1"/>
  <c r="EU442" i="1"/>
  <c r="EV442" i="1"/>
  <c r="EW442" i="1"/>
  <c r="EX442" i="1"/>
  <c r="EY442" i="1"/>
  <c r="EQ443" i="1"/>
  <c r="ER443" i="1"/>
  <c r="ES443" i="1"/>
  <c r="ET443" i="1"/>
  <c r="EU443" i="1"/>
  <c r="EV443" i="1"/>
  <c r="EW443" i="1"/>
  <c r="EX443" i="1"/>
  <c r="EY443" i="1"/>
  <c r="EQ444" i="1"/>
  <c r="ER444" i="1"/>
  <c r="ES444" i="1"/>
  <c r="ET444" i="1"/>
  <c r="EU444" i="1"/>
  <c r="EV444" i="1"/>
  <c r="EW444" i="1"/>
  <c r="EX444" i="1"/>
  <c r="EY444" i="1"/>
  <c r="EQ445" i="1"/>
  <c r="ER445" i="1"/>
  <c r="ES445" i="1"/>
  <c r="ET445" i="1"/>
  <c r="EU445" i="1"/>
  <c r="EV445" i="1"/>
  <c r="EW445" i="1"/>
  <c r="EX445" i="1"/>
  <c r="EY445" i="1"/>
  <c r="EQ446" i="1"/>
  <c r="ER446" i="1"/>
  <c r="ES446" i="1"/>
  <c r="ET446" i="1"/>
  <c r="EU446" i="1"/>
  <c r="EV446" i="1"/>
  <c r="EW446" i="1"/>
  <c r="EX446" i="1"/>
  <c r="EY446" i="1"/>
  <c r="EQ447" i="1"/>
  <c r="ER447" i="1"/>
  <c r="ES447" i="1"/>
  <c r="ET447" i="1"/>
  <c r="EU447" i="1"/>
  <c r="EV447" i="1"/>
  <c r="EW447" i="1"/>
  <c r="EX447" i="1"/>
  <c r="EY447" i="1"/>
  <c r="EQ448" i="1"/>
  <c r="ER448" i="1"/>
  <c r="ES448" i="1"/>
  <c r="ET448" i="1"/>
  <c r="EU448" i="1"/>
  <c r="EV448" i="1"/>
  <c r="EW448" i="1"/>
  <c r="EX448" i="1"/>
  <c r="EY448" i="1"/>
  <c r="EQ449" i="1"/>
  <c r="ER449" i="1"/>
  <c r="ES449" i="1"/>
  <c r="ET449" i="1"/>
  <c r="EU449" i="1"/>
  <c r="EV449" i="1"/>
  <c r="EW449" i="1"/>
  <c r="EX449" i="1"/>
  <c r="EY449" i="1"/>
  <c r="EQ450" i="1"/>
  <c r="ER450" i="1"/>
  <c r="ES450" i="1"/>
  <c r="ET450" i="1"/>
  <c r="EU450" i="1"/>
  <c r="EV450" i="1"/>
  <c r="EW450" i="1"/>
  <c r="EX450" i="1"/>
  <c r="EY450" i="1"/>
  <c r="EQ451" i="1"/>
  <c r="ER451" i="1"/>
  <c r="ES451" i="1"/>
  <c r="ET451" i="1"/>
  <c r="EU451" i="1"/>
  <c r="EV451" i="1"/>
  <c r="EW451" i="1"/>
  <c r="EX451" i="1"/>
  <c r="EY451" i="1"/>
  <c r="EQ452" i="1"/>
  <c r="ER452" i="1"/>
  <c r="ES452" i="1"/>
  <c r="ET452" i="1"/>
  <c r="EU452" i="1"/>
  <c r="EV452" i="1"/>
  <c r="EW452" i="1"/>
  <c r="EX452" i="1"/>
  <c r="EY452" i="1"/>
  <c r="EQ453" i="1"/>
  <c r="ER453" i="1"/>
  <c r="ES453" i="1"/>
  <c r="ET453" i="1"/>
  <c r="EU453" i="1"/>
  <c r="EV453" i="1"/>
  <c r="EW453" i="1"/>
  <c r="EX453" i="1"/>
  <c r="EY453" i="1"/>
  <c r="EQ454" i="1"/>
  <c r="ER454" i="1"/>
  <c r="ES454" i="1"/>
  <c r="ET454" i="1"/>
  <c r="EU454" i="1"/>
  <c r="EV454" i="1"/>
  <c r="EW454" i="1"/>
  <c r="EX454" i="1"/>
  <c r="EY454" i="1"/>
  <c r="EQ455" i="1"/>
  <c r="ER455" i="1"/>
  <c r="ES455" i="1"/>
  <c r="ET455" i="1"/>
  <c r="EU455" i="1"/>
  <c r="EV455" i="1"/>
  <c r="EW455" i="1"/>
  <c r="EX455" i="1"/>
  <c r="EY455" i="1"/>
  <c r="EQ456" i="1"/>
  <c r="ER456" i="1"/>
  <c r="ES456" i="1"/>
  <c r="ET456" i="1"/>
  <c r="EU456" i="1"/>
  <c r="EV456" i="1"/>
  <c r="EW456" i="1"/>
  <c r="EX456" i="1"/>
  <c r="EY456" i="1"/>
  <c r="EQ457" i="1"/>
  <c r="ER457" i="1"/>
  <c r="ES457" i="1"/>
  <c r="ET457" i="1"/>
  <c r="EU457" i="1"/>
  <c r="EV457" i="1"/>
  <c r="EW457" i="1"/>
  <c r="EX457" i="1"/>
  <c r="EY457" i="1"/>
  <c r="EQ458" i="1"/>
  <c r="ER458" i="1"/>
  <c r="ES458" i="1"/>
  <c r="ET458" i="1"/>
  <c r="EU458" i="1"/>
  <c r="EV458" i="1"/>
  <c r="EW458" i="1"/>
  <c r="EX458" i="1"/>
  <c r="EY458" i="1"/>
  <c r="EQ459" i="1"/>
  <c r="ER459" i="1"/>
  <c r="ES459" i="1"/>
  <c r="ET459" i="1"/>
  <c r="EU459" i="1"/>
  <c r="EV459" i="1"/>
  <c r="EW459" i="1"/>
  <c r="EX459" i="1"/>
  <c r="EY459" i="1"/>
  <c r="EQ460" i="1"/>
  <c r="ER460" i="1"/>
  <c r="ES460" i="1"/>
  <c r="ET460" i="1"/>
  <c r="EU460" i="1"/>
  <c r="EV460" i="1"/>
  <c r="EW460" i="1"/>
  <c r="EX460" i="1"/>
  <c r="EY460" i="1"/>
  <c r="EQ461" i="1"/>
  <c r="ER461" i="1"/>
  <c r="ES461" i="1"/>
  <c r="ET461" i="1"/>
  <c r="EU461" i="1"/>
  <c r="EV461" i="1"/>
  <c r="EW461" i="1"/>
  <c r="EX461" i="1"/>
  <c r="EY461" i="1"/>
  <c r="EQ462" i="1"/>
  <c r="ER462" i="1"/>
  <c r="ES462" i="1"/>
  <c r="ET462" i="1"/>
  <c r="EU462" i="1"/>
  <c r="EV462" i="1"/>
  <c r="EW462" i="1"/>
  <c r="EX462" i="1"/>
  <c r="EY462" i="1"/>
  <c r="EQ463" i="1"/>
  <c r="ER463" i="1"/>
  <c r="ES463" i="1"/>
  <c r="ET463" i="1"/>
  <c r="EU463" i="1"/>
  <c r="EV463" i="1"/>
  <c r="EW463" i="1"/>
  <c r="EX463" i="1"/>
  <c r="EY463" i="1"/>
  <c r="EQ464" i="1"/>
  <c r="ER464" i="1"/>
  <c r="ES464" i="1"/>
  <c r="ET464" i="1"/>
  <c r="EU464" i="1"/>
  <c r="EV464" i="1"/>
  <c r="EW464" i="1"/>
  <c r="EX464" i="1"/>
  <c r="EY464" i="1"/>
  <c r="EQ465" i="1"/>
  <c r="ER465" i="1"/>
  <c r="ES465" i="1"/>
  <c r="ET465" i="1"/>
  <c r="EU465" i="1"/>
  <c r="EV465" i="1"/>
  <c r="EW465" i="1"/>
  <c r="EX465" i="1"/>
  <c r="EY465" i="1"/>
  <c r="EQ466" i="1"/>
  <c r="ER466" i="1"/>
  <c r="ES466" i="1"/>
  <c r="ET466" i="1"/>
  <c r="EU466" i="1"/>
  <c r="EV466" i="1"/>
  <c r="EW466" i="1"/>
  <c r="EX466" i="1"/>
  <c r="EY466" i="1"/>
  <c r="EQ467" i="1"/>
  <c r="ER467" i="1"/>
  <c r="ES467" i="1"/>
  <c r="ET467" i="1"/>
  <c r="EU467" i="1"/>
  <c r="EV467" i="1"/>
  <c r="EW467" i="1"/>
  <c r="EX467" i="1"/>
  <c r="EY467" i="1"/>
  <c r="EQ468" i="1"/>
  <c r="ER468" i="1"/>
  <c r="ES468" i="1"/>
  <c r="ET468" i="1"/>
  <c r="EU468" i="1"/>
  <c r="EV468" i="1"/>
  <c r="EW468" i="1"/>
  <c r="EX468" i="1"/>
  <c r="EY468" i="1"/>
  <c r="EQ469" i="1"/>
  <c r="ER469" i="1"/>
  <c r="ES469" i="1"/>
  <c r="ET469" i="1"/>
  <c r="EU469" i="1"/>
  <c r="EV469" i="1"/>
  <c r="EW469" i="1"/>
  <c r="EX469" i="1"/>
  <c r="EY469" i="1"/>
  <c r="EQ470" i="1"/>
  <c r="ER470" i="1"/>
  <c r="ES470" i="1"/>
  <c r="ET470" i="1"/>
  <c r="EU470" i="1"/>
  <c r="EV470" i="1"/>
  <c r="EW470" i="1"/>
  <c r="EX470" i="1"/>
  <c r="EY470" i="1"/>
  <c r="EQ471" i="1"/>
  <c r="ER471" i="1"/>
  <c r="ES471" i="1"/>
  <c r="ET471" i="1"/>
  <c r="EU471" i="1"/>
  <c r="EV471" i="1"/>
  <c r="EW471" i="1"/>
  <c r="EX471" i="1"/>
  <c r="EY471" i="1"/>
  <c r="EQ472" i="1"/>
  <c r="ER472" i="1"/>
  <c r="ES472" i="1"/>
  <c r="ET472" i="1"/>
  <c r="EU472" i="1"/>
  <c r="EV472" i="1"/>
  <c r="EW472" i="1"/>
  <c r="EX472" i="1"/>
  <c r="EY472" i="1"/>
  <c r="EQ473" i="1"/>
  <c r="ER473" i="1"/>
  <c r="ES473" i="1"/>
  <c r="ET473" i="1"/>
  <c r="EU473" i="1"/>
  <c r="EV473" i="1"/>
  <c r="EW473" i="1"/>
  <c r="EX473" i="1"/>
  <c r="EY473" i="1"/>
  <c r="EQ474" i="1"/>
  <c r="ER474" i="1"/>
  <c r="ES474" i="1"/>
  <c r="ET474" i="1"/>
  <c r="EU474" i="1"/>
  <c r="EV474" i="1"/>
  <c r="EW474" i="1"/>
  <c r="EX474" i="1"/>
  <c r="EY474" i="1"/>
  <c r="EQ475" i="1"/>
  <c r="ER475" i="1"/>
  <c r="ES475" i="1"/>
  <c r="ET475" i="1"/>
  <c r="EU475" i="1"/>
  <c r="EV475" i="1"/>
  <c r="EW475" i="1"/>
  <c r="EX475" i="1"/>
  <c r="EY475" i="1"/>
  <c r="EQ476" i="1"/>
  <c r="ER476" i="1"/>
  <c r="ES476" i="1"/>
  <c r="ET476" i="1"/>
  <c r="EU476" i="1"/>
  <c r="EV476" i="1"/>
  <c r="EW476" i="1"/>
  <c r="EX476" i="1"/>
  <c r="EY476" i="1"/>
  <c r="EQ477" i="1"/>
  <c r="ER477" i="1"/>
  <c r="ES477" i="1"/>
  <c r="ET477" i="1"/>
  <c r="EU477" i="1"/>
  <c r="EV477" i="1"/>
  <c r="EW477" i="1"/>
  <c r="EX477" i="1"/>
  <c r="EY477" i="1"/>
  <c r="EQ478" i="1"/>
  <c r="ER478" i="1"/>
  <c r="ES478" i="1"/>
  <c r="ET478" i="1"/>
  <c r="EU478" i="1"/>
  <c r="EV478" i="1"/>
  <c r="EW478" i="1"/>
  <c r="EX478" i="1"/>
  <c r="EY478" i="1"/>
  <c r="EQ479" i="1"/>
  <c r="ER479" i="1"/>
  <c r="ES479" i="1"/>
  <c r="ET479" i="1"/>
  <c r="EU479" i="1"/>
  <c r="EV479" i="1"/>
  <c r="EW479" i="1"/>
  <c r="EX479" i="1"/>
  <c r="EY479" i="1"/>
  <c r="EQ480" i="1"/>
  <c r="ER480" i="1"/>
  <c r="ES480" i="1"/>
  <c r="ET480" i="1"/>
  <c r="EU480" i="1"/>
  <c r="EV480" i="1"/>
  <c r="EW480" i="1"/>
  <c r="EX480" i="1"/>
  <c r="EY480" i="1"/>
  <c r="EQ481" i="1"/>
  <c r="ER481" i="1"/>
  <c r="ES481" i="1"/>
  <c r="ET481" i="1"/>
  <c r="EU481" i="1"/>
  <c r="EV481" i="1"/>
  <c r="EW481" i="1"/>
  <c r="EX481" i="1"/>
  <c r="EY481" i="1"/>
  <c r="EQ482" i="1"/>
  <c r="ER482" i="1"/>
  <c r="ES482" i="1"/>
  <c r="ET482" i="1"/>
  <c r="EU482" i="1"/>
  <c r="EV482" i="1"/>
  <c r="EW482" i="1"/>
  <c r="EX482" i="1"/>
  <c r="EY482" i="1"/>
  <c r="EQ483" i="1"/>
  <c r="ER483" i="1"/>
  <c r="ES483" i="1"/>
  <c r="ET483" i="1"/>
  <c r="EU483" i="1"/>
  <c r="EV483" i="1"/>
  <c r="EW483" i="1"/>
  <c r="EX483" i="1"/>
  <c r="EY483" i="1"/>
  <c r="EQ484" i="1"/>
  <c r="ER484" i="1"/>
  <c r="ES484" i="1"/>
  <c r="ET484" i="1"/>
  <c r="EU484" i="1"/>
  <c r="EV484" i="1"/>
  <c r="EW484" i="1"/>
  <c r="EX484" i="1"/>
  <c r="EY484" i="1"/>
  <c r="EQ485" i="1"/>
  <c r="ER485" i="1"/>
  <c r="ES485" i="1"/>
  <c r="ET485" i="1"/>
  <c r="EU485" i="1"/>
  <c r="EV485" i="1"/>
  <c r="EW485" i="1"/>
  <c r="EX485" i="1"/>
  <c r="EY485" i="1"/>
  <c r="EQ486" i="1"/>
  <c r="ER486" i="1"/>
  <c r="ES486" i="1"/>
  <c r="ET486" i="1"/>
  <c r="EU486" i="1"/>
  <c r="EV486" i="1"/>
  <c r="EW486" i="1"/>
  <c r="EX486" i="1"/>
  <c r="EY486" i="1"/>
  <c r="EQ487" i="1"/>
  <c r="ER487" i="1"/>
  <c r="ES487" i="1"/>
  <c r="ET487" i="1"/>
  <c r="EU487" i="1"/>
  <c r="EV487" i="1"/>
  <c r="EW487" i="1"/>
  <c r="EX487" i="1"/>
  <c r="EY487" i="1"/>
  <c r="EQ488" i="1"/>
  <c r="ER488" i="1"/>
  <c r="ES488" i="1"/>
  <c r="ET488" i="1"/>
  <c r="EU488" i="1"/>
  <c r="EV488" i="1"/>
  <c r="EW488" i="1"/>
  <c r="EX488" i="1"/>
  <c r="EY488" i="1"/>
  <c r="EQ489" i="1"/>
  <c r="ER489" i="1"/>
  <c r="ES489" i="1"/>
  <c r="ET489" i="1"/>
  <c r="EU489" i="1"/>
  <c r="EV489" i="1"/>
  <c r="EW489" i="1"/>
  <c r="EX489" i="1"/>
  <c r="EY489" i="1"/>
  <c r="EQ490" i="1"/>
  <c r="ER490" i="1"/>
  <c r="ES490" i="1"/>
  <c r="ET490" i="1"/>
  <c r="EU490" i="1"/>
  <c r="EV490" i="1"/>
  <c r="EW490" i="1"/>
  <c r="EX490" i="1"/>
  <c r="EY490" i="1"/>
  <c r="EQ491" i="1"/>
  <c r="ER491" i="1"/>
  <c r="ES491" i="1"/>
  <c r="ET491" i="1"/>
  <c r="EU491" i="1"/>
  <c r="EV491" i="1"/>
  <c r="EW491" i="1"/>
  <c r="EX491" i="1"/>
  <c r="EY491" i="1"/>
  <c r="EQ492" i="1"/>
  <c r="ER492" i="1"/>
  <c r="ES492" i="1"/>
  <c r="ET492" i="1"/>
  <c r="EU492" i="1"/>
  <c r="EV492" i="1"/>
  <c r="EW492" i="1"/>
  <c r="EX492" i="1"/>
  <c r="EY492" i="1"/>
  <c r="EQ493" i="1"/>
  <c r="ER493" i="1"/>
  <c r="ES493" i="1"/>
  <c r="ET493" i="1"/>
  <c r="EU493" i="1"/>
  <c r="EV493" i="1"/>
  <c r="EW493" i="1"/>
  <c r="EX493" i="1"/>
  <c r="EY493" i="1"/>
  <c r="EQ494" i="1"/>
  <c r="ER494" i="1"/>
  <c r="ES494" i="1"/>
  <c r="ET494" i="1"/>
  <c r="EU494" i="1"/>
  <c r="EV494" i="1"/>
  <c r="EW494" i="1"/>
  <c r="EX494" i="1"/>
  <c r="EY494" i="1"/>
  <c r="EQ495" i="1"/>
  <c r="ER495" i="1"/>
  <c r="ES495" i="1"/>
  <c r="ET495" i="1"/>
  <c r="EU495" i="1"/>
  <c r="EV495" i="1"/>
  <c r="EW495" i="1"/>
  <c r="EX495" i="1"/>
  <c r="EY495" i="1"/>
  <c r="EQ496" i="1"/>
  <c r="ER496" i="1"/>
  <c r="ES496" i="1"/>
  <c r="ET496" i="1"/>
  <c r="EU496" i="1"/>
  <c r="EV496" i="1"/>
  <c r="EW496" i="1"/>
  <c r="EX496" i="1"/>
  <c r="EY496" i="1"/>
  <c r="EQ497" i="1"/>
  <c r="ER497" i="1"/>
  <c r="ES497" i="1"/>
  <c r="ET497" i="1"/>
  <c r="EU497" i="1"/>
  <c r="EV497" i="1"/>
  <c r="EW497" i="1"/>
  <c r="EX497" i="1"/>
  <c r="EY497" i="1"/>
  <c r="EQ498" i="1"/>
  <c r="ER498" i="1"/>
  <c r="ES498" i="1"/>
  <c r="ET498" i="1"/>
  <c r="EU498" i="1"/>
  <c r="EV498" i="1"/>
  <c r="EW498" i="1"/>
  <c r="EX498" i="1"/>
  <c r="EY498" i="1"/>
  <c r="EQ499" i="1"/>
  <c r="ER499" i="1"/>
  <c r="ES499" i="1"/>
  <c r="ET499" i="1"/>
  <c r="EU499" i="1"/>
  <c r="EV499" i="1"/>
  <c r="EW499" i="1"/>
  <c r="EX499" i="1"/>
  <c r="EY499" i="1"/>
  <c r="EQ500" i="1"/>
  <c r="ER500" i="1"/>
  <c r="ES500" i="1"/>
  <c r="ET500" i="1"/>
  <c r="EU500" i="1"/>
  <c r="EV500" i="1"/>
  <c r="EW500" i="1"/>
  <c r="EX500" i="1"/>
  <c r="EY500" i="1"/>
  <c r="EQ501" i="1"/>
  <c r="ER501" i="1"/>
  <c r="ES501" i="1"/>
  <c r="ET501" i="1"/>
  <c r="EU501" i="1"/>
  <c r="EV501" i="1"/>
  <c r="EW501" i="1"/>
  <c r="EX501" i="1"/>
  <c r="EY501" i="1"/>
  <c r="EQ502" i="1"/>
  <c r="ER502" i="1"/>
  <c r="ES502" i="1"/>
  <c r="ET502" i="1"/>
  <c r="EU502" i="1"/>
  <c r="EV502" i="1"/>
  <c r="EW502" i="1"/>
  <c r="EX502" i="1"/>
  <c r="EY502" i="1"/>
  <c r="EQ503" i="1"/>
  <c r="ER503" i="1"/>
  <c r="ES503" i="1"/>
  <c r="ET503" i="1"/>
  <c r="EU503" i="1"/>
  <c r="EV503" i="1"/>
  <c r="EW503" i="1"/>
  <c r="EX503" i="1"/>
  <c r="EY503" i="1"/>
  <c r="EQ504" i="1"/>
  <c r="ER504" i="1"/>
  <c r="ES504" i="1"/>
  <c r="ET504" i="1"/>
  <c r="EU504" i="1"/>
  <c r="EV504" i="1"/>
  <c r="EW504" i="1"/>
  <c r="EX504" i="1"/>
  <c r="EY504" i="1"/>
  <c r="EQ505" i="1"/>
  <c r="ER505" i="1"/>
  <c r="ES505" i="1"/>
  <c r="ET505" i="1"/>
  <c r="EU505" i="1"/>
  <c r="EV505" i="1"/>
  <c r="EW505" i="1"/>
  <c r="EX505" i="1"/>
  <c r="EY505" i="1"/>
  <c r="EQ506" i="1"/>
  <c r="ER506" i="1"/>
  <c r="ES506" i="1"/>
  <c r="ET506" i="1"/>
  <c r="EU506" i="1"/>
  <c r="EV506" i="1"/>
  <c r="EW506" i="1"/>
  <c r="EX506" i="1"/>
  <c r="EY506" i="1"/>
  <c r="EQ507" i="1"/>
  <c r="ER507" i="1"/>
  <c r="ES507" i="1"/>
  <c r="ET507" i="1"/>
  <c r="EU507" i="1"/>
  <c r="EV507" i="1"/>
  <c r="EW507" i="1"/>
  <c r="EX507" i="1"/>
  <c r="EY507" i="1"/>
  <c r="EQ508" i="1"/>
  <c r="ER508" i="1"/>
  <c r="ES508" i="1"/>
  <c r="ET508" i="1"/>
  <c r="EU508" i="1"/>
  <c r="EV508" i="1"/>
  <c r="EW508" i="1"/>
  <c r="EX508" i="1"/>
  <c r="EY508" i="1"/>
  <c r="EQ509" i="1"/>
  <c r="ER509" i="1"/>
  <c r="ES509" i="1"/>
  <c r="ET509" i="1"/>
  <c r="EU509" i="1"/>
  <c r="EV509" i="1"/>
  <c r="EW509" i="1"/>
  <c r="EX509" i="1"/>
  <c r="EY509" i="1"/>
  <c r="EQ510" i="1"/>
  <c r="ER510" i="1"/>
  <c r="ES510" i="1"/>
  <c r="ET510" i="1"/>
  <c r="EU510" i="1"/>
  <c r="EV510" i="1"/>
  <c r="EW510" i="1"/>
  <c r="EX510" i="1"/>
  <c r="EY510" i="1"/>
  <c r="EQ511" i="1"/>
  <c r="ER511" i="1"/>
  <c r="ES511" i="1"/>
  <c r="ET511" i="1"/>
  <c r="EU511" i="1"/>
  <c r="EV511" i="1"/>
  <c r="EW511" i="1"/>
  <c r="EX511" i="1"/>
  <c r="EY511" i="1"/>
  <c r="EQ512" i="1"/>
  <c r="ER512" i="1"/>
  <c r="ES512" i="1"/>
  <c r="ET512" i="1"/>
  <c r="EU512" i="1"/>
  <c r="EV512" i="1"/>
  <c r="EW512" i="1"/>
  <c r="EX512" i="1"/>
  <c r="EY512" i="1"/>
  <c r="EQ513" i="1"/>
  <c r="ER513" i="1"/>
  <c r="ES513" i="1"/>
  <c r="ET513" i="1"/>
  <c r="EU513" i="1"/>
  <c r="EV513" i="1"/>
  <c r="EW513" i="1"/>
  <c r="EX513" i="1"/>
  <c r="EY513" i="1"/>
  <c r="EQ514" i="1"/>
  <c r="ER514" i="1"/>
  <c r="ES514" i="1"/>
  <c r="ET514" i="1"/>
  <c r="EU514" i="1"/>
  <c r="EV514" i="1"/>
  <c r="EW514" i="1"/>
  <c r="EX514" i="1"/>
  <c r="EY514" i="1"/>
  <c r="EQ515" i="1"/>
  <c r="ER515" i="1"/>
  <c r="ES515" i="1"/>
  <c r="ET515" i="1"/>
  <c r="EU515" i="1"/>
  <c r="EV515" i="1"/>
  <c r="EW515" i="1"/>
  <c r="EX515" i="1"/>
  <c r="EY515" i="1"/>
  <c r="EQ516" i="1"/>
  <c r="ER516" i="1"/>
  <c r="ES516" i="1"/>
  <c r="ET516" i="1"/>
  <c r="EU516" i="1"/>
  <c r="EV516" i="1"/>
  <c r="EW516" i="1"/>
  <c r="EX516" i="1"/>
  <c r="EY516" i="1"/>
  <c r="EQ517" i="1"/>
  <c r="ER517" i="1"/>
  <c r="ES517" i="1"/>
  <c r="ET517" i="1"/>
  <c r="EU517" i="1"/>
  <c r="EV517" i="1"/>
  <c r="EW517" i="1"/>
  <c r="EX517" i="1"/>
  <c r="EY517" i="1"/>
  <c r="EQ518" i="1"/>
  <c r="ER518" i="1"/>
  <c r="ES518" i="1"/>
  <c r="ET518" i="1"/>
  <c r="EU518" i="1"/>
  <c r="EV518" i="1"/>
  <c r="EW518" i="1"/>
  <c r="EX518" i="1"/>
  <c r="EY518" i="1"/>
  <c r="EQ519" i="1"/>
  <c r="ER519" i="1"/>
  <c r="ES519" i="1"/>
  <c r="ET519" i="1"/>
  <c r="EU519" i="1"/>
  <c r="EV519" i="1"/>
  <c r="EW519" i="1"/>
  <c r="EX519" i="1"/>
  <c r="EY519" i="1"/>
  <c r="EQ520" i="1"/>
  <c r="ER520" i="1"/>
  <c r="ES520" i="1"/>
  <c r="ET520" i="1"/>
  <c r="EU520" i="1"/>
  <c r="EV520" i="1"/>
  <c r="EW520" i="1"/>
  <c r="EX520" i="1"/>
  <c r="EY520" i="1"/>
  <c r="EQ521" i="1"/>
  <c r="ER521" i="1"/>
  <c r="ES521" i="1"/>
  <c r="ET521" i="1"/>
  <c r="EU521" i="1"/>
  <c r="EV521" i="1"/>
  <c r="EW521" i="1"/>
  <c r="EX521" i="1"/>
  <c r="EY521" i="1"/>
  <c r="EQ522" i="1"/>
  <c r="ER522" i="1"/>
  <c r="ES522" i="1"/>
  <c r="ET522" i="1"/>
  <c r="EU522" i="1"/>
  <c r="EV522" i="1"/>
  <c r="EW522" i="1"/>
  <c r="EX522" i="1"/>
  <c r="EY522" i="1"/>
  <c r="EQ523" i="1"/>
  <c r="ER523" i="1"/>
  <c r="ES523" i="1"/>
  <c r="ET523" i="1"/>
  <c r="EU523" i="1"/>
  <c r="EV523" i="1"/>
  <c r="EW523" i="1"/>
  <c r="EX523" i="1"/>
  <c r="EY523" i="1"/>
  <c r="EQ524" i="1"/>
  <c r="ER524" i="1"/>
  <c r="ES524" i="1"/>
  <c r="ET524" i="1"/>
  <c r="EU524" i="1"/>
  <c r="EV524" i="1"/>
  <c r="EW524" i="1"/>
  <c r="EX524" i="1"/>
  <c r="EY524" i="1"/>
  <c r="EQ525" i="1"/>
  <c r="ER525" i="1"/>
  <c r="ES525" i="1"/>
  <c r="ET525" i="1"/>
  <c r="EU525" i="1"/>
  <c r="EV525" i="1"/>
  <c r="EW525" i="1"/>
  <c r="EX525" i="1"/>
  <c r="EY525" i="1"/>
  <c r="EQ526" i="1"/>
  <c r="ER526" i="1"/>
  <c r="ES526" i="1"/>
  <c r="ET526" i="1"/>
  <c r="EU526" i="1"/>
  <c r="EV526" i="1"/>
  <c r="EW526" i="1"/>
  <c r="EX526" i="1"/>
  <c r="EY526" i="1"/>
  <c r="EQ527" i="1"/>
  <c r="ER527" i="1"/>
  <c r="ES527" i="1"/>
  <c r="ET527" i="1"/>
  <c r="EU527" i="1"/>
  <c r="EV527" i="1"/>
  <c r="EW527" i="1"/>
  <c r="EX527" i="1"/>
  <c r="EY527" i="1"/>
  <c r="EQ528" i="1"/>
  <c r="ER528" i="1"/>
  <c r="ES528" i="1"/>
  <c r="ET528" i="1"/>
  <c r="EU528" i="1"/>
  <c r="EV528" i="1"/>
  <c r="EW528" i="1"/>
  <c r="EX528" i="1"/>
  <c r="EY528" i="1"/>
  <c r="EQ529" i="1"/>
  <c r="ER529" i="1"/>
  <c r="ES529" i="1"/>
  <c r="ET529" i="1"/>
  <c r="EU529" i="1"/>
  <c r="EV529" i="1"/>
  <c r="EW529" i="1"/>
  <c r="EX529" i="1"/>
  <c r="EY529" i="1"/>
  <c r="EQ530" i="1"/>
  <c r="ER530" i="1"/>
  <c r="ES530" i="1"/>
  <c r="ET530" i="1"/>
  <c r="EU530" i="1"/>
  <c r="EV530" i="1"/>
  <c r="EW530" i="1"/>
  <c r="EX530" i="1"/>
  <c r="EY530" i="1"/>
  <c r="EQ531" i="1"/>
  <c r="ER531" i="1"/>
  <c r="ES531" i="1"/>
  <c r="ET531" i="1"/>
  <c r="EU531" i="1"/>
  <c r="EV531" i="1"/>
  <c r="EW531" i="1"/>
  <c r="EX531" i="1"/>
  <c r="EY531" i="1"/>
  <c r="EQ532" i="1"/>
  <c r="ER532" i="1"/>
  <c r="ES532" i="1"/>
  <c r="ET532" i="1"/>
  <c r="EU532" i="1"/>
  <c r="EV532" i="1"/>
  <c r="EW532" i="1"/>
  <c r="EX532" i="1"/>
  <c r="EY532" i="1"/>
  <c r="EQ533" i="1"/>
  <c r="ER533" i="1"/>
  <c r="ES533" i="1"/>
  <c r="ET533" i="1"/>
  <c r="EU533" i="1"/>
  <c r="EV533" i="1"/>
  <c r="EW533" i="1"/>
  <c r="EX533" i="1"/>
  <c r="EY533" i="1"/>
  <c r="EQ534" i="1"/>
  <c r="ER534" i="1"/>
  <c r="ES534" i="1"/>
  <c r="ET534" i="1"/>
  <c r="EU534" i="1"/>
  <c r="EV534" i="1"/>
  <c r="EW534" i="1"/>
  <c r="EX534" i="1"/>
  <c r="EY534" i="1"/>
  <c r="EQ535" i="1"/>
  <c r="ER535" i="1"/>
  <c r="ES535" i="1"/>
  <c r="ET535" i="1"/>
  <c r="EU535" i="1"/>
  <c r="EV535" i="1"/>
  <c r="EW535" i="1"/>
  <c r="EX535" i="1"/>
  <c r="EY535" i="1"/>
  <c r="EQ536" i="1"/>
  <c r="ER536" i="1"/>
  <c r="ES536" i="1"/>
  <c r="ET536" i="1"/>
  <c r="EU536" i="1"/>
  <c r="EV536" i="1"/>
  <c r="EW536" i="1"/>
  <c r="EX536" i="1"/>
  <c r="EY536" i="1"/>
  <c r="EQ537" i="1"/>
  <c r="ER537" i="1"/>
  <c r="ES537" i="1"/>
  <c r="ET537" i="1"/>
  <c r="EU537" i="1"/>
  <c r="EV537" i="1"/>
  <c r="EW537" i="1"/>
  <c r="EX537" i="1"/>
  <c r="EY537" i="1"/>
  <c r="EQ538" i="1"/>
  <c r="ER538" i="1"/>
  <c r="ES538" i="1"/>
  <c r="ET538" i="1"/>
  <c r="EU538" i="1"/>
  <c r="EV538" i="1"/>
  <c r="EW538" i="1"/>
  <c r="EX538" i="1"/>
  <c r="EY538" i="1"/>
  <c r="EQ539" i="1"/>
  <c r="ER539" i="1"/>
  <c r="ES539" i="1"/>
  <c r="ET539" i="1"/>
  <c r="EU539" i="1"/>
  <c r="EV539" i="1"/>
  <c r="EW539" i="1"/>
  <c r="EX539" i="1"/>
  <c r="EY539" i="1"/>
  <c r="EQ540" i="1"/>
  <c r="ER540" i="1"/>
  <c r="ES540" i="1"/>
  <c r="ET540" i="1"/>
  <c r="EU540" i="1"/>
  <c r="EV540" i="1"/>
  <c r="EW540" i="1"/>
  <c r="EX540" i="1"/>
  <c r="EY540" i="1"/>
  <c r="EQ541" i="1"/>
  <c r="ER541" i="1"/>
  <c r="ES541" i="1"/>
  <c r="ET541" i="1"/>
  <c r="EU541" i="1"/>
  <c r="EV541" i="1"/>
  <c r="EW541" i="1"/>
  <c r="EX541" i="1"/>
  <c r="EY541" i="1"/>
  <c r="EQ542" i="1"/>
  <c r="ER542" i="1"/>
  <c r="ES542" i="1"/>
  <c r="ET542" i="1"/>
  <c r="EU542" i="1"/>
  <c r="EV542" i="1"/>
  <c r="EW542" i="1"/>
  <c r="EX542" i="1"/>
  <c r="EY542" i="1"/>
  <c r="EQ543" i="1"/>
  <c r="ER543" i="1"/>
  <c r="ES543" i="1"/>
  <c r="ET543" i="1"/>
  <c r="EU543" i="1"/>
  <c r="EV543" i="1"/>
  <c r="EW543" i="1"/>
  <c r="EX543" i="1"/>
  <c r="EY543" i="1"/>
  <c r="EQ544" i="1"/>
  <c r="ER544" i="1"/>
  <c r="ES544" i="1"/>
  <c r="ET544" i="1"/>
  <c r="EU544" i="1"/>
  <c r="EV544" i="1"/>
  <c r="EW544" i="1"/>
  <c r="EX544" i="1"/>
  <c r="EY544" i="1"/>
  <c r="EQ545" i="1"/>
  <c r="ER545" i="1"/>
  <c r="ES545" i="1"/>
  <c r="ET545" i="1"/>
  <c r="EU545" i="1"/>
  <c r="EV545" i="1"/>
  <c r="EW545" i="1"/>
  <c r="EX545" i="1"/>
  <c r="EY545" i="1"/>
  <c r="EQ546" i="1"/>
  <c r="ER546" i="1"/>
  <c r="ES546" i="1"/>
  <c r="ET546" i="1"/>
  <c r="EU546" i="1"/>
  <c r="EV546" i="1"/>
  <c r="EW546" i="1"/>
  <c r="EX546" i="1"/>
  <c r="EY546" i="1"/>
  <c r="EQ547" i="1"/>
  <c r="ER547" i="1"/>
  <c r="ES547" i="1"/>
  <c r="ET547" i="1"/>
  <c r="EU547" i="1"/>
  <c r="EV547" i="1"/>
  <c r="EW547" i="1"/>
  <c r="EX547" i="1"/>
  <c r="EY547" i="1"/>
  <c r="EQ548" i="1"/>
  <c r="ER548" i="1"/>
  <c r="ES548" i="1"/>
  <c r="ET548" i="1"/>
  <c r="EU548" i="1"/>
  <c r="EV548" i="1"/>
  <c r="EW548" i="1"/>
  <c r="EX548" i="1"/>
  <c r="EY548" i="1"/>
  <c r="EQ549" i="1"/>
  <c r="ER549" i="1"/>
  <c r="ES549" i="1"/>
  <c r="ET549" i="1"/>
  <c r="EU549" i="1"/>
  <c r="EV549" i="1"/>
  <c r="EW549" i="1"/>
  <c r="EX549" i="1"/>
  <c r="EY549" i="1"/>
  <c r="EQ550" i="1"/>
  <c r="ER550" i="1"/>
  <c r="ES550" i="1"/>
  <c r="ET550" i="1"/>
  <c r="EU550" i="1"/>
  <c r="EV550" i="1"/>
  <c r="EW550" i="1"/>
  <c r="EX550" i="1"/>
  <c r="EY550" i="1"/>
  <c r="EQ551" i="1"/>
  <c r="ER551" i="1"/>
  <c r="ES551" i="1"/>
  <c r="ET551" i="1"/>
  <c r="EU551" i="1"/>
  <c r="EV551" i="1"/>
  <c r="EW551" i="1"/>
  <c r="EX551" i="1"/>
  <c r="EY551" i="1"/>
  <c r="EQ552" i="1"/>
  <c r="ER552" i="1"/>
  <c r="ES552" i="1"/>
  <c r="ET552" i="1"/>
  <c r="EU552" i="1"/>
  <c r="EV552" i="1"/>
  <c r="EW552" i="1"/>
  <c r="EX552" i="1"/>
  <c r="EY552" i="1"/>
  <c r="EQ553" i="1"/>
  <c r="ER553" i="1"/>
  <c r="ES553" i="1"/>
  <c r="ET553" i="1"/>
  <c r="EU553" i="1"/>
  <c r="EV553" i="1"/>
  <c r="EW553" i="1"/>
  <c r="EX553" i="1"/>
  <c r="EY553" i="1"/>
  <c r="EQ554" i="1"/>
  <c r="ER554" i="1"/>
  <c r="ES554" i="1"/>
  <c r="ET554" i="1"/>
  <c r="EU554" i="1"/>
  <c r="EV554" i="1"/>
  <c r="EW554" i="1"/>
  <c r="EX554" i="1"/>
  <c r="EY554" i="1"/>
  <c r="EQ555" i="1"/>
  <c r="ER555" i="1"/>
  <c r="ES555" i="1"/>
  <c r="ET555" i="1"/>
  <c r="EU555" i="1"/>
  <c r="EV555" i="1"/>
  <c r="EW555" i="1"/>
  <c r="EX555" i="1"/>
  <c r="EY555" i="1"/>
  <c r="EQ556" i="1"/>
  <c r="ER556" i="1"/>
  <c r="ES556" i="1"/>
  <c r="ET556" i="1"/>
  <c r="EU556" i="1"/>
  <c r="EV556" i="1"/>
  <c r="EW556" i="1"/>
  <c r="EX556" i="1"/>
  <c r="EY556" i="1"/>
  <c r="EQ557" i="1"/>
  <c r="ER557" i="1"/>
  <c r="ES557" i="1"/>
  <c r="ET557" i="1"/>
  <c r="EU557" i="1"/>
  <c r="EV557" i="1"/>
  <c r="EW557" i="1"/>
  <c r="EX557" i="1"/>
  <c r="EY557" i="1"/>
  <c r="EQ558" i="1"/>
  <c r="ER558" i="1"/>
  <c r="ES558" i="1"/>
  <c r="ET558" i="1"/>
  <c r="EU558" i="1"/>
  <c r="EV558" i="1"/>
  <c r="EW558" i="1"/>
  <c r="EX558" i="1"/>
  <c r="EY558" i="1"/>
  <c r="EQ559" i="1"/>
  <c r="ER559" i="1"/>
  <c r="ES559" i="1"/>
  <c r="ET559" i="1"/>
  <c r="EU559" i="1"/>
  <c r="EV559" i="1"/>
  <c r="EW559" i="1"/>
  <c r="EX559" i="1"/>
  <c r="EY559" i="1"/>
  <c r="EQ560" i="1"/>
  <c r="ER560" i="1"/>
  <c r="ES560" i="1"/>
  <c r="ET560" i="1"/>
  <c r="EU560" i="1"/>
  <c r="EV560" i="1"/>
  <c r="EW560" i="1"/>
  <c r="EX560" i="1"/>
  <c r="EY560" i="1"/>
  <c r="EQ561" i="1"/>
  <c r="ER561" i="1"/>
  <c r="ES561" i="1"/>
  <c r="ET561" i="1"/>
  <c r="EU561" i="1"/>
  <c r="EV561" i="1"/>
  <c r="EW561" i="1"/>
  <c r="EX561" i="1"/>
  <c r="EY561" i="1"/>
  <c r="EQ562" i="1"/>
  <c r="ER562" i="1"/>
  <c r="ES562" i="1"/>
  <c r="ET562" i="1"/>
  <c r="EU562" i="1"/>
  <c r="EV562" i="1"/>
  <c r="EW562" i="1"/>
  <c r="EX562" i="1"/>
  <c r="EY562" i="1"/>
  <c r="EQ563" i="1"/>
  <c r="ER563" i="1"/>
  <c r="ES563" i="1"/>
  <c r="ET563" i="1"/>
  <c r="EU563" i="1"/>
  <c r="EV563" i="1"/>
  <c r="EW563" i="1"/>
  <c r="EX563" i="1"/>
  <c r="EY563" i="1"/>
  <c r="EQ564" i="1"/>
  <c r="ER564" i="1"/>
  <c r="ES564" i="1"/>
  <c r="ET564" i="1"/>
  <c r="EU564" i="1"/>
  <c r="EV564" i="1"/>
  <c r="EW564" i="1"/>
  <c r="EX564" i="1"/>
  <c r="EY564" i="1"/>
  <c r="EQ565" i="1"/>
  <c r="ER565" i="1"/>
  <c r="ES565" i="1"/>
  <c r="ET565" i="1"/>
  <c r="EU565" i="1"/>
  <c r="EV565" i="1"/>
  <c r="EW565" i="1"/>
  <c r="EX565" i="1"/>
  <c r="EY565" i="1"/>
  <c r="EQ566" i="1"/>
  <c r="ER566" i="1"/>
  <c r="ES566" i="1"/>
  <c r="ET566" i="1"/>
  <c r="EU566" i="1"/>
  <c r="EV566" i="1"/>
  <c r="EW566" i="1"/>
  <c r="EX566" i="1"/>
  <c r="EY566" i="1"/>
  <c r="EQ567" i="1"/>
  <c r="ER567" i="1"/>
  <c r="ES567" i="1"/>
  <c r="ET567" i="1"/>
  <c r="EU567" i="1"/>
  <c r="EV567" i="1"/>
  <c r="EW567" i="1"/>
  <c r="EX567" i="1"/>
  <c r="EY567" i="1"/>
  <c r="EQ568" i="1"/>
  <c r="ER568" i="1"/>
  <c r="ES568" i="1"/>
  <c r="ET568" i="1"/>
  <c r="EU568" i="1"/>
  <c r="EV568" i="1"/>
  <c r="EW568" i="1"/>
  <c r="EX568" i="1"/>
  <c r="EY568" i="1"/>
  <c r="EQ569" i="1"/>
  <c r="ER569" i="1"/>
  <c r="ES569" i="1"/>
  <c r="ET569" i="1"/>
  <c r="EU569" i="1"/>
  <c r="EV569" i="1"/>
  <c r="EW569" i="1"/>
  <c r="EX569" i="1"/>
  <c r="EY569" i="1"/>
  <c r="EQ570" i="1"/>
  <c r="ER570" i="1"/>
  <c r="ES570" i="1"/>
  <c r="ET570" i="1"/>
  <c r="EU570" i="1"/>
  <c r="EV570" i="1"/>
  <c r="EW570" i="1"/>
  <c r="EX570" i="1"/>
  <c r="EY570" i="1"/>
  <c r="EQ571" i="1"/>
  <c r="ER571" i="1"/>
  <c r="ES571" i="1"/>
  <c r="ET571" i="1"/>
  <c r="EU571" i="1"/>
  <c r="EV571" i="1"/>
  <c r="EW571" i="1"/>
  <c r="EX571" i="1"/>
  <c r="EY571" i="1"/>
  <c r="EQ572" i="1"/>
  <c r="ER572" i="1"/>
  <c r="ES572" i="1"/>
  <c r="ET572" i="1"/>
  <c r="EU572" i="1"/>
  <c r="EV572" i="1"/>
  <c r="EW572" i="1"/>
  <c r="EX572" i="1"/>
  <c r="EY572" i="1"/>
  <c r="EQ573" i="1"/>
  <c r="ER573" i="1"/>
  <c r="ES573" i="1"/>
  <c r="ET573" i="1"/>
  <c r="EU573" i="1"/>
  <c r="EV573" i="1"/>
  <c r="EW573" i="1"/>
  <c r="EX573" i="1"/>
  <c r="EY573" i="1"/>
  <c r="EQ574" i="1"/>
  <c r="ER574" i="1"/>
  <c r="ES574" i="1"/>
  <c r="ET574" i="1"/>
  <c r="EU574" i="1"/>
  <c r="EV574" i="1"/>
  <c r="EW574" i="1"/>
  <c r="EX574" i="1"/>
  <c r="EY574" i="1"/>
  <c r="EQ575" i="1"/>
  <c r="ER575" i="1"/>
  <c r="ES575" i="1"/>
  <c r="ET575" i="1"/>
  <c r="EU575" i="1"/>
  <c r="EV575" i="1"/>
  <c r="EW575" i="1"/>
  <c r="EX575" i="1"/>
  <c r="EY575" i="1"/>
  <c r="EQ576" i="1"/>
  <c r="ER576" i="1"/>
  <c r="ES576" i="1"/>
  <c r="ET576" i="1"/>
  <c r="EU576" i="1"/>
  <c r="EV576" i="1"/>
  <c r="EW576" i="1"/>
  <c r="EX576" i="1"/>
  <c r="EY576" i="1"/>
  <c r="EQ577" i="1"/>
  <c r="ER577" i="1"/>
  <c r="ES577" i="1"/>
  <c r="ET577" i="1"/>
  <c r="EU577" i="1"/>
  <c r="EV577" i="1"/>
  <c r="EW577" i="1"/>
  <c r="EX577" i="1"/>
  <c r="EY577" i="1"/>
  <c r="EQ578" i="1"/>
  <c r="ER578" i="1"/>
  <c r="ES578" i="1"/>
  <c r="ET578" i="1"/>
  <c r="EU578" i="1"/>
  <c r="EV578" i="1"/>
  <c r="EW578" i="1"/>
  <c r="EX578" i="1"/>
  <c r="EY578" i="1"/>
  <c r="EQ579" i="1"/>
  <c r="ER579" i="1"/>
  <c r="ES579" i="1"/>
  <c r="ET579" i="1"/>
  <c r="EU579" i="1"/>
  <c r="EV579" i="1"/>
  <c r="EW579" i="1"/>
  <c r="EX579" i="1"/>
  <c r="EY579" i="1"/>
  <c r="EQ580" i="1"/>
  <c r="ER580" i="1"/>
  <c r="ES580" i="1"/>
  <c r="ET580" i="1"/>
  <c r="EU580" i="1"/>
  <c r="EV580" i="1"/>
  <c r="EW580" i="1"/>
  <c r="EX580" i="1"/>
  <c r="EY580" i="1"/>
  <c r="EQ581" i="1"/>
  <c r="ER581" i="1"/>
  <c r="ES581" i="1"/>
  <c r="ET581" i="1"/>
  <c r="EU581" i="1"/>
  <c r="EV581" i="1"/>
  <c r="EW581" i="1"/>
  <c r="EX581" i="1"/>
  <c r="EY581" i="1"/>
  <c r="EQ582" i="1"/>
  <c r="ER582" i="1"/>
  <c r="ES582" i="1"/>
  <c r="ET582" i="1"/>
  <c r="EU582" i="1"/>
  <c r="EV582" i="1"/>
  <c r="EW582" i="1"/>
  <c r="EX582" i="1"/>
  <c r="EY582" i="1"/>
  <c r="EQ583" i="1"/>
  <c r="ER583" i="1"/>
  <c r="ES583" i="1"/>
  <c r="ET583" i="1"/>
  <c r="EU583" i="1"/>
  <c r="EV583" i="1"/>
  <c r="EW583" i="1"/>
  <c r="EX583" i="1"/>
  <c r="EY583" i="1"/>
  <c r="EQ584" i="1"/>
  <c r="ER584" i="1"/>
  <c r="ES584" i="1"/>
  <c r="ET584" i="1"/>
  <c r="EU584" i="1"/>
  <c r="EV584" i="1"/>
  <c r="EW584" i="1"/>
  <c r="EX584" i="1"/>
  <c r="EY584" i="1"/>
  <c r="EQ585" i="1"/>
  <c r="ER585" i="1"/>
  <c r="ES585" i="1"/>
  <c r="ET585" i="1"/>
  <c r="EU585" i="1"/>
  <c r="EV585" i="1"/>
  <c r="EW585" i="1"/>
  <c r="EX585" i="1"/>
  <c r="EY585" i="1"/>
  <c r="EQ586" i="1"/>
  <c r="ER586" i="1"/>
  <c r="ES586" i="1"/>
  <c r="ET586" i="1"/>
  <c r="EU586" i="1"/>
  <c r="EV586" i="1"/>
  <c r="EW586" i="1"/>
  <c r="EX586" i="1"/>
  <c r="EY586" i="1"/>
  <c r="EQ587" i="1"/>
  <c r="ER587" i="1"/>
  <c r="ES587" i="1"/>
  <c r="ET587" i="1"/>
  <c r="EU587" i="1"/>
  <c r="EV587" i="1"/>
  <c r="EW587" i="1"/>
  <c r="EX587" i="1"/>
  <c r="EY587" i="1"/>
  <c r="EQ588" i="1"/>
  <c r="ER588" i="1"/>
  <c r="ES588" i="1"/>
  <c r="ET588" i="1"/>
  <c r="EU588" i="1"/>
  <c r="EV588" i="1"/>
  <c r="EW588" i="1"/>
  <c r="EX588" i="1"/>
  <c r="EY588" i="1"/>
  <c r="EQ589" i="1"/>
  <c r="ER589" i="1"/>
  <c r="ES589" i="1"/>
  <c r="ET589" i="1"/>
  <c r="EU589" i="1"/>
  <c r="EV589" i="1"/>
  <c r="EW589" i="1"/>
  <c r="EX589" i="1"/>
  <c r="EY589" i="1"/>
  <c r="EQ590" i="1"/>
  <c r="ER590" i="1"/>
  <c r="ES590" i="1"/>
  <c r="ET590" i="1"/>
  <c r="EU590" i="1"/>
  <c r="EV590" i="1"/>
  <c r="EW590" i="1"/>
  <c r="EX590" i="1"/>
  <c r="EY590" i="1"/>
  <c r="EQ591" i="1"/>
  <c r="ER591" i="1"/>
  <c r="ES591" i="1"/>
  <c r="ET591" i="1"/>
  <c r="EU591" i="1"/>
  <c r="EV591" i="1"/>
  <c r="EW591" i="1"/>
  <c r="EX591" i="1"/>
  <c r="EY591" i="1"/>
  <c r="EQ592" i="1"/>
  <c r="ER592" i="1"/>
  <c r="ES592" i="1"/>
  <c r="ET592" i="1"/>
  <c r="EU592" i="1"/>
  <c r="EV592" i="1"/>
  <c r="EW592" i="1"/>
  <c r="EX592" i="1"/>
  <c r="EY592" i="1"/>
  <c r="EQ593" i="1"/>
  <c r="ER593" i="1"/>
  <c r="ES593" i="1"/>
  <c r="ET593" i="1"/>
  <c r="EU593" i="1"/>
  <c r="EV593" i="1"/>
  <c r="EW593" i="1"/>
  <c r="EX593" i="1"/>
  <c r="EY593" i="1"/>
  <c r="EQ594" i="1"/>
  <c r="ER594" i="1"/>
  <c r="ES594" i="1"/>
  <c r="ET594" i="1"/>
  <c r="EU594" i="1"/>
  <c r="EV594" i="1"/>
  <c r="EW594" i="1"/>
  <c r="EX594" i="1"/>
  <c r="EY594" i="1"/>
  <c r="EQ595" i="1"/>
  <c r="ER595" i="1"/>
  <c r="ES595" i="1"/>
  <c r="ET595" i="1"/>
  <c r="EU595" i="1"/>
  <c r="EV595" i="1"/>
  <c r="EW595" i="1"/>
  <c r="EX595" i="1"/>
  <c r="EY595" i="1"/>
  <c r="EQ596" i="1"/>
  <c r="ER596" i="1"/>
  <c r="ES596" i="1"/>
  <c r="ET596" i="1"/>
  <c r="EU596" i="1"/>
  <c r="EV596" i="1"/>
  <c r="EW596" i="1"/>
  <c r="EX596" i="1"/>
  <c r="EY596" i="1"/>
  <c r="EQ597" i="1"/>
  <c r="ER597" i="1"/>
  <c r="ES597" i="1"/>
  <c r="ET597" i="1"/>
  <c r="EU597" i="1"/>
  <c r="EV597" i="1"/>
  <c r="EW597" i="1"/>
  <c r="EX597" i="1"/>
  <c r="EY597" i="1"/>
  <c r="EQ598" i="1"/>
  <c r="ER598" i="1"/>
  <c r="ES598" i="1"/>
  <c r="ET598" i="1"/>
  <c r="EU598" i="1"/>
  <c r="EV598" i="1"/>
  <c r="EW598" i="1"/>
  <c r="EX598" i="1"/>
  <c r="EY598" i="1"/>
  <c r="EQ599" i="1"/>
  <c r="ER599" i="1"/>
  <c r="ES599" i="1"/>
  <c r="ET599" i="1"/>
  <c r="EU599" i="1"/>
  <c r="EV599" i="1"/>
  <c r="EW599" i="1"/>
  <c r="EX599" i="1"/>
  <c r="EY599" i="1"/>
  <c r="EQ600" i="1"/>
  <c r="ER600" i="1"/>
  <c r="ES600" i="1"/>
  <c r="ET600" i="1"/>
  <c r="EU600" i="1"/>
  <c r="EV600" i="1"/>
  <c r="EW600" i="1"/>
  <c r="EX600" i="1"/>
  <c r="EY600" i="1"/>
  <c r="EQ601" i="1"/>
  <c r="ER601" i="1"/>
  <c r="ES601" i="1"/>
  <c r="ET601" i="1"/>
  <c r="EU601" i="1"/>
  <c r="EV601" i="1"/>
  <c r="EW601" i="1"/>
  <c r="EX601" i="1"/>
  <c r="EY601" i="1"/>
  <c r="EQ602" i="1"/>
  <c r="ER602" i="1"/>
  <c r="ES602" i="1"/>
  <c r="ET602" i="1"/>
  <c r="EU602" i="1"/>
  <c r="EV602" i="1"/>
  <c r="EW602" i="1"/>
  <c r="EX602" i="1"/>
  <c r="EY602" i="1"/>
  <c r="EQ603" i="1"/>
  <c r="ER603" i="1"/>
  <c r="ES603" i="1"/>
  <c r="ET603" i="1"/>
  <c r="EU603" i="1"/>
  <c r="EV603" i="1"/>
  <c r="EW603" i="1"/>
  <c r="EX603" i="1"/>
  <c r="EY603" i="1"/>
  <c r="EQ604" i="1"/>
  <c r="ER604" i="1"/>
  <c r="ES604" i="1"/>
  <c r="ET604" i="1"/>
  <c r="EU604" i="1"/>
  <c r="EV604" i="1"/>
  <c r="EW604" i="1"/>
  <c r="EX604" i="1"/>
  <c r="EY604" i="1"/>
  <c r="EQ605" i="1"/>
  <c r="ER605" i="1"/>
  <c r="ES605" i="1"/>
  <c r="ET605" i="1"/>
  <c r="EU605" i="1"/>
  <c r="EV605" i="1"/>
  <c r="EW605" i="1"/>
  <c r="EX605" i="1"/>
  <c r="EY605" i="1"/>
  <c r="EQ606" i="1"/>
  <c r="ER606" i="1"/>
  <c r="ES606" i="1"/>
  <c r="ET606" i="1"/>
  <c r="EU606" i="1"/>
  <c r="EV606" i="1"/>
  <c r="EW606" i="1"/>
  <c r="EX606" i="1"/>
  <c r="EY606" i="1"/>
  <c r="EQ607" i="1"/>
  <c r="ER607" i="1"/>
  <c r="ES607" i="1"/>
  <c r="ET607" i="1"/>
  <c r="EU607" i="1"/>
  <c r="EV607" i="1"/>
  <c r="EW607" i="1"/>
  <c r="EX607" i="1"/>
  <c r="EY607" i="1"/>
  <c r="EQ608" i="1"/>
  <c r="ER608" i="1"/>
  <c r="ES608" i="1"/>
  <c r="ET608" i="1"/>
  <c r="EU608" i="1"/>
  <c r="EV608" i="1"/>
  <c r="EW608" i="1"/>
  <c r="EX608" i="1"/>
  <c r="EY608" i="1"/>
  <c r="EQ609" i="1"/>
  <c r="ER609" i="1"/>
  <c r="ES609" i="1"/>
  <c r="ET609" i="1"/>
  <c r="EU609" i="1"/>
  <c r="EV609" i="1"/>
  <c r="EW609" i="1"/>
  <c r="EX609" i="1"/>
  <c r="EY609" i="1"/>
  <c r="EQ610" i="1"/>
  <c r="ER610" i="1"/>
  <c r="ES610" i="1"/>
  <c r="ET610" i="1"/>
  <c r="EU610" i="1"/>
  <c r="EV610" i="1"/>
  <c r="EW610" i="1"/>
  <c r="EX610" i="1"/>
  <c r="EY610" i="1"/>
  <c r="EQ611" i="1"/>
  <c r="ER611" i="1"/>
  <c r="ES611" i="1"/>
  <c r="ET611" i="1"/>
  <c r="EU611" i="1"/>
  <c r="EV611" i="1"/>
  <c r="EW611" i="1"/>
  <c r="EX611" i="1"/>
  <c r="EY611" i="1"/>
  <c r="EQ612" i="1"/>
  <c r="ER612" i="1"/>
  <c r="ES612" i="1"/>
  <c r="ET612" i="1"/>
  <c r="EU612" i="1"/>
  <c r="EV612" i="1"/>
  <c r="EW612" i="1"/>
  <c r="EX612" i="1"/>
  <c r="EY612" i="1"/>
  <c r="EQ613" i="1"/>
  <c r="ER613" i="1"/>
  <c r="ES613" i="1"/>
  <c r="ET613" i="1"/>
  <c r="EU613" i="1"/>
  <c r="EV613" i="1"/>
  <c r="EW613" i="1"/>
  <c r="EX613" i="1"/>
  <c r="EY613" i="1"/>
  <c r="EQ614" i="1"/>
  <c r="ER614" i="1"/>
  <c r="ES614" i="1"/>
  <c r="ET614" i="1"/>
  <c r="EU614" i="1"/>
  <c r="EV614" i="1"/>
  <c r="EW614" i="1"/>
  <c r="EX614" i="1"/>
  <c r="EY614" i="1"/>
  <c r="EQ615" i="1"/>
  <c r="ER615" i="1"/>
  <c r="ES615" i="1"/>
  <c r="ET615" i="1"/>
  <c r="EU615" i="1"/>
  <c r="EV615" i="1"/>
  <c r="EW615" i="1"/>
  <c r="EX615" i="1"/>
  <c r="EY615" i="1"/>
  <c r="EQ616" i="1"/>
  <c r="ER616" i="1"/>
  <c r="ES616" i="1"/>
  <c r="ET616" i="1"/>
  <c r="EU616" i="1"/>
  <c r="EV616" i="1"/>
  <c r="EW616" i="1"/>
  <c r="EX616" i="1"/>
  <c r="EY616" i="1"/>
  <c r="EQ617" i="1"/>
  <c r="ER617" i="1"/>
  <c r="ES617" i="1"/>
  <c r="ET617" i="1"/>
  <c r="EU617" i="1"/>
  <c r="EV617" i="1"/>
  <c r="EW617" i="1"/>
  <c r="EX617" i="1"/>
  <c r="EY617" i="1"/>
  <c r="EQ618" i="1"/>
  <c r="ER618" i="1"/>
  <c r="ES618" i="1"/>
  <c r="ET618" i="1"/>
  <c r="EU618" i="1"/>
  <c r="EV618" i="1"/>
  <c r="EW618" i="1"/>
  <c r="EX618" i="1"/>
  <c r="EY618" i="1"/>
  <c r="EQ619" i="1"/>
  <c r="ER619" i="1"/>
  <c r="ES619" i="1"/>
  <c r="ET619" i="1"/>
  <c r="EU619" i="1"/>
  <c r="EV619" i="1"/>
  <c r="EW619" i="1"/>
  <c r="EX619" i="1"/>
  <c r="EY619" i="1"/>
  <c r="EQ620" i="1"/>
  <c r="ER620" i="1"/>
  <c r="ES620" i="1"/>
  <c r="ET620" i="1"/>
  <c r="EU620" i="1"/>
  <c r="EV620" i="1"/>
  <c r="EW620" i="1"/>
  <c r="EX620" i="1"/>
  <c r="EY620" i="1"/>
  <c r="EQ621" i="1"/>
  <c r="ER621" i="1"/>
  <c r="ES621" i="1"/>
  <c r="ET621" i="1"/>
  <c r="EU621" i="1"/>
  <c r="EV621" i="1"/>
  <c r="EW621" i="1"/>
  <c r="EX621" i="1"/>
  <c r="EY621" i="1"/>
  <c r="EQ622" i="1"/>
  <c r="ER622" i="1"/>
  <c r="ES622" i="1"/>
  <c r="ET622" i="1"/>
  <c r="EU622" i="1"/>
  <c r="EV622" i="1"/>
  <c r="EW622" i="1"/>
  <c r="EX622" i="1"/>
  <c r="EY622" i="1"/>
  <c r="EQ623" i="1"/>
  <c r="ER623" i="1"/>
  <c r="ES623" i="1"/>
  <c r="ET623" i="1"/>
  <c r="EU623" i="1"/>
  <c r="EV623" i="1"/>
  <c r="EW623" i="1"/>
  <c r="EX623" i="1"/>
  <c r="EY623" i="1"/>
  <c r="EQ624" i="1"/>
  <c r="ER624" i="1"/>
  <c r="ES624" i="1"/>
  <c r="ET624" i="1"/>
  <c r="EU624" i="1"/>
  <c r="EV624" i="1"/>
  <c r="EW624" i="1"/>
  <c r="EX624" i="1"/>
  <c r="EY624" i="1"/>
  <c r="EQ625" i="1"/>
  <c r="ER625" i="1"/>
  <c r="ES625" i="1"/>
  <c r="ET625" i="1"/>
  <c r="EU625" i="1"/>
  <c r="EV625" i="1"/>
  <c r="EW625" i="1"/>
  <c r="EX625" i="1"/>
  <c r="EY625" i="1"/>
  <c r="EQ626" i="1"/>
  <c r="ER626" i="1"/>
  <c r="ES626" i="1"/>
  <c r="ET626" i="1"/>
  <c r="EU626" i="1"/>
  <c r="EV626" i="1"/>
  <c r="EW626" i="1"/>
  <c r="EX626" i="1"/>
  <c r="EY626" i="1"/>
  <c r="EQ627" i="1"/>
  <c r="ER627" i="1"/>
  <c r="ES627" i="1"/>
  <c r="ET627" i="1"/>
  <c r="EU627" i="1"/>
  <c r="EV627" i="1"/>
  <c r="EW627" i="1"/>
  <c r="EX627" i="1"/>
  <c r="EY627" i="1"/>
  <c r="EQ628" i="1"/>
  <c r="ER628" i="1"/>
  <c r="ES628" i="1"/>
  <c r="ET628" i="1"/>
  <c r="EU628" i="1"/>
  <c r="EV628" i="1"/>
  <c r="EW628" i="1"/>
  <c r="EX628" i="1"/>
  <c r="EY628" i="1"/>
  <c r="EQ629" i="1"/>
  <c r="ER629" i="1"/>
  <c r="ES629" i="1"/>
  <c r="ET629" i="1"/>
  <c r="EU629" i="1"/>
  <c r="EV629" i="1"/>
  <c r="EW629" i="1"/>
  <c r="EX629" i="1"/>
  <c r="EY629" i="1"/>
  <c r="EQ630" i="1"/>
  <c r="ER630" i="1"/>
  <c r="ES630" i="1"/>
  <c r="ET630" i="1"/>
  <c r="EU630" i="1"/>
  <c r="EV630" i="1"/>
  <c r="EW630" i="1"/>
  <c r="EX630" i="1"/>
  <c r="EY630" i="1"/>
  <c r="EQ631" i="1"/>
  <c r="ER631" i="1"/>
  <c r="ES631" i="1"/>
  <c r="ET631" i="1"/>
  <c r="EU631" i="1"/>
  <c r="EV631" i="1"/>
  <c r="EW631" i="1"/>
  <c r="EX631" i="1"/>
  <c r="EY631" i="1"/>
  <c r="EQ632" i="1"/>
  <c r="ER632" i="1"/>
  <c r="ES632" i="1"/>
  <c r="ET632" i="1"/>
  <c r="EU632" i="1"/>
  <c r="EV632" i="1"/>
  <c r="EW632" i="1"/>
  <c r="EX632" i="1"/>
  <c r="EY632" i="1"/>
  <c r="EQ633" i="1"/>
  <c r="ER633" i="1"/>
  <c r="ES633" i="1"/>
  <c r="ET633" i="1"/>
  <c r="EU633" i="1"/>
  <c r="EV633" i="1"/>
  <c r="EW633" i="1"/>
  <c r="EX633" i="1"/>
  <c r="EY633" i="1"/>
  <c r="EQ634" i="1"/>
  <c r="ER634" i="1"/>
  <c r="ES634" i="1"/>
  <c r="ET634" i="1"/>
  <c r="EU634" i="1"/>
  <c r="EV634" i="1"/>
  <c r="EW634" i="1"/>
  <c r="EX634" i="1"/>
  <c r="EY634" i="1"/>
  <c r="EQ635" i="1"/>
  <c r="ER635" i="1"/>
  <c r="ES635" i="1"/>
  <c r="ET635" i="1"/>
  <c r="EU635" i="1"/>
  <c r="EV635" i="1"/>
  <c r="EW635" i="1"/>
  <c r="EX635" i="1"/>
  <c r="EY635" i="1"/>
  <c r="EQ636" i="1"/>
  <c r="ER636" i="1"/>
  <c r="ES636" i="1"/>
  <c r="ET636" i="1"/>
  <c r="EU636" i="1"/>
  <c r="EV636" i="1"/>
  <c r="EW636" i="1"/>
  <c r="EX636" i="1"/>
  <c r="EY636" i="1"/>
  <c r="EQ637" i="1"/>
  <c r="ER637" i="1"/>
  <c r="ES637" i="1"/>
  <c r="ET637" i="1"/>
  <c r="EU637" i="1"/>
  <c r="EV637" i="1"/>
  <c r="EW637" i="1"/>
  <c r="EX637" i="1"/>
  <c r="EY637" i="1"/>
  <c r="EQ638" i="1"/>
  <c r="ER638" i="1"/>
  <c r="ES638" i="1"/>
  <c r="ET638" i="1"/>
  <c r="EU638" i="1"/>
  <c r="EV638" i="1"/>
  <c r="EW638" i="1"/>
  <c r="EX638" i="1"/>
  <c r="EY638" i="1"/>
  <c r="EQ639" i="1"/>
  <c r="ER639" i="1"/>
  <c r="ES639" i="1"/>
  <c r="ET639" i="1"/>
  <c r="EU639" i="1"/>
  <c r="EV639" i="1"/>
  <c r="EW639" i="1"/>
  <c r="EX639" i="1"/>
  <c r="EY639" i="1"/>
  <c r="EQ640" i="1"/>
  <c r="ER640" i="1"/>
  <c r="ES640" i="1"/>
  <c r="ET640" i="1"/>
  <c r="EU640" i="1"/>
  <c r="EV640" i="1"/>
  <c r="EW640" i="1"/>
  <c r="EX640" i="1"/>
  <c r="EY640" i="1"/>
  <c r="EQ641" i="1"/>
  <c r="ER641" i="1"/>
  <c r="ES641" i="1"/>
  <c r="ET641" i="1"/>
  <c r="EU641" i="1"/>
  <c r="EV641" i="1"/>
  <c r="EW641" i="1"/>
  <c r="EX641" i="1"/>
  <c r="EY641" i="1"/>
  <c r="EQ642" i="1"/>
  <c r="ER642" i="1"/>
  <c r="ES642" i="1"/>
  <c r="ET642" i="1"/>
  <c r="EU642" i="1"/>
  <c r="EV642" i="1"/>
  <c r="EW642" i="1"/>
  <c r="EX642" i="1"/>
  <c r="EY642" i="1"/>
  <c r="EQ643" i="1"/>
  <c r="ER643" i="1"/>
  <c r="ES643" i="1"/>
  <c r="ET643" i="1"/>
  <c r="EU643" i="1"/>
  <c r="EV643" i="1"/>
  <c r="EW643" i="1"/>
  <c r="EX643" i="1"/>
  <c r="EY643" i="1"/>
  <c r="EQ644" i="1"/>
  <c r="ER644" i="1"/>
  <c r="ES644" i="1"/>
  <c r="ET644" i="1"/>
  <c r="EU644" i="1"/>
  <c r="EV644" i="1"/>
  <c r="EW644" i="1"/>
  <c r="EX644" i="1"/>
  <c r="EY644" i="1"/>
  <c r="EQ645" i="1"/>
  <c r="ER645" i="1"/>
  <c r="ES645" i="1"/>
  <c r="ET645" i="1"/>
  <c r="EU645" i="1"/>
  <c r="EV645" i="1"/>
  <c r="EW645" i="1"/>
  <c r="EX645" i="1"/>
  <c r="EY645" i="1"/>
  <c r="EQ646" i="1"/>
  <c r="ER646" i="1"/>
  <c r="ES646" i="1"/>
  <c r="ET646" i="1"/>
  <c r="EU646" i="1"/>
  <c r="EV646" i="1"/>
  <c r="EW646" i="1"/>
  <c r="EX646" i="1"/>
  <c r="EY646" i="1"/>
  <c r="EQ647" i="1"/>
  <c r="ER647" i="1"/>
  <c r="ES647" i="1"/>
  <c r="ET647" i="1"/>
  <c r="EU647" i="1"/>
  <c r="EV647" i="1"/>
  <c r="EW647" i="1"/>
  <c r="EX647" i="1"/>
  <c r="EY647" i="1"/>
  <c r="EQ648" i="1"/>
  <c r="ER648" i="1"/>
  <c r="ES648" i="1"/>
  <c r="ET648" i="1"/>
  <c r="EU648" i="1"/>
  <c r="EV648" i="1"/>
  <c r="EW648" i="1"/>
  <c r="EX648" i="1"/>
  <c r="EY648" i="1"/>
  <c r="EQ649" i="1"/>
  <c r="ER649" i="1"/>
  <c r="ES649" i="1"/>
  <c r="ET649" i="1"/>
  <c r="EU649" i="1"/>
  <c r="EV649" i="1"/>
  <c r="EW649" i="1"/>
  <c r="EX649" i="1"/>
  <c r="EY649" i="1"/>
  <c r="EQ650" i="1"/>
  <c r="ER650" i="1"/>
  <c r="ES650" i="1"/>
  <c r="ET650" i="1"/>
  <c r="EU650" i="1"/>
  <c r="EV650" i="1"/>
  <c r="EW650" i="1"/>
  <c r="EX650" i="1"/>
  <c r="EY650" i="1"/>
  <c r="EQ651" i="1"/>
  <c r="ER651" i="1"/>
  <c r="ES651" i="1"/>
  <c r="ET651" i="1"/>
  <c r="EU651" i="1"/>
  <c r="EV651" i="1"/>
  <c r="EW651" i="1"/>
  <c r="EX651" i="1"/>
  <c r="EY651" i="1"/>
  <c r="EQ652" i="1"/>
  <c r="ER652" i="1"/>
  <c r="ES652" i="1"/>
  <c r="ET652" i="1"/>
  <c r="EU652" i="1"/>
  <c r="EV652" i="1"/>
  <c r="EW652" i="1"/>
  <c r="EX652" i="1"/>
  <c r="EY652" i="1"/>
  <c r="EQ653" i="1"/>
  <c r="ER653" i="1"/>
  <c r="ES653" i="1"/>
  <c r="ET653" i="1"/>
  <c r="EU653" i="1"/>
  <c r="EV653" i="1"/>
  <c r="EW653" i="1"/>
  <c r="EX653" i="1"/>
  <c r="EY653" i="1"/>
  <c r="EQ654" i="1"/>
  <c r="ER654" i="1"/>
  <c r="ES654" i="1"/>
  <c r="ET654" i="1"/>
  <c r="EU654" i="1"/>
  <c r="EV654" i="1"/>
  <c r="EW654" i="1"/>
  <c r="EX654" i="1"/>
  <c r="EY654" i="1"/>
  <c r="EQ655" i="1"/>
  <c r="ER655" i="1"/>
  <c r="ES655" i="1"/>
  <c r="ET655" i="1"/>
  <c r="EU655" i="1"/>
  <c r="EV655" i="1"/>
  <c r="EW655" i="1"/>
  <c r="EX655" i="1"/>
  <c r="EY655" i="1"/>
  <c r="EQ656" i="1"/>
  <c r="ER656" i="1"/>
  <c r="ES656" i="1"/>
  <c r="ET656" i="1"/>
  <c r="EU656" i="1"/>
  <c r="EV656" i="1"/>
  <c r="EW656" i="1"/>
  <c r="EX656" i="1"/>
  <c r="EY656" i="1"/>
  <c r="EQ657" i="1"/>
  <c r="ER657" i="1"/>
  <c r="ES657" i="1"/>
  <c r="ET657" i="1"/>
  <c r="EU657" i="1"/>
  <c r="EV657" i="1"/>
  <c r="EW657" i="1"/>
  <c r="EX657" i="1"/>
  <c r="EY657" i="1"/>
  <c r="EQ658" i="1"/>
  <c r="ER658" i="1"/>
  <c r="ES658" i="1"/>
  <c r="ET658" i="1"/>
  <c r="EU658" i="1"/>
  <c r="EV658" i="1"/>
  <c r="EW658" i="1"/>
  <c r="EX658" i="1"/>
  <c r="EY658" i="1"/>
  <c r="EQ659" i="1"/>
  <c r="ER659" i="1"/>
  <c r="ES659" i="1"/>
  <c r="ET659" i="1"/>
  <c r="EU659" i="1"/>
  <c r="EV659" i="1"/>
  <c r="EW659" i="1"/>
  <c r="EX659" i="1"/>
  <c r="EY659" i="1"/>
  <c r="EQ660" i="1"/>
  <c r="ER660" i="1"/>
  <c r="ES660" i="1"/>
  <c r="ET660" i="1"/>
  <c r="EU660" i="1"/>
  <c r="EV660" i="1"/>
  <c r="EW660" i="1"/>
  <c r="EX660" i="1"/>
  <c r="EY660" i="1"/>
  <c r="EQ661" i="1"/>
  <c r="ER661" i="1"/>
  <c r="ES661" i="1"/>
  <c r="ET661" i="1"/>
  <c r="EU661" i="1"/>
  <c r="EV661" i="1"/>
  <c r="EW661" i="1"/>
  <c r="EX661" i="1"/>
  <c r="EY661" i="1"/>
  <c r="EQ662" i="1"/>
  <c r="ER662" i="1"/>
  <c r="ES662" i="1"/>
  <c r="ET662" i="1"/>
  <c r="EU662" i="1"/>
  <c r="EV662" i="1"/>
  <c r="EW662" i="1"/>
  <c r="EX662" i="1"/>
  <c r="EY662" i="1"/>
  <c r="EQ663" i="1"/>
  <c r="ER663" i="1"/>
  <c r="ES663" i="1"/>
  <c r="ET663" i="1"/>
  <c r="EU663" i="1"/>
  <c r="EV663" i="1"/>
  <c r="EW663" i="1"/>
  <c r="EX663" i="1"/>
  <c r="EY663" i="1"/>
  <c r="EQ664" i="1"/>
  <c r="ER664" i="1"/>
  <c r="ES664" i="1"/>
  <c r="ET664" i="1"/>
  <c r="EU664" i="1"/>
  <c r="EV664" i="1"/>
  <c r="EW664" i="1"/>
  <c r="EX664" i="1"/>
  <c r="EY664" i="1"/>
  <c r="EQ665" i="1"/>
  <c r="ER665" i="1"/>
  <c r="ES665" i="1"/>
  <c r="ET665" i="1"/>
  <c r="EU665" i="1"/>
  <c r="EV665" i="1"/>
  <c r="EW665" i="1"/>
  <c r="EX665" i="1"/>
  <c r="EY665" i="1"/>
  <c r="EQ666" i="1"/>
  <c r="ER666" i="1"/>
  <c r="ES666" i="1"/>
  <c r="ET666" i="1"/>
  <c r="EU666" i="1"/>
  <c r="EV666" i="1"/>
  <c r="EW666" i="1"/>
  <c r="EX666" i="1"/>
  <c r="EY666" i="1"/>
  <c r="EQ667" i="1"/>
  <c r="ER667" i="1"/>
  <c r="ES667" i="1"/>
  <c r="ET667" i="1"/>
  <c r="EU667" i="1"/>
  <c r="EV667" i="1"/>
  <c r="EW667" i="1"/>
  <c r="EX667" i="1"/>
  <c r="EY667" i="1"/>
  <c r="EQ668" i="1"/>
  <c r="ER668" i="1"/>
  <c r="ES668" i="1"/>
  <c r="ET668" i="1"/>
  <c r="EU668" i="1"/>
  <c r="EV668" i="1"/>
  <c r="EW668" i="1"/>
  <c r="EX668" i="1"/>
  <c r="EY668" i="1"/>
  <c r="EQ669" i="1"/>
  <c r="ER669" i="1"/>
  <c r="ES669" i="1"/>
  <c r="ET669" i="1"/>
  <c r="EU669" i="1"/>
  <c r="EV669" i="1"/>
  <c r="EW669" i="1"/>
  <c r="EX669" i="1"/>
  <c r="EY669" i="1"/>
  <c r="EQ670" i="1"/>
  <c r="ER670" i="1"/>
  <c r="ES670" i="1"/>
  <c r="ET670" i="1"/>
  <c r="EU670" i="1"/>
  <c r="EV670" i="1"/>
  <c r="EW670" i="1"/>
  <c r="EX670" i="1"/>
  <c r="EY670" i="1"/>
  <c r="EQ671" i="1"/>
  <c r="ER671" i="1"/>
  <c r="ES671" i="1"/>
  <c r="ET671" i="1"/>
  <c r="EU671" i="1"/>
  <c r="EV671" i="1"/>
  <c r="EW671" i="1"/>
  <c r="EX671" i="1"/>
  <c r="EY671" i="1"/>
  <c r="EQ672" i="1"/>
  <c r="ER672" i="1"/>
  <c r="ES672" i="1"/>
  <c r="ET672" i="1"/>
  <c r="EU672" i="1"/>
  <c r="EV672" i="1"/>
  <c r="EW672" i="1"/>
  <c r="EX672" i="1"/>
  <c r="EY672" i="1"/>
  <c r="EQ673" i="1"/>
  <c r="ER673" i="1"/>
  <c r="ES673" i="1"/>
  <c r="ET673" i="1"/>
  <c r="EU673" i="1"/>
  <c r="EV673" i="1"/>
  <c r="EW673" i="1"/>
  <c r="EX673" i="1"/>
  <c r="EY673" i="1"/>
  <c r="EQ674" i="1"/>
  <c r="ER674" i="1"/>
  <c r="ES674" i="1"/>
  <c r="ET674" i="1"/>
  <c r="EU674" i="1"/>
  <c r="EV674" i="1"/>
  <c r="EW674" i="1"/>
  <c r="EX674" i="1"/>
  <c r="EY674" i="1"/>
  <c r="EQ675" i="1"/>
  <c r="ER675" i="1"/>
  <c r="ES675" i="1"/>
  <c r="ET675" i="1"/>
  <c r="EU675" i="1"/>
  <c r="EV675" i="1"/>
  <c r="EW675" i="1"/>
  <c r="EX675" i="1"/>
  <c r="EY675" i="1"/>
  <c r="EQ676" i="1"/>
  <c r="ER676" i="1"/>
  <c r="ES676" i="1"/>
  <c r="ET676" i="1"/>
  <c r="EU676" i="1"/>
  <c r="EV676" i="1"/>
  <c r="EW676" i="1"/>
  <c r="EX676" i="1"/>
  <c r="EY676" i="1"/>
  <c r="EQ677" i="1"/>
  <c r="ER677" i="1"/>
  <c r="ES677" i="1"/>
  <c r="ET677" i="1"/>
  <c r="EU677" i="1"/>
  <c r="EV677" i="1"/>
  <c r="EW677" i="1"/>
  <c r="EX677" i="1"/>
  <c r="EY677" i="1"/>
  <c r="EQ678" i="1"/>
  <c r="ER678" i="1"/>
  <c r="ES678" i="1"/>
  <c r="ET678" i="1"/>
  <c r="EU678" i="1"/>
  <c r="EV678" i="1"/>
  <c r="EW678" i="1"/>
  <c r="EX678" i="1"/>
  <c r="EY678" i="1"/>
  <c r="EQ679" i="1"/>
  <c r="ER679" i="1"/>
  <c r="ES679" i="1"/>
  <c r="ET679" i="1"/>
  <c r="EU679" i="1"/>
  <c r="EV679" i="1"/>
  <c r="EW679" i="1"/>
  <c r="EX679" i="1"/>
  <c r="EY679" i="1"/>
  <c r="EQ680" i="1"/>
  <c r="ER680" i="1"/>
  <c r="ES680" i="1"/>
  <c r="ET680" i="1"/>
  <c r="EU680" i="1"/>
  <c r="EV680" i="1"/>
  <c r="EW680" i="1"/>
  <c r="EX680" i="1"/>
  <c r="EY680" i="1"/>
  <c r="EQ681" i="1"/>
  <c r="ER681" i="1"/>
  <c r="ES681" i="1"/>
  <c r="ET681" i="1"/>
  <c r="EU681" i="1"/>
  <c r="EV681" i="1"/>
  <c r="EW681" i="1"/>
  <c r="EX681" i="1"/>
  <c r="EY681" i="1"/>
  <c r="EQ682" i="1"/>
  <c r="ER682" i="1"/>
  <c r="ES682" i="1"/>
  <c r="ET682" i="1"/>
  <c r="EU682" i="1"/>
  <c r="EV682" i="1"/>
  <c r="EW682" i="1"/>
  <c r="EX682" i="1"/>
  <c r="EY682" i="1"/>
  <c r="EQ683" i="1"/>
  <c r="ER683" i="1"/>
  <c r="ES683" i="1"/>
  <c r="ET683" i="1"/>
  <c r="EU683" i="1"/>
  <c r="EV683" i="1"/>
  <c r="EW683" i="1"/>
  <c r="EX683" i="1"/>
  <c r="EY683" i="1"/>
  <c r="EQ684" i="1"/>
  <c r="ER684" i="1"/>
  <c r="ES684" i="1"/>
  <c r="ET684" i="1"/>
  <c r="EU684" i="1"/>
  <c r="EV684" i="1"/>
  <c r="EW684" i="1"/>
  <c r="EX684" i="1"/>
  <c r="EY684" i="1"/>
  <c r="EQ685" i="1"/>
  <c r="ER685" i="1"/>
  <c r="ES685" i="1"/>
  <c r="ET685" i="1"/>
  <c r="EU685" i="1"/>
  <c r="EV685" i="1"/>
  <c r="EW685" i="1"/>
  <c r="EX685" i="1"/>
  <c r="EY685" i="1"/>
  <c r="EQ686" i="1"/>
  <c r="ER686" i="1"/>
  <c r="ES686" i="1"/>
  <c r="ET686" i="1"/>
  <c r="EU686" i="1"/>
  <c r="EV686" i="1"/>
  <c r="EW686" i="1"/>
  <c r="EX686" i="1"/>
  <c r="EY686" i="1"/>
  <c r="EQ687" i="1"/>
  <c r="ER687" i="1"/>
  <c r="ES687" i="1"/>
  <c r="ET687" i="1"/>
  <c r="EU687" i="1"/>
  <c r="EV687" i="1"/>
  <c r="EW687" i="1"/>
  <c r="EX687" i="1"/>
  <c r="EY687" i="1"/>
  <c r="EQ688" i="1"/>
  <c r="ER688" i="1"/>
  <c r="ES688" i="1"/>
  <c r="ET688" i="1"/>
  <c r="EU688" i="1"/>
  <c r="EV688" i="1"/>
  <c r="EW688" i="1"/>
  <c r="EX688" i="1"/>
  <c r="EY688" i="1"/>
  <c r="EQ689" i="1"/>
  <c r="ER689" i="1"/>
  <c r="ES689" i="1"/>
  <c r="ET689" i="1"/>
  <c r="EU689" i="1"/>
  <c r="EV689" i="1"/>
  <c r="EW689" i="1"/>
  <c r="EX689" i="1"/>
  <c r="EY689" i="1"/>
  <c r="EQ690" i="1"/>
  <c r="ER690" i="1"/>
  <c r="ES690" i="1"/>
  <c r="ET690" i="1"/>
  <c r="EU690" i="1"/>
  <c r="EV690" i="1"/>
  <c r="EW690" i="1"/>
  <c r="EX690" i="1"/>
  <c r="EY690" i="1"/>
  <c r="EQ691" i="1"/>
  <c r="ER691" i="1"/>
  <c r="ES691" i="1"/>
  <c r="ET691" i="1"/>
  <c r="EU691" i="1"/>
  <c r="EV691" i="1"/>
  <c r="EW691" i="1"/>
  <c r="EX691" i="1"/>
  <c r="EY691" i="1"/>
  <c r="EQ692" i="1"/>
  <c r="ER692" i="1"/>
  <c r="ES692" i="1"/>
  <c r="ET692" i="1"/>
  <c r="EU692" i="1"/>
  <c r="EV692" i="1"/>
  <c r="EW692" i="1"/>
  <c r="EX692" i="1"/>
  <c r="EY692" i="1"/>
  <c r="EQ693" i="1"/>
  <c r="ER693" i="1"/>
  <c r="ES693" i="1"/>
  <c r="ET693" i="1"/>
  <c r="EU693" i="1"/>
  <c r="EV693" i="1"/>
  <c r="EW693" i="1"/>
  <c r="EX693" i="1"/>
  <c r="EY693" i="1"/>
  <c r="EQ694" i="1"/>
  <c r="ER694" i="1"/>
  <c r="ES694" i="1"/>
  <c r="ET694" i="1"/>
  <c r="EU694" i="1"/>
  <c r="EV694" i="1"/>
  <c r="EW694" i="1"/>
  <c r="EX694" i="1"/>
  <c r="EY694" i="1"/>
  <c r="EQ695" i="1"/>
  <c r="ER695" i="1"/>
  <c r="ES695" i="1"/>
  <c r="ET695" i="1"/>
  <c r="EU695" i="1"/>
  <c r="EV695" i="1"/>
  <c r="EW695" i="1"/>
  <c r="EX695" i="1"/>
  <c r="EY695" i="1"/>
  <c r="EQ696" i="1"/>
  <c r="ER696" i="1"/>
  <c r="ES696" i="1"/>
  <c r="ET696" i="1"/>
  <c r="EU696" i="1"/>
  <c r="EV696" i="1"/>
  <c r="EW696" i="1"/>
  <c r="EX696" i="1"/>
  <c r="EY696" i="1"/>
  <c r="EQ697" i="1"/>
  <c r="ER697" i="1"/>
  <c r="ES697" i="1"/>
  <c r="ET697" i="1"/>
  <c r="EU697" i="1"/>
  <c r="EV697" i="1"/>
  <c r="EW697" i="1"/>
  <c r="EX697" i="1"/>
  <c r="EY697" i="1"/>
  <c r="EQ698" i="1"/>
  <c r="ER698" i="1"/>
  <c r="ES698" i="1"/>
  <c r="ET698" i="1"/>
  <c r="EU698" i="1"/>
  <c r="EV698" i="1"/>
  <c r="EW698" i="1"/>
  <c r="EX698" i="1"/>
  <c r="EY698" i="1"/>
  <c r="EQ699" i="1"/>
  <c r="ER699" i="1"/>
  <c r="ES699" i="1"/>
  <c r="ET699" i="1"/>
  <c r="EU699" i="1"/>
  <c r="EV699" i="1"/>
  <c r="EW699" i="1"/>
  <c r="EX699" i="1"/>
  <c r="EY699" i="1"/>
  <c r="EQ700" i="1"/>
  <c r="ER700" i="1"/>
  <c r="ES700" i="1"/>
  <c r="ET700" i="1"/>
  <c r="EU700" i="1"/>
  <c r="EV700" i="1"/>
  <c r="EW700" i="1"/>
  <c r="EX700" i="1"/>
  <c r="EY700" i="1"/>
  <c r="EQ701" i="1"/>
  <c r="ER701" i="1"/>
  <c r="ES701" i="1"/>
  <c r="ET701" i="1"/>
  <c r="EU701" i="1"/>
  <c r="EV701" i="1"/>
  <c r="EW701" i="1"/>
  <c r="EX701" i="1"/>
  <c r="EY701" i="1"/>
  <c r="EQ702" i="1"/>
  <c r="ER702" i="1"/>
  <c r="ES702" i="1"/>
  <c r="ET702" i="1"/>
  <c r="EU702" i="1"/>
  <c r="EV702" i="1"/>
  <c r="EW702" i="1"/>
  <c r="EX702" i="1"/>
  <c r="EY702" i="1"/>
  <c r="EQ703" i="1"/>
  <c r="ER703" i="1"/>
  <c r="ES703" i="1"/>
  <c r="ET703" i="1"/>
  <c r="EU703" i="1"/>
  <c r="EV703" i="1"/>
  <c r="EW703" i="1"/>
  <c r="EX703" i="1"/>
  <c r="EY703" i="1"/>
  <c r="EQ704" i="1"/>
  <c r="ER704" i="1"/>
  <c r="ES704" i="1"/>
  <c r="ET704" i="1"/>
  <c r="EU704" i="1"/>
  <c r="EV704" i="1"/>
  <c r="EW704" i="1"/>
  <c r="EX704" i="1"/>
  <c r="EY704" i="1"/>
  <c r="EQ705" i="1"/>
  <c r="ER705" i="1"/>
  <c r="ES705" i="1"/>
  <c r="ET705" i="1"/>
  <c r="EU705" i="1"/>
  <c r="EV705" i="1"/>
  <c r="EW705" i="1"/>
  <c r="EX705" i="1"/>
  <c r="EY705" i="1"/>
  <c r="EQ706" i="1"/>
  <c r="ER706" i="1"/>
  <c r="ES706" i="1"/>
  <c r="ET706" i="1"/>
  <c r="EU706" i="1"/>
  <c r="EV706" i="1"/>
  <c r="EW706" i="1"/>
  <c r="EX706" i="1"/>
  <c r="EY706" i="1"/>
  <c r="EQ707" i="1"/>
  <c r="ER707" i="1"/>
  <c r="ES707" i="1"/>
  <c r="ET707" i="1"/>
  <c r="EU707" i="1"/>
  <c r="EV707" i="1"/>
  <c r="EW707" i="1"/>
  <c r="EX707" i="1"/>
  <c r="EY707" i="1"/>
  <c r="EQ708" i="1"/>
  <c r="ER708" i="1"/>
  <c r="ES708" i="1"/>
  <c r="ET708" i="1"/>
  <c r="EU708" i="1"/>
  <c r="EV708" i="1"/>
  <c r="EW708" i="1"/>
  <c r="EX708" i="1"/>
  <c r="EY708" i="1"/>
  <c r="EQ709" i="1"/>
  <c r="ER709" i="1"/>
  <c r="ES709" i="1"/>
  <c r="ET709" i="1"/>
  <c r="EU709" i="1"/>
  <c r="EV709" i="1"/>
  <c r="EW709" i="1"/>
  <c r="EX709" i="1"/>
  <c r="EY709" i="1"/>
  <c r="EQ710" i="1"/>
  <c r="ER710" i="1"/>
  <c r="ES710" i="1"/>
  <c r="ET710" i="1"/>
  <c r="EU710" i="1"/>
  <c r="EV710" i="1"/>
  <c r="EW710" i="1"/>
  <c r="EX710" i="1"/>
  <c r="EY710" i="1"/>
  <c r="EQ711" i="1"/>
  <c r="ER711" i="1"/>
  <c r="ES711" i="1"/>
  <c r="ET711" i="1"/>
  <c r="EU711" i="1"/>
  <c r="EV711" i="1"/>
  <c r="EW711" i="1"/>
  <c r="EX711" i="1"/>
  <c r="EY711" i="1"/>
  <c r="EQ712" i="1"/>
  <c r="ER712" i="1"/>
  <c r="ES712" i="1"/>
  <c r="ET712" i="1"/>
  <c r="EU712" i="1"/>
  <c r="EV712" i="1"/>
  <c r="EW712" i="1"/>
  <c r="EX712" i="1"/>
  <c r="EY712" i="1"/>
  <c r="EQ713" i="1"/>
  <c r="ER713" i="1"/>
  <c r="ES713" i="1"/>
  <c r="ET713" i="1"/>
  <c r="EU713" i="1"/>
  <c r="EV713" i="1"/>
  <c r="EW713" i="1"/>
  <c r="EX713" i="1"/>
  <c r="EY713" i="1"/>
  <c r="EQ714" i="1"/>
  <c r="ER714" i="1"/>
  <c r="ES714" i="1"/>
  <c r="ET714" i="1"/>
  <c r="EU714" i="1"/>
  <c r="EV714" i="1"/>
  <c r="EW714" i="1"/>
  <c r="EX714" i="1"/>
  <c r="EY714" i="1"/>
  <c r="EQ715" i="1"/>
  <c r="ER715" i="1"/>
  <c r="ES715" i="1"/>
  <c r="ET715" i="1"/>
  <c r="EU715" i="1"/>
  <c r="EV715" i="1"/>
  <c r="EW715" i="1"/>
  <c r="EX715" i="1"/>
  <c r="EY715" i="1"/>
  <c r="EQ716" i="1"/>
  <c r="ER716" i="1"/>
  <c r="ES716" i="1"/>
  <c r="ET716" i="1"/>
  <c r="EU716" i="1"/>
  <c r="EV716" i="1"/>
  <c r="EW716" i="1"/>
  <c r="EX716" i="1"/>
  <c r="EY716" i="1"/>
  <c r="EQ717" i="1"/>
  <c r="ER717" i="1"/>
  <c r="ES717" i="1"/>
  <c r="ET717" i="1"/>
  <c r="EU717" i="1"/>
  <c r="EV717" i="1"/>
  <c r="EW717" i="1"/>
  <c r="EX717" i="1"/>
  <c r="EY717" i="1"/>
  <c r="EQ718" i="1"/>
  <c r="ER718" i="1"/>
  <c r="ES718" i="1"/>
  <c r="ET718" i="1"/>
  <c r="EU718" i="1"/>
  <c r="EV718" i="1"/>
  <c r="EW718" i="1"/>
  <c r="EX718" i="1"/>
  <c r="EY718" i="1"/>
  <c r="EQ719" i="1"/>
  <c r="ER719" i="1"/>
  <c r="ES719" i="1"/>
  <c r="ET719" i="1"/>
  <c r="EU719" i="1"/>
  <c r="EV719" i="1"/>
  <c r="EW719" i="1"/>
  <c r="EX719" i="1"/>
  <c r="EY719" i="1"/>
  <c r="EQ720" i="1"/>
  <c r="ER720" i="1"/>
  <c r="ES720" i="1"/>
  <c r="ET720" i="1"/>
  <c r="EU720" i="1"/>
  <c r="EV720" i="1"/>
  <c r="EW720" i="1"/>
  <c r="EX720" i="1"/>
  <c r="EY720" i="1"/>
  <c r="EQ721" i="1"/>
  <c r="ER721" i="1"/>
  <c r="ES721" i="1"/>
  <c r="ET721" i="1"/>
  <c r="EU721" i="1"/>
  <c r="EV721" i="1"/>
  <c r="EW721" i="1"/>
  <c r="EX721" i="1"/>
  <c r="EY721" i="1"/>
  <c r="EQ722" i="1"/>
  <c r="ER722" i="1"/>
  <c r="ES722" i="1"/>
  <c r="ET722" i="1"/>
  <c r="EU722" i="1"/>
  <c r="EV722" i="1"/>
  <c r="EW722" i="1"/>
  <c r="EX722" i="1"/>
  <c r="EY722" i="1"/>
  <c r="EQ723" i="1"/>
  <c r="ER723" i="1"/>
  <c r="ES723" i="1"/>
  <c r="ET723" i="1"/>
  <c r="EU723" i="1"/>
  <c r="EV723" i="1"/>
  <c r="EW723" i="1"/>
  <c r="EX723" i="1"/>
  <c r="EY723" i="1"/>
  <c r="EQ724" i="1"/>
  <c r="ER724" i="1"/>
  <c r="ES724" i="1"/>
  <c r="ET724" i="1"/>
  <c r="EU724" i="1"/>
  <c r="EV724" i="1"/>
  <c r="EW724" i="1"/>
  <c r="EX724" i="1"/>
  <c r="EY724" i="1"/>
  <c r="EQ725" i="1"/>
  <c r="ER725" i="1"/>
  <c r="ES725" i="1"/>
  <c r="ET725" i="1"/>
  <c r="EU725" i="1"/>
  <c r="EV725" i="1"/>
  <c r="EW725" i="1"/>
  <c r="EX725" i="1"/>
  <c r="EY725" i="1"/>
  <c r="EQ726" i="1"/>
  <c r="ER726" i="1"/>
  <c r="ES726" i="1"/>
  <c r="ET726" i="1"/>
  <c r="EU726" i="1"/>
  <c r="EV726" i="1"/>
  <c r="EW726" i="1"/>
  <c r="EX726" i="1"/>
  <c r="EY726" i="1"/>
  <c r="EQ727" i="1"/>
  <c r="ER727" i="1"/>
  <c r="ES727" i="1"/>
  <c r="ET727" i="1"/>
  <c r="EU727" i="1"/>
  <c r="EV727" i="1"/>
  <c r="EW727" i="1"/>
  <c r="EX727" i="1"/>
  <c r="EY727" i="1"/>
  <c r="EQ728" i="1"/>
  <c r="ER728" i="1"/>
  <c r="ES728" i="1"/>
  <c r="ET728" i="1"/>
  <c r="EU728" i="1"/>
  <c r="EV728" i="1"/>
  <c r="EW728" i="1"/>
  <c r="EX728" i="1"/>
  <c r="EY728" i="1"/>
  <c r="EQ729" i="1"/>
  <c r="ER729" i="1"/>
  <c r="ES729" i="1"/>
  <c r="ET729" i="1"/>
  <c r="EU729" i="1"/>
  <c r="EV729" i="1"/>
  <c r="EW729" i="1"/>
  <c r="EX729" i="1"/>
  <c r="EY729" i="1"/>
  <c r="EQ730" i="1"/>
  <c r="ER730" i="1"/>
  <c r="ES730" i="1"/>
  <c r="ET730" i="1"/>
  <c r="EU730" i="1"/>
  <c r="EV730" i="1"/>
  <c r="EW730" i="1"/>
  <c r="EX730" i="1"/>
  <c r="EY730" i="1"/>
  <c r="EQ731" i="1"/>
  <c r="ER731" i="1"/>
  <c r="ES731" i="1"/>
  <c r="ET731" i="1"/>
  <c r="EU731" i="1"/>
  <c r="EV731" i="1"/>
  <c r="EW731" i="1"/>
  <c r="EX731" i="1"/>
  <c r="EY731" i="1"/>
  <c r="EQ732" i="1"/>
  <c r="ER732" i="1"/>
  <c r="ES732" i="1"/>
  <c r="ET732" i="1"/>
  <c r="EU732" i="1"/>
  <c r="EV732" i="1"/>
  <c r="EW732" i="1"/>
  <c r="EX732" i="1"/>
  <c r="EY732" i="1"/>
  <c r="EQ733" i="1"/>
  <c r="ER733" i="1"/>
  <c r="ES733" i="1"/>
  <c r="ET733" i="1"/>
  <c r="EU733" i="1"/>
  <c r="EV733" i="1"/>
  <c r="EW733" i="1"/>
  <c r="EX733" i="1"/>
  <c r="EY733" i="1"/>
  <c r="EQ734" i="1"/>
  <c r="ER734" i="1"/>
  <c r="ES734" i="1"/>
  <c r="ET734" i="1"/>
  <c r="EU734" i="1"/>
  <c r="EV734" i="1"/>
  <c r="EW734" i="1"/>
  <c r="EX734" i="1"/>
  <c r="EY734" i="1"/>
  <c r="EQ735" i="1"/>
  <c r="ER735" i="1"/>
  <c r="ES735" i="1"/>
  <c r="ET735" i="1"/>
  <c r="EU735" i="1"/>
  <c r="EV735" i="1"/>
  <c r="EW735" i="1"/>
  <c r="EX735" i="1"/>
  <c r="EY735" i="1"/>
  <c r="EQ736" i="1"/>
  <c r="ER736" i="1"/>
  <c r="ES736" i="1"/>
  <c r="ET736" i="1"/>
  <c r="EU736" i="1"/>
  <c r="EV736" i="1"/>
  <c r="EW736" i="1"/>
  <c r="EX736" i="1"/>
  <c r="EY736" i="1"/>
  <c r="EQ737" i="1"/>
  <c r="ER737" i="1"/>
  <c r="ES737" i="1"/>
  <c r="ET737" i="1"/>
  <c r="EU737" i="1"/>
  <c r="EV737" i="1"/>
  <c r="EW737" i="1"/>
  <c r="EX737" i="1"/>
  <c r="EY737" i="1"/>
  <c r="EQ738" i="1"/>
  <c r="ER738" i="1"/>
  <c r="ES738" i="1"/>
  <c r="ET738" i="1"/>
  <c r="EU738" i="1"/>
  <c r="EV738" i="1"/>
  <c r="EW738" i="1"/>
  <c r="EX738" i="1"/>
  <c r="EY738" i="1"/>
  <c r="EQ739" i="1"/>
  <c r="ER739" i="1"/>
  <c r="ES739" i="1"/>
  <c r="ET739" i="1"/>
  <c r="EU739" i="1"/>
  <c r="EV739" i="1"/>
  <c r="EW739" i="1"/>
  <c r="EX739" i="1"/>
  <c r="EY739" i="1"/>
  <c r="EQ740" i="1"/>
  <c r="ER740" i="1"/>
  <c r="ES740" i="1"/>
  <c r="ET740" i="1"/>
  <c r="EU740" i="1"/>
  <c r="EV740" i="1"/>
  <c r="EW740" i="1"/>
  <c r="EX740" i="1"/>
  <c r="EY740" i="1"/>
  <c r="EQ741" i="1"/>
  <c r="ER741" i="1"/>
  <c r="ES741" i="1"/>
  <c r="ET741" i="1"/>
  <c r="EU741" i="1"/>
  <c r="EV741" i="1"/>
  <c r="EW741" i="1"/>
  <c r="EX741" i="1"/>
  <c r="EY741" i="1"/>
  <c r="EQ742" i="1"/>
  <c r="ER742" i="1"/>
  <c r="ES742" i="1"/>
  <c r="ET742" i="1"/>
  <c r="EU742" i="1"/>
  <c r="EV742" i="1"/>
  <c r="EW742" i="1"/>
  <c r="EX742" i="1"/>
  <c r="EY742" i="1"/>
  <c r="EQ743" i="1"/>
  <c r="ER743" i="1"/>
  <c r="ES743" i="1"/>
  <c r="ET743" i="1"/>
  <c r="EU743" i="1"/>
  <c r="EV743" i="1"/>
  <c r="EW743" i="1"/>
  <c r="EX743" i="1"/>
  <c r="EY743" i="1"/>
  <c r="EQ744" i="1"/>
  <c r="ER744" i="1"/>
  <c r="ES744" i="1"/>
  <c r="ET744" i="1"/>
  <c r="EU744" i="1"/>
  <c r="EV744" i="1"/>
  <c r="EW744" i="1"/>
  <c r="EX744" i="1"/>
  <c r="EY744" i="1"/>
  <c r="EQ745" i="1"/>
  <c r="ER745" i="1"/>
  <c r="ES745" i="1"/>
  <c r="ET745" i="1"/>
  <c r="EU745" i="1"/>
  <c r="EV745" i="1"/>
  <c r="EW745" i="1"/>
  <c r="EX745" i="1"/>
  <c r="EY745" i="1"/>
  <c r="EQ746" i="1"/>
  <c r="ER746" i="1"/>
  <c r="ES746" i="1"/>
  <c r="ET746" i="1"/>
  <c r="EU746" i="1"/>
  <c r="EV746" i="1"/>
  <c r="EW746" i="1"/>
  <c r="EX746" i="1"/>
  <c r="EY746" i="1"/>
  <c r="EQ747" i="1"/>
  <c r="ER747" i="1"/>
  <c r="ES747" i="1"/>
  <c r="ET747" i="1"/>
  <c r="EU747" i="1"/>
  <c r="EV747" i="1"/>
  <c r="EW747" i="1"/>
  <c r="EX747" i="1"/>
  <c r="EY747" i="1"/>
  <c r="EQ748" i="1"/>
  <c r="ER748" i="1"/>
  <c r="ES748" i="1"/>
  <c r="ET748" i="1"/>
  <c r="EU748" i="1"/>
  <c r="EV748" i="1"/>
  <c r="EW748" i="1"/>
  <c r="EX748" i="1"/>
  <c r="EY748" i="1"/>
  <c r="EQ749" i="1"/>
  <c r="ER749" i="1"/>
  <c r="ES749" i="1"/>
  <c r="ET749" i="1"/>
  <c r="EU749" i="1"/>
  <c r="EV749" i="1"/>
  <c r="EW749" i="1"/>
  <c r="EX749" i="1"/>
  <c r="EY749" i="1"/>
  <c r="EQ750" i="1"/>
  <c r="ER750" i="1"/>
  <c r="ES750" i="1"/>
  <c r="ET750" i="1"/>
  <c r="EU750" i="1"/>
  <c r="EV750" i="1"/>
  <c r="EW750" i="1"/>
  <c r="EX750" i="1"/>
  <c r="EY750" i="1"/>
  <c r="EQ751" i="1"/>
  <c r="ER751" i="1"/>
  <c r="ES751" i="1"/>
  <c r="ET751" i="1"/>
  <c r="EU751" i="1"/>
  <c r="EV751" i="1"/>
  <c r="EW751" i="1"/>
  <c r="EX751" i="1"/>
  <c r="EY751" i="1"/>
  <c r="EQ752" i="1"/>
  <c r="ER752" i="1"/>
  <c r="ES752" i="1"/>
  <c r="ET752" i="1"/>
  <c r="EU752" i="1"/>
  <c r="EV752" i="1"/>
  <c r="EW752" i="1"/>
  <c r="EX752" i="1"/>
  <c r="EY752" i="1"/>
  <c r="EQ753" i="1"/>
  <c r="ER753" i="1"/>
  <c r="ES753" i="1"/>
  <c r="ET753" i="1"/>
  <c r="EU753" i="1"/>
  <c r="EV753" i="1"/>
  <c r="EW753" i="1"/>
  <c r="EX753" i="1"/>
  <c r="EY753" i="1"/>
  <c r="EQ754" i="1"/>
  <c r="ER754" i="1"/>
  <c r="ES754" i="1"/>
  <c r="ET754" i="1"/>
  <c r="EU754" i="1"/>
  <c r="EV754" i="1"/>
  <c r="EW754" i="1"/>
  <c r="EX754" i="1"/>
  <c r="EY754" i="1"/>
  <c r="EQ755" i="1"/>
  <c r="ER755" i="1"/>
  <c r="ES755" i="1"/>
  <c r="ET755" i="1"/>
  <c r="EU755" i="1"/>
  <c r="EV755" i="1"/>
  <c r="EW755" i="1"/>
  <c r="EX755" i="1"/>
  <c r="EY755" i="1"/>
  <c r="EQ756" i="1"/>
  <c r="ER756" i="1"/>
  <c r="ES756" i="1"/>
  <c r="ET756" i="1"/>
  <c r="EU756" i="1"/>
  <c r="EV756" i="1"/>
  <c r="EW756" i="1"/>
  <c r="EX756" i="1"/>
  <c r="EY756" i="1"/>
  <c r="EQ757" i="1"/>
  <c r="ER757" i="1"/>
  <c r="ES757" i="1"/>
  <c r="ET757" i="1"/>
  <c r="EU757" i="1"/>
  <c r="EV757" i="1"/>
  <c r="EW757" i="1"/>
  <c r="EX757" i="1"/>
  <c r="EY757" i="1"/>
  <c r="EQ758" i="1"/>
  <c r="ER758" i="1"/>
  <c r="ES758" i="1"/>
  <c r="ET758" i="1"/>
  <c r="EU758" i="1"/>
  <c r="EV758" i="1"/>
  <c r="EW758" i="1"/>
  <c r="EX758" i="1"/>
  <c r="EY758" i="1"/>
  <c r="EQ759" i="1"/>
  <c r="ER759" i="1"/>
  <c r="ES759" i="1"/>
  <c r="ET759" i="1"/>
  <c r="EU759" i="1"/>
  <c r="EV759" i="1"/>
  <c r="EW759" i="1"/>
  <c r="EX759" i="1"/>
  <c r="EY759" i="1"/>
  <c r="EQ760" i="1"/>
  <c r="ER760" i="1"/>
  <c r="ES760" i="1"/>
  <c r="ET760" i="1"/>
  <c r="EU760" i="1"/>
  <c r="EV760" i="1"/>
  <c r="EW760" i="1"/>
  <c r="EX760" i="1"/>
  <c r="EY760" i="1"/>
  <c r="EQ761" i="1"/>
  <c r="ER761" i="1"/>
  <c r="ES761" i="1"/>
  <c r="ET761" i="1"/>
  <c r="EU761" i="1"/>
  <c r="EV761" i="1"/>
  <c r="EW761" i="1"/>
  <c r="EX761" i="1"/>
  <c r="EY761" i="1"/>
  <c r="EQ762" i="1"/>
  <c r="ER762" i="1"/>
  <c r="ES762" i="1"/>
  <c r="ET762" i="1"/>
  <c r="EU762" i="1"/>
  <c r="EV762" i="1"/>
  <c r="EW762" i="1"/>
  <c r="EX762" i="1"/>
  <c r="EY762" i="1"/>
  <c r="EQ763" i="1"/>
  <c r="ER763" i="1"/>
  <c r="ES763" i="1"/>
  <c r="ET763" i="1"/>
  <c r="EU763" i="1"/>
  <c r="EV763" i="1"/>
  <c r="EW763" i="1"/>
  <c r="EX763" i="1"/>
  <c r="EY763" i="1"/>
  <c r="EQ764" i="1"/>
  <c r="ER764" i="1"/>
  <c r="ES764" i="1"/>
  <c r="ET764" i="1"/>
  <c r="EU764" i="1"/>
  <c r="EV764" i="1"/>
  <c r="EW764" i="1"/>
  <c r="EX764" i="1"/>
  <c r="EY764" i="1"/>
  <c r="EQ765" i="1"/>
  <c r="ER765" i="1"/>
  <c r="ES765" i="1"/>
  <c r="ET765" i="1"/>
  <c r="EU765" i="1"/>
  <c r="EV765" i="1"/>
  <c r="EW765" i="1"/>
  <c r="EX765" i="1"/>
  <c r="EY765" i="1"/>
  <c r="EQ766" i="1"/>
  <c r="ER766" i="1"/>
  <c r="ES766" i="1"/>
  <c r="ET766" i="1"/>
  <c r="EU766" i="1"/>
  <c r="EV766" i="1"/>
  <c r="EW766" i="1"/>
  <c r="EX766" i="1"/>
  <c r="EY766" i="1"/>
  <c r="EQ767" i="1"/>
  <c r="ER767" i="1"/>
  <c r="ES767" i="1"/>
  <c r="ET767" i="1"/>
  <c r="EU767" i="1"/>
  <c r="EV767" i="1"/>
  <c r="EW767" i="1"/>
  <c r="EX767" i="1"/>
  <c r="EY767" i="1"/>
  <c r="EQ768" i="1"/>
  <c r="ER768" i="1"/>
  <c r="ES768" i="1"/>
  <c r="ET768" i="1"/>
  <c r="EU768" i="1"/>
  <c r="EV768" i="1"/>
  <c r="EW768" i="1"/>
  <c r="EX768" i="1"/>
  <c r="EY768" i="1"/>
  <c r="EQ769" i="1"/>
  <c r="ER769" i="1"/>
  <c r="ES769" i="1"/>
  <c r="ET769" i="1"/>
  <c r="EU769" i="1"/>
  <c r="EV769" i="1"/>
  <c r="EW769" i="1"/>
  <c r="EX769" i="1"/>
  <c r="EY769" i="1"/>
  <c r="EQ770" i="1"/>
  <c r="ER770" i="1"/>
  <c r="ES770" i="1"/>
  <c r="ET770" i="1"/>
  <c r="EU770" i="1"/>
  <c r="EV770" i="1"/>
  <c r="EW770" i="1"/>
  <c r="EX770" i="1"/>
  <c r="EY770" i="1"/>
  <c r="EQ771" i="1"/>
  <c r="ER771" i="1"/>
  <c r="ES771" i="1"/>
  <c r="ET771" i="1"/>
  <c r="EU771" i="1"/>
  <c r="EV771" i="1"/>
  <c r="EW771" i="1"/>
  <c r="EX771" i="1"/>
  <c r="EY771" i="1"/>
  <c r="EQ772" i="1"/>
  <c r="ER772" i="1"/>
  <c r="ES772" i="1"/>
  <c r="ET772" i="1"/>
  <c r="EU772" i="1"/>
  <c r="EV772" i="1"/>
  <c r="EW772" i="1"/>
  <c r="EX772" i="1"/>
  <c r="EY772" i="1"/>
  <c r="EQ773" i="1"/>
  <c r="ER773" i="1"/>
  <c r="ES773" i="1"/>
  <c r="ET773" i="1"/>
  <c r="EU773" i="1"/>
  <c r="EV773" i="1"/>
  <c r="EW773" i="1"/>
  <c r="EX773" i="1"/>
  <c r="EY773" i="1"/>
  <c r="EQ774" i="1"/>
  <c r="ER774" i="1"/>
  <c r="ES774" i="1"/>
  <c r="ET774" i="1"/>
  <c r="EU774" i="1"/>
  <c r="EV774" i="1"/>
  <c r="EW774" i="1"/>
  <c r="EX774" i="1"/>
  <c r="EY774" i="1"/>
  <c r="EQ775" i="1"/>
  <c r="ER775" i="1"/>
  <c r="ES775" i="1"/>
  <c r="ET775" i="1"/>
  <c r="EU775" i="1"/>
  <c r="EV775" i="1"/>
  <c r="EW775" i="1"/>
  <c r="EX775" i="1"/>
  <c r="EY775" i="1"/>
  <c r="EQ776" i="1"/>
  <c r="ER776" i="1"/>
  <c r="ES776" i="1"/>
  <c r="ET776" i="1"/>
  <c r="EU776" i="1"/>
  <c r="EV776" i="1"/>
  <c r="EW776" i="1"/>
  <c r="EX776" i="1"/>
  <c r="EY776" i="1"/>
  <c r="EQ777" i="1"/>
  <c r="ER777" i="1"/>
  <c r="ES777" i="1"/>
  <c r="ET777" i="1"/>
  <c r="EU777" i="1"/>
  <c r="EV777" i="1"/>
  <c r="EW777" i="1"/>
  <c r="EX777" i="1"/>
  <c r="EY777" i="1"/>
  <c r="EQ778" i="1"/>
  <c r="ER778" i="1"/>
  <c r="ES778" i="1"/>
  <c r="ET778" i="1"/>
  <c r="EU778" i="1"/>
  <c r="EV778" i="1"/>
  <c r="EW778" i="1"/>
  <c r="EX778" i="1"/>
  <c r="EY778" i="1"/>
  <c r="EQ779" i="1"/>
  <c r="ER779" i="1"/>
  <c r="ES779" i="1"/>
  <c r="ET779" i="1"/>
  <c r="EU779" i="1"/>
  <c r="EV779" i="1"/>
  <c r="EW779" i="1"/>
  <c r="EX779" i="1"/>
  <c r="EY779" i="1"/>
  <c r="EQ780" i="1"/>
  <c r="ER780" i="1"/>
  <c r="ES780" i="1"/>
  <c r="ET780" i="1"/>
  <c r="EU780" i="1"/>
  <c r="EV780" i="1"/>
  <c r="EW780" i="1"/>
  <c r="EX780" i="1"/>
  <c r="EY780" i="1"/>
  <c r="EQ781" i="1"/>
  <c r="ER781" i="1"/>
  <c r="ES781" i="1"/>
  <c r="ET781" i="1"/>
  <c r="EU781" i="1"/>
  <c r="EV781" i="1"/>
  <c r="EW781" i="1"/>
  <c r="EX781" i="1"/>
  <c r="EY781" i="1"/>
  <c r="EQ782" i="1"/>
  <c r="ER782" i="1"/>
  <c r="ES782" i="1"/>
  <c r="ET782" i="1"/>
  <c r="EU782" i="1"/>
  <c r="EV782" i="1"/>
  <c r="EW782" i="1"/>
  <c r="EX782" i="1"/>
  <c r="EY782" i="1"/>
  <c r="EQ783" i="1"/>
  <c r="ER783" i="1"/>
  <c r="ES783" i="1"/>
  <c r="ET783" i="1"/>
  <c r="EU783" i="1"/>
  <c r="EV783" i="1"/>
  <c r="EW783" i="1"/>
  <c r="EX783" i="1"/>
  <c r="EY783" i="1"/>
  <c r="EQ784" i="1"/>
  <c r="ER784" i="1"/>
  <c r="ES784" i="1"/>
  <c r="ET784" i="1"/>
  <c r="EU784" i="1"/>
  <c r="EV784" i="1"/>
  <c r="EW784" i="1"/>
  <c r="EX784" i="1"/>
  <c r="EY784" i="1"/>
  <c r="EQ785" i="1"/>
  <c r="ER785" i="1"/>
  <c r="ES785" i="1"/>
  <c r="ET785" i="1"/>
  <c r="EU785" i="1"/>
  <c r="EV785" i="1"/>
  <c r="EW785" i="1"/>
  <c r="EX785" i="1"/>
  <c r="EY785" i="1"/>
  <c r="EQ786" i="1"/>
  <c r="ER786" i="1"/>
  <c r="ES786" i="1"/>
  <c r="ET786" i="1"/>
  <c r="EU786" i="1"/>
  <c r="EV786" i="1"/>
  <c r="EW786" i="1"/>
  <c r="EX786" i="1"/>
  <c r="EY786" i="1"/>
  <c r="EQ787" i="1"/>
  <c r="ER787" i="1"/>
  <c r="ES787" i="1"/>
  <c r="ET787" i="1"/>
  <c r="EU787" i="1"/>
  <c r="EV787" i="1"/>
  <c r="EW787" i="1"/>
  <c r="EX787" i="1"/>
  <c r="EY787" i="1"/>
  <c r="EQ788" i="1"/>
  <c r="ER788" i="1"/>
  <c r="ES788" i="1"/>
  <c r="ET788" i="1"/>
  <c r="EU788" i="1"/>
  <c r="EV788" i="1"/>
  <c r="EW788" i="1"/>
  <c r="EX788" i="1"/>
  <c r="EY788" i="1"/>
  <c r="EQ789" i="1"/>
  <c r="ER789" i="1"/>
  <c r="ES789" i="1"/>
  <c r="ET789" i="1"/>
  <c r="EU789" i="1"/>
  <c r="EV789" i="1"/>
  <c r="EW789" i="1"/>
  <c r="EX789" i="1"/>
  <c r="EY789" i="1"/>
  <c r="EQ790" i="1"/>
  <c r="ER790" i="1"/>
  <c r="ES790" i="1"/>
  <c r="ET790" i="1"/>
  <c r="EU790" i="1"/>
  <c r="EV790" i="1"/>
  <c r="EW790" i="1"/>
  <c r="EX790" i="1"/>
  <c r="EY790" i="1"/>
  <c r="EQ791" i="1"/>
  <c r="ER791" i="1"/>
  <c r="ES791" i="1"/>
  <c r="ET791" i="1"/>
  <c r="EU791" i="1"/>
  <c r="EV791" i="1"/>
  <c r="EW791" i="1"/>
  <c r="EX791" i="1"/>
  <c r="EY791" i="1"/>
  <c r="EQ792" i="1"/>
  <c r="ER792" i="1"/>
  <c r="ES792" i="1"/>
  <c r="ET792" i="1"/>
  <c r="EU792" i="1"/>
  <c r="EV792" i="1"/>
  <c r="EW792" i="1"/>
  <c r="EX792" i="1"/>
  <c r="EY792" i="1"/>
  <c r="EQ793" i="1"/>
  <c r="ER793" i="1"/>
  <c r="ES793" i="1"/>
  <c r="ET793" i="1"/>
  <c r="EU793" i="1"/>
  <c r="EV793" i="1"/>
  <c r="EW793" i="1"/>
  <c r="EX793" i="1"/>
  <c r="EY793" i="1"/>
  <c r="EQ794" i="1"/>
  <c r="ER794" i="1"/>
  <c r="ES794" i="1"/>
  <c r="ET794" i="1"/>
  <c r="EU794" i="1"/>
  <c r="EV794" i="1"/>
  <c r="EW794" i="1"/>
  <c r="EX794" i="1"/>
  <c r="EY794" i="1"/>
  <c r="EQ795" i="1"/>
  <c r="ER795" i="1"/>
  <c r="ES795" i="1"/>
  <c r="ET795" i="1"/>
  <c r="EU795" i="1"/>
  <c r="EV795" i="1"/>
  <c r="EW795" i="1"/>
  <c r="EX795" i="1"/>
  <c r="EY795" i="1"/>
  <c r="EQ796" i="1"/>
  <c r="ER796" i="1"/>
  <c r="ES796" i="1"/>
  <c r="ET796" i="1"/>
  <c r="EU796" i="1"/>
  <c r="EV796" i="1"/>
  <c r="EW796" i="1"/>
  <c r="EX796" i="1"/>
  <c r="EY796" i="1"/>
  <c r="EQ797" i="1"/>
  <c r="ER797" i="1"/>
  <c r="ES797" i="1"/>
  <c r="ET797" i="1"/>
  <c r="EU797" i="1"/>
  <c r="EV797" i="1"/>
  <c r="EW797" i="1"/>
  <c r="EX797" i="1"/>
  <c r="EY797" i="1"/>
  <c r="EQ798" i="1"/>
  <c r="ER798" i="1"/>
  <c r="ES798" i="1"/>
  <c r="ET798" i="1"/>
  <c r="EU798" i="1"/>
  <c r="EV798" i="1"/>
  <c r="EW798" i="1"/>
  <c r="EX798" i="1"/>
  <c r="EY798" i="1"/>
  <c r="EQ799" i="1"/>
  <c r="ER799" i="1"/>
  <c r="ES799" i="1"/>
  <c r="ET799" i="1"/>
  <c r="EU799" i="1"/>
  <c r="EV799" i="1"/>
  <c r="EW799" i="1"/>
  <c r="EX799" i="1"/>
  <c r="EY799" i="1"/>
  <c r="EQ800" i="1"/>
  <c r="ER800" i="1"/>
  <c r="ES800" i="1"/>
  <c r="ET800" i="1"/>
  <c r="EU800" i="1"/>
  <c r="EV800" i="1"/>
  <c r="EW800" i="1"/>
  <c r="EX800" i="1"/>
  <c r="EY800" i="1"/>
  <c r="EQ801" i="1"/>
  <c r="ER801" i="1"/>
  <c r="ES801" i="1"/>
  <c r="ET801" i="1"/>
  <c r="EU801" i="1"/>
  <c r="EV801" i="1"/>
  <c r="EW801" i="1"/>
  <c r="EX801" i="1"/>
  <c r="EY801" i="1"/>
  <c r="EQ802" i="1"/>
  <c r="ER802" i="1"/>
  <c r="ES802" i="1"/>
  <c r="ET802" i="1"/>
  <c r="EU802" i="1"/>
  <c r="EV802" i="1"/>
  <c r="EW802" i="1"/>
  <c r="EX802" i="1"/>
  <c r="EY802" i="1"/>
  <c r="EQ803" i="1"/>
  <c r="ER803" i="1"/>
  <c r="ES803" i="1"/>
  <c r="ET803" i="1"/>
  <c r="EU803" i="1"/>
  <c r="EV803" i="1"/>
  <c r="EW803" i="1"/>
  <c r="EX803" i="1"/>
  <c r="EY803" i="1"/>
  <c r="EQ804" i="1"/>
  <c r="ER804" i="1"/>
  <c r="ES804" i="1"/>
  <c r="ET804" i="1"/>
  <c r="EU804" i="1"/>
  <c r="EV804" i="1"/>
  <c r="EW804" i="1"/>
  <c r="EX804" i="1"/>
  <c r="EY804" i="1"/>
  <c r="EQ805" i="1"/>
  <c r="ER805" i="1"/>
  <c r="ES805" i="1"/>
  <c r="ET805" i="1"/>
  <c r="EU805" i="1"/>
  <c r="EV805" i="1"/>
  <c r="EW805" i="1"/>
  <c r="EX805" i="1"/>
  <c r="EY805" i="1"/>
  <c r="EQ806" i="1"/>
  <c r="ER806" i="1"/>
  <c r="ES806" i="1"/>
  <c r="ET806" i="1"/>
  <c r="EU806" i="1"/>
  <c r="EV806" i="1"/>
  <c r="EW806" i="1"/>
  <c r="EX806" i="1"/>
  <c r="EY806" i="1"/>
  <c r="EQ807" i="1"/>
  <c r="ER807" i="1"/>
  <c r="ES807" i="1"/>
  <c r="ET807" i="1"/>
  <c r="EU807" i="1"/>
  <c r="EV807" i="1"/>
  <c r="EW807" i="1"/>
  <c r="EX807" i="1"/>
  <c r="EY807" i="1"/>
  <c r="EQ808" i="1"/>
  <c r="ER808" i="1"/>
  <c r="ES808" i="1"/>
  <c r="ET808" i="1"/>
  <c r="EU808" i="1"/>
  <c r="EV808" i="1"/>
  <c r="EW808" i="1"/>
  <c r="EX808" i="1"/>
  <c r="EY808" i="1"/>
  <c r="EQ809" i="1"/>
  <c r="ER809" i="1"/>
  <c r="ES809" i="1"/>
  <c r="ET809" i="1"/>
  <c r="EU809" i="1"/>
  <c r="EV809" i="1"/>
  <c r="EW809" i="1"/>
  <c r="EX809" i="1"/>
  <c r="EY809" i="1"/>
  <c r="EQ810" i="1"/>
  <c r="ER810" i="1"/>
  <c r="ES810" i="1"/>
  <c r="ET810" i="1"/>
  <c r="EU810" i="1"/>
  <c r="EV810" i="1"/>
  <c r="EW810" i="1"/>
  <c r="EX810" i="1"/>
  <c r="EY810" i="1"/>
  <c r="EQ811" i="1"/>
  <c r="ER811" i="1"/>
  <c r="ES811" i="1"/>
  <c r="ET811" i="1"/>
  <c r="EU811" i="1"/>
  <c r="EV811" i="1"/>
  <c r="EW811" i="1"/>
  <c r="EX811" i="1"/>
  <c r="EY811" i="1"/>
  <c r="EQ812" i="1"/>
  <c r="ER812" i="1"/>
  <c r="ES812" i="1"/>
  <c r="ET812" i="1"/>
  <c r="EU812" i="1"/>
  <c r="EV812" i="1"/>
  <c r="EW812" i="1"/>
  <c r="EX812" i="1"/>
  <c r="EY812" i="1"/>
  <c r="EQ813" i="1"/>
  <c r="ER813" i="1"/>
  <c r="ES813" i="1"/>
  <c r="ET813" i="1"/>
  <c r="EU813" i="1"/>
  <c r="EV813" i="1"/>
  <c r="EW813" i="1"/>
  <c r="EX813" i="1"/>
  <c r="EY813" i="1"/>
  <c r="EQ814" i="1"/>
  <c r="ER814" i="1"/>
  <c r="ES814" i="1"/>
  <c r="ET814" i="1"/>
  <c r="EU814" i="1"/>
  <c r="EV814" i="1"/>
  <c r="EW814" i="1"/>
  <c r="EX814" i="1"/>
  <c r="EY814" i="1"/>
  <c r="EQ815" i="1"/>
  <c r="ER815" i="1"/>
  <c r="ES815" i="1"/>
  <c r="ET815" i="1"/>
  <c r="EU815" i="1"/>
  <c r="EV815" i="1"/>
  <c r="EW815" i="1"/>
  <c r="EX815" i="1"/>
  <c r="EY815" i="1"/>
  <c r="EQ816" i="1"/>
  <c r="ER816" i="1"/>
  <c r="ES816" i="1"/>
  <c r="ET816" i="1"/>
  <c r="EU816" i="1"/>
  <c r="EV816" i="1"/>
  <c r="EW816" i="1"/>
  <c r="EX816" i="1"/>
  <c r="EY816" i="1"/>
  <c r="EQ817" i="1"/>
  <c r="ER817" i="1"/>
  <c r="ES817" i="1"/>
  <c r="ET817" i="1"/>
  <c r="EU817" i="1"/>
  <c r="EV817" i="1"/>
  <c r="EW817" i="1"/>
  <c r="EX817" i="1"/>
  <c r="EY817" i="1"/>
  <c r="EQ818" i="1"/>
  <c r="ER818" i="1"/>
  <c r="ES818" i="1"/>
  <c r="ET818" i="1"/>
  <c r="EU818" i="1"/>
  <c r="EV818" i="1"/>
  <c r="EW818" i="1"/>
  <c r="EX818" i="1"/>
  <c r="EY818" i="1"/>
  <c r="EQ819" i="1"/>
  <c r="ER819" i="1"/>
  <c r="ES819" i="1"/>
  <c r="ET819" i="1"/>
  <c r="EU819" i="1"/>
  <c r="EV819" i="1"/>
  <c r="EW819" i="1"/>
  <c r="EX819" i="1"/>
  <c r="EY819" i="1"/>
  <c r="EQ820" i="1"/>
  <c r="ER820" i="1"/>
  <c r="ES820" i="1"/>
  <c r="ET820" i="1"/>
  <c r="EU820" i="1"/>
  <c r="EV820" i="1"/>
  <c r="EW820" i="1"/>
  <c r="EX820" i="1"/>
  <c r="EY820" i="1"/>
  <c r="EQ821" i="1"/>
  <c r="ER821" i="1"/>
  <c r="ES821" i="1"/>
  <c r="ET821" i="1"/>
  <c r="EU821" i="1"/>
  <c r="EV821" i="1"/>
  <c r="EW821" i="1"/>
  <c r="EX821" i="1"/>
  <c r="EY821" i="1"/>
  <c r="EQ822" i="1"/>
  <c r="ER822" i="1"/>
  <c r="ES822" i="1"/>
  <c r="ET822" i="1"/>
  <c r="EU822" i="1"/>
  <c r="EV822" i="1"/>
  <c r="EW822" i="1"/>
  <c r="EX822" i="1"/>
  <c r="EY822" i="1"/>
  <c r="EQ823" i="1"/>
  <c r="ER823" i="1"/>
  <c r="ES823" i="1"/>
  <c r="ET823" i="1"/>
  <c r="EU823" i="1"/>
  <c r="EV823" i="1"/>
  <c r="EW823" i="1"/>
  <c r="EX823" i="1"/>
  <c r="EY823" i="1"/>
  <c r="EQ824" i="1"/>
  <c r="ER824" i="1"/>
  <c r="ES824" i="1"/>
  <c r="ET824" i="1"/>
  <c r="EU824" i="1"/>
  <c r="EV824" i="1"/>
  <c r="EW824" i="1"/>
  <c r="EX824" i="1"/>
  <c r="EY824" i="1"/>
  <c r="EQ825" i="1"/>
  <c r="ER825" i="1"/>
  <c r="ES825" i="1"/>
  <c r="ET825" i="1"/>
  <c r="EU825" i="1"/>
  <c r="EV825" i="1"/>
  <c r="EW825" i="1"/>
  <c r="EX825" i="1"/>
  <c r="EY825" i="1"/>
  <c r="EQ826" i="1"/>
  <c r="ER826" i="1"/>
  <c r="ES826" i="1"/>
  <c r="ET826" i="1"/>
  <c r="EU826" i="1"/>
  <c r="EV826" i="1"/>
  <c r="EW826" i="1"/>
  <c r="EX826" i="1"/>
  <c r="EY826" i="1"/>
  <c r="EQ827" i="1"/>
  <c r="ER827" i="1"/>
  <c r="ES827" i="1"/>
  <c r="ET827" i="1"/>
  <c r="EU827" i="1"/>
  <c r="EV827" i="1"/>
  <c r="EW827" i="1"/>
  <c r="EX827" i="1"/>
  <c r="EY827" i="1"/>
  <c r="EQ828" i="1"/>
  <c r="ER828" i="1"/>
  <c r="ES828" i="1"/>
  <c r="ET828" i="1"/>
  <c r="EU828" i="1"/>
  <c r="EV828" i="1"/>
  <c r="EW828" i="1"/>
  <c r="EX828" i="1"/>
  <c r="EY828" i="1"/>
  <c r="EQ829" i="1"/>
  <c r="ER829" i="1"/>
  <c r="ES829" i="1"/>
  <c r="ET829" i="1"/>
  <c r="EU829" i="1"/>
  <c r="EV829" i="1"/>
  <c r="EW829" i="1"/>
  <c r="EX829" i="1"/>
  <c r="EY829" i="1"/>
  <c r="EQ830" i="1"/>
  <c r="ER830" i="1"/>
  <c r="ES830" i="1"/>
  <c r="ET830" i="1"/>
  <c r="EU830" i="1"/>
  <c r="EV830" i="1"/>
  <c r="EW830" i="1"/>
  <c r="EX830" i="1"/>
  <c r="EY830" i="1"/>
  <c r="EQ831" i="1"/>
  <c r="ER831" i="1"/>
  <c r="ES831" i="1"/>
  <c r="ET831" i="1"/>
  <c r="EU831" i="1"/>
  <c r="EV831" i="1"/>
  <c r="EW831" i="1"/>
  <c r="EX831" i="1"/>
  <c r="EY831" i="1"/>
  <c r="EQ832" i="1"/>
  <c r="ER832" i="1"/>
  <c r="ES832" i="1"/>
  <c r="ET832" i="1"/>
  <c r="EU832" i="1"/>
  <c r="EV832" i="1"/>
  <c r="EW832" i="1"/>
  <c r="EX832" i="1"/>
  <c r="EY832" i="1"/>
  <c r="EQ833" i="1"/>
  <c r="ER833" i="1"/>
  <c r="ES833" i="1"/>
  <c r="ET833" i="1"/>
  <c r="EU833" i="1"/>
  <c r="EV833" i="1"/>
  <c r="EW833" i="1"/>
  <c r="EX833" i="1"/>
  <c r="EY833" i="1"/>
  <c r="EQ834" i="1"/>
  <c r="ER834" i="1"/>
  <c r="ES834" i="1"/>
  <c r="ET834" i="1"/>
  <c r="EU834" i="1"/>
  <c r="EV834" i="1"/>
  <c r="EW834" i="1"/>
  <c r="EX834" i="1"/>
  <c r="EY834" i="1"/>
  <c r="EQ835" i="1"/>
  <c r="ER835" i="1"/>
  <c r="ES835" i="1"/>
  <c r="ET835" i="1"/>
  <c r="EU835" i="1"/>
  <c r="EV835" i="1"/>
  <c r="EW835" i="1"/>
  <c r="EX835" i="1"/>
  <c r="EY835" i="1"/>
  <c r="EQ836" i="1"/>
  <c r="ER836" i="1"/>
  <c r="ES836" i="1"/>
  <c r="ET836" i="1"/>
  <c r="EU836" i="1"/>
  <c r="EV836" i="1"/>
  <c r="EW836" i="1"/>
  <c r="EX836" i="1"/>
  <c r="EY836" i="1"/>
  <c r="EQ837" i="1"/>
  <c r="ER837" i="1"/>
  <c r="ES837" i="1"/>
  <c r="ET837" i="1"/>
  <c r="EU837" i="1"/>
  <c r="EV837" i="1"/>
  <c r="EW837" i="1"/>
  <c r="EX837" i="1"/>
  <c r="EY837" i="1"/>
  <c r="EQ838" i="1"/>
  <c r="ER838" i="1"/>
  <c r="ES838" i="1"/>
  <c r="ET838" i="1"/>
  <c r="EU838" i="1"/>
  <c r="EV838" i="1"/>
  <c r="EW838" i="1"/>
  <c r="EX838" i="1"/>
  <c r="EY838" i="1"/>
  <c r="EQ839" i="1"/>
  <c r="ER839" i="1"/>
  <c r="ES839" i="1"/>
  <c r="ET839" i="1"/>
  <c r="EU839" i="1"/>
  <c r="EV839" i="1"/>
  <c r="EW839" i="1"/>
  <c r="EX839" i="1"/>
  <c r="EY839" i="1"/>
  <c r="EQ840" i="1"/>
  <c r="ER840" i="1"/>
  <c r="ES840" i="1"/>
  <c r="ET840" i="1"/>
  <c r="EU840" i="1"/>
  <c r="EV840" i="1"/>
  <c r="EW840" i="1"/>
  <c r="EX840" i="1"/>
  <c r="EY840" i="1"/>
  <c r="EQ841" i="1"/>
  <c r="ER841" i="1"/>
  <c r="ES841" i="1"/>
  <c r="ET841" i="1"/>
  <c r="EU841" i="1"/>
  <c r="EV841" i="1"/>
  <c r="EW841" i="1"/>
  <c r="EX841" i="1"/>
  <c r="EY841" i="1"/>
  <c r="EQ842" i="1"/>
  <c r="ER842" i="1"/>
  <c r="ES842" i="1"/>
  <c r="ET842" i="1"/>
  <c r="EU842" i="1"/>
  <c r="EV842" i="1"/>
  <c r="EW842" i="1"/>
  <c r="EX842" i="1"/>
  <c r="EY842" i="1"/>
  <c r="EQ843" i="1"/>
  <c r="ER843" i="1"/>
  <c r="ES843" i="1"/>
  <c r="ET843" i="1"/>
  <c r="EU843" i="1"/>
  <c r="EV843" i="1"/>
  <c r="EW843" i="1"/>
  <c r="EX843" i="1"/>
  <c r="EY843" i="1"/>
  <c r="EQ844" i="1"/>
  <c r="ER844" i="1"/>
  <c r="ES844" i="1"/>
  <c r="ET844" i="1"/>
  <c r="EU844" i="1"/>
  <c r="EV844" i="1"/>
  <c r="EW844" i="1"/>
  <c r="EX844" i="1"/>
  <c r="EY844" i="1"/>
  <c r="EQ845" i="1"/>
  <c r="ER845" i="1"/>
  <c r="ES845" i="1"/>
  <c r="ET845" i="1"/>
  <c r="EU845" i="1"/>
  <c r="EV845" i="1"/>
  <c r="EW845" i="1"/>
  <c r="EX845" i="1"/>
  <c r="EY845" i="1"/>
  <c r="EQ846" i="1"/>
  <c r="ER846" i="1"/>
  <c r="ES846" i="1"/>
  <c r="ET846" i="1"/>
  <c r="EU846" i="1"/>
  <c r="EV846" i="1"/>
  <c r="EW846" i="1"/>
  <c r="EX846" i="1"/>
  <c r="EY846" i="1"/>
  <c r="EQ847" i="1"/>
  <c r="ER847" i="1"/>
  <c r="ES847" i="1"/>
  <c r="ET847" i="1"/>
  <c r="EU847" i="1"/>
  <c r="EV847" i="1"/>
  <c r="EW847" i="1"/>
  <c r="EX847" i="1"/>
  <c r="EY847" i="1"/>
  <c r="EQ848" i="1"/>
  <c r="ER848" i="1"/>
  <c r="ES848" i="1"/>
  <c r="ET848" i="1"/>
  <c r="EU848" i="1"/>
  <c r="EV848" i="1"/>
  <c r="EW848" i="1"/>
  <c r="EX848" i="1"/>
  <c r="EY848" i="1"/>
  <c r="EQ849" i="1"/>
  <c r="ER849" i="1"/>
  <c r="ES849" i="1"/>
  <c r="ET849" i="1"/>
  <c r="EU849" i="1"/>
  <c r="EV849" i="1"/>
  <c r="EW849" i="1"/>
  <c r="EX849" i="1"/>
  <c r="EY849" i="1"/>
  <c r="EQ850" i="1"/>
  <c r="ER850" i="1"/>
  <c r="ES850" i="1"/>
  <c r="ET850" i="1"/>
  <c r="EU850" i="1"/>
  <c r="EV850" i="1"/>
  <c r="EW850" i="1"/>
  <c r="EX850" i="1"/>
  <c r="EY850" i="1"/>
  <c r="EQ851" i="1"/>
  <c r="ER851" i="1"/>
  <c r="ES851" i="1"/>
  <c r="ET851" i="1"/>
  <c r="EU851" i="1"/>
  <c r="EV851" i="1"/>
  <c r="EW851" i="1"/>
  <c r="EX851" i="1"/>
  <c r="EY851" i="1"/>
  <c r="EQ852" i="1"/>
  <c r="ER852" i="1"/>
  <c r="ES852" i="1"/>
  <c r="ET852" i="1"/>
  <c r="EU852" i="1"/>
  <c r="EV852" i="1"/>
  <c r="EW852" i="1"/>
  <c r="EX852" i="1"/>
  <c r="EY852" i="1"/>
  <c r="EQ853" i="1"/>
  <c r="ER853" i="1"/>
  <c r="ES853" i="1"/>
  <c r="ET853" i="1"/>
  <c r="EU853" i="1"/>
  <c r="EV853" i="1"/>
  <c r="EW853" i="1"/>
  <c r="EX853" i="1"/>
  <c r="EY853" i="1"/>
  <c r="EQ854" i="1"/>
  <c r="ER854" i="1"/>
  <c r="ES854" i="1"/>
  <c r="ET854" i="1"/>
  <c r="EU854" i="1"/>
  <c r="EV854" i="1"/>
  <c r="EW854" i="1"/>
  <c r="EX854" i="1"/>
  <c r="EY854" i="1"/>
  <c r="EQ855" i="1"/>
  <c r="ER855" i="1"/>
  <c r="ES855" i="1"/>
  <c r="ET855" i="1"/>
  <c r="EU855" i="1"/>
  <c r="EV855" i="1"/>
  <c r="EW855" i="1"/>
  <c r="EX855" i="1"/>
  <c r="EY855" i="1"/>
  <c r="EQ856" i="1"/>
  <c r="ER856" i="1"/>
  <c r="ES856" i="1"/>
  <c r="ET856" i="1"/>
  <c r="EU856" i="1"/>
  <c r="EV856" i="1"/>
  <c r="EW856" i="1"/>
  <c r="EX856" i="1"/>
  <c r="EY856" i="1"/>
  <c r="EQ857" i="1"/>
  <c r="ER857" i="1"/>
  <c r="ES857" i="1"/>
  <c r="ET857" i="1"/>
  <c r="EU857" i="1"/>
  <c r="EV857" i="1"/>
  <c r="EW857" i="1"/>
  <c r="EX857" i="1"/>
  <c r="EY857" i="1"/>
  <c r="EQ858" i="1"/>
  <c r="ER858" i="1"/>
  <c r="ES858" i="1"/>
  <c r="ET858" i="1"/>
  <c r="EU858" i="1"/>
  <c r="EV858" i="1"/>
  <c r="EW858" i="1"/>
  <c r="EX858" i="1"/>
  <c r="EY858" i="1"/>
  <c r="EQ859" i="1"/>
  <c r="ER859" i="1"/>
  <c r="ES859" i="1"/>
  <c r="ET859" i="1"/>
  <c r="EU859" i="1"/>
  <c r="EV859" i="1"/>
  <c r="EW859" i="1"/>
  <c r="EX859" i="1"/>
  <c r="EY859" i="1"/>
  <c r="EQ860" i="1"/>
  <c r="ER860" i="1"/>
  <c r="ES860" i="1"/>
  <c r="ET860" i="1"/>
  <c r="EU860" i="1"/>
  <c r="EV860" i="1"/>
  <c r="EW860" i="1"/>
  <c r="EX860" i="1"/>
  <c r="EY860" i="1"/>
  <c r="EQ861" i="1"/>
  <c r="ER861" i="1"/>
  <c r="ES861" i="1"/>
  <c r="ET861" i="1"/>
  <c r="EU861" i="1"/>
  <c r="EV861" i="1"/>
  <c r="EW861" i="1"/>
  <c r="EX861" i="1"/>
  <c r="EY861" i="1"/>
  <c r="EQ862" i="1"/>
  <c r="ER862" i="1"/>
  <c r="ES862" i="1"/>
  <c r="ET862" i="1"/>
  <c r="EU862" i="1"/>
  <c r="EV862" i="1"/>
  <c r="EW862" i="1"/>
  <c r="EX862" i="1"/>
  <c r="EY862" i="1"/>
  <c r="EQ863" i="1"/>
  <c r="ER863" i="1"/>
  <c r="ES863" i="1"/>
  <c r="ET863" i="1"/>
  <c r="EU863" i="1"/>
  <c r="EV863" i="1"/>
  <c r="EW863" i="1"/>
  <c r="EX863" i="1"/>
  <c r="EY863" i="1"/>
  <c r="EQ864" i="1"/>
  <c r="ER864" i="1"/>
  <c r="ES864" i="1"/>
  <c r="ET864" i="1"/>
  <c r="EU864" i="1"/>
  <c r="EV864" i="1"/>
  <c r="EW864" i="1"/>
  <c r="EX864" i="1"/>
  <c r="EY864" i="1"/>
  <c r="EQ865" i="1"/>
  <c r="ER865" i="1"/>
  <c r="ES865" i="1"/>
  <c r="ET865" i="1"/>
  <c r="EU865" i="1"/>
  <c r="EV865" i="1"/>
  <c r="EW865" i="1"/>
  <c r="EX865" i="1"/>
  <c r="EY865" i="1"/>
  <c r="EQ866" i="1"/>
  <c r="ER866" i="1"/>
  <c r="ES866" i="1"/>
  <c r="ET866" i="1"/>
  <c r="EU866" i="1"/>
  <c r="EV866" i="1"/>
  <c r="EW866" i="1"/>
  <c r="EX866" i="1"/>
  <c r="EY866" i="1"/>
  <c r="EQ867" i="1"/>
  <c r="ER867" i="1"/>
  <c r="ES867" i="1"/>
  <c r="ET867" i="1"/>
  <c r="EU867" i="1"/>
  <c r="EV867" i="1"/>
  <c r="EW867" i="1"/>
  <c r="EX867" i="1"/>
  <c r="EY867" i="1"/>
  <c r="EQ868" i="1"/>
  <c r="ER868" i="1"/>
  <c r="ES868" i="1"/>
  <c r="ET868" i="1"/>
  <c r="EU868" i="1"/>
  <c r="EV868" i="1"/>
  <c r="EW868" i="1"/>
  <c r="EX868" i="1"/>
  <c r="EY868" i="1"/>
  <c r="EQ869" i="1"/>
  <c r="ER869" i="1"/>
  <c r="ES869" i="1"/>
  <c r="ET869" i="1"/>
  <c r="EU869" i="1"/>
  <c r="EV869" i="1"/>
  <c r="EW869" i="1"/>
  <c r="EX869" i="1"/>
  <c r="EY869" i="1"/>
  <c r="EQ870" i="1"/>
  <c r="ER870" i="1"/>
  <c r="ES870" i="1"/>
  <c r="ET870" i="1"/>
  <c r="EU870" i="1"/>
  <c r="EV870" i="1"/>
  <c r="EW870" i="1"/>
  <c r="EX870" i="1"/>
  <c r="EY870" i="1"/>
  <c r="EQ871" i="1"/>
  <c r="ER871" i="1"/>
  <c r="ES871" i="1"/>
  <c r="ET871" i="1"/>
  <c r="EU871" i="1"/>
  <c r="EV871" i="1"/>
  <c r="EW871" i="1"/>
  <c r="EX871" i="1"/>
  <c r="EY871" i="1"/>
  <c r="EQ872" i="1"/>
  <c r="ER872" i="1"/>
  <c r="ES872" i="1"/>
  <c r="ET872" i="1"/>
  <c r="EU872" i="1"/>
  <c r="EV872" i="1"/>
  <c r="EW872" i="1"/>
  <c r="EX872" i="1"/>
  <c r="EY872" i="1"/>
  <c r="EQ873" i="1"/>
  <c r="ER873" i="1"/>
  <c r="ES873" i="1"/>
  <c r="ET873" i="1"/>
  <c r="EU873" i="1"/>
  <c r="EV873" i="1"/>
  <c r="EW873" i="1"/>
  <c r="EX873" i="1"/>
  <c r="EY873" i="1"/>
  <c r="EQ874" i="1"/>
  <c r="ER874" i="1"/>
  <c r="ES874" i="1"/>
  <c r="ET874" i="1"/>
  <c r="EU874" i="1"/>
  <c r="EV874" i="1"/>
  <c r="EW874" i="1"/>
  <c r="EX874" i="1"/>
  <c r="EY874" i="1"/>
  <c r="EQ875" i="1"/>
  <c r="ER875" i="1"/>
  <c r="ES875" i="1"/>
  <c r="ET875" i="1"/>
  <c r="EU875" i="1"/>
  <c r="EV875" i="1"/>
  <c r="EW875" i="1"/>
  <c r="EX875" i="1"/>
  <c r="EY875" i="1"/>
  <c r="EQ876" i="1"/>
  <c r="ER876" i="1"/>
  <c r="ES876" i="1"/>
  <c r="ET876" i="1"/>
  <c r="EU876" i="1"/>
  <c r="EV876" i="1"/>
  <c r="EW876" i="1"/>
  <c r="EX876" i="1"/>
  <c r="EY876" i="1"/>
  <c r="EQ877" i="1"/>
  <c r="ER877" i="1"/>
  <c r="ES877" i="1"/>
  <c r="ET877" i="1"/>
  <c r="EU877" i="1"/>
  <c r="EV877" i="1"/>
  <c r="EW877" i="1"/>
  <c r="EX877" i="1"/>
  <c r="EY877" i="1"/>
  <c r="EQ878" i="1"/>
  <c r="ER878" i="1"/>
  <c r="ES878" i="1"/>
  <c r="ET878" i="1"/>
  <c r="EU878" i="1"/>
  <c r="EV878" i="1"/>
  <c r="EW878" i="1"/>
  <c r="EX878" i="1"/>
  <c r="EY878" i="1"/>
  <c r="EQ879" i="1"/>
  <c r="ER879" i="1"/>
  <c r="ES879" i="1"/>
  <c r="ET879" i="1"/>
  <c r="EU879" i="1"/>
  <c r="EV879" i="1"/>
  <c r="EW879" i="1"/>
  <c r="EX879" i="1"/>
  <c r="EY879" i="1"/>
  <c r="EQ880" i="1"/>
  <c r="ER880" i="1"/>
  <c r="ES880" i="1"/>
  <c r="ET880" i="1"/>
  <c r="EU880" i="1"/>
  <c r="EV880" i="1"/>
  <c r="EW880" i="1"/>
  <c r="EX880" i="1"/>
  <c r="EY880" i="1"/>
  <c r="EQ881" i="1"/>
  <c r="ER881" i="1"/>
  <c r="ES881" i="1"/>
  <c r="ET881" i="1"/>
  <c r="EU881" i="1"/>
  <c r="EV881" i="1"/>
  <c r="EW881" i="1"/>
  <c r="EX881" i="1"/>
  <c r="EY881" i="1"/>
  <c r="EQ882" i="1"/>
  <c r="ER882" i="1"/>
  <c r="ES882" i="1"/>
  <c r="ET882" i="1"/>
  <c r="EU882" i="1"/>
  <c r="EV882" i="1"/>
  <c r="EW882" i="1"/>
  <c r="EX882" i="1"/>
  <c r="EY882" i="1"/>
  <c r="EQ883" i="1"/>
  <c r="ER883" i="1"/>
  <c r="ES883" i="1"/>
  <c r="ET883" i="1"/>
  <c r="EU883" i="1"/>
  <c r="EV883" i="1"/>
  <c r="EW883" i="1"/>
  <c r="EX883" i="1"/>
  <c r="EY883" i="1"/>
  <c r="EQ884" i="1"/>
  <c r="ER884" i="1"/>
  <c r="ES884" i="1"/>
  <c r="ET884" i="1"/>
  <c r="EU884" i="1"/>
  <c r="EV884" i="1"/>
  <c r="EW884" i="1"/>
  <c r="EX884" i="1"/>
  <c r="EY884" i="1"/>
  <c r="EQ885" i="1"/>
  <c r="ER885" i="1"/>
  <c r="ES885" i="1"/>
  <c r="ET885" i="1"/>
  <c r="EU885" i="1"/>
  <c r="EV885" i="1"/>
  <c r="EW885" i="1"/>
  <c r="EX885" i="1"/>
  <c r="EY885" i="1"/>
  <c r="EQ886" i="1"/>
  <c r="ER886" i="1"/>
  <c r="ES886" i="1"/>
  <c r="ET886" i="1"/>
  <c r="EU886" i="1"/>
  <c r="EV886" i="1"/>
  <c r="EW886" i="1"/>
  <c r="EX886" i="1"/>
  <c r="EY886" i="1"/>
  <c r="EQ887" i="1"/>
  <c r="ER887" i="1"/>
  <c r="ES887" i="1"/>
  <c r="ET887" i="1"/>
  <c r="EU887" i="1"/>
  <c r="EV887" i="1"/>
  <c r="EW887" i="1"/>
  <c r="EX887" i="1"/>
  <c r="EY887" i="1"/>
  <c r="EQ888" i="1"/>
  <c r="ER888" i="1"/>
  <c r="ES888" i="1"/>
  <c r="ET888" i="1"/>
  <c r="EU888" i="1"/>
  <c r="EV888" i="1"/>
  <c r="EW888" i="1"/>
  <c r="EX888" i="1"/>
  <c r="EY888" i="1"/>
  <c r="EQ889" i="1"/>
  <c r="ER889" i="1"/>
  <c r="ES889" i="1"/>
  <c r="ET889" i="1"/>
  <c r="EU889" i="1"/>
  <c r="EV889" i="1"/>
  <c r="EW889" i="1"/>
  <c r="EX889" i="1"/>
  <c r="EY889" i="1"/>
  <c r="EQ890" i="1"/>
  <c r="ER890" i="1"/>
  <c r="ES890" i="1"/>
  <c r="ET890" i="1"/>
  <c r="EU890" i="1"/>
  <c r="EV890" i="1"/>
  <c r="EW890" i="1"/>
  <c r="EX890" i="1"/>
  <c r="EY890" i="1"/>
  <c r="EQ891" i="1"/>
  <c r="ER891" i="1"/>
  <c r="ES891" i="1"/>
  <c r="ET891" i="1"/>
  <c r="EU891" i="1"/>
  <c r="EV891" i="1"/>
  <c r="EW891" i="1"/>
  <c r="EX891" i="1"/>
  <c r="EY891" i="1"/>
  <c r="EQ892" i="1"/>
  <c r="ER892" i="1"/>
  <c r="ES892" i="1"/>
  <c r="ET892" i="1"/>
  <c r="EU892" i="1"/>
  <c r="EV892" i="1"/>
  <c r="EW892" i="1"/>
  <c r="EX892" i="1"/>
  <c r="EY892" i="1"/>
  <c r="EQ893" i="1"/>
  <c r="ER893" i="1"/>
  <c r="ES893" i="1"/>
  <c r="ET893" i="1"/>
  <c r="EU893" i="1"/>
  <c r="EV893" i="1"/>
  <c r="EW893" i="1"/>
  <c r="EX893" i="1"/>
  <c r="EY893" i="1"/>
  <c r="EQ894" i="1"/>
  <c r="ER894" i="1"/>
  <c r="ES894" i="1"/>
  <c r="ET894" i="1"/>
  <c r="EU894" i="1"/>
  <c r="EV894" i="1"/>
  <c r="EW894" i="1"/>
  <c r="EX894" i="1"/>
  <c r="EY894" i="1"/>
  <c r="EQ895" i="1"/>
  <c r="ER895" i="1"/>
  <c r="ES895" i="1"/>
  <c r="ET895" i="1"/>
  <c r="EU895" i="1"/>
  <c r="EV895" i="1"/>
  <c r="EW895" i="1"/>
  <c r="EX895" i="1"/>
  <c r="EY895" i="1"/>
  <c r="EQ896" i="1"/>
  <c r="ER896" i="1"/>
  <c r="ES896" i="1"/>
  <c r="ET896" i="1"/>
  <c r="EU896" i="1"/>
  <c r="EV896" i="1"/>
  <c r="EW896" i="1"/>
  <c r="EX896" i="1"/>
  <c r="EY896" i="1"/>
  <c r="EQ897" i="1"/>
  <c r="ER897" i="1"/>
  <c r="ES897" i="1"/>
  <c r="ET897" i="1"/>
  <c r="EU897" i="1"/>
  <c r="EV897" i="1"/>
  <c r="EW897" i="1"/>
  <c r="EX897" i="1"/>
  <c r="EY897" i="1"/>
  <c r="EQ898" i="1"/>
  <c r="ER898" i="1"/>
  <c r="ES898" i="1"/>
  <c r="ET898" i="1"/>
  <c r="EU898" i="1"/>
  <c r="EV898" i="1"/>
  <c r="EW898" i="1"/>
  <c r="EX898" i="1"/>
  <c r="EY898" i="1"/>
  <c r="EQ899" i="1"/>
  <c r="ER899" i="1"/>
  <c r="ES899" i="1"/>
  <c r="ET899" i="1"/>
  <c r="EU899" i="1"/>
  <c r="EV899" i="1"/>
  <c r="EW899" i="1"/>
  <c r="EX899" i="1"/>
  <c r="EY899" i="1"/>
  <c r="EQ900" i="1"/>
  <c r="ER900" i="1"/>
  <c r="ES900" i="1"/>
  <c r="ET900" i="1"/>
  <c r="EU900" i="1"/>
  <c r="EV900" i="1"/>
  <c r="EW900" i="1"/>
  <c r="EX900" i="1"/>
  <c r="EY900" i="1"/>
  <c r="EQ901" i="1"/>
  <c r="ER901" i="1"/>
  <c r="ES901" i="1"/>
  <c r="ET901" i="1"/>
  <c r="EU901" i="1"/>
  <c r="EV901" i="1"/>
  <c r="EW901" i="1"/>
  <c r="EX901" i="1"/>
  <c r="EY901" i="1"/>
  <c r="EQ902" i="1"/>
  <c r="ER902" i="1"/>
  <c r="ES902" i="1"/>
  <c r="ET902" i="1"/>
  <c r="EU902" i="1"/>
  <c r="EV902" i="1"/>
  <c r="EW902" i="1"/>
  <c r="EX902" i="1"/>
  <c r="EY902" i="1"/>
  <c r="EQ903" i="1"/>
  <c r="ER903" i="1"/>
  <c r="ES903" i="1"/>
  <c r="ET903" i="1"/>
  <c r="EU903" i="1"/>
  <c r="EV903" i="1"/>
  <c r="EW903" i="1"/>
  <c r="EX903" i="1"/>
  <c r="EY903" i="1"/>
  <c r="EQ904" i="1"/>
  <c r="ER904" i="1"/>
  <c r="ES904" i="1"/>
  <c r="ET904" i="1"/>
  <c r="EU904" i="1"/>
  <c r="EV904" i="1"/>
  <c r="EW904" i="1"/>
  <c r="EX904" i="1"/>
  <c r="EY904" i="1"/>
  <c r="EQ905" i="1"/>
  <c r="ER905" i="1"/>
  <c r="ES905" i="1"/>
  <c r="ET905" i="1"/>
  <c r="EU905" i="1"/>
  <c r="EV905" i="1"/>
  <c r="EW905" i="1"/>
  <c r="EX905" i="1"/>
  <c r="EY905" i="1"/>
  <c r="EQ906" i="1"/>
  <c r="ER906" i="1"/>
  <c r="ES906" i="1"/>
  <c r="ET906" i="1"/>
  <c r="EU906" i="1"/>
  <c r="EV906" i="1"/>
  <c r="EW906" i="1"/>
  <c r="EX906" i="1"/>
  <c r="EY906" i="1"/>
  <c r="EQ907" i="1"/>
  <c r="ER907" i="1"/>
  <c r="ES907" i="1"/>
  <c r="ET907" i="1"/>
  <c r="EU907" i="1"/>
  <c r="EV907" i="1"/>
  <c r="EW907" i="1"/>
  <c r="EX907" i="1"/>
  <c r="EY907" i="1"/>
  <c r="EQ908" i="1"/>
  <c r="ER908" i="1"/>
  <c r="ES908" i="1"/>
  <c r="ET908" i="1"/>
  <c r="EU908" i="1"/>
  <c r="EV908" i="1"/>
  <c r="EW908" i="1"/>
  <c r="EX908" i="1"/>
  <c r="EY908" i="1"/>
  <c r="EQ909" i="1"/>
  <c r="ER909" i="1"/>
  <c r="ES909" i="1"/>
  <c r="ET909" i="1"/>
  <c r="EU909" i="1"/>
  <c r="EV909" i="1"/>
  <c r="EW909" i="1"/>
  <c r="EX909" i="1"/>
  <c r="EY909" i="1"/>
  <c r="EQ910" i="1"/>
  <c r="ER910" i="1"/>
  <c r="ES910" i="1"/>
  <c r="ET910" i="1"/>
  <c r="EU910" i="1"/>
  <c r="EV910" i="1"/>
  <c r="EW910" i="1"/>
  <c r="EX910" i="1"/>
  <c r="EY910" i="1"/>
  <c r="EQ911" i="1"/>
  <c r="ER911" i="1"/>
  <c r="ES911" i="1"/>
  <c r="ET911" i="1"/>
  <c r="EU911" i="1"/>
  <c r="EV911" i="1"/>
  <c r="EW911" i="1"/>
  <c r="EX911" i="1"/>
  <c r="EY911" i="1"/>
  <c r="EQ912" i="1"/>
  <c r="ER912" i="1"/>
  <c r="ES912" i="1"/>
  <c r="ET912" i="1"/>
  <c r="EU912" i="1"/>
  <c r="EV912" i="1"/>
  <c r="EW912" i="1"/>
  <c r="EX912" i="1"/>
  <c r="EY912" i="1"/>
  <c r="EQ913" i="1"/>
  <c r="ER913" i="1"/>
  <c r="ES913" i="1"/>
  <c r="ET913" i="1"/>
  <c r="EU913" i="1"/>
  <c r="EV913" i="1"/>
  <c r="EW913" i="1"/>
  <c r="EX913" i="1"/>
  <c r="EY913" i="1"/>
  <c r="EQ914" i="1"/>
  <c r="ER914" i="1"/>
  <c r="ES914" i="1"/>
  <c r="ET914" i="1"/>
  <c r="EU914" i="1"/>
  <c r="EV914" i="1"/>
  <c r="EW914" i="1"/>
  <c r="EX914" i="1"/>
  <c r="EY914" i="1"/>
  <c r="EQ915" i="1"/>
  <c r="ER915" i="1"/>
  <c r="ES915" i="1"/>
  <c r="ET915" i="1"/>
  <c r="EU915" i="1"/>
  <c r="EV915" i="1"/>
  <c r="EW915" i="1"/>
  <c r="EX915" i="1"/>
  <c r="EY915" i="1"/>
  <c r="EQ916" i="1"/>
  <c r="ER916" i="1"/>
  <c r="ES916" i="1"/>
  <c r="ET916" i="1"/>
  <c r="EU916" i="1"/>
  <c r="EV916" i="1"/>
  <c r="EW916" i="1"/>
  <c r="EX916" i="1"/>
  <c r="EY916" i="1"/>
  <c r="EQ917" i="1"/>
  <c r="ER917" i="1"/>
  <c r="ES917" i="1"/>
  <c r="ET917" i="1"/>
  <c r="EU917" i="1"/>
  <c r="EV917" i="1"/>
  <c r="EW917" i="1"/>
  <c r="EX917" i="1"/>
  <c r="EY917" i="1"/>
  <c r="EQ918" i="1"/>
  <c r="ER918" i="1"/>
  <c r="ES918" i="1"/>
  <c r="ET918" i="1"/>
  <c r="EU918" i="1"/>
  <c r="EV918" i="1"/>
  <c r="EW918" i="1"/>
  <c r="EX918" i="1"/>
  <c r="EY918" i="1"/>
  <c r="EQ919" i="1"/>
  <c r="ER919" i="1"/>
  <c r="ES919" i="1"/>
  <c r="ET919" i="1"/>
  <c r="EU919" i="1"/>
  <c r="EV919" i="1"/>
  <c r="EW919" i="1"/>
  <c r="EX919" i="1"/>
  <c r="EY919" i="1"/>
  <c r="EQ920" i="1"/>
  <c r="ER920" i="1"/>
  <c r="ES920" i="1"/>
  <c r="ET920" i="1"/>
  <c r="EU920" i="1"/>
  <c r="EV920" i="1"/>
  <c r="EW920" i="1"/>
  <c r="EX920" i="1"/>
  <c r="EY920" i="1"/>
  <c r="EQ921" i="1"/>
  <c r="ER921" i="1"/>
  <c r="ES921" i="1"/>
  <c r="ET921" i="1"/>
  <c r="EU921" i="1"/>
  <c r="EV921" i="1"/>
  <c r="EW921" i="1"/>
  <c r="EX921" i="1"/>
  <c r="EY921" i="1"/>
  <c r="EQ922" i="1"/>
  <c r="ER922" i="1"/>
  <c r="ES922" i="1"/>
  <c r="ET922" i="1"/>
  <c r="EU922" i="1"/>
  <c r="EV922" i="1"/>
  <c r="EW922" i="1"/>
  <c r="EX922" i="1"/>
  <c r="EY922" i="1"/>
  <c r="EQ923" i="1"/>
  <c r="ER923" i="1"/>
  <c r="ES923" i="1"/>
  <c r="ET923" i="1"/>
  <c r="EU923" i="1"/>
  <c r="EV923" i="1"/>
  <c r="EW923" i="1"/>
  <c r="EX923" i="1"/>
  <c r="EY923" i="1"/>
  <c r="EQ924" i="1"/>
  <c r="ER924" i="1"/>
  <c r="ES924" i="1"/>
  <c r="ET924" i="1"/>
  <c r="EU924" i="1"/>
  <c r="EV924" i="1"/>
  <c r="EW924" i="1"/>
  <c r="EX924" i="1"/>
  <c r="EY924" i="1"/>
  <c r="EQ925" i="1"/>
  <c r="ER925" i="1"/>
  <c r="ES925" i="1"/>
  <c r="ET925" i="1"/>
  <c r="EU925" i="1"/>
  <c r="EV925" i="1"/>
  <c r="EW925" i="1"/>
  <c r="EX925" i="1"/>
  <c r="EY925" i="1"/>
  <c r="EQ926" i="1"/>
  <c r="ER926" i="1"/>
  <c r="ES926" i="1"/>
  <c r="ET926" i="1"/>
  <c r="EU926" i="1"/>
  <c r="EV926" i="1"/>
  <c r="EW926" i="1"/>
  <c r="EX926" i="1"/>
  <c r="EY926" i="1"/>
  <c r="EQ927" i="1"/>
  <c r="ER927" i="1"/>
  <c r="ES927" i="1"/>
  <c r="ET927" i="1"/>
  <c r="EU927" i="1"/>
  <c r="EV927" i="1"/>
  <c r="EW927" i="1"/>
  <c r="EX927" i="1"/>
  <c r="EY927" i="1"/>
  <c r="EQ928" i="1"/>
  <c r="ER928" i="1"/>
  <c r="ES928" i="1"/>
  <c r="ET928" i="1"/>
  <c r="EU928" i="1"/>
  <c r="EV928" i="1"/>
  <c r="EW928" i="1"/>
  <c r="EX928" i="1"/>
  <c r="EY928" i="1"/>
  <c r="EQ929" i="1"/>
  <c r="ER929" i="1"/>
  <c r="ES929" i="1"/>
  <c r="ET929" i="1"/>
  <c r="EU929" i="1"/>
  <c r="EV929" i="1"/>
  <c r="EW929" i="1"/>
  <c r="EX929" i="1"/>
  <c r="EY929" i="1"/>
  <c r="EQ930" i="1"/>
  <c r="ER930" i="1"/>
  <c r="ES930" i="1"/>
  <c r="ET930" i="1"/>
  <c r="EU930" i="1"/>
  <c r="EV930" i="1"/>
  <c r="EW930" i="1"/>
  <c r="EX930" i="1"/>
  <c r="EY930" i="1"/>
  <c r="EQ931" i="1"/>
  <c r="ER931" i="1"/>
  <c r="ES931" i="1"/>
  <c r="ET931" i="1"/>
  <c r="EU931" i="1"/>
  <c r="EV931" i="1"/>
  <c r="EW931" i="1"/>
  <c r="EX931" i="1"/>
  <c r="EY931" i="1"/>
  <c r="EQ932" i="1"/>
  <c r="ER932" i="1"/>
  <c r="ES932" i="1"/>
  <c r="ET932" i="1"/>
  <c r="EU932" i="1"/>
  <c r="EV932" i="1"/>
  <c r="EW932" i="1"/>
  <c r="EX932" i="1"/>
  <c r="EY932" i="1"/>
  <c r="EP4" i="1"/>
  <c r="EP5" i="1"/>
  <c r="EP6" i="1"/>
  <c r="EP7" i="1"/>
  <c r="EP8" i="1"/>
  <c r="EP9" i="1"/>
  <c r="EP10" i="1"/>
  <c r="EP11" i="1"/>
  <c r="EP12" i="1"/>
  <c r="EP13" i="1"/>
  <c r="EP14" i="1"/>
  <c r="EP15" i="1"/>
  <c r="EP16" i="1"/>
  <c r="EP17" i="1"/>
  <c r="EP18" i="1"/>
  <c r="EP19" i="1"/>
  <c r="EP20" i="1"/>
  <c r="EP21" i="1"/>
  <c r="EP22" i="1"/>
  <c r="EP23" i="1"/>
  <c r="EP24" i="1"/>
  <c r="EP25" i="1"/>
  <c r="EP26" i="1"/>
  <c r="EP27" i="1"/>
  <c r="EP28" i="1"/>
  <c r="EP29" i="1"/>
  <c r="EP30" i="1"/>
  <c r="EP31" i="1"/>
  <c r="EP32" i="1"/>
  <c r="EP33" i="1"/>
  <c r="EP34" i="1"/>
  <c r="EP35" i="1"/>
  <c r="EP36" i="1"/>
  <c r="EP37" i="1"/>
  <c r="EP38" i="1"/>
  <c r="EP39" i="1"/>
  <c r="EP40" i="1"/>
  <c r="EP41" i="1"/>
  <c r="EP42" i="1"/>
  <c r="EP43" i="1"/>
  <c r="EP44" i="1"/>
  <c r="EP45" i="1"/>
  <c r="EP46" i="1"/>
  <c r="EP47" i="1"/>
  <c r="EP48" i="1"/>
  <c r="EP49" i="1"/>
  <c r="EP50" i="1"/>
  <c r="EP51" i="1"/>
  <c r="EP52" i="1"/>
  <c r="EP53" i="1"/>
  <c r="EP54" i="1"/>
  <c r="EP55" i="1"/>
  <c r="EP56" i="1"/>
  <c r="EP57" i="1"/>
  <c r="EP58" i="1"/>
  <c r="EP59" i="1"/>
  <c r="EP60" i="1"/>
  <c r="EP61" i="1"/>
  <c r="EP62" i="1"/>
  <c r="EP63" i="1"/>
  <c r="EP64" i="1"/>
  <c r="EP65" i="1"/>
  <c r="EP66" i="1"/>
  <c r="EP67" i="1"/>
  <c r="EP68" i="1"/>
  <c r="EP69" i="1"/>
  <c r="EP70" i="1"/>
  <c r="EP71" i="1"/>
  <c r="EP72" i="1"/>
  <c r="EP73" i="1"/>
  <c r="EP74" i="1"/>
  <c r="EP75" i="1"/>
  <c r="EP76" i="1"/>
  <c r="EP77" i="1"/>
  <c r="EP78" i="1"/>
  <c r="EP79" i="1"/>
  <c r="EP80" i="1"/>
  <c r="EP81" i="1"/>
  <c r="EP82" i="1"/>
  <c r="EP83" i="1"/>
  <c r="EP84" i="1"/>
  <c r="EP85" i="1"/>
  <c r="EP86" i="1"/>
  <c r="EP87" i="1"/>
  <c r="EP88" i="1"/>
  <c r="EP89" i="1"/>
  <c r="EP90" i="1"/>
  <c r="EP91" i="1"/>
  <c r="EP92" i="1"/>
  <c r="EP93" i="1"/>
  <c r="EP94" i="1"/>
  <c r="EP95" i="1"/>
  <c r="EP96" i="1"/>
  <c r="EP97" i="1"/>
  <c r="EP98" i="1"/>
  <c r="EP99" i="1"/>
  <c r="EP100" i="1"/>
  <c r="EP101" i="1"/>
  <c r="EP102" i="1"/>
  <c r="EP103" i="1"/>
  <c r="EP104" i="1"/>
  <c r="EP105" i="1"/>
  <c r="EP106" i="1"/>
  <c r="EP107" i="1"/>
  <c r="EP108" i="1"/>
  <c r="EP109" i="1"/>
  <c r="EP110" i="1"/>
  <c r="EP111" i="1"/>
  <c r="EP112" i="1"/>
  <c r="EP113" i="1"/>
  <c r="EP114" i="1"/>
  <c r="EP115" i="1"/>
  <c r="EP116" i="1"/>
  <c r="EP117" i="1"/>
  <c r="EP118" i="1"/>
  <c r="EP119" i="1"/>
  <c r="EP120" i="1"/>
  <c r="EP121" i="1"/>
  <c r="EP122" i="1"/>
  <c r="EP123" i="1"/>
  <c r="EP124" i="1"/>
  <c r="EP125" i="1"/>
  <c r="EP126" i="1"/>
  <c r="EP127" i="1"/>
  <c r="EP128" i="1"/>
  <c r="EP129" i="1"/>
  <c r="EP130" i="1"/>
  <c r="EP131" i="1"/>
  <c r="EP132" i="1"/>
  <c r="EP133" i="1"/>
  <c r="EP134" i="1"/>
  <c r="EP135" i="1"/>
  <c r="EP136" i="1"/>
  <c r="EP137" i="1"/>
  <c r="EP138" i="1"/>
  <c r="EP139" i="1"/>
  <c r="EP140" i="1"/>
  <c r="EP141" i="1"/>
  <c r="EP142" i="1"/>
  <c r="EP143" i="1"/>
  <c r="EP144" i="1"/>
  <c r="EP145" i="1"/>
  <c r="EP146" i="1"/>
  <c r="EP147" i="1"/>
  <c r="EP148" i="1"/>
  <c r="EP149" i="1"/>
  <c r="EP150" i="1"/>
  <c r="EP151" i="1"/>
  <c r="EP152" i="1"/>
  <c r="EP153" i="1"/>
  <c r="EP154" i="1"/>
  <c r="EP155" i="1"/>
  <c r="EP156" i="1"/>
  <c r="EP157" i="1"/>
  <c r="EP158" i="1"/>
  <c r="EP159" i="1"/>
  <c r="EP160" i="1"/>
  <c r="EP161" i="1"/>
  <c r="EP162" i="1"/>
  <c r="EP163" i="1"/>
  <c r="EP164" i="1"/>
  <c r="EP165" i="1"/>
  <c r="EP166" i="1"/>
  <c r="EP167" i="1"/>
  <c r="EP168" i="1"/>
  <c r="EP169" i="1"/>
  <c r="EP170" i="1"/>
  <c r="EP171" i="1"/>
  <c r="EP172" i="1"/>
  <c r="EP173" i="1"/>
  <c r="EP174" i="1"/>
  <c r="EP175" i="1"/>
  <c r="EP176" i="1"/>
  <c r="EP177" i="1"/>
  <c r="EP178" i="1"/>
  <c r="EP179" i="1"/>
  <c r="EP180" i="1"/>
  <c r="EP181" i="1"/>
  <c r="EP182" i="1"/>
  <c r="EP183" i="1"/>
  <c r="EP184" i="1"/>
  <c r="EP185" i="1"/>
  <c r="EP186" i="1"/>
  <c r="EP187" i="1"/>
  <c r="EP188" i="1"/>
  <c r="EP189" i="1"/>
  <c r="EP190" i="1"/>
  <c r="EP191" i="1"/>
  <c r="EP192" i="1"/>
  <c r="EP193" i="1"/>
  <c r="EP194" i="1"/>
  <c r="EP195" i="1"/>
  <c r="EP196" i="1"/>
  <c r="EP197" i="1"/>
  <c r="EP198" i="1"/>
  <c r="EP199" i="1"/>
  <c r="EP200" i="1"/>
  <c r="EP201" i="1"/>
  <c r="EP202" i="1"/>
  <c r="EP203" i="1"/>
  <c r="EP204" i="1"/>
  <c r="EP205" i="1"/>
  <c r="EP206" i="1"/>
  <c r="EP207" i="1"/>
  <c r="EP208" i="1"/>
  <c r="EP209" i="1"/>
  <c r="EP210" i="1"/>
  <c r="EP211" i="1"/>
  <c r="EP212" i="1"/>
  <c r="EP213" i="1"/>
  <c r="EP214" i="1"/>
  <c r="EP215" i="1"/>
  <c r="EP216" i="1"/>
  <c r="EP217" i="1"/>
  <c r="EP218" i="1"/>
  <c r="EP219" i="1"/>
  <c r="EP220" i="1"/>
  <c r="EP221" i="1"/>
  <c r="EP222" i="1"/>
  <c r="EP223" i="1"/>
  <c r="EP224" i="1"/>
  <c r="EP225" i="1"/>
  <c r="EP226" i="1"/>
  <c r="EP227" i="1"/>
  <c r="EP228" i="1"/>
  <c r="EP229" i="1"/>
  <c r="EP230" i="1"/>
  <c r="EP231" i="1"/>
  <c r="EP232" i="1"/>
  <c r="EP233" i="1"/>
  <c r="EP234" i="1"/>
  <c r="EP235" i="1"/>
  <c r="EP236" i="1"/>
  <c r="EP237" i="1"/>
  <c r="EP238" i="1"/>
  <c r="EP239" i="1"/>
  <c r="EP240" i="1"/>
  <c r="EP241" i="1"/>
  <c r="EP242" i="1"/>
  <c r="EP243" i="1"/>
  <c r="EP244" i="1"/>
  <c r="EP245" i="1"/>
  <c r="EP246" i="1"/>
  <c r="EP247" i="1"/>
  <c r="EP248" i="1"/>
  <c r="EP249" i="1"/>
  <c r="EP250" i="1"/>
  <c r="EP251" i="1"/>
  <c r="EP252" i="1"/>
  <c r="EP253" i="1"/>
  <c r="EP254" i="1"/>
  <c r="EP255" i="1"/>
  <c r="EP256" i="1"/>
  <c r="EP257" i="1"/>
  <c r="EP258" i="1"/>
  <c r="EP259" i="1"/>
  <c r="EP260" i="1"/>
  <c r="EP261" i="1"/>
  <c r="EP262" i="1"/>
  <c r="EP263" i="1"/>
  <c r="EP264" i="1"/>
  <c r="EP265" i="1"/>
  <c r="EP266" i="1"/>
  <c r="EP267" i="1"/>
  <c r="EP268" i="1"/>
  <c r="EP269" i="1"/>
  <c r="EP270" i="1"/>
  <c r="EP271" i="1"/>
  <c r="EP272" i="1"/>
  <c r="EP273" i="1"/>
  <c r="EP274" i="1"/>
  <c r="EP275" i="1"/>
  <c r="EP276" i="1"/>
  <c r="EP277" i="1"/>
  <c r="EP278" i="1"/>
  <c r="EP279" i="1"/>
  <c r="EP280" i="1"/>
  <c r="EP281" i="1"/>
  <c r="EP282" i="1"/>
  <c r="EP283" i="1"/>
  <c r="EP284" i="1"/>
  <c r="EP285" i="1"/>
  <c r="EP286" i="1"/>
  <c r="EP287" i="1"/>
  <c r="EP288" i="1"/>
  <c r="EP289" i="1"/>
  <c r="EP290" i="1"/>
  <c r="EP291" i="1"/>
  <c r="EP292" i="1"/>
  <c r="EP293" i="1"/>
  <c r="EP294" i="1"/>
  <c r="EP295" i="1"/>
  <c r="EP296" i="1"/>
  <c r="EP297" i="1"/>
  <c r="EP298" i="1"/>
  <c r="EP299" i="1"/>
  <c r="EP300" i="1"/>
  <c r="EP301" i="1"/>
  <c r="EP302" i="1"/>
  <c r="EP303" i="1"/>
  <c r="EP304" i="1"/>
  <c r="EP305" i="1"/>
  <c r="EP306" i="1"/>
  <c r="EP307" i="1"/>
  <c r="EP308" i="1"/>
  <c r="EP309" i="1"/>
  <c r="EP310" i="1"/>
  <c r="EP311" i="1"/>
  <c r="EP312" i="1"/>
  <c r="EP313" i="1"/>
  <c r="EP314" i="1"/>
  <c r="EP315" i="1"/>
  <c r="EP316" i="1"/>
  <c r="EP317" i="1"/>
  <c r="EP318" i="1"/>
  <c r="EP319" i="1"/>
  <c r="EP320" i="1"/>
  <c r="EP321" i="1"/>
  <c r="EP322" i="1"/>
  <c r="EP323" i="1"/>
  <c r="EP324" i="1"/>
  <c r="EP325" i="1"/>
  <c r="EP326" i="1"/>
  <c r="EP327" i="1"/>
  <c r="EP328" i="1"/>
  <c r="EP329" i="1"/>
  <c r="EP330" i="1"/>
  <c r="EP331" i="1"/>
  <c r="EP332" i="1"/>
  <c r="EP333" i="1"/>
  <c r="EP334" i="1"/>
  <c r="EP335" i="1"/>
  <c r="EP336" i="1"/>
  <c r="EP337" i="1"/>
  <c r="EP338" i="1"/>
  <c r="EP339" i="1"/>
  <c r="EP340" i="1"/>
  <c r="EP341" i="1"/>
  <c r="EP342" i="1"/>
  <c r="EP343" i="1"/>
  <c r="EP344" i="1"/>
  <c r="EP345" i="1"/>
  <c r="EP346" i="1"/>
  <c r="EP347" i="1"/>
  <c r="EP348" i="1"/>
  <c r="EP349" i="1"/>
  <c r="EP350" i="1"/>
  <c r="EP351" i="1"/>
  <c r="EP352" i="1"/>
  <c r="EP353" i="1"/>
  <c r="EP354" i="1"/>
  <c r="EP355" i="1"/>
  <c r="EP356" i="1"/>
  <c r="EP357" i="1"/>
  <c r="EP358" i="1"/>
  <c r="EP359" i="1"/>
  <c r="EP360" i="1"/>
  <c r="EP361" i="1"/>
  <c r="EP362" i="1"/>
  <c r="EP363" i="1"/>
  <c r="EP364" i="1"/>
  <c r="EP365" i="1"/>
  <c r="EP366" i="1"/>
  <c r="EP367" i="1"/>
  <c r="EP368" i="1"/>
  <c r="EP369" i="1"/>
  <c r="EP370" i="1"/>
  <c r="EP371" i="1"/>
  <c r="EP372" i="1"/>
  <c r="EP373" i="1"/>
  <c r="EP374" i="1"/>
  <c r="EP375" i="1"/>
  <c r="EP376" i="1"/>
  <c r="EP377" i="1"/>
  <c r="EP378" i="1"/>
  <c r="EP379" i="1"/>
  <c r="EP380" i="1"/>
  <c r="EP381" i="1"/>
  <c r="EP382" i="1"/>
  <c r="EP383" i="1"/>
  <c r="EP384" i="1"/>
  <c r="EP385" i="1"/>
  <c r="EP386" i="1"/>
  <c r="EP387" i="1"/>
  <c r="EP388" i="1"/>
  <c r="EP389" i="1"/>
  <c r="EP390" i="1"/>
  <c r="EP391" i="1"/>
  <c r="EP392" i="1"/>
  <c r="EP393" i="1"/>
  <c r="EP394" i="1"/>
  <c r="EP395" i="1"/>
  <c r="EP396" i="1"/>
  <c r="EP397" i="1"/>
  <c r="EP398" i="1"/>
  <c r="EP399" i="1"/>
  <c r="EP400" i="1"/>
  <c r="EP401" i="1"/>
  <c r="EP402" i="1"/>
  <c r="EP403" i="1"/>
  <c r="EP404" i="1"/>
  <c r="EP405" i="1"/>
  <c r="EP406" i="1"/>
  <c r="EP407" i="1"/>
  <c r="EP408" i="1"/>
  <c r="EP409" i="1"/>
  <c r="EP410" i="1"/>
  <c r="EP411" i="1"/>
  <c r="EP412" i="1"/>
  <c r="EP413" i="1"/>
  <c r="EP414" i="1"/>
  <c r="EP415" i="1"/>
  <c r="EP416" i="1"/>
  <c r="EP417" i="1"/>
  <c r="EP418" i="1"/>
  <c r="EP419" i="1"/>
  <c r="EP420" i="1"/>
  <c r="EP421" i="1"/>
  <c r="EP422" i="1"/>
  <c r="EP423" i="1"/>
  <c r="EP424" i="1"/>
  <c r="EP425" i="1"/>
  <c r="EP426" i="1"/>
  <c r="EP427" i="1"/>
  <c r="EP428" i="1"/>
  <c r="EP429" i="1"/>
  <c r="EP430" i="1"/>
  <c r="EP431" i="1"/>
  <c r="EP432" i="1"/>
  <c r="EP433" i="1"/>
  <c r="EP434" i="1"/>
  <c r="EP435" i="1"/>
  <c r="EP436" i="1"/>
  <c r="EP437" i="1"/>
  <c r="EP438" i="1"/>
  <c r="EP439" i="1"/>
  <c r="EP440" i="1"/>
  <c r="EP441" i="1"/>
  <c r="EP442" i="1"/>
  <c r="EP443" i="1"/>
  <c r="EP444" i="1"/>
  <c r="EP445" i="1"/>
  <c r="EP446" i="1"/>
  <c r="EP447" i="1"/>
  <c r="EP448" i="1"/>
  <c r="EP449" i="1"/>
  <c r="EP450" i="1"/>
  <c r="EP451" i="1"/>
  <c r="EP452" i="1"/>
  <c r="EP453" i="1"/>
  <c r="EP454" i="1"/>
  <c r="EP455" i="1"/>
  <c r="EP456" i="1"/>
  <c r="EP457" i="1"/>
  <c r="EP458" i="1"/>
  <c r="EP459" i="1"/>
  <c r="EP460" i="1"/>
  <c r="EP461" i="1"/>
  <c r="EP462" i="1"/>
  <c r="EP463" i="1"/>
  <c r="EP464" i="1"/>
  <c r="EP465" i="1"/>
  <c r="EP466" i="1"/>
  <c r="EP467" i="1"/>
  <c r="EP468" i="1"/>
  <c r="EP469" i="1"/>
  <c r="EP470" i="1"/>
  <c r="EP471" i="1"/>
  <c r="EP472" i="1"/>
  <c r="EP473" i="1"/>
  <c r="EP474" i="1"/>
  <c r="EP475" i="1"/>
  <c r="EP476" i="1"/>
  <c r="EP477" i="1"/>
  <c r="EP478" i="1"/>
  <c r="EP479" i="1"/>
  <c r="EP480" i="1"/>
  <c r="EP481" i="1"/>
  <c r="EP482" i="1"/>
  <c r="EP483" i="1"/>
  <c r="EP484" i="1"/>
  <c r="EP485" i="1"/>
  <c r="EP486" i="1"/>
  <c r="EP487" i="1"/>
  <c r="EP488" i="1"/>
  <c r="EP489" i="1"/>
  <c r="EP490" i="1"/>
  <c r="EP491" i="1"/>
  <c r="EP492" i="1"/>
  <c r="EP493" i="1"/>
  <c r="EP494" i="1"/>
  <c r="EP495" i="1"/>
  <c r="EP496" i="1"/>
  <c r="EP497" i="1"/>
  <c r="EP498" i="1"/>
  <c r="EP499" i="1"/>
  <c r="EP500" i="1"/>
  <c r="EP501" i="1"/>
  <c r="EP502" i="1"/>
  <c r="EP503" i="1"/>
  <c r="EP504" i="1"/>
  <c r="EP505" i="1"/>
  <c r="EP506" i="1"/>
  <c r="EP507" i="1"/>
  <c r="EP508" i="1"/>
  <c r="EP509" i="1"/>
  <c r="EP510" i="1"/>
  <c r="EP511" i="1"/>
  <c r="EP512" i="1"/>
  <c r="EP513" i="1"/>
  <c r="EP514" i="1"/>
  <c r="EP515" i="1"/>
  <c r="EP516" i="1"/>
  <c r="EP517" i="1"/>
  <c r="EP518" i="1"/>
  <c r="EP519" i="1"/>
  <c r="EP520" i="1"/>
  <c r="EP521" i="1"/>
  <c r="EP522" i="1"/>
  <c r="EP523" i="1"/>
  <c r="EP524" i="1"/>
  <c r="EP525" i="1"/>
  <c r="EP526" i="1"/>
  <c r="EP527" i="1"/>
  <c r="EP528" i="1"/>
  <c r="EP529" i="1"/>
  <c r="EP530" i="1"/>
  <c r="EP531" i="1"/>
  <c r="EP532" i="1"/>
  <c r="EP533" i="1"/>
  <c r="EP534" i="1"/>
  <c r="EP535" i="1"/>
  <c r="EP536" i="1"/>
  <c r="EP537" i="1"/>
  <c r="EP538" i="1"/>
  <c r="EP539" i="1"/>
  <c r="EP540" i="1"/>
  <c r="EP541" i="1"/>
  <c r="EP542" i="1"/>
  <c r="EP543" i="1"/>
  <c r="EP544" i="1"/>
  <c r="EP545" i="1"/>
  <c r="EP546" i="1"/>
  <c r="EP547" i="1"/>
  <c r="EP548" i="1"/>
  <c r="EP549" i="1"/>
  <c r="EP550" i="1"/>
  <c r="EP551" i="1"/>
  <c r="EP552" i="1"/>
  <c r="EP553" i="1"/>
  <c r="EP554" i="1"/>
  <c r="EP555" i="1"/>
  <c r="EP556" i="1"/>
  <c r="EP557" i="1"/>
  <c r="EP558" i="1"/>
  <c r="EP559" i="1"/>
  <c r="EP560" i="1"/>
  <c r="EP561" i="1"/>
  <c r="EP562" i="1"/>
  <c r="EP563" i="1"/>
  <c r="EP564" i="1"/>
  <c r="EP565" i="1"/>
  <c r="EP566" i="1"/>
  <c r="EP567" i="1"/>
  <c r="EP568" i="1"/>
  <c r="EP569" i="1"/>
  <c r="EP570" i="1"/>
  <c r="EP571" i="1"/>
  <c r="EP572" i="1"/>
  <c r="EP573" i="1"/>
  <c r="EP574" i="1"/>
  <c r="EP575" i="1"/>
  <c r="EP576" i="1"/>
  <c r="EP577" i="1"/>
  <c r="EP578" i="1"/>
  <c r="EP579" i="1"/>
  <c r="EP580" i="1"/>
  <c r="EP581" i="1"/>
  <c r="EP582" i="1"/>
  <c r="EP583" i="1"/>
  <c r="EP584" i="1"/>
  <c r="EP585" i="1"/>
  <c r="EP586" i="1"/>
  <c r="EP587" i="1"/>
  <c r="EP588" i="1"/>
  <c r="EP589" i="1"/>
  <c r="EP590" i="1"/>
  <c r="EP591" i="1"/>
  <c r="EP592" i="1"/>
  <c r="EP593" i="1"/>
  <c r="EP594" i="1"/>
  <c r="EP595" i="1"/>
  <c r="EP596" i="1"/>
  <c r="EP597" i="1"/>
  <c r="EP598" i="1"/>
  <c r="EP599" i="1"/>
  <c r="EP600" i="1"/>
  <c r="EP601" i="1"/>
  <c r="EP602" i="1"/>
  <c r="EP603" i="1"/>
  <c r="EP604" i="1"/>
  <c r="EP605" i="1"/>
  <c r="EP606" i="1"/>
  <c r="EP607" i="1"/>
  <c r="EP608" i="1"/>
  <c r="EP609" i="1"/>
  <c r="EP610" i="1"/>
  <c r="EP611" i="1"/>
  <c r="EP612" i="1"/>
  <c r="EP613" i="1"/>
  <c r="EP614" i="1"/>
  <c r="EP615" i="1"/>
  <c r="EP616" i="1"/>
  <c r="EP617" i="1"/>
  <c r="EP618" i="1"/>
  <c r="EP619" i="1"/>
  <c r="EP620" i="1"/>
  <c r="EP621" i="1"/>
  <c r="EP622" i="1"/>
  <c r="EP623" i="1"/>
  <c r="EP624" i="1"/>
  <c r="EP625" i="1"/>
  <c r="EP626" i="1"/>
  <c r="EP627" i="1"/>
  <c r="EP628" i="1"/>
  <c r="EP629" i="1"/>
  <c r="EP630" i="1"/>
  <c r="EP631" i="1"/>
  <c r="EP632" i="1"/>
  <c r="EP633" i="1"/>
  <c r="EP634" i="1"/>
  <c r="EP635" i="1"/>
  <c r="EP636" i="1"/>
  <c r="EP637" i="1"/>
  <c r="EP638" i="1"/>
  <c r="EP639" i="1"/>
  <c r="EP640" i="1"/>
  <c r="EP641" i="1"/>
  <c r="EP642" i="1"/>
  <c r="EP643" i="1"/>
  <c r="EP644" i="1"/>
  <c r="EP645" i="1"/>
  <c r="EP646" i="1"/>
  <c r="EP647" i="1"/>
  <c r="EP648" i="1"/>
  <c r="EP649" i="1"/>
  <c r="EP650" i="1"/>
  <c r="EP651" i="1"/>
  <c r="EP652" i="1"/>
  <c r="EP653" i="1"/>
  <c r="EP654" i="1"/>
  <c r="EP655" i="1"/>
  <c r="EP656" i="1"/>
  <c r="EP657" i="1"/>
  <c r="EP658" i="1"/>
  <c r="EP659" i="1"/>
  <c r="EP660" i="1"/>
  <c r="EP661" i="1"/>
  <c r="EP662" i="1"/>
  <c r="EP663" i="1"/>
  <c r="EP664" i="1"/>
  <c r="EP665" i="1"/>
  <c r="EP666" i="1"/>
  <c r="EP667" i="1"/>
  <c r="EP668" i="1"/>
  <c r="EP669" i="1"/>
  <c r="EP670" i="1"/>
  <c r="EP671" i="1"/>
  <c r="EP672" i="1"/>
  <c r="EP673" i="1"/>
  <c r="EP674" i="1"/>
  <c r="EP675" i="1"/>
  <c r="EP676" i="1"/>
  <c r="EP677" i="1"/>
  <c r="EP678" i="1"/>
  <c r="EP679" i="1"/>
  <c r="EP680" i="1"/>
  <c r="EP681" i="1"/>
  <c r="EP682" i="1"/>
  <c r="EP683" i="1"/>
  <c r="EP684" i="1"/>
  <c r="EP685" i="1"/>
  <c r="EP686" i="1"/>
  <c r="EP687" i="1"/>
  <c r="EP688" i="1"/>
  <c r="EP689" i="1"/>
  <c r="EP690" i="1"/>
  <c r="EP691" i="1"/>
  <c r="EP692" i="1"/>
  <c r="EP693" i="1"/>
  <c r="EP694" i="1"/>
  <c r="EP695" i="1"/>
  <c r="EP696" i="1"/>
  <c r="EP697" i="1"/>
  <c r="EP698" i="1"/>
  <c r="EP699" i="1"/>
  <c r="EP700" i="1"/>
  <c r="EP701" i="1"/>
  <c r="EP702" i="1"/>
  <c r="EP703" i="1"/>
  <c r="EP704" i="1"/>
  <c r="EP705" i="1"/>
  <c r="EP706" i="1"/>
  <c r="EP707" i="1"/>
  <c r="EP708" i="1"/>
  <c r="EP709" i="1"/>
  <c r="EP710" i="1"/>
  <c r="EP711" i="1"/>
  <c r="EP712" i="1"/>
  <c r="EP713" i="1"/>
  <c r="EP714" i="1"/>
  <c r="EP715" i="1"/>
  <c r="EP716" i="1"/>
  <c r="EP717" i="1"/>
  <c r="EP718" i="1"/>
  <c r="EP719" i="1"/>
  <c r="EP720" i="1"/>
  <c r="EP721" i="1"/>
  <c r="EP722" i="1"/>
  <c r="EP723" i="1"/>
  <c r="EP724" i="1"/>
  <c r="EP725" i="1"/>
  <c r="EP726" i="1"/>
  <c r="EP727" i="1"/>
  <c r="EP728" i="1"/>
  <c r="EP729" i="1"/>
  <c r="EP730" i="1"/>
  <c r="EP731" i="1"/>
  <c r="EP732" i="1"/>
  <c r="EP733" i="1"/>
  <c r="EP734" i="1"/>
  <c r="EP735" i="1"/>
  <c r="EP736" i="1"/>
  <c r="EP737" i="1"/>
  <c r="EP738" i="1"/>
  <c r="EP739" i="1"/>
  <c r="EP740" i="1"/>
  <c r="EP741" i="1"/>
  <c r="EP742" i="1"/>
  <c r="EP743" i="1"/>
  <c r="EP744" i="1"/>
  <c r="EP745" i="1"/>
  <c r="EP746" i="1"/>
  <c r="EP747" i="1"/>
  <c r="EP748" i="1"/>
  <c r="EP749" i="1"/>
  <c r="EP750" i="1"/>
  <c r="EP751" i="1"/>
  <c r="EP752" i="1"/>
  <c r="EP753" i="1"/>
  <c r="EP754" i="1"/>
  <c r="EP755" i="1"/>
  <c r="EP756" i="1"/>
  <c r="EP757" i="1"/>
  <c r="EP758" i="1"/>
  <c r="EP759" i="1"/>
  <c r="EP760" i="1"/>
  <c r="EP761" i="1"/>
  <c r="EP762" i="1"/>
  <c r="EP763" i="1"/>
  <c r="EP764" i="1"/>
  <c r="EP765" i="1"/>
  <c r="EP766" i="1"/>
  <c r="EP767" i="1"/>
  <c r="EP768" i="1"/>
  <c r="EP769" i="1"/>
  <c r="EP770" i="1"/>
  <c r="EP771" i="1"/>
  <c r="EP772" i="1"/>
  <c r="EP773" i="1"/>
  <c r="EP774" i="1"/>
  <c r="EP775" i="1"/>
  <c r="EP776" i="1"/>
  <c r="EP777" i="1"/>
  <c r="EP778" i="1"/>
  <c r="EP779" i="1"/>
  <c r="EP780" i="1"/>
  <c r="EP781" i="1"/>
  <c r="EP782" i="1"/>
  <c r="EP783" i="1"/>
  <c r="EP784" i="1"/>
  <c r="EP785" i="1"/>
  <c r="EP786" i="1"/>
  <c r="EP787" i="1"/>
  <c r="EP788" i="1"/>
  <c r="EP789" i="1"/>
  <c r="EP790" i="1"/>
  <c r="EP791" i="1"/>
  <c r="EP792" i="1"/>
  <c r="EP793" i="1"/>
  <c r="EP794" i="1"/>
  <c r="EP795" i="1"/>
  <c r="EP796" i="1"/>
  <c r="EP797" i="1"/>
  <c r="EP798" i="1"/>
  <c r="EP799" i="1"/>
  <c r="EP800" i="1"/>
  <c r="EP801" i="1"/>
  <c r="EP802" i="1"/>
  <c r="EP803" i="1"/>
  <c r="EP804" i="1"/>
  <c r="EP805" i="1"/>
  <c r="EP806" i="1"/>
  <c r="EP807" i="1"/>
  <c r="EP808" i="1"/>
  <c r="EP809" i="1"/>
  <c r="EP810" i="1"/>
  <c r="EP811" i="1"/>
  <c r="EP812" i="1"/>
  <c r="EP813" i="1"/>
  <c r="EP814" i="1"/>
  <c r="EP815" i="1"/>
  <c r="EP816" i="1"/>
  <c r="EP817" i="1"/>
  <c r="EP818" i="1"/>
  <c r="EP819" i="1"/>
  <c r="EP820" i="1"/>
  <c r="EP821" i="1"/>
  <c r="EP822" i="1"/>
  <c r="EP823" i="1"/>
  <c r="EP824" i="1"/>
  <c r="EP825" i="1"/>
  <c r="EP826" i="1"/>
  <c r="EP827" i="1"/>
  <c r="EP828" i="1"/>
  <c r="EP829" i="1"/>
  <c r="EP830" i="1"/>
  <c r="EP831" i="1"/>
  <c r="EP832" i="1"/>
  <c r="EP833" i="1"/>
  <c r="EP834" i="1"/>
  <c r="EP835" i="1"/>
  <c r="EP836" i="1"/>
  <c r="EP837" i="1"/>
  <c r="EP838" i="1"/>
  <c r="EP839" i="1"/>
  <c r="EP840" i="1"/>
  <c r="EP841" i="1"/>
  <c r="EP842" i="1"/>
  <c r="EP843" i="1"/>
  <c r="EP844" i="1"/>
  <c r="EP845" i="1"/>
  <c r="EP846" i="1"/>
  <c r="EP847" i="1"/>
  <c r="EP848" i="1"/>
  <c r="EP849" i="1"/>
  <c r="EP850" i="1"/>
  <c r="EP851" i="1"/>
  <c r="EP852" i="1"/>
  <c r="EP853" i="1"/>
  <c r="EP854" i="1"/>
  <c r="EP855" i="1"/>
  <c r="EP856" i="1"/>
  <c r="EP857" i="1"/>
  <c r="EP858" i="1"/>
  <c r="EP859" i="1"/>
  <c r="EP860" i="1"/>
  <c r="EP861" i="1"/>
  <c r="EP862" i="1"/>
  <c r="EP863" i="1"/>
  <c r="EP864" i="1"/>
  <c r="EP865" i="1"/>
  <c r="EP866" i="1"/>
  <c r="EP867" i="1"/>
  <c r="EP868" i="1"/>
  <c r="EP869" i="1"/>
  <c r="EP870" i="1"/>
  <c r="EP871" i="1"/>
  <c r="EP872" i="1"/>
  <c r="EP873" i="1"/>
  <c r="EP874" i="1"/>
  <c r="EP875" i="1"/>
  <c r="EP876" i="1"/>
  <c r="EP877" i="1"/>
  <c r="EP878" i="1"/>
  <c r="EP879" i="1"/>
  <c r="EP880" i="1"/>
  <c r="EP881" i="1"/>
  <c r="EP882" i="1"/>
  <c r="EP883" i="1"/>
  <c r="EP884" i="1"/>
  <c r="EP885" i="1"/>
  <c r="EP886" i="1"/>
  <c r="EP887" i="1"/>
  <c r="EP888" i="1"/>
  <c r="EP889" i="1"/>
  <c r="EP890" i="1"/>
  <c r="EP891" i="1"/>
  <c r="EP892" i="1"/>
  <c r="EP893" i="1"/>
  <c r="EP894" i="1"/>
  <c r="EP895" i="1"/>
  <c r="EP896" i="1"/>
  <c r="EP897" i="1"/>
  <c r="EP898" i="1"/>
  <c r="EP899" i="1"/>
  <c r="EP900" i="1"/>
  <c r="EP901" i="1"/>
  <c r="EP902" i="1"/>
  <c r="EP903" i="1"/>
  <c r="EP904" i="1"/>
  <c r="EP905" i="1"/>
  <c r="EP906" i="1"/>
  <c r="EP907" i="1"/>
  <c r="EP908" i="1"/>
  <c r="EP909" i="1"/>
  <c r="EP910" i="1"/>
  <c r="EP911" i="1"/>
  <c r="EP912" i="1"/>
  <c r="EP913" i="1"/>
  <c r="EP914" i="1"/>
  <c r="EP915" i="1"/>
  <c r="EP916" i="1"/>
  <c r="EP917" i="1"/>
  <c r="EP918" i="1"/>
  <c r="EP919" i="1"/>
  <c r="EP920" i="1"/>
  <c r="EP921" i="1"/>
  <c r="EP922" i="1"/>
  <c r="EP923" i="1"/>
  <c r="EP924" i="1"/>
  <c r="EP925" i="1"/>
  <c r="EP926" i="1"/>
  <c r="EP927" i="1"/>
  <c r="EP928" i="1"/>
  <c r="EP929" i="1"/>
  <c r="EP930" i="1"/>
  <c r="EP931" i="1"/>
  <c r="EP932" i="1"/>
  <c r="A1" i="1" a="1"/>
  <c r="A1" i="1" s="1"/>
  <c r="EP1" i="1" a="1"/>
  <c r="EP1" i="1" s="1"/>
  <c r="EG2" i="1"/>
  <c r="EH2" i="1"/>
  <c r="EI2" i="1"/>
  <c r="EJ2" i="1"/>
  <c r="EK2" i="1"/>
  <c r="EL2" i="1"/>
  <c r="EM2" i="1"/>
  <c r="EN2" i="1"/>
  <c r="EO2" i="1"/>
  <c r="EF2" i="1"/>
  <c r="EG5" i="1"/>
  <c r="EH5" i="1"/>
  <c r="EI5" i="1"/>
  <c r="EJ5" i="1"/>
  <c r="EK5" i="1"/>
  <c r="EL5" i="1"/>
  <c r="EM5" i="1"/>
  <c r="EN5" i="1"/>
  <c r="EO5" i="1"/>
  <c r="EG6" i="1"/>
  <c r="EH6" i="1"/>
  <c r="EI6" i="1"/>
  <c r="EJ6" i="1"/>
  <c r="EK6" i="1"/>
  <c r="EL6" i="1"/>
  <c r="EM6" i="1"/>
  <c r="EN6" i="1"/>
  <c r="EO6" i="1"/>
  <c r="EG7" i="1"/>
  <c r="EH7" i="1"/>
  <c r="EI7" i="1"/>
  <c r="EJ7" i="1"/>
  <c r="EK7" i="1"/>
  <c r="EL7" i="1"/>
  <c r="EM7" i="1"/>
  <c r="EN7" i="1"/>
  <c r="EO7" i="1"/>
  <c r="EG8" i="1"/>
  <c r="EH8" i="1"/>
  <c r="EI8" i="1"/>
  <c r="EJ8" i="1"/>
  <c r="EK8" i="1"/>
  <c r="EL8" i="1"/>
  <c r="EM8" i="1"/>
  <c r="EN8" i="1"/>
  <c r="EO8" i="1"/>
  <c r="EG9" i="1"/>
  <c r="EH9" i="1"/>
  <c r="EI9" i="1"/>
  <c r="EJ9" i="1"/>
  <c r="EK9" i="1"/>
  <c r="EL9" i="1"/>
  <c r="EM9" i="1"/>
  <c r="EN9" i="1"/>
  <c r="EO9" i="1"/>
  <c r="EG10" i="1"/>
  <c r="EH10" i="1"/>
  <c r="EI10" i="1"/>
  <c r="EJ10" i="1"/>
  <c r="EK10" i="1"/>
  <c r="EL10" i="1"/>
  <c r="EM10" i="1"/>
  <c r="EN10" i="1"/>
  <c r="EO10" i="1"/>
  <c r="EG11" i="1"/>
  <c r="EH11" i="1"/>
  <c r="EI11" i="1"/>
  <c r="EJ11" i="1"/>
  <c r="EK11" i="1"/>
  <c r="EL11" i="1"/>
  <c r="EM11" i="1"/>
  <c r="EN11" i="1"/>
  <c r="EO11" i="1"/>
  <c r="EG12" i="1"/>
  <c r="EH12" i="1"/>
  <c r="EI12" i="1"/>
  <c r="EJ12" i="1"/>
  <c r="EK12" i="1"/>
  <c r="EL12" i="1"/>
  <c r="EM12" i="1"/>
  <c r="EN12" i="1"/>
  <c r="EO12" i="1"/>
  <c r="EG13" i="1"/>
  <c r="EH13" i="1"/>
  <c r="EI13" i="1"/>
  <c r="EJ13" i="1"/>
  <c r="EK13" i="1"/>
  <c r="EL13" i="1"/>
  <c r="EM13" i="1"/>
  <c r="EN13" i="1"/>
  <c r="EO13" i="1"/>
  <c r="EG14" i="1"/>
  <c r="EH14" i="1"/>
  <c r="EI14" i="1"/>
  <c r="EJ14" i="1"/>
  <c r="EK14" i="1"/>
  <c r="EL14" i="1"/>
  <c r="EM14" i="1"/>
  <c r="EN14" i="1"/>
  <c r="EO14" i="1"/>
  <c r="EG15" i="1"/>
  <c r="EH15" i="1"/>
  <c r="EI15" i="1"/>
  <c r="EJ15" i="1"/>
  <c r="EK15" i="1"/>
  <c r="EL15" i="1"/>
  <c r="EM15" i="1"/>
  <c r="EN15" i="1"/>
  <c r="EO15" i="1"/>
  <c r="EG16" i="1"/>
  <c r="EH16" i="1"/>
  <c r="EI16" i="1"/>
  <c r="EJ16" i="1"/>
  <c r="EK16" i="1"/>
  <c r="EL16" i="1"/>
  <c r="EM16" i="1"/>
  <c r="EN16" i="1"/>
  <c r="EO16" i="1"/>
  <c r="EG17" i="1"/>
  <c r="EH17" i="1"/>
  <c r="EI17" i="1"/>
  <c r="EJ17" i="1"/>
  <c r="EK17" i="1"/>
  <c r="EL17" i="1"/>
  <c r="EM17" i="1"/>
  <c r="EN17" i="1"/>
  <c r="EO17" i="1"/>
  <c r="EG18" i="1"/>
  <c r="EH18" i="1"/>
  <c r="EI18" i="1"/>
  <c r="EJ18" i="1"/>
  <c r="EK18" i="1"/>
  <c r="EL18" i="1"/>
  <c r="EM18" i="1"/>
  <c r="EN18" i="1"/>
  <c r="EO18" i="1"/>
  <c r="EG19" i="1"/>
  <c r="EH19" i="1"/>
  <c r="EI19" i="1"/>
  <c r="EJ19" i="1"/>
  <c r="EK19" i="1"/>
  <c r="EL19" i="1"/>
  <c r="EM19" i="1"/>
  <c r="EN19" i="1"/>
  <c r="EO19" i="1"/>
  <c r="EG20" i="1"/>
  <c r="EH20" i="1"/>
  <c r="EI20" i="1"/>
  <c r="EJ20" i="1"/>
  <c r="EK20" i="1"/>
  <c r="EL20" i="1"/>
  <c r="EM20" i="1"/>
  <c r="EN20" i="1"/>
  <c r="EO20" i="1"/>
  <c r="EG21" i="1"/>
  <c r="EH21" i="1"/>
  <c r="EI21" i="1"/>
  <c r="EJ21" i="1"/>
  <c r="EK21" i="1"/>
  <c r="EL21" i="1"/>
  <c r="EM21" i="1"/>
  <c r="EN21" i="1"/>
  <c r="EO21" i="1"/>
  <c r="EG22" i="1"/>
  <c r="EH22" i="1"/>
  <c r="EI22" i="1"/>
  <c r="EJ22" i="1"/>
  <c r="EK22" i="1"/>
  <c r="EL22" i="1"/>
  <c r="EM22" i="1"/>
  <c r="EN22" i="1"/>
  <c r="EO22" i="1"/>
  <c r="EG23" i="1"/>
  <c r="EH23" i="1"/>
  <c r="EI23" i="1"/>
  <c r="EJ23" i="1"/>
  <c r="EK23" i="1"/>
  <c r="EL23" i="1"/>
  <c r="EM23" i="1"/>
  <c r="EN23" i="1"/>
  <c r="EO23" i="1"/>
  <c r="EG24" i="1"/>
  <c r="EH24" i="1"/>
  <c r="EI24" i="1"/>
  <c r="EJ24" i="1"/>
  <c r="EK24" i="1"/>
  <c r="EL24" i="1"/>
  <c r="EM24" i="1"/>
  <c r="EN24" i="1"/>
  <c r="EO24" i="1"/>
  <c r="EG25" i="1"/>
  <c r="EH25" i="1"/>
  <c r="EI25" i="1"/>
  <c r="EJ25" i="1"/>
  <c r="EK25" i="1"/>
  <c r="EL25" i="1"/>
  <c r="EM25" i="1"/>
  <c r="EN25" i="1"/>
  <c r="EO25" i="1"/>
  <c r="EG26" i="1"/>
  <c r="EH26" i="1"/>
  <c r="EI26" i="1"/>
  <c r="EJ26" i="1"/>
  <c r="EK26" i="1"/>
  <c r="EL26" i="1"/>
  <c r="EM26" i="1"/>
  <c r="EN26" i="1"/>
  <c r="EO26" i="1"/>
  <c r="EG27" i="1"/>
  <c r="EH27" i="1"/>
  <c r="EI27" i="1"/>
  <c r="EJ27" i="1"/>
  <c r="EK27" i="1"/>
  <c r="EL27" i="1"/>
  <c r="EM27" i="1"/>
  <c r="EN27" i="1"/>
  <c r="EO27" i="1"/>
  <c r="EG28" i="1"/>
  <c r="EH28" i="1"/>
  <c r="EI28" i="1"/>
  <c r="EJ28" i="1"/>
  <c r="EK28" i="1"/>
  <c r="EL28" i="1"/>
  <c r="EM28" i="1"/>
  <c r="EN28" i="1"/>
  <c r="EO28" i="1"/>
  <c r="EG29" i="1"/>
  <c r="EH29" i="1"/>
  <c r="EI29" i="1"/>
  <c r="EJ29" i="1"/>
  <c r="EK29" i="1"/>
  <c r="EL29" i="1"/>
  <c r="EM29" i="1"/>
  <c r="EN29" i="1"/>
  <c r="EO29" i="1"/>
  <c r="EG30" i="1"/>
  <c r="EH30" i="1"/>
  <c r="EI30" i="1"/>
  <c r="EJ30" i="1"/>
  <c r="EK30" i="1"/>
  <c r="EL30" i="1"/>
  <c r="EM30" i="1"/>
  <c r="EN30" i="1"/>
  <c r="EO30" i="1"/>
  <c r="EG31" i="1"/>
  <c r="EH31" i="1"/>
  <c r="EI31" i="1"/>
  <c r="EJ31" i="1"/>
  <c r="EK31" i="1"/>
  <c r="EL31" i="1"/>
  <c r="EM31" i="1"/>
  <c r="EN31" i="1"/>
  <c r="EO31" i="1"/>
  <c r="EG32" i="1"/>
  <c r="EH32" i="1"/>
  <c r="EI32" i="1"/>
  <c r="EJ32" i="1"/>
  <c r="EK32" i="1"/>
  <c r="EL32" i="1"/>
  <c r="EM32" i="1"/>
  <c r="EN32" i="1"/>
  <c r="EO32" i="1"/>
  <c r="EG33" i="1"/>
  <c r="EH33" i="1"/>
  <c r="EI33" i="1"/>
  <c r="EJ33" i="1"/>
  <c r="EK33" i="1"/>
  <c r="EL33" i="1"/>
  <c r="EM33" i="1"/>
  <c r="EN33" i="1"/>
  <c r="EO33" i="1"/>
  <c r="EG34" i="1"/>
  <c r="EH34" i="1"/>
  <c r="EI34" i="1"/>
  <c r="EJ34" i="1"/>
  <c r="EK34" i="1"/>
  <c r="EL34" i="1"/>
  <c r="EM34" i="1"/>
  <c r="EN34" i="1"/>
  <c r="EO34" i="1"/>
  <c r="EG35" i="1"/>
  <c r="EH35" i="1"/>
  <c r="EI35" i="1"/>
  <c r="EJ35" i="1"/>
  <c r="EK35" i="1"/>
  <c r="EL35" i="1"/>
  <c r="EM35" i="1"/>
  <c r="EN35" i="1"/>
  <c r="EO35" i="1"/>
  <c r="EG36" i="1"/>
  <c r="EH36" i="1"/>
  <c r="EI36" i="1"/>
  <c r="EJ36" i="1"/>
  <c r="EK36" i="1"/>
  <c r="EL36" i="1"/>
  <c r="EM36" i="1"/>
  <c r="EN36" i="1"/>
  <c r="EO36" i="1"/>
  <c r="EG37" i="1"/>
  <c r="EH37" i="1"/>
  <c r="EI37" i="1"/>
  <c r="EJ37" i="1"/>
  <c r="EK37" i="1"/>
  <c r="EL37" i="1"/>
  <c r="EM37" i="1"/>
  <c r="EN37" i="1"/>
  <c r="EO37" i="1"/>
  <c r="EG38" i="1"/>
  <c r="EH38" i="1"/>
  <c r="EI38" i="1"/>
  <c r="EJ38" i="1"/>
  <c r="EK38" i="1"/>
  <c r="EL38" i="1"/>
  <c r="EM38" i="1"/>
  <c r="EN38" i="1"/>
  <c r="EO38" i="1"/>
  <c r="EG39" i="1"/>
  <c r="EH39" i="1"/>
  <c r="EI39" i="1"/>
  <c r="EJ39" i="1"/>
  <c r="EK39" i="1"/>
  <c r="EL39" i="1"/>
  <c r="EM39" i="1"/>
  <c r="EN39" i="1"/>
  <c r="EO39" i="1"/>
  <c r="EG40" i="1"/>
  <c r="EH40" i="1"/>
  <c r="EI40" i="1"/>
  <c r="EJ40" i="1"/>
  <c r="EK40" i="1"/>
  <c r="EL40" i="1"/>
  <c r="EM40" i="1"/>
  <c r="EN40" i="1"/>
  <c r="EO40" i="1"/>
  <c r="EG41" i="1"/>
  <c r="EH41" i="1"/>
  <c r="EI41" i="1"/>
  <c r="EJ41" i="1"/>
  <c r="EK41" i="1"/>
  <c r="EL41" i="1"/>
  <c r="EM41" i="1"/>
  <c r="EN41" i="1"/>
  <c r="EO41" i="1"/>
  <c r="EG42" i="1"/>
  <c r="EH42" i="1"/>
  <c r="EI42" i="1"/>
  <c r="EJ42" i="1"/>
  <c r="EK42" i="1"/>
  <c r="EL42" i="1"/>
  <c r="EM42" i="1"/>
  <c r="EN42" i="1"/>
  <c r="EO42" i="1"/>
  <c r="EG43" i="1"/>
  <c r="EH43" i="1"/>
  <c r="EI43" i="1"/>
  <c r="EJ43" i="1"/>
  <c r="EK43" i="1"/>
  <c r="EL43" i="1"/>
  <c r="EM43" i="1"/>
  <c r="EN43" i="1"/>
  <c r="EO43" i="1"/>
  <c r="EG44" i="1"/>
  <c r="EH44" i="1"/>
  <c r="EI44" i="1"/>
  <c r="EJ44" i="1"/>
  <c r="EK44" i="1"/>
  <c r="EL44" i="1"/>
  <c r="EM44" i="1"/>
  <c r="EN44" i="1"/>
  <c r="EO44" i="1"/>
  <c r="EG45" i="1"/>
  <c r="EH45" i="1"/>
  <c r="EI45" i="1"/>
  <c r="EJ45" i="1"/>
  <c r="EK45" i="1"/>
  <c r="EL45" i="1"/>
  <c r="EM45" i="1"/>
  <c r="EN45" i="1"/>
  <c r="EO45" i="1"/>
  <c r="EG46" i="1"/>
  <c r="EH46" i="1"/>
  <c r="EI46" i="1"/>
  <c r="EJ46" i="1"/>
  <c r="EK46" i="1"/>
  <c r="EL46" i="1"/>
  <c r="EM46" i="1"/>
  <c r="EN46" i="1"/>
  <c r="EO46" i="1"/>
  <c r="EG47" i="1"/>
  <c r="EH47" i="1"/>
  <c r="EI47" i="1"/>
  <c r="EJ47" i="1"/>
  <c r="EK47" i="1"/>
  <c r="EL47" i="1"/>
  <c r="EM47" i="1"/>
  <c r="EN47" i="1"/>
  <c r="EO47" i="1"/>
  <c r="EG48" i="1"/>
  <c r="EH48" i="1"/>
  <c r="EI48" i="1"/>
  <c r="EJ48" i="1"/>
  <c r="EK48" i="1"/>
  <c r="EL48" i="1"/>
  <c r="EM48" i="1"/>
  <c r="EN48" i="1"/>
  <c r="EO48" i="1"/>
  <c r="EG49" i="1"/>
  <c r="EH49" i="1"/>
  <c r="EI49" i="1"/>
  <c r="EJ49" i="1"/>
  <c r="EK49" i="1"/>
  <c r="EL49" i="1"/>
  <c r="EM49" i="1"/>
  <c r="EN49" i="1"/>
  <c r="EO49" i="1"/>
  <c r="EG50" i="1"/>
  <c r="EH50" i="1"/>
  <c r="EI50" i="1"/>
  <c r="EJ50" i="1"/>
  <c r="EK50" i="1"/>
  <c r="EL50" i="1"/>
  <c r="EM50" i="1"/>
  <c r="EN50" i="1"/>
  <c r="EO50" i="1"/>
  <c r="EG51" i="1"/>
  <c r="EH51" i="1"/>
  <c r="EI51" i="1"/>
  <c r="EJ51" i="1"/>
  <c r="EK51" i="1"/>
  <c r="EL51" i="1"/>
  <c r="EM51" i="1"/>
  <c r="EN51" i="1"/>
  <c r="EO51" i="1"/>
  <c r="EG52" i="1"/>
  <c r="EH52" i="1"/>
  <c r="EI52" i="1"/>
  <c r="EJ52" i="1"/>
  <c r="EK52" i="1"/>
  <c r="EL52" i="1"/>
  <c r="EM52" i="1"/>
  <c r="EN52" i="1"/>
  <c r="EO52" i="1"/>
  <c r="EG53" i="1"/>
  <c r="EH53" i="1"/>
  <c r="EI53" i="1"/>
  <c r="EJ53" i="1"/>
  <c r="EK53" i="1"/>
  <c r="EL53" i="1"/>
  <c r="EM53" i="1"/>
  <c r="EN53" i="1"/>
  <c r="EO53" i="1"/>
  <c r="EG54" i="1"/>
  <c r="EH54" i="1"/>
  <c r="EI54" i="1"/>
  <c r="EJ54" i="1"/>
  <c r="EK54" i="1"/>
  <c r="EL54" i="1"/>
  <c r="EM54" i="1"/>
  <c r="EN54" i="1"/>
  <c r="EO54" i="1"/>
  <c r="EG55" i="1"/>
  <c r="EH55" i="1"/>
  <c r="EI55" i="1"/>
  <c r="EJ55" i="1"/>
  <c r="EK55" i="1"/>
  <c r="EL55" i="1"/>
  <c r="EM55" i="1"/>
  <c r="EN55" i="1"/>
  <c r="EO55" i="1"/>
  <c r="EG56" i="1"/>
  <c r="EH56" i="1"/>
  <c r="EI56" i="1"/>
  <c r="EJ56" i="1"/>
  <c r="EK56" i="1"/>
  <c r="EL56" i="1"/>
  <c r="EM56" i="1"/>
  <c r="EN56" i="1"/>
  <c r="EO56" i="1"/>
  <c r="EG57" i="1"/>
  <c r="EH57" i="1"/>
  <c r="EI57" i="1"/>
  <c r="EJ57" i="1"/>
  <c r="EK57" i="1"/>
  <c r="EL57" i="1"/>
  <c r="EM57" i="1"/>
  <c r="EN57" i="1"/>
  <c r="EO57" i="1"/>
  <c r="EG58" i="1"/>
  <c r="EH58" i="1"/>
  <c r="EI58" i="1"/>
  <c r="EJ58" i="1"/>
  <c r="EK58" i="1"/>
  <c r="EL58" i="1"/>
  <c r="EM58" i="1"/>
  <c r="EN58" i="1"/>
  <c r="EO58" i="1"/>
  <c r="EG59" i="1"/>
  <c r="EH59" i="1"/>
  <c r="EI59" i="1"/>
  <c r="EJ59" i="1"/>
  <c r="EK59" i="1"/>
  <c r="EL59" i="1"/>
  <c r="EM59" i="1"/>
  <c r="EN59" i="1"/>
  <c r="EO59" i="1"/>
  <c r="EG60" i="1"/>
  <c r="EH60" i="1"/>
  <c r="EI60" i="1"/>
  <c r="EJ60" i="1"/>
  <c r="EK60" i="1"/>
  <c r="EL60" i="1"/>
  <c r="EM60" i="1"/>
  <c r="EN60" i="1"/>
  <c r="EO60" i="1"/>
  <c r="EG61" i="1"/>
  <c r="EH61" i="1"/>
  <c r="EI61" i="1"/>
  <c r="EJ61" i="1"/>
  <c r="EK61" i="1"/>
  <c r="EL61" i="1"/>
  <c r="EM61" i="1"/>
  <c r="EN61" i="1"/>
  <c r="EO61" i="1"/>
  <c r="EG62" i="1"/>
  <c r="EH62" i="1"/>
  <c r="EI62" i="1"/>
  <c r="EJ62" i="1"/>
  <c r="EK62" i="1"/>
  <c r="EL62" i="1"/>
  <c r="EM62" i="1"/>
  <c r="EN62" i="1"/>
  <c r="EO62" i="1"/>
  <c r="EG63" i="1"/>
  <c r="EH63" i="1"/>
  <c r="EI63" i="1"/>
  <c r="EJ63" i="1"/>
  <c r="EK63" i="1"/>
  <c r="EL63" i="1"/>
  <c r="EM63" i="1"/>
  <c r="EN63" i="1"/>
  <c r="EO63" i="1"/>
  <c r="EG64" i="1"/>
  <c r="EH64" i="1"/>
  <c r="EI64" i="1"/>
  <c r="EJ64" i="1"/>
  <c r="EK64" i="1"/>
  <c r="EL64" i="1"/>
  <c r="EM64" i="1"/>
  <c r="EN64" i="1"/>
  <c r="EO64" i="1"/>
  <c r="EG65" i="1"/>
  <c r="EH65" i="1"/>
  <c r="EI65" i="1"/>
  <c r="EJ65" i="1"/>
  <c r="EK65" i="1"/>
  <c r="EL65" i="1"/>
  <c r="EM65" i="1"/>
  <c r="EN65" i="1"/>
  <c r="EO65" i="1"/>
  <c r="EG66" i="1"/>
  <c r="EH66" i="1"/>
  <c r="EI66" i="1"/>
  <c r="EJ66" i="1"/>
  <c r="EK66" i="1"/>
  <c r="EL66" i="1"/>
  <c r="EM66" i="1"/>
  <c r="EN66" i="1"/>
  <c r="EO66" i="1"/>
  <c r="EG67" i="1"/>
  <c r="EH67" i="1"/>
  <c r="EI67" i="1"/>
  <c r="EJ67" i="1"/>
  <c r="EK67" i="1"/>
  <c r="EL67" i="1"/>
  <c r="EM67" i="1"/>
  <c r="EN67" i="1"/>
  <c r="EO67" i="1"/>
  <c r="EG68" i="1"/>
  <c r="EH68" i="1"/>
  <c r="EI68" i="1"/>
  <c r="EJ68" i="1"/>
  <c r="EK68" i="1"/>
  <c r="EL68" i="1"/>
  <c r="EM68" i="1"/>
  <c r="EN68" i="1"/>
  <c r="EO68" i="1"/>
  <c r="EG69" i="1"/>
  <c r="EH69" i="1"/>
  <c r="EI69" i="1"/>
  <c r="EJ69" i="1"/>
  <c r="EK69" i="1"/>
  <c r="EL69" i="1"/>
  <c r="EM69" i="1"/>
  <c r="EN69" i="1"/>
  <c r="EO69" i="1"/>
  <c r="EG70" i="1"/>
  <c r="EH70" i="1"/>
  <c r="EI70" i="1"/>
  <c r="EJ70" i="1"/>
  <c r="EK70" i="1"/>
  <c r="EL70" i="1"/>
  <c r="EM70" i="1"/>
  <c r="EN70" i="1"/>
  <c r="EO70" i="1"/>
  <c r="EG71" i="1"/>
  <c r="EH71" i="1"/>
  <c r="EI71" i="1"/>
  <c r="EJ71" i="1"/>
  <c r="EK71" i="1"/>
  <c r="EL71" i="1"/>
  <c r="EM71" i="1"/>
  <c r="EN71" i="1"/>
  <c r="EO71" i="1"/>
  <c r="EG72" i="1"/>
  <c r="EH72" i="1"/>
  <c r="EI72" i="1"/>
  <c r="EJ72" i="1"/>
  <c r="EK72" i="1"/>
  <c r="EL72" i="1"/>
  <c r="EM72" i="1"/>
  <c r="EN72" i="1"/>
  <c r="EO72" i="1"/>
  <c r="EG73" i="1"/>
  <c r="EH73" i="1"/>
  <c r="EI73" i="1"/>
  <c r="EJ73" i="1"/>
  <c r="EK73" i="1"/>
  <c r="EL73" i="1"/>
  <c r="EM73" i="1"/>
  <c r="EN73" i="1"/>
  <c r="EO73" i="1"/>
  <c r="EG74" i="1"/>
  <c r="EH74" i="1"/>
  <c r="EI74" i="1"/>
  <c r="EJ74" i="1"/>
  <c r="EK74" i="1"/>
  <c r="EL74" i="1"/>
  <c r="EM74" i="1"/>
  <c r="EN74" i="1"/>
  <c r="EO74" i="1"/>
  <c r="EG75" i="1"/>
  <c r="EH75" i="1"/>
  <c r="EI75" i="1"/>
  <c r="EJ75" i="1"/>
  <c r="EK75" i="1"/>
  <c r="EL75" i="1"/>
  <c r="EM75" i="1"/>
  <c r="EN75" i="1"/>
  <c r="EO75" i="1"/>
  <c r="EG76" i="1"/>
  <c r="EH76" i="1"/>
  <c r="EI76" i="1"/>
  <c r="EJ76" i="1"/>
  <c r="EK76" i="1"/>
  <c r="EL76" i="1"/>
  <c r="EM76" i="1"/>
  <c r="EN76" i="1"/>
  <c r="EO76" i="1"/>
  <c r="EG77" i="1"/>
  <c r="EH77" i="1"/>
  <c r="EI77" i="1"/>
  <c r="EJ77" i="1"/>
  <c r="EK77" i="1"/>
  <c r="EL77" i="1"/>
  <c r="EM77" i="1"/>
  <c r="EN77" i="1"/>
  <c r="EO77" i="1"/>
  <c r="EG78" i="1"/>
  <c r="EH78" i="1"/>
  <c r="EI78" i="1"/>
  <c r="EJ78" i="1"/>
  <c r="EK78" i="1"/>
  <c r="EL78" i="1"/>
  <c r="EM78" i="1"/>
  <c r="EN78" i="1"/>
  <c r="EO78" i="1"/>
  <c r="EG79" i="1"/>
  <c r="EH79" i="1"/>
  <c r="EI79" i="1"/>
  <c r="EJ79" i="1"/>
  <c r="EK79" i="1"/>
  <c r="EL79" i="1"/>
  <c r="EM79" i="1"/>
  <c r="EN79" i="1"/>
  <c r="EO79" i="1"/>
  <c r="EG80" i="1"/>
  <c r="EH80" i="1"/>
  <c r="EI80" i="1"/>
  <c r="EJ80" i="1"/>
  <c r="EK80" i="1"/>
  <c r="EL80" i="1"/>
  <c r="EM80" i="1"/>
  <c r="EN80" i="1"/>
  <c r="EO80" i="1"/>
  <c r="EG81" i="1"/>
  <c r="EH81" i="1"/>
  <c r="EI81" i="1"/>
  <c r="EJ81" i="1"/>
  <c r="EK81" i="1"/>
  <c r="EL81" i="1"/>
  <c r="EM81" i="1"/>
  <c r="EN81" i="1"/>
  <c r="EO81" i="1"/>
  <c r="EG82" i="1"/>
  <c r="EH82" i="1"/>
  <c r="EI82" i="1"/>
  <c r="EJ82" i="1"/>
  <c r="EK82" i="1"/>
  <c r="EL82" i="1"/>
  <c r="EM82" i="1"/>
  <c r="EN82" i="1"/>
  <c r="EO82" i="1"/>
  <c r="EG83" i="1"/>
  <c r="EH83" i="1"/>
  <c r="EI83" i="1"/>
  <c r="EJ83" i="1"/>
  <c r="EK83" i="1"/>
  <c r="EL83" i="1"/>
  <c r="EM83" i="1"/>
  <c r="EN83" i="1"/>
  <c r="EO83" i="1"/>
  <c r="EG84" i="1"/>
  <c r="EH84" i="1"/>
  <c r="EI84" i="1"/>
  <c r="EJ84" i="1"/>
  <c r="EK84" i="1"/>
  <c r="EL84" i="1"/>
  <c r="EM84" i="1"/>
  <c r="EN84" i="1"/>
  <c r="EO84" i="1"/>
  <c r="EG85" i="1"/>
  <c r="EH85" i="1"/>
  <c r="EI85" i="1"/>
  <c r="EJ85" i="1"/>
  <c r="EK85" i="1"/>
  <c r="EL85" i="1"/>
  <c r="EM85" i="1"/>
  <c r="EN85" i="1"/>
  <c r="EO85" i="1"/>
  <c r="EG86" i="1"/>
  <c r="EH86" i="1"/>
  <c r="EI86" i="1"/>
  <c r="EJ86" i="1"/>
  <c r="EK86" i="1"/>
  <c r="EL86" i="1"/>
  <c r="EM86" i="1"/>
  <c r="EN86" i="1"/>
  <c r="EO86" i="1"/>
  <c r="EG87" i="1"/>
  <c r="EH87" i="1"/>
  <c r="EI87" i="1"/>
  <c r="EJ87" i="1"/>
  <c r="EK87" i="1"/>
  <c r="EL87" i="1"/>
  <c r="EM87" i="1"/>
  <c r="EN87" i="1"/>
  <c r="EO87" i="1"/>
  <c r="EG88" i="1"/>
  <c r="EH88" i="1"/>
  <c r="EI88" i="1"/>
  <c r="EJ88" i="1"/>
  <c r="EK88" i="1"/>
  <c r="EL88" i="1"/>
  <c r="EM88" i="1"/>
  <c r="EN88" i="1"/>
  <c r="EO88" i="1"/>
  <c r="EG89" i="1"/>
  <c r="EH89" i="1"/>
  <c r="EI89" i="1"/>
  <c r="EJ89" i="1"/>
  <c r="EK89" i="1"/>
  <c r="EL89" i="1"/>
  <c r="EM89" i="1"/>
  <c r="EN89" i="1"/>
  <c r="EO89" i="1"/>
  <c r="EG90" i="1"/>
  <c r="EH90" i="1"/>
  <c r="EI90" i="1"/>
  <c r="EJ90" i="1"/>
  <c r="EK90" i="1"/>
  <c r="EL90" i="1"/>
  <c r="EM90" i="1"/>
  <c r="EN90" i="1"/>
  <c r="EO90" i="1"/>
  <c r="EG91" i="1"/>
  <c r="EH91" i="1"/>
  <c r="EI91" i="1"/>
  <c r="EJ91" i="1"/>
  <c r="EK91" i="1"/>
  <c r="EL91" i="1"/>
  <c r="EM91" i="1"/>
  <c r="EN91" i="1"/>
  <c r="EO91" i="1"/>
  <c r="EG92" i="1"/>
  <c r="EH92" i="1"/>
  <c r="EI92" i="1"/>
  <c r="EJ92" i="1"/>
  <c r="EK92" i="1"/>
  <c r="EL92" i="1"/>
  <c r="EM92" i="1"/>
  <c r="EN92" i="1"/>
  <c r="EO92" i="1"/>
  <c r="EG93" i="1"/>
  <c r="EH93" i="1"/>
  <c r="EI93" i="1"/>
  <c r="EJ93" i="1"/>
  <c r="EK93" i="1"/>
  <c r="EL93" i="1"/>
  <c r="EM93" i="1"/>
  <c r="EN93" i="1"/>
  <c r="EO93" i="1"/>
  <c r="EG94" i="1"/>
  <c r="EH94" i="1"/>
  <c r="EI94" i="1"/>
  <c r="EJ94" i="1"/>
  <c r="EK94" i="1"/>
  <c r="EL94" i="1"/>
  <c r="EM94" i="1"/>
  <c r="EN94" i="1"/>
  <c r="EO94" i="1"/>
  <c r="EG95" i="1"/>
  <c r="EH95" i="1"/>
  <c r="EI95" i="1"/>
  <c r="EJ95" i="1"/>
  <c r="EK95" i="1"/>
  <c r="EL95" i="1"/>
  <c r="EM95" i="1"/>
  <c r="EN95" i="1"/>
  <c r="EO95" i="1"/>
  <c r="EG96" i="1"/>
  <c r="EH96" i="1"/>
  <c r="EI96" i="1"/>
  <c r="EJ96" i="1"/>
  <c r="EK96" i="1"/>
  <c r="EL96" i="1"/>
  <c r="EM96" i="1"/>
  <c r="EN96" i="1"/>
  <c r="EO96" i="1"/>
  <c r="EG97" i="1"/>
  <c r="EH97" i="1"/>
  <c r="EI97" i="1"/>
  <c r="EJ97" i="1"/>
  <c r="EK97" i="1"/>
  <c r="EL97" i="1"/>
  <c r="EM97" i="1"/>
  <c r="EN97" i="1"/>
  <c r="EO97" i="1"/>
  <c r="EG98" i="1"/>
  <c r="EH98" i="1"/>
  <c r="EI98" i="1"/>
  <c r="EJ98" i="1"/>
  <c r="EK98" i="1"/>
  <c r="EL98" i="1"/>
  <c r="EM98" i="1"/>
  <c r="EN98" i="1"/>
  <c r="EO98" i="1"/>
  <c r="EG99" i="1"/>
  <c r="EH99" i="1"/>
  <c r="EI99" i="1"/>
  <c r="EJ99" i="1"/>
  <c r="EK99" i="1"/>
  <c r="EL99" i="1"/>
  <c r="EM99" i="1"/>
  <c r="EN99" i="1"/>
  <c r="EO99" i="1"/>
  <c r="EG100" i="1"/>
  <c r="EH100" i="1"/>
  <c r="EI100" i="1"/>
  <c r="EJ100" i="1"/>
  <c r="EK100" i="1"/>
  <c r="EL100" i="1"/>
  <c r="EM100" i="1"/>
  <c r="EN100" i="1"/>
  <c r="EO100" i="1"/>
  <c r="EG101" i="1"/>
  <c r="EH101" i="1"/>
  <c r="EI101" i="1"/>
  <c r="EJ101" i="1"/>
  <c r="EK101" i="1"/>
  <c r="EL101" i="1"/>
  <c r="EM101" i="1"/>
  <c r="EN101" i="1"/>
  <c r="EO101" i="1"/>
  <c r="EG102" i="1"/>
  <c r="EH102" i="1"/>
  <c r="EI102" i="1"/>
  <c r="EJ102" i="1"/>
  <c r="EK102" i="1"/>
  <c r="EL102" i="1"/>
  <c r="EM102" i="1"/>
  <c r="EN102" i="1"/>
  <c r="EO102" i="1"/>
  <c r="EG103" i="1"/>
  <c r="EH103" i="1"/>
  <c r="EI103" i="1"/>
  <c r="EJ103" i="1"/>
  <c r="EK103" i="1"/>
  <c r="EL103" i="1"/>
  <c r="EM103" i="1"/>
  <c r="EN103" i="1"/>
  <c r="EO103" i="1"/>
  <c r="EG104" i="1"/>
  <c r="EH104" i="1"/>
  <c r="EI104" i="1"/>
  <c r="EJ104" i="1"/>
  <c r="EK104" i="1"/>
  <c r="EL104" i="1"/>
  <c r="EM104" i="1"/>
  <c r="EN104" i="1"/>
  <c r="EO104" i="1"/>
  <c r="EG105" i="1"/>
  <c r="EH105" i="1"/>
  <c r="EI105" i="1"/>
  <c r="EJ105" i="1"/>
  <c r="EK105" i="1"/>
  <c r="EL105" i="1"/>
  <c r="EM105" i="1"/>
  <c r="EN105" i="1"/>
  <c r="EO105" i="1"/>
  <c r="EG106" i="1"/>
  <c r="EH106" i="1"/>
  <c r="EI106" i="1"/>
  <c r="EJ106" i="1"/>
  <c r="EK106" i="1"/>
  <c r="EL106" i="1"/>
  <c r="EM106" i="1"/>
  <c r="EN106" i="1"/>
  <c r="EO106" i="1"/>
  <c r="EG107" i="1"/>
  <c r="EH107" i="1"/>
  <c r="EI107" i="1"/>
  <c r="EJ107" i="1"/>
  <c r="EK107" i="1"/>
  <c r="EL107" i="1"/>
  <c r="EM107" i="1"/>
  <c r="EN107" i="1"/>
  <c r="EO107" i="1"/>
  <c r="EG108" i="1"/>
  <c r="EH108" i="1"/>
  <c r="EI108" i="1"/>
  <c r="EJ108" i="1"/>
  <c r="EK108" i="1"/>
  <c r="EL108" i="1"/>
  <c r="EM108" i="1"/>
  <c r="EN108" i="1"/>
  <c r="EO108" i="1"/>
  <c r="EG109" i="1"/>
  <c r="EH109" i="1"/>
  <c r="EI109" i="1"/>
  <c r="EJ109" i="1"/>
  <c r="EK109" i="1"/>
  <c r="EL109" i="1"/>
  <c r="EM109" i="1"/>
  <c r="EN109" i="1"/>
  <c r="EO109" i="1"/>
  <c r="EG110" i="1"/>
  <c r="EH110" i="1"/>
  <c r="EI110" i="1"/>
  <c r="EJ110" i="1"/>
  <c r="EK110" i="1"/>
  <c r="EL110" i="1"/>
  <c r="EM110" i="1"/>
  <c r="EN110" i="1"/>
  <c r="EO110" i="1"/>
  <c r="EG111" i="1"/>
  <c r="EH111" i="1"/>
  <c r="EI111" i="1"/>
  <c r="EJ111" i="1"/>
  <c r="EK111" i="1"/>
  <c r="EL111" i="1"/>
  <c r="EM111" i="1"/>
  <c r="EN111" i="1"/>
  <c r="EO111" i="1"/>
  <c r="EG112" i="1"/>
  <c r="EH112" i="1"/>
  <c r="EI112" i="1"/>
  <c r="EJ112" i="1"/>
  <c r="EK112" i="1"/>
  <c r="EL112" i="1"/>
  <c r="EM112" i="1"/>
  <c r="EN112" i="1"/>
  <c r="EO112" i="1"/>
  <c r="EG113" i="1"/>
  <c r="EH113" i="1"/>
  <c r="EI113" i="1"/>
  <c r="EJ113" i="1"/>
  <c r="EK113" i="1"/>
  <c r="EL113" i="1"/>
  <c r="EM113" i="1"/>
  <c r="EN113" i="1"/>
  <c r="EO113" i="1"/>
  <c r="EG114" i="1"/>
  <c r="EH114" i="1"/>
  <c r="EI114" i="1"/>
  <c r="EJ114" i="1"/>
  <c r="EK114" i="1"/>
  <c r="EL114" i="1"/>
  <c r="EM114" i="1"/>
  <c r="EN114" i="1"/>
  <c r="EO114" i="1"/>
  <c r="EG115" i="1"/>
  <c r="EH115" i="1"/>
  <c r="EI115" i="1"/>
  <c r="EJ115" i="1"/>
  <c r="EK115" i="1"/>
  <c r="EL115" i="1"/>
  <c r="EM115" i="1"/>
  <c r="EN115" i="1"/>
  <c r="EO115" i="1"/>
  <c r="EG116" i="1"/>
  <c r="EH116" i="1"/>
  <c r="EI116" i="1"/>
  <c r="EJ116" i="1"/>
  <c r="EK116" i="1"/>
  <c r="EL116" i="1"/>
  <c r="EM116" i="1"/>
  <c r="EN116" i="1"/>
  <c r="EO116" i="1"/>
  <c r="EG117" i="1"/>
  <c r="EH117" i="1"/>
  <c r="EI117" i="1"/>
  <c r="EJ117" i="1"/>
  <c r="EK117" i="1"/>
  <c r="EL117" i="1"/>
  <c r="EM117" i="1"/>
  <c r="EN117" i="1"/>
  <c r="EO117" i="1"/>
  <c r="EG118" i="1"/>
  <c r="EH118" i="1"/>
  <c r="EI118" i="1"/>
  <c r="EJ118" i="1"/>
  <c r="EK118" i="1"/>
  <c r="EL118" i="1"/>
  <c r="EM118" i="1"/>
  <c r="EN118" i="1"/>
  <c r="EO118" i="1"/>
  <c r="EG119" i="1"/>
  <c r="EH119" i="1"/>
  <c r="EI119" i="1"/>
  <c r="EJ119" i="1"/>
  <c r="EK119" i="1"/>
  <c r="EL119" i="1"/>
  <c r="EM119" i="1"/>
  <c r="EN119" i="1"/>
  <c r="EO119" i="1"/>
  <c r="EG120" i="1"/>
  <c r="EH120" i="1"/>
  <c r="EI120" i="1"/>
  <c r="EJ120" i="1"/>
  <c r="EK120" i="1"/>
  <c r="EL120" i="1"/>
  <c r="EM120" i="1"/>
  <c r="EN120" i="1"/>
  <c r="EO120" i="1"/>
  <c r="EG121" i="1"/>
  <c r="EH121" i="1"/>
  <c r="EI121" i="1"/>
  <c r="EJ121" i="1"/>
  <c r="EK121" i="1"/>
  <c r="EL121" i="1"/>
  <c r="EM121" i="1"/>
  <c r="EN121" i="1"/>
  <c r="EO121" i="1"/>
  <c r="EG122" i="1"/>
  <c r="EH122" i="1"/>
  <c r="EI122" i="1"/>
  <c r="EJ122" i="1"/>
  <c r="EK122" i="1"/>
  <c r="EL122" i="1"/>
  <c r="EM122" i="1"/>
  <c r="EN122" i="1"/>
  <c r="EO122" i="1"/>
  <c r="EG123" i="1"/>
  <c r="EH123" i="1"/>
  <c r="EI123" i="1"/>
  <c r="EJ123" i="1"/>
  <c r="EK123" i="1"/>
  <c r="EL123" i="1"/>
  <c r="EM123" i="1"/>
  <c r="EN123" i="1"/>
  <c r="EO123" i="1"/>
  <c r="EG124" i="1"/>
  <c r="EH124" i="1"/>
  <c r="EI124" i="1"/>
  <c r="EJ124" i="1"/>
  <c r="EK124" i="1"/>
  <c r="EL124" i="1"/>
  <c r="EM124" i="1"/>
  <c r="EN124" i="1"/>
  <c r="EO124" i="1"/>
  <c r="EG125" i="1"/>
  <c r="EH125" i="1"/>
  <c r="EI125" i="1"/>
  <c r="EJ125" i="1"/>
  <c r="EK125" i="1"/>
  <c r="EL125" i="1"/>
  <c r="EM125" i="1"/>
  <c r="EN125" i="1"/>
  <c r="EO125" i="1"/>
  <c r="EG126" i="1"/>
  <c r="EH126" i="1"/>
  <c r="EI126" i="1"/>
  <c r="EJ126" i="1"/>
  <c r="EK126" i="1"/>
  <c r="EL126" i="1"/>
  <c r="EM126" i="1"/>
  <c r="EN126" i="1"/>
  <c r="EO126" i="1"/>
  <c r="EG127" i="1"/>
  <c r="EH127" i="1"/>
  <c r="EI127" i="1"/>
  <c r="EJ127" i="1"/>
  <c r="EK127" i="1"/>
  <c r="EL127" i="1"/>
  <c r="EM127" i="1"/>
  <c r="EN127" i="1"/>
  <c r="EO127" i="1"/>
  <c r="EG128" i="1"/>
  <c r="EH128" i="1"/>
  <c r="EI128" i="1"/>
  <c r="EJ128" i="1"/>
  <c r="EK128" i="1"/>
  <c r="EL128" i="1"/>
  <c r="EM128" i="1"/>
  <c r="EN128" i="1"/>
  <c r="EO128" i="1"/>
  <c r="EG129" i="1"/>
  <c r="EH129" i="1"/>
  <c r="EI129" i="1"/>
  <c r="EJ129" i="1"/>
  <c r="EK129" i="1"/>
  <c r="EL129" i="1"/>
  <c r="EM129" i="1"/>
  <c r="EN129" i="1"/>
  <c r="EO129" i="1"/>
  <c r="EG130" i="1"/>
  <c r="EH130" i="1"/>
  <c r="EI130" i="1"/>
  <c r="EJ130" i="1"/>
  <c r="EK130" i="1"/>
  <c r="EL130" i="1"/>
  <c r="EM130" i="1"/>
  <c r="EN130" i="1"/>
  <c r="EO130" i="1"/>
  <c r="EG131" i="1"/>
  <c r="EH131" i="1"/>
  <c r="EI131" i="1"/>
  <c r="EJ131" i="1"/>
  <c r="EK131" i="1"/>
  <c r="EL131" i="1"/>
  <c r="EM131" i="1"/>
  <c r="EN131" i="1"/>
  <c r="EO131" i="1"/>
  <c r="EG132" i="1"/>
  <c r="EH132" i="1"/>
  <c r="EI132" i="1"/>
  <c r="EJ132" i="1"/>
  <c r="EK132" i="1"/>
  <c r="EL132" i="1"/>
  <c r="EM132" i="1"/>
  <c r="EN132" i="1"/>
  <c r="EO132" i="1"/>
  <c r="EG133" i="1"/>
  <c r="EH133" i="1"/>
  <c r="EI133" i="1"/>
  <c r="EJ133" i="1"/>
  <c r="EK133" i="1"/>
  <c r="EL133" i="1"/>
  <c r="EM133" i="1"/>
  <c r="EN133" i="1"/>
  <c r="EO133" i="1"/>
  <c r="EG134" i="1"/>
  <c r="EH134" i="1"/>
  <c r="EI134" i="1"/>
  <c r="EJ134" i="1"/>
  <c r="EK134" i="1"/>
  <c r="EL134" i="1"/>
  <c r="EM134" i="1"/>
  <c r="EN134" i="1"/>
  <c r="EO134" i="1"/>
  <c r="EG135" i="1"/>
  <c r="EH135" i="1"/>
  <c r="EI135" i="1"/>
  <c r="EJ135" i="1"/>
  <c r="EK135" i="1"/>
  <c r="EL135" i="1"/>
  <c r="EM135" i="1"/>
  <c r="EN135" i="1"/>
  <c r="EO135" i="1"/>
  <c r="EG136" i="1"/>
  <c r="EH136" i="1"/>
  <c r="EI136" i="1"/>
  <c r="EJ136" i="1"/>
  <c r="EK136" i="1"/>
  <c r="EL136" i="1"/>
  <c r="EM136" i="1"/>
  <c r="EN136" i="1"/>
  <c r="EO136" i="1"/>
  <c r="EG137" i="1"/>
  <c r="EH137" i="1"/>
  <c r="EI137" i="1"/>
  <c r="EJ137" i="1"/>
  <c r="EK137" i="1"/>
  <c r="EL137" i="1"/>
  <c r="EM137" i="1"/>
  <c r="EN137" i="1"/>
  <c r="EO137" i="1"/>
  <c r="EG138" i="1"/>
  <c r="EH138" i="1"/>
  <c r="EI138" i="1"/>
  <c r="EJ138" i="1"/>
  <c r="EK138" i="1"/>
  <c r="EL138" i="1"/>
  <c r="EM138" i="1"/>
  <c r="EN138" i="1"/>
  <c r="EO138" i="1"/>
  <c r="EG139" i="1"/>
  <c r="EH139" i="1"/>
  <c r="EI139" i="1"/>
  <c r="EJ139" i="1"/>
  <c r="EK139" i="1"/>
  <c r="EL139" i="1"/>
  <c r="EM139" i="1"/>
  <c r="EN139" i="1"/>
  <c r="EO139" i="1"/>
  <c r="EG140" i="1"/>
  <c r="EH140" i="1"/>
  <c r="EI140" i="1"/>
  <c r="EJ140" i="1"/>
  <c r="EK140" i="1"/>
  <c r="EL140" i="1"/>
  <c r="EM140" i="1"/>
  <c r="EN140" i="1"/>
  <c r="EO140" i="1"/>
  <c r="EG141" i="1"/>
  <c r="EH141" i="1"/>
  <c r="EI141" i="1"/>
  <c r="EJ141" i="1"/>
  <c r="EK141" i="1"/>
  <c r="EL141" i="1"/>
  <c r="EM141" i="1"/>
  <c r="EN141" i="1"/>
  <c r="EO141" i="1"/>
  <c r="EG142" i="1"/>
  <c r="EH142" i="1"/>
  <c r="EI142" i="1"/>
  <c r="EJ142" i="1"/>
  <c r="EK142" i="1"/>
  <c r="EL142" i="1"/>
  <c r="EM142" i="1"/>
  <c r="EN142" i="1"/>
  <c r="EO142" i="1"/>
  <c r="EG143" i="1"/>
  <c r="EH143" i="1"/>
  <c r="EI143" i="1"/>
  <c r="EJ143" i="1"/>
  <c r="EK143" i="1"/>
  <c r="EL143" i="1"/>
  <c r="EM143" i="1"/>
  <c r="EN143" i="1"/>
  <c r="EO143" i="1"/>
  <c r="EG144" i="1"/>
  <c r="EH144" i="1"/>
  <c r="EI144" i="1"/>
  <c r="EJ144" i="1"/>
  <c r="EK144" i="1"/>
  <c r="EL144" i="1"/>
  <c r="EM144" i="1"/>
  <c r="EN144" i="1"/>
  <c r="EO144" i="1"/>
  <c r="EG145" i="1"/>
  <c r="EH145" i="1"/>
  <c r="EI145" i="1"/>
  <c r="EJ145" i="1"/>
  <c r="EK145" i="1"/>
  <c r="EL145" i="1"/>
  <c r="EM145" i="1"/>
  <c r="EN145" i="1"/>
  <c r="EO145" i="1"/>
  <c r="EG146" i="1"/>
  <c r="EH146" i="1"/>
  <c r="EI146" i="1"/>
  <c r="EJ146" i="1"/>
  <c r="EK146" i="1"/>
  <c r="EL146" i="1"/>
  <c r="EM146" i="1"/>
  <c r="EN146" i="1"/>
  <c r="EO146" i="1"/>
  <c r="EG147" i="1"/>
  <c r="EH147" i="1"/>
  <c r="EI147" i="1"/>
  <c r="EJ147" i="1"/>
  <c r="EK147" i="1"/>
  <c r="EL147" i="1"/>
  <c r="EM147" i="1"/>
  <c r="EN147" i="1"/>
  <c r="EO147" i="1"/>
  <c r="EG148" i="1"/>
  <c r="EH148" i="1"/>
  <c r="EI148" i="1"/>
  <c r="EJ148" i="1"/>
  <c r="EK148" i="1"/>
  <c r="EL148" i="1"/>
  <c r="EM148" i="1"/>
  <c r="EN148" i="1"/>
  <c r="EO148" i="1"/>
  <c r="EG149" i="1"/>
  <c r="EH149" i="1"/>
  <c r="EI149" i="1"/>
  <c r="EJ149" i="1"/>
  <c r="EK149" i="1"/>
  <c r="EL149" i="1"/>
  <c r="EM149" i="1"/>
  <c r="EN149" i="1"/>
  <c r="EO149" i="1"/>
  <c r="EG150" i="1"/>
  <c r="EH150" i="1"/>
  <c r="EI150" i="1"/>
  <c r="EJ150" i="1"/>
  <c r="EK150" i="1"/>
  <c r="EL150" i="1"/>
  <c r="EM150" i="1"/>
  <c r="EN150" i="1"/>
  <c r="EO150" i="1"/>
  <c r="EG151" i="1"/>
  <c r="EH151" i="1"/>
  <c r="EI151" i="1"/>
  <c r="EJ151" i="1"/>
  <c r="EK151" i="1"/>
  <c r="EL151" i="1"/>
  <c r="EM151" i="1"/>
  <c r="EN151" i="1"/>
  <c r="EO151" i="1"/>
  <c r="EG152" i="1"/>
  <c r="EH152" i="1"/>
  <c r="EI152" i="1"/>
  <c r="EJ152" i="1"/>
  <c r="EK152" i="1"/>
  <c r="EL152" i="1"/>
  <c r="EM152" i="1"/>
  <c r="EN152" i="1"/>
  <c r="EO152" i="1"/>
  <c r="EG153" i="1"/>
  <c r="EH153" i="1"/>
  <c r="EI153" i="1"/>
  <c r="EJ153" i="1"/>
  <c r="EK153" i="1"/>
  <c r="EL153" i="1"/>
  <c r="EM153" i="1"/>
  <c r="EN153" i="1"/>
  <c r="EO153" i="1"/>
  <c r="EG154" i="1"/>
  <c r="EH154" i="1"/>
  <c r="EI154" i="1"/>
  <c r="EJ154" i="1"/>
  <c r="EK154" i="1"/>
  <c r="EL154" i="1"/>
  <c r="EM154" i="1"/>
  <c r="EN154" i="1"/>
  <c r="EO154" i="1"/>
  <c r="EG155" i="1"/>
  <c r="EH155" i="1"/>
  <c r="EI155" i="1"/>
  <c r="EJ155" i="1"/>
  <c r="EK155" i="1"/>
  <c r="EL155" i="1"/>
  <c r="EM155" i="1"/>
  <c r="EN155" i="1"/>
  <c r="EO155" i="1"/>
  <c r="EG156" i="1"/>
  <c r="EH156" i="1"/>
  <c r="EI156" i="1"/>
  <c r="EJ156" i="1"/>
  <c r="EK156" i="1"/>
  <c r="EL156" i="1"/>
  <c r="EM156" i="1"/>
  <c r="EN156" i="1"/>
  <c r="EO156" i="1"/>
  <c r="EG157" i="1"/>
  <c r="EH157" i="1"/>
  <c r="EI157" i="1"/>
  <c r="EJ157" i="1"/>
  <c r="EK157" i="1"/>
  <c r="EL157" i="1"/>
  <c r="EM157" i="1"/>
  <c r="EN157" i="1"/>
  <c r="EO157" i="1"/>
  <c r="EG158" i="1"/>
  <c r="EH158" i="1"/>
  <c r="EI158" i="1"/>
  <c r="EJ158" i="1"/>
  <c r="EK158" i="1"/>
  <c r="EL158" i="1"/>
  <c r="EM158" i="1"/>
  <c r="EN158" i="1"/>
  <c r="EO158" i="1"/>
  <c r="EG159" i="1"/>
  <c r="EH159" i="1"/>
  <c r="EI159" i="1"/>
  <c r="EJ159" i="1"/>
  <c r="EK159" i="1"/>
  <c r="EL159" i="1"/>
  <c r="EM159" i="1"/>
  <c r="EN159" i="1"/>
  <c r="EO159" i="1"/>
  <c r="EG160" i="1"/>
  <c r="EH160" i="1"/>
  <c r="EI160" i="1"/>
  <c r="EJ160" i="1"/>
  <c r="EK160" i="1"/>
  <c r="EL160" i="1"/>
  <c r="EM160" i="1"/>
  <c r="EN160" i="1"/>
  <c r="EO160" i="1"/>
  <c r="EG161" i="1"/>
  <c r="EH161" i="1"/>
  <c r="EI161" i="1"/>
  <c r="EJ161" i="1"/>
  <c r="EK161" i="1"/>
  <c r="EL161" i="1"/>
  <c r="EM161" i="1"/>
  <c r="EN161" i="1"/>
  <c r="EO161" i="1"/>
  <c r="EG162" i="1"/>
  <c r="EH162" i="1"/>
  <c r="EI162" i="1"/>
  <c r="EJ162" i="1"/>
  <c r="EK162" i="1"/>
  <c r="EL162" i="1"/>
  <c r="EM162" i="1"/>
  <c r="EN162" i="1"/>
  <c r="EO162" i="1"/>
  <c r="EG163" i="1"/>
  <c r="EH163" i="1"/>
  <c r="EI163" i="1"/>
  <c r="EJ163" i="1"/>
  <c r="EK163" i="1"/>
  <c r="EL163" i="1"/>
  <c r="EM163" i="1"/>
  <c r="EN163" i="1"/>
  <c r="EO163" i="1"/>
  <c r="EG164" i="1"/>
  <c r="EH164" i="1"/>
  <c r="EI164" i="1"/>
  <c r="EJ164" i="1"/>
  <c r="EK164" i="1"/>
  <c r="EL164" i="1"/>
  <c r="EM164" i="1"/>
  <c r="EN164" i="1"/>
  <c r="EO164" i="1"/>
  <c r="EG165" i="1"/>
  <c r="EH165" i="1"/>
  <c r="EI165" i="1"/>
  <c r="EJ165" i="1"/>
  <c r="EK165" i="1"/>
  <c r="EL165" i="1"/>
  <c r="EM165" i="1"/>
  <c r="EN165" i="1"/>
  <c r="EO165" i="1"/>
  <c r="EG166" i="1"/>
  <c r="EH166" i="1"/>
  <c r="EI166" i="1"/>
  <c r="EJ166" i="1"/>
  <c r="EK166" i="1"/>
  <c r="EL166" i="1"/>
  <c r="EM166" i="1"/>
  <c r="EN166" i="1"/>
  <c r="EO166" i="1"/>
  <c r="EG167" i="1"/>
  <c r="EH167" i="1"/>
  <c r="EI167" i="1"/>
  <c r="EJ167" i="1"/>
  <c r="EK167" i="1"/>
  <c r="EL167" i="1"/>
  <c r="EM167" i="1"/>
  <c r="EN167" i="1"/>
  <c r="EO167" i="1"/>
  <c r="EG168" i="1"/>
  <c r="EH168" i="1"/>
  <c r="EI168" i="1"/>
  <c r="EJ168" i="1"/>
  <c r="EK168" i="1"/>
  <c r="EL168" i="1"/>
  <c r="EM168" i="1"/>
  <c r="EN168" i="1"/>
  <c r="EO168" i="1"/>
  <c r="EG169" i="1"/>
  <c r="EH169" i="1"/>
  <c r="EI169" i="1"/>
  <c r="EJ169" i="1"/>
  <c r="EK169" i="1"/>
  <c r="EL169" i="1"/>
  <c r="EM169" i="1"/>
  <c r="EN169" i="1"/>
  <c r="EO169" i="1"/>
  <c r="EG170" i="1"/>
  <c r="EH170" i="1"/>
  <c r="EI170" i="1"/>
  <c r="EJ170" i="1"/>
  <c r="EK170" i="1"/>
  <c r="EL170" i="1"/>
  <c r="EM170" i="1"/>
  <c r="EN170" i="1"/>
  <c r="EO170" i="1"/>
  <c r="EG171" i="1"/>
  <c r="EH171" i="1"/>
  <c r="EI171" i="1"/>
  <c r="EJ171" i="1"/>
  <c r="EK171" i="1"/>
  <c r="EL171" i="1"/>
  <c r="EM171" i="1"/>
  <c r="EN171" i="1"/>
  <c r="EO171" i="1"/>
  <c r="EG172" i="1"/>
  <c r="EH172" i="1"/>
  <c r="EI172" i="1"/>
  <c r="EJ172" i="1"/>
  <c r="EK172" i="1"/>
  <c r="EL172" i="1"/>
  <c r="EM172" i="1"/>
  <c r="EN172" i="1"/>
  <c r="EO172" i="1"/>
  <c r="EG173" i="1"/>
  <c r="EH173" i="1"/>
  <c r="EI173" i="1"/>
  <c r="EJ173" i="1"/>
  <c r="EK173" i="1"/>
  <c r="EL173" i="1"/>
  <c r="EM173" i="1"/>
  <c r="EN173" i="1"/>
  <c r="EO173" i="1"/>
  <c r="EG174" i="1"/>
  <c r="EH174" i="1"/>
  <c r="EI174" i="1"/>
  <c r="EJ174" i="1"/>
  <c r="EK174" i="1"/>
  <c r="EL174" i="1"/>
  <c r="EM174" i="1"/>
  <c r="EN174" i="1"/>
  <c r="EO174" i="1"/>
  <c r="EG175" i="1"/>
  <c r="EH175" i="1"/>
  <c r="EI175" i="1"/>
  <c r="EJ175" i="1"/>
  <c r="EK175" i="1"/>
  <c r="EL175" i="1"/>
  <c r="EM175" i="1"/>
  <c r="EN175" i="1"/>
  <c r="EO175" i="1"/>
  <c r="EG176" i="1"/>
  <c r="EH176" i="1"/>
  <c r="EI176" i="1"/>
  <c r="EJ176" i="1"/>
  <c r="EK176" i="1"/>
  <c r="EL176" i="1"/>
  <c r="EM176" i="1"/>
  <c r="EN176" i="1"/>
  <c r="EO176" i="1"/>
  <c r="EG177" i="1"/>
  <c r="EH177" i="1"/>
  <c r="EI177" i="1"/>
  <c r="EJ177" i="1"/>
  <c r="EK177" i="1"/>
  <c r="EL177" i="1"/>
  <c r="EM177" i="1"/>
  <c r="EN177" i="1"/>
  <c r="EO177" i="1"/>
  <c r="EG178" i="1"/>
  <c r="EH178" i="1"/>
  <c r="EI178" i="1"/>
  <c r="EJ178" i="1"/>
  <c r="EK178" i="1"/>
  <c r="EL178" i="1"/>
  <c r="EM178" i="1"/>
  <c r="EN178" i="1"/>
  <c r="EO178" i="1"/>
  <c r="EG179" i="1"/>
  <c r="EH179" i="1"/>
  <c r="EI179" i="1"/>
  <c r="EJ179" i="1"/>
  <c r="EK179" i="1"/>
  <c r="EL179" i="1"/>
  <c r="EM179" i="1"/>
  <c r="EN179" i="1"/>
  <c r="EO179" i="1"/>
  <c r="EG180" i="1"/>
  <c r="EH180" i="1"/>
  <c r="EI180" i="1"/>
  <c r="EJ180" i="1"/>
  <c r="EK180" i="1"/>
  <c r="EL180" i="1"/>
  <c r="EM180" i="1"/>
  <c r="EN180" i="1"/>
  <c r="EO180" i="1"/>
  <c r="EG181" i="1"/>
  <c r="EH181" i="1"/>
  <c r="EI181" i="1"/>
  <c r="EJ181" i="1"/>
  <c r="EK181" i="1"/>
  <c r="EL181" i="1"/>
  <c r="EM181" i="1"/>
  <c r="EN181" i="1"/>
  <c r="EO181" i="1"/>
  <c r="EG182" i="1"/>
  <c r="EH182" i="1"/>
  <c r="EI182" i="1"/>
  <c r="EJ182" i="1"/>
  <c r="EK182" i="1"/>
  <c r="EL182" i="1"/>
  <c r="EM182" i="1"/>
  <c r="EN182" i="1"/>
  <c r="EO182" i="1"/>
  <c r="EG183" i="1"/>
  <c r="EH183" i="1"/>
  <c r="EI183" i="1"/>
  <c r="EJ183" i="1"/>
  <c r="EK183" i="1"/>
  <c r="EL183" i="1"/>
  <c r="EM183" i="1"/>
  <c r="EN183" i="1"/>
  <c r="EO183" i="1"/>
  <c r="EG184" i="1"/>
  <c r="EH184" i="1"/>
  <c r="EI184" i="1"/>
  <c r="EJ184" i="1"/>
  <c r="EK184" i="1"/>
  <c r="EL184" i="1"/>
  <c r="EM184" i="1"/>
  <c r="EN184" i="1"/>
  <c r="EO184" i="1"/>
  <c r="EG185" i="1"/>
  <c r="EH185" i="1"/>
  <c r="EI185" i="1"/>
  <c r="EJ185" i="1"/>
  <c r="EK185" i="1"/>
  <c r="EL185" i="1"/>
  <c r="EM185" i="1"/>
  <c r="EN185" i="1"/>
  <c r="EO185" i="1"/>
  <c r="EG186" i="1"/>
  <c r="EH186" i="1"/>
  <c r="EI186" i="1"/>
  <c r="EJ186" i="1"/>
  <c r="EK186" i="1"/>
  <c r="EL186" i="1"/>
  <c r="EM186" i="1"/>
  <c r="EN186" i="1"/>
  <c r="EO186" i="1"/>
  <c r="EG187" i="1"/>
  <c r="EH187" i="1"/>
  <c r="EI187" i="1"/>
  <c r="EJ187" i="1"/>
  <c r="EK187" i="1"/>
  <c r="EL187" i="1"/>
  <c r="EM187" i="1"/>
  <c r="EN187" i="1"/>
  <c r="EO187" i="1"/>
  <c r="EG188" i="1"/>
  <c r="EH188" i="1"/>
  <c r="EI188" i="1"/>
  <c r="EJ188" i="1"/>
  <c r="EK188" i="1"/>
  <c r="EL188" i="1"/>
  <c r="EM188" i="1"/>
  <c r="EN188" i="1"/>
  <c r="EO188" i="1"/>
  <c r="EG189" i="1"/>
  <c r="EH189" i="1"/>
  <c r="EI189" i="1"/>
  <c r="EJ189" i="1"/>
  <c r="EK189" i="1"/>
  <c r="EL189" i="1"/>
  <c r="EM189" i="1"/>
  <c r="EN189" i="1"/>
  <c r="EO189" i="1"/>
  <c r="EG190" i="1"/>
  <c r="EH190" i="1"/>
  <c r="EI190" i="1"/>
  <c r="EJ190" i="1"/>
  <c r="EK190" i="1"/>
  <c r="EL190" i="1"/>
  <c r="EM190" i="1"/>
  <c r="EN190" i="1"/>
  <c r="EO190" i="1"/>
  <c r="EG191" i="1"/>
  <c r="EH191" i="1"/>
  <c r="EI191" i="1"/>
  <c r="EJ191" i="1"/>
  <c r="EK191" i="1"/>
  <c r="EL191" i="1"/>
  <c r="EM191" i="1"/>
  <c r="EN191" i="1"/>
  <c r="EO191" i="1"/>
  <c r="EG192" i="1"/>
  <c r="EH192" i="1"/>
  <c r="EI192" i="1"/>
  <c r="EJ192" i="1"/>
  <c r="EK192" i="1"/>
  <c r="EL192" i="1"/>
  <c r="EM192" i="1"/>
  <c r="EN192" i="1"/>
  <c r="EO192" i="1"/>
  <c r="EG193" i="1"/>
  <c r="EH193" i="1"/>
  <c r="EI193" i="1"/>
  <c r="EJ193" i="1"/>
  <c r="EK193" i="1"/>
  <c r="EL193" i="1"/>
  <c r="EM193" i="1"/>
  <c r="EN193" i="1"/>
  <c r="EO193" i="1"/>
  <c r="EG194" i="1"/>
  <c r="EH194" i="1"/>
  <c r="EI194" i="1"/>
  <c r="EJ194" i="1"/>
  <c r="EK194" i="1"/>
  <c r="EL194" i="1"/>
  <c r="EM194" i="1"/>
  <c r="EN194" i="1"/>
  <c r="EO194" i="1"/>
  <c r="EG195" i="1"/>
  <c r="EH195" i="1"/>
  <c r="EI195" i="1"/>
  <c r="EJ195" i="1"/>
  <c r="EK195" i="1"/>
  <c r="EL195" i="1"/>
  <c r="EM195" i="1"/>
  <c r="EN195" i="1"/>
  <c r="EO195" i="1"/>
  <c r="EG196" i="1"/>
  <c r="EH196" i="1"/>
  <c r="EI196" i="1"/>
  <c r="EJ196" i="1"/>
  <c r="EK196" i="1"/>
  <c r="EL196" i="1"/>
  <c r="EM196" i="1"/>
  <c r="EN196" i="1"/>
  <c r="EO196" i="1"/>
  <c r="EG197" i="1"/>
  <c r="EH197" i="1"/>
  <c r="EI197" i="1"/>
  <c r="EJ197" i="1"/>
  <c r="EK197" i="1"/>
  <c r="EL197" i="1"/>
  <c r="EM197" i="1"/>
  <c r="EN197" i="1"/>
  <c r="EO197" i="1"/>
  <c r="EG198" i="1"/>
  <c r="EH198" i="1"/>
  <c r="EI198" i="1"/>
  <c r="EJ198" i="1"/>
  <c r="EK198" i="1"/>
  <c r="EL198" i="1"/>
  <c r="EM198" i="1"/>
  <c r="EN198" i="1"/>
  <c r="EO198" i="1"/>
  <c r="EG199" i="1"/>
  <c r="EH199" i="1"/>
  <c r="EI199" i="1"/>
  <c r="EJ199" i="1"/>
  <c r="EK199" i="1"/>
  <c r="EL199" i="1"/>
  <c r="EM199" i="1"/>
  <c r="EN199" i="1"/>
  <c r="EO199" i="1"/>
  <c r="EG200" i="1"/>
  <c r="EH200" i="1"/>
  <c r="EI200" i="1"/>
  <c r="EJ200" i="1"/>
  <c r="EK200" i="1"/>
  <c r="EL200" i="1"/>
  <c r="EM200" i="1"/>
  <c r="EN200" i="1"/>
  <c r="EO200" i="1"/>
  <c r="EG201" i="1"/>
  <c r="EH201" i="1"/>
  <c r="EI201" i="1"/>
  <c r="EJ201" i="1"/>
  <c r="EK201" i="1"/>
  <c r="EL201" i="1"/>
  <c r="EM201" i="1"/>
  <c r="EN201" i="1"/>
  <c r="EO201" i="1"/>
  <c r="EG202" i="1"/>
  <c r="EH202" i="1"/>
  <c r="EI202" i="1"/>
  <c r="EJ202" i="1"/>
  <c r="EK202" i="1"/>
  <c r="EL202" i="1"/>
  <c r="EM202" i="1"/>
  <c r="EN202" i="1"/>
  <c r="EO202" i="1"/>
  <c r="EG203" i="1"/>
  <c r="EH203" i="1"/>
  <c r="EI203" i="1"/>
  <c r="EJ203" i="1"/>
  <c r="EK203" i="1"/>
  <c r="EL203" i="1"/>
  <c r="EM203" i="1"/>
  <c r="EN203" i="1"/>
  <c r="EO203" i="1"/>
  <c r="EG204" i="1"/>
  <c r="EH204" i="1"/>
  <c r="EI204" i="1"/>
  <c r="EJ204" i="1"/>
  <c r="EK204" i="1"/>
  <c r="EL204" i="1"/>
  <c r="EM204" i="1"/>
  <c r="EN204" i="1"/>
  <c r="EO204" i="1"/>
  <c r="EG205" i="1"/>
  <c r="EH205" i="1"/>
  <c r="EI205" i="1"/>
  <c r="EJ205" i="1"/>
  <c r="EK205" i="1"/>
  <c r="EL205" i="1"/>
  <c r="EM205" i="1"/>
  <c r="EN205" i="1"/>
  <c r="EO205" i="1"/>
  <c r="EG206" i="1"/>
  <c r="EH206" i="1"/>
  <c r="EI206" i="1"/>
  <c r="EJ206" i="1"/>
  <c r="EK206" i="1"/>
  <c r="EL206" i="1"/>
  <c r="EM206" i="1"/>
  <c r="EN206" i="1"/>
  <c r="EO206" i="1"/>
  <c r="EG207" i="1"/>
  <c r="EH207" i="1"/>
  <c r="EI207" i="1"/>
  <c r="EJ207" i="1"/>
  <c r="EK207" i="1"/>
  <c r="EL207" i="1"/>
  <c r="EM207" i="1"/>
  <c r="EN207" i="1"/>
  <c r="EO207" i="1"/>
  <c r="EG208" i="1"/>
  <c r="EH208" i="1"/>
  <c r="EI208" i="1"/>
  <c r="EJ208" i="1"/>
  <c r="EK208" i="1"/>
  <c r="EL208" i="1"/>
  <c r="EM208" i="1"/>
  <c r="EN208" i="1"/>
  <c r="EO208" i="1"/>
  <c r="EG209" i="1"/>
  <c r="EH209" i="1"/>
  <c r="EI209" i="1"/>
  <c r="EJ209" i="1"/>
  <c r="EK209" i="1"/>
  <c r="EL209" i="1"/>
  <c r="EM209" i="1"/>
  <c r="EN209" i="1"/>
  <c r="EO209" i="1"/>
  <c r="EG210" i="1"/>
  <c r="EH210" i="1"/>
  <c r="EI210" i="1"/>
  <c r="EJ210" i="1"/>
  <c r="EK210" i="1"/>
  <c r="EL210" i="1"/>
  <c r="EM210" i="1"/>
  <c r="EN210" i="1"/>
  <c r="EO210" i="1"/>
  <c r="EG211" i="1"/>
  <c r="EH211" i="1"/>
  <c r="EI211" i="1"/>
  <c r="EJ211" i="1"/>
  <c r="EK211" i="1"/>
  <c r="EL211" i="1"/>
  <c r="EM211" i="1"/>
  <c r="EN211" i="1"/>
  <c r="EO211" i="1"/>
  <c r="EG212" i="1"/>
  <c r="EH212" i="1"/>
  <c r="EI212" i="1"/>
  <c r="EJ212" i="1"/>
  <c r="EK212" i="1"/>
  <c r="EL212" i="1"/>
  <c r="EM212" i="1"/>
  <c r="EN212" i="1"/>
  <c r="EO212" i="1"/>
  <c r="EG213" i="1"/>
  <c r="EH213" i="1"/>
  <c r="EI213" i="1"/>
  <c r="EJ213" i="1"/>
  <c r="EK213" i="1"/>
  <c r="EL213" i="1"/>
  <c r="EM213" i="1"/>
  <c r="EN213" i="1"/>
  <c r="EO213" i="1"/>
  <c r="EG214" i="1"/>
  <c r="EH214" i="1"/>
  <c r="EI214" i="1"/>
  <c r="EJ214" i="1"/>
  <c r="EK214" i="1"/>
  <c r="EL214" i="1"/>
  <c r="EM214" i="1"/>
  <c r="EN214" i="1"/>
  <c r="EO214" i="1"/>
  <c r="EG215" i="1"/>
  <c r="EH215" i="1"/>
  <c r="EI215" i="1"/>
  <c r="EJ215" i="1"/>
  <c r="EK215" i="1"/>
  <c r="EL215" i="1"/>
  <c r="EM215" i="1"/>
  <c r="EN215" i="1"/>
  <c r="EO215" i="1"/>
  <c r="EG216" i="1"/>
  <c r="EH216" i="1"/>
  <c r="EI216" i="1"/>
  <c r="EJ216" i="1"/>
  <c r="EK216" i="1"/>
  <c r="EL216" i="1"/>
  <c r="EM216" i="1"/>
  <c r="EN216" i="1"/>
  <c r="EO216" i="1"/>
  <c r="EG217" i="1"/>
  <c r="EH217" i="1"/>
  <c r="EI217" i="1"/>
  <c r="EJ217" i="1"/>
  <c r="EK217" i="1"/>
  <c r="EL217" i="1"/>
  <c r="EM217" i="1"/>
  <c r="EN217" i="1"/>
  <c r="EO217" i="1"/>
  <c r="EG218" i="1"/>
  <c r="EH218" i="1"/>
  <c r="EI218" i="1"/>
  <c r="EJ218" i="1"/>
  <c r="EK218" i="1"/>
  <c r="EL218" i="1"/>
  <c r="EM218" i="1"/>
  <c r="EN218" i="1"/>
  <c r="EO218" i="1"/>
  <c r="EG219" i="1"/>
  <c r="EH219" i="1"/>
  <c r="EI219" i="1"/>
  <c r="EJ219" i="1"/>
  <c r="EK219" i="1"/>
  <c r="EL219" i="1"/>
  <c r="EM219" i="1"/>
  <c r="EN219" i="1"/>
  <c r="EO219" i="1"/>
  <c r="EG220" i="1"/>
  <c r="EH220" i="1"/>
  <c r="EI220" i="1"/>
  <c r="EJ220" i="1"/>
  <c r="EK220" i="1"/>
  <c r="EL220" i="1"/>
  <c r="EM220" i="1"/>
  <c r="EN220" i="1"/>
  <c r="EO220" i="1"/>
  <c r="EG221" i="1"/>
  <c r="EH221" i="1"/>
  <c r="EI221" i="1"/>
  <c r="EJ221" i="1"/>
  <c r="EK221" i="1"/>
  <c r="EL221" i="1"/>
  <c r="EM221" i="1"/>
  <c r="EN221" i="1"/>
  <c r="EO221" i="1"/>
  <c r="EG222" i="1"/>
  <c r="EH222" i="1"/>
  <c r="EI222" i="1"/>
  <c r="EJ222" i="1"/>
  <c r="EK222" i="1"/>
  <c r="EL222" i="1"/>
  <c r="EM222" i="1"/>
  <c r="EN222" i="1"/>
  <c r="EO222" i="1"/>
  <c r="EG223" i="1"/>
  <c r="EH223" i="1"/>
  <c r="EI223" i="1"/>
  <c r="EJ223" i="1"/>
  <c r="EK223" i="1"/>
  <c r="EL223" i="1"/>
  <c r="EM223" i="1"/>
  <c r="EN223" i="1"/>
  <c r="EO223" i="1"/>
  <c r="EG224" i="1"/>
  <c r="EH224" i="1"/>
  <c r="EI224" i="1"/>
  <c r="EJ224" i="1"/>
  <c r="EK224" i="1"/>
  <c r="EL224" i="1"/>
  <c r="EM224" i="1"/>
  <c r="EN224" i="1"/>
  <c r="EO224" i="1"/>
  <c r="EG225" i="1"/>
  <c r="EH225" i="1"/>
  <c r="EI225" i="1"/>
  <c r="EJ225" i="1"/>
  <c r="EK225" i="1"/>
  <c r="EL225" i="1"/>
  <c r="EM225" i="1"/>
  <c r="EN225" i="1"/>
  <c r="EO225" i="1"/>
  <c r="EG226" i="1"/>
  <c r="EH226" i="1"/>
  <c r="EI226" i="1"/>
  <c r="EJ226" i="1"/>
  <c r="EK226" i="1"/>
  <c r="EL226" i="1"/>
  <c r="EM226" i="1"/>
  <c r="EN226" i="1"/>
  <c r="EO226" i="1"/>
  <c r="EG227" i="1"/>
  <c r="EH227" i="1"/>
  <c r="EI227" i="1"/>
  <c r="EJ227" i="1"/>
  <c r="EK227" i="1"/>
  <c r="EL227" i="1"/>
  <c r="EM227" i="1"/>
  <c r="EN227" i="1"/>
  <c r="EO227" i="1"/>
  <c r="EG228" i="1"/>
  <c r="EH228" i="1"/>
  <c r="EI228" i="1"/>
  <c r="EJ228" i="1"/>
  <c r="EK228" i="1"/>
  <c r="EL228" i="1"/>
  <c r="EM228" i="1"/>
  <c r="EN228" i="1"/>
  <c r="EO228" i="1"/>
  <c r="EG229" i="1"/>
  <c r="EH229" i="1"/>
  <c r="EI229" i="1"/>
  <c r="EJ229" i="1"/>
  <c r="EK229" i="1"/>
  <c r="EL229" i="1"/>
  <c r="EM229" i="1"/>
  <c r="EN229" i="1"/>
  <c r="EO229" i="1"/>
  <c r="EG230" i="1"/>
  <c r="EH230" i="1"/>
  <c r="EI230" i="1"/>
  <c r="EJ230" i="1"/>
  <c r="EK230" i="1"/>
  <c r="EL230" i="1"/>
  <c r="EM230" i="1"/>
  <c r="EN230" i="1"/>
  <c r="EO230" i="1"/>
  <c r="EG231" i="1"/>
  <c r="EH231" i="1"/>
  <c r="EI231" i="1"/>
  <c r="EJ231" i="1"/>
  <c r="EK231" i="1"/>
  <c r="EL231" i="1"/>
  <c r="EM231" i="1"/>
  <c r="EN231" i="1"/>
  <c r="EO231" i="1"/>
  <c r="EG232" i="1"/>
  <c r="EH232" i="1"/>
  <c r="EI232" i="1"/>
  <c r="EJ232" i="1"/>
  <c r="EK232" i="1"/>
  <c r="EL232" i="1"/>
  <c r="EM232" i="1"/>
  <c r="EN232" i="1"/>
  <c r="EO232" i="1"/>
  <c r="EG233" i="1"/>
  <c r="EH233" i="1"/>
  <c r="EI233" i="1"/>
  <c r="EJ233" i="1"/>
  <c r="EK233" i="1"/>
  <c r="EL233" i="1"/>
  <c r="EM233" i="1"/>
  <c r="EN233" i="1"/>
  <c r="EO233" i="1"/>
  <c r="EG234" i="1"/>
  <c r="EH234" i="1"/>
  <c r="EI234" i="1"/>
  <c r="EJ234" i="1"/>
  <c r="EK234" i="1"/>
  <c r="EL234" i="1"/>
  <c r="EM234" i="1"/>
  <c r="EN234" i="1"/>
  <c r="EO234" i="1"/>
  <c r="EG235" i="1"/>
  <c r="EH235" i="1"/>
  <c r="EI235" i="1"/>
  <c r="EJ235" i="1"/>
  <c r="EK235" i="1"/>
  <c r="EL235" i="1"/>
  <c r="EM235" i="1"/>
  <c r="EN235" i="1"/>
  <c r="EO235" i="1"/>
  <c r="EG236" i="1"/>
  <c r="EH236" i="1"/>
  <c r="EI236" i="1"/>
  <c r="EJ236" i="1"/>
  <c r="EK236" i="1"/>
  <c r="EL236" i="1"/>
  <c r="EM236" i="1"/>
  <c r="EN236" i="1"/>
  <c r="EO236" i="1"/>
  <c r="EG237" i="1"/>
  <c r="EH237" i="1"/>
  <c r="EI237" i="1"/>
  <c r="EJ237" i="1"/>
  <c r="EK237" i="1"/>
  <c r="EL237" i="1"/>
  <c r="EM237" i="1"/>
  <c r="EN237" i="1"/>
  <c r="EO237" i="1"/>
  <c r="EG238" i="1"/>
  <c r="EH238" i="1"/>
  <c r="EI238" i="1"/>
  <c r="EJ238" i="1"/>
  <c r="EK238" i="1"/>
  <c r="EL238" i="1"/>
  <c r="EM238" i="1"/>
  <c r="EN238" i="1"/>
  <c r="EO238" i="1"/>
  <c r="EG239" i="1"/>
  <c r="EH239" i="1"/>
  <c r="EI239" i="1"/>
  <c r="EJ239" i="1"/>
  <c r="EK239" i="1"/>
  <c r="EL239" i="1"/>
  <c r="EM239" i="1"/>
  <c r="EN239" i="1"/>
  <c r="EO239" i="1"/>
  <c r="EG240" i="1"/>
  <c r="EH240" i="1"/>
  <c r="EI240" i="1"/>
  <c r="EJ240" i="1"/>
  <c r="EK240" i="1"/>
  <c r="EL240" i="1"/>
  <c r="EM240" i="1"/>
  <c r="EN240" i="1"/>
  <c r="EO240" i="1"/>
  <c r="EG241" i="1"/>
  <c r="EH241" i="1"/>
  <c r="EI241" i="1"/>
  <c r="EJ241" i="1"/>
  <c r="EK241" i="1"/>
  <c r="EL241" i="1"/>
  <c r="EM241" i="1"/>
  <c r="EN241" i="1"/>
  <c r="EO241" i="1"/>
  <c r="EG242" i="1"/>
  <c r="EH242" i="1"/>
  <c r="EI242" i="1"/>
  <c r="EJ242" i="1"/>
  <c r="EK242" i="1"/>
  <c r="EL242" i="1"/>
  <c r="EM242" i="1"/>
  <c r="EN242" i="1"/>
  <c r="EO242" i="1"/>
  <c r="EG243" i="1"/>
  <c r="EH243" i="1"/>
  <c r="EI243" i="1"/>
  <c r="EJ243" i="1"/>
  <c r="EK243" i="1"/>
  <c r="EL243" i="1"/>
  <c r="EM243" i="1"/>
  <c r="EN243" i="1"/>
  <c r="EO243" i="1"/>
  <c r="EG244" i="1"/>
  <c r="EH244" i="1"/>
  <c r="EI244" i="1"/>
  <c r="EJ244" i="1"/>
  <c r="EK244" i="1"/>
  <c r="EL244" i="1"/>
  <c r="EM244" i="1"/>
  <c r="EN244" i="1"/>
  <c r="EO244" i="1"/>
  <c r="EG245" i="1"/>
  <c r="EH245" i="1"/>
  <c r="EI245" i="1"/>
  <c r="EJ245" i="1"/>
  <c r="EK245" i="1"/>
  <c r="EL245" i="1"/>
  <c r="EM245" i="1"/>
  <c r="EN245" i="1"/>
  <c r="EO245" i="1"/>
  <c r="EG246" i="1"/>
  <c r="EH246" i="1"/>
  <c r="EI246" i="1"/>
  <c r="EJ246" i="1"/>
  <c r="EK246" i="1"/>
  <c r="EL246" i="1"/>
  <c r="EM246" i="1"/>
  <c r="EN246" i="1"/>
  <c r="EO246" i="1"/>
  <c r="EG247" i="1"/>
  <c r="EH247" i="1"/>
  <c r="EI247" i="1"/>
  <c r="EJ247" i="1"/>
  <c r="EK247" i="1"/>
  <c r="EL247" i="1"/>
  <c r="EM247" i="1"/>
  <c r="EN247" i="1"/>
  <c r="EO247" i="1"/>
  <c r="EG248" i="1"/>
  <c r="EH248" i="1"/>
  <c r="EI248" i="1"/>
  <c r="EJ248" i="1"/>
  <c r="EK248" i="1"/>
  <c r="EL248" i="1"/>
  <c r="EM248" i="1"/>
  <c r="EN248" i="1"/>
  <c r="EO248" i="1"/>
  <c r="EG249" i="1"/>
  <c r="EH249" i="1"/>
  <c r="EI249" i="1"/>
  <c r="EJ249" i="1"/>
  <c r="EK249" i="1"/>
  <c r="EL249" i="1"/>
  <c r="EM249" i="1"/>
  <c r="EN249" i="1"/>
  <c r="EO249" i="1"/>
  <c r="EG250" i="1"/>
  <c r="EH250" i="1"/>
  <c r="EI250" i="1"/>
  <c r="EJ250" i="1"/>
  <c r="EK250" i="1"/>
  <c r="EL250" i="1"/>
  <c r="EM250" i="1"/>
  <c r="EN250" i="1"/>
  <c r="EO250" i="1"/>
  <c r="EG251" i="1"/>
  <c r="EH251" i="1"/>
  <c r="EI251" i="1"/>
  <c r="EJ251" i="1"/>
  <c r="EK251" i="1"/>
  <c r="EL251" i="1"/>
  <c r="EM251" i="1"/>
  <c r="EN251" i="1"/>
  <c r="EO251" i="1"/>
  <c r="EG252" i="1"/>
  <c r="EH252" i="1"/>
  <c r="EI252" i="1"/>
  <c r="EJ252" i="1"/>
  <c r="EK252" i="1"/>
  <c r="EL252" i="1"/>
  <c r="EM252" i="1"/>
  <c r="EN252" i="1"/>
  <c r="EO252" i="1"/>
  <c r="EG253" i="1"/>
  <c r="EH253" i="1"/>
  <c r="EI253" i="1"/>
  <c r="EJ253" i="1"/>
  <c r="EK253" i="1"/>
  <c r="EL253" i="1"/>
  <c r="EM253" i="1"/>
  <c r="EN253" i="1"/>
  <c r="EO253" i="1"/>
  <c r="EG254" i="1"/>
  <c r="EH254" i="1"/>
  <c r="EI254" i="1"/>
  <c r="EJ254" i="1"/>
  <c r="EK254" i="1"/>
  <c r="EL254" i="1"/>
  <c r="EM254" i="1"/>
  <c r="EN254" i="1"/>
  <c r="EO254" i="1"/>
  <c r="EG255" i="1"/>
  <c r="EH255" i="1"/>
  <c r="EI255" i="1"/>
  <c r="EJ255" i="1"/>
  <c r="EK255" i="1"/>
  <c r="EL255" i="1"/>
  <c r="EM255" i="1"/>
  <c r="EN255" i="1"/>
  <c r="EO255" i="1"/>
  <c r="EG256" i="1"/>
  <c r="EH256" i="1"/>
  <c r="EI256" i="1"/>
  <c r="EJ256" i="1"/>
  <c r="EK256" i="1"/>
  <c r="EL256" i="1"/>
  <c r="EM256" i="1"/>
  <c r="EN256" i="1"/>
  <c r="EO256" i="1"/>
  <c r="EG257" i="1"/>
  <c r="EH257" i="1"/>
  <c r="EI257" i="1"/>
  <c r="EJ257" i="1"/>
  <c r="EK257" i="1"/>
  <c r="EL257" i="1"/>
  <c r="EM257" i="1"/>
  <c r="EN257" i="1"/>
  <c r="EO257" i="1"/>
  <c r="EG258" i="1"/>
  <c r="EH258" i="1"/>
  <c r="EI258" i="1"/>
  <c r="EJ258" i="1"/>
  <c r="EK258" i="1"/>
  <c r="EL258" i="1"/>
  <c r="EM258" i="1"/>
  <c r="EN258" i="1"/>
  <c r="EO258" i="1"/>
  <c r="EG259" i="1"/>
  <c r="EH259" i="1"/>
  <c r="EI259" i="1"/>
  <c r="EJ259" i="1"/>
  <c r="EK259" i="1"/>
  <c r="EL259" i="1"/>
  <c r="EM259" i="1"/>
  <c r="EN259" i="1"/>
  <c r="EO259" i="1"/>
  <c r="EG260" i="1"/>
  <c r="EH260" i="1"/>
  <c r="EI260" i="1"/>
  <c r="EJ260" i="1"/>
  <c r="EK260" i="1"/>
  <c r="EL260" i="1"/>
  <c r="EM260" i="1"/>
  <c r="EN260" i="1"/>
  <c r="EO260" i="1"/>
  <c r="EG261" i="1"/>
  <c r="EH261" i="1"/>
  <c r="EI261" i="1"/>
  <c r="EJ261" i="1"/>
  <c r="EK261" i="1"/>
  <c r="EL261" i="1"/>
  <c r="EM261" i="1"/>
  <c r="EN261" i="1"/>
  <c r="EO261" i="1"/>
  <c r="EG262" i="1"/>
  <c r="EH262" i="1"/>
  <c r="EI262" i="1"/>
  <c r="EJ262" i="1"/>
  <c r="EK262" i="1"/>
  <c r="EL262" i="1"/>
  <c r="EM262" i="1"/>
  <c r="EN262" i="1"/>
  <c r="EO262" i="1"/>
  <c r="EG263" i="1"/>
  <c r="EH263" i="1"/>
  <c r="EI263" i="1"/>
  <c r="EJ263" i="1"/>
  <c r="EK263" i="1"/>
  <c r="EL263" i="1"/>
  <c r="EM263" i="1"/>
  <c r="EN263" i="1"/>
  <c r="EO263" i="1"/>
  <c r="EG264" i="1"/>
  <c r="EH264" i="1"/>
  <c r="EI264" i="1"/>
  <c r="EJ264" i="1"/>
  <c r="EK264" i="1"/>
  <c r="EL264" i="1"/>
  <c r="EM264" i="1"/>
  <c r="EN264" i="1"/>
  <c r="EO264" i="1"/>
  <c r="EG265" i="1"/>
  <c r="EH265" i="1"/>
  <c r="EI265" i="1"/>
  <c r="EJ265" i="1"/>
  <c r="EK265" i="1"/>
  <c r="EL265" i="1"/>
  <c r="EM265" i="1"/>
  <c r="EN265" i="1"/>
  <c r="EO265" i="1"/>
  <c r="EG266" i="1"/>
  <c r="EH266" i="1"/>
  <c r="EI266" i="1"/>
  <c r="EJ266" i="1"/>
  <c r="EK266" i="1"/>
  <c r="EL266" i="1"/>
  <c r="EM266" i="1"/>
  <c r="EN266" i="1"/>
  <c r="EO266" i="1"/>
  <c r="EG267" i="1"/>
  <c r="EH267" i="1"/>
  <c r="EI267" i="1"/>
  <c r="EJ267" i="1"/>
  <c r="EK267" i="1"/>
  <c r="EL267" i="1"/>
  <c r="EM267" i="1"/>
  <c r="EN267" i="1"/>
  <c r="EO267" i="1"/>
  <c r="EG268" i="1"/>
  <c r="EH268" i="1"/>
  <c r="EI268" i="1"/>
  <c r="EJ268" i="1"/>
  <c r="EK268" i="1"/>
  <c r="EL268" i="1"/>
  <c r="EM268" i="1"/>
  <c r="EN268" i="1"/>
  <c r="EO268" i="1"/>
  <c r="EG269" i="1"/>
  <c r="EH269" i="1"/>
  <c r="EI269" i="1"/>
  <c r="EJ269" i="1"/>
  <c r="EK269" i="1"/>
  <c r="EL269" i="1"/>
  <c r="EM269" i="1"/>
  <c r="EN269" i="1"/>
  <c r="EO269" i="1"/>
  <c r="EG270" i="1"/>
  <c r="EH270" i="1"/>
  <c r="EI270" i="1"/>
  <c r="EJ270" i="1"/>
  <c r="EK270" i="1"/>
  <c r="EL270" i="1"/>
  <c r="EM270" i="1"/>
  <c r="EN270" i="1"/>
  <c r="EO270" i="1"/>
  <c r="EG271" i="1"/>
  <c r="EH271" i="1"/>
  <c r="EI271" i="1"/>
  <c r="EJ271" i="1"/>
  <c r="EK271" i="1"/>
  <c r="EL271" i="1"/>
  <c r="EM271" i="1"/>
  <c r="EN271" i="1"/>
  <c r="EO271" i="1"/>
  <c r="EG272" i="1"/>
  <c r="EH272" i="1"/>
  <c r="EI272" i="1"/>
  <c r="EJ272" i="1"/>
  <c r="EK272" i="1"/>
  <c r="EL272" i="1"/>
  <c r="EM272" i="1"/>
  <c r="EN272" i="1"/>
  <c r="EO272" i="1"/>
  <c r="EG273" i="1"/>
  <c r="EH273" i="1"/>
  <c r="EI273" i="1"/>
  <c r="EJ273" i="1"/>
  <c r="EK273" i="1"/>
  <c r="EL273" i="1"/>
  <c r="EM273" i="1"/>
  <c r="EN273" i="1"/>
  <c r="EO273" i="1"/>
  <c r="EG274" i="1"/>
  <c r="EH274" i="1"/>
  <c r="EI274" i="1"/>
  <c r="EJ274" i="1"/>
  <c r="EK274" i="1"/>
  <c r="EL274" i="1"/>
  <c r="EM274" i="1"/>
  <c r="EN274" i="1"/>
  <c r="EO274" i="1"/>
  <c r="EG275" i="1"/>
  <c r="EH275" i="1"/>
  <c r="EI275" i="1"/>
  <c r="EJ275" i="1"/>
  <c r="EK275" i="1"/>
  <c r="EL275" i="1"/>
  <c r="EM275" i="1"/>
  <c r="EN275" i="1"/>
  <c r="EO275" i="1"/>
  <c r="EG276" i="1"/>
  <c r="EH276" i="1"/>
  <c r="EI276" i="1"/>
  <c r="EJ276" i="1"/>
  <c r="EK276" i="1"/>
  <c r="EL276" i="1"/>
  <c r="EM276" i="1"/>
  <c r="EN276" i="1"/>
  <c r="EO276" i="1"/>
  <c r="EG277" i="1"/>
  <c r="EH277" i="1"/>
  <c r="EI277" i="1"/>
  <c r="EJ277" i="1"/>
  <c r="EK277" i="1"/>
  <c r="EL277" i="1"/>
  <c r="EM277" i="1"/>
  <c r="EN277" i="1"/>
  <c r="EO277" i="1"/>
  <c r="EG278" i="1"/>
  <c r="EH278" i="1"/>
  <c r="EI278" i="1"/>
  <c r="EJ278" i="1"/>
  <c r="EK278" i="1"/>
  <c r="EL278" i="1"/>
  <c r="EM278" i="1"/>
  <c r="EN278" i="1"/>
  <c r="EO278" i="1"/>
  <c r="EG279" i="1"/>
  <c r="EH279" i="1"/>
  <c r="EI279" i="1"/>
  <c r="EJ279" i="1"/>
  <c r="EK279" i="1"/>
  <c r="EL279" i="1"/>
  <c r="EM279" i="1"/>
  <c r="EN279" i="1"/>
  <c r="EO279" i="1"/>
  <c r="EG280" i="1"/>
  <c r="EH280" i="1"/>
  <c r="EI280" i="1"/>
  <c r="EJ280" i="1"/>
  <c r="EK280" i="1"/>
  <c r="EL280" i="1"/>
  <c r="EM280" i="1"/>
  <c r="EN280" i="1"/>
  <c r="EO280" i="1"/>
  <c r="EG281" i="1"/>
  <c r="EH281" i="1"/>
  <c r="EI281" i="1"/>
  <c r="EJ281" i="1"/>
  <c r="EK281" i="1"/>
  <c r="EL281" i="1"/>
  <c r="EM281" i="1"/>
  <c r="EN281" i="1"/>
  <c r="EO281" i="1"/>
  <c r="EG282" i="1"/>
  <c r="EH282" i="1"/>
  <c r="EI282" i="1"/>
  <c r="EJ282" i="1"/>
  <c r="EK282" i="1"/>
  <c r="EL282" i="1"/>
  <c r="EM282" i="1"/>
  <c r="EN282" i="1"/>
  <c r="EO282" i="1"/>
  <c r="EG283" i="1"/>
  <c r="EH283" i="1"/>
  <c r="EI283" i="1"/>
  <c r="EJ283" i="1"/>
  <c r="EK283" i="1"/>
  <c r="EL283" i="1"/>
  <c r="EM283" i="1"/>
  <c r="EN283" i="1"/>
  <c r="EO283" i="1"/>
  <c r="EG284" i="1"/>
  <c r="EH284" i="1"/>
  <c r="EI284" i="1"/>
  <c r="EJ284" i="1"/>
  <c r="EK284" i="1"/>
  <c r="EL284" i="1"/>
  <c r="EM284" i="1"/>
  <c r="EN284" i="1"/>
  <c r="EO284" i="1"/>
  <c r="EG285" i="1"/>
  <c r="EH285" i="1"/>
  <c r="EI285" i="1"/>
  <c r="EJ285" i="1"/>
  <c r="EK285" i="1"/>
  <c r="EL285" i="1"/>
  <c r="EM285" i="1"/>
  <c r="EN285" i="1"/>
  <c r="EO285" i="1"/>
  <c r="EG286" i="1"/>
  <c r="EH286" i="1"/>
  <c r="EI286" i="1"/>
  <c r="EJ286" i="1"/>
  <c r="EK286" i="1"/>
  <c r="EL286" i="1"/>
  <c r="EM286" i="1"/>
  <c r="EN286" i="1"/>
  <c r="EO286" i="1"/>
  <c r="EG287" i="1"/>
  <c r="EH287" i="1"/>
  <c r="EI287" i="1"/>
  <c r="EJ287" i="1"/>
  <c r="EK287" i="1"/>
  <c r="EL287" i="1"/>
  <c r="EM287" i="1"/>
  <c r="EN287" i="1"/>
  <c r="EO287" i="1"/>
  <c r="EG288" i="1"/>
  <c r="EH288" i="1"/>
  <c r="EI288" i="1"/>
  <c r="EJ288" i="1"/>
  <c r="EK288" i="1"/>
  <c r="EL288" i="1"/>
  <c r="EM288" i="1"/>
  <c r="EN288" i="1"/>
  <c r="EO288" i="1"/>
  <c r="EG289" i="1"/>
  <c r="EH289" i="1"/>
  <c r="EI289" i="1"/>
  <c r="EJ289" i="1"/>
  <c r="EK289" i="1"/>
  <c r="EL289" i="1"/>
  <c r="EM289" i="1"/>
  <c r="EN289" i="1"/>
  <c r="EO289" i="1"/>
  <c r="EG290" i="1"/>
  <c r="EH290" i="1"/>
  <c r="EI290" i="1"/>
  <c r="EJ290" i="1"/>
  <c r="EK290" i="1"/>
  <c r="EL290" i="1"/>
  <c r="EM290" i="1"/>
  <c r="EN290" i="1"/>
  <c r="EO290" i="1"/>
  <c r="EG291" i="1"/>
  <c r="EH291" i="1"/>
  <c r="EI291" i="1"/>
  <c r="EJ291" i="1"/>
  <c r="EK291" i="1"/>
  <c r="EL291" i="1"/>
  <c r="EM291" i="1"/>
  <c r="EN291" i="1"/>
  <c r="EO291" i="1"/>
  <c r="EG292" i="1"/>
  <c r="EH292" i="1"/>
  <c r="EI292" i="1"/>
  <c r="EJ292" i="1"/>
  <c r="EK292" i="1"/>
  <c r="EL292" i="1"/>
  <c r="EM292" i="1"/>
  <c r="EN292" i="1"/>
  <c r="EO292" i="1"/>
  <c r="EG293" i="1"/>
  <c r="EH293" i="1"/>
  <c r="EI293" i="1"/>
  <c r="EJ293" i="1"/>
  <c r="EK293" i="1"/>
  <c r="EL293" i="1"/>
  <c r="EM293" i="1"/>
  <c r="EN293" i="1"/>
  <c r="EO293" i="1"/>
  <c r="EG294" i="1"/>
  <c r="EH294" i="1"/>
  <c r="EI294" i="1"/>
  <c r="EJ294" i="1"/>
  <c r="EK294" i="1"/>
  <c r="EL294" i="1"/>
  <c r="EM294" i="1"/>
  <c r="EN294" i="1"/>
  <c r="EO294" i="1"/>
  <c r="EG295" i="1"/>
  <c r="EH295" i="1"/>
  <c r="EI295" i="1"/>
  <c r="EJ295" i="1"/>
  <c r="EK295" i="1"/>
  <c r="EL295" i="1"/>
  <c r="EM295" i="1"/>
  <c r="EN295" i="1"/>
  <c r="EO295" i="1"/>
  <c r="EG296" i="1"/>
  <c r="EH296" i="1"/>
  <c r="EI296" i="1"/>
  <c r="EJ296" i="1"/>
  <c r="EK296" i="1"/>
  <c r="EL296" i="1"/>
  <c r="EM296" i="1"/>
  <c r="EN296" i="1"/>
  <c r="EO296" i="1"/>
  <c r="EG297" i="1"/>
  <c r="EH297" i="1"/>
  <c r="EI297" i="1"/>
  <c r="EJ297" i="1"/>
  <c r="EK297" i="1"/>
  <c r="EL297" i="1"/>
  <c r="EM297" i="1"/>
  <c r="EN297" i="1"/>
  <c r="EO297" i="1"/>
  <c r="EG298" i="1"/>
  <c r="EH298" i="1"/>
  <c r="EI298" i="1"/>
  <c r="EJ298" i="1"/>
  <c r="EK298" i="1"/>
  <c r="EL298" i="1"/>
  <c r="EM298" i="1"/>
  <c r="EN298" i="1"/>
  <c r="EO298" i="1"/>
  <c r="EG299" i="1"/>
  <c r="EH299" i="1"/>
  <c r="EI299" i="1"/>
  <c r="EJ299" i="1"/>
  <c r="EK299" i="1"/>
  <c r="EL299" i="1"/>
  <c r="EM299" i="1"/>
  <c r="EN299" i="1"/>
  <c r="EO299" i="1"/>
  <c r="EG300" i="1"/>
  <c r="EH300" i="1"/>
  <c r="EI300" i="1"/>
  <c r="EJ300" i="1"/>
  <c r="EK300" i="1"/>
  <c r="EL300" i="1"/>
  <c r="EM300" i="1"/>
  <c r="EN300" i="1"/>
  <c r="EO300" i="1"/>
  <c r="EG301" i="1"/>
  <c r="EH301" i="1"/>
  <c r="EI301" i="1"/>
  <c r="EJ301" i="1"/>
  <c r="EK301" i="1"/>
  <c r="EL301" i="1"/>
  <c r="EM301" i="1"/>
  <c r="EN301" i="1"/>
  <c r="EO301" i="1"/>
  <c r="EG302" i="1"/>
  <c r="EH302" i="1"/>
  <c r="EI302" i="1"/>
  <c r="EJ302" i="1"/>
  <c r="EK302" i="1"/>
  <c r="EL302" i="1"/>
  <c r="EM302" i="1"/>
  <c r="EN302" i="1"/>
  <c r="EO302" i="1"/>
  <c r="EG303" i="1"/>
  <c r="EH303" i="1"/>
  <c r="EI303" i="1"/>
  <c r="EJ303" i="1"/>
  <c r="EK303" i="1"/>
  <c r="EL303" i="1"/>
  <c r="EM303" i="1"/>
  <c r="EN303" i="1"/>
  <c r="EO303" i="1"/>
  <c r="EG304" i="1"/>
  <c r="EH304" i="1"/>
  <c r="EI304" i="1"/>
  <c r="EJ304" i="1"/>
  <c r="EK304" i="1"/>
  <c r="EL304" i="1"/>
  <c r="EM304" i="1"/>
  <c r="EN304" i="1"/>
  <c r="EO304" i="1"/>
  <c r="EG305" i="1"/>
  <c r="EH305" i="1"/>
  <c r="EI305" i="1"/>
  <c r="EJ305" i="1"/>
  <c r="EK305" i="1"/>
  <c r="EL305" i="1"/>
  <c r="EM305" i="1"/>
  <c r="EN305" i="1"/>
  <c r="EO305" i="1"/>
  <c r="EG306" i="1"/>
  <c r="EH306" i="1"/>
  <c r="EI306" i="1"/>
  <c r="EJ306" i="1"/>
  <c r="EK306" i="1"/>
  <c r="EL306" i="1"/>
  <c r="EM306" i="1"/>
  <c r="EN306" i="1"/>
  <c r="EO306" i="1"/>
  <c r="EG307" i="1"/>
  <c r="EH307" i="1"/>
  <c r="EI307" i="1"/>
  <c r="EJ307" i="1"/>
  <c r="EK307" i="1"/>
  <c r="EL307" i="1"/>
  <c r="EM307" i="1"/>
  <c r="EN307" i="1"/>
  <c r="EO307" i="1"/>
  <c r="EG308" i="1"/>
  <c r="EH308" i="1"/>
  <c r="EI308" i="1"/>
  <c r="EJ308" i="1"/>
  <c r="EK308" i="1"/>
  <c r="EL308" i="1"/>
  <c r="EM308" i="1"/>
  <c r="EN308" i="1"/>
  <c r="EO308" i="1"/>
  <c r="EG309" i="1"/>
  <c r="EH309" i="1"/>
  <c r="EI309" i="1"/>
  <c r="EJ309" i="1"/>
  <c r="EK309" i="1"/>
  <c r="EL309" i="1"/>
  <c r="EM309" i="1"/>
  <c r="EN309" i="1"/>
  <c r="EO309" i="1"/>
  <c r="EG310" i="1"/>
  <c r="EH310" i="1"/>
  <c r="EI310" i="1"/>
  <c r="EJ310" i="1"/>
  <c r="EK310" i="1"/>
  <c r="EL310" i="1"/>
  <c r="EM310" i="1"/>
  <c r="EN310" i="1"/>
  <c r="EO310" i="1"/>
  <c r="EG311" i="1"/>
  <c r="EH311" i="1"/>
  <c r="EI311" i="1"/>
  <c r="EJ311" i="1"/>
  <c r="EK311" i="1"/>
  <c r="EL311" i="1"/>
  <c r="EM311" i="1"/>
  <c r="EN311" i="1"/>
  <c r="EO311" i="1"/>
  <c r="EG312" i="1"/>
  <c r="EH312" i="1"/>
  <c r="EI312" i="1"/>
  <c r="EJ312" i="1"/>
  <c r="EK312" i="1"/>
  <c r="EL312" i="1"/>
  <c r="EM312" i="1"/>
  <c r="EN312" i="1"/>
  <c r="EO312" i="1"/>
  <c r="EG313" i="1"/>
  <c r="EH313" i="1"/>
  <c r="EI313" i="1"/>
  <c r="EJ313" i="1"/>
  <c r="EK313" i="1"/>
  <c r="EL313" i="1"/>
  <c r="EM313" i="1"/>
  <c r="EN313" i="1"/>
  <c r="EO313" i="1"/>
  <c r="EG314" i="1"/>
  <c r="EH314" i="1"/>
  <c r="EI314" i="1"/>
  <c r="EJ314" i="1"/>
  <c r="EK314" i="1"/>
  <c r="EL314" i="1"/>
  <c r="EM314" i="1"/>
  <c r="EN314" i="1"/>
  <c r="EO314" i="1"/>
  <c r="EG315" i="1"/>
  <c r="EH315" i="1"/>
  <c r="EI315" i="1"/>
  <c r="EJ315" i="1"/>
  <c r="EK315" i="1"/>
  <c r="EL315" i="1"/>
  <c r="EM315" i="1"/>
  <c r="EN315" i="1"/>
  <c r="EO315" i="1"/>
  <c r="EG316" i="1"/>
  <c r="EH316" i="1"/>
  <c r="EI316" i="1"/>
  <c r="EJ316" i="1"/>
  <c r="EK316" i="1"/>
  <c r="EL316" i="1"/>
  <c r="EM316" i="1"/>
  <c r="EN316" i="1"/>
  <c r="EO316" i="1"/>
  <c r="EG317" i="1"/>
  <c r="EH317" i="1"/>
  <c r="EI317" i="1"/>
  <c r="EJ317" i="1"/>
  <c r="EK317" i="1"/>
  <c r="EL317" i="1"/>
  <c r="EM317" i="1"/>
  <c r="EN317" i="1"/>
  <c r="EO317" i="1"/>
  <c r="EG318" i="1"/>
  <c r="EH318" i="1"/>
  <c r="EI318" i="1"/>
  <c r="EJ318" i="1"/>
  <c r="EK318" i="1"/>
  <c r="EL318" i="1"/>
  <c r="EM318" i="1"/>
  <c r="EN318" i="1"/>
  <c r="EO318" i="1"/>
  <c r="EG319" i="1"/>
  <c r="EH319" i="1"/>
  <c r="EI319" i="1"/>
  <c r="EJ319" i="1"/>
  <c r="EK319" i="1"/>
  <c r="EL319" i="1"/>
  <c r="EM319" i="1"/>
  <c r="EN319" i="1"/>
  <c r="EO319" i="1"/>
  <c r="EG320" i="1"/>
  <c r="EH320" i="1"/>
  <c r="EI320" i="1"/>
  <c r="EJ320" i="1"/>
  <c r="EK320" i="1"/>
  <c r="EL320" i="1"/>
  <c r="EM320" i="1"/>
  <c r="EN320" i="1"/>
  <c r="EO320" i="1"/>
  <c r="EG321" i="1"/>
  <c r="EH321" i="1"/>
  <c r="EI321" i="1"/>
  <c r="EJ321" i="1"/>
  <c r="EK321" i="1"/>
  <c r="EL321" i="1"/>
  <c r="EM321" i="1"/>
  <c r="EN321" i="1"/>
  <c r="EO321" i="1"/>
  <c r="EG322" i="1"/>
  <c r="EH322" i="1"/>
  <c r="EI322" i="1"/>
  <c r="EJ322" i="1"/>
  <c r="EK322" i="1"/>
  <c r="EL322" i="1"/>
  <c r="EM322" i="1"/>
  <c r="EN322" i="1"/>
  <c r="EO322" i="1"/>
  <c r="EG323" i="1"/>
  <c r="EH323" i="1"/>
  <c r="EI323" i="1"/>
  <c r="EJ323" i="1"/>
  <c r="EK323" i="1"/>
  <c r="EL323" i="1"/>
  <c r="EM323" i="1"/>
  <c r="EN323" i="1"/>
  <c r="EO323" i="1"/>
  <c r="EG324" i="1"/>
  <c r="EH324" i="1"/>
  <c r="EI324" i="1"/>
  <c r="EJ324" i="1"/>
  <c r="EK324" i="1"/>
  <c r="EL324" i="1"/>
  <c r="EM324" i="1"/>
  <c r="EN324" i="1"/>
  <c r="EO324" i="1"/>
  <c r="EG325" i="1"/>
  <c r="EH325" i="1"/>
  <c r="EI325" i="1"/>
  <c r="EJ325" i="1"/>
  <c r="EK325" i="1"/>
  <c r="EL325" i="1"/>
  <c r="EM325" i="1"/>
  <c r="EN325" i="1"/>
  <c r="EO325" i="1"/>
  <c r="EG326" i="1"/>
  <c r="EH326" i="1"/>
  <c r="EI326" i="1"/>
  <c r="EJ326" i="1"/>
  <c r="EK326" i="1"/>
  <c r="EL326" i="1"/>
  <c r="EM326" i="1"/>
  <c r="EN326" i="1"/>
  <c r="EO326" i="1"/>
  <c r="EG327" i="1"/>
  <c r="EH327" i="1"/>
  <c r="EI327" i="1"/>
  <c r="EJ327" i="1"/>
  <c r="EK327" i="1"/>
  <c r="EL327" i="1"/>
  <c r="EM327" i="1"/>
  <c r="EN327" i="1"/>
  <c r="EO327" i="1"/>
  <c r="EG328" i="1"/>
  <c r="EH328" i="1"/>
  <c r="EI328" i="1"/>
  <c r="EJ328" i="1"/>
  <c r="EK328" i="1"/>
  <c r="EL328" i="1"/>
  <c r="EM328" i="1"/>
  <c r="EN328" i="1"/>
  <c r="EO328" i="1"/>
  <c r="EG329" i="1"/>
  <c r="EH329" i="1"/>
  <c r="EI329" i="1"/>
  <c r="EJ329" i="1"/>
  <c r="EK329" i="1"/>
  <c r="EL329" i="1"/>
  <c r="EM329" i="1"/>
  <c r="EN329" i="1"/>
  <c r="EO329" i="1"/>
  <c r="EG330" i="1"/>
  <c r="EH330" i="1"/>
  <c r="EI330" i="1"/>
  <c r="EJ330" i="1"/>
  <c r="EK330" i="1"/>
  <c r="EL330" i="1"/>
  <c r="EM330" i="1"/>
  <c r="EN330" i="1"/>
  <c r="EO330" i="1"/>
  <c r="EG331" i="1"/>
  <c r="EH331" i="1"/>
  <c r="EI331" i="1"/>
  <c r="EJ331" i="1"/>
  <c r="EK331" i="1"/>
  <c r="EL331" i="1"/>
  <c r="EM331" i="1"/>
  <c r="EN331" i="1"/>
  <c r="EO331" i="1"/>
  <c r="EG332" i="1"/>
  <c r="EH332" i="1"/>
  <c r="EI332" i="1"/>
  <c r="EJ332" i="1"/>
  <c r="EK332" i="1"/>
  <c r="EL332" i="1"/>
  <c r="EM332" i="1"/>
  <c r="EN332" i="1"/>
  <c r="EO332" i="1"/>
  <c r="EG333" i="1"/>
  <c r="EH333" i="1"/>
  <c r="EI333" i="1"/>
  <c r="EJ333" i="1"/>
  <c r="EK333" i="1"/>
  <c r="EL333" i="1"/>
  <c r="EM333" i="1"/>
  <c r="EN333" i="1"/>
  <c r="EO333" i="1"/>
  <c r="EG334" i="1"/>
  <c r="EH334" i="1"/>
  <c r="EI334" i="1"/>
  <c r="EJ334" i="1"/>
  <c r="EK334" i="1"/>
  <c r="EL334" i="1"/>
  <c r="EM334" i="1"/>
  <c r="EN334" i="1"/>
  <c r="EO334" i="1"/>
  <c r="EG335" i="1"/>
  <c r="EH335" i="1"/>
  <c r="EI335" i="1"/>
  <c r="EJ335" i="1"/>
  <c r="EK335" i="1"/>
  <c r="EL335" i="1"/>
  <c r="EM335" i="1"/>
  <c r="EN335" i="1"/>
  <c r="EO335" i="1"/>
  <c r="EG336" i="1"/>
  <c r="EH336" i="1"/>
  <c r="EI336" i="1"/>
  <c r="EJ336" i="1"/>
  <c r="EK336" i="1"/>
  <c r="EL336" i="1"/>
  <c r="EM336" i="1"/>
  <c r="EN336" i="1"/>
  <c r="EO336" i="1"/>
  <c r="EG337" i="1"/>
  <c r="EH337" i="1"/>
  <c r="EI337" i="1"/>
  <c r="EJ337" i="1"/>
  <c r="EK337" i="1"/>
  <c r="EL337" i="1"/>
  <c r="EM337" i="1"/>
  <c r="EN337" i="1"/>
  <c r="EO337" i="1"/>
  <c r="EG338" i="1"/>
  <c r="EH338" i="1"/>
  <c r="EI338" i="1"/>
  <c r="EJ338" i="1"/>
  <c r="EK338" i="1"/>
  <c r="EL338" i="1"/>
  <c r="EM338" i="1"/>
  <c r="EN338" i="1"/>
  <c r="EO338" i="1"/>
  <c r="EG339" i="1"/>
  <c r="EH339" i="1"/>
  <c r="EI339" i="1"/>
  <c r="EJ339" i="1"/>
  <c r="EK339" i="1"/>
  <c r="EL339" i="1"/>
  <c r="EM339" i="1"/>
  <c r="EN339" i="1"/>
  <c r="EO339" i="1"/>
  <c r="EG340" i="1"/>
  <c r="EH340" i="1"/>
  <c r="EI340" i="1"/>
  <c r="EJ340" i="1"/>
  <c r="EK340" i="1"/>
  <c r="EL340" i="1"/>
  <c r="EM340" i="1"/>
  <c r="EN340" i="1"/>
  <c r="EO340" i="1"/>
  <c r="EG341" i="1"/>
  <c r="EH341" i="1"/>
  <c r="EI341" i="1"/>
  <c r="EJ341" i="1"/>
  <c r="EK341" i="1"/>
  <c r="EL341" i="1"/>
  <c r="EM341" i="1"/>
  <c r="EN341" i="1"/>
  <c r="EO341" i="1"/>
  <c r="EG342" i="1"/>
  <c r="EH342" i="1"/>
  <c r="EI342" i="1"/>
  <c r="EJ342" i="1"/>
  <c r="EK342" i="1"/>
  <c r="EL342" i="1"/>
  <c r="EM342" i="1"/>
  <c r="EN342" i="1"/>
  <c r="EO342" i="1"/>
  <c r="EG343" i="1"/>
  <c r="EH343" i="1"/>
  <c r="EI343" i="1"/>
  <c r="EJ343" i="1"/>
  <c r="EK343" i="1"/>
  <c r="EL343" i="1"/>
  <c r="EM343" i="1"/>
  <c r="EN343" i="1"/>
  <c r="EO343" i="1"/>
  <c r="EG344" i="1"/>
  <c r="EH344" i="1"/>
  <c r="EI344" i="1"/>
  <c r="EJ344" i="1"/>
  <c r="EK344" i="1"/>
  <c r="EL344" i="1"/>
  <c r="EM344" i="1"/>
  <c r="EN344" i="1"/>
  <c r="EO344" i="1"/>
  <c r="EG345" i="1"/>
  <c r="EH345" i="1"/>
  <c r="EI345" i="1"/>
  <c r="EJ345" i="1"/>
  <c r="EK345" i="1"/>
  <c r="EL345" i="1"/>
  <c r="EM345" i="1"/>
  <c r="EN345" i="1"/>
  <c r="EO345" i="1"/>
  <c r="EG346" i="1"/>
  <c r="EH346" i="1"/>
  <c r="EI346" i="1"/>
  <c r="EJ346" i="1"/>
  <c r="EK346" i="1"/>
  <c r="EL346" i="1"/>
  <c r="EM346" i="1"/>
  <c r="EN346" i="1"/>
  <c r="EO346" i="1"/>
  <c r="EG347" i="1"/>
  <c r="EH347" i="1"/>
  <c r="EI347" i="1"/>
  <c r="EJ347" i="1"/>
  <c r="EK347" i="1"/>
  <c r="EL347" i="1"/>
  <c r="EM347" i="1"/>
  <c r="EN347" i="1"/>
  <c r="EO347" i="1"/>
  <c r="EG348" i="1"/>
  <c r="EH348" i="1"/>
  <c r="EI348" i="1"/>
  <c r="EJ348" i="1"/>
  <c r="EK348" i="1"/>
  <c r="EL348" i="1"/>
  <c r="EM348" i="1"/>
  <c r="EN348" i="1"/>
  <c r="EO348" i="1"/>
  <c r="EG349" i="1"/>
  <c r="EH349" i="1"/>
  <c r="EI349" i="1"/>
  <c r="EJ349" i="1"/>
  <c r="EK349" i="1"/>
  <c r="EL349" i="1"/>
  <c r="EM349" i="1"/>
  <c r="EN349" i="1"/>
  <c r="EO349" i="1"/>
  <c r="EG350" i="1"/>
  <c r="EH350" i="1"/>
  <c r="EI350" i="1"/>
  <c r="EJ350" i="1"/>
  <c r="EK350" i="1"/>
  <c r="EL350" i="1"/>
  <c r="EM350" i="1"/>
  <c r="EN350" i="1"/>
  <c r="EO350" i="1"/>
  <c r="EG351" i="1"/>
  <c r="EH351" i="1"/>
  <c r="EI351" i="1"/>
  <c r="EJ351" i="1"/>
  <c r="EK351" i="1"/>
  <c r="EL351" i="1"/>
  <c r="EM351" i="1"/>
  <c r="EN351" i="1"/>
  <c r="EO351" i="1"/>
  <c r="EG352" i="1"/>
  <c r="EH352" i="1"/>
  <c r="EI352" i="1"/>
  <c r="EJ352" i="1"/>
  <c r="EK352" i="1"/>
  <c r="EL352" i="1"/>
  <c r="EM352" i="1"/>
  <c r="EN352" i="1"/>
  <c r="EO352" i="1"/>
  <c r="EG353" i="1"/>
  <c r="EH353" i="1"/>
  <c r="EI353" i="1"/>
  <c r="EJ353" i="1"/>
  <c r="EK353" i="1"/>
  <c r="EL353" i="1"/>
  <c r="EM353" i="1"/>
  <c r="EN353" i="1"/>
  <c r="EO353" i="1"/>
  <c r="EG354" i="1"/>
  <c r="EH354" i="1"/>
  <c r="EI354" i="1"/>
  <c r="EJ354" i="1"/>
  <c r="EK354" i="1"/>
  <c r="EL354" i="1"/>
  <c r="EM354" i="1"/>
  <c r="EN354" i="1"/>
  <c r="EO354" i="1"/>
  <c r="EG355" i="1"/>
  <c r="EH355" i="1"/>
  <c r="EI355" i="1"/>
  <c r="EJ355" i="1"/>
  <c r="EK355" i="1"/>
  <c r="EL355" i="1"/>
  <c r="EM355" i="1"/>
  <c r="EN355" i="1"/>
  <c r="EO355" i="1"/>
  <c r="EG356" i="1"/>
  <c r="EH356" i="1"/>
  <c r="EI356" i="1"/>
  <c r="EJ356" i="1"/>
  <c r="EK356" i="1"/>
  <c r="EL356" i="1"/>
  <c r="EM356" i="1"/>
  <c r="EN356" i="1"/>
  <c r="EO356" i="1"/>
  <c r="EG357" i="1"/>
  <c r="EH357" i="1"/>
  <c r="EI357" i="1"/>
  <c r="EJ357" i="1"/>
  <c r="EK357" i="1"/>
  <c r="EL357" i="1"/>
  <c r="EM357" i="1"/>
  <c r="EN357" i="1"/>
  <c r="EO357" i="1"/>
  <c r="EG358" i="1"/>
  <c r="EH358" i="1"/>
  <c r="EI358" i="1"/>
  <c r="EJ358" i="1"/>
  <c r="EK358" i="1"/>
  <c r="EL358" i="1"/>
  <c r="EM358" i="1"/>
  <c r="EN358" i="1"/>
  <c r="EO358" i="1"/>
  <c r="EG359" i="1"/>
  <c r="EH359" i="1"/>
  <c r="EI359" i="1"/>
  <c r="EJ359" i="1"/>
  <c r="EK359" i="1"/>
  <c r="EL359" i="1"/>
  <c r="EM359" i="1"/>
  <c r="EN359" i="1"/>
  <c r="EO359" i="1"/>
  <c r="EG360" i="1"/>
  <c r="EH360" i="1"/>
  <c r="EI360" i="1"/>
  <c r="EJ360" i="1"/>
  <c r="EK360" i="1"/>
  <c r="EL360" i="1"/>
  <c r="EM360" i="1"/>
  <c r="EN360" i="1"/>
  <c r="EO360" i="1"/>
  <c r="EG361" i="1"/>
  <c r="EH361" i="1"/>
  <c r="EI361" i="1"/>
  <c r="EJ361" i="1"/>
  <c r="EK361" i="1"/>
  <c r="EL361" i="1"/>
  <c r="EM361" i="1"/>
  <c r="EN361" i="1"/>
  <c r="EO361" i="1"/>
  <c r="EG362" i="1"/>
  <c r="EH362" i="1"/>
  <c r="EI362" i="1"/>
  <c r="EJ362" i="1"/>
  <c r="EK362" i="1"/>
  <c r="EL362" i="1"/>
  <c r="EM362" i="1"/>
  <c r="EN362" i="1"/>
  <c r="EO362" i="1"/>
  <c r="EG363" i="1"/>
  <c r="EH363" i="1"/>
  <c r="EI363" i="1"/>
  <c r="EJ363" i="1"/>
  <c r="EK363" i="1"/>
  <c r="EL363" i="1"/>
  <c r="EM363" i="1"/>
  <c r="EN363" i="1"/>
  <c r="EO363" i="1"/>
  <c r="EG364" i="1"/>
  <c r="EH364" i="1"/>
  <c r="EI364" i="1"/>
  <c r="EJ364" i="1"/>
  <c r="EK364" i="1"/>
  <c r="EL364" i="1"/>
  <c r="EM364" i="1"/>
  <c r="EN364" i="1"/>
  <c r="EO364" i="1"/>
  <c r="EG365" i="1"/>
  <c r="EH365" i="1"/>
  <c r="EI365" i="1"/>
  <c r="EJ365" i="1"/>
  <c r="EK365" i="1"/>
  <c r="EL365" i="1"/>
  <c r="EM365" i="1"/>
  <c r="EN365" i="1"/>
  <c r="EO365" i="1"/>
  <c r="EG366" i="1"/>
  <c r="EH366" i="1"/>
  <c r="EI366" i="1"/>
  <c r="EJ366" i="1"/>
  <c r="EK366" i="1"/>
  <c r="EL366" i="1"/>
  <c r="EM366" i="1"/>
  <c r="EN366" i="1"/>
  <c r="EO366" i="1"/>
  <c r="EG367" i="1"/>
  <c r="EH367" i="1"/>
  <c r="EI367" i="1"/>
  <c r="EJ367" i="1"/>
  <c r="EK367" i="1"/>
  <c r="EL367" i="1"/>
  <c r="EM367" i="1"/>
  <c r="EN367" i="1"/>
  <c r="EO367" i="1"/>
  <c r="EG368" i="1"/>
  <c r="EH368" i="1"/>
  <c r="EI368" i="1"/>
  <c r="EJ368" i="1"/>
  <c r="EK368" i="1"/>
  <c r="EL368" i="1"/>
  <c r="EM368" i="1"/>
  <c r="EN368" i="1"/>
  <c r="EO368" i="1"/>
  <c r="EG369" i="1"/>
  <c r="EH369" i="1"/>
  <c r="EI369" i="1"/>
  <c r="EJ369" i="1"/>
  <c r="EK369" i="1"/>
  <c r="EL369" i="1"/>
  <c r="EM369" i="1"/>
  <c r="EN369" i="1"/>
  <c r="EO369" i="1"/>
  <c r="EG370" i="1"/>
  <c r="EH370" i="1"/>
  <c r="EI370" i="1"/>
  <c r="EJ370" i="1"/>
  <c r="EK370" i="1"/>
  <c r="EL370" i="1"/>
  <c r="EM370" i="1"/>
  <c r="EN370" i="1"/>
  <c r="EO370" i="1"/>
  <c r="EG371" i="1"/>
  <c r="EH371" i="1"/>
  <c r="EI371" i="1"/>
  <c r="EJ371" i="1"/>
  <c r="EK371" i="1"/>
  <c r="EL371" i="1"/>
  <c r="EM371" i="1"/>
  <c r="EN371" i="1"/>
  <c r="EO371" i="1"/>
  <c r="EG372" i="1"/>
  <c r="EH372" i="1"/>
  <c r="EI372" i="1"/>
  <c r="EJ372" i="1"/>
  <c r="EK372" i="1"/>
  <c r="EL372" i="1"/>
  <c r="EM372" i="1"/>
  <c r="EN372" i="1"/>
  <c r="EO372" i="1"/>
  <c r="EG373" i="1"/>
  <c r="EH373" i="1"/>
  <c r="EI373" i="1"/>
  <c r="EJ373" i="1"/>
  <c r="EK373" i="1"/>
  <c r="EL373" i="1"/>
  <c r="EM373" i="1"/>
  <c r="EN373" i="1"/>
  <c r="EO373" i="1"/>
  <c r="EG374" i="1"/>
  <c r="EH374" i="1"/>
  <c r="EI374" i="1"/>
  <c r="EJ374" i="1"/>
  <c r="EK374" i="1"/>
  <c r="EL374" i="1"/>
  <c r="EM374" i="1"/>
  <c r="EN374" i="1"/>
  <c r="EO374" i="1"/>
  <c r="EG375" i="1"/>
  <c r="EH375" i="1"/>
  <c r="EI375" i="1"/>
  <c r="EJ375" i="1"/>
  <c r="EK375" i="1"/>
  <c r="EL375" i="1"/>
  <c r="EM375" i="1"/>
  <c r="EN375" i="1"/>
  <c r="EO375" i="1"/>
  <c r="EG376" i="1"/>
  <c r="EH376" i="1"/>
  <c r="EI376" i="1"/>
  <c r="EJ376" i="1"/>
  <c r="EK376" i="1"/>
  <c r="EL376" i="1"/>
  <c r="EM376" i="1"/>
  <c r="EN376" i="1"/>
  <c r="EO376" i="1"/>
  <c r="EG377" i="1"/>
  <c r="EH377" i="1"/>
  <c r="EI377" i="1"/>
  <c r="EJ377" i="1"/>
  <c r="EK377" i="1"/>
  <c r="EL377" i="1"/>
  <c r="EM377" i="1"/>
  <c r="EN377" i="1"/>
  <c r="EO377" i="1"/>
  <c r="EG378" i="1"/>
  <c r="EH378" i="1"/>
  <c r="EI378" i="1"/>
  <c r="EJ378" i="1"/>
  <c r="EK378" i="1"/>
  <c r="EL378" i="1"/>
  <c r="EM378" i="1"/>
  <c r="EN378" i="1"/>
  <c r="EO378" i="1"/>
  <c r="EG379" i="1"/>
  <c r="EH379" i="1"/>
  <c r="EI379" i="1"/>
  <c r="EJ379" i="1"/>
  <c r="EK379" i="1"/>
  <c r="EL379" i="1"/>
  <c r="EM379" i="1"/>
  <c r="EN379" i="1"/>
  <c r="EO379" i="1"/>
  <c r="EG380" i="1"/>
  <c r="EH380" i="1"/>
  <c r="EI380" i="1"/>
  <c r="EJ380" i="1"/>
  <c r="EK380" i="1"/>
  <c r="EL380" i="1"/>
  <c r="EM380" i="1"/>
  <c r="EN380" i="1"/>
  <c r="EO380" i="1"/>
  <c r="EG381" i="1"/>
  <c r="EH381" i="1"/>
  <c r="EI381" i="1"/>
  <c r="EJ381" i="1"/>
  <c r="EK381" i="1"/>
  <c r="EL381" i="1"/>
  <c r="EM381" i="1"/>
  <c r="EN381" i="1"/>
  <c r="EO381" i="1"/>
  <c r="EG382" i="1"/>
  <c r="EH382" i="1"/>
  <c r="EI382" i="1"/>
  <c r="EJ382" i="1"/>
  <c r="EK382" i="1"/>
  <c r="EL382" i="1"/>
  <c r="EM382" i="1"/>
  <c r="EN382" i="1"/>
  <c r="EO382" i="1"/>
  <c r="EG383" i="1"/>
  <c r="EH383" i="1"/>
  <c r="EI383" i="1"/>
  <c r="EJ383" i="1"/>
  <c r="EK383" i="1"/>
  <c r="EL383" i="1"/>
  <c r="EM383" i="1"/>
  <c r="EN383" i="1"/>
  <c r="EO383" i="1"/>
  <c r="EG384" i="1"/>
  <c r="EH384" i="1"/>
  <c r="EI384" i="1"/>
  <c r="EJ384" i="1"/>
  <c r="EK384" i="1"/>
  <c r="EL384" i="1"/>
  <c r="EM384" i="1"/>
  <c r="EN384" i="1"/>
  <c r="EO384" i="1"/>
  <c r="EG385" i="1"/>
  <c r="EH385" i="1"/>
  <c r="EI385" i="1"/>
  <c r="EJ385" i="1"/>
  <c r="EK385" i="1"/>
  <c r="EL385" i="1"/>
  <c r="EM385" i="1"/>
  <c r="EN385" i="1"/>
  <c r="EO385" i="1"/>
  <c r="EG386" i="1"/>
  <c r="EH386" i="1"/>
  <c r="EI386" i="1"/>
  <c r="EJ386" i="1"/>
  <c r="EK386" i="1"/>
  <c r="EL386" i="1"/>
  <c r="EM386" i="1"/>
  <c r="EN386" i="1"/>
  <c r="EO386" i="1"/>
  <c r="EG387" i="1"/>
  <c r="EH387" i="1"/>
  <c r="EI387" i="1"/>
  <c r="EJ387" i="1"/>
  <c r="EK387" i="1"/>
  <c r="EL387" i="1"/>
  <c r="EM387" i="1"/>
  <c r="EN387" i="1"/>
  <c r="EO387" i="1"/>
  <c r="EG388" i="1"/>
  <c r="EH388" i="1"/>
  <c r="EI388" i="1"/>
  <c r="EJ388" i="1"/>
  <c r="EK388" i="1"/>
  <c r="EL388" i="1"/>
  <c r="EM388" i="1"/>
  <c r="EN388" i="1"/>
  <c r="EO388" i="1"/>
  <c r="EG389" i="1"/>
  <c r="EH389" i="1"/>
  <c r="EI389" i="1"/>
  <c r="EJ389" i="1"/>
  <c r="EK389" i="1"/>
  <c r="EL389" i="1"/>
  <c r="EM389" i="1"/>
  <c r="EN389" i="1"/>
  <c r="EO389" i="1"/>
  <c r="EG390" i="1"/>
  <c r="EH390" i="1"/>
  <c r="EI390" i="1"/>
  <c r="EJ390" i="1"/>
  <c r="EK390" i="1"/>
  <c r="EL390" i="1"/>
  <c r="EM390" i="1"/>
  <c r="EN390" i="1"/>
  <c r="EO390" i="1"/>
  <c r="EG391" i="1"/>
  <c r="EH391" i="1"/>
  <c r="EI391" i="1"/>
  <c r="EJ391" i="1"/>
  <c r="EK391" i="1"/>
  <c r="EL391" i="1"/>
  <c r="EM391" i="1"/>
  <c r="EN391" i="1"/>
  <c r="EO391" i="1"/>
  <c r="EG392" i="1"/>
  <c r="EH392" i="1"/>
  <c r="EI392" i="1"/>
  <c r="EJ392" i="1"/>
  <c r="EK392" i="1"/>
  <c r="EL392" i="1"/>
  <c r="EM392" i="1"/>
  <c r="EN392" i="1"/>
  <c r="EO392" i="1"/>
  <c r="EG393" i="1"/>
  <c r="EH393" i="1"/>
  <c r="EI393" i="1"/>
  <c r="EJ393" i="1"/>
  <c r="EK393" i="1"/>
  <c r="EL393" i="1"/>
  <c r="EM393" i="1"/>
  <c r="EN393" i="1"/>
  <c r="EO393" i="1"/>
  <c r="EG394" i="1"/>
  <c r="EH394" i="1"/>
  <c r="EI394" i="1"/>
  <c r="EJ394" i="1"/>
  <c r="EK394" i="1"/>
  <c r="EL394" i="1"/>
  <c r="EM394" i="1"/>
  <c r="EN394" i="1"/>
  <c r="EO394" i="1"/>
  <c r="EG395" i="1"/>
  <c r="EH395" i="1"/>
  <c r="EI395" i="1"/>
  <c r="EJ395" i="1"/>
  <c r="EK395" i="1"/>
  <c r="EL395" i="1"/>
  <c r="EM395" i="1"/>
  <c r="EN395" i="1"/>
  <c r="EO395" i="1"/>
  <c r="EG396" i="1"/>
  <c r="EH396" i="1"/>
  <c r="EI396" i="1"/>
  <c r="EJ396" i="1"/>
  <c r="EK396" i="1"/>
  <c r="EL396" i="1"/>
  <c r="EM396" i="1"/>
  <c r="EN396" i="1"/>
  <c r="EO396" i="1"/>
  <c r="EG397" i="1"/>
  <c r="EH397" i="1"/>
  <c r="EI397" i="1"/>
  <c r="EJ397" i="1"/>
  <c r="EK397" i="1"/>
  <c r="EL397" i="1"/>
  <c r="EM397" i="1"/>
  <c r="EN397" i="1"/>
  <c r="EO397" i="1"/>
  <c r="EG398" i="1"/>
  <c r="EH398" i="1"/>
  <c r="EI398" i="1"/>
  <c r="EJ398" i="1"/>
  <c r="EK398" i="1"/>
  <c r="EL398" i="1"/>
  <c r="EM398" i="1"/>
  <c r="EN398" i="1"/>
  <c r="EO398" i="1"/>
  <c r="EG399" i="1"/>
  <c r="EH399" i="1"/>
  <c r="EI399" i="1"/>
  <c r="EJ399" i="1"/>
  <c r="EK399" i="1"/>
  <c r="EL399" i="1"/>
  <c r="EM399" i="1"/>
  <c r="EN399" i="1"/>
  <c r="EO399" i="1"/>
  <c r="EG400" i="1"/>
  <c r="EH400" i="1"/>
  <c r="EI400" i="1"/>
  <c r="EJ400" i="1"/>
  <c r="EK400" i="1"/>
  <c r="EL400" i="1"/>
  <c r="EM400" i="1"/>
  <c r="EN400" i="1"/>
  <c r="EO400" i="1"/>
  <c r="EG401" i="1"/>
  <c r="EH401" i="1"/>
  <c r="EI401" i="1"/>
  <c r="EJ401" i="1"/>
  <c r="EK401" i="1"/>
  <c r="EL401" i="1"/>
  <c r="EM401" i="1"/>
  <c r="EN401" i="1"/>
  <c r="EO401" i="1"/>
  <c r="EG402" i="1"/>
  <c r="EH402" i="1"/>
  <c r="EI402" i="1"/>
  <c r="EJ402" i="1"/>
  <c r="EK402" i="1"/>
  <c r="EL402" i="1"/>
  <c r="EM402" i="1"/>
  <c r="EN402" i="1"/>
  <c r="EO402" i="1"/>
  <c r="EG403" i="1"/>
  <c r="EH403" i="1"/>
  <c r="EI403" i="1"/>
  <c r="EJ403" i="1"/>
  <c r="EK403" i="1"/>
  <c r="EL403" i="1"/>
  <c r="EM403" i="1"/>
  <c r="EN403" i="1"/>
  <c r="EO403" i="1"/>
  <c r="EG404" i="1"/>
  <c r="EH404" i="1"/>
  <c r="EI404" i="1"/>
  <c r="EJ404" i="1"/>
  <c r="EK404" i="1"/>
  <c r="EL404" i="1"/>
  <c r="EM404" i="1"/>
  <c r="EN404" i="1"/>
  <c r="EO404" i="1"/>
  <c r="EG405" i="1"/>
  <c r="EH405" i="1"/>
  <c r="EI405" i="1"/>
  <c r="EJ405" i="1"/>
  <c r="EK405" i="1"/>
  <c r="EL405" i="1"/>
  <c r="EM405" i="1"/>
  <c r="EN405" i="1"/>
  <c r="EO405" i="1"/>
  <c r="EG406" i="1"/>
  <c r="EH406" i="1"/>
  <c r="EI406" i="1"/>
  <c r="EJ406" i="1"/>
  <c r="EK406" i="1"/>
  <c r="EL406" i="1"/>
  <c r="EM406" i="1"/>
  <c r="EN406" i="1"/>
  <c r="EO406" i="1"/>
  <c r="EG407" i="1"/>
  <c r="EH407" i="1"/>
  <c r="EI407" i="1"/>
  <c r="EJ407" i="1"/>
  <c r="EK407" i="1"/>
  <c r="EL407" i="1"/>
  <c r="EM407" i="1"/>
  <c r="EN407" i="1"/>
  <c r="EO407" i="1"/>
  <c r="EG408" i="1"/>
  <c r="EH408" i="1"/>
  <c r="EI408" i="1"/>
  <c r="EJ408" i="1"/>
  <c r="EK408" i="1"/>
  <c r="EL408" i="1"/>
  <c r="EM408" i="1"/>
  <c r="EN408" i="1"/>
  <c r="EO408" i="1"/>
  <c r="EG409" i="1"/>
  <c r="EH409" i="1"/>
  <c r="EI409" i="1"/>
  <c r="EJ409" i="1"/>
  <c r="EK409" i="1"/>
  <c r="EL409" i="1"/>
  <c r="EM409" i="1"/>
  <c r="EN409" i="1"/>
  <c r="EO409" i="1"/>
  <c r="EG410" i="1"/>
  <c r="EH410" i="1"/>
  <c r="EI410" i="1"/>
  <c r="EJ410" i="1"/>
  <c r="EK410" i="1"/>
  <c r="EL410" i="1"/>
  <c r="EM410" i="1"/>
  <c r="EN410" i="1"/>
  <c r="EO410" i="1"/>
  <c r="EG411" i="1"/>
  <c r="EH411" i="1"/>
  <c r="EI411" i="1"/>
  <c r="EJ411" i="1"/>
  <c r="EK411" i="1"/>
  <c r="EL411" i="1"/>
  <c r="EM411" i="1"/>
  <c r="EN411" i="1"/>
  <c r="EO411" i="1"/>
  <c r="EG412" i="1"/>
  <c r="EH412" i="1"/>
  <c r="EI412" i="1"/>
  <c r="EJ412" i="1"/>
  <c r="EK412" i="1"/>
  <c r="EL412" i="1"/>
  <c r="EM412" i="1"/>
  <c r="EN412" i="1"/>
  <c r="EO412" i="1"/>
  <c r="EG413" i="1"/>
  <c r="EH413" i="1"/>
  <c r="EI413" i="1"/>
  <c r="EJ413" i="1"/>
  <c r="EK413" i="1"/>
  <c r="EL413" i="1"/>
  <c r="EM413" i="1"/>
  <c r="EN413" i="1"/>
  <c r="EO413" i="1"/>
  <c r="EG414" i="1"/>
  <c r="EH414" i="1"/>
  <c r="EI414" i="1"/>
  <c r="EJ414" i="1"/>
  <c r="EK414" i="1"/>
  <c r="EL414" i="1"/>
  <c r="EM414" i="1"/>
  <c r="EN414" i="1"/>
  <c r="EO414" i="1"/>
  <c r="EG415" i="1"/>
  <c r="EH415" i="1"/>
  <c r="EI415" i="1"/>
  <c r="EJ415" i="1"/>
  <c r="EK415" i="1"/>
  <c r="EL415" i="1"/>
  <c r="EM415" i="1"/>
  <c r="EN415" i="1"/>
  <c r="EO415" i="1"/>
  <c r="EG416" i="1"/>
  <c r="EH416" i="1"/>
  <c r="EI416" i="1"/>
  <c r="EJ416" i="1"/>
  <c r="EK416" i="1"/>
  <c r="EL416" i="1"/>
  <c r="EM416" i="1"/>
  <c r="EN416" i="1"/>
  <c r="EO416" i="1"/>
  <c r="EG417" i="1"/>
  <c r="EH417" i="1"/>
  <c r="EI417" i="1"/>
  <c r="EJ417" i="1"/>
  <c r="EK417" i="1"/>
  <c r="EL417" i="1"/>
  <c r="EM417" i="1"/>
  <c r="EN417" i="1"/>
  <c r="EO417" i="1"/>
  <c r="EG418" i="1"/>
  <c r="EH418" i="1"/>
  <c r="EI418" i="1"/>
  <c r="EJ418" i="1"/>
  <c r="EK418" i="1"/>
  <c r="EL418" i="1"/>
  <c r="EM418" i="1"/>
  <c r="EN418" i="1"/>
  <c r="EO418" i="1"/>
  <c r="EG419" i="1"/>
  <c r="EH419" i="1"/>
  <c r="EI419" i="1"/>
  <c r="EJ419" i="1"/>
  <c r="EK419" i="1"/>
  <c r="EL419" i="1"/>
  <c r="EM419" i="1"/>
  <c r="EN419" i="1"/>
  <c r="EO419" i="1"/>
  <c r="EG420" i="1"/>
  <c r="EH420" i="1"/>
  <c r="EI420" i="1"/>
  <c r="EJ420" i="1"/>
  <c r="EK420" i="1"/>
  <c r="EL420" i="1"/>
  <c r="EM420" i="1"/>
  <c r="EN420" i="1"/>
  <c r="EO420" i="1"/>
  <c r="EG421" i="1"/>
  <c r="EH421" i="1"/>
  <c r="EI421" i="1"/>
  <c r="EJ421" i="1"/>
  <c r="EK421" i="1"/>
  <c r="EL421" i="1"/>
  <c r="EM421" i="1"/>
  <c r="EN421" i="1"/>
  <c r="EO421" i="1"/>
  <c r="EG422" i="1"/>
  <c r="EH422" i="1"/>
  <c r="EI422" i="1"/>
  <c r="EJ422" i="1"/>
  <c r="EK422" i="1"/>
  <c r="EL422" i="1"/>
  <c r="EM422" i="1"/>
  <c r="EN422" i="1"/>
  <c r="EO422" i="1"/>
  <c r="EG423" i="1"/>
  <c r="EH423" i="1"/>
  <c r="EI423" i="1"/>
  <c r="EJ423" i="1"/>
  <c r="EK423" i="1"/>
  <c r="EL423" i="1"/>
  <c r="EM423" i="1"/>
  <c r="EN423" i="1"/>
  <c r="EO423" i="1"/>
  <c r="EG424" i="1"/>
  <c r="EH424" i="1"/>
  <c r="EI424" i="1"/>
  <c r="EJ424" i="1"/>
  <c r="EK424" i="1"/>
  <c r="EL424" i="1"/>
  <c r="EM424" i="1"/>
  <c r="EN424" i="1"/>
  <c r="EO424" i="1"/>
  <c r="EG425" i="1"/>
  <c r="EH425" i="1"/>
  <c r="EI425" i="1"/>
  <c r="EJ425" i="1"/>
  <c r="EK425" i="1"/>
  <c r="EL425" i="1"/>
  <c r="EM425" i="1"/>
  <c r="EN425" i="1"/>
  <c r="EO425" i="1"/>
  <c r="EG426" i="1"/>
  <c r="EH426" i="1"/>
  <c r="EI426" i="1"/>
  <c r="EJ426" i="1"/>
  <c r="EK426" i="1"/>
  <c r="EL426" i="1"/>
  <c r="EM426" i="1"/>
  <c r="EN426" i="1"/>
  <c r="EO426" i="1"/>
  <c r="EG427" i="1"/>
  <c r="EH427" i="1"/>
  <c r="EI427" i="1"/>
  <c r="EJ427" i="1"/>
  <c r="EK427" i="1"/>
  <c r="EL427" i="1"/>
  <c r="EM427" i="1"/>
  <c r="EN427" i="1"/>
  <c r="EO427" i="1"/>
  <c r="EG428" i="1"/>
  <c r="EH428" i="1"/>
  <c r="EI428" i="1"/>
  <c r="EJ428" i="1"/>
  <c r="EK428" i="1"/>
  <c r="EL428" i="1"/>
  <c r="EM428" i="1"/>
  <c r="EN428" i="1"/>
  <c r="EO428" i="1"/>
  <c r="EG429" i="1"/>
  <c r="EH429" i="1"/>
  <c r="EI429" i="1"/>
  <c r="EJ429" i="1"/>
  <c r="EK429" i="1"/>
  <c r="EL429" i="1"/>
  <c r="EM429" i="1"/>
  <c r="EN429" i="1"/>
  <c r="EO429" i="1"/>
  <c r="EG430" i="1"/>
  <c r="EH430" i="1"/>
  <c r="EI430" i="1"/>
  <c r="EJ430" i="1"/>
  <c r="EK430" i="1"/>
  <c r="EL430" i="1"/>
  <c r="EM430" i="1"/>
  <c r="EN430" i="1"/>
  <c r="EO430" i="1"/>
  <c r="EG431" i="1"/>
  <c r="EH431" i="1"/>
  <c r="EI431" i="1"/>
  <c r="EJ431" i="1"/>
  <c r="EK431" i="1"/>
  <c r="EL431" i="1"/>
  <c r="EM431" i="1"/>
  <c r="EN431" i="1"/>
  <c r="EO431" i="1"/>
  <c r="EG432" i="1"/>
  <c r="EH432" i="1"/>
  <c r="EI432" i="1"/>
  <c r="EJ432" i="1"/>
  <c r="EK432" i="1"/>
  <c r="EL432" i="1"/>
  <c r="EM432" i="1"/>
  <c r="EN432" i="1"/>
  <c r="EO432" i="1"/>
  <c r="EG433" i="1"/>
  <c r="EH433" i="1"/>
  <c r="EI433" i="1"/>
  <c r="EJ433" i="1"/>
  <c r="EK433" i="1"/>
  <c r="EL433" i="1"/>
  <c r="EM433" i="1"/>
  <c r="EN433" i="1"/>
  <c r="EO433" i="1"/>
  <c r="EG434" i="1"/>
  <c r="EH434" i="1"/>
  <c r="EI434" i="1"/>
  <c r="EJ434" i="1"/>
  <c r="EK434" i="1"/>
  <c r="EL434" i="1"/>
  <c r="EM434" i="1"/>
  <c r="EN434" i="1"/>
  <c r="EO434" i="1"/>
  <c r="EG435" i="1"/>
  <c r="EH435" i="1"/>
  <c r="EI435" i="1"/>
  <c r="EJ435" i="1"/>
  <c r="EK435" i="1"/>
  <c r="EL435" i="1"/>
  <c r="EM435" i="1"/>
  <c r="EN435" i="1"/>
  <c r="EO435" i="1"/>
  <c r="EG436" i="1"/>
  <c r="EH436" i="1"/>
  <c r="EI436" i="1"/>
  <c r="EJ436" i="1"/>
  <c r="EK436" i="1"/>
  <c r="EL436" i="1"/>
  <c r="EM436" i="1"/>
  <c r="EN436" i="1"/>
  <c r="EO436" i="1"/>
  <c r="EG437" i="1"/>
  <c r="EH437" i="1"/>
  <c r="EI437" i="1"/>
  <c r="EJ437" i="1"/>
  <c r="EK437" i="1"/>
  <c r="EL437" i="1"/>
  <c r="EM437" i="1"/>
  <c r="EN437" i="1"/>
  <c r="EO437" i="1"/>
  <c r="EG438" i="1"/>
  <c r="EH438" i="1"/>
  <c r="EI438" i="1"/>
  <c r="EJ438" i="1"/>
  <c r="EK438" i="1"/>
  <c r="EL438" i="1"/>
  <c r="EM438" i="1"/>
  <c r="EN438" i="1"/>
  <c r="EO438" i="1"/>
  <c r="EG439" i="1"/>
  <c r="EH439" i="1"/>
  <c r="EI439" i="1"/>
  <c r="EJ439" i="1"/>
  <c r="EK439" i="1"/>
  <c r="EL439" i="1"/>
  <c r="EM439" i="1"/>
  <c r="EN439" i="1"/>
  <c r="EO439" i="1"/>
  <c r="EG440" i="1"/>
  <c r="EH440" i="1"/>
  <c r="EI440" i="1"/>
  <c r="EJ440" i="1"/>
  <c r="EK440" i="1"/>
  <c r="EL440" i="1"/>
  <c r="EM440" i="1"/>
  <c r="EN440" i="1"/>
  <c r="EO440" i="1"/>
  <c r="EG441" i="1"/>
  <c r="EH441" i="1"/>
  <c r="EI441" i="1"/>
  <c r="EJ441" i="1"/>
  <c r="EK441" i="1"/>
  <c r="EL441" i="1"/>
  <c r="EM441" i="1"/>
  <c r="EN441" i="1"/>
  <c r="EO441" i="1"/>
  <c r="EG442" i="1"/>
  <c r="EH442" i="1"/>
  <c r="EI442" i="1"/>
  <c r="EJ442" i="1"/>
  <c r="EK442" i="1"/>
  <c r="EL442" i="1"/>
  <c r="EM442" i="1"/>
  <c r="EN442" i="1"/>
  <c r="EO442" i="1"/>
  <c r="EG443" i="1"/>
  <c r="EH443" i="1"/>
  <c r="EI443" i="1"/>
  <c r="EJ443" i="1"/>
  <c r="EK443" i="1"/>
  <c r="EL443" i="1"/>
  <c r="EM443" i="1"/>
  <c r="EN443" i="1"/>
  <c r="EO443" i="1"/>
  <c r="EG444" i="1"/>
  <c r="EH444" i="1"/>
  <c r="EI444" i="1"/>
  <c r="EJ444" i="1"/>
  <c r="EK444" i="1"/>
  <c r="EL444" i="1"/>
  <c r="EM444" i="1"/>
  <c r="EN444" i="1"/>
  <c r="EO444" i="1"/>
  <c r="EG445" i="1"/>
  <c r="EH445" i="1"/>
  <c r="EI445" i="1"/>
  <c r="EJ445" i="1"/>
  <c r="EK445" i="1"/>
  <c r="EL445" i="1"/>
  <c r="EM445" i="1"/>
  <c r="EN445" i="1"/>
  <c r="EO445" i="1"/>
  <c r="EG446" i="1"/>
  <c r="EH446" i="1"/>
  <c r="EI446" i="1"/>
  <c r="EJ446" i="1"/>
  <c r="EK446" i="1"/>
  <c r="EL446" i="1"/>
  <c r="EM446" i="1"/>
  <c r="EN446" i="1"/>
  <c r="EO446" i="1"/>
  <c r="EG447" i="1"/>
  <c r="EH447" i="1"/>
  <c r="EI447" i="1"/>
  <c r="EJ447" i="1"/>
  <c r="EK447" i="1"/>
  <c r="EL447" i="1"/>
  <c r="EM447" i="1"/>
  <c r="EN447" i="1"/>
  <c r="EO447" i="1"/>
  <c r="EG448" i="1"/>
  <c r="EH448" i="1"/>
  <c r="EI448" i="1"/>
  <c r="EJ448" i="1"/>
  <c r="EK448" i="1"/>
  <c r="EL448" i="1"/>
  <c r="EM448" i="1"/>
  <c r="EN448" i="1"/>
  <c r="EO448" i="1"/>
  <c r="EG449" i="1"/>
  <c r="EH449" i="1"/>
  <c r="EI449" i="1"/>
  <c r="EJ449" i="1"/>
  <c r="EK449" i="1"/>
  <c r="EL449" i="1"/>
  <c r="EM449" i="1"/>
  <c r="EN449" i="1"/>
  <c r="EO449" i="1"/>
  <c r="EG450" i="1"/>
  <c r="EH450" i="1"/>
  <c r="EI450" i="1"/>
  <c r="EJ450" i="1"/>
  <c r="EK450" i="1"/>
  <c r="EL450" i="1"/>
  <c r="EM450" i="1"/>
  <c r="EN450" i="1"/>
  <c r="EO450" i="1"/>
  <c r="EG451" i="1"/>
  <c r="EH451" i="1"/>
  <c r="EI451" i="1"/>
  <c r="EJ451" i="1"/>
  <c r="EK451" i="1"/>
  <c r="EL451" i="1"/>
  <c r="EM451" i="1"/>
  <c r="EN451" i="1"/>
  <c r="EO451" i="1"/>
  <c r="EG452" i="1"/>
  <c r="EH452" i="1"/>
  <c r="EI452" i="1"/>
  <c r="EJ452" i="1"/>
  <c r="EK452" i="1"/>
  <c r="EL452" i="1"/>
  <c r="EM452" i="1"/>
  <c r="EN452" i="1"/>
  <c r="EO452" i="1"/>
  <c r="EG453" i="1"/>
  <c r="EH453" i="1"/>
  <c r="EI453" i="1"/>
  <c r="EJ453" i="1"/>
  <c r="EK453" i="1"/>
  <c r="EL453" i="1"/>
  <c r="EM453" i="1"/>
  <c r="EN453" i="1"/>
  <c r="EO453" i="1"/>
  <c r="EG454" i="1"/>
  <c r="EH454" i="1"/>
  <c r="EI454" i="1"/>
  <c r="EJ454" i="1"/>
  <c r="EK454" i="1"/>
  <c r="EL454" i="1"/>
  <c r="EM454" i="1"/>
  <c r="EN454" i="1"/>
  <c r="EO454" i="1"/>
  <c r="EG455" i="1"/>
  <c r="EH455" i="1"/>
  <c r="EI455" i="1"/>
  <c r="EJ455" i="1"/>
  <c r="EK455" i="1"/>
  <c r="EL455" i="1"/>
  <c r="EM455" i="1"/>
  <c r="EN455" i="1"/>
  <c r="EO455" i="1"/>
  <c r="EG456" i="1"/>
  <c r="EH456" i="1"/>
  <c r="EI456" i="1"/>
  <c r="EJ456" i="1"/>
  <c r="EK456" i="1"/>
  <c r="EL456" i="1"/>
  <c r="EM456" i="1"/>
  <c r="EN456" i="1"/>
  <c r="EO456" i="1"/>
  <c r="EG457" i="1"/>
  <c r="EH457" i="1"/>
  <c r="EI457" i="1"/>
  <c r="EJ457" i="1"/>
  <c r="EK457" i="1"/>
  <c r="EL457" i="1"/>
  <c r="EM457" i="1"/>
  <c r="EN457" i="1"/>
  <c r="EO457" i="1"/>
  <c r="EG458" i="1"/>
  <c r="EH458" i="1"/>
  <c r="EI458" i="1"/>
  <c r="EJ458" i="1"/>
  <c r="EK458" i="1"/>
  <c r="EL458" i="1"/>
  <c r="EM458" i="1"/>
  <c r="EN458" i="1"/>
  <c r="EO458" i="1"/>
  <c r="EG459" i="1"/>
  <c r="EH459" i="1"/>
  <c r="EI459" i="1"/>
  <c r="EJ459" i="1"/>
  <c r="EK459" i="1"/>
  <c r="EL459" i="1"/>
  <c r="EM459" i="1"/>
  <c r="EN459" i="1"/>
  <c r="EO459" i="1"/>
  <c r="EG460" i="1"/>
  <c r="EH460" i="1"/>
  <c r="EI460" i="1"/>
  <c r="EJ460" i="1"/>
  <c r="EK460" i="1"/>
  <c r="EL460" i="1"/>
  <c r="EM460" i="1"/>
  <c r="EN460" i="1"/>
  <c r="EO460" i="1"/>
  <c r="EG461" i="1"/>
  <c r="EH461" i="1"/>
  <c r="EI461" i="1"/>
  <c r="EJ461" i="1"/>
  <c r="EK461" i="1"/>
  <c r="EL461" i="1"/>
  <c r="EM461" i="1"/>
  <c r="EN461" i="1"/>
  <c r="EO461" i="1"/>
  <c r="EG462" i="1"/>
  <c r="EH462" i="1"/>
  <c r="EI462" i="1"/>
  <c r="EJ462" i="1"/>
  <c r="EK462" i="1"/>
  <c r="EL462" i="1"/>
  <c r="EM462" i="1"/>
  <c r="EN462" i="1"/>
  <c r="EO462" i="1"/>
  <c r="EG463" i="1"/>
  <c r="EH463" i="1"/>
  <c r="EI463" i="1"/>
  <c r="EJ463" i="1"/>
  <c r="EK463" i="1"/>
  <c r="EL463" i="1"/>
  <c r="EM463" i="1"/>
  <c r="EN463" i="1"/>
  <c r="EO463" i="1"/>
  <c r="EG464" i="1"/>
  <c r="EH464" i="1"/>
  <c r="EI464" i="1"/>
  <c r="EJ464" i="1"/>
  <c r="EK464" i="1"/>
  <c r="EL464" i="1"/>
  <c r="EM464" i="1"/>
  <c r="EN464" i="1"/>
  <c r="EO464" i="1"/>
  <c r="EG465" i="1"/>
  <c r="EH465" i="1"/>
  <c r="EI465" i="1"/>
  <c r="EJ465" i="1"/>
  <c r="EK465" i="1"/>
  <c r="EL465" i="1"/>
  <c r="EM465" i="1"/>
  <c r="EN465" i="1"/>
  <c r="EO465" i="1"/>
  <c r="EG466" i="1"/>
  <c r="EH466" i="1"/>
  <c r="EI466" i="1"/>
  <c r="EJ466" i="1"/>
  <c r="EK466" i="1"/>
  <c r="EL466" i="1"/>
  <c r="EM466" i="1"/>
  <c r="EN466" i="1"/>
  <c r="EO466" i="1"/>
  <c r="EG467" i="1"/>
  <c r="EH467" i="1"/>
  <c r="EI467" i="1"/>
  <c r="EJ467" i="1"/>
  <c r="EK467" i="1"/>
  <c r="EL467" i="1"/>
  <c r="EM467" i="1"/>
  <c r="EN467" i="1"/>
  <c r="EO467" i="1"/>
  <c r="EG468" i="1"/>
  <c r="EH468" i="1"/>
  <c r="EI468" i="1"/>
  <c r="EJ468" i="1"/>
  <c r="EK468" i="1"/>
  <c r="EL468" i="1"/>
  <c r="EM468" i="1"/>
  <c r="EN468" i="1"/>
  <c r="EO468" i="1"/>
  <c r="EG469" i="1"/>
  <c r="EH469" i="1"/>
  <c r="EI469" i="1"/>
  <c r="EJ469" i="1"/>
  <c r="EK469" i="1"/>
  <c r="EL469" i="1"/>
  <c r="EM469" i="1"/>
  <c r="EN469" i="1"/>
  <c r="EO469" i="1"/>
  <c r="EG470" i="1"/>
  <c r="EH470" i="1"/>
  <c r="EI470" i="1"/>
  <c r="EJ470" i="1"/>
  <c r="EK470" i="1"/>
  <c r="EL470" i="1"/>
  <c r="EM470" i="1"/>
  <c r="EN470" i="1"/>
  <c r="EO470" i="1"/>
  <c r="EG471" i="1"/>
  <c r="EH471" i="1"/>
  <c r="EI471" i="1"/>
  <c r="EJ471" i="1"/>
  <c r="EK471" i="1"/>
  <c r="EL471" i="1"/>
  <c r="EM471" i="1"/>
  <c r="EN471" i="1"/>
  <c r="EO471" i="1"/>
  <c r="EG472" i="1"/>
  <c r="EH472" i="1"/>
  <c r="EI472" i="1"/>
  <c r="EJ472" i="1"/>
  <c r="EK472" i="1"/>
  <c r="EL472" i="1"/>
  <c r="EM472" i="1"/>
  <c r="EN472" i="1"/>
  <c r="EO472" i="1"/>
  <c r="EG473" i="1"/>
  <c r="EH473" i="1"/>
  <c r="EI473" i="1"/>
  <c r="EJ473" i="1"/>
  <c r="EK473" i="1"/>
  <c r="EL473" i="1"/>
  <c r="EM473" i="1"/>
  <c r="EN473" i="1"/>
  <c r="EO473" i="1"/>
  <c r="EG474" i="1"/>
  <c r="EH474" i="1"/>
  <c r="EI474" i="1"/>
  <c r="EJ474" i="1"/>
  <c r="EK474" i="1"/>
  <c r="EL474" i="1"/>
  <c r="EM474" i="1"/>
  <c r="EN474" i="1"/>
  <c r="EO474" i="1"/>
  <c r="EG475" i="1"/>
  <c r="EH475" i="1"/>
  <c r="EI475" i="1"/>
  <c r="EJ475" i="1"/>
  <c r="EK475" i="1"/>
  <c r="EL475" i="1"/>
  <c r="EM475" i="1"/>
  <c r="EN475" i="1"/>
  <c r="EO475" i="1"/>
  <c r="EG476" i="1"/>
  <c r="EH476" i="1"/>
  <c r="EI476" i="1"/>
  <c r="EJ476" i="1"/>
  <c r="EK476" i="1"/>
  <c r="EL476" i="1"/>
  <c r="EM476" i="1"/>
  <c r="EN476" i="1"/>
  <c r="EO476" i="1"/>
  <c r="EG477" i="1"/>
  <c r="EH477" i="1"/>
  <c r="EI477" i="1"/>
  <c r="EJ477" i="1"/>
  <c r="EK477" i="1"/>
  <c r="EL477" i="1"/>
  <c r="EM477" i="1"/>
  <c r="EN477" i="1"/>
  <c r="EO477" i="1"/>
  <c r="EG478" i="1"/>
  <c r="EH478" i="1"/>
  <c r="EI478" i="1"/>
  <c r="EJ478" i="1"/>
  <c r="EK478" i="1"/>
  <c r="EL478" i="1"/>
  <c r="EM478" i="1"/>
  <c r="EN478" i="1"/>
  <c r="EO478" i="1"/>
  <c r="EG479" i="1"/>
  <c r="EH479" i="1"/>
  <c r="EI479" i="1"/>
  <c r="EJ479" i="1"/>
  <c r="EK479" i="1"/>
  <c r="EL479" i="1"/>
  <c r="EM479" i="1"/>
  <c r="EN479" i="1"/>
  <c r="EO479" i="1"/>
  <c r="EG480" i="1"/>
  <c r="EH480" i="1"/>
  <c r="EI480" i="1"/>
  <c r="EJ480" i="1"/>
  <c r="EK480" i="1"/>
  <c r="EL480" i="1"/>
  <c r="EM480" i="1"/>
  <c r="EN480" i="1"/>
  <c r="EO480" i="1"/>
  <c r="EG481" i="1"/>
  <c r="EH481" i="1"/>
  <c r="EI481" i="1"/>
  <c r="EJ481" i="1"/>
  <c r="EK481" i="1"/>
  <c r="EL481" i="1"/>
  <c r="EM481" i="1"/>
  <c r="EN481" i="1"/>
  <c r="EO481" i="1"/>
  <c r="EG482" i="1"/>
  <c r="EH482" i="1"/>
  <c r="EI482" i="1"/>
  <c r="EJ482" i="1"/>
  <c r="EK482" i="1"/>
  <c r="EL482" i="1"/>
  <c r="EM482" i="1"/>
  <c r="EN482" i="1"/>
  <c r="EO482" i="1"/>
  <c r="EG483" i="1"/>
  <c r="EH483" i="1"/>
  <c r="EI483" i="1"/>
  <c r="EJ483" i="1"/>
  <c r="EK483" i="1"/>
  <c r="EL483" i="1"/>
  <c r="EM483" i="1"/>
  <c r="EN483" i="1"/>
  <c r="EO483" i="1"/>
  <c r="EG484" i="1"/>
  <c r="EH484" i="1"/>
  <c r="EI484" i="1"/>
  <c r="EJ484" i="1"/>
  <c r="EK484" i="1"/>
  <c r="EL484" i="1"/>
  <c r="EM484" i="1"/>
  <c r="EN484" i="1"/>
  <c r="EO484" i="1"/>
  <c r="EG485" i="1"/>
  <c r="EH485" i="1"/>
  <c r="EI485" i="1"/>
  <c r="EJ485" i="1"/>
  <c r="EK485" i="1"/>
  <c r="EL485" i="1"/>
  <c r="EM485" i="1"/>
  <c r="EN485" i="1"/>
  <c r="EO485" i="1"/>
  <c r="EG486" i="1"/>
  <c r="EH486" i="1"/>
  <c r="EI486" i="1"/>
  <c r="EJ486" i="1"/>
  <c r="EK486" i="1"/>
  <c r="EL486" i="1"/>
  <c r="EM486" i="1"/>
  <c r="EN486" i="1"/>
  <c r="EO486" i="1"/>
  <c r="EG487" i="1"/>
  <c r="EH487" i="1"/>
  <c r="EI487" i="1"/>
  <c r="EJ487" i="1"/>
  <c r="EK487" i="1"/>
  <c r="EL487" i="1"/>
  <c r="EM487" i="1"/>
  <c r="EN487" i="1"/>
  <c r="EO487" i="1"/>
  <c r="EG488" i="1"/>
  <c r="EH488" i="1"/>
  <c r="EI488" i="1"/>
  <c r="EJ488" i="1"/>
  <c r="EK488" i="1"/>
  <c r="EL488" i="1"/>
  <c r="EM488" i="1"/>
  <c r="EN488" i="1"/>
  <c r="EO488" i="1"/>
  <c r="EG489" i="1"/>
  <c r="EH489" i="1"/>
  <c r="EI489" i="1"/>
  <c r="EJ489" i="1"/>
  <c r="EK489" i="1"/>
  <c r="EL489" i="1"/>
  <c r="EM489" i="1"/>
  <c r="EN489" i="1"/>
  <c r="EO489" i="1"/>
  <c r="EG490" i="1"/>
  <c r="EH490" i="1"/>
  <c r="EI490" i="1"/>
  <c r="EJ490" i="1"/>
  <c r="EK490" i="1"/>
  <c r="EL490" i="1"/>
  <c r="EM490" i="1"/>
  <c r="EN490" i="1"/>
  <c r="EO490" i="1"/>
  <c r="EG491" i="1"/>
  <c r="EH491" i="1"/>
  <c r="EI491" i="1"/>
  <c r="EJ491" i="1"/>
  <c r="EK491" i="1"/>
  <c r="EL491" i="1"/>
  <c r="EM491" i="1"/>
  <c r="EN491" i="1"/>
  <c r="EO491" i="1"/>
  <c r="EG492" i="1"/>
  <c r="EH492" i="1"/>
  <c r="EI492" i="1"/>
  <c r="EJ492" i="1"/>
  <c r="EK492" i="1"/>
  <c r="EL492" i="1"/>
  <c r="EM492" i="1"/>
  <c r="EN492" i="1"/>
  <c r="EO492" i="1"/>
  <c r="EG493" i="1"/>
  <c r="EH493" i="1"/>
  <c r="EI493" i="1"/>
  <c r="EJ493" i="1"/>
  <c r="EK493" i="1"/>
  <c r="EL493" i="1"/>
  <c r="EM493" i="1"/>
  <c r="EN493" i="1"/>
  <c r="EO493" i="1"/>
  <c r="EG494" i="1"/>
  <c r="EH494" i="1"/>
  <c r="EI494" i="1"/>
  <c r="EJ494" i="1"/>
  <c r="EK494" i="1"/>
  <c r="EL494" i="1"/>
  <c r="EM494" i="1"/>
  <c r="EN494" i="1"/>
  <c r="EO494" i="1"/>
  <c r="EG495" i="1"/>
  <c r="EH495" i="1"/>
  <c r="EI495" i="1"/>
  <c r="EJ495" i="1"/>
  <c r="EK495" i="1"/>
  <c r="EL495" i="1"/>
  <c r="EM495" i="1"/>
  <c r="EN495" i="1"/>
  <c r="EO495" i="1"/>
  <c r="EG496" i="1"/>
  <c r="EH496" i="1"/>
  <c r="EI496" i="1"/>
  <c r="EJ496" i="1"/>
  <c r="EK496" i="1"/>
  <c r="EL496" i="1"/>
  <c r="EM496" i="1"/>
  <c r="EN496" i="1"/>
  <c r="EO496" i="1"/>
  <c r="EG497" i="1"/>
  <c r="EH497" i="1"/>
  <c r="EI497" i="1"/>
  <c r="EJ497" i="1"/>
  <c r="EK497" i="1"/>
  <c r="EL497" i="1"/>
  <c r="EM497" i="1"/>
  <c r="EN497" i="1"/>
  <c r="EO497" i="1"/>
  <c r="EG498" i="1"/>
  <c r="EH498" i="1"/>
  <c r="EI498" i="1"/>
  <c r="EJ498" i="1"/>
  <c r="EK498" i="1"/>
  <c r="EL498" i="1"/>
  <c r="EM498" i="1"/>
  <c r="EN498" i="1"/>
  <c r="EO498" i="1"/>
  <c r="EG499" i="1"/>
  <c r="EH499" i="1"/>
  <c r="EI499" i="1"/>
  <c r="EJ499" i="1"/>
  <c r="EK499" i="1"/>
  <c r="EL499" i="1"/>
  <c r="EM499" i="1"/>
  <c r="EN499" i="1"/>
  <c r="EO499" i="1"/>
  <c r="EG500" i="1"/>
  <c r="EH500" i="1"/>
  <c r="EI500" i="1"/>
  <c r="EJ500" i="1"/>
  <c r="EK500" i="1"/>
  <c r="EL500" i="1"/>
  <c r="EM500" i="1"/>
  <c r="EN500" i="1"/>
  <c r="EO500" i="1"/>
  <c r="EG501" i="1"/>
  <c r="EH501" i="1"/>
  <c r="EI501" i="1"/>
  <c r="EJ501" i="1"/>
  <c r="EK501" i="1"/>
  <c r="EL501" i="1"/>
  <c r="EM501" i="1"/>
  <c r="EN501" i="1"/>
  <c r="EO501" i="1"/>
  <c r="EG502" i="1"/>
  <c r="EH502" i="1"/>
  <c r="EI502" i="1"/>
  <c r="EJ502" i="1"/>
  <c r="EK502" i="1"/>
  <c r="EL502" i="1"/>
  <c r="EM502" i="1"/>
  <c r="EN502" i="1"/>
  <c r="EO502" i="1"/>
  <c r="EG503" i="1"/>
  <c r="EH503" i="1"/>
  <c r="EI503" i="1"/>
  <c r="EJ503" i="1"/>
  <c r="EK503" i="1"/>
  <c r="EL503" i="1"/>
  <c r="EM503" i="1"/>
  <c r="EN503" i="1"/>
  <c r="EO503" i="1"/>
  <c r="EG504" i="1"/>
  <c r="EH504" i="1"/>
  <c r="EI504" i="1"/>
  <c r="EJ504" i="1"/>
  <c r="EK504" i="1"/>
  <c r="EL504" i="1"/>
  <c r="EM504" i="1"/>
  <c r="EN504" i="1"/>
  <c r="EO504" i="1"/>
  <c r="EG505" i="1"/>
  <c r="EH505" i="1"/>
  <c r="EI505" i="1"/>
  <c r="EJ505" i="1"/>
  <c r="EK505" i="1"/>
  <c r="EL505" i="1"/>
  <c r="EM505" i="1"/>
  <c r="EN505" i="1"/>
  <c r="EO505" i="1"/>
  <c r="EG506" i="1"/>
  <c r="EH506" i="1"/>
  <c r="EI506" i="1"/>
  <c r="EJ506" i="1"/>
  <c r="EK506" i="1"/>
  <c r="EL506" i="1"/>
  <c r="EM506" i="1"/>
  <c r="EN506" i="1"/>
  <c r="EO506" i="1"/>
  <c r="EG507" i="1"/>
  <c r="EH507" i="1"/>
  <c r="EI507" i="1"/>
  <c r="EJ507" i="1"/>
  <c r="EK507" i="1"/>
  <c r="EL507" i="1"/>
  <c r="EM507" i="1"/>
  <c r="EN507" i="1"/>
  <c r="EO507" i="1"/>
  <c r="EG508" i="1"/>
  <c r="EH508" i="1"/>
  <c r="EI508" i="1"/>
  <c r="EJ508" i="1"/>
  <c r="EK508" i="1"/>
  <c r="EL508" i="1"/>
  <c r="EM508" i="1"/>
  <c r="EN508" i="1"/>
  <c r="EO508" i="1"/>
  <c r="EG509" i="1"/>
  <c r="EH509" i="1"/>
  <c r="EI509" i="1"/>
  <c r="EJ509" i="1"/>
  <c r="EK509" i="1"/>
  <c r="EL509" i="1"/>
  <c r="EM509" i="1"/>
  <c r="EN509" i="1"/>
  <c r="EO509" i="1"/>
  <c r="EG510" i="1"/>
  <c r="EH510" i="1"/>
  <c r="EI510" i="1"/>
  <c r="EJ510" i="1"/>
  <c r="EK510" i="1"/>
  <c r="EL510" i="1"/>
  <c r="EM510" i="1"/>
  <c r="EN510" i="1"/>
  <c r="EO510" i="1"/>
  <c r="EG511" i="1"/>
  <c r="EH511" i="1"/>
  <c r="EI511" i="1"/>
  <c r="EJ511" i="1"/>
  <c r="EK511" i="1"/>
  <c r="EL511" i="1"/>
  <c r="EM511" i="1"/>
  <c r="EN511" i="1"/>
  <c r="EO511" i="1"/>
  <c r="EG512" i="1"/>
  <c r="EH512" i="1"/>
  <c r="EI512" i="1"/>
  <c r="EJ512" i="1"/>
  <c r="EK512" i="1"/>
  <c r="EL512" i="1"/>
  <c r="EM512" i="1"/>
  <c r="EN512" i="1"/>
  <c r="EO512" i="1"/>
  <c r="EG513" i="1"/>
  <c r="EH513" i="1"/>
  <c r="EI513" i="1"/>
  <c r="EJ513" i="1"/>
  <c r="EK513" i="1"/>
  <c r="EL513" i="1"/>
  <c r="EM513" i="1"/>
  <c r="EN513" i="1"/>
  <c r="EO513" i="1"/>
  <c r="EG514" i="1"/>
  <c r="EH514" i="1"/>
  <c r="EI514" i="1"/>
  <c r="EJ514" i="1"/>
  <c r="EK514" i="1"/>
  <c r="EL514" i="1"/>
  <c r="EM514" i="1"/>
  <c r="EN514" i="1"/>
  <c r="EO514" i="1"/>
  <c r="EG515" i="1"/>
  <c r="EH515" i="1"/>
  <c r="EI515" i="1"/>
  <c r="EJ515" i="1"/>
  <c r="EK515" i="1"/>
  <c r="EL515" i="1"/>
  <c r="EM515" i="1"/>
  <c r="EN515" i="1"/>
  <c r="EO515" i="1"/>
  <c r="EG516" i="1"/>
  <c r="EH516" i="1"/>
  <c r="EI516" i="1"/>
  <c r="EJ516" i="1"/>
  <c r="EK516" i="1"/>
  <c r="EL516" i="1"/>
  <c r="EM516" i="1"/>
  <c r="EN516" i="1"/>
  <c r="EO516" i="1"/>
  <c r="EG517" i="1"/>
  <c r="EH517" i="1"/>
  <c r="EI517" i="1"/>
  <c r="EJ517" i="1"/>
  <c r="EK517" i="1"/>
  <c r="EL517" i="1"/>
  <c r="EM517" i="1"/>
  <c r="EN517" i="1"/>
  <c r="EO517" i="1"/>
  <c r="EG518" i="1"/>
  <c r="EH518" i="1"/>
  <c r="EI518" i="1"/>
  <c r="EJ518" i="1"/>
  <c r="EK518" i="1"/>
  <c r="EL518" i="1"/>
  <c r="EM518" i="1"/>
  <c r="EN518" i="1"/>
  <c r="EO518" i="1"/>
  <c r="EG519" i="1"/>
  <c r="EH519" i="1"/>
  <c r="EI519" i="1"/>
  <c r="EJ519" i="1"/>
  <c r="EK519" i="1"/>
  <c r="EL519" i="1"/>
  <c r="EM519" i="1"/>
  <c r="EN519" i="1"/>
  <c r="EO519" i="1"/>
  <c r="EG520" i="1"/>
  <c r="EH520" i="1"/>
  <c r="EI520" i="1"/>
  <c r="EJ520" i="1"/>
  <c r="EK520" i="1"/>
  <c r="EL520" i="1"/>
  <c r="EM520" i="1"/>
  <c r="EN520" i="1"/>
  <c r="EO520" i="1"/>
  <c r="EG521" i="1"/>
  <c r="EH521" i="1"/>
  <c r="EI521" i="1"/>
  <c r="EJ521" i="1"/>
  <c r="EK521" i="1"/>
  <c r="EL521" i="1"/>
  <c r="EM521" i="1"/>
  <c r="EN521" i="1"/>
  <c r="EO521" i="1"/>
  <c r="EG522" i="1"/>
  <c r="EH522" i="1"/>
  <c r="EI522" i="1"/>
  <c r="EJ522" i="1"/>
  <c r="EK522" i="1"/>
  <c r="EL522" i="1"/>
  <c r="EM522" i="1"/>
  <c r="EN522" i="1"/>
  <c r="EO522" i="1"/>
  <c r="EG523" i="1"/>
  <c r="EH523" i="1"/>
  <c r="EI523" i="1"/>
  <c r="EJ523" i="1"/>
  <c r="EK523" i="1"/>
  <c r="EL523" i="1"/>
  <c r="EM523" i="1"/>
  <c r="EN523" i="1"/>
  <c r="EO523" i="1"/>
  <c r="EG524" i="1"/>
  <c r="EH524" i="1"/>
  <c r="EI524" i="1"/>
  <c r="EJ524" i="1"/>
  <c r="EK524" i="1"/>
  <c r="EL524" i="1"/>
  <c r="EM524" i="1"/>
  <c r="EN524" i="1"/>
  <c r="EO524" i="1"/>
  <c r="EG525" i="1"/>
  <c r="EH525" i="1"/>
  <c r="EI525" i="1"/>
  <c r="EJ525" i="1"/>
  <c r="EK525" i="1"/>
  <c r="EL525" i="1"/>
  <c r="EM525" i="1"/>
  <c r="EN525" i="1"/>
  <c r="EO525" i="1"/>
  <c r="EG526" i="1"/>
  <c r="EH526" i="1"/>
  <c r="EI526" i="1"/>
  <c r="EJ526" i="1"/>
  <c r="EK526" i="1"/>
  <c r="EL526" i="1"/>
  <c r="EM526" i="1"/>
  <c r="EN526" i="1"/>
  <c r="EO526" i="1"/>
  <c r="EG527" i="1"/>
  <c r="EH527" i="1"/>
  <c r="EI527" i="1"/>
  <c r="EJ527" i="1"/>
  <c r="EK527" i="1"/>
  <c r="EL527" i="1"/>
  <c r="EM527" i="1"/>
  <c r="EN527" i="1"/>
  <c r="EO527" i="1"/>
  <c r="EG528" i="1"/>
  <c r="EH528" i="1"/>
  <c r="EI528" i="1"/>
  <c r="EJ528" i="1"/>
  <c r="EK528" i="1"/>
  <c r="EL528" i="1"/>
  <c r="EM528" i="1"/>
  <c r="EN528" i="1"/>
  <c r="EO528" i="1"/>
  <c r="EG529" i="1"/>
  <c r="EH529" i="1"/>
  <c r="EI529" i="1"/>
  <c r="EJ529" i="1"/>
  <c r="EK529" i="1"/>
  <c r="EL529" i="1"/>
  <c r="EM529" i="1"/>
  <c r="EN529" i="1"/>
  <c r="EO529" i="1"/>
  <c r="EG530" i="1"/>
  <c r="EH530" i="1"/>
  <c r="EI530" i="1"/>
  <c r="EJ530" i="1"/>
  <c r="EK530" i="1"/>
  <c r="EL530" i="1"/>
  <c r="EM530" i="1"/>
  <c r="EN530" i="1"/>
  <c r="EO530" i="1"/>
  <c r="EG531" i="1"/>
  <c r="EH531" i="1"/>
  <c r="EI531" i="1"/>
  <c r="EJ531" i="1"/>
  <c r="EK531" i="1"/>
  <c r="EL531" i="1"/>
  <c r="EM531" i="1"/>
  <c r="EN531" i="1"/>
  <c r="EO531" i="1"/>
  <c r="EG532" i="1"/>
  <c r="EH532" i="1"/>
  <c r="EI532" i="1"/>
  <c r="EJ532" i="1"/>
  <c r="EK532" i="1"/>
  <c r="EL532" i="1"/>
  <c r="EM532" i="1"/>
  <c r="EN532" i="1"/>
  <c r="EO532" i="1"/>
  <c r="EG533" i="1"/>
  <c r="EH533" i="1"/>
  <c r="EI533" i="1"/>
  <c r="EJ533" i="1"/>
  <c r="EK533" i="1"/>
  <c r="EL533" i="1"/>
  <c r="EM533" i="1"/>
  <c r="EN533" i="1"/>
  <c r="EO533" i="1"/>
  <c r="EG534" i="1"/>
  <c r="EH534" i="1"/>
  <c r="EI534" i="1"/>
  <c r="EJ534" i="1"/>
  <c r="EK534" i="1"/>
  <c r="EL534" i="1"/>
  <c r="EM534" i="1"/>
  <c r="EN534" i="1"/>
  <c r="EO534" i="1"/>
  <c r="EG535" i="1"/>
  <c r="EH535" i="1"/>
  <c r="EI535" i="1"/>
  <c r="EJ535" i="1"/>
  <c r="EK535" i="1"/>
  <c r="EL535" i="1"/>
  <c r="EM535" i="1"/>
  <c r="EN535" i="1"/>
  <c r="EO535" i="1"/>
  <c r="EG536" i="1"/>
  <c r="EH536" i="1"/>
  <c r="EI536" i="1"/>
  <c r="EJ536" i="1"/>
  <c r="EK536" i="1"/>
  <c r="EL536" i="1"/>
  <c r="EM536" i="1"/>
  <c r="EN536" i="1"/>
  <c r="EO536" i="1"/>
  <c r="EG537" i="1"/>
  <c r="EH537" i="1"/>
  <c r="EI537" i="1"/>
  <c r="EJ537" i="1"/>
  <c r="EK537" i="1"/>
  <c r="EL537" i="1"/>
  <c r="EM537" i="1"/>
  <c r="EN537" i="1"/>
  <c r="EO537" i="1"/>
  <c r="EG538" i="1"/>
  <c r="EH538" i="1"/>
  <c r="EI538" i="1"/>
  <c r="EJ538" i="1"/>
  <c r="EK538" i="1"/>
  <c r="EL538" i="1"/>
  <c r="EM538" i="1"/>
  <c r="EN538" i="1"/>
  <c r="EO538" i="1"/>
  <c r="EG539" i="1"/>
  <c r="EH539" i="1"/>
  <c r="EI539" i="1"/>
  <c r="EJ539" i="1"/>
  <c r="EK539" i="1"/>
  <c r="EL539" i="1"/>
  <c r="EM539" i="1"/>
  <c r="EN539" i="1"/>
  <c r="EO539" i="1"/>
  <c r="EG540" i="1"/>
  <c r="EH540" i="1"/>
  <c r="EI540" i="1"/>
  <c r="EJ540" i="1"/>
  <c r="EK540" i="1"/>
  <c r="EL540" i="1"/>
  <c r="EM540" i="1"/>
  <c r="EN540" i="1"/>
  <c r="EO540" i="1"/>
  <c r="EG541" i="1"/>
  <c r="EH541" i="1"/>
  <c r="EI541" i="1"/>
  <c r="EJ541" i="1"/>
  <c r="EK541" i="1"/>
  <c r="EL541" i="1"/>
  <c r="EM541" i="1"/>
  <c r="EN541" i="1"/>
  <c r="EO541" i="1"/>
  <c r="EG542" i="1"/>
  <c r="EH542" i="1"/>
  <c r="EI542" i="1"/>
  <c r="EJ542" i="1"/>
  <c r="EK542" i="1"/>
  <c r="EL542" i="1"/>
  <c r="EM542" i="1"/>
  <c r="EN542" i="1"/>
  <c r="EO542" i="1"/>
  <c r="EG543" i="1"/>
  <c r="EH543" i="1"/>
  <c r="EI543" i="1"/>
  <c r="EJ543" i="1"/>
  <c r="EK543" i="1"/>
  <c r="EL543" i="1"/>
  <c r="EM543" i="1"/>
  <c r="EN543" i="1"/>
  <c r="EO543" i="1"/>
  <c r="EG544" i="1"/>
  <c r="EH544" i="1"/>
  <c r="EI544" i="1"/>
  <c r="EJ544" i="1"/>
  <c r="EK544" i="1"/>
  <c r="EL544" i="1"/>
  <c r="EM544" i="1"/>
  <c r="EN544" i="1"/>
  <c r="EO544" i="1"/>
  <c r="EG545" i="1"/>
  <c r="EH545" i="1"/>
  <c r="EI545" i="1"/>
  <c r="EJ545" i="1"/>
  <c r="EK545" i="1"/>
  <c r="EL545" i="1"/>
  <c r="EM545" i="1"/>
  <c r="EN545" i="1"/>
  <c r="EO545" i="1"/>
  <c r="EG546" i="1"/>
  <c r="EH546" i="1"/>
  <c r="EI546" i="1"/>
  <c r="EJ546" i="1"/>
  <c r="EK546" i="1"/>
  <c r="EL546" i="1"/>
  <c r="EM546" i="1"/>
  <c r="EN546" i="1"/>
  <c r="EO546" i="1"/>
  <c r="EG547" i="1"/>
  <c r="EH547" i="1"/>
  <c r="EI547" i="1"/>
  <c r="EJ547" i="1"/>
  <c r="EK547" i="1"/>
  <c r="EL547" i="1"/>
  <c r="EM547" i="1"/>
  <c r="EN547" i="1"/>
  <c r="EO547" i="1"/>
  <c r="EG548" i="1"/>
  <c r="EH548" i="1"/>
  <c r="EI548" i="1"/>
  <c r="EJ548" i="1"/>
  <c r="EK548" i="1"/>
  <c r="EL548" i="1"/>
  <c r="EM548" i="1"/>
  <c r="EN548" i="1"/>
  <c r="EO548" i="1"/>
  <c r="EG549" i="1"/>
  <c r="EH549" i="1"/>
  <c r="EI549" i="1"/>
  <c r="EJ549" i="1"/>
  <c r="EK549" i="1"/>
  <c r="EL549" i="1"/>
  <c r="EM549" i="1"/>
  <c r="EN549" i="1"/>
  <c r="EO549" i="1"/>
  <c r="EG550" i="1"/>
  <c r="EH550" i="1"/>
  <c r="EI550" i="1"/>
  <c r="EJ550" i="1"/>
  <c r="EK550" i="1"/>
  <c r="EL550" i="1"/>
  <c r="EM550" i="1"/>
  <c r="EN550" i="1"/>
  <c r="EO550" i="1"/>
  <c r="EG551" i="1"/>
  <c r="EH551" i="1"/>
  <c r="EI551" i="1"/>
  <c r="EJ551" i="1"/>
  <c r="EK551" i="1"/>
  <c r="EL551" i="1"/>
  <c r="EM551" i="1"/>
  <c r="EN551" i="1"/>
  <c r="EO551" i="1"/>
  <c r="EG552" i="1"/>
  <c r="EH552" i="1"/>
  <c r="EI552" i="1"/>
  <c r="EJ552" i="1"/>
  <c r="EK552" i="1"/>
  <c r="EL552" i="1"/>
  <c r="EM552" i="1"/>
  <c r="EN552" i="1"/>
  <c r="EO552" i="1"/>
  <c r="EG553" i="1"/>
  <c r="EH553" i="1"/>
  <c r="EI553" i="1"/>
  <c r="EJ553" i="1"/>
  <c r="EK553" i="1"/>
  <c r="EL553" i="1"/>
  <c r="EM553" i="1"/>
  <c r="EN553" i="1"/>
  <c r="EO553" i="1"/>
  <c r="EG554" i="1"/>
  <c r="EH554" i="1"/>
  <c r="EI554" i="1"/>
  <c r="EJ554" i="1"/>
  <c r="EK554" i="1"/>
  <c r="EL554" i="1"/>
  <c r="EM554" i="1"/>
  <c r="EN554" i="1"/>
  <c r="EO554" i="1"/>
  <c r="EG555" i="1"/>
  <c r="EH555" i="1"/>
  <c r="EI555" i="1"/>
  <c r="EJ555" i="1"/>
  <c r="EK555" i="1"/>
  <c r="EL555" i="1"/>
  <c r="EM555" i="1"/>
  <c r="EN555" i="1"/>
  <c r="EO555" i="1"/>
  <c r="EG556" i="1"/>
  <c r="EH556" i="1"/>
  <c r="EI556" i="1"/>
  <c r="EJ556" i="1"/>
  <c r="EK556" i="1"/>
  <c r="EL556" i="1"/>
  <c r="EM556" i="1"/>
  <c r="EN556" i="1"/>
  <c r="EO556" i="1"/>
  <c r="EG557" i="1"/>
  <c r="EH557" i="1"/>
  <c r="EI557" i="1"/>
  <c r="EJ557" i="1"/>
  <c r="EK557" i="1"/>
  <c r="EL557" i="1"/>
  <c r="EM557" i="1"/>
  <c r="EN557" i="1"/>
  <c r="EO557" i="1"/>
  <c r="EG558" i="1"/>
  <c r="EH558" i="1"/>
  <c r="EI558" i="1"/>
  <c r="EJ558" i="1"/>
  <c r="EK558" i="1"/>
  <c r="EL558" i="1"/>
  <c r="EM558" i="1"/>
  <c r="EN558" i="1"/>
  <c r="EO558" i="1"/>
  <c r="EG559" i="1"/>
  <c r="EH559" i="1"/>
  <c r="EI559" i="1"/>
  <c r="EJ559" i="1"/>
  <c r="EK559" i="1"/>
  <c r="EL559" i="1"/>
  <c r="EM559" i="1"/>
  <c r="EN559" i="1"/>
  <c r="EO559" i="1"/>
  <c r="EG560" i="1"/>
  <c r="EH560" i="1"/>
  <c r="EI560" i="1"/>
  <c r="EJ560" i="1"/>
  <c r="EK560" i="1"/>
  <c r="EL560" i="1"/>
  <c r="EM560" i="1"/>
  <c r="EN560" i="1"/>
  <c r="EO560" i="1"/>
  <c r="EG561" i="1"/>
  <c r="EH561" i="1"/>
  <c r="EI561" i="1"/>
  <c r="EJ561" i="1"/>
  <c r="EK561" i="1"/>
  <c r="EL561" i="1"/>
  <c r="EM561" i="1"/>
  <c r="EN561" i="1"/>
  <c r="EO561" i="1"/>
  <c r="EG562" i="1"/>
  <c r="EH562" i="1"/>
  <c r="EI562" i="1"/>
  <c r="EJ562" i="1"/>
  <c r="EK562" i="1"/>
  <c r="EL562" i="1"/>
  <c r="EM562" i="1"/>
  <c r="EN562" i="1"/>
  <c r="EO562" i="1"/>
  <c r="EG563" i="1"/>
  <c r="EH563" i="1"/>
  <c r="EI563" i="1"/>
  <c r="EJ563" i="1"/>
  <c r="EK563" i="1"/>
  <c r="EL563" i="1"/>
  <c r="EM563" i="1"/>
  <c r="EN563" i="1"/>
  <c r="EO563" i="1"/>
  <c r="EG564" i="1"/>
  <c r="EH564" i="1"/>
  <c r="EI564" i="1"/>
  <c r="EJ564" i="1"/>
  <c r="EK564" i="1"/>
  <c r="EL564" i="1"/>
  <c r="EM564" i="1"/>
  <c r="EN564" i="1"/>
  <c r="EO564" i="1"/>
  <c r="EG565" i="1"/>
  <c r="EH565" i="1"/>
  <c r="EI565" i="1"/>
  <c r="EJ565" i="1"/>
  <c r="EK565" i="1"/>
  <c r="EL565" i="1"/>
  <c r="EM565" i="1"/>
  <c r="EN565" i="1"/>
  <c r="EO565" i="1"/>
  <c r="EG566" i="1"/>
  <c r="EH566" i="1"/>
  <c r="EI566" i="1"/>
  <c r="EJ566" i="1"/>
  <c r="EK566" i="1"/>
  <c r="EL566" i="1"/>
  <c r="EM566" i="1"/>
  <c r="EN566" i="1"/>
  <c r="EO566" i="1"/>
  <c r="EG567" i="1"/>
  <c r="EH567" i="1"/>
  <c r="EI567" i="1"/>
  <c r="EJ567" i="1"/>
  <c r="EK567" i="1"/>
  <c r="EL567" i="1"/>
  <c r="EM567" i="1"/>
  <c r="EN567" i="1"/>
  <c r="EO567" i="1"/>
  <c r="EG568" i="1"/>
  <c r="EH568" i="1"/>
  <c r="EI568" i="1"/>
  <c r="EJ568" i="1"/>
  <c r="EK568" i="1"/>
  <c r="EL568" i="1"/>
  <c r="EM568" i="1"/>
  <c r="EN568" i="1"/>
  <c r="EO568" i="1"/>
  <c r="EG569" i="1"/>
  <c r="EH569" i="1"/>
  <c r="EI569" i="1"/>
  <c r="EJ569" i="1"/>
  <c r="EK569" i="1"/>
  <c r="EL569" i="1"/>
  <c r="EM569" i="1"/>
  <c r="EN569" i="1"/>
  <c r="EO569" i="1"/>
  <c r="EG570" i="1"/>
  <c r="EH570" i="1"/>
  <c r="EI570" i="1"/>
  <c r="EJ570" i="1"/>
  <c r="EK570" i="1"/>
  <c r="EL570" i="1"/>
  <c r="EM570" i="1"/>
  <c r="EN570" i="1"/>
  <c r="EO570" i="1"/>
  <c r="EG571" i="1"/>
  <c r="EH571" i="1"/>
  <c r="EI571" i="1"/>
  <c r="EJ571" i="1"/>
  <c r="EK571" i="1"/>
  <c r="EL571" i="1"/>
  <c r="EM571" i="1"/>
  <c r="EN571" i="1"/>
  <c r="EO571" i="1"/>
  <c r="EG572" i="1"/>
  <c r="EH572" i="1"/>
  <c r="EI572" i="1"/>
  <c r="EJ572" i="1"/>
  <c r="EK572" i="1"/>
  <c r="EL572" i="1"/>
  <c r="EM572" i="1"/>
  <c r="EN572" i="1"/>
  <c r="EO572" i="1"/>
  <c r="EG573" i="1"/>
  <c r="EH573" i="1"/>
  <c r="EI573" i="1"/>
  <c r="EJ573" i="1"/>
  <c r="EK573" i="1"/>
  <c r="EL573" i="1"/>
  <c r="EM573" i="1"/>
  <c r="EN573" i="1"/>
  <c r="EO573" i="1"/>
  <c r="EG574" i="1"/>
  <c r="EH574" i="1"/>
  <c r="EI574" i="1"/>
  <c r="EJ574" i="1"/>
  <c r="EK574" i="1"/>
  <c r="EL574" i="1"/>
  <c r="EM574" i="1"/>
  <c r="EN574" i="1"/>
  <c r="EO574" i="1"/>
  <c r="EG575" i="1"/>
  <c r="EH575" i="1"/>
  <c r="EI575" i="1"/>
  <c r="EJ575" i="1"/>
  <c r="EK575" i="1"/>
  <c r="EL575" i="1"/>
  <c r="EM575" i="1"/>
  <c r="EN575" i="1"/>
  <c r="EO575" i="1"/>
  <c r="EG576" i="1"/>
  <c r="EH576" i="1"/>
  <c r="EI576" i="1"/>
  <c r="EJ576" i="1"/>
  <c r="EK576" i="1"/>
  <c r="EL576" i="1"/>
  <c r="EM576" i="1"/>
  <c r="EN576" i="1"/>
  <c r="EO576" i="1"/>
  <c r="EG577" i="1"/>
  <c r="EH577" i="1"/>
  <c r="EI577" i="1"/>
  <c r="EJ577" i="1"/>
  <c r="EK577" i="1"/>
  <c r="EL577" i="1"/>
  <c r="EM577" i="1"/>
  <c r="EN577" i="1"/>
  <c r="EO577" i="1"/>
  <c r="EG578" i="1"/>
  <c r="EH578" i="1"/>
  <c r="EI578" i="1"/>
  <c r="EJ578" i="1"/>
  <c r="EK578" i="1"/>
  <c r="EL578" i="1"/>
  <c r="EM578" i="1"/>
  <c r="EN578" i="1"/>
  <c r="EO578" i="1"/>
  <c r="EG579" i="1"/>
  <c r="EH579" i="1"/>
  <c r="EI579" i="1"/>
  <c r="EJ579" i="1"/>
  <c r="EK579" i="1"/>
  <c r="EL579" i="1"/>
  <c r="EM579" i="1"/>
  <c r="EN579" i="1"/>
  <c r="EO579" i="1"/>
  <c r="EG580" i="1"/>
  <c r="EH580" i="1"/>
  <c r="EI580" i="1"/>
  <c r="EJ580" i="1"/>
  <c r="EK580" i="1"/>
  <c r="EL580" i="1"/>
  <c r="EM580" i="1"/>
  <c r="EN580" i="1"/>
  <c r="EO580" i="1"/>
  <c r="EG581" i="1"/>
  <c r="EH581" i="1"/>
  <c r="EI581" i="1"/>
  <c r="EJ581" i="1"/>
  <c r="EK581" i="1"/>
  <c r="EL581" i="1"/>
  <c r="EM581" i="1"/>
  <c r="EN581" i="1"/>
  <c r="EO581" i="1"/>
  <c r="EG582" i="1"/>
  <c r="EH582" i="1"/>
  <c r="EI582" i="1"/>
  <c r="EJ582" i="1"/>
  <c r="EK582" i="1"/>
  <c r="EL582" i="1"/>
  <c r="EM582" i="1"/>
  <c r="EN582" i="1"/>
  <c r="EO582" i="1"/>
  <c r="EG583" i="1"/>
  <c r="EH583" i="1"/>
  <c r="EI583" i="1"/>
  <c r="EJ583" i="1"/>
  <c r="EK583" i="1"/>
  <c r="EL583" i="1"/>
  <c r="EM583" i="1"/>
  <c r="EN583" i="1"/>
  <c r="EO583" i="1"/>
  <c r="EG584" i="1"/>
  <c r="EH584" i="1"/>
  <c r="EI584" i="1"/>
  <c r="EJ584" i="1"/>
  <c r="EK584" i="1"/>
  <c r="EL584" i="1"/>
  <c r="EM584" i="1"/>
  <c r="EN584" i="1"/>
  <c r="EO584" i="1"/>
  <c r="EG585" i="1"/>
  <c r="EH585" i="1"/>
  <c r="EI585" i="1"/>
  <c r="EJ585" i="1"/>
  <c r="EK585" i="1"/>
  <c r="EL585" i="1"/>
  <c r="EM585" i="1"/>
  <c r="EN585" i="1"/>
  <c r="EO585" i="1"/>
  <c r="EG586" i="1"/>
  <c r="EH586" i="1"/>
  <c r="EI586" i="1"/>
  <c r="EJ586" i="1"/>
  <c r="EK586" i="1"/>
  <c r="EL586" i="1"/>
  <c r="EM586" i="1"/>
  <c r="EN586" i="1"/>
  <c r="EO586" i="1"/>
  <c r="EG587" i="1"/>
  <c r="EH587" i="1"/>
  <c r="EI587" i="1"/>
  <c r="EJ587" i="1"/>
  <c r="EK587" i="1"/>
  <c r="EL587" i="1"/>
  <c r="EM587" i="1"/>
  <c r="EN587" i="1"/>
  <c r="EO587" i="1"/>
  <c r="EG588" i="1"/>
  <c r="EH588" i="1"/>
  <c r="EI588" i="1"/>
  <c r="EJ588" i="1"/>
  <c r="EK588" i="1"/>
  <c r="EL588" i="1"/>
  <c r="EM588" i="1"/>
  <c r="EN588" i="1"/>
  <c r="EO588" i="1"/>
  <c r="EG589" i="1"/>
  <c r="EH589" i="1"/>
  <c r="EI589" i="1"/>
  <c r="EJ589" i="1"/>
  <c r="EK589" i="1"/>
  <c r="EL589" i="1"/>
  <c r="EM589" i="1"/>
  <c r="EN589" i="1"/>
  <c r="EO589" i="1"/>
  <c r="EG590" i="1"/>
  <c r="EH590" i="1"/>
  <c r="EI590" i="1"/>
  <c r="EJ590" i="1"/>
  <c r="EK590" i="1"/>
  <c r="EL590" i="1"/>
  <c r="EM590" i="1"/>
  <c r="EN590" i="1"/>
  <c r="EO590" i="1"/>
  <c r="EG591" i="1"/>
  <c r="EH591" i="1"/>
  <c r="EI591" i="1"/>
  <c r="EJ591" i="1"/>
  <c r="EK591" i="1"/>
  <c r="EL591" i="1"/>
  <c r="EM591" i="1"/>
  <c r="EN591" i="1"/>
  <c r="EO591" i="1"/>
  <c r="EG592" i="1"/>
  <c r="EH592" i="1"/>
  <c r="EI592" i="1"/>
  <c r="EJ592" i="1"/>
  <c r="EK592" i="1"/>
  <c r="EL592" i="1"/>
  <c r="EM592" i="1"/>
  <c r="EN592" i="1"/>
  <c r="EO592" i="1"/>
  <c r="EG593" i="1"/>
  <c r="EH593" i="1"/>
  <c r="EI593" i="1"/>
  <c r="EJ593" i="1"/>
  <c r="EK593" i="1"/>
  <c r="EL593" i="1"/>
  <c r="EM593" i="1"/>
  <c r="EN593" i="1"/>
  <c r="EO593" i="1"/>
  <c r="EG594" i="1"/>
  <c r="EH594" i="1"/>
  <c r="EI594" i="1"/>
  <c r="EJ594" i="1"/>
  <c r="EK594" i="1"/>
  <c r="EL594" i="1"/>
  <c r="EM594" i="1"/>
  <c r="EN594" i="1"/>
  <c r="EO594" i="1"/>
  <c r="EG595" i="1"/>
  <c r="EH595" i="1"/>
  <c r="EI595" i="1"/>
  <c r="EJ595" i="1"/>
  <c r="EK595" i="1"/>
  <c r="EL595" i="1"/>
  <c r="EM595" i="1"/>
  <c r="EN595" i="1"/>
  <c r="EO595" i="1"/>
  <c r="EG596" i="1"/>
  <c r="EH596" i="1"/>
  <c r="EI596" i="1"/>
  <c r="EJ596" i="1"/>
  <c r="EK596" i="1"/>
  <c r="EL596" i="1"/>
  <c r="EM596" i="1"/>
  <c r="EN596" i="1"/>
  <c r="EO596" i="1"/>
  <c r="EG597" i="1"/>
  <c r="EH597" i="1"/>
  <c r="EI597" i="1"/>
  <c r="EJ597" i="1"/>
  <c r="EK597" i="1"/>
  <c r="EL597" i="1"/>
  <c r="EM597" i="1"/>
  <c r="EN597" i="1"/>
  <c r="EO597" i="1"/>
  <c r="EG598" i="1"/>
  <c r="EH598" i="1"/>
  <c r="EI598" i="1"/>
  <c r="EJ598" i="1"/>
  <c r="EK598" i="1"/>
  <c r="EL598" i="1"/>
  <c r="EM598" i="1"/>
  <c r="EN598" i="1"/>
  <c r="EO598" i="1"/>
  <c r="EG599" i="1"/>
  <c r="EH599" i="1"/>
  <c r="EI599" i="1"/>
  <c r="EJ599" i="1"/>
  <c r="EK599" i="1"/>
  <c r="EL599" i="1"/>
  <c r="EM599" i="1"/>
  <c r="EN599" i="1"/>
  <c r="EO599" i="1"/>
  <c r="EG600" i="1"/>
  <c r="EH600" i="1"/>
  <c r="EI600" i="1"/>
  <c r="EJ600" i="1"/>
  <c r="EK600" i="1"/>
  <c r="EL600" i="1"/>
  <c r="EM600" i="1"/>
  <c r="EN600" i="1"/>
  <c r="EO600" i="1"/>
  <c r="EG601" i="1"/>
  <c r="EH601" i="1"/>
  <c r="EI601" i="1"/>
  <c r="EJ601" i="1"/>
  <c r="EK601" i="1"/>
  <c r="EL601" i="1"/>
  <c r="EM601" i="1"/>
  <c r="EN601" i="1"/>
  <c r="EO601" i="1"/>
  <c r="EG602" i="1"/>
  <c r="EH602" i="1"/>
  <c r="EI602" i="1"/>
  <c r="EJ602" i="1"/>
  <c r="EK602" i="1"/>
  <c r="EL602" i="1"/>
  <c r="EM602" i="1"/>
  <c r="EN602" i="1"/>
  <c r="EO602" i="1"/>
  <c r="EG603" i="1"/>
  <c r="EH603" i="1"/>
  <c r="EI603" i="1"/>
  <c r="EJ603" i="1"/>
  <c r="EK603" i="1"/>
  <c r="EL603" i="1"/>
  <c r="EM603" i="1"/>
  <c r="EN603" i="1"/>
  <c r="EO603" i="1"/>
  <c r="EG604" i="1"/>
  <c r="EH604" i="1"/>
  <c r="EI604" i="1"/>
  <c r="EJ604" i="1"/>
  <c r="EK604" i="1"/>
  <c r="EL604" i="1"/>
  <c r="EM604" i="1"/>
  <c r="EN604" i="1"/>
  <c r="EO604" i="1"/>
  <c r="EG605" i="1"/>
  <c r="EH605" i="1"/>
  <c r="EI605" i="1"/>
  <c r="EJ605" i="1"/>
  <c r="EK605" i="1"/>
  <c r="EL605" i="1"/>
  <c r="EM605" i="1"/>
  <c r="EN605" i="1"/>
  <c r="EO605" i="1"/>
  <c r="EG606" i="1"/>
  <c r="EH606" i="1"/>
  <c r="EI606" i="1"/>
  <c r="EJ606" i="1"/>
  <c r="EK606" i="1"/>
  <c r="EL606" i="1"/>
  <c r="EM606" i="1"/>
  <c r="EN606" i="1"/>
  <c r="EO606" i="1"/>
  <c r="EG607" i="1"/>
  <c r="EH607" i="1"/>
  <c r="EI607" i="1"/>
  <c r="EJ607" i="1"/>
  <c r="EK607" i="1"/>
  <c r="EL607" i="1"/>
  <c r="EM607" i="1"/>
  <c r="EN607" i="1"/>
  <c r="EO607" i="1"/>
  <c r="EG608" i="1"/>
  <c r="EH608" i="1"/>
  <c r="EI608" i="1"/>
  <c r="EJ608" i="1"/>
  <c r="EK608" i="1"/>
  <c r="EL608" i="1"/>
  <c r="EM608" i="1"/>
  <c r="EN608" i="1"/>
  <c r="EO608" i="1"/>
  <c r="EG609" i="1"/>
  <c r="EH609" i="1"/>
  <c r="EI609" i="1"/>
  <c r="EJ609" i="1"/>
  <c r="EK609" i="1"/>
  <c r="EL609" i="1"/>
  <c r="EM609" i="1"/>
  <c r="EN609" i="1"/>
  <c r="EO609" i="1"/>
  <c r="EG610" i="1"/>
  <c r="EH610" i="1"/>
  <c r="EI610" i="1"/>
  <c r="EJ610" i="1"/>
  <c r="EK610" i="1"/>
  <c r="EL610" i="1"/>
  <c r="EM610" i="1"/>
  <c r="EN610" i="1"/>
  <c r="EO610" i="1"/>
  <c r="EG611" i="1"/>
  <c r="EH611" i="1"/>
  <c r="EI611" i="1"/>
  <c r="EJ611" i="1"/>
  <c r="EK611" i="1"/>
  <c r="EL611" i="1"/>
  <c r="EM611" i="1"/>
  <c r="EN611" i="1"/>
  <c r="EO611" i="1"/>
  <c r="EG612" i="1"/>
  <c r="EH612" i="1"/>
  <c r="EI612" i="1"/>
  <c r="EJ612" i="1"/>
  <c r="EK612" i="1"/>
  <c r="EL612" i="1"/>
  <c r="EM612" i="1"/>
  <c r="EN612" i="1"/>
  <c r="EO612" i="1"/>
  <c r="EG613" i="1"/>
  <c r="EH613" i="1"/>
  <c r="EI613" i="1"/>
  <c r="EJ613" i="1"/>
  <c r="EK613" i="1"/>
  <c r="EL613" i="1"/>
  <c r="EM613" i="1"/>
  <c r="EN613" i="1"/>
  <c r="EO613" i="1"/>
  <c r="EG614" i="1"/>
  <c r="EH614" i="1"/>
  <c r="EI614" i="1"/>
  <c r="EJ614" i="1"/>
  <c r="EK614" i="1"/>
  <c r="EL614" i="1"/>
  <c r="EM614" i="1"/>
  <c r="EN614" i="1"/>
  <c r="EO614" i="1"/>
  <c r="EG615" i="1"/>
  <c r="EH615" i="1"/>
  <c r="EI615" i="1"/>
  <c r="EJ615" i="1"/>
  <c r="EK615" i="1"/>
  <c r="EL615" i="1"/>
  <c r="EM615" i="1"/>
  <c r="EN615" i="1"/>
  <c r="EO615" i="1"/>
  <c r="EG616" i="1"/>
  <c r="EH616" i="1"/>
  <c r="EI616" i="1"/>
  <c r="EJ616" i="1"/>
  <c r="EK616" i="1"/>
  <c r="EL616" i="1"/>
  <c r="EM616" i="1"/>
  <c r="EN616" i="1"/>
  <c r="EO616" i="1"/>
  <c r="EG617" i="1"/>
  <c r="EH617" i="1"/>
  <c r="EI617" i="1"/>
  <c r="EJ617" i="1"/>
  <c r="EK617" i="1"/>
  <c r="EL617" i="1"/>
  <c r="EM617" i="1"/>
  <c r="EN617" i="1"/>
  <c r="EO617" i="1"/>
  <c r="EG618" i="1"/>
  <c r="EH618" i="1"/>
  <c r="EI618" i="1"/>
  <c r="EJ618" i="1"/>
  <c r="EK618" i="1"/>
  <c r="EL618" i="1"/>
  <c r="EM618" i="1"/>
  <c r="EN618" i="1"/>
  <c r="EO618" i="1"/>
  <c r="EG619" i="1"/>
  <c r="EH619" i="1"/>
  <c r="EI619" i="1"/>
  <c r="EJ619" i="1"/>
  <c r="EK619" i="1"/>
  <c r="EL619" i="1"/>
  <c r="EM619" i="1"/>
  <c r="EN619" i="1"/>
  <c r="EO619" i="1"/>
  <c r="EG620" i="1"/>
  <c r="EH620" i="1"/>
  <c r="EI620" i="1"/>
  <c r="EJ620" i="1"/>
  <c r="EK620" i="1"/>
  <c r="EL620" i="1"/>
  <c r="EM620" i="1"/>
  <c r="EN620" i="1"/>
  <c r="EO620" i="1"/>
  <c r="EG621" i="1"/>
  <c r="EH621" i="1"/>
  <c r="EI621" i="1"/>
  <c r="EJ621" i="1"/>
  <c r="EK621" i="1"/>
  <c r="EL621" i="1"/>
  <c r="EM621" i="1"/>
  <c r="EN621" i="1"/>
  <c r="EO621" i="1"/>
  <c r="EG622" i="1"/>
  <c r="EH622" i="1"/>
  <c r="EI622" i="1"/>
  <c r="EJ622" i="1"/>
  <c r="EK622" i="1"/>
  <c r="EL622" i="1"/>
  <c r="EM622" i="1"/>
  <c r="EN622" i="1"/>
  <c r="EO622" i="1"/>
  <c r="EG623" i="1"/>
  <c r="EH623" i="1"/>
  <c r="EI623" i="1"/>
  <c r="EJ623" i="1"/>
  <c r="EK623" i="1"/>
  <c r="EL623" i="1"/>
  <c r="EM623" i="1"/>
  <c r="EN623" i="1"/>
  <c r="EO623" i="1"/>
  <c r="EG624" i="1"/>
  <c r="EH624" i="1"/>
  <c r="EI624" i="1"/>
  <c r="EJ624" i="1"/>
  <c r="EK624" i="1"/>
  <c r="EL624" i="1"/>
  <c r="EM624" i="1"/>
  <c r="EN624" i="1"/>
  <c r="EO624" i="1"/>
  <c r="EG625" i="1"/>
  <c r="EH625" i="1"/>
  <c r="EI625" i="1"/>
  <c r="EJ625" i="1"/>
  <c r="EK625" i="1"/>
  <c r="EL625" i="1"/>
  <c r="EM625" i="1"/>
  <c r="EN625" i="1"/>
  <c r="EO625" i="1"/>
  <c r="EG626" i="1"/>
  <c r="EH626" i="1"/>
  <c r="EI626" i="1"/>
  <c r="EJ626" i="1"/>
  <c r="EK626" i="1"/>
  <c r="EL626" i="1"/>
  <c r="EM626" i="1"/>
  <c r="EN626" i="1"/>
  <c r="EO626" i="1"/>
  <c r="EG627" i="1"/>
  <c r="EH627" i="1"/>
  <c r="EI627" i="1"/>
  <c r="EJ627" i="1"/>
  <c r="EK627" i="1"/>
  <c r="EL627" i="1"/>
  <c r="EM627" i="1"/>
  <c r="EN627" i="1"/>
  <c r="EO627" i="1"/>
  <c r="EG628" i="1"/>
  <c r="EH628" i="1"/>
  <c r="EI628" i="1"/>
  <c r="EJ628" i="1"/>
  <c r="EK628" i="1"/>
  <c r="EL628" i="1"/>
  <c r="EM628" i="1"/>
  <c r="EN628" i="1"/>
  <c r="EO628" i="1"/>
  <c r="EG629" i="1"/>
  <c r="EH629" i="1"/>
  <c r="EI629" i="1"/>
  <c r="EJ629" i="1"/>
  <c r="EK629" i="1"/>
  <c r="EL629" i="1"/>
  <c r="EM629" i="1"/>
  <c r="EN629" i="1"/>
  <c r="EO629" i="1"/>
  <c r="EG630" i="1"/>
  <c r="EH630" i="1"/>
  <c r="EI630" i="1"/>
  <c r="EJ630" i="1"/>
  <c r="EK630" i="1"/>
  <c r="EL630" i="1"/>
  <c r="EM630" i="1"/>
  <c r="EN630" i="1"/>
  <c r="EO630" i="1"/>
  <c r="EG631" i="1"/>
  <c r="EH631" i="1"/>
  <c r="EI631" i="1"/>
  <c r="EJ631" i="1"/>
  <c r="EK631" i="1"/>
  <c r="EL631" i="1"/>
  <c r="EM631" i="1"/>
  <c r="EN631" i="1"/>
  <c r="EO631" i="1"/>
  <c r="EG632" i="1"/>
  <c r="EH632" i="1"/>
  <c r="EI632" i="1"/>
  <c r="EJ632" i="1"/>
  <c r="EK632" i="1"/>
  <c r="EL632" i="1"/>
  <c r="EM632" i="1"/>
  <c r="EN632" i="1"/>
  <c r="EO632" i="1"/>
  <c r="EG633" i="1"/>
  <c r="EH633" i="1"/>
  <c r="EI633" i="1"/>
  <c r="EJ633" i="1"/>
  <c r="EK633" i="1"/>
  <c r="EL633" i="1"/>
  <c r="EM633" i="1"/>
  <c r="EN633" i="1"/>
  <c r="EO633" i="1"/>
  <c r="EG634" i="1"/>
  <c r="EH634" i="1"/>
  <c r="EI634" i="1"/>
  <c r="EJ634" i="1"/>
  <c r="EK634" i="1"/>
  <c r="EL634" i="1"/>
  <c r="EM634" i="1"/>
  <c r="EN634" i="1"/>
  <c r="EO634" i="1"/>
  <c r="EG635" i="1"/>
  <c r="EH635" i="1"/>
  <c r="EI635" i="1"/>
  <c r="EJ635" i="1"/>
  <c r="EK635" i="1"/>
  <c r="EL635" i="1"/>
  <c r="EM635" i="1"/>
  <c r="EN635" i="1"/>
  <c r="EO635" i="1"/>
  <c r="EG636" i="1"/>
  <c r="EH636" i="1"/>
  <c r="EI636" i="1"/>
  <c r="EJ636" i="1"/>
  <c r="EK636" i="1"/>
  <c r="EL636" i="1"/>
  <c r="EM636" i="1"/>
  <c r="EN636" i="1"/>
  <c r="EO636" i="1"/>
  <c r="EG637" i="1"/>
  <c r="EH637" i="1"/>
  <c r="EI637" i="1"/>
  <c r="EJ637" i="1"/>
  <c r="EK637" i="1"/>
  <c r="EL637" i="1"/>
  <c r="EM637" i="1"/>
  <c r="EN637" i="1"/>
  <c r="EO637" i="1"/>
  <c r="EG638" i="1"/>
  <c r="EH638" i="1"/>
  <c r="EI638" i="1"/>
  <c r="EJ638" i="1"/>
  <c r="EK638" i="1"/>
  <c r="EL638" i="1"/>
  <c r="EM638" i="1"/>
  <c r="EN638" i="1"/>
  <c r="EO638" i="1"/>
  <c r="EG639" i="1"/>
  <c r="EH639" i="1"/>
  <c r="EI639" i="1"/>
  <c r="EJ639" i="1"/>
  <c r="EK639" i="1"/>
  <c r="EL639" i="1"/>
  <c r="EM639" i="1"/>
  <c r="EN639" i="1"/>
  <c r="EO639" i="1"/>
  <c r="EG640" i="1"/>
  <c r="EH640" i="1"/>
  <c r="EI640" i="1"/>
  <c r="EJ640" i="1"/>
  <c r="EK640" i="1"/>
  <c r="EL640" i="1"/>
  <c r="EM640" i="1"/>
  <c r="EN640" i="1"/>
  <c r="EO640" i="1"/>
  <c r="EG641" i="1"/>
  <c r="EH641" i="1"/>
  <c r="EI641" i="1"/>
  <c r="EJ641" i="1"/>
  <c r="EK641" i="1"/>
  <c r="EL641" i="1"/>
  <c r="EM641" i="1"/>
  <c r="EN641" i="1"/>
  <c r="EO641" i="1"/>
  <c r="EG642" i="1"/>
  <c r="EH642" i="1"/>
  <c r="EI642" i="1"/>
  <c r="EJ642" i="1"/>
  <c r="EK642" i="1"/>
  <c r="EL642" i="1"/>
  <c r="EM642" i="1"/>
  <c r="EN642" i="1"/>
  <c r="EO642" i="1"/>
  <c r="EG643" i="1"/>
  <c r="EH643" i="1"/>
  <c r="EI643" i="1"/>
  <c r="EJ643" i="1"/>
  <c r="EK643" i="1"/>
  <c r="EL643" i="1"/>
  <c r="EM643" i="1"/>
  <c r="EN643" i="1"/>
  <c r="EO643" i="1"/>
  <c r="EG644" i="1"/>
  <c r="EH644" i="1"/>
  <c r="EI644" i="1"/>
  <c r="EJ644" i="1"/>
  <c r="EK644" i="1"/>
  <c r="EL644" i="1"/>
  <c r="EM644" i="1"/>
  <c r="EN644" i="1"/>
  <c r="EO644" i="1"/>
  <c r="EG645" i="1"/>
  <c r="EH645" i="1"/>
  <c r="EI645" i="1"/>
  <c r="EJ645" i="1"/>
  <c r="EK645" i="1"/>
  <c r="EL645" i="1"/>
  <c r="EM645" i="1"/>
  <c r="EN645" i="1"/>
  <c r="EO645" i="1"/>
  <c r="EG646" i="1"/>
  <c r="EH646" i="1"/>
  <c r="EI646" i="1"/>
  <c r="EJ646" i="1"/>
  <c r="EK646" i="1"/>
  <c r="EL646" i="1"/>
  <c r="EM646" i="1"/>
  <c r="EN646" i="1"/>
  <c r="EO646" i="1"/>
  <c r="EG647" i="1"/>
  <c r="EH647" i="1"/>
  <c r="EI647" i="1"/>
  <c r="EJ647" i="1"/>
  <c r="EK647" i="1"/>
  <c r="EL647" i="1"/>
  <c r="EM647" i="1"/>
  <c r="EN647" i="1"/>
  <c r="EO647" i="1"/>
  <c r="EG648" i="1"/>
  <c r="EH648" i="1"/>
  <c r="EI648" i="1"/>
  <c r="EJ648" i="1"/>
  <c r="EK648" i="1"/>
  <c r="EL648" i="1"/>
  <c r="EM648" i="1"/>
  <c r="EN648" i="1"/>
  <c r="EO648" i="1"/>
  <c r="EG649" i="1"/>
  <c r="EH649" i="1"/>
  <c r="EI649" i="1"/>
  <c r="EJ649" i="1"/>
  <c r="EK649" i="1"/>
  <c r="EL649" i="1"/>
  <c r="EM649" i="1"/>
  <c r="EN649" i="1"/>
  <c r="EO649" i="1"/>
  <c r="EG650" i="1"/>
  <c r="EH650" i="1"/>
  <c r="EI650" i="1"/>
  <c r="EJ650" i="1"/>
  <c r="EK650" i="1"/>
  <c r="EL650" i="1"/>
  <c r="EM650" i="1"/>
  <c r="EN650" i="1"/>
  <c r="EO650" i="1"/>
  <c r="EG651" i="1"/>
  <c r="EH651" i="1"/>
  <c r="EI651" i="1"/>
  <c r="EJ651" i="1"/>
  <c r="EK651" i="1"/>
  <c r="EL651" i="1"/>
  <c r="EM651" i="1"/>
  <c r="EN651" i="1"/>
  <c r="EO651" i="1"/>
  <c r="EG652" i="1"/>
  <c r="EH652" i="1"/>
  <c r="EI652" i="1"/>
  <c r="EJ652" i="1"/>
  <c r="EK652" i="1"/>
  <c r="EL652" i="1"/>
  <c r="EM652" i="1"/>
  <c r="EN652" i="1"/>
  <c r="EO652" i="1"/>
  <c r="EG653" i="1"/>
  <c r="EH653" i="1"/>
  <c r="EI653" i="1"/>
  <c r="EJ653" i="1"/>
  <c r="EK653" i="1"/>
  <c r="EL653" i="1"/>
  <c r="EM653" i="1"/>
  <c r="EN653" i="1"/>
  <c r="EO653" i="1"/>
  <c r="EG654" i="1"/>
  <c r="EH654" i="1"/>
  <c r="EI654" i="1"/>
  <c r="EJ654" i="1"/>
  <c r="EK654" i="1"/>
  <c r="EL654" i="1"/>
  <c r="EM654" i="1"/>
  <c r="EN654" i="1"/>
  <c r="EO654" i="1"/>
  <c r="EG655" i="1"/>
  <c r="EH655" i="1"/>
  <c r="EI655" i="1"/>
  <c r="EJ655" i="1"/>
  <c r="EK655" i="1"/>
  <c r="EL655" i="1"/>
  <c r="EM655" i="1"/>
  <c r="EN655" i="1"/>
  <c r="EO655" i="1"/>
  <c r="EG656" i="1"/>
  <c r="EH656" i="1"/>
  <c r="EI656" i="1"/>
  <c r="EJ656" i="1"/>
  <c r="EK656" i="1"/>
  <c r="EL656" i="1"/>
  <c r="EM656" i="1"/>
  <c r="EN656" i="1"/>
  <c r="EO656" i="1"/>
  <c r="EG657" i="1"/>
  <c r="EH657" i="1"/>
  <c r="EI657" i="1"/>
  <c r="EJ657" i="1"/>
  <c r="EK657" i="1"/>
  <c r="EL657" i="1"/>
  <c r="EM657" i="1"/>
  <c r="EN657" i="1"/>
  <c r="EO657" i="1"/>
  <c r="EG658" i="1"/>
  <c r="EH658" i="1"/>
  <c r="EI658" i="1"/>
  <c r="EJ658" i="1"/>
  <c r="EK658" i="1"/>
  <c r="EL658" i="1"/>
  <c r="EM658" i="1"/>
  <c r="EN658" i="1"/>
  <c r="EO658" i="1"/>
  <c r="EG659" i="1"/>
  <c r="EH659" i="1"/>
  <c r="EI659" i="1"/>
  <c r="EJ659" i="1"/>
  <c r="EK659" i="1"/>
  <c r="EL659" i="1"/>
  <c r="EM659" i="1"/>
  <c r="EN659" i="1"/>
  <c r="EO659" i="1"/>
  <c r="EG660" i="1"/>
  <c r="EH660" i="1"/>
  <c r="EI660" i="1"/>
  <c r="EJ660" i="1"/>
  <c r="EK660" i="1"/>
  <c r="EL660" i="1"/>
  <c r="EM660" i="1"/>
  <c r="EN660" i="1"/>
  <c r="EO660" i="1"/>
  <c r="EG661" i="1"/>
  <c r="EH661" i="1"/>
  <c r="EI661" i="1"/>
  <c r="EJ661" i="1"/>
  <c r="EK661" i="1"/>
  <c r="EL661" i="1"/>
  <c r="EM661" i="1"/>
  <c r="EN661" i="1"/>
  <c r="EO661" i="1"/>
  <c r="EG662" i="1"/>
  <c r="EH662" i="1"/>
  <c r="EI662" i="1"/>
  <c r="EJ662" i="1"/>
  <c r="EK662" i="1"/>
  <c r="EL662" i="1"/>
  <c r="EM662" i="1"/>
  <c r="EN662" i="1"/>
  <c r="EO662" i="1"/>
  <c r="EG663" i="1"/>
  <c r="EH663" i="1"/>
  <c r="EI663" i="1"/>
  <c r="EJ663" i="1"/>
  <c r="EK663" i="1"/>
  <c r="EL663" i="1"/>
  <c r="EM663" i="1"/>
  <c r="EN663" i="1"/>
  <c r="EO663" i="1"/>
  <c r="EG664" i="1"/>
  <c r="EH664" i="1"/>
  <c r="EI664" i="1"/>
  <c r="EJ664" i="1"/>
  <c r="EK664" i="1"/>
  <c r="EL664" i="1"/>
  <c r="EM664" i="1"/>
  <c r="EN664" i="1"/>
  <c r="EO664" i="1"/>
  <c r="EG665" i="1"/>
  <c r="EH665" i="1"/>
  <c r="EI665" i="1"/>
  <c r="EJ665" i="1"/>
  <c r="EK665" i="1"/>
  <c r="EL665" i="1"/>
  <c r="EM665" i="1"/>
  <c r="EN665" i="1"/>
  <c r="EO665" i="1"/>
  <c r="EG666" i="1"/>
  <c r="EH666" i="1"/>
  <c r="EI666" i="1"/>
  <c r="EJ666" i="1"/>
  <c r="EK666" i="1"/>
  <c r="EL666" i="1"/>
  <c r="EM666" i="1"/>
  <c r="EN666" i="1"/>
  <c r="EO666" i="1"/>
  <c r="EG667" i="1"/>
  <c r="EH667" i="1"/>
  <c r="EI667" i="1"/>
  <c r="EJ667" i="1"/>
  <c r="EK667" i="1"/>
  <c r="EL667" i="1"/>
  <c r="EM667" i="1"/>
  <c r="EN667" i="1"/>
  <c r="EO667" i="1"/>
  <c r="EG668" i="1"/>
  <c r="EH668" i="1"/>
  <c r="EI668" i="1"/>
  <c r="EJ668" i="1"/>
  <c r="EK668" i="1"/>
  <c r="EL668" i="1"/>
  <c r="EM668" i="1"/>
  <c r="EN668" i="1"/>
  <c r="EO668" i="1"/>
  <c r="EG669" i="1"/>
  <c r="EH669" i="1"/>
  <c r="EI669" i="1"/>
  <c r="EJ669" i="1"/>
  <c r="EK669" i="1"/>
  <c r="EL669" i="1"/>
  <c r="EM669" i="1"/>
  <c r="EN669" i="1"/>
  <c r="EO669" i="1"/>
  <c r="EG670" i="1"/>
  <c r="EH670" i="1"/>
  <c r="EI670" i="1"/>
  <c r="EJ670" i="1"/>
  <c r="EK670" i="1"/>
  <c r="EL670" i="1"/>
  <c r="EM670" i="1"/>
  <c r="EN670" i="1"/>
  <c r="EO670" i="1"/>
  <c r="EG671" i="1"/>
  <c r="EH671" i="1"/>
  <c r="EI671" i="1"/>
  <c r="EJ671" i="1"/>
  <c r="EK671" i="1"/>
  <c r="EL671" i="1"/>
  <c r="EM671" i="1"/>
  <c r="EN671" i="1"/>
  <c r="EO671" i="1"/>
  <c r="EG672" i="1"/>
  <c r="EH672" i="1"/>
  <c r="EI672" i="1"/>
  <c r="EJ672" i="1"/>
  <c r="EK672" i="1"/>
  <c r="EL672" i="1"/>
  <c r="EM672" i="1"/>
  <c r="EN672" i="1"/>
  <c r="EO672" i="1"/>
  <c r="EG673" i="1"/>
  <c r="EH673" i="1"/>
  <c r="EI673" i="1"/>
  <c r="EJ673" i="1"/>
  <c r="EK673" i="1"/>
  <c r="EL673" i="1"/>
  <c r="EM673" i="1"/>
  <c r="EN673" i="1"/>
  <c r="EO673" i="1"/>
  <c r="EG674" i="1"/>
  <c r="EH674" i="1"/>
  <c r="EI674" i="1"/>
  <c r="EJ674" i="1"/>
  <c r="EK674" i="1"/>
  <c r="EL674" i="1"/>
  <c r="EM674" i="1"/>
  <c r="EN674" i="1"/>
  <c r="EO674" i="1"/>
  <c r="EG675" i="1"/>
  <c r="EH675" i="1"/>
  <c r="EI675" i="1"/>
  <c r="EJ675" i="1"/>
  <c r="EK675" i="1"/>
  <c r="EL675" i="1"/>
  <c r="EM675" i="1"/>
  <c r="EN675" i="1"/>
  <c r="EO675" i="1"/>
  <c r="EG676" i="1"/>
  <c r="EH676" i="1"/>
  <c r="EI676" i="1"/>
  <c r="EJ676" i="1"/>
  <c r="EK676" i="1"/>
  <c r="EL676" i="1"/>
  <c r="EM676" i="1"/>
  <c r="EN676" i="1"/>
  <c r="EO676" i="1"/>
  <c r="EG677" i="1"/>
  <c r="EH677" i="1"/>
  <c r="EI677" i="1"/>
  <c r="EJ677" i="1"/>
  <c r="EK677" i="1"/>
  <c r="EL677" i="1"/>
  <c r="EM677" i="1"/>
  <c r="EN677" i="1"/>
  <c r="EO677" i="1"/>
  <c r="EG678" i="1"/>
  <c r="EH678" i="1"/>
  <c r="EI678" i="1"/>
  <c r="EJ678" i="1"/>
  <c r="EK678" i="1"/>
  <c r="EL678" i="1"/>
  <c r="EM678" i="1"/>
  <c r="EN678" i="1"/>
  <c r="EO678" i="1"/>
  <c r="EG679" i="1"/>
  <c r="EH679" i="1"/>
  <c r="EI679" i="1"/>
  <c r="EJ679" i="1"/>
  <c r="EK679" i="1"/>
  <c r="EL679" i="1"/>
  <c r="EM679" i="1"/>
  <c r="EN679" i="1"/>
  <c r="EO679" i="1"/>
  <c r="EG680" i="1"/>
  <c r="EH680" i="1"/>
  <c r="EI680" i="1"/>
  <c r="EJ680" i="1"/>
  <c r="EK680" i="1"/>
  <c r="EL680" i="1"/>
  <c r="EM680" i="1"/>
  <c r="EN680" i="1"/>
  <c r="EO680" i="1"/>
  <c r="EG681" i="1"/>
  <c r="EH681" i="1"/>
  <c r="EI681" i="1"/>
  <c r="EJ681" i="1"/>
  <c r="EK681" i="1"/>
  <c r="EL681" i="1"/>
  <c r="EM681" i="1"/>
  <c r="EN681" i="1"/>
  <c r="EO681" i="1"/>
  <c r="EG682" i="1"/>
  <c r="EH682" i="1"/>
  <c r="EI682" i="1"/>
  <c r="EJ682" i="1"/>
  <c r="EK682" i="1"/>
  <c r="EL682" i="1"/>
  <c r="EM682" i="1"/>
  <c r="EN682" i="1"/>
  <c r="EO682" i="1"/>
  <c r="EG683" i="1"/>
  <c r="EH683" i="1"/>
  <c r="EI683" i="1"/>
  <c r="EJ683" i="1"/>
  <c r="EK683" i="1"/>
  <c r="EL683" i="1"/>
  <c r="EM683" i="1"/>
  <c r="EN683" i="1"/>
  <c r="EO683" i="1"/>
  <c r="EG684" i="1"/>
  <c r="EH684" i="1"/>
  <c r="EI684" i="1"/>
  <c r="EJ684" i="1"/>
  <c r="EK684" i="1"/>
  <c r="EL684" i="1"/>
  <c r="EM684" i="1"/>
  <c r="EN684" i="1"/>
  <c r="EO684" i="1"/>
  <c r="EG685" i="1"/>
  <c r="EH685" i="1"/>
  <c r="EI685" i="1"/>
  <c r="EJ685" i="1"/>
  <c r="EK685" i="1"/>
  <c r="EL685" i="1"/>
  <c r="EM685" i="1"/>
  <c r="EN685" i="1"/>
  <c r="EO685" i="1"/>
  <c r="EG686" i="1"/>
  <c r="EH686" i="1"/>
  <c r="EI686" i="1"/>
  <c r="EJ686" i="1"/>
  <c r="EK686" i="1"/>
  <c r="EL686" i="1"/>
  <c r="EM686" i="1"/>
  <c r="EN686" i="1"/>
  <c r="EO686" i="1"/>
  <c r="EG687" i="1"/>
  <c r="EH687" i="1"/>
  <c r="EI687" i="1"/>
  <c r="EJ687" i="1"/>
  <c r="EK687" i="1"/>
  <c r="EL687" i="1"/>
  <c r="EM687" i="1"/>
  <c r="EN687" i="1"/>
  <c r="EO687" i="1"/>
  <c r="EG688" i="1"/>
  <c r="EH688" i="1"/>
  <c r="EI688" i="1"/>
  <c r="EJ688" i="1"/>
  <c r="EK688" i="1"/>
  <c r="EL688" i="1"/>
  <c r="EM688" i="1"/>
  <c r="EN688" i="1"/>
  <c r="EO688" i="1"/>
  <c r="EG689" i="1"/>
  <c r="EH689" i="1"/>
  <c r="EI689" i="1"/>
  <c r="EJ689" i="1"/>
  <c r="EK689" i="1"/>
  <c r="EL689" i="1"/>
  <c r="EM689" i="1"/>
  <c r="EN689" i="1"/>
  <c r="EO689" i="1"/>
  <c r="EG690" i="1"/>
  <c r="EH690" i="1"/>
  <c r="EI690" i="1"/>
  <c r="EJ690" i="1"/>
  <c r="EK690" i="1"/>
  <c r="EL690" i="1"/>
  <c r="EM690" i="1"/>
  <c r="EN690" i="1"/>
  <c r="EO690" i="1"/>
  <c r="EG691" i="1"/>
  <c r="EH691" i="1"/>
  <c r="EI691" i="1"/>
  <c r="EJ691" i="1"/>
  <c r="EK691" i="1"/>
  <c r="EL691" i="1"/>
  <c r="EM691" i="1"/>
  <c r="EN691" i="1"/>
  <c r="EO691" i="1"/>
  <c r="EG692" i="1"/>
  <c r="EH692" i="1"/>
  <c r="EI692" i="1"/>
  <c r="EJ692" i="1"/>
  <c r="EK692" i="1"/>
  <c r="EL692" i="1"/>
  <c r="EM692" i="1"/>
  <c r="EN692" i="1"/>
  <c r="EO692" i="1"/>
  <c r="EG693" i="1"/>
  <c r="EH693" i="1"/>
  <c r="EI693" i="1"/>
  <c r="EJ693" i="1"/>
  <c r="EK693" i="1"/>
  <c r="EL693" i="1"/>
  <c r="EM693" i="1"/>
  <c r="EN693" i="1"/>
  <c r="EO693" i="1"/>
  <c r="EG694" i="1"/>
  <c r="EH694" i="1"/>
  <c r="EI694" i="1"/>
  <c r="EJ694" i="1"/>
  <c r="EK694" i="1"/>
  <c r="EL694" i="1"/>
  <c r="EM694" i="1"/>
  <c r="EN694" i="1"/>
  <c r="EO694" i="1"/>
  <c r="EG695" i="1"/>
  <c r="EH695" i="1"/>
  <c r="EI695" i="1"/>
  <c r="EJ695" i="1"/>
  <c r="EK695" i="1"/>
  <c r="EL695" i="1"/>
  <c r="EM695" i="1"/>
  <c r="EN695" i="1"/>
  <c r="EO695" i="1"/>
  <c r="EG696" i="1"/>
  <c r="EH696" i="1"/>
  <c r="EI696" i="1"/>
  <c r="EJ696" i="1"/>
  <c r="EK696" i="1"/>
  <c r="EL696" i="1"/>
  <c r="EM696" i="1"/>
  <c r="EN696" i="1"/>
  <c r="EO696" i="1"/>
  <c r="EG697" i="1"/>
  <c r="EH697" i="1"/>
  <c r="EI697" i="1"/>
  <c r="EJ697" i="1"/>
  <c r="EK697" i="1"/>
  <c r="EL697" i="1"/>
  <c r="EM697" i="1"/>
  <c r="EN697" i="1"/>
  <c r="EO697" i="1"/>
  <c r="EG698" i="1"/>
  <c r="EH698" i="1"/>
  <c r="EI698" i="1"/>
  <c r="EJ698" i="1"/>
  <c r="EK698" i="1"/>
  <c r="EL698" i="1"/>
  <c r="EM698" i="1"/>
  <c r="EN698" i="1"/>
  <c r="EO698" i="1"/>
  <c r="EG699" i="1"/>
  <c r="EH699" i="1"/>
  <c r="EI699" i="1"/>
  <c r="EJ699" i="1"/>
  <c r="EK699" i="1"/>
  <c r="EL699" i="1"/>
  <c r="EM699" i="1"/>
  <c r="EN699" i="1"/>
  <c r="EO699" i="1"/>
  <c r="EG700" i="1"/>
  <c r="EH700" i="1"/>
  <c r="EI700" i="1"/>
  <c r="EJ700" i="1"/>
  <c r="EK700" i="1"/>
  <c r="EL700" i="1"/>
  <c r="EM700" i="1"/>
  <c r="EN700" i="1"/>
  <c r="EO700" i="1"/>
  <c r="EG701" i="1"/>
  <c r="EH701" i="1"/>
  <c r="EI701" i="1"/>
  <c r="EJ701" i="1"/>
  <c r="EK701" i="1"/>
  <c r="EL701" i="1"/>
  <c r="EM701" i="1"/>
  <c r="EN701" i="1"/>
  <c r="EO701" i="1"/>
  <c r="EG702" i="1"/>
  <c r="EH702" i="1"/>
  <c r="EI702" i="1"/>
  <c r="EJ702" i="1"/>
  <c r="EK702" i="1"/>
  <c r="EL702" i="1"/>
  <c r="EM702" i="1"/>
  <c r="EN702" i="1"/>
  <c r="EO702" i="1"/>
  <c r="EG703" i="1"/>
  <c r="EH703" i="1"/>
  <c r="EI703" i="1"/>
  <c r="EJ703" i="1"/>
  <c r="EK703" i="1"/>
  <c r="EL703" i="1"/>
  <c r="EM703" i="1"/>
  <c r="EN703" i="1"/>
  <c r="EO703" i="1"/>
  <c r="EG704" i="1"/>
  <c r="EH704" i="1"/>
  <c r="EI704" i="1"/>
  <c r="EJ704" i="1"/>
  <c r="EK704" i="1"/>
  <c r="EL704" i="1"/>
  <c r="EM704" i="1"/>
  <c r="EN704" i="1"/>
  <c r="EO704" i="1"/>
  <c r="EG705" i="1"/>
  <c r="EH705" i="1"/>
  <c r="EI705" i="1"/>
  <c r="EJ705" i="1"/>
  <c r="EK705" i="1"/>
  <c r="EL705" i="1"/>
  <c r="EM705" i="1"/>
  <c r="EN705" i="1"/>
  <c r="EO705" i="1"/>
  <c r="EG706" i="1"/>
  <c r="EH706" i="1"/>
  <c r="EI706" i="1"/>
  <c r="EJ706" i="1"/>
  <c r="EK706" i="1"/>
  <c r="EL706" i="1"/>
  <c r="EM706" i="1"/>
  <c r="EN706" i="1"/>
  <c r="EO706" i="1"/>
  <c r="EG707" i="1"/>
  <c r="EH707" i="1"/>
  <c r="EI707" i="1"/>
  <c r="EJ707" i="1"/>
  <c r="EK707" i="1"/>
  <c r="EL707" i="1"/>
  <c r="EM707" i="1"/>
  <c r="EN707" i="1"/>
  <c r="EO707" i="1"/>
  <c r="EG708" i="1"/>
  <c r="EH708" i="1"/>
  <c r="EI708" i="1"/>
  <c r="EJ708" i="1"/>
  <c r="EK708" i="1"/>
  <c r="EL708" i="1"/>
  <c r="EM708" i="1"/>
  <c r="EN708" i="1"/>
  <c r="EO708" i="1"/>
  <c r="EG709" i="1"/>
  <c r="EH709" i="1"/>
  <c r="EI709" i="1"/>
  <c r="EJ709" i="1"/>
  <c r="EK709" i="1"/>
  <c r="EL709" i="1"/>
  <c r="EM709" i="1"/>
  <c r="EN709" i="1"/>
  <c r="EO709" i="1"/>
  <c r="EG710" i="1"/>
  <c r="EH710" i="1"/>
  <c r="EI710" i="1"/>
  <c r="EJ710" i="1"/>
  <c r="EK710" i="1"/>
  <c r="EL710" i="1"/>
  <c r="EM710" i="1"/>
  <c r="EN710" i="1"/>
  <c r="EO710" i="1"/>
  <c r="EG711" i="1"/>
  <c r="EH711" i="1"/>
  <c r="EI711" i="1"/>
  <c r="EJ711" i="1"/>
  <c r="EK711" i="1"/>
  <c r="EL711" i="1"/>
  <c r="EM711" i="1"/>
  <c r="EN711" i="1"/>
  <c r="EO711" i="1"/>
  <c r="EG712" i="1"/>
  <c r="EH712" i="1"/>
  <c r="EI712" i="1"/>
  <c r="EJ712" i="1"/>
  <c r="EK712" i="1"/>
  <c r="EL712" i="1"/>
  <c r="EM712" i="1"/>
  <c r="EN712" i="1"/>
  <c r="EO712" i="1"/>
  <c r="EG713" i="1"/>
  <c r="EH713" i="1"/>
  <c r="EI713" i="1"/>
  <c r="EJ713" i="1"/>
  <c r="EK713" i="1"/>
  <c r="EL713" i="1"/>
  <c r="EM713" i="1"/>
  <c r="EN713" i="1"/>
  <c r="EO713" i="1"/>
  <c r="EG714" i="1"/>
  <c r="EH714" i="1"/>
  <c r="EI714" i="1"/>
  <c r="EJ714" i="1"/>
  <c r="EK714" i="1"/>
  <c r="EL714" i="1"/>
  <c r="EM714" i="1"/>
  <c r="EN714" i="1"/>
  <c r="EO714" i="1"/>
  <c r="EG715" i="1"/>
  <c r="EH715" i="1"/>
  <c r="EI715" i="1"/>
  <c r="EJ715" i="1"/>
  <c r="EK715" i="1"/>
  <c r="EL715" i="1"/>
  <c r="EM715" i="1"/>
  <c r="EN715" i="1"/>
  <c r="EO715" i="1"/>
  <c r="EG716" i="1"/>
  <c r="EH716" i="1"/>
  <c r="EI716" i="1"/>
  <c r="EJ716" i="1"/>
  <c r="EK716" i="1"/>
  <c r="EL716" i="1"/>
  <c r="EM716" i="1"/>
  <c r="EN716" i="1"/>
  <c r="EO716" i="1"/>
  <c r="EG717" i="1"/>
  <c r="EH717" i="1"/>
  <c r="EI717" i="1"/>
  <c r="EJ717" i="1"/>
  <c r="EK717" i="1"/>
  <c r="EL717" i="1"/>
  <c r="EM717" i="1"/>
  <c r="EN717" i="1"/>
  <c r="EO717" i="1"/>
  <c r="EG718" i="1"/>
  <c r="EH718" i="1"/>
  <c r="EI718" i="1"/>
  <c r="EJ718" i="1"/>
  <c r="EK718" i="1"/>
  <c r="EL718" i="1"/>
  <c r="EM718" i="1"/>
  <c r="EN718" i="1"/>
  <c r="EO718" i="1"/>
  <c r="EG719" i="1"/>
  <c r="EH719" i="1"/>
  <c r="EI719" i="1"/>
  <c r="EJ719" i="1"/>
  <c r="EK719" i="1"/>
  <c r="EL719" i="1"/>
  <c r="EM719" i="1"/>
  <c r="EN719" i="1"/>
  <c r="EO719" i="1"/>
  <c r="EG720" i="1"/>
  <c r="EH720" i="1"/>
  <c r="EI720" i="1"/>
  <c r="EJ720" i="1"/>
  <c r="EK720" i="1"/>
  <c r="EL720" i="1"/>
  <c r="EM720" i="1"/>
  <c r="EN720" i="1"/>
  <c r="EO720" i="1"/>
  <c r="EG721" i="1"/>
  <c r="EH721" i="1"/>
  <c r="EI721" i="1"/>
  <c r="EJ721" i="1"/>
  <c r="EK721" i="1"/>
  <c r="EL721" i="1"/>
  <c r="EM721" i="1"/>
  <c r="EN721" i="1"/>
  <c r="EO721" i="1"/>
  <c r="EG722" i="1"/>
  <c r="EH722" i="1"/>
  <c r="EI722" i="1"/>
  <c r="EJ722" i="1"/>
  <c r="EK722" i="1"/>
  <c r="EL722" i="1"/>
  <c r="EM722" i="1"/>
  <c r="EN722" i="1"/>
  <c r="EO722" i="1"/>
  <c r="EG723" i="1"/>
  <c r="EH723" i="1"/>
  <c r="EI723" i="1"/>
  <c r="EJ723" i="1"/>
  <c r="EK723" i="1"/>
  <c r="EL723" i="1"/>
  <c r="EM723" i="1"/>
  <c r="EN723" i="1"/>
  <c r="EO723" i="1"/>
  <c r="EG724" i="1"/>
  <c r="EH724" i="1"/>
  <c r="EI724" i="1"/>
  <c r="EJ724" i="1"/>
  <c r="EK724" i="1"/>
  <c r="EL724" i="1"/>
  <c r="EM724" i="1"/>
  <c r="EN724" i="1"/>
  <c r="EO724" i="1"/>
  <c r="EG725" i="1"/>
  <c r="EH725" i="1"/>
  <c r="EI725" i="1"/>
  <c r="EJ725" i="1"/>
  <c r="EK725" i="1"/>
  <c r="EL725" i="1"/>
  <c r="EM725" i="1"/>
  <c r="EN725" i="1"/>
  <c r="EO725" i="1"/>
  <c r="EG726" i="1"/>
  <c r="EH726" i="1"/>
  <c r="EI726" i="1"/>
  <c r="EJ726" i="1"/>
  <c r="EK726" i="1"/>
  <c r="EL726" i="1"/>
  <c r="EM726" i="1"/>
  <c r="EN726" i="1"/>
  <c r="EO726" i="1"/>
  <c r="EG727" i="1"/>
  <c r="EH727" i="1"/>
  <c r="EI727" i="1"/>
  <c r="EJ727" i="1"/>
  <c r="EK727" i="1"/>
  <c r="EL727" i="1"/>
  <c r="EM727" i="1"/>
  <c r="EN727" i="1"/>
  <c r="EO727" i="1"/>
  <c r="EG728" i="1"/>
  <c r="EH728" i="1"/>
  <c r="EI728" i="1"/>
  <c r="EJ728" i="1"/>
  <c r="EK728" i="1"/>
  <c r="EL728" i="1"/>
  <c r="EM728" i="1"/>
  <c r="EN728" i="1"/>
  <c r="EO728" i="1"/>
  <c r="EG729" i="1"/>
  <c r="EH729" i="1"/>
  <c r="EI729" i="1"/>
  <c r="EJ729" i="1"/>
  <c r="EK729" i="1"/>
  <c r="EL729" i="1"/>
  <c r="EM729" i="1"/>
  <c r="EN729" i="1"/>
  <c r="EO729" i="1"/>
  <c r="EG730" i="1"/>
  <c r="EH730" i="1"/>
  <c r="EI730" i="1"/>
  <c r="EJ730" i="1"/>
  <c r="EK730" i="1"/>
  <c r="EL730" i="1"/>
  <c r="EM730" i="1"/>
  <c r="EN730" i="1"/>
  <c r="EO730" i="1"/>
  <c r="EG731" i="1"/>
  <c r="EH731" i="1"/>
  <c r="EI731" i="1"/>
  <c r="EJ731" i="1"/>
  <c r="EK731" i="1"/>
  <c r="EL731" i="1"/>
  <c r="EM731" i="1"/>
  <c r="EN731" i="1"/>
  <c r="EO731" i="1"/>
  <c r="EG732" i="1"/>
  <c r="EH732" i="1"/>
  <c r="EI732" i="1"/>
  <c r="EJ732" i="1"/>
  <c r="EK732" i="1"/>
  <c r="EL732" i="1"/>
  <c r="EM732" i="1"/>
  <c r="EN732" i="1"/>
  <c r="EO732" i="1"/>
  <c r="EG733" i="1"/>
  <c r="EH733" i="1"/>
  <c r="EI733" i="1"/>
  <c r="EJ733" i="1"/>
  <c r="EK733" i="1"/>
  <c r="EL733" i="1"/>
  <c r="EM733" i="1"/>
  <c r="EN733" i="1"/>
  <c r="EO733" i="1"/>
  <c r="EG734" i="1"/>
  <c r="EH734" i="1"/>
  <c r="EI734" i="1"/>
  <c r="EJ734" i="1"/>
  <c r="EK734" i="1"/>
  <c r="EL734" i="1"/>
  <c r="EM734" i="1"/>
  <c r="EN734" i="1"/>
  <c r="EO734" i="1"/>
  <c r="EG735" i="1"/>
  <c r="EH735" i="1"/>
  <c r="EI735" i="1"/>
  <c r="EJ735" i="1"/>
  <c r="EK735" i="1"/>
  <c r="EL735" i="1"/>
  <c r="EM735" i="1"/>
  <c r="EN735" i="1"/>
  <c r="EO735" i="1"/>
  <c r="EG736" i="1"/>
  <c r="EH736" i="1"/>
  <c r="EI736" i="1"/>
  <c r="EJ736" i="1"/>
  <c r="EK736" i="1"/>
  <c r="EL736" i="1"/>
  <c r="EM736" i="1"/>
  <c r="EN736" i="1"/>
  <c r="EO736" i="1"/>
  <c r="EG737" i="1"/>
  <c r="EH737" i="1"/>
  <c r="EI737" i="1"/>
  <c r="EJ737" i="1"/>
  <c r="EK737" i="1"/>
  <c r="EL737" i="1"/>
  <c r="EM737" i="1"/>
  <c r="EN737" i="1"/>
  <c r="EO737" i="1"/>
  <c r="EG738" i="1"/>
  <c r="EH738" i="1"/>
  <c r="EI738" i="1"/>
  <c r="EJ738" i="1"/>
  <c r="EK738" i="1"/>
  <c r="EL738" i="1"/>
  <c r="EM738" i="1"/>
  <c r="EN738" i="1"/>
  <c r="EO738" i="1"/>
  <c r="EG739" i="1"/>
  <c r="EH739" i="1"/>
  <c r="EI739" i="1"/>
  <c r="EJ739" i="1"/>
  <c r="EK739" i="1"/>
  <c r="EL739" i="1"/>
  <c r="EM739" i="1"/>
  <c r="EN739" i="1"/>
  <c r="EO739" i="1"/>
  <c r="EG740" i="1"/>
  <c r="EH740" i="1"/>
  <c r="EI740" i="1"/>
  <c r="EJ740" i="1"/>
  <c r="EK740" i="1"/>
  <c r="EL740" i="1"/>
  <c r="EM740" i="1"/>
  <c r="EN740" i="1"/>
  <c r="EO740" i="1"/>
  <c r="EG741" i="1"/>
  <c r="EH741" i="1"/>
  <c r="EI741" i="1"/>
  <c r="EJ741" i="1"/>
  <c r="EK741" i="1"/>
  <c r="EL741" i="1"/>
  <c r="EM741" i="1"/>
  <c r="EN741" i="1"/>
  <c r="EO741" i="1"/>
  <c r="EG742" i="1"/>
  <c r="EH742" i="1"/>
  <c r="EI742" i="1"/>
  <c r="EJ742" i="1"/>
  <c r="EK742" i="1"/>
  <c r="EL742" i="1"/>
  <c r="EM742" i="1"/>
  <c r="EN742" i="1"/>
  <c r="EO742" i="1"/>
  <c r="EG743" i="1"/>
  <c r="EH743" i="1"/>
  <c r="EI743" i="1"/>
  <c r="EJ743" i="1"/>
  <c r="EK743" i="1"/>
  <c r="EL743" i="1"/>
  <c r="EM743" i="1"/>
  <c r="EN743" i="1"/>
  <c r="EO743" i="1"/>
  <c r="EG744" i="1"/>
  <c r="EH744" i="1"/>
  <c r="EI744" i="1"/>
  <c r="EJ744" i="1"/>
  <c r="EK744" i="1"/>
  <c r="EL744" i="1"/>
  <c r="EM744" i="1"/>
  <c r="EN744" i="1"/>
  <c r="EO744" i="1"/>
  <c r="EG745" i="1"/>
  <c r="EH745" i="1"/>
  <c r="EI745" i="1"/>
  <c r="EJ745" i="1"/>
  <c r="EK745" i="1"/>
  <c r="EL745" i="1"/>
  <c r="EM745" i="1"/>
  <c r="EN745" i="1"/>
  <c r="EO745" i="1"/>
  <c r="EG746" i="1"/>
  <c r="EH746" i="1"/>
  <c r="EI746" i="1"/>
  <c r="EJ746" i="1"/>
  <c r="EK746" i="1"/>
  <c r="EL746" i="1"/>
  <c r="EM746" i="1"/>
  <c r="EN746" i="1"/>
  <c r="EO746" i="1"/>
  <c r="EG747" i="1"/>
  <c r="EH747" i="1"/>
  <c r="EI747" i="1"/>
  <c r="EJ747" i="1"/>
  <c r="EK747" i="1"/>
  <c r="EL747" i="1"/>
  <c r="EM747" i="1"/>
  <c r="EN747" i="1"/>
  <c r="EO747" i="1"/>
  <c r="EG748" i="1"/>
  <c r="EH748" i="1"/>
  <c r="EI748" i="1"/>
  <c r="EJ748" i="1"/>
  <c r="EK748" i="1"/>
  <c r="EL748" i="1"/>
  <c r="EM748" i="1"/>
  <c r="EN748" i="1"/>
  <c r="EO748" i="1"/>
  <c r="EG749" i="1"/>
  <c r="EH749" i="1"/>
  <c r="EI749" i="1"/>
  <c r="EJ749" i="1"/>
  <c r="EK749" i="1"/>
  <c r="EL749" i="1"/>
  <c r="EM749" i="1"/>
  <c r="EN749" i="1"/>
  <c r="EO749" i="1"/>
  <c r="EG750" i="1"/>
  <c r="EH750" i="1"/>
  <c r="EI750" i="1"/>
  <c r="EJ750" i="1"/>
  <c r="EK750" i="1"/>
  <c r="EL750" i="1"/>
  <c r="EM750" i="1"/>
  <c r="EN750" i="1"/>
  <c r="EO750" i="1"/>
  <c r="EG751" i="1"/>
  <c r="EH751" i="1"/>
  <c r="EI751" i="1"/>
  <c r="EJ751" i="1"/>
  <c r="EK751" i="1"/>
  <c r="EL751" i="1"/>
  <c r="EM751" i="1"/>
  <c r="EN751" i="1"/>
  <c r="EO751" i="1"/>
  <c r="EG752" i="1"/>
  <c r="EH752" i="1"/>
  <c r="EI752" i="1"/>
  <c r="EJ752" i="1"/>
  <c r="EK752" i="1"/>
  <c r="EL752" i="1"/>
  <c r="EM752" i="1"/>
  <c r="EN752" i="1"/>
  <c r="EO752" i="1"/>
  <c r="EG753" i="1"/>
  <c r="EH753" i="1"/>
  <c r="EI753" i="1"/>
  <c r="EJ753" i="1"/>
  <c r="EK753" i="1"/>
  <c r="EL753" i="1"/>
  <c r="EM753" i="1"/>
  <c r="EN753" i="1"/>
  <c r="EO753" i="1"/>
  <c r="EG754" i="1"/>
  <c r="EH754" i="1"/>
  <c r="EI754" i="1"/>
  <c r="EJ754" i="1"/>
  <c r="EK754" i="1"/>
  <c r="EL754" i="1"/>
  <c r="EM754" i="1"/>
  <c r="EN754" i="1"/>
  <c r="EO754" i="1"/>
  <c r="EG755" i="1"/>
  <c r="EH755" i="1"/>
  <c r="EI755" i="1"/>
  <c r="EJ755" i="1"/>
  <c r="EK755" i="1"/>
  <c r="EL755" i="1"/>
  <c r="EM755" i="1"/>
  <c r="EN755" i="1"/>
  <c r="EO755" i="1"/>
  <c r="EG756" i="1"/>
  <c r="EH756" i="1"/>
  <c r="EI756" i="1"/>
  <c r="EJ756" i="1"/>
  <c r="EK756" i="1"/>
  <c r="EL756" i="1"/>
  <c r="EM756" i="1"/>
  <c r="EN756" i="1"/>
  <c r="EO756" i="1"/>
  <c r="EG757" i="1"/>
  <c r="EH757" i="1"/>
  <c r="EI757" i="1"/>
  <c r="EJ757" i="1"/>
  <c r="EK757" i="1"/>
  <c r="EL757" i="1"/>
  <c r="EM757" i="1"/>
  <c r="EN757" i="1"/>
  <c r="EO757" i="1"/>
  <c r="EG758" i="1"/>
  <c r="EH758" i="1"/>
  <c r="EI758" i="1"/>
  <c r="EJ758" i="1"/>
  <c r="EK758" i="1"/>
  <c r="EL758" i="1"/>
  <c r="EM758" i="1"/>
  <c r="EN758" i="1"/>
  <c r="EO758" i="1"/>
  <c r="EG759" i="1"/>
  <c r="EH759" i="1"/>
  <c r="EI759" i="1"/>
  <c r="EJ759" i="1"/>
  <c r="EK759" i="1"/>
  <c r="EL759" i="1"/>
  <c r="EM759" i="1"/>
  <c r="EN759" i="1"/>
  <c r="EO759" i="1"/>
  <c r="EG760" i="1"/>
  <c r="EH760" i="1"/>
  <c r="EI760" i="1"/>
  <c r="EJ760" i="1"/>
  <c r="EK760" i="1"/>
  <c r="EL760" i="1"/>
  <c r="EM760" i="1"/>
  <c r="EN760" i="1"/>
  <c r="EO760" i="1"/>
  <c r="EG761" i="1"/>
  <c r="EH761" i="1"/>
  <c r="EI761" i="1"/>
  <c r="EJ761" i="1"/>
  <c r="EK761" i="1"/>
  <c r="EL761" i="1"/>
  <c r="EM761" i="1"/>
  <c r="EN761" i="1"/>
  <c r="EO761" i="1"/>
  <c r="EG762" i="1"/>
  <c r="EH762" i="1"/>
  <c r="EI762" i="1"/>
  <c r="EJ762" i="1"/>
  <c r="EK762" i="1"/>
  <c r="EL762" i="1"/>
  <c r="EM762" i="1"/>
  <c r="EN762" i="1"/>
  <c r="EO762" i="1"/>
  <c r="EG763" i="1"/>
  <c r="EH763" i="1"/>
  <c r="EI763" i="1"/>
  <c r="EJ763" i="1"/>
  <c r="EK763" i="1"/>
  <c r="EL763" i="1"/>
  <c r="EM763" i="1"/>
  <c r="EN763" i="1"/>
  <c r="EO763" i="1"/>
  <c r="EG764" i="1"/>
  <c r="EH764" i="1"/>
  <c r="EI764" i="1"/>
  <c r="EJ764" i="1"/>
  <c r="EK764" i="1"/>
  <c r="EL764" i="1"/>
  <c r="EM764" i="1"/>
  <c r="EN764" i="1"/>
  <c r="EO764" i="1"/>
  <c r="EG765" i="1"/>
  <c r="EH765" i="1"/>
  <c r="EI765" i="1"/>
  <c r="EJ765" i="1"/>
  <c r="EK765" i="1"/>
  <c r="EL765" i="1"/>
  <c r="EM765" i="1"/>
  <c r="EN765" i="1"/>
  <c r="EO765" i="1"/>
  <c r="EG766" i="1"/>
  <c r="EH766" i="1"/>
  <c r="EI766" i="1"/>
  <c r="EJ766" i="1"/>
  <c r="EK766" i="1"/>
  <c r="EL766" i="1"/>
  <c r="EM766" i="1"/>
  <c r="EN766" i="1"/>
  <c r="EO766" i="1"/>
  <c r="EG767" i="1"/>
  <c r="EH767" i="1"/>
  <c r="EI767" i="1"/>
  <c r="EJ767" i="1"/>
  <c r="EK767" i="1"/>
  <c r="EL767" i="1"/>
  <c r="EM767" i="1"/>
  <c r="EN767" i="1"/>
  <c r="EO767" i="1"/>
  <c r="EG768" i="1"/>
  <c r="EH768" i="1"/>
  <c r="EI768" i="1"/>
  <c r="EJ768" i="1"/>
  <c r="EK768" i="1"/>
  <c r="EL768" i="1"/>
  <c r="EM768" i="1"/>
  <c r="EN768" i="1"/>
  <c r="EO768" i="1"/>
  <c r="EG769" i="1"/>
  <c r="EH769" i="1"/>
  <c r="EI769" i="1"/>
  <c r="EJ769" i="1"/>
  <c r="EK769" i="1"/>
  <c r="EL769" i="1"/>
  <c r="EM769" i="1"/>
  <c r="EN769" i="1"/>
  <c r="EO769" i="1"/>
  <c r="EG770" i="1"/>
  <c r="EH770" i="1"/>
  <c r="EI770" i="1"/>
  <c r="EJ770" i="1"/>
  <c r="EK770" i="1"/>
  <c r="EL770" i="1"/>
  <c r="EM770" i="1"/>
  <c r="EN770" i="1"/>
  <c r="EO770" i="1"/>
  <c r="EG771" i="1"/>
  <c r="EH771" i="1"/>
  <c r="EI771" i="1"/>
  <c r="EJ771" i="1"/>
  <c r="EK771" i="1"/>
  <c r="EL771" i="1"/>
  <c r="EM771" i="1"/>
  <c r="EN771" i="1"/>
  <c r="EO771" i="1"/>
  <c r="EG772" i="1"/>
  <c r="EH772" i="1"/>
  <c r="EI772" i="1"/>
  <c r="EJ772" i="1"/>
  <c r="EK772" i="1"/>
  <c r="EL772" i="1"/>
  <c r="EM772" i="1"/>
  <c r="EN772" i="1"/>
  <c r="EO772" i="1"/>
  <c r="EG773" i="1"/>
  <c r="EH773" i="1"/>
  <c r="EI773" i="1"/>
  <c r="EJ773" i="1"/>
  <c r="EK773" i="1"/>
  <c r="EL773" i="1"/>
  <c r="EM773" i="1"/>
  <c r="EN773" i="1"/>
  <c r="EO773" i="1"/>
  <c r="EG774" i="1"/>
  <c r="EH774" i="1"/>
  <c r="EI774" i="1"/>
  <c r="EJ774" i="1"/>
  <c r="EK774" i="1"/>
  <c r="EL774" i="1"/>
  <c r="EM774" i="1"/>
  <c r="EN774" i="1"/>
  <c r="EO774" i="1"/>
  <c r="EG775" i="1"/>
  <c r="EH775" i="1"/>
  <c r="EI775" i="1"/>
  <c r="EJ775" i="1"/>
  <c r="EK775" i="1"/>
  <c r="EL775" i="1"/>
  <c r="EM775" i="1"/>
  <c r="EN775" i="1"/>
  <c r="EO775" i="1"/>
  <c r="EG776" i="1"/>
  <c r="EH776" i="1"/>
  <c r="EI776" i="1"/>
  <c r="EJ776" i="1"/>
  <c r="EK776" i="1"/>
  <c r="EL776" i="1"/>
  <c r="EM776" i="1"/>
  <c r="EN776" i="1"/>
  <c r="EO776" i="1"/>
  <c r="EG777" i="1"/>
  <c r="EH777" i="1"/>
  <c r="EI777" i="1"/>
  <c r="EJ777" i="1"/>
  <c r="EK777" i="1"/>
  <c r="EL777" i="1"/>
  <c r="EM777" i="1"/>
  <c r="EN777" i="1"/>
  <c r="EO777" i="1"/>
  <c r="EG778" i="1"/>
  <c r="EH778" i="1"/>
  <c r="EI778" i="1"/>
  <c r="EJ778" i="1"/>
  <c r="EK778" i="1"/>
  <c r="EL778" i="1"/>
  <c r="EM778" i="1"/>
  <c r="EN778" i="1"/>
  <c r="EO778" i="1"/>
  <c r="EG779" i="1"/>
  <c r="EH779" i="1"/>
  <c r="EI779" i="1"/>
  <c r="EJ779" i="1"/>
  <c r="EK779" i="1"/>
  <c r="EL779" i="1"/>
  <c r="EM779" i="1"/>
  <c r="EN779" i="1"/>
  <c r="EO779" i="1"/>
  <c r="EG780" i="1"/>
  <c r="EH780" i="1"/>
  <c r="EI780" i="1"/>
  <c r="EJ780" i="1"/>
  <c r="EK780" i="1"/>
  <c r="EL780" i="1"/>
  <c r="EM780" i="1"/>
  <c r="EN780" i="1"/>
  <c r="EO780" i="1"/>
  <c r="EG781" i="1"/>
  <c r="EH781" i="1"/>
  <c r="EI781" i="1"/>
  <c r="EJ781" i="1"/>
  <c r="EK781" i="1"/>
  <c r="EL781" i="1"/>
  <c r="EM781" i="1"/>
  <c r="EN781" i="1"/>
  <c r="EO781" i="1"/>
  <c r="EG782" i="1"/>
  <c r="EH782" i="1"/>
  <c r="EI782" i="1"/>
  <c r="EJ782" i="1"/>
  <c r="EK782" i="1"/>
  <c r="EL782" i="1"/>
  <c r="EM782" i="1"/>
  <c r="EN782" i="1"/>
  <c r="EO782" i="1"/>
  <c r="EG783" i="1"/>
  <c r="EH783" i="1"/>
  <c r="EI783" i="1"/>
  <c r="EJ783" i="1"/>
  <c r="EK783" i="1"/>
  <c r="EL783" i="1"/>
  <c r="EM783" i="1"/>
  <c r="EN783" i="1"/>
  <c r="EO783" i="1"/>
  <c r="EG784" i="1"/>
  <c r="EH784" i="1"/>
  <c r="EI784" i="1"/>
  <c r="EJ784" i="1"/>
  <c r="EK784" i="1"/>
  <c r="EL784" i="1"/>
  <c r="EM784" i="1"/>
  <c r="EN784" i="1"/>
  <c r="EO784" i="1"/>
  <c r="EG785" i="1"/>
  <c r="EH785" i="1"/>
  <c r="EI785" i="1"/>
  <c r="EJ785" i="1"/>
  <c r="EK785" i="1"/>
  <c r="EL785" i="1"/>
  <c r="EM785" i="1"/>
  <c r="EN785" i="1"/>
  <c r="EO785" i="1"/>
  <c r="EG786" i="1"/>
  <c r="EH786" i="1"/>
  <c r="EI786" i="1"/>
  <c r="EJ786" i="1"/>
  <c r="EK786" i="1"/>
  <c r="EL786" i="1"/>
  <c r="EM786" i="1"/>
  <c r="EN786" i="1"/>
  <c r="EO786" i="1"/>
  <c r="EG787" i="1"/>
  <c r="EH787" i="1"/>
  <c r="EI787" i="1"/>
  <c r="EJ787" i="1"/>
  <c r="EK787" i="1"/>
  <c r="EL787" i="1"/>
  <c r="EM787" i="1"/>
  <c r="EN787" i="1"/>
  <c r="EO787" i="1"/>
  <c r="EG788" i="1"/>
  <c r="EH788" i="1"/>
  <c r="EI788" i="1"/>
  <c r="EJ788" i="1"/>
  <c r="EK788" i="1"/>
  <c r="EL788" i="1"/>
  <c r="EM788" i="1"/>
  <c r="EN788" i="1"/>
  <c r="EO788" i="1"/>
  <c r="EG789" i="1"/>
  <c r="EH789" i="1"/>
  <c r="EI789" i="1"/>
  <c r="EJ789" i="1"/>
  <c r="EK789" i="1"/>
  <c r="EL789" i="1"/>
  <c r="EM789" i="1"/>
  <c r="EN789" i="1"/>
  <c r="EO789" i="1"/>
  <c r="EG790" i="1"/>
  <c r="EH790" i="1"/>
  <c r="EI790" i="1"/>
  <c r="EJ790" i="1"/>
  <c r="EK790" i="1"/>
  <c r="EL790" i="1"/>
  <c r="EM790" i="1"/>
  <c r="EN790" i="1"/>
  <c r="EO790" i="1"/>
  <c r="EG791" i="1"/>
  <c r="EH791" i="1"/>
  <c r="EI791" i="1"/>
  <c r="EJ791" i="1"/>
  <c r="EK791" i="1"/>
  <c r="EL791" i="1"/>
  <c r="EM791" i="1"/>
  <c r="EN791" i="1"/>
  <c r="EO791" i="1"/>
  <c r="EG792" i="1"/>
  <c r="EH792" i="1"/>
  <c r="EI792" i="1"/>
  <c r="EJ792" i="1"/>
  <c r="EK792" i="1"/>
  <c r="EL792" i="1"/>
  <c r="EM792" i="1"/>
  <c r="EN792" i="1"/>
  <c r="EO792" i="1"/>
  <c r="EG793" i="1"/>
  <c r="EH793" i="1"/>
  <c r="EI793" i="1"/>
  <c r="EJ793" i="1"/>
  <c r="EK793" i="1"/>
  <c r="EL793" i="1"/>
  <c r="EM793" i="1"/>
  <c r="EN793" i="1"/>
  <c r="EO793" i="1"/>
  <c r="EG794" i="1"/>
  <c r="EH794" i="1"/>
  <c r="EI794" i="1"/>
  <c r="EJ794" i="1"/>
  <c r="EK794" i="1"/>
  <c r="EL794" i="1"/>
  <c r="EM794" i="1"/>
  <c r="EN794" i="1"/>
  <c r="EO794" i="1"/>
  <c r="EG795" i="1"/>
  <c r="EH795" i="1"/>
  <c r="EI795" i="1"/>
  <c r="EJ795" i="1"/>
  <c r="EK795" i="1"/>
  <c r="EL795" i="1"/>
  <c r="EM795" i="1"/>
  <c r="EN795" i="1"/>
  <c r="EO795" i="1"/>
  <c r="EG796" i="1"/>
  <c r="EH796" i="1"/>
  <c r="EI796" i="1"/>
  <c r="EJ796" i="1"/>
  <c r="EK796" i="1"/>
  <c r="EL796" i="1"/>
  <c r="EM796" i="1"/>
  <c r="EN796" i="1"/>
  <c r="EO796" i="1"/>
  <c r="EG797" i="1"/>
  <c r="EH797" i="1"/>
  <c r="EI797" i="1"/>
  <c r="EJ797" i="1"/>
  <c r="EK797" i="1"/>
  <c r="EL797" i="1"/>
  <c r="EM797" i="1"/>
  <c r="EN797" i="1"/>
  <c r="EO797" i="1"/>
  <c r="EG798" i="1"/>
  <c r="EH798" i="1"/>
  <c r="EI798" i="1"/>
  <c r="EJ798" i="1"/>
  <c r="EK798" i="1"/>
  <c r="EL798" i="1"/>
  <c r="EM798" i="1"/>
  <c r="EN798" i="1"/>
  <c r="EO798" i="1"/>
  <c r="EG799" i="1"/>
  <c r="EH799" i="1"/>
  <c r="EI799" i="1"/>
  <c r="EJ799" i="1"/>
  <c r="EK799" i="1"/>
  <c r="EL799" i="1"/>
  <c r="EM799" i="1"/>
  <c r="EN799" i="1"/>
  <c r="EO799" i="1"/>
  <c r="EG800" i="1"/>
  <c r="EH800" i="1"/>
  <c r="EI800" i="1"/>
  <c r="EJ800" i="1"/>
  <c r="EK800" i="1"/>
  <c r="EL800" i="1"/>
  <c r="EM800" i="1"/>
  <c r="EN800" i="1"/>
  <c r="EO800" i="1"/>
  <c r="EG801" i="1"/>
  <c r="EH801" i="1"/>
  <c r="EI801" i="1"/>
  <c r="EJ801" i="1"/>
  <c r="EK801" i="1"/>
  <c r="EL801" i="1"/>
  <c r="EM801" i="1"/>
  <c r="EN801" i="1"/>
  <c r="EO801" i="1"/>
  <c r="EG802" i="1"/>
  <c r="EH802" i="1"/>
  <c r="EI802" i="1"/>
  <c r="EJ802" i="1"/>
  <c r="EK802" i="1"/>
  <c r="EL802" i="1"/>
  <c r="EM802" i="1"/>
  <c r="EN802" i="1"/>
  <c r="EO802" i="1"/>
  <c r="EG803" i="1"/>
  <c r="EH803" i="1"/>
  <c r="EI803" i="1"/>
  <c r="EJ803" i="1"/>
  <c r="EK803" i="1"/>
  <c r="EL803" i="1"/>
  <c r="EM803" i="1"/>
  <c r="EN803" i="1"/>
  <c r="EO803" i="1"/>
  <c r="EG804" i="1"/>
  <c r="EH804" i="1"/>
  <c r="EI804" i="1"/>
  <c r="EJ804" i="1"/>
  <c r="EK804" i="1"/>
  <c r="EL804" i="1"/>
  <c r="EM804" i="1"/>
  <c r="EN804" i="1"/>
  <c r="EO804" i="1"/>
  <c r="EG805" i="1"/>
  <c r="EH805" i="1"/>
  <c r="EI805" i="1"/>
  <c r="EJ805" i="1"/>
  <c r="EK805" i="1"/>
  <c r="EL805" i="1"/>
  <c r="EM805" i="1"/>
  <c r="EN805" i="1"/>
  <c r="EO805" i="1"/>
  <c r="EG806" i="1"/>
  <c r="EH806" i="1"/>
  <c r="EI806" i="1"/>
  <c r="EJ806" i="1"/>
  <c r="EK806" i="1"/>
  <c r="EL806" i="1"/>
  <c r="EM806" i="1"/>
  <c r="EN806" i="1"/>
  <c r="EO806" i="1"/>
  <c r="EG807" i="1"/>
  <c r="EH807" i="1"/>
  <c r="EI807" i="1"/>
  <c r="EJ807" i="1"/>
  <c r="EK807" i="1"/>
  <c r="EL807" i="1"/>
  <c r="EM807" i="1"/>
  <c r="EN807" i="1"/>
  <c r="EO807" i="1"/>
  <c r="EG808" i="1"/>
  <c r="EH808" i="1"/>
  <c r="EI808" i="1"/>
  <c r="EJ808" i="1"/>
  <c r="EK808" i="1"/>
  <c r="EL808" i="1"/>
  <c r="EM808" i="1"/>
  <c r="EN808" i="1"/>
  <c r="EO808" i="1"/>
  <c r="EG809" i="1"/>
  <c r="EH809" i="1"/>
  <c r="EI809" i="1"/>
  <c r="EJ809" i="1"/>
  <c r="EK809" i="1"/>
  <c r="EL809" i="1"/>
  <c r="EM809" i="1"/>
  <c r="EN809" i="1"/>
  <c r="EO809" i="1"/>
  <c r="EG810" i="1"/>
  <c r="EH810" i="1"/>
  <c r="EI810" i="1"/>
  <c r="EJ810" i="1"/>
  <c r="EK810" i="1"/>
  <c r="EL810" i="1"/>
  <c r="EM810" i="1"/>
  <c r="EN810" i="1"/>
  <c r="EO810" i="1"/>
  <c r="EG811" i="1"/>
  <c r="EH811" i="1"/>
  <c r="EI811" i="1"/>
  <c r="EJ811" i="1"/>
  <c r="EK811" i="1"/>
  <c r="EL811" i="1"/>
  <c r="EM811" i="1"/>
  <c r="EN811" i="1"/>
  <c r="EO811" i="1"/>
  <c r="EG812" i="1"/>
  <c r="EH812" i="1"/>
  <c r="EI812" i="1"/>
  <c r="EJ812" i="1"/>
  <c r="EK812" i="1"/>
  <c r="EL812" i="1"/>
  <c r="EM812" i="1"/>
  <c r="EN812" i="1"/>
  <c r="EO812" i="1"/>
  <c r="EG813" i="1"/>
  <c r="EH813" i="1"/>
  <c r="EI813" i="1"/>
  <c r="EJ813" i="1"/>
  <c r="EK813" i="1"/>
  <c r="EL813" i="1"/>
  <c r="EM813" i="1"/>
  <c r="EN813" i="1"/>
  <c r="EO813" i="1"/>
  <c r="EG814" i="1"/>
  <c r="EH814" i="1"/>
  <c r="EI814" i="1"/>
  <c r="EJ814" i="1"/>
  <c r="EK814" i="1"/>
  <c r="EL814" i="1"/>
  <c r="EM814" i="1"/>
  <c r="EN814" i="1"/>
  <c r="EO814" i="1"/>
  <c r="EG815" i="1"/>
  <c r="EH815" i="1"/>
  <c r="EI815" i="1"/>
  <c r="EJ815" i="1"/>
  <c r="EK815" i="1"/>
  <c r="EL815" i="1"/>
  <c r="EM815" i="1"/>
  <c r="EN815" i="1"/>
  <c r="EO815" i="1"/>
  <c r="EG816" i="1"/>
  <c r="EH816" i="1"/>
  <c r="EI816" i="1"/>
  <c r="EJ816" i="1"/>
  <c r="EK816" i="1"/>
  <c r="EL816" i="1"/>
  <c r="EM816" i="1"/>
  <c r="EN816" i="1"/>
  <c r="EO816" i="1"/>
  <c r="EG817" i="1"/>
  <c r="EH817" i="1"/>
  <c r="EI817" i="1"/>
  <c r="EJ817" i="1"/>
  <c r="EK817" i="1"/>
  <c r="EL817" i="1"/>
  <c r="EM817" i="1"/>
  <c r="EN817" i="1"/>
  <c r="EO817" i="1"/>
  <c r="EG818" i="1"/>
  <c r="EH818" i="1"/>
  <c r="EI818" i="1"/>
  <c r="EJ818" i="1"/>
  <c r="EK818" i="1"/>
  <c r="EL818" i="1"/>
  <c r="EM818" i="1"/>
  <c r="EN818" i="1"/>
  <c r="EO818" i="1"/>
  <c r="EG819" i="1"/>
  <c r="EH819" i="1"/>
  <c r="EI819" i="1"/>
  <c r="EJ819" i="1"/>
  <c r="EK819" i="1"/>
  <c r="EL819" i="1"/>
  <c r="EM819" i="1"/>
  <c r="EN819" i="1"/>
  <c r="EO819" i="1"/>
  <c r="EG820" i="1"/>
  <c r="EH820" i="1"/>
  <c r="EI820" i="1"/>
  <c r="EJ820" i="1"/>
  <c r="EK820" i="1"/>
  <c r="EL820" i="1"/>
  <c r="EM820" i="1"/>
  <c r="EN820" i="1"/>
  <c r="EO820" i="1"/>
  <c r="EG821" i="1"/>
  <c r="EH821" i="1"/>
  <c r="EI821" i="1"/>
  <c r="EJ821" i="1"/>
  <c r="EK821" i="1"/>
  <c r="EL821" i="1"/>
  <c r="EM821" i="1"/>
  <c r="EN821" i="1"/>
  <c r="EO821" i="1"/>
  <c r="EG822" i="1"/>
  <c r="EH822" i="1"/>
  <c r="EI822" i="1"/>
  <c r="EJ822" i="1"/>
  <c r="EK822" i="1"/>
  <c r="EL822" i="1"/>
  <c r="EM822" i="1"/>
  <c r="EN822" i="1"/>
  <c r="EO822" i="1"/>
  <c r="EG823" i="1"/>
  <c r="EH823" i="1"/>
  <c r="EI823" i="1"/>
  <c r="EJ823" i="1"/>
  <c r="EK823" i="1"/>
  <c r="EL823" i="1"/>
  <c r="EM823" i="1"/>
  <c r="EN823" i="1"/>
  <c r="EO823" i="1"/>
  <c r="EG824" i="1"/>
  <c r="EH824" i="1"/>
  <c r="EI824" i="1"/>
  <c r="EJ824" i="1"/>
  <c r="EK824" i="1"/>
  <c r="EL824" i="1"/>
  <c r="EM824" i="1"/>
  <c r="EN824" i="1"/>
  <c r="EO824" i="1"/>
  <c r="EG825" i="1"/>
  <c r="EH825" i="1"/>
  <c r="EI825" i="1"/>
  <c r="EJ825" i="1"/>
  <c r="EK825" i="1"/>
  <c r="EL825" i="1"/>
  <c r="EM825" i="1"/>
  <c r="EN825" i="1"/>
  <c r="EO825" i="1"/>
  <c r="EG826" i="1"/>
  <c r="EH826" i="1"/>
  <c r="EI826" i="1"/>
  <c r="EJ826" i="1"/>
  <c r="EK826" i="1"/>
  <c r="EL826" i="1"/>
  <c r="EM826" i="1"/>
  <c r="EN826" i="1"/>
  <c r="EO826" i="1"/>
  <c r="EG827" i="1"/>
  <c r="EH827" i="1"/>
  <c r="EI827" i="1"/>
  <c r="EJ827" i="1"/>
  <c r="EK827" i="1"/>
  <c r="EL827" i="1"/>
  <c r="EM827" i="1"/>
  <c r="EN827" i="1"/>
  <c r="EO827" i="1"/>
  <c r="EG828" i="1"/>
  <c r="EH828" i="1"/>
  <c r="EI828" i="1"/>
  <c r="EJ828" i="1"/>
  <c r="EK828" i="1"/>
  <c r="EL828" i="1"/>
  <c r="EM828" i="1"/>
  <c r="EN828" i="1"/>
  <c r="EO828" i="1"/>
  <c r="EG829" i="1"/>
  <c r="EH829" i="1"/>
  <c r="EI829" i="1"/>
  <c r="EJ829" i="1"/>
  <c r="EK829" i="1"/>
  <c r="EL829" i="1"/>
  <c r="EM829" i="1"/>
  <c r="EN829" i="1"/>
  <c r="EO829" i="1"/>
  <c r="EG830" i="1"/>
  <c r="EH830" i="1"/>
  <c r="EI830" i="1"/>
  <c r="EJ830" i="1"/>
  <c r="EK830" i="1"/>
  <c r="EL830" i="1"/>
  <c r="EM830" i="1"/>
  <c r="EN830" i="1"/>
  <c r="EO830" i="1"/>
  <c r="EG831" i="1"/>
  <c r="EH831" i="1"/>
  <c r="EI831" i="1"/>
  <c r="EJ831" i="1"/>
  <c r="EK831" i="1"/>
  <c r="EL831" i="1"/>
  <c r="EM831" i="1"/>
  <c r="EN831" i="1"/>
  <c r="EO831" i="1"/>
  <c r="EG832" i="1"/>
  <c r="EH832" i="1"/>
  <c r="EI832" i="1"/>
  <c r="EJ832" i="1"/>
  <c r="EK832" i="1"/>
  <c r="EL832" i="1"/>
  <c r="EM832" i="1"/>
  <c r="EN832" i="1"/>
  <c r="EO832" i="1"/>
  <c r="EG833" i="1"/>
  <c r="EH833" i="1"/>
  <c r="EI833" i="1"/>
  <c r="EJ833" i="1"/>
  <c r="EK833" i="1"/>
  <c r="EL833" i="1"/>
  <c r="EM833" i="1"/>
  <c r="EN833" i="1"/>
  <c r="EO833" i="1"/>
  <c r="EG834" i="1"/>
  <c r="EH834" i="1"/>
  <c r="EI834" i="1"/>
  <c r="EJ834" i="1"/>
  <c r="EK834" i="1"/>
  <c r="EL834" i="1"/>
  <c r="EM834" i="1"/>
  <c r="EN834" i="1"/>
  <c r="EO834" i="1"/>
  <c r="EG835" i="1"/>
  <c r="EH835" i="1"/>
  <c r="EI835" i="1"/>
  <c r="EJ835" i="1"/>
  <c r="EK835" i="1"/>
  <c r="EL835" i="1"/>
  <c r="EM835" i="1"/>
  <c r="EN835" i="1"/>
  <c r="EO835" i="1"/>
  <c r="EG836" i="1"/>
  <c r="EH836" i="1"/>
  <c r="EI836" i="1"/>
  <c r="EJ836" i="1"/>
  <c r="EK836" i="1"/>
  <c r="EL836" i="1"/>
  <c r="EM836" i="1"/>
  <c r="EN836" i="1"/>
  <c r="EO836" i="1"/>
  <c r="EG837" i="1"/>
  <c r="EH837" i="1"/>
  <c r="EI837" i="1"/>
  <c r="EJ837" i="1"/>
  <c r="EK837" i="1"/>
  <c r="EL837" i="1"/>
  <c r="EM837" i="1"/>
  <c r="EN837" i="1"/>
  <c r="EO837" i="1"/>
  <c r="EG838" i="1"/>
  <c r="EH838" i="1"/>
  <c r="EI838" i="1"/>
  <c r="EJ838" i="1"/>
  <c r="EK838" i="1"/>
  <c r="EL838" i="1"/>
  <c r="EM838" i="1"/>
  <c r="EN838" i="1"/>
  <c r="EO838" i="1"/>
  <c r="EG839" i="1"/>
  <c r="EH839" i="1"/>
  <c r="EI839" i="1"/>
  <c r="EJ839" i="1"/>
  <c r="EK839" i="1"/>
  <c r="EL839" i="1"/>
  <c r="EM839" i="1"/>
  <c r="EN839" i="1"/>
  <c r="EO839" i="1"/>
  <c r="EG840" i="1"/>
  <c r="EH840" i="1"/>
  <c r="EI840" i="1"/>
  <c r="EJ840" i="1"/>
  <c r="EK840" i="1"/>
  <c r="EL840" i="1"/>
  <c r="EM840" i="1"/>
  <c r="EN840" i="1"/>
  <c r="EO840" i="1"/>
  <c r="EG841" i="1"/>
  <c r="EH841" i="1"/>
  <c r="EI841" i="1"/>
  <c r="EJ841" i="1"/>
  <c r="EK841" i="1"/>
  <c r="EL841" i="1"/>
  <c r="EM841" i="1"/>
  <c r="EN841" i="1"/>
  <c r="EO841" i="1"/>
  <c r="EG842" i="1"/>
  <c r="EH842" i="1"/>
  <c r="EI842" i="1"/>
  <c r="EJ842" i="1"/>
  <c r="EK842" i="1"/>
  <c r="EL842" i="1"/>
  <c r="EM842" i="1"/>
  <c r="EN842" i="1"/>
  <c r="EO842" i="1"/>
  <c r="EG843" i="1"/>
  <c r="EH843" i="1"/>
  <c r="EI843" i="1"/>
  <c r="EJ843" i="1"/>
  <c r="EK843" i="1"/>
  <c r="EL843" i="1"/>
  <c r="EM843" i="1"/>
  <c r="EN843" i="1"/>
  <c r="EO843" i="1"/>
  <c r="EG844" i="1"/>
  <c r="EH844" i="1"/>
  <c r="EI844" i="1"/>
  <c r="EJ844" i="1"/>
  <c r="EK844" i="1"/>
  <c r="EL844" i="1"/>
  <c r="EM844" i="1"/>
  <c r="EN844" i="1"/>
  <c r="EO844" i="1"/>
  <c r="EG845" i="1"/>
  <c r="EH845" i="1"/>
  <c r="EI845" i="1"/>
  <c r="EJ845" i="1"/>
  <c r="EK845" i="1"/>
  <c r="EL845" i="1"/>
  <c r="EM845" i="1"/>
  <c r="EN845" i="1"/>
  <c r="EO845" i="1"/>
  <c r="EG846" i="1"/>
  <c r="EH846" i="1"/>
  <c r="EI846" i="1"/>
  <c r="EJ846" i="1"/>
  <c r="EK846" i="1"/>
  <c r="EL846" i="1"/>
  <c r="EM846" i="1"/>
  <c r="EN846" i="1"/>
  <c r="EO846" i="1"/>
  <c r="EG847" i="1"/>
  <c r="EH847" i="1"/>
  <c r="EI847" i="1"/>
  <c r="EJ847" i="1"/>
  <c r="EK847" i="1"/>
  <c r="EL847" i="1"/>
  <c r="EM847" i="1"/>
  <c r="EN847" i="1"/>
  <c r="EO847" i="1"/>
  <c r="EG848" i="1"/>
  <c r="EH848" i="1"/>
  <c r="EI848" i="1"/>
  <c r="EJ848" i="1"/>
  <c r="EK848" i="1"/>
  <c r="EL848" i="1"/>
  <c r="EM848" i="1"/>
  <c r="EN848" i="1"/>
  <c r="EO848" i="1"/>
  <c r="EG849" i="1"/>
  <c r="EH849" i="1"/>
  <c r="EI849" i="1"/>
  <c r="EJ849" i="1"/>
  <c r="EK849" i="1"/>
  <c r="EL849" i="1"/>
  <c r="EM849" i="1"/>
  <c r="EN849" i="1"/>
  <c r="EO849" i="1"/>
  <c r="EG850" i="1"/>
  <c r="EH850" i="1"/>
  <c r="EI850" i="1"/>
  <c r="EJ850" i="1"/>
  <c r="EK850" i="1"/>
  <c r="EL850" i="1"/>
  <c r="EM850" i="1"/>
  <c r="EN850" i="1"/>
  <c r="EO850" i="1"/>
  <c r="EG851" i="1"/>
  <c r="EH851" i="1"/>
  <c r="EI851" i="1"/>
  <c r="EJ851" i="1"/>
  <c r="EK851" i="1"/>
  <c r="EL851" i="1"/>
  <c r="EM851" i="1"/>
  <c r="EN851" i="1"/>
  <c r="EO851" i="1"/>
  <c r="EG852" i="1"/>
  <c r="EH852" i="1"/>
  <c r="EI852" i="1"/>
  <c r="EJ852" i="1"/>
  <c r="EK852" i="1"/>
  <c r="EL852" i="1"/>
  <c r="EM852" i="1"/>
  <c r="EN852" i="1"/>
  <c r="EO852" i="1"/>
  <c r="EG853" i="1"/>
  <c r="EH853" i="1"/>
  <c r="EI853" i="1"/>
  <c r="EJ853" i="1"/>
  <c r="EK853" i="1"/>
  <c r="EL853" i="1"/>
  <c r="EM853" i="1"/>
  <c r="EN853" i="1"/>
  <c r="EO853" i="1"/>
  <c r="EG854" i="1"/>
  <c r="EH854" i="1"/>
  <c r="EI854" i="1"/>
  <c r="EJ854" i="1"/>
  <c r="EK854" i="1"/>
  <c r="EL854" i="1"/>
  <c r="EM854" i="1"/>
  <c r="EN854" i="1"/>
  <c r="EO854" i="1"/>
  <c r="EG855" i="1"/>
  <c r="EH855" i="1"/>
  <c r="EI855" i="1"/>
  <c r="EJ855" i="1"/>
  <c r="EK855" i="1"/>
  <c r="EL855" i="1"/>
  <c r="EM855" i="1"/>
  <c r="EN855" i="1"/>
  <c r="EO855" i="1"/>
  <c r="EG856" i="1"/>
  <c r="EH856" i="1"/>
  <c r="EI856" i="1"/>
  <c r="EJ856" i="1"/>
  <c r="EK856" i="1"/>
  <c r="EL856" i="1"/>
  <c r="EM856" i="1"/>
  <c r="EN856" i="1"/>
  <c r="EO856" i="1"/>
  <c r="EG857" i="1"/>
  <c r="EH857" i="1"/>
  <c r="EI857" i="1"/>
  <c r="EJ857" i="1"/>
  <c r="EK857" i="1"/>
  <c r="EL857" i="1"/>
  <c r="EM857" i="1"/>
  <c r="EN857" i="1"/>
  <c r="EO857" i="1"/>
  <c r="EG858" i="1"/>
  <c r="EH858" i="1"/>
  <c r="EI858" i="1"/>
  <c r="EJ858" i="1"/>
  <c r="EK858" i="1"/>
  <c r="EL858" i="1"/>
  <c r="EM858" i="1"/>
  <c r="EN858" i="1"/>
  <c r="EO858" i="1"/>
  <c r="EG859" i="1"/>
  <c r="EH859" i="1"/>
  <c r="EI859" i="1"/>
  <c r="EJ859" i="1"/>
  <c r="EK859" i="1"/>
  <c r="EL859" i="1"/>
  <c r="EM859" i="1"/>
  <c r="EN859" i="1"/>
  <c r="EO859" i="1"/>
  <c r="EG860" i="1"/>
  <c r="EH860" i="1"/>
  <c r="EI860" i="1"/>
  <c r="EJ860" i="1"/>
  <c r="EK860" i="1"/>
  <c r="EL860" i="1"/>
  <c r="EM860" i="1"/>
  <c r="EN860" i="1"/>
  <c r="EO860" i="1"/>
  <c r="EG861" i="1"/>
  <c r="EH861" i="1"/>
  <c r="EI861" i="1"/>
  <c r="EJ861" i="1"/>
  <c r="EK861" i="1"/>
  <c r="EL861" i="1"/>
  <c r="EM861" i="1"/>
  <c r="EN861" i="1"/>
  <c r="EO861" i="1"/>
  <c r="EG862" i="1"/>
  <c r="EH862" i="1"/>
  <c r="EI862" i="1"/>
  <c r="EJ862" i="1"/>
  <c r="EK862" i="1"/>
  <c r="EL862" i="1"/>
  <c r="EM862" i="1"/>
  <c r="EN862" i="1"/>
  <c r="EO862" i="1"/>
  <c r="EG863" i="1"/>
  <c r="EH863" i="1"/>
  <c r="EI863" i="1"/>
  <c r="EJ863" i="1"/>
  <c r="EK863" i="1"/>
  <c r="EL863" i="1"/>
  <c r="EM863" i="1"/>
  <c r="EN863" i="1"/>
  <c r="EO863" i="1"/>
  <c r="EG864" i="1"/>
  <c r="EH864" i="1"/>
  <c r="EI864" i="1"/>
  <c r="EJ864" i="1"/>
  <c r="EK864" i="1"/>
  <c r="EL864" i="1"/>
  <c r="EM864" i="1"/>
  <c r="EN864" i="1"/>
  <c r="EO864" i="1"/>
  <c r="EG865" i="1"/>
  <c r="EH865" i="1"/>
  <c r="EI865" i="1"/>
  <c r="EJ865" i="1"/>
  <c r="EK865" i="1"/>
  <c r="EL865" i="1"/>
  <c r="EM865" i="1"/>
  <c r="EN865" i="1"/>
  <c r="EO865" i="1"/>
  <c r="EG866" i="1"/>
  <c r="EH866" i="1"/>
  <c r="EI866" i="1"/>
  <c r="EJ866" i="1"/>
  <c r="EK866" i="1"/>
  <c r="EL866" i="1"/>
  <c r="EM866" i="1"/>
  <c r="EN866" i="1"/>
  <c r="EO866" i="1"/>
  <c r="EG867" i="1"/>
  <c r="EH867" i="1"/>
  <c r="EI867" i="1"/>
  <c r="EJ867" i="1"/>
  <c r="EK867" i="1"/>
  <c r="EL867" i="1"/>
  <c r="EM867" i="1"/>
  <c r="EN867" i="1"/>
  <c r="EO867" i="1"/>
  <c r="EG868" i="1"/>
  <c r="EH868" i="1"/>
  <c r="EI868" i="1"/>
  <c r="EJ868" i="1"/>
  <c r="EK868" i="1"/>
  <c r="EL868" i="1"/>
  <c r="EM868" i="1"/>
  <c r="EN868" i="1"/>
  <c r="EO868" i="1"/>
  <c r="EG869" i="1"/>
  <c r="EH869" i="1"/>
  <c r="EI869" i="1"/>
  <c r="EJ869" i="1"/>
  <c r="EK869" i="1"/>
  <c r="EL869" i="1"/>
  <c r="EM869" i="1"/>
  <c r="EN869" i="1"/>
  <c r="EO869" i="1"/>
  <c r="EG870" i="1"/>
  <c r="EH870" i="1"/>
  <c r="EI870" i="1"/>
  <c r="EJ870" i="1"/>
  <c r="EK870" i="1"/>
  <c r="EL870" i="1"/>
  <c r="EM870" i="1"/>
  <c r="EN870" i="1"/>
  <c r="EO870" i="1"/>
  <c r="EG871" i="1"/>
  <c r="EH871" i="1"/>
  <c r="EI871" i="1"/>
  <c r="EJ871" i="1"/>
  <c r="EK871" i="1"/>
  <c r="EL871" i="1"/>
  <c r="EM871" i="1"/>
  <c r="EN871" i="1"/>
  <c r="EO871" i="1"/>
  <c r="EG872" i="1"/>
  <c r="EH872" i="1"/>
  <c r="EI872" i="1"/>
  <c r="EJ872" i="1"/>
  <c r="EK872" i="1"/>
  <c r="EL872" i="1"/>
  <c r="EM872" i="1"/>
  <c r="EN872" i="1"/>
  <c r="EO872" i="1"/>
  <c r="EG873" i="1"/>
  <c r="EH873" i="1"/>
  <c r="EI873" i="1"/>
  <c r="EJ873" i="1"/>
  <c r="EK873" i="1"/>
  <c r="EL873" i="1"/>
  <c r="EM873" i="1"/>
  <c r="EN873" i="1"/>
  <c r="EO873" i="1"/>
  <c r="EG874" i="1"/>
  <c r="EH874" i="1"/>
  <c r="EI874" i="1"/>
  <c r="EJ874" i="1"/>
  <c r="EK874" i="1"/>
  <c r="EL874" i="1"/>
  <c r="EM874" i="1"/>
  <c r="EN874" i="1"/>
  <c r="EO874" i="1"/>
  <c r="EG875" i="1"/>
  <c r="EH875" i="1"/>
  <c r="EI875" i="1"/>
  <c r="EJ875" i="1"/>
  <c r="EK875" i="1"/>
  <c r="EL875" i="1"/>
  <c r="EM875" i="1"/>
  <c r="EN875" i="1"/>
  <c r="EO875" i="1"/>
  <c r="EG876" i="1"/>
  <c r="EH876" i="1"/>
  <c r="EI876" i="1"/>
  <c r="EJ876" i="1"/>
  <c r="EK876" i="1"/>
  <c r="EL876" i="1"/>
  <c r="EM876" i="1"/>
  <c r="EN876" i="1"/>
  <c r="EO876" i="1"/>
  <c r="EG877" i="1"/>
  <c r="EH877" i="1"/>
  <c r="EI877" i="1"/>
  <c r="EJ877" i="1"/>
  <c r="EK877" i="1"/>
  <c r="EL877" i="1"/>
  <c r="EM877" i="1"/>
  <c r="EN877" i="1"/>
  <c r="EO877" i="1"/>
  <c r="EG878" i="1"/>
  <c r="EH878" i="1"/>
  <c r="EI878" i="1"/>
  <c r="EJ878" i="1"/>
  <c r="EK878" i="1"/>
  <c r="EL878" i="1"/>
  <c r="EM878" i="1"/>
  <c r="EN878" i="1"/>
  <c r="EO878" i="1"/>
  <c r="EG879" i="1"/>
  <c r="EH879" i="1"/>
  <c r="EI879" i="1"/>
  <c r="EJ879" i="1"/>
  <c r="EK879" i="1"/>
  <c r="EL879" i="1"/>
  <c r="EM879" i="1"/>
  <c r="EN879" i="1"/>
  <c r="EO879" i="1"/>
  <c r="EG880" i="1"/>
  <c r="EH880" i="1"/>
  <c r="EI880" i="1"/>
  <c r="EJ880" i="1"/>
  <c r="EK880" i="1"/>
  <c r="EL880" i="1"/>
  <c r="EM880" i="1"/>
  <c r="EN880" i="1"/>
  <c r="EO880" i="1"/>
  <c r="EG881" i="1"/>
  <c r="EH881" i="1"/>
  <c r="EI881" i="1"/>
  <c r="EJ881" i="1"/>
  <c r="EK881" i="1"/>
  <c r="EL881" i="1"/>
  <c r="EM881" i="1"/>
  <c r="EN881" i="1"/>
  <c r="EO881" i="1"/>
  <c r="EG882" i="1"/>
  <c r="EH882" i="1"/>
  <c r="EI882" i="1"/>
  <c r="EJ882" i="1"/>
  <c r="EK882" i="1"/>
  <c r="EL882" i="1"/>
  <c r="EM882" i="1"/>
  <c r="EN882" i="1"/>
  <c r="EO882" i="1"/>
  <c r="EG883" i="1"/>
  <c r="EH883" i="1"/>
  <c r="EI883" i="1"/>
  <c r="EJ883" i="1"/>
  <c r="EK883" i="1"/>
  <c r="EL883" i="1"/>
  <c r="EM883" i="1"/>
  <c r="EN883" i="1"/>
  <c r="EO883" i="1"/>
  <c r="EG884" i="1"/>
  <c r="EH884" i="1"/>
  <c r="EI884" i="1"/>
  <c r="EJ884" i="1"/>
  <c r="EK884" i="1"/>
  <c r="EL884" i="1"/>
  <c r="EM884" i="1"/>
  <c r="EN884" i="1"/>
  <c r="EO884" i="1"/>
  <c r="EG885" i="1"/>
  <c r="EH885" i="1"/>
  <c r="EI885" i="1"/>
  <c r="EJ885" i="1"/>
  <c r="EK885" i="1"/>
  <c r="EL885" i="1"/>
  <c r="EM885" i="1"/>
  <c r="EN885" i="1"/>
  <c r="EO885" i="1"/>
  <c r="EG886" i="1"/>
  <c r="EH886" i="1"/>
  <c r="EI886" i="1"/>
  <c r="EJ886" i="1"/>
  <c r="EK886" i="1"/>
  <c r="EL886" i="1"/>
  <c r="EM886" i="1"/>
  <c r="EN886" i="1"/>
  <c r="EO886" i="1"/>
  <c r="EG887" i="1"/>
  <c r="EH887" i="1"/>
  <c r="EI887" i="1"/>
  <c r="EJ887" i="1"/>
  <c r="EK887" i="1"/>
  <c r="EL887" i="1"/>
  <c r="EM887" i="1"/>
  <c r="EN887" i="1"/>
  <c r="EO887" i="1"/>
  <c r="EG888" i="1"/>
  <c r="EH888" i="1"/>
  <c r="EI888" i="1"/>
  <c r="EJ888" i="1"/>
  <c r="EK888" i="1"/>
  <c r="EL888" i="1"/>
  <c r="EM888" i="1"/>
  <c r="EN888" i="1"/>
  <c r="EO888" i="1"/>
  <c r="EG889" i="1"/>
  <c r="EH889" i="1"/>
  <c r="EI889" i="1"/>
  <c r="EJ889" i="1"/>
  <c r="EK889" i="1"/>
  <c r="EL889" i="1"/>
  <c r="EM889" i="1"/>
  <c r="EN889" i="1"/>
  <c r="EO889" i="1"/>
  <c r="EG890" i="1"/>
  <c r="EH890" i="1"/>
  <c r="EI890" i="1"/>
  <c r="EJ890" i="1"/>
  <c r="EK890" i="1"/>
  <c r="EL890" i="1"/>
  <c r="EM890" i="1"/>
  <c r="EN890" i="1"/>
  <c r="EO890" i="1"/>
  <c r="EG891" i="1"/>
  <c r="EH891" i="1"/>
  <c r="EI891" i="1"/>
  <c r="EJ891" i="1"/>
  <c r="EK891" i="1"/>
  <c r="EL891" i="1"/>
  <c r="EM891" i="1"/>
  <c r="EN891" i="1"/>
  <c r="EO891" i="1"/>
  <c r="EG892" i="1"/>
  <c r="EH892" i="1"/>
  <c r="EI892" i="1"/>
  <c r="EJ892" i="1"/>
  <c r="EK892" i="1"/>
  <c r="EL892" i="1"/>
  <c r="EM892" i="1"/>
  <c r="EN892" i="1"/>
  <c r="EO892" i="1"/>
  <c r="EG893" i="1"/>
  <c r="EH893" i="1"/>
  <c r="EI893" i="1"/>
  <c r="EJ893" i="1"/>
  <c r="EK893" i="1"/>
  <c r="EL893" i="1"/>
  <c r="EM893" i="1"/>
  <c r="EN893" i="1"/>
  <c r="EO893" i="1"/>
  <c r="EG894" i="1"/>
  <c r="EH894" i="1"/>
  <c r="EI894" i="1"/>
  <c r="EJ894" i="1"/>
  <c r="EK894" i="1"/>
  <c r="EL894" i="1"/>
  <c r="EM894" i="1"/>
  <c r="EN894" i="1"/>
  <c r="EO894" i="1"/>
  <c r="EG895" i="1"/>
  <c r="EH895" i="1"/>
  <c r="EI895" i="1"/>
  <c r="EJ895" i="1"/>
  <c r="EK895" i="1"/>
  <c r="EL895" i="1"/>
  <c r="EM895" i="1"/>
  <c r="EN895" i="1"/>
  <c r="EO895" i="1"/>
  <c r="EG896" i="1"/>
  <c r="EH896" i="1"/>
  <c r="EI896" i="1"/>
  <c r="EJ896" i="1"/>
  <c r="EK896" i="1"/>
  <c r="EL896" i="1"/>
  <c r="EM896" i="1"/>
  <c r="EN896" i="1"/>
  <c r="EO896" i="1"/>
  <c r="EG897" i="1"/>
  <c r="EH897" i="1"/>
  <c r="EI897" i="1"/>
  <c r="EJ897" i="1"/>
  <c r="EK897" i="1"/>
  <c r="EL897" i="1"/>
  <c r="EM897" i="1"/>
  <c r="EN897" i="1"/>
  <c r="EO897" i="1"/>
  <c r="EG898" i="1"/>
  <c r="EH898" i="1"/>
  <c r="EI898" i="1"/>
  <c r="EJ898" i="1"/>
  <c r="EK898" i="1"/>
  <c r="EL898" i="1"/>
  <c r="EM898" i="1"/>
  <c r="EN898" i="1"/>
  <c r="EO898" i="1"/>
  <c r="EG899" i="1"/>
  <c r="EH899" i="1"/>
  <c r="EI899" i="1"/>
  <c r="EJ899" i="1"/>
  <c r="EK899" i="1"/>
  <c r="EL899" i="1"/>
  <c r="EM899" i="1"/>
  <c r="EN899" i="1"/>
  <c r="EO899" i="1"/>
  <c r="EG900" i="1"/>
  <c r="EH900" i="1"/>
  <c r="EI900" i="1"/>
  <c r="EJ900" i="1"/>
  <c r="EK900" i="1"/>
  <c r="EL900" i="1"/>
  <c r="EM900" i="1"/>
  <c r="EN900" i="1"/>
  <c r="EO900" i="1"/>
  <c r="EG901" i="1"/>
  <c r="EH901" i="1"/>
  <c r="EI901" i="1"/>
  <c r="EJ901" i="1"/>
  <c r="EK901" i="1"/>
  <c r="EL901" i="1"/>
  <c r="EM901" i="1"/>
  <c r="EN901" i="1"/>
  <c r="EO901" i="1"/>
  <c r="EG902" i="1"/>
  <c r="EH902" i="1"/>
  <c r="EI902" i="1"/>
  <c r="EJ902" i="1"/>
  <c r="EK902" i="1"/>
  <c r="EL902" i="1"/>
  <c r="EM902" i="1"/>
  <c r="EN902" i="1"/>
  <c r="EO902" i="1"/>
  <c r="EG903" i="1"/>
  <c r="EH903" i="1"/>
  <c r="EI903" i="1"/>
  <c r="EJ903" i="1"/>
  <c r="EK903" i="1"/>
  <c r="EL903" i="1"/>
  <c r="EM903" i="1"/>
  <c r="EN903" i="1"/>
  <c r="EO903" i="1"/>
  <c r="EG904" i="1"/>
  <c r="EH904" i="1"/>
  <c r="EI904" i="1"/>
  <c r="EJ904" i="1"/>
  <c r="EK904" i="1"/>
  <c r="EL904" i="1"/>
  <c r="EM904" i="1"/>
  <c r="EN904" i="1"/>
  <c r="EO904" i="1"/>
  <c r="EG905" i="1"/>
  <c r="EH905" i="1"/>
  <c r="EI905" i="1"/>
  <c r="EJ905" i="1"/>
  <c r="EK905" i="1"/>
  <c r="EL905" i="1"/>
  <c r="EM905" i="1"/>
  <c r="EN905" i="1"/>
  <c r="EO905" i="1"/>
  <c r="EG906" i="1"/>
  <c r="EH906" i="1"/>
  <c r="EI906" i="1"/>
  <c r="EJ906" i="1"/>
  <c r="EK906" i="1"/>
  <c r="EL906" i="1"/>
  <c r="EM906" i="1"/>
  <c r="EN906" i="1"/>
  <c r="EO906" i="1"/>
  <c r="EG907" i="1"/>
  <c r="EH907" i="1"/>
  <c r="EI907" i="1"/>
  <c r="EJ907" i="1"/>
  <c r="EK907" i="1"/>
  <c r="EL907" i="1"/>
  <c r="EM907" i="1"/>
  <c r="EN907" i="1"/>
  <c r="EO907" i="1"/>
  <c r="EG908" i="1"/>
  <c r="EH908" i="1"/>
  <c r="EI908" i="1"/>
  <c r="EJ908" i="1"/>
  <c r="EK908" i="1"/>
  <c r="EL908" i="1"/>
  <c r="EM908" i="1"/>
  <c r="EN908" i="1"/>
  <c r="EO908" i="1"/>
  <c r="EG909" i="1"/>
  <c r="EH909" i="1"/>
  <c r="EI909" i="1"/>
  <c r="EJ909" i="1"/>
  <c r="EK909" i="1"/>
  <c r="EL909" i="1"/>
  <c r="EM909" i="1"/>
  <c r="EN909" i="1"/>
  <c r="EO909" i="1"/>
  <c r="EG910" i="1"/>
  <c r="EH910" i="1"/>
  <c r="EI910" i="1"/>
  <c r="EJ910" i="1"/>
  <c r="EK910" i="1"/>
  <c r="EL910" i="1"/>
  <c r="EM910" i="1"/>
  <c r="EN910" i="1"/>
  <c r="EO910" i="1"/>
  <c r="EG911" i="1"/>
  <c r="EH911" i="1"/>
  <c r="EI911" i="1"/>
  <c r="EJ911" i="1"/>
  <c r="EK911" i="1"/>
  <c r="EL911" i="1"/>
  <c r="EM911" i="1"/>
  <c r="EN911" i="1"/>
  <c r="EO911" i="1"/>
  <c r="EG912" i="1"/>
  <c r="EH912" i="1"/>
  <c r="EI912" i="1"/>
  <c r="EJ912" i="1"/>
  <c r="EK912" i="1"/>
  <c r="EL912" i="1"/>
  <c r="EM912" i="1"/>
  <c r="EN912" i="1"/>
  <c r="EO912" i="1"/>
  <c r="EG913" i="1"/>
  <c r="EH913" i="1"/>
  <c r="EI913" i="1"/>
  <c r="EJ913" i="1"/>
  <c r="EK913" i="1"/>
  <c r="EL913" i="1"/>
  <c r="EM913" i="1"/>
  <c r="EN913" i="1"/>
  <c r="EO913" i="1"/>
  <c r="EG914" i="1"/>
  <c r="EH914" i="1"/>
  <c r="EI914" i="1"/>
  <c r="EJ914" i="1"/>
  <c r="EK914" i="1"/>
  <c r="EL914" i="1"/>
  <c r="EM914" i="1"/>
  <c r="EN914" i="1"/>
  <c r="EO914" i="1"/>
  <c r="EG915" i="1"/>
  <c r="EH915" i="1"/>
  <c r="EI915" i="1"/>
  <c r="EJ915" i="1"/>
  <c r="EK915" i="1"/>
  <c r="EL915" i="1"/>
  <c r="EM915" i="1"/>
  <c r="EN915" i="1"/>
  <c r="EO915" i="1"/>
  <c r="EG916" i="1"/>
  <c r="EH916" i="1"/>
  <c r="EI916" i="1"/>
  <c r="EJ916" i="1"/>
  <c r="EK916" i="1"/>
  <c r="EL916" i="1"/>
  <c r="EM916" i="1"/>
  <c r="EN916" i="1"/>
  <c r="EO916" i="1"/>
  <c r="EG917" i="1"/>
  <c r="EH917" i="1"/>
  <c r="EI917" i="1"/>
  <c r="EJ917" i="1"/>
  <c r="EK917" i="1"/>
  <c r="EL917" i="1"/>
  <c r="EM917" i="1"/>
  <c r="EN917" i="1"/>
  <c r="EO917" i="1"/>
  <c r="EG918" i="1"/>
  <c r="EH918" i="1"/>
  <c r="EI918" i="1"/>
  <c r="EJ918" i="1"/>
  <c r="EK918" i="1"/>
  <c r="EL918" i="1"/>
  <c r="EM918" i="1"/>
  <c r="EN918" i="1"/>
  <c r="EO918" i="1"/>
  <c r="EG919" i="1"/>
  <c r="EH919" i="1"/>
  <c r="EI919" i="1"/>
  <c r="EJ919" i="1"/>
  <c r="EK919" i="1"/>
  <c r="EL919" i="1"/>
  <c r="EM919" i="1"/>
  <c r="EN919" i="1"/>
  <c r="EO919" i="1"/>
  <c r="EG920" i="1"/>
  <c r="EH920" i="1"/>
  <c r="EI920" i="1"/>
  <c r="EJ920" i="1"/>
  <c r="EK920" i="1"/>
  <c r="EL920" i="1"/>
  <c r="EM920" i="1"/>
  <c r="EN920" i="1"/>
  <c r="EO920" i="1"/>
  <c r="EG921" i="1"/>
  <c r="EH921" i="1"/>
  <c r="EI921" i="1"/>
  <c r="EJ921" i="1"/>
  <c r="EK921" i="1"/>
  <c r="EL921" i="1"/>
  <c r="EM921" i="1"/>
  <c r="EN921" i="1"/>
  <c r="EO921" i="1"/>
  <c r="EG922" i="1"/>
  <c r="EH922" i="1"/>
  <c r="EI922" i="1"/>
  <c r="EJ922" i="1"/>
  <c r="EK922" i="1"/>
  <c r="EL922" i="1"/>
  <c r="EM922" i="1"/>
  <c r="EN922" i="1"/>
  <c r="EO922" i="1"/>
  <c r="EG923" i="1"/>
  <c r="EH923" i="1"/>
  <c r="EI923" i="1"/>
  <c r="EJ923" i="1"/>
  <c r="EK923" i="1"/>
  <c r="EL923" i="1"/>
  <c r="EM923" i="1"/>
  <c r="EN923" i="1"/>
  <c r="EO923" i="1"/>
  <c r="EG924" i="1"/>
  <c r="EH924" i="1"/>
  <c r="EI924" i="1"/>
  <c r="EJ924" i="1"/>
  <c r="EK924" i="1"/>
  <c r="EL924" i="1"/>
  <c r="EM924" i="1"/>
  <c r="EN924" i="1"/>
  <c r="EO924" i="1"/>
  <c r="EG925" i="1"/>
  <c r="EH925" i="1"/>
  <c r="EI925" i="1"/>
  <c r="EJ925" i="1"/>
  <c r="EK925" i="1"/>
  <c r="EL925" i="1"/>
  <c r="EM925" i="1"/>
  <c r="EN925" i="1"/>
  <c r="EO925" i="1"/>
  <c r="EG926" i="1"/>
  <c r="EH926" i="1"/>
  <c r="EI926" i="1"/>
  <c r="EJ926" i="1"/>
  <c r="EK926" i="1"/>
  <c r="EL926" i="1"/>
  <c r="EM926" i="1"/>
  <c r="EN926" i="1"/>
  <c r="EO926" i="1"/>
  <c r="EG927" i="1"/>
  <c r="EH927" i="1"/>
  <c r="EI927" i="1"/>
  <c r="EJ927" i="1"/>
  <c r="EK927" i="1"/>
  <c r="EL927" i="1"/>
  <c r="EM927" i="1"/>
  <c r="EN927" i="1"/>
  <c r="EO927" i="1"/>
  <c r="EG928" i="1"/>
  <c r="EH928" i="1"/>
  <c r="EI928" i="1"/>
  <c r="EJ928" i="1"/>
  <c r="EK928" i="1"/>
  <c r="EL928" i="1"/>
  <c r="EM928" i="1"/>
  <c r="EN928" i="1"/>
  <c r="EO928" i="1"/>
  <c r="EG929" i="1"/>
  <c r="EH929" i="1"/>
  <c r="EI929" i="1"/>
  <c r="EJ929" i="1"/>
  <c r="EK929" i="1"/>
  <c r="EL929" i="1"/>
  <c r="EM929" i="1"/>
  <c r="EN929" i="1"/>
  <c r="EO929" i="1"/>
  <c r="EG930" i="1"/>
  <c r="EH930" i="1"/>
  <c r="EI930" i="1"/>
  <c r="EJ930" i="1"/>
  <c r="EK930" i="1"/>
  <c r="EL930" i="1"/>
  <c r="EM930" i="1"/>
  <c r="EN930" i="1"/>
  <c r="EO930" i="1"/>
  <c r="EG931" i="1"/>
  <c r="EH931" i="1"/>
  <c r="EI931" i="1"/>
  <c r="EJ931" i="1"/>
  <c r="EK931" i="1"/>
  <c r="EL931" i="1"/>
  <c r="EM931" i="1"/>
  <c r="EN931" i="1"/>
  <c r="EO931" i="1"/>
  <c r="EG932" i="1"/>
  <c r="EH932" i="1"/>
  <c r="EI932" i="1"/>
  <c r="EJ932" i="1"/>
  <c r="EK932" i="1"/>
  <c r="EL932" i="1"/>
  <c r="EM932" i="1"/>
  <c r="EN932" i="1"/>
  <c r="EO932" i="1"/>
  <c r="EH4" i="1"/>
  <c r="EI4" i="1"/>
  <c r="EJ4" i="1"/>
  <c r="EK4" i="1"/>
  <c r="EL4" i="1"/>
  <c r="EM4" i="1"/>
  <c r="EN4" i="1"/>
  <c r="EO4" i="1"/>
  <c r="EG4" i="1"/>
  <c r="EF4" i="1"/>
  <c r="EF5" i="1"/>
  <c r="EF6" i="1"/>
  <c r="EF7" i="1"/>
  <c r="EF8" i="1"/>
  <c r="EF9" i="1"/>
  <c r="EF10" i="1"/>
  <c r="EF11" i="1"/>
  <c r="EF12" i="1"/>
  <c r="EF13" i="1"/>
  <c r="EF14" i="1"/>
  <c r="EF15" i="1"/>
  <c r="EF16" i="1"/>
  <c r="EF17" i="1"/>
  <c r="EF18" i="1"/>
  <c r="EF19" i="1"/>
  <c r="EF20" i="1"/>
  <c r="EF21" i="1"/>
  <c r="EF22" i="1"/>
  <c r="EF23" i="1"/>
  <c r="EF24" i="1"/>
  <c r="EF25" i="1"/>
  <c r="EF26" i="1"/>
  <c r="EF27" i="1"/>
  <c r="EF28" i="1"/>
  <c r="EF29" i="1"/>
  <c r="EF30" i="1"/>
  <c r="EF31" i="1"/>
  <c r="EF32" i="1"/>
  <c r="EF33" i="1"/>
  <c r="EF34" i="1"/>
  <c r="EF35" i="1"/>
  <c r="EF36" i="1"/>
  <c r="EF37" i="1"/>
  <c r="EF38" i="1"/>
  <c r="EF39" i="1"/>
  <c r="EF40" i="1"/>
  <c r="EF41" i="1"/>
  <c r="EF42" i="1"/>
  <c r="EF43" i="1"/>
  <c r="EF44" i="1"/>
  <c r="EF45" i="1"/>
  <c r="EF46" i="1"/>
  <c r="EF47" i="1"/>
  <c r="EF48" i="1"/>
  <c r="EF49" i="1"/>
  <c r="EF50" i="1"/>
  <c r="EF51" i="1"/>
  <c r="EF52" i="1"/>
  <c r="EF53" i="1"/>
  <c r="EF54" i="1"/>
  <c r="EF55" i="1"/>
  <c r="EF56" i="1"/>
  <c r="EF57" i="1"/>
  <c r="EF58" i="1"/>
  <c r="EF59" i="1"/>
  <c r="EF60" i="1"/>
  <c r="EF61" i="1"/>
  <c r="EF62" i="1"/>
  <c r="EF63" i="1"/>
  <c r="EF64" i="1"/>
  <c r="EF65" i="1"/>
  <c r="EF66" i="1"/>
  <c r="EF67" i="1"/>
  <c r="EF68" i="1"/>
  <c r="EF69" i="1"/>
  <c r="EF70" i="1"/>
  <c r="EF71" i="1"/>
  <c r="EF72" i="1"/>
  <c r="EF73" i="1"/>
  <c r="EF74" i="1"/>
  <c r="EF75" i="1"/>
  <c r="EF76" i="1"/>
  <c r="EF77" i="1"/>
  <c r="EF78" i="1"/>
  <c r="EF79" i="1"/>
  <c r="EF80" i="1"/>
  <c r="EF81" i="1"/>
  <c r="EF82" i="1"/>
  <c r="EF83" i="1"/>
  <c r="EF84" i="1"/>
  <c r="EF85" i="1"/>
  <c r="EF86" i="1"/>
  <c r="EF87" i="1"/>
  <c r="EF88" i="1"/>
  <c r="EF89" i="1"/>
  <c r="EF90" i="1"/>
  <c r="EF91" i="1"/>
  <c r="EF92" i="1"/>
  <c r="EF93" i="1"/>
  <c r="EF94" i="1"/>
  <c r="EF95" i="1"/>
  <c r="EF96" i="1"/>
  <c r="EF97" i="1"/>
  <c r="EF98" i="1"/>
  <c r="EF99" i="1"/>
  <c r="EF100" i="1"/>
  <c r="EF101" i="1"/>
  <c r="EF102" i="1"/>
  <c r="EF103" i="1"/>
  <c r="EF104" i="1"/>
  <c r="EF105" i="1"/>
  <c r="EF106" i="1"/>
  <c r="EF107" i="1"/>
  <c r="EF108" i="1"/>
  <c r="EF109" i="1"/>
  <c r="EF110" i="1"/>
  <c r="EF111" i="1"/>
  <c r="EF112" i="1"/>
  <c r="EF113" i="1"/>
  <c r="EF114" i="1"/>
  <c r="EF115" i="1"/>
  <c r="EF116" i="1"/>
  <c r="EF117" i="1"/>
  <c r="EF118" i="1"/>
  <c r="EF119" i="1"/>
  <c r="EF120" i="1"/>
  <c r="EF121" i="1"/>
  <c r="EF122" i="1"/>
  <c r="EF123" i="1"/>
  <c r="EF124" i="1"/>
  <c r="EF125" i="1"/>
  <c r="EF126" i="1"/>
  <c r="EF127" i="1"/>
  <c r="EF128" i="1"/>
  <c r="EF129" i="1"/>
  <c r="EF130" i="1"/>
  <c r="EF131" i="1"/>
  <c r="EF132" i="1"/>
  <c r="EF133" i="1"/>
  <c r="EF134" i="1"/>
  <c r="EF135" i="1"/>
  <c r="EF136" i="1"/>
  <c r="EF137" i="1"/>
  <c r="EF138" i="1"/>
  <c r="EF139" i="1"/>
  <c r="EF140" i="1"/>
  <c r="EF141" i="1"/>
  <c r="EF142" i="1"/>
  <c r="EF143" i="1"/>
  <c r="EF144" i="1"/>
  <c r="EF145" i="1"/>
  <c r="EF146" i="1"/>
  <c r="EF147" i="1"/>
  <c r="EF148" i="1"/>
  <c r="EF149" i="1"/>
  <c r="EF150" i="1"/>
  <c r="EF151" i="1"/>
  <c r="EF152" i="1"/>
  <c r="EF153" i="1"/>
  <c r="EF154" i="1"/>
  <c r="EF155" i="1"/>
  <c r="EF156" i="1"/>
  <c r="EF157" i="1"/>
  <c r="EF158" i="1"/>
  <c r="EF159" i="1"/>
  <c r="EF160" i="1"/>
  <c r="EF161" i="1"/>
  <c r="EF162" i="1"/>
  <c r="EF163" i="1"/>
  <c r="EF164" i="1"/>
  <c r="EF165" i="1"/>
  <c r="EF166" i="1"/>
  <c r="EF167" i="1"/>
  <c r="EF168" i="1"/>
  <c r="EF169" i="1"/>
  <c r="EF170" i="1"/>
  <c r="EF171" i="1"/>
  <c r="EF172" i="1"/>
  <c r="EF173" i="1"/>
  <c r="EF174" i="1"/>
  <c r="EF175" i="1"/>
  <c r="EF176" i="1"/>
  <c r="EF177" i="1"/>
  <c r="EF178" i="1"/>
  <c r="EF179" i="1"/>
  <c r="EF180" i="1"/>
  <c r="EF181" i="1"/>
  <c r="EF182" i="1"/>
  <c r="EF183" i="1"/>
  <c r="EF184" i="1"/>
  <c r="EF185" i="1"/>
  <c r="EF186" i="1"/>
  <c r="EF187" i="1"/>
  <c r="EF188" i="1"/>
  <c r="EF189" i="1"/>
  <c r="EF190" i="1"/>
  <c r="EF191" i="1"/>
  <c r="EF192" i="1"/>
  <c r="EF193" i="1"/>
  <c r="EF194" i="1"/>
  <c r="EF195" i="1"/>
  <c r="EF196" i="1"/>
  <c r="EF197" i="1"/>
  <c r="EF198" i="1"/>
  <c r="EF199" i="1"/>
  <c r="EF200" i="1"/>
  <c r="EF201" i="1"/>
  <c r="EF202" i="1"/>
  <c r="EF203" i="1"/>
  <c r="EF204" i="1"/>
  <c r="EF205" i="1"/>
  <c r="EF206" i="1"/>
  <c r="EF207" i="1"/>
  <c r="EF208" i="1"/>
  <c r="EF209" i="1"/>
  <c r="EF210" i="1"/>
  <c r="EF211" i="1"/>
  <c r="EF212" i="1"/>
  <c r="EF213" i="1"/>
  <c r="EF214" i="1"/>
  <c r="EF215" i="1"/>
  <c r="EF216" i="1"/>
  <c r="EF217" i="1"/>
  <c r="EF218" i="1"/>
  <c r="EF219" i="1"/>
  <c r="EF220" i="1"/>
  <c r="EF221" i="1"/>
  <c r="EF222" i="1"/>
  <c r="EF223" i="1"/>
  <c r="EF224" i="1"/>
  <c r="EF225" i="1"/>
  <c r="EF226" i="1"/>
  <c r="EF227" i="1"/>
  <c r="EF228" i="1"/>
  <c r="EF229" i="1"/>
  <c r="EF230" i="1"/>
  <c r="EF231" i="1"/>
  <c r="EF232" i="1"/>
  <c r="EF233" i="1"/>
  <c r="EF234" i="1"/>
  <c r="EF235" i="1"/>
  <c r="EF236" i="1"/>
  <c r="EF237" i="1"/>
  <c r="EF238" i="1"/>
  <c r="EF239" i="1"/>
  <c r="EF240" i="1"/>
  <c r="EF241" i="1"/>
  <c r="EF242" i="1"/>
  <c r="EF243" i="1"/>
  <c r="EF244" i="1"/>
  <c r="EF245" i="1"/>
  <c r="EF246" i="1"/>
  <c r="EF247" i="1"/>
  <c r="EF248" i="1"/>
  <c r="EF249" i="1"/>
  <c r="EF250" i="1"/>
  <c r="EF251" i="1"/>
  <c r="EF252" i="1"/>
  <c r="EF253" i="1"/>
  <c r="EF254" i="1"/>
  <c r="EF255" i="1"/>
  <c r="EF256" i="1"/>
  <c r="EF257" i="1"/>
  <c r="EF258" i="1"/>
  <c r="EF259" i="1"/>
  <c r="EF260" i="1"/>
  <c r="EF261" i="1"/>
  <c r="EF262" i="1"/>
  <c r="EF263" i="1"/>
  <c r="EF264" i="1"/>
  <c r="EF265" i="1"/>
  <c r="EF266" i="1"/>
  <c r="EF267" i="1"/>
  <c r="EF268" i="1"/>
  <c r="EF269" i="1"/>
  <c r="EF270" i="1"/>
  <c r="EF271" i="1"/>
  <c r="EF272" i="1"/>
  <c r="EF273" i="1"/>
  <c r="EF274" i="1"/>
  <c r="EF275" i="1"/>
  <c r="EF276" i="1"/>
  <c r="EF277" i="1"/>
  <c r="EF278" i="1"/>
  <c r="EF279" i="1"/>
  <c r="EF280" i="1"/>
  <c r="EF281" i="1"/>
  <c r="EF282" i="1"/>
  <c r="EF283" i="1"/>
  <c r="EF284" i="1"/>
  <c r="EF285" i="1"/>
  <c r="EF286" i="1"/>
  <c r="EF287" i="1"/>
  <c r="EF288" i="1"/>
  <c r="EF289" i="1"/>
  <c r="EF290" i="1"/>
  <c r="EF291" i="1"/>
  <c r="EF292" i="1"/>
  <c r="EF293" i="1"/>
  <c r="EF294" i="1"/>
  <c r="EF295" i="1"/>
  <c r="EF296" i="1"/>
  <c r="EF297" i="1"/>
  <c r="EF298" i="1"/>
  <c r="EF299" i="1"/>
  <c r="EF300" i="1"/>
  <c r="EF301" i="1"/>
  <c r="EF302" i="1"/>
  <c r="EF303" i="1"/>
  <c r="EF304" i="1"/>
  <c r="EF305" i="1"/>
  <c r="EF306" i="1"/>
  <c r="EF307" i="1"/>
  <c r="EF308" i="1"/>
  <c r="EF309" i="1"/>
  <c r="EF310" i="1"/>
  <c r="EF311" i="1"/>
  <c r="EF312" i="1"/>
  <c r="EF313" i="1"/>
  <c r="EF314" i="1"/>
  <c r="EF315" i="1"/>
  <c r="EF316" i="1"/>
  <c r="EF317" i="1"/>
  <c r="EF318" i="1"/>
  <c r="EF319" i="1"/>
  <c r="EF320" i="1"/>
  <c r="EF321" i="1"/>
  <c r="EF322" i="1"/>
  <c r="EF323" i="1"/>
  <c r="EF324" i="1"/>
  <c r="EF325" i="1"/>
  <c r="EF326" i="1"/>
  <c r="EF327" i="1"/>
  <c r="EF328" i="1"/>
  <c r="EF329" i="1"/>
  <c r="EF330" i="1"/>
  <c r="EF331" i="1"/>
  <c r="EF332" i="1"/>
  <c r="EF333" i="1"/>
  <c r="EF334" i="1"/>
  <c r="EF335" i="1"/>
  <c r="EF336" i="1"/>
  <c r="EF337" i="1"/>
  <c r="EF338" i="1"/>
  <c r="EF339" i="1"/>
  <c r="EF340" i="1"/>
  <c r="EF341" i="1"/>
  <c r="EF342" i="1"/>
  <c r="EF343" i="1"/>
  <c r="EF344" i="1"/>
  <c r="EF345" i="1"/>
  <c r="EF346" i="1"/>
  <c r="EF347" i="1"/>
  <c r="EF348" i="1"/>
  <c r="EF349" i="1"/>
  <c r="EF350" i="1"/>
  <c r="EF351" i="1"/>
  <c r="EF352" i="1"/>
  <c r="EF353" i="1"/>
  <c r="EF354" i="1"/>
  <c r="EF355" i="1"/>
  <c r="EF356" i="1"/>
  <c r="EF357" i="1"/>
  <c r="EF358" i="1"/>
  <c r="EF359" i="1"/>
  <c r="EF360" i="1"/>
  <c r="EF361" i="1"/>
  <c r="EF362" i="1"/>
  <c r="EF363" i="1"/>
  <c r="EF364" i="1"/>
  <c r="EF365" i="1"/>
  <c r="EF366" i="1"/>
  <c r="EF367" i="1"/>
  <c r="EF368" i="1"/>
  <c r="EF369" i="1"/>
  <c r="EF370" i="1"/>
  <c r="EF371" i="1"/>
  <c r="EF372" i="1"/>
  <c r="EF373" i="1"/>
  <c r="EF374" i="1"/>
  <c r="EF375" i="1"/>
  <c r="EF376" i="1"/>
  <c r="EF377" i="1"/>
  <c r="EF378" i="1"/>
  <c r="EF379" i="1"/>
  <c r="EF380" i="1"/>
  <c r="EF381" i="1"/>
  <c r="EF382" i="1"/>
  <c r="EF383" i="1"/>
  <c r="EF384" i="1"/>
  <c r="EF385" i="1"/>
  <c r="EF386" i="1"/>
  <c r="EF387" i="1"/>
  <c r="EF388" i="1"/>
  <c r="EF389" i="1"/>
  <c r="EF390" i="1"/>
  <c r="EF391" i="1"/>
  <c r="EF392" i="1"/>
  <c r="EF393" i="1"/>
  <c r="EF394" i="1"/>
  <c r="EF395" i="1"/>
  <c r="EF396" i="1"/>
  <c r="EF397" i="1"/>
  <c r="EF398" i="1"/>
  <c r="EF399" i="1"/>
  <c r="EF400" i="1"/>
  <c r="EF401" i="1"/>
  <c r="EF402" i="1"/>
  <c r="EF403" i="1"/>
  <c r="EF404" i="1"/>
  <c r="EF405" i="1"/>
  <c r="EF406" i="1"/>
  <c r="EF407" i="1"/>
  <c r="EF408" i="1"/>
  <c r="EF409" i="1"/>
  <c r="EF410" i="1"/>
  <c r="EF411" i="1"/>
  <c r="EF412" i="1"/>
  <c r="EF413" i="1"/>
  <c r="EF414" i="1"/>
  <c r="EF415" i="1"/>
  <c r="EF416" i="1"/>
  <c r="EF417" i="1"/>
  <c r="EF418" i="1"/>
  <c r="EF419" i="1"/>
  <c r="EF420" i="1"/>
  <c r="EF421" i="1"/>
  <c r="EF422" i="1"/>
  <c r="EF423" i="1"/>
  <c r="EF424" i="1"/>
  <c r="EF425" i="1"/>
  <c r="EF426" i="1"/>
  <c r="EF427" i="1"/>
  <c r="EF428" i="1"/>
  <c r="EF429" i="1"/>
  <c r="EF430" i="1"/>
  <c r="EF431" i="1"/>
  <c r="EF432" i="1"/>
  <c r="EF433" i="1"/>
  <c r="EF434" i="1"/>
  <c r="EF435" i="1"/>
  <c r="EF436" i="1"/>
  <c r="EF437" i="1"/>
  <c r="EF438" i="1"/>
  <c r="EF439" i="1"/>
  <c r="EF440" i="1"/>
  <c r="EF441" i="1"/>
  <c r="EF442" i="1"/>
  <c r="EF443" i="1"/>
  <c r="EF444" i="1"/>
  <c r="EF445" i="1"/>
  <c r="EF446" i="1"/>
  <c r="EF447" i="1"/>
  <c r="EF448" i="1"/>
  <c r="EF449" i="1"/>
  <c r="EF450" i="1"/>
  <c r="EF451" i="1"/>
  <c r="EF452" i="1"/>
  <c r="EF453" i="1"/>
  <c r="EF454" i="1"/>
  <c r="EF455" i="1"/>
  <c r="EF456" i="1"/>
  <c r="EF457" i="1"/>
  <c r="EF458" i="1"/>
  <c r="EF459" i="1"/>
  <c r="EF460" i="1"/>
  <c r="EF461" i="1"/>
  <c r="EF462" i="1"/>
  <c r="EF463" i="1"/>
  <c r="EF464" i="1"/>
  <c r="EF465" i="1"/>
  <c r="EF466" i="1"/>
  <c r="EF467" i="1"/>
  <c r="EF468" i="1"/>
  <c r="EF469" i="1"/>
  <c r="EF470" i="1"/>
  <c r="EF471" i="1"/>
  <c r="EF472" i="1"/>
  <c r="EF473" i="1"/>
  <c r="EF474" i="1"/>
  <c r="EF475" i="1"/>
  <c r="EF476" i="1"/>
  <c r="EF477" i="1"/>
  <c r="EF478" i="1"/>
  <c r="EF479" i="1"/>
  <c r="EF480" i="1"/>
  <c r="EF481" i="1"/>
  <c r="EF482" i="1"/>
  <c r="EF483" i="1"/>
  <c r="EF484" i="1"/>
  <c r="EF485" i="1"/>
  <c r="EF486" i="1"/>
  <c r="EF487" i="1"/>
  <c r="EF488" i="1"/>
  <c r="EF489" i="1"/>
  <c r="EF490" i="1"/>
  <c r="EF491" i="1"/>
  <c r="EF492" i="1"/>
  <c r="EF493" i="1"/>
  <c r="EF494" i="1"/>
  <c r="EF495" i="1"/>
  <c r="EF496" i="1"/>
  <c r="EF497" i="1"/>
  <c r="EF498" i="1"/>
  <c r="EF499" i="1"/>
  <c r="EF500" i="1"/>
  <c r="EF501" i="1"/>
  <c r="EF502" i="1"/>
  <c r="EF503" i="1"/>
  <c r="EF504" i="1"/>
  <c r="EF505" i="1"/>
  <c r="EF506" i="1"/>
  <c r="EF507" i="1"/>
  <c r="EF508" i="1"/>
  <c r="EF509" i="1"/>
  <c r="EF510" i="1"/>
  <c r="EF511" i="1"/>
  <c r="EF512" i="1"/>
  <c r="EF513" i="1"/>
  <c r="EF514" i="1"/>
  <c r="EF515" i="1"/>
  <c r="EF516" i="1"/>
  <c r="EF517" i="1"/>
  <c r="EF518" i="1"/>
  <c r="EF519" i="1"/>
  <c r="EF520" i="1"/>
  <c r="EF521" i="1"/>
  <c r="EF522" i="1"/>
  <c r="EF523" i="1"/>
  <c r="EF524" i="1"/>
  <c r="EF525" i="1"/>
  <c r="EF526" i="1"/>
  <c r="EF527" i="1"/>
  <c r="EF528" i="1"/>
  <c r="EF529" i="1"/>
  <c r="EF530" i="1"/>
  <c r="EF531" i="1"/>
  <c r="EF532" i="1"/>
  <c r="EF533" i="1"/>
  <c r="EF534" i="1"/>
  <c r="EF535" i="1"/>
  <c r="EF536" i="1"/>
  <c r="EF537" i="1"/>
  <c r="EF538" i="1"/>
  <c r="EF539" i="1"/>
  <c r="EF540" i="1"/>
  <c r="EF541" i="1"/>
  <c r="EF542" i="1"/>
  <c r="EF543" i="1"/>
  <c r="EF544" i="1"/>
  <c r="EF545" i="1"/>
  <c r="EF546" i="1"/>
  <c r="EF547" i="1"/>
  <c r="EF548" i="1"/>
  <c r="EF549" i="1"/>
  <c r="EF550" i="1"/>
  <c r="EF551" i="1"/>
  <c r="EF552" i="1"/>
  <c r="EF553" i="1"/>
  <c r="EF554" i="1"/>
  <c r="EF555" i="1"/>
  <c r="EF556" i="1"/>
  <c r="EF557" i="1"/>
  <c r="EF558" i="1"/>
  <c r="EF559" i="1"/>
  <c r="EF560" i="1"/>
  <c r="EF561" i="1"/>
  <c r="EF562" i="1"/>
  <c r="EF563" i="1"/>
  <c r="EF564" i="1"/>
  <c r="EF565" i="1"/>
  <c r="EF566" i="1"/>
  <c r="EF567" i="1"/>
  <c r="EF568" i="1"/>
  <c r="EF569" i="1"/>
  <c r="EF570" i="1"/>
  <c r="EF571" i="1"/>
  <c r="EF572" i="1"/>
  <c r="EF573" i="1"/>
  <c r="EF574" i="1"/>
  <c r="EF575" i="1"/>
  <c r="EF576" i="1"/>
  <c r="EF577" i="1"/>
  <c r="EF578" i="1"/>
  <c r="EF579" i="1"/>
  <c r="EF580" i="1"/>
  <c r="EF581" i="1"/>
  <c r="EF582" i="1"/>
  <c r="EF583" i="1"/>
  <c r="EF584" i="1"/>
  <c r="EF585" i="1"/>
  <c r="EF586" i="1"/>
  <c r="EF587" i="1"/>
  <c r="EF588" i="1"/>
  <c r="EF589" i="1"/>
  <c r="EF590" i="1"/>
  <c r="EF591" i="1"/>
  <c r="EF592" i="1"/>
  <c r="EF593" i="1"/>
  <c r="EF594" i="1"/>
  <c r="EF595" i="1"/>
  <c r="EF596" i="1"/>
  <c r="EF597" i="1"/>
  <c r="EF598" i="1"/>
  <c r="EF599" i="1"/>
  <c r="EF600" i="1"/>
  <c r="EF601" i="1"/>
  <c r="EF602" i="1"/>
  <c r="EF603" i="1"/>
  <c r="EF604" i="1"/>
  <c r="EF605" i="1"/>
  <c r="EF606" i="1"/>
  <c r="EF607" i="1"/>
  <c r="EF608" i="1"/>
  <c r="EF609" i="1"/>
  <c r="EF610" i="1"/>
  <c r="EF611" i="1"/>
  <c r="EF612" i="1"/>
  <c r="EF613" i="1"/>
  <c r="EF614" i="1"/>
  <c r="EF615" i="1"/>
  <c r="EF616" i="1"/>
  <c r="EF617" i="1"/>
  <c r="EF618" i="1"/>
  <c r="EF619" i="1"/>
  <c r="EF620" i="1"/>
  <c r="EF621" i="1"/>
  <c r="EF622" i="1"/>
  <c r="EF623" i="1"/>
  <c r="EF624" i="1"/>
  <c r="EF625" i="1"/>
  <c r="EF626" i="1"/>
  <c r="EF627" i="1"/>
  <c r="EF628" i="1"/>
  <c r="EF629" i="1"/>
  <c r="EF630" i="1"/>
  <c r="EF631" i="1"/>
  <c r="EF632" i="1"/>
  <c r="EF633" i="1"/>
  <c r="EF634" i="1"/>
  <c r="EF635" i="1"/>
  <c r="EF636" i="1"/>
  <c r="EF637" i="1"/>
  <c r="EF638" i="1"/>
  <c r="EF639" i="1"/>
  <c r="EF640" i="1"/>
  <c r="EF641" i="1"/>
  <c r="EF642" i="1"/>
  <c r="EF643" i="1"/>
  <c r="EF644" i="1"/>
  <c r="EF645" i="1"/>
  <c r="EF646" i="1"/>
  <c r="EF647" i="1"/>
  <c r="EF648" i="1"/>
  <c r="EF649" i="1"/>
  <c r="EF650" i="1"/>
  <c r="EF651" i="1"/>
  <c r="EF652" i="1"/>
  <c r="EF653" i="1"/>
  <c r="EF654" i="1"/>
  <c r="EF655" i="1"/>
  <c r="EF656" i="1"/>
  <c r="EF657" i="1"/>
  <c r="EF658" i="1"/>
  <c r="EF659" i="1"/>
  <c r="EF660" i="1"/>
  <c r="EF661" i="1"/>
  <c r="EF662" i="1"/>
  <c r="EF663" i="1"/>
  <c r="EF664" i="1"/>
  <c r="EF665" i="1"/>
  <c r="EF666" i="1"/>
  <c r="EF667" i="1"/>
  <c r="EF668" i="1"/>
  <c r="EF669" i="1"/>
  <c r="EF670" i="1"/>
  <c r="EF671" i="1"/>
  <c r="EF672" i="1"/>
  <c r="EF673" i="1"/>
  <c r="EF674" i="1"/>
  <c r="EF675" i="1"/>
  <c r="EF676" i="1"/>
  <c r="EF677" i="1"/>
  <c r="EF678" i="1"/>
  <c r="EF679" i="1"/>
  <c r="EF680" i="1"/>
  <c r="EF681" i="1"/>
  <c r="EF682" i="1"/>
  <c r="EF683" i="1"/>
  <c r="EF684" i="1"/>
  <c r="EF685" i="1"/>
  <c r="EF686" i="1"/>
  <c r="EF687" i="1"/>
  <c r="EF688" i="1"/>
  <c r="EF689" i="1"/>
  <c r="EF690" i="1"/>
  <c r="EF691" i="1"/>
  <c r="EF692" i="1"/>
  <c r="EF693" i="1"/>
  <c r="EF694" i="1"/>
  <c r="EF695" i="1"/>
  <c r="EF696" i="1"/>
  <c r="EF697" i="1"/>
  <c r="EF698" i="1"/>
  <c r="EF699" i="1"/>
  <c r="EF700" i="1"/>
  <c r="EF701" i="1"/>
  <c r="EF702" i="1"/>
  <c r="EF703" i="1"/>
  <c r="EF704" i="1"/>
  <c r="EF705" i="1"/>
  <c r="EF706" i="1"/>
  <c r="EF707" i="1"/>
  <c r="EF708" i="1"/>
  <c r="EF709" i="1"/>
  <c r="EF710" i="1"/>
  <c r="EF711" i="1"/>
  <c r="EF712" i="1"/>
  <c r="EF713" i="1"/>
  <c r="EF714" i="1"/>
  <c r="EF715" i="1"/>
  <c r="EF716" i="1"/>
  <c r="EF717" i="1"/>
  <c r="EF718" i="1"/>
  <c r="EF719" i="1"/>
  <c r="EF720" i="1"/>
  <c r="EF721" i="1"/>
  <c r="EF722" i="1"/>
  <c r="EF723" i="1"/>
  <c r="EF724" i="1"/>
  <c r="EF725" i="1"/>
  <c r="EF726" i="1"/>
  <c r="EF727" i="1"/>
  <c r="EF728" i="1"/>
  <c r="EF729" i="1"/>
  <c r="EF730" i="1"/>
  <c r="EF731" i="1"/>
  <c r="EF732" i="1"/>
  <c r="EF733" i="1"/>
  <c r="EF734" i="1"/>
  <c r="EF735" i="1"/>
  <c r="EF736" i="1"/>
  <c r="EF737" i="1"/>
  <c r="EF738" i="1"/>
  <c r="EF739" i="1"/>
  <c r="EF740" i="1"/>
  <c r="EF741" i="1"/>
  <c r="EF742" i="1"/>
  <c r="EF743" i="1"/>
  <c r="EF744" i="1"/>
  <c r="EF745" i="1"/>
  <c r="EF746" i="1"/>
  <c r="EF747" i="1"/>
  <c r="EF748" i="1"/>
  <c r="EF749" i="1"/>
  <c r="EF750" i="1"/>
  <c r="EF751" i="1"/>
  <c r="EF752" i="1"/>
  <c r="EF753" i="1"/>
  <c r="EF754" i="1"/>
  <c r="EF755" i="1"/>
  <c r="EF756" i="1"/>
  <c r="EF757" i="1"/>
  <c r="EF758" i="1"/>
  <c r="EF759" i="1"/>
  <c r="EF760" i="1"/>
  <c r="EF761" i="1"/>
  <c r="EF762" i="1"/>
  <c r="EF763" i="1"/>
  <c r="EF764" i="1"/>
  <c r="EF765" i="1"/>
  <c r="EF766" i="1"/>
  <c r="EF767" i="1"/>
  <c r="EF768" i="1"/>
  <c r="EF769" i="1"/>
  <c r="EF770" i="1"/>
  <c r="EF771" i="1"/>
  <c r="EF772" i="1"/>
  <c r="EF773" i="1"/>
  <c r="EF774" i="1"/>
  <c r="EF775" i="1"/>
  <c r="EF776" i="1"/>
  <c r="EF777" i="1"/>
  <c r="EF778" i="1"/>
  <c r="EF779" i="1"/>
  <c r="EF780" i="1"/>
  <c r="EF781" i="1"/>
  <c r="EF782" i="1"/>
  <c r="EF783" i="1"/>
  <c r="EF784" i="1"/>
  <c r="EF785" i="1"/>
  <c r="EF786" i="1"/>
  <c r="EF787" i="1"/>
  <c r="EF788" i="1"/>
  <c r="EF789" i="1"/>
  <c r="EF790" i="1"/>
  <c r="EF791" i="1"/>
  <c r="EF792" i="1"/>
  <c r="EF793" i="1"/>
  <c r="EF794" i="1"/>
  <c r="EF795" i="1"/>
  <c r="EF796" i="1"/>
  <c r="EF797" i="1"/>
  <c r="EF798" i="1"/>
  <c r="EF799" i="1"/>
  <c r="EF800" i="1"/>
  <c r="EF801" i="1"/>
  <c r="EF802" i="1"/>
  <c r="EF803" i="1"/>
  <c r="EF804" i="1"/>
  <c r="EF805" i="1"/>
  <c r="EF806" i="1"/>
  <c r="EF807" i="1"/>
  <c r="EF808" i="1"/>
  <c r="EF809" i="1"/>
  <c r="EF810" i="1"/>
  <c r="EF811" i="1"/>
  <c r="EF812" i="1"/>
  <c r="EF813" i="1"/>
  <c r="EF814" i="1"/>
  <c r="EF815" i="1"/>
  <c r="EF816" i="1"/>
  <c r="EF817" i="1"/>
  <c r="EF818" i="1"/>
  <c r="EF819" i="1"/>
  <c r="EF820" i="1"/>
  <c r="EF821" i="1"/>
  <c r="EF822" i="1"/>
  <c r="EF823" i="1"/>
  <c r="EF824" i="1"/>
  <c r="EF825" i="1"/>
  <c r="EF826" i="1"/>
  <c r="EF827" i="1"/>
  <c r="EF828" i="1"/>
  <c r="EF829" i="1"/>
  <c r="EF830" i="1"/>
  <c r="EF831" i="1"/>
  <c r="EF832" i="1"/>
  <c r="EF833" i="1"/>
  <c r="EF834" i="1"/>
  <c r="EF835" i="1"/>
  <c r="EF836" i="1"/>
  <c r="EF837" i="1"/>
  <c r="EF838" i="1"/>
  <c r="EF839" i="1"/>
  <c r="EF840" i="1"/>
  <c r="EF841" i="1"/>
  <c r="EF842" i="1"/>
  <c r="EF843" i="1"/>
  <c r="EF844" i="1"/>
  <c r="EF845" i="1"/>
  <c r="EF846" i="1"/>
  <c r="EF847" i="1"/>
  <c r="EF848" i="1"/>
  <c r="EF849" i="1"/>
  <c r="EF850" i="1"/>
  <c r="EF851" i="1"/>
  <c r="EF852" i="1"/>
  <c r="EF853" i="1"/>
  <c r="EF854" i="1"/>
  <c r="EF855" i="1"/>
  <c r="EF856" i="1"/>
  <c r="EF857" i="1"/>
  <c r="EF858" i="1"/>
  <c r="EF859" i="1"/>
  <c r="EF860" i="1"/>
  <c r="EF861" i="1"/>
  <c r="EF862" i="1"/>
  <c r="EF863" i="1"/>
  <c r="EF864" i="1"/>
  <c r="EF865" i="1"/>
  <c r="EF866" i="1"/>
  <c r="EF867" i="1"/>
  <c r="EF868" i="1"/>
  <c r="EF869" i="1"/>
  <c r="EF870" i="1"/>
  <c r="EF871" i="1"/>
  <c r="EF872" i="1"/>
  <c r="EF873" i="1"/>
  <c r="EF874" i="1"/>
  <c r="EF875" i="1"/>
  <c r="EF876" i="1"/>
  <c r="EF877" i="1"/>
  <c r="EF878" i="1"/>
  <c r="EF879" i="1"/>
  <c r="EF880" i="1"/>
  <c r="EF881" i="1"/>
  <c r="EF882" i="1"/>
  <c r="EF883" i="1"/>
  <c r="EF884" i="1"/>
  <c r="EF885" i="1"/>
  <c r="EF886" i="1"/>
  <c r="EF887" i="1"/>
  <c r="EF888" i="1"/>
  <c r="EF889" i="1"/>
  <c r="EF890" i="1"/>
  <c r="EF891" i="1"/>
  <c r="EF892" i="1"/>
  <c r="EF893" i="1"/>
  <c r="EF894" i="1"/>
  <c r="EF895" i="1"/>
  <c r="EF896" i="1"/>
  <c r="EF897" i="1"/>
  <c r="EF898" i="1"/>
  <c r="EF899" i="1"/>
  <c r="EF900" i="1"/>
  <c r="EF901" i="1"/>
  <c r="EF902" i="1"/>
  <c r="EF903" i="1"/>
  <c r="EF904" i="1"/>
  <c r="EF905" i="1"/>
  <c r="EF906" i="1"/>
  <c r="EF907" i="1"/>
  <c r="EF908" i="1"/>
  <c r="EF909" i="1"/>
  <c r="EF910" i="1"/>
  <c r="EF911" i="1"/>
  <c r="EF912" i="1"/>
  <c r="EF913" i="1"/>
  <c r="EF914" i="1"/>
  <c r="EF915" i="1"/>
  <c r="EF916" i="1"/>
  <c r="EF917" i="1"/>
  <c r="EF918" i="1"/>
  <c r="EF919" i="1"/>
  <c r="EF920" i="1"/>
  <c r="EF921" i="1"/>
  <c r="EF922" i="1"/>
  <c r="EF923" i="1"/>
  <c r="EF924" i="1"/>
  <c r="EF925" i="1"/>
  <c r="EF926" i="1"/>
  <c r="EF927" i="1"/>
  <c r="EF928" i="1"/>
  <c r="EF929" i="1"/>
  <c r="EF930" i="1"/>
  <c r="EF931" i="1"/>
  <c r="EF932" i="1"/>
  <c r="EE4" i="1"/>
  <c r="EE5" i="1"/>
  <c r="EE6" i="1"/>
  <c r="EE7" i="1"/>
  <c r="EE8" i="1"/>
  <c r="EE9" i="1"/>
  <c r="EE10" i="1"/>
  <c r="EE11" i="1"/>
  <c r="EE12" i="1"/>
  <c r="EE13" i="1"/>
  <c r="EE14" i="1"/>
  <c r="EE15" i="1"/>
  <c r="EE16" i="1"/>
  <c r="EE17" i="1"/>
  <c r="EE18" i="1"/>
  <c r="EE19" i="1"/>
  <c r="EE20" i="1"/>
  <c r="EE21" i="1"/>
  <c r="EE22" i="1"/>
  <c r="EE23" i="1"/>
  <c r="EE24" i="1"/>
  <c r="EE25" i="1"/>
  <c r="EE26" i="1"/>
  <c r="EE27" i="1"/>
  <c r="EE28" i="1"/>
  <c r="EE29" i="1"/>
  <c r="EE30" i="1"/>
  <c r="EE31" i="1"/>
  <c r="EE32" i="1"/>
  <c r="EE33" i="1"/>
  <c r="EE34" i="1"/>
  <c r="EE35" i="1"/>
  <c r="EE36" i="1"/>
  <c r="EE37" i="1"/>
  <c r="EE38" i="1"/>
  <c r="EE39" i="1"/>
  <c r="EE40" i="1"/>
  <c r="EE41" i="1"/>
  <c r="EE42" i="1"/>
  <c r="EE43" i="1"/>
  <c r="EE44" i="1"/>
  <c r="EE45" i="1"/>
  <c r="EE46" i="1"/>
  <c r="EE47" i="1"/>
  <c r="EE48" i="1"/>
  <c r="EE49" i="1"/>
  <c r="EE50" i="1"/>
  <c r="EE51" i="1"/>
  <c r="EE52" i="1"/>
  <c r="EE53" i="1"/>
  <c r="EE54" i="1"/>
  <c r="EE55" i="1"/>
  <c r="EE56" i="1"/>
  <c r="EE57" i="1"/>
  <c r="EE58" i="1"/>
  <c r="EE59" i="1"/>
  <c r="EE60" i="1"/>
  <c r="EE61" i="1"/>
  <c r="EE62" i="1"/>
  <c r="EE63" i="1"/>
  <c r="EE64" i="1"/>
  <c r="EE65" i="1"/>
  <c r="EE66" i="1"/>
  <c r="EE67" i="1"/>
  <c r="EE68" i="1"/>
  <c r="EE69" i="1"/>
  <c r="EE70" i="1"/>
  <c r="EE71" i="1"/>
  <c r="EE72" i="1"/>
  <c r="EE73" i="1"/>
  <c r="EE74" i="1"/>
  <c r="EE75" i="1"/>
  <c r="EE76" i="1"/>
  <c r="EE77" i="1"/>
  <c r="EE78" i="1"/>
  <c r="EE79" i="1"/>
  <c r="EE80" i="1"/>
  <c r="EE81" i="1"/>
  <c r="EE82" i="1"/>
  <c r="EE83" i="1"/>
  <c r="EE84" i="1"/>
  <c r="EE85" i="1"/>
  <c r="EE86" i="1"/>
  <c r="EE87" i="1"/>
  <c r="EE88" i="1"/>
  <c r="EE89" i="1"/>
  <c r="EE90" i="1"/>
  <c r="EE91" i="1"/>
  <c r="EE92" i="1"/>
  <c r="EE93" i="1"/>
  <c r="EE94" i="1"/>
  <c r="EE95" i="1"/>
  <c r="EE96" i="1"/>
  <c r="EE97" i="1"/>
  <c r="EE98" i="1"/>
  <c r="EE99" i="1"/>
  <c r="EE100" i="1"/>
  <c r="EE101" i="1"/>
  <c r="EE102" i="1"/>
  <c r="EE103" i="1"/>
  <c r="EE104" i="1"/>
  <c r="EE105" i="1"/>
  <c r="EE106" i="1"/>
  <c r="EE107" i="1"/>
  <c r="EE108" i="1"/>
  <c r="EE109" i="1"/>
  <c r="EE110" i="1"/>
  <c r="EE111" i="1"/>
  <c r="EE112" i="1"/>
  <c r="EE113" i="1"/>
  <c r="EE114" i="1"/>
  <c r="EE115" i="1"/>
  <c r="EE116" i="1"/>
  <c r="EE117" i="1"/>
  <c r="EE118" i="1"/>
  <c r="EE119" i="1"/>
  <c r="EE120" i="1"/>
  <c r="EE121" i="1"/>
  <c r="EE122" i="1"/>
  <c r="EE123" i="1"/>
  <c r="EE124" i="1"/>
  <c r="EE125" i="1"/>
  <c r="EE126" i="1"/>
  <c r="EE127" i="1"/>
  <c r="EE128" i="1"/>
  <c r="EE129" i="1"/>
  <c r="EE130" i="1"/>
  <c r="EE131" i="1"/>
  <c r="EE132" i="1"/>
  <c r="EE133" i="1"/>
  <c r="EE134" i="1"/>
  <c r="EE135" i="1"/>
  <c r="EE136" i="1"/>
  <c r="EE137" i="1"/>
  <c r="EE138" i="1"/>
  <c r="EE139" i="1"/>
  <c r="EE140" i="1"/>
  <c r="EE141" i="1"/>
  <c r="EE142" i="1"/>
  <c r="EE143" i="1"/>
  <c r="EE144" i="1"/>
  <c r="EE145" i="1"/>
  <c r="EE146" i="1"/>
  <c r="EE147" i="1"/>
  <c r="EE148" i="1"/>
  <c r="EE149" i="1"/>
  <c r="EE150" i="1"/>
  <c r="EE151" i="1"/>
  <c r="EE152" i="1"/>
  <c r="EE153" i="1"/>
  <c r="EE154" i="1"/>
  <c r="EE155" i="1"/>
  <c r="EE156" i="1"/>
  <c r="EE157" i="1"/>
  <c r="EE158" i="1"/>
  <c r="EE159" i="1"/>
  <c r="EE160" i="1"/>
  <c r="EE161" i="1"/>
  <c r="EE162" i="1"/>
  <c r="EE163" i="1"/>
  <c r="EE164" i="1"/>
  <c r="EE165" i="1"/>
  <c r="EE166" i="1"/>
  <c r="EE167" i="1"/>
  <c r="EE168" i="1"/>
  <c r="EE169" i="1"/>
  <c r="EE170" i="1"/>
  <c r="EE171" i="1"/>
  <c r="EE172" i="1"/>
  <c r="EE173" i="1"/>
  <c r="EE174" i="1"/>
  <c r="EE175" i="1"/>
  <c r="EE176" i="1"/>
  <c r="EE177" i="1"/>
  <c r="EE178" i="1"/>
  <c r="EE179" i="1"/>
  <c r="EE180" i="1"/>
  <c r="EE181" i="1"/>
  <c r="EE182" i="1"/>
  <c r="EE183" i="1"/>
  <c r="EE184" i="1"/>
  <c r="EE185" i="1"/>
  <c r="EE186" i="1"/>
  <c r="EE187" i="1"/>
  <c r="EE188" i="1"/>
  <c r="EE189" i="1"/>
  <c r="EE190" i="1"/>
  <c r="EE191" i="1"/>
  <c r="EE192" i="1"/>
  <c r="EE193" i="1"/>
  <c r="EE194" i="1"/>
  <c r="EE195" i="1"/>
  <c r="EE196" i="1"/>
  <c r="EE197" i="1"/>
  <c r="EE198" i="1"/>
  <c r="EE199" i="1"/>
  <c r="EE200" i="1"/>
  <c r="EE201" i="1"/>
  <c r="EE202" i="1"/>
  <c r="EE203" i="1"/>
  <c r="EE204" i="1"/>
  <c r="EE205" i="1"/>
  <c r="EE206" i="1"/>
  <c r="EE207" i="1"/>
  <c r="EE208" i="1"/>
  <c r="EE209" i="1"/>
  <c r="EE210" i="1"/>
  <c r="EE211" i="1"/>
  <c r="EE212" i="1"/>
  <c r="EE213" i="1"/>
  <c r="EE214" i="1"/>
  <c r="EE215" i="1"/>
  <c r="EE216" i="1"/>
  <c r="EE217" i="1"/>
  <c r="EE218" i="1"/>
  <c r="EE219" i="1"/>
  <c r="EE220" i="1"/>
  <c r="EE221" i="1"/>
  <c r="EE222" i="1"/>
  <c r="EE223" i="1"/>
  <c r="EE224" i="1"/>
  <c r="EE225" i="1"/>
  <c r="EE226" i="1"/>
  <c r="EE227" i="1"/>
  <c r="EE228" i="1"/>
  <c r="EE229" i="1"/>
  <c r="EE230" i="1"/>
  <c r="EE231" i="1"/>
  <c r="EE232" i="1"/>
  <c r="EE233" i="1"/>
  <c r="EE234" i="1"/>
  <c r="EE235" i="1"/>
  <c r="EE236" i="1"/>
  <c r="EE237" i="1"/>
  <c r="EE238" i="1"/>
  <c r="EE239" i="1"/>
  <c r="EE240" i="1"/>
  <c r="EE241" i="1"/>
  <c r="EE242" i="1"/>
  <c r="EE243" i="1"/>
  <c r="EE244" i="1"/>
  <c r="EE245" i="1"/>
  <c r="EE246" i="1"/>
  <c r="EE247" i="1"/>
  <c r="EE248" i="1"/>
  <c r="EE249" i="1"/>
  <c r="EE250" i="1"/>
  <c r="EE251" i="1"/>
  <c r="EE252" i="1"/>
  <c r="EE253" i="1"/>
  <c r="EE254" i="1"/>
  <c r="EE255" i="1"/>
  <c r="EE256" i="1"/>
  <c r="EE257" i="1"/>
  <c r="EE258" i="1"/>
  <c r="EE259" i="1"/>
  <c r="EE260" i="1"/>
  <c r="EE261" i="1"/>
  <c r="EE262" i="1"/>
  <c r="EE263" i="1"/>
  <c r="EE264" i="1"/>
  <c r="EE265" i="1"/>
  <c r="EE266" i="1"/>
  <c r="EE267" i="1"/>
  <c r="EE268" i="1"/>
  <c r="EE269" i="1"/>
  <c r="EE270" i="1"/>
  <c r="EE271" i="1"/>
  <c r="EE272" i="1"/>
  <c r="EE273" i="1"/>
  <c r="EE274" i="1"/>
  <c r="EE275" i="1"/>
  <c r="EE276" i="1"/>
  <c r="EE277" i="1"/>
  <c r="EE278" i="1"/>
  <c r="EE279" i="1"/>
  <c r="EE280" i="1"/>
  <c r="EE281" i="1"/>
  <c r="EE282" i="1"/>
  <c r="EE283" i="1"/>
  <c r="EE284" i="1"/>
  <c r="EE285" i="1"/>
  <c r="EE286" i="1"/>
  <c r="EE287" i="1"/>
  <c r="EE288" i="1"/>
  <c r="EE289" i="1"/>
  <c r="EE290" i="1"/>
  <c r="EE291" i="1"/>
  <c r="EE292" i="1"/>
  <c r="EE293" i="1"/>
  <c r="EE294" i="1"/>
  <c r="EE295" i="1"/>
  <c r="EE296" i="1"/>
  <c r="EE297" i="1"/>
  <c r="EE298" i="1"/>
  <c r="EE299" i="1"/>
  <c r="EE300" i="1"/>
  <c r="EE301" i="1"/>
  <c r="EE302" i="1"/>
  <c r="EE303" i="1"/>
  <c r="EE304" i="1"/>
  <c r="EE305" i="1"/>
  <c r="EE306" i="1"/>
  <c r="EE307" i="1"/>
  <c r="EE308" i="1"/>
  <c r="EE309" i="1"/>
  <c r="EE310" i="1"/>
  <c r="EE311" i="1"/>
  <c r="EE312" i="1"/>
  <c r="EE313" i="1"/>
  <c r="EE314" i="1"/>
  <c r="EE315" i="1"/>
  <c r="EE316" i="1"/>
  <c r="EE317" i="1"/>
  <c r="EE318" i="1"/>
  <c r="EE319" i="1"/>
  <c r="EE320" i="1"/>
  <c r="EE321" i="1"/>
  <c r="EE322" i="1"/>
  <c r="EE323" i="1"/>
  <c r="EE324" i="1"/>
  <c r="EE325" i="1"/>
  <c r="EE326" i="1"/>
  <c r="EE327" i="1"/>
  <c r="EE328" i="1"/>
  <c r="EE329" i="1"/>
  <c r="EE330" i="1"/>
  <c r="EE331" i="1"/>
  <c r="EE332" i="1"/>
  <c r="EE333" i="1"/>
  <c r="EE334" i="1"/>
  <c r="EE335" i="1"/>
  <c r="EE336" i="1"/>
  <c r="EE337" i="1"/>
  <c r="EE338" i="1"/>
  <c r="EE339" i="1"/>
  <c r="EE340" i="1"/>
  <c r="EE341" i="1"/>
  <c r="EE342" i="1"/>
  <c r="EE343" i="1"/>
  <c r="EE344" i="1"/>
  <c r="EE345" i="1"/>
  <c r="EE346" i="1"/>
  <c r="EE347" i="1"/>
  <c r="EE348" i="1"/>
  <c r="EE349" i="1"/>
  <c r="EE350" i="1"/>
  <c r="EE351" i="1"/>
  <c r="EE352" i="1"/>
  <c r="EE353" i="1"/>
  <c r="EE354" i="1"/>
  <c r="EE355" i="1"/>
  <c r="EE356" i="1"/>
  <c r="EE357" i="1"/>
  <c r="EE358" i="1"/>
  <c r="EE359" i="1"/>
  <c r="EE360" i="1"/>
  <c r="EE361" i="1"/>
  <c r="EE362" i="1"/>
  <c r="EE363" i="1"/>
  <c r="EE364" i="1"/>
  <c r="EE365" i="1"/>
  <c r="EE366" i="1"/>
  <c r="EE367" i="1"/>
  <c r="EE368" i="1"/>
  <c r="EE369" i="1"/>
  <c r="EE370" i="1"/>
  <c r="EE371" i="1"/>
  <c r="EE372" i="1"/>
  <c r="EE373" i="1"/>
  <c r="EE374" i="1"/>
  <c r="EE375" i="1"/>
  <c r="EE376" i="1"/>
  <c r="EE377" i="1"/>
  <c r="EE378" i="1"/>
  <c r="EE379" i="1"/>
  <c r="EE380" i="1"/>
  <c r="EE381" i="1"/>
  <c r="EE382" i="1"/>
  <c r="EE383" i="1"/>
  <c r="EE384" i="1"/>
  <c r="EE385" i="1"/>
  <c r="EE386" i="1"/>
  <c r="EE387" i="1"/>
  <c r="EE388" i="1"/>
  <c r="EE389" i="1"/>
  <c r="EE390" i="1"/>
  <c r="EE391" i="1"/>
  <c r="EE392" i="1"/>
  <c r="EE393" i="1"/>
  <c r="EE394" i="1"/>
  <c r="EE395" i="1"/>
  <c r="EE396" i="1"/>
  <c r="EE397" i="1"/>
  <c r="EE398" i="1"/>
  <c r="EE399" i="1"/>
  <c r="EE400" i="1"/>
  <c r="EE401" i="1"/>
  <c r="EE402" i="1"/>
  <c r="EE403" i="1"/>
  <c r="EE404" i="1"/>
  <c r="EE405" i="1"/>
  <c r="EE406" i="1"/>
  <c r="EE407" i="1"/>
  <c r="EE408" i="1"/>
  <c r="EE409" i="1"/>
  <c r="EE410" i="1"/>
  <c r="EE411" i="1"/>
  <c r="EE412" i="1"/>
  <c r="EE413" i="1"/>
  <c r="EE414" i="1"/>
  <c r="EE415" i="1"/>
  <c r="EE416" i="1"/>
  <c r="EE417" i="1"/>
  <c r="EE418" i="1"/>
  <c r="EE419" i="1"/>
  <c r="EE420" i="1"/>
  <c r="EE421" i="1"/>
  <c r="EE422" i="1"/>
  <c r="EE423" i="1"/>
  <c r="EE424" i="1"/>
  <c r="EE425" i="1"/>
  <c r="EE426" i="1"/>
  <c r="EE427" i="1"/>
  <c r="EE428" i="1"/>
  <c r="EE429" i="1"/>
  <c r="EE430" i="1"/>
  <c r="EE431" i="1"/>
  <c r="EE432" i="1"/>
  <c r="EE433" i="1"/>
  <c r="EE434" i="1"/>
  <c r="EE435" i="1"/>
  <c r="EE436" i="1"/>
  <c r="EE437" i="1"/>
  <c r="EE438" i="1"/>
  <c r="EE439" i="1"/>
  <c r="EE440" i="1"/>
  <c r="EE441" i="1"/>
  <c r="EE442" i="1"/>
  <c r="EE443" i="1"/>
  <c r="EE444" i="1"/>
  <c r="EE445" i="1"/>
  <c r="EE446" i="1"/>
  <c r="EE447" i="1"/>
  <c r="EE448" i="1"/>
  <c r="EE449" i="1"/>
  <c r="EE450" i="1"/>
  <c r="EE451" i="1"/>
  <c r="EE452" i="1"/>
  <c r="EE453" i="1"/>
  <c r="EE454" i="1"/>
  <c r="EE455" i="1"/>
  <c r="EE456" i="1"/>
  <c r="EE457" i="1"/>
  <c r="EE458" i="1"/>
  <c r="EE459" i="1"/>
  <c r="EE460" i="1"/>
  <c r="EE461" i="1"/>
  <c r="EE462" i="1"/>
  <c r="EE463" i="1"/>
  <c r="EE464" i="1"/>
  <c r="EE465" i="1"/>
  <c r="EE466" i="1"/>
  <c r="EE467" i="1"/>
  <c r="EE468" i="1"/>
  <c r="EE469" i="1"/>
  <c r="EE470" i="1"/>
  <c r="EE471" i="1"/>
  <c r="EE472" i="1"/>
  <c r="EE473" i="1"/>
  <c r="EE474" i="1"/>
  <c r="EE475" i="1"/>
  <c r="EE476" i="1"/>
  <c r="EE477" i="1"/>
  <c r="EE478" i="1"/>
  <c r="EE479" i="1"/>
  <c r="EE480" i="1"/>
  <c r="EE481" i="1"/>
  <c r="EE482" i="1"/>
  <c r="EE483" i="1"/>
  <c r="EE484" i="1"/>
  <c r="EE485" i="1"/>
  <c r="EE486" i="1"/>
  <c r="EE487" i="1"/>
  <c r="EE488" i="1"/>
  <c r="EE489" i="1"/>
  <c r="EE490" i="1"/>
  <c r="EE491" i="1"/>
  <c r="EE492" i="1"/>
  <c r="EE493" i="1"/>
  <c r="EE494" i="1"/>
  <c r="EE495" i="1"/>
  <c r="EE496" i="1"/>
  <c r="EE497" i="1"/>
  <c r="EE498" i="1"/>
  <c r="EE499" i="1"/>
  <c r="EE500" i="1"/>
  <c r="EE501" i="1"/>
  <c r="EE502" i="1"/>
  <c r="EE503" i="1"/>
  <c r="EE504" i="1"/>
  <c r="EE505" i="1"/>
  <c r="EE506" i="1"/>
  <c r="EE507" i="1"/>
  <c r="EE508" i="1"/>
  <c r="EE509" i="1"/>
  <c r="EE510" i="1"/>
  <c r="EE511" i="1"/>
  <c r="EE512" i="1"/>
  <c r="EE513" i="1"/>
  <c r="EE514" i="1"/>
  <c r="EE515" i="1"/>
  <c r="EE516" i="1"/>
  <c r="EE517" i="1"/>
  <c r="EE518" i="1"/>
  <c r="EE519" i="1"/>
  <c r="EE520" i="1"/>
  <c r="EE521" i="1"/>
  <c r="EE522" i="1"/>
  <c r="EE523" i="1"/>
  <c r="EE524" i="1"/>
  <c r="EE525" i="1"/>
  <c r="EE526" i="1"/>
  <c r="EE527" i="1"/>
  <c r="EE528" i="1"/>
  <c r="EE529" i="1"/>
  <c r="EE530" i="1"/>
  <c r="EE531" i="1"/>
  <c r="EE532" i="1"/>
  <c r="EE533" i="1"/>
  <c r="EE534" i="1"/>
  <c r="EE535" i="1"/>
  <c r="EE536" i="1"/>
  <c r="EE537" i="1"/>
  <c r="EE538" i="1"/>
  <c r="EE539" i="1"/>
  <c r="EE540" i="1"/>
  <c r="EE541" i="1"/>
  <c r="EE542" i="1"/>
  <c r="EE543" i="1"/>
  <c r="EE544" i="1"/>
  <c r="EE545" i="1"/>
  <c r="EE546" i="1"/>
  <c r="EE547" i="1"/>
  <c r="EE548" i="1"/>
  <c r="EE549" i="1"/>
  <c r="EE550" i="1"/>
  <c r="EE551" i="1"/>
  <c r="EE552" i="1"/>
  <c r="EE553" i="1"/>
  <c r="EE554" i="1"/>
  <c r="EE555" i="1"/>
  <c r="EE556" i="1"/>
  <c r="EE557" i="1"/>
  <c r="EE558" i="1"/>
  <c r="EE559" i="1"/>
  <c r="EE560" i="1"/>
  <c r="EE561" i="1"/>
  <c r="EE562" i="1"/>
  <c r="EE563" i="1"/>
  <c r="EE564" i="1"/>
  <c r="EE565" i="1"/>
  <c r="EE566" i="1"/>
  <c r="EE567" i="1"/>
  <c r="EE568" i="1"/>
  <c r="EE569" i="1"/>
  <c r="EE570" i="1"/>
  <c r="EE571" i="1"/>
  <c r="EE572" i="1"/>
  <c r="EE573" i="1"/>
  <c r="EE574" i="1"/>
  <c r="EE575" i="1"/>
  <c r="EE576" i="1"/>
  <c r="EE577" i="1"/>
  <c r="EE578" i="1"/>
  <c r="EE579" i="1"/>
  <c r="EE580" i="1"/>
  <c r="EE581" i="1"/>
  <c r="EE582" i="1"/>
  <c r="EE583" i="1"/>
  <c r="EE584" i="1"/>
  <c r="EE585" i="1"/>
  <c r="EE586" i="1"/>
  <c r="EE587" i="1"/>
  <c r="EE588" i="1"/>
  <c r="EE589" i="1"/>
  <c r="EE590" i="1"/>
  <c r="EE591" i="1"/>
  <c r="EE592" i="1"/>
  <c r="EE593" i="1"/>
  <c r="EE594" i="1"/>
  <c r="EE595" i="1"/>
  <c r="EE596" i="1"/>
  <c r="EE597" i="1"/>
  <c r="EE598" i="1"/>
  <c r="EE599" i="1"/>
  <c r="EE600" i="1"/>
  <c r="EE601" i="1"/>
  <c r="EE602" i="1"/>
  <c r="EE603" i="1"/>
  <c r="EE604" i="1"/>
  <c r="EE605" i="1"/>
  <c r="EE606" i="1"/>
  <c r="EE607" i="1"/>
  <c r="EE608" i="1"/>
  <c r="EE609" i="1"/>
  <c r="EE610" i="1"/>
  <c r="EE611" i="1"/>
  <c r="EE612" i="1"/>
  <c r="EE613" i="1"/>
  <c r="EE614" i="1"/>
  <c r="EE615" i="1"/>
  <c r="EE616" i="1"/>
  <c r="EE617" i="1"/>
  <c r="EE618" i="1"/>
  <c r="EE619" i="1"/>
  <c r="EE620" i="1"/>
  <c r="EE621" i="1"/>
  <c r="EE622" i="1"/>
  <c r="EE623" i="1"/>
  <c r="EE624" i="1"/>
  <c r="EE625" i="1"/>
  <c r="EE626" i="1"/>
  <c r="EE627" i="1"/>
  <c r="EE628" i="1"/>
  <c r="EE629" i="1"/>
  <c r="EE630" i="1"/>
  <c r="EE631" i="1"/>
  <c r="EE632" i="1"/>
  <c r="EE633" i="1"/>
  <c r="EE634" i="1"/>
  <c r="EE635" i="1"/>
  <c r="EE636" i="1"/>
  <c r="EE637" i="1"/>
  <c r="EE638" i="1"/>
  <c r="EE639" i="1"/>
  <c r="EE640" i="1"/>
  <c r="EE641" i="1"/>
  <c r="EE642" i="1"/>
  <c r="EE643" i="1"/>
  <c r="EE644" i="1"/>
  <c r="EE645" i="1"/>
  <c r="EE646" i="1"/>
  <c r="EE647" i="1"/>
  <c r="EE648" i="1"/>
  <c r="EE649" i="1"/>
  <c r="EE650" i="1"/>
  <c r="EE651" i="1"/>
  <c r="EE652" i="1"/>
  <c r="EE653" i="1"/>
  <c r="EE654" i="1"/>
  <c r="EE655" i="1"/>
  <c r="EE656" i="1"/>
  <c r="EE657" i="1"/>
  <c r="EE658" i="1"/>
  <c r="EE659" i="1"/>
  <c r="EE660" i="1"/>
  <c r="EE661" i="1"/>
  <c r="EE662" i="1"/>
  <c r="EE663" i="1"/>
  <c r="EE664" i="1"/>
  <c r="EE665" i="1"/>
  <c r="EE666" i="1"/>
  <c r="EE667" i="1"/>
  <c r="EE668" i="1"/>
  <c r="EE669" i="1"/>
  <c r="EE670" i="1"/>
  <c r="EE671" i="1"/>
  <c r="EE672" i="1"/>
  <c r="EE673" i="1"/>
  <c r="EE674" i="1"/>
  <c r="EE675" i="1"/>
  <c r="EE676" i="1"/>
  <c r="EE677" i="1"/>
  <c r="EE678" i="1"/>
  <c r="EE679" i="1"/>
  <c r="EE680" i="1"/>
  <c r="EE681" i="1"/>
  <c r="EE682" i="1"/>
  <c r="EE683" i="1"/>
  <c r="EE684" i="1"/>
  <c r="EE685" i="1"/>
  <c r="EE686" i="1"/>
  <c r="EE687" i="1"/>
  <c r="EE688" i="1"/>
  <c r="EE689" i="1"/>
  <c r="EE690" i="1"/>
  <c r="EE691" i="1"/>
  <c r="EE692" i="1"/>
  <c r="EE693" i="1"/>
  <c r="EE694" i="1"/>
  <c r="EE695" i="1"/>
  <c r="EE696" i="1"/>
  <c r="EE697" i="1"/>
  <c r="EE698" i="1"/>
  <c r="EE699" i="1"/>
  <c r="EE700" i="1"/>
  <c r="EE701" i="1"/>
  <c r="EE702" i="1"/>
  <c r="EE703" i="1"/>
  <c r="EE704" i="1"/>
  <c r="EE705" i="1"/>
  <c r="EE706" i="1"/>
  <c r="EE707" i="1"/>
  <c r="EE708" i="1"/>
  <c r="EE709" i="1"/>
  <c r="EE710" i="1"/>
  <c r="EE711" i="1"/>
  <c r="EE712" i="1"/>
  <c r="EE713" i="1"/>
  <c r="EE714" i="1"/>
  <c r="EE715" i="1"/>
  <c r="EE716" i="1"/>
  <c r="EE717" i="1"/>
  <c r="EE718" i="1"/>
  <c r="EE719" i="1"/>
  <c r="EE720" i="1"/>
  <c r="EE721" i="1"/>
  <c r="EE722" i="1"/>
  <c r="EE723" i="1"/>
  <c r="EE724" i="1"/>
  <c r="EE725" i="1"/>
  <c r="EE726" i="1"/>
  <c r="EE727" i="1"/>
  <c r="EE728" i="1"/>
  <c r="EE729" i="1"/>
  <c r="EE730" i="1"/>
  <c r="EE731" i="1"/>
  <c r="EE732" i="1"/>
  <c r="EE733" i="1"/>
  <c r="EE734" i="1"/>
  <c r="EE735" i="1"/>
  <c r="EE736" i="1"/>
  <c r="EE737" i="1"/>
  <c r="EE738" i="1"/>
  <c r="EE739" i="1"/>
  <c r="EE740" i="1"/>
  <c r="EE741" i="1"/>
  <c r="EE742" i="1"/>
  <c r="EE743" i="1"/>
  <c r="EE744" i="1"/>
  <c r="EE745" i="1"/>
  <c r="EE746" i="1"/>
  <c r="EE747" i="1"/>
  <c r="EE748" i="1"/>
  <c r="EE749" i="1"/>
  <c r="EE750" i="1"/>
  <c r="EE751" i="1"/>
  <c r="EE752" i="1"/>
  <c r="EE753" i="1"/>
  <c r="EE754" i="1"/>
  <c r="EE755" i="1"/>
  <c r="EE756" i="1"/>
  <c r="EE757" i="1"/>
  <c r="EE758" i="1"/>
  <c r="EE759" i="1"/>
  <c r="EE760" i="1"/>
  <c r="EE761" i="1"/>
  <c r="EE762" i="1"/>
  <c r="EE763" i="1"/>
  <c r="EE764" i="1"/>
  <c r="EE765" i="1"/>
  <c r="EE766" i="1"/>
  <c r="EE767" i="1"/>
  <c r="EE768" i="1"/>
  <c r="EE769" i="1"/>
  <c r="EE770" i="1"/>
  <c r="EE771" i="1"/>
  <c r="EE772" i="1"/>
  <c r="EE773" i="1"/>
  <c r="EE774" i="1"/>
  <c r="EE775" i="1"/>
  <c r="EE776" i="1"/>
  <c r="EE777" i="1"/>
  <c r="EE778" i="1"/>
  <c r="EE779" i="1"/>
  <c r="EE780" i="1"/>
  <c r="EE781" i="1"/>
  <c r="EE782" i="1"/>
  <c r="EE783" i="1"/>
  <c r="EE784" i="1"/>
  <c r="EE785" i="1"/>
  <c r="EE786" i="1"/>
  <c r="EE787" i="1"/>
  <c r="EE788" i="1"/>
  <c r="EE789" i="1"/>
  <c r="EE790" i="1"/>
  <c r="EE791" i="1"/>
  <c r="EE792" i="1"/>
  <c r="EE793" i="1"/>
  <c r="EE794" i="1"/>
  <c r="EE795" i="1"/>
  <c r="EE796" i="1"/>
  <c r="EE797" i="1"/>
  <c r="EE798" i="1"/>
  <c r="EE799" i="1"/>
  <c r="EE800" i="1"/>
  <c r="EE801" i="1"/>
  <c r="EE802" i="1"/>
  <c r="EE803" i="1"/>
  <c r="EE804" i="1"/>
  <c r="EE805" i="1"/>
  <c r="EE806" i="1"/>
  <c r="EE807" i="1"/>
  <c r="EE808" i="1"/>
  <c r="EE809" i="1"/>
  <c r="EE810" i="1"/>
  <c r="EE811" i="1"/>
  <c r="EE812" i="1"/>
  <c r="EE813" i="1"/>
  <c r="EE814" i="1"/>
  <c r="EE815" i="1"/>
  <c r="EE816" i="1"/>
  <c r="EE817" i="1"/>
  <c r="EE818" i="1"/>
  <c r="EE819" i="1"/>
  <c r="EE820" i="1"/>
  <c r="EE821" i="1"/>
  <c r="EE822" i="1"/>
  <c r="EE823" i="1"/>
  <c r="EE824" i="1"/>
  <c r="EE825" i="1"/>
  <c r="EE826" i="1"/>
  <c r="EE827" i="1"/>
  <c r="EE828" i="1"/>
  <c r="EE829" i="1"/>
  <c r="EE830" i="1"/>
  <c r="EE831" i="1"/>
  <c r="EE832" i="1"/>
  <c r="EE833" i="1"/>
  <c r="EE834" i="1"/>
  <c r="EE835" i="1"/>
  <c r="EE836" i="1"/>
  <c r="EE837" i="1"/>
  <c r="EE838" i="1"/>
  <c r="EE839" i="1"/>
  <c r="EE840" i="1"/>
  <c r="EE841" i="1"/>
  <c r="EE842" i="1"/>
  <c r="EE843" i="1"/>
  <c r="EE844" i="1"/>
  <c r="EE845" i="1"/>
  <c r="EE846" i="1"/>
  <c r="EE847" i="1"/>
  <c r="EE848" i="1"/>
  <c r="EE849" i="1"/>
  <c r="EE850" i="1"/>
  <c r="EE851" i="1"/>
  <c r="EE852" i="1"/>
  <c r="EE853" i="1"/>
  <c r="EE854" i="1"/>
  <c r="EE855" i="1"/>
  <c r="EE856" i="1"/>
  <c r="EE857" i="1"/>
  <c r="EE858" i="1"/>
  <c r="EE859" i="1"/>
  <c r="EE860" i="1"/>
  <c r="EE861" i="1"/>
  <c r="EE862" i="1"/>
  <c r="EE863" i="1"/>
  <c r="EE864" i="1"/>
  <c r="EE865" i="1"/>
  <c r="EE866" i="1"/>
  <c r="EE867" i="1"/>
  <c r="EE868" i="1"/>
  <c r="EE869" i="1"/>
  <c r="EE870" i="1"/>
  <c r="EE871" i="1"/>
  <c r="EE872" i="1"/>
  <c r="EE873" i="1"/>
  <c r="EE874" i="1"/>
  <c r="EE875" i="1"/>
  <c r="EE876" i="1"/>
  <c r="EE877" i="1"/>
  <c r="EE878" i="1"/>
  <c r="EE879" i="1"/>
  <c r="EE880" i="1"/>
  <c r="EE881" i="1"/>
  <c r="EE882" i="1"/>
  <c r="EE883" i="1"/>
  <c r="EE884" i="1"/>
  <c r="EE885" i="1"/>
  <c r="EE886" i="1"/>
  <c r="EE887" i="1"/>
  <c r="EE888" i="1"/>
  <c r="EE889" i="1"/>
  <c r="EE890" i="1"/>
  <c r="EE891" i="1"/>
  <c r="EE892" i="1"/>
  <c r="EE893" i="1"/>
  <c r="EE894" i="1"/>
  <c r="EE895" i="1"/>
  <c r="EE896" i="1"/>
  <c r="EE897" i="1"/>
  <c r="EE898" i="1"/>
  <c r="EE899" i="1"/>
  <c r="EE900" i="1"/>
  <c r="EE901" i="1"/>
  <c r="EE902" i="1"/>
  <c r="EE903" i="1"/>
  <c r="EE904" i="1"/>
  <c r="EE905" i="1"/>
  <c r="EE906" i="1"/>
  <c r="EE907" i="1"/>
  <c r="EE908" i="1"/>
  <c r="EE909" i="1"/>
  <c r="EE910" i="1"/>
  <c r="EE911" i="1"/>
  <c r="EE912" i="1"/>
  <c r="EE913" i="1"/>
  <c r="EE914" i="1"/>
  <c r="EE915" i="1"/>
  <c r="EE916" i="1"/>
  <c r="EE917" i="1"/>
  <c r="EE918" i="1"/>
  <c r="EE919" i="1"/>
  <c r="EE920" i="1"/>
  <c r="EE921" i="1"/>
  <c r="EE922" i="1"/>
  <c r="EE923" i="1"/>
  <c r="EE924" i="1"/>
  <c r="EE925" i="1"/>
  <c r="EE926" i="1"/>
  <c r="EE927" i="1"/>
  <c r="EE928" i="1"/>
  <c r="EE929" i="1"/>
  <c r="EE930" i="1"/>
  <c r="EE931" i="1"/>
  <c r="EE932" i="1"/>
  <c r="EE2" i="1"/>
  <c r="H1" i="1" l="1"/>
  <c r="D1" i="1"/>
  <c r="G1" i="1"/>
  <c r="C1" i="1"/>
  <c r="J1" i="1"/>
  <c r="F1" i="1"/>
  <c r="B1" i="1"/>
  <c r="I1" i="1"/>
  <c r="E1" i="1"/>
  <c r="ES1" i="1"/>
  <c r="EV1" i="1"/>
  <c r="ER1" i="1"/>
  <c r="EY1" i="1"/>
  <c r="EU1" i="1"/>
  <c r="EQ1" i="1"/>
  <c r="EW1" i="1"/>
  <c r="EX1" i="1"/>
  <c r="ET1" i="1"/>
</calcChain>
</file>

<file path=xl/sharedStrings.xml><?xml version="1.0" encoding="utf-8"?>
<sst xmlns="http://schemas.openxmlformats.org/spreadsheetml/2006/main" count="155" uniqueCount="155">
  <si>
    <t>ratio_0</t>
  </si>
  <si>
    <t>ratio_1</t>
  </si>
  <si>
    <t>ratio_2</t>
  </si>
  <si>
    <t>ratio_3</t>
  </si>
  <si>
    <t>ratio_4</t>
  </si>
  <si>
    <t>ratio_5</t>
  </si>
  <si>
    <t>ratio_6</t>
  </si>
  <si>
    <t>ratio_7</t>
  </si>
  <si>
    <t>ratio_8</t>
  </si>
  <si>
    <t>ratio_9</t>
  </si>
  <si>
    <t>predicted_0</t>
  </si>
  <si>
    <t>predicted_1</t>
  </si>
  <si>
    <t>predicted_2</t>
  </si>
  <si>
    <t>predicted_3</t>
  </si>
  <si>
    <t>predicted_4</t>
  </si>
  <si>
    <t>predicted_5</t>
  </si>
  <si>
    <t>predicted_6</t>
  </si>
  <si>
    <t>predicted_7</t>
  </si>
  <si>
    <t>predicted_8</t>
  </si>
  <si>
    <t>predicted_9</t>
  </si>
  <si>
    <t>actual_0</t>
  </si>
  <si>
    <t>actual_1</t>
  </si>
  <si>
    <t>actual_2</t>
  </si>
  <si>
    <t>actual_3</t>
  </si>
  <si>
    <t>actual_4</t>
  </si>
  <si>
    <t>actual_5</t>
  </si>
  <si>
    <t>actual_6</t>
  </si>
  <si>
    <t>actual_7</t>
  </si>
  <si>
    <t>actual_8</t>
  </si>
  <si>
    <t>actual_9</t>
  </si>
  <si>
    <t>0_predicted_0</t>
  </si>
  <si>
    <t>accuracy</t>
  </si>
  <si>
    <t>precision</t>
  </si>
  <si>
    <t>recall</t>
  </si>
  <si>
    <t>F1</t>
  </si>
  <si>
    <t>key</t>
  </si>
  <si>
    <t>0_predicted_1</t>
  </si>
  <si>
    <t>0_predicted_2</t>
  </si>
  <si>
    <t>0_predicted_3</t>
  </si>
  <si>
    <t>0_predicted_4</t>
  </si>
  <si>
    <t>0_predicted_5</t>
  </si>
  <si>
    <t>0_predicted_6</t>
  </si>
  <si>
    <t>0_predicted_7</t>
  </si>
  <si>
    <t>0_predicted_8</t>
  </si>
  <si>
    <t>0_predicted_9</t>
  </si>
  <si>
    <t>1_predicted_0</t>
  </si>
  <si>
    <t>1_predicted_1</t>
  </si>
  <si>
    <t>1_predicted_2</t>
  </si>
  <si>
    <t>1_predicted_3</t>
  </si>
  <si>
    <t>1_predicted_4</t>
  </si>
  <si>
    <t>1_predicted_5</t>
  </si>
  <si>
    <t>1_predicted_6</t>
  </si>
  <si>
    <t>1_predicted_7</t>
  </si>
  <si>
    <t>1_predicted_8</t>
  </si>
  <si>
    <t>1_predicted_9</t>
  </si>
  <si>
    <t>2_predicted_0</t>
  </si>
  <si>
    <t>2_predicted_1</t>
  </si>
  <si>
    <t>2_predicted_2</t>
  </si>
  <si>
    <t>2_predicted_3</t>
  </si>
  <si>
    <t>2_predicted_4</t>
  </si>
  <si>
    <t>2_predicted_5</t>
  </si>
  <si>
    <t>2_predicted_6</t>
  </si>
  <si>
    <t>2_predicted_7</t>
  </si>
  <si>
    <t>2_predicted_8</t>
  </si>
  <si>
    <t>2_predicted_9</t>
  </si>
  <si>
    <t>3_predicted_0</t>
  </si>
  <si>
    <t>3_predicted_1</t>
  </si>
  <si>
    <t>3_predicted_2</t>
  </si>
  <si>
    <t>3_predicted_3</t>
  </si>
  <si>
    <t>3_predicted_4</t>
  </si>
  <si>
    <t>3_predicted_5</t>
  </si>
  <si>
    <t>3_predicted_6</t>
  </si>
  <si>
    <t>3_predicted_7</t>
  </si>
  <si>
    <t>3_predicted_8</t>
  </si>
  <si>
    <t>3_predicted_9</t>
  </si>
  <si>
    <t>4_predicted_0</t>
  </si>
  <si>
    <t>4_predicted_1</t>
  </si>
  <si>
    <t>4_predicted_2</t>
  </si>
  <si>
    <t>4_predicted_3</t>
  </si>
  <si>
    <t>4_predicted_4</t>
  </si>
  <si>
    <t>4_predicted_5</t>
  </si>
  <si>
    <t>4_predicted_6</t>
  </si>
  <si>
    <t>4_predicted_7</t>
  </si>
  <si>
    <t>4_predicted_8</t>
  </si>
  <si>
    <t>4_predicted_9</t>
  </si>
  <si>
    <t>5_predicted_0</t>
  </si>
  <si>
    <t>5_predicted_1</t>
  </si>
  <si>
    <t>5_predicted_2</t>
  </si>
  <si>
    <t>5_predicted_3</t>
  </si>
  <si>
    <t>5_predicted_4</t>
  </si>
  <si>
    <t>5_predicted_5</t>
  </si>
  <si>
    <t>5_predicted_6</t>
  </si>
  <si>
    <t>5_predicted_7</t>
  </si>
  <si>
    <t>5_predicted_8</t>
  </si>
  <si>
    <t>5_predicted_9</t>
  </si>
  <si>
    <t>6_predicted_0</t>
  </si>
  <si>
    <t>6_predicted_1</t>
  </si>
  <si>
    <t>6_predicted_2</t>
  </si>
  <si>
    <t>6_predicted_3</t>
  </si>
  <si>
    <t>6_predicted_4</t>
  </si>
  <si>
    <t>6_predicted_5</t>
  </si>
  <si>
    <t>6_predicted_6</t>
  </si>
  <si>
    <t>6_predicted_7</t>
  </si>
  <si>
    <t>6_predicted_8</t>
  </si>
  <si>
    <t>6_predicted_9</t>
  </si>
  <si>
    <t>7_predicted_0</t>
  </si>
  <si>
    <t>7_predicted_1</t>
  </si>
  <si>
    <t>7_predicted_2</t>
  </si>
  <si>
    <t>7_predicted_3</t>
  </si>
  <si>
    <t>7_predicted_4</t>
  </si>
  <si>
    <t>7_predicted_5</t>
  </si>
  <si>
    <t>7_predicted_6</t>
  </si>
  <si>
    <t>7_predicted_7</t>
  </si>
  <si>
    <t>7_predicted_8</t>
  </si>
  <si>
    <t>7_predicted_9</t>
  </si>
  <si>
    <t>8_predicted_0</t>
  </si>
  <si>
    <t>8_predicted_1</t>
  </si>
  <si>
    <t>8_predicted_2</t>
  </si>
  <si>
    <t>8_predicted_3</t>
  </si>
  <si>
    <t>8_predicted_4</t>
  </si>
  <si>
    <t>8_predicted_5</t>
  </si>
  <si>
    <t>8_predicted_6</t>
  </si>
  <si>
    <t>8_predicted_7</t>
  </si>
  <si>
    <t>8_predicted_8</t>
  </si>
  <si>
    <t>8_predicted_9</t>
  </si>
  <si>
    <t>9_predicted_0</t>
  </si>
  <si>
    <t>9_predicted_1</t>
  </si>
  <si>
    <t>9_predicted_2</t>
  </si>
  <si>
    <t>9_predicted_3</t>
  </si>
  <si>
    <t>9_predicted_4</t>
  </si>
  <si>
    <t>9_predicted_5</t>
  </si>
  <si>
    <t>9_predicted_6</t>
  </si>
  <si>
    <t>9_predicted_7</t>
  </si>
  <si>
    <t>9_predicted_8</t>
  </si>
  <si>
    <t>9_predicted_9</t>
  </si>
  <si>
    <t>error_ratio_0</t>
  </si>
  <si>
    <t>error_ratio_1</t>
  </si>
  <si>
    <t>error_ratio_2</t>
  </si>
  <si>
    <t>error_ratio_3</t>
  </si>
  <si>
    <t>error_ratio_4</t>
  </si>
  <si>
    <t>error_ratio_5</t>
  </si>
  <si>
    <t>error_ratio_6</t>
  </si>
  <si>
    <t>error_ratio_7</t>
  </si>
  <si>
    <t>error_ratio_8</t>
  </si>
  <si>
    <t>error_ratio_9</t>
  </si>
  <si>
    <t>deviation_0</t>
  </si>
  <si>
    <t>deviation_1</t>
  </si>
  <si>
    <t>deviation_2</t>
  </si>
  <si>
    <t>deviation_3</t>
  </si>
  <si>
    <t>deviation_4</t>
  </si>
  <si>
    <t>deviation_5</t>
  </si>
  <si>
    <t>deviation_6</t>
  </si>
  <si>
    <t>deviation_7</t>
  </si>
  <si>
    <t>deviation_8</t>
  </si>
  <si>
    <t>deviation_9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</si>
</sst>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%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164" fontId="0" fillId="0" borderId="0" xfId="0" applyNumberFormat="1"/>
    <xf numFmtId="9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1"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0" formatCode="General"/>
    </dxf>
  </dxfs>
  <tableStyles count="0" defaultTableStyle="TableStyleMedium2" defaultPivotStyle="PivotStyleLight16"/>
  <colors>
    <mruColors>
      <color rgb="FFCC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radarChart>
        <c:radarStyle val="filled"/>
        <c:varyColors val="0"/>
        <c:ser>
          <c:idx val="0"/>
          <c:order val="0"/>
          <c:spPr>
            <a:solidFill>
              <a:srgbClr val="CCFF66">
                <a:alpha val="50196"/>
              </a:srgbClr>
            </a:solidFill>
            <a:ln>
              <a:noFill/>
            </a:ln>
            <a:effectLst/>
          </c:spPr>
          <c:val>
            <c:numRef>
              <c:f>'experimentsdata - Copy'!$EP$1:$EY$1</c:f>
              <c:numCache>
                <c:formatCode>0%</c:formatCode>
                <c:ptCount val="10"/>
                <c:pt idx="0">
                  <c:v>1.0591836734693878</c:v>
                </c:pt>
                <c:pt idx="1">
                  <c:v>0.96828193832599119</c:v>
                </c:pt>
                <c:pt idx="2">
                  <c:v>0.9777131782945736</c:v>
                </c:pt>
                <c:pt idx="3">
                  <c:v>0.98316831683168315</c:v>
                </c:pt>
                <c:pt idx="4">
                  <c:v>1.0295315682281059</c:v>
                </c:pt>
                <c:pt idx="5">
                  <c:v>0.99775784753363228</c:v>
                </c:pt>
                <c:pt idx="6">
                  <c:v>0.95615866388308979</c:v>
                </c:pt>
                <c:pt idx="7">
                  <c:v>0.92509727626459148</c:v>
                </c:pt>
                <c:pt idx="8">
                  <c:v>1.0780287474332648</c:v>
                </c:pt>
                <c:pt idx="9">
                  <c:v>1.0336967294350843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01-4D33-ADFB-1850C96D133C}"/>
            </c:ext>
          </c:extLst>
        </c:ser>
        <c:ser>
          <c:idx val="1"/>
          <c:order val="1"/>
          <c:spPr>
            <a:noFill/>
            <a:ln w="25400">
              <a:solidFill>
                <a:srgbClr val="FF0000"/>
              </a:solidFill>
              <a:prstDash val="sysDot"/>
            </a:ln>
            <a:effectLst/>
          </c:spPr>
          <c:val>
            <c:numRef>
              <c:f>'experimentsdata - Copy'!$EP$2:$EY$2</c:f>
              <c:numCache>
                <c:formatCode>0%</c:formatCode>
                <c:ptCount val="1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D01-4D33-ADFB-1850C96D13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0829888"/>
        <c:axId val="1268127312"/>
      </c:radarChart>
      <c:radarChart>
        <c:radarStyle val="marker"/>
        <c:varyColors val="0"/>
        <c:ser>
          <c:idx val="2"/>
          <c:order val="2"/>
          <c:spPr>
            <a:ln w="28575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bg1">
                    <a:lumMod val="50000"/>
                  </a:schemeClr>
                </a:solidFill>
              </a:ln>
              <a:effectLst/>
            </c:spPr>
          </c:marker>
          <c:val>
            <c:numRef>
              <c:f>'experimentsdata - Copy'!$A$1:$J$1</c:f>
              <c:numCache>
                <c:formatCode>0%</c:formatCode>
                <c:ptCount val="10"/>
                <c:pt idx="0">
                  <c:v>1.1000000000000001</c:v>
                </c:pt>
                <c:pt idx="1">
                  <c:v>0.83000000000000007</c:v>
                </c:pt>
                <c:pt idx="2">
                  <c:v>0.83000000000000007</c:v>
                </c:pt>
                <c:pt idx="3">
                  <c:v>0.83000000000000007</c:v>
                </c:pt>
                <c:pt idx="4">
                  <c:v>1.1000000000000001</c:v>
                </c:pt>
                <c:pt idx="5">
                  <c:v>0.83000000000000007</c:v>
                </c:pt>
                <c:pt idx="6">
                  <c:v>0.83000000000000007</c:v>
                </c:pt>
                <c:pt idx="7">
                  <c:v>0.83000000000000007</c:v>
                </c:pt>
                <c:pt idx="8">
                  <c:v>1.1000000000000001</c:v>
                </c:pt>
                <c:pt idx="9">
                  <c:v>1.1000000000000001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D01-4D33-ADFB-1850C96D13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0829888"/>
        <c:axId val="1268127312"/>
      </c:radarChart>
      <c:catAx>
        <c:axId val="17108298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8127312"/>
        <c:crosses val="autoZero"/>
        <c:auto val="1"/>
        <c:lblAlgn val="ctr"/>
        <c:lblOffset val="100"/>
        <c:noMultiLvlLbl val="0"/>
      </c:catAx>
      <c:valAx>
        <c:axId val="1268127312"/>
        <c:scaling>
          <c:orientation val="minMax"/>
          <c:max val="1.2"/>
          <c:min val="0.8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crossAx val="1710829888"/>
        <c:crosses val="autoZero"/>
        <c:crossBetween val="between"/>
        <c:majorUnit val="0.4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146</xdr:col>
      <xdr:colOff>281781</xdr:colOff>
      <xdr:row>2</xdr:row>
      <xdr:rowOff>35320</xdr:rowOff>
    </xdr:from>
    <xdr:to>
      <xdr:col>156</xdr:col>
      <xdr:colOff>57546</xdr:colOff>
      <xdr:row>20</xdr:row>
      <xdr:rowOff>19843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C28B752-8B16-4915-AD2D-F2CCE59D9A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able1" displayName="Table1" ref="A3:EY932" totalsRowShown="0">
  <tableColumns count="155">
    <tableColumn id="1" name="ratio_0"/>
    <tableColumn id="2" name="ratio_1"/>
    <tableColumn id="3" name="ratio_2"/>
    <tableColumn id="4" name="ratio_3"/>
    <tableColumn id="5" name="ratio_4"/>
    <tableColumn id="6" name="ratio_5"/>
    <tableColumn id="7" name="ratio_6"/>
    <tableColumn id="8" name="ratio_7"/>
    <tableColumn id="9" name="ratio_8"/>
    <tableColumn id="10" name="ratio_9"/>
    <tableColumn id="11" name="predicted_0"/>
    <tableColumn id="12" name="predicted_1"/>
    <tableColumn id="13" name="predicted_2"/>
    <tableColumn id="14" name="predicted_3"/>
    <tableColumn id="15" name="predicted_4"/>
    <tableColumn id="16" name="predicted_5"/>
    <tableColumn id="17" name="predicted_6"/>
    <tableColumn id="18" name="predicted_7"/>
    <tableColumn id="19" name="predicted_8"/>
    <tableColumn id="20" name="predicted_9"/>
    <tableColumn id="21" name="actual_0"/>
    <tableColumn id="22" name="actual_1"/>
    <tableColumn id="23" name="actual_2"/>
    <tableColumn id="24" name="actual_3"/>
    <tableColumn id="25" name="actual_4"/>
    <tableColumn id="26" name="actual_5"/>
    <tableColumn id="27" name="actual_6"/>
    <tableColumn id="28" name="actual_7"/>
    <tableColumn id="29" name="actual_8"/>
    <tableColumn id="30" name="actual_9"/>
    <tableColumn id="31" name="0_predicted_0"/>
    <tableColumn id="32" name="0_predicted_1"/>
    <tableColumn id="33" name="0_predicted_2"/>
    <tableColumn id="34" name="0_predicted_3"/>
    <tableColumn id="35" name="0_predicted_4"/>
    <tableColumn id="36" name="0_predicted_5"/>
    <tableColumn id="37" name="0_predicted_6"/>
    <tableColumn id="38" name="0_predicted_7"/>
    <tableColumn id="39" name="0_predicted_8"/>
    <tableColumn id="40" name="0_predicted_9"/>
    <tableColumn id="41" name="1_predicted_0"/>
    <tableColumn id="42" name="1_predicted_1"/>
    <tableColumn id="43" name="1_predicted_2"/>
    <tableColumn id="44" name="1_predicted_3"/>
    <tableColumn id="45" name="1_predicted_4"/>
    <tableColumn id="46" name="1_predicted_5"/>
    <tableColumn id="47" name="1_predicted_6"/>
    <tableColumn id="48" name="1_predicted_7"/>
    <tableColumn id="49" name="1_predicted_8"/>
    <tableColumn id="50" name="1_predicted_9"/>
    <tableColumn id="51" name="2_predicted_0"/>
    <tableColumn id="52" name="2_predicted_1"/>
    <tableColumn id="53" name="2_predicted_2"/>
    <tableColumn id="54" name="2_predicted_3"/>
    <tableColumn id="55" name="2_predicted_4"/>
    <tableColumn id="56" name="2_predicted_5"/>
    <tableColumn id="57" name="2_predicted_6"/>
    <tableColumn id="58" name="2_predicted_7"/>
    <tableColumn id="59" name="2_predicted_8"/>
    <tableColumn id="60" name="2_predicted_9"/>
    <tableColumn id="61" name="3_predicted_0"/>
    <tableColumn id="62" name="3_predicted_1"/>
    <tableColumn id="63" name="3_predicted_2"/>
    <tableColumn id="64" name="3_predicted_3"/>
    <tableColumn id="65" name="3_predicted_4"/>
    <tableColumn id="66" name="3_predicted_5"/>
    <tableColumn id="67" name="3_predicted_6"/>
    <tableColumn id="68" name="3_predicted_7"/>
    <tableColumn id="69" name="3_predicted_8"/>
    <tableColumn id="70" name="3_predicted_9"/>
    <tableColumn id="71" name="4_predicted_0"/>
    <tableColumn id="72" name="4_predicted_1"/>
    <tableColumn id="73" name="4_predicted_2"/>
    <tableColumn id="74" name="4_predicted_3"/>
    <tableColumn id="75" name="4_predicted_4"/>
    <tableColumn id="76" name="4_predicted_5"/>
    <tableColumn id="77" name="4_predicted_6"/>
    <tableColumn id="78" name="4_predicted_7"/>
    <tableColumn id="79" name="4_predicted_8"/>
    <tableColumn id="80" name="4_predicted_9"/>
    <tableColumn id="81" name="5_predicted_0"/>
    <tableColumn id="82" name="5_predicted_1"/>
    <tableColumn id="83" name="5_predicted_2"/>
    <tableColumn id="84" name="5_predicted_3"/>
    <tableColumn id="85" name="5_predicted_4"/>
    <tableColumn id="86" name="5_predicted_5"/>
    <tableColumn id="87" name="5_predicted_6"/>
    <tableColumn id="88" name="5_predicted_7"/>
    <tableColumn id="89" name="5_predicted_8"/>
    <tableColumn id="90" name="5_predicted_9"/>
    <tableColumn id="91" name="6_predicted_0"/>
    <tableColumn id="92" name="6_predicted_1"/>
    <tableColumn id="93" name="6_predicted_2"/>
    <tableColumn id="94" name="6_predicted_3"/>
    <tableColumn id="95" name="6_predicted_4"/>
    <tableColumn id="96" name="6_predicted_5"/>
    <tableColumn id="97" name="6_predicted_6"/>
    <tableColumn id="98" name="6_predicted_7"/>
    <tableColumn id="99" name="6_predicted_8"/>
    <tableColumn id="100" name="6_predicted_9"/>
    <tableColumn id="101" name="7_predicted_0"/>
    <tableColumn id="102" name="7_predicted_1"/>
    <tableColumn id="103" name="7_predicted_2"/>
    <tableColumn id="104" name="7_predicted_3"/>
    <tableColumn id="105" name="7_predicted_4"/>
    <tableColumn id="106" name="7_predicted_5"/>
    <tableColumn id="107" name="7_predicted_6"/>
    <tableColumn id="108" name="7_predicted_7"/>
    <tableColumn id="109" name="7_predicted_8"/>
    <tableColumn id="110" name="7_predicted_9"/>
    <tableColumn id="111" name="8_predicted_0"/>
    <tableColumn id="112" name="8_predicted_1"/>
    <tableColumn id="113" name="8_predicted_2"/>
    <tableColumn id="114" name="8_predicted_3"/>
    <tableColumn id="115" name="8_predicted_4"/>
    <tableColumn id="116" name="8_predicted_5"/>
    <tableColumn id="117" name="8_predicted_6"/>
    <tableColumn id="118" name="8_predicted_7"/>
    <tableColumn id="119" name="8_predicted_8"/>
    <tableColumn id="120" name="8_predicted_9"/>
    <tableColumn id="121" name="9_predicted_0"/>
    <tableColumn id="122" name="9_predicted_1"/>
    <tableColumn id="123" name="9_predicted_2"/>
    <tableColumn id="124" name="9_predicted_3"/>
    <tableColumn id="125" name="9_predicted_4"/>
    <tableColumn id="126" name="9_predicted_5"/>
    <tableColumn id="127" name="9_predicted_6"/>
    <tableColumn id="128" name="9_predicted_7"/>
    <tableColumn id="129" name="9_predicted_8"/>
    <tableColumn id="130" name="9_predicted_9"/>
    <tableColumn id="131" name="accuracy"/>
    <tableColumn id="132" name="precision"/>
    <tableColumn id="133" name="recall"/>
    <tableColumn id="134" name="F1"/>
    <tableColumn id="135" name="key" dataDxfId="20">
      <calculatedColumnFormula>SUM(Table1[[#This Row],[ratio_0]:[ratio_9]])</calculatedColumnFormula>
    </tableColumn>
    <tableColumn id="136" name="error_ratio_0" dataDxfId="19">
      <calculatedColumnFormula>(Table1[[#This Row],[predicted_0]]-Table1[[#This Row],[actual_0]])/Table1[[#This Row],[actual_0]]</calculatedColumnFormula>
    </tableColumn>
    <tableColumn id="137" name="error_ratio_1" dataDxfId="18">
      <calculatedColumnFormula>(Table1[[#This Row],[predicted_1]]-Table1[[#This Row],[actual_1]])/Table1[[#This Row],[actual_1]]</calculatedColumnFormula>
    </tableColumn>
    <tableColumn id="138" name="error_ratio_2" dataDxfId="17">
      <calculatedColumnFormula>(Table1[[#This Row],[predicted_2]]-Table1[[#This Row],[actual_2]])/Table1[[#This Row],[actual_2]]</calculatedColumnFormula>
    </tableColumn>
    <tableColumn id="139" name="error_ratio_3" dataDxfId="16">
      <calculatedColumnFormula>(Table1[[#This Row],[predicted_3]]-Table1[[#This Row],[actual_3]])/Table1[[#This Row],[actual_3]]</calculatedColumnFormula>
    </tableColumn>
    <tableColumn id="140" name="error_ratio_4" dataDxfId="15">
      <calculatedColumnFormula>(Table1[[#This Row],[predicted_4]]-Table1[[#This Row],[actual_4]])/Table1[[#This Row],[actual_4]]</calculatedColumnFormula>
    </tableColumn>
    <tableColumn id="141" name="error_ratio_5" dataDxfId="14">
      <calculatedColumnFormula>(Table1[[#This Row],[predicted_5]]-Table1[[#This Row],[actual_5]])/Table1[[#This Row],[actual_5]]</calculatedColumnFormula>
    </tableColumn>
    <tableColumn id="142" name="error_ratio_6" dataDxfId="13">
      <calculatedColumnFormula>(Table1[[#This Row],[predicted_6]]-Table1[[#This Row],[actual_6]])/Table1[[#This Row],[actual_6]]</calculatedColumnFormula>
    </tableColumn>
    <tableColumn id="143" name="error_ratio_7" dataDxfId="12">
      <calculatedColumnFormula>(Table1[[#This Row],[predicted_7]]-Table1[[#This Row],[actual_7]])/Table1[[#This Row],[actual_7]]</calculatedColumnFormula>
    </tableColumn>
    <tableColumn id="144" name="error_ratio_8" dataDxfId="11">
      <calculatedColumnFormula>(Table1[[#This Row],[predicted_8]]-Table1[[#This Row],[actual_8]])/Table1[[#This Row],[actual_8]]</calculatedColumnFormula>
    </tableColumn>
    <tableColumn id="145" name="error_ratio_9" dataDxfId="10">
      <calculatedColumnFormula>(Table1[[#This Row],[predicted_9]]-Table1[[#This Row],[actual_9]])/Table1[[#This Row],[actual_9]]</calculatedColumnFormula>
    </tableColumn>
    <tableColumn id="146" name="deviation_0" dataDxfId="0">
      <calculatedColumnFormula>1+(Table1[[#This Row],[error_ratio_0]]-EF$2)</calculatedColumnFormula>
    </tableColumn>
    <tableColumn id="147" name="deviation_1" dataDxfId="9">
      <calculatedColumnFormula>1+(Table1[[#This Row],[error_ratio_1]]-EG$2)</calculatedColumnFormula>
    </tableColumn>
    <tableColumn id="148" name="deviation_2" dataDxfId="8">
      <calculatedColumnFormula>1+(Table1[[#This Row],[error_ratio_2]]-EH$2)</calculatedColumnFormula>
    </tableColumn>
    <tableColumn id="149" name="deviation_3" dataDxfId="7">
      <calculatedColumnFormula>1+(Table1[[#This Row],[error_ratio_3]]-EI$2)</calculatedColumnFormula>
    </tableColumn>
    <tableColumn id="150" name="deviation_4" dataDxfId="6">
      <calculatedColumnFormula>1+(Table1[[#This Row],[error_ratio_4]]-EJ$2)</calculatedColumnFormula>
    </tableColumn>
    <tableColumn id="151" name="deviation_5" dataDxfId="5">
      <calculatedColumnFormula>1+(Table1[[#This Row],[error_ratio_5]]-EK$2)</calculatedColumnFormula>
    </tableColumn>
    <tableColumn id="152" name="deviation_6" dataDxfId="4">
      <calculatedColumnFormula>1+(Table1[[#This Row],[error_ratio_6]]-EL$2)</calculatedColumnFormula>
    </tableColumn>
    <tableColumn id="153" name="deviation_7" dataDxfId="3">
      <calculatedColumnFormula>1+(Table1[[#This Row],[error_ratio_7]]-EM$2)</calculatedColumnFormula>
    </tableColumn>
    <tableColumn id="154" name="deviation_8" dataDxfId="2">
      <calculatedColumnFormula>1+(Table1[[#This Row],[error_ratio_8]]-EN$2)</calculatedColumnFormula>
    </tableColumn>
    <tableColumn id="155" name="deviation_9" dataDxfId="1">
      <calculatedColumnFormula>1+(Table1[[#This Row],[error_ratio_9]]-EO$2)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taSheet"/>
  <dimension ref="A1:EY932"/>
  <sheetViews>
    <sheetView tabSelected="1" topLeftCell="EK1" zoomScale="80" zoomScaleNormal="80" workbookViewId="0">
      <selection activeCell="EO1" sqref="EO1"/>
    </sheetView>
  </sheetViews>
  <sheetFormatPr defaultRowHeight="14.75" x14ac:dyDescent="0.75"/>
  <cols>
    <col min="1" max="10" width="8.453125" customWidth="1"/>
    <col min="11" max="20" width="12.54296875" customWidth="1"/>
    <col min="21" max="30" width="9.58984375" customWidth="1"/>
    <col min="31" max="130" width="14.54296875" hidden="1" customWidth="1"/>
    <col min="131" max="131" width="9.76953125" customWidth="1"/>
    <col min="132" max="132" width="10.1796875" customWidth="1"/>
  </cols>
  <sheetData>
    <row r="1" spans="1:155" x14ac:dyDescent="0.75">
      <c r="A1" s="2">
        <f t="array" aca="1" ref="A1:J1" ca="1">0.8+0.3*(OFFSET(A3,EO1,0,1,10)/100)</f>
        <v>1.1000000000000001</v>
      </c>
      <c r="B1" s="2">
        <f ca="1"/>
        <v>0.83000000000000007</v>
      </c>
      <c r="C1" s="2">
        <f ca="1"/>
        <v>0.83000000000000007</v>
      </c>
      <c r="D1" s="2">
        <f ca="1"/>
        <v>0.83000000000000007</v>
      </c>
      <c r="E1" s="2">
        <f ca="1"/>
        <v>1.1000000000000001</v>
      </c>
      <c r="F1" s="2">
        <f ca="1"/>
        <v>0.83000000000000007</v>
      </c>
      <c r="G1" s="2">
        <f ca="1"/>
        <v>0.83000000000000007</v>
      </c>
      <c r="H1" s="2">
        <f ca="1"/>
        <v>0.83000000000000007</v>
      </c>
      <c r="I1" s="2">
        <f ca="1"/>
        <v>1.1000000000000001</v>
      </c>
      <c r="J1" s="2">
        <f ca="1"/>
        <v>1.1000000000000001</v>
      </c>
      <c r="EO1">
        <v>217</v>
      </c>
      <c r="EP1" s="2">
        <f t="array" aca="1" ref="EP1:EY1" ca="1">OFFSET(EP3,EO1,0,1,10)</f>
        <v>1.0591836734693878</v>
      </c>
      <c r="EQ1" s="2">
        <f ca="1"/>
        <v>0.96828193832599119</v>
      </c>
      <c r="ER1" s="2">
        <f ca="1"/>
        <v>0.9777131782945736</v>
      </c>
      <c r="ES1" s="2">
        <f ca="1"/>
        <v>0.98316831683168315</v>
      </c>
      <c r="ET1" s="2">
        <f ca="1"/>
        <v>1.0295315682281059</v>
      </c>
      <c r="EU1" s="2">
        <f ca="1"/>
        <v>0.99775784753363228</v>
      </c>
      <c r="EV1" s="2">
        <f ca="1"/>
        <v>0.95615866388308979</v>
      </c>
      <c r="EW1" s="2">
        <f ca="1"/>
        <v>0.92509727626459148</v>
      </c>
      <c r="EX1" s="2">
        <f ca="1"/>
        <v>1.0780287474332648</v>
      </c>
      <c r="EY1" s="2">
        <f ca="1"/>
        <v>1.0336967294350843</v>
      </c>
    </row>
    <row r="2" spans="1:155" x14ac:dyDescent="0.75">
      <c r="A2">
        <v>100</v>
      </c>
      <c r="B2">
        <v>100</v>
      </c>
      <c r="C2">
        <v>100</v>
      </c>
      <c r="D2">
        <v>100</v>
      </c>
      <c r="E2">
        <v>100</v>
      </c>
      <c r="F2">
        <v>100</v>
      </c>
      <c r="G2">
        <v>100</v>
      </c>
      <c r="H2">
        <v>100</v>
      </c>
      <c r="I2">
        <v>100</v>
      </c>
      <c r="J2">
        <v>100</v>
      </c>
      <c r="K2">
        <v>982</v>
      </c>
      <c r="L2">
        <v>1137</v>
      </c>
      <c r="M2">
        <v>1027</v>
      </c>
      <c r="N2">
        <v>1020</v>
      </c>
      <c r="O2">
        <v>983</v>
      </c>
      <c r="P2">
        <v>893</v>
      </c>
      <c r="Q2">
        <v>952</v>
      </c>
      <c r="R2">
        <v>1030</v>
      </c>
      <c r="S2">
        <v>971</v>
      </c>
      <c r="T2">
        <v>1005</v>
      </c>
      <c r="U2">
        <v>980</v>
      </c>
      <c r="V2">
        <v>1135</v>
      </c>
      <c r="W2">
        <v>1032</v>
      </c>
      <c r="X2">
        <v>1010</v>
      </c>
      <c r="Y2">
        <v>982</v>
      </c>
      <c r="Z2">
        <v>892</v>
      </c>
      <c r="AA2">
        <v>958</v>
      </c>
      <c r="AB2">
        <v>1028</v>
      </c>
      <c r="AC2">
        <v>974</v>
      </c>
      <c r="AD2">
        <v>1009</v>
      </c>
      <c r="AE2">
        <v>974</v>
      </c>
      <c r="AF2">
        <v>0</v>
      </c>
      <c r="AG2">
        <v>0</v>
      </c>
      <c r="AH2">
        <v>0</v>
      </c>
      <c r="AI2">
        <v>0</v>
      </c>
      <c r="AJ2">
        <v>0</v>
      </c>
      <c r="AK2">
        <v>1</v>
      </c>
      <c r="AL2">
        <v>2</v>
      </c>
      <c r="AM2">
        <v>2</v>
      </c>
      <c r="AN2">
        <v>1</v>
      </c>
      <c r="AO2">
        <v>0</v>
      </c>
      <c r="AP2">
        <v>1131</v>
      </c>
      <c r="AQ2">
        <v>0</v>
      </c>
      <c r="AR2">
        <v>2</v>
      </c>
      <c r="AS2">
        <v>0</v>
      </c>
      <c r="AT2">
        <v>1</v>
      </c>
      <c r="AU2">
        <v>1</v>
      </c>
      <c r="AV2">
        <v>0</v>
      </c>
      <c r="AW2">
        <v>0</v>
      </c>
      <c r="AX2">
        <v>0</v>
      </c>
      <c r="AY2">
        <v>1</v>
      </c>
      <c r="AZ2">
        <v>1</v>
      </c>
      <c r="BA2">
        <v>1018</v>
      </c>
      <c r="BB2">
        <v>4</v>
      </c>
      <c r="BC2">
        <v>1</v>
      </c>
      <c r="BD2">
        <v>0</v>
      </c>
      <c r="BE2">
        <v>0</v>
      </c>
      <c r="BF2">
        <v>4</v>
      </c>
      <c r="BG2">
        <v>3</v>
      </c>
      <c r="BH2">
        <v>0</v>
      </c>
      <c r="BI2">
        <v>0</v>
      </c>
      <c r="BJ2">
        <v>0</v>
      </c>
      <c r="BK2">
        <v>1</v>
      </c>
      <c r="BL2">
        <v>1003</v>
      </c>
      <c r="BM2">
        <v>0</v>
      </c>
      <c r="BN2">
        <v>3</v>
      </c>
      <c r="BO2">
        <v>0</v>
      </c>
      <c r="BP2">
        <v>2</v>
      </c>
      <c r="BQ2">
        <v>1</v>
      </c>
      <c r="BR2">
        <v>0</v>
      </c>
      <c r="BS2">
        <v>0</v>
      </c>
      <c r="BT2">
        <v>0</v>
      </c>
      <c r="BU2">
        <v>2</v>
      </c>
      <c r="BV2">
        <v>0</v>
      </c>
      <c r="BW2">
        <v>974</v>
      </c>
      <c r="BX2">
        <v>0</v>
      </c>
      <c r="BY2">
        <v>3</v>
      </c>
      <c r="BZ2">
        <v>2</v>
      </c>
      <c r="CA2">
        <v>0</v>
      </c>
      <c r="CB2">
        <v>1</v>
      </c>
      <c r="CC2">
        <v>1</v>
      </c>
      <c r="CD2">
        <v>0</v>
      </c>
      <c r="CE2">
        <v>0</v>
      </c>
      <c r="CF2">
        <v>4</v>
      </c>
      <c r="CG2">
        <v>0</v>
      </c>
      <c r="CH2">
        <v>885</v>
      </c>
      <c r="CI2">
        <v>1</v>
      </c>
      <c r="CJ2">
        <v>1</v>
      </c>
      <c r="CK2">
        <v>0</v>
      </c>
      <c r="CL2">
        <v>0</v>
      </c>
      <c r="CM2">
        <v>5</v>
      </c>
      <c r="CN2">
        <v>2</v>
      </c>
      <c r="CO2">
        <v>1</v>
      </c>
      <c r="CP2">
        <v>1</v>
      </c>
      <c r="CQ2">
        <v>1</v>
      </c>
      <c r="CR2">
        <v>1</v>
      </c>
      <c r="CS2">
        <v>946</v>
      </c>
      <c r="CT2">
        <v>0</v>
      </c>
      <c r="CU2">
        <v>1</v>
      </c>
      <c r="CV2">
        <v>0</v>
      </c>
      <c r="CW2">
        <v>0</v>
      </c>
      <c r="CX2">
        <v>1</v>
      </c>
      <c r="CY2">
        <v>4</v>
      </c>
      <c r="CZ2">
        <v>1</v>
      </c>
      <c r="DA2">
        <v>0</v>
      </c>
      <c r="DB2">
        <v>0</v>
      </c>
      <c r="DC2">
        <v>0</v>
      </c>
      <c r="DD2">
        <v>1016</v>
      </c>
      <c r="DE2">
        <v>1</v>
      </c>
      <c r="DF2">
        <v>5</v>
      </c>
      <c r="DG2">
        <v>1</v>
      </c>
      <c r="DH2">
        <v>0</v>
      </c>
      <c r="DI2">
        <v>1</v>
      </c>
      <c r="DJ2">
        <v>1</v>
      </c>
      <c r="DK2">
        <v>0</v>
      </c>
      <c r="DL2">
        <v>2</v>
      </c>
      <c r="DM2">
        <v>0</v>
      </c>
      <c r="DN2">
        <v>2</v>
      </c>
      <c r="DO2">
        <v>962</v>
      </c>
      <c r="DP2">
        <v>5</v>
      </c>
      <c r="DQ2">
        <v>0</v>
      </c>
      <c r="DR2">
        <v>2</v>
      </c>
      <c r="DS2">
        <v>0</v>
      </c>
      <c r="DT2">
        <v>4</v>
      </c>
      <c r="DU2">
        <v>7</v>
      </c>
      <c r="DV2">
        <v>1</v>
      </c>
      <c r="DW2">
        <v>0</v>
      </c>
      <c r="DX2">
        <v>1</v>
      </c>
      <c r="DY2">
        <v>1</v>
      </c>
      <c r="DZ2">
        <v>993</v>
      </c>
      <c r="EA2">
        <v>0.99019999999999997</v>
      </c>
      <c r="EB2">
        <v>0.99019282002637798</v>
      </c>
      <c r="EC2">
        <v>0.99014857034933401</v>
      </c>
      <c r="ED2">
        <v>0.99016578185231097</v>
      </c>
      <c r="EE2">
        <f t="shared" ref="EE2" si="0">SUM(A2:J2)</f>
        <v>1000</v>
      </c>
      <c r="EF2" s="1">
        <f>(K2-U2)/U2</f>
        <v>2.0408163265306124E-3</v>
      </c>
      <c r="EG2" s="1">
        <f t="shared" ref="EG2:EO2" si="1">(L2-V2)/V2</f>
        <v>1.762114537444934E-3</v>
      </c>
      <c r="EH2" s="1">
        <f t="shared" si="1"/>
        <v>-4.8449612403100775E-3</v>
      </c>
      <c r="EI2" s="1">
        <f t="shared" si="1"/>
        <v>9.9009900990099011E-3</v>
      </c>
      <c r="EJ2" s="1">
        <f t="shared" si="1"/>
        <v>1.0183299389002036E-3</v>
      </c>
      <c r="EK2" s="1">
        <f t="shared" si="1"/>
        <v>1.1210762331838565E-3</v>
      </c>
      <c r="EL2" s="1">
        <f t="shared" si="1"/>
        <v>-6.2630480167014616E-3</v>
      </c>
      <c r="EM2" s="1">
        <f t="shared" si="1"/>
        <v>1.9455252918287938E-3</v>
      </c>
      <c r="EN2" s="1">
        <f t="shared" si="1"/>
        <v>-3.0800821355236141E-3</v>
      </c>
      <c r="EO2" s="1">
        <f t="shared" si="1"/>
        <v>-3.9643211100099107E-3</v>
      </c>
      <c r="EP2" s="2">
        <v>1</v>
      </c>
      <c r="EQ2" s="2">
        <v>1</v>
      </c>
      <c r="ER2" s="2">
        <v>1</v>
      </c>
      <c r="ES2" s="2">
        <v>1</v>
      </c>
      <c r="ET2" s="2">
        <v>1</v>
      </c>
      <c r="EU2" s="2">
        <v>1</v>
      </c>
      <c r="EV2" s="2">
        <v>1</v>
      </c>
      <c r="EW2" s="2">
        <v>1</v>
      </c>
      <c r="EX2" s="2">
        <v>1</v>
      </c>
      <c r="EY2" s="2">
        <v>1</v>
      </c>
    </row>
    <row r="3" spans="1:155" x14ac:dyDescent="0.75">
      <c r="A3" t="s">
        <v>0</v>
      </c>
      <c r="B3" t="s">
        <v>1</v>
      </c>
      <c r="C3" t="s">
        <v>2</v>
      </c>
      <c r="D3" t="s">
        <v>3</v>
      </c>
      <c r="E3" t="s">
        <v>4</v>
      </c>
      <c r="F3" t="s">
        <v>5</v>
      </c>
      <c r="G3" t="s">
        <v>6</v>
      </c>
      <c r="H3" t="s">
        <v>7</v>
      </c>
      <c r="I3" t="s">
        <v>8</v>
      </c>
      <c r="J3" t="s">
        <v>9</v>
      </c>
      <c r="K3" t="s">
        <v>10</v>
      </c>
      <c r="L3" t="s">
        <v>11</v>
      </c>
      <c r="M3" t="s">
        <v>12</v>
      </c>
      <c r="N3" t="s">
        <v>13</v>
      </c>
      <c r="O3" t="s">
        <v>14</v>
      </c>
      <c r="P3" t="s">
        <v>15</v>
      </c>
      <c r="Q3" t="s">
        <v>16</v>
      </c>
      <c r="R3" t="s">
        <v>17</v>
      </c>
      <c r="S3" t="s">
        <v>18</v>
      </c>
      <c r="T3" t="s">
        <v>19</v>
      </c>
      <c r="U3" t="s">
        <v>20</v>
      </c>
      <c r="V3" t="s">
        <v>21</v>
      </c>
      <c r="W3" t="s">
        <v>22</v>
      </c>
      <c r="X3" t="s">
        <v>23</v>
      </c>
      <c r="Y3" t="s">
        <v>24</v>
      </c>
      <c r="Z3" t="s">
        <v>25</v>
      </c>
      <c r="AA3" t="s">
        <v>26</v>
      </c>
      <c r="AB3" t="s">
        <v>27</v>
      </c>
      <c r="AC3" t="s">
        <v>28</v>
      </c>
      <c r="AD3" t="s">
        <v>29</v>
      </c>
      <c r="AE3" t="s">
        <v>30</v>
      </c>
      <c r="AF3" t="s">
        <v>36</v>
      </c>
      <c r="AG3" t="s">
        <v>37</v>
      </c>
      <c r="AH3" t="s">
        <v>38</v>
      </c>
      <c r="AI3" t="s">
        <v>39</v>
      </c>
      <c r="AJ3" t="s">
        <v>40</v>
      </c>
      <c r="AK3" t="s">
        <v>41</v>
      </c>
      <c r="AL3" t="s">
        <v>42</v>
      </c>
      <c r="AM3" t="s">
        <v>43</v>
      </c>
      <c r="AN3" t="s">
        <v>44</v>
      </c>
      <c r="AO3" t="s">
        <v>45</v>
      </c>
      <c r="AP3" t="s">
        <v>46</v>
      </c>
      <c r="AQ3" t="s">
        <v>47</v>
      </c>
      <c r="AR3" t="s">
        <v>48</v>
      </c>
      <c r="AS3" t="s">
        <v>49</v>
      </c>
      <c r="AT3" t="s">
        <v>50</v>
      </c>
      <c r="AU3" t="s">
        <v>51</v>
      </c>
      <c r="AV3" t="s">
        <v>52</v>
      </c>
      <c r="AW3" t="s">
        <v>53</v>
      </c>
      <c r="AX3" t="s">
        <v>54</v>
      </c>
      <c r="AY3" t="s">
        <v>55</v>
      </c>
      <c r="AZ3" t="s">
        <v>56</v>
      </c>
      <c r="BA3" t="s">
        <v>57</v>
      </c>
      <c r="BB3" t="s">
        <v>58</v>
      </c>
      <c r="BC3" t="s">
        <v>59</v>
      </c>
      <c r="BD3" t="s">
        <v>60</v>
      </c>
      <c r="BE3" t="s">
        <v>61</v>
      </c>
      <c r="BF3" t="s">
        <v>62</v>
      </c>
      <c r="BG3" t="s">
        <v>63</v>
      </c>
      <c r="BH3" t="s">
        <v>64</v>
      </c>
      <c r="BI3" t="s">
        <v>65</v>
      </c>
      <c r="BJ3" t="s">
        <v>66</v>
      </c>
      <c r="BK3" t="s">
        <v>67</v>
      </c>
      <c r="BL3" t="s">
        <v>68</v>
      </c>
      <c r="BM3" t="s">
        <v>69</v>
      </c>
      <c r="BN3" t="s">
        <v>70</v>
      </c>
      <c r="BO3" t="s">
        <v>71</v>
      </c>
      <c r="BP3" t="s">
        <v>72</v>
      </c>
      <c r="BQ3" t="s">
        <v>73</v>
      </c>
      <c r="BR3" t="s">
        <v>74</v>
      </c>
      <c r="BS3" t="s">
        <v>75</v>
      </c>
      <c r="BT3" t="s">
        <v>76</v>
      </c>
      <c r="BU3" t="s">
        <v>77</v>
      </c>
      <c r="BV3" t="s">
        <v>78</v>
      </c>
      <c r="BW3" t="s">
        <v>79</v>
      </c>
      <c r="BX3" t="s">
        <v>80</v>
      </c>
      <c r="BY3" t="s">
        <v>81</v>
      </c>
      <c r="BZ3" t="s">
        <v>82</v>
      </c>
      <c r="CA3" t="s">
        <v>83</v>
      </c>
      <c r="CB3" t="s">
        <v>84</v>
      </c>
      <c r="CC3" t="s">
        <v>85</v>
      </c>
      <c r="CD3" t="s">
        <v>86</v>
      </c>
      <c r="CE3" t="s">
        <v>87</v>
      </c>
      <c r="CF3" t="s">
        <v>88</v>
      </c>
      <c r="CG3" t="s">
        <v>89</v>
      </c>
      <c r="CH3" t="s">
        <v>90</v>
      </c>
      <c r="CI3" t="s">
        <v>91</v>
      </c>
      <c r="CJ3" t="s">
        <v>92</v>
      </c>
      <c r="CK3" t="s">
        <v>93</v>
      </c>
      <c r="CL3" t="s">
        <v>94</v>
      </c>
      <c r="CM3" t="s">
        <v>95</v>
      </c>
      <c r="CN3" t="s">
        <v>96</v>
      </c>
      <c r="CO3" t="s">
        <v>97</v>
      </c>
      <c r="CP3" t="s">
        <v>98</v>
      </c>
      <c r="CQ3" t="s">
        <v>99</v>
      </c>
      <c r="CR3" t="s">
        <v>100</v>
      </c>
      <c r="CS3" t="s">
        <v>101</v>
      </c>
      <c r="CT3" t="s">
        <v>102</v>
      </c>
      <c r="CU3" t="s">
        <v>103</v>
      </c>
      <c r="CV3" t="s">
        <v>104</v>
      </c>
      <c r="CW3" t="s">
        <v>105</v>
      </c>
      <c r="CX3" t="s">
        <v>106</v>
      </c>
      <c r="CY3" t="s">
        <v>107</v>
      </c>
      <c r="CZ3" t="s">
        <v>108</v>
      </c>
      <c r="DA3" t="s">
        <v>109</v>
      </c>
      <c r="DB3" t="s">
        <v>110</v>
      </c>
      <c r="DC3" t="s">
        <v>111</v>
      </c>
      <c r="DD3" t="s">
        <v>112</v>
      </c>
      <c r="DE3" t="s">
        <v>113</v>
      </c>
      <c r="DF3" t="s">
        <v>114</v>
      </c>
      <c r="DG3" t="s">
        <v>115</v>
      </c>
      <c r="DH3" t="s">
        <v>116</v>
      </c>
      <c r="DI3" t="s">
        <v>117</v>
      </c>
      <c r="DJ3" t="s">
        <v>118</v>
      </c>
      <c r="DK3" t="s">
        <v>119</v>
      </c>
      <c r="DL3" t="s">
        <v>120</v>
      </c>
      <c r="DM3" t="s">
        <v>121</v>
      </c>
      <c r="DN3" t="s">
        <v>122</v>
      </c>
      <c r="DO3" t="s">
        <v>123</v>
      </c>
      <c r="DP3" t="s">
        <v>124</v>
      </c>
      <c r="DQ3" t="s">
        <v>125</v>
      </c>
      <c r="DR3" t="s">
        <v>126</v>
      </c>
      <c r="DS3" t="s">
        <v>127</v>
      </c>
      <c r="DT3" t="s">
        <v>128</v>
      </c>
      <c r="DU3" t="s">
        <v>129</v>
      </c>
      <c r="DV3" t="s">
        <v>130</v>
      </c>
      <c r="DW3" t="s">
        <v>131</v>
      </c>
      <c r="DX3" t="s">
        <v>132</v>
      </c>
      <c r="DY3" t="s">
        <v>133</v>
      </c>
      <c r="DZ3" t="s">
        <v>134</v>
      </c>
      <c r="EA3" t="s">
        <v>31</v>
      </c>
      <c r="EB3" t="s">
        <v>32</v>
      </c>
      <c r="EC3" t="s">
        <v>33</v>
      </c>
      <c r="ED3" t="s">
        <v>34</v>
      </c>
      <c r="EE3" t="s">
        <v>35</v>
      </c>
      <c r="EF3" t="s">
        <v>135</v>
      </c>
      <c r="EG3" t="s">
        <v>136</v>
      </c>
      <c r="EH3" t="s">
        <v>137</v>
      </c>
      <c r="EI3" t="s">
        <v>138</v>
      </c>
      <c r="EJ3" t="s">
        <v>139</v>
      </c>
      <c r="EK3" t="s">
        <v>140</v>
      </c>
      <c r="EL3" t="s">
        <v>141</v>
      </c>
      <c r="EM3" t="s">
        <v>142</v>
      </c>
      <c r="EN3" t="s">
        <v>143</v>
      </c>
      <c r="EO3" t="s">
        <v>144</v>
      </c>
      <c r="EP3" t="s">
        <v>145</v>
      </c>
      <c r="EQ3" t="s">
        <v>146</v>
      </c>
      <c r="ER3" t="s">
        <v>147</v>
      </c>
      <c r="ES3" t="s">
        <v>148</v>
      </c>
      <c r="ET3" t="s">
        <v>149</v>
      </c>
      <c r="EU3" t="s">
        <v>150</v>
      </c>
      <c r="EV3" t="s">
        <v>151</v>
      </c>
      <c r="EW3" t="s">
        <v>152</v>
      </c>
      <c r="EX3" t="s">
        <v>153</v>
      </c>
      <c r="EY3" t="s">
        <v>154</v>
      </c>
    </row>
    <row r="4" spans="1:155" x14ac:dyDescent="0.75">
      <c r="A4">
        <v>10</v>
      </c>
      <c r="B4">
        <v>100</v>
      </c>
      <c r="C4">
        <v>100</v>
      </c>
      <c r="D4">
        <v>100</v>
      </c>
      <c r="E4">
        <v>100</v>
      </c>
      <c r="F4">
        <v>100</v>
      </c>
      <c r="G4">
        <v>100</v>
      </c>
      <c r="H4">
        <v>100</v>
      </c>
      <c r="I4">
        <v>100</v>
      </c>
      <c r="J4">
        <v>100</v>
      </c>
      <c r="K4">
        <v>946</v>
      </c>
      <c r="L4">
        <v>1130</v>
      </c>
      <c r="M4">
        <v>1035</v>
      </c>
      <c r="N4">
        <v>1030</v>
      </c>
      <c r="O4">
        <v>980</v>
      </c>
      <c r="P4">
        <v>896</v>
      </c>
      <c r="Q4">
        <v>956</v>
      </c>
      <c r="R4">
        <v>1032</v>
      </c>
      <c r="S4">
        <v>968</v>
      </c>
      <c r="T4">
        <v>1027</v>
      </c>
      <c r="U4">
        <v>980</v>
      </c>
      <c r="V4">
        <v>1135</v>
      </c>
      <c r="W4">
        <v>1032</v>
      </c>
      <c r="X4">
        <v>1010</v>
      </c>
      <c r="Y4">
        <v>982</v>
      </c>
      <c r="Z4">
        <v>892</v>
      </c>
      <c r="AA4">
        <v>958</v>
      </c>
      <c r="AB4">
        <v>1028</v>
      </c>
      <c r="AC4">
        <v>974</v>
      </c>
      <c r="AD4">
        <v>1009</v>
      </c>
      <c r="AE4">
        <v>942</v>
      </c>
      <c r="AF4">
        <v>0</v>
      </c>
      <c r="AG4">
        <v>3</v>
      </c>
      <c r="AH4">
        <v>1</v>
      </c>
      <c r="AI4">
        <v>2</v>
      </c>
      <c r="AJ4">
        <v>5</v>
      </c>
      <c r="AK4">
        <v>7</v>
      </c>
      <c r="AL4">
        <v>3</v>
      </c>
      <c r="AM4">
        <v>4</v>
      </c>
      <c r="AN4">
        <v>13</v>
      </c>
      <c r="AO4">
        <v>0</v>
      </c>
      <c r="AP4">
        <v>1126</v>
      </c>
      <c r="AQ4">
        <v>1</v>
      </c>
      <c r="AR4">
        <v>4</v>
      </c>
      <c r="AS4">
        <v>0</v>
      </c>
      <c r="AT4">
        <v>2</v>
      </c>
      <c r="AU4">
        <v>1</v>
      </c>
      <c r="AV4">
        <v>1</v>
      </c>
      <c r="AW4">
        <v>0</v>
      </c>
      <c r="AX4">
        <v>0</v>
      </c>
      <c r="AY4">
        <v>2</v>
      </c>
      <c r="AZ4">
        <v>1</v>
      </c>
      <c r="BA4">
        <v>1023</v>
      </c>
      <c r="BB4">
        <v>1</v>
      </c>
      <c r="BC4">
        <v>0</v>
      </c>
      <c r="BD4">
        <v>0</v>
      </c>
      <c r="BE4">
        <v>0</v>
      </c>
      <c r="BF4">
        <v>4</v>
      </c>
      <c r="BG4">
        <v>0</v>
      </c>
      <c r="BH4">
        <v>1</v>
      </c>
      <c r="BI4">
        <v>0</v>
      </c>
      <c r="BJ4">
        <v>0</v>
      </c>
      <c r="BK4">
        <v>1</v>
      </c>
      <c r="BL4">
        <v>1006</v>
      </c>
      <c r="BM4">
        <v>0</v>
      </c>
      <c r="BN4">
        <v>3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1</v>
      </c>
      <c r="BV4">
        <v>0</v>
      </c>
      <c r="BW4">
        <v>974</v>
      </c>
      <c r="BX4">
        <v>0</v>
      </c>
      <c r="BY4">
        <v>1</v>
      </c>
      <c r="BZ4">
        <v>0</v>
      </c>
      <c r="CA4">
        <v>0</v>
      </c>
      <c r="CB4">
        <v>6</v>
      </c>
      <c r="CC4">
        <v>0</v>
      </c>
      <c r="CD4">
        <v>0</v>
      </c>
      <c r="CE4">
        <v>0</v>
      </c>
      <c r="CF4">
        <v>12</v>
      </c>
      <c r="CG4">
        <v>0</v>
      </c>
      <c r="CH4">
        <v>875</v>
      </c>
      <c r="CI4">
        <v>2</v>
      </c>
      <c r="CJ4">
        <v>0</v>
      </c>
      <c r="CK4">
        <v>2</v>
      </c>
      <c r="CL4">
        <v>1</v>
      </c>
      <c r="CM4">
        <v>1</v>
      </c>
      <c r="CN4">
        <v>2</v>
      </c>
      <c r="CO4">
        <v>0</v>
      </c>
      <c r="CP4">
        <v>1</v>
      </c>
      <c r="CQ4">
        <v>2</v>
      </c>
      <c r="CR4">
        <v>6</v>
      </c>
      <c r="CS4">
        <v>945</v>
      </c>
      <c r="CT4">
        <v>0</v>
      </c>
      <c r="CU4">
        <v>1</v>
      </c>
      <c r="CV4">
        <v>0</v>
      </c>
      <c r="CW4">
        <v>0</v>
      </c>
      <c r="CX4">
        <v>1</v>
      </c>
      <c r="CY4">
        <v>3</v>
      </c>
      <c r="CZ4">
        <v>0</v>
      </c>
      <c r="DA4">
        <v>0</v>
      </c>
      <c r="DB4">
        <v>0</v>
      </c>
      <c r="DC4">
        <v>0</v>
      </c>
      <c r="DD4">
        <v>1020</v>
      </c>
      <c r="DE4">
        <v>0</v>
      </c>
      <c r="DF4">
        <v>4</v>
      </c>
      <c r="DG4">
        <v>1</v>
      </c>
      <c r="DH4">
        <v>0</v>
      </c>
      <c r="DI4">
        <v>3</v>
      </c>
      <c r="DJ4">
        <v>2</v>
      </c>
      <c r="DK4">
        <v>0</v>
      </c>
      <c r="DL4">
        <v>2</v>
      </c>
      <c r="DM4">
        <v>0</v>
      </c>
      <c r="DN4">
        <v>2</v>
      </c>
      <c r="DO4">
        <v>961</v>
      </c>
      <c r="DP4">
        <v>3</v>
      </c>
      <c r="DQ4">
        <v>0</v>
      </c>
      <c r="DR4">
        <v>0</v>
      </c>
      <c r="DS4">
        <v>0</v>
      </c>
      <c r="DT4">
        <v>3</v>
      </c>
      <c r="DU4">
        <v>2</v>
      </c>
      <c r="DV4">
        <v>3</v>
      </c>
      <c r="DW4">
        <v>0</v>
      </c>
      <c r="DX4">
        <v>2</v>
      </c>
      <c r="DY4">
        <v>0</v>
      </c>
      <c r="DZ4">
        <v>999</v>
      </c>
      <c r="EA4">
        <v>0.98709999999999998</v>
      </c>
      <c r="EB4">
        <v>0.98701472609783003</v>
      </c>
      <c r="EC4">
        <v>0.98687988487307898</v>
      </c>
      <c r="ED4">
        <v>0.98689694866976096</v>
      </c>
      <c r="EE4">
        <f>SUM(Table1[[#This Row],[ratio_0]:[ratio_9]])</f>
        <v>910</v>
      </c>
      <c r="EF4" s="1">
        <f>(Table1[[#This Row],[predicted_0]]-Table1[[#This Row],[actual_0]])/Table1[[#This Row],[actual_0]]</f>
        <v>-3.4693877551020408E-2</v>
      </c>
      <c r="EG4" s="1">
        <f>(Table1[[#This Row],[predicted_1]]-Table1[[#This Row],[actual_1]])/Table1[[#This Row],[actual_1]]</f>
        <v>-4.4052863436123352E-3</v>
      </c>
      <c r="EH4" s="1">
        <f>(Table1[[#This Row],[predicted_2]]-Table1[[#This Row],[actual_2]])/Table1[[#This Row],[actual_2]]</f>
        <v>2.9069767441860465E-3</v>
      </c>
      <c r="EI4" s="1">
        <f>(Table1[[#This Row],[predicted_3]]-Table1[[#This Row],[actual_3]])/Table1[[#This Row],[actual_3]]</f>
        <v>1.9801980198019802E-2</v>
      </c>
      <c r="EJ4" s="1">
        <f>(Table1[[#This Row],[predicted_4]]-Table1[[#This Row],[actual_4]])/Table1[[#This Row],[actual_4]]</f>
        <v>-2.0366598778004071E-3</v>
      </c>
      <c r="EK4" s="1">
        <f>(Table1[[#This Row],[predicted_5]]-Table1[[#This Row],[actual_5]])/Table1[[#This Row],[actual_5]]</f>
        <v>4.4843049327354259E-3</v>
      </c>
      <c r="EL4" s="1">
        <f>(Table1[[#This Row],[predicted_6]]-Table1[[#This Row],[actual_6]])/Table1[[#This Row],[actual_6]]</f>
        <v>-2.0876826722338203E-3</v>
      </c>
      <c r="EM4" s="1">
        <f>(Table1[[#This Row],[predicted_7]]-Table1[[#This Row],[actual_7]])/Table1[[#This Row],[actual_7]]</f>
        <v>3.8910505836575876E-3</v>
      </c>
      <c r="EN4" s="1">
        <f>(Table1[[#This Row],[predicted_8]]-Table1[[#This Row],[actual_8]])/Table1[[#This Row],[actual_8]]</f>
        <v>-6.1601642710472282E-3</v>
      </c>
      <c r="EO4" s="1">
        <f>(Table1[[#This Row],[predicted_9]]-Table1[[#This Row],[actual_9]])/Table1[[#This Row],[actual_9]]</f>
        <v>1.7839444995044598E-2</v>
      </c>
      <c r="EP4" s="1">
        <f>1+(Table1[[#This Row],[error_ratio_0]]-EF$2)</f>
        <v>0.96326530612244898</v>
      </c>
      <c r="EQ4" s="1">
        <f>1+(Table1[[#This Row],[error_ratio_1]]-EG$2)</f>
        <v>0.99383259911894273</v>
      </c>
      <c r="ER4" s="1">
        <f>1+(Table1[[#This Row],[error_ratio_2]]-EH$2)</f>
        <v>1.0077519379844961</v>
      </c>
      <c r="ES4" s="1">
        <f>1+(Table1[[#This Row],[error_ratio_3]]-EI$2)</f>
        <v>1.0099009900990099</v>
      </c>
      <c r="ET4" s="1">
        <f>1+(Table1[[#This Row],[error_ratio_4]]-EJ$2)</f>
        <v>0.9969450101832994</v>
      </c>
      <c r="EU4" s="1">
        <f>1+(Table1[[#This Row],[error_ratio_5]]-EK$2)</f>
        <v>1.0033632286995515</v>
      </c>
      <c r="EV4" s="1">
        <f>1+(Table1[[#This Row],[error_ratio_6]]-EL$2)</f>
        <v>1.0041753653444676</v>
      </c>
      <c r="EW4" s="1">
        <f>1+(Table1[[#This Row],[error_ratio_7]]-EM$2)</f>
        <v>1.0019455252918288</v>
      </c>
      <c r="EX4" s="1">
        <f>1+(Table1[[#This Row],[error_ratio_8]]-EN$2)</f>
        <v>0.99691991786447642</v>
      </c>
      <c r="EY4" s="1">
        <f>1+(Table1[[#This Row],[error_ratio_9]]-EO$2)</f>
        <v>1.0218037661050545</v>
      </c>
    </row>
    <row r="5" spans="1:155" x14ac:dyDescent="0.75">
      <c r="A5">
        <v>100</v>
      </c>
      <c r="B5">
        <v>10</v>
      </c>
      <c r="C5">
        <v>100</v>
      </c>
      <c r="D5">
        <v>100</v>
      </c>
      <c r="E5">
        <v>100</v>
      </c>
      <c r="F5">
        <v>100</v>
      </c>
      <c r="G5">
        <v>100</v>
      </c>
      <c r="H5">
        <v>100</v>
      </c>
      <c r="I5">
        <v>100</v>
      </c>
      <c r="J5">
        <v>100</v>
      </c>
      <c r="K5">
        <v>988</v>
      </c>
      <c r="L5">
        <v>1116</v>
      </c>
      <c r="M5">
        <v>1030</v>
      </c>
      <c r="N5">
        <v>1016</v>
      </c>
      <c r="O5">
        <v>980</v>
      </c>
      <c r="P5">
        <v>898</v>
      </c>
      <c r="Q5">
        <v>945</v>
      </c>
      <c r="R5">
        <v>1050</v>
      </c>
      <c r="S5">
        <v>974</v>
      </c>
      <c r="T5">
        <v>1003</v>
      </c>
      <c r="U5">
        <v>980</v>
      </c>
      <c r="V5">
        <v>1135</v>
      </c>
      <c r="W5">
        <v>1032</v>
      </c>
      <c r="X5">
        <v>1010</v>
      </c>
      <c r="Y5">
        <v>982</v>
      </c>
      <c r="Z5">
        <v>892</v>
      </c>
      <c r="AA5">
        <v>958</v>
      </c>
      <c r="AB5">
        <v>1028</v>
      </c>
      <c r="AC5">
        <v>974</v>
      </c>
      <c r="AD5">
        <v>1009</v>
      </c>
      <c r="AE5">
        <v>975</v>
      </c>
      <c r="AF5">
        <v>0</v>
      </c>
      <c r="AG5">
        <v>0</v>
      </c>
      <c r="AH5">
        <v>0</v>
      </c>
      <c r="AI5">
        <v>0</v>
      </c>
      <c r="AJ5">
        <v>0</v>
      </c>
      <c r="AK5">
        <v>1</v>
      </c>
      <c r="AL5">
        <v>2</v>
      </c>
      <c r="AM5">
        <v>2</v>
      </c>
      <c r="AN5">
        <v>0</v>
      </c>
      <c r="AO5">
        <v>0</v>
      </c>
      <c r="AP5">
        <v>1112</v>
      </c>
      <c r="AQ5">
        <v>3</v>
      </c>
      <c r="AR5">
        <v>5</v>
      </c>
      <c r="AS5">
        <v>0</v>
      </c>
      <c r="AT5">
        <v>3</v>
      </c>
      <c r="AU5">
        <v>2</v>
      </c>
      <c r="AV5">
        <v>4</v>
      </c>
      <c r="AW5">
        <v>5</v>
      </c>
      <c r="AX5">
        <v>1</v>
      </c>
      <c r="AY5">
        <v>2</v>
      </c>
      <c r="AZ5">
        <v>0</v>
      </c>
      <c r="BA5">
        <v>1020</v>
      </c>
      <c r="BB5">
        <v>2</v>
      </c>
      <c r="BC5">
        <v>1</v>
      </c>
      <c r="BD5">
        <v>0</v>
      </c>
      <c r="BE5">
        <v>0</v>
      </c>
      <c r="BF5">
        <v>6</v>
      </c>
      <c r="BG5">
        <v>1</v>
      </c>
      <c r="BH5">
        <v>0</v>
      </c>
      <c r="BI5">
        <v>0</v>
      </c>
      <c r="BJ5">
        <v>0</v>
      </c>
      <c r="BK5">
        <v>1</v>
      </c>
      <c r="BL5">
        <v>1000</v>
      </c>
      <c r="BM5">
        <v>0</v>
      </c>
      <c r="BN5">
        <v>4</v>
      </c>
      <c r="BO5">
        <v>0</v>
      </c>
      <c r="BP5">
        <v>4</v>
      </c>
      <c r="BQ5">
        <v>1</v>
      </c>
      <c r="BR5">
        <v>0</v>
      </c>
      <c r="BS5">
        <v>0</v>
      </c>
      <c r="BT5">
        <v>0</v>
      </c>
      <c r="BU5">
        <v>1</v>
      </c>
      <c r="BV5">
        <v>0</v>
      </c>
      <c r="BW5">
        <v>974</v>
      </c>
      <c r="BX5">
        <v>0</v>
      </c>
      <c r="BY5">
        <v>0</v>
      </c>
      <c r="BZ5">
        <v>3</v>
      </c>
      <c r="CA5">
        <v>0</v>
      </c>
      <c r="CB5">
        <v>4</v>
      </c>
      <c r="CC5">
        <v>2</v>
      </c>
      <c r="CD5">
        <v>0</v>
      </c>
      <c r="CE5">
        <v>0</v>
      </c>
      <c r="CF5">
        <v>4</v>
      </c>
      <c r="CG5">
        <v>0</v>
      </c>
      <c r="CH5">
        <v>884</v>
      </c>
      <c r="CI5">
        <v>1</v>
      </c>
      <c r="CJ5">
        <v>1</v>
      </c>
      <c r="CK5">
        <v>0</v>
      </c>
      <c r="CL5">
        <v>0</v>
      </c>
      <c r="CM5">
        <v>7</v>
      </c>
      <c r="CN5">
        <v>2</v>
      </c>
      <c r="CO5">
        <v>0</v>
      </c>
      <c r="CP5">
        <v>1</v>
      </c>
      <c r="CQ5">
        <v>2</v>
      </c>
      <c r="CR5">
        <v>5</v>
      </c>
      <c r="CS5">
        <v>940</v>
      </c>
      <c r="CT5">
        <v>0</v>
      </c>
      <c r="CU5">
        <v>1</v>
      </c>
      <c r="CV5">
        <v>0</v>
      </c>
      <c r="CW5">
        <v>0</v>
      </c>
      <c r="CX5">
        <v>1</v>
      </c>
      <c r="CY5">
        <v>3</v>
      </c>
      <c r="CZ5">
        <v>0</v>
      </c>
      <c r="DA5">
        <v>0</v>
      </c>
      <c r="DB5">
        <v>0</v>
      </c>
      <c r="DC5">
        <v>0</v>
      </c>
      <c r="DD5">
        <v>1022</v>
      </c>
      <c r="DE5">
        <v>0</v>
      </c>
      <c r="DF5">
        <v>2</v>
      </c>
      <c r="DG5">
        <v>1</v>
      </c>
      <c r="DH5">
        <v>0</v>
      </c>
      <c r="DI5">
        <v>2</v>
      </c>
      <c r="DJ5">
        <v>0</v>
      </c>
      <c r="DK5">
        <v>0</v>
      </c>
      <c r="DL5">
        <v>1</v>
      </c>
      <c r="DM5">
        <v>1</v>
      </c>
      <c r="DN5">
        <v>3</v>
      </c>
      <c r="DO5">
        <v>964</v>
      </c>
      <c r="DP5">
        <v>2</v>
      </c>
      <c r="DQ5">
        <v>1</v>
      </c>
      <c r="DR5">
        <v>1</v>
      </c>
      <c r="DS5">
        <v>0</v>
      </c>
      <c r="DT5">
        <v>4</v>
      </c>
      <c r="DU5">
        <v>3</v>
      </c>
      <c r="DV5">
        <v>1</v>
      </c>
      <c r="DW5">
        <v>0</v>
      </c>
      <c r="DX5">
        <v>5</v>
      </c>
      <c r="DY5">
        <v>0</v>
      </c>
      <c r="DZ5">
        <v>994</v>
      </c>
      <c r="EA5">
        <v>0.98850000000000005</v>
      </c>
      <c r="EB5">
        <v>0.988489076392016</v>
      </c>
      <c r="EC5">
        <v>0.98862306310107495</v>
      </c>
      <c r="ED5">
        <v>0.98852870527858805</v>
      </c>
      <c r="EE5">
        <f>SUM(Table1[[#This Row],[ratio_0]:[ratio_9]])</f>
        <v>910</v>
      </c>
      <c r="EF5" s="1">
        <f>(Table1[[#This Row],[predicted_0]]-Table1[[#This Row],[actual_0]])/Table1[[#This Row],[actual_0]]</f>
        <v>8.1632653061224497E-3</v>
      </c>
      <c r="EG5" s="1">
        <f>(Table1[[#This Row],[predicted_1]]-Table1[[#This Row],[actual_1]])/Table1[[#This Row],[actual_1]]</f>
        <v>-1.6740088105726872E-2</v>
      </c>
      <c r="EH5" s="1">
        <f>(Table1[[#This Row],[predicted_2]]-Table1[[#This Row],[actual_2]])/Table1[[#This Row],[actual_2]]</f>
        <v>-1.937984496124031E-3</v>
      </c>
      <c r="EI5" s="1">
        <f>(Table1[[#This Row],[predicted_3]]-Table1[[#This Row],[actual_3]])/Table1[[#This Row],[actual_3]]</f>
        <v>5.9405940594059407E-3</v>
      </c>
      <c r="EJ5" s="1">
        <f>(Table1[[#This Row],[predicted_4]]-Table1[[#This Row],[actual_4]])/Table1[[#This Row],[actual_4]]</f>
        <v>-2.0366598778004071E-3</v>
      </c>
      <c r="EK5" s="1">
        <f>(Table1[[#This Row],[predicted_5]]-Table1[[#This Row],[actual_5]])/Table1[[#This Row],[actual_5]]</f>
        <v>6.7264573991031393E-3</v>
      </c>
      <c r="EL5" s="1">
        <f>(Table1[[#This Row],[predicted_6]]-Table1[[#This Row],[actual_6]])/Table1[[#This Row],[actual_6]]</f>
        <v>-1.3569937369519834E-2</v>
      </c>
      <c r="EM5" s="1">
        <f>(Table1[[#This Row],[predicted_7]]-Table1[[#This Row],[actual_7]])/Table1[[#This Row],[actual_7]]</f>
        <v>2.1400778210116732E-2</v>
      </c>
      <c r="EN5" s="1">
        <f>(Table1[[#This Row],[predicted_8]]-Table1[[#This Row],[actual_8]])/Table1[[#This Row],[actual_8]]</f>
        <v>0</v>
      </c>
      <c r="EO5" s="1">
        <f>(Table1[[#This Row],[predicted_9]]-Table1[[#This Row],[actual_9]])/Table1[[#This Row],[actual_9]]</f>
        <v>-5.9464816650148661E-3</v>
      </c>
      <c r="EP5" s="1">
        <f>1+(Table1[[#This Row],[error_ratio_0]]-EF$2)</f>
        <v>1.0061224489795919</v>
      </c>
      <c r="EQ5" s="1">
        <f>1+(Table1[[#This Row],[error_ratio_1]]-EG$2)</f>
        <v>0.98149779735682818</v>
      </c>
      <c r="ER5" s="1">
        <f>1+(Table1[[#This Row],[error_ratio_2]]-EH$2)</f>
        <v>1.0029069767441861</v>
      </c>
      <c r="ES5" s="1">
        <f>1+(Table1[[#This Row],[error_ratio_3]]-EI$2)</f>
        <v>0.99603960396039604</v>
      </c>
      <c r="ET5" s="1">
        <f>1+(Table1[[#This Row],[error_ratio_4]]-EJ$2)</f>
        <v>0.9969450101832994</v>
      </c>
      <c r="EU5" s="1">
        <f>1+(Table1[[#This Row],[error_ratio_5]]-EK$2)</f>
        <v>1.0056053811659194</v>
      </c>
      <c r="EV5" s="1">
        <f>1+(Table1[[#This Row],[error_ratio_6]]-EL$2)</f>
        <v>0.99269311064718158</v>
      </c>
      <c r="EW5" s="1">
        <f>1+(Table1[[#This Row],[error_ratio_7]]-EM$2)</f>
        <v>1.0194552529182879</v>
      </c>
      <c r="EX5" s="1">
        <f>1+(Table1[[#This Row],[error_ratio_8]]-EN$2)</f>
        <v>1.0030800821355237</v>
      </c>
      <c r="EY5" s="1">
        <f>1+(Table1[[#This Row],[error_ratio_9]]-EO$2)</f>
        <v>0.998017839444995</v>
      </c>
    </row>
    <row r="6" spans="1:155" x14ac:dyDescent="0.75">
      <c r="A6">
        <v>10</v>
      </c>
      <c r="B6">
        <v>10</v>
      </c>
      <c r="C6">
        <v>100</v>
      </c>
      <c r="D6">
        <v>100</v>
      </c>
      <c r="E6">
        <v>100</v>
      </c>
      <c r="F6">
        <v>100</v>
      </c>
      <c r="G6">
        <v>100</v>
      </c>
      <c r="H6">
        <v>100</v>
      </c>
      <c r="I6">
        <v>100</v>
      </c>
      <c r="J6">
        <v>100</v>
      </c>
      <c r="K6">
        <v>956</v>
      </c>
      <c r="L6">
        <v>1118</v>
      </c>
      <c r="M6">
        <v>1034</v>
      </c>
      <c r="N6">
        <v>1022</v>
      </c>
      <c r="O6">
        <v>981</v>
      </c>
      <c r="P6">
        <v>923</v>
      </c>
      <c r="Q6">
        <v>957</v>
      </c>
      <c r="R6">
        <v>1037</v>
      </c>
      <c r="S6">
        <v>976</v>
      </c>
      <c r="T6">
        <v>996</v>
      </c>
      <c r="U6">
        <v>980</v>
      </c>
      <c r="V6">
        <v>1135</v>
      </c>
      <c r="W6">
        <v>1032</v>
      </c>
      <c r="X6">
        <v>1010</v>
      </c>
      <c r="Y6">
        <v>982</v>
      </c>
      <c r="Z6">
        <v>892</v>
      </c>
      <c r="AA6">
        <v>958</v>
      </c>
      <c r="AB6">
        <v>1028</v>
      </c>
      <c r="AC6">
        <v>974</v>
      </c>
      <c r="AD6">
        <v>1009</v>
      </c>
      <c r="AE6">
        <v>949</v>
      </c>
      <c r="AF6">
        <v>0</v>
      </c>
      <c r="AG6">
        <v>3</v>
      </c>
      <c r="AH6">
        <v>1</v>
      </c>
      <c r="AI6">
        <v>0</v>
      </c>
      <c r="AJ6">
        <v>11</v>
      </c>
      <c r="AK6">
        <v>6</v>
      </c>
      <c r="AL6">
        <v>3</v>
      </c>
      <c r="AM6">
        <v>4</v>
      </c>
      <c r="AN6">
        <v>3</v>
      </c>
      <c r="AO6">
        <v>0</v>
      </c>
      <c r="AP6">
        <v>1115</v>
      </c>
      <c r="AQ6">
        <v>3</v>
      </c>
      <c r="AR6">
        <v>6</v>
      </c>
      <c r="AS6">
        <v>0</v>
      </c>
      <c r="AT6">
        <v>1</v>
      </c>
      <c r="AU6">
        <v>4</v>
      </c>
      <c r="AV6">
        <v>2</v>
      </c>
      <c r="AW6">
        <v>4</v>
      </c>
      <c r="AX6">
        <v>0</v>
      </c>
      <c r="AY6">
        <v>1</v>
      </c>
      <c r="AZ6">
        <v>0</v>
      </c>
      <c r="BA6">
        <v>1023</v>
      </c>
      <c r="BB6">
        <v>3</v>
      </c>
      <c r="BC6">
        <v>0</v>
      </c>
      <c r="BD6">
        <v>0</v>
      </c>
      <c r="BE6">
        <v>0</v>
      </c>
      <c r="BF6">
        <v>4</v>
      </c>
      <c r="BG6">
        <v>1</v>
      </c>
      <c r="BH6">
        <v>0</v>
      </c>
      <c r="BI6">
        <v>0</v>
      </c>
      <c r="BJ6">
        <v>0</v>
      </c>
      <c r="BK6">
        <v>1</v>
      </c>
      <c r="BL6">
        <v>1002</v>
      </c>
      <c r="BM6">
        <v>0</v>
      </c>
      <c r="BN6">
        <v>5</v>
      </c>
      <c r="BO6">
        <v>0</v>
      </c>
      <c r="BP6">
        <v>2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974</v>
      </c>
      <c r="BX6">
        <v>0</v>
      </c>
      <c r="BY6">
        <v>2</v>
      </c>
      <c r="BZ6">
        <v>0</v>
      </c>
      <c r="CA6">
        <v>2</v>
      </c>
      <c r="CB6">
        <v>4</v>
      </c>
      <c r="CC6">
        <v>0</v>
      </c>
      <c r="CD6">
        <v>0</v>
      </c>
      <c r="CE6">
        <v>0</v>
      </c>
      <c r="CF6">
        <v>4</v>
      </c>
      <c r="CG6">
        <v>0</v>
      </c>
      <c r="CH6">
        <v>886</v>
      </c>
      <c r="CI6">
        <v>2</v>
      </c>
      <c r="CJ6">
        <v>0</v>
      </c>
      <c r="CK6">
        <v>0</v>
      </c>
      <c r="CL6">
        <v>0</v>
      </c>
      <c r="CM6">
        <v>3</v>
      </c>
      <c r="CN6">
        <v>2</v>
      </c>
      <c r="CO6">
        <v>0</v>
      </c>
      <c r="CP6">
        <v>0</v>
      </c>
      <c r="CQ6">
        <v>2</v>
      </c>
      <c r="CR6">
        <v>7</v>
      </c>
      <c r="CS6">
        <v>943</v>
      </c>
      <c r="CT6">
        <v>0</v>
      </c>
      <c r="CU6">
        <v>1</v>
      </c>
      <c r="CV6">
        <v>0</v>
      </c>
      <c r="CW6">
        <v>0</v>
      </c>
      <c r="CX6">
        <v>1</v>
      </c>
      <c r="CY6">
        <v>2</v>
      </c>
      <c r="CZ6">
        <v>1</v>
      </c>
      <c r="DA6">
        <v>0</v>
      </c>
      <c r="DB6">
        <v>0</v>
      </c>
      <c r="DC6">
        <v>0</v>
      </c>
      <c r="DD6">
        <v>1022</v>
      </c>
      <c r="DE6">
        <v>0</v>
      </c>
      <c r="DF6">
        <v>2</v>
      </c>
      <c r="DG6">
        <v>1</v>
      </c>
      <c r="DH6">
        <v>0</v>
      </c>
      <c r="DI6">
        <v>2</v>
      </c>
      <c r="DJ6">
        <v>3</v>
      </c>
      <c r="DK6">
        <v>0</v>
      </c>
      <c r="DL6">
        <v>2</v>
      </c>
      <c r="DM6">
        <v>0</v>
      </c>
      <c r="DN6">
        <v>2</v>
      </c>
      <c r="DO6">
        <v>962</v>
      </c>
      <c r="DP6">
        <v>2</v>
      </c>
      <c r="DQ6">
        <v>2</v>
      </c>
      <c r="DR6">
        <v>0</v>
      </c>
      <c r="DS6">
        <v>0</v>
      </c>
      <c r="DT6">
        <v>2</v>
      </c>
      <c r="DU6">
        <v>5</v>
      </c>
      <c r="DV6">
        <v>11</v>
      </c>
      <c r="DW6">
        <v>0</v>
      </c>
      <c r="DX6">
        <v>2</v>
      </c>
      <c r="DY6">
        <v>2</v>
      </c>
      <c r="DZ6">
        <v>985</v>
      </c>
      <c r="EA6">
        <v>0.98609999999999998</v>
      </c>
      <c r="EB6">
        <v>0.98580821513621997</v>
      </c>
      <c r="EC6">
        <v>0.98616309312228601</v>
      </c>
      <c r="ED6">
        <v>0.985926760800928</v>
      </c>
      <c r="EE6">
        <f>SUM(Table1[[#This Row],[ratio_0]:[ratio_9]])</f>
        <v>820</v>
      </c>
      <c r="EF6" s="1">
        <f>(Table1[[#This Row],[predicted_0]]-Table1[[#This Row],[actual_0]])/Table1[[#This Row],[actual_0]]</f>
        <v>-2.4489795918367346E-2</v>
      </c>
      <c r="EG6" s="1">
        <f>(Table1[[#This Row],[predicted_1]]-Table1[[#This Row],[actual_1]])/Table1[[#This Row],[actual_1]]</f>
        <v>-1.4977973568281937E-2</v>
      </c>
      <c r="EH6" s="1">
        <f>(Table1[[#This Row],[predicted_2]]-Table1[[#This Row],[actual_2]])/Table1[[#This Row],[actual_2]]</f>
        <v>1.937984496124031E-3</v>
      </c>
      <c r="EI6" s="1">
        <f>(Table1[[#This Row],[predicted_3]]-Table1[[#This Row],[actual_3]])/Table1[[#This Row],[actual_3]]</f>
        <v>1.1881188118811881E-2</v>
      </c>
      <c r="EJ6" s="1">
        <f>(Table1[[#This Row],[predicted_4]]-Table1[[#This Row],[actual_4]])/Table1[[#This Row],[actual_4]]</f>
        <v>-1.0183299389002036E-3</v>
      </c>
      <c r="EK6" s="1">
        <f>(Table1[[#This Row],[predicted_5]]-Table1[[#This Row],[actual_5]])/Table1[[#This Row],[actual_5]]</f>
        <v>3.4753363228699555E-2</v>
      </c>
      <c r="EL6" s="1">
        <f>(Table1[[#This Row],[predicted_6]]-Table1[[#This Row],[actual_6]])/Table1[[#This Row],[actual_6]]</f>
        <v>-1.0438413361169101E-3</v>
      </c>
      <c r="EM6" s="1">
        <f>(Table1[[#This Row],[predicted_7]]-Table1[[#This Row],[actual_7]])/Table1[[#This Row],[actual_7]]</f>
        <v>8.7548638132295721E-3</v>
      </c>
      <c r="EN6" s="1">
        <f>(Table1[[#This Row],[predicted_8]]-Table1[[#This Row],[actual_8]])/Table1[[#This Row],[actual_8]]</f>
        <v>2.0533880903490761E-3</v>
      </c>
      <c r="EO6" s="1">
        <f>(Table1[[#This Row],[predicted_9]]-Table1[[#This Row],[actual_9]])/Table1[[#This Row],[actual_9]]</f>
        <v>-1.288404360753221E-2</v>
      </c>
      <c r="EP6" s="1">
        <f>1+(Table1[[#This Row],[error_ratio_0]]-EF$2)</f>
        <v>0.97346938775510206</v>
      </c>
      <c r="EQ6" s="1">
        <f>1+(Table1[[#This Row],[error_ratio_1]]-EG$2)</f>
        <v>0.98325991189427309</v>
      </c>
      <c r="ER6" s="1">
        <f>1+(Table1[[#This Row],[error_ratio_2]]-EH$2)</f>
        <v>1.0067829457364341</v>
      </c>
      <c r="ES6" s="1">
        <f>1+(Table1[[#This Row],[error_ratio_3]]-EI$2)</f>
        <v>1.001980198019802</v>
      </c>
      <c r="ET6" s="1">
        <f>1+(Table1[[#This Row],[error_ratio_4]]-EJ$2)</f>
        <v>0.99796334012219956</v>
      </c>
      <c r="EU6" s="1">
        <f>1+(Table1[[#This Row],[error_ratio_5]]-EK$2)</f>
        <v>1.0336322869955157</v>
      </c>
      <c r="EV6" s="1">
        <f>1+(Table1[[#This Row],[error_ratio_6]]-EL$2)</f>
        <v>1.0052192066805845</v>
      </c>
      <c r="EW6" s="1">
        <f>1+(Table1[[#This Row],[error_ratio_7]]-EM$2)</f>
        <v>1.0068093385214008</v>
      </c>
      <c r="EX6" s="1">
        <f>1+(Table1[[#This Row],[error_ratio_8]]-EN$2)</f>
        <v>1.0051334702258727</v>
      </c>
      <c r="EY6" s="1">
        <f>1+(Table1[[#This Row],[error_ratio_9]]-EO$2)</f>
        <v>0.99108027750247774</v>
      </c>
    </row>
    <row r="7" spans="1:155" x14ac:dyDescent="0.75">
      <c r="A7">
        <v>100</v>
      </c>
      <c r="B7">
        <v>100</v>
      </c>
      <c r="C7">
        <v>10</v>
      </c>
      <c r="D7">
        <v>100</v>
      </c>
      <c r="E7">
        <v>100</v>
      </c>
      <c r="F7">
        <v>100</v>
      </c>
      <c r="G7">
        <v>100</v>
      </c>
      <c r="H7">
        <v>100</v>
      </c>
      <c r="I7">
        <v>100</v>
      </c>
      <c r="J7">
        <v>100</v>
      </c>
      <c r="K7">
        <v>988</v>
      </c>
      <c r="L7">
        <v>1137</v>
      </c>
      <c r="M7">
        <v>962</v>
      </c>
      <c r="N7">
        <v>1052</v>
      </c>
      <c r="O7">
        <v>977</v>
      </c>
      <c r="P7">
        <v>895</v>
      </c>
      <c r="Q7">
        <v>961</v>
      </c>
      <c r="R7">
        <v>1031</v>
      </c>
      <c r="S7">
        <v>988</v>
      </c>
      <c r="T7">
        <v>1009</v>
      </c>
      <c r="U7">
        <v>980</v>
      </c>
      <c r="V7">
        <v>1135</v>
      </c>
      <c r="W7">
        <v>1032</v>
      </c>
      <c r="X7">
        <v>1010</v>
      </c>
      <c r="Y7">
        <v>982</v>
      </c>
      <c r="Z7">
        <v>892</v>
      </c>
      <c r="AA7">
        <v>958</v>
      </c>
      <c r="AB7">
        <v>1028</v>
      </c>
      <c r="AC7">
        <v>974</v>
      </c>
      <c r="AD7">
        <v>1009</v>
      </c>
      <c r="AE7">
        <v>972</v>
      </c>
      <c r="AF7">
        <v>0</v>
      </c>
      <c r="AG7">
        <v>0</v>
      </c>
      <c r="AH7">
        <v>0</v>
      </c>
      <c r="AI7">
        <v>0</v>
      </c>
      <c r="AJ7">
        <v>0</v>
      </c>
      <c r="AK7">
        <v>2</v>
      </c>
      <c r="AL7">
        <v>2</v>
      </c>
      <c r="AM7">
        <v>3</v>
      </c>
      <c r="AN7">
        <v>1</v>
      </c>
      <c r="AO7">
        <v>0</v>
      </c>
      <c r="AP7">
        <v>1127</v>
      </c>
      <c r="AQ7">
        <v>0</v>
      </c>
      <c r="AR7">
        <v>2</v>
      </c>
      <c r="AS7">
        <v>0</v>
      </c>
      <c r="AT7">
        <v>2</v>
      </c>
      <c r="AU7">
        <v>2</v>
      </c>
      <c r="AV7">
        <v>0</v>
      </c>
      <c r="AW7">
        <v>2</v>
      </c>
      <c r="AX7">
        <v>0</v>
      </c>
      <c r="AY7">
        <v>7</v>
      </c>
      <c r="AZ7">
        <v>3</v>
      </c>
      <c r="BA7">
        <v>958</v>
      </c>
      <c r="BB7">
        <v>25</v>
      </c>
      <c r="BC7">
        <v>4</v>
      </c>
      <c r="BD7">
        <v>1</v>
      </c>
      <c r="BE7">
        <v>5</v>
      </c>
      <c r="BF7">
        <v>15</v>
      </c>
      <c r="BG7">
        <v>12</v>
      </c>
      <c r="BH7">
        <v>2</v>
      </c>
      <c r="BI7">
        <v>0</v>
      </c>
      <c r="BJ7">
        <v>0</v>
      </c>
      <c r="BK7">
        <v>0</v>
      </c>
      <c r="BL7">
        <v>1003</v>
      </c>
      <c r="BM7">
        <v>0</v>
      </c>
      <c r="BN7">
        <v>3</v>
      </c>
      <c r="BO7">
        <v>0</v>
      </c>
      <c r="BP7">
        <v>1</v>
      </c>
      <c r="BQ7">
        <v>1</v>
      </c>
      <c r="BR7">
        <v>2</v>
      </c>
      <c r="BS7">
        <v>0</v>
      </c>
      <c r="BT7">
        <v>0</v>
      </c>
      <c r="BU7">
        <v>1</v>
      </c>
      <c r="BV7">
        <v>0</v>
      </c>
      <c r="BW7">
        <v>969</v>
      </c>
      <c r="BX7">
        <v>0</v>
      </c>
      <c r="BY7">
        <v>4</v>
      </c>
      <c r="BZ7">
        <v>0</v>
      </c>
      <c r="CA7">
        <v>2</v>
      </c>
      <c r="CB7">
        <v>6</v>
      </c>
      <c r="CC7">
        <v>1</v>
      </c>
      <c r="CD7">
        <v>0</v>
      </c>
      <c r="CE7">
        <v>0</v>
      </c>
      <c r="CF7">
        <v>8</v>
      </c>
      <c r="CG7">
        <v>0</v>
      </c>
      <c r="CH7">
        <v>880</v>
      </c>
      <c r="CI7">
        <v>1</v>
      </c>
      <c r="CJ7">
        <v>0</v>
      </c>
      <c r="CK7">
        <v>2</v>
      </c>
      <c r="CL7">
        <v>0</v>
      </c>
      <c r="CM7">
        <v>5</v>
      </c>
      <c r="CN7">
        <v>2</v>
      </c>
      <c r="CO7">
        <v>0</v>
      </c>
      <c r="CP7">
        <v>0</v>
      </c>
      <c r="CQ7">
        <v>1</v>
      </c>
      <c r="CR7">
        <v>3</v>
      </c>
      <c r="CS7">
        <v>946</v>
      </c>
      <c r="CT7">
        <v>0</v>
      </c>
      <c r="CU7">
        <v>1</v>
      </c>
      <c r="CV7">
        <v>0</v>
      </c>
      <c r="CW7">
        <v>1</v>
      </c>
      <c r="CX7">
        <v>3</v>
      </c>
      <c r="CY7">
        <v>2</v>
      </c>
      <c r="CZ7">
        <v>8</v>
      </c>
      <c r="DA7">
        <v>0</v>
      </c>
      <c r="DB7">
        <v>1</v>
      </c>
      <c r="DC7">
        <v>0</v>
      </c>
      <c r="DD7">
        <v>1007</v>
      </c>
      <c r="DE7">
        <v>1</v>
      </c>
      <c r="DF7">
        <v>5</v>
      </c>
      <c r="DG7">
        <v>1</v>
      </c>
      <c r="DH7">
        <v>0</v>
      </c>
      <c r="DI7">
        <v>1</v>
      </c>
      <c r="DJ7">
        <v>2</v>
      </c>
      <c r="DK7">
        <v>0</v>
      </c>
      <c r="DL7">
        <v>1</v>
      </c>
      <c r="DM7">
        <v>0</v>
      </c>
      <c r="DN7">
        <v>3</v>
      </c>
      <c r="DO7">
        <v>962</v>
      </c>
      <c r="DP7">
        <v>4</v>
      </c>
      <c r="DQ7">
        <v>1</v>
      </c>
      <c r="DR7">
        <v>2</v>
      </c>
      <c r="DS7">
        <v>0</v>
      </c>
      <c r="DT7">
        <v>4</v>
      </c>
      <c r="DU7">
        <v>3</v>
      </c>
      <c r="DV7">
        <v>4</v>
      </c>
      <c r="DW7">
        <v>1</v>
      </c>
      <c r="DX7">
        <v>3</v>
      </c>
      <c r="DY7">
        <v>2</v>
      </c>
      <c r="DZ7">
        <v>989</v>
      </c>
      <c r="EA7">
        <v>0.98129999999999995</v>
      </c>
      <c r="EB7">
        <v>0.98143020277355497</v>
      </c>
      <c r="EC7">
        <v>0.98143649074245398</v>
      </c>
      <c r="ED7">
        <v>0.98126633204598002</v>
      </c>
      <c r="EE7">
        <f>SUM(Table1[[#This Row],[ratio_0]:[ratio_9]])</f>
        <v>910</v>
      </c>
      <c r="EF7" s="1">
        <f>(Table1[[#This Row],[predicted_0]]-Table1[[#This Row],[actual_0]])/Table1[[#This Row],[actual_0]]</f>
        <v>8.1632653061224497E-3</v>
      </c>
      <c r="EG7" s="1">
        <f>(Table1[[#This Row],[predicted_1]]-Table1[[#This Row],[actual_1]])/Table1[[#This Row],[actual_1]]</f>
        <v>1.762114537444934E-3</v>
      </c>
      <c r="EH7" s="1">
        <f>(Table1[[#This Row],[predicted_2]]-Table1[[#This Row],[actual_2]])/Table1[[#This Row],[actual_2]]</f>
        <v>-6.7829457364341081E-2</v>
      </c>
      <c r="EI7" s="1">
        <f>(Table1[[#This Row],[predicted_3]]-Table1[[#This Row],[actual_3]])/Table1[[#This Row],[actual_3]]</f>
        <v>4.1584158415841586E-2</v>
      </c>
      <c r="EJ7" s="1">
        <f>(Table1[[#This Row],[predicted_4]]-Table1[[#This Row],[actual_4]])/Table1[[#This Row],[actual_4]]</f>
        <v>-5.0916496945010185E-3</v>
      </c>
      <c r="EK7" s="1">
        <f>(Table1[[#This Row],[predicted_5]]-Table1[[#This Row],[actual_5]])/Table1[[#This Row],[actual_5]]</f>
        <v>3.3632286995515697E-3</v>
      </c>
      <c r="EL7" s="1">
        <f>(Table1[[#This Row],[predicted_6]]-Table1[[#This Row],[actual_6]])/Table1[[#This Row],[actual_6]]</f>
        <v>3.1315240083507308E-3</v>
      </c>
      <c r="EM7" s="1">
        <f>(Table1[[#This Row],[predicted_7]]-Table1[[#This Row],[actual_7]])/Table1[[#This Row],[actual_7]]</f>
        <v>2.9182879377431907E-3</v>
      </c>
      <c r="EN7" s="1">
        <f>(Table1[[#This Row],[predicted_8]]-Table1[[#This Row],[actual_8]])/Table1[[#This Row],[actual_8]]</f>
        <v>1.4373716632443531E-2</v>
      </c>
      <c r="EO7" s="1">
        <f>(Table1[[#This Row],[predicted_9]]-Table1[[#This Row],[actual_9]])/Table1[[#This Row],[actual_9]]</f>
        <v>0</v>
      </c>
      <c r="EP7" s="1">
        <f>1+(Table1[[#This Row],[error_ratio_0]]-EF$2)</f>
        <v>1.0061224489795919</v>
      </c>
      <c r="EQ7" s="1">
        <f>1+(Table1[[#This Row],[error_ratio_1]]-EG$2)</f>
        <v>1</v>
      </c>
      <c r="ER7" s="1">
        <f>1+(Table1[[#This Row],[error_ratio_2]]-EH$2)</f>
        <v>0.93701550387596899</v>
      </c>
      <c r="ES7" s="1">
        <f>1+(Table1[[#This Row],[error_ratio_3]]-EI$2)</f>
        <v>1.0316831683168317</v>
      </c>
      <c r="ET7" s="1">
        <f>1+(Table1[[#This Row],[error_ratio_4]]-EJ$2)</f>
        <v>0.99389002036659879</v>
      </c>
      <c r="EU7" s="1">
        <f>1+(Table1[[#This Row],[error_ratio_5]]-EK$2)</f>
        <v>1.0022421524663676</v>
      </c>
      <c r="EV7" s="1">
        <f>1+(Table1[[#This Row],[error_ratio_6]]-EL$2)</f>
        <v>1.0093945720250521</v>
      </c>
      <c r="EW7" s="1">
        <f>1+(Table1[[#This Row],[error_ratio_7]]-EM$2)</f>
        <v>1.0009727626459144</v>
      </c>
      <c r="EX7" s="1">
        <f>1+(Table1[[#This Row],[error_ratio_8]]-EN$2)</f>
        <v>1.017453798767967</v>
      </c>
      <c r="EY7" s="1">
        <f>1+(Table1[[#This Row],[error_ratio_9]]-EO$2)</f>
        <v>1.00396432111001</v>
      </c>
    </row>
    <row r="8" spans="1:155" x14ac:dyDescent="0.75">
      <c r="A8">
        <v>10</v>
      </c>
      <c r="B8">
        <v>100</v>
      </c>
      <c r="C8">
        <v>10</v>
      </c>
      <c r="D8">
        <v>100</v>
      </c>
      <c r="E8">
        <v>100</v>
      </c>
      <c r="F8">
        <v>100</v>
      </c>
      <c r="G8">
        <v>100</v>
      </c>
      <c r="H8">
        <v>100</v>
      </c>
      <c r="I8">
        <v>100</v>
      </c>
      <c r="J8">
        <v>100</v>
      </c>
      <c r="K8">
        <v>951</v>
      </c>
      <c r="L8">
        <v>1143</v>
      </c>
      <c r="M8">
        <v>950</v>
      </c>
      <c r="N8">
        <v>1029</v>
      </c>
      <c r="O8">
        <v>980</v>
      </c>
      <c r="P8">
        <v>897</v>
      </c>
      <c r="Q8">
        <v>981</v>
      </c>
      <c r="R8">
        <v>1052</v>
      </c>
      <c r="S8">
        <v>1004</v>
      </c>
      <c r="T8">
        <v>1013</v>
      </c>
      <c r="U8">
        <v>980</v>
      </c>
      <c r="V8">
        <v>1135</v>
      </c>
      <c r="W8">
        <v>1032</v>
      </c>
      <c r="X8">
        <v>1010</v>
      </c>
      <c r="Y8">
        <v>982</v>
      </c>
      <c r="Z8">
        <v>892</v>
      </c>
      <c r="AA8">
        <v>958</v>
      </c>
      <c r="AB8">
        <v>1028</v>
      </c>
      <c r="AC8">
        <v>974</v>
      </c>
      <c r="AD8">
        <v>1009</v>
      </c>
      <c r="AE8">
        <v>945</v>
      </c>
      <c r="AF8">
        <v>1</v>
      </c>
      <c r="AG8">
        <v>0</v>
      </c>
      <c r="AH8">
        <v>0</v>
      </c>
      <c r="AI8">
        <v>1</v>
      </c>
      <c r="AJ8">
        <v>0</v>
      </c>
      <c r="AK8">
        <v>20</v>
      </c>
      <c r="AL8">
        <v>2</v>
      </c>
      <c r="AM8">
        <v>5</v>
      </c>
      <c r="AN8">
        <v>6</v>
      </c>
      <c r="AO8">
        <v>0</v>
      </c>
      <c r="AP8">
        <v>1129</v>
      </c>
      <c r="AQ8">
        <v>0</v>
      </c>
      <c r="AR8">
        <v>2</v>
      </c>
      <c r="AS8">
        <v>0</v>
      </c>
      <c r="AT8">
        <v>1</v>
      </c>
      <c r="AU8">
        <v>1</v>
      </c>
      <c r="AV8">
        <v>1</v>
      </c>
      <c r="AW8">
        <v>0</v>
      </c>
      <c r="AX8">
        <v>1</v>
      </c>
      <c r="AY8">
        <v>3</v>
      </c>
      <c r="AZ8">
        <v>7</v>
      </c>
      <c r="BA8">
        <v>948</v>
      </c>
      <c r="BB8">
        <v>15</v>
      </c>
      <c r="BC8">
        <v>3</v>
      </c>
      <c r="BD8">
        <v>1</v>
      </c>
      <c r="BE8">
        <v>8</v>
      </c>
      <c r="BF8">
        <v>18</v>
      </c>
      <c r="BG8">
        <v>28</v>
      </c>
      <c r="BH8">
        <v>1</v>
      </c>
      <c r="BI8">
        <v>0</v>
      </c>
      <c r="BJ8">
        <v>0</v>
      </c>
      <c r="BK8">
        <v>0</v>
      </c>
      <c r="BL8">
        <v>1004</v>
      </c>
      <c r="BM8">
        <v>0</v>
      </c>
      <c r="BN8">
        <v>2</v>
      </c>
      <c r="BO8">
        <v>0</v>
      </c>
      <c r="BP8">
        <v>2</v>
      </c>
      <c r="BQ8">
        <v>1</v>
      </c>
      <c r="BR8">
        <v>1</v>
      </c>
      <c r="BS8">
        <v>0</v>
      </c>
      <c r="BT8">
        <v>0</v>
      </c>
      <c r="BU8">
        <v>0</v>
      </c>
      <c r="BV8">
        <v>0</v>
      </c>
      <c r="BW8">
        <v>972</v>
      </c>
      <c r="BX8">
        <v>0</v>
      </c>
      <c r="BY8">
        <v>4</v>
      </c>
      <c r="BZ8">
        <v>0</v>
      </c>
      <c r="CA8">
        <v>0</v>
      </c>
      <c r="CB8">
        <v>6</v>
      </c>
      <c r="CC8">
        <v>0</v>
      </c>
      <c r="CD8">
        <v>0</v>
      </c>
      <c r="CE8">
        <v>0</v>
      </c>
      <c r="CF8">
        <v>4</v>
      </c>
      <c r="CG8">
        <v>0</v>
      </c>
      <c r="CH8">
        <v>884</v>
      </c>
      <c r="CI8">
        <v>1</v>
      </c>
      <c r="CJ8">
        <v>1</v>
      </c>
      <c r="CK8">
        <v>2</v>
      </c>
      <c r="CL8">
        <v>0</v>
      </c>
      <c r="CM8">
        <v>0</v>
      </c>
      <c r="CN8">
        <v>4</v>
      </c>
      <c r="CO8">
        <v>0</v>
      </c>
      <c r="CP8">
        <v>0</v>
      </c>
      <c r="CQ8">
        <v>2</v>
      </c>
      <c r="CR8">
        <v>4</v>
      </c>
      <c r="CS8">
        <v>947</v>
      </c>
      <c r="CT8">
        <v>0</v>
      </c>
      <c r="CU8">
        <v>1</v>
      </c>
      <c r="CV8">
        <v>0</v>
      </c>
      <c r="CW8">
        <v>0</v>
      </c>
      <c r="CX8">
        <v>2</v>
      </c>
      <c r="CY8">
        <v>2</v>
      </c>
      <c r="CZ8">
        <v>1</v>
      </c>
      <c r="DA8">
        <v>1</v>
      </c>
      <c r="DB8">
        <v>0</v>
      </c>
      <c r="DC8">
        <v>0</v>
      </c>
      <c r="DD8">
        <v>1020</v>
      </c>
      <c r="DE8">
        <v>1</v>
      </c>
      <c r="DF8">
        <v>1</v>
      </c>
      <c r="DG8">
        <v>1</v>
      </c>
      <c r="DH8">
        <v>0</v>
      </c>
      <c r="DI8">
        <v>0</v>
      </c>
      <c r="DJ8">
        <v>1</v>
      </c>
      <c r="DK8">
        <v>0</v>
      </c>
      <c r="DL8">
        <v>3</v>
      </c>
      <c r="DM8">
        <v>0</v>
      </c>
      <c r="DN8">
        <v>2</v>
      </c>
      <c r="DO8">
        <v>964</v>
      </c>
      <c r="DP8">
        <v>3</v>
      </c>
      <c r="DQ8">
        <v>2</v>
      </c>
      <c r="DR8">
        <v>0</v>
      </c>
      <c r="DS8">
        <v>0</v>
      </c>
      <c r="DT8">
        <v>2</v>
      </c>
      <c r="DU8">
        <v>1</v>
      </c>
      <c r="DV8">
        <v>2</v>
      </c>
      <c r="DW8">
        <v>0</v>
      </c>
      <c r="DX8">
        <v>6</v>
      </c>
      <c r="DY8">
        <v>2</v>
      </c>
      <c r="DZ8">
        <v>994</v>
      </c>
      <c r="EA8">
        <v>0.98070000000000002</v>
      </c>
      <c r="EB8">
        <v>0.98087120983315301</v>
      </c>
      <c r="EC8">
        <v>0.98081140180434001</v>
      </c>
      <c r="ED8">
        <v>0.98059493861052804</v>
      </c>
      <c r="EE8">
        <f>SUM(Table1[[#This Row],[ratio_0]:[ratio_9]])</f>
        <v>820</v>
      </c>
      <c r="EF8" s="1">
        <f>(Table1[[#This Row],[predicted_0]]-Table1[[#This Row],[actual_0]])/Table1[[#This Row],[actual_0]]</f>
        <v>-2.9591836734693878E-2</v>
      </c>
      <c r="EG8" s="1">
        <f>(Table1[[#This Row],[predicted_1]]-Table1[[#This Row],[actual_1]])/Table1[[#This Row],[actual_1]]</f>
        <v>7.048458149779736E-3</v>
      </c>
      <c r="EH8" s="1">
        <f>(Table1[[#This Row],[predicted_2]]-Table1[[#This Row],[actual_2]])/Table1[[#This Row],[actual_2]]</f>
        <v>-7.9457364341085274E-2</v>
      </c>
      <c r="EI8" s="1">
        <f>(Table1[[#This Row],[predicted_3]]-Table1[[#This Row],[actual_3]])/Table1[[#This Row],[actual_3]]</f>
        <v>1.8811881188118811E-2</v>
      </c>
      <c r="EJ8" s="1">
        <f>(Table1[[#This Row],[predicted_4]]-Table1[[#This Row],[actual_4]])/Table1[[#This Row],[actual_4]]</f>
        <v>-2.0366598778004071E-3</v>
      </c>
      <c r="EK8" s="1">
        <f>(Table1[[#This Row],[predicted_5]]-Table1[[#This Row],[actual_5]])/Table1[[#This Row],[actual_5]]</f>
        <v>5.6053811659192822E-3</v>
      </c>
      <c r="EL8" s="1">
        <f>(Table1[[#This Row],[predicted_6]]-Table1[[#This Row],[actual_6]])/Table1[[#This Row],[actual_6]]</f>
        <v>2.4008350730688934E-2</v>
      </c>
      <c r="EM8" s="1">
        <f>(Table1[[#This Row],[predicted_7]]-Table1[[#This Row],[actual_7]])/Table1[[#This Row],[actual_7]]</f>
        <v>2.3346303501945526E-2</v>
      </c>
      <c r="EN8" s="1">
        <f>(Table1[[#This Row],[predicted_8]]-Table1[[#This Row],[actual_8]])/Table1[[#This Row],[actual_8]]</f>
        <v>3.0800821355236138E-2</v>
      </c>
      <c r="EO8" s="1">
        <f>(Table1[[#This Row],[predicted_9]]-Table1[[#This Row],[actual_9]])/Table1[[#This Row],[actual_9]]</f>
        <v>3.9643211100099107E-3</v>
      </c>
      <c r="EP8" s="1">
        <f>1+(Table1[[#This Row],[error_ratio_0]]-EF$2)</f>
        <v>0.96836734693877546</v>
      </c>
      <c r="EQ8" s="1">
        <f>1+(Table1[[#This Row],[error_ratio_1]]-EG$2)</f>
        <v>1.0052863436123347</v>
      </c>
      <c r="ER8" s="1">
        <f>1+(Table1[[#This Row],[error_ratio_2]]-EH$2)</f>
        <v>0.92538759689922478</v>
      </c>
      <c r="ES8" s="1">
        <f>1+(Table1[[#This Row],[error_ratio_3]]-EI$2)</f>
        <v>1.0089108910891089</v>
      </c>
      <c r="ET8" s="1">
        <f>1+(Table1[[#This Row],[error_ratio_4]]-EJ$2)</f>
        <v>0.9969450101832994</v>
      </c>
      <c r="EU8" s="1">
        <f>1+(Table1[[#This Row],[error_ratio_5]]-EK$2)</f>
        <v>1.0044843049327354</v>
      </c>
      <c r="EV8" s="1">
        <f>1+(Table1[[#This Row],[error_ratio_6]]-EL$2)</f>
        <v>1.0302713987473904</v>
      </c>
      <c r="EW8" s="1">
        <f>1+(Table1[[#This Row],[error_ratio_7]]-EM$2)</f>
        <v>1.0214007782101167</v>
      </c>
      <c r="EX8" s="1">
        <f>1+(Table1[[#This Row],[error_ratio_8]]-EN$2)</f>
        <v>1.0338809034907597</v>
      </c>
      <c r="EY8" s="1">
        <f>1+(Table1[[#This Row],[error_ratio_9]]-EO$2)</f>
        <v>1.0079286422200198</v>
      </c>
    </row>
    <row r="9" spans="1:155" x14ac:dyDescent="0.75">
      <c r="A9">
        <v>100</v>
      </c>
      <c r="B9">
        <v>10</v>
      </c>
      <c r="C9">
        <v>10</v>
      </c>
      <c r="D9">
        <v>100</v>
      </c>
      <c r="E9">
        <v>100</v>
      </c>
      <c r="F9">
        <v>100</v>
      </c>
      <c r="G9">
        <v>100</v>
      </c>
      <c r="H9">
        <v>100</v>
      </c>
      <c r="I9">
        <v>100</v>
      </c>
      <c r="J9">
        <v>100</v>
      </c>
      <c r="K9">
        <v>986</v>
      </c>
      <c r="L9">
        <v>1119</v>
      </c>
      <c r="M9">
        <v>966</v>
      </c>
      <c r="N9">
        <v>1038</v>
      </c>
      <c r="O9">
        <v>984</v>
      </c>
      <c r="P9">
        <v>900</v>
      </c>
      <c r="Q9">
        <v>945</v>
      </c>
      <c r="R9">
        <v>1062</v>
      </c>
      <c r="S9">
        <v>984</v>
      </c>
      <c r="T9">
        <v>1016</v>
      </c>
      <c r="U9">
        <v>980</v>
      </c>
      <c r="V9">
        <v>1135</v>
      </c>
      <c r="W9">
        <v>1032</v>
      </c>
      <c r="X9">
        <v>1010</v>
      </c>
      <c r="Y9">
        <v>982</v>
      </c>
      <c r="Z9">
        <v>892</v>
      </c>
      <c r="AA9">
        <v>958</v>
      </c>
      <c r="AB9">
        <v>1028</v>
      </c>
      <c r="AC9">
        <v>974</v>
      </c>
      <c r="AD9">
        <v>1009</v>
      </c>
      <c r="AE9">
        <v>972</v>
      </c>
      <c r="AF9">
        <v>0</v>
      </c>
      <c r="AG9">
        <v>0</v>
      </c>
      <c r="AH9">
        <v>0</v>
      </c>
      <c r="AI9">
        <v>1</v>
      </c>
      <c r="AJ9">
        <v>1</v>
      </c>
      <c r="AK9">
        <v>2</v>
      </c>
      <c r="AL9">
        <v>2</v>
      </c>
      <c r="AM9">
        <v>1</v>
      </c>
      <c r="AN9">
        <v>1</v>
      </c>
      <c r="AO9">
        <v>0</v>
      </c>
      <c r="AP9">
        <v>1116</v>
      </c>
      <c r="AQ9">
        <v>1</v>
      </c>
      <c r="AR9">
        <v>7</v>
      </c>
      <c r="AS9">
        <v>1</v>
      </c>
      <c r="AT9">
        <v>2</v>
      </c>
      <c r="AU9">
        <v>1</v>
      </c>
      <c r="AV9">
        <v>6</v>
      </c>
      <c r="AW9">
        <v>1</v>
      </c>
      <c r="AX9">
        <v>0</v>
      </c>
      <c r="AY9">
        <v>6</v>
      </c>
      <c r="AZ9">
        <v>1</v>
      </c>
      <c r="BA9">
        <v>962</v>
      </c>
      <c r="BB9">
        <v>10</v>
      </c>
      <c r="BC9">
        <v>7</v>
      </c>
      <c r="BD9">
        <v>1</v>
      </c>
      <c r="BE9">
        <v>1</v>
      </c>
      <c r="BF9">
        <v>27</v>
      </c>
      <c r="BG9">
        <v>17</v>
      </c>
      <c r="BH9">
        <v>0</v>
      </c>
      <c r="BI9">
        <v>0</v>
      </c>
      <c r="BJ9">
        <v>0</v>
      </c>
      <c r="BK9">
        <v>0</v>
      </c>
      <c r="BL9">
        <v>1005</v>
      </c>
      <c r="BM9">
        <v>0</v>
      </c>
      <c r="BN9">
        <v>3</v>
      </c>
      <c r="BO9">
        <v>0</v>
      </c>
      <c r="BP9">
        <v>1</v>
      </c>
      <c r="BQ9">
        <v>1</v>
      </c>
      <c r="BR9">
        <v>0</v>
      </c>
      <c r="BS9">
        <v>0</v>
      </c>
      <c r="BT9">
        <v>0</v>
      </c>
      <c r="BU9">
        <v>0</v>
      </c>
      <c r="BV9">
        <v>0</v>
      </c>
      <c r="BW9">
        <v>969</v>
      </c>
      <c r="BX9">
        <v>0</v>
      </c>
      <c r="BY9">
        <v>1</v>
      </c>
      <c r="BZ9">
        <v>0</v>
      </c>
      <c r="CA9">
        <v>2</v>
      </c>
      <c r="CB9">
        <v>10</v>
      </c>
      <c r="CC9">
        <v>1</v>
      </c>
      <c r="CD9">
        <v>0</v>
      </c>
      <c r="CE9">
        <v>0</v>
      </c>
      <c r="CF9">
        <v>7</v>
      </c>
      <c r="CG9">
        <v>0</v>
      </c>
      <c r="CH9">
        <v>882</v>
      </c>
      <c r="CI9">
        <v>1</v>
      </c>
      <c r="CJ9">
        <v>1</v>
      </c>
      <c r="CK9">
        <v>0</v>
      </c>
      <c r="CL9">
        <v>0</v>
      </c>
      <c r="CM9">
        <v>5</v>
      </c>
      <c r="CN9">
        <v>2</v>
      </c>
      <c r="CO9">
        <v>1</v>
      </c>
      <c r="CP9">
        <v>0</v>
      </c>
      <c r="CQ9">
        <v>5</v>
      </c>
      <c r="CR9">
        <v>6</v>
      </c>
      <c r="CS9">
        <v>939</v>
      </c>
      <c r="CT9">
        <v>0</v>
      </c>
      <c r="CU9">
        <v>0</v>
      </c>
      <c r="CV9">
        <v>0</v>
      </c>
      <c r="CW9">
        <v>0</v>
      </c>
      <c r="CX9">
        <v>0</v>
      </c>
      <c r="CY9">
        <v>2</v>
      </c>
      <c r="CZ9">
        <v>2</v>
      </c>
      <c r="DA9">
        <v>0</v>
      </c>
      <c r="DB9">
        <v>0</v>
      </c>
      <c r="DC9">
        <v>0</v>
      </c>
      <c r="DD9">
        <v>1020</v>
      </c>
      <c r="DE9">
        <v>0</v>
      </c>
      <c r="DF9">
        <v>4</v>
      </c>
      <c r="DG9">
        <v>2</v>
      </c>
      <c r="DH9">
        <v>0</v>
      </c>
      <c r="DI9">
        <v>0</v>
      </c>
      <c r="DJ9">
        <v>0</v>
      </c>
      <c r="DK9">
        <v>0</v>
      </c>
      <c r="DL9">
        <v>2</v>
      </c>
      <c r="DM9">
        <v>0</v>
      </c>
      <c r="DN9">
        <v>2</v>
      </c>
      <c r="DO9">
        <v>962</v>
      </c>
      <c r="DP9">
        <v>6</v>
      </c>
      <c r="DQ9">
        <v>0</v>
      </c>
      <c r="DR9">
        <v>0</v>
      </c>
      <c r="DS9">
        <v>0</v>
      </c>
      <c r="DT9">
        <v>7</v>
      </c>
      <c r="DU9">
        <v>1</v>
      </c>
      <c r="DV9">
        <v>3</v>
      </c>
      <c r="DW9">
        <v>0</v>
      </c>
      <c r="DX9">
        <v>3</v>
      </c>
      <c r="DY9">
        <v>0</v>
      </c>
      <c r="DZ9">
        <v>995</v>
      </c>
      <c r="EA9">
        <v>0.98219999999999996</v>
      </c>
      <c r="EB9">
        <v>0.98230194113242297</v>
      </c>
      <c r="EC9">
        <v>0.98240571036560898</v>
      </c>
      <c r="ED9">
        <v>0.98218812943314004</v>
      </c>
      <c r="EE9">
        <f>SUM(Table1[[#This Row],[ratio_0]:[ratio_9]])</f>
        <v>820</v>
      </c>
      <c r="EF9" s="1">
        <f>(Table1[[#This Row],[predicted_0]]-Table1[[#This Row],[actual_0]])/Table1[[#This Row],[actual_0]]</f>
        <v>6.1224489795918364E-3</v>
      </c>
      <c r="EG9" s="1">
        <f>(Table1[[#This Row],[predicted_1]]-Table1[[#This Row],[actual_1]])/Table1[[#This Row],[actual_1]]</f>
        <v>-1.4096916299559472E-2</v>
      </c>
      <c r="EH9" s="1">
        <f>(Table1[[#This Row],[predicted_2]]-Table1[[#This Row],[actual_2]])/Table1[[#This Row],[actual_2]]</f>
        <v>-6.3953488372093026E-2</v>
      </c>
      <c r="EI9" s="1">
        <f>(Table1[[#This Row],[predicted_3]]-Table1[[#This Row],[actual_3]])/Table1[[#This Row],[actual_3]]</f>
        <v>2.7722772277227723E-2</v>
      </c>
      <c r="EJ9" s="1">
        <f>(Table1[[#This Row],[predicted_4]]-Table1[[#This Row],[actual_4]])/Table1[[#This Row],[actual_4]]</f>
        <v>2.0366598778004071E-3</v>
      </c>
      <c r="EK9" s="1">
        <f>(Table1[[#This Row],[predicted_5]]-Table1[[#This Row],[actual_5]])/Table1[[#This Row],[actual_5]]</f>
        <v>8.9686098654708519E-3</v>
      </c>
      <c r="EL9" s="1">
        <f>(Table1[[#This Row],[predicted_6]]-Table1[[#This Row],[actual_6]])/Table1[[#This Row],[actual_6]]</f>
        <v>-1.3569937369519834E-2</v>
      </c>
      <c r="EM9" s="1">
        <f>(Table1[[#This Row],[predicted_7]]-Table1[[#This Row],[actual_7]])/Table1[[#This Row],[actual_7]]</f>
        <v>3.3073929961089495E-2</v>
      </c>
      <c r="EN9" s="1">
        <f>(Table1[[#This Row],[predicted_8]]-Table1[[#This Row],[actual_8]])/Table1[[#This Row],[actual_8]]</f>
        <v>1.0266940451745379E-2</v>
      </c>
      <c r="EO9" s="1">
        <f>(Table1[[#This Row],[predicted_9]]-Table1[[#This Row],[actual_9]])/Table1[[#This Row],[actual_9]]</f>
        <v>6.9375619425173438E-3</v>
      </c>
      <c r="EP9" s="1">
        <f>1+(Table1[[#This Row],[error_ratio_0]]-EF$2)</f>
        <v>1.0040816326530613</v>
      </c>
      <c r="EQ9" s="1">
        <f>1+(Table1[[#This Row],[error_ratio_1]]-EG$2)</f>
        <v>0.98414096916299565</v>
      </c>
      <c r="ER9" s="1">
        <f>1+(Table1[[#This Row],[error_ratio_2]]-EH$2)</f>
        <v>0.94089147286821706</v>
      </c>
      <c r="ES9" s="1">
        <f>1+(Table1[[#This Row],[error_ratio_3]]-EI$2)</f>
        <v>1.0178217821782178</v>
      </c>
      <c r="ET9" s="1">
        <f>1+(Table1[[#This Row],[error_ratio_4]]-EJ$2)</f>
        <v>1.0010183299389002</v>
      </c>
      <c r="EU9" s="1">
        <f>1+(Table1[[#This Row],[error_ratio_5]]-EK$2)</f>
        <v>1.007847533632287</v>
      </c>
      <c r="EV9" s="1">
        <f>1+(Table1[[#This Row],[error_ratio_6]]-EL$2)</f>
        <v>0.99269311064718158</v>
      </c>
      <c r="EW9" s="1">
        <f>1+(Table1[[#This Row],[error_ratio_7]]-EM$2)</f>
        <v>1.0311284046692606</v>
      </c>
      <c r="EX9" s="1">
        <f>1+(Table1[[#This Row],[error_ratio_8]]-EN$2)</f>
        <v>1.0133470225872689</v>
      </c>
      <c r="EY9" s="1">
        <f>1+(Table1[[#This Row],[error_ratio_9]]-EO$2)</f>
        <v>1.0109018830525272</v>
      </c>
    </row>
    <row r="10" spans="1:155" x14ac:dyDescent="0.75">
      <c r="A10">
        <v>10</v>
      </c>
      <c r="B10">
        <v>10</v>
      </c>
      <c r="C10">
        <v>10</v>
      </c>
      <c r="D10">
        <v>100</v>
      </c>
      <c r="E10">
        <v>100</v>
      </c>
      <c r="F10">
        <v>100</v>
      </c>
      <c r="G10">
        <v>100</v>
      </c>
      <c r="H10">
        <v>100</v>
      </c>
      <c r="I10">
        <v>100</v>
      </c>
      <c r="J10">
        <v>100</v>
      </c>
      <c r="K10">
        <v>951</v>
      </c>
      <c r="L10">
        <v>1117</v>
      </c>
      <c r="M10">
        <v>991</v>
      </c>
      <c r="N10">
        <v>1017</v>
      </c>
      <c r="O10">
        <v>1000</v>
      </c>
      <c r="P10">
        <v>924</v>
      </c>
      <c r="Q10">
        <v>948</v>
      </c>
      <c r="R10">
        <v>1062</v>
      </c>
      <c r="S10">
        <v>961</v>
      </c>
      <c r="T10">
        <v>1029</v>
      </c>
      <c r="U10">
        <v>980</v>
      </c>
      <c r="V10">
        <v>1135</v>
      </c>
      <c r="W10">
        <v>1032</v>
      </c>
      <c r="X10">
        <v>1010</v>
      </c>
      <c r="Y10">
        <v>982</v>
      </c>
      <c r="Z10">
        <v>892</v>
      </c>
      <c r="AA10">
        <v>958</v>
      </c>
      <c r="AB10">
        <v>1028</v>
      </c>
      <c r="AC10">
        <v>974</v>
      </c>
      <c r="AD10">
        <v>1009</v>
      </c>
      <c r="AE10">
        <v>943</v>
      </c>
      <c r="AF10">
        <v>0</v>
      </c>
      <c r="AG10">
        <v>0</v>
      </c>
      <c r="AH10">
        <v>0</v>
      </c>
      <c r="AI10">
        <v>10</v>
      </c>
      <c r="AJ10">
        <v>7</v>
      </c>
      <c r="AK10">
        <v>6</v>
      </c>
      <c r="AL10">
        <v>3</v>
      </c>
      <c r="AM10">
        <v>2</v>
      </c>
      <c r="AN10">
        <v>9</v>
      </c>
      <c r="AO10">
        <v>0</v>
      </c>
      <c r="AP10">
        <v>1114</v>
      </c>
      <c r="AQ10">
        <v>0</v>
      </c>
      <c r="AR10">
        <v>6</v>
      </c>
      <c r="AS10">
        <v>0</v>
      </c>
      <c r="AT10">
        <v>3</v>
      </c>
      <c r="AU10">
        <v>1</v>
      </c>
      <c r="AV10">
        <v>10</v>
      </c>
      <c r="AW10">
        <v>0</v>
      </c>
      <c r="AX10">
        <v>1</v>
      </c>
      <c r="AY10">
        <v>2</v>
      </c>
      <c r="AZ10">
        <v>0</v>
      </c>
      <c r="BA10">
        <v>985</v>
      </c>
      <c r="BB10">
        <v>11</v>
      </c>
      <c r="BC10">
        <v>5</v>
      </c>
      <c r="BD10">
        <v>0</v>
      </c>
      <c r="BE10">
        <v>2</v>
      </c>
      <c r="BF10">
        <v>18</v>
      </c>
      <c r="BG10">
        <v>7</v>
      </c>
      <c r="BH10">
        <v>2</v>
      </c>
      <c r="BI10">
        <v>0</v>
      </c>
      <c r="BJ10">
        <v>0</v>
      </c>
      <c r="BK10">
        <v>1</v>
      </c>
      <c r="BL10">
        <v>993</v>
      </c>
      <c r="BM10">
        <v>0</v>
      </c>
      <c r="BN10">
        <v>11</v>
      </c>
      <c r="BO10">
        <v>0</v>
      </c>
      <c r="BP10">
        <v>2</v>
      </c>
      <c r="BQ10">
        <v>0</v>
      </c>
      <c r="BR10">
        <v>3</v>
      </c>
      <c r="BS10">
        <v>0</v>
      </c>
      <c r="BT10">
        <v>0</v>
      </c>
      <c r="BU10">
        <v>1</v>
      </c>
      <c r="BV10">
        <v>0</v>
      </c>
      <c r="BW10">
        <v>969</v>
      </c>
      <c r="BX10">
        <v>0</v>
      </c>
      <c r="BY10">
        <v>1</v>
      </c>
      <c r="BZ10">
        <v>2</v>
      </c>
      <c r="CA10">
        <v>1</v>
      </c>
      <c r="CB10">
        <v>8</v>
      </c>
      <c r="CC10">
        <v>0</v>
      </c>
      <c r="CD10">
        <v>0</v>
      </c>
      <c r="CE10">
        <v>0</v>
      </c>
      <c r="CF10">
        <v>3</v>
      </c>
      <c r="CG10">
        <v>0</v>
      </c>
      <c r="CH10">
        <v>888</v>
      </c>
      <c r="CI10">
        <v>1</v>
      </c>
      <c r="CJ10">
        <v>0</v>
      </c>
      <c r="CK10">
        <v>0</v>
      </c>
      <c r="CL10">
        <v>0</v>
      </c>
      <c r="CM10">
        <v>2</v>
      </c>
      <c r="CN10">
        <v>3</v>
      </c>
      <c r="CO10">
        <v>0</v>
      </c>
      <c r="CP10">
        <v>0</v>
      </c>
      <c r="CQ10">
        <v>8</v>
      </c>
      <c r="CR10">
        <v>8</v>
      </c>
      <c r="CS10">
        <v>937</v>
      </c>
      <c r="CT10">
        <v>0</v>
      </c>
      <c r="CU10">
        <v>0</v>
      </c>
      <c r="CV10">
        <v>0</v>
      </c>
      <c r="CW10">
        <v>0</v>
      </c>
      <c r="CX10">
        <v>0</v>
      </c>
      <c r="CY10">
        <v>1</v>
      </c>
      <c r="CZ10">
        <v>0</v>
      </c>
      <c r="DA10">
        <v>1</v>
      </c>
      <c r="DB10">
        <v>1</v>
      </c>
      <c r="DC10">
        <v>0</v>
      </c>
      <c r="DD10">
        <v>1020</v>
      </c>
      <c r="DE10">
        <v>0</v>
      </c>
      <c r="DF10">
        <v>5</v>
      </c>
      <c r="DG10">
        <v>4</v>
      </c>
      <c r="DH10">
        <v>0</v>
      </c>
      <c r="DI10">
        <v>3</v>
      </c>
      <c r="DJ10">
        <v>4</v>
      </c>
      <c r="DK10">
        <v>1</v>
      </c>
      <c r="DL10">
        <v>2</v>
      </c>
      <c r="DM10">
        <v>0</v>
      </c>
      <c r="DN10">
        <v>2</v>
      </c>
      <c r="DO10">
        <v>951</v>
      </c>
      <c r="DP10">
        <v>7</v>
      </c>
      <c r="DQ10">
        <v>0</v>
      </c>
      <c r="DR10">
        <v>0</v>
      </c>
      <c r="DS10">
        <v>0</v>
      </c>
      <c r="DT10">
        <v>0</v>
      </c>
      <c r="DU10">
        <v>6</v>
      </c>
      <c r="DV10">
        <v>4</v>
      </c>
      <c r="DW10">
        <v>0</v>
      </c>
      <c r="DX10">
        <v>5</v>
      </c>
      <c r="DY10">
        <v>0</v>
      </c>
      <c r="DZ10">
        <v>994</v>
      </c>
      <c r="EA10">
        <v>0.97940000000000005</v>
      </c>
      <c r="EB10">
        <v>0.97937168566046995</v>
      </c>
      <c r="EC10">
        <v>0.97954628459230197</v>
      </c>
      <c r="ED10">
        <v>0.97930862854245704</v>
      </c>
      <c r="EE10">
        <f>SUM(Table1[[#This Row],[ratio_0]:[ratio_9]])</f>
        <v>730</v>
      </c>
      <c r="EF10" s="1">
        <f>(Table1[[#This Row],[predicted_0]]-Table1[[#This Row],[actual_0]])/Table1[[#This Row],[actual_0]]</f>
        <v>-2.9591836734693878E-2</v>
      </c>
      <c r="EG10" s="1">
        <f>(Table1[[#This Row],[predicted_1]]-Table1[[#This Row],[actual_1]])/Table1[[#This Row],[actual_1]]</f>
        <v>-1.5859030837004406E-2</v>
      </c>
      <c r="EH10" s="1">
        <f>(Table1[[#This Row],[predicted_2]]-Table1[[#This Row],[actual_2]])/Table1[[#This Row],[actual_2]]</f>
        <v>-3.9728682170542637E-2</v>
      </c>
      <c r="EI10" s="1">
        <f>(Table1[[#This Row],[predicted_3]]-Table1[[#This Row],[actual_3]])/Table1[[#This Row],[actual_3]]</f>
        <v>6.9306930693069308E-3</v>
      </c>
      <c r="EJ10" s="1">
        <f>(Table1[[#This Row],[predicted_4]]-Table1[[#This Row],[actual_4]])/Table1[[#This Row],[actual_4]]</f>
        <v>1.8329938900203666E-2</v>
      </c>
      <c r="EK10" s="1">
        <f>(Table1[[#This Row],[predicted_5]]-Table1[[#This Row],[actual_5]])/Table1[[#This Row],[actual_5]]</f>
        <v>3.5874439461883408E-2</v>
      </c>
      <c r="EL10" s="1">
        <f>(Table1[[#This Row],[predicted_6]]-Table1[[#This Row],[actual_6]])/Table1[[#This Row],[actual_6]]</f>
        <v>-1.0438413361169102E-2</v>
      </c>
      <c r="EM10" s="1">
        <f>(Table1[[#This Row],[predicted_7]]-Table1[[#This Row],[actual_7]])/Table1[[#This Row],[actual_7]]</f>
        <v>3.3073929961089495E-2</v>
      </c>
      <c r="EN10" s="1">
        <f>(Table1[[#This Row],[predicted_8]]-Table1[[#This Row],[actual_8]])/Table1[[#This Row],[actual_8]]</f>
        <v>-1.3347022587268994E-2</v>
      </c>
      <c r="EO10" s="1">
        <f>(Table1[[#This Row],[predicted_9]]-Table1[[#This Row],[actual_9]])/Table1[[#This Row],[actual_9]]</f>
        <v>1.9821605550049554E-2</v>
      </c>
      <c r="EP10" s="1">
        <f>1+(Table1[[#This Row],[error_ratio_0]]-EF$2)</f>
        <v>0.96836734693877546</v>
      </c>
      <c r="EQ10" s="1">
        <f>1+(Table1[[#This Row],[error_ratio_1]]-EG$2)</f>
        <v>0.98237885462555063</v>
      </c>
      <c r="ER10" s="1">
        <f>1+(Table1[[#This Row],[error_ratio_2]]-EH$2)</f>
        <v>0.96511627906976749</v>
      </c>
      <c r="ES10" s="1">
        <f>1+(Table1[[#This Row],[error_ratio_3]]-EI$2)</f>
        <v>0.99702970297029703</v>
      </c>
      <c r="ET10" s="1">
        <f>1+(Table1[[#This Row],[error_ratio_4]]-EJ$2)</f>
        <v>1.0173116089613035</v>
      </c>
      <c r="EU10" s="1">
        <f>1+(Table1[[#This Row],[error_ratio_5]]-EK$2)</f>
        <v>1.0347533632286996</v>
      </c>
      <c r="EV10" s="1">
        <f>1+(Table1[[#This Row],[error_ratio_6]]-EL$2)</f>
        <v>0.99582463465553239</v>
      </c>
      <c r="EW10" s="1">
        <f>1+(Table1[[#This Row],[error_ratio_7]]-EM$2)</f>
        <v>1.0311284046692606</v>
      </c>
      <c r="EX10" s="1">
        <f>1+(Table1[[#This Row],[error_ratio_8]]-EN$2)</f>
        <v>0.98973305954825463</v>
      </c>
      <c r="EY10" s="1">
        <f>1+(Table1[[#This Row],[error_ratio_9]]-EO$2)</f>
        <v>1.0237859266600595</v>
      </c>
    </row>
    <row r="11" spans="1:155" x14ac:dyDescent="0.75">
      <c r="A11">
        <v>10</v>
      </c>
      <c r="B11">
        <v>100</v>
      </c>
      <c r="C11">
        <v>100</v>
      </c>
      <c r="D11">
        <v>10</v>
      </c>
      <c r="E11">
        <v>100</v>
      </c>
      <c r="F11">
        <v>100</v>
      </c>
      <c r="G11">
        <v>100</v>
      </c>
      <c r="H11">
        <v>100</v>
      </c>
      <c r="I11">
        <v>100</v>
      </c>
      <c r="J11">
        <v>100</v>
      </c>
      <c r="K11">
        <v>957</v>
      </c>
      <c r="L11">
        <v>1147</v>
      </c>
      <c r="M11">
        <v>1029</v>
      </c>
      <c r="N11">
        <v>951</v>
      </c>
      <c r="O11">
        <v>986</v>
      </c>
      <c r="P11">
        <v>940</v>
      </c>
      <c r="Q11">
        <v>948</v>
      </c>
      <c r="R11">
        <v>1054</v>
      </c>
      <c r="S11">
        <v>980</v>
      </c>
      <c r="T11">
        <v>1008</v>
      </c>
      <c r="U11">
        <v>980</v>
      </c>
      <c r="V11">
        <v>1135</v>
      </c>
      <c r="W11">
        <v>1032</v>
      </c>
      <c r="X11">
        <v>1010</v>
      </c>
      <c r="Y11">
        <v>982</v>
      </c>
      <c r="Z11">
        <v>892</v>
      </c>
      <c r="AA11">
        <v>958</v>
      </c>
      <c r="AB11">
        <v>1028</v>
      </c>
      <c r="AC11">
        <v>974</v>
      </c>
      <c r="AD11">
        <v>1009</v>
      </c>
      <c r="AE11">
        <v>951</v>
      </c>
      <c r="AF11">
        <v>1</v>
      </c>
      <c r="AG11">
        <v>4</v>
      </c>
      <c r="AH11">
        <v>0</v>
      </c>
      <c r="AI11">
        <v>2</v>
      </c>
      <c r="AJ11">
        <v>2</v>
      </c>
      <c r="AK11">
        <v>6</v>
      </c>
      <c r="AL11">
        <v>2</v>
      </c>
      <c r="AM11">
        <v>6</v>
      </c>
      <c r="AN11">
        <v>6</v>
      </c>
      <c r="AO11">
        <v>0</v>
      </c>
      <c r="AP11">
        <v>1134</v>
      </c>
      <c r="AQ11">
        <v>0</v>
      </c>
      <c r="AR11">
        <v>0</v>
      </c>
      <c r="AS11">
        <v>0</v>
      </c>
      <c r="AT11">
        <v>1</v>
      </c>
      <c r="AU11">
        <v>0</v>
      </c>
      <c r="AV11">
        <v>0</v>
      </c>
      <c r="AW11">
        <v>0</v>
      </c>
      <c r="AX11">
        <v>0</v>
      </c>
      <c r="AY11">
        <v>2</v>
      </c>
      <c r="AZ11">
        <v>2</v>
      </c>
      <c r="BA11">
        <v>1017</v>
      </c>
      <c r="BB11">
        <v>0</v>
      </c>
      <c r="BC11">
        <v>0</v>
      </c>
      <c r="BD11">
        <v>0</v>
      </c>
      <c r="BE11">
        <v>0</v>
      </c>
      <c r="BF11">
        <v>9</v>
      </c>
      <c r="BG11">
        <v>2</v>
      </c>
      <c r="BH11">
        <v>0</v>
      </c>
      <c r="BI11">
        <v>0</v>
      </c>
      <c r="BJ11">
        <v>0</v>
      </c>
      <c r="BK11">
        <v>1</v>
      </c>
      <c r="BL11">
        <v>950</v>
      </c>
      <c r="BM11">
        <v>0</v>
      </c>
      <c r="BN11">
        <v>33</v>
      </c>
      <c r="BO11">
        <v>0</v>
      </c>
      <c r="BP11">
        <v>13</v>
      </c>
      <c r="BQ11">
        <v>9</v>
      </c>
      <c r="BR11">
        <v>4</v>
      </c>
      <c r="BS11">
        <v>0</v>
      </c>
      <c r="BT11">
        <v>0</v>
      </c>
      <c r="BU11">
        <v>0</v>
      </c>
      <c r="BV11">
        <v>0</v>
      </c>
      <c r="BW11">
        <v>975</v>
      </c>
      <c r="BX11">
        <v>0</v>
      </c>
      <c r="BY11">
        <v>0</v>
      </c>
      <c r="BZ11">
        <v>2</v>
      </c>
      <c r="CA11">
        <v>0</v>
      </c>
      <c r="CB11">
        <v>5</v>
      </c>
      <c r="CC11">
        <v>0</v>
      </c>
      <c r="CD11">
        <v>0</v>
      </c>
      <c r="CE11">
        <v>0</v>
      </c>
      <c r="CF11">
        <v>1</v>
      </c>
      <c r="CG11">
        <v>0</v>
      </c>
      <c r="CH11">
        <v>890</v>
      </c>
      <c r="CI11">
        <v>1</v>
      </c>
      <c r="CJ11">
        <v>0</v>
      </c>
      <c r="CK11">
        <v>0</v>
      </c>
      <c r="CL11">
        <v>0</v>
      </c>
      <c r="CM11">
        <v>2</v>
      </c>
      <c r="CN11">
        <v>2</v>
      </c>
      <c r="CO11">
        <v>1</v>
      </c>
      <c r="CP11">
        <v>0</v>
      </c>
      <c r="CQ11">
        <v>5</v>
      </c>
      <c r="CR11">
        <v>7</v>
      </c>
      <c r="CS11">
        <v>940</v>
      </c>
      <c r="CT11">
        <v>0</v>
      </c>
      <c r="CU11">
        <v>1</v>
      </c>
      <c r="CV11">
        <v>0</v>
      </c>
      <c r="CW11">
        <v>0</v>
      </c>
      <c r="CX11">
        <v>5</v>
      </c>
      <c r="CY11">
        <v>3</v>
      </c>
      <c r="CZ11">
        <v>0</v>
      </c>
      <c r="DA11">
        <v>0</v>
      </c>
      <c r="DB11">
        <v>1</v>
      </c>
      <c r="DC11">
        <v>0</v>
      </c>
      <c r="DD11">
        <v>1018</v>
      </c>
      <c r="DE11">
        <v>0</v>
      </c>
      <c r="DF11">
        <v>1</v>
      </c>
      <c r="DG11">
        <v>0</v>
      </c>
      <c r="DH11">
        <v>0</v>
      </c>
      <c r="DI11">
        <v>3</v>
      </c>
      <c r="DJ11">
        <v>0</v>
      </c>
      <c r="DK11">
        <v>0</v>
      </c>
      <c r="DL11">
        <v>2</v>
      </c>
      <c r="DM11">
        <v>1</v>
      </c>
      <c r="DN11">
        <v>3</v>
      </c>
      <c r="DO11">
        <v>961</v>
      </c>
      <c r="DP11">
        <v>4</v>
      </c>
      <c r="DQ11">
        <v>2</v>
      </c>
      <c r="DR11">
        <v>3</v>
      </c>
      <c r="DS11">
        <v>0</v>
      </c>
      <c r="DT11">
        <v>0</v>
      </c>
      <c r="DU11">
        <v>4</v>
      </c>
      <c r="DV11">
        <v>4</v>
      </c>
      <c r="DW11">
        <v>0</v>
      </c>
      <c r="DX11">
        <v>7</v>
      </c>
      <c r="DY11">
        <v>1</v>
      </c>
      <c r="DZ11">
        <v>988</v>
      </c>
      <c r="EA11">
        <v>0.98240000000000005</v>
      </c>
      <c r="EB11">
        <v>0.98235120434668299</v>
      </c>
      <c r="EC11">
        <v>0.98235393407188498</v>
      </c>
      <c r="ED11">
        <v>0.98216190602252795</v>
      </c>
      <c r="EE11">
        <f>SUM(Table1[[#This Row],[ratio_0]:[ratio_9]])</f>
        <v>820</v>
      </c>
      <c r="EF11" s="1">
        <f>(Table1[[#This Row],[predicted_0]]-Table1[[#This Row],[actual_0]])/Table1[[#This Row],[actual_0]]</f>
        <v>-2.3469387755102041E-2</v>
      </c>
      <c r="EG11" s="1">
        <f>(Table1[[#This Row],[predicted_1]]-Table1[[#This Row],[actual_1]])/Table1[[#This Row],[actual_1]]</f>
        <v>1.0572687224669603E-2</v>
      </c>
      <c r="EH11" s="1">
        <f>(Table1[[#This Row],[predicted_2]]-Table1[[#This Row],[actual_2]])/Table1[[#This Row],[actual_2]]</f>
        <v>-2.9069767441860465E-3</v>
      </c>
      <c r="EI11" s="1">
        <f>(Table1[[#This Row],[predicted_3]]-Table1[[#This Row],[actual_3]])/Table1[[#This Row],[actual_3]]</f>
        <v>-5.8415841584158419E-2</v>
      </c>
      <c r="EJ11" s="1">
        <f>(Table1[[#This Row],[predicted_4]]-Table1[[#This Row],[actual_4]])/Table1[[#This Row],[actual_4]]</f>
        <v>4.0733197556008143E-3</v>
      </c>
      <c r="EK11" s="1">
        <f>(Table1[[#This Row],[predicted_5]]-Table1[[#This Row],[actual_5]])/Table1[[#This Row],[actual_5]]</f>
        <v>5.3811659192825115E-2</v>
      </c>
      <c r="EL11" s="1">
        <f>(Table1[[#This Row],[predicted_6]]-Table1[[#This Row],[actual_6]])/Table1[[#This Row],[actual_6]]</f>
        <v>-1.0438413361169102E-2</v>
      </c>
      <c r="EM11" s="1">
        <f>(Table1[[#This Row],[predicted_7]]-Table1[[#This Row],[actual_7]])/Table1[[#This Row],[actual_7]]</f>
        <v>2.5291828793774319E-2</v>
      </c>
      <c r="EN11" s="1">
        <f>(Table1[[#This Row],[predicted_8]]-Table1[[#This Row],[actual_8]])/Table1[[#This Row],[actual_8]]</f>
        <v>6.1601642710472282E-3</v>
      </c>
      <c r="EO11" s="1">
        <f>(Table1[[#This Row],[predicted_9]]-Table1[[#This Row],[actual_9]])/Table1[[#This Row],[actual_9]]</f>
        <v>-9.9108027750247768E-4</v>
      </c>
      <c r="EP11" s="1">
        <f>1+(Table1[[#This Row],[error_ratio_0]]-EF$2)</f>
        <v>0.97448979591836737</v>
      </c>
      <c r="EQ11" s="1">
        <f>1+(Table1[[#This Row],[error_ratio_1]]-EG$2)</f>
        <v>1.0088105726872247</v>
      </c>
      <c r="ER11" s="1">
        <f>1+(Table1[[#This Row],[error_ratio_2]]-EH$2)</f>
        <v>1.001937984496124</v>
      </c>
      <c r="ES11" s="1">
        <f>1+(Table1[[#This Row],[error_ratio_3]]-EI$2)</f>
        <v>0.93168316831683162</v>
      </c>
      <c r="ET11" s="1">
        <f>1+(Table1[[#This Row],[error_ratio_4]]-EJ$2)</f>
        <v>1.0030549898167007</v>
      </c>
      <c r="EU11" s="1">
        <f>1+(Table1[[#This Row],[error_ratio_5]]-EK$2)</f>
        <v>1.0526905829596414</v>
      </c>
      <c r="EV11" s="1">
        <f>1+(Table1[[#This Row],[error_ratio_6]]-EL$2)</f>
        <v>0.99582463465553239</v>
      </c>
      <c r="EW11" s="1">
        <f>1+(Table1[[#This Row],[error_ratio_7]]-EM$2)</f>
        <v>1.0233463035019454</v>
      </c>
      <c r="EX11" s="1">
        <f>1+(Table1[[#This Row],[error_ratio_8]]-EN$2)</f>
        <v>1.0092402464065708</v>
      </c>
      <c r="EY11" s="1">
        <f>1+(Table1[[#This Row],[error_ratio_9]]-EO$2)</f>
        <v>1.0029732408325074</v>
      </c>
    </row>
    <row r="12" spans="1:155" x14ac:dyDescent="0.75">
      <c r="A12">
        <v>100</v>
      </c>
      <c r="B12">
        <v>10</v>
      </c>
      <c r="C12">
        <v>100</v>
      </c>
      <c r="D12">
        <v>10</v>
      </c>
      <c r="E12">
        <v>100</v>
      </c>
      <c r="F12">
        <v>100</v>
      </c>
      <c r="G12">
        <v>100</v>
      </c>
      <c r="H12">
        <v>100</v>
      </c>
      <c r="I12">
        <v>100</v>
      </c>
      <c r="J12">
        <v>100</v>
      </c>
      <c r="K12">
        <v>986</v>
      </c>
      <c r="L12">
        <v>1110</v>
      </c>
      <c r="M12">
        <v>1049</v>
      </c>
      <c r="N12">
        <v>966</v>
      </c>
      <c r="O12">
        <v>980</v>
      </c>
      <c r="P12">
        <v>926</v>
      </c>
      <c r="Q12">
        <v>949</v>
      </c>
      <c r="R12">
        <v>1032</v>
      </c>
      <c r="S12">
        <v>992</v>
      </c>
      <c r="T12">
        <v>1010</v>
      </c>
      <c r="U12">
        <v>980</v>
      </c>
      <c r="V12">
        <v>1135</v>
      </c>
      <c r="W12">
        <v>1032</v>
      </c>
      <c r="X12">
        <v>1010</v>
      </c>
      <c r="Y12">
        <v>982</v>
      </c>
      <c r="Z12">
        <v>892</v>
      </c>
      <c r="AA12">
        <v>958</v>
      </c>
      <c r="AB12">
        <v>1028</v>
      </c>
      <c r="AC12">
        <v>974</v>
      </c>
      <c r="AD12">
        <v>1009</v>
      </c>
      <c r="AE12">
        <v>975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2</v>
      </c>
      <c r="AM12">
        <v>2</v>
      </c>
      <c r="AN12">
        <v>1</v>
      </c>
      <c r="AO12">
        <v>0</v>
      </c>
      <c r="AP12">
        <v>1108</v>
      </c>
      <c r="AQ12">
        <v>5</v>
      </c>
      <c r="AR12">
        <v>2</v>
      </c>
      <c r="AS12">
        <v>1</v>
      </c>
      <c r="AT12">
        <v>1</v>
      </c>
      <c r="AU12">
        <v>6</v>
      </c>
      <c r="AV12">
        <v>2</v>
      </c>
      <c r="AW12">
        <v>10</v>
      </c>
      <c r="AX12">
        <v>0</v>
      </c>
      <c r="AY12">
        <v>1</v>
      </c>
      <c r="AZ12">
        <v>0</v>
      </c>
      <c r="BA12">
        <v>1025</v>
      </c>
      <c r="BB12">
        <v>0</v>
      </c>
      <c r="BC12">
        <v>0</v>
      </c>
      <c r="BD12">
        <v>0</v>
      </c>
      <c r="BE12">
        <v>0</v>
      </c>
      <c r="BF12">
        <v>4</v>
      </c>
      <c r="BG12">
        <v>2</v>
      </c>
      <c r="BH12">
        <v>0</v>
      </c>
      <c r="BI12">
        <v>0</v>
      </c>
      <c r="BJ12">
        <v>0</v>
      </c>
      <c r="BK12">
        <v>3</v>
      </c>
      <c r="BL12">
        <v>960</v>
      </c>
      <c r="BM12">
        <v>0</v>
      </c>
      <c r="BN12">
        <v>25</v>
      </c>
      <c r="BO12">
        <v>0</v>
      </c>
      <c r="BP12">
        <v>7</v>
      </c>
      <c r="BQ12">
        <v>11</v>
      </c>
      <c r="BR12">
        <v>4</v>
      </c>
      <c r="BS12">
        <v>0</v>
      </c>
      <c r="BT12">
        <v>0</v>
      </c>
      <c r="BU12">
        <v>2</v>
      </c>
      <c r="BV12">
        <v>0</v>
      </c>
      <c r="BW12">
        <v>973</v>
      </c>
      <c r="BX12">
        <v>0</v>
      </c>
      <c r="BY12">
        <v>0</v>
      </c>
      <c r="BZ12">
        <v>0</v>
      </c>
      <c r="CA12">
        <v>1</v>
      </c>
      <c r="CB12">
        <v>6</v>
      </c>
      <c r="CC12">
        <v>1</v>
      </c>
      <c r="CD12">
        <v>0</v>
      </c>
      <c r="CE12">
        <v>1</v>
      </c>
      <c r="CF12">
        <v>2</v>
      </c>
      <c r="CG12">
        <v>0</v>
      </c>
      <c r="CH12">
        <v>886</v>
      </c>
      <c r="CI12">
        <v>1</v>
      </c>
      <c r="CJ12">
        <v>1</v>
      </c>
      <c r="CK12">
        <v>0</v>
      </c>
      <c r="CL12">
        <v>0</v>
      </c>
      <c r="CM12">
        <v>4</v>
      </c>
      <c r="CN12">
        <v>1</v>
      </c>
      <c r="CO12">
        <v>0</v>
      </c>
      <c r="CP12">
        <v>1</v>
      </c>
      <c r="CQ12">
        <v>3</v>
      </c>
      <c r="CR12">
        <v>5</v>
      </c>
      <c r="CS12">
        <v>942</v>
      </c>
      <c r="CT12">
        <v>0</v>
      </c>
      <c r="CU12">
        <v>2</v>
      </c>
      <c r="CV12">
        <v>0</v>
      </c>
      <c r="CW12">
        <v>1</v>
      </c>
      <c r="CX12">
        <v>1</v>
      </c>
      <c r="CY12">
        <v>9</v>
      </c>
      <c r="CZ12">
        <v>0</v>
      </c>
      <c r="DA12">
        <v>0</v>
      </c>
      <c r="DB12">
        <v>1</v>
      </c>
      <c r="DC12">
        <v>0</v>
      </c>
      <c r="DD12">
        <v>1011</v>
      </c>
      <c r="DE12">
        <v>1</v>
      </c>
      <c r="DF12">
        <v>4</v>
      </c>
      <c r="DG12">
        <v>3</v>
      </c>
      <c r="DH12">
        <v>0</v>
      </c>
      <c r="DI12">
        <v>3</v>
      </c>
      <c r="DJ12">
        <v>0</v>
      </c>
      <c r="DK12">
        <v>0</v>
      </c>
      <c r="DL12">
        <v>3</v>
      </c>
      <c r="DM12">
        <v>0</v>
      </c>
      <c r="DN12">
        <v>1</v>
      </c>
      <c r="DO12">
        <v>962</v>
      </c>
      <c r="DP12">
        <v>2</v>
      </c>
      <c r="DQ12">
        <v>1</v>
      </c>
      <c r="DR12">
        <v>0</v>
      </c>
      <c r="DS12">
        <v>1</v>
      </c>
      <c r="DT12">
        <v>1</v>
      </c>
      <c r="DU12">
        <v>3</v>
      </c>
      <c r="DV12">
        <v>5</v>
      </c>
      <c r="DW12">
        <v>0</v>
      </c>
      <c r="DX12">
        <v>4</v>
      </c>
      <c r="DY12">
        <v>1</v>
      </c>
      <c r="DZ12">
        <v>993</v>
      </c>
      <c r="EA12">
        <v>0.98350000000000004</v>
      </c>
      <c r="EB12">
        <v>0.98328138564057199</v>
      </c>
      <c r="EC12">
        <v>0.98375140505069203</v>
      </c>
      <c r="ED12">
        <v>0.98340344843786898</v>
      </c>
      <c r="EE12">
        <f>SUM(Table1[[#This Row],[ratio_0]:[ratio_9]])</f>
        <v>820</v>
      </c>
      <c r="EF12" s="1">
        <f>(Table1[[#This Row],[predicted_0]]-Table1[[#This Row],[actual_0]])/Table1[[#This Row],[actual_0]]</f>
        <v>6.1224489795918364E-3</v>
      </c>
      <c r="EG12" s="1">
        <f>(Table1[[#This Row],[predicted_1]]-Table1[[#This Row],[actual_1]])/Table1[[#This Row],[actual_1]]</f>
        <v>-2.2026431718061675E-2</v>
      </c>
      <c r="EH12" s="1">
        <f>(Table1[[#This Row],[predicted_2]]-Table1[[#This Row],[actual_2]])/Table1[[#This Row],[actual_2]]</f>
        <v>1.6472868217054265E-2</v>
      </c>
      <c r="EI12" s="1">
        <f>(Table1[[#This Row],[predicted_3]]-Table1[[#This Row],[actual_3]])/Table1[[#This Row],[actual_3]]</f>
        <v>-4.3564356435643561E-2</v>
      </c>
      <c r="EJ12" s="1">
        <f>(Table1[[#This Row],[predicted_4]]-Table1[[#This Row],[actual_4]])/Table1[[#This Row],[actual_4]]</f>
        <v>-2.0366598778004071E-3</v>
      </c>
      <c r="EK12" s="1">
        <f>(Table1[[#This Row],[predicted_5]]-Table1[[#This Row],[actual_5]])/Table1[[#This Row],[actual_5]]</f>
        <v>3.811659192825112E-2</v>
      </c>
      <c r="EL12" s="1">
        <f>(Table1[[#This Row],[predicted_6]]-Table1[[#This Row],[actual_6]])/Table1[[#This Row],[actual_6]]</f>
        <v>-9.3945720250521916E-3</v>
      </c>
      <c r="EM12" s="1">
        <f>(Table1[[#This Row],[predicted_7]]-Table1[[#This Row],[actual_7]])/Table1[[#This Row],[actual_7]]</f>
        <v>3.8910505836575876E-3</v>
      </c>
      <c r="EN12" s="1">
        <f>(Table1[[#This Row],[predicted_8]]-Table1[[#This Row],[actual_8]])/Table1[[#This Row],[actual_8]]</f>
        <v>1.8480492813141684E-2</v>
      </c>
      <c r="EO12" s="1">
        <f>(Table1[[#This Row],[predicted_9]]-Table1[[#This Row],[actual_9]])/Table1[[#This Row],[actual_9]]</f>
        <v>9.9108027750247768E-4</v>
      </c>
      <c r="EP12" s="1">
        <f>1+(Table1[[#This Row],[error_ratio_0]]-EF$2)</f>
        <v>1.0040816326530613</v>
      </c>
      <c r="EQ12" s="1">
        <f>1+(Table1[[#This Row],[error_ratio_1]]-EG$2)</f>
        <v>0.97621145374449336</v>
      </c>
      <c r="ER12" s="1">
        <f>1+(Table1[[#This Row],[error_ratio_2]]-EH$2)</f>
        <v>1.0213178294573644</v>
      </c>
      <c r="ES12" s="1">
        <f>1+(Table1[[#This Row],[error_ratio_3]]-EI$2)</f>
        <v>0.94653465346534649</v>
      </c>
      <c r="ET12" s="1">
        <f>1+(Table1[[#This Row],[error_ratio_4]]-EJ$2)</f>
        <v>0.9969450101832994</v>
      </c>
      <c r="EU12" s="1">
        <f>1+(Table1[[#This Row],[error_ratio_5]]-EK$2)</f>
        <v>1.0369955156950672</v>
      </c>
      <c r="EV12" s="1">
        <f>1+(Table1[[#This Row],[error_ratio_6]]-EL$2)</f>
        <v>0.99686847599164929</v>
      </c>
      <c r="EW12" s="1">
        <f>1+(Table1[[#This Row],[error_ratio_7]]-EM$2)</f>
        <v>1.0019455252918288</v>
      </c>
      <c r="EX12" s="1">
        <f>1+(Table1[[#This Row],[error_ratio_8]]-EN$2)</f>
        <v>1.0215605749486654</v>
      </c>
      <c r="EY12" s="1">
        <f>1+(Table1[[#This Row],[error_ratio_9]]-EO$2)</f>
        <v>1.0049554013875124</v>
      </c>
    </row>
    <row r="13" spans="1:155" x14ac:dyDescent="0.75">
      <c r="A13">
        <v>10</v>
      </c>
      <c r="B13">
        <v>10</v>
      </c>
      <c r="C13">
        <v>100</v>
      </c>
      <c r="D13">
        <v>10</v>
      </c>
      <c r="E13">
        <v>100</v>
      </c>
      <c r="F13">
        <v>100</v>
      </c>
      <c r="G13">
        <v>100</v>
      </c>
      <c r="H13">
        <v>100</v>
      </c>
      <c r="I13">
        <v>100</v>
      </c>
      <c r="J13">
        <v>100</v>
      </c>
      <c r="K13">
        <v>940</v>
      </c>
      <c r="L13">
        <v>1110</v>
      </c>
      <c r="M13">
        <v>1055</v>
      </c>
      <c r="N13">
        <v>949</v>
      </c>
      <c r="O13">
        <v>973</v>
      </c>
      <c r="P13">
        <v>932</v>
      </c>
      <c r="Q13">
        <v>981</v>
      </c>
      <c r="R13">
        <v>1060</v>
      </c>
      <c r="S13">
        <v>969</v>
      </c>
      <c r="T13">
        <v>1031</v>
      </c>
      <c r="U13">
        <v>980</v>
      </c>
      <c r="V13">
        <v>1135</v>
      </c>
      <c r="W13">
        <v>1032</v>
      </c>
      <c r="X13">
        <v>1010</v>
      </c>
      <c r="Y13">
        <v>982</v>
      </c>
      <c r="Z13">
        <v>892</v>
      </c>
      <c r="AA13">
        <v>958</v>
      </c>
      <c r="AB13">
        <v>1028</v>
      </c>
      <c r="AC13">
        <v>974</v>
      </c>
      <c r="AD13">
        <v>1009</v>
      </c>
      <c r="AE13">
        <v>938</v>
      </c>
      <c r="AF13">
        <v>1</v>
      </c>
      <c r="AG13">
        <v>3</v>
      </c>
      <c r="AH13">
        <v>0</v>
      </c>
      <c r="AI13">
        <v>2</v>
      </c>
      <c r="AJ13">
        <v>7</v>
      </c>
      <c r="AK13">
        <v>12</v>
      </c>
      <c r="AL13">
        <v>7</v>
      </c>
      <c r="AM13">
        <v>3</v>
      </c>
      <c r="AN13">
        <v>7</v>
      </c>
      <c r="AO13">
        <v>0</v>
      </c>
      <c r="AP13">
        <v>1108</v>
      </c>
      <c r="AQ13">
        <v>7</v>
      </c>
      <c r="AR13">
        <v>0</v>
      </c>
      <c r="AS13">
        <v>0</v>
      </c>
      <c r="AT13">
        <v>3</v>
      </c>
      <c r="AU13">
        <v>4</v>
      </c>
      <c r="AV13">
        <v>11</v>
      </c>
      <c r="AW13">
        <v>2</v>
      </c>
      <c r="AX13">
        <v>0</v>
      </c>
      <c r="AY13">
        <v>0</v>
      </c>
      <c r="AZ13">
        <v>0</v>
      </c>
      <c r="BA13">
        <v>1023</v>
      </c>
      <c r="BB13">
        <v>0</v>
      </c>
      <c r="BC13">
        <v>0</v>
      </c>
      <c r="BD13">
        <v>0</v>
      </c>
      <c r="BE13">
        <v>2</v>
      </c>
      <c r="BF13">
        <v>6</v>
      </c>
      <c r="BG13">
        <v>0</v>
      </c>
      <c r="BH13">
        <v>1</v>
      </c>
      <c r="BI13">
        <v>0</v>
      </c>
      <c r="BJ13">
        <v>0</v>
      </c>
      <c r="BK13">
        <v>7</v>
      </c>
      <c r="BL13">
        <v>946</v>
      </c>
      <c r="BM13">
        <v>0</v>
      </c>
      <c r="BN13">
        <v>32</v>
      </c>
      <c r="BO13">
        <v>0</v>
      </c>
      <c r="BP13">
        <v>8</v>
      </c>
      <c r="BQ13">
        <v>8</v>
      </c>
      <c r="BR13">
        <v>9</v>
      </c>
      <c r="BS13">
        <v>0</v>
      </c>
      <c r="BT13">
        <v>0</v>
      </c>
      <c r="BU13">
        <v>1</v>
      </c>
      <c r="BV13">
        <v>0</v>
      </c>
      <c r="BW13">
        <v>968</v>
      </c>
      <c r="BX13">
        <v>0</v>
      </c>
      <c r="BY13">
        <v>2</v>
      </c>
      <c r="BZ13">
        <v>4</v>
      </c>
      <c r="CA13">
        <v>0</v>
      </c>
      <c r="CB13">
        <v>7</v>
      </c>
      <c r="CC13">
        <v>1</v>
      </c>
      <c r="CD13">
        <v>0</v>
      </c>
      <c r="CE13">
        <v>0</v>
      </c>
      <c r="CF13">
        <v>1</v>
      </c>
      <c r="CG13">
        <v>0</v>
      </c>
      <c r="CH13">
        <v>885</v>
      </c>
      <c r="CI13">
        <v>3</v>
      </c>
      <c r="CJ13">
        <v>0</v>
      </c>
      <c r="CK13">
        <v>0</v>
      </c>
      <c r="CL13">
        <v>2</v>
      </c>
      <c r="CM13">
        <v>0</v>
      </c>
      <c r="CN13">
        <v>0</v>
      </c>
      <c r="CO13">
        <v>0</v>
      </c>
      <c r="CP13">
        <v>0</v>
      </c>
      <c r="CQ13">
        <v>1</v>
      </c>
      <c r="CR13">
        <v>1</v>
      </c>
      <c r="CS13">
        <v>956</v>
      </c>
      <c r="CT13">
        <v>0</v>
      </c>
      <c r="CU13">
        <v>0</v>
      </c>
      <c r="CV13">
        <v>0</v>
      </c>
      <c r="CW13">
        <v>0</v>
      </c>
      <c r="CX13">
        <v>1</v>
      </c>
      <c r="CY13">
        <v>7</v>
      </c>
      <c r="CZ13">
        <v>0</v>
      </c>
      <c r="DA13">
        <v>0</v>
      </c>
      <c r="DB13">
        <v>1</v>
      </c>
      <c r="DC13">
        <v>0</v>
      </c>
      <c r="DD13">
        <v>1019</v>
      </c>
      <c r="DE13">
        <v>0</v>
      </c>
      <c r="DF13">
        <v>0</v>
      </c>
      <c r="DG13">
        <v>1</v>
      </c>
      <c r="DH13">
        <v>0</v>
      </c>
      <c r="DI13">
        <v>5</v>
      </c>
      <c r="DJ13">
        <v>1</v>
      </c>
      <c r="DK13">
        <v>0</v>
      </c>
      <c r="DL13">
        <v>1</v>
      </c>
      <c r="DM13">
        <v>1</v>
      </c>
      <c r="DN13">
        <v>3</v>
      </c>
      <c r="DO13">
        <v>955</v>
      </c>
      <c r="DP13">
        <v>7</v>
      </c>
      <c r="DQ13">
        <v>0</v>
      </c>
      <c r="DR13">
        <v>0</v>
      </c>
      <c r="DS13">
        <v>2</v>
      </c>
      <c r="DT13">
        <v>1</v>
      </c>
      <c r="DU13">
        <v>2</v>
      </c>
      <c r="DV13">
        <v>2</v>
      </c>
      <c r="DW13">
        <v>1</v>
      </c>
      <c r="DX13">
        <v>2</v>
      </c>
      <c r="DY13">
        <v>1</v>
      </c>
      <c r="DZ13">
        <v>998</v>
      </c>
      <c r="EA13">
        <v>0.97960000000000003</v>
      </c>
      <c r="EB13">
        <v>0.979639054308172</v>
      </c>
      <c r="EC13">
        <v>0.97979112748479302</v>
      </c>
      <c r="ED13">
        <v>0.97945715220178897</v>
      </c>
      <c r="EE13">
        <f>SUM(Table1[[#This Row],[ratio_0]:[ratio_9]])</f>
        <v>730</v>
      </c>
      <c r="EF13" s="1">
        <f>(Table1[[#This Row],[predicted_0]]-Table1[[#This Row],[actual_0]])/Table1[[#This Row],[actual_0]]</f>
        <v>-4.0816326530612242E-2</v>
      </c>
      <c r="EG13" s="1">
        <f>(Table1[[#This Row],[predicted_1]]-Table1[[#This Row],[actual_1]])/Table1[[#This Row],[actual_1]]</f>
        <v>-2.2026431718061675E-2</v>
      </c>
      <c r="EH13" s="1">
        <f>(Table1[[#This Row],[predicted_2]]-Table1[[#This Row],[actual_2]])/Table1[[#This Row],[actual_2]]</f>
        <v>2.2286821705426358E-2</v>
      </c>
      <c r="EI13" s="1">
        <f>(Table1[[#This Row],[predicted_3]]-Table1[[#This Row],[actual_3]])/Table1[[#This Row],[actual_3]]</f>
        <v>-6.0396039603960394E-2</v>
      </c>
      <c r="EJ13" s="1">
        <f>(Table1[[#This Row],[predicted_4]]-Table1[[#This Row],[actual_4]])/Table1[[#This Row],[actual_4]]</f>
        <v>-9.1649694501018328E-3</v>
      </c>
      <c r="EK13" s="1">
        <f>(Table1[[#This Row],[predicted_5]]-Table1[[#This Row],[actual_5]])/Table1[[#This Row],[actual_5]]</f>
        <v>4.4843049327354258E-2</v>
      </c>
      <c r="EL13" s="1">
        <f>(Table1[[#This Row],[predicted_6]]-Table1[[#This Row],[actual_6]])/Table1[[#This Row],[actual_6]]</f>
        <v>2.4008350730688934E-2</v>
      </c>
      <c r="EM13" s="1">
        <f>(Table1[[#This Row],[predicted_7]]-Table1[[#This Row],[actual_7]])/Table1[[#This Row],[actual_7]]</f>
        <v>3.1128404669260701E-2</v>
      </c>
      <c r="EN13" s="1">
        <f>(Table1[[#This Row],[predicted_8]]-Table1[[#This Row],[actual_8]])/Table1[[#This Row],[actual_8]]</f>
        <v>-5.1334702258726897E-3</v>
      </c>
      <c r="EO13" s="1">
        <f>(Table1[[#This Row],[predicted_9]]-Table1[[#This Row],[actual_9]])/Table1[[#This Row],[actual_9]]</f>
        <v>2.1803766105054509E-2</v>
      </c>
      <c r="EP13" s="1">
        <f>1+(Table1[[#This Row],[error_ratio_0]]-EF$2)</f>
        <v>0.95714285714285718</v>
      </c>
      <c r="EQ13" s="1">
        <f>1+(Table1[[#This Row],[error_ratio_1]]-EG$2)</f>
        <v>0.97621145374449336</v>
      </c>
      <c r="ER13" s="1">
        <f>1+(Table1[[#This Row],[error_ratio_2]]-EH$2)</f>
        <v>1.0271317829457365</v>
      </c>
      <c r="ES13" s="1">
        <f>1+(Table1[[#This Row],[error_ratio_3]]-EI$2)</f>
        <v>0.92970297029702975</v>
      </c>
      <c r="ET13" s="1">
        <f>1+(Table1[[#This Row],[error_ratio_4]]-EJ$2)</f>
        <v>0.98981670061099791</v>
      </c>
      <c r="EU13" s="1">
        <f>1+(Table1[[#This Row],[error_ratio_5]]-EK$2)</f>
        <v>1.0437219730941705</v>
      </c>
      <c r="EV13" s="1">
        <f>1+(Table1[[#This Row],[error_ratio_6]]-EL$2)</f>
        <v>1.0302713987473904</v>
      </c>
      <c r="EW13" s="1">
        <f>1+(Table1[[#This Row],[error_ratio_7]]-EM$2)</f>
        <v>1.0291828793774318</v>
      </c>
      <c r="EX13" s="1">
        <f>1+(Table1[[#This Row],[error_ratio_8]]-EN$2)</f>
        <v>0.99794661190965095</v>
      </c>
      <c r="EY13" s="1">
        <f>1+(Table1[[#This Row],[error_ratio_9]]-EO$2)</f>
        <v>1.0257680872150645</v>
      </c>
    </row>
    <row r="14" spans="1:155" x14ac:dyDescent="0.75">
      <c r="A14">
        <v>100</v>
      </c>
      <c r="B14">
        <v>100</v>
      </c>
      <c r="C14">
        <v>10</v>
      </c>
      <c r="D14">
        <v>10</v>
      </c>
      <c r="E14">
        <v>100</v>
      </c>
      <c r="F14">
        <v>100</v>
      </c>
      <c r="G14">
        <v>100</v>
      </c>
      <c r="H14">
        <v>100</v>
      </c>
      <c r="I14">
        <v>100</v>
      </c>
      <c r="J14">
        <v>100</v>
      </c>
      <c r="K14">
        <v>994</v>
      </c>
      <c r="L14">
        <v>1153</v>
      </c>
      <c r="M14">
        <v>977</v>
      </c>
      <c r="N14">
        <v>965</v>
      </c>
      <c r="O14">
        <v>982</v>
      </c>
      <c r="P14">
        <v>919</v>
      </c>
      <c r="Q14">
        <v>947</v>
      </c>
      <c r="R14">
        <v>1045</v>
      </c>
      <c r="S14">
        <v>1001</v>
      </c>
      <c r="T14">
        <v>1017</v>
      </c>
      <c r="U14">
        <v>980</v>
      </c>
      <c r="V14">
        <v>1135</v>
      </c>
      <c r="W14">
        <v>1032</v>
      </c>
      <c r="X14">
        <v>1010</v>
      </c>
      <c r="Y14">
        <v>982</v>
      </c>
      <c r="Z14">
        <v>892</v>
      </c>
      <c r="AA14">
        <v>958</v>
      </c>
      <c r="AB14">
        <v>1028</v>
      </c>
      <c r="AC14">
        <v>974</v>
      </c>
      <c r="AD14">
        <v>1009</v>
      </c>
      <c r="AE14">
        <v>977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1</v>
      </c>
      <c r="AM14">
        <v>2</v>
      </c>
      <c r="AN14">
        <v>0</v>
      </c>
      <c r="AO14">
        <v>0</v>
      </c>
      <c r="AP14">
        <v>1134</v>
      </c>
      <c r="AQ14">
        <v>0</v>
      </c>
      <c r="AR14">
        <v>1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5</v>
      </c>
      <c r="AZ14">
        <v>11</v>
      </c>
      <c r="BA14">
        <v>972</v>
      </c>
      <c r="BB14">
        <v>4</v>
      </c>
      <c r="BC14">
        <v>4</v>
      </c>
      <c r="BD14">
        <v>0</v>
      </c>
      <c r="BE14">
        <v>1</v>
      </c>
      <c r="BF14">
        <v>19</v>
      </c>
      <c r="BG14">
        <v>15</v>
      </c>
      <c r="BH14">
        <v>1</v>
      </c>
      <c r="BI14">
        <v>2</v>
      </c>
      <c r="BJ14">
        <v>1</v>
      </c>
      <c r="BK14">
        <v>1</v>
      </c>
      <c r="BL14">
        <v>957</v>
      </c>
      <c r="BM14">
        <v>0</v>
      </c>
      <c r="BN14">
        <v>26</v>
      </c>
      <c r="BO14">
        <v>0</v>
      </c>
      <c r="BP14">
        <v>4</v>
      </c>
      <c r="BQ14">
        <v>12</v>
      </c>
      <c r="BR14">
        <v>7</v>
      </c>
      <c r="BS14">
        <v>0</v>
      </c>
      <c r="BT14">
        <v>0</v>
      </c>
      <c r="BU14">
        <v>1</v>
      </c>
      <c r="BV14">
        <v>0</v>
      </c>
      <c r="BW14">
        <v>971</v>
      </c>
      <c r="BX14">
        <v>0</v>
      </c>
      <c r="BY14">
        <v>1</v>
      </c>
      <c r="BZ14">
        <v>1</v>
      </c>
      <c r="CA14">
        <v>2</v>
      </c>
      <c r="CB14">
        <v>6</v>
      </c>
      <c r="CC14">
        <v>2</v>
      </c>
      <c r="CD14">
        <v>0</v>
      </c>
      <c r="CE14">
        <v>0</v>
      </c>
      <c r="CF14">
        <v>2</v>
      </c>
      <c r="CG14">
        <v>0</v>
      </c>
      <c r="CH14">
        <v>884</v>
      </c>
      <c r="CI14">
        <v>1</v>
      </c>
      <c r="CJ14">
        <v>0</v>
      </c>
      <c r="CK14">
        <v>3</v>
      </c>
      <c r="CL14">
        <v>0</v>
      </c>
      <c r="CM14">
        <v>5</v>
      </c>
      <c r="CN14">
        <v>2</v>
      </c>
      <c r="CO14">
        <v>0</v>
      </c>
      <c r="CP14">
        <v>0</v>
      </c>
      <c r="CQ14">
        <v>3</v>
      </c>
      <c r="CR14">
        <v>3</v>
      </c>
      <c r="CS14">
        <v>944</v>
      </c>
      <c r="CT14">
        <v>0</v>
      </c>
      <c r="CU14">
        <v>1</v>
      </c>
      <c r="CV14">
        <v>0</v>
      </c>
      <c r="CW14">
        <v>1</v>
      </c>
      <c r="CX14">
        <v>3</v>
      </c>
      <c r="CY14">
        <v>3</v>
      </c>
      <c r="CZ14">
        <v>0</v>
      </c>
      <c r="DA14">
        <v>0</v>
      </c>
      <c r="DB14">
        <v>0</v>
      </c>
      <c r="DC14">
        <v>0</v>
      </c>
      <c r="DD14">
        <v>1017</v>
      </c>
      <c r="DE14">
        <v>1</v>
      </c>
      <c r="DF14">
        <v>3</v>
      </c>
      <c r="DG14">
        <v>2</v>
      </c>
      <c r="DH14">
        <v>0</v>
      </c>
      <c r="DI14">
        <v>0</v>
      </c>
      <c r="DJ14">
        <v>0</v>
      </c>
      <c r="DK14">
        <v>1</v>
      </c>
      <c r="DL14">
        <v>2</v>
      </c>
      <c r="DM14">
        <v>0</v>
      </c>
      <c r="DN14">
        <v>2</v>
      </c>
      <c r="DO14">
        <v>964</v>
      </c>
      <c r="DP14">
        <v>3</v>
      </c>
      <c r="DQ14">
        <v>0</v>
      </c>
      <c r="DR14">
        <v>2</v>
      </c>
      <c r="DS14">
        <v>0</v>
      </c>
      <c r="DT14">
        <v>1</v>
      </c>
      <c r="DU14">
        <v>3</v>
      </c>
      <c r="DV14">
        <v>4</v>
      </c>
      <c r="DW14">
        <v>0</v>
      </c>
      <c r="DX14">
        <v>1</v>
      </c>
      <c r="DY14">
        <v>1</v>
      </c>
      <c r="DZ14">
        <v>997</v>
      </c>
      <c r="EA14">
        <v>0.98170000000000002</v>
      </c>
      <c r="EB14">
        <v>0.98171333889762702</v>
      </c>
      <c r="EC14">
        <v>0.98177986250471605</v>
      </c>
      <c r="ED14">
        <v>0.98156117943773302</v>
      </c>
      <c r="EE14">
        <f>SUM(Table1[[#This Row],[ratio_0]:[ratio_9]])</f>
        <v>820</v>
      </c>
      <c r="EF14" s="1">
        <f>(Table1[[#This Row],[predicted_0]]-Table1[[#This Row],[actual_0]])/Table1[[#This Row],[actual_0]]</f>
        <v>1.4285714285714285E-2</v>
      </c>
      <c r="EG14" s="1">
        <f>(Table1[[#This Row],[predicted_1]]-Table1[[#This Row],[actual_1]])/Table1[[#This Row],[actual_1]]</f>
        <v>1.5859030837004406E-2</v>
      </c>
      <c r="EH14" s="1">
        <f>(Table1[[#This Row],[predicted_2]]-Table1[[#This Row],[actual_2]])/Table1[[#This Row],[actual_2]]</f>
        <v>-5.329457364341085E-2</v>
      </c>
      <c r="EI14" s="1">
        <f>(Table1[[#This Row],[predicted_3]]-Table1[[#This Row],[actual_3]])/Table1[[#This Row],[actual_3]]</f>
        <v>-4.4554455445544552E-2</v>
      </c>
      <c r="EJ14" s="1">
        <f>(Table1[[#This Row],[predicted_4]]-Table1[[#This Row],[actual_4]])/Table1[[#This Row],[actual_4]]</f>
        <v>0</v>
      </c>
      <c r="EK14" s="1">
        <f>(Table1[[#This Row],[predicted_5]]-Table1[[#This Row],[actual_5]])/Table1[[#This Row],[actual_5]]</f>
        <v>3.0269058295964126E-2</v>
      </c>
      <c r="EL14" s="1">
        <f>(Table1[[#This Row],[predicted_6]]-Table1[[#This Row],[actual_6]])/Table1[[#This Row],[actual_6]]</f>
        <v>-1.1482254697286013E-2</v>
      </c>
      <c r="EM14" s="1">
        <f>(Table1[[#This Row],[predicted_7]]-Table1[[#This Row],[actual_7]])/Table1[[#This Row],[actual_7]]</f>
        <v>1.6536964980544747E-2</v>
      </c>
      <c r="EN14" s="1">
        <f>(Table1[[#This Row],[predicted_8]]-Table1[[#This Row],[actual_8]])/Table1[[#This Row],[actual_8]]</f>
        <v>2.7720739219712527E-2</v>
      </c>
      <c r="EO14" s="1">
        <f>(Table1[[#This Row],[predicted_9]]-Table1[[#This Row],[actual_9]])/Table1[[#This Row],[actual_9]]</f>
        <v>7.9286422200198214E-3</v>
      </c>
      <c r="EP14" s="1">
        <f>1+(Table1[[#This Row],[error_ratio_0]]-EF$2)</f>
        <v>1.0122448979591836</v>
      </c>
      <c r="EQ14" s="1">
        <f>1+(Table1[[#This Row],[error_ratio_1]]-EG$2)</f>
        <v>1.0140969162995594</v>
      </c>
      <c r="ER14" s="1">
        <f>1+(Table1[[#This Row],[error_ratio_2]]-EH$2)</f>
        <v>0.95155038759689925</v>
      </c>
      <c r="ES14" s="1">
        <f>1+(Table1[[#This Row],[error_ratio_3]]-EI$2)</f>
        <v>0.9455445544554455</v>
      </c>
      <c r="ET14" s="1">
        <f>1+(Table1[[#This Row],[error_ratio_4]]-EJ$2)</f>
        <v>0.99898167006109984</v>
      </c>
      <c r="EU14" s="1">
        <f>1+(Table1[[#This Row],[error_ratio_5]]-EK$2)</f>
        <v>1.0291479820627802</v>
      </c>
      <c r="EV14" s="1">
        <f>1+(Table1[[#This Row],[error_ratio_6]]-EL$2)</f>
        <v>0.99478079331941549</v>
      </c>
      <c r="EW14" s="1">
        <f>1+(Table1[[#This Row],[error_ratio_7]]-EM$2)</f>
        <v>1.0145914396887159</v>
      </c>
      <c r="EX14" s="1">
        <f>1+(Table1[[#This Row],[error_ratio_8]]-EN$2)</f>
        <v>1.0308008213552362</v>
      </c>
      <c r="EY14" s="1">
        <f>1+(Table1[[#This Row],[error_ratio_9]]-EO$2)</f>
        <v>1.0118929633300298</v>
      </c>
    </row>
    <row r="15" spans="1:155" x14ac:dyDescent="0.75">
      <c r="A15">
        <v>10</v>
      </c>
      <c r="B15">
        <v>100</v>
      </c>
      <c r="C15">
        <v>10</v>
      </c>
      <c r="D15">
        <v>10</v>
      </c>
      <c r="E15">
        <v>100</v>
      </c>
      <c r="F15">
        <v>100</v>
      </c>
      <c r="G15">
        <v>100</v>
      </c>
      <c r="H15">
        <v>100</v>
      </c>
      <c r="I15">
        <v>100</v>
      </c>
      <c r="J15">
        <v>100</v>
      </c>
      <c r="K15">
        <v>976</v>
      </c>
      <c r="L15">
        <v>1133</v>
      </c>
      <c r="M15">
        <v>1009</v>
      </c>
      <c r="N15">
        <v>950</v>
      </c>
      <c r="O15">
        <v>995</v>
      </c>
      <c r="P15">
        <v>947</v>
      </c>
      <c r="Q15">
        <v>991</v>
      </c>
      <c r="R15">
        <v>1031</v>
      </c>
      <c r="S15">
        <v>972</v>
      </c>
      <c r="T15">
        <v>996</v>
      </c>
      <c r="U15">
        <v>980</v>
      </c>
      <c r="V15">
        <v>1135</v>
      </c>
      <c r="W15">
        <v>1032</v>
      </c>
      <c r="X15">
        <v>1010</v>
      </c>
      <c r="Y15">
        <v>982</v>
      </c>
      <c r="Z15">
        <v>892</v>
      </c>
      <c r="AA15">
        <v>958</v>
      </c>
      <c r="AB15">
        <v>1028</v>
      </c>
      <c r="AC15">
        <v>974</v>
      </c>
      <c r="AD15">
        <v>1009</v>
      </c>
      <c r="AE15">
        <v>955</v>
      </c>
      <c r="AF15">
        <v>0</v>
      </c>
      <c r="AG15">
        <v>1</v>
      </c>
      <c r="AH15">
        <v>0</v>
      </c>
      <c r="AI15">
        <v>3</v>
      </c>
      <c r="AJ15">
        <v>0</v>
      </c>
      <c r="AK15">
        <v>13</v>
      </c>
      <c r="AL15">
        <v>6</v>
      </c>
      <c r="AM15">
        <v>2</v>
      </c>
      <c r="AN15">
        <v>0</v>
      </c>
      <c r="AO15">
        <v>0</v>
      </c>
      <c r="AP15">
        <v>1122</v>
      </c>
      <c r="AQ15">
        <v>1</v>
      </c>
      <c r="AR15">
        <v>1</v>
      </c>
      <c r="AS15">
        <v>0</v>
      </c>
      <c r="AT15">
        <v>2</v>
      </c>
      <c r="AU15">
        <v>8</v>
      </c>
      <c r="AV15">
        <v>0</v>
      </c>
      <c r="AW15">
        <v>1</v>
      </c>
      <c r="AX15">
        <v>0</v>
      </c>
      <c r="AY15">
        <v>11</v>
      </c>
      <c r="AZ15">
        <v>4</v>
      </c>
      <c r="BA15">
        <v>988</v>
      </c>
      <c r="BB15">
        <v>1</v>
      </c>
      <c r="BC15">
        <v>9</v>
      </c>
      <c r="BD15">
        <v>1</v>
      </c>
      <c r="BE15">
        <v>7</v>
      </c>
      <c r="BF15">
        <v>9</v>
      </c>
      <c r="BG15">
        <v>2</v>
      </c>
      <c r="BH15">
        <v>0</v>
      </c>
      <c r="BI15">
        <v>1</v>
      </c>
      <c r="BJ15">
        <v>0</v>
      </c>
      <c r="BK15">
        <v>4</v>
      </c>
      <c r="BL15">
        <v>945</v>
      </c>
      <c r="BM15">
        <v>0</v>
      </c>
      <c r="BN15">
        <v>43</v>
      </c>
      <c r="BO15">
        <v>0</v>
      </c>
      <c r="BP15">
        <v>6</v>
      </c>
      <c r="BQ15">
        <v>7</v>
      </c>
      <c r="BR15">
        <v>4</v>
      </c>
      <c r="BS15">
        <v>0</v>
      </c>
      <c r="BT15">
        <v>0</v>
      </c>
      <c r="BU15">
        <v>0</v>
      </c>
      <c r="BV15">
        <v>0</v>
      </c>
      <c r="BW15">
        <v>975</v>
      </c>
      <c r="BX15">
        <v>0</v>
      </c>
      <c r="BY15">
        <v>4</v>
      </c>
      <c r="BZ15">
        <v>0</v>
      </c>
      <c r="CA15">
        <v>0</v>
      </c>
      <c r="CB15">
        <v>3</v>
      </c>
      <c r="CC15">
        <v>1</v>
      </c>
      <c r="CD15">
        <v>0</v>
      </c>
      <c r="CE15">
        <v>0</v>
      </c>
      <c r="CF15">
        <v>0</v>
      </c>
      <c r="CG15">
        <v>0</v>
      </c>
      <c r="CH15">
        <v>886</v>
      </c>
      <c r="CI15">
        <v>4</v>
      </c>
      <c r="CJ15">
        <v>0</v>
      </c>
      <c r="CK15">
        <v>1</v>
      </c>
      <c r="CL15">
        <v>0</v>
      </c>
      <c r="CM15">
        <v>2</v>
      </c>
      <c r="CN15">
        <v>2</v>
      </c>
      <c r="CO15">
        <v>0</v>
      </c>
      <c r="CP15">
        <v>0</v>
      </c>
      <c r="CQ15">
        <v>2</v>
      </c>
      <c r="CR15">
        <v>3</v>
      </c>
      <c r="CS15">
        <v>948</v>
      </c>
      <c r="CT15">
        <v>0</v>
      </c>
      <c r="CU15">
        <v>1</v>
      </c>
      <c r="CV15">
        <v>0</v>
      </c>
      <c r="CW15">
        <v>0</v>
      </c>
      <c r="CX15">
        <v>4</v>
      </c>
      <c r="CY15">
        <v>10</v>
      </c>
      <c r="CZ15">
        <v>0</v>
      </c>
      <c r="DA15">
        <v>0</v>
      </c>
      <c r="DB15">
        <v>1</v>
      </c>
      <c r="DC15">
        <v>1</v>
      </c>
      <c r="DD15">
        <v>1007</v>
      </c>
      <c r="DE15">
        <v>1</v>
      </c>
      <c r="DF15">
        <v>4</v>
      </c>
      <c r="DG15">
        <v>2</v>
      </c>
      <c r="DH15">
        <v>0</v>
      </c>
      <c r="DI15">
        <v>5</v>
      </c>
      <c r="DJ15">
        <v>1</v>
      </c>
      <c r="DK15">
        <v>0</v>
      </c>
      <c r="DL15">
        <v>2</v>
      </c>
      <c r="DM15">
        <v>6</v>
      </c>
      <c r="DN15">
        <v>1</v>
      </c>
      <c r="DO15">
        <v>955</v>
      </c>
      <c r="DP15">
        <v>2</v>
      </c>
      <c r="DQ15">
        <v>4</v>
      </c>
      <c r="DR15">
        <v>1</v>
      </c>
      <c r="DS15">
        <v>0</v>
      </c>
      <c r="DT15">
        <v>2</v>
      </c>
      <c r="DU15">
        <v>6</v>
      </c>
      <c r="DV15">
        <v>9</v>
      </c>
      <c r="DW15">
        <v>0</v>
      </c>
      <c r="DX15">
        <v>2</v>
      </c>
      <c r="DY15">
        <v>2</v>
      </c>
      <c r="DZ15">
        <v>983</v>
      </c>
      <c r="EA15">
        <v>0.97640000000000005</v>
      </c>
      <c r="EB15">
        <v>0.97609737777892402</v>
      </c>
      <c r="EC15">
        <v>0.97660474868965197</v>
      </c>
      <c r="ED15">
        <v>0.97612497276757704</v>
      </c>
      <c r="EE15">
        <f>SUM(Table1[[#This Row],[ratio_0]:[ratio_9]])</f>
        <v>730</v>
      </c>
      <c r="EF15" s="1">
        <f>(Table1[[#This Row],[predicted_0]]-Table1[[#This Row],[actual_0]])/Table1[[#This Row],[actual_0]]</f>
        <v>-4.0816326530612249E-3</v>
      </c>
      <c r="EG15" s="1">
        <f>(Table1[[#This Row],[predicted_1]]-Table1[[#This Row],[actual_1]])/Table1[[#This Row],[actual_1]]</f>
        <v>-1.762114537444934E-3</v>
      </c>
      <c r="EH15" s="1">
        <f>(Table1[[#This Row],[predicted_2]]-Table1[[#This Row],[actual_2]])/Table1[[#This Row],[actual_2]]</f>
        <v>-2.2286821705426358E-2</v>
      </c>
      <c r="EI15" s="1">
        <f>(Table1[[#This Row],[predicted_3]]-Table1[[#This Row],[actual_3]])/Table1[[#This Row],[actual_3]]</f>
        <v>-5.9405940594059403E-2</v>
      </c>
      <c r="EJ15" s="1">
        <f>(Table1[[#This Row],[predicted_4]]-Table1[[#This Row],[actual_4]])/Table1[[#This Row],[actual_4]]</f>
        <v>1.3238289205702648E-2</v>
      </c>
      <c r="EK15" s="1">
        <f>(Table1[[#This Row],[predicted_5]]-Table1[[#This Row],[actual_5]])/Table1[[#This Row],[actual_5]]</f>
        <v>6.1659192825112105E-2</v>
      </c>
      <c r="EL15" s="1">
        <f>(Table1[[#This Row],[predicted_6]]-Table1[[#This Row],[actual_6]])/Table1[[#This Row],[actual_6]]</f>
        <v>3.444676409185804E-2</v>
      </c>
      <c r="EM15" s="1">
        <f>(Table1[[#This Row],[predicted_7]]-Table1[[#This Row],[actual_7]])/Table1[[#This Row],[actual_7]]</f>
        <v>2.9182879377431907E-3</v>
      </c>
      <c r="EN15" s="1">
        <f>(Table1[[#This Row],[predicted_8]]-Table1[[#This Row],[actual_8]])/Table1[[#This Row],[actual_8]]</f>
        <v>-2.0533880903490761E-3</v>
      </c>
      <c r="EO15" s="1">
        <f>(Table1[[#This Row],[predicted_9]]-Table1[[#This Row],[actual_9]])/Table1[[#This Row],[actual_9]]</f>
        <v>-1.288404360753221E-2</v>
      </c>
      <c r="EP15" s="1">
        <f>1+(Table1[[#This Row],[error_ratio_0]]-EF$2)</f>
        <v>0.9938775510204082</v>
      </c>
      <c r="EQ15" s="1">
        <f>1+(Table1[[#This Row],[error_ratio_1]]-EG$2)</f>
        <v>0.99647577092511008</v>
      </c>
      <c r="ER15" s="1">
        <f>1+(Table1[[#This Row],[error_ratio_2]]-EH$2)</f>
        <v>0.98255813953488369</v>
      </c>
      <c r="ES15" s="1">
        <f>1+(Table1[[#This Row],[error_ratio_3]]-EI$2)</f>
        <v>0.93069306930693074</v>
      </c>
      <c r="ET15" s="1">
        <f>1+(Table1[[#This Row],[error_ratio_4]]-EJ$2)</f>
        <v>1.0122199592668024</v>
      </c>
      <c r="EU15" s="1">
        <f>1+(Table1[[#This Row],[error_ratio_5]]-EK$2)</f>
        <v>1.0605381165919283</v>
      </c>
      <c r="EV15" s="1">
        <f>1+(Table1[[#This Row],[error_ratio_6]]-EL$2)</f>
        <v>1.0407098121085594</v>
      </c>
      <c r="EW15" s="1">
        <f>1+(Table1[[#This Row],[error_ratio_7]]-EM$2)</f>
        <v>1.0009727626459144</v>
      </c>
      <c r="EX15" s="1">
        <f>1+(Table1[[#This Row],[error_ratio_8]]-EN$2)</f>
        <v>1.0010266940451746</v>
      </c>
      <c r="EY15" s="1">
        <f>1+(Table1[[#This Row],[error_ratio_9]]-EO$2)</f>
        <v>0.99108027750247774</v>
      </c>
    </row>
    <row r="16" spans="1:155" x14ac:dyDescent="0.75">
      <c r="A16">
        <v>100</v>
      </c>
      <c r="B16">
        <v>10</v>
      </c>
      <c r="C16">
        <v>10</v>
      </c>
      <c r="D16">
        <v>10</v>
      </c>
      <c r="E16">
        <v>100</v>
      </c>
      <c r="F16">
        <v>100</v>
      </c>
      <c r="G16">
        <v>100</v>
      </c>
      <c r="H16">
        <v>100</v>
      </c>
      <c r="I16">
        <v>100</v>
      </c>
      <c r="J16">
        <v>100</v>
      </c>
      <c r="K16">
        <v>1003</v>
      </c>
      <c r="L16">
        <v>1110</v>
      </c>
      <c r="M16">
        <v>977</v>
      </c>
      <c r="N16">
        <v>951</v>
      </c>
      <c r="O16">
        <v>1036</v>
      </c>
      <c r="P16">
        <v>918</v>
      </c>
      <c r="Q16">
        <v>938</v>
      </c>
      <c r="R16">
        <v>1042</v>
      </c>
      <c r="S16">
        <v>1021</v>
      </c>
      <c r="T16">
        <v>1004</v>
      </c>
      <c r="U16">
        <v>980</v>
      </c>
      <c r="V16">
        <v>1135</v>
      </c>
      <c r="W16">
        <v>1032</v>
      </c>
      <c r="X16">
        <v>1010</v>
      </c>
      <c r="Y16">
        <v>982</v>
      </c>
      <c r="Z16">
        <v>892</v>
      </c>
      <c r="AA16">
        <v>958</v>
      </c>
      <c r="AB16">
        <v>1028</v>
      </c>
      <c r="AC16">
        <v>974</v>
      </c>
      <c r="AD16">
        <v>1009</v>
      </c>
      <c r="AE16">
        <v>974</v>
      </c>
      <c r="AF16">
        <v>1</v>
      </c>
      <c r="AG16">
        <v>0</v>
      </c>
      <c r="AH16">
        <v>0</v>
      </c>
      <c r="AI16">
        <v>1</v>
      </c>
      <c r="AJ16">
        <v>0</v>
      </c>
      <c r="AK16">
        <v>1</v>
      </c>
      <c r="AL16">
        <v>1</v>
      </c>
      <c r="AM16">
        <v>1</v>
      </c>
      <c r="AN16">
        <v>1</v>
      </c>
      <c r="AO16">
        <v>0</v>
      </c>
      <c r="AP16">
        <v>1106</v>
      </c>
      <c r="AQ16">
        <v>6</v>
      </c>
      <c r="AR16">
        <v>1</v>
      </c>
      <c r="AS16">
        <v>1</v>
      </c>
      <c r="AT16">
        <v>1</v>
      </c>
      <c r="AU16">
        <v>5</v>
      </c>
      <c r="AV16">
        <v>8</v>
      </c>
      <c r="AW16">
        <v>6</v>
      </c>
      <c r="AX16">
        <v>1</v>
      </c>
      <c r="AY16">
        <v>11</v>
      </c>
      <c r="AZ16">
        <v>0</v>
      </c>
      <c r="BA16">
        <v>958</v>
      </c>
      <c r="BB16">
        <v>0</v>
      </c>
      <c r="BC16">
        <v>22</v>
      </c>
      <c r="BD16">
        <v>0</v>
      </c>
      <c r="BE16">
        <v>0</v>
      </c>
      <c r="BF16">
        <v>13</v>
      </c>
      <c r="BG16">
        <v>27</v>
      </c>
      <c r="BH16">
        <v>1</v>
      </c>
      <c r="BI16">
        <v>5</v>
      </c>
      <c r="BJ16">
        <v>0</v>
      </c>
      <c r="BK16">
        <v>3</v>
      </c>
      <c r="BL16">
        <v>948</v>
      </c>
      <c r="BM16">
        <v>0</v>
      </c>
      <c r="BN16">
        <v>25</v>
      </c>
      <c r="BO16">
        <v>0</v>
      </c>
      <c r="BP16">
        <v>8</v>
      </c>
      <c r="BQ16">
        <v>16</v>
      </c>
      <c r="BR16">
        <v>5</v>
      </c>
      <c r="BS16">
        <v>0</v>
      </c>
      <c r="BT16">
        <v>0</v>
      </c>
      <c r="BU16">
        <v>0</v>
      </c>
      <c r="BV16">
        <v>0</v>
      </c>
      <c r="BW16">
        <v>978</v>
      </c>
      <c r="BX16">
        <v>0</v>
      </c>
      <c r="BY16">
        <v>0</v>
      </c>
      <c r="BZ16">
        <v>0</v>
      </c>
      <c r="CA16">
        <v>0</v>
      </c>
      <c r="CB16">
        <v>4</v>
      </c>
      <c r="CC16">
        <v>2</v>
      </c>
      <c r="CD16">
        <v>0</v>
      </c>
      <c r="CE16">
        <v>0</v>
      </c>
      <c r="CF16">
        <v>2</v>
      </c>
      <c r="CG16">
        <v>0</v>
      </c>
      <c r="CH16">
        <v>886</v>
      </c>
      <c r="CI16">
        <v>1</v>
      </c>
      <c r="CJ16">
        <v>1</v>
      </c>
      <c r="CK16">
        <v>0</v>
      </c>
      <c r="CL16">
        <v>0</v>
      </c>
      <c r="CM16">
        <v>6</v>
      </c>
      <c r="CN16">
        <v>2</v>
      </c>
      <c r="CO16">
        <v>1</v>
      </c>
      <c r="CP16">
        <v>0</v>
      </c>
      <c r="CQ16">
        <v>14</v>
      </c>
      <c r="CR16">
        <v>2</v>
      </c>
      <c r="CS16">
        <v>931</v>
      </c>
      <c r="CT16">
        <v>0</v>
      </c>
      <c r="CU16">
        <v>2</v>
      </c>
      <c r="CV16">
        <v>0</v>
      </c>
      <c r="CW16">
        <v>1</v>
      </c>
      <c r="CX16">
        <v>1</v>
      </c>
      <c r="CY16">
        <v>9</v>
      </c>
      <c r="CZ16">
        <v>0</v>
      </c>
      <c r="DA16">
        <v>3</v>
      </c>
      <c r="DB16">
        <v>1</v>
      </c>
      <c r="DC16">
        <v>0</v>
      </c>
      <c r="DD16">
        <v>1008</v>
      </c>
      <c r="DE16">
        <v>2</v>
      </c>
      <c r="DF16">
        <v>3</v>
      </c>
      <c r="DG16">
        <v>2</v>
      </c>
      <c r="DH16">
        <v>0</v>
      </c>
      <c r="DI16">
        <v>0</v>
      </c>
      <c r="DJ16">
        <v>0</v>
      </c>
      <c r="DK16">
        <v>2</v>
      </c>
      <c r="DL16">
        <v>1</v>
      </c>
      <c r="DM16">
        <v>0</v>
      </c>
      <c r="DN16">
        <v>1</v>
      </c>
      <c r="DO16">
        <v>965</v>
      </c>
      <c r="DP16">
        <v>3</v>
      </c>
      <c r="DQ16">
        <v>2</v>
      </c>
      <c r="DR16">
        <v>0</v>
      </c>
      <c r="DS16">
        <v>0</v>
      </c>
      <c r="DT16">
        <v>0</v>
      </c>
      <c r="DU16">
        <v>15</v>
      </c>
      <c r="DV16">
        <v>2</v>
      </c>
      <c r="DW16">
        <v>0</v>
      </c>
      <c r="DX16">
        <v>2</v>
      </c>
      <c r="DY16">
        <v>2</v>
      </c>
      <c r="DZ16">
        <v>986</v>
      </c>
      <c r="EA16">
        <v>0.97399999999999998</v>
      </c>
      <c r="EB16">
        <v>0.97411696106333401</v>
      </c>
      <c r="EC16">
        <v>0.97447614863197296</v>
      </c>
      <c r="ED16">
        <v>0.97395261277498402</v>
      </c>
      <c r="EE16">
        <f>SUM(Table1[[#This Row],[ratio_0]:[ratio_9]])</f>
        <v>730</v>
      </c>
      <c r="EF16" s="1">
        <f>(Table1[[#This Row],[predicted_0]]-Table1[[#This Row],[actual_0]])/Table1[[#This Row],[actual_0]]</f>
        <v>2.3469387755102041E-2</v>
      </c>
      <c r="EG16" s="1">
        <f>(Table1[[#This Row],[predicted_1]]-Table1[[#This Row],[actual_1]])/Table1[[#This Row],[actual_1]]</f>
        <v>-2.2026431718061675E-2</v>
      </c>
      <c r="EH16" s="1">
        <f>(Table1[[#This Row],[predicted_2]]-Table1[[#This Row],[actual_2]])/Table1[[#This Row],[actual_2]]</f>
        <v>-5.329457364341085E-2</v>
      </c>
      <c r="EI16" s="1">
        <f>(Table1[[#This Row],[predicted_3]]-Table1[[#This Row],[actual_3]])/Table1[[#This Row],[actual_3]]</f>
        <v>-5.8415841584158419E-2</v>
      </c>
      <c r="EJ16" s="1">
        <f>(Table1[[#This Row],[predicted_4]]-Table1[[#This Row],[actual_4]])/Table1[[#This Row],[actual_4]]</f>
        <v>5.4989816700610997E-2</v>
      </c>
      <c r="EK16" s="1">
        <f>(Table1[[#This Row],[predicted_5]]-Table1[[#This Row],[actual_5]])/Table1[[#This Row],[actual_5]]</f>
        <v>2.914798206278027E-2</v>
      </c>
      <c r="EL16" s="1">
        <f>(Table1[[#This Row],[predicted_6]]-Table1[[#This Row],[actual_6]])/Table1[[#This Row],[actual_6]]</f>
        <v>-2.0876826722338204E-2</v>
      </c>
      <c r="EM16" s="1">
        <f>(Table1[[#This Row],[predicted_7]]-Table1[[#This Row],[actual_7]])/Table1[[#This Row],[actual_7]]</f>
        <v>1.3618677042801557E-2</v>
      </c>
      <c r="EN16" s="1">
        <f>(Table1[[#This Row],[predicted_8]]-Table1[[#This Row],[actual_8]])/Table1[[#This Row],[actual_8]]</f>
        <v>4.8254620123203286E-2</v>
      </c>
      <c r="EO16" s="1">
        <f>(Table1[[#This Row],[predicted_9]]-Table1[[#This Row],[actual_9]])/Table1[[#This Row],[actual_9]]</f>
        <v>-4.9554013875123884E-3</v>
      </c>
      <c r="EP16" s="1">
        <f>1+(Table1[[#This Row],[error_ratio_0]]-EF$2)</f>
        <v>1.0214285714285714</v>
      </c>
      <c r="EQ16" s="1">
        <f>1+(Table1[[#This Row],[error_ratio_1]]-EG$2)</f>
        <v>0.97621145374449336</v>
      </c>
      <c r="ER16" s="1">
        <f>1+(Table1[[#This Row],[error_ratio_2]]-EH$2)</f>
        <v>0.95155038759689925</v>
      </c>
      <c r="ES16" s="1">
        <f>1+(Table1[[#This Row],[error_ratio_3]]-EI$2)</f>
        <v>0.93168316831683162</v>
      </c>
      <c r="ET16" s="1">
        <f>1+(Table1[[#This Row],[error_ratio_4]]-EJ$2)</f>
        <v>1.0539714867617107</v>
      </c>
      <c r="EU16" s="1">
        <f>1+(Table1[[#This Row],[error_ratio_5]]-EK$2)</f>
        <v>1.0280269058295963</v>
      </c>
      <c r="EV16" s="1">
        <f>1+(Table1[[#This Row],[error_ratio_6]]-EL$2)</f>
        <v>0.98538622129436326</v>
      </c>
      <c r="EW16" s="1">
        <f>1+(Table1[[#This Row],[error_ratio_7]]-EM$2)</f>
        <v>1.0116731517509727</v>
      </c>
      <c r="EX16" s="1">
        <f>1+(Table1[[#This Row],[error_ratio_8]]-EN$2)</f>
        <v>1.0513347022587269</v>
      </c>
      <c r="EY16" s="1">
        <f>1+(Table1[[#This Row],[error_ratio_9]]-EO$2)</f>
        <v>0.9990089197224975</v>
      </c>
    </row>
    <row r="17" spans="1:155" x14ac:dyDescent="0.75">
      <c r="A17">
        <v>10</v>
      </c>
      <c r="B17">
        <v>10</v>
      </c>
      <c r="C17">
        <v>10</v>
      </c>
      <c r="D17">
        <v>10</v>
      </c>
      <c r="E17">
        <v>100</v>
      </c>
      <c r="F17">
        <v>100</v>
      </c>
      <c r="G17">
        <v>100</v>
      </c>
      <c r="H17">
        <v>100</v>
      </c>
      <c r="I17">
        <v>100</v>
      </c>
      <c r="J17">
        <v>100</v>
      </c>
      <c r="K17">
        <v>930</v>
      </c>
      <c r="L17">
        <v>1108</v>
      </c>
      <c r="M17">
        <v>939</v>
      </c>
      <c r="N17">
        <v>957</v>
      </c>
      <c r="O17">
        <v>989</v>
      </c>
      <c r="P17">
        <v>925</v>
      </c>
      <c r="Q17">
        <v>972</v>
      </c>
      <c r="R17">
        <v>1134</v>
      </c>
      <c r="S17">
        <v>993</v>
      </c>
      <c r="T17">
        <v>1053</v>
      </c>
      <c r="U17">
        <v>980</v>
      </c>
      <c r="V17">
        <v>1135</v>
      </c>
      <c r="W17">
        <v>1032</v>
      </c>
      <c r="X17">
        <v>1010</v>
      </c>
      <c r="Y17">
        <v>982</v>
      </c>
      <c r="Z17">
        <v>892</v>
      </c>
      <c r="AA17">
        <v>958</v>
      </c>
      <c r="AB17">
        <v>1028</v>
      </c>
      <c r="AC17">
        <v>974</v>
      </c>
      <c r="AD17">
        <v>1009</v>
      </c>
      <c r="AE17">
        <v>922</v>
      </c>
      <c r="AF17">
        <v>0</v>
      </c>
      <c r="AG17">
        <v>3</v>
      </c>
      <c r="AH17">
        <v>0</v>
      </c>
      <c r="AI17">
        <v>11</v>
      </c>
      <c r="AJ17">
        <v>3</v>
      </c>
      <c r="AK17">
        <v>15</v>
      </c>
      <c r="AL17">
        <v>7</v>
      </c>
      <c r="AM17">
        <v>5</v>
      </c>
      <c r="AN17">
        <v>14</v>
      </c>
      <c r="AO17">
        <v>0</v>
      </c>
      <c r="AP17">
        <v>1104</v>
      </c>
      <c r="AQ17">
        <v>1</v>
      </c>
      <c r="AR17">
        <v>5</v>
      </c>
      <c r="AS17">
        <v>1</v>
      </c>
      <c r="AT17">
        <v>3</v>
      </c>
      <c r="AU17">
        <v>4</v>
      </c>
      <c r="AV17">
        <v>16</v>
      </c>
      <c r="AW17">
        <v>1</v>
      </c>
      <c r="AX17">
        <v>0</v>
      </c>
      <c r="AY17">
        <v>5</v>
      </c>
      <c r="AZ17">
        <v>0</v>
      </c>
      <c r="BA17">
        <v>926</v>
      </c>
      <c r="BB17">
        <v>4</v>
      </c>
      <c r="BC17">
        <v>3</v>
      </c>
      <c r="BD17">
        <v>5</v>
      </c>
      <c r="BE17">
        <v>3</v>
      </c>
      <c r="BF17">
        <v>58</v>
      </c>
      <c r="BG17">
        <v>27</v>
      </c>
      <c r="BH17">
        <v>1</v>
      </c>
      <c r="BI17">
        <v>0</v>
      </c>
      <c r="BJ17">
        <v>0</v>
      </c>
      <c r="BK17">
        <v>5</v>
      </c>
      <c r="BL17">
        <v>948</v>
      </c>
      <c r="BM17">
        <v>0</v>
      </c>
      <c r="BN17">
        <v>21</v>
      </c>
      <c r="BO17">
        <v>0</v>
      </c>
      <c r="BP17">
        <v>16</v>
      </c>
      <c r="BQ17">
        <v>6</v>
      </c>
      <c r="BR17">
        <v>14</v>
      </c>
      <c r="BS17">
        <v>0</v>
      </c>
      <c r="BT17">
        <v>0</v>
      </c>
      <c r="BU17">
        <v>1</v>
      </c>
      <c r="BV17">
        <v>0</v>
      </c>
      <c r="BW17">
        <v>967</v>
      </c>
      <c r="BX17">
        <v>0</v>
      </c>
      <c r="BY17">
        <v>2</v>
      </c>
      <c r="BZ17">
        <v>1</v>
      </c>
      <c r="CA17">
        <v>1</v>
      </c>
      <c r="CB17">
        <v>10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886</v>
      </c>
      <c r="CI17">
        <v>4</v>
      </c>
      <c r="CJ17">
        <v>2</v>
      </c>
      <c r="CK17">
        <v>0</v>
      </c>
      <c r="CL17">
        <v>0</v>
      </c>
      <c r="CM17">
        <v>3</v>
      </c>
      <c r="CN17">
        <v>4</v>
      </c>
      <c r="CO17">
        <v>1</v>
      </c>
      <c r="CP17">
        <v>0</v>
      </c>
      <c r="CQ17">
        <v>2</v>
      </c>
      <c r="CR17">
        <v>3</v>
      </c>
      <c r="CS17">
        <v>944</v>
      </c>
      <c r="CT17">
        <v>0</v>
      </c>
      <c r="CU17">
        <v>1</v>
      </c>
      <c r="CV17">
        <v>0</v>
      </c>
      <c r="CW17">
        <v>0</v>
      </c>
      <c r="CX17">
        <v>0</v>
      </c>
      <c r="CY17">
        <v>2</v>
      </c>
      <c r="CZ17">
        <v>0</v>
      </c>
      <c r="DA17">
        <v>0</v>
      </c>
      <c r="DB17">
        <v>1</v>
      </c>
      <c r="DC17">
        <v>0</v>
      </c>
      <c r="DD17">
        <v>1021</v>
      </c>
      <c r="DE17">
        <v>1</v>
      </c>
      <c r="DF17">
        <v>3</v>
      </c>
      <c r="DG17">
        <v>0</v>
      </c>
      <c r="DH17">
        <v>0</v>
      </c>
      <c r="DI17">
        <v>0</v>
      </c>
      <c r="DJ17">
        <v>0</v>
      </c>
      <c r="DK17">
        <v>1</v>
      </c>
      <c r="DL17">
        <v>3</v>
      </c>
      <c r="DM17">
        <v>0</v>
      </c>
      <c r="DN17">
        <v>9</v>
      </c>
      <c r="DO17">
        <v>951</v>
      </c>
      <c r="DP17">
        <v>10</v>
      </c>
      <c r="DQ17">
        <v>0</v>
      </c>
      <c r="DR17">
        <v>0</v>
      </c>
      <c r="DS17">
        <v>0</v>
      </c>
      <c r="DT17">
        <v>0</v>
      </c>
      <c r="DU17">
        <v>4</v>
      </c>
      <c r="DV17">
        <v>0</v>
      </c>
      <c r="DW17">
        <v>0</v>
      </c>
      <c r="DX17">
        <v>4</v>
      </c>
      <c r="DY17">
        <v>0</v>
      </c>
      <c r="DZ17">
        <v>1001</v>
      </c>
      <c r="EA17">
        <v>0.96699999999999997</v>
      </c>
      <c r="EB17">
        <v>0.96799993439995602</v>
      </c>
      <c r="EC17">
        <v>0.96744371053231004</v>
      </c>
      <c r="ED17">
        <v>0.96704225781981801</v>
      </c>
      <c r="EE17">
        <f>SUM(Table1[[#This Row],[ratio_0]:[ratio_9]])</f>
        <v>640</v>
      </c>
      <c r="EF17" s="1">
        <f>(Table1[[#This Row],[predicted_0]]-Table1[[#This Row],[actual_0]])/Table1[[#This Row],[actual_0]]</f>
        <v>-5.1020408163265307E-2</v>
      </c>
      <c r="EG17" s="1">
        <f>(Table1[[#This Row],[predicted_1]]-Table1[[#This Row],[actual_1]])/Table1[[#This Row],[actual_1]]</f>
        <v>-2.378854625550661E-2</v>
      </c>
      <c r="EH17" s="1">
        <f>(Table1[[#This Row],[predicted_2]]-Table1[[#This Row],[actual_2]])/Table1[[#This Row],[actual_2]]</f>
        <v>-9.0116279069767435E-2</v>
      </c>
      <c r="EI17" s="1">
        <f>(Table1[[#This Row],[predicted_3]]-Table1[[#This Row],[actual_3]])/Table1[[#This Row],[actual_3]]</f>
        <v>-5.2475247524752473E-2</v>
      </c>
      <c r="EJ17" s="1">
        <f>(Table1[[#This Row],[predicted_4]]-Table1[[#This Row],[actual_4]])/Table1[[#This Row],[actual_4]]</f>
        <v>7.1283095723014261E-3</v>
      </c>
      <c r="EK17" s="1">
        <f>(Table1[[#This Row],[predicted_5]]-Table1[[#This Row],[actual_5]])/Table1[[#This Row],[actual_5]]</f>
        <v>3.6995515695067267E-2</v>
      </c>
      <c r="EL17" s="1">
        <f>(Table1[[#This Row],[predicted_6]]-Table1[[#This Row],[actual_6]])/Table1[[#This Row],[actual_6]]</f>
        <v>1.4613778705636743E-2</v>
      </c>
      <c r="EM17" s="1">
        <f>(Table1[[#This Row],[predicted_7]]-Table1[[#This Row],[actual_7]])/Table1[[#This Row],[actual_7]]</f>
        <v>0.10311284046692606</v>
      </c>
      <c r="EN17" s="1">
        <f>(Table1[[#This Row],[predicted_8]]-Table1[[#This Row],[actual_8]])/Table1[[#This Row],[actual_8]]</f>
        <v>1.9507186858316223E-2</v>
      </c>
      <c r="EO17" s="1">
        <f>(Table1[[#This Row],[predicted_9]]-Table1[[#This Row],[actual_9]])/Table1[[#This Row],[actual_9]]</f>
        <v>4.3607532210109018E-2</v>
      </c>
      <c r="EP17" s="1">
        <f>1+(Table1[[#This Row],[error_ratio_0]]-EF$2)</f>
        <v>0.94693877551020411</v>
      </c>
      <c r="EQ17" s="1">
        <f>1+(Table1[[#This Row],[error_ratio_1]]-EG$2)</f>
        <v>0.97444933920704846</v>
      </c>
      <c r="ER17" s="1">
        <f>1+(Table1[[#This Row],[error_ratio_2]]-EH$2)</f>
        <v>0.9147286821705426</v>
      </c>
      <c r="ES17" s="1">
        <f>1+(Table1[[#This Row],[error_ratio_3]]-EI$2)</f>
        <v>0.93762376237623757</v>
      </c>
      <c r="ET17" s="1">
        <f>1+(Table1[[#This Row],[error_ratio_4]]-EJ$2)</f>
        <v>1.0061099796334012</v>
      </c>
      <c r="EU17" s="1">
        <f>1+(Table1[[#This Row],[error_ratio_5]]-EK$2)</f>
        <v>1.0358744394618835</v>
      </c>
      <c r="EV17" s="1">
        <f>1+(Table1[[#This Row],[error_ratio_6]]-EL$2)</f>
        <v>1.0208768267223383</v>
      </c>
      <c r="EW17" s="1">
        <f>1+(Table1[[#This Row],[error_ratio_7]]-EM$2)</f>
        <v>1.1011673151750974</v>
      </c>
      <c r="EX17" s="1">
        <f>1+(Table1[[#This Row],[error_ratio_8]]-EN$2)</f>
        <v>1.0225872689938398</v>
      </c>
      <c r="EY17" s="1">
        <f>1+(Table1[[#This Row],[error_ratio_9]]-EO$2)</f>
        <v>1.047571853320119</v>
      </c>
    </row>
    <row r="18" spans="1:155" x14ac:dyDescent="0.75">
      <c r="A18">
        <v>100</v>
      </c>
      <c r="B18">
        <v>100</v>
      </c>
      <c r="C18">
        <v>100</v>
      </c>
      <c r="D18">
        <v>100</v>
      </c>
      <c r="E18">
        <v>10</v>
      </c>
      <c r="F18">
        <v>100</v>
      </c>
      <c r="G18">
        <v>100</v>
      </c>
      <c r="H18">
        <v>100</v>
      </c>
      <c r="I18">
        <v>100</v>
      </c>
      <c r="J18">
        <v>100</v>
      </c>
      <c r="K18">
        <v>983</v>
      </c>
      <c r="L18">
        <v>1134</v>
      </c>
      <c r="M18">
        <v>1046</v>
      </c>
      <c r="N18">
        <v>1012</v>
      </c>
      <c r="O18">
        <v>928</v>
      </c>
      <c r="P18">
        <v>900</v>
      </c>
      <c r="Q18">
        <v>947</v>
      </c>
      <c r="R18">
        <v>1036</v>
      </c>
      <c r="S18">
        <v>970</v>
      </c>
      <c r="T18">
        <v>1044</v>
      </c>
      <c r="U18">
        <v>980</v>
      </c>
      <c r="V18">
        <v>1135</v>
      </c>
      <c r="W18">
        <v>1032</v>
      </c>
      <c r="X18">
        <v>1010</v>
      </c>
      <c r="Y18">
        <v>982</v>
      </c>
      <c r="Z18">
        <v>892</v>
      </c>
      <c r="AA18">
        <v>958</v>
      </c>
      <c r="AB18">
        <v>1028</v>
      </c>
      <c r="AC18">
        <v>974</v>
      </c>
      <c r="AD18">
        <v>1009</v>
      </c>
      <c r="AE18">
        <v>973</v>
      </c>
      <c r="AF18">
        <v>0</v>
      </c>
      <c r="AG18">
        <v>0</v>
      </c>
      <c r="AH18">
        <v>0</v>
      </c>
      <c r="AI18">
        <v>0</v>
      </c>
      <c r="AJ18">
        <v>1</v>
      </c>
      <c r="AK18">
        <v>0</v>
      </c>
      <c r="AL18">
        <v>2</v>
      </c>
      <c r="AM18">
        <v>2</v>
      </c>
      <c r="AN18">
        <v>2</v>
      </c>
      <c r="AO18">
        <v>0</v>
      </c>
      <c r="AP18">
        <v>1126</v>
      </c>
      <c r="AQ18">
        <v>1</v>
      </c>
      <c r="AR18">
        <v>1</v>
      </c>
      <c r="AS18">
        <v>0</v>
      </c>
      <c r="AT18">
        <v>2</v>
      </c>
      <c r="AU18">
        <v>1</v>
      </c>
      <c r="AV18">
        <v>2</v>
      </c>
      <c r="AW18">
        <v>2</v>
      </c>
      <c r="AX18">
        <v>0</v>
      </c>
      <c r="AY18">
        <v>0</v>
      </c>
      <c r="AZ18">
        <v>1</v>
      </c>
      <c r="BA18">
        <v>1027</v>
      </c>
      <c r="BB18">
        <v>0</v>
      </c>
      <c r="BC18">
        <v>0</v>
      </c>
      <c r="BD18">
        <v>0</v>
      </c>
      <c r="BE18">
        <v>0</v>
      </c>
      <c r="BF18">
        <v>4</v>
      </c>
      <c r="BG18">
        <v>0</v>
      </c>
      <c r="BH18">
        <v>0</v>
      </c>
      <c r="BI18">
        <v>0</v>
      </c>
      <c r="BJ18">
        <v>0</v>
      </c>
      <c r="BK18">
        <v>2</v>
      </c>
      <c r="BL18">
        <v>1003</v>
      </c>
      <c r="BM18">
        <v>0</v>
      </c>
      <c r="BN18">
        <v>3</v>
      </c>
      <c r="BO18">
        <v>0</v>
      </c>
      <c r="BP18">
        <v>1</v>
      </c>
      <c r="BQ18">
        <v>1</v>
      </c>
      <c r="BR18">
        <v>0</v>
      </c>
      <c r="BS18">
        <v>0</v>
      </c>
      <c r="BT18">
        <v>0</v>
      </c>
      <c r="BU18">
        <v>5</v>
      </c>
      <c r="BV18">
        <v>0</v>
      </c>
      <c r="BW18">
        <v>925</v>
      </c>
      <c r="BX18">
        <v>0</v>
      </c>
      <c r="BY18">
        <v>3</v>
      </c>
      <c r="BZ18">
        <v>6</v>
      </c>
      <c r="CA18">
        <v>3</v>
      </c>
      <c r="CB18">
        <v>40</v>
      </c>
      <c r="CC18">
        <v>2</v>
      </c>
      <c r="CD18">
        <v>0</v>
      </c>
      <c r="CE18">
        <v>1</v>
      </c>
      <c r="CF18">
        <v>5</v>
      </c>
      <c r="CG18">
        <v>0</v>
      </c>
      <c r="CH18">
        <v>882</v>
      </c>
      <c r="CI18">
        <v>1</v>
      </c>
      <c r="CJ18">
        <v>1</v>
      </c>
      <c r="CK18">
        <v>0</v>
      </c>
      <c r="CL18">
        <v>0</v>
      </c>
      <c r="CM18">
        <v>5</v>
      </c>
      <c r="CN18">
        <v>2</v>
      </c>
      <c r="CO18">
        <v>1</v>
      </c>
      <c r="CP18">
        <v>1</v>
      </c>
      <c r="CQ18">
        <v>2</v>
      </c>
      <c r="CR18">
        <v>4</v>
      </c>
      <c r="CS18">
        <v>942</v>
      </c>
      <c r="CT18">
        <v>0</v>
      </c>
      <c r="CU18">
        <v>1</v>
      </c>
      <c r="CV18">
        <v>0</v>
      </c>
      <c r="CW18">
        <v>0</v>
      </c>
      <c r="CX18">
        <v>5</v>
      </c>
      <c r="CY18">
        <v>7</v>
      </c>
      <c r="CZ18">
        <v>0</v>
      </c>
      <c r="DA18">
        <v>0</v>
      </c>
      <c r="DB18">
        <v>0</v>
      </c>
      <c r="DC18">
        <v>0</v>
      </c>
      <c r="DD18">
        <v>1013</v>
      </c>
      <c r="DE18">
        <v>1</v>
      </c>
      <c r="DF18">
        <v>2</v>
      </c>
      <c r="DG18">
        <v>2</v>
      </c>
      <c r="DH18">
        <v>0</v>
      </c>
      <c r="DI18">
        <v>1</v>
      </c>
      <c r="DJ18">
        <v>1</v>
      </c>
      <c r="DK18">
        <v>0</v>
      </c>
      <c r="DL18">
        <v>3</v>
      </c>
      <c r="DM18">
        <v>0</v>
      </c>
      <c r="DN18">
        <v>4</v>
      </c>
      <c r="DO18">
        <v>959</v>
      </c>
      <c r="DP18">
        <v>4</v>
      </c>
      <c r="DQ18">
        <v>1</v>
      </c>
      <c r="DR18">
        <v>0</v>
      </c>
      <c r="DS18">
        <v>1</v>
      </c>
      <c r="DT18">
        <v>1</v>
      </c>
      <c r="DU18">
        <v>1</v>
      </c>
      <c r="DV18">
        <v>5</v>
      </c>
      <c r="DW18">
        <v>0</v>
      </c>
      <c r="DX18">
        <v>3</v>
      </c>
      <c r="DY18">
        <v>1</v>
      </c>
      <c r="DZ18">
        <v>996</v>
      </c>
      <c r="EA18">
        <v>0.98460000000000003</v>
      </c>
      <c r="EB18">
        <v>0.98476840901734397</v>
      </c>
      <c r="EC18">
        <v>0.98443190489281296</v>
      </c>
      <c r="ED18">
        <v>0.98448247857244797</v>
      </c>
      <c r="EE18">
        <f>SUM(Table1[[#This Row],[ratio_0]:[ratio_9]])</f>
        <v>910</v>
      </c>
      <c r="EF18" s="1">
        <f>(Table1[[#This Row],[predicted_0]]-Table1[[#This Row],[actual_0]])/Table1[[#This Row],[actual_0]]</f>
        <v>3.0612244897959182E-3</v>
      </c>
      <c r="EG18" s="1">
        <f>(Table1[[#This Row],[predicted_1]]-Table1[[#This Row],[actual_1]])/Table1[[#This Row],[actual_1]]</f>
        <v>-8.81057268722467E-4</v>
      </c>
      <c r="EH18" s="1">
        <f>(Table1[[#This Row],[predicted_2]]-Table1[[#This Row],[actual_2]])/Table1[[#This Row],[actual_2]]</f>
        <v>1.3565891472868217E-2</v>
      </c>
      <c r="EI18" s="1">
        <f>(Table1[[#This Row],[predicted_3]]-Table1[[#This Row],[actual_3]])/Table1[[#This Row],[actual_3]]</f>
        <v>1.9801980198019802E-3</v>
      </c>
      <c r="EJ18" s="1">
        <f>(Table1[[#This Row],[predicted_4]]-Table1[[#This Row],[actual_4]])/Table1[[#This Row],[actual_4]]</f>
        <v>-5.4989816700610997E-2</v>
      </c>
      <c r="EK18" s="1">
        <f>(Table1[[#This Row],[predicted_5]]-Table1[[#This Row],[actual_5]])/Table1[[#This Row],[actual_5]]</f>
        <v>8.9686098654708519E-3</v>
      </c>
      <c r="EL18" s="1">
        <f>(Table1[[#This Row],[predicted_6]]-Table1[[#This Row],[actual_6]])/Table1[[#This Row],[actual_6]]</f>
        <v>-1.1482254697286013E-2</v>
      </c>
      <c r="EM18" s="1">
        <f>(Table1[[#This Row],[predicted_7]]-Table1[[#This Row],[actual_7]])/Table1[[#This Row],[actual_7]]</f>
        <v>7.7821011673151752E-3</v>
      </c>
      <c r="EN18" s="1">
        <f>(Table1[[#This Row],[predicted_8]]-Table1[[#This Row],[actual_8]])/Table1[[#This Row],[actual_8]]</f>
        <v>-4.1067761806981521E-3</v>
      </c>
      <c r="EO18" s="1">
        <f>(Table1[[#This Row],[predicted_9]]-Table1[[#This Row],[actual_9]])/Table1[[#This Row],[actual_9]]</f>
        <v>3.4687809712586719E-2</v>
      </c>
      <c r="EP18" s="1">
        <f>1+(Table1[[#This Row],[error_ratio_0]]-EF$2)</f>
        <v>1.0010204081632652</v>
      </c>
      <c r="EQ18" s="1">
        <f>1+(Table1[[#This Row],[error_ratio_1]]-EG$2)</f>
        <v>0.99735682819383265</v>
      </c>
      <c r="ER18" s="1">
        <f>1+(Table1[[#This Row],[error_ratio_2]]-EH$2)</f>
        <v>1.0184108527131783</v>
      </c>
      <c r="ES18" s="1">
        <f>1+(Table1[[#This Row],[error_ratio_3]]-EI$2)</f>
        <v>0.99207920792079207</v>
      </c>
      <c r="ET18" s="1">
        <f>1+(Table1[[#This Row],[error_ratio_4]]-EJ$2)</f>
        <v>0.94399185336048874</v>
      </c>
      <c r="EU18" s="1">
        <f>1+(Table1[[#This Row],[error_ratio_5]]-EK$2)</f>
        <v>1.007847533632287</v>
      </c>
      <c r="EV18" s="1">
        <f>1+(Table1[[#This Row],[error_ratio_6]]-EL$2)</f>
        <v>0.99478079331941549</v>
      </c>
      <c r="EW18" s="1">
        <f>1+(Table1[[#This Row],[error_ratio_7]]-EM$2)</f>
        <v>1.0058365758754864</v>
      </c>
      <c r="EX18" s="1">
        <f>1+(Table1[[#This Row],[error_ratio_8]]-EN$2)</f>
        <v>0.99897330595482547</v>
      </c>
      <c r="EY18" s="1">
        <f>1+(Table1[[#This Row],[error_ratio_9]]-EO$2)</f>
        <v>1.0386521308225967</v>
      </c>
    </row>
    <row r="19" spans="1:155" x14ac:dyDescent="0.75">
      <c r="A19">
        <v>10</v>
      </c>
      <c r="B19">
        <v>100</v>
      </c>
      <c r="C19">
        <v>100</v>
      </c>
      <c r="D19">
        <v>100</v>
      </c>
      <c r="E19">
        <v>10</v>
      </c>
      <c r="F19">
        <v>100</v>
      </c>
      <c r="G19">
        <v>100</v>
      </c>
      <c r="H19">
        <v>100</v>
      </c>
      <c r="I19">
        <v>100</v>
      </c>
      <c r="J19">
        <v>100</v>
      </c>
      <c r="K19">
        <v>965</v>
      </c>
      <c r="L19">
        <v>1151</v>
      </c>
      <c r="M19">
        <v>1036</v>
      </c>
      <c r="N19">
        <v>1016</v>
      </c>
      <c r="O19">
        <v>925</v>
      </c>
      <c r="P19">
        <v>890</v>
      </c>
      <c r="Q19">
        <v>968</v>
      </c>
      <c r="R19">
        <v>1033</v>
      </c>
      <c r="S19">
        <v>974</v>
      </c>
      <c r="T19">
        <v>1042</v>
      </c>
      <c r="U19">
        <v>980</v>
      </c>
      <c r="V19">
        <v>1135</v>
      </c>
      <c r="W19">
        <v>1032</v>
      </c>
      <c r="X19">
        <v>1010</v>
      </c>
      <c r="Y19">
        <v>982</v>
      </c>
      <c r="Z19">
        <v>892</v>
      </c>
      <c r="AA19">
        <v>958</v>
      </c>
      <c r="AB19">
        <v>1028</v>
      </c>
      <c r="AC19">
        <v>974</v>
      </c>
      <c r="AD19">
        <v>1009</v>
      </c>
      <c r="AE19">
        <v>958</v>
      </c>
      <c r="AF19">
        <v>0</v>
      </c>
      <c r="AG19">
        <v>2</v>
      </c>
      <c r="AH19">
        <v>1</v>
      </c>
      <c r="AI19">
        <v>0</v>
      </c>
      <c r="AJ19">
        <v>2</v>
      </c>
      <c r="AK19">
        <v>9</v>
      </c>
      <c r="AL19">
        <v>2</v>
      </c>
      <c r="AM19">
        <v>4</v>
      </c>
      <c r="AN19">
        <v>2</v>
      </c>
      <c r="AO19">
        <v>0</v>
      </c>
      <c r="AP19">
        <v>1134</v>
      </c>
      <c r="AQ19">
        <v>0</v>
      </c>
      <c r="AR19">
        <v>1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2</v>
      </c>
      <c r="BA19">
        <v>1023</v>
      </c>
      <c r="BB19">
        <v>1</v>
      </c>
      <c r="BC19">
        <v>0</v>
      </c>
      <c r="BD19">
        <v>0</v>
      </c>
      <c r="BE19">
        <v>1</v>
      </c>
      <c r="BF19">
        <v>4</v>
      </c>
      <c r="BG19">
        <v>0</v>
      </c>
      <c r="BH19">
        <v>1</v>
      </c>
      <c r="BI19">
        <v>0</v>
      </c>
      <c r="BJ19">
        <v>0</v>
      </c>
      <c r="BK19">
        <v>1</v>
      </c>
      <c r="BL19">
        <v>1003</v>
      </c>
      <c r="BM19">
        <v>0</v>
      </c>
      <c r="BN19">
        <v>3</v>
      </c>
      <c r="BO19">
        <v>0</v>
      </c>
      <c r="BP19">
        <v>1</v>
      </c>
      <c r="BQ19">
        <v>1</v>
      </c>
      <c r="BR19">
        <v>1</v>
      </c>
      <c r="BS19">
        <v>0</v>
      </c>
      <c r="BT19">
        <v>7</v>
      </c>
      <c r="BU19">
        <v>4</v>
      </c>
      <c r="BV19">
        <v>0</v>
      </c>
      <c r="BW19">
        <v>924</v>
      </c>
      <c r="BX19">
        <v>0</v>
      </c>
      <c r="BY19">
        <v>6</v>
      </c>
      <c r="BZ19">
        <v>4</v>
      </c>
      <c r="CA19">
        <v>4</v>
      </c>
      <c r="CB19">
        <v>33</v>
      </c>
      <c r="CC19">
        <v>1</v>
      </c>
      <c r="CD19">
        <v>0</v>
      </c>
      <c r="CE19">
        <v>1</v>
      </c>
      <c r="CF19">
        <v>5</v>
      </c>
      <c r="CG19">
        <v>0</v>
      </c>
      <c r="CH19">
        <v>879</v>
      </c>
      <c r="CI19">
        <v>4</v>
      </c>
      <c r="CJ19">
        <v>1</v>
      </c>
      <c r="CK19">
        <v>1</v>
      </c>
      <c r="CL19">
        <v>0</v>
      </c>
      <c r="CM19">
        <v>5</v>
      </c>
      <c r="CN19">
        <v>2</v>
      </c>
      <c r="CO19">
        <v>0</v>
      </c>
      <c r="CP19">
        <v>1</v>
      </c>
      <c r="CQ19">
        <v>1</v>
      </c>
      <c r="CR19">
        <v>1</v>
      </c>
      <c r="CS19">
        <v>947</v>
      </c>
      <c r="CT19">
        <v>0</v>
      </c>
      <c r="CU19">
        <v>1</v>
      </c>
      <c r="CV19">
        <v>0</v>
      </c>
      <c r="CW19">
        <v>0</v>
      </c>
      <c r="CX19">
        <v>4</v>
      </c>
      <c r="CY19">
        <v>3</v>
      </c>
      <c r="CZ19">
        <v>0</v>
      </c>
      <c r="DA19">
        <v>0</v>
      </c>
      <c r="DB19">
        <v>0</v>
      </c>
      <c r="DC19">
        <v>0</v>
      </c>
      <c r="DD19">
        <v>1017</v>
      </c>
      <c r="DE19">
        <v>1</v>
      </c>
      <c r="DF19">
        <v>3</v>
      </c>
      <c r="DG19">
        <v>1</v>
      </c>
      <c r="DH19">
        <v>0</v>
      </c>
      <c r="DI19">
        <v>2</v>
      </c>
      <c r="DJ19">
        <v>3</v>
      </c>
      <c r="DK19">
        <v>0</v>
      </c>
      <c r="DL19">
        <v>2</v>
      </c>
      <c r="DM19">
        <v>0</v>
      </c>
      <c r="DN19">
        <v>1</v>
      </c>
      <c r="DO19">
        <v>961</v>
      </c>
      <c r="DP19">
        <v>4</v>
      </c>
      <c r="DQ19">
        <v>0</v>
      </c>
      <c r="DR19">
        <v>2</v>
      </c>
      <c r="DS19">
        <v>0</v>
      </c>
      <c r="DT19">
        <v>1</v>
      </c>
      <c r="DU19">
        <v>0</v>
      </c>
      <c r="DV19">
        <v>3</v>
      </c>
      <c r="DW19">
        <v>1</v>
      </c>
      <c r="DX19">
        <v>3</v>
      </c>
      <c r="DY19">
        <v>1</v>
      </c>
      <c r="DZ19">
        <v>998</v>
      </c>
      <c r="EA19">
        <v>0.98440000000000005</v>
      </c>
      <c r="EB19">
        <v>0.98464355864227004</v>
      </c>
      <c r="EC19">
        <v>0.98409496629078297</v>
      </c>
      <c r="ED19">
        <v>0.98424209397221096</v>
      </c>
      <c r="EE19">
        <f>SUM(Table1[[#This Row],[ratio_0]:[ratio_9]])</f>
        <v>820</v>
      </c>
      <c r="EF19" s="1">
        <f>(Table1[[#This Row],[predicted_0]]-Table1[[#This Row],[actual_0]])/Table1[[#This Row],[actual_0]]</f>
        <v>-1.5306122448979591E-2</v>
      </c>
      <c r="EG19" s="1">
        <f>(Table1[[#This Row],[predicted_1]]-Table1[[#This Row],[actual_1]])/Table1[[#This Row],[actual_1]]</f>
        <v>1.4096916299559472E-2</v>
      </c>
      <c r="EH19" s="1">
        <f>(Table1[[#This Row],[predicted_2]]-Table1[[#This Row],[actual_2]])/Table1[[#This Row],[actual_2]]</f>
        <v>3.875968992248062E-3</v>
      </c>
      <c r="EI19" s="1">
        <f>(Table1[[#This Row],[predicted_3]]-Table1[[#This Row],[actual_3]])/Table1[[#This Row],[actual_3]]</f>
        <v>5.9405940594059407E-3</v>
      </c>
      <c r="EJ19" s="1">
        <f>(Table1[[#This Row],[predicted_4]]-Table1[[#This Row],[actual_4]])/Table1[[#This Row],[actual_4]]</f>
        <v>-5.8044806517311608E-2</v>
      </c>
      <c r="EK19" s="1">
        <f>(Table1[[#This Row],[predicted_5]]-Table1[[#This Row],[actual_5]])/Table1[[#This Row],[actual_5]]</f>
        <v>-2.242152466367713E-3</v>
      </c>
      <c r="EL19" s="1">
        <f>(Table1[[#This Row],[predicted_6]]-Table1[[#This Row],[actual_6]])/Table1[[#This Row],[actual_6]]</f>
        <v>1.0438413361169102E-2</v>
      </c>
      <c r="EM19" s="1">
        <f>(Table1[[#This Row],[predicted_7]]-Table1[[#This Row],[actual_7]])/Table1[[#This Row],[actual_7]]</f>
        <v>4.8638132295719845E-3</v>
      </c>
      <c r="EN19" s="1">
        <f>(Table1[[#This Row],[predicted_8]]-Table1[[#This Row],[actual_8]])/Table1[[#This Row],[actual_8]]</f>
        <v>0</v>
      </c>
      <c r="EO19" s="1">
        <f>(Table1[[#This Row],[predicted_9]]-Table1[[#This Row],[actual_9]])/Table1[[#This Row],[actual_9]]</f>
        <v>3.2705649157581763E-2</v>
      </c>
      <c r="EP19" s="1">
        <f>1+(Table1[[#This Row],[error_ratio_0]]-EF$2)</f>
        <v>0.98265306122448981</v>
      </c>
      <c r="EQ19" s="1">
        <f>1+(Table1[[#This Row],[error_ratio_1]]-EG$2)</f>
        <v>1.0123348017621145</v>
      </c>
      <c r="ER19" s="1">
        <f>1+(Table1[[#This Row],[error_ratio_2]]-EH$2)</f>
        <v>1.0087209302325582</v>
      </c>
      <c r="ES19" s="1">
        <f>1+(Table1[[#This Row],[error_ratio_3]]-EI$2)</f>
        <v>0.99603960396039604</v>
      </c>
      <c r="ET19" s="1">
        <f>1+(Table1[[#This Row],[error_ratio_4]]-EJ$2)</f>
        <v>0.94093686354378814</v>
      </c>
      <c r="EU19" s="1">
        <f>1+(Table1[[#This Row],[error_ratio_5]]-EK$2)</f>
        <v>0.99663677130044848</v>
      </c>
      <c r="EV19" s="1">
        <f>1+(Table1[[#This Row],[error_ratio_6]]-EL$2)</f>
        <v>1.0167014613778707</v>
      </c>
      <c r="EW19" s="1">
        <f>1+(Table1[[#This Row],[error_ratio_7]]-EM$2)</f>
        <v>1.0029182879377432</v>
      </c>
      <c r="EX19" s="1">
        <f>1+(Table1[[#This Row],[error_ratio_8]]-EN$2)</f>
        <v>1.0030800821355237</v>
      </c>
      <c r="EY19" s="1">
        <f>1+(Table1[[#This Row],[error_ratio_9]]-EO$2)</f>
        <v>1.0366699702675917</v>
      </c>
    </row>
    <row r="20" spans="1:155" x14ac:dyDescent="0.75">
      <c r="A20">
        <v>100</v>
      </c>
      <c r="B20">
        <v>10</v>
      </c>
      <c r="C20">
        <v>100</v>
      </c>
      <c r="D20">
        <v>100</v>
      </c>
      <c r="E20">
        <v>10</v>
      </c>
      <c r="F20">
        <v>100</v>
      </c>
      <c r="G20">
        <v>100</v>
      </c>
      <c r="H20">
        <v>100</v>
      </c>
      <c r="I20">
        <v>100</v>
      </c>
      <c r="J20">
        <v>100</v>
      </c>
      <c r="K20">
        <v>987</v>
      </c>
      <c r="L20">
        <v>1118</v>
      </c>
      <c r="M20">
        <v>1049</v>
      </c>
      <c r="N20">
        <v>1014</v>
      </c>
      <c r="O20">
        <v>900</v>
      </c>
      <c r="P20">
        <v>905</v>
      </c>
      <c r="Q20">
        <v>973</v>
      </c>
      <c r="R20">
        <v>1034</v>
      </c>
      <c r="S20">
        <v>974</v>
      </c>
      <c r="T20">
        <v>1046</v>
      </c>
      <c r="U20">
        <v>980</v>
      </c>
      <c r="V20">
        <v>1135</v>
      </c>
      <c r="W20">
        <v>1032</v>
      </c>
      <c r="X20">
        <v>1010</v>
      </c>
      <c r="Y20">
        <v>982</v>
      </c>
      <c r="Z20">
        <v>892</v>
      </c>
      <c r="AA20">
        <v>958</v>
      </c>
      <c r="AB20">
        <v>1028</v>
      </c>
      <c r="AC20">
        <v>974</v>
      </c>
      <c r="AD20">
        <v>1009</v>
      </c>
      <c r="AE20">
        <v>976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1</v>
      </c>
      <c r="AL20">
        <v>1</v>
      </c>
      <c r="AM20">
        <v>1</v>
      </c>
      <c r="AN20">
        <v>1</v>
      </c>
      <c r="AO20">
        <v>0</v>
      </c>
      <c r="AP20">
        <v>1115</v>
      </c>
      <c r="AQ20">
        <v>4</v>
      </c>
      <c r="AR20">
        <v>3</v>
      </c>
      <c r="AS20">
        <v>0</v>
      </c>
      <c r="AT20">
        <v>3</v>
      </c>
      <c r="AU20">
        <v>5</v>
      </c>
      <c r="AV20">
        <v>2</v>
      </c>
      <c r="AW20">
        <v>3</v>
      </c>
      <c r="AX20">
        <v>0</v>
      </c>
      <c r="AY20">
        <v>0</v>
      </c>
      <c r="AZ20">
        <v>0</v>
      </c>
      <c r="BA20">
        <v>1024</v>
      </c>
      <c r="BB20">
        <v>0</v>
      </c>
      <c r="BC20">
        <v>0</v>
      </c>
      <c r="BD20">
        <v>0</v>
      </c>
      <c r="BE20">
        <v>1</v>
      </c>
      <c r="BF20">
        <v>6</v>
      </c>
      <c r="BG20">
        <v>1</v>
      </c>
      <c r="BH20">
        <v>0</v>
      </c>
      <c r="BI20">
        <v>0</v>
      </c>
      <c r="BJ20">
        <v>0</v>
      </c>
      <c r="BK20">
        <v>1</v>
      </c>
      <c r="BL20">
        <v>1003</v>
      </c>
      <c r="BM20">
        <v>0</v>
      </c>
      <c r="BN20">
        <v>4</v>
      </c>
      <c r="BO20">
        <v>0</v>
      </c>
      <c r="BP20">
        <v>2</v>
      </c>
      <c r="BQ20">
        <v>0</v>
      </c>
      <c r="BR20">
        <v>0</v>
      </c>
      <c r="BS20">
        <v>0</v>
      </c>
      <c r="BT20">
        <v>0</v>
      </c>
      <c r="BU20">
        <v>6</v>
      </c>
      <c r="BV20">
        <v>0</v>
      </c>
      <c r="BW20">
        <v>898</v>
      </c>
      <c r="BX20">
        <v>1</v>
      </c>
      <c r="BY20">
        <v>17</v>
      </c>
      <c r="BZ20">
        <v>7</v>
      </c>
      <c r="CA20">
        <v>12</v>
      </c>
      <c r="CB20">
        <v>41</v>
      </c>
      <c r="CC20">
        <v>2</v>
      </c>
      <c r="CD20">
        <v>0</v>
      </c>
      <c r="CE20">
        <v>0</v>
      </c>
      <c r="CF20">
        <v>3</v>
      </c>
      <c r="CG20">
        <v>0</v>
      </c>
      <c r="CH20">
        <v>885</v>
      </c>
      <c r="CI20">
        <v>1</v>
      </c>
      <c r="CJ20">
        <v>1</v>
      </c>
      <c r="CK20">
        <v>0</v>
      </c>
      <c r="CL20">
        <v>0</v>
      </c>
      <c r="CM20">
        <v>5</v>
      </c>
      <c r="CN20">
        <v>1</v>
      </c>
      <c r="CO20">
        <v>0</v>
      </c>
      <c r="CP20">
        <v>0</v>
      </c>
      <c r="CQ20">
        <v>1</v>
      </c>
      <c r="CR20">
        <v>5</v>
      </c>
      <c r="CS20">
        <v>946</v>
      </c>
      <c r="CT20">
        <v>0</v>
      </c>
      <c r="CU20">
        <v>0</v>
      </c>
      <c r="CV20">
        <v>0</v>
      </c>
      <c r="CW20">
        <v>0</v>
      </c>
      <c r="CX20">
        <v>2</v>
      </c>
      <c r="CY20">
        <v>11</v>
      </c>
      <c r="CZ20">
        <v>0</v>
      </c>
      <c r="DA20">
        <v>0</v>
      </c>
      <c r="DB20">
        <v>1</v>
      </c>
      <c r="DC20">
        <v>0</v>
      </c>
      <c r="DD20">
        <v>1009</v>
      </c>
      <c r="DE20">
        <v>1</v>
      </c>
      <c r="DF20">
        <v>4</v>
      </c>
      <c r="DG20">
        <v>3</v>
      </c>
      <c r="DH20">
        <v>0</v>
      </c>
      <c r="DI20">
        <v>3</v>
      </c>
      <c r="DJ20">
        <v>2</v>
      </c>
      <c r="DK20">
        <v>0</v>
      </c>
      <c r="DL20">
        <v>1</v>
      </c>
      <c r="DM20">
        <v>1</v>
      </c>
      <c r="DN20">
        <v>4</v>
      </c>
      <c r="DO20">
        <v>956</v>
      </c>
      <c r="DP20">
        <v>4</v>
      </c>
      <c r="DQ20">
        <v>1</v>
      </c>
      <c r="DR20">
        <v>0</v>
      </c>
      <c r="DS20">
        <v>0</v>
      </c>
      <c r="DT20">
        <v>3</v>
      </c>
      <c r="DU20">
        <v>1</v>
      </c>
      <c r="DV20">
        <v>5</v>
      </c>
      <c r="DW20">
        <v>1</v>
      </c>
      <c r="DX20">
        <v>2</v>
      </c>
      <c r="DY20">
        <v>0</v>
      </c>
      <c r="DZ20">
        <v>996</v>
      </c>
      <c r="EA20">
        <v>0.98080000000000001</v>
      </c>
      <c r="EB20">
        <v>0.98089609172958003</v>
      </c>
      <c r="EC20">
        <v>0.98078542196923302</v>
      </c>
      <c r="ED20">
        <v>0.980602068940159</v>
      </c>
      <c r="EE20">
        <f>SUM(Table1[[#This Row],[ratio_0]:[ratio_9]])</f>
        <v>820</v>
      </c>
      <c r="EF20" s="1">
        <f>(Table1[[#This Row],[predicted_0]]-Table1[[#This Row],[actual_0]])/Table1[[#This Row],[actual_0]]</f>
        <v>7.1428571428571426E-3</v>
      </c>
      <c r="EG20" s="1">
        <f>(Table1[[#This Row],[predicted_1]]-Table1[[#This Row],[actual_1]])/Table1[[#This Row],[actual_1]]</f>
        <v>-1.4977973568281937E-2</v>
      </c>
      <c r="EH20" s="1">
        <f>(Table1[[#This Row],[predicted_2]]-Table1[[#This Row],[actual_2]])/Table1[[#This Row],[actual_2]]</f>
        <v>1.6472868217054265E-2</v>
      </c>
      <c r="EI20" s="1">
        <f>(Table1[[#This Row],[predicted_3]]-Table1[[#This Row],[actual_3]])/Table1[[#This Row],[actual_3]]</f>
        <v>3.9603960396039604E-3</v>
      </c>
      <c r="EJ20" s="1">
        <f>(Table1[[#This Row],[predicted_4]]-Table1[[#This Row],[actual_4]])/Table1[[#This Row],[actual_4]]</f>
        <v>-8.3503054989816694E-2</v>
      </c>
      <c r="EK20" s="1">
        <f>(Table1[[#This Row],[predicted_5]]-Table1[[#This Row],[actual_5]])/Table1[[#This Row],[actual_5]]</f>
        <v>1.4573991031390135E-2</v>
      </c>
      <c r="EL20" s="1">
        <f>(Table1[[#This Row],[predicted_6]]-Table1[[#This Row],[actual_6]])/Table1[[#This Row],[actual_6]]</f>
        <v>1.5657620041753653E-2</v>
      </c>
      <c r="EM20" s="1">
        <f>(Table1[[#This Row],[predicted_7]]-Table1[[#This Row],[actual_7]])/Table1[[#This Row],[actual_7]]</f>
        <v>5.8365758754863814E-3</v>
      </c>
      <c r="EN20" s="1">
        <f>(Table1[[#This Row],[predicted_8]]-Table1[[#This Row],[actual_8]])/Table1[[#This Row],[actual_8]]</f>
        <v>0</v>
      </c>
      <c r="EO20" s="1">
        <f>(Table1[[#This Row],[predicted_9]]-Table1[[#This Row],[actual_9]])/Table1[[#This Row],[actual_9]]</f>
        <v>3.6669970267591674E-2</v>
      </c>
      <c r="EP20" s="1">
        <f>1+(Table1[[#This Row],[error_ratio_0]]-EF$2)</f>
        <v>1.0051020408163265</v>
      </c>
      <c r="EQ20" s="1">
        <f>1+(Table1[[#This Row],[error_ratio_1]]-EG$2)</f>
        <v>0.98325991189427309</v>
      </c>
      <c r="ER20" s="1">
        <f>1+(Table1[[#This Row],[error_ratio_2]]-EH$2)</f>
        <v>1.0213178294573644</v>
      </c>
      <c r="ES20" s="1">
        <f>1+(Table1[[#This Row],[error_ratio_3]]-EI$2)</f>
        <v>0.99405940594059405</v>
      </c>
      <c r="ET20" s="1">
        <f>1+(Table1[[#This Row],[error_ratio_4]]-EJ$2)</f>
        <v>0.91547861507128314</v>
      </c>
      <c r="EU20" s="1">
        <f>1+(Table1[[#This Row],[error_ratio_5]]-EK$2)</f>
        <v>1.0134529147982063</v>
      </c>
      <c r="EV20" s="1">
        <f>1+(Table1[[#This Row],[error_ratio_6]]-EL$2)</f>
        <v>1.0219206680584552</v>
      </c>
      <c r="EW20" s="1">
        <f>1+(Table1[[#This Row],[error_ratio_7]]-EM$2)</f>
        <v>1.0038910505836576</v>
      </c>
      <c r="EX20" s="1">
        <f>1+(Table1[[#This Row],[error_ratio_8]]-EN$2)</f>
        <v>1.0030800821355237</v>
      </c>
      <c r="EY20" s="1">
        <f>1+(Table1[[#This Row],[error_ratio_9]]-EO$2)</f>
        <v>1.0406342913776017</v>
      </c>
    </row>
    <row r="21" spans="1:155" x14ac:dyDescent="0.75">
      <c r="A21">
        <v>10</v>
      </c>
      <c r="B21">
        <v>10</v>
      </c>
      <c r="C21">
        <v>100</v>
      </c>
      <c r="D21">
        <v>100</v>
      </c>
      <c r="E21">
        <v>10</v>
      </c>
      <c r="F21">
        <v>100</v>
      </c>
      <c r="G21">
        <v>100</v>
      </c>
      <c r="H21">
        <v>100</v>
      </c>
      <c r="I21">
        <v>100</v>
      </c>
      <c r="J21">
        <v>100</v>
      </c>
      <c r="K21">
        <v>970</v>
      </c>
      <c r="L21">
        <v>1121</v>
      </c>
      <c r="M21">
        <v>1069</v>
      </c>
      <c r="N21">
        <v>1010</v>
      </c>
      <c r="O21">
        <v>962</v>
      </c>
      <c r="P21">
        <v>890</v>
      </c>
      <c r="Q21">
        <v>960</v>
      </c>
      <c r="R21">
        <v>1017</v>
      </c>
      <c r="S21">
        <v>997</v>
      </c>
      <c r="T21">
        <v>1004</v>
      </c>
      <c r="U21">
        <v>980</v>
      </c>
      <c r="V21">
        <v>1135</v>
      </c>
      <c r="W21">
        <v>1032</v>
      </c>
      <c r="X21">
        <v>1010</v>
      </c>
      <c r="Y21">
        <v>982</v>
      </c>
      <c r="Z21">
        <v>892</v>
      </c>
      <c r="AA21">
        <v>958</v>
      </c>
      <c r="AB21">
        <v>1028</v>
      </c>
      <c r="AC21">
        <v>974</v>
      </c>
      <c r="AD21">
        <v>1009</v>
      </c>
      <c r="AE21">
        <v>962</v>
      </c>
      <c r="AF21">
        <v>0</v>
      </c>
      <c r="AG21">
        <v>2</v>
      </c>
      <c r="AH21">
        <v>0</v>
      </c>
      <c r="AI21">
        <v>0</v>
      </c>
      <c r="AJ21">
        <v>0</v>
      </c>
      <c r="AK21">
        <v>6</v>
      </c>
      <c r="AL21">
        <v>4</v>
      </c>
      <c r="AM21">
        <v>5</v>
      </c>
      <c r="AN21">
        <v>1</v>
      </c>
      <c r="AO21">
        <v>0</v>
      </c>
      <c r="AP21">
        <v>1116</v>
      </c>
      <c r="AQ21">
        <v>5</v>
      </c>
      <c r="AR21">
        <v>3</v>
      </c>
      <c r="AS21">
        <v>0</v>
      </c>
      <c r="AT21">
        <v>2</v>
      </c>
      <c r="AU21">
        <v>2</v>
      </c>
      <c r="AV21">
        <v>1</v>
      </c>
      <c r="AW21">
        <v>5</v>
      </c>
      <c r="AX21">
        <v>1</v>
      </c>
      <c r="AY21">
        <v>1</v>
      </c>
      <c r="AZ21">
        <v>0</v>
      </c>
      <c r="BA21">
        <v>1027</v>
      </c>
      <c r="BB21">
        <v>0</v>
      </c>
      <c r="BC21">
        <v>0</v>
      </c>
      <c r="BD21">
        <v>0</v>
      </c>
      <c r="BE21">
        <v>0</v>
      </c>
      <c r="BF21">
        <v>1</v>
      </c>
      <c r="BG21">
        <v>3</v>
      </c>
      <c r="BH21">
        <v>0</v>
      </c>
      <c r="BI21">
        <v>0</v>
      </c>
      <c r="BJ21">
        <v>0</v>
      </c>
      <c r="BK21">
        <v>6</v>
      </c>
      <c r="BL21">
        <v>998</v>
      </c>
      <c r="BM21">
        <v>0</v>
      </c>
      <c r="BN21">
        <v>4</v>
      </c>
      <c r="BO21">
        <v>0</v>
      </c>
      <c r="BP21">
        <v>1</v>
      </c>
      <c r="BQ21">
        <v>1</v>
      </c>
      <c r="BR21">
        <v>0</v>
      </c>
      <c r="BS21">
        <v>0</v>
      </c>
      <c r="BT21">
        <v>1</v>
      </c>
      <c r="BU21">
        <v>3</v>
      </c>
      <c r="BV21">
        <v>0</v>
      </c>
      <c r="BW21">
        <v>958</v>
      </c>
      <c r="BX21">
        <v>0</v>
      </c>
      <c r="BY21">
        <v>1</v>
      </c>
      <c r="BZ21">
        <v>3</v>
      </c>
      <c r="CA21">
        <v>6</v>
      </c>
      <c r="CB21">
        <v>10</v>
      </c>
      <c r="CC21">
        <v>2</v>
      </c>
      <c r="CD21">
        <v>0</v>
      </c>
      <c r="CE21">
        <v>1</v>
      </c>
      <c r="CF21">
        <v>5</v>
      </c>
      <c r="CG21">
        <v>0</v>
      </c>
      <c r="CH21">
        <v>875</v>
      </c>
      <c r="CI21">
        <v>6</v>
      </c>
      <c r="CJ21">
        <v>1</v>
      </c>
      <c r="CK21">
        <v>2</v>
      </c>
      <c r="CL21">
        <v>0</v>
      </c>
      <c r="CM21">
        <v>3</v>
      </c>
      <c r="CN21">
        <v>2</v>
      </c>
      <c r="CO21">
        <v>1</v>
      </c>
      <c r="CP21">
        <v>1</v>
      </c>
      <c r="CQ21">
        <v>3</v>
      </c>
      <c r="CR21">
        <v>3</v>
      </c>
      <c r="CS21">
        <v>944</v>
      </c>
      <c r="CT21">
        <v>0</v>
      </c>
      <c r="CU21">
        <v>1</v>
      </c>
      <c r="CV21">
        <v>0</v>
      </c>
      <c r="CW21">
        <v>0</v>
      </c>
      <c r="CX21">
        <v>2</v>
      </c>
      <c r="CY21">
        <v>18</v>
      </c>
      <c r="CZ21">
        <v>0</v>
      </c>
      <c r="DA21">
        <v>0</v>
      </c>
      <c r="DB21">
        <v>0</v>
      </c>
      <c r="DC21">
        <v>0</v>
      </c>
      <c r="DD21">
        <v>1003</v>
      </c>
      <c r="DE21">
        <v>3</v>
      </c>
      <c r="DF21">
        <v>2</v>
      </c>
      <c r="DG21">
        <v>0</v>
      </c>
      <c r="DH21">
        <v>0</v>
      </c>
      <c r="DI21">
        <v>3</v>
      </c>
      <c r="DJ21">
        <v>1</v>
      </c>
      <c r="DK21">
        <v>0</v>
      </c>
      <c r="DL21">
        <v>1</v>
      </c>
      <c r="DM21">
        <v>1</v>
      </c>
      <c r="DN21">
        <v>1</v>
      </c>
      <c r="DO21">
        <v>966</v>
      </c>
      <c r="DP21">
        <v>1</v>
      </c>
      <c r="DQ21">
        <v>2</v>
      </c>
      <c r="DR21">
        <v>0</v>
      </c>
      <c r="DS21">
        <v>3</v>
      </c>
      <c r="DT21">
        <v>2</v>
      </c>
      <c r="DU21">
        <v>1</v>
      </c>
      <c r="DV21">
        <v>5</v>
      </c>
      <c r="DW21">
        <v>0</v>
      </c>
      <c r="DX21">
        <v>2</v>
      </c>
      <c r="DY21">
        <v>5</v>
      </c>
      <c r="DZ21">
        <v>989</v>
      </c>
      <c r="EA21">
        <v>0.98380000000000001</v>
      </c>
      <c r="EB21">
        <v>0.98386439300483497</v>
      </c>
      <c r="EC21">
        <v>0.98377001983336998</v>
      </c>
      <c r="ED21">
        <v>0.98375301448895403</v>
      </c>
      <c r="EE21">
        <f>SUM(Table1[[#This Row],[ratio_0]:[ratio_9]])</f>
        <v>730</v>
      </c>
      <c r="EF21" s="1">
        <f>(Table1[[#This Row],[predicted_0]]-Table1[[#This Row],[actual_0]])/Table1[[#This Row],[actual_0]]</f>
        <v>-1.020408163265306E-2</v>
      </c>
      <c r="EG21" s="1">
        <f>(Table1[[#This Row],[predicted_1]]-Table1[[#This Row],[actual_1]])/Table1[[#This Row],[actual_1]]</f>
        <v>-1.2334801762114538E-2</v>
      </c>
      <c r="EH21" s="1">
        <f>(Table1[[#This Row],[predicted_2]]-Table1[[#This Row],[actual_2]])/Table1[[#This Row],[actual_2]]</f>
        <v>3.5852713178294575E-2</v>
      </c>
      <c r="EI21" s="1">
        <f>(Table1[[#This Row],[predicted_3]]-Table1[[#This Row],[actual_3]])/Table1[[#This Row],[actual_3]]</f>
        <v>0</v>
      </c>
      <c r="EJ21" s="1">
        <f>(Table1[[#This Row],[predicted_4]]-Table1[[#This Row],[actual_4]])/Table1[[#This Row],[actual_4]]</f>
        <v>-2.0366598778004074E-2</v>
      </c>
      <c r="EK21" s="1">
        <f>(Table1[[#This Row],[predicted_5]]-Table1[[#This Row],[actual_5]])/Table1[[#This Row],[actual_5]]</f>
        <v>-2.242152466367713E-3</v>
      </c>
      <c r="EL21" s="1">
        <f>(Table1[[#This Row],[predicted_6]]-Table1[[#This Row],[actual_6]])/Table1[[#This Row],[actual_6]]</f>
        <v>2.0876826722338203E-3</v>
      </c>
      <c r="EM21" s="1">
        <f>(Table1[[#This Row],[predicted_7]]-Table1[[#This Row],[actual_7]])/Table1[[#This Row],[actual_7]]</f>
        <v>-1.0700389105058366E-2</v>
      </c>
      <c r="EN21" s="1">
        <f>(Table1[[#This Row],[predicted_8]]-Table1[[#This Row],[actual_8]])/Table1[[#This Row],[actual_8]]</f>
        <v>2.3613963039014373E-2</v>
      </c>
      <c r="EO21" s="1">
        <f>(Table1[[#This Row],[predicted_9]]-Table1[[#This Row],[actual_9]])/Table1[[#This Row],[actual_9]]</f>
        <v>-4.9554013875123884E-3</v>
      </c>
      <c r="EP21" s="1">
        <f>1+(Table1[[#This Row],[error_ratio_0]]-EF$2)</f>
        <v>0.98775510204081629</v>
      </c>
      <c r="EQ21" s="1">
        <f>1+(Table1[[#This Row],[error_ratio_1]]-EG$2)</f>
        <v>0.98590308370044055</v>
      </c>
      <c r="ER21" s="1">
        <f>1+(Table1[[#This Row],[error_ratio_2]]-EH$2)</f>
        <v>1.0406976744186047</v>
      </c>
      <c r="ES21" s="1">
        <f>1+(Table1[[#This Row],[error_ratio_3]]-EI$2)</f>
        <v>0.99009900990099009</v>
      </c>
      <c r="ET21" s="1">
        <f>1+(Table1[[#This Row],[error_ratio_4]]-EJ$2)</f>
        <v>0.97861507128309577</v>
      </c>
      <c r="EU21" s="1">
        <f>1+(Table1[[#This Row],[error_ratio_5]]-EK$2)</f>
        <v>0.99663677130044848</v>
      </c>
      <c r="EV21" s="1">
        <f>1+(Table1[[#This Row],[error_ratio_6]]-EL$2)</f>
        <v>1.0083507306889352</v>
      </c>
      <c r="EW21" s="1">
        <f>1+(Table1[[#This Row],[error_ratio_7]]-EM$2)</f>
        <v>0.98735408560311289</v>
      </c>
      <c r="EX21" s="1">
        <f>1+(Table1[[#This Row],[error_ratio_8]]-EN$2)</f>
        <v>1.0266940451745379</v>
      </c>
      <c r="EY21" s="1">
        <f>1+(Table1[[#This Row],[error_ratio_9]]-EO$2)</f>
        <v>0.9990089197224975</v>
      </c>
    </row>
    <row r="22" spans="1:155" x14ac:dyDescent="0.75">
      <c r="A22">
        <v>100</v>
      </c>
      <c r="B22">
        <v>100</v>
      </c>
      <c r="C22">
        <v>10</v>
      </c>
      <c r="D22">
        <v>100</v>
      </c>
      <c r="E22">
        <v>10</v>
      </c>
      <c r="F22">
        <v>100</v>
      </c>
      <c r="G22">
        <v>100</v>
      </c>
      <c r="H22">
        <v>100</v>
      </c>
      <c r="I22">
        <v>100</v>
      </c>
      <c r="J22">
        <v>100</v>
      </c>
      <c r="K22">
        <v>994</v>
      </c>
      <c r="L22">
        <v>1147</v>
      </c>
      <c r="M22">
        <v>963</v>
      </c>
      <c r="N22">
        <v>1038</v>
      </c>
      <c r="O22">
        <v>912</v>
      </c>
      <c r="P22">
        <v>884</v>
      </c>
      <c r="Q22">
        <v>963</v>
      </c>
      <c r="R22">
        <v>1059</v>
      </c>
      <c r="S22">
        <v>993</v>
      </c>
      <c r="T22">
        <v>1047</v>
      </c>
      <c r="U22">
        <v>980</v>
      </c>
      <c r="V22">
        <v>1135</v>
      </c>
      <c r="W22">
        <v>1032</v>
      </c>
      <c r="X22">
        <v>1010</v>
      </c>
      <c r="Y22">
        <v>982</v>
      </c>
      <c r="Z22">
        <v>892</v>
      </c>
      <c r="AA22">
        <v>958</v>
      </c>
      <c r="AB22">
        <v>1028</v>
      </c>
      <c r="AC22">
        <v>974</v>
      </c>
      <c r="AD22">
        <v>1009</v>
      </c>
      <c r="AE22">
        <v>973</v>
      </c>
      <c r="AF22">
        <v>0</v>
      </c>
      <c r="AG22">
        <v>0</v>
      </c>
      <c r="AH22">
        <v>1</v>
      </c>
      <c r="AI22">
        <v>0</v>
      </c>
      <c r="AJ22">
        <v>0</v>
      </c>
      <c r="AK22">
        <v>1</v>
      </c>
      <c r="AL22">
        <v>4</v>
      </c>
      <c r="AM22">
        <v>1</v>
      </c>
      <c r="AN22">
        <v>0</v>
      </c>
      <c r="AO22">
        <v>0</v>
      </c>
      <c r="AP22">
        <v>1128</v>
      </c>
      <c r="AQ22">
        <v>0</v>
      </c>
      <c r="AR22">
        <v>2</v>
      </c>
      <c r="AS22">
        <v>0</v>
      </c>
      <c r="AT22">
        <v>1</v>
      </c>
      <c r="AU22">
        <v>1</v>
      </c>
      <c r="AV22">
        <v>2</v>
      </c>
      <c r="AW22">
        <v>1</v>
      </c>
      <c r="AX22">
        <v>0</v>
      </c>
      <c r="AY22">
        <v>6</v>
      </c>
      <c r="AZ22">
        <v>9</v>
      </c>
      <c r="BA22">
        <v>961</v>
      </c>
      <c r="BB22">
        <v>14</v>
      </c>
      <c r="BC22">
        <v>3</v>
      </c>
      <c r="BD22">
        <v>0</v>
      </c>
      <c r="BE22">
        <v>3</v>
      </c>
      <c r="BF22">
        <v>26</v>
      </c>
      <c r="BG22">
        <v>10</v>
      </c>
      <c r="BH22">
        <v>0</v>
      </c>
      <c r="BI22">
        <v>0</v>
      </c>
      <c r="BJ22">
        <v>0</v>
      </c>
      <c r="BK22">
        <v>0</v>
      </c>
      <c r="BL22">
        <v>1003</v>
      </c>
      <c r="BM22">
        <v>0</v>
      </c>
      <c r="BN22">
        <v>3</v>
      </c>
      <c r="BO22">
        <v>0</v>
      </c>
      <c r="BP22">
        <v>2</v>
      </c>
      <c r="BQ22">
        <v>2</v>
      </c>
      <c r="BR22">
        <v>0</v>
      </c>
      <c r="BS22">
        <v>4</v>
      </c>
      <c r="BT22">
        <v>3</v>
      </c>
      <c r="BU22">
        <v>0</v>
      </c>
      <c r="BV22">
        <v>1</v>
      </c>
      <c r="BW22">
        <v>907</v>
      </c>
      <c r="BX22">
        <v>0</v>
      </c>
      <c r="BY22">
        <v>12</v>
      </c>
      <c r="BZ22">
        <v>2</v>
      </c>
      <c r="CA22">
        <v>6</v>
      </c>
      <c r="CB22">
        <v>47</v>
      </c>
      <c r="CC22">
        <v>2</v>
      </c>
      <c r="CD22">
        <v>0</v>
      </c>
      <c r="CE22">
        <v>0</v>
      </c>
      <c r="CF22">
        <v>7</v>
      </c>
      <c r="CG22">
        <v>0</v>
      </c>
      <c r="CH22">
        <v>878</v>
      </c>
      <c r="CI22">
        <v>1</v>
      </c>
      <c r="CJ22">
        <v>0</v>
      </c>
      <c r="CK22">
        <v>3</v>
      </c>
      <c r="CL22">
        <v>1</v>
      </c>
      <c r="CM22">
        <v>6</v>
      </c>
      <c r="CN22">
        <v>2</v>
      </c>
      <c r="CO22">
        <v>0</v>
      </c>
      <c r="CP22">
        <v>0</v>
      </c>
      <c r="CQ22">
        <v>1</v>
      </c>
      <c r="CR22">
        <v>1</v>
      </c>
      <c r="CS22">
        <v>945</v>
      </c>
      <c r="CT22">
        <v>0</v>
      </c>
      <c r="CU22">
        <v>3</v>
      </c>
      <c r="CV22">
        <v>0</v>
      </c>
      <c r="CW22">
        <v>0</v>
      </c>
      <c r="CX22">
        <v>2</v>
      </c>
      <c r="CY22">
        <v>2</v>
      </c>
      <c r="CZ22">
        <v>4</v>
      </c>
      <c r="DA22">
        <v>0</v>
      </c>
      <c r="DB22">
        <v>0</v>
      </c>
      <c r="DC22">
        <v>0</v>
      </c>
      <c r="DD22">
        <v>1016</v>
      </c>
      <c r="DE22">
        <v>1</v>
      </c>
      <c r="DF22">
        <v>3</v>
      </c>
      <c r="DG22">
        <v>1</v>
      </c>
      <c r="DH22">
        <v>0</v>
      </c>
      <c r="DI22">
        <v>0</v>
      </c>
      <c r="DJ22">
        <v>1</v>
      </c>
      <c r="DK22">
        <v>0</v>
      </c>
      <c r="DL22">
        <v>0</v>
      </c>
      <c r="DM22">
        <v>0</v>
      </c>
      <c r="DN22">
        <v>4</v>
      </c>
      <c r="DO22">
        <v>966</v>
      </c>
      <c r="DP22">
        <v>2</v>
      </c>
      <c r="DQ22">
        <v>2</v>
      </c>
      <c r="DR22">
        <v>3</v>
      </c>
      <c r="DS22">
        <v>0</v>
      </c>
      <c r="DT22">
        <v>5</v>
      </c>
      <c r="DU22">
        <v>1</v>
      </c>
      <c r="DV22">
        <v>1</v>
      </c>
      <c r="DW22">
        <v>0</v>
      </c>
      <c r="DX22">
        <v>3</v>
      </c>
      <c r="DY22">
        <v>0</v>
      </c>
      <c r="DZ22">
        <v>994</v>
      </c>
      <c r="EA22">
        <v>0.97709999999999997</v>
      </c>
      <c r="EB22">
        <v>0.97771358817180198</v>
      </c>
      <c r="EC22">
        <v>0.97705679409678603</v>
      </c>
      <c r="ED22">
        <v>0.97704643172318195</v>
      </c>
      <c r="EE22">
        <f>SUM(Table1[[#This Row],[ratio_0]:[ratio_9]])</f>
        <v>820</v>
      </c>
      <c r="EF22" s="1">
        <f>(Table1[[#This Row],[predicted_0]]-Table1[[#This Row],[actual_0]])/Table1[[#This Row],[actual_0]]</f>
        <v>1.4285714285714285E-2</v>
      </c>
      <c r="EG22" s="1">
        <f>(Table1[[#This Row],[predicted_1]]-Table1[[#This Row],[actual_1]])/Table1[[#This Row],[actual_1]]</f>
        <v>1.0572687224669603E-2</v>
      </c>
      <c r="EH22" s="1">
        <f>(Table1[[#This Row],[predicted_2]]-Table1[[#This Row],[actual_2]])/Table1[[#This Row],[actual_2]]</f>
        <v>-6.6860465116279064E-2</v>
      </c>
      <c r="EI22" s="1">
        <f>(Table1[[#This Row],[predicted_3]]-Table1[[#This Row],[actual_3]])/Table1[[#This Row],[actual_3]]</f>
        <v>2.7722772277227723E-2</v>
      </c>
      <c r="EJ22" s="1">
        <f>(Table1[[#This Row],[predicted_4]]-Table1[[#This Row],[actual_4]])/Table1[[#This Row],[actual_4]]</f>
        <v>-7.128309572301425E-2</v>
      </c>
      <c r="EK22" s="1">
        <f>(Table1[[#This Row],[predicted_5]]-Table1[[#This Row],[actual_5]])/Table1[[#This Row],[actual_5]]</f>
        <v>-8.9686098654708519E-3</v>
      </c>
      <c r="EL22" s="1">
        <f>(Table1[[#This Row],[predicted_6]]-Table1[[#This Row],[actual_6]])/Table1[[#This Row],[actual_6]]</f>
        <v>5.2192066805845511E-3</v>
      </c>
      <c r="EM22" s="1">
        <f>(Table1[[#This Row],[predicted_7]]-Table1[[#This Row],[actual_7]])/Table1[[#This Row],[actual_7]]</f>
        <v>3.0155642023346304E-2</v>
      </c>
      <c r="EN22" s="1">
        <f>(Table1[[#This Row],[predicted_8]]-Table1[[#This Row],[actual_8]])/Table1[[#This Row],[actual_8]]</f>
        <v>1.9507186858316223E-2</v>
      </c>
      <c r="EO22" s="1">
        <f>(Table1[[#This Row],[predicted_9]]-Table1[[#This Row],[actual_9]])/Table1[[#This Row],[actual_9]]</f>
        <v>3.7661050545094152E-2</v>
      </c>
      <c r="EP22" s="1">
        <f>1+(Table1[[#This Row],[error_ratio_0]]-EF$2)</f>
        <v>1.0122448979591836</v>
      </c>
      <c r="EQ22" s="1">
        <f>1+(Table1[[#This Row],[error_ratio_1]]-EG$2)</f>
        <v>1.0088105726872247</v>
      </c>
      <c r="ER22" s="1">
        <f>1+(Table1[[#This Row],[error_ratio_2]]-EH$2)</f>
        <v>0.93798449612403101</v>
      </c>
      <c r="ES22" s="1">
        <f>1+(Table1[[#This Row],[error_ratio_3]]-EI$2)</f>
        <v>1.0178217821782178</v>
      </c>
      <c r="ET22" s="1">
        <f>1+(Table1[[#This Row],[error_ratio_4]]-EJ$2)</f>
        <v>0.92769857433808556</v>
      </c>
      <c r="EU22" s="1">
        <f>1+(Table1[[#This Row],[error_ratio_5]]-EK$2)</f>
        <v>0.98991031390134532</v>
      </c>
      <c r="EV22" s="1">
        <f>1+(Table1[[#This Row],[error_ratio_6]]-EL$2)</f>
        <v>1.0114822546972859</v>
      </c>
      <c r="EW22" s="1">
        <f>1+(Table1[[#This Row],[error_ratio_7]]-EM$2)</f>
        <v>1.0282101167315174</v>
      </c>
      <c r="EX22" s="1">
        <f>1+(Table1[[#This Row],[error_ratio_8]]-EN$2)</f>
        <v>1.0225872689938398</v>
      </c>
      <c r="EY22" s="1">
        <f>1+(Table1[[#This Row],[error_ratio_9]]-EO$2)</f>
        <v>1.041625371655104</v>
      </c>
    </row>
    <row r="23" spans="1:155" x14ac:dyDescent="0.75">
      <c r="A23">
        <v>10</v>
      </c>
      <c r="B23">
        <v>100</v>
      </c>
      <c r="C23">
        <v>10</v>
      </c>
      <c r="D23">
        <v>100</v>
      </c>
      <c r="E23">
        <v>10</v>
      </c>
      <c r="F23">
        <v>100</v>
      </c>
      <c r="G23">
        <v>100</v>
      </c>
      <c r="H23">
        <v>100</v>
      </c>
      <c r="I23">
        <v>100</v>
      </c>
      <c r="J23">
        <v>100</v>
      </c>
      <c r="K23">
        <v>894</v>
      </c>
      <c r="L23">
        <v>1129</v>
      </c>
      <c r="M23">
        <v>990</v>
      </c>
      <c r="N23">
        <v>1020</v>
      </c>
      <c r="O23">
        <v>938</v>
      </c>
      <c r="P23">
        <v>938</v>
      </c>
      <c r="Q23">
        <v>986</v>
      </c>
      <c r="R23">
        <v>1074</v>
      </c>
      <c r="S23">
        <v>997</v>
      </c>
      <c r="T23">
        <v>1034</v>
      </c>
      <c r="U23">
        <v>980</v>
      </c>
      <c r="V23">
        <v>1135</v>
      </c>
      <c r="W23">
        <v>1032</v>
      </c>
      <c r="X23">
        <v>1010</v>
      </c>
      <c r="Y23">
        <v>982</v>
      </c>
      <c r="Z23">
        <v>892</v>
      </c>
      <c r="AA23">
        <v>958</v>
      </c>
      <c r="AB23">
        <v>1028</v>
      </c>
      <c r="AC23">
        <v>974</v>
      </c>
      <c r="AD23">
        <v>1009</v>
      </c>
      <c r="AE23">
        <v>893</v>
      </c>
      <c r="AF23">
        <v>0</v>
      </c>
      <c r="AG23">
        <v>4</v>
      </c>
      <c r="AH23">
        <v>1</v>
      </c>
      <c r="AI23">
        <v>1</v>
      </c>
      <c r="AJ23">
        <v>14</v>
      </c>
      <c r="AK23">
        <v>29</v>
      </c>
      <c r="AL23">
        <v>19</v>
      </c>
      <c r="AM23">
        <v>9</v>
      </c>
      <c r="AN23">
        <v>10</v>
      </c>
      <c r="AO23">
        <v>0</v>
      </c>
      <c r="AP23">
        <v>1118</v>
      </c>
      <c r="AQ23">
        <v>0</v>
      </c>
      <c r="AR23">
        <v>2</v>
      </c>
      <c r="AS23">
        <v>0</v>
      </c>
      <c r="AT23">
        <v>3</v>
      </c>
      <c r="AU23">
        <v>3</v>
      </c>
      <c r="AV23">
        <v>1</v>
      </c>
      <c r="AW23">
        <v>8</v>
      </c>
      <c r="AX23">
        <v>0</v>
      </c>
      <c r="AY23">
        <v>1</v>
      </c>
      <c r="AZ23">
        <v>8</v>
      </c>
      <c r="BA23">
        <v>979</v>
      </c>
      <c r="BB23">
        <v>13</v>
      </c>
      <c r="BC23">
        <v>1</v>
      </c>
      <c r="BD23">
        <v>2</v>
      </c>
      <c r="BE23">
        <v>2</v>
      </c>
      <c r="BF23">
        <v>16</v>
      </c>
      <c r="BG23">
        <v>10</v>
      </c>
      <c r="BH23">
        <v>0</v>
      </c>
      <c r="BI23">
        <v>0</v>
      </c>
      <c r="BJ23">
        <v>0</v>
      </c>
      <c r="BK23">
        <v>0</v>
      </c>
      <c r="BL23">
        <v>996</v>
      </c>
      <c r="BM23">
        <v>0</v>
      </c>
      <c r="BN23">
        <v>9</v>
      </c>
      <c r="BO23">
        <v>0</v>
      </c>
      <c r="BP23">
        <v>3</v>
      </c>
      <c r="BQ23">
        <v>1</v>
      </c>
      <c r="BR23">
        <v>1</v>
      </c>
      <c r="BS23">
        <v>0</v>
      </c>
      <c r="BT23">
        <v>0</v>
      </c>
      <c r="BU23">
        <v>2</v>
      </c>
      <c r="BV23">
        <v>0</v>
      </c>
      <c r="BW23">
        <v>933</v>
      </c>
      <c r="BX23">
        <v>1</v>
      </c>
      <c r="BY23">
        <v>8</v>
      </c>
      <c r="BZ23">
        <v>5</v>
      </c>
      <c r="CA23">
        <v>4</v>
      </c>
      <c r="CB23">
        <v>29</v>
      </c>
      <c r="CC23">
        <v>0</v>
      </c>
      <c r="CD23">
        <v>0</v>
      </c>
      <c r="CE23">
        <v>0</v>
      </c>
      <c r="CF23">
        <v>2</v>
      </c>
      <c r="CG23">
        <v>0</v>
      </c>
      <c r="CH23">
        <v>886</v>
      </c>
      <c r="CI23">
        <v>0</v>
      </c>
      <c r="CJ23">
        <v>1</v>
      </c>
      <c r="CK23">
        <v>1</v>
      </c>
      <c r="CL23">
        <v>2</v>
      </c>
      <c r="CM23">
        <v>0</v>
      </c>
      <c r="CN23">
        <v>1</v>
      </c>
      <c r="CO23">
        <v>0</v>
      </c>
      <c r="CP23">
        <v>0</v>
      </c>
      <c r="CQ23">
        <v>1</v>
      </c>
      <c r="CR23">
        <v>12</v>
      </c>
      <c r="CS23">
        <v>942</v>
      </c>
      <c r="CT23">
        <v>0</v>
      </c>
      <c r="CU23">
        <v>2</v>
      </c>
      <c r="CV23">
        <v>0</v>
      </c>
      <c r="CW23">
        <v>0</v>
      </c>
      <c r="CX23">
        <v>2</v>
      </c>
      <c r="CY23">
        <v>4</v>
      </c>
      <c r="CZ23">
        <v>2</v>
      </c>
      <c r="DA23">
        <v>0</v>
      </c>
      <c r="DB23">
        <v>0</v>
      </c>
      <c r="DC23">
        <v>0</v>
      </c>
      <c r="DD23">
        <v>1017</v>
      </c>
      <c r="DE23">
        <v>1</v>
      </c>
      <c r="DF23">
        <v>2</v>
      </c>
      <c r="DG23">
        <v>0</v>
      </c>
      <c r="DH23">
        <v>0</v>
      </c>
      <c r="DI23">
        <v>0</v>
      </c>
      <c r="DJ23">
        <v>2</v>
      </c>
      <c r="DK23">
        <v>0</v>
      </c>
      <c r="DL23">
        <v>6</v>
      </c>
      <c r="DM23">
        <v>2</v>
      </c>
      <c r="DN23">
        <v>2</v>
      </c>
      <c r="DO23">
        <v>958</v>
      </c>
      <c r="DP23">
        <v>4</v>
      </c>
      <c r="DQ23">
        <v>0</v>
      </c>
      <c r="DR23">
        <v>0</v>
      </c>
      <c r="DS23">
        <v>1</v>
      </c>
      <c r="DT23">
        <v>2</v>
      </c>
      <c r="DU23">
        <v>2</v>
      </c>
      <c r="DV23">
        <v>5</v>
      </c>
      <c r="DW23">
        <v>0</v>
      </c>
      <c r="DX23">
        <v>10</v>
      </c>
      <c r="DY23">
        <v>3</v>
      </c>
      <c r="DZ23">
        <v>986</v>
      </c>
      <c r="EA23">
        <v>0.9708</v>
      </c>
      <c r="EB23">
        <v>0.971049379510729</v>
      </c>
      <c r="EC23">
        <v>0.97077801149482401</v>
      </c>
      <c r="ED23">
        <v>0.97046123285810204</v>
      </c>
      <c r="EE23">
        <f>SUM(Table1[[#This Row],[ratio_0]:[ratio_9]])</f>
        <v>730</v>
      </c>
      <c r="EF23" s="1">
        <f>(Table1[[#This Row],[predicted_0]]-Table1[[#This Row],[actual_0]])/Table1[[#This Row],[actual_0]]</f>
        <v>-8.7755102040816324E-2</v>
      </c>
      <c r="EG23" s="1">
        <f>(Table1[[#This Row],[predicted_1]]-Table1[[#This Row],[actual_1]])/Table1[[#This Row],[actual_1]]</f>
        <v>-5.2863436123348016E-3</v>
      </c>
      <c r="EH23" s="1">
        <f>(Table1[[#This Row],[predicted_2]]-Table1[[#This Row],[actual_2]])/Table1[[#This Row],[actual_2]]</f>
        <v>-4.0697674418604654E-2</v>
      </c>
      <c r="EI23" s="1">
        <f>(Table1[[#This Row],[predicted_3]]-Table1[[#This Row],[actual_3]])/Table1[[#This Row],[actual_3]]</f>
        <v>9.9009900990099011E-3</v>
      </c>
      <c r="EJ23" s="1">
        <f>(Table1[[#This Row],[predicted_4]]-Table1[[#This Row],[actual_4]])/Table1[[#This Row],[actual_4]]</f>
        <v>-4.4806517311608958E-2</v>
      </c>
      <c r="EK23" s="1">
        <f>(Table1[[#This Row],[predicted_5]]-Table1[[#This Row],[actual_5]])/Table1[[#This Row],[actual_5]]</f>
        <v>5.1569506726457402E-2</v>
      </c>
      <c r="EL23" s="1">
        <f>(Table1[[#This Row],[predicted_6]]-Table1[[#This Row],[actual_6]])/Table1[[#This Row],[actual_6]]</f>
        <v>2.9227557411273485E-2</v>
      </c>
      <c r="EM23" s="1">
        <f>(Table1[[#This Row],[predicted_7]]-Table1[[#This Row],[actual_7]])/Table1[[#This Row],[actual_7]]</f>
        <v>4.4747081712062257E-2</v>
      </c>
      <c r="EN23" s="1">
        <f>(Table1[[#This Row],[predicted_8]]-Table1[[#This Row],[actual_8]])/Table1[[#This Row],[actual_8]]</f>
        <v>2.3613963039014373E-2</v>
      </c>
      <c r="EO23" s="1">
        <f>(Table1[[#This Row],[predicted_9]]-Table1[[#This Row],[actual_9]])/Table1[[#This Row],[actual_9]]</f>
        <v>2.4777006937561942E-2</v>
      </c>
      <c r="EP23" s="1">
        <f>1+(Table1[[#This Row],[error_ratio_0]]-EF$2)</f>
        <v>0.91020408163265309</v>
      </c>
      <c r="EQ23" s="1">
        <f>1+(Table1[[#This Row],[error_ratio_1]]-EG$2)</f>
        <v>0.99295154185022028</v>
      </c>
      <c r="ER23" s="1">
        <f>1+(Table1[[#This Row],[error_ratio_2]]-EH$2)</f>
        <v>0.96414728682170547</v>
      </c>
      <c r="ES23" s="1">
        <f>1+(Table1[[#This Row],[error_ratio_3]]-EI$2)</f>
        <v>1</v>
      </c>
      <c r="ET23" s="1">
        <f>1+(Table1[[#This Row],[error_ratio_4]]-EJ$2)</f>
        <v>0.95417515274949083</v>
      </c>
      <c r="EU23" s="1">
        <f>1+(Table1[[#This Row],[error_ratio_5]]-EK$2)</f>
        <v>1.0504484304932735</v>
      </c>
      <c r="EV23" s="1">
        <f>1+(Table1[[#This Row],[error_ratio_6]]-EL$2)</f>
        <v>1.0354906054279749</v>
      </c>
      <c r="EW23" s="1">
        <f>1+(Table1[[#This Row],[error_ratio_7]]-EM$2)</f>
        <v>1.0428015564202335</v>
      </c>
      <c r="EX23" s="1">
        <f>1+(Table1[[#This Row],[error_ratio_8]]-EN$2)</f>
        <v>1.0266940451745379</v>
      </c>
      <c r="EY23" s="1">
        <f>1+(Table1[[#This Row],[error_ratio_9]]-EO$2)</f>
        <v>1.0287413280475719</v>
      </c>
    </row>
    <row r="24" spans="1:155" x14ac:dyDescent="0.75">
      <c r="A24">
        <v>100</v>
      </c>
      <c r="B24">
        <v>10</v>
      </c>
      <c r="C24">
        <v>10</v>
      </c>
      <c r="D24">
        <v>100</v>
      </c>
      <c r="E24">
        <v>10</v>
      </c>
      <c r="F24">
        <v>100</v>
      </c>
      <c r="G24">
        <v>100</v>
      </c>
      <c r="H24">
        <v>100</v>
      </c>
      <c r="I24">
        <v>100</v>
      </c>
      <c r="J24">
        <v>100</v>
      </c>
      <c r="K24">
        <v>999</v>
      </c>
      <c r="L24">
        <v>1013</v>
      </c>
      <c r="M24">
        <v>955</v>
      </c>
      <c r="N24">
        <v>1097</v>
      </c>
      <c r="O24">
        <v>897</v>
      </c>
      <c r="P24">
        <v>895</v>
      </c>
      <c r="Q24">
        <v>952</v>
      </c>
      <c r="R24">
        <v>1045</v>
      </c>
      <c r="S24">
        <v>1084</v>
      </c>
      <c r="T24">
        <v>1063</v>
      </c>
      <c r="U24">
        <v>980</v>
      </c>
      <c r="V24">
        <v>1135</v>
      </c>
      <c r="W24">
        <v>1032</v>
      </c>
      <c r="X24">
        <v>1010</v>
      </c>
      <c r="Y24">
        <v>982</v>
      </c>
      <c r="Z24">
        <v>892</v>
      </c>
      <c r="AA24">
        <v>958</v>
      </c>
      <c r="AB24">
        <v>1028</v>
      </c>
      <c r="AC24">
        <v>974</v>
      </c>
      <c r="AD24">
        <v>1009</v>
      </c>
      <c r="AE24">
        <v>975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1</v>
      </c>
      <c r="AL24">
        <v>1</v>
      </c>
      <c r="AM24">
        <v>3</v>
      </c>
      <c r="AN24">
        <v>0</v>
      </c>
      <c r="AO24">
        <v>0</v>
      </c>
      <c r="AP24">
        <v>1013</v>
      </c>
      <c r="AQ24">
        <v>1</v>
      </c>
      <c r="AR24">
        <v>19</v>
      </c>
      <c r="AS24">
        <v>0</v>
      </c>
      <c r="AT24">
        <v>2</v>
      </c>
      <c r="AU24">
        <v>3</v>
      </c>
      <c r="AV24">
        <v>22</v>
      </c>
      <c r="AW24">
        <v>75</v>
      </c>
      <c r="AX24">
        <v>0</v>
      </c>
      <c r="AY24">
        <v>8</v>
      </c>
      <c r="AZ24">
        <v>0</v>
      </c>
      <c r="BA24">
        <v>943</v>
      </c>
      <c r="BB24">
        <v>50</v>
      </c>
      <c r="BC24">
        <v>0</v>
      </c>
      <c r="BD24">
        <v>0</v>
      </c>
      <c r="BE24">
        <v>0</v>
      </c>
      <c r="BF24">
        <v>10</v>
      </c>
      <c r="BG24">
        <v>21</v>
      </c>
      <c r="BH24">
        <v>0</v>
      </c>
      <c r="BI24">
        <v>0</v>
      </c>
      <c r="BJ24">
        <v>0</v>
      </c>
      <c r="BK24">
        <v>0</v>
      </c>
      <c r="BL24">
        <v>1005</v>
      </c>
      <c r="BM24">
        <v>0</v>
      </c>
      <c r="BN24">
        <v>2</v>
      </c>
      <c r="BO24">
        <v>0</v>
      </c>
      <c r="BP24">
        <v>0</v>
      </c>
      <c r="BQ24">
        <v>2</v>
      </c>
      <c r="BR24">
        <v>1</v>
      </c>
      <c r="BS24">
        <v>3</v>
      </c>
      <c r="BT24">
        <v>0</v>
      </c>
      <c r="BU24">
        <v>4</v>
      </c>
      <c r="BV24">
        <v>1</v>
      </c>
      <c r="BW24">
        <v>896</v>
      </c>
      <c r="BX24">
        <v>0</v>
      </c>
      <c r="BY24">
        <v>7</v>
      </c>
      <c r="BZ24">
        <v>2</v>
      </c>
      <c r="CA24">
        <v>7</v>
      </c>
      <c r="CB24">
        <v>62</v>
      </c>
      <c r="CC24">
        <v>2</v>
      </c>
      <c r="CD24">
        <v>0</v>
      </c>
      <c r="CE24">
        <v>0</v>
      </c>
      <c r="CF24">
        <v>6</v>
      </c>
      <c r="CG24">
        <v>0</v>
      </c>
      <c r="CH24">
        <v>881</v>
      </c>
      <c r="CI24">
        <v>1</v>
      </c>
      <c r="CJ24">
        <v>0</v>
      </c>
      <c r="CK24">
        <v>2</v>
      </c>
      <c r="CL24">
        <v>0</v>
      </c>
      <c r="CM24">
        <v>6</v>
      </c>
      <c r="CN24">
        <v>0</v>
      </c>
      <c r="CO24">
        <v>1</v>
      </c>
      <c r="CP24">
        <v>1</v>
      </c>
      <c r="CQ24">
        <v>1</v>
      </c>
      <c r="CR24">
        <v>5</v>
      </c>
      <c r="CS24">
        <v>940</v>
      </c>
      <c r="CT24">
        <v>0</v>
      </c>
      <c r="CU24">
        <v>4</v>
      </c>
      <c r="CV24">
        <v>0</v>
      </c>
      <c r="CW24">
        <v>0</v>
      </c>
      <c r="CX24">
        <v>0</v>
      </c>
      <c r="CY24">
        <v>6</v>
      </c>
      <c r="CZ24">
        <v>10</v>
      </c>
      <c r="DA24">
        <v>0</v>
      </c>
      <c r="DB24">
        <v>1</v>
      </c>
      <c r="DC24">
        <v>0</v>
      </c>
      <c r="DD24">
        <v>1007</v>
      </c>
      <c r="DE24">
        <v>3</v>
      </c>
      <c r="DF24">
        <v>1</v>
      </c>
      <c r="DG24">
        <v>2</v>
      </c>
      <c r="DH24">
        <v>0</v>
      </c>
      <c r="DI24">
        <v>0</v>
      </c>
      <c r="DJ24">
        <v>1</v>
      </c>
      <c r="DK24">
        <v>0</v>
      </c>
      <c r="DL24">
        <v>1</v>
      </c>
      <c r="DM24">
        <v>0</v>
      </c>
      <c r="DN24">
        <v>1</v>
      </c>
      <c r="DO24">
        <v>966</v>
      </c>
      <c r="DP24">
        <v>3</v>
      </c>
      <c r="DQ24">
        <v>3</v>
      </c>
      <c r="DR24">
        <v>0</v>
      </c>
      <c r="DS24">
        <v>0</v>
      </c>
      <c r="DT24">
        <v>4</v>
      </c>
      <c r="DU24">
        <v>0</v>
      </c>
      <c r="DV24">
        <v>3</v>
      </c>
      <c r="DW24">
        <v>0</v>
      </c>
      <c r="DX24">
        <v>2</v>
      </c>
      <c r="DY24">
        <v>1</v>
      </c>
      <c r="DZ24">
        <v>996</v>
      </c>
      <c r="EA24">
        <v>0.96220000000000006</v>
      </c>
      <c r="EB24">
        <v>0.96419342293593602</v>
      </c>
      <c r="EC24">
        <v>0.96359951983788295</v>
      </c>
      <c r="ED24">
        <v>0.96273880434972403</v>
      </c>
      <c r="EE24">
        <f>SUM(Table1[[#This Row],[ratio_0]:[ratio_9]])</f>
        <v>730</v>
      </c>
      <c r="EF24" s="1">
        <f>(Table1[[#This Row],[predicted_0]]-Table1[[#This Row],[actual_0]])/Table1[[#This Row],[actual_0]]</f>
        <v>1.9387755102040816E-2</v>
      </c>
      <c r="EG24" s="1">
        <f>(Table1[[#This Row],[predicted_1]]-Table1[[#This Row],[actual_1]])/Table1[[#This Row],[actual_1]]</f>
        <v>-0.10748898678414097</v>
      </c>
      <c r="EH24" s="1">
        <f>(Table1[[#This Row],[predicted_2]]-Table1[[#This Row],[actual_2]])/Table1[[#This Row],[actual_2]]</f>
        <v>-7.4612403100775188E-2</v>
      </c>
      <c r="EI24" s="1">
        <f>(Table1[[#This Row],[predicted_3]]-Table1[[#This Row],[actual_3]])/Table1[[#This Row],[actual_3]]</f>
        <v>8.6138613861386132E-2</v>
      </c>
      <c r="EJ24" s="1">
        <f>(Table1[[#This Row],[predicted_4]]-Table1[[#This Row],[actual_4]])/Table1[[#This Row],[actual_4]]</f>
        <v>-8.6558044806517312E-2</v>
      </c>
      <c r="EK24" s="1">
        <f>(Table1[[#This Row],[predicted_5]]-Table1[[#This Row],[actual_5]])/Table1[[#This Row],[actual_5]]</f>
        <v>3.3632286995515697E-3</v>
      </c>
      <c r="EL24" s="1">
        <f>(Table1[[#This Row],[predicted_6]]-Table1[[#This Row],[actual_6]])/Table1[[#This Row],[actual_6]]</f>
        <v>-6.2630480167014616E-3</v>
      </c>
      <c r="EM24" s="1">
        <f>(Table1[[#This Row],[predicted_7]]-Table1[[#This Row],[actual_7]])/Table1[[#This Row],[actual_7]]</f>
        <v>1.6536964980544747E-2</v>
      </c>
      <c r="EN24" s="1">
        <f>(Table1[[#This Row],[predicted_8]]-Table1[[#This Row],[actual_8]])/Table1[[#This Row],[actual_8]]</f>
        <v>0.11293634496919917</v>
      </c>
      <c r="EO24" s="1">
        <f>(Table1[[#This Row],[predicted_9]]-Table1[[#This Row],[actual_9]])/Table1[[#This Row],[actual_9]]</f>
        <v>5.3518334985133795E-2</v>
      </c>
      <c r="EP24" s="1">
        <f>1+(Table1[[#This Row],[error_ratio_0]]-EF$2)</f>
        <v>1.0173469387755103</v>
      </c>
      <c r="EQ24" s="1">
        <f>1+(Table1[[#This Row],[error_ratio_1]]-EG$2)</f>
        <v>0.89074889867841411</v>
      </c>
      <c r="ER24" s="1">
        <f>1+(Table1[[#This Row],[error_ratio_2]]-EH$2)</f>
        <v>0.93023255813953487</v>
      </c>
      <c r="ES24" s="1">
        <f>1+(Table1[[#This Row],[error_ratio_3]]-EI$2)</f>
        <v>1.0762376237623763</v>
      </c>
      <c r="ET24" s="1">
        <f>1+(Table1[[#This Row],[error_ratio_4]]-EJ$2)</f>
        <v>0.91242362525458254</v>
      </c>
      <c r="EU24" s="1">
        <f>1+(Table1[[#This Row],[error_ratio_5]]-EK$2)</f>
        <v>1.0022421524663676</v>
      </c>
      <c r="EV24" s="1">
        <f>1+(Table1[[#This Row],[error_ratio_6]]-EL$2)</f>
        <v>1</v>
      </c>
      <c r="EW24" s="1">
        <f>1+(Table1[[#This Row],[error_ratio_7]]-EM$2)</f>
        <v>1.0145914396887159</v>
      </c>
      <c r="EX24" s="1">
        <f>1+(Table1[[#This Row],[error_ratio_8]]-EN$2)</f>
        <v>1.1160164271047228</v>
      </c>
      <c r="EY24" s="1">
        <f>1+(Table1[[#This Row],[error_ratio_9]]-EO$2)</f>
        <v>1.0574826560951438</v>
      </c>
    </row>
    <row r="25" spans="1:155" x14ac:dyDescent="0.75">
      <c r="A25">
        <v>10</v>
      </c>
      <c r="B25">
        <v>10</v>
      </c>
      <c r="C25">
        <v>10</v>
      </c>
      <c r="D25">
        <v>100</v>
      </c>
      <c r="E25">
        <v>10</v>
      </c>
      <c r="F25">
        <v>100</v>
      </c>
      <c r="G25">
        <v>100</v>
      </c>
      <c r="H25">
        <v>100</v>
      </c>
      <c r="I25">
        <v>100</v>
      </c>
      <c r="J25">
        <v>100</v>
      </c>
      <c r="K25">
        <v>931</v>
      </c>
      <c r="L25">
        <v>1130</v>
      </c>
      <c r="M25">
        <v>977</v>
      </c>
      <c r="N25">
        <v>1020</v>
      </c>
      <c r="O25">
        <v>937</v>
      </c>
      <c r="P25">
        <v>890</v>
      </c>
      <c r="Q25">
        <v>978</v>
      </c>
      <c r="R25">
        <v>1074</v>
      </c>
      <c r="S25">
        <v>985</v>
      </c>
      <c r="T25">
        <v>1078</v>
      </c>
      <c r="U25">
        <v>980</v>
      </c>
      <c r="V25">
        <v>1135</v>
      </c>
      <c r="W25">
        <v>1032</v>
      </c>
      <c r="X25">
        <v>1010</v>
      </c>
      <c r="Y25">
        <v>982</v>
      </c>
      <c r="Z25">
        <v>892</v>
      </c>
      <c r="AA25">
        <v>958</v>
      </c>
      <c r="AB25">
        <v>1028</v>
      </c>
      <c r="AC25">
        <v>974</v>
      </c>
      <c r="AD25">
        <v>1009</v>
      </c>
      <c r="AE25">
        <v>924</v>
      </c>
      <c r="AF25">
        <v>0</v>
      </c>
      <c r="AG25">
        <v>0</v>
      </c>
      <c r="AH25">
        <v>1</v>
      </c>
      <c r="AI25">
        <v>0</v>
      </c>
      <c r="AJ25">
        <v>1</v>
      </c>
      <c r="AK25">
        <v>15</v>
      </c>
      <c r="AL25">
        <v>7</v>
      </c>
      <c r="AM25">
        <v>2</v>
      </c>
      <c r="AN25">
        <v>30</v>
      </c>
      <c r="AO25">
        <v>0</v>
      </c>
      <c r="AP25">
        <v>1120</v>
      </c>
      <c r="AQ25">
        <v>3</v>
      </c>
      <c r="AR25">
        <v>4</v>
      </c>
      <c r="AS25">
        <v>0</v>
      </c>
      <c r="AT25">
        <v>1</v>
      </c>
      <c r="AU25">
        <v>2</v>
      </c>
      <c r="AV25">
        <v>3</v>
      </c>
      <c r="AW25">
        <v>2</v>
      </c>
      <c r="AX25">
        <v>0</v>
      </c>
      <c r="AY25">
        <v>1</v>
      </c>
      <c r="AZ25">
        <v>0</v>
      </c>
      <c r="BA25">
        <v>972</v>
      </c>
      <c r="BB25">
        <v>12</v>
      </c>
      <c r="BC25">
        <v>1</v>
      </c>
      <c r="BD25">
        <v>0</v>
      </c>
      <c r="BE25">
        <v>4</v>
      </c>
      <c r="BF25">
        <v>24</v>
      </c>
      <c r="BG25">
        <v>11</v>
      </c>
      <c r="BH25">
        <v>7</v>
      </c>
      <c r="BI25">
        <v>0</v>
      </c>
      <c r="BJ25">
        <v>0</v>
      </c>
      <c r="BK25">
        <v>1</v>
      </c>
      <c r="BL25">
        <v>997</v>
      </c>
      <c r="BM25">
        <v>0</v>
      </c>
      <c r="BN25">
        <v>3</v>
      </c>
      <c r="BO25">
        <v>0</v>
      </c>
      <c r="BP25">
        <v>2</v>
      </c>
      <c r="BQ25">
        <v>4</v>
      </c>
      <c r="BR25">
        <v>3</v>
      </c>
      <c r="BS25">
        <v>0</v>
      </c>
      <c r="BT25">
        <v>5</v>
      </c>
      <c r="BU25">
        <v>0</v>
      </c>
      <c r="BV25">
        <v>0</v>
      </c>
      <c r="BW25">
        <v>931</v>
      </c>
      <c r="BX25">
        <v>0</v>
      </c>
      <c r="BY25">
        <v>6</v>
      </c>
      <c r="BZ25">
        <v>3</v>
      </c>
      <c r="CA25">
        <v>2</v>
      </c>
      <c r="CB25">
        <v>35</v>
      </c>
      <c r="CC25">
        <v>0</v>
      </c>
      <c r="CD25">
        <v>0</v>
      </c>
      <c r="CE25">
        <v>0</v>
      </c>
      <c r="CF25">
        <v>6</v>
      </c>
      <c r="CG25">
        <v>0</v>
      </c>
      <c r="CH25">
        <v>881</v>
      </c>
      <c r="CI25">
        <v>2</v>
      </c>
      <c r="CJ25">
        <v>1</v>
      </c>
      <c r="CK25">
        <v>1</v>
      </c>
      <c r="CL25">
        <v>1</v>
      </c>
      <c r="CM25">
        <v>3</v>
      </c>
      <c r="CN25">
        <v>2</v>
      </c>
      <c r="CO25">
        <v>0</v>
      </c>
      <c r="CP25">
        <v>0</v>
      </c>
      <c r="CQ25">
        <v>3</v>
      </c>
      <c r="CR25">
        <v>2</v>
      </c>
      <c r="CS25">
        <v>948</v>
      </c>
      <c r="CT25">
        <v>0</v>
      </c>
      <c r="CU25">
        <v>0</v>
      </c>
      <c r="CV25">
        <v>0</v>
      </c>
      <c r="CW25">
        <v>0</v>
      </c>
      <c r="CX25">
        <v>2</v>
      </c>
      <c r="CY25">
        <v>1</v>
      </c>
      <c r="CZ25">
        <v>0</v>
      </c>
      <c r="DA25">
        <v>0</v>
      </c>
      <c r="DB25">
        <v>0</v>
      </c>
      <c r="DC25">
        <v>0</v>
      </c>
      <c r="DD25">
        <v>1022</v>
      </c>
      <c r="DE25">
        <v>2</v>
      </c>
      <c r="DF25">
        <v>1</v>
      </c>
      <c r="DG25">
        <v>3</v>
      </c>
      <c r="DH25">
        <v>0</v>
      </c>
      <c r="DI25">
        <v>0</v>
      </c>
      <c r="DJ25">
        <v>0</v>
      </c>
      <c r="DK25">
        <v>0</v>
      </c>
      <c r="DL25">
        <v>0</v>
      </c>
      <c r="DM25">
        <v>1</v>
      </c>
      <c r="DN25">
        <v>4</v>
      </c>
      <c r="DO25">
        <v>961</v>
      </c>
      <c r="DP25">
        <v>5</v>
      </c>
      <c r="DQ25">
        <v>0</v>
      </c>
      <c r="DR25">
        <v>1</v>
      </c>
      <c r="DS25">
        <v>0</v>
      </c>
      <c r="DT25">
        <v>0</v>
      </c>
      <c r="DU25">
        <v>2</v>
      </c>
      <c r="DV25">
        <v>2</v>
      </c>
      <c r="DW25">
        <v>0</v>
      </c>
      <c r="DX25">
        <v>8</v>
      </c>
      <c r="DY25">
        <v>0</v>
      </c>
      <c r="DZ25">
        <v>996</v>
      </c>
      <c r="EA25">
        <v>0.97519999999999996</v>
      </c>
      <c r="EB25">
        <v>0.97599248924772997</v>
      </c>
      <c r="EC25">
        <v>0.97518577409334795</v>
      </c>
      <c r="ED25">
        <v>0.97523197311016496</v>
      </c>
      <c r="EE25">
        <f>SUM(Table1[[#This Row],[ratio_0]:[ratio_9]])</f>
        <v>640</v>
      </c>
      <c r="EF25" s="1">
        <f>(Table1[[#This Row],[predicted_0]]-Table1[[#This Row],[actual_0]])/Table1[[#This Row],[actual_0]]</f>
        <v>-0.05</v>
      </c>
      <c r="EG25" s="1">
        <f>(Table1[[#This Row],[predicted_1]]-Table1[[#This Row],[actual_1]])/Table1[[#This Row],[actual_1]]</f>
        <v>-4.4052863436123352E-3</v>
      </c>
      <c r="EH25" s="1">
        <f>(Table1[[#This Row],[predicted_2]]-Table1[[#This Row],[actual_2]])/Table1[[#This Row],[actual_2]]</f>
        <v>-5.329457364341085E-2</v>
      </c>
      <c r="EI25" s="1">
        <f>(Table1[[#This Row],[predicted_3]]-Table1[[#This Row],[actual_3]])/Table1[[#This Row],[actual_3]]</f>
        <v>9.9009900990099011E-3</v>
      </c>
      <c r="EJ25" s="1">
        <f>(Table1[[#This Row],[predicted_4]]-Table1[[#This Row],[actual_4]])/Table1[[#This Row],[actual_4]]</f>
        <v>-4.5824847250509164E-2</v>
      </c>
      <c r="EK25" s="1">
        <f>(Table1[[#This Row],[predicted_5]]-Table1[[#This Row],[actual_5]])/Table1[[#This Row],[actual_5]]</f>
        <v>-2.242152466367713E-3</v>
      </c>
      <c r="EL25" s="1">
        <f>(Table1[[#This Row],[predicted_6]]-Table1[[#This Row],[actual_6]])/Table1[[#This Row],[actual_6]]</f>
        <v>2.0876826722338204E-2</v>
      </c>
      <c r="EM25" s="1">
        <f>(Table1[[#This Row],[predicted_7]]-Table1[[#This Row],[actual_7]])/Table1[[#This Row],[actual_7]]</f>
        <v>4.4747081712062257E-2</v>
      </c>
      <c r="EN25" s="1">
        <f>(Table1[[#This Row],[predicted_8]]-Table1[[#This Row],[actual_8]])/Table1[[#This Row],[actual_8]]</f>
        <v>1.1293634496919919E-2</v>
      </c>
      <c r="EO25" s="1">
        <f>(Table1[[#This Row],[predicted_9]]-Table1[[#This Row],[actual_9]])/Table1[[#This Row],[actual_9]]</f>
        <v>6.8384539147670967E-2</v>
      </c>
      <c r="EP25" s="1">
        <f>1+(Table1[[#This Row],[error_ratio_0]]-EF$2)</f>
        <v>0.94795918367346943</v>
      </c>
      <c r="EQ25" s="1">
        <f>1+(Table1[[#This Row],[error_ratio_1]]-EG$2)</f>
        <v>0.99383259911894273</v>
      </c>
      <c r="ER25" s="1">
        <f>1+(Table1[[#This Row],[error_ratio_2]]-EH$2)</f>
        <v>0.95155038759689925</v>
      </c>
      <c r="ES25" s="1">
        <f>1+(Table1[[#This Row],[error_ratio_3]]-EI$2)</f>
        <v>1</v>
      </c>
      <c r="ET25" s="1">
        <f>1+(Table1[[#This Row],[error_ratio_4]]-EJ$2)</f>
        <v>0.95315682281059066</v>
      </c>
      <c r="EU25" s="1">
        <f>1+(Table1[[#This Row],[error_ratio_5]]-EK$2)</f>
        <v>0.99663677130044848</v>
      </c>
      <c r="EV25" s="1">
        <f>1+(Table1[[#This Row],[error_ratio_6]]-EL$2)</f>
        <v>1.0271398747390397</v>
      </c>
      <c r="EW25" s="1">
        <f>1+(Table1[[#This Row],[error_ratio_7]]-EM$2)</f>
        <v>1.0428015564202335</v>
      </c>
      <c r="EX25" s="1">
        <f>1+(Table1[[#This Row],[error_ratio_8]]-EN$2)</f>
        <v>1.0143737166324436</v>
      </c>
      <c r="EY25" s="1">
        <f>1+(Table1[[#This Row],[error_ratio_9]]-EO$2)</f>
        <v>1.0723488602576809</v>
      </c>
    </row>
    <row r="26" spans="1:155" x14ac:dyDescent="0.75">
      <c r="A26">
        <v>100</v>
      </c>
      <c r="B26">
        <v>100</v>
      </c>
      <c r="C26">
        <v>100</v>
      </c>
      <c r="D26">
        <v>10</v>
      </c>
      <c r="E26">
        <v>10</v>
      </c>
      <c r="F26">
        <v>100</v>
      </c>
      <c r="G26">
        <v>100</v>
      </c>
      <c r="H26">
        <v>100</v>
      </c>
      <c r="I26">
        <v>100</v>
      </c>
      <c r="J26">
        <v>100</v>
      </c>
      <c r="K26">
        <v>987</v>
      </c>
      <c r="L26">
        <v>1144</v>
      </c>
      <c r="M26">
        <v>1047</v>
      </c>
      <c r="N26">
        <v>959</v>
      </c>
      <c r="O26">
        <v>901</v>
      </c>
      <c r="P26">
        <v>915</v>
      </c>
      <c r="Q26">
        <v>960</v>
      </c>
      <c r="R26">
        <v>1037</v>
      </c>
      <c r="S26">
        <v>988</v>
      </c>
      <c r="T26">
        <v>1062</v>
      </c>
      <c r="U26">
        <v>980</v>
      </c>
      <c r="V26">
        <v>1135</v>
      </c>
      <c r="W26">
        <v>1032</v>
      </c>
      <c r="X26">
        <v>1010</v>
      </c>
      <c r="Y26">
        <v>982</v>
      </c>
      <c r="Z26">
        <v>892</v>
      </c>
      <c r="AA26">
        <v>958</v>
      </c>
      <c r="AB26">
        <v>1028</v>
      </c>
      <c r="AC26">
        <v>974</v>
      </c>
      <c r="AD26">
        <v>1009</v>
      </c>
      <c r="AE26">
        <v>976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2</v>
      </c>
      <c r="AM26">
        <v>1</v>
      </c>
      <c r="AN26">
        <v>1</v>
      </c>
      <c r="AO26">
        <v>0</v>
      </c>
      <c r="AP26">
        <v>1132</v>
      </c>
      <c r="AQ26">
        <v>2</v>
      </c>
      <c r="AR26">
        <v>1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1</v>
      </c>
      <c r="AZ26">
        <v>1</v>
      </c>
      <c r="BA26">
        <v>1026</v>
      </c>
      <c r="BB26">
        <v>0</v>
      </c>
      <c r="BC26">
        <v>0</v>
      </c>
      <c r="BD26">
        <v>0</v>
      </c>
      <c r="BE26">
        <v>0</v>
      </c>
      <c r="BF26">
        <v>4</v>
      </c>
      <c r="BG26">
        <v>0</v>
      </c>
      <c r="BH26">
        <v>0</v>
      </c>
      <c r="BI26">
        <v>0</v>
      </c>
      <c r="BJ26">
        <v>0</v>
      </c>
      <c r="BK26">
        <v>7</v>
      </c>
      <c r="BL26">
        <v>956</v>
      </c>
      <c r="BM26">
        <v>0</v>
      </c>
      <c r="BN26">
        <v>27</v>
      </c>
      <c r="BO26">
        <v>0</v>
      </c>
      <c r="BP26">
        <v>7</v>
      </c>
      <c r="BQ26">
        <v>7</v>
      </c>
      <c r="BR26">
        <v>6</v>
      </c>
      <c r="BS26">
        <v>3</v>
      </c>
      <c r="BT26">
        <v>3</v>
      </c>
      <c r="BU26">
        <v>1</v>
      </c>
      <c r="BV26">
        <v>0</v>
      </c>
      <c r="BW26">
        <v>900</v>
      </c>
      <c r="BX26">
        <v>0</v>
      </c>
      <c r="BY26">
        <v>7</v>
      </c>
      <c r="BZ26">
        <v>5</v>
      </c>
      <c r="CA26">
        <v>7</v>
      </c>
      <c r="CB26">
        <v>56</v>
      </c>
      <c r="CC26">
        <v>2</v>
      </c>
      <c r="CD26">
        <v>0</v>
      </c>
      <c r="CE26">
        <v>0</v>
      </c>
      <c r="CF26">
        <v>1</v>
      </c>
      <c r="CG26">
        <v>0</v>
      </c>
      <c r="CH26">
        <v>884</v>
      </c>
      <c r="CI26">
        <v>3</v>
      </c>
      <c r="CJ26">
        <v>1</v>
      </c>
      <c r="CK26">
        <v>1</v>
      </c>
      <c r="CL26">
        <v>0</v>
      </c>
      <c r="CM26">
        <v>3</v>
      </c>
      <c r="CN26">
        <v>2</v>
      </c>
      <c r="CO26">
        <v>2</v>
      </c>
      <c r="CP26">
        <v>0</v>
      </c>
      <c r="CQ26">
        <v>1</v>
      </c>
      <c r="CR26">
        <v>1</v>
      </c>
      <c r="CS26">
        <v>949</v>
      </c>
      <c r="CT26">
        <v>0</v>
      </c>
      <c r="CU26">
        <v>0</v>
      </c>
      <c r="CV26">
        <v>0</v>
      </c>
      <c r="CW26">
        <v>1</v>
      </c>
      <c r="CX26">
        <v>4</v>
      </c>
      <c r="CY26">
        <v>7</v>
      </c>
      <c r="CZ26">
        <v>0</v>
      </c>
      <c r="DA26">
        <v>0</v>
      </c>
      <c r="DB26">
        <v>0</v>
      </c>
      <c r="DC26">
        <v>0</v>
      </c>
      <c r="DD26">
        <v>1012</v>
      </c>
      <c r="DE26">
        <v>2</v>
      </c>
      <c r="DF26">
        <v>2</v>
      </c>
      <c r="DG26">
        <v>1</v>
      </c>
      <c r="DH26">
        <v>0</v>
      </c>
      <c r="DI26">
        <v>2</v>
      </c>
      <c r="DJ26">
        <v>0</v>
      </c>
      <c r="DK26">
        <v>0</v>
      </c>
      <c r="DL26">
        <v>2</v>
      </c>
      <c r="DM26">
        <v>0</v>
      </c>
      <c r="DN26">
        <v>2</v>
      </c>
      <c r="DO26">
        <v>966</v>
      </c>
      <c r="DP26">
        <v>1</v>
      </c>
      <c r="DQ26">
        <v>0</v>
      </c>
      <c r="DR26">
        <v>2</v>
      </c>
      <c r="DS26">
        <v>0</v>
      </c>
      <c r="DT26">
        <v>1</v>
      </c>
      <c r="DU26">
        <v>0</v>
      </c>
      <c r="DV26">
        <v>1</v>
      </c>
      <c r="DW26">
        <v>1</v>
      </c>
      <c r="DX26">
        <v>4</v>
      </c>
      <c r="DY26">
        <v>4</v>
      </c>
      <c r="DZ26">
        <v>996</v>
      </c>
      <c r="EA26">
        <v>0.97970000000000002</v>
      </c>
      <c r="EB26">
        <v>0.98002099451742997</v>
      </c>
      <c r="EC26">
        <v>0.97954678603338396</v>
      </c>
      <c r="ED26">
        <v>0.97944766966459895</v>
      </c>
      <c r="EE26">
        <f>SUM(Table1[[#This Row],[ratio_0]:[ratio_9]])</f>
        <v>820</v>
      </c>
      <c r="EF26" s="1">
        <f>(Table1[[#This Row],[predicted_0]]-Table1[[#This Row],[actual_0]])/Table1[[#This Row],[actual_0]]</f>
        <v>7.1428571428571426E-3</v>
      </c>
      <c r="EG26" s="1">
        <f>(Table1[[#This Row],[predicted_1]]-Table1[[#This Row],[actual_1]])/Table1[[#This Row],[actual_1]]</f>
        <v>7.9295154185022032E-3</v>
      </c>
      <c r="EH26" s="1">
        <f>(Table1[[#This Row],[predicted_2]]-Table1[[#This Row],[actual_2]])/Table1[[#This Row],[actual_2]]</f>
        <v>1.4534883720930232E-2</v>
      </c>
      <c r="EI26" s="1">
        <f>(Table1[[#This Row],[predicted_3]]-Table1[[#This Row],[actual_3]])/Table1[[#This Row],[actual_3]]</f>
        <v>-5.0495049504950498E-2</v>
      </c>
      <c r="EJ26" s="1">
        <f>(Table1[[#This Row],[predicted_4]]-Table1[[#This Row],[actual_4]])/Table1[[#This Row],[actual_4]]</f>
        <v>-8.2484725050916502E-2</v>
      </c>
      <c r="EK26" s="1">
        <f>(Table1[[#This Row],[predicted_5]]-Table1[[#This Row],[actual_5]])/Table1[[#This Row],[actual_5]]</f>
        <v>2.5784753363228701E-2</v>
      </c>
      <c r="EL26" s="1">
        <f>(Table1[[#This Row],[predicted_6]]-Table1[[#This Row],[actual_6]])/Table1[[#This Row],[actual_6]]</f>
        <v>2.0876826722338203E-3</v>
      </c>
      <c r="EM26" s="1">
        <f>(Table1[[#This Row],[predicted_7]]-Table1[[#This Row],[actual_7]])/Table1[[#This Row],[actual_7]]</f>
        <v>8.7548638132295721E-3</v>
      </c>
      <c r="EN26" s="1">
        <f>(Table1[[#This Row],[predicted_8]]-Table1[[#This Row],[actual_8]])/Table1[[#This Row],[actual_8]]</f>
        <v>1.4373716632443531E-2</v>
      </c>
      <c r="EO26" s="1">
        <f>(Table1[[#This Row],[predicted_9]]-Table1[[#This Row],[actual_9]])/Table1[[#This Row],[actual_9]]</f>
        <v>5.2527254707631317E-2</v>
      </c>
      <c r="EP26" s="1">
        <f>1+(Table1[[#This Row],[error_ratio_0]]-EF$2)</f>
        <v>1.0051020408163265</v>
      </c>
      <c r="EQ26" s="1">
        <f>1+(Table1[[#This Row],[error_ratio_1]]-EG$2)</f>
        <v>1.0061674008810573</v>
      </c>
      <c r="ER26" s="1">
        <f>1+(Table1[[#This Row],[error_ratio_2]]-EH$2)</f>
        <v>1.0193798449612403</v>
      </c>
      <c r="ES26" s="1">
        <f>1+(Table1[[#This Row],[error_ratio_3]]-EI$2)</f>
        <v>0.93960396039603955</v>
      </c>
      <c r="ET26" s="1">
        <f>1+(Table1[[#This Row],[error_ratio_4]]-EJ$2)</f>
        <v>0.91649694501018331</v>
      </c>
      <c r="EU26" s="1">
        <f>1+(Table1[[#This Row],[error_ratio_5]]-EK$2)</f>
        <v>1.0246636771300448</v>
      </c>
      <c r="EV26" s="1">
        <f>1+(Table1[[#This Row],[error_ratio_6]]-EL$2)</f>
        <v>1.0083507306889352</v>
      </c>
      <c r="EW26" s="1">
        <f>1+(Table1[[#This Row],[error_ratio_7]]-EM$2)</f>
        <v>1.0068093385214008</v>
      </c>
      <c r="EX26" s="1">
        <f>1+(Table1[[#This Row],[error_ratio_8]]-EN$2)</f>
        <v>1.017453798767967</v>
      </c>
      <c r="EY26" s="1">
        <f>1+(Table1[[#This Row],[error_ratio_9]]-EO$2)</f>
        <v>1.0564915758176412</v>
      </c>
    </row>
    <row r="27" spans="1:155" x14ac:dyDescent="0.75">
      <c r="A27">
        <v>10</v>
      </c>
      <c r="B27">
        <v>100</v>
      </c>
      <c r="C27">
        <v>100</v>
      </c>
      <c r="D27">
        <v>10</v>
      </c>
      <c r="E27">
        <v>10</v>
      </c>
      <c r="F27">
        <v>100</v>
      </c>
      <c r="G27">
        <v>100</v>
      </c>
      <c r="H27">
        <v>100</v>
      </c>
      <c r="I27">
        <v>100</v>
      </c>
      <c r="J27">
        <v>100</v>
      </c>
      <c r="K27">
        <v>964</v>
      </c>
      <c r="L27">
        <v>1146</v>
      </c>
      <c r="M27">
        <v>1016</v>
      </c>
      <c r="N27">
        <v>944</v>
      </c>
      <c r="O27">
        <v>924</v>
      </c>
      <c r="P27">
        <v>950</v>
      </c>
      <c r="Q27">
        <v>950</v>
      </c>
      <c r="R27">
        <v>1071</v>
      </c>
      <c r="S27">
        <v>992</v>
      </c>
      <c r="T27">
        <v>1043</v>
      </c>
      <c r="U27">
        <v>980</v>
      </c>
      <c r="V27">
        <v>1135</v>
      </c>
      <c r="W27">
        <v>1032</v>
      </c>
      <c r="X27">
        <v>1010</v>
      </c>
      <c r="Y27">
        <v>982</v>
      </c>
      <c r="Z27">
        <v>892</v>
      </c>
      <c r="AA27">
        <v>958</v>
      </c>
      <c r="AB27">
        <v>1028</v>
      </c>
      <c r="AC27">
        <v>974</v>
      </c>
      <c r="AD27">
        <v>1009</v>
      </c>
      <c r="AE27">
        <v>956</v>
      </c>
      <c r="AF27">
        <v>1</v>
      </c>
      <c r="AG27">
        <v>3</v>
      </c>
      <c r="AH27">
        <v>0</v>
      </c>
      <c r="AI27">
        <v>0</v>
      </c>
      <c r="AJ27">
        <v>3</v>
      </c>
      <c r="AK27">
        <v>5</v>
      </c>
      <c r="AL27">
        <v>2</v>
      </c>
      <c r="AM27">
        <v>10</v>
      </c>
      <c r="AN27">
        <v>0</v>
      </c>
      <c r="AO27">
        <v>0</v>
      </c>
      <c r="AP27">
        <v>1130</v>
      </c>
      <c r="AQ27">
        <v>0</v>
      </c>
      <c r="AR27">
        <v>1</v>
      </c>
      <c r="AS27">
        <v>0</v>
      </c>
      <c r="AT27">
        <v>2</v>
      </c>
      <c r="AU27">
        <v>0</v>
      </c>
      <c r="AV27">
        <v>2</v>
      </c>
      <c r="AW27">
        <v>0</v>
      </c>
      <c r="AX27">
        <v>0</v>
      </c>
      <c r="AY27">
        <v>1</v>
      </c>
      <c r="AZ27">
        <v>6</v>
      </c>
      <c r="BA27">
        <v>996</v>
      </c>
      <c r="BB27">
        <v>0</v>
      </c>
      <c r="BC27">
        <v>0</v>
      </c>
      <c r="BD27">
        <v>0</v>
      </c>
      <c r="BE27">
        <v>0</v>
      </c>
      <c r="BF27">
        <v>25</v>
      </c>
      <c r="BG27">
        <v>4</v>
      </c>
      <c r="BH27">
        <v>0</v>
      </c>
      <c r="BI27">
        <v>0</v>
      </c>
      <c r="BJ27">
        <v>1</v>
      </c>
      <c r="BK27">
        <v>5</v>
      </c>
      <c r="BL27">
        <v>939</v>
      </c>
      <c r="BM27">
        <v>0</v>
      </c>
      <c r="BN27">
        <v>33</v>
      </c>
      <c r="BO27">
        <v>0</v>
      </c>
      <c r="BP27">
        <v>13</v>
      </c>
      <c r="BQ27">
        <v>11</v>
      </c>
      <c r="BR27">
        <v>8</v>
      </c>
      <c r="BS27">
        <v>2</v>
      </c>
      <c r="BT27">
        <v>2</v>
      </c>
      <c r="BU27">
        <v>6</v>
      </c>
      <c r="BV27">
        <v>0</v>
      </c>
      <c r="BW27">
        <v>922</v>
      </c>
      <c r="BX27">
        <v>0</v>
      </c>
      <c r="BY27">
        <v>6</v>
      </c>
      <c r="BZ27">
        <v>6</v>
      </c>
      <c r="CA27">
        <v>4</v>
      </c>
      <c r="CB27">
        <v>34</v>
      </c>
      <c r="CC27">
        <v>1</v>
      </c>
      <c r="CD27">
        <v>0</v>
      </c>
      <c r="CE27">
        <v>1</v>
      </c>
      <c r="CF27">
        <v>1</v>
      </c>
      <c r="CG27">
        <v>0</v>
      </c>
      <c r="CH27">
        <v>887</v>
      </c>
      <c r="CI27">
        <v>1</v>
      </c>
      <c r="CJ27">
        <v>1</v>
      </c>
      <c r="CK27">
        <v>0</v>
      </c>
      <c r="CL27">
        <v>0</v>
      </c>
      <c r="CM27">
        <v>2</v>
      </c>
      <c r="CN27">
        <v>4</v>
      </c>
      <c r="CO27">
        <v>3</v>
      </c>
      <c r="CP27">
        <v>1</v>
      </c>
      <c r="CQ27">
        <v>1</v>
      </c>
      <c r="CR27">
        <v>8</v>
      </c>
      <c r="CS27">
        <v>938</v>
      </c>
      <c r="CT27">
        <v>0</v>
      </c>
      <c r="CU27">
        <v>1</v>
      </c>
      <c r="CV27">
        <v>0</v>
      </c>
      <c r="CW27">
        <v>0</v>
      </c>
      <c r="CX27">
        <v>2</v>
      </c>
      <c r="CY27">
        <v>1</v>
      </c>
      <c r="CZ27">
        <v>0</v>
      </c>
      <c r="DA27">
        <v>0</v>
      </c>
      <c r="DB27">
        <v>1</v>
      </c>
      <c r="DC27">
        <v>0</v>
      </c>
      <c r="DD27">
        <v>1019</v>
      </c>
      <c r="DE27">
        <v>0</v>
      </c>
      <c r="DF27">
        <v>5</v>
      </c>
      <c r="DG27">
        <v>1</v>
      </c>
      <c r="DH27">
        <v>0</v>
      </c>
      <c r="DI27">
        <v>1</v>
      </c>
      <c r="DJ27">
        <v>1</v>
      </c>
      <c r="DK27">
        <v>0</v>
      </c>
      <c r="DL27">
        <v>6</v>
      </c>
      <c r="DM27">
        <v>0</v>
      </c>
      <c r="DN27">
        <v>3</v>
      </c>
      <c r="DO27">
        <v>960</v>
      </c>
      <c r="DP27">
        <v>2</v>
      </c>
      <c r="DQ27">
        <v>1</v>
      </c>
      <c r="DR27">
        <v>0</v>
      </c>
      <c r="DS27">
        <v>0</v>
      </c>
      <c r="DT27">
        <v>1</v>
      </c>
      <c r="DU27">
        <v>1</v>
      </c>
      <c r="DV27">
        <v>10</v>
      </c>
      <c r="DW27">
        <v>0</v>
      </c>
      <c r="DX27">
        <v>0</v>
      </c>
      <c r="DY27">
        <v>2</v>
      </c>
      <c r="DZ27">
        <v>994</v>
      </c>
      <c r="EA27">
        <v>0.97409999999999997</v>
      </c>
      <c r="EB27">
        <v>0.97438554343804595</v>
      </c>
      <c r="EC27">
        <v>0.97403473782743299</v>
      </c>
      <c r="ED27">
        <v>0.97382292374910495</v>
      </c>
      <c r="EE27">
        <f>SUM(Table1[[#This Row],[ratio_0]:[ratio_9]])</f>
        <v>730</v>
      </c>
      <c r="EF27" s="1">
        <f>(Table1[[#This Row],[predicted_0]]-Table1[[#This Row],[actual_0]])/Table1[[#This Row],[actual_0]]</f>
        <v>-1.6326530612244899E-2</v>
      </c>
      <c r="EG27" s="1">
        <f>(Table1[[#This Row],[predicted_1]]-Table1[[#This Row],[actual_1]])/Table1[[#This Row],[actual_1]]</f>
        <v>9.6916299559471359E-3</v>
      </c>
      <c r="EH27" s="1">
        <f>(Table1[[#This Row],[predicted_2]]-Table1[[#This Row],[actual_2]])/Table1[[#This Row],[actual_2]]</f>
        <v>-1.5503875968992248E-2</v>
      </c>
      <c r="EI27" s="1">
        <f>(Table1[[#This Row],[predicted_3]]-Table1[[#This Row],[actual_3]])/Table1[[#This Row],[actual_3]]</f>
        <v>-6.5346534653465349E-2</v>
      </c>
      <c r="EJ27" s="1">
        <f>(Table1[[#This Row],[predicted_4]]-Table1[[#This Row],[actual_4]])/Table1[[#This Row],[actual_4]]</f>
        <v>-5.9063136456211814E-2</v>
      </c>
      <c r="EK27" s="1">
        <f>(Table1[[#This Row],[predicted_5]]-Table1[[#This Row],[actual_5]])/Table1[[#This Row],[actual_5]]</f>
        <v>6.5022421524663671E-2</v>
      </c>
      <c r="EL27" s="1">
        <f>(Table1[[#This Row],[predicted_6]]-Table1[[#This Row],[actual_6]])/Table1[[#This Row],[actual_6]]</f>
        <v>-8.350730688935281E-3</v>
      </c>
      <c r="EM27" s="1">
        <f>(Table1[[#This Row],[predicted_7]]-Table1[[#This Row],[actual_7]])/Table1[[#This Row],[actual_7]]</f>
        <v>4.1828793774319063E-2</v>
      </c>
      <c r="EN27" s="1">
        <f>(Table1[[#This Row],[predicted_8]]-Table1[[#This Row],[actual_8]])/Table1[[#This Row],[actual_8]]</f>
        <v>1.8480492813141684E-2</v>
      </c>
      <c r="EO27" s="1">
        <f>(Table1[[#This Row],[predicted_9]]-Table1[[#This Row],[actual_9]])/Table1[[#This Row],[actual_9]]</f>
        <v>3.3696729435084241E-2</v>
      </c>
      <c r="EP27" s="1">
        <f>1+(Table1[[#This Row],[error_ratio_0]]-EF$2)</f>
        <v>0.98163265306122449</v>
      </c>
      <c r="EQ27" s="1">
        <f>1+(Table1[[#This Row],[error_ratio_1]]-EG$2)</f>
        <v>1.0079295154185022</v>
      </c>
      <c r="ER27" s="1">
        <f>1+(Table1[[#This Row],[error_ratio_2]]-EH$2)</f>
        <v>0.98934108527131781</v>
      </c>
      <c r="ES27" s="1">
        <f>1+(Table1[[#This Row],[error_ratio_3]]-EI$2)</f>
        <v>0.9247524752475248</v>
      </c>
      <c r="ET27" s="1">
        <f>1+(Table1[[#This Row],[error_ratio_4]]-EJ$2)</f>
        <v>0.93991853360488797</v>
      </c>
      <c r="EU27" s="1">
        <f>1+(Table1[[#This Row],[error_ratio_5]]-EK$2)</f>
        <v>1.0639013452914798</v>
      </c>
      <c r="EV27" s="1">
        <f>1+(Table1[[#This Row],[error_ratio_6]]-EL$2)</f>
        <v>0.9979123173277662</v>
      </c>
      <c r="EW27" s="1">
        <f>1+(Table1[[#This Row],[error_ratio_7]]-EM$2)</f>
        <v>1.0398832684824904</v>
      </c>
      <c r="EX27" s="1">
        <f>1+(Table1[[#This Row],[error_ratio_8]]-EN$2)</f>
        <v>1.0215605749486654</v>
      </c>
      <c r="EY27" s="1">
        <f>1+(Table1[[#This Row],[error_ratio_9]]-EO$2)</f>
        <v>1.0376610505450941</v>
      </c>
    </row>
    <row r="28" spans="1:155" x14ac:dyDescent="0.75">
      <c r="A28">
        <v>100</v>
      </c>
      <c r="B28">
        <v>10</v>
      </c>
      <c r="C28">
        <v>100</v>
      </c>
      <c r="D28">
        <v>10</v>
      </c>
      <c r="E28">
        <v>10</v>
      </c>
      <c r="F28">
        <v>100</v>
      </c>
      <c r="G28">
        <v>100</v>
      </c>
      <c r="H28">
        <v>100</v>
      </c>
      <c r="I28">
        <v>100</v>
      </c>
      <c r="J28">
        <v>100</v>
      </c>
      <c r="K28">
        <v>995</v>
      </c>
      <c r="L28">
        <v>1100</v>
      </c>
      <c r="M28">
        <v>1045</v>
      </c>
      <c r="N28">
        <v>923</v>
      </c>
      <c r="O28">
        <v>873</v>
      </c>
      <c r="P28">
        <v>964</v>
      </c>
      <c r="Q28">
        <v>947</v>
      </c>
      <c r="R28">
        <v>1056</v>
      </c>
      <c r="S28">
        <v>1014</v>
      </c>
      <c r="T28">
        <v>1083</v>
      </c>
      <c r="U28">
        <v>980</v>
      </c>
      <c r="V28">
        <v>1135</v>
      </c>
      <c r="W28">
        <v>1032</v>
      </c>
      <c r="X28">
        <v>1010</v>
      </c>
      <c r="Y28">
        <v>982</v>
      </c>
      <c r="Z28">
        <v>892</v>
      </c>
      <c r="AA28">
        <v>958</v>
      </c>
      <c r="AB28">
        <v>1028</v>
      </c>
      <c r="AC28">
        <v>974</v>
      </c>
      <c r="AD28">
        <v>1009</v>
      </c>
      <c r="AE28">
        <v>977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1</v>
      </c>
      <c r="AM28">
        <v>1</v>
      </c>
      <c r="AN28">
        <v>1</v>
      </c>
      <c r="AO28">
        <v>0</v>
      </c>
      <c r="AP28">
        <v>1097</v>
      </c>
      <c r="AQ28">
        <v>5</v>
      </c>
      <c r="AR28">
        <v>4</v>
      </c>
      <c r="AS28">
        <v>0</v>
      </c>
      <c r="AT28">
        <v>2</v>
      </c>
      <c r="AU28">
        <v>3</v>
      </c>
      <c r="AV28">
        <v>7</v>
      </c>
      <c r="AW28">
        <v>16</v>
      </c>
      <c r="AX28">
        <v>1</v>
      </c>
      <c r="AY28">
        <v>2</v>
      </c>
      <c r="AZ28">
        <v>0</v>
      </c>
      <c r="BA28">
        <v>1015</v>
      </c>
      <c r="BB28">
        <v>0</v>
      </c>
      <c r="BC28">
        <v>0</v>
      </c>
      <c r="BD28">
        <v>0</v>
      </c>
      <c r="BE28">
        <v>0</v>
      </c>
      <c r="BF28">
        <v>4</v>
      </c>
      <c r="BG28">
        <v>11</v>
      </c>
      <c r="BH28">
        <v>0</v>
      </c>
      <c r="BI28">
        <v>2</v>
      </c>
      <c r="BJ28">
        <v>0</v>
      </c>
      <c r="BK28">
        <v>3</v>
      </c>
      <c r="BL28">
        <v>919</v>
      </c>
      <c r="BM28">
        <v>0</v>
      </c>
      <c r="BN28">
        <v>61</v>
      </c>
      <c r="BO28">
        <v>0</v>
      </c>
      <c r="BP28">
        <v>5</v>
      </c>
      <c r="BQ28">
        <v>10</v>
      </c>
      <c r="BR28">
        <v>10</v>
      </c>
      <c r="BS28">
        <v>1</v>
      </c>
      <c r="BT28">
        <v>1</v>
      </c>
      <c r="BU28">
        <v>13</v>
      </c>
      <c r="BV28">
        <v>0</v>
      </c>
      <c r="BW28">
        <v>871</v>
      </c>
      <c r="BX28">
        <v>0</v>
      </c>
      <c r="BY28">
        <v>4</v>
      </c>
      <c r="BZ28">
        <v>22</v>
      </c>
      <c r="CA28">
        <v>5</v>
      </c>
      <c r="CB28">
        <v>65</v>
      </c>
      <c r="CC28">
        <v>1</v>
      </c>
      <c r="CD28">
        <v>0</v>
      </c>
      <c r="CE28">
        <v>1</v>
      </c>
      <c r="CF28">
        <v>0</v>
      </c>
      <c r="CG28">
        <v>0</v>
      </c>
      <c r="CH28">
        <v>889</v>
      </c>
      <c r="CI28">
        <v>1</v>
      </c>
      <c r="CJ28">
        <v>0</v>
      </c>
      <c r="CK28">
        <v>0</v>
      </c>
      <c r="CL28">
        <v>0</v>
      </c>
      <c r="CM28">
        <v>8</v>
      </c>
      <c r="CN28">
        <v>1</v>
      </c>
      <c r="CO28">
        <v>1</v>
      </c>
      <c r="CP28">
        <v>0</v>
      </c>
      <c r="CQ28">
        <v>2</v>
      </c>
      <c r="CR28">
        <v>3</v>
      </c>
      <c r="CS28">
        <v>939</v>
      </c>
      <c r="CT28">
        <v>0</v>
      </c>
      <c r="CU28">
        <v>3</v>
      </c>
      <c r="CV28">
        <v>1</v>
      </c>
      <c r="CW28">
        <v>1</v>
      </c>
      <c r="CX28">
        <v>1</v>
      </c>
      <c r="CY28">
        <v>5</v>
      </c>
      <c r="CZ28">
        <v>0</v>
      </c>
      <c r="DA28">
        <v>0</v>
      </c>
      <c r="DB28">
        <v>1</v>
      </c>
      <c r="DC28">
        <v>0</v>
      </c>
      <c r="DD28">
        <v>1014</v>
      </c>
      <c r="DE28">
        <v>2</v>
      </c>
      <c r="DF28">
        <v>4</v>
      </c>
      <c r="DG28">
        <v>2</v>
      </c>
      <c r="DH28">
        <v>0</v>
      </c>
      <c r="DI28">
        <v>2</v>
      </c>
      <c r="DJ28">
        <v>0</v>
      </c>
      <c r="DK28">
        <v>0</v>
      </c>
      <c r="DL28">
        <v>3</v>
      </c>
      <c r="DM28">
        <v>0</v>
      </c>
      <c r="DN28">
        <v>1</v>
      </c>
      <c r="DO28">
        <v>965</v>
      </c>
      <c r="DP28">
        <v>1</v>
      </c>
      <c r="DQ28">
        <v>1</v>
      </c>
      <c r="DR28">
        <v>0</v>
      </c>
      <c r="DS28">
        <v>0</v>
      </c>
      <c r="DT28">
        <v>0</v>
      </c>
      <c r="DU28">
        <v>0</v>
      </c>
      <c r="DV28">
        <v>5</v>
      </c>
      <c r="DW28">
        <v>0</v>
      </c>
      <c r="DX28">
        <v>2</v>
      </c>
      <c r="DY28">
        <v>1</v>
      </c>
      <c r="DZ28">
        <v>1000</v>
      </c>
      <c r="EA28">
        <v>0.96860000000000002</v>
      </c>
      <c r="EB28">
        <v>0.96928657717640898</v>
      </c>
      <c r="EC28">
        <v>0.96888772379301102</v>
      </c>
      <c r="ED28">
        <v>0.96821083341464698</v>
      </c>
      <c r="EE28">
        <f>SUM(Table1[[#This Row],[ratio_0]:[ratio_9]])</f>
        <v>730</v>
      </c>
      <c r="EF28" s="1">
        <f>(Table1[[#This Row],[predicted_0]]-Table1[[#This Row],[actual_0]])/Table1[[#This Row],[actual_0]]</f>
        <v>1.5306122448979591E-2</v>
      </c>
      <c r="EG28" s="1">
        <f>(Table1[[#This Row],[predicted_1]]-Table1[[#This Row],[actual_1]])/Table1[[#This Row],[actual_1]]</f>
        <v>-3.0837004405286344E-2</v>
      </c>
      <c r="EH28" s="1">
        <f>(Table1[[#This Row],[predicted_2]]-Table1[[#This Row],[actual_2]])/Table1[[#This Row],[actual_2]]</f>
        <v>1.2596899224806201E-2</v>
      </c>
      <c r="EI28" s="1">
        <f>(Table1[[#This Row],[predicted_3]]-Table1[[#This Row],[actual_3]])/Table1[[#This Row],[actual_3]]</f>
        <v>-8.6138613861386132E-2</v>
      </c>
      <c r="EJ28" s="1">
        <f>(Table1[[#This Row],[predicted_4]]-Table1[[#This Row],[actual_4]])/Table1[[#This Row],[actual_4]]</f>
        <v>-0.1109979633401222</v>
      </c>
      <c r="EK28" s="1">
        <f>(Table1[[#This Row],[predicted_5]]-Table1[[#This Row],[actual_5]])/Table1[[#This Row],[actual_5]]</f>
        <v>8.0717488789237665E-2</v>
      </c>
      <c r="EL28" s="1">
        <f>(Table1[[#This Row],[predicted_6]]-Table1[[#This Row],[actual_6]])/Table1[[#This Row],[actual_6]]</f>
        <v>-1.1482254697286013E-2</v>
      </c>
      <c r="EM28" s="1">
        <f>(Table1[[#This Row],[predicted_7]]-Table1[[#This Row],[actual_7]])/Table1[[#This Row],[actual_7]]</f>
        <v>2.7237354085603113E-2</v>
      </c>
      <c r="EN28" s="1">
        <f>(Table1[[#This Row],[predicted_8]]-Table1[[#This Row],[actual_8]])/Table1[[#This Row],[actual_8]]</f>
        <v>4.1067761806981518E-2</v>
      </c>
      <c r="EO28" s="1">
        <f>(Table1[[#This Row],[predicted_9]]-Table1[[#This Row],[actual_9]])/Table1[[#This Row],[actual_9]]</f>
        <v>7.3339940535183348E-2</v>
      </c>
      <c r="EP28" s="1">
        <f>1+(Table1[[#This Row],[error_ratio_0]]-EF$2)</f>
        <v>1.013265306122449</v>
      </c>
      <c r="EQ28" s="1">
        <f>1+(Table1[[#This Row],[error_ratio_1]]-EG$2)</f>
        <v>0.96740088105726874</v>
      </c>
      <c r="ER28" s="1">
        <f>1+(Table1[[#This Row],[error_ratio_2]]-EH$2)</f>
        <v>1.0174418604651163</v>
      </c>
      <c r="ES28" s="1">
        <f>1+(Table1[[#This Row],[error_ratio_3]]-EI$2)</f>
        <v>0.90396039603960399</v>
      </c>
      <c r="ET28" s="1">
        <f>1+(Table1[[#This Row],[error_ratio_4]]-EJ$2)</f>
        <v>0.88798370672097759</v>
      </c>
      <c r="EU28" s="1">
        <f>1+(Table1[[#This Row],[error_ratio_5]]-EK$2)</f>
        <v>1.0795964125560538</v>
      </c>
      <c r="EV28" s="1">
        <f>1+(Table1[[#This Row],[error_ratio_6]]-EL$2)</f>
        <v>0.99478079331941549</v>
      </c>
      <c r="EW28" s="1">
        <f>1+(Table1[[#This Row],[error_ratio_7]]-EM$2)</f>
        <v>1.0252918287937742</v>
      </c>
      <c r="EX28" s="1">
        <f>1+(Table1[[#This Row],[error_ratio_8]]-EN$2)</f>
        <v>1.0441478439425051</v>
      </c>
      <c r="EY28" s="1">
        <f>1+(Table1[[#This Row],[error_ratio_9]]-EO$2)</f>
        <v>1.0773042616451933</v>
      </c>
    </row>
    <row r="29" spans="1:155" x14ac:dyDescent="0.75">
      <c r="A29">
        <v>10</v>
      </c>
      <c r="B29">
        <v>10</v>
      </c>
      <c r="C29">
        <v>100</v>
      </c>
      <c r="D29">
        <v>10</v>
      </c>
      <c r="E29">
        <v>10</v>
      </c>
      <c r="F29">
        <v>100</v>
      </c>
      <c r="G29">
        <v>100</v>
      </c>
      <c r="H29">
        <v>100</v>
      </c>
      <c r="I29">
        <v>100</v>
      </c>
      <c r="J29">
        <v>100</v>
      </c>
      <c r="K29">
        <v>858</v>
      </c>
      <c r="L29">
        <v>1101</v>
      </c>
      <c r="M29">
        <v>1079</v>
      </c>
      <c r="N29">
        <v>923</v>
      </c>
      <c r="O29">
        <v>930</v>
      </c>
      <c r="P29">
        <v>976</v>
      </c>
      <c r="Q29">
        <v>1063</v>
      </c>
      <c r="R29">
        <v>999</v>
      </c>
      <c r="S29">
        <v>1010</v>
      </c>
      <c r="T29">
        <v>1061</v>
      </c>
      <c r="U29">
        <v>980</v>
      </c>
      <c r="V29">
        <v>1135</v>
      </c>
      <c r="W29">
        <v>1032</v>
      </c>
      <c r="X29">
        <v>1010</v>
      </c>
      <c r="Y29">
        <v>982</v>
      </c>
      <c r="Z29">
        <v>892</v>
      </c>
      <c r="AA29">
        <v>958</v>
      </c>
      <c r="AB29">
        <v>1028</v>
      </c>
      <c r="AC29">
        <v>974</v>
      </c>
      <c r="AD29">
        <v>1009</v>
      </c>
      <c r="AE29">
        <v>857</v>
      </c>
      <c r="AF29">
        <v>0</v>
      </c>
      <c r="AG29">
        <v>6</v>
      </c>
      <c r="AH29">
        <v>0</v>
      </c>
      <c r="AI29">
        <v>0</v>
      </c>
      <c r="AJ29">
        <v>17</v>
      </c>
      <c r="AK29">
        <v>72</v>
      </c>
      <c r="AL29">
        <v>2</v>
      </c>
      <c r="AM29">
        <v>8</v>
      </c>
      <c r="AN29">
        <v>18</v>
      </c>
      <c r="AO29">
        <v>0</v>
      </c>
      <c r="AP29">
        <v>1100</v>
      </c>
      <c r="AQ29">
        <v>8</v>
      </c>
      <c r="AR29">
        <v>3</v>
      </c>
      <c r="AS29">
        <v>0</v>
      </c>
      <c r="AT29">
        <v>3</v>
      </c>
      <c r="AU29">
        <v>13</v>
      </c>
      <c r="AV29">
        <v>0</v>
      </c>
      <c r="AW29">
        <v>7</v>
      </c>
      <c r="AX29">
        <v>1</v>
      </c>
      <c r="AY29">
        <v>0</v>
      </c>
      <c r="AZ29">
        <v>0</v>
      </c>
      <c r="BA29">
        <v>1018</v>
      </c>
      <c r="BB29">
        <v>0</v>
      </c>
      <c r="BC29">
        <v>0</v>
      </c>
      <c r="BD29">
        <v>0</v>
      </c>
      <c r="BE29">
        <v>2</v>
      </c>
      <c r="BF29">
        <v>2</v>
      </c>
      <c r="BG29">
        <v>9</v>
      </c>
      <c r="BH29">
        <v>1</v>
      </c>
      <c r="BI29">
        <v>0</v>
      </c>
      <c r="BJ29">
        <v>0</v>
      </c>
      <c r="BK29">
        <v>16</v>
      </c>
      <c r="BL29">
        <v>918</v>
      </c>
      <c r="BM29">
        <v>0</v>
      </c>
      <c r="BN29">
        <v>57</v>
      </c>
      <c r="BO29">
        <v>0</v>
      </c>
      <c r="BP29">
        <v>5</v>
      </c>
      <c r="BQ29">
        <v>6</v>
      </c>
      <c r="BR29">
        <v>8</v>
      </c>
      <c r="BS29">
        <v>0</v>
      </c>
      <c r="BT29">
        <v>0</v>
      </c>
      <c r="BU29">
        <v>9</v>
      </c>
      <c r="BV29">
        <v>0</v>
      </c>
      <c r="BW29">
        <v>926</v>
      </c>
      <c r="BX29">
        <v>0</v>
      </c>
      <c r="BY29">
        <v>15</v>
      </c>
      <c r="BZ29">
        <v>3</v>
      </c>
      <c r="CA29">
        <v>10</v>
      </c>
      <c r="CB29">
        <v>19</v>
      </c>
      <c r="CC29">
        <v>0</v>
      </c>
      <c r="CD29">
        <v>0</v>
      </c>
      <c r="CE29">
        <v>0</v>
      </c>
      <c r="CF29">
        <v>1</v>
      </c>
      <c r="CG29">
        <v>0</v>
      </c>
      <c r="CH29">
        <v>886</v>
      </c>
      <c r="CI29">
        <v>5</v>
      </c>
      <c r="CJ29">
        <v>0</v>
      </c>
      <c r="CK29">
        <v>0</v>
      </c>
      <c r="CL29">
        <v>0</v>
      </c>
      <c r="CM29">
        <v>0</v>
      </c>
      <c r="CN29">
        <v>0</v>
      </c>
      <c r="CO29">
        <v>0</v>
      </c>
      <c r="CP29">
        <v>0</v>
      </c>
      <c r="CQ29">
        <v>1</v>
      </c>
      <c r="CR29">
        <v>3</v>
      </c>
      <c r="CS29">
        <v>954</v>
      </c>
      <c r="CT29">
        <v>0</v>
      </c>
      <c r="CU29">
        <v>0</v>
      </c>
      <c r="CV29">
        <v>0</v>
      </c>
      <c r="CW29">
        <v>1</v>
      </c>
      <c r="CX29">
        <v>1</v>
      </c>
      <c r="CY29">
        <v>19</v>
      </c>
      <c r="CZ29">
        <v>0</v>
      </c>
      <c r="DA29">
        <v>0</v>
      </c>
      <c r="DB29">
        <v>0</v>
      </c>
      <c r="DC29">
        <v>0</v>
      </c>
      <c r="DD29">
        <v>986</v>
      </c>
      <c r="DE29">
        <v>4</v>
      </c>
      <c r="DF29">
        <v>17</v>
      </c>
      <c r="DG29">
        <v>0</v>
      </c>
      <c r="DH29">
        <v>0</v>
      </c>
      <c r="DI29">
        <v>2</v>
      </c>
      <c r="DJ29">
        <v>0</v>
      </c>
      <c r="DK29">
        <v>0</v>
      </c>
      <c r="DL29">
        <v>3</v>
      </c>
      <c r="DM29">
        <v>1</v>
      </c>
      <c r="DN29">
        <v>0</v>
      </c>
      <c r="DO29">
        <v>964</v>
      </c>
      <c r="DP29">
        <v>4</v>
      </c>
      <c r="DQ29">
        <v>0</v>
      </c>
      <c r="DR29">
        <v>0</v>
      </c>
      <c r="DS29">
        <v>1</v>
      </c>
      <c r="DT29">
        <v>1</v>
      </c>
      <c r="DU29">
        <v>3</v>
      </c>
      <c r="DV29">
        <v>7</v>
      </c>
      <c r="DW29">
        <v>1</v>
      </c>
      <c r="DX29">
        <v>1</v>
      </c>
      <c r="DY29">
        <v>2</v>
      </c>
      <c r="DZ29">
        <v>993</v>
      </c>
      <c r="EA29">
        <v>0.96020000000000005</v>
      </c>
      <c r="EB29">
        <v>0.96142730685544098</v>
      </c>
      <c r="EC29">
        <v>0.96040892357871499</v>
      </c>
      <c r="ED29">
        <v>0.95961011920364203</v>
      </c>
      <c r="EE29">
        <f>SUM(Table1[[#This Row],[ratio_0]:[ratio_9]])</f>
        <v>640</v>
      </c>
      <c r="EF29" s="1">
        <f>(Table1[[#This Row],[predicted_0]]-Table1[[#This Row],[actual_0]])/Table1[[#This Row],[actual_0]]</f>
        <v>-0.12448979591836734</v>
      </c>
      <c r="EG29" s="1">
        <f>(Table1[[#This Row],[predicted_1]]-Table1[[#This Row],[actual_1]])/Table1[[#This Row],[actual_1]]</f>
        <v>-2.9955947136563875E-2</v>
      </c>
      <c r="EH29" s="1">
        <f>(Table1[[#This Row],[predicted_2]]-Table1[[#This Row],[actual_2]])/Table1[[#This Row],[actual_2]]</f>
        <v>4.5542635658914726E-2</v>
      </c>
      <c r="EI29" s="1">
        <f>(Table1[[#This Row],[predicted_3]]-Table1[[#This Row],[actual_3]])/Table1[[#This Row],[actual_3]]</f>
        <v>-8.6138613861386132E-2</v>
      </c>
      <c r="EJ29" s="1">
        <f>(Table1[[#This Row],[predicted_4]]-Table1[[#This Row],[actual_4]])/Table1[[#This Row],[actual_4]]</f>
        <v>-5.2953156822810592E-2</v>
      </c>
      <c r="EK29" s="1">
        <f>(Table1[[#This Row],[predicted_5]]-Table1[[#This Row],[actual_5]])/Table1[[#This Row],[actual_5]]</f>
        <v>9.417040358744394E-2</v>
      </c>
      <c r="EL29" s="1">
        <f>(Table1[[#This Row],[predicted_6]]-Table1[[#This Row],[actual_6]])/Table1[[#This Row],[actual_6]]</f>
        <v>0.10960334029227557</v>
      </c>
      <c r="EM29" s="1">
        <f>(Table1[[#This Row],[predicted_7]]-Table1[[#This Row],[actual_7]])/Table1[[#This Row],[actual_7]]</f>
        <v>-2.821011673151751E-2</v>
      </c>
      <c r="EN29" s="1">
        <f>(Table1[[#This Row],[predicted_8]]-Table1[[#This Row],[actual_8]])/Table1[[#This Row],[actual_8]]</f>
        <v>3.6960985626283367E-2</v>
      </c>
      <c r="EO29" s="1">
        <f>(Table1[[#This Row],[predicted_9]]-Table1[[#This Row],[actual_9]])/Table1[[#This Row],[actual_9]]</f>
        <v>5.1536174430128839E-2</v>
      </c>
      <c r="EP29" s="1">
        <f>1+(Table1[[#This Row],[error_ratio_0]]-EF$2)</f>
        <v>0.87346938775510208</v>
      </c>
      <c r="EQ29" s="1">
        <f>1+(Table1[[#This Row],[error_ratio_1]]-EG$2)</f>
        <v>0.96828193832599119</v>
      </c>
      <c r="ER29" s="1">
        <f>1+(Table1[[#This Row],[error_ratio_2]]-EH$2)</f>
        <v>1.0503875968992249</v>
      </c>
      <c r="ES29" s="1">
        <f>1+(Table1[[#This Row],[error_ratio_3]]-EI$2)</f>
        <v>0.90396039603960399</v>
      </c>
      <c r="ET29" s="1">
        <f>1+(Table1[[#This Row],[error_ratio_4]]-EJ$2)</f>
        <v>0.94602851323828918</v>
      </c>
      <c r="EU29" s="1">
        <f>1+(Table1[[#This Row],[error_ratio_5]]-EK$2)</f>
        <v>1.0930493273542601</v>
      </c>
      <c r="EV29" s="1">
        <f>1+(Table1[[#This Row],[error_ratio_6]]-EL$2)</f>
        <v>1.115866388308977</v>
      </c>
      <c r="EW29" s="1">
        <f>1+(Table1[[#This Row],[error_ratio_7]]-EM$2)</f>
        <v>0.96984435797665369</v>
      </c>
      <c r="EX29" s="1">
        <f>1+(Table1[[#This Row],[error_ratio_8]]-EN$2)</f>
        <v>1.040041067761807</v>
      </c>
      <c r="EY29" s="1">
        <f>1+(Table1[[#This Row],[error_ratio_9]]-EO$2)</f>
        <v>1.0555004955401388</v>
      </c>
    </row>
    <row r="30" spans="1:155" x14ac:dyDescent="0.75">
      <c r="A30">
        <v>100</v>
      </c>
      <c r="B30">
        <v>100</v>
      </c>
      <c r="C30">
        <v>10</v>
      </c>
      <c r="D30">
        <v>10</v>
      </c>
      <c r="E30">
        <v>10</v>
      </c>
      <c r="F30">
        <v>100</v>
      </c>
      <c r="G30">
        <v>100</v>
      </c>
      <c r="H30">
        <v>100</v>
      </c>
      <c r="I30">
        <v>100</v>
      </c>
      <c r="J30">
        <v>100</v>
      </c>
      <c r="K30">
        <v>1018</v>
      </c>
      <c r="L30">
        <v>1161</v>
      </c>
      <c r="M30">
        <v>952</v>
      </c>
      <c r="N30">
        <v>994</v>
      </c>
      <c r="O30">
        <v>889</v>
      </c>
      <c r="P30">
        <v>890</v>
      </c>
      <c r="Q30">
        <v>960</v>
      </c>
      <c r="R30">
        <v>1066</v>
      </c>
      <c r="S30">
        <v>958</v>
      </c>
      <c r="T30">
        <v>1112</v>
      </c>
      <c r="U30">
        <v>980</v>
      </c>
      <c r="V30">
        <v>1135</v>
      </c>
      <c r="W30">
        <v>1032</v>
      </c>
      <c r="X30">
        <v>1010</v>
      </c>
      <c r="Y30">
        <v>982</v>
      </c>
      <c r="Z30">
        <v>892</v>
      </c>
      <c r="AA30">
        <v>958</v>
      </c>
      <c r="AB30">
        <v>1028</v>
      </c>
      <c r="AC30">
        <v>974</v>
      </c>
      <c r="AD30">
        <v>1009</v>
      </c>
      <c r="AE30">
        <v>975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3</v>
      </c>
      <c r="AM30">
        <v>0</v>
      </c>
      <c r="AN30">
        <v>2</v>
      </c>
      <c r="AO30">
        <v>0</v>
      </c>
      <c r="AP30">
        <v>1134</v>
      </c>
      <c r="AQ30">
        <v>0</v>
      </c>
      <c r="AR30">
        <v>1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13</v>
      </c>
      <c r="AZ30">
        <v>11</v>
      </c>
      <c r="BA30">
        <v>948</v>
      </c>
      <c r="BB30">
        <v>7</v>
      </c>
      <c r="BC30">
        <v>3</v>
      </c>
      <c r="BD30">
        <v>0</v>
      </c>
      <c r="BE30">
        <v>6</v>
      </c>
      <c r="BF30">
        <v>32</v>
      </c>
      <c r="BG30">
        <v>7</v>
      </c>
      <c r="BH30">
        <v>5</v>
      </c>
      <c r="BI30">
        <v>2</v>
      </c>
      <c r="BJ30">
        <v>0</v>
      </c>
      <c r="BK30">
        <v>0</v>
      </c>
      <c r="BL30">
        <v>976</v>
      </c>
      <c r="BM30">
        <v>0</v>
      </c>
      <c r="BN30">
        <v>11</v>
      </c>
      <c r="BO30">
        <v>0</v>
      </c>
      <c r="BP30">
        <v>4</v>
      </c>
      <c r="BQ30">
        <v>3</v>
      </c>
      <c r="BR30">
        <v>14</v>
      </c>
      <c r="BS30">
        <v>6</v>
      </c>
      <c r="BT30">
        <v>6</v>
      </c>
      <c r="BU30">
        <v>0</v>
      </c>
      <c r="BV30">
        <v>0</v>
      </c>
      <c r="BW30">
        <v>881</v>
      </c>
      <c r="BX30">
        <v>0</v>
      </c>
      <c r="BY30">
        <v>8</v>
      </c>
      <c r="BZ30">
        <v>2</v>
      </c>
      <c r="CA30">
        <v>1</v>
      </c>
      <c r="CB30">
        <v>78</v>
      </c>
      <c r="CC30">
        <v>4</v>
      </c>
      <c r="CD30">
        <v>0</v>
      </c>
      <c r="CE30">
        <v>0</v>
      </c>
      <c r="CF30">
        <v>6</v>
      </c>
      <c r="CG30">
        <v>0</v>
      </c>
      <c r="CH30">
        <v>875</v>
      </c>
      <c r="CI30">
        <v>3</v>
      </c>
      <c r="CJ30">
        <v>2</v>
      </c>
      <c r="CK30">
        <v>0</v>
      </c>
      <c r="CL30">
        <v>2</v>
      </c>
      <c r="CM30">
        <v>13</v>
      </c>
      <c r="CN30">
        <v>2</v>
      </c>
      <c r="CO30">
        <v>0</v>
      </c>
      <c r="CP30">
        <v>0</v>
      </c>
      <c r="CQ30">
        <v>2</v>
      </c>
      <c r="CR30">
        <v>1</v>
      </c>
      <c r="CS30">
        <v>940</v>
      </c>
      <c r="CT30">
        <v>0</v>
      </c>
      <c r="CU30">
        <v>0</v>
      </c>
      <c r="CV30">
        <v>0</v>
      </c>
      <c r="CW30">
        <v>0</v>
      </c>
      <c r="CX30">
        <v>4</v>
      </c>
      <c r="CY30">
        <v>3</v>
      </c>
      <c r="CZ30">
        <v>0</v>
      </c>
      <c r="DA30">
        <v>0</v>
      </c>
      <c r="DB30">
        <v>0</v>
      </c>
      <c r="DC30">
        <v>0</v>
      </c>
      <c r="DD30">
        <v>1016</v>
      </c>
      <c r="DE30">
        <v>0</v>
      </c>
      <c r="DF30">
        <v>5</v>
      </c>
      <c r="DG30">
        <v>4</v>
      </c>
      <c r="DH30">
        <v>2</v>
      </c>
      <c r="DI30">
        <v>1</v>
      </c>
      <c r="DJ30">
        <v>2</v>
      </c>
      <c r="DK30">
        <v>2</v>
      </c>
      <c r="DL30">
        <v>3</v>
      </c>
      <c r="DM30">
        <v>3</v>
      </c>
      <c r="DN30">
        <v>5</v>
      </c>
      <c r="DO30">
        <v>947</v>
      </c>
      <c r="DP30">
        <v>5</v>
      </c>
      <c r="DQ30">
        <v>1</v>
      </c>
      <c r="DR30">
        <v>2</v>
      </c>
      <c r="DS30">
        <v>0</v>
      </c>
      <c r="DT30">
        <v>2</v>
      </c>
      <c r="DU30">
        <v>1</v>
      </c>
      <c r="DV30">
        <v>0</v>
      </c>
      <c r="DW30">
        <v>0</v>
      </c>
      <c r="DX30">
        <v>2</v>
      </c>
      <c r="DY30">
        <v>0</v>
      </c>
      <c r="DZ30">
        <v>1001</v>
      </c>
      <c r="EA30">
        <v>0.96930000000000005</v>
      </c>
      <c r="EB30">
        <v>0.97073013129672303</v>
      </c>
      <c r="EC30">
        <v>0.96909368897072501</v>
      </c>
      <c r="ED30">
        <v>0.96920678869124699</v>
      </c>
      <c r="EE30">
        <f>SUM(Table1[[#This Row],[ratio_0]:[ratio_9]])</f>
        <v>730</v>
      </c>
      <c r="EF30" s="1">
        <f>(Table1[[#This Row],[predicted_0]]-Table1[[#This Row],[actual_0]])/Table1[[#This Row],[actual_0]]</f>
        <v>3.8775510204081633E-2</v>
      </c>
      <c r="EG30" s="1">
        <f>(Table1[[#This Row],[predicted_1]]-Table1[[#This Row],[actual_1]])/Table1[[#This Row],[actual_1]]</f>
        <v>2.2907488986784141E-2</v>
      </c>
      <c r="EH30" s="1">
        <f>(Table1[[#This Row],[predicted_2]]-Table1[[#This Row],[actual_2]])/Table1[[#This Row],[actual_2]]</f>
        <v>-7.7519379844961239E-2</v>
      </c>
      <c r="EI30" s="1">
        <f>(Table1[[#This Row],[predicted_3]]-Table1[[#This Row],[actual_3]])/Table1[[#This Row],[actual_3]]</f>
        <v>-1.5841584158415842E-2</v>
      </c>
      <c r="EJ30" s="1">
        <f>(Table1[[#This Row],[predicted_4]]-Table1[[#This Row],[actual_4]])/Table1[[#This Row],[actual_4]]</f>
        <v>-9.4704684317718946E-2</v>
      </c>
      <c r="EK30" s="1">
        <f>(Table1[[#This Row],[predicted_5]]-Table1[[#This Row],[actual_5]])/Table1[[#This Row],[actual_5]]</f>
        <v>-2.242152466367713E-3</v>
      </c>
      <c r="EL30" s="1">
        <f>(Table1[[#This Row],[predicted_6]]-Table1[[#This Row],[actual_6]])/Table1[[#This Row],[actual_6]]</f>
        <v>2.0876826722338203E-3</v>
      </c>
      <c r="EM30" s="1">
        <f>(Table1[[#This Row],[predicted_7]]-Table1[[#This Row],[actual_7]])/Table1[[#This Row],[actual_7]]</f>
        <v>3.6964980544747082E-2</v>
      </c>
      <c r="EN30" s="1">
        <f>(Table1[[#This Row],[predicted_8]]-Table1[[#This Row],[actual_8]])/Table1[[#This Row],[actual_8]]</f>
        <v>-1.6427104722792608E-2</v>
      </c>
      <c r="EO30" s="1">
        <f>(Table1[[#This Row],[predicted_9]]-Table1[[#This Row],[actual_9]])/Table1[[#This Row],[actual_9]]</f>
        <v>0.10208126858275521</v>
      </c>
      <c r="EP30" s="1">
        <f>1+(Table1[[#This Row],[error_ratio_0]]-EF$2)</f>
        <v>1.036734693877551</v>
      </c>
      <c r="EQ30" s="1">
        <f>1+(Table1[[#This Row],[error_ratio_1]]-EG$2)</f>
        <v>1.0211453744493393</v>
      </c>
      <c r="ER30" s="1">
        <f>1+(Table1[[#This Row],[error_ratio_2]]-EH$2)</f>
        <v>0.92732558139534882</v>
      </c>
      <c r="ES30" s="1">
        <f>1+(Table1[[#This Row],[error_ratio_3]]-EI$2)</f>
        <v>0.97425742574257423</v>
      </c>
      <c r="ET30" s="1">
        <f>1+(Table1[[#This Row],[error_ratio_4]]-EJ$2)</f>
        <v>0.90427698574338089</v>
      </c>
      <c r="EU30" s="1">
        <f>1+(Table1[[#This Row],[error_ratio_5]]-EK$2)</f>
        <v>0.99663677130044848</v>
      </c>
      <c r="EV30" s="1">
        <f>1+(Table1[[#This Row],[error_ratio_6]]-EL$2)</f>
        <v>1.0083507306889352</v>
      </c>
      <c r="EW30" s="1">
        <f>1+(Table1[[#This Row],[error_ratio_7]]-EM$2)</f>
        <v>1.0350194552529184</v>
      </c>
      <c r="EX30" s="1">
        <f>1+(Table1[[#This Row],[error_ratio_8]]-EN$2)</f>
        <v>0.98665297741273106</v>
      </c>
      <c r="EY30" s="1">
        <f>1+(Table1[[#This Row],[error_ratio_9]]-EO$2)</f>
        <v>1.1060455896927652</v>
      </c>
    </row>
    <row r="31" spans="1:155" x14ac:dyDescent="0.75">
      <c r="A31">
        <v>10</v>
      </c>
      <c r="B31">
        <v>100</v>
      </c>
      <c r="C31">
        <v>10</v>
      </c>
      <c r="D31">
        <v>10</v>
      </c>
      <c r="E31">
        <v>10</v>
      </c>
      <c r="F31">
        <v>100</v>
      </c>
      <c r="G31">
        <v>100</v>
      </c>
      <c r="H31">
        <v>100</v>
      </c>
      <c r="I31">
        <v>100</v>
      </c>
      <c r="J31">
        <v>100</v>
      </c>
      <c r="K31">
        <v>932</v>
      </c>
      <c r="L31">
        <v>1162</v>
      </c>
      <c r="M31">
        <v>966</v>
      </c>
      <c r="N31">
        <v>962</v>
      </c>
      <c r="O31">
        <v>947</v>
      </c>
      <c r="P31">
        <v>963</v>
      </c>
      <c r="Q31">
        <v>958</v>
      </c>
      <c r="R31">
        <v>1061</v>
      </c>
      <c r="S31">
        <v>984</v>
      </c>
      <c r="T31">
        <v>1065</v>
      </c>
      <c r="U31">
        <v>980</v>
      </c>
      <c r="V31">
        <v>1135</v>
      </c>
      <c r="W31">
        <v>1032</v>
      </c>
      <c r="X31">
        <v>1010</v>
      </c>
      <c r="Y31">
        <v>982</v>
      </c>
      <c r="Z31">
        <v>892</v>
      </c>
      <c r="AA31">
        <v>958</v>
      </c>
      <c r="AB31">
        <v>1028</v>
      </c>
      <c r="AC31">
        <v>974</v>
      </c>
      <c r="AD31">
        <v>1009</v>
      </c>
      <c r="AE31">
        <v>924</v>
      </c>
      <c r="AF31">
        <v>0</v>
      </c>
      <c r="AG31">
        <v>3</v>
      </c>
      <c r="AH31">
        <v>0</v>
      </c>
      <c r="AI31">
        <v>1</v>
      </c>
      <c r="AJ31">
        <v>6</v>
      </c>
      <c r="AK31">
        <v>13</v>
      </c>
      <c r="AL31">
        <v>4</v>
      </c>
      <c r="AM31">
        <v>8</v>
      </c>
      <c r="AN31">
        <v>21</v>
      </c>
      <c r="AO31">
        <v>0</v>
      </c>
      <c r="AP31">
        <v>1130</v>
      </c>
      <c r="AQ31">
        <v>0</v>
      </c>
      <c r="AR31">
        <v>2</v>
      </c>
      <c r="AS31">
        <v>0</v>
      </c>
      <c r="AT31">
        <v>1</v>
      </c>
      <c r="AU31">
        <v>0</v>
      </c>
      <c r="AV31">
        <v>1</v>
      </c>
      <c r="AW31">
        <v>1</v>
      </c>
      <c r="AX31">
        <v>0</v>
      </c>
      <c r="AY31">
        <v>2</v>
      </c>
      <c r="AZ31">
        <v>17</v>
      </c>
      <c r="BA31">
        <v>956</v>
      </c>
      <c r="BB31">
        <v>5</v>
      </c>
      <c r="BC31">
        <v>1</v>
      </c>
      <c r="BD31">
        <v>3</v>
      </c>
      <c r="BE31">
        <v>5</v>
      </c>
      <c r="BF31">
        <v>28</v>
      </c>
      <c r="BG31">
        <v>13</v>
      </c>
      <c r="BH31">
        <v>2</v>
      </c>
      <c r="BI31">
        <v>1</v>
      </c>
      <c r="BJ31">
        <v>1</v>
      </c>
      <c r="BK31">
        <v>1</v>
      </c>
      <c r="BL31">
        <v>949</v>
      </c>
      <c r="BM31">
        <v>0</v>
      </c>
      <c r="BN31">
        <v>37</v>
      </c>
      <c r="BO31">
        <v>0</v>
      </c>
      <c r="BP31">
        <v>7</v>
      </c>
      <c r="BQ31">
        <v>3</v>
      </c>
      <c r="BR31">
        <v>11</v>
      </c>
      <c r="BS31">
        <v>0</v>
      </c>
      <c r="BT31">
        <v>1</v>
      </c>
      <c r="BU31">
        <v>2</v>
      </c>
      <c r="BV31">
        <v>0</v>
      </c>
      <c r="BW31">
        <v>940</v>
      </c>
      <c r="BX31">
        <v>0</v>
      </c>
      <c r="BY31">
        <v>5</v>
      </c>
      <c r="BZ31">
        <v>1</v>
      </c>
      <c r="CA31">
        <v>2</v>
      </c>
      <c r="CB31">
        <v>31</v>
      </c>
      <c r="CC31">
        <v>1</v>
      </c>
      <c r="CD31">
        <v>0</v>
      </c>
      <c r="CE31">
        <v>0</v>
      </c>
      <c r="CF31">
        <v>1</v>
      </c>
      <c r="CG31">
        <v>0</v>
      </c>
      <c r="CH31">
        <v>890</v>
      </c>
      <c r="CI31">
        <v>0</v>
      </c>
      <c r="CJ31">
        <v>0</v>
      </c>
      <c r="CK31">
        <v>0</v>
      </c>
      <c r="CL31">
        <v>0</v>
      </c>
      <c r="CM31">
        <v>2</v>
      </c>
      <c r="CN31">
        <v>5</v>
      </c>
      <c r="CO31">
        <v>1</v>
      </c>
      <c r="CP31">
        <v>0</v>
      </c>
      <c r="CQ31">
        <v>1</v>
      </c>
      <c r="CR31">
        <v>13</v>
      </c>
      <c r="CS31">
        <v>935</v>
      </c>
      <c r="CT31">
        <v>0</v>
      </c>
      <c r="CU31">
        <v>1</v>
      </c>
      <c r="CV31">
        <v>0</v>
      </c>
      <c r="CW31">
        <v>0</v>
      </c>
      <c r="CX31">
        <v>5</v>
      </c>
      <c r="CY31">
        <v>2</v>
      </c>
      <c r="CZ31">
        <v>1</v>
      </c>
      <c r="DA31">
        <v>0</v>
      </c>
      <c r="DB31">
        <v>1</v>
      </c>
      <c r="DC31">
        <v>0</v>
      </c>
      <c r="DD31">
        <v>1016</v>
      </c>
      <c r="DE31">
        <v>1</v>
      </c>
      <c r="DF31">
        <v>2</v>
      </c>
      <c r="DG31">
        <v>2</v>
      </c>
      <c r="DH31">
        <v>0</v>
      </c>
      <c r="DI31">
        <v>1</v>
      </c>
      <c r="DJ31">
        <v>2</v>
      </c>
      <c r="DK31">
        <v>3</v>
      </c>
      <c r="DL31">
        <v>5</v>
      </c>
      <c r="DM31">
        <v>0</v>
      </c>
      <c r="DN31">
        <v>4</v>
      </c>
      <c r="DO31">
        <v>954</v>
      </c>
      <c r="DP31">
        <v>3</v>
      </c>
      <c r="DQ31">
        <v>0</v>
      </c>
      <c r="DR31">
        <v>3</v>
      </c>
      <c r="DS31">
        <v>0</v>
      </c>
      <c r="DT31">
        <v>2</v>
      </c>
      <c r="DU31">
        <v>1</v>
      </c>
      <c r="DV31">
        <v>7</v>
      </c>
      <c r="DW31">
        <v>0</v>
      </c>
      <c r="DX31">
        <v>0</v>
      </c>
      <c r="DY31">
        <v>1</v>
      </c>
      <c r="DZ31">
        <v>995</v>
      </c>
      <c r="EA31">
        <v>0.96889999999999998</v>
      </c>
      <c r="EB31">
        <v>0.96941788888534297</v>
      </c>
      <c r="EC31">
        <v>0.96893098888864904</v>
      </c>
      <c r="ED31">
        <v>0.96866859609357203</v>
      </c>
      <c r="EE31">
        <f>SUM(Table1[[#This Row],[ratio_0]:[ratio_9]])</f>
        <v>640</v>
      </c>
      <c r="EF31" s="1">
        <f>(Table1[[#This Row],[predicted_0]]-Table1[[#This Row],[actual_0]])/Table1[[#This Row],[actual_0]]</f>
        <v>-4.8979591836734691E-2</v>
      </c>
      <c r="EG31" s="1">
        <f>(Table1[[#This Row],[predicted_1]]-Table1[[#This Row],[actual_1]])/Table1[[#This Row],[actual_1]]</f>
        <v>2.378854625550661E-2</v>
      </c>
      <c r="EH31" s="1">
        <f>(Table1[[#This Row],[predicted_2]]-Table1[[#This Row],[actual_2]])/Table1[[#This Row],[actual_2]]</f>
        <v>-6.3953488372093026E-2</v>
      </c>
      <c r="EI31" s="1">
        <f>(Table1[[#This Row],[predicted_3]]-Table1[[#This Row],[actual_3]])/Table1[[#This Row],[actual_3]]</f>
        <v>-4.7524752475247525E-2</v>
      </c>
      <c r="EJ31" s="1">
        <f>(Table1[[#This Row],[predicted_4]]-Table1[[#This Row],[actual_4]])/Table1[[#This Row],[actual_4]]</f>
        <v>-3.5641547861507125E-2</v>
      </c>
      <c r="EK31" s="1">
        <f>(Table1[[#This Row],[predicted_5]]-Table1[[#This Row],[actual_5]])/Table1[[#This Row],[actual_5]]</f>
        <v>7.9596412556053805E-2</v>
      </c>
      <c r="EL31" s="1">
        <f>(Table1[[#This Row],[predicted_6]]-Table1[[#This Row],[actual_6]])/Table1[[#This Row],[actual_6]]</f>
        <v>0</v>
      </c>
      <c r="EM31" s="1">
        <f>(Table1[[#This Row],[predicted_7]]-Table1[[#This Row],[actual_7]])/Table1[[#This Row],[actual_7]]</f>
        <v>3.2101167315175094E-2</v>
      </c>
      <c r="EN31" s="1">
        <f>(Table1[[#This Row],[predicted_8]]-Table1[[#This Row],[actual_8]])/Table1[[#This Row],[actual_8]]</f>
        <v>1.0266940451745379E-2</v>
      </c>
      <c r="EO31" s="1">
        <f>(Table1[[#This Row],[predicted_9]]-Table1[[#This Row],[actual_9]])/Table1[[#This Row],[actual_9]]</f>
        <v>5.550049554013875E-2</v>
      </c>
      <c r="EP31" s="1">
        <f>1+(Table1[[#This Row],[error_ratio_0]]-EF$2)</f>
        <v>0.94897959183673475</v>
      </c>
      <c r="EQ31" s="1">
        <f>1+(Table1[[#This Row],[error_ratio_1]]-EG$2)</f>
        <v>1.0220264317180616</v>
      </c>
      <c r="ER31" s="1">
        <f>1+(Table1[[#This Row],[error_ratio_2]]-EH$2)</f>
        <v>0.94089147286821706</v>
      </c>
      <c r="ES31" s="1">
        <f>1+(Table1[[#This Row],[error_ratio_3]]-EI$2)</f>
        <v>0.94257425742574252</v>
      </c>
      <c r="ET31" s="1">
        <f>1+(Table1[[#This Row],[error_ratio_4]]-EJ$2)</f>
        <v>0.96334012219959264</v>
      </c>
      <c r="EU31" s="1">
        <f>1+(Table1[[#This Row],[error_ratio_5]]-EK$2)</f>
        <v>1.0784753363228698</v>
      </c>
      <c r="EV31" s="1">
        <f>1+(Table1[[#This Row],[error_ratio_6]]-EL$2)</f>
        <v>1.0062630480167014</v>
      </c>
      <c r="EW31" s="1">
        <f>1+(Table1[[#This Row],[error_ratio_7]]-EM$2)</f>
        <v>1.0301556420233462</v>
      </c>
      <c r="EX31" s="1">
        <f>1+(Table1[[#This Row],[error_ratio_8]]-EN$2)</f>
        <v>1.0133470225872689</v>
      </c>
      <c r="EY31" s="1">
        <f>1+(Table1[[#This Row],[error_ratio_9]]-EO$2)</f>
        <v>1.0594648166501486</v>
      </c>
    </row>
    <row r="32" spans="1:155" x14ac:dyDescent="0.75">
      <c r="A32">
        <v>100</v>
      </c>
      <c r="B32">
        <v>10</v>
      </c>
      <c r="C32">
        <v>10</v>
      </c>
      <c r="D32">
        <v>10</v>
      </c>
      <c r="E32">
        <v>10</v>
      </c>
      <c r="F32">
        <v>100</v>
      </c>
      <c r="G32">
        <v>100</v>
      </c>
      <c r="H32">
        <v>100</v>
      </c>
      <c r="I32">
        <v>100</v>
      </c>
      <c r="J32">
        <v>100</v>
      </c>
      <c r="K32">
        <v>989</v>
      </c>
      <c r="L32">
        <v>1143</v>
      </c>
      <c r="M32">
        <v>1025</v>
      </c>
      <c r="N32">
        <v>949</v>
      </c>
      <c r="O32">
        <v>965</v>
      </c>
      <c r="P32">
        <v>914</v>
      </c>
      <c r="Q32">
        <v>946</v>
      </c>
      <c r="R32">
        <v>1052</v>
      </c>
      <c r="S32">
        <v>989</v>
      </c>
      <c r="T32">
        <v>1028</v>
      </c>
      <c r="U32">
        <v>980</v>
      </c>
      <c r="V32">
        <v>1135</v>
      </c>
      <c r="W32">
        <v>1032</v>
      </c>
      <c r="X32">
        <v>1010</v>
      </c>
      <c r="Y32">
        <v>982</v>
      </c>
      <c r="Z32">
        <v>892</v>
      </c>
      <c r="AA32">
        <v>958</v>
      </c>
      <c r="AB32">
        <v>1028</v>
      </c>
      <c r="AC32">
        <v>974</v>
      </c>
      <c r="AD32">
        <v>1009</v>
      </c>
      <c r="AE32">
        <v>975</v>
      </c>
      <c r="AF32">
        <v>1</v>
      </c>
      <c r="AG32">
        <v>0</v>
      </c>
      <c r="AH32">
        <v>0</v>
      </c>
      <c r="AI32">
        <v>0</v>
      </c>
      <c r="AJ32">
        <v>0</v>
      </c>
      <c r="AK32">
        <v>1</v>
      </c>
      <c r="AL32">
        <v>2</v>
      </c>
      <c r="AM32">
        <v>1</v>
      </c>
      <c r="AN32">
        <v>0</v>
      </c>
      <c r="AO32">
        <v>0</v>
      </c>
      <c r="AP32">
        <v>1131</v>
      </c>
      <c r="AQ32">
        <v>1</v>
      </c>
      <c r="AR32">
        <v>0</v>
      </c>
      <c r="AS32">
        <v>0</v>
      </c>
      <c r="AT32">
        <v>1</v>
      </c>
      <c r="AU32">
        <v>0</v>
      </c>
      <c r="AV32">
        <v>2</v>
      </c>
      <c r="AW32">
        <v>0</v>
      </c>
      <c r="AX32">
        <v>0</v>
      </c>
      <c r="AY32">
        <v>4</v>
      </c>
      <c r="AZ32">
        <v>5</v>
      </c>
      <c r="BA32">
        <v>1003</v>
      </c>
      <c r="BB32">
        <v>0</v>
      </c>
      <c r="BC32">
        <v>1</v>
      </c>
      <c r="BD32">
        <v>0</v>
      </c>
      <c r="BE32">
        <v>0</v>
      </c>
      <c r="BF32">
        <v>16</v>
      </c>
      <c r="BG32">
        <v>3</v>
      </c>
      <c r="BH32">
        <v>0</v>
      </c>
      <c r="BI32">
        <v>2</v>
      </c>
      <c r="BJ32">
        <v>1</v>
      </c>
      <c r="BK32">
        <v>9</v>
      </c>
      <c r="BL32">
        <v>948</v>
      </c>
      <c r="BM32">
        <v>0</v>
      </c>
      <c r="BN32">
        <v>19</v>
      </c>
      <c r="BO32">
        <v>0</v>
      </c>
      <c r="BP32">
        <v>6</v>
      </c>
      <c r="BQ32">
        <v>22</v>
      </c>
      <c r="BR32">
        <v>3</v>
      </c>
      <c r="BS32">
        <v>0</v>
      </c>
      <c r="BT32">
        <v>1</v>
      </c>
      <c r="BU32">
        <v>2</v>
      </c>
      <c r="BV32">
        <v>0</v>
      </c>
      <c r="BW32">
        <v>955</v>
      </c>
      <c r="BX32">
        <v>0</v>
      </c>
      <c r="BY32">
        <v>1</v>
      </c>
      <c r="BZ32">
        <v>3</v>
      </c>
      <c r="CA32">
        <v>2</v>
      </c>
      <c r="CB32">
        <v>18</v>
      </c>
      <c r="CC32">
        <v>2</v>
      </c>
      <c r="CD32">
        <v>0</v>
      </c>
      <c r="CE32">
        <v>0</v>
      </c>
      <c r="CF32">
        <v>1</v>
      </c>
      <c r="CG32">
        <v>0</v>
      </c>
      <c r="CH32">
        <v>886</v>
      </c>
      <c r="CI32">
        <v>1</v>
      </c>
      <c r="CJ32">
        <v>1</v>
      </c>
      <c r="CK32">
        <v>1</v>
      </c>
      <c r="CL32">
        <v>0</v>
      </c>
      <c r="CM32">
        <v>4</v>
      </c>
      <c r="CN32">
        <v>3</v>
      </c>
      <c r="CO32">
        <v>1</v>
      </c>
      <c r="CP32">
        <v>0</v>
      </c>
      <c r="CQ32">
        <v>5</v>
      </c>
      <c r="CR32">
        <v>1</v>
      </c>
      <c r="CS32">
        <v>943</v>
      </c>
      <c r="CT32">
        <v>0</v>
      </c>
      <c r="CU32">
        <v>1</v>
      </c>
      <c r="CV32">
        <v>0</v>
      </c>
      <c r="CW32">
        <v>0</v>
      </c>
      <c r="CX32">
        <v>1</v>
      </c>
      <c r="CY32">
        <v>5</v>
      </c>
      <c r="CZ32">
        <v>0</v>
      </c>
      <c r="DA32">
        <v>0</v>
      </c>
      <c r="DB32">
        <v>1</v>
      </c>
      <c r="DC32">
        <v>0</v>
      </c>
      <c r="DD32">
        <v>1016</v>
      </c>
      <c r="DE32">
        <v>0</v>
      </c>
      <c r="DF32">
        <v>5</v>
      </c>
      <c r="DG32">
        <v>2</v>
      </c>
      <c r="DH32">
        <v>0</v>
      </c>
      <c r="DI32">
        <v>4</v>
      </c>
      <c r="DJ32">
        <v>0</v>
      </c>
      <c r="DK32">
        <v>1</v>
      </c>
      <c r="DL32">
        <v>3</v>
      </c>
      <c r="DM32">
        <v>0</v>
      </c>
      <c r="DN32">
        <v>2</v>
      </c>
      <c r="DO32">
        <v>956</v>
      </c>
      <c r="DP32">
        <v>6</v>
      </c>
      <c r="DQ32">
        <v>0</v>
      </c>
      <c r="DR32">
        <v>0</v>
      </c>
      <c r="DS32">
        <v>0</v>
      </c>
      <c r="DT32">
        <v>0</v>
      </c>
      <c r="DU32">
        <v>3</v>
      </c>
      <c r="DV32">
        <v>3</v>
      </c>
      <c r="DW32">
        <v>0</v>
      </c>
      <c r="DX32">
        <v>4</v>
      </c>
      <c r="DY32">
        <v>3</v>
      </c>
      <c r="DZ32">
        <v>996</v>
      </c>
      <c r="EA32">
        <v>0.98089999999999999</v>
      </c>
      <c r="EB32">
        <v>0.98099439547186396</v>
      </c>
      <c r="EC32">
        <v>0.98089701423383102</v>
      </c>
      <c r="ED32">
        <v>0.980794168573068</v>
      </c>
      <c r="EE32">
        <f>SUM(Table1[[#This Row],[ratio_0]:[ratio_9]])</f>
        <v>640</v>
      </c>
      <c r="EF32" s="1">
        <f>(Table1[[#This Row],[predicted_0]]-Table1[[#This Row],[actual_0]])/Table1[[#This Row],[actual_0]]</f>
        <v>9.1836734693877559E-3</v>
      </c>
      <c r="EG32" s="1">
        <f>(Table1[[#This Row],[predicted_1]]-Table1[[#This Row],[actual_1]])/Table1[[#This Row],[actual_1]]</f>
        <v>7.048458149779736E-3</v>
      </c>
      <c r="EH32" s="1">
        <f>(Table1[[#This Row],[predicted_2]]-Table1[[#This Row],[actual_2]])/Table1[[#This Row],[actual_2]]</f>
        <v>-6.7829457364341084E-3</v>
      </c>
      <c r="EI32" s="1">
        <f>(Table1[[#This Row],[predicted_3]]-Table1[[#This Row],[actual_3]])/Table1[[#This Row],[actual_3]]</f>
        <v>-6.0396039603960394E-2</v>
      </c>
      <c r="EJ32" s="1">
        <f>(Table1[[#This Row],[predicted_4]]-Table1[[#This Row],[actual_4]])/Table1[[#This Row],[actual_4]]</f>
        <v>-1.7311608961303463E-2</v>
      </c>
      <c r="EK32" s="1">
        <f>(Table1[[#This Row],[predicted_5]]-Table1[[#This Row],[actual_5]])/Table1[[#This Row],[actual_5]]</f>
        <v>2.4663677130044841E-2</v>
      </c>
      <c r="EL32" s="1">
        <f>(Table1[[#This Row],[predicted_6]]-Table1[[#This Row],[actual_6]])/Table1[[#This Row],[actual_6]]</f>
        <v>-1.2526096033402923E-2</v>
      </c>
      <c r="EM32" s="1">
        <f>(Table1[[#This Row],[predicted_7]]-Table1[[#This Row],[actual_7]])/Table1[[#This Row],[actual_7]]</f>
        <v>2.3346303501945526E-2</v>
      </c>
      <c r="EN32" s="1">
        <f>(Table1[[#This Row],[predicted_8]]-Table1[[#This Row],[actual_8]])/Table1[[#This Row],[actual_8]]</f>
        <v>1.5400410677618069E-2</v>
      </c>
      <c r="EO32" s="1">
        <f>(Table1[[#This Row],[predicted_9]]-Table1[[#This Row],[actual_9]])/Table1[[#This Row],[actual_9]]</f>
        <v>1.8830525272547076E-2</v>
      </c>
      <c r="EP32" s="1">
        <f>1+(Table1[[#This Row],[error_ratio_0]]-EF$2)</f>
        <v>1.0071428571428571</v>
      </c>
      <c r="EQ32" s="1">
        <f>1+(Table1[[#This Row],[error_ratio_1]]-EG$2)</f>
        <v>1.0052863436123347</v>
      </c>
      <c r="ER32" s="1">
        <f>1+(Table1[[#This Row],[error_ratio_2]]-EH$2)</f>
        <v>0.99806201550387597</v>
      </c>
      <c r="ES32" s="1">
        <f>1+(Table1[[#This Row],[error_ratio_3]]-EI$2)</f>
        <v>0.92970297029702975</v>
      </c>
      <c r="ET32" s="1">
        <f>1+(Table1[[#This Row],[error_ratio_4]]-EJ$2)</f>
        <v>0.98167006109979638</v>
      </c>
      <c r="EU32" s="1">
        <f>1+(Table1[[#This Row],[error_ratio_5]]-EK$2)</f>
        <v>1.0235426008968609</v>
      </c>
      <c r="EV32" s="1">
        <f>1+(Table1[[#This Row],[error_ratio_6]]-EL$2)</f>
        <v>0.99373695198329859</v>
      </c>
      <c r="EW32" s="1">
        <f>1+(Table1[[#This Row],[error_ratio_7]]-EM$2)</f>
        <v>1.0214007782101167</v>
      </c>
      <c r="EX32" s="1">
        <f>1+(Table1[[#This Row],[error_ratio_8]]-EN$2)</f>
        <v>1.0184804928131417</v>
      </c>
      <c r="EY32" s="1">
        <f>1+(Table1[[#This Row],[error_ratio_9]]-EO$2)</f>
        <v>1.0227948463825569</v>
      </c>
    </row>
    <row r="33" spans="1:155" x14ac:dyDescent="0.75">
      <c r="A33">
        <v>10</v>
      </c>
      <c r="B33">
        <v>10</v>
      </c>
      <c r="C33">
        <v>10</v>
      </c>
      <c r="D33">
        <v>10</v>
      </c>
      <c r="E33">
        <v>10</v>
      </c>
      <c r="F33">
        <v>100</v>
      </c>
      <c r="G33">
        <v>100</v>
      </c>
      <c r="H33">
        <v>100</v>
      </c>
      <c r="I33">
        <v>100</v>
      </c>
      <c r="J33">
        <v>100</v>
      </c>
      <c r="K33">
        <v>904</v>
      </c>
      <c r="L33">
        <v>1121</v>
      </c>
      <c r="M33">
        <v>1024</v>
      </c>
      <c r="N33">
        <v>930</v>
      </c>
      <c r="O33">
        <v>852</v>
      </c>
      <c r="P33">
        <v>965</v>
      </c>
      <c r="Q33">
        <v>984</v>
      </c>
      <c r="R33">
        <v>1057</v>
      </c>
      <c r="S33">
        <v>1065</v>
      </c>
      <c r="T33">
        <v>1098</v>
      </c>
      <c r="U33">
        <v>980</v>
      </c>
      <c r="V33">
        <v>1135</v>
      </c>
      <c r="W33">
        <v>1032</v>
      </c>
      <c r="X33">
        <v>1010</v>
      </c>
      <c r="Y33">
        <v>982</v>
      </c>
      <c r="Z33">
        <v>892</v>
      </c>
      <c r="AA33">
        <v>958</v>
      </c>
      <c r="AB33">
        <v>1028</v>
      </c>
      <c r="AC33">
        <v>974</v>
      </c>
      <c r="AD33">
        <v>1009</v>
      </c>
      <c r="AE33">
        <v>901</v>
      </c>
      <c r="AF33">
        <v>0</v>
      </c>
      <c r="AG33">
        <v>4</v>
      </c>
      <c r="AH33">
        <v>0</v>
      </c>
      <c r="AI33">
        <v>0</v>
      </c>
      <c r="AJ33">
        <v>15</v>
      </c>
      <c r="AK33">
        <v>22</v>
      </c>
      <c r="AL33">
        <v>5</v>
      </c>
      <c r="AM33">
        <v>32</v>
      </c>
      <c r="AN33">
        <v>1</v>
      </c>
      <c r="AO33">
        <v>0</v>
      </c>
      <c r="AP33">
        <v>1119</v>
      </c>
      <c r="AQ33">
        <v>4</v>
      </c>
      <c r="AR33">
        <v>1</v>
      </c>
      <c r="AS33">
        <v>0</v>
      </c>
      <c r="AT33">
        <v>3</v>
      </c>
      <c r="AU33">
        <v>2</v>
      </c>
      <c r="AV33">
        <v>3</v>
      </c>
      <c r="AW33">
        <v>3</v>
      </c>
      <c r="AX33">
        <v>0</v>
      </c>
      <c r="AY33">
        <v>1</v>
      </c>
      <c r="AZ33">
        <v>0</v>
      </c>
      <c r="BA33">
        <v>999</v>
      </c>
      <c r="BB33">
        <v>1</v>
      </c>
      <c r="BC33">
        <v>0</v>
      </c>
      <c r="BD33">
        <v>4</v>
      </c>
      <c r="BE33">
        <v>2</v>
      </c>
      <c r="BF33">
        <v>9</v>
      </c>
      <c r="BG33">
        <v>16</v>
      </c>
      <c r="BH33">
        <v>0</v>
      </c>
      <c r="BI33">
        <v>0</v>
      </c>
      <c r="BJ33">
        <v>0</v>
      </c>
      <c r="BK33">
        <v>4</v>
      </c>
      <c r="BL33">
        <v>926</v>
      </c>
      <c r="BM33">
        <v>0</v>
      </c>
      <c r="BN33">
        <v>44</v>
      </c>
      <c r="BO33">
        <v>0</v>
      </c>
      <c r="BP33">
        <v>9</v>
      </c>
      <c r="BQ33">
        <v>12</v>
      </c>
      <c r="BR33">
        <v>15</v>
      </c>
      <c r="BS33">
        <v>2</v>
      </c>
      <c r="BT33">
        <v>0</v>
      </c>
      <c r="BU33">
        <v>4</v>
      </c>
      <c r="BV33">
        <v>0</v>
      </c>
      <c r="BW33">
        <v>852</v>
      </c>
      <c r="BX33">
        <v>1</v>
      </c>
      <c r="BY33">
        <v>9</v>
      </c>
      <c r="BZ33">
        <v>6</v>
      </c>
      <c r="CA33">
        <v>17</v>
      </c>
      <c r="CB33">
        <v>91</v>
      </c>
      <c r="CC33">
        <v>0</v>
      </c>
      <c r="CD33">
        <v>0</v>
      </c>
      <c r="CE33">
        <v>0</v>
      </c>
      <c r="CF33">
        <v>2</v>
      </c>
      <c r="CG33">
        <v>0</v>
      </c>
      <c r="CH33">
        <v>886</v>
      </c>
      <c r="CI33">
        <v>1</v>
      </c>
      <c r="CJ33">
        <v>0</v>
      </c>
      <c r="CK33">
        <v>2</v>
      </c>
      <c r="CL33">
        <v>1</v>
      </c>
      <c r="CM33">
        <v>0</v>
      </c>
      <c r="CN33">
        <v>2</v>
      </c>
      <c r="CO33">
        <v>0</v>
      </c>
      <c r="CP33">
        <v>0</v>
      </c>
      <c r="CQ33">
        <v>0</v>
      </c>
      <c r="CR33">
        <v>3</v>
      </c>
      <c r="CS33">
        <v>947</v>
      </c>
      <c r="CT33">
        <v>0</v>
      </c>
      <c r="CU33">
        <v>5</v>
      </c>
      <c r="CV33">
        <v>1</v>
      </c>
      <c r="CW33">
        <v>0</v>
      </c>
      <c r="CX33">
        <v>0</v>
      </c>
      <c r="CY33">
        <v>7</v>
      </c>
      <c r="CZ33">
        <v>0</v>
      </c>
      <c r="DA33">
        <v>0</v>
      </c>
      <c r="DB33">
        <v>1</v>
      </c>
      <c r="DC33">
        <v>0</v>
      </c>
      <c r="DD33">
        <v>1015</v>
      </c>
      <c r="DE33">
        <v>2</v>
      </c>
      <c r="DF33">
        <v>3</v>
      </c>
      <c r="DG33">
        <v>0</v>
      </c>
      <c r="DH33">
        <v>0</v>
      </c>
      <c r="DI33">
        <v>1</v>
      </c>
      <c r="DJ33">
        <v>0</v>
      </c>
      <c r="DK33">
        <v>0</v>
      </c>
      <c r="DL33">
        <v>1</v>
      </c>
      <c r="DM33">
        <v>0</v>
      </c>
      <c r="DN33">
        <v>2</v>
      </c>
      <c r="DO33">
        <v>968</v>
      </c>
      <c r="DP33">
        <v>2</v>
      </c>
      <c r="DQ33">
        <v>0</v>
      </c>
      <c r="DR33">
        <v>0</v>
      </c>
      <c r="DS33">
        <v>1</v>
      </c>
      <c r="DT33">
        <v>0</v>
      </c>
      <c r="DU33">
        <v>0</v>
      </c>
      <c r="DV33">
        <v>7</v>
      </c>
      <c r="DW33">
        <v>1</v>
      </c>
      <c r="DX33">
        <v>8</v>
      </c>
      <c r="DY33">
        <v>8</v>
      </c>
      <c r="DZ33">
        <v>984</v>
      </c>
      <c r="EA33">
        <v>0.9597</v>
      </c>
      <c r="EB33">
        <v>0.96120751976934404</v>
      </c>
      <c r="EC33">
        <v>0.95959710880258398</v>
      </c>
      <c r="ED33">
        <v>0.95906886357884902</v>
      </c>
      <c r="EE33">
        <f>SUM(Table1[[#This Row],[ratio_0]:[ratio_9]])</f>
        <v>550</v>
      </c>
      <c r="EF33" s="1">
        <f>(Table1[[#This Row],[predicted_0]]-Table1[[#This Row],[actual_0]])/Table1[[#This Row],[actual_0]]</f>
        <v>-7.7551020408163265E-2</v>
      </c>
      <c r="EG33" s="1">
        <f>(Table1[[#This Row],[predicted_1]]-Table1[[#This Row],[actual_1]])/Table1[[#This Row],[actual_1]]</f>
        <v>-1.2334801762114538E-2</v>
      </c>
      <c r="EH33" s="1">
        <f>(Table1[[#This Row],[predicted_2]]-Table1[[#This Row],[actual_2]])/Table1[[#This Row],[actual_2]]</f>
        <v>-7.7519379844961239E-3</v>
      </c>
      <c r="EI33" s="1">
        <f>(Table1[[#This Row],[predicted_3]]-Table1[[#This Row],[actual_3]])/Table1[[#This Row],[actual_3]]</f>
        <v>-7.9207920792079209E-2</v>
      </c>
      <c r="EJ33" s="1">
        <f>(Table1[[#This Row],[predicted_4]]-Table1[[#This Row],[actual_4]])/Table1[[#This Row],[actual_4]]</f>
        <v>-0.13238289205702647</v>
      </c>
      <c r="EK33" s="1">
        <f>(Table1[[#This Row],[predicted_5]]-Table1[[#This Row],[actual_5]])/Table1[[#This Row],[actual_5]]</f>
        <v>8.1838565022421525E-2</v>
      </c>
      <c r="EL33" s="1">
        <f>(Table1[[#This Row],[predicted_6]]-Table1[[#This Row],[actual_6]])/Table1[[#This Row],[actual_6]]</f>
        <v>2.7139874739039668E-2</v>
      </c>
      <c r="EM33" s="1">
        <f>(Table1[[#This Row],[predicted_7]]-Table1[[#This Row],[actual_7]])/Table1[[#This Row],[actual_7]]</f>
        <v>2.821011673151751E-2</v>
      </c>
      <c r="EN33" s="1">
        <f>(Table1[[#This Row],[predicted_8]]-Table1[[#This Row],[actual_8]])/Table1[[#This Row],[actual_8]]</f>
        <v>9.3429158110882954E-2</v>
      </c>
      <c r="EO33" s="1">
        <f>(Table1[[#This Row],[predicted_9]]-Table1[[#This Row],[actual_9]])/Table1[[#This Row],[actual_9]]</f>
        <v>8.820614469772052E-2</v>
      </c>
      <c r="EP33" s="1">
        <f>1+(Table1[[#This Row],[error_ratio_0]]-EF$2)</f>
        <v>0.92040816326530617</v>
      </c>
      <c r="EQ33" s="1">
        <f>1+(Table1[[#This Row],[error_ratio_1]]-EG$2)</f>
        <v>0.98590308370044055</v>
      </c>
      <c r="ER33" s="1">
        <f>1+(Table1[[#This Row],[error_ratio_2]]-EH$2)</f>
        <v>0.99709302325581395</v>
      </c>
      <c r="ES33" s="1">
        <f>1+(Table1[[#This Row],[error_ratio_3]]-EI$2)</f>
        <v>0.91089108910891092</v>
      </c>
      <c r="ET33" s="1">
        <f>1+(Table1[[#This Row],[error_ratio_4]]-EJ$2)</f>
        <v>0.86659877800407337</v>
      </c>
      <c r="EU33" s="1">
        <f>1+(Table1[[#This Row],[error_ratio_5]]-EK$2)</f>
        <v>1.0807174887892377</v>
      </c>
      <c r="EV33" s="1">
        <f>1+(Table1[[#This Row],[error_ratio_6]]-EL$2)</f>
        <v>1.0334029227557411</v>
      </c>
      <c r="EW33" s="1">
        <f>1+(Table1[[#This Row],[error_ratio_7]]-EM$2)</f>
        <v>1.0262645914396886</v>
      </c>
      <c r="EX33" s="1">
        <f>1+(Table1[[#This Row],[error_ratio_8]]-EN$2)</f>
        <v>1.0965092402464065</v>
      </c>
      <c r="EY33" s="1">
        <f>1+(Table1[[#This Row],[error_ratio_9]]-EO$2)</f>
        <v>1.0921704658077305</v>
      </c>
    </row>
    <row r="34" spans="1:155" x14ac:dyDescent="0.75">
      <c r="A34">
        <v>100</v>
      </c>
      <c r="B34">
        <v>100</v>
      </c>
      <c r="C34">
        <v>100</v>
      </c>
      <c r="D34">
        <v>100</v>
      </c>
      <c r="E34">
        <v>100</v>
      </c>
      <c r="F34">
        <v>10</v>
      </c>
      <c r="G34">
        <v>100</v>
      </c>
      <c r="H34">
        <v>100</v>
      </c>
      <c r="I34">
        <v>100</v>
      </c>
      <c r="J34">
        <v>100</v>
      </c>
      <c r="K34">
        <v>994</v>
      </c>
      <c r="L34">
        <v>1139</v>
      </c>
      <c r="M34">
        <v>1033</v>
      </c>
      <c r="N34">
        <v>1039</v>
      </c>
      <c r="O34">
        <v>982</v>
      </c>
      <c r="P34">
        <v>833</v>
      </c>
      <c r="Q34">
        <v>961</v>
      </c>
      <c r="R34">
        <v>1037</v>
      </c>
      <c r="S34">
        <v>977</v>
      </c>
      <c r="T34">
        <v>1005</v>
      </c>
      <c r="U34">
        <v>980</v>
      </c>
      <c r="V34">
        <v>1135</v>
      </c>
      <c r="W34">
        <v>1032</v>
      </c>
      <c r="X34">
        <v>1010</v>
      </c>
      <c r="Y34">
        <v>982</v>
      </c>
      <c r="Z34">
        <v>892</v>
      </c>
      <c r="AA34">
        <v>958</v>
      </c>
      <c r="AB34">
        <v>1028</v>
      </c>
      <c r="AC34">
        <v>974</v>
      </c>
      <c r="AD34">
        <v>1009</v>
      </c>
      <c r="AE34">
        <v>976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1</v>
      </c>
      <c r="AL34">
        <v>2</v>
      </c>
      <c r="AM34">
        <v>1</v>
      </c>
      <c r="AN34">
        <v>0</v>
      </c>
      <c r="AO34">
        <v>0</v>
      </c>
      <c r="AP34">
        <v>1131</v>
      </c>
      <c r="AQ34">
        <v>0</v>
      </c>
      <c r="AR34">
        <v>1</v>
      </c>
      <c r="AS34">
        <v>0</v>
      </c>
      <c r="AT34">
        <v>1</v>
      </c>
      <c r="AU34">
        <v>2</v>
      </c>
      <c r="AV34">
        <v>0</v>
      </c>
      <c r="AW34">
        <v>0</v>
      </c>
      <c r="AX34">
        <v>0</v>
      </c>
      <c r="AY34">
        <v>1</v>
      </c>
      <c r="AZ34">
        <v>2</v>
      </c>
      <c r="BA34">
        <v>1021</v>
      </c>
      <c r="BB34">
        <v>0</v>
      </c>
      <c r="BC34">
        <v>1</v>
      </c>
      <c r="BD34">
        <v>0</v>
      </c>
      <c r="BE34">
        <v>0</v>
      </c>
      <c r="BF34">
        <v>5</v>
      </c>
      <c r="BG34">
        <v>2</v>
      </c>
      <c r="BH34">
        <v>0</v>
      </c>
      <c r="BI34">
        <v>0</v>
      </c>
      <c r="BJ34">
        <v>0</v>
      </c>
      <c r="BK34">
        <v>1</v>
      </c>
      <c r="BL34">
        <v>1004</v>
      </c>
      <c r="BM34">
        <v>0</v>
      </c>
      <c r="BN34">
        <v>1</v>
      </c>
      <c r="BO34">
        <v>0</v>
      </c>
      <c r="BP34">
        <v>2</v>
      </c>
      <c r="BQ34">
        <v>1</v>
      </c>
      <c r="BR34">
        <v>1</v>
      </c>
      <c r="BS34">
        <v>0</v>
      </c>
      <c r="BT34">
        <v>0</v>
      </c>
      <c r="BU34">
        <v>2</v>
      </c>
      <c r="BV34">
        <v>0</v>
      </c>
      <c r="BW34">
        <v>976</v>
      </c>
      <c r="BX34">
        <v>0</v>
      </c>
      <c r="BY34">
        <v>1</v>
      </c>
      <c r="BZ34">
        <v>0</v>
      </c>
      <c r="CA34">
        <v>0</v>
      </c>
      <c r="CB34">
        <v>3</v>
      </c>
      <c r="CC34">
        <v>3</v>
      </c>
      <c r="CD34">
        <v>0</v>
      </c>
      <c r="CE34">
        <v>1</v>
      </c>
      <c r="CF34">
        <v>29</v>
      </c>
      <c r="CG34">
        <v>0</v>
      </c>
      <c r="CH34">
        <v>829</v>
      </c>
      <c r="CI34">
        <v>10</v>
      </c>
      <c r="CJ34">
        <v>3</v>
      </c>
      <c r="CK34">
        <v>12</v>
      </c>
      <c r="CL34">
        <v>5</v>
      </c>
      <c r="CM34">
        <v>7</v>
      </c>
      <c r="CN34">
        <v>2</v>
      </c>
      <c r="CO34">
        <v>0</v>
      </c>
      <c r="CP34">
        <v>0</v>
      </c>
      <c r="CQ34">
        <v>1</v>
      </c>
      <c r="CR34">
        <v>1</v>
      </c>
      <c r="CS34">
        <v>946</v>
      </c>
      <c r="CT34">
        <v>0</v>
      </c>
      <c r="CU34">
        <v>1</v>
      </c>
      <c r="CV34">
        <v>0</v>
      </c>
      <c r="CW34">
        <v>1</v>
      </c>
      <c r="CX34">
        <v>3</v>
      </c>
      <c r="CY34">
        <v>5</v>
      </c>
      <c r="CZ34">
        <v>1</v>
      </c>
      <c r="DA34">
        <v>0</v>
      </c>
      <c r="DB34">
        <v>0</v>
      </c>
      <c r="DC34">
        <v>0</v>
      </c>
      <c r="DD34">
        <v>1016</v>
      </c>
      <c r="DE34">
        <v>0</v>
      </c>
      <c r="DF34">
        <v>2</v>
      </c>
      <c r="DG34">
        <v>2</v>
      </c>
      <c r="DH34">
        <v>0</v>
      </c>
      <c r="DI34">
        <v>3</v>
      </c>
      <c r="DJ34">
        <v>1</v>
      </c>
      <c r="DK34">
        <v>0</v>
      </c>
      <c r="DL34">
        <v>0</v>
      </c>
      <c r="DM34">
        <v>1</v>
      </c>
      <c r="DN34">
        <v>2</v>
      </c>
      <c r="DO34">
        <v>960</v>
      </c>
      <c r="DP34">
        <v>5</v>
      </c>
      <c r="DQ34">
        <v>4</v>
      </c>
      <c r="DR34">
        <v>1</v>
      </c>
      <c r="DS34">
        <v>0</v>
      </c>
      <c r="DT34">
        <v>3</v>
      </c>
      <c r="DU34">
        <v>4</v>
      </c>
      <c r="DV34">
        <v>1</v>
      </c>
      <c r="DW34">
        <v>0</v>
      </c>
      <c r="DX34">
        <v>7</v>
      </c>
      <c r="DY34">
        <v>0</v>
      </c>
      <c r="DZ34">
        <v>989</v>
      </c>
      <c r="EA34">
        <v>0.98480000000000001</v>
      </c>
      <c r="EB34">
        <v>0.98494727885306199</v>
      </c>
      <c r="EC34">
        <v>0.98406622771930996</v>
      </c>
      <c r="ED34">
        <v>0.98436651159403099</v>
      </c>
      <c r="EE34">
        <f>SUM(Table1[[#This Row],[ratio_0]:[ratio_9]])</f>
        <v>910</v>
      </c>
      <c r="EF34" s="1">
        <f>(Table1[[#This Row],[predicted_0]]-Table1[[#This Row],[actual_0]])/Table1[[#This Row],[actual_0]]</f>
        <v>1.4285714285714285E-2</v>
      </c>
      <c r="EG34" s="1">
        <f>(Table1[[#This Row],[predicted_1]]-Table1[[#This Row],[actual_1]])/Table1[[#This Row],[actual_1]]</f>
        <v>3.524229074889868E-3</v>
      </c>
      <c r="EH34" s="1">
        <f>(Table1[[#This Row],[predicted_2]]-Table1[[#This Row],[actual_2]])/Table1[[#This Row],[actual_2]]</f>
        <v>9.6899224806201549E-4</v>
      </c>
      <c r="EI34" s="1">
        <f>(Table1[[#This Row],[predicted_3]]-Table1[[#This Row],[actual_3]])/Table1[[#This Row],[actual_3]]</f>
        <v>2.8712871287128714E-2</v>
      </c>
      <c r="EJ34" s="1">
        <f>(Table1[[#This Row],[predicted_4]]-Table1[[#This Row],[actual_4]])/Table1[[#This Row],[actual_4]]</f>
        <v>0</v>
      </c>
      <c r="EK34" s="1">
        <f>(Table1[[#This Row],[predicted_5]]-Table1[[#This Row],[actual_5]])/Table1[[#This Row],[actual_5]]</f>
        <v>-6.614349775784753E-2</v>
      </c>
      <c r="EL34" s="1">
        <f>(Table1[[#This Row],[predicted_6]]-Table1[[#This Row],[actual_6]])/Table1[[#This Row],[actual_6]]</f>
        <v>3.1315240083507308E-3</v>
      </c>
      <c r="EM34" s="1">
        <f>(Table1[[#This Row],[predicted_7]]-Table1[[#This Row],[actual_7]])/Table1[[#This Row],[actual_7]]</f>
        <v>8.7548638132295721E-3</v>
      </c>
      <c r="EN34" s="1">
        <f>(Table1[[#This Row],[predicted_8]]-Table1[[#This Row],[actual_8]])/Table1[[#This Row],[actual_8]]</f>
        <v>3.0800821355236141E-3</v>
      </c>
      <c r="EO34" s="1">
        <f>(Table1[[#This Row],[predicted_9]]-Table1[[#This Row],[actual_9]])/Table1[[#This Row],[actual_9]]</f>
        <v>-3.9643211100099107E-3</v>
      </c>
      <c r="EP34" s="1">
        <f>1+(Table1[[#This Row],[error_ratio_0]]-EF$2)</f>
        <v>1.0122448979591836</v>
      </c>
      <c r="EQ34" s="1">
        <f>1+(Table1[[#This Row],[error_ratio_1]]-EG$2)</f>
        <v>1.0017621145374449</v>
      </c>
      <c r="ER34" s="1">
        <f>1+(Table1[[#This Row],[error_ratio_2]]-EH$2)</f>
        <v>1.0058139534883721</v>
      </c>
      <c r="ES34" s="1">
        <f>1+(Table1[[#This Row],[error_ratio_3]]-EI$2)</f>
        <v>1.0188118811881188</v>
      </c>
      <c r="ET34" s="1">
        <f>1+(Table1[[#This Row],[error_ratio_4]]-EJ$2)</f>
        <v>0.99898167006109984</v>
      </c>
      <c r="EU34" s="1">
        <f>1+(Table1[[#This Row],[error_ratio_5]]-EK$2)</f>
        <v>0.93273542600896864</v>
      </c>
      <c r="EV34" s="1">
        <f>1+(Table1[[#This Row],[error_ratio_6]]-EL$2)</f>
        <v>1.0093945720250521</v>
      </c>
      <c r="EW34" s="1">
        <f>1+(Table1[[#This Row],[error_ratio_7]]-EM$2)</f>
        <v>1.0068093385214008</v>
      </c>
      <c r="EX34" s="1">
        <f>1+(Table1[[#This Row],[error_ratio_8]]-EN$2)</f>
        <v>1.0061601642710472</v>
      </c>
      <c r="EY34" s="1">
        <f>1+(Table1[[#This Row],[error_ratio_9]]-EO$2)</f>
        <v>1</v>
      </c>
    </row>
    <row r="35" spans="1:155" x14ac:dyDescent="0.75">
      <c r="A35">
        <v>10</v>
      </c>
      <c r="B35">
        <v>100</v>
      </c>
      <c r="C35">
        <v>100</v>
      </c>
      <c r="D35">
        <v>100</v>
      </c>
      <c r="E35">
        <v>100</v>
      </c>
      <c r="F35">
        <v>10</v>
      </c>
      <c r="G35">
        <v>100</v>
      </c>
      <c r="H35">
        <v>100</v>
      </c>
      <c r="I35">
        <v>100</v>
      </c>
      <c r="J35">
        <v>100</v>
      </c>
      <c r="K35">
        <v>964</v>
      </c>
      <c r="L35">
        <v>1145</v>
      </c>
      <c r="M35">
        <v>1032</v>
      </c>
      <c r="N35">
        <v>1026</v>
      </c>
      <c r="O35">
        <v>980</v>
      </c>
      <c r="P35">
        <v>843</v>
      </c>
      <c r="Q35">
        <v>973</v>
      </c>
      <c r="R35">
        <v>1039</v>
      </c>
      <c r="S35">
        <v>990</v>
      </c>
      <c r="T35">
        <v>1008</v>
      </c>
      <c r="U35">
        <v>980</v>
      </c>
      <c r="V35">
        <v>1135</v>
      </c>
      <c r="W35">
        <v>1032</v>
      </c>
      <c r="X35">
        <v>1010</v>
      </c>
      <c r="Y35">
        <v>982</v>
      </c>
      <c r="Z35">
        <v>892</v>
      </c>
      <c r="AA35">
        <v>958</v>
      </c>
      <c r="AB35">
        <v>1028</v>
      </c>
      <c r="AC35">
        <v>974</v>
      </c>
      <c r="AD35">
        <v>1009</v>
      </c>
      <c r="AE35">
        <v>959</v>
      </c>
      <c r="AF35">
        <v>0</v>
      </c>
      <c r="AG35">
        <v>1</v>
      </c>
      <c r="AH35">
        <v>0</v>
      </c>
      <c r="AI35">
        <v>0</v>
      </c>
      <c r="AJ35">
        <v>0</v>
      </c>
      <c r="AK35">
        <v>7</v>
      </c>
      <c r="AL35">
        <v>5</v>
      </c>
      <c r="AM35">
        <v>7</v>
      </c>
      <c r="AN35">
        <v>1</v>
      </c>
      <c r="AO35">
        <v>0</v>
      </c>
      <c r="AP35">
        <v>1131</v>
      </c>
      <c r="AQ35">
        <v>0</v>
      </c>
      <c r="AR35">
        <v>0</v>
      </c>
      <c r="AS35">
        <v>0</v>
      </c>
      <c r="AT35">
        <v>1</v>
      </c>
      <c r="AU35">
        <v>2</v>
      </c>
      <c r="AV35">
        <v>0</v>
      </c>
      <c r="AW35">
        <v>0</v>
      </c>
      <c r="AX35">
        <v>1</v>
      </c>
      <c r="AY35">
        <v>0</v>
      </c>
      <c r="AZ35">
        <v>2</v>
      </c>
      <c r="BA35">
        <v>1021</v>
      </c>
      <c r="BB35">
        <v>0</v>
      </c>
      <c r="BC35">
        <v>1</v>
      </c>
      <c r="BD35">
        <v>0</v>
      </c>
      <c r="BE35">
        <v>1</v>
      </c>
      <c r="BF35">
        <v>5</v>
      </c>
      <c r="BG35">
        <v>2</v>
      </c>
      <c r="BH35">
        <v>0</v>
      </c>
      <c r="BI35">
        <v>0</v>
      </c>
      <c r="BJ35">
        <v>0</v>
      </c>
      <c r="BK35">
        <v>2</v>
      </c>
      <c r="BL35">
        <v>1004</v>
      </c>
      <c r="BM35">
        <v>0</v>
      </c>
      <c r="BN35">
        <v>1</v>
      </c>
      <c r="BO35">
        <v>0</v>
      </c>
      <c r="BP35">
        <v>1</v>
      </c>
      <c r="BQ35">
        <v>1</v>
      </c>
      <c r="BR35">
        <v>1</v>
      </c>
      <c r="BS35">
        <v>0</v>
      </c>
      <c r="BT35">
        <v>0</v>
      </c>
      <c r="BU35">
        <v>1</v>
      </c>
      <c r="BV35">
        <v>0</v>
      </c>
      <c r="BW35">
        <v>972</v>
      </c>
      <c r="BX35">
        <v>0</v>
      </c>
      <c r="BY35">
        <v>2</v>
      </c>
      <c r="BZ35">
        <v>1</v>
      </c>
      <c r="CA35">
        <v>1</v>
      </c>
      <c r="CB35">
        <v>5</v>
      </c>
      <c r="CC35">
        <v>1</v>
      </c>
      <c r="CD35">
        <v>1</v>
      </c>
      <c r="CE35">
        <v>1</v>
      </c>
      <c r="CF35">
        <v>20</v>
      </c>
      <c r="CG35">
        <v>1</v>
      </c>
      <c r="CH35">
        <v>840</v>
      </c>
      <c r="CI35">
        <v>12</v>
      </c>
      <c r="CJ35">
        <v>2</v>
      </c>
      <c r="CK35">
        <v>12</v>
      </c>
      <c r="CL35">
        <v>2</v>
      </c>
      <c r="CM35">
        <v>2</v>
      </c>
      <c r="CN35">
        <v>4</v>
      </c>
      <c r="CO35">
        <v>0</v>
      </c>
      <c r="CP35">
        <v>0</v>
      </c>
      <c r="CQ35">
        <v>3</v>
      </c>
      <c r="CR35">
        <v>1</v>
      </c>
      <c r="CS35">
        <v>948</v>
      </c>
      <c r="CT35">
        <v>0</v>
      </c>
      <c r="CU35">
        <v>0</v>
      </c>
      <c r="CV35">
        <v>0</v>
      </c>
      <c r="CW35">
        <v>0</v>
      </c>
      <c r="CX35">
        <v>5</v>
      </c>
      <c r="CY35">
        <v>5</v>
      </c>
      <c r="CZ35">
        <v>0</v>
      </c>
      <c r="DA35">
        <v>0</v>
      </c>
      <c r="DB35">
        <v>0</v>
      </c>
      <c r="DC35">
        <v>0</v>
      </c>
      <c r="DD35">
        <v>1016</v>
      </c>
      <c r="DE35">
        <v>0</v>
      </c>
      <c r="DF35">
        <v>2</v>
      </c>
      <c r="DG35">
        <v>1</v>
      </c>
      <c r="DH35">
        <v>0</v>
      </c>
      <c r="DI35">
        <v>1</v>
      </c>
      <c r="DJ35">
        <v>0</v>
      </c>
      <c r="DK35">
        <v>0</v>
      </c>
      <c r="DL35">
        <v>0</v>
      </c>
      <c r="DM35">
        <v>1</v>
      </c>
      <c r="DN35">
        <v>2</v>
      </c>
      <c r="DO35">
        <v>966</v>
      </c>
      <c r="DP35">
        <v>3</v>
      </c>
      <c r="DQ35">
        <v>1</v>
      </c>
      <c r="DR35">
        <v>2</v>
      </c>
      <c r="DS35">
        <v>0</v>
      </c>
      <c r="DT35">
        <v>2</v>
      </c>
      <c r="DU35">
        <v>3</v>
      </c>
      <c r="DV35">
        <v>0</v>
      </c>
      <c r="DW35">
        <v>0</v>
      </c>
      <c r="DX35">
        <v>7</v>
      </c>
      <c r="DY35">
        <v>1</v>
      </c>
      <c r="DZ35">
        <v>993</v>
      </c>
      <c r="EA35">
        <v>0.98499999999999999</v>
      </c>
      <c r="EB35">
        <v>0.985180903252181</v>
      </c>
      <c r="EC35">
        <v>0.98437860252803</v>
      </c>
      <c r="ED35">
        <v>0.98467240910187803</v>
      </c>
      <c r="EE35">
        <f>SUM(Table1[[#This Row],[ratio_0]:[ratio_9]])</f>
        <v>820</v>
      </c>
      <c r="EF35" s="1">
        <f>(Table1[[#This Row],[predicted_0]]-Table1[[#This Row],[actual_0]])/Table1[[#This Row],[actual_0]]</f>
        <v>-1.6326530612244899E-2</v>
      </c>
      <c r="EG35" s="1">
        <f>(Table1[[#This Row],[predicted_1]]-Table1[[#This Row],[actual_1]])/Table1[[#This Row],[actual_1]]</f>
        <v>8.8105726872246704E-3</v>
      </c>
      <c r="EH35" s="1">
        <f>(Table1[[#This Row],[predicted_2]]-Table1[[#This Row],[actual_2]])/Table1[[#This Row],[actual_2]]</f>
        <v>0</v>
      </c>
      <c r="EI35" s="1">
        <f>(Table1[[#This Row],[predicted_3]]-Table1[[#This Row],[actual_3]])/Table1[[#This Row],[actual_3]]</f>
        <v>1.5841584158415842E-2</v>
      </c>
      <c r="EJ35" s="1">
        <f>(Table1[[#This Row],[predicted_4]]-Table1[[#This Row],[actual_4]])/Table1[[#This Row],[actual_4]]</f>
        <v>-2.0366598778004071E-3</v>
      </c>
      <c r="EK35" s="1">
        <f>(Table1[[#This Row],[predicted_5]]-Table1[[#This Row],[actual_5]])/Table1[[#This Row],[actual_5]]</f>
        <v>-5.4932735426008968E-2</v>
      </c>
      <c r="EL35" s="1">
        <f>(Table1[[#This Row],[predicted_6]]-Table1[[#This Row],[actual_6]])/Table1[[#This Row],[actual_6]]</f>
        <v>1.5657620041753653E-2</v>
      </c>
      <c r="EM35" s="1">
        <f>(Table1[[#This Row],[predicted_7]]-Table1[[#This Row],[actual_7]])/Table1[[#This Row],[actual_7]]</f>
        <v>1.0700389105058366E-2</v>
      </c>
      <c r="EN35" s="1">
        <f>(Table1[[#This Row],[predicted_8]]-Table1[[#This Row],[actual_8]])/Table1[[#This Row],[actual_8]]</f>
        <v>1.6427104722792608E-2</v>
      </c>
      <c r="EO35" s="1">
        <f>(Table1[[#This Row],[predicted_9]]-Table1[[#This Row],[actual_9]])/Table1[[#This Row],[actual_9]]</f>
        <v>-9.9108027750247768E-4</v>
      </c>
      <c r="EP35" s="1">
        <f>1+(Table1[[#This Row],[error_ratio_0]]-EF$2)</f>
        <v>0.98163265306122449</v>
      </c>
      <c r="EQ35" s="1">
        <f>1+(Table1[[#This Row],[error_ratio_1]]-EG$2)</f>
        <v>1.0070484581497798</v>
      </c>
      <c r="ER35" s="1">
        <f>1+(Table1[[#This Row],[error_ratio_2]]-EH$2)</f>
        <v>1.0048449612403101</v>
      </c>
      <c r="ES35" s="1">
        <f>1+(Table1[[#This Row],[error_ratio_3]]-EI$2)</f>
        <v>1.0059405940594059</v>
      </c>
      <c r="ET35" s="1">
        <f>1+(Table1[[#This Row],[error_ratio_4]]-EJ$2)</f>
        <v>0.9969450101832994</v>
      </c>
      <c r="EU35" s="1">
        <f>1+(Table1[[#This Row],[error_ratio_5]]-EK$2)</f>
        <v>0.94394618834080712</v>
      </c>
      <c r="EV35" s="1">
        <f>1+(Table1[[#This Row],[error_ratio_6]]-EL$2)</f>
        <v>1.0219206680584552</v>
      </c>
      <c r="EW35" s="1">
        <f>1+(Table1[[#This Row],[error_ratio_7]]-EM$2)</f>
        <v>1.0087548638132295</v>
      </c>
      <c r="EX35" s="1">
        <f>1+(Table1[[#This Row],[error_ratio_8]]-EN$2)</f>
        <v>1.0195071868583163</v>
      </c>
      <c r="EY35" s="1">
        <f>1+(Table1[[#This Row],[error_ratio_9]]-EO$2)</f>
        <v>1.0029732408325074</v>
      </c>
    </row>
    <row r="36" spans="1:155" x14ac:dyDescent="0.75">
      <c r="A36">
        <v>100</v>
      </c>
      <c r="B36">
        <v>10</v>
      </c>
      <c r="C36">
        <v>100</v>
      </c>
      <c r="D36">
        <v>100</v>
      </c>
      <c r="E36">
        <v>100</v>
      </c>
      <c r="F36">
        <v>10</v>
      </c>
      <c r="G36">
        <v>100</v>
      </c>
      <c r="H36">
        <v>100</v>
      </c>
      <c r="I36">
        <v>100</v>
      </c>
      <c r="J36">
        <v>100</v>
      </c>
      <c r="K36">
        <v>989</v>
      </c>
      <c r="L36">
        <v>1107</v>
      </c>
      <c r="M36">
        <v>1039</v>
      </c>
      <c r="N36">
        <v>1024</v>
      </c>
      <c r="O36">
        <v>993</v>
      </c>
      <c r="P36">
        <v>857</v>
      </c>
      <c r="Q36">
        <v>970</v>
      </c>
      <c r="R36">
        <v>1035</v>
      </c>
      <c r="S36">
        <v>984</v>
      </c>
      <c r="T36">
        <v>1002</v>
      </c>
      <c r="U36">
        <v>980</v>
      </c>
      <c r="V36">
        <v>1135</v>
      </c>
      <c r="W36">
        <v>1032</v>
      </c>
      <c r="X36">
        <v>1010</v>
      </c>
      <c r="Y36">
        <v>982</v>
      </c>
      <c r="Z36">
        <v>892</v>
      </c>
      <c r="AA36">
        <v>958</v>
      </c>
      <c r="AB36">
        <v>1028</v>
      </c>
      <c r="AC36">
        <v>974</v>
      </c>
      <c r="AD36">
        <v>1009</v>
      </c>
      <c r="AE36">
        <v>977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1</v>
      </c>
      <c r="AL36">
        <v>1</v>
      </c>
      <c r="AM36">
        <v>1</v>
      </c>
      <c r="AN36">
        <v>0</v>
      </c>
      <c r="AO36">
        <v>0</v>
      </c>
      <c r="AP36">
        <v>1105</v>
      </c>
      <c r="AQ36">
        <v>9</v>
      </c>
      <c r="AR36">
        <v>2</v>
      </c>
      <c r="AS36">
        <v>2</v>
      </c>
      <c r="AT36">
        <v>1</v>
      </c>
      <c r="AU36">
        <v>6</v>
      </c>
      <c r="AV36">
        <v>5</v>
      </c>
      <c r="AW36">
        <v>4</v>
      </c>
      <c r="AX36">
        <v>1</v>
      </c>
      <c r="AY36">
        <v>2</v>
      </c>
      <c r="AZ36">
        <v>0</v>
      </c>
      <c r="BA36">
        <v>1021</v>
      </c>
      <c r="BB36">
        <v>2</v>
      </c>
      <c r="BC36">
        <v>1</v>
      </c>
      <c r="BD36">
        <v>0</v>
      </c>
      <c r="BE36">
        <v>0</v>
      </c>
      <c r="BF36">
        <v>3</v>
      </c>
      <c r="BG36">
        <v>3</v>
      </c>
      <c r="BH36">
        <v>0</v>
      </c>
      <c r="BI36">
        <v>0</v>
      </c>
      <c r="BJ36">
        <v>0</v>
      </c>
      <c r="BK36">
        <v>1</v>
      </c>
      <c r="BL36">
        <v>1002</v>
      </c>
      <c r="BM36">
        <v>0</v>
      </c>
      <c r="BN36">
        <v>2</v>
      </c>
      <c r="BO36">
        <v>0</v>
      </c>
      <c r="BP36">
        <v>2</v>
      </c>
      <c r="BQ36">
        <v>2</v>
      </c>
      <c r="BR36">
        <v>1</v>
      </c>
      <c r="BS36">
        <v>0</v>
      </c>
      <c r="BT36">
        <v>0</v>
      </c>
      <c r="BU36">
        <v>1</v>
      </c>
      <c r="BV36">
        <v>0</v>
      </c>
      <c r="BW36">
        <v>975</v>
      </c>
      <c r="BX36">
        <v>0</v>
      </c>
      <c r="BY36">
        <v>4</v>
      </c>
      <c r="BZ36">
        <v>0</v>
      </c>
      <c r="CA36">
        <v>1</v>
      </c>
      <c r="CB36">
        <v>1</v>
      </c>
      <c r="CC36">
        <v>2</v>
      </c>
      <c r="CD36">
        <v>0</v>
      </c>
      <c r="CE36">
        <v>1</v>
      </c>
      <c r="CF36">
        <v>15</v>
      </c>
      <c r="CG36">
        <v>0</v>
      </c>
      <c r="CH36">
        <v>850</v>
      </c>
      <c r="CI36">
        <v>8</v>
      </c>
      <c r="CJ36">
        <v>1</v>
      </c>
      <c r="CK36">
        <v>12</v>
      </c>
      <c r="CL36">
        <v>3</v>
      </c>
      <c r="CM36">
        <v>3</v>
      </c>
      <c r="CN36">
        <v>1</v>
      </c>
      <c r="CO36">
        <v>0</v>
      </c>
      <c r="CP36">
        <v>0</v>
      </c>
      <c r="CQ36">
        <v>3</v>
      </c>
      <c r="CR36">
        <v>1</v>
      </c>
      <c r="CS36">
        <v>950</v>
      </c>
      <c r="CT36">
        <v>0</v>
      </c>
      <c r="CU36">
        <v>0</v>
      </c>
      <c r="CV36">
        <v>0</v>
      </c>
      <c r="CW36">
        <v>1</v>
      </c>
      <c r="CX36">
        <v>1</v>
      </c>
      <c r="CY36">
        <v>3</v>
      </c>
      <c r="CZ36">
        <v>1</v>
      </c>
      <c r="DA36">
        <v>0</v>
      </c>
      <c r="DB36">
        <v>0</v>
      </c>
      <c r="DC36">
        <v>0</v>
      </c>
      <c r="DD36">
        <v>1019</v>
      </c>
      <c r="DE36">
        <v>0</v>
      </c>
      <c r="DF36">
        <v>3</v>
      </c>
      <c r="DG36">
        <v>3</v>
      </c>
      <c r="DH36">
        <v>0</v>
      </c>
      <c r="DI36">
        <v>2</v>
      </c>
      <c r="DJ36">
        <v>0</v>
      </c>
      <c r="DK36">
        <v>2</v>
      </c>
      <c r="DL36">
        <v>0</v>
      </c>
      <c r="DM36">
        <v>1</v>
      </c>
      <c r="DN36">
        <v>2</v>
      </c>
      <c r="DO36">
        <v>960</v>
      </c>
      <c r="DP36">
        <v>4</v>
      </c>
      <c r="DQ36">
        <v>1</v>
      </c>
      <c r="DR36">
        <v>0</v>
      </c>
      <c r="DS36">
        <v>1</v>
      </c>
      <c r="DT36">
        <v>2</v>
      </c>
      <c r="DU36">
        <v>10</v>
      </c>
      <c r="DV36">
        <v>3</v>
      </c>
      <c r="DW36">
        <v>0</v>
      </c>
      <c r="DX36">
        <v>2</v>
      </c>
      <c r="DY36">
        <v>1</v>
      </c>
      <c r="DZ36">
        <v>989</v>
      </c>
      <c r="EA36">
        <v>0.98480000000000001</v>
      </c>
      <c r="EB36">
        <v>0.98475144158600403</v>
      </c>
      <c r="EC36">
        <v>0.98464129225899499</v>
      </c>
      <c r="ED36">
        <v>0.98462241514473003</v>
      </c>
      <c r="EE36">
        <f>SUM(Table1[[#This Row],[ratio_0]:[ratio_9]])</f>
        <v>820</v>
      </c>
      <c r="EF36" s="1">
        <f>(Table1[[#This Row],[predicted_0]]-Table1[[#This Row],[actual_0]])/Table1[[#This Row],[actual_0]]</f>
        <v>9.1836734693877559E-3</v>
      </c>
      <c r="EG36" s="1">
        <f>(Table1[[#This Row],[predicted_1]]-Table1[[#This Row],[actual_1]])/Table1[[#This Row],[actual_1]]</f>
        <v>-2.4669603524229075E-2</v>
      </c>
      <c r="EH36" s="1">
        <f>(Table1[[#This Row],[predicted_2]]-Table1[[#This Row],[actual_2]])/Table1[[#This Row],[actual_2]]</f>
        <v>6.7829457364341084E-3</v>
      </c>
      <c r="EI36" s="1">
        <f>(Table1[[#This Row],[predicted_3]]-Table1[[#This Row],[actual_3]])/Table1[[#This Row],[actual_3]]</f>
        <v>1.3861386138613862E-2</v>
      </c>
      <c r="EJ36" s="1">
        <f>(Table1[[#This Row],[predicted_4]]-Table1[[#This Row],[actual_4]])/Table1[[#This Row],[actual_4]]</f>
        <v>1.1201629327902239E-2</v>
      </c>
      <c r="EK36" s="1">
        <f>(Table1[[#This Row],[predicted_5]]-Table1[[#This Row],[actual_5]])/Table1[[#This Row],[actual_5]]</f>
        <v>-3.923766816143498E-2</v>
      </c>
      <c r="EL36" s="1">
        <f>(Table1[[#This Row],[predicted_6]]-Table1[[#This Row],[actual_6]])/Table1[[#This Row],[actual_6]]</f>
        <v>1.2526096033402923E-2</v>
      </c>
      <c r="EM36" s="1">
        <f>(Table1[[#This Row],[predicted_7]]-Table1[[#This Row],[actual_7]])/Table1[[#This Row],[actual_7]]</f>
        <v>6.8093385214007783E-3</v>
      </c>
      <c r="EN36" s="1">
        <f>(Table1[[#This Row],[predicted_8]]-Table1[[#This Row],[actual_8]])/Table1[[#This Row],[actual_8]]</f>
        <v>1.0266940451745379E-2</v>
      </c>
      <c r="EO36" s="1">
        <f>(Table1[[#This Row],[predicted_9]]-Table1[[#This Row],[actual_9]])/Table1[[#This Row],[actual_9]]</f>
        <v>-6.9375619425173438E-3</v>
      </c>
      <c r="EP36" s="1">
        <f>1+(Table1[[#This Row],[error_ratio_0]]-EF$2)</f>
        <v>1.0071428571428571</v>
      </c>
      <c r="EQ36" s="1">
        <f>1+(Table1[[#This Row],[error_ratio_1]]-EG$2)</f>
        <v>0.97356828193832601</v>
      </c>
      <c r="ER36" s="1">
        <f>1+(Table1[[#This Row],[error_ratio_2]]-EH$2)</f>
        <v>1.0116279069767442</v>
      </c>
      <c r="ES36" s="1">
        <f>1+(Table1[[#This Row],[error_ratio_3]]-EI$2)</f>
        <v>1.003960396039604</v>
      </c>
      <c r="ET36" s="1">
        <f>1+(Table1[[#This Row],[error_ratio_4]]-EJ$2)</f>
        <v>1.0101832993890021</v>
      </c>
      <c r="EU36" s="1">
        <f>1+(Table1[[#This Row],[error_ratio_5]]-EK$2)</f>
        <v>0.95964125560538116</v>
      </c>
      <c r="EV36" s="1">
        <f>1+(Table1[[#This Row],[error_ratio_6]]-EL$2)</f>
        <v>1.0187891440501045</v>
      </c>
      <c r="EW36" s="1">
        <f>1+(Table1[[#This Row],[error_ratio_7]]-EM$2)</f>
        <v>1.004863813229572</v>
      </c>
      <c r="EX36" s="1">
        <f>1+(Table1[[#This Row],[error_ratio_8]]-EN$2)</f>
        <v>1.0133470225872689</v>
      </c>
      <c r="EY36" s="1">
        <f>1+(Table1[[#This Row],[error_ratio_9]]-EO$2)</f>
        <v>0.99702675916749262</v>
      </c>
    </row>
    <row r="37" spans="1:155" x14ac:dyDescent="0.75">
      <c r="A37">
        <v>10</v>
      </c>
      <c r="B37">
        <v>10</v>
      </c>
      <c r="C37">
        <v>100</v>
      </c>
      <c r="D37">
        <v>100</v>
      </c>
      <c r="E37">
        <v>100</v>
      </c>
      <c r="F37">
        <v>10</v>
      </c>
      <c r="G37">
        <v>100</v>
      </c>
      <c r="H37">
        <v>100</v>
      </c>
      <c r="I37">
        <v>100</v>
      </c>
      <c r="J37">
        <v>100</v>
      </c>
      <c r="K37">
        <v>964</v>
      </c>
      <c r="L37">
        <v>1122</v>
      </c>
      <c r="M37">
        <v>1044</v>
      </c>
      <c r="N37">
        <v>1018</v>
      </c>
      <c r="O37">
        <v>974</v>
      </c>
      <c r="P37">
        <v>843</v>
      </c>
      <c r="Q37">
        <v>983</v>
      </c>
      <c r="R37">
        <v>1051</v>
      </c>
      <c r="S37">
        <v>987</v>
      </c>
      <c r="T37">
        <v>1014</v>
      </c>
      <c r="U37">
        <v>980</v>
      </c>
      <c r="V37">
        <v>1135</v>
      </c>
      <c r="W37">
        <v>1032</v>
      </c>
      <c r="X37">
        <v>1010</v>
      </c>
      <c r="Y37">
        <v>982</v>
      </c>
      <c r="Z37">
        <v>892</v>
      </c>
      <c r="AA37">
        <v>958</v>
      </c>
      <c r="AB37">
        <v>1028</v>
      </c>
      <c r="AC37">
        <v>974</v>
      </c>
      <c r="AD37">
        <v>1009</v>
      </c>
      <c r="AE37">
        <v>959</v>
      </c>
      <c r="AF37">
        <v>0</v>
      </c>
      <c r="AG37">
        <v>2</v>
      </c>
      <c r="AH37">
        <v>0</v>
      </c>
      <c r="AI37">
        <v>2</v>
      </c>
      <c r="AJ37">
        <v>0</v>
      </c>
      <c r="AK37">
        <v>8</v>
      </c>
      <c r="AL37">
        <v>3</v>
      </c>
      <c r="AM37">
        <v>4</v>
      </c>
      <c r="AN37">
        <v>2</v>
      </c>
      <c r="AO37">
        <v>0</v>
      </c>
      <c r="AP37">
        <v>1117</v>
      </c>
      <c r="AQ37">
        <v>5</v>
      </c>
      <c r="AR37">
        <v>2</v>
      </c>
      <c r="AS37">
        <v>0</v>
      </c>
      <c r="AT37">
        <v>1</v>
      </c>
      <c r="AU37">
        <v>5</v>
      </c>
      <c r="AV37">
        <v>4</v>
      </c>
      <c r="AW37">
        <v>1</v>
      </c>
      <c r="AX37">
        <v>0</v>
      </c>
      <c r="AY37">
        <v>1</v>
      </c>
      <c r="AZ37">
        <v>1</v>
      </c>
      <c r="BA37">
        <v>1024</v>
      </c>
      <c r="BB37">
        <v>1</v>
      </c>
      <c r="BC37">
        <v>0</v>
      </c>
      <c r="BD37">
        <v>0</v>
      </c>
      <c r="BE37">
        <v>1</v>
      </c>
      <c r="BF37">
        <v>3</v>
      </c>
      <c r="BG37">
        <v>1</v>
      </c>
      <c r="BH37">
        <v>0</v>
      </c>
      <c r="BI37">
        <v>0</v>
      </c>
      <c r="BJ37">
        <v>0</v>
      </c>
      <c r="BK37">
        <v>2</v>
      </c>
      <c r="BL37">
        <v>997</v>
      </c>
      <c r="BM37">
        <v>0</v>
      </c>
      <c r="BN37">
        <v>3</v>
      </c>
      <c r="BO37">
        <v>0</v>
      </c>
      <c r="BP37">
        <v>4</v>
      </c>
      <c r="BQ37">
        <v>4</v>
      </c>
      <c r="BR37">
        <v>0</v>
      </c>
      <c r="BS37">
        <v>0</v>
      </c>
      <c r="BT37">
        <v>0</v>
      </c>
      <c r="BU37">
        <v>2</v>
      </c>
      <c r="BV37">
        <v>0</v>
      </c>
      <c r="BW37">
        <v>968</v>
      </c>
      <c r="BX37">
        <v>0</v>
      </c>
      <c r="BY37">
        <v>0</v>
      </c>
      <c r="BZ37">
        <v>1</v>
      </c>
      <c r="CA37">
        <v>1</v>
      </c>
      <c r="CB37">
        <v>10</v>
      </c>
      <c r="CC37">
        <v>2</v>
      </c>
      <c r="CD37">
        <v>0</v>
      </c>
      <c r="CE37">
        <v>0</v>
      </c>
      <c r="CF37">
        <v>16</v>
      </c>
      <c r="CG37">
        <v>1</v>
      </c>
      <c r="CH37">
        <v>837</v>
      </c>
      <c r="CI37">
        <v>16</v>
      </c>
      <c r="CJ37">
        <v>3</v>
      </c>
      <c r="CK37">
        <v>9</v>
      </c>
      <c r="CL37">
        <v>8</v>
      </c>
      <c r="CM37">
        <v>1</v>
      </c>
      <c r="CN37">
        <v>2</v>
      </c>
      <c r="CO37">
        <v>0</v>
      </c>
      <c r="CP37">
        <v>0</v>
      </c>
      <c r="CQ37">
        <v>2</v>
      </c>
      <c r="CR37">
        <v>1</v>
      </c>
      <c r="CS37">
        <v>952</v>
      </c>
      <c r="CT37">
        <v>0</v>
      </c>
      <c r="CU37">
        <v>0</v>
      </c>
      <c r="CV37">
        <v>0</v>
      </c>
      <c r="CW37">
        <v>0</v>
      </c>
      <c r="CX37">
        <v>2</v>
      </c>
      <c r="CY37">
        <v>5</v>
      </c>
      <c r="CZ37">
        <v>0</v>
      </c>
      <c r="DA37">
        <v>0</v>
      </c>
      <c r="DB37">
        <v>0</v>
      </c>
      <c r="DC37">
        <v>0</v>
      </c>
      <c r="DD37">
        <v>1021</v>
      </c>
      <c r="DE37">
        <v>0</v>
      </c>
      <c r="DF37">
        <v>0</v>
      </c>
      <c r="DG37">
        <v>1</v>
      </c>
      <c r="DH37">
        <v>0</v>
      </c>
      <c r="DI37">
        <v>2</v>
      </c>
      <c r="DJ37">
        <v>1</v>
      </c>
      <c r="DK37">
        <v>0</v>
      </c>
      <c r="DL37">
        <v>0</v>
      </c>
      <c r="DM37">
        <v>1</v>
      </c>
      <c r="DN37">
        <v>2</v>
      </c>
      <c r="DO37">
        <v>965</v>
      </c>
      <c r="DP37">
        <v>2</v>
      </c>
      <c r="DQ37">
        <v>0</v>
      </c>
      <c r="DR37">
        <v>0</v>
      </c>
      <c r="DS37">
        <v>2</v>
      </c>
      <c r="DT37">
        <v>1</v>
      </c>
      <c r="DU37">
        <v>1</v>
      </c>
      <c r="DV37">
        <v>1</v>
      </c>
      <c r="DW37">
        <v>0</v>
      </c>
      <c r="DX37">
        <v>10</v>
      </c>
      <c r="DY37">
        <v>2</v>
      </c>
      <c r="DZ37">
        <v>992</v>
      </c>
      <c r="EA37">
        <v>0.98319999999999996</v>
      </c>
      <c r="EB37">
        <v>0.98332271992623899</v>
      </c>
      <c r="EC37">
        <v>0.98270123629892803</v>
      </c>
      <c r="ED37">
        <v>0.98288528663446695</v>
      </c>
      <c r="EE37">
        <f>SUM(Table1[[#This Row],[ratio_0]:[ratio_9]])</f>
        <v>730</v>
      </c>
      <c r="EF37" s="1">
        <f>(Table1[[#This Row],[predicted_0]]-Table1[[#This Row],[actual_0]])/Table1[[#This Row],[actual_0]]</f>
        <v>-1.6326530612244899E-2</v>
      </c>
      <c r="EG37" s="1">
        <f>(Table1[[#This Row],[predicted_1]]-Table1[[#This Row],[actual_1]])/Table1[[#This Row],[actual_1]]</f>
        <v>-1.145374449339207E-2</v>
      </c>
      <c r="EH37" s="1">
        <f>(Table1[[#This Row],[predicted_2]]-Table1[[#This Row],[actual_2]])/Table1[[#This Row],[actual_2]]</f>
        <v>1.1627906976744186E-2</v>
      </c>
      <c r="EI37" s="1">
        <f>(Table1[[#This Row],[predicted_3]]-Table1[[#This Row],[actual_3]])/Table1[[#This Row],[actual_3]]</f>
        <v>7.9207920792079209E-3</v>
      </c>
      <c r="EJ37" s="1">
        <f>(Table1[[#This Row],[predicted_4]]-Table1[[#This Row],[actual_4]])/Table1[[#This Row],[actual_4]]</f>
        <v>-8.1466395112016286E-3</v>
      </c>
      <c r="EK37" s="1">
        <f>(Table1[[#This Row],[predicted_5]]-Table1[[#This Row],[actual_5]])/Table1[[#This Row],[actual_5]]</f>
        <v>-5.4932735426008968E-2</v>
      </c>
      <c r="EL37" s="1">
        <f>(Table1[[#This Row],[predicted_6]]-Table1[[#This Row],[actual_6]])/Table1[[#This Row],[actual_6]]</f>
        <v>2.6096033402922755E-2</v>
      </c>
      <c r="EM37" s="1">
        <f>(Table1[[#This Row],[predicted_7]]-Table1[[#This Row],[actual_7]])/Table1[[#This Row],[actual_7]]</f>
        <v>2.2373540856031129E-2</v>
      </c>
      <c r="EN37" s="1">
        <f>(Table1[[#This Row],[predicted_8]]-Table1[[#This Row],[actual_8]])/Table1[[#This Row],[actual_8]]</f>
        <v>1.3347022587268994E-2</v>
      </c>
      <c r="EO37" s="1">
        <f>(Table1[[#This Row],[predicted_9]]-Table1[[#This Row],[actual_9]])/Table1[[#This Row],[actual_9]]</f>
        <v>4.9554013875123884E-3</v>
      </c>
      <c r="EP37" s="1">
        <f>1+(Table1[[#This Row],[error_ratio_0]]-EF$2)</f>
        <v>0.98163265306122449</v>
      </c>
      <c r="EQ37" s="1">
        <f>1+(Table1[[#This Row],[error_ratio_1]]-EG$2)</f>
        <v>0.986784140969163</v>
      </c>
      <c r="ER37" s="1">
        <f>1+(Table1[[#This Row],[error_ratio_2]]-EH$2)</f>
        <v>1.0164728682170543</v>
      </c>
      <c r="ES37" s="1">
        <f>1+(Table1[[#This Row],[error_ratio_3]]-EI$2)</f>
        <v>0.99801980198019802</v>
      </c>
      <c r="ET37" s="1">
        <f>1+(Table1[[#This Row],[error_ratio_4]]-EJ$2)</f>
        <v>0.99083503054989819</v>
      </c>
      <c r="EU37" s="1">
        <f>1+(Table1[[#This Row],[error_ratio_5]]-EK$2)</f>
        <v>0.94394618834080712</v>
      </c>
      <c r="EV37" s="1">
        <f>1+(Table1[[#This Row],[error_ratio_6]]-EL$2)</f>
        <v>1.0323590814196242</v>
      </c>
      <c r="EW37" s="1">
        <f>1+(Table1[[#This Row],[error_ratio_7]]-EM$2)</f>
        <v>1.0204280155642023</v>
      </c>
      <c r="EX37" s="1">
        <f>1+(Table1[[#This Row],[error_ratio_8]]-EN$2)</f>
        <v>1.0164271047227926</v>
      </c>
      <c r="EY37" s="1">
        <f>1+(Table1[[#This Row],[error_ratio_9]]-EO$2)</f>
        <v>1.0089197224975224</v>
      </c>
    </row>
    <row r="38" spans="1:155" x14ac:dyDescent="0.75">
      <c r="A38">
        <v>100</v>
      </c>
      <c r="B38">
        <v>100</v>
      </c>
      <c r="C38">
        <v>10</v>
      </c>
      <c r="D38">
        <v>100</v>
      </c>
      <c r="E38">
        <v>100</v>
      </c>
      <c r="F38">
        <v>10</v>
      </c>
      <c r="G38">
        <v>100</v>
      </c>
      <c r="H38">
        <v>100</v>
      </c>
      <c r="I38">
        <v>100</v>
      </c>
      <c r="J38">
        <v>100</v>
      </c>
      <c r="K38">
        <v>1000</v>
      </c>
      <c r="L38">
        <v>1158</v>
      </c>
      <c r="M38">
        <v>962</v>
      </c>
      <c r="N38">
        <v>1042</v>
      </c>
      <c r="O38">
        <v>998</v>
      </c>
      <c r="P38">
        <v>855</v>
      </c>
      <c r="Q38">
        <v>954</v>
      </c>
      <c r="R38">
        <v>1031</v>
      </c>
      <c r="S38">
        <v>989</v>
      </c>
      <c r="T38">
        <v>1011</v>
      </c>
      <c r="U38">
        <v>980</v>
      </c>
      <c r="V38">
        <v>1135</v>
      </c>
      <c r="W38">
        <v>1032</v>
      </c>
      <c r="X38">
        <v>1010</v>
      </c>
      <c r="Y38">
        <v>982</v>
      </c>
      <c r="Z38">
        <v>892</v>
      </c>
      <c r="AA38">
        <v>958</v>
      </c>
      <c r="AB38">
        <v>1028</v>
      </c>
      <c r="AC38">
        <v>974</v>
      </c>
      <c r="AD38">
        <v>1009</v>
      </c>
      <c r="AE38">
        <v>975</v>
      </c>
      <c r="AF38">
        <v>0</v>
      </c>
      <c r="AG38">
        <v>0</v>
      </c>
      <c r="AH38">
        <v>1</v>
      </c>
      <c r="AI38">
        <v>0</v>
      </c>
      <c r="AJ38">
        <v>0</v>
      </c>
      <c r="AK38">
        <v>1</v>
      </c>
      <c r="AL38">
        <v>2</v>
      </c>
      <c r="AM38">
        <v>1</v>
      </c>
      <c r="AN38">
        <v>0</v>
      </c>
      <c r="AO38">
        <v>0</v>
      </c>
      <c r="AP38">
        <v>1129</v>
      </c>
      <c r="AQ38">
        <v>0</v>
      </c>
      <c r="AR38">
        <v>1</v>
      </c>
      <c r="AS38">
        <v>0</v>
      </c>
      <c r="AT38">
        <v>3</v>
      </c>
      <c r="AU38">
        <v>1</v>
      </c>
      <c r="AV38">
        <v>0</v>
      </c>
      <c r="AW38">
        <v>1</v>
      </c>
      <c r="AX38">
        <v>0</v>
      </c>
      <c r="AY38">
        <v>11</v>
      </c>
      <c r="AZ38">
        <v>16</v>
      </c>
      <c r="BA38">
        <v>959</v>
      </c>
      <c r="BB38">
        <v>12</v>
      </c>
      <c r="BC38">
        <v>6</v>
      </c>
      <c r="BD38">
        <v>0</v>
      </c>
      <c r="BE38">
        <v>0</v>
      </c>
      <c r="BF38">
        <v>16</v>
      </c>
      <c r="BG38">
        <v>12</v>
      </c>
      <c r="BH38">
        <v>0</v>
      </c>
      <c r="BI38">
        <v>0</v>
      </c>
      <c r="BJ38">
        <v>0</v>
      </c>
      <c r="BK38">
        <v>1</v>
      </c>
      <c r="BL38">
        <v>1004</v>
      </c>
      <c r="BM38">
        <v>0</v>
      </c>
      <c r="BN38">
        <v>1</v>
      </c>
      <c r="BO38">
        <v>0</v>
      </c>
      <c r="BP38">
        <v>2</v>
      </c>
      <c r="BQ38">
        <v>1</v>
      </c>
      <c r="BR38">
        <v>1</v>
      </c>
      <c r="BS38">
        <v>0</v>
      </c>
      <c r="BT38">
        <v>0</v>
      </c>
      <c r="BU38">
        <v>0</v>
      </c>
      <c r="BV38">
        <v>0</v>
      </c>
      <c r="BW38">
        <v>977</v>
      </c>
      <c r="BX38">
        <v>0</v>
      </c>
      <c r="BY38">
        <v>2</v>
      </c>
      <c r="BZ38">
        <v>0</v>
      </c>
      <c r="CA38">
        <v>1</v>
      </c>
      <c r="CB38">
        <v>2</v>
      </c>
      <c r="CC38">
        <v>3</v>
      </c>
      <c r="CD38">
        <v>0</v>
      </c>
      <c r="CE38">
        <v>0</v>
      </c>
      <c r="CF38">
        <v>16</v>
      </c>
      <c r="CG38">
        <v>0</v>
      </c>
      <c r="CH38">
        <v>848</v>
      </c>
      <c r="CI38">
        <v>9</v>
      </c>
      <c r="CJ38">
        <v>1</v>
      </c>
      <c r="CK38">
        <v>8</v>
      </c>
      <c r="CL38">
        <v>7</v>
      </c>
      <c r="CM38">
        <v>8</v>
      </c>
      <c r="CN38">
        <v>2</v>
      </c>
      <c r="CO38">
        <v>0</v>
      </c>
      <c r="CP38">
        <v>0</v>
      </c>
      <c r="CQ38">
        <v>7</v>
      </c>
      <c r="CR38">
        <v>0</v>
      </c>
      <c r="CS38">
        <v>940</v>
      </c>
      <c r="CT38">
        <v>0</v>
      </c>
      <c r="CU38">
        <v>1</v>
      </c>
      <c r="CV38">
        <v>0</v>
      </c>
      <c r="CW38">
        <v>0</v>
      </c>
      <c r="CX38">
        <v>9</v>
      </c>
      <c r="CY38">
        <v>2</v>
      </c>
      <c r="CZ38">
        <v>4</v>
      </c>
      <c r="DA38">
        <v>0</v>
      </c>
      <c r="DB38">
        <v>0</v>
      </c>
      <c r="DC38">
        <v>0</v>
      </c>
      <c r="DD38">
        <v>1007</v>
      </c>
      <c r="DE38">
        <v>0</v>
      </c>
      <c r="DF38">
        <v>6</v>
      </c>
      <c r="DG38">
        <v>1</v>
      </c>
      <c r="DH38">
        <v>0</v>
      </c>
      <c r="DI38">
        <v>0</v>
      </c>
      <c r="DJ38">
        <v>2</v>
      </c>
      <c r="DK38">
        <v>0</v>
      </c>
      <c r="DL38">
        <v>0</v>
      </c>
      <c r="DM38">
        <v>1</v>
      </c>
      <c r="DN38">
        <v>1</v>
      </c>
      <c r="DO38">
        <v>964</v>
      </c>
      <c r="DP38">
        <v>5</v>
      </c>
      <c r="DQ38">
        <v>2</v>
      </c>
      <c r="DR38">
        <v>2</v>
      </c>
      <c r="DS38">
        <v>0</v>
      </c>
      <c r="DT38">
        <v>2</v>
      </c>
      <c r="DU38">
        <v>8</v>
      </c>
      <c r="DV38">
        <v>3</v>
      </c>
      <c r="DW38">
        <v>0</v>
      </c>
      <c r="DX38">
        <v>2</v>
      </c>
      <c r="DY38">
        <v>0</v>
      </c>
      <c r="DZ38">
        <v>990</v>
      </c>
      <c r="EA38">
        <v>0.97929999999999995</v>
      </c>
      <c r="EB38">
        <v>0.97971377752597799</v>
      </c>
      <c r="EC38">
        <v>0.97902009581102101</v>
      </c>
      <c r="ED38">
        <v>0.97914800812672198</v>
      </c>
      <c r="EE38">
        <f>SUM(Table1[[#This Row],[ratio_0]:[ratio_9]])</f>
        <v>820</v>
      </c>
      <c r="EF38" s="1">
        <f>(Table1[[#This Row],[predicted_0]]-Table1[[#This Row],[actual_0]])/Table1[[#This Row],[actual_0]]</f>
        <v>2.0408163265306121E-2</v>
      </c>
      <c r="EG38" s="1">
        <f>(Table1[[#This Row],[predicted_1]]-Table1[[#This Row],[actual_1]])/Table1[[#This Row],[actual_1]]</f>
        <v>2.0264317180616741E-2</v>
      </c>
      <c r="EH38" s="1">
        <f>(Table1[[#This Row],[predicted_2]]-Table1[[#This Row],[actual_2]])/Table1[[#This Row],[actual_2]]</f>
        <v>-6.7829457364341081E-2</v>
      </c>
      <c r="EI38" s="1">
        <f>(Table1[[#This Row],[predicted_3]]-Table1[[#This Row],[actual_3]])/Table1[[#This Row],[actual_3]]</f>
        <v>3.1683168316831684E-2</v>
      </c>
      <c r="EJ38" s="1">
        <f>(Table1[[#This Row],[predicted_4]]-Table1[[#This Row],[actual_4]])/Table1[[#This Row],[actual_4]]</f>
        <v>1.6293279022403257E-2</v>
      </c>
      <c r="EK38" s="1">
        <f>(Table1[[#This Row],[predicted_5]]-Table1[[#This Row],[actual_5]])/Table1[[#This Row],[actual_5]]</f>
        <v>-4.1479820627802692E-2</v>
      </c>
      <c r="EL38" s="1">
        <f>(Table1[[#This Row],[predicted_6]]-Table1[[#This Row],[actual_6]])/Table1[[#This Row],[actual_6]]</f>
        <v>-4.1753653444676405E-3</v>
      </c>
      <c r="EM38" s="1">
        <f>(Table1[[#This Row],[predicted_7]]-Table1[[#This Row],[actual_7]])/Table1[[#This Row],[actual_7]]</f>
        <v>2.9182879377431907E-3</v>
      </c>
      <c r="EN38" s="1">
        <f>(Table1[[#This Row],[predicted_8]]-Table1[[#This Row],[actual_8]])/Table1[[#This Row],[actual_8]]</f>
        <v>1.5400410677618069E-2</v>
      </c>
      <c r="EO38" s="1">
        <f>(Table1[[#This Row],[predicted_9]]-Table1[[#This Row],[actual_9]])/Table1[[#This Row],[actual_9]]</f>
        <v>1.9821605550049554E-3</v>
      </c>
      <c r="EP38" s="1">
        <f>1+(Table1[[#This Row],[error_ratio_0]]-EF$2)</f>
        <v>1.0183673469387755</v>
      </c>
      <c r="EQ38" s="1">
        <f>1+(Table1[[#This Row],[error_ratio_1]]-EG$2)</f>
        <v>1.0185022026431718</v>
      </c>
      <c r="ER38" s="1">
        <f>1+(Table1[[#This Row],[error_ratio_2]]-EH$2)</f>
        <v>0.93701550387596899</v>
      </c>
      <c r="ES38" s="1">
        <f>1+(Table1[[#This Row],[error_ratio_3]]-EI$2)</f>
        <v>1.0217821782178218</v>
      </c>
      <c r="ET38" s="1">
        <f>1+(Table1[[#This Row],[error_ratio_4]]-EJ$2)</f>
        <v>1.0152749490835031</v>
      </c>
      <c r="EU38" s="1">
        <f>1+(Table1[[#This Row],[error_ratio_5]]-EK$2)</f>
        <v>0.95739910313901344</v>
      </c>
      <c r="EV38" s="1">
        <f>1+(Table1[[#This Row],[error_ratio_6]]-EL$2)</f>
        <v>1.0020876826722338</v>
      </c>
      <c r="EW38" s="1">
        <f>1+(Table1[[#This Row],[error_ratio_7]]-EM$2)</f>
        <v>1.0009727626459144</v>
      </c>
      <c r="EX38" s="1">
        <f>1+(Table1[[#This Row],[error_ratio_8]]-EN$2)</f>
        <v>1.0184804928131417</v>
      </c>
      <c r="EY38" s="1">
        <f>1+(Table1[[#This Row],[error_ratio_9]]-EO$2)</f>
        <v>1.0059464816650148</v>
      </c>
    </row>
    <row r="39" spans="1:155" x14ac:dyDescent="0.75">
      <c r="A39">
        <v>10</v>
      </c>
      <c r="B39">
        <v>100</v>
      </c>
      <c r="C39">
        <v>10</v>
      </c>
      <c r="D39">
        <v>100</v>
      </c>
      <c r="E39">
        <v>100</v>
      </c>
      <c r="F39">
        <v>10</v>
      </c>
      <c r="G39">
        <v>100</v>
      </c>
      <c r="H39">
        <v>100</v>
      </c>
      <c r="I39">
        <v>100</v>
      </c>
      <c r="J39">
        <v>100</v>
      </c>
      <c r="K39">
        <v>949</v>
      </c>
      <c r="L39">
        <v>1156</v>
      </c>
      <c r="M39">
        <v>968</v>
      </c>
      <c r="N39">
        <v>1012</v>
      </c>
      <c r="O39">
        <v>999</v>
      </c>
      <c r="P39">
        <v>906</v>
      </c>
      <c r="Q39">
        <v>949</v>
      </c>
      <c r="R39">
        <v>1063</v>
      </c>
      <c r="S39">
        <v>965</v>
      </c>
      <c r="T39">
        <v>1033</v>
      </c>
      <c r="U39">
        <v>980</v>
      </c>
      <c r="V39">
        <v>1135</v>
      </c>
      <c r="W39">
        <v>1032</v>
      </c>
      <c r="X39">
        <v>1010</v>
      </c>
      <c r="Y39">
        <v>982</v>
      </c>
      <c r="Z39">
        <v>892</v>
      </c>
      <c r="AA39">
        <v>958</v>
      </c>
      <c r="AB39">
        <v>1028</v>
      </c>
      <c r="AC39">
        <v>974</v>
      </c>
      <c r="AD39">
        <v>1009</v>
      </c>
      <c r="AE39">
        <v>937</v>
      </c>
      <c r="AF39">
        <v>1</v>
      </c>
      <c r="AG39">
        <v>3</v>
      </c>
      <c r="AH39">
        <v>0</v>
      </c>
      <c r="AI39">
        <v>11</v>
      </c>
      <c r="AJ39">
        <v>2</v>
      </c>
      <c r="AK39">
        <v>5</v>
      </c>
      <c r="AL39">
        <v>3</v>
      </c>
      <c r="AM39">
        <v>5</v>
      </c>
      <c r="AN39">
        <v>13</v>
      </c>
      <c r="AO39">
        <v>0</v>
      </c>
      <c r="AP39">
        <v>1133</v>
      </c>
      <c r="AQ39">
        <v>0</v>
      </c>
      <c r="AR39">
        <v>0</v>
      </c>
      <c r="AS39">
        <v>0</v>
      </c>
      <c r="AT39">
        <v>2</v>
      </c>
      <c r="AU39">
        <v>0</v>
      </c>
      <c r="AV39">
        <v>0</v>
      </c>
      <c r="AW39">
        <v>0</v>
      </c>
      <c r="AX39">
        <v>0</v>
      </c>
      <c r="AY39">
        <v>3</v>
      </c>
      <c r="AZ39">
        <v>11</v>
      </c>
      <c r="BA39">
        <v>958</v>
      </c>
      <c r="BB39">
        <v>10</v>
      </c>
      <c r="BC39">
        <v>17</v>
      </c>
      <c r="BD39">
        <v>1</v>
      </c>
      <c r="BE39">
        <v>3</v>
      </c>
      <c r="BF39">
        <v>23</v>
      </c>
      <c r="BG39">
        <v>4</v>
      </c>
      <c r="BH39">
        <v>2</v>
      </c>
      <c r="BI39">
        <v>0</v>
      </c>
      <c r="BJ39">
        <v>2</v>
      </c>
      <c r="BK39">
        <v>1</v>
      </c>
      <c r="BL39">
        <v>994</v>
      </c>
      <c r="BM39">
        <v>0</v>
      </c>
      <c r="BN39">
        <v>5</v>
      </c>
      <c r="BO39">
        <v>0</v>
      </c>
      <c r="BP39">
        <v>3</v>
      </c>
      <c r="BQ39">
        <v>0</v>
      </c>
      <c r="BR39">
        <v>5</v>
      </c>
      <c r="BS39">
        <v>0</v>
      </c>
      <c r="BT39">
        <v>0</v>
      </c>
      <c r="BU39">
        <v>0</v>
      </c>
      <c r="BV39">
        <v>0</v>
      </c>
      <c r="BW39">
        <v>963</v>
      </c>
      <c r="BX39">
        <v>0</v>
      </c>
      <c r="BY39">
        <v>1</v>
      </c>
      <c r="BZ39">
        <v>1</v>
      </c>
      <c r="CA39">
        <v>0</v>
      </c>
      <c r="CB39">
        <v>17</v>
      </c>
      <c r="CC39">
        <v>2</v>
      </c>
      <c r="CD39">
        <v>0</v>
      </c>
      <c r="CE39">
        <v>0</v>
      </c>
      <c r="CF39">
        <v>5</v>
      </c>
      <c r="CG39">
        <v>0</v>
      </c>
      <c r="CH39">
        <v>880</v>
      </c>
      <c r="CI39">
        <v>3</v>
      </c>
      <c r="CJ39">
        <v>1</v>
      </c>
      <c r="CK39">
        <v>1</v>
      </c>
      <c r="CL39">
        <v>0</v>
      </c>
      <c r="CM39">
        <v>4</v>
      </c>
      <c r="CN39">
        <v>4</v>
      </c>
      <c r="CO39">
        <v>0</v>
      </c>
      <c r="CP39">
        <v>0</v>
      </c>
      <c r="CQ39">
        <v>6</v>
      </c>
      <c r="CR39">
        <v>5</v>
      </c>
      <c r="CS39">
        <v>937</v>
      </c>
      <c r="CT39">
        <v>0</v>
      </c>
      <c r="CU39">
        <v>2</v>
      </c>
      <c r="CV39">
        <v>0</v>
      </c>
      <c r="CW39">
        <v>0</v>
      </c>
      <c r="CX39">
        <v>3</v>
      </c>
      <c r="CY39">
        <v>3</v>
      </c>
      <c r="CZ39">
        <v>0</v>
      </c>
      <c r="DA39">
        <v>0</v>
      </c>
      <c r="DB39">
        <v>0</v>
      </c>
      <c r="DC39">
        <v>0</v>
      </c>
      <c r="DD39">
        <v>1022</v>
      </c>
      <c r="DE39">
        <v>0</v>
      </c>
      <c r="DF39">
        <v>0</v>
      </c>
      <c r="DG39">
        <v>3</v>
      </c>
      <c r="DH39">
        <v>0</v>
      </c>
      <c r="DI39">
        <v>3</v>
      </c>
      <c r="DJ39">
        <v>3</v>
      </c>
      <c r="DK39">
        <v>0</v>
      </c>
      <c r="DL39">
        <v>5</v>
      </c>
      <c r="DM39">
        <v>0</v>
      </c>
      <c r="DN39">
        <v>3</v>
      </c>
      <c r="DO39">
        <v>953</v>
      </c>
      <c r="DP39">
        <v>4</v>
      </c>
      <c r="DQ39">
        <v>0</v>
      </c>
      <c r="DR39">
        <v>2</v>
      </c>
      <c r="DS39">
        <v>0</v>
      </c>
      <c r="DT39">
        <v>0</v>
      </c>
      <c r="DU39">
        <v>2</v>
      </c>
      <c r="DV39">
        <v>6</v>
      </c>
      <c r="DW39">
        <v>0</v>
      </c>
      <c r="DX39">
        <v>7</v>
      </c>
      <c r="DY39">
        <v>0</v>
      </c>
      <c r="DZ39">
        <v>992</v>
      </c>
      <c r="EA39">
        <v>0.97689999999999999</v>
      </c>
      <c r="EB39">
        <v>0.97712677394776204</v>
      </c>
      <c r="EC39">
        <v>0.97678459566896803</v>
      </c>
      <c r="ED39">
        <v>0.97676576092756695</v>
      </c>
      <c r="EE39">
        <f>SUM(Table1[[#This Row],[ratio_0]:[ratio_9]])</f>
        <v>730</v>
      </c>
      <c r="EF39" s="1">
        <f>(Table1[[#This Row],[predicted_0]]-Table1[[#This Row],[actual_0]])/Table1[[#This Row],[actual_0]]</f>
        <v>-3.1632653061224487E-2</v>
      </c>
      <c r="EG39" s="1">
        <f>(Table1[[#This Row],[predicted_1]]-Table1[[#This Row],[actual_1]])/Table1[[#This Row],[actual_1]]</f>
        <v>1.8502202643171806E-2</v>
      </c>
      <c r="EH39" s="1">
        <f>(Table1[[#This Row],[predicted_2]]-Table1[[#This Row],[actual_2]])/Table1[[#This Row],[actual_2]]</f>
        <v>-6.2015503875968991E-2</v>
      </c>
      <c r="EI39" s="1">
        <f>(Table1[[#This Row],[predicted_3]]-Table1[[#This Row],[actual_3]])/Table1[[#This Row],[actual_3]]</f>
        <v>1.9801980198019802E-3</v>
      </c>
      <c r="EJ39" s="1">
        <f>(Table1[[#This Row],[predicted_4]]-Table1[[#This Row],[actual_4]])/Table1[[#This Row],[actual_4]]</f>
        <v>1.7311608961303463E-2</v>
      </c>
      <c r="EK39" s="1">
        <f>(Table1[[#This Row],[predicted_5]]-Table1[[#This Row],[actual_5]])/Table1[[#This Row],[actual_5]]</f>
        <v>1.5695067264573991E-2</v>
      </c>
      <c r="EL39" s="1">
        <f>(Table1[[#This Row],[predicted_6]]-Table1[[#This Row],[actual_6]])/Table1[[#This Row],[actual_6]]</f>
        <v>-9.3945720250521916E-3</v>
      </c>
      <c r="EM39" s="1">
        <f>(Table1[[#This Row],[predicted_7]]-Table1[[#This Row],[actual_7]])/Table1[[#This Row],[actual_7]]</f>
        <v>3.4046692607003888E-2</v>
      </c>
      <c r="EN39" s="1">
        <f>(Table1[[#This Row],[predicted_8]]-Table1[[#This Row],[actual_8]])/Table1[[#This Row],[actual_8]]</f>
        <v>-9.2402464065708418E-3</v>
      </c>
      <c r="EO39" s="1">
        <f>(Table1[[#This Row],[predicted_9]]-Table1[[#This Row],[actual_9]])/Table1[[#This Row],[actual_9]]</f>
        <v>2.3785926660059464E-2</v>
      </c>
      <c r="EP39" s="1">
        <f>1+(Table1[[#This Row],[error_ratio_0]]-EF$2)</f>
        <v>0.96632653061224494</v>
      </c>
      <c r="EQ39" s="1">
        <f>1+(Table1[[#This Row],[error_ratio_1]]-EG$2)</f>
        <v>1.0167400881057269</v>
      </c>
      <c r="ER39" s="1">
        <f>1+(Table1[[#This Row],[error_ratio_2]]-EH$2)</f>
        <v>0.94282945736434109</v>
      </c>
      <c r="ES39" s="1">
        <f>1+(Table1[[#This Row],[error_ratio_3]]-EI$2)</f>
        <v>0.99207920792079207</v>
      </c>
      <c r="ET39" s="1">
        <f>1+(Table1[[#This Row],[error_ratio_4]]-EJ$2)</f>
        <v>1.0162932790224033</v>
      </c>
      <c r="EU39" s="1">
        <f>1+(Table1[[#This Row],[error_ratio_5]]-EK$2)</f>
        <v>1.0145739910313902</v>
      </c>
      <c r="EV39" s="1">
        <f>1+(Table1[[#This Row],[error_ratio_6]]-EL$2)</f>
        <v>0.99686847599164929</v>
      </c>
      <c r="EW39" s="1">
        <f>1+(Table1[[#This Row],[error_ratio_7]]-EM$2)</f>
        <v>1.032101167315175</v>
      </c>
      <c r="EX39" s="1">
        <f>1+(Table1[[#This Row],[error_ratio_8]]-EN$2)</f>
        <v>0.99383983572895274</v>
      </c>
      <c r="EY39" s="1">
        <f>1+(Table1[[#This Row],[error_ratio_9]]-EO$2)</f>
        <v>1.0277502477700693</v>
      </c>
    </row>
    <row r="40" spans="1:155" x14ac:dyDescent="0.75">
      <c r="A40">
        <v>100</v>
      </c>
      <c r="B40">
        <v>10</v>
      </c>
      <c r="C40">
        <v>10</v>
      </c>
      <c r="D40">
        <v>100</v>
      </c>
      <c r="E40">
        <v>100</v>
      </c>
      <c r="F40">
        <v>10</v>
      </c>
      <c r="G40">
        <v>100</v>
      </c>
      <c r="H40">
        <v>100</v>
      </c>
      <c r="I40">
        <v>100</v>
      </c>
      <c r="J40">
        <v>100</v>
      </c>
      <c r="K40">
        <v>994</v>
      </c>
      <c r="L40">
        <v>1109</v>
      </c>
      <c r="M40">
        <v>929</v>
      </c>
      <c r="N40">
        <v>1034</v>
      </c>
      <c r="O40">
        <v>975</v>
      </c>
      <c r="P40">
        <v>826</v>
      </c>
      <c r="Q40">
        <v>968</v>
      </c>
      <c r="R40">
        <v>1041</v>
      </c>
      <c r="S40">
        <v>1117</v>
      </c>
      <c r="T40">
        <v>1007</v>
      </c>
      <c r="U40">
        <v>980</v>
      </c>
      <c r="V40">
        <v>1135</v>
      </c>
      <c r="W40">
        <v>1032</v>
      </c>
      <c r="X40">
        <v>1010</v>
      </c>
      <c r="Y40">
        <v>982</v>
      </c>
      <c r="Z40">
        <v>892</v>
      </c>
      <c r="AA40">
        <v>958</v>
      </c>
      <c r="AB40">
        <v>1028</v>
      </c>
      <c r="AC40">
        <v>974</v>
      </c>
      <c r="AD40">
        <v>1009</v>
      </c>
      <c r="AE40">
        <v>972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1</v>
      </c>
      <c r="AL40">
        <v>2</v>
      </c>
      <c r="AM40">
        <v>5</v>
      </c>
      <c r="AN40">
        <v>0</v>
      </c>
      <c r="AO40">
        <v>0</v>
      </c>
      <c r="AP40">
        <v>1105</v>
      </c>
      <c r="AQ40">
        <v>4</v>
      </c>
      <c r="AR40">
        <v>1</v>
      </c>
      <c r="AS40">
        <v>0</v>
      </c>
      <c r="AT40">
        <v>1</v>
      </c>
      <c r="AU40">
        <v>5</v>
      </c>
      <c r="AV40">
        <v>4</v>
      </c>
      <c r="AW40">
        <v>15</v>
      </c>
      <c r="AX40">
        <v>0</v>
      </c>
      <c r="AY40">
        <v>8</v>
      </c>
      <c r="AZ40">
        <v>0</v>
      </c>
      <c r="BA40">
        <v>921</v>
      </c>
      <c r="BB40">
        <v>23</v>
      </c>
      <c r="BC40">
        <v>6</v>
      </c>
      <c r="BD40">
        <v>0</v>
      </c>
      <c r="BE40">
        <v>3</v>
      </c>
      <c r="BF40">
        <v>12</v>
      </c>
      <c r="BG40">
        <v>59</v>
      </c>
      <c r="BH40">
        <v>0</v>
      </c>
      <c r="BI40">
        <v>1</v>
      </c>
      <c r="BJ40">
        <v>0</v>
      </c>
      <c r="BK40">
        <v>0</v>
      </c>
      <c r="BL40">
        <v>992</v>
      </c>
      <c r="BM40">
        <v>0</v>
      </c>
      <c r="BN40">
        <v>1</v>
      </c>
      <c r="BO40">
        <v>0</v>
      </c>
      <c r="BP40">
        <v>2</v>
      </c>
      <c r="BQ40">
        <v>13</v>
      </c>
      <c r="BR40">
        <v>1</v>
      </c>
      <c r="BS40">
        <v>0</v>
      </c>
      <c r="BT40">
        <v>0</v>
      </c>
      <c r="BU40">
        <v>0</v>
      </c>
      <c r="BV40">
        <v>0</v>
      </c>
      <c r="BW40">
        <v>964</v>
      </c>
      <c r="BX40">
        <v>0</v>
      </c>
      <c r="BY40">
        <v>4</v>
      </c>
      <c r="BZ40">
        <v>0</v>
      </c>
      <c r="CA40">
        <v>6</v>
      </c>
      <c r="CB40">
        <v>8</v>
      </c>
      <c r="CC40">
        <v>7</v>
      </c>
      <c r="CD40">
        <v>0</v>
      </c>
      <c r="CE40">
        <v>1</v>
      </c>
      <c r="CF40">
        <v>12</v>
      </c>
      <c r="CG40">
        <v>0</v>
      </c>
      <c r="CH40">
        <v>822</v>
      </c>
      <c r="CI40">
        <v>9</v>
      </c>
      <c r="CJ40">
        <v>2</v>
      </c>
      <c r="CK40">
        <v>29</v>
      </c>
      <c r="CL40">
        <v>10</v>
      </c>
      <c r="CM40">
        <v>4</v>
      </c>
      <c r="CN40">
        <v>2</v>
      </c>
      <c r="CO40">
        <v>0</v>
      </c>
      <c r="CP40">
        <v>0</v>
      </c>
      <c r="CQ40">
        <v>1</v>
      </c>
      <c r="CR40">
        <v>1</v>
      </c>
      <c r="CS40">
        <v>945</v>
      </c>
      <c r="CT40">
        <v>0</v>
      </c>
      <c r="CU40">
        <v>5</v>
      </c>
      <c r="CV40">
        <v>0</v>
      </c>
      <c r="CW40">
        <v>1</v>
      </c>
      <c r="CX40">
        <v>2</v>
      </c>
      <c r="CY40">
        <v>2</v>
      </c>
      <c r="CZ40">
        <v>6</v>
      </c>
      <c r="DA40">
        <v>0</v>
      </c>
      <c r="DB40">
        <v>0</v>
      </c>
      <c r="DC40">
        <v>0</v>
      </c>
      <c r="DD40">
        <v>1012</v>
      </c>
      <c r="DE40">
        <v>4</v>
      </c>
      <c r="DF40">
        <v>1</v>
      </c>
      <c r="DG40">
        <v>0</v>
      </c>
      <c r="DH40">
        <v>0</v>
      </c>
      <c r="DI40">
        <v>0</v>
      </c>
      <c r="DJ40">
        <v>0</v>
      </c>
      <c r="DK40">
        <v>0</v>
      </c>
      <c r="DL40">
        <v>0</v>
      </c>
      <c r="DM40">
        <v>0</v>
      </c>
      <c r="DN40">
        <v>2</v>
      </c>
      <c r="DO40">
        <v>970</v>
      </c>
      <c r="DP40">
        <v>2</v>
      </c>
      <c r="DQ40">
        <v>1</v>
      </c>
      <c r="DR40">
        <v>0</v>
      </c>
      <c r="DS40">
        <v>1</v>
      </c>
      <c r="DT40">
        <v>0</v>
      </c>
      <c r="DU40">
        <v>4</v>
      </c>
      <c r="DV40">
        <v>1</v>
      </c>
      <c r="DW40">
        <v>1</v>
      </c>
      <c r="DX40">
        <v>5</v>
      </c>
      <c r="DY40">
        <v>11</v>
      </c>
      <c r="DZ40">
        <v>985</v>
      </c>
      <c r="EA40">
        <v>0.96879999999999999</v>
      </c>
      <c r="EB40">
        <v>0.97038375814634903</v>
      </c>
      <c r="EC40">
        <v>0.96861929771511202</v>
      </c>
      <c r="ED40">
        <v>0.96862485050338298</v>
      </c>
      <c r="EE40">
        <f>SUM(Table1[[#This Row],[ratio_0]:[ratio_9]])</f>
        <v>730</v>
      </c>
      <c r="EF40" s="1">
        <f>(Table1[[#This Row],[predicted_0]]-Table1[[#This Row],[actual_0]])/Table1[[#This Row],[actual_0]]</f>
        <v>1.4285714285714285E-2</v>
      </c>
      <c r="EG40" s="1">
        <f>(Table1[[#This Row],[predicted_1]]-Table1[[#This Row],[actual_1]])/Table1[[#This Row],[actual_1]]</f>
        <v>-2.2907488986784141E-2</v>
      </c>
      <c r="EH40" s="1">
        <f>(Table1[[#This Row],[predicted_2]]-Table1[[#This Row],[actual_2]])/Table1[[#This Row],[actual_2]]</f>
        <v>-9.9806201550387594E-2</v>
      </c>
      <c r="EI40" s="1">
        <f>(Table1[[#This Row],[predicted_3]]-Table1[[#This Row],[actual_3]])/Table1[[#This Row],[actual_3]]</f>
        <v>2.3762376237623763E-2</v>
      </c>
      <c r="EJ40" s="1">
        <f>(Table1[[#This Row],[predicted_4]]-Table1[[#This Row],[actual_4]])/Table1[[#This Row],[actual_4]]</f>
        <v>-7.1283095723014261E-3</v>
      </c>
      <c r="EK40" s="1">
        <f>(Table1[[#This Row],[predicted_5]]-Table1[[#This Row],[actual_5]])/Table1[[#This Row],[actual_5]]</f>
        <v>-7.3991031390134535E-2</v>
      </c>
      <c r="EL40" s="1">
        <f>(Table1[[#This Row],[predicted_6]]-Table1[[#This Row],[actual_6]])/Table1[[#This Row],[actual_6]]</f>
        <v>1.0438413361169102E-2</v>
      </c>
      <c r="EM40" s="1">
        <f>(Table1[[#This Row],[predicted_7]]-Table1[[#This Row],[actual_7]])/Table1[[#This Row],[actual_7]]</f>
        <v>1.264591439688716E-2</v>
      </c>
      <c r="EN40" s="1">
        <f>(Table1[[#This Row],[predicted_8]]-Table1[[#This Row],[actual_8]])/Table1[[#This Row],[actual_8]]</f>
        <v>0.14681724845995894</v>
      </c>
      <c r="EO40" s="1">
        <f>(Table1[[#This Row],[predicted_9]]-Table1[[#This Row],[actual_9]])/Table1[[#This Row],[actual_9]]</f>
        <v>-1.9821605550049554E-3</v>
      </c>
      <c r="EP40" s="1">
        <f>1+(Table1[[#This Row],[error_ratio_0]]-EF$2)</f>
        <v>1.0122448979591836</v>
      </c>
      <c r="EQ40" s="1">
        <f>1+(Table1[[#This Row],[error_ratio_1]]-EG$2)</f>
        <v>0.97533039647577091</v>
      </c>
      <c r="ER40" s="1">
        <f>1+(Table1[[#This Row],[error_ratio_2]]-EH$2)</f>
        <v>0.90503875968992253</v>
      </c>
      <c r="ES40" s="1">
        <f>1+(Table1[[#This Row],[error_ratio_3]]-EI$2)</f>
        <v>1.0138613861386139</v>
      </c>
      <c r="ET40" s="1">
        <f>1+(Table1[[#This Row],[error_ratio_4]]-EJ$2)</f>
        <v>0.99185336048879835</v>
      </c>
      <c r="EU40" s="1">
        <f>1+(Table1[[#This Row],[error_ratio_5]]-EK$2)</f>
        <v>0.92488789237668156</v>
      </c>
      <c r="EV40" s="1">
        <f>1+(Table1[[#This Row],[error_ratio_6]]-EL$2)</f>
        <v>1.0167014613778707</v>
      </c>
      <c r="EW40" s="1">
        <f>1+(Table1[[#This Row],[error_ratio_7]]-EM$2)</f>
        <v>1.0107003891050583</v>
      </c>
      <c r="EX40" s="1">
        <f>1+(Table1[[#This Row],[error_ratio_8]]-EN$2)</f>
        <v>1.1498973305954825</v>
      </c>
      <c r="EY40" s="1">
        <f>1+(Table1[[#This Row],[error_ratio_9]]-EO$2)</f>
        <v>1.001982160555005</v>
      </c>
    </row>
    <row r="41" spans="1:155" x14ac:dyDescent="0.75">
      <c r="A41">
        <v>10</v>
      </c>
      <c r="B41">
        <v>10</v>
      </c>
      <c r="C41">
        <v>10</v>
      </c>
      <c r="D41">
        <v>100</v>
      </c>
      <c r="E41">
        <v>100</v>
      </c>
      <c r="F41">
        <v>10</v>
      </c>
      <c r="G41">
        <v>100</v>
      </c>
      <c r="H41">
        <v>100</v>
      </c>
      <c r="I41">
        <v>100</v>
      </c>
      <c r="J41">
        <v>100</v>
      </c>
      <c r="K41">
        <v>958</v>
      </c>
      <c r="L41">
        <v>1114</v>
      </c>
      <c r="M41">
        <v>960</v>
      </c>
      <c r="N41">
        <v>1056</v>
      </c>
      <c r="O41">
        <v>967</v>
      </c>
      <c r="P41">
        <v>835</v>
      </c>
      <c r="Q41">
        <v>992</v>
      </c>
      <c r="R41">
        <v>1075</v>
      </c>
      <c r="S41">
        <v>1021</v>
      </c>
      <c r="T41">
        <v>1022</v>
      </c>
      <c r="U41">
        <v>980</v>
      </c>
      <c r="V41">
        <v>1135</v>
      </c>
      <c r="W41">
        <v>1032</v>
      </c>
      <c r="X41">
        <v>1010</v>
      </c>
      <c r="Y41">
        <v>982</v>
      </c>
      <c r="Z41">
        <v>892</v>
      </c>
      <c r="AA41">
        <v>958</v>
      </c>
      <c r="AB41">
        <v>1028</v>
      </c>
      <c r="AC41">
        <v>974</v>
      </c>
      <c r="AD41">
        <v>1009</v>
      </c>
      <c r="AE41">
        <v>951</v>
      </c>
      <c r="AF41">
        <v>0</v>
      </c>
      <c r="AG41">
        <v>0</v>
      </c>
      <c r="AH41">
        <v>1</v>
      </c>
      <c r="AI41">
        <v>0</v>
      </c>
      <c r="AJ41">
        <v>0</v>
      </c>
      <c r="AK41">
        <v>19</v>
      </c>
      <c r="AL41">
        <v>3</v>
      </c>
      <c r="AM41">
        <v>3</v>
      </c>
      <c r="AN41">
        <v>3</v>
      </c>
      <c r="AO41">
        <v>0</v>
      </c>
      <c r="AP41">
        <v>1110</v>
      </c>
      <c r="AQ41">
        <v>0</v>
      </c>
      <c r="AR41">
        <v>5</v>
      </c>
      <c r="AS41">
        <v>0</v>
      </c>
      <c r="AT41">
        <v>2</v>
      </c>
      <c r="AU41">
        <v>3</v>
      </c>
      <c r="AV41">
        <v>9</v>
      </c>
      <c r="AW41">
        <v>6</v>
      </c>
      <c r="AX41">
        <v>0</v>
      </c>
      <c r="AY41">
        <v>2</v>
      </c>
      <c r="AZ41">
        <v>2</v>
      </c>
      <c r="BA41">
        <v>956</v>
      </c>
      <c r="BB41">
        <v>18</v>
      </c>
      <c r="BC41">
        <v>4</v>
      </c>
      <c r="BD41">
        <v>0</v>
      </c>
      <c r="BE41">
        <v>5</v>
      </c>
      <c r="BF41">
        <v>20</v>
      </c>
      <c r="BG41">
        <v>25</v>
      </c>
      <c r="BH41">
        <v>0</v>
      </c>
      <c r="BI41">
        <v>0</v>
      </c>
      <c r="BJ41">
        <v>0</v>
      </c>
      <c r="BK41">
        <v>1</v>
      </c>
      <c r="BL41">
        <v>1003</v>
      </c>
      <c r="BM41">
        <v>0</v>
      </c>
      <c r="BN41">
        <v>0</v>
      </c>
      <c r="BO41">
        <v>0</v>
      </c>
      <c r="BP41">
        <v>3</v>
      </c>
      <c r="BQ41">
        <v>3</v>
      </c>
      <c r="BR41">
        <v>0</v>
      </c>
      <c r="BS41">
        <v>0</v>
      </c>
      <c r="BT41">
        <v>1</v>
      </c>
      <c r="BU41">
        <v>0</v>
      </c>
      <c r="BV41">
        <v>0</v>
      </c>
      <c r="BW41">
        <v>961</v>
      </c>
      <c r="BX41">
        <v>0</v>
      </c>
      <c r="BY41">
        <v>4</v>
      </c>
      <c r="BZ41">
        <v>2</v>
      </c>
      <c r="CA41">
        <v>1</v>
      </c>
      <c r="CB41">
        <v>13</v>
      </c>
      <c r="CC41">
        <v>2</v>
      </c>
      <c r="CD41">
        <v>0</v>
      </c>
      <c r="CE41">
        <v>0</v>
      </c>
      <c r="CF41">
        <v>25</v>
      </c>
      <c r="CG41">
        <v>0</v>
      </c>
      <c r="CH41">
        <v>830</v>
      </c>
      <c r="CI41">
        <v>6</v>
      </c>
      <c r="CJ41">
        <v>2</v>
      </c>
      <c r="CK41">
        <v>16</v>
      </c>
      <c r="CL41">
        <v>11</v>
      </c>
      <c r="CM41">
        <v>2</v>
      </c>
      <c r="CN41">
        <v>1</v>
      </c>
      <c r="CO41">
        <v>0</v>
      </c>
      <c r="CP41">
        <v>0</v>
      </c>
      <c r="CQ41">
        <v>1</v>
      </c>
      <c r="CR41">
        <v>1</v>
      </c>
      <c r="CS41">
        <v>951</v>
      </c>
      <c r="CT41">
        <v>0</v>
      </c>
      <c r="CU41">
        <v>2</v>
      </c>
      <c r="CV41">
        <v>0</v>
      </c>
      <c r="CW41">
        <v>0</v>
      </c>
      <c r="CX41">
        <v>0</v>
      </c>
      <c r="CY41">
        <v>3</v>
      </c>
      <c r="CZ41">
        <v>0</v>
      </c>
      <c r="DA41">
        <v>0</v>
      </c>
      <c r="DB41">
        <v>0</v>
      </c>
      <c r="DC41">
        <v>0</v>
      </c>
      <c r="DD41">
        <v>1023</v>
      </c>
      <c r="DE41">
        <v>1</v>
      </c>
      <c r="DF41">
        <v>1</v>
      </c>
      <c r="DG41">
        <v>1</v>
      </c>
      <c r="DH41">
        <v>0</v>
      </c>
      <c r="DI41">
        <v>0</v>
      </c>
      <c r="DJ41">
        <v>1</v>
      </c>
      <c r="DK41">
        <v>0</v>
      </c>
      <c r="DL41">
        <v>0</v>
      </c>
      <c r="DM41">
        <v>2</v>
      </c>
      <c r="DN41">
        <v>4</v>
      </c>
      <c r="DO41">
        <v>962</v>
      </c>
      <c r="DP41">
        <v>4</v>
      </c>
      <c r="DQ41">
        <v>0</v>
      </c>
      <c r="DR41">
        <v>0</v>
      </c>
      <c r="DS41">
        <v>0</v>
      </c>
      <c r="DT41">
        <v>3</v>
      </c>
      <c r="DU41">
        <v>1</v>
      </c>
      <c r="DV41">
        <v>2</v>
      </c>
      <c r="DW41">
        <v>2</v>
      </c>
      <c r="DX41">
        <v>9</v>
      </c>
      <c r="DY41">
        <v>2</v>
      </c>
      <c r="DZ41">
        <v>990</v>
      </c>
      <c r="EA41">
        <v>0.97370000000000001</v>
      </c>
      <c r="EB41">
        <v>0.97437532282130401</v>
      </c>
      <c r="EC41">
        <v>0.97335944160538901</v>
      </c>
      <c r="ED41">
        <v>0.97342591256289301</v>
      </c>
      <c r="EE41">
        <f>SUM(Table1[[#This Row],[ratio_0]:[ratio_9]])</f>
        <v>640</v>
      </c>
      <c r="EF41" s="1">
        <f>(Table1[[#This Row],[predicted_0]]-Table1[[#This Row],[actual_0]])/Table1[[#This Row],[actual_0]]</f>
        <v>-2.2448979591836733E-2</v>
      </c>
      <c r="EG41" s="1">
        <f>(Table1[[#This Row],[predicted_1]]-Table1[[#This Row],[actual_1]])/Table1[[#This Row],[actual_1]]</f>
        <v>-1.8502202643171806E-2</v>
      </c>
      <c r="EH41" s="1">
        <f>(Table1[[#This Row],[predicted_2]]-Table1[[#This Row],[actual_2]])/Table1[[#This Row],[actual_2]]</f>
        <v>-6.9767441860465115E-2</v>
      </c>
      <c r="EI41" s="1">
        <f>(Table1[[#This Row],[predicted_3]]-Table1[[#This Row],[actual_3]])/Table1[[#This Row],[actual_3]]</f>
        <v>4.5544554455445543E-2</v>
      </c>
      <c r="EJ41" s="1">
        <f>(Table1[[#This Row],[predicted_4]]-Table1[[#This Row],[actual_4]])/Table1[[#This Row],[actual_4]]</f>
        <v>-1.5274949083503055E-2</v>
      </c>
      <c r="EK41" s="1">
        <f>(Table1[[#This Row],[predicted_5]]-Table1[[#This Row],[actual_5]])/Table1[[#This Row],[actual_5]]</f>
        <v>-6.3901345291479825E-2</v>
      </c>
      <c r="EL41" s="1">
        <f>(Table1[[#This Row],[predicted_6]]-Table1[[#This Row],[actual_6]])/Table1[[#This Row],[actual_6]]</f>
        <v>3.5490605427974949E-2</v>
      </c>
      <c r="EM41" s="1">
        <f>(Table1[[#This Row],[predicted_7]]-Table1[[#This Row],[actual_7]])/Table1[[#This Row],[actual_7]]</f>
        <v>4.5719844357976651E-2</v>
      </c>
      <c r="EN41" s="1">
        <f>(Table1[[#This Row],[predicted_8]]-Table1[[#This Row],[actual_8]])/Table1[[#This Row],[actual_8]]</f>
        <v>4.8254620123203286E-2</v>
      </c>
      <c r="EO41" s="1">
        <f>(Table1[[#This Row],[predicted_9]]-Table1[[#This Row],[actual_9]])/Table1[[#This Row],[actual_9]]</f>
        <v>1.288404360753221E-2</v>
      </c>
      <c r="EP41" s="1">
        <f>1+(Table1[[#This Row],[error_ratio_0]]-EF$2)</f>
        <v>0.97551020408163269</v>
      </c>
      <c r="EQ41" s="1">
        <f>1+(Table1[[#This Row],[error_ratio_1]]-EG$2)</f>
        <v>0.97973568281938328</v>
      </c>
      <c r="ER41" s="1">
        <f>1+(Table1[[#This Row],[error_ratio_2]]-EH$2)</f>
        <v>0.93507751937984496</v>
      </c>
      <c r="ES41" s="1">
        <f>1+(Table1[[#This Row],[error_ratio_3]]-EI$2)</f>
        <v>1.0356435643564357</v>
      </c>
      <c r="ET41" s="1">
        <f>1+(Table1[[#This Row],[error_ratio_4]]-EJ$2)</f>
        <v>0.9837067209775967</v>
      </c>
      <c r="EU41" s="1">
        <f>1+(Table1[[#This Row],[error_ratio_5]]-EK$2)</f>
        <v>0.93497757847533636</v>
      </c>
      <c r="EV41" s="1">
        <f>1+(Table1[[#This Row],[error_ratio_6]]-EL$2)</f>
        <v>1.0417536534446765</v>
      </c>
      <c r="EW41" s="1">
        <f>1+(Table1[[#This Row],[error_ratio_7]]-EM$2)</f>
        <v>1.0437743190661479</v>
      </c>
      <c r="EX41" s="1">
        <f>1+(Table1[[#This Row],[error_ratio_8]]-EN$2)</f>
        <v>1.0513347022587269</v>
      </c>
      <c r="EY41" s="1">
        <f>1+(Table1[[#This Row],[error_ratio_9]]-EO$2)</f>
        <v>1.0168483647175421</v>
      </c>
    </row>
    <row r="42" spans="1:155" x14ac:dyDescent="0.75">
      <c r="A42">
        <v>100</v>
      </c>
      <c r="B42">
        <v>100</v>
      </c>
      <c r="C42">
        <v>100</v>
      </c>
      <c r="D42">
        <v>10</v>
      </c>
      <c r="E42">
        <v>100</v>
      </c>
      <c r="F42">
        <v>10</v>
      </c>
      <c r="G42">
        <v>100</v>
      </c>
      <c r="H42">
        <v>100</v>
      </c>
      <c r="I42">
        <v>100</v>
      </c>
      <c r="J42">
        <v>100</v>
      </c>
      <c r="K42">
        <v>997</v>
      </c>
      <c r="L42">
        <v>1137</v>
      </c>
      <c r="M42">
        <v>1037</v>
      </c>
      <c r="N42">
        <v>965</v>
      </c>
      <c r="O42">
        <v>985</v>
      </c>
      <c r="P42">
        <v>865</v>
      </c>
      <c r="Q42">
        <v>961</v>
      </c>
      <c r="R42">
        <v>1026</v>
      </c>
      <c r="S42">
        <v>1018</v>
      </c>
      <c r="T42">
        <v>1009</v>
      </c>
      <c r="U42">
        <v>980</v>
      </c>
      <c r="V42">
        <v>1135</v>
      </c>
      <c r="W42">
        <v>1032</v>
      </c>
      <c r="X42">
        <v>1010</v>
      </c>
      <c r="Y42">
        <v>982</v>
      </c>
      <c r="Z42">
        <v>892</v>
      </c>
      <c r="AA42">
        <v>958</v>
      </c>
      <c r="AB42">
        <v>1028</v>
      </c>
      <c r="AC42">
        <v>974</v>
      </c>
      <c r="AD42">
        <v>1009</v>
      </c>
      <c r="AE42">
        <v>976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2</v>
      </c>
      <c r="AL42">
        <v>1</v>
      </c>
      <c r="AM42">
        <v>1</v>
      </c>
      <c r="AN42">
        <v>0</v>
      </c>
      <c r="AO42">
        <v>0</v>
      </c>
      <c r="AP42">
        <v>1129</v>
      </c>
      <c r="AQ42">
        <v>1</v>
      </c>
      <c r="AR42">
        <v>1</v>
      </c>
      <c r="AS42">
        <v>0</v>
      </c>
      <c r="AT42">
        <v>1</v>
      </c>
      <c r="AU42">
        <v>2</v>
      </c>
      <c r="AV42">
        <v>0</v>
      </c>
      <c r="AW42">
        <v>1</v>
      </c>
      <c r="AX42">
        <v>0</v>
      </c>
      <c r="AY42">
        <v>2</v>
      </c>
      <c r="AZ42">
        <v>1</v>
      </c>
      <c r="BA42">
        <v>1019</v>
      </c>
      <c r="BB42">
        <v>0</v>
      </c>
      <c r="BC42">
        <v>1</v>
      </c>
      <c r="BD42">
        <v>0</v>
      </c>
      <c r="BE42">
        <v>1</v>
      </c>
      <c r="BF42">
        <v>5</v>
      </c>
      <c r="BG42">
        <v>3</v>
      </c>
      <c r="BH42">
        <v>0</v>
      </c>
      <c r="BI42">
        <v>4</v>
      </c>
      <c r="BJ42">
        <v>0</v>
      </c>
      <c r="BK42">
        <v>6</v>
      </c>
      <c r="BL42">
        <v>960</v>
      </c>
      <c r="BM42">
        <v>0</v>
      </c>
      <c r="BN42">
        <v>15</v>
      </c>
      <c r="BO42">
        <v>0</v>
      </c>
      <c r="BP42">
        <v>7</v>
      </c>
      <c r="BQ42">
        <v>14</v>
      </c>
      <c r="BR42">
        <v>4</v>
      </c>
      <c r="BS42">
        <v>0</v>
      </c>
      <c r="BT42">
        <v>0</v>
      </c>
      <c r="BU42">
        <v>1</v>
      </c>
      <c r="BV42">
        <v>0</v>
      </c>
      <c r="BW42">
        <v>978</v>
      </c>
      <c r="BX42">
        <v>0</v>
      </c>
      <c r="BY42">
        <v>0</v>
      </c>
      <c r="BZ42">
        <v>1</v>
      </c>
      <c r="CA42">
        <v>1</v>
      </c>
      <c r="CB42">
        <v>1</v>
      </c>
      <c r="CC42">
        <v>6</v>
      </c>
      <c r="CD42">
        <v>1</v>
      </c>
      <c r="CE42">
        <v>1</v>
      </c>
      <c r="CF42">
        <v>4</v>
      </c>
      <c r="CG42">
        <v>0</v>
      </c>
      <c r="CH42">
        <v>845</v>
      </c>
      <c r="CI42">
        <v>8</v>
      </c>
      <c r="CJ42">
        <v>1</v>
      </c>
      <c r="CK42">
        <v>21</v>
      </c>
      <c r="CL42">
        <v>5</v>
      </c>
      <c r="CM42">
        <v>5</v>
      </c>
      <c r="CN42">
        <v>1</v>
      </c>
      <c r="CO42">
        <v>0</v>
      </c>
      <c r="CP42">
        <v>0</v>
      </c>
      <c r="CQ42">
        <v>1</v>
      </c>
      <c r="CR42">
        <v>1</v>
      </c>
      <c r="CS42">
        <v>948</v>
      </c>
      <c r="CT42">
        <v>0</v>
      </c>
      <c r="CU42">
        <v>2</v>
      </c>
      <c r="CV42">
        <v>0</v>
      </c>
      <c r="CW42">
        <v>0</v>
      </c>
      <c r="CX42">
        <v>2</v>
      </c>
      <c r="CY42">
        <v>7</v>
      </c>
      <c r="CZ42">
        <v>0</v>
      </c>
      <c r="DA42">
        <v>0</v>
      </c>
      <c r="DB42">
        <v>0</v>
      </c>
      <c r="DC42">
        <v>0</v>
      </c>
      <c r="DD42">
        <v>1008</v>
      </c>
      <c r="DE42">
        <v>2</v>
      </c>
      <c r="DF42">
        <v>9</v>
      </c>
      <c r="DG42">
        <v>1</v>
      </c>
      <c r="DH42">
        <v>0</v>
      </c>
      <c r="DI42">
        <v>2</v>
      </c>
      <c r="DJ42">
        <v>0</v>
      </c>
      <c r="DK42">
        <v>0</v>
      </c>
      <c r="DL42">
        <v>0</v>
      </c>
      <c r="DM42">
        <v>0</v>
      </c>
      <c r="DN42">
        <v>2</v>
      </c>
      <c r="DO42">
        <v>967</v>
      </c>
      <c r="DP42">
        <v>2</v>
      </c>
      <c r="DQ42">
        <v>3</v>
      </c>
      <c r="DR42">
        <v>3</v>
      </c>
      <c r="DS42">
        <v>0</v>
      </c>
      <c r="DT42">
        <v>0</v>
      </c>
      <c r="DU42">
        <v>5</v>
      </c>
      <c r="DV42">
        <v>3</v>
      </c>
      <c r="DW42">
        <v>0</v>
      </c>
      <c r="DX42">
        <v>1</v>
      </c>
      <c r="DY42">
        <v>6</v>
      </c>
      <c r="DZ42">
        <v>988</v>
      </c>
      <c r="EA42">
        <v>0.98180000000000001</v>
      </c>
      <c r="EB42">
        <v>0.98171513016832401</v>
      </c>
      <c r="EC42">
        <v>0.98138730608762703</v>
      </c>
      <c r="ED42">
        <v>0.9814220919262</v>
      </c>
      <c r="EE42">
        <f>SUM(Table1[[#This Row],[ratio_0]:[ratio_9]])</f>
        <v>820</v>
      </c>
      <c r="EF42" s="1">
        <f>(Table1[[#This Row],[predicted_0]]-Table1[[#This Row],[actual_0]])/Table1[[#This Row],[actual_0]]</f>
        <v>1.7346938775510204E-2</v>
      </c>
      <c r="EG42" s="1">
        <f>(Table1[[#This Row],[predicted_1]]-Table1[[#This Row],[actual_1]])/Table1[[#This Row],[actual_1]]</f>
        <v>1.762114537444934E-3</v>
      </c>
      <c r="EH42" s="1">
        <f>(Table1[[#This Row],[predicted_2]]-Table1[[#This Row],[actual_2]])/Table1[[#This Row],[actual_2]]</f>
        <v>4.8449612403100775E-3</v>
      </c>
      <c r="EI42" s="1">
        <f>(Table1[[#This Row],[predicted_3]]-Table1[[#This Row],[actual_3]])/Table1[[#This Row],[actual_3]]</f>
        <v>-4.4554455445544552E-2</v>
      </c>
      <c r="EJ42" s="1">
        <f>(Table1[[#This Row],[predicted_4]]-Table1[[#This Row],[actual_4]])/Table1[[#This Row],[actual_4]]</f>
        <v>3.0549898167006109E-3</v>
      </c>
      <c r="EK42" s="1">
        <f>(Table1[[#This Row],[predicted_5]]-Table1[[#This Row],[actual_5]])/Table1[[#This Row],[actual_5]]</f>
        <v>-3.0269058295964126E-2</v>
      </c>
      <c r="EL42" s="1">
        <f>(Table1[[#This Row],[predicted_6]]-Table1[[#This Row],[actual_6]])/Table1[[#This Row],[actual_6]]</f>
        <v>3.1315240083507308E-3</v>
      </c>
      <c r="EM42" s="1">
        <f>(Table1[[#This Row],[predicted_7]]-Table1[[#This Row],[actual_7]])/Table1[[#This Row],[actual_7]]</f>
        <v>-1.9455252918287938E-3</v>
      </c>
      <c r="EN42" s="1">
        <f>(Table1[[#This Row],[predicted_8]]-Table1[[#This Row],[actual_8]])/Table1[[#This Row],[actual_8]]</f>
        <v>4.5174537987679675E-2</v>
      </c>
      <c r="EO42" s="1">
        <f>(Table1[[#This Row],[predicted_9]]-Table1[[#This Row],[actual_9]])/Table1[[#This Row],[actual_9]]</f>
        <v>0</v>
      </c>
      <c r="EP42" s="1">
        <f>1+(Table1[[#This Row],[error_ratio_0]]-EF$2)</f>
        <v>1.0153061224489797</v>
      </c>
      <c r="EQ42" s="1">
        <f>1+(Table1[[#This Row],[error_ratio_1]]-EG$2)</f>
        <v>1</v>
      </c>
      <c r="ER42" s="1">
        <f>1+(Table1[[#This Row],[error_ratio_2]]-EH$2)</f>
        <v>1.0096899224806202</v>
      </c>
      <c r="ES42" s="1">
        <f>1+(Table1[[#This Row],[error_ratio_3]]-EI$2)</f>
        <v>0.9455445544554455</v>
      </c>
      <c r="ET42" s="1">
        <f>1+(Table1[[#This Row],[error_ratio_4]]-EJ$2)</f>
        <v>1.0020366598778003</v>
      </c>
      <c r="EU42" s="1">
        <f>1+(Table1[[#This Row],[error_ratio_5]]-EK$2)</f>
        <v>0.96860986547085204</v>
      </c>
      <c r="EV42" s="1">
        <f>1+(Table1[[#This Row],[error_ratio_6]]-EL$2)</f>
        <v>1.0093945720250521</v>
      </c>
      <c r="EW42" s="1">
        <f>1+(Table1[[#This Row],[error_ratio_7]]-EM$2)</f>
        <v>0.99610894941634243</v>
      </c>
      <c r="EX42" s="1">
        <f>1+(Table1[[#This Row],[error_ratio_8]]-EN$2)</f>
        <v>1.0482546201232033</v>
      </c>
      <c r="EY42" s="1">
        <f>1+(Table1[[#This Row],[error_ratio_9]]-EO$2)</f>
        <v>1.00396432111001</v>
      </c>
    </row>
    <row r="43" spans="1:155" x14ac:dyDescent="0.75">
      <c r="A43">
        <v>10</v>
      </c>
      <c r="B43">
        <v>100</v>
      </c>
      <c r="C43">
        <v>100</v>
      </c>
      <c r="D43">
        <v>10</v>
      </c>
      <c r="E43">
        <v>100</v>
      </c>
      <c r="F43">
        <v>10</v>
      </c>
      <c r="G43">
        <v>100</v>
      </c>
      <c r="H43">
        <v>100</v>
      </c>
      <c r="I43">
        <v>100</v>
      </c>
      <c r="J43">
        <v>100</v>
      </c>
      <c r="K43">
        <v>977</v>
      </c>
      <c r="L43">
        <v>1137</v>
      </c>
      <c r="M43">
        <v>1043</v>
      </c>
      <c r="N43">
        <v>976</v>
      </c>
      <c r="O43">
        <v>977</v>
      </c>
      <c r="P43">
        <v>794</v>
      </c>
      <c r="Q43">
        <v>954</v>
      </c>
      <c r="R43">
        <v>1044</v>
      </c>
      <c r="S43">
        <v>1049</v>
      </c>
      <c r="T43">
        <v>1049</v>
      </c>
      <c r="U43">
        <v>980</v>
      </c>
      <c r="V43">
        <v>1135</v>
      </c>
      <c r="W43">
        <v>1032</v>
      </c>
      <c r="X43">
        <v>1010</v>
      </c>
      <c r="Y43">
        <v>982</v>
      </c>
      <c r="Z43">
        <v>892</v>
      </c>
      <c r="AA43">
        <v>958</v>
      </c>
      <c r="AB43">
        <v>1028</v>
      </c>
      <c r="AC43">
        <v>974</v>
      </c>
      <c r="AD43">
        <v>1009</v>
      </c>
      <c r="AE43">
        <v>959</v>
      </c>
      <c r="AF43">
        <v>0</v>
      </c>
      <c r="AG43">
        <v>2</v>
      </c>
      <c r="AH43">
        <v>0</v>
      </c>
      <c r="AI43">
        <v>1</v>
      </c>
      <c r="AJ43">
        <v>0</v>
      </c>
      <c r="AK43">
        <v>5</v>
      </c>
      <c r="AL43">
        <v>4</v>
      </c>
      <c r="AM43">
        <v>7</v>
      </c>
      <c r="AN43">
        <v>2</v>
      </c>
      <c r="AO43">
        <v>0</v>
      </c>
      <c r="AP43">
        <v>1128</v>
      </c>
      <c r="AQ43">
        <v>3</v>
      </c>
      <c r="AR43">
        <v>1</v>
      </c>
      <c r="AS43">
        <v>0</v>
      </c>
      <c r="AT43">
        <v>0</v>
      </c>
      <c r="AU43">
        <v>1</v>
      </c>
      <c r="AV43">
        <v>1</v>
      </c>
      <c r="AW43">
        <v>1</v>
      </c>
      <c r="AX43">
        <v>0</v>
      </c>
      <c r="AY43">
        <v>1</v>
      </c>
      <c r="AZ43">
        <v>0</v>
      </c>
      <c r="BA43">
        <v>1018</v>
      </c>
      <c r="BB43">
        <v>0</v>
      </c>
      <c r="BC43">
        <v>1</v>
      </c>
      <c r="BD43">
        <v>0</v>
      </c>
      <c r="BE43">
        <v>0</v>
      </c>
      <c r="BF43">
        <v>9</v>
      </c>
      <c r="BG43">
        <v>3</v>
      </c>
      <c r="BH43">
        <v>0</v>
      </c>
      <c r="BI43">
        <v>2</v>
      </c>
      <c r="BJ43">
        <v>0</v>
      </c>
      <c r="BK43">
        <v>10</v>
      </c>
      <c r="BL43">
        <v>959</v>
      </c>
      <c r="BM43">
        <v>0</v>
      </c>
      <c r="BN43">
        <v>1</v>
      </c>
      <c r="BO43">
        <v>0</v>
      </c>
      <c r="BP43">
        <v>10</v>
      </c>
      <c r="BQ43">
        <v>19</v>
      </c>
      <c r="BR43">
        <v>9</v>
      </c>
      <c r="BS43">
        <v>0</v>
      </c>
      <c r="BT43">
        <v>1</v>
      </c>
      <c r="BU43">
        <v>1</v>
      </c>
      <c r="BV43">
        <v>0</v>
      </c>
      <c r="BW43">
        <v>969</v>
      </c>
      <c r="BX43">
        <v>0</v>
      </c>
      <c r="BY43">
        <v>1</v>
      </c>
      <c r="BZ43">
        <v>2</v>
      </c>
      <c r="CA43">
        <v>1</v>
      </c>
      <c r="CB43">
        <v>7</v>
      </c>
      <c r="CC43">
        <v>5</v>
      </c>
      <c r="CD43">
        <v>2</v>
      </c>
      <c r="CE43">
        <v>3</v>
      </c>
      <c r="CF43">
        <v>16</v>
      </c>
      <c r="CG43">
        <v>0</v>
      </c>
      <c r="CH43">
        <v>792</v>
      </c>
      <c r="CI43">
        <v>6</v>
      </c>
      <c r="CJ43">
        <v>3</v>
      </c>
      <c r="CK43">
        <v>45</v>
      </c>
      <c r="CL43">
        <v>20</v>
      </c>
      <c r="CM43">
        <v>6</v>
      </c>
      <c r="CN43">
        <v>3</v>
      </c>
      <c r="CO43">
        <v>0</v>
      </c>
      <c r="CP43">
        <v>0</v>
      </c>
      <c r="CQ43">
        <v>2</v>
      </c>
      <c r="CR43">
        <v>1</v>
      </c>
      <c r="CS43">
        <v>940</v>
      </c>
      <c r="CT43">
        <v>0</v>
      </c>
      <c r="CU43">
        <v>6</v>
      </c>
      <c r="CV43">
        <v>0</v>
      </c>
      <c r="CW43">
        <v>0</v>
      </c>
      <c r="CX43">
        <v>2</v>
      </c>
      <c r="CY43">
        <v>3</v>
      </c>
      <c r="CZ43">
        <v>0</v>
      </c>
      <c r="DA43">
        <v>0</v>
      </c>
      <c r="DB43">
        <v>0</v>
      </c>
      <c r="DC43">
        <v>0</v>
      </c>
      <c r="DD43">
        <v>1013</v>
      </c>
      <c r="DE43">
        <v>0</v>
      </c>
      <c r="DF43">
        <v>10</v>
      </c>
      <c r="DG43">
        <v>2</v>
      </c>
      <c r="DH43">
        <v>0</v>
      </c>
      <c r="DI43">
        <v>1</v>
      </c>
      <c r="DJ43">
        <v>0</v>
      </c>
      <c r="DK43">
        <v>0</v>
      </c>
      <c r="DL43">
        <v>0</v>
      </c>
      <c r="DM43">
        <v>1</v>
      </c>
      <c r="DN43">
        <v>2</v>
      </c>
      <c r="DO43">
        <v>966</v>
      </c>
      <c r="DP43">
        <v>2</v>
      </c>
      <c r="DQ43">
        <v>2</v>
      </c>
      <c r="DR43">
        <v>1</v>
      </c>
      <c r="DS43">
        <v>2</v>
      </c>
      <c r="DT43">
        <v>0</v>
      </c>
      <c r="DU43">
        <v>4</v>
      </c>
      <c r="DV43">
        <v>0</v>
      </c>
      <c r="DW43">
        <v>0</v>
      </c>
      <c r="DX43">
        <v>0</v>
      </c>
      <c r="DY43">
        <v>1</v>
      </c>
      <c r="DZ43">
        <v>999</v>
      </c>
      <c r="EA43">
        <v>0.97430000000000005</v>
      </c>
      <c r="EB43">
        <v>0.975041015559448</v>
      </c>
      <c r="EC43">
        <v>0.97314922353132205</v>
      </c>
      <c r="ED43">
        <v>0.97357020586758503</v>
      </c>
      <c r="EE43">
        <f>SUM(Table1[[#This Row],[ratio_0]:[ratio_9]])</f>
        <v>730</v>
      </c>
      <c r="EF43" s="1">
        <f>(Table1[[#This Row],[predicted_0]]-Table1[[#This Row],[actual_0]])/Table1[[#This Row],[actual_0]]</f>
        <v>-3.0612244897959182E-3</v>
      </c>
      <c r="EG43" s="1">
        <f>(Table1[[#This Row],[predicted_1]]-Table1[[#This Row],[actual_1]])/Table1[[#This Row],[actual_1]]</f>
        <v>1.762114537444934E-3</v>
      </c>
      <c r="EH43" s="1">
        <f>(Table1[[#This Row],[predicted_2]]-Table1[[#This Row],[actual_2]])/Table1[[#This Row],[actual_2]]</f>
        <v>1.065891472868217E-2</v>
      </c>
      <c r="EI43" s="1">
        <f>(Table1[[#This Row],[predicted_3]]-Table1[[#This Row],[actual_3]])/Table1[[#This Row],[actual_3]]</f>
        <v>-3.3663366336633666E-2</v>
      </c>
      <c r="EJ43" s="1">
        <f>(Table1[[#This Row],[predicted_4]]-Table1[[#This Row],[actual_4]])/Table1[[#This Row],[actual_4]]</f>
        <v>-5.0916496945010185E-3</v>
      </c>
      <c r="EK43" s="1">
        <f>(Table1[[#This Row],[predicted_5]]-Table1[[#This Row],[actual_5]])/Table1[[#This Row],[actual_5]]</f>
        <v>-0.10986547085201794</v>
      </c>
      <c r="EL43" s="1">
        <f>(Table1[[#This Row],[predicted_6]]-Table1[[#This Row],[actual_6]])/Table1[[#This Row],[actual_6]]</f>
        <v>-4.1753653444676405E-3</v>
      </c>
      <c r="EM43" s="1">
        <f>(Table1[[#This Row],[predicted_7]]-Table1[[#This Row],[actual_7]])/Table1[[#This Row],[actual_7]]</f>
        <v>1.556420233463035E-2</v>
      </c>
      <c r="EN43" s="1">
        <f>(Table1[[#This Row],[predicted_8]]-Table1[[#This Row],[actual_8]])/Table1[[#This Row],[actual_8]]</f>
        <v>7.7002053388090352E-2</v>
      </c>
      <c r="EO43" s="1">
        <f>(Table1[[#This Row],[predicted_9]]-Table1[[#This Row],[actual_9]])/Table1[[#This Row],[actual_9]]</f>
        <v>3.9643211100099107E-2</v>
      </c>
      <c r="EP43" s="1">
        <f>1+(Table1[[#This Row],[error_ratio_0]]-EF$2)</f>
        <v>0.99489795918367352</v>
      </c>
      <c r="EQ43" s="1">
        <f>1+(Table1[[#This Row],[error_ratio_1]]-EG$2)</f>
        <v>1</v>
      </c>
      <c r="ER43" s="1">
        <f>1+(Table1[[#This Row],[error_ratio_2]]-EH$2)</f>
        <v>1.0155038759689923</v>
      </c>
      <c r="ES43" s="1">
        <f>1+(Table1[[#This Row],[error_ratio_3]]-EI$2)</f>
        <v>0.9564356435643564</v>
      </c>
      <c r="ET43" s="1">
        <f>1+(Table1[[#This Row],[error_ratio_4]]-EJ$2)</f>
        <v>0.99389002036659879</v>
      </c>
      <c r="EU43" s="1">
        <f>1+(Table1[[#This Row],[error_ratio_5]]-EK$2)</f>
        <v>0.88901345291479816</v>
      </c>
      <c r="EV43" s="1">
        <f>1+(Table1[[#This Row],[error_ratio_6]]-EL$2)</f>
        <v>1.0020876826722338</v>
      </c>
      <c r="EW43" s="1">
        <f>1+(Table1[[#This Row],[error_ratio_7]]-EM$2)</f>
        <v>1.0136186770428015</v>
      </c>
      <c r="EX43" s="1">
        <f>1+(Table1[[#This Row],[error_ratio_8]]-EN$2)</f>
        <v>1.0800821355236139</v>
      </c>
      <c r="EY43" s="1">
        <f>1+(Table1[[#This Row],[error_ratio_9]]-EO$2)</f>
        <v>1.043607532210109</v>
      </c>
    </row>
    <row r="44" spans="1:155" x14ac:dyDescent="0.75">
      <c r="A44">
        <v>100</v>
      </c>
      <c r="B44">
        <v>10</v>
      </c>
      <c r="C44">
        <v>100</v>
      </c>
      <c r="D44">
        <v>10</v>
      </c>
      <c r="E44">
        <v>100</v>
      </c>
      <c r="F44">
        <v>10</v>
      </c>
      <c r="G44">
        <v>100</v>
      </c>
      <c r="H44">
        <v>100</v>
      </c>
      <c r="I44">
        <v>100</v>
      </c>
      <c r="J44">
        <v>100</v>
      </c>
      <c r="K44">
        <v>981</v>
      </c>
      <c r="L44">
        <v>1118</v>
      </c>
      <c r="M44">
        <v>1080</v>
      </c>
      <c r="N44">
        <v>963</v>
      </c>
      <c r="O44">
        <v>986</v>
      </c>
      <c r="P44">
        <v>849</v>
      </c>
      <c r="Q44">
        <v>969</v>
      </c>
      <c r="R44">
        <v>1015</v>
      </c>
      <c r="S44">
        <v>980</v>
      </c>
      <c r="T44">
        <v>1059</v>
      </c>
      <c r="U44">
        <v>980</v>
      </c>
      <c r="V44">
        <v>1135</v>
      </c>
      <c r="W44">
        <v>1032</v>
      </c>
      <c r="X44">
        <v>1010</v>
      </c>
      <c r="Y44">
        <v>982</v>
      </c>
      <c r="Z44">
        <v>892</v>
      </c>
      <c r="AA44">
        <v>958</v>
      </c>
      <c r="AB44">
        <v>1028</v>
      </c>
      <c r="AC44">
        <v>974</v>
      </c>
      <c r="AD44">
        <v>1009</v>
      </c>
      <c r="AE44">
        <v>972</v>
      </c>
      <c r="AF44">
        <v>2</v>
      </c>
      <c r="AG44">
        <v>1</v>
      </c>
      <c r="AH44">
        <v>0</v>
      </c>
      <c r="AI44">
        <v>1</v>
      </c>
      <c r="AJ44">
        <v>0</v>
      </c>
      <c r="AK44">
        <v>1</v>
      </c>
      <c r="AL44">
        <v>2</v>
      </c>
      <c r="AM44">
        <v>1</v>
      </c>
      <c r="AN44">
        <v>0</v>
      </c>
      <c r="AO44">
        <v>0</v>
      </c>
      <c r="AP44">
        <v>1113</v>
      </c>
      <c r="AQ44">
        <v>7</v>
      </c>
      <c r="AR44">
        <v>0</v>
      </c>
      <c r="AS44">
        <v>3</v>
      </c>
      <c r="AT44">
        <v>1</v>
      </c>
      <c r="AU44">
        <v>4</v>
      </c>
      <c r="AV44">
        <v>2</v>
      </c>
      <c r="AW44">
        <v>4</v>
      </c>
      <c r="AX44">
        <v>1</v>
      </c>
      <c r="AY44">
        <v>1</v>
      </c>
      <c r="AZ44">
        <v>0</v>
      </c>
      <c r="BA44">
        <v>1025</v>
      </c>
      <c r="BB44">
        <v>0</v>
      </c>
      <c r="BC44">
        <v>1</v>
      </c>
      <c r="BD44">
        <v>0</v>
      </c>
      <c r="BE44">
        <v>0</v>
      </c>
      <c r="BF44">
        <v>2</v>
      </c>
      <c r="BG44">
        <v>2</v>
      </c>
      <c r="BH44">
        <v>1</v>
      </c>
      <c r="BI44">
        <v>0</v>
      </c>
      <c r="BJ44">
        <v>0</v>
      </c>
      <c r="BK44">
        <v>21</v>
      </c>
      <c r="BL44">
        <v>954</v>
      </c>
      <c r="BM44">
        <v>0</v>
      </c>
      <c r="BN44">
        <v>12</v>
      </c>
      <c r="BO44">
        <v>1</v>
      </c>
      <c r="BP44">
        <v>7</v>
      </c>
      <c r="BQ44">
        <v>3</v>
      </c>
      <c r="BR44">
        <v>12</v>
      </c>
      <c r="BS44">
        <v>0</v>
      </c>
      <c r="BT44">
        <v>0</v>
      </c>
      <c r="BU44">
        <v>1</v>
      </c>
      <c r="BV44">
        <v>0</v>
      </c>
      <c r="BW44">
        <v>971</v>
      </c>
      <c r="BX44">
        <v>0</v>
      </c>
      <c r="BY44">
        <v>1</v>
      </c>
      <c r="BZ44">
        <v>0</v>
      </c>
      <c r="CA44">
        <v>0</v>
      </c>
      <c r="CB44">
        <v>9</v>
      </c>
      <c r="CC44">
        <v>2</v>
      </c>
      <c r="CD44">
        <v>0</v>
      </c>
      <c r="CE44">
        <v>1</v>
      </c>
      <c r="CF44">
        <v>7</v>
      </c>
      <c r="CG44">
        <v>0</v>
      </c>
      <c r="CH44">
        <v>835</v>
      </c>
      <c r="CI44">
        <v>17</v>
      </c>
      <c r="CJ44">
        <v>2</v>
      </c>
      <c r="CK44">
        <v>15</v>
      </c>
      <c r="CL44">
        <v>13</v>
      </c>
      <c r="CM44">
        <v>5</v>
      </c>
      <c r="CN44">
        <v>2</v>
      </c>
      <c r="CO44">
        <v>0</v>
      </c>
      <c r="CP44">
        <v>0</v>
      </c>
      <c r="CQ44">
        <v>5</v>
      </c>
      <c r="CR44">
        <v>1</v>
      </c>
      <c r="CS44">
        <v>944</v>
      </c>
      <c r="CT44">
        <v>0</v>
      </c>
      <c r="CU44">
        <v>1</v>
      </c>
      <c r="CV44">
        <v>0</v>
      </c>
      <c r="CW44">
        <v>0</v>
      </c>
      <c r="CX44">
        <v>1</v>
      </c>
      <c r="CY44">
        <v>16</v>
      </c>
      <c r="CZ44">
        <v>0</v>
      </c>
      <c r="DA44">
        <v>1</v>
      </c>
      <c r="DB44">
        <v>0</v>
      </c>
      <c r="DC44">
        <v>0</v>
      </c>
      <c r="DD44">
        <v>999</v>
      </c>
      <c r="DE44">
        <v>0</v>
      </c>
      <c r="DF44">
        <v>11</v>
      </c>
      <c r="DG44">
        <v>0</v>
      </c>
      <c r="DH44">
        <v>0</v>
      </c>
      <c r="DI44">
        <v>7</v>
      </c>
      <c r="DJ44">
        <v>1</v>
      </c>
      <c r="DK44">
        <v>2</v>
      </c>
      <c r="DL44">
        <v>0</v>
      </c>
      <c r="DM44">
        <v>1</v>
      </c>
      <c r="DN44">
        <v>1</v>
      </c>
      <c r="DO44">
        <v>953</v>
      </c>
      <c r="DP44">
        <v>9</v>
      </c>
      <c r="DQ44">
        <v>1</v>
      </c>
      <c r="DR44">
        <v>0</v>
      </c>
      <c r="DS44">
        <v>1</v>
      </c>
      <c r="DT44">
        <v>1</v>
      </c>
      <c r="DU44">
        <v>2</v>
      </c>
      <c r="DV44">
        <v>0</v>
      </c>
      <c r="DW44">
        <v>0</v>
      </c>
      <c r="DX44">
        <v>0</v>
      </c>
      <c r="DY44">
        <v>1</v>
      </c>
      <c r="DZ44">
        <v>1003</v>
      </c>
      <c r="EA44">
        <v>0.97689999999999999</v>
      </c>
      <c r="EB44">
        <v>0.97723842895241397</v>
      </c>
      <c r="EC44">
        <v>0.97647910578208696</v>
      </c>
      <c r="ED44">
        <v>0.97662427778701</v>
      </c>
      <c r="EE44">
        <f>SUM(Table1[[#This Row],[ratio_0]:[ratio_9]])</f>
        <v>730</v>
      </c>
      <c r="EF44" s="1">
        <f>(Table1[[#This Row],[predicted_0]]-Table1[[#This Row],[actual_0]])/Table1[[#This Row],[actual_0]]</f>
        <v>1.0204081632653062E-3</v>
      </c>
      <c r="EG44" s="1">
        <f>(Table1[[#This Row],[predicted_1]]-Table1[[#This Row],[actual_1]])/Table1[[#This Row],[actual_1]]</f>
        <v>-1.4977973568281937E-2</v>
      </c>
      <c r="EH44" s="1">
        <f>(Table1[[#This Row],[predicted_2]]-Table1[[#This Row],[actual_2]])/Table1[[#This Row],[actual_2]]</f>
        <v>4.6511627906976744E-2</v>
      </c>
      <c r="EI44" s="1">
        <f>(Table1[[#This Row],[predicted_3]]-Table1[[#This Row],[actual_3]])/Table1[[#This Row],[actual_3]]</f>
        <v>-4.6534653465346534E-2</v>
      </c>
      <c r="EJ44" s="1">
        <f>(Table1[[#This Row],[predicted_4]]-Table1[[#This Row],[actual_4]])/Table1[[#This Row],[actual_4]]</f>
        <v>4.0733197556008143E-3</v>
      </c>
      <c r="EK44" s="1">
        <f>(Table1[[#This Row],[predicted_5]]-Table1[[#This Row],[actual_5]])/Table1[[#This Row],[actual_5]]</f>
        <v>-4.820627802690583E-2</v>
      </c>
      <c r="EL44" s="1">
        <f>(Table1[[#This Row],[predicted_6]]-Table1[[#This Row],[actual_6]])/Table1[[#This Row],[actual_6]]</f>
        <v>1.1482254697286013E-2</v>
      </c>
      <c r="EM44" s="1">
        <f>(Table1[[#This Row],[predicted_7]]-Table1[[#This Row],[actual_7]])/Table1[[#This Row],[actual_7]]</f>
        <v>-1.264591439688716E-2</v>
      </c>
      <c r="EN44" s="1">
        <f>(Table1[[#This Row],[predicted_8]]-Table1[[#This Row],[actual_8]])/Table1[[#This Row],[actual_8]]</f>
        <v>6.1601642710472282E-3</v>
      </c>
      <c r="EO44" s="1">
        <f>(Table1[[#This Row],[predicted_9]]-Table1[[#This Row],[actual_9]])/Table1[[#This Row],[actual_9]]</f>
        <v>4.9554013875123884E-2</v>
      </c>
      <c r="EP44" s="1">
        <f>1+(Table1[[#This Row],[error_ratio_0]]-EF$2)</f>
        <v>0.99897959183673468</v>
      </c>
      <c r="EQ44" s="1">
        <f>1+(Table1[[#This Row],[error_ratio_1]]-EG$2)</f>
        <v>0.98325991189427309</v>
      </c>
      <c r="ER44" s="1">
        <f>1+(Table1[[#This Row],[error_ratio_2]]-EH$2)</f>
        <v>1.0513565891472869</v>
      </c>
      <c r="ES44" s="1">
        <f>1+(Table1[[#This Row],[error_ratio_3]]-EI$2)</f>
        <v>0.94356435643564351</v>
      </c>
      <c r="ET44" s="1">
        <f>1+(Table1[[#This Row],[error_ratio_4]]-EJ$2)</f>
        <v>1.0030549898167007</v>
      </c>
      <c r="EU44" s="1">
        <f>1+(Table1[[#This Row],[error_ratio_5]]-EK$2)</f>
        <v>0.95067264573991028</v>
      </c>
      <c r="EV44" s="1">
        <f>1+(Table1[[#This Row],[error_ratio_6]]-EL$2)</f>
        <v>1.0177453027139876</v>
      </c>
      <c r="EW44" s="1">
        <f>1+(Table1[[#This Row],[error_ratio_7]]-EM$2)</f>
        <v>0.9854085603112841</v>
      </c>
      <c r="EX44" s="1">
        <f>1+(Table1[[#This Row],[error_ratio_8]]-EN$2)</f>
        <v>1.0092402464065708</v>
      </c>
      <c r="EY44" s="1">
        <f>1+(Table1[[#This Row],[error_ratio_9]]-EO$2)</f>
        <v>1.0535183349851338</v>
      </c>
    </row>
    <row r="45" spans="1:155" x14ac:dyDescent="0.75">
      <c r="A45">
        <v>10</v>
      </c>
      <c r="B45">
        <v>10</v>
      </c>
      <c r="C45">
        <v>100</v>
      </c>
      <c r="D45">
        <v>10</v>
      </c>
      <c r="E45">
        <v>100</v>
      </c>
      <c r="F45">
        <v>10</v>
      </c>
      <c r="G45">
        <v>100</v>
      </c>
      <c r="H45">
        <v>100</v>
      </c>
      <c r="I45">
        <v>100</v>
      </c>
      <c r="J45">
        <v>100</v>
      </c>
      <c r="K45">
        <v>957</v>
      </c>
      <c r="L45">
        <v>1115</v>
      </c>
      <c r="M45">
        <v>1092</v>
      </c>
      <c r="N45">
        <v>956</v>
      </c>
      <c r="O45">
        <v>977</v>
      </c>
      <c r="P45">
        <v>847</v>
      </c>
      <c r="Q45">
        <v>972</v>
      </c>
      <c r="R45">
        <v>1040</v>
      </c>
      <c r="S45">
        <v>996</v>
      </c>
      <c r="T45">
        <v>1048</v>
      </c>
      <c r="U45">
        <v>980</v>
      </c>
      <c r="V45">
        <v>1135</v>
      </c>
      <c r="W45">
        <v>1032</v>
      </c>
      <c r="X45">
        <v>1010</v>
      </c>
      <c r="Y45">
        <v>982</v>
      </c>
      <c r="Z45">
        <v>892</v>
      </c>
      <c r="AA45">
        <v>958</v>
      </c>
      <c r="AB45">
        <v>1028</v>
      </c>
      <c r="AC45">
        <v>974</v>
      </c>
      <c r="AD45">
        <v>1009</v>
      </c>
      <c r="AE45">
        <v>952</v>
      </c>
      <c r="AF45">
        <v>0</v>
      </c>
      <c r="AG45">
        <v>10</v>
      </c>
      <c r="AH45">
        <v>0</v>
      </c>
      <c r="AI45">
        <v>0</v>
      </c>
      <c r="AJ45">
        <v>2</v>
      </c>
      <c r="AK45">
        <v>6</v>
      </c>
      <c r="AL45">
        <v>5</v>
      </c>
      <c r="AM45">
        <v>3</v>
      </c>
      <c r="AN45">
        <v>2</v>
      </c>
      <c r="AO45">
        <v>0</v>
      </c>
      <c r="AP45">
        <v>1112</v>
      </c>
      <c r="AQ45">
        <v>5</v>
      </c>
      <c r="AR45">
        <v>4</v>
      </c>
      <c r="AS45">
        <v>1</v>
      </c>
      <c r="AT45">
        <v>2</v>
      </c>
      <c r="AU45">
        <v>3</v>
      </c>
      <c r="AV45">
        <v>7</v>
      </c>
      <c r="AW45">
        <v>1</v>
      </c>
      <c r="AX45">
        <v>0</v>
      </c>
      <c r="AY45">
        <v>0</v>
      </c>
      <c r="AZ45">
        <v>0</v>
      </c>
      <c r="BA45">
        <v>1028</v>
      </c>
      <c r="BB45">
        <v>0</v>
      </c>
      <c r="BC45">
        <v>0</v>
      </c>
      <c r="BD45">
        <v>0</v>
      </c>
      <c r="BE45">
        <v>0</v>
      </c>
      <c r="BF45">
        <v>3</v>
      </c>
      <c r="BG45">
        <v>1</v>
      </c>
      <c r="BH45">
        <v>0</v>
      </c>
      <c r="BI45">
        <v>0</v>
      </c>
      <c r="BJ45">
        <v>0</v>
      </c>
      <c r="BK45">
        <v>28</v>
      </c>
      <c r="BL45">
        <v>945</v>
      </c>
      <c r="BM45">
        <v>0</v>
      </c>
      <c r="BN45">
        <v>7</v>
      </c>
      <c r="BO45">
        <v>0</v>
      </c>
      <c r="BP45">
        <v>11</v>
      </c>
      <c r="BQ45">
        <v>6</v>
      </c>
      <c r="BR45">
        <v>13</v>
      </c>
      <c r="BS45">
        <v>0</v>
      </c>
      <c r="BT45">
        <v>0</v>
      </c>
      <c r="BU45">
        <v>1</v>
      </c>
      <c r="BV45">
        <v>0</v>
      </c>
      <c r="BW45">
        <v>970</v>
      </c>
      <c r="BX45">
        <v>0</v>
      </c>
      <c r="BY45">
        <v>1</v>
      </c>
      <c r="BZ45">
        <v>0</v>
      </c>
      <c r="CA45">
        <v>0</v>
      </c>
      <c r="CB45">
        <v>10</v>
      </c>
      <c r="CC45">
        <v>2</v>
      </c>
      <c r="CD45">
        <v>0</v>
      </c>
      <c r="CE45">
        <v>2</v>
      </c>
      <c r="CF45">
        <v>7</v>
      </c>
      <c r="CG45">
        <v>0</v>
      </c>
      <c r="CH45">
        <v>834</v>
      </c>
      <c r="CI45">
        <v>14</v>
      </c>
      <c r="CJ45">
        <v>1</v>
      </c>
      <c r="CK45">
        <v>22</v>
      </c>
      <c r="CL45">
        <v>10</v>
      </c>
      <c r="CM45">
        <v>2</v>
      </c>
      <c r="CN45">
        <v>2</v>
      </c>
      <c r="CO45">
        <v>1</v>
      </c>
      <c r="CP45">
        <v>0</v>
      </c>
      <c r="CQ45">
        <v>1</v>
      </c>
      <c r="CR45">
        <v>1</v>
      </c>
      <c r="CS45">
        <v>948</v>
      </c>
      <c r="CT45">
        <v>0</v>
      </c>
      <c r="CU45">
        <v>3</v>
      </c>
      <c r="CV45">
        <v>0</v>
      </c>
      <c r="CW45">
        <v>0</v>
      </c>
      <c r="CX45">
        <v>1</v>
      </c>
      <c r="CY45">
        <v>8</v>
      </c>
      <c r="CZ45">
        <v>0</v>
      </c>
      <c r="DA45">
        <v>0</v>
      </c>
      <c r="DB45">
        <v>0</v>
      </c>
      <c r="DC45">
        <v>0</v>
      </c>
      <c r="DD45">
        <v>1009</v>
      </c>
      <c r="DE45">
        <v>0</v>
      </c>
      <c r="DF45">
        <v>10</v>
      </c>
      <c r="DG45">
        <v>1</v>
      </c>
      <c r="DH45">
        <v>0</v>
      </c>
      <c r="DI45">
        <v>7</v>
      </c>
      <c r="DJ45">
        <v>0</v>
      </c>
      <c r="DK45">
        <v>0</v>
      </c>
      <c r="DL45">
        <v>0</v>
      </c>
      <c r="DM45">
        <v>0</v>
      </c>
      <c r="DN45">
        <v>2</v>
      </c>
      <c r="DO45">
        <v>959</v>
      </c>
      <c r="DP45">
        <v>5</v>
      </c>
      <c r="DQ45">
        <v>0</v>
      </c>
      <c r="DR45">
        <v>0</v>
      </c>
      <c r="DS45">
        <v>2</v>
      </c>
      <c r="DT45">
        <v>0</v>
      </c>
      <c r="DU45">
        <v>5</v>
      </c>
      <c r="DV45">
        <v>1</v>
      </c>
      <c r="DW45">
        <v>0</v>
      </c>
      <c r="DX45">
        <v>2</v>
      </c>
      <c r="DY45">
        <v>1</v>
      </c>
      <c r="DZ45">
        <v>998</v>
      </c>
      <c r="EA45">
        <v>0.97550000000000003</v>
      </c>
      <c r="EB45">
        <v>0.97600997752610097</v>
      </c>
      <c r="EC45">
        <v>0.97504662714569801</v>
      </c>
      <c r="ED45">
        <v>0.97523633577030699</v>
      </c>
      <c r="EE45">
        <f>SUM(Table1[[#This Row],[ratio_0]:[ratio_9]])</f>
        <v>640</v>
      </c>
      <c r="EF45" s="1">
        <f>(Table1[[#This Row],[predicted_0]]-Table1[[#This Row],[actual_0]])/Table1[[#This Row],[actual_0]]</f>
        <v>-2.3469387755102041E-2</v>
      </c>
      <c r="EG45" s="1">
        <f>(Table1[[#This Row],[predicted_1]]-Table1[[#This Row],[actual_1]])/Table1[[#This Row],[actual_1]]</f>
        <v>-1.7621145374449341E-2</v>
      </c>
      <c r="EH45" s="1">
        <f>(Table1[[#This Row],[predicted_2]]-Table1[[#This Row],[actual_2]])/Table1[[#This Row],[actual_2]]</f>
        <v>5.8139534883720929E-2</v>
      </c>
      <c r="EI45" s="1">
        <f>(Table1[[#This Row],[predicted_3]]-Table1[[#This Row],[actual_3]])/Table1[[#This Row],[actual_3]]</f>
        <v>-5.3465346534653464E-2</v>
      </c>
      <c r="EJ45" s="1">
        <f>(Table1[[#This Row],[predicted_4]]-Table1[[#This Row],[actual_4]])/Table1[[#This Row],[actual_4]]</f>
        <v>-5.0916496945010185E-3</v>
      </c>
      <c r="EK45" s="1">
        <f>(Table1[[#This Row],[predicted_5]]-Table1[[#This Row],[actual_5]])/Table1[[#This Row],[actual_5]]</f>
        <v>-5.0448430493273543E-2</v>
      </c>
      <c r="EL45" s="1">
        <f>(Table1[[#This Row],[predicted_6]]-Table1[[#This Row],[actual_6]])/Table1[[#This Row],[actual_6]]</f>
        <v>1.4613778705636743E-2</v>
      </c>
      <c r="EM45" s="1">
        <f>(Table1[[#This Row],[predicted_7]]-Table1[[#This Row],[actual_7]])/Table1[[#This Row],[actual_7]]</f>
        <v>1.1673151750972763E-2</v>
      </c>
      <c r="EN45" s="1">
        <f>(Table1[[#This Row],[predicted_8]]-Table1[[#This Row],[actual_8]])/Table1[[#This Row],[actual_8]]</f>
        <v>2.2587268993839837E-2</v>
      </c>
      <c r="EO45" s="1">
        <f>(Table1[[#This Row],[predicted_9]]-Table1[[#This Row],[actual_9]])/Table1[[#This Row],[actual_9]]</f>
        <v>3.865213082259663E-2</v>
      </c>
      <c r="EP45" s="1">
        <f>1+(Table1[[#This Row],[error_ratio_0]]-EF$2)</f>
        <v>0.97448979591836737</v>
      </c>
      <c r="EQ45" s="1">
        <f>1+(Table1[[#This Row],[error_ratio_1]]-EG$2)</f>
        <v>0.98061674008810573</v>
      </c>
      <c r="ER45" s="1">
        <f>1+(Table1[[#This Row],[error_ratio_2]]-EH$2)</f>
        <v>1.0629844961240309</v>
      </c>
      <c r="ES45" s="1">
        <f>1+(Table1[[#This Row],[error_ratio_3]]-EI$2)</f>
        <v>0.93663366336633658</v>
      </c>
      <c r="ET45" s="1">
        <f>1+(Table1[[#This Row],[error_ratio_4]]-EJ$2)</f>
        <v>0.99389002036659879</v>
      </c>
      <c r="EU45" s="1">
        <f>1+(Table1[[#This Row],[error_ratio_5]]-EK$2)</f>
        <v>0.94843049327354256</v>
      </c>
      <c r="EV45" s="1">
        <f>1+(Table1[[#This Row],[error_ratio_6]]-EL$2)</f>
        <v>1.0208768267223383</v>
      </c>
      <c r="EW45" s="1">
        <f>1+(Table1[[#This Row],[error_ratio_7]]-EM$2)</f>
        <v>1.0097276264591439</v>
      </c>
      <c r="EX45" s="1">
        <f>1+(Table1[[#This Row],[error_ratio_8]]-EN$2)</f>
        <v>1.0256673511293635</v>
      </c>
      <c r="EY45" s="1">
        <f>1+(Table1[[#This Row],[error_ratio_9]]-EO$2)</f>
        <v>1.0426164519326064</v>
      </c>
    </row>
    <row r="46" spans="1:155" x14ac:dyDescent="0.75">
      <c r="A46">
        <v>100</v>
      </c>
      <c r="B46">
        <v>100</v>
      </c>
      <c r="C46">
        <v>10</v>
      </c>
      <c r="D46">
        <v>10</v>
      </c>
      <c r="E46">
        <v>100</v>
      </c>
      <c r="F46">
        <v>10</v>
      </c>
      <c r="G46">
        <v>100</v>
      </c>
      <c r="H46">
        <v>100</v>
      </c>
      <c r="I46">
        <v>100</v>
      </c>
      <c r="J46">
        <v>100</v>
      </c>
      <c r="K46">
        <v>991</v>
      </c>
      <c r="L46">
        <v>1145</v>
      </c>
      <c r="M46">
        <v>984</v>
      </c>
      <c r="N46">
        <v>961</v>
      </c>
      <c r="O46">
        <v>990</v>
      </c>
      <c r="P46">
        <v>854</v>
      </c>
      <c r="Q46">
        <v>1016</v>
      </c>
      <c r="R46">
        <v>1034</v>
      </c>
      <c r="S46">
        <v>1025</v>
      </c>
      <c r="T46">
        <v>1000</v>
      </c>
      <c r="U46">
        <v>980</v>
      </c>
      <c r="V46">
        <v>1135</v>
      </c>
      <c r="W46">
        <v>1032</v>
      </c>
      <c r="X46">
        <v>1010</v>
      </c>
      <c r="Y46">
        <v>982</v>
      </c>
      <c r="Z46">
        <v>892</v>
      </c>
      <c r="AA46">
        <v>958</v>
      </c>
      <c r="AB46">
        <v>1028</v>
      </c>
      <c r="AC46">
        <v>974</v>
      </c>
      <c r="AD46">
        <v>1009</v>
      </c>
      <c r="AE46">
        <v>965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11</v>
      </c>
      <c r="AL46">
        <v>0</v>
      </c>
      <c r="AM46">
        <v>4</v>
      </c>
      <c r="AN46">
        <v>0</v>
      </c>
      <c r="AO46">
        <v>0</v>
      </c>
      <c r="AP46">
        <v>1131</v>
      </c>
      <c r="AQ46">
        <v>0</v>
      </c>
      <c r="AR46">
        <v>1</v>
      </c>
      <c r="AS46">
        <v>0</v>
      </c>
      <c r="AT46">
        <v>1</v>
      </c>
      <c r="AU46">
        <v>2</v>
      </c>
      <c r="AV46">
        <v>0</v>
      </c>
      <c r="AW46">
        <v>0</v>
      </c>
      <c r="AX46">
        <v>0</v>
      </c>
      <c r="AY46">
        <v>5</v>
      </c>
      <c r="AZ46">
        <v>4</v>
      </c>
      <c r="BA46">
        <v>970</v>
      </c>
      <c r="BB46">
        <v>0</v>
      </c>
      <c r="BC46">
        <v>7</v>
      </c>
      <c r="BD46">
        <v>0</v>
      </c>
      <c r="BE46">
        <v>13</v>
      </c>
      <c r="BF46">
        <v>14</v>
      </c>
      <c r="BG46">
        <v>18</v>
      </c>
      <c r="BH46">
        <v>1</v>
      </c>
      <c r="BI46">
        <v>6</v>
      </c>
      <c r="BJ46">
        <v>0</v>
      </c>
      <c r="BK46">
        <v>5</v>
      </c>
      <c r="BL46">
        <v>954</v>
      </c>
      <c r="BM46">
        <v>0</v>
      </c>
      <c r="BN46">
        <v>20</v>
      </c>
      <c r="BO46">
        <v>1</v>
      </c>
      <c r="BP46">
        <v>7</v>
      </c>
      <c r="BQ46">
        <v>13</v>
      </c>
      <c r="BR46">
        <v>4</v>
      </c>
      <c r="BS46">
        <v>0</v>
      </c>
      <c r="BT46">
        <v>0</v>
      </c>
      <c r="BU46">
        <v>0</v>
      </c>
      <c r="BV46">
        <v>0</v>
      </c>
      <c r="BW46">
        <v>973</v>
      </c>
      <c r="BX46">
        <v>0</v>
      </c>
      <c r="BY46">
        <v>5</v>
      </c>
      <c r="BZ46">
        <v>0</v>
      </c>
      <c r="CA46">
        <v>1</v>
      </c>
      <c r="CB46">
        <v>3</v>
      </c>
      <c r="CC46">
        <v>7</v>
      </c>
      <c r="CD46">
        <v>1</v>
      </c>
      <c r="CE46">
        <v>0</v>
      </c>
      <c r="CF46">
        <v>4</v>
      </c>
      <c r="CG46">
        <v>0</v>
      </c>
      <c r="CH46">
        <v>827</v>
      </c>
      <c r="CI46">
        <v>35</v>
      </c>
      <c r="CJ46">
        <v>1</v>
      </c>
      <c r="CK46">
        <v>17</v>
      </c>
      <c r="CL46">
        <v>0</v>
      </c>
      <c r="CM46">
        <v>1</v>
      </c>
      <c r="CN46">
        <v>2</v>
      </c>
      <c r="CO46">
        <v>0</v>
      </c>
      <c r="CP46">
        <v>0</v>
      </c>
      <c r="CQ46">
        <v>1</v>
      </c>
      <c r="CR46">
        <v>1</v>
      </c>
      <c r="CS46">
        <v>949</v>
      </c>
      <c r="CT46">
        <v>0</v>
      </c>
      <c r="CU46">
        <v>4</v>
      </c>
      <c r="CV46">
        <v>0</v>
      </c>
      <c r="CW46">
        <v>1</v>
      </c>
      <c r="CX46">
        <v>5</v>
      </c>
      <c r="CY46">
        <v>9</v>
      </c>
      <c r="CZ46">
        <v>1</v>
      </c>
      <c r="DA46">
        <v>0</v>
      </c>
      <c r="DB46">
        <v>0</v>
      </c>
      <c r="DC46">
        <v>0</v>
      </c>
      <c r="DD46">
        <v>1007</v>
      </c>
      <c r="DE46">
        <v>1</v>
      </c>
      <c r="DF46">
        <v>4</v>
      </c>
      <c r="DG46">
        <v>3</v>
      </c>
      <c r="DH46">
        <v>0</v>
      </c>
      <c r="DI46">
        <v>0</v>
      </c>
      <c r="DJ46">
        <v>0</v>
      </c>
      <c r="DK46">
        <v>0</v>
      </c>
      <c r="DL46">
        <v>0</v>
      </c>
      <c r="DM46">
        <v>0</v>
      </c>
      <c r="DN46">
        <v>3</v>
      </c>
      <c r="DO46">
        <v>965</v>
      </c>
      <c r="DP46">
        <v>3</v>
      </c>
      <c r="DQ46">
        <v>3</v>
      </c>
      <c r="DR46">
        <v>2</v>
      </c>
      <c r="DS46">
        <v>0</v>
      </c>
      <c r="DT46">
        <v>1</v>
      </c>
      <c r="DU46">
        <v>9</v>
      </c>
      <c r="DV46">
        <v>5</v>
      </c>
      <c r="DW46">
        <v>0</v>
      </c>
      <c r="DX46">
        <v>2</v>
      </c>
      <c r="DY46">
        <v>2</v>
      </c>
      <c r="DZ46">
        <v>985</v>
      </c>
      <c r="EA46">
        <v>0.97260000000000002</v>
      </c>
      <c r="EB46">
        <v>0.97256437841048005</v>
      </c>
      <c r="EC46">
        <v>0.97207628992788897</v>
      </c>
      <c r="ED46">
        <v>0.97200565264601202</v>
      </c>
      <c r="EE46">
        <f>SUM(Table1[[#This Row],[ratio_0]:[ratio_9]])</f>
        <v>730</v>
      </c>
      <c r="EF46" s="1">
        <f>(Table1[[#This Row],[predicted_0]]-Table1[[#This Row],[actual_0]])/Table1[[#This Row],[actual_0]]</f>
        <v>1.1224489795918367E-2</v>
      </c>
      <c r="EG46" s="1">
        <f>(Table1[[#This Row],[predicted_1]]-Table1[[#This Row],[actual_1]])/Table1[[#This Row],[actual_1]]</f>
        <v>8.8105726872246704E-3</v>
      </c>
      <c r="EH46" s="1">
        <f>(Table1[[#This Row],[predicted_2]]-Table1[[#This Row],[actual_2]])/Table1[[#This Row],[actual_2]]</f>
        <v>-4.6511627906976744E-2</v>
      </c>
      <c r="EI46" s="1">
        <f>(Table1[[#This Row],[predicted_3]]-Table1[[#This Row],[actual_3]])/Table1[[#This Row],[actual_3]]</f>
        <v>-4.8514851485148516E-2</v>
      </c>
      <c r="EJ46" s="1">
        <f>(Table1[[#This Row],[predicted_4]]-Table1[[#This Row],[actual_4]])/Table1[[#This Row],[actual_4]]</f>
        <v>8.1466395112016286E-3</v>
      </c>
      <c r="EK46" s="1">
        <f>(Table1[[#This Row],[predicted_5]]-Table1[[#This Row],[actual_5]])/Table1[[#This Row],[actual_5]]</f>
        <v>-4.2600896860986545E-2</v>
      </c>
      <c r="EL46" s="1">
        <f>(Table1[[#This Row],[predicted_6]]-Table1[[#This Row],[actual_6]])/Table1[[#This Row],[actual_6]]</f>
        <v>6.0542797494780795E-2</v>
      </c>
      <c r="EM46" s="1">
        <f>(Table1[[#This Row],[predicted_7]]-Table1[[#This Row],[actual_7]])/Table1[[#This Row],[actual_7]]</f>
        <v>5.8365758754863814E-3</v>
      </c>
      <c r="EN46" s="1">
        <f>(Table1[[#This Row],[predicted_8]]-Table1[[#This Row],[actual_8]])/Table1[[#This Row],[actual_8]]</f>
        <v>5.2361396303901436E-2</v>
      </c>
      <c r="EO46" s="1">
        <f>(Table1[[#This Row],[predicted_9]]-Table1[[#This Row],[actual_9]])/Table1[[#This Row],[actual_9]]</f>
        <v>-8.9197224975222991E-3</v>
      </c>
      <c r="EP46" s="1">
        <f>1+(Table1[[#This Row],[error_ratio_0]]-EF$2)</f>
        <v>1.0091836734693878</v>
      </c>
      <c r="EQ46" s="1">
        <f>1+(Table1[[#This Row],[error_ratio_1]]-EG$2)</f>
        <v>1.0070484581497798</v>
      </c>
      <c r="ER46" s="1">
        <f>1+(Table1[[#This Row],[error_ratio_2]]-EH$2)</f>
        <v>0.95833333333333337</v>
      </c>
      <c r="ES46" s="1">
        <f>1+(Table1[[#This Row],[error_ratio_3]]-EI$2)</f>
        <v>0.94158415841584153</v>
      </c>
      <c r="ET46" s="1">
        <f>1+(Table1[[#This Row],[error_ratio_4]]-EJ$2)</f>
        <v>1.0071283095723014</v>
      </c>
      <c r="EU46" s="1">
        <f>1+(Table1[[#This Row],[error_ratio_5]]-EK$2)</f>
        <v>0.95627802690582964</v>
      </c>
      <c r="EV46" s="1">
        <f>1+(Table1[[#This Row],[error_ratio_6]]-EL$2)</f>
        <v>1.0668058455114822</v>
      </c>
      <c r="EW46" s="1">
        <f>1+(Table1[[#This Row],[error_ratio_7]]-EM$2)</f>
        <v>1.0038910505836576</v>
      </c>
      <c r="EX46" s="1">
        <f>1+(Table1[[#This Row],[error_ratio_8]]-EN$2)</f>
        <v>1.055441478439425</v>
      </c>
      <c r="EY46" s="1">
        <f>1+(Table1[[#This Row],[error_ratio_9]]-EO$2)</f>
        <v>0.99504459861248762</v>
      </c>
    </row>
    <row r="47" spans="1:155" x14ac:dyDescent="0.75">
      <c r="A47">
        <v>10</v>
      </c>
      <c r="B47">
        <v>100</v>
      </c>
      <c r="C47">
        <v>10</v>
      </c>
      <c r="D47">
        <v>10</v>
      </c>
      <c r="E47">
        <v>100</v>
      </c>
      <c r="F47">
        <v>10</v>
      </c>
      <c r="G47">
        <v>100</v>
      </c>
      <c r="H47">
        <v>100</v>
      </c>
      <c r="I47">
        <v>100</v>
      </c>
      <c r="J47">
        <v>100</v>
      </c>
      <c r="K47">
        <v>967</v>
      </c>
      <c r="L47">
        <v>1142</v>
      </c>
      <c r="M47">
        <v>922</v>
      </c>
      <c r="N47">
        <v>962</v>
      </c>
      <c r="O47">
        <v>973</v>
      </c>
      <c r="P47">
        <v>867</v>
      </c>
      <c r="Q47">
        <v>966</v>
      </c>
      <c r="R47">
        <v>1161</v>
      </c>
      <c r="S47">
        <v>1024</v>
      </c>
      <c r="T47">
        <v>1016</v>
      </c>
      <c r="U47">
        <v>980</v>
      </c>
      <c r="V47">
        <v>1135</v>
      </c>
      <c r="W47">
        <v>1032</v>
      </c>
      <c r="X47">
        <v>1010</v>
      </c>
      <c r="Y47">
        <v>982</v>
      </c>
      <c r="Z47">
        <v>892</v>
      </c>
      <c r="AA47">
        <v>958</v>
      </c>
      <c r="AB47">
        <v>1028</v>
      </c>
      <c r="AC47">
        <v>974</v>
      </c>
      <c r="AD47">
        <v>1009</v>
      </c>
      <c r="AE47">
        <v>958</v>
      </c>
      <c r="AF47">
        <v>0</v>
      </c>
      <c r="AG47">
        <v>0</v>
      </c>
      <c r="AH47">
        <v>0</v>
      </c>
      <c r="AI47">
        <v>1</v>
      </c>
      <c r="AJ47">
        <v>1</v>
      </c>
      <c r="AK47">
        <v>9</v>
      </c>
      <c r="AL47">
        <v>5</v>
      </c>
      <c r="AM47">
        <v>5</v>
      </c>
      <c r="AN47">
        <v>1</v>
      </c>
      <c r="AO47">
        <v>0</v>
      </c>
      <c r="AP47">
        <v>1126</v>
      </c>
      <c r="AQ47">
        <v>0</v>
      </c>
      <c r="AR47">
        <v>1</v>
      </c>
      <c r="AS47">
        <v>0</v>
      </c>
      <c r="AT47">
        <v>0</v>
      </c>
      <c r="AU47">
        <v>2</v>
      </c>
      <c r="AV47">
        <v>4</v>
      </c>
      <c r="AW47">
        <v>2</v>
      </c>
      <c r="AX47">
        <v>0</v>
      </c>
      <c r="AY47">
        <v>3</v>
      </c>
      <c r="AZ47">
        <v>7</v>
      </c>
      <c r="BA47">
        <v>918</v>
      </c>
      <c r="BB47">
        <v>1</v>
      </c>
      <c r="BC47">
        <v>3</v>
      </c>
      <c r="BD47">
        <v>0</v>
      </c>
      <c r="BE47">
        <v>3</v>
      </c>
      <c r="BF47">
        <v>80</v>
      </c>
      <c r="BG47">
        <v>16</v>
      </c>
      <c r="BH47">
        <v>1</v>
      </c>
      <c r="BI47">
        <v>0</v>
      </c>
      <c r="BJ47">
        <v>1</v>
      </c>
      <c r="BK47">
        <v>1</v>
      </c>
      <c r="BL47">
        <v>953</v>
      </c>
      <c r="BM47">
        <v>0</v>
      </c>
      <c r="BN47">
        <v>14</v>
      </c>
      <c r="BO47">
        <v>0</v>
      </c>
      <c r="BP47">
        <v>22</v>
      </c>
      <c r="BQ47">
        <v>9</v>
      </c>
      <c r="BR47">
        <v>10</v>
      </c>
      <c r="BS47">
        <v>0</v>
      </c>
      <c r="BT47">
        <v>0</v>
      </c>
      <c r="BU47">
        <v>1</v>
      </c>
      <c r="BV47">
        <v>0</v>
      </c>
      <c r="BW47">
        <v>966</v>
      </c>
      <c r="BX47">
        <v>0</v>
      </c>
      <c r="BY47">
        <v>4</v>
      </c>
      <c r="BZ47">
        <v>8</v>
      </c>
      <c r="CA47">
        <v>0</v>
      </c>
      <c r="CB47">
        <v>3</v>
      </c>
      <c r="CC47">
        <v>1</v>
      </c>
      <c r="CD47">
        <v>1</v>
      </c>
      <c r="CE47">
        <v>1</v>
      </c>
      <c r="CF47">
        <v>5</v>
      </c>
      <c r="CG47">
        <v>0</v>
      </c>
      <c r="CH47">
        <v>849</v>
      </c>
      <c r="CI47">
        <v>5</v>
      </c>
      <c r="CJ47">
        <v>5</v>
      </c>
      <c r="CK47">
        <v>19</v>
      </c>
      <c r="CL47">
        <v>6</v>
      </c>
      <c r="CM47">
        <v>3</v>
      </c>
      <c r="CN47">
        <v>4</v>
      </c>
      <c r="CO47">
        <v>0</v>
      </c>
      <c r="CP47">
        <v>0</v>
      </c>
      <c r="CQ47">
        <v>1</v>
      </c>
      <c r="CR47">
        <v>1</v>
      </c>
      <c r="CS47">
        <v>943</v>
      </c>
      <c r="CT47">
        <v>0</v>
      </c>
      <c r="CU47">
        <v>6</v>
      </c>
      <c r="CV47">
        <v>0</v>
      </c>
      <c r="CW47">
        <v>0</v>
      </c>
      <c r="CX47">
        <v>1</v>
      </c>
      <c r="CY47">
        <v>0</v>
      </c>
      <c r="CZ47">
        <v>0</v>
      </c>
      <c r="DA47">
        <v>0</v>
      </c>
      <c r="DB47">
        <v>0</v>
      </c>
      <c r="DC47">
        <v>0</v>
      </c>
      <c r="DD47">
        <v>1027</v>
      </c>
      <c r="DE47">
        <v>0</v>
      </c>
      <c r="DF47">
        <v>0</v>
      </c>
      <c r="DG47">
        <v>1</v>
      </c>
      <c r="DH47">
        <v>0</v>
      </c>
      <c r="DI47">
        <v>1</v>
      </c>
      <c r="DJ47">
        <v>0</v>
      </c>
      <c r="DK47">
        <v>0</v>
      </c>
      <c r="DL47">
        <v>0</v>
      </c>
      <c r="DM47">
        <v>0</v>
      </c>
      <c r="DN47">
        <v>4</v>
      </c>
      <c r="DO47">
        <v>964</v>
      </c>
      <c r="DP47">
        <v>4</v>
      </c>
      <c r="DQ47">
        <v>1</v>
      </c>
      <c r="DR47">
        <v>2</v>
      </c>
      <c r="DS47">
        <v>0</v>
      </c>
      <c r="DT47">
        <v>2</v>
      </c>
      <c r="DU47">
        <v>2</v>
      </c>
      <c r="DV47">
        <v>2</v>
      </c>
      <c r="DW47">
        <v>0</v>
      </c>
      <c r="DX47">
        <v>6</v>
      </c>
      <c r="DY47">
        <v>3</v>
      </c>
      <c r="DZ47">
        <v>991</v>
      </c>
      <c r="EA47">
        <v>0.96950000000000003</v>
      </c>
      <c r="EB47">
        <v>0.97126056458732202</v>
      </c>
      <c r="EC47">
        <v>0.96934844199624604</v>
      </c>
      <c r="ED47">
        <v>0.96951055847440903</v>
      </c>
      <c r="EE47">
        <f>SUM(Table1[[#This Row],[ratio_0]:[ratio_9]])</f>
        <v>640</v>
      </c>
      <c r="EF47" s="1">
        <f>(Table1[[#This Row],[predicted_0]]-Table1[[#This Row],[actual_0]])/Table1[[#This Row],[actual_0]]</f>
        <v>-1.3265306122448979E-2</v>
      </c>
      <c r="EG47" s="1">
        <f>(Table1[[#This Row],[predicted_1]]-Table1[[#This Row],[actual_1]])/Table1[[#This Row],[actual_1]]</f>
        <v>6.1674008810572688E-3</v>
      </c>
      <c r="EH47" s="1">
        <f>(Table1[[#This Row],[predicted_2]]-Table1[[#This Row],[actual_2]])/Table1[[#This Row],[actual_2]]</f>
        <v>-0.1065891472868217</v>
      </c>
      <c r="EI47" s="1">
        <f>(Table1[[#This Row],[predicted_3]]-Table1[[#This Row],[actual_3]])/Table1[[#This Row],[actual_3]]</f>
        <v>-4.7524752475247525E-2</v>
      </c>
      <c r="EJ47" s="1">
        <f>(Table1[[#This Row],[predicted_4]]-Table1[[#This Row],[actual_4]])/Table1[[#This Row],[actual_4]]</f>
        <v>-9.1649694501018328E-3</v>
      </c>
      <c r="EK47" s="1">
        <f>(Table1[[#This Row],[predicted_5]]-Table1[[#This Row],[actual_5]])/Table1[[#This Row],[actual_5]]</f>
        <v>-2.8026905829596414E-2</v>
      </c>
      <c r="EL47" s="1">
        <f>(Table1[[#This Row],[predicted_6]]-Table1[[#This Row],[actual_6]])/Table1[[#This Row],[actual_6]]</f>
        <v>8.350730688935281E-3</v>
      </c>
      <c r="EM47" s="1">
        <f>(Table1[[#This Row],[predicted_7]]-Table1[[#This Row],[actual_7]])/Table1[[#This Row],[actual_7]]</f>
        <v>0.1293774319066148</v>
      </c>
      <c r="EN47" s="1">
        <f>(Table1[[#This Row],[predicted_8]]-Table1[[#This Row],[actual_8]])/Table1[[#This Row],[actual_8]]</f>
        <v>5.1334702258726897E-2</v>
      </c>
      <c r="EO47" s="1">
        <f>(Table1[[#This Row],[predicted_9]]-Table1[[#This Row],[actual_9]])/Table1[[#This Row],[actual_9]]</f>
        <v>6.9375619425173438E-3</v>
      </c>
      <c r="EP47" s="1">
        <f>1+(Table1[[#This Row],[error_ratio_0]]-EF$2)</f>
        <v>0.98469387755102045</v>
      </c>
      <c r="EQ47" s="1">
        <f>1+(Table1[[#This Row],[error_ratio_1]]-EG$2)</f>
        <v>1.0044052863436124</v>
      </c>
      <c r="ER47" s="1">
        <f>1+(Table1[[#This Row],[error_ratio_2]]-EH$2)</f>
        <v>0.89825581395348841</v>
      </c>
      <c r="ES47" s="1">
        <f>1+(Table1[[#This Row],[error_ratio_3]]-EI$2)</f>
        <v>0.94257425742574252</v>
      </c>
      <c r="ET47" s="1">
        <f>1+(Table1[[#This Row],[error_ratio_4]]-EJ$2)</f>
        <v>0.98981670061099791</v>
      </c>
      <c r="EU47" s="1">
        <f>1+(Table1[[#This Row],[error_ratio_5]]-EK$2)</f>
        <v>0.97085201793721976</v>
      </c>
      <c r="EV47" s="1">
        <f>1+(Table1[[#This Row],[error_ratio_6]]-EL$2)</f>
        <v>1.0146137787056368</v>
      </c>
      <c r="EW47" s="1">
        <f>1+(Table1[[#This Row],[error_ratio_7]]-EM$2)</f>
        <v>1.127431906614786</v>
      </c>
      <c r="EX47" s="1">
        <f>1+(Table1[[#This Row],[error_ratio_8]]-EN$2)</f>
        <v>1.0544147843942504</v>
      </c>
      <c r="EY47" s="1">
        <f>1+(Table1[[#This Row],[error_ratio_9]]-EO$2)</f>
        <v>1.0109018830525272</v>
      </c>
    </row>
    <row r="48" spans="1:155" x14ac:dyDescent="0.75">
      <c r="A48">
        <v>100</v>
      </c>
      <c r="B48">
        <v>10</v>
      </c>
      <c r="C48">
        <v>10</v>
      </c>
      <c r="D48">
        <v>10</v>
      </c>
      <c r="E48">
        <v>100</v>
      </c>
      <c r="F48">
        <v>10</v>
      </c>
      <c r="G48">
        <v>100</v>
      </c>
      <c r="H48">
        <v>100</v>
      </c>
      <c r="I48">
        <v>100</v>
      </c>
      <c r="J48">
        <v>100</v>
      </c>
      <c r="K48">
        <v>1021</v>
      </c>
      <c r="L48">
        <v>1128</v>
      </c>
      <c r="M48">
        <v>994</v>
      </c>
      <c r="N48">
        <v>982</v>
      </c>
      <c r="O48">
        <v>978</v>
      </c>
      <c r="P48">
        <v>841</v>
      </c>
      <c r="Q48">
        <v>968</v>
      </c>
      <c r="R48">
        <v>1029</v>
      </c>
      <c r="S48">
        <v>1026</v>
      </c>
      <c r="T48">
        <v>1033</v>
      </c>
      <c r="U48">
        <v>980</v>
      </c>
      <c r="V48">
        <v>1135</v>
      </c>
      <c r="W48">
        <v>1032</v>
      </c>
      <c r="X48">
        <v>1010</v>
      </c>
      <c r="Y48">
        <v>982</v>
      </c>
      <c r="Z48">
        <v>892</v>
      </c>
      <c r="AA48">
        <v>958</v>
      </c>
      <c r="AB48">
        <v>1028</v>
      </c>
      <c r="AC48">
        <v>974</v>
      </c>
      <c r="AD48">
        <v>1009</v>
      </c>
      <c r="AE48">
        <v>975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2</v>
      </c>
      <c r="AL48">
        <v>1</v>
      </c>
      <c r="AM48">
        <v>1</v>
      </c>
      <c r="AN48">
        <v>1</v>
      </c>
      <c r="AO48">
        <v>0</v>
      </c>
      <c r="AP48">
        <v>1119</v>
      </c>
      <c r="AQ48">
        <v>2</v>
      </c>
      <c r="AR48">
        <v>2</v>
      </c>
      <c r="AS48">
        <v>1</v>
      </c>
      <c r="AT48">
        <v>1</v>
      </c>
      <c r="AU48">
        <v>3</v>
      </c>
      <c r="AV48">
        <v>2</v>
      </c>
      <c r="AW48">
        <v>5</v>
      </c>
      <c r="AX48">
        <v>0</v>
      </c>
      <c r="AY48">
        <v>12</v>
      </c>
      <c r="AZ48">
        <v>4</v>
      </c>
      <c r="BA48">
        <v>977</v>
      </c>
      <c r="BB48">
        <v>2</v>
      </c>
      <c r="BC48">
        <v>3</v>
      </c>
      <c r="BD48">
        <v>0</v>
      </c>
      <c r="BE48">
        <v>6</v>
      </c>
      <c r="BF48">
        <v>6</v>
      </c>
      <c r="BG48">
        <v>22</v>
      </c>
      <c r="BH48">
        <v>0</v>
      </c>
      <c r="BI48">
        <v>4</v>
      </c>
      <c r="BJ48">
        <v>0</v>
      </c>
      <c r="BK48">
        <v>4</v>
      </c>
      <c r="BL48">
        <v>972</v>
      </c>
      <c r="BM48">
        <v>0</v>
      </c>
      <c r="BN48">
        <v>9</v>
      </c>
      <c r="BO48">
        <v>0</v>
      </c>
      <c r="BP48">
        <v>5</v>
      </c>
      <c r="BQ48">
        <v>9</v>
      </c>
      <c r="BR48">
        <v>7</v>
      </c>
      <c r="BS48">
        <v>0</v>
      </c>
      <c r="BT48">
        <v>0</v>
      </c>
      <c r="BU48">
        <v>1</v>
      </c>
      <c r="BV48">
        <v>0</v>
      </c>
      <c r="BW48">
        <v>963</v>
      </c>
      <c r="BX48">
        <v>0</v>
      </c>
      <c r="BY48">
        <v>1</v>
      </c>
      <c r="BZ48">
        <v>0</v>
      </c>
      <c r="CA48">
        <v>2</v>
      </c>
      <c r="CB48">
        <v>15</v>
      </c>
      <c r="CC48">
        <v>11</v>
      </c>
      <c r="CD48">
        <v>0</v>
      </c>
      <c r="CE48">
        <v>0</v>
      </c>
      <c r="CF48">
        <v>4</v>
      </c>
      <c r="CG48">
        <v>0</v>
      </c>
      <c r="CH48">
        <v>827</v>
      </c>
      <c r="CI48">
        <v>16</v>
      </c>
      <c r="CJ48">
        <v>3</v>
      </c>
      <c r="CK48">
        <v>22</v>
      </c>
      <c r="CL48">
        <v>9</v>
      </c>
      <c r="CM48">
        <v>8</v>
      </c>
      <c r="CN48">
        <v>2</v>
      </c>
      <c r="CO48">
        <v>0</v>
      </c>
      <c r="CP48">
        <v>0</v>
      </c>
      <c r="CQ48">
        <v>6</v>
      </c>
      <c r="CR48">
        <v>1</v>
      </c>
      <c r="CS48">
        <v>940</v>
      </c>
      <c r="CT48">
        <v>0</v>
      </c>
      <c r="CU48">
        <v>1</v>
      </c>
      <c r="CV48">
        <v>0</v>
      </c>
      <c r="CW48">
        <v>0</v>
      </c>
      <c r="CX48">
        <v>3</v>
      </c>
      <c r="CY48">
        <v>10</v>
      </c>
      <c r="CZ48">
        <v>1</v>
      </c>
      <c r="DA48">
        <v>0</v>
      </c>
      <c r="DB48">
        <v>0</v>
      </c>
      <c r="DC48">
        <v>0</v>
      </c>
      <c r="DD48">
        <v>1007</v>
      </c>
      <c r="DE48">
        <v>2</v>
      </c>
      <c r="DF48">
        <v>5</v>
      </c>
      <c r="DG48">
        <v>10</v>
      </c>
      <c r="DH48">
        <v>0</v>
      </c>
      <c r="DI48">
        <v>0</v>
      </c>
      <c r="DJ48">
        <v>0</v>
      </c>
      <c r="DK48">
        <v>2</v>
      </c>
      <c r="DL48">
        <v>0</v>
      </c>
      <c r="DM48">
        <v>0</v>
      </c>
      <c r="DN48">
        <v>2</v>
      </c>
      <c r="DO48">
        <v>958</v>
      </c>
      <c r="DP48">
        <v>2</v>
      </c>
      <c r="DQ48">
        <v>1</v>
      </c>
      <c r="DR48">
        <v>0</v>
      </c>
      <c r="DS48">
        <v>0</v>
      </c>
      <c r="DT48">
        <v>1</v>
      </c>
      <c r="DU48">
        <v>3</v>
      </c>
      <c r="DV48">
        <v>3</v>
      </c>
      <c r="DW48">
        <v>0</v>
      </c>
      <c r="DX48">
        <v>3</v>
      </c>
      <c r="DY48">
        <v>4</v>
      </c>
      <c r="DZ48">
        <v>994</v>
      </c>
      <c r="EA48">
        <v>0.97319999999999995</v>
      </c>
      <c r="EB48">
        <v>0.97333607027066005</v>
      </c>
      <c r="EC48">
        <v>0.97271540143687696</v>
      </c>
      <c r="ED48">
        <v>0.97276658531260196</v>
      </c>
      <c r="EE48">
        <f>SUM(Table1[[#This Row],[ratio_0]:[ratio_9]])</f>
        <v>640</v>
      </c>
      <c r="EF48" s="1">
        <f>(Table1[[#This Row],[predicted_0]]-Table1[[#This Row],[actual_0]])/Table1[[#This Row],[actual_0]]</f>
        <v>4.1836734693877553E-2</v>
      </c>
      <c r="EG48" s="1">
        <f>(Table1[[#This Row],[predicted_1]]-Table1[[#This Row],[actual_1]])/Table1[[#This Row],[actual_1]]</f>
        <v>-6.1674008810572688E-3</v>
      </c>
      <c r="EH48" s="1">
        <f>(Table1[[#This Row],[predicted_2]]-Table1[[#This Row],[actual_2]])/Table1[[#This Row],[actual_2]]</f>
        <v>-3.6821705426356592E-2</v>
      </c>
      <c r="EI48" s="1">
        <f>(Table1[[#This Row],[predicted_3]]-Table1[[#This Row],[actual_3]])/Table1[[#This Row],[actual_3]]</f>
        <v>-2.7722772277227723E-2</v>
      </c>
      <c r="EJ48" s="1">
        <f>(Table1[[#This Row],[predicted_4]]-Table1[[#This Row],[actual_4]])/Table1[[#This Row],[actual_4]]</f>
        <v>-4.0733197556008143E-3</v>
      </c>
      <c r="EK48" s="1">
        <f>(Table1[[#This Row],[predicted_5]]-Table1[[#This Row],[actual_5]])/Table1[[#This Row],[actual_5]]</f>
        <v>-5.717488789237668E-2</v>
      </c>
      <c r="EL48" s="1">
        <f>(Table1[[#This Row],[predicted_6]]-Table1[[#This Row],[actual_6]])/Table1[[#This Row],[actual_6]]</f>
        <v>1.0438413361169102E-2</v>
      </c>
      <c r="EM48" s="1">
        <f>(Table1[[#This Row],[predicted_7]]-Table1[[#This Row],[actual_7]])/Table1[[#This Row],[actual_7]]</f>
        <v>9.727626459143969E-4</v>
      </c>
      <c r="EN48" s="1">
        <f>(Table1[[#This Row],[predicted_8]]-Table1[[#This Row],[actual_8]])/Table1[[#This Row],[actual_8]]</f>
        <v>5.3388090349075976E-2</v>
      </c>
      <c r="EO48" s="1">
        <f>(Table1[[#This Row],[predicted_9]]-Table1[[#This Row],[actual_9]])/Table1[[#This Row],[actual_9]]</f>
        <v>2.3785926660059464E-2</v>
      </c>
      <c r="EP48" s="1">
        <f>1+(Table1[[#This Row],[error_ratio_0]]-EF$2)</f>
        <v>1.0397959183673469</v>
      </c>
      <c r="EQ48" s="1">
        <f>1+(Table1[[#This Row],[error_ratio_1]]-EG$2)</f>
        <v>0.99207048458149782</v>
      </c>
      <c r="ER48" s="1">
        <f>1+(Table1[[#This Row],[error_ratio_2]]-EH$2)</f>
        <v>0.96802325581395343</v>
      </c>
      <c r="ES48" s="1">
        <f>1+(Table1[[#This Row],[error_ratio_3]]-EI$2)</f>
        <v>0.96237623762376234</v>
      </c>
      <c r="ET48" s="1">
        <f>1+(Table1[[#This Row],[error_ratio_4]]-EJ$2)</f>
        <v>0.99490835030549896</v>
      </c>
      <c r="EU48" s="1">
        <f>1+(Table1[[#This Row],[error_ratio_5]]-EK$2)</f>
        <v>0.94170403587443952</v>
      </c>
      <c r="EV48" s="1">
        <f>1+(Table1[[#This Row],[error_ratio_6]]-EL$2)</f>
        <v>1.0167014613778707</v>
      </c>
      <c r="EW48" s="1">
        <f>1+(Table1[[#This Row],[error_ratio_7]]-EM$2)</f>
        <v>0.99902723735408561</v>
      </c>
      <c r="EX48" s="1">
        <f>1+(Table1[[#This Row],[error_ratio_8]]-EN$2)</f>
        <v>1.0564681724845997</v>
      </c>
      <c r="EY48" s="1">
        <f>1+(Table1[[#This Row],[error_ratio_9]]-EO$2)</f>
        <v>1.0277502477700693</v>
      </c>
    </row>
    <row r="49" spans="1:155" x14ac:dyDescent="0.75">
      <c r="A49">
        <v>10</v>
      </c>
      <c r="B49">
        <v>10</v>
      </c>
      <c r="C49">
        <v>10</v>
      </c>
      <c r="D49">
        <v>10</v>
      </c>
      <c r="E49">
        <v>100</v>
      </c>
      <c r="F49">
        <v>10</v>
      </c>
      <c r="G49">
        <v>100</v>
      </c>
      <c r="H49">
        <v>100</v>
      </c>
      <c r="I49">
        <v>100</v>
      </c>
      <c r="J49">
        <v>100</v>
      </c>
      <c r="K49">
        <v>1007</v>
      </c>
      <c r="L49">
        <v>1130</v>
      </c>
      <c r="M49">
        <v>947</v>
      </c>
      <c r="N49">
        <v>1030</v>
      </c>
      <c r="O49">
        <v>981</v>
      </c>
      <c r="P49">
        <v>803</v>
      </c>
      <c r="Q49">
        <v>966</v>
      </c>
      <c r="R49">
        <v>1085</v>
      </c>
      <c r="S49">
        <v>1042</v>
      </c>
      <c r="T49">
        <v>1009</v>
      </c>
      <c r="U49">
        <v>980</v>
      </c>
      <c r="V49">
        <v>1135</v>
      </c>
      <c r="W49">
        <v>1032</v>
      </c>
      <c r="X49">
        <v>1010</v>
      </c>
      <c r="Y49">
        <v>982</v>
      </c>
      <c r="Z49">
        <v>892</v>
      </c>
      <c r="AA49">
        <v>958</v>
      </c>
      <c r="AB49">
        <v>1028</v>
      </c>
      <c r="AC49">
        <v>974</v>
      </c>
      <c r="AD49">
        <v>1009</v>
      </c>
      <c r="AE49">
        <v>971</v>
      </c>
      <c r="AF49">
        <v>0</v>
      </c>
      <c r="AG49">
        <v>0</v>
      </c>
      <c r="AH49">
        <v>0</v>
      </c>
      <c r="AI49">
        <v>0</v>
      </c>
      <c r="AJ49">
        <v>1</v>
      </c>
      <c r="AK49">
        <v>3</v>
      </c>
      <c r="AL49">
        <v>1</v>
      </c>
      <c r="AM49">
        <v>4</v>
      </c>
      <c r="AN49">
        <v>0</v>
      </c>
      <c r="AO49">
        <v>0</v>
      </c>
      <c r="AP49">
        <v>1121</v>
      </c>
      <c r="AQ49">
        <v>1</v>
      </c>
      <c r="AR49">
        <v>7</v>
      </c>
      <c r="AS49">
        <v>0</v>
      </c>
      <c r="AT49">
        <v>0</v>
      </c>
      <c r="AU49">
        <v>0</v>
      </c>
      <c r="AV49">
        <v>4</v>
      </c>
      <c r="AW49">
        <v>1</v>
      </c>
      <c r="AX49">
        <v>1</v>
      </c>
      <c r="AY49">
        <v>10</v>
      </c>
      <c r="AZ49">
        <v>5</v>
      </c>
      <c r="BA49">
        <v>938</v>
      </c>
      <c r="BB49">
        <v>4</v>
      </c>
      <c r="BC49">
        <v>4</v>
      </c>
      <c r="BD49">
        <v>0</v>
      </c>
      <c r="BE49">
        <v>2</v>
      </c>
      <c r="BF49">
        <v>44</v>
      </c>
      <c r="BG49">
        <v>25</v>
      </c>
      <c r="BH49">
        <v>0</v>
      </c>
      <c r="BI49">
        <v>7</v>
      </c>
      <c r="BJ49">
        <v>0</v>
      </c>
      <c r="BK49">
        <v>1</v>
      </c>
      <c r="BL49">
        <v>981</v>
      </c>
      <c r="BM49">
        <v>0</v>
      </c>
      <c r="BN49">
        <v>1</v>
      </c>
      <c r="BO49">
        <v>0</v>
      </c>
      <c r="BP49">
        <v>8</v>
      </c>
      <c r="BQ49">
        <v>6</v>
      </c>
      <c r="BR49">
        <v>6</v>
      </c>
      <c r="BS49">
        <v>0</v>
      </c>
      <c r="BT49">
        <v>0</v>
      </c>
      <c r="BU49">
        <v>0</v>
      </c>
      <c r="BV49">
        <v>0</v>
      </c>
      <c r="BW49">
        <v>969</v>
      </c>
      <c r="BX49">
        <v>0</v>
      </c>
      <c r="BY49">
        <v>1</v>
      </c>
      <c r="BZ49">
        <v>2</v>
      </c>
      <c r="CA49">
        <v>5</v>
      </c>
      <c r="CB49">
        <v>5</v>
      </c>
      <c r="CC49">
        <v>9</v>
      </c>
      <c r="CD49">
        <v>0</v>
      </c>
      <c r="CE49">
        <v>0</v>
      </c>
      <c r="CF49">
        <v>27</v>
      </c>
      <c r="CG49">
        <v>1</v>
      </c>
      <c r="CH49">
        <v>798</v>
      </c>
      <c r="CI49">
        <v>15</v>
      </c>
      <c r="CJ49">
        <v>3</v>
      </c>
      <c r="CK49">
        <v>36</v>
      </c>
      <c r="CL49">
        <v>3</v>
      </c>
      <c r="CM49">
        <v>4</v>
      </c>
      <c r="CN49">
        <v>3</v>
      </c>
      <c r="CO49">
        <v>0</v>
      </c>
      <c r="CP49">
        <v>0</v>
      </c>
      <c r="CQ49">
        <v>3</v>
      </c>
      <c r="CR49">
        <v>1</v>
      </c>
      <c r="CS49">
        <v>945</v>
      </c>
      <c r="CT49">
        <v>0</v>
      </c>
      <c r="CU49">
        <v>2</v>
      </c>
      <c r="CV49">
        <v>0</v>
      </c>
      <c r="CW49">
        <v>0</v>
      </c>
      <c r="CX49">
        <v>1</v>
      </c>
      <c r="CY49">
        <v>7</v>
      </c>
      <c r="CZ49">
        <v>3</v>
      </c>
      <c r="DA49">
        <v>0</v>
      </c>
      <c r="DB49">
        <v>0</v>
      </c>
      <c r="DC49">
        <v>0</v>
      </c>
      <c r="DD49">
        <v>1015</v>
      </c>
      <c r="DE49">
        <v>1</v>
      </c>
      <c r="DF49">
        <v>1</v>
      </c>
      <c r="DG49">
        <v>2</v>
      </c>
      <c r="DH49">
        <v>0</v>
      </c>
      <c r="DI49">
        <v>0</v>
      </c>
      <c r="DJ49">
        <v>2</v>
      </c>
      <c r="DK49">
        <v>0</v>
      </c>
      <c r="DL49">
        <v>0</v>
      </c>
      <c r="DM49">
        <v>0</v>
      </c>
      <c r="DN49">
        <v>3</v>
      </c>
      <c r="DO49">
        <v>960</v>
      </c>
      <c r="DP49">
        <v>7</v>
      </c>
      <c r="DQ49">
        <v>4</v>
      </c>
      <c r="DR49">
        <v>0</v>
      </c>
      <c r="DS49">
        <v>0</v>
      </c>
      <c r="DT49">
        <v>6</v>
      </c>
      <c r="DU49">
        <v>4</v>
      </c>
      <c r="DV49">
        <v>2</v>
      </c>
      <c r="DW49">
        <v>0</v>
      </c>
      <c r="DX49">
        <v>5</v>
      </c>
      <c r="DY49">
        <v>2</v>
      </c>
      <c r="DZ49">
        <v>986</v>
      </c>
      <c r="EA49">
        <v>0.96840000000000004</v>
      </c>
      <c r="EB49">
        <v>0.96930051456041799</v>
      </c>
      <c r="EC49">
        <v>0.96766795122571403</v>
      </c>
      <c r="ED49">
        <v>0.96784077418103498</v>
      </c>
      <c r="EE49">
        <f>SUM(Table1[[#This Row],[ratio_0]:[ratio_9]])</f>
        <v>550</v>
      </c>
      <c r="EF49" s="1">
        <f>(Table1[[#This Row],[predicted_0]]-Table1[[#This Row],[actual_0]])/Table1[[#This Row],[actual_0]]</f>
        <v>2.7551020408163266E-2</v>
      </c>
      <c r="EG49" s="1">
        <f>(Table1[[#This Row],[predicted_1]]-Table1[[#This Row],[actual_1]])/Table1[[#This Row],[actual_1]]</f>
        <v>-4.4052863436123352E-3</v>
      </c>
      <c r="EH49" s="1">
        <f>(Table1[[#This Row],[predicted_2]]-Table1[[#This Row],[actual_2]])/Table1[[#This Row],[actual_2]]</f>
        <v>-8.2364341085271311E-2</v>
      </c>
      <c r="EI49" s="1">
        <f>(Table1[[#This Row],[predicted_3]]-Table1[[#This Row],[actual_3]])/Table1[[#This Row],[actual_3]]</f>
        <v>1.9801980198019802E-2</v>
      </c>
      <c r="EJ49" s="1">
        <f>(Table1[[#This Row],[predicted_4]]-Table1[[#This Row],[actual_4]])/Table1[[#This Row],[actual_4]]</f>
        <v>-1.0183299389002036E-3</v>
      </c>
      <c r="EK49" s="1">
        <f>(Table1[[#This Row],[predicted_5]]-Table1[[#This Row],[actual_5]])/Table1[[#This Row],[actual_5]]</f>
        <v>-9.9775784753363225E-2</v>
      </c>
      <c r="EL49" s="1">
        <f>(Table1[[#This Row],[predicted_6]]-Table1[[#This Row],[actual_6]])/Table1[[#This Row],[actual_6]]</f>
        <v>8.350730688935281E-3</v>
      </c>
      <c r="EM49" s="1">
        <f>(Table1[[#This Row],[predicted_7]]-Table1[[#This Row],[actual_7]])/Table1[[#This Row],[actual_7]]</f>
        <v>5.544747081712062E-2</v>
      </c>
      <c r="EN49" s="1">
        <f>(Table1[[#This Row],[predicted_8]]-Table1[[#This Row],[actual_8]])/Table1[[#This Row],[actual_8]]</f>
        <v>6.9815195071868577E-2</v>
      </c>
      <c r="EO49" s="1">
        <f>(Table1[[#This Row],[predicted_9]]-Table1[[#This Row],[actual_9]])/Table1[[#This Row],[actual_9]]</f>
        <v>0</v>
      </c>
      <c r="EP49" s="1">
        <f>1+(Table1[[#This Row],[error_ratio_0]]-EF$2)</f>
        <v>1.0255102040816326</v>
      </c>
      <c r="EQ49" s="1">
        <f>1+(Table1[[#This Row],[error_ratio_1]]-EG$2)</f>
        <v>0.99383259911894273</v>
      </c>
      <c r="ER49" s="1">
        <f>1+(Table1[[#This Row],[error_ratio_2]]-EH$2)</f>
        <v>0.92248062015503873</v>
      </c>
      <c r="ES49" s="1">
        <f>1+(Table1[[#This Row],[error_ratio_3]]-EI$2)</f>
        <v>1.0099009900990099</v>
      </c>
      <c r="ET49" s="1">
        <f>1+(Table1[[#This Row],[error_ratio_4]]-EJ$2)</f>
        <v>0.99796334012219956</v>
      </c>
      <c r="EU49" s="1">
        <f>1+(Table1[[#This Row],[error_ratio_5]]-EK$2)</f>
        <v>0.89910313901345296</v>
      </c>
      <c r="EV49" s="1">
        <f>1+(Table1[[#This Row],[error_ratio_6]]-EL$2)</f>
        <v>1.0146137787056368</v>
      </c>
      <c r="EW49" s="1">
        <f>1+(Table1[[#This Row],[error_ratio_7]]-EM$2)</f>
        <v>1.0535019455252919</v>
      </c>
      <c r="EX49" s="1">
        <f>1+(Table1[[#This Row],[error_ratio_8]]-EN$2)</f>
        <v>1.0728952772073921</v>
      </c>
      <c r="EY49" s="1">
        <f>1+(Table1[[#This Row],[error_ratio_9]]-EO$2)</f>
        <v>1.00396432111001</v>
      </c>
    </row>
    <row r="50" spans="1:155" x14ac:dyDescent="0.75">
      <c r="A50">
        <v>100</v>
      </c>
      <c r="B50">
        <v>100</v>
      </c>
      <c r="C50">
        <v>100</v>
      </c>
      <c r="D50">
        <v>100</v>
      </c>
      <c r="E50">
        <v>10</v>
      </c>
      <c r="F50">
        <v>10</v>
      </c>
      <c r="G50">
        <v>100</v>
      </c>
      <c r="H50">
        <v>100</v>
      </c>
      <c r="I50">
        <v>100</v>
      </c>
      <c r="J50">
        <v>100</v>
      </c>
      <c r="K50">
        <v>989</v>
      </c>
      <c r="L50">
        <v>1140</v>
      </c>
      <c r="M50">
        <v>1033</v>
      </c>
      <c r="N50">
        <v>1034</v>
      </c>
      <c r="O50">
        <v>929</v>
      </c>
      <c r="P50">
        <v>815</v>
      </c>
      <c r="Q50">
        <v>971</v>
      </c>
      <c r="R50">
        <v>1050</v>
      </c>
      <c r="S50">
        <v>996</v>
      </c>
      <c r="T50">
        <v>1043</v>
      </c>
      <c r="U50">
        <v>980</v>
      </c>
      <c r="V50">
        <v>1135</v>
      </c>
      <c r="W50">
        <v>1032</v>
      </c>
      <c r="X50">
        <v>1010</v>
      </c>
      <c r="Y50">
        <v>982</v>
      </c>
      <c r="Z50">
        <v>892</v>
      </c>
      <c r="AA50">
        <v>958</v>
      </c>
      <c r="AB50">
        <v>1028</v>
      </c>
      <c r="AC50">
        <v>974</v>
      </c>
      <c r="AD50">
        <v>1009</v>
      </c>
      <c r="AE50">
        <v>973</v>
      </c>
      <c r="AF50">
        <v>0</v>
      </c>
      <c r="AG50">
        <v>1</v>
      </c>
      <c r="AH50">
        <v>0</v>
      </c>
      <c r="AI50">
        <v>0</v>
      </c>
      <c r="AJ50">
        <v>0</v>
      </c>
      <c r="AK50">
        <v>1</v>
      </c>
      <c r="AL50">
        <v>2</v>
      </c>
      <c r="AM50">
        <v>2</v>
      </c>
      <c r="AN50">
        <v>1</v>
      </c>
      <c r="AO50">
        <v>0</v>
      </c>
      <c r="AP50">
        <v>1132</v>
      </c>
      <c r="AQ50">
        <v>0</v>
      </c>
      <c r="AR50">
        <v>0</v>
      </c>
      <c r="AS50">
        <v>0</v>
      </c>
      <c r="AT50">
        <v>1</v>
      </c>
      <c r="AU50">
        <v>0</v>
      </c>
      <c r="AV50">
        <v>1</v>
      </c>
      <c r="AW50">
        <v>1</v>
      </c>
      <c r="AX50">
        <v>0</v>
      </c>
      <c r="AY50">
        <v>2</v>
      </c>
      <c r="AZ50">
        <v>1</v>
      </c>
      <c r="BA50">
        <v>1020</v>
      </c>
      <c r="BB50">
        <v>1</v>
      </c>
      <c r="BC50">
        <v>0</v>
      </c>
      <c r="BD50">
        <v>0</v>
      </c>
      <c r="BE50">
        <v>0</v>
      </c>
      <c r="BF50">
        <v>5</v>
      </c>
      <c r="BG50">
        <v>3</v>
      </c>
      <c r="BH50">
        <v>0</v>
      </c>
      <c r="BI50">
        <v>0</v>
      </c>
      <c r="BJ50">
        <v>0</v>
      </c>
      <c r="BK50">
        <v>1</v>
      </c>
      <c r="BL50">
        <v>1003</v>
      </c>
      <c r="BM50">
        <v>0</v>
      </c>
      <c r="BN50">
        <v>1</v>
      </c>
      <c r="BO50">
        <v>0</v>
      </c>
      <c r="BP50">
        <v>3</v>
      </c>
      <c r="BQ50">
        <v>2</v>
      </c>
      <c r="BR50">
        <v>0</v>
      </c>
      <c r="BS50">
        <v>1</v>
      </c>
      <c r="BT50">
        <v>1</v>
      </c>
      <c r="BU50">
        <v>4</v>
      </c>
      <c r="BV50">
        <v>0</v>
      </c>
      <c r="BW50">
        <v>925</v>
      </c>
      <c r="BX50">
        <v>0</v>
      </c>
      <c r="BY50">
        <v>7</v>
      </c>
      <c r="BZ50">
        <v>8</v>
      </c>
      <c r="CA50">
        <v>5</v>
      </c>
      <c r="CB50">
        <v>31</v>
      </c>
      <c r="CC50">
        <v>3</v>
      </c>
      <c r="CD50">
        <v>2</v>
      </c>
      <c r="CE50">
        <v>0</v>
      </c>
      <c r="CF50">
        <v>25</v>
      </c>
      <c r="CG50">
        <v>1</v>
      </c>
      <c r="CH50">
        <v>812</v>
      </c>
      <c r="CI50">
        <v>16</v>
      </c>
      <c r="CJ50">
        <v>3</v>
      </c>
      <c r="CK50">
        <v>18</v>
      </c>
      <c r="CL50">
        <v>12</v>
      </c>
      <c r="CM50">
        <v>6</v>
      </c>
      <c r="CN50">
        <v>2</v>
      </c>
      <c r="CO50">
        <v>1</v>
      </c>
      <c r="CP50">
        <v>1</v>
      </c>
      <c r="CQ50">
        <v>1</v>
      </c>
      <c r="CR50">
        <v>1</v>
      </c>
      <c r="CS50">
        <v>946</v>
      </c>
      <c r="CT50">
        <v>0</v>
      </c>
      <c r="CU50">
        <v>0</v>
      </c>
      <c r="CV50">
        <v>0</v>
      </c>
      <c r="CW50">
        <v>0</v>
      </c>
      <c r="CX50">
        <v>2</v>
      </c>
      <c r="CY50">
        <v>5</v>
      </c>
      <c r="CZ50">
        <v>0</v>
      </c>
      <c r="DA50">
        <v>0</v>
      </c>
      <c r="DB50">
        <v>0</v>
      </c>
      <c r="DC50">
        <v>0</v>
      </c>
      <c r="DD50">
        <v>1018</v>
      </c>
      <c r="DE50">
        <v>0</v>
      </c>
      <c r="DF50">
        <v>3</v>
      </c>
      <c r="DG50">
        <v>2</v>
      </c>
      <c r="DH50">
        <v>0</v>
      </c>
      <c r="DI50">
        <v>1</v>
      </c>
      <c r="DJ50">
        <v>1</v>
      </c>
      <c r="DK50">
        <v>0</v>
      </c>
      <c r="DL50">
        <v>0</v>
      </c>
      <c r="DM50">
        <v>0</v>
      </c>
      <c r="DN50">
        <v>3</v>
      </c>
      <c r="DO50">
        <v>962</v>
      </c>
      <c r="DP50">
        <v>5</v>
      </c>
      <c r="DQ50">
        <v>2</v>
      </c>
      <c r="DR50">
        <v>0</v>
      </c>
      <c r="DS50">
        <v>0</v>
      </c>
      <c r="DT50">
        <v>3</v>
      </c>
      <c r="DU50">
        <v>2</v>
      </c>
      <c r="DV50">
        <v>0</v>
      </c>
      <c r="DW50">
        <v>1</v>
      </c>
      <c r="DX50">
        <v>7</v>
      </c>
      <c r="DY50">
        <v>3</v>
      </c>
      <c r="DZ50">
        <v>991</v>
      </c>
      <c r="EA50">
        <v>0.97819999999999996</v>
      </c>
      <c r="EB50">
        <v>0.97860368758890703</v>
      </c>
      <c r="EC50">
        <v>0.97715109698032099</v>
      </c>
      <c r="ED50">
        <v>0.97753864879136498</v>
      </c>
      <c r="EE50">
        <f>SUM(Table1[[#This Row],[ratio_0]:[ratio_9]])</f>
        <v>820</v>
      </c>
      <c r="EF50" s="1">
        <f>(Table1[[#This Row],[predicted_0]]-Table1[[#This Row],[actual_0]])/Table1[[#This Row],[actual_0]]</f>
        <v>9.1836734693877559E-3</v>
      </c>
      <c r="EG50" s="1">
        <f>(Table1[[#This Row],[predicted_1]]-Table1[[#This Row],[actual_1]])/Table1[[#This Row],[actual_1]]</f>
        <v>4.4052863436123352E-3</v>
      </c>
      <c r="EH50" s="1">
        <f>(Table1[[#This Row],[predicted_2]]-Table1[[#This Row],[actual_2]])/Table1[[#This Row],[actual_2]]</f>
        <v>9.6899224806201549E-4</v>
      </c>
      <c r="EI50" s="1">
        <f>(Table1[[#This Row],[predicted_3]]-Table1[[#This Row],[actual_3]])/Table1[[#This Row],[actual_3]]</f>
        <v>2.3762376237623763E-2</v>
      </c>
      <c r="EJ50" s="1">
        <f>(Table1[[#This Row],[predicted_4]]-Table1[[#This Row],[actual_4]])/Table1[[#This Row],[actual_4]]</f>
        <v>-5.3971486761710798E-2</v>
      </c>
      <c r="EK50" s="1">
        <f>(Table1[[#This Row],[predicted_5]]-Table1[[#This Row],[actual_5]])/Table1[[#This Row],[actual_5]]</f>
        <v>-8.632286995515695E-2</v>
      </c>
      <c r="EL50" s="1">
        <f>(Table1[[#This Row],[predicted_6]]-Table1[[#This Row],[actual_6]])/Table1[[#This Row],[actual_6]]</f>
        <v>1.3569937369519834E-2</v>
      </c>
      <c r="EM50" s="1">
        <f>(Table1[[#This Row],[predicted_7]]-Table1[[#This Row],[actual_7]])/Table1[[#This Row],[actual_7]]</f>
        <v>2.1400778210116732E-2</v>
      </c>
      <c r="EN50" s="1">
        <f>(Table1[[#This Row],[predicted_8]]-Table1[[#This Row],[actual_8]])/Table1[[#This Row],[actual_8]]</f>
        <v>2.2587268993839837E-2</v>
      </c>
      <c r="EO50" s="1">
        <f>(Table1[[#This Row],[predicted_9]]-Table1[[#This Row],[actual_9]])/Table1[[#This Row],[actual_9]]</f>
        <v>3.3696729435084241E-2</v>
      </c>
      <c r="EP50" s="1">
        <f>1+(Table1[[#This Row],[error_ratio_0]]-EF$2)</f>
        <v>1.0071428571428571</v>
      </c>
      <c r="EQ50" s="1">
        <f>1+(Table1[[#This Row],[error_ratio_1]]-EG$2)</f>
        <v>1.0026431718061675</v>
      </c>
      <c r="ER50" s="1">
        <f>1+(Table1[[#This Row],[error_ratio_2]]-EH$2)</f>
        <v>1.0058139534883721</v>
      </c>
      <c r="ES50" s="1">
        <f>1+(Table1[[#This Row],[error_ratio_3]]-EI$2)</f>
        <v>1.0138613861386139</v>
      </c>
      <c r="ET50" s="1">
        <f>1+(Table1[[#This Row],[error_ratio_4]]-EJ$2)</f>
        <v>0.94501018329938902</v>
      </c>
      <c r="EU50" s="1">
        <f>1+(Table1[[#This Row],[error_ratio_5]]-EK$2)</f>
        <v>0.91255605381165916</v>
      </c>
      <c r="EV50" s="1">
        <f>1+(Table1[[#This Row],[error_ratio_6]]-EL$2)</f>
        <v>1.0198329853862214</v>
      </c>
      <c r="EW50" s="1">
        <f>1+(Table1[[#This Row],[error_ratio_7]]-EM$2)</f>
        <v>1.0194552529182879</v>
      </c>
      <c r="EX50" s="1">
        <f>1+(Table1[[#This Row],[error_ratio_8]]-EN$2)</f>
        <v>1.0256673511293635</v>
      </c>
      <c r="EY50" s="1">
        <f>1+(Table1[[#This Row],[error_ratio_9]]-EO$2)</f>
        <v>1.0376610505450941</v>
      </c>
    </row>
    <row r="51" spans="1:155" x14ac:dyDescent="0.75">
      <c r="A51">
        <v>10</v>
      </c>
      <c r="B51">
        <v>100</v>
      </c>
      <c r="C51">
        <v>100</v>
      </c>
      <c r="D51">
        <v>100</v>
      </c>
      <c r="E51">
        <v>10</v>
      </c>
      <c r="F51">
        <v>10</v>
      </c>
      <c r="G51">
        <v>100</v>
      </c>
      <c r="H51">
        <v>100</v>
      </c>
      <c r="I51">
        <v>100</v>
      </c>
      <c r="J51">
        <v>100</v>
      </c>
      <c r="K51">
        <v>960</v>
      </c>
      <c r="L51">
        <v>1145</v>
      </c>
      <c r="M51">
        <v>1047</v>
      </c>
      <c r="N51">
        <v>1026</v>
      </c>
      <c r="O51">
        <v>888</v>
      </c>
      <c r="P51">
        <v>811</v>
      </c>
      <c r="Q51">
        <v>1003</v>
      </c>
      <c r="R51">
        <v>1053</v>
      </c>
      <c r="S51">
        <v>1012</v>
      </c>
      <c r="T51">
        <v>1055</v>
      </c>
      <c r="U51">
        <v>980</v>
      </c>
      <c r="V51">
        <v>1135</v>
      </c>
      <c r="W51">
        <v>1032</v>
      </c>
      <c r="X51">
        <v>1010</v>
      </c>
      <c r="Y51">
        <v>982</v>
      </c>
      <c r="Z51">
        <v>892</v>
      </c>
      <c r="AA51">
        <v>958</v>
      </c>
      <c r="AB51">
        <v>1028</v>
      </c>
      <c r="AC51">
        <v>974</v>
      </c>
      <c r="AD51">
        <v>1009</v>
      </c>
      <c r="AE51">
        <v>950</v>
      </c>
      <c r="AF51">
        <v>1</v>
      </c>
      <c r="AG51">
        <v>8</v>
      </c>
      <c r="AH51">
        <v>0</v>
      </c>
      <c r="AI51">
        <v>0</v>
      </c>
      <c r="AJ51">
        <v>0</v>
      </c>
      <c r="AK51">
        <v>10</v>
      </c>
      <c r="AL51">
        <v>2</v>
      </c>
      <c r="AM51">
        <v>3</v>
      </c>
      <c r="AN51">
        <v>6</v>
      </c>
      <c r="AO51">
        <v>0</v>
      </c>
      <c r="AP51">
        <v>1129</v>
      </c>
      <c r="AQ51">
        <v>0</v>
      </c>
      <c r="AR51">
        <v>1</v>
      </c>
      <c r="AS51">
        <v>0</v>
      </c>
      <c r="AT51">
        <v>0</v>
      </c>
      <c r="AU51">
        <v>4</v>
      </c>
      <c r="AV51">
        <v>1</v>
      </c>
      <c r="AW51">
        <v>0</v>
      </c>
      <c r="AX51">
        <v>0</v>
      </c>
      <c r="AY51">
        <v>1</v>
      </c>
      <c r="AZ51">
        <v>1</v>
      </c>
      <c r="BA51">
        <v>1023</v>
      </c>
      <c r="BB51">
        <v>0</v>
      </c>
      <c r="BC51">
        <v>0</v>
      </c>
      <c r="BD51">
        <v>0</v>
      </c>
      <c r="BE51">
        <v>0</v>
      </c>
      <c r="BF51">
        <v>6</v>
      </c>
      <c r="BG51">
        <v>1</v>
      </c>
      <c r="BH51">
        <v>0</v>
      </c>
      <c r="BI51">
        <v>0</v>
      </c>
      <c r="BJ51">
        <v>0</v>
      </c>
      <c r="BK51">
        <v>3</v>
      </c>
      <c r="BL51">
        <v>996</v>
      </c>
      <c r="BM51">
        <v>0</v>
      </c>
      <c r="BN51">
        <v>2</v>
      </c>
      <c r="BO51">
        <v>0</v>
      </c>
      <c r="BP51">
        <v>6</v>
      </c>
      <c r="BQ51">
        <v>2</v>
      </c>
      <c r="BR51">
        <v>1</v>
      </c>
      <c r="BS51">
        <v>0</v>
      </c>
      <c r="BT51">
        <v>5</v>
      </c>
      <c r="BU51">
        <v>3</v>
      </c>
      <c r="BV51">
        <v>0</v>
      </c>
      <c r="BW51">
        <v>888</v>
      </c>
      <c r="BX51">
        <v>0</v>
      </c>
      <c r="BY51">
        <v>14</v>
      </c>
      <c r="BZ51">
        <v>11</v>
      </c>
      <c r="CA51">
        <v>14</v>
      </c>
      <c r="CB51">
        <v>47</v>
      </c>
      <c r="CC51">
        <v>2</v>
      </c>
      <c r="CD51">
        <v>1</v>
      </c>
      <c r="CE51">
        <v>0</v>
      </c>
      <c r="CF51">
        <v>25</v>
      </c>
      <c r="CG51">
        <v>0</v>
      </c>
      <c r="CH51">
        <v>807</v>
      </c>
      <c r="CI51">
        <v>23</v>
      </c>
      <c r="CJ51">
        <v>1</v>
      </c>
      <c r="CK51">
        <v>27</v>
      </c>
      <c r="CL51">
        <v>6</v>
      </c>
      <c r="CM51">
        <v>6</v>
      </c>
      <c r="CN51">
        <v>2</v>
      </c>
      <c r="CO51">
        <v>1</v>
      </c>
      <c r="CP51">
        <v>0</v>
      </c>
      <c r="CQ51">
        <v>0</v>
      </c>
      <c r="CR51">
        <v>1</v>
      </c>
      <c r="CS51">
        <v>947</v>
      </c>
      <c r="CT51">
        <v>0</v>
      </c>
      <c r="CU51">
        <v>0</v>
      </c>
      <c r="CV51">
        <v>1</v>
      </c>
      <c r="CW51">
        <v>0</v>
      </c>
      <c r="CX51">
        <v>3</v>
      </c>
      <c r="CY51">
        <v>4</v>
      </c>
      <c r="CZ51">
        <v>0</v>
      </c>
      <c r="DA51">
        <v>0</v>
      </c>
      <c r="DB51">
        <v>0</v>
      </c>
      <c r="DC51">
        <v>0</v>
      </c>
      <c r="DD51">
        <v>1019</v>
      </c>
      <c r="DE51">
        <v>1</v>
      </c>
      <c r="DF51">
        <v>1</v>
      </c>
      <c r="DG51">
        <v>1</v>
      </c>
      <c r="DH51">
        <v>0</v>
      </c>
      <c r="DI51">
        <v>4</v>
      </c>
      <c r="DJ51">
        <v>4</v>
      </c>
      <c r="DK51">
        <v>0</v>
      </c>
      <c r="DL51">
        <v>0</v>
      </c>
      <c r="DM51">
        <v>4</v>
      </c>
      <c r="DN51">
        <v>2</v>
      </c>
      <c r="DO51">
        <v>959</v>
      </c>
      <c r="DP51">
        <v>0</v>
      </c>
      <c r="DQ51">
        <v>0</v>
      </c>
      <c r="DR51">
        <v>3</v>
      </c>
      <c r="DS51">
        <v>1</v>
      </c>
      <c r="DT51">
        <v>0</v>
      </c>
      <c r="DU51">
        <v>0</v>
      </c>
      <c r="DV51">
        <v>1</v>
      </c>
      <c r="DW51">
        <v>1</v>
      </c>
      <c r="DX51">
        <v>5</v>
      </c>
      <c r="DY51">
        <v>5</v>
      </c>
      <c r="DZ51">
        <v>993</v>
      </c>
      <c r="EA51">
        <v>0.97109999999999996</v>
      </c>
      <c r="EB51">
        <v>0.97192544340692</v>
      </c>
      <c r="EC51">
        <v>0.96990097874131098</v>
      </c>
      <c r="ED51">
        <v>0.970286044674041</v>
      </c>
      <c r="EE51">
        <f>SUM(Table1[[#This Row],[ratio_0]:[ratio_9]])</f>
        <v>730</v>
      </c>
      <c r="EF51" s="1">
        <f>(Table1[[#This Row],[predicted_0]]-Table1[[#This Row],[actual_0]])/Table1[[#This Row],[actual_0]]</f>
        <v>-2.0408163265306121E-2</v>
      </c>
      <c r="EG51" s="1">
        <f>(Table1[[#This Row],[predicted_1]]-Table1[[#This Row],[actual_1]])/Table1[[#This Row],[actual_1]]</f>
        <v>8.8105726872246704E-3</v>
      </c>
      <c r="EH51" s="1">
        <f>(Table1[[#This Row],[predicted_2]]-Table1[[#This Row],[actual_2]])/Table1[[#This Row],[actual_2]]</f>
        <v>1.4534883720930232E-2</v>
      </c>
      <c r="EI51" s="1">
        <f>(Table1[[#This Row],[predicted_3]]-Table1[[#This Row],[actual_3]])/Table1[[#This Row],[actual_3]]</f>
        <v>1.5841584158415842E-2</v>
      </c>
      <c r="EJ51" s="1">
        <f>(Table1[[#This Row],[predicted_4]]-Table1[[#This Row],[actual_4]])/Table1[[#This Row],[actual_4]]</f>
        <v>-9.5723014256619138E-2</v>
      </c>
      <c r="EK51" s="1">
        <f>(Table1[[#This Row],[predicted_5]]-Table1[[#This Row],[actual_5]])/Table1[[#This Row],[actual_5]]</f>
        <v>-9.0807174887892375E-2</v>
      </c>
      <c r="EL51" s="1">
        <f>(Table1[[#This Row],[predicted_6]]-Table1[[#This Row],[actual_6]])/Table1[[#This Row],[actual_6]]</f>
        <v>4.697286012526096E-2</v>
      </c>
      <c r="EM51" s="1">
        <f>(Table1[[#This Row],[predicted_7]]-Table1[[#This Row],[actual_7]])/Table1[[#This Row],[actual_7]]</f>
        <v>2.4319066147859923E-2</v>
      </c>
      <c r="EN51" s="1">
        <f>(Table1[[#This Row],[predicted_8]]-Table1[[#This Row],[actual_8]])/Table1[[#This Row],[actual_8]]</f>
        <v>3.9014373716632446E-2</v>
      </c>
      <c r="EO51" s="1">
        <f>(Table1[[#This Row],[predicted_9]]-Table1[[#This Row],[actual_9]])/Table1[[#This Row],[actual_9]]</f>
        <v>4.5589692765113973E-2</v>
      </c>
      <c r="EP51" s="1">
        <f>1+(Table1[[#This Row],[error_ratio_0]]-EF$2)</f>
        <v>0.97755102040816322</v>
      </c>
      <c r="EQ51" s="1">
        <f>1+(Table1[[#This Row],[error_ratio_1]]-EG$2)</f>
        <v>1.0070484581497798</v>
      </c>
      <c r="ER51" s="1">
        <f>1+(Table1[[#This Row],[error_ratio_2]]-EH$2)</f>
        <v>1.0193798449612403</v>
      </c>
      <c r="ES51" s="1">
        <f>1+(Table1[[#This Row],[error_ratio_3]]-EI$2)</f>
        <v>1.0059405940594059</v>
      </c>
      <c r="ET51" s="1">
        <f>1+(Table1[[#This Row],[error_ratio_4]]-EJ$2)</f>
        <v>0.90325865580448061</v>
      </c>
      <c r="EU51" s="1">
        <f>1+(Table1[[#This Row],[error_ratio_5]]-EK$2)</f>
        <v>0.90807174887892372</v>
      </c>
      <c r="EV51" s="1">
        <f>1+(Table1[[#This Row],[error_ratio_6]]-EL$2)</f>
        <v>1.0532359081419624</v>
      </c>
      <c r="EW51" s="1">
        <f>1+(Table1[[#This Row],[error_ratio_7]]-EM$2)</f>
        <v>1.022373540856031</v>
      </c>
      <c r="EX51" s="1">
        <f>1+(Table1[[#This Row],[error_ratio_8]]-EN$2)</f>
        <v>1.0420944558521561</v>
      </c>
      <c r="EY51" s="1">
        <f>1+(Table1[[#This Row],[error_ratio_9]]-EO$2)</f>
        <v>1.0495540138751238</v>
      </c>
    </row>
    <row r="52" spans="1:155" x14ac:dyDescent="0.75">
      <c r="A52">
        <v>100</v>
      </c>
      <c r="B52">
        <v>10</v>
      </c>
      <c r="C52">
        <v>100</v>
      </c>
      <c r="D52">
        <v>100</v>
      </c>
      <c r="E52">
        <v>10</v>
      </c>
      <c r="F52">
        <v>10</v>
      </c>
      <c r="G52">
        <v>100</v>
      </c>
      <c r="H52">
        <v>100</v>
      </c>
      <c r="I52">
        <v>100</v>
      </c>
      <c r="J52">
        <v>100</v>
      </c>
      <c r="K52">
        <v>989</v>
      </c>
      <c r="L52">
        <v>1127</v>
      </c>
      <c r="M52">
        <v>1024</v>
      </c>
      <c r="N52">
        <v>1013</v>
      </c>
      <c r="O52">
        <v>891</v>
      </c>
      <c r="P52">
        <v>784</v>
      </c>
      <c r="Q52">
        <v>1020</v>
      </c>
      <c r="R52">
        <v>1029</v>
      </c>
      <c r="S52">
        <v>1054</v>
      </c>
      <c r="T52">
        <v>1069</v>
      </c>
      <c r="U52">
        <v>980</v>
      </c>
      <c r="V52">
        <v>1135</v>
      </c>
      <c r="W52">
        <v>1032</v>
      </c>
      <c r="X52">
        <v>1010</v>
      </c>
      <c r="Y52">
        <v>982</v>
      </c>
      <c r="Z52">
        <v>892</v>
      </c>
      <c r="AA52">
        <v>958</v>
      </c>
      <c r="AB52">
        <v>1028</v>
      </c>
      <c r="AC52">
        <v>974</v>
      </c>
      <c r="AD52">
        <v>1009</v>
      </c>
      <c r="AE52">
        <v>973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4</v>
      </c>
      <c r="AL52">
        <v>1</v>
      </c>
      <c r="AM52">
        <v>2</v>
      </c>
      <c r="AN52">
        <v>0</v>
      </c>
      <c r="AO52">
        <v>0</v>
      </c>
      <c r="AP52">
        <v>1118</v>
      </c>
      <c r="AQ52">
        <v>3</v>
      </c>
      <c r="AR52">
        <v>2</v>
      </c>
      <c r="AS52">
        <v>0</v>
      </c>
      <c r="AT52">
        <v>1</v>
      </c>
      <c r="AU52">
        <v>5</v>
      </c>
      <c r="AV52">
        <v>1</v>
      </c>
      <c r="AW52">
        <v>4</v>
      </c>
      <c r="AX52">
        <v>1</v>
      </c>
      <c r="AY52">
        <v>2</v>
      </c>
      <c r="AZ52">
        <v>1</v>
      </c>
      <c r="BA52">
        <v>1012</v>
      </c>
      <c r="BB52">
        <v>0</v>
      </c>
      <c r="BC52">
        <v>0</v>
      </c>
      <c r="BD52">
        <v>0</v>
      </c>
      <c r="BE52">
        <v>4</v>
      </c>
      <c r="BF52">
        <v>7</v>
      </c>
      <c r="BG52">
        <v>6</v>
      </c>
      <c r="BH52">
        <v>0</v>
      </c>
      <c r="BI52">
        <v>0</v>
      </c>
      <c r="BJ52">
        <v>0</v>
      </c>
      <c r="BK52">
        <v>2</v>
      </c>
      <c r="BL52">
        <v>994</v>
      </c>
      <c r="BM52">
        <v>0</v>
      </c>
      <c r="BN52">
        <v>5</v>
      </c>
      <c r="BO52">
        <v>0</v>
      </c>
      <c r="BP52">
        <v>2</v>
      </c>
      <c r="BQ52">
        <v>6</v>
      </c>
      <c r="BR52">
        <v>1</v>
      </c>
      <c r="BS52">
        <v>2</v>
      </c>
      <c r="BT52">
        <v>6</v>
      </c>
      <c r="BU52">
        <v>1</v>
      </c>
      <c r="BV52">
        <v>0</v>
      </c>
      <c r="BW52">
        <v>889</v>
      </c>
      <c r="BX52">
        <v>0</v>
      </c>
      <c r="BY52">
        <v>26</v>
      </c>
      <c r="BZ52">
        <v>1</v>
      </c>
      <c r="CA52">
        <v>16</v>
      </c>
      <c r="CB52">
        <v>41</v>
      </c>
      <c r="CC52">
        <v>3</v>
      </c>
      <c r="CD52">
        <v>0</v>
      </c>
      <c r="CE52">
        <v>0</v>
      </c>
      <c r="CF52">
        <v>17</v>
      </c>
      <c r="CG52">
        <v>0</v>
      </c>
      <c r="CH52">
        <v>776</v>
      </c>
      <c r="CI52">
        <v>27</v>
      </c>
      <c r="CJ52">
        <v>1</v>
      </c>
      <c r="CK52">
        <v>48</v>
      </c>
      <c r="CL52">
        <v>20</v>
      </c>
      <c r="CM52">
        <v>4</v>
      </c>
      <c r="CN52">
        <v>1</v>
      </c>
      <c r="CO52">
        <v>0</v>
      </c>
      <c r="CP52">
        <v>0</v>
      </c>
      <c r="CQ52">
        <v>1</v>
      </c>
      <c r="CR52">
        <v>1</v>
      </c>
      <c r="CS52">
        <v>951</v>
      </c>
      <c r="CT52">
        <v>0</v>
      </c>
      <c r="CU52">
        <v>0</v>
      </c>
      <c r="CV52">
        <v>0</v>
      </c>
      <c r="CW52">
        <v>0</v>
      </c>
      <c r="CX52">
        <v>1</v>
      </c>
      <c r="CY52">
        <v>5</v>
      </c>
      <c r="CZ52">
        <v>0</v>
      </c>
      <c r="DA52">
        <v>0</v>
      </c>
      <c r="DB52">
        <v>0</v>
      </c>
      <c r="DC52">
        <v>0</v>
      </c>
      <c r="DD52">
        <v>1012</v>
      </c>
      <c r="DE52">
        <v>2</v>
      </c>
      <c r="DF52">
        <v>8</v>
      </c>
      <c r="DG52">
        <v>2</v>
      </c>
      <c r="DH52">
        <v>0</v>
      </c>
      <c r="DI52">
        <v>1</v>
      </c>
      <c r="DJ52">
        <v>0</v>
      </c>
      <c r="DK52">
        <v>0</v>
      </c>
      <c r="DL52">
        <v>0</v>
      </c>
      <c r="DM52">
        <v>1</v>
      </c>
      <c r="DN52">
        <v>2</v>
      </c>
      <c r="DO52">
        <v>967</v>
      </c>
      <c r="DP52">
        <v>1</v>
      </c>
      <c r="DQ52">
        <v>3</v>
      </c>
      <c r="DR52">
        <v>0</v>
      </c>
      <c r="DS52">
        <v>0</v>
      </c>
      <c r="DT52">
        <v>0</v>
      </c>
      <c r="DU52">
        <v>1</v>
      </c>
      <c r="DV52">
        <v>1</v>
      </c>
      <c r="DW52">
        <v>2</v>
      </c>
      <c r="DX52">
        <v>2</v>
      </c>
      <c r="DY52">
        <v>3</v>
      </c>
      <c r="DZ52">
        <v>997</v>
      </c>
      <c r="EA52">
        <v>0.96889999999999998</v>
      </c>
      <c r="EB52">
        <v>0.96988492556779604</v>
      </c>
      <c r="EC52">
        <v>0.96759572994684495</v>
      </c>
      <c r="ED52">
        <v>0.967801300252354</v>
      </c>
      <c r="EE52">
        <f>SUM(Table1[[#This Row],[ratio_0]:[ratio_9]])</f>
        <v>730</v>
      </c>
      <c r="EF52" s="1">
        <f>(Table1[[#This Row],[predicted_0]]-Table1[[#This Row],[actual_0]])/Table1[[#This Row],[actual_0]]</f>
        <v>9.1836734693877559E-3</v>
      </c>
      <c r="EG52" s="1">
        <f>(Table1[[#This Row],[predicted_1]]-Table1[[#This Row],[actual_1]])/Table1[[#This Row],[actual_1]]</f>
        <v>-7.048458149779736E-3</v>
      </c>
      <c r="EH52" s="1">
        <f>(Table1[[#This Row],[predicted_2]]-Table1[[#This Row],[actual_2]])/Table1[[#This Row],[actual_2]]</f>
        <v>-7.7519379844961239E-3</v>
      </c>
      <c r="EI52" s="1">
        <f>(Table1[[#This Row],[predicted_3]]-Table1[[#This Row],[actual_3]])/Table1[[#This Row],[actual_3]]</f>
        <v>2.9702970297029703E-3</v>
      </c>
      <c r="EJ52" s="1">
        <f>(Table1[[#This Row],[predicted_4]]-Table1[[#This Row],[actual_4]])/Table1[[#This Row],[actual_4]]</f>
        <v>-9.2668024439918534E-2</v>
      </c>
      <c r="EK52" s="1">
        <f>(Table1[[#This Row],[predicted_5]]-Table1[[#This Row],[actual_5]])/Table1[[#This Row],[actual_5]]</f>
        <v>-0.1210762331838565</v>
      </c>
      <c r="EL52" s="1">
        <f>(Table1[[#This Row],[predicted_6]]-Table1[[#This Row],[actual_6]])/Table1[[#This Row],[actual_6]]</f>
        <v>6.471816283924843E-2</v>
      </c>
      <c r="EM52" s="1">
        <f>(Table1[[#This Row],[predicted_7]]-Table1[[#This Row],[actual_7]])/Table1[[#This Row],[actual_7]]</f>
        <v>9.727626459143969E-4</v>
      </c>
      <c r="EN52" s="1">
        <f>(Table1[[#This Row],[predicted_8]]-Table1[[#This Row],[actual_8]])/Table1[[#This Row],[actual_8]]</f>
        <v>8.2135523613963035E-2</v>
      </c>
      <c r="EO52" s="1">
        <f>(Table1[[#This Row],[predicted_9]]-Table1[[#This Row],[actual_9]])/Table1[[#This Row],[actual_9]]</f>
        <v>5.9464816650148661E-2</v>
      </c>
      <c r="EP52" s="1">
        <f>1+(Table1[[#This Row],[error_ratio_0]]-EF$2)</f>
        <v>1.0071428571428571</v>
      </c>
      <c r="EQ52" s="1">
        <f>1+(Table1[[#This Row],[error_ratio_1]]-EG$2)</f>
        <v>0.99118942731277537</v>
      </c>
      <c r="ER52" s="1">
        <f>1+(Table1[[#This Row],[error_ratio_2]]-EH$2)</f>
        <v>0.99709302325581395</v>
      </c>
      <c r="ES52" s="1">
        <f>1+(Table1[[#This Row],[error_ratio_3]]-EI$2)</f>
        <v>0.99306930693069306</v>
      </c>
      <c r="ET52" s="1">
        <f>1+(Table1[[#This Row],[error_ratio_4]]-EJ$2)</f>
        <v>0.90631364562118122</v>
      </c>
      <c r="EU52" s="1">
        <f>1+(Table1[[#This Row],[error_ratio_5]]-EK$2)</f>
        <v>0.87780269058295968</v>
      </c>
      <c r="EV52" s="1">
        <f>1+(Table1[[#This Row],[error_ratio_6]]-EL$2)</f>
        <v>1.07098121085595</v>
      </c>
      <c r="EW52" s="1">
        <f>1+(Table1[[#This Row],[error_ratio_7]]-EM$2)</f>
        <v>0.99902723735408561</v>
      </c>
      <c r="EX52" s="1">
        <f>1+(Table1[[#This Row],[error_ratio_8]]-EN$2)</f>
        <v>1.0852156057494866</v>
      </c>
      <c r="EY52" s="1">
        <f>1+(Table1[[#This Row],[error_ratio_9]]-EO$2)</f>
        <v>1.0634291377601586</v>
      </c>
    </row>
    <row r="53" spans="1:155" x14ac:dyDescent="0.75">
      <c r="A53">
        <v>10</v>
      </c>
      <c r="B53">
        <v>10</v>
      </c>
      <c r="C53">
        <v>100</v>
      </c>
      <c r="D53">
        <v>100</v>
      </c>
      <c r="E53">
        <v>10</v>
      </c>
      <c r="F53">
        <v>10</v>
      </c>
      <c r="G53">
        <v>100</v>
      </c>
      <c r="H53">
        <v>100</v>
      </c>
      <c r="I53">
        <v>100</v>
      </c>
      <c r="J53">
        <v>100</v>
      </c>
      <c r="K53">
        <v>975</v>
      </c>
      <c r="L53">
        <v>1118</v>
      </c>
      <c r="M53">
        <v>1050</v>
      </c>
      <c r="N53">
        <v>1019</v>
      </c>
      <c r="O53">
        <v>906</v>
      </c>
      <c r="P53">
        <v>871</v>
      </c>
      <c r="Q53">
        <v>984</v>
      </c>
      <c r="R53">
        <v>1058</v>
      </c>
      <c r="S53">
        <v>955</v>
      </c>
      <c r="T53">
        <v>1064</v>
      </c>
      <c r="U53">
        <v>980</v>
      </c>
      <c r="V53">
        <v>1135</v>
      </c>
      <c r="W53">
        <v>1032</v>
      </c>
      <c r="X53">
        <v>1010</v>
      </c>
      <c r="Y53">
        <v>982</v>
      </c>
      <c r="Z53">
        <v>892</v>
      </c>
      <c r="AA53">
        <v>958</v>
      </c>
      <c r="AB53">
        <v>1028</v>
      </c>
      <c r="AC53">
        <v>974</v>
      </c>
      <c r="AD53">
        <v>1009</v>
      </c>
      <c r="AE53">
        <v>961</v>
      </c>
      <c r="AF53">
        <v>0</v>
      </c>
      <c r="AG53">
        <v>2</v>
      </c>
      <c r="AH53">
        <v>0</v>
      </c>
      <c r="AI53">
        <v>0</v>
      </c>
      <c r="AJ53">
        <v>0</v>
      </c>
      <c r="AK53">
        <v>12</v>
      </c>
      <c r="AL53">
        <v>2</v>
      </c>
      <c r="AM53">
        <v>2</v>
      </c>
      <c r="AN53">
        <v>1</v>
      </c>
      <c r="AO53">
        <v>0</v>
      </c>
      <c r="AP53">
        <v>1115</v>
      </c>
      <c r="AQ53">
        <v>4</v>
      </c>
      <c r="AR53">
        <v>4</v>
      </c>
      <c r="AS53">
        <v>0</v>
      </c>
      <c r="AT53">
        <v>2</v>
      </c>
      <c r="AU53">
        <v>4</v>
      </c>
      <c r="AV53">
        <v>3</v>
      </c>
      <c r="AW53">
        <v>2</v>
      </c>
      <c r="AX53">
        <v>1</v>
      </c>
      <c r="AY53">
        <v>1</v>
      </c>
      <c r="AZ53">
        <v>0</v>
      </c>
      <c r="BA53">
        <v>1027</v>
      </c>
      <c r="BB53">
        <v>1</v>
      </c>
      <c r="BC53">
        <v>0</v>
      </c>
      <c r="BD53">
        <v>0</v>
      </c>
      <c r="BE53">
        <v>0</v>
      </c>
      <c r="BF53">
        <v>3</v>
      </c>
      <c r="BG53">
        <v>0</v>
      </c>
      <c r="BH53">
        <v>0</v>
      </c>
      <c r="BI53">
        <v>0</v>
      </c>
      <c r="BJ53">
        <v>0</v>
      </c>
      <c r="BK53">
        <v>2</v>
      </c>
      <c r="BL53">
        <v>1001</v>
      </c>
      <c r="BM53">
        <v>0</v>
      </c>
      <c r="BN53">
        <v>2</v>
      </c>
      <c r="BO53">
        <v>0</v>
      </c>
      <c r="BP53">
        <v>3</v>
      </c>
      <c r="BQ53">
        <v>2</v>
      </c>
      <c r="BR53">
        <v>0</v>
      </c>
      <c r="BS53">
        <v>0</v>
      </c>
      <c r="BT53">
        <v>0</v>
      </c>
      <c r="BU53">
        <v>4</v>
      </c>
      <c r="BV53">
        <v>0</v>
      </c>
      <c r="BW53">
        <v>904</v>
      </c>
      <c r="BX53">
        <v>0</v>
      </c>
      <c r="BY53">
        <v>7</v>
      </c>
      <c r="BZ53">
        <v>6</v>
      </c>
      <c r="CA53">
        <v>2</v>
      </c>
      <c r="CB53">
        <v>59</v>
      </c>
      <c r="CC53">
        <v>4</v>
      </c>
      <c r="CD53">
        <v>0</v>
      </c>
      <c r="CE53">
        <v>1</v>
      </c>
      <c r="CF53">
        <v>11</v>
      </c>
      <c r="CG53">
        <v>0</v>
      </c>
      <c r="CH53">
        <v>860</v>
      </c>
      <c r="CI53">
        <v>10</v>
      </c>
      <c r="CJ53">
        <v>3</v>
      </c>
      <c r="CK53">
        <v>2</v>
      </c>
      <c r="CL53">
        <v>1</v>
      </c>
      <c r="CM53">
        <v>2</v>
      </c>
      <c r="CN53">
        <v>2</v>
      </c>
      <c r="CO53">
        <v>0</v>
      </c>
      <c r="CP53">
        <v>0</v>
      </c>
      <c r="CQ53">
        <v>2</v>
      </c>
      <c r="CR53">
        <v>2</v>
      </c>
      <c r="CS53">
        <v>950</v>
      </c>
      <c r="CT53">
        <v>0</v>
      </c>
      <c r="CU53">
        <v>0</v>
      </c>
      <c r="CV53">
        <v>0</v>
      </c>
      <c r="CW53">
        <v>0</v>
      </c>
      <c r="CX53">
        <v>1</v>
      </c>
      <c r="CY53">
        <v>6</v>
      </c>
      <c r="CZ53">
        <v>2</v>
      </c>
      <c r="DA53">
        <v>0</v>
      </c>
      <c r="DB53">
        <v>0</v>
      </c>
      <c r="DC53">
        <v>0</v>
      </c>
      <c r="DD53">
        <v>1019</v>
      </c>
      <c r="DE53">
        <v>0</v>
      </c>
      <c r="DF53">
        <v>0</v>
      </c>
      <c r="DG53">
        <v>3</v>
      </c>
      <c r="DH53">
        <v>0</v>
      </c>
      <c r="DI53">
        <v>4</v>
      </c>
      <c r="DJ53">
        <v>0</v>
      </c>
      <c r="DK53">
        <v>0</v>
      </c>
      <c r="DL53">
        <v>2</v>
      </c>
      <c r="DM53">
        <v>0</v>
      </c>
      <c r="DN53">
        <v>11</v>
      </c>
      <c r="DO53">
        <v>945</v>
      </c>
      <c r="DP53">
        <v>9</v>
      </c>
      <c r="DQ53">
        <v>4</v>
      </c>
      <c r="DR53">
        <v>0</v>
      </c>
      <c r="DS53">
        <v>0</v>
      </c>
      <c r="DT53">
        <v>0</v>
      </c>
      <c r="DU53">
        <v>0</v>
      </c>
      <c r="DV53">
        <v>3</v>
      </c>
      <c r="DW53">
        <v>1</v>
      </c>
      <c r="DX53">
        <v>8</v>
      </c>
      <c r="DY53">
        <v>0</v>
      </c>
      <c r="DZ53">
        <v>993</v>
      </c>
      <c r="EA53">
        <v>0.97750000000000004</v>
      </c>
      <c r="EB53">
        <v>0.977993647954016</v>
      </c>
      <c r="EC53">
        <v>0.97711940662457197</v>
      </c>
      <c r="ED53">
        <v>0.97725691872452403</v>
      </c>
      <c r="EE53">
        <f>SUM(Table1[[#This Row],[ratio_0]:[ratio_9]])</f>
        <v>640</v>
      </c>
      <c r="EF53" s="1">
        <f>(Table1[[#This Row],[predicted_0]]-Table1[[#This Row],[actual_0]])/Table1[[#This Row],[actual_0]]</f>
        <v>-5.1020408163265302E-3</v>
      </c>
      <c r="EG53" s="1">
        <f>(Table1[[#This Row],[predicted_1]]-Table1[[#This Row],[actual_1]])/Table1[[#This Row],[actual_1]]</f>
        <v>-1.4977973568281937E-2</v>
      </c>
      <c r="EH53" s="1">
        <f>(Table1[[#This Row],[predicted_2]]-Table1[[#This Row],[actual_2]])/Table1[[#This Row],[actual_2]]</f>
        <v>1.7441860465116279E-2</v>
      </c>
      <c r="EI53" s="1">
        <f>(Table1[[#This Row],[predicted_3]]-Table1[[#This Row],[actual_3]])/Table1[[#This Row],[actual_3]]</f>
        <v>8.9108910891089101E-3</v>
      </c>
      <c r="EJ53" s="1">
        <f>(Table1[[#This Row],[predicted_4]]-Table1[[#This Row],[actual_4]])/Table1[[#This Row],[actual_4]]</f>
        <v>-7.7393075356415472E-2</v>
      </c>
      <c r="EK53" s="1">
        <f>(Table1[[#This Row],[predicted_5]]-Table1[[#This Row],[actual_5]])/Table1[[#This Row],[actual_5]]</f>
        <v>-2.3542600896860985E-2</v>
      </c>
      <c r="EL53" s="1">
        <f>(Table1[[#This Row],[predicted_6]]-Table1[[#This Row],[actual_6]])/Table1[[#This Row],[actual_6]]</f>
        <v>2.7139874739039668E-2</v>
      </c>
      <c r="EM53" s="1">
        <f>(Table1[[#This Row],[predicted_7]]-Table1[[#This Row],[actual_7]])/Table1[[#This Row],[actual_7]]</f>
        <v>2.9182879377431907E-2</v>
      </c>
      <c r="EN53" s="1">
        <f>(Table1[[#This Row],[predicted_8]]-Table1[[#This Row],[actual_8]])/Table1[[#This Row],[actual_8]]</f>
        <v>-1.9507186858316223E-2</v>
      </c>
      <c r="EO53" s="1">
        <f>(Table1[[#This Row],[predicted_9]]-Table1[[#This Row],[actual_9]])/Table1[[#This Row],[actual_9]]</f>
        <v>5.4509415262636272E-2</v>
      </c>
      <c r="EP53" s="1">
        <f>1+(Table1[[#This Row],[error_ratio_0]]-EF$2)</f>
        <v>0.99285714285714288</v>
      </c>
      <c r="EQ53" s="1">
        <f>1+(Table1[[#This Row],[error_ratio_1]]-EG$2)</f>
        <v>0.98325991189427309</v>
      </c>
      <c r="ER53" s="1">
        <f>1+(Table1[[#This Row],[error_ratio_2]]-EH$2)</f>
        <v>1.0222868217054264</v>
      </c>
      <c r="ES53" s="1">
        <f>1+(Table1[[#This Row],[error_ratio_3]]-EI$2)</f>
        <v>0.99900990099009901</v>
      </c>
      <c r="ET53" s="1">
        <f>1+(Table1[[#This Row],[error_ratio_4]]-EJ$2)</f>
        <v>0.92158859470468435</v>
      </c>
      <c r="EU53" s="1">
        <f>1+(Table1[[#This Row],[error_ratio_5]]-EK$2)</f>
        <v>0.9753363228699552</v>
      </c>
      <c r="EV53" s="1">
        <f>1+(Table1[[#This Row],[error_ratio_6]]-EL$2)</f>
        <v>1.0334029227557411</v>
      </c>
      <c r="EW53" s="1">
        <f>1+(Table1[[#This Row],[error_ratio_7]]-EM$2)</f>
        <v>1.027237354085603</v>
      </c>
      <c r="EX53" s="1">
        <f>1+(Table1[[#This Row],[error_ratio_8]]-EN$2)</f>
        <v>0.98357289527720737</v>
      </c>
      <c r="EY53" s="1">
        <f>1+(Table1[[#This Row],[error_ratio_9]]-EO$2)</f>
        <v>1.0584737363726462</v>
      </c>
    </row>
    <row r="54" spans="1:155" x14ac:dyDescent="0.75">
      <c r="A54">
        <v>100</v>
      </c>
      <c r="B54">
        <v>100</v>
      </c>
      <c r="C54">
        <v>10</v>
      </c>
      <c r="D54">
        <v>100</v>
      </c>
      <c r="E54">
        <v>10</v>
      </c>
      <c r="F54">
        <v>10</v>
      </c>
      <c r="G54">
        <v>100</v>
      </c>
      <c r="H54">
        <v>100</v>
      </c>
      <c r="I54">
        <v>100</v>
      </c>
      <c r="J54">
        <v>100</v>
      </c>
      <c r="K54">
        <v>1018</v>
      </c>
      <c r="L54">
        <v>1130</v>
      </c>
      <c r="M54">
        <v>886</v>
      </c>
      <c r="N54">
        <v>1111</v>
      </c>
      <c r="O54">
        <v>911</v>
      </c>
      <c r="P54">
        <v>819</v>
      </c>
      <c r="Q54">
        <v>999</v>
      </c>
      <c r="R54">
        <v>1097</v>
      </c>
      <c r="S54">
        <v>991</v>
      </c>
      <c r="T54">
        <v>1038</v>
      </c>
      <c r="U54">
        <v>980</v>
      </c>
      <c r="V54">
        <v>1135</v>
      </c>
      <c r="W54">
        <v>1032</v>
      </c>
      <c r="X54">
        <v>1010</v>
      </c>
      <c r="Y54">
        <v>982</v>
      </c>
      <c r="Z54">
        <v>892</v>
      </c>
      <c r="AA54">
        <v>958</v>
      </c>
      <c r="AB54">
        <v>1028</v>
      </c>
      <c r="AC54">
        <v>974</v>
      </c>
      <c r="AD54">
        <v>1009</v>
      </c>
      <c r="AE54">
        <v>977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1</v>
      </c>
      <c r="AL54">
        <v>2</v>
      </c>
      <c r="AM54">
        <v>0</v>
      </c>
      <c r="AN54">
        <v>0</v>
      </c>
      <c r="AO54">
        <v>0</v>
      </c>
      <c r="AP54">
        <v>1121</v>
      </c>
      <c r="AQ54">
        <v>0</v>
      </c>
      <c r="AR54">
        <v>3</v>
      </c>
      <c r="AS54">
        <v>0</v>
      </c>
      <c r="AT54">
        <v>2</v>
      </c>
      <c r="AU54">
        <v>8</v>
      </c>
      <c r="AV54">
        <v>1</v>
      </c>
      <c r="AW54">
        <v>0</v>
      </c>
      <c r="AX54">
        <v>0</v>
      </c>
      <c r="AY54">
        <v>13</v>
      </c>
      <c r="AZ54">
        <v>4</v>
      </c>
      <c r="BA54">
        <v>884</v>
      </c>
      <c r="BB54">
        <v>73</v>
      </c>
      <c r="BC54">
        <v>0</v>
      </c>
      <c r="BD54">
        <v>0</v>
      </c>
      <c r="BE54">
        <v>8</v>
      </c>
      <c r="BF54">
        <v>36</v>
      </c>
      <c r="BG54">
        <v>14</v>
      </c>
      <c r="BH54">
        <v>0</v>
      </c>
      <c r="BI54">
        <v>0</v>
      </c>
      <c r="BJ54">
        <v>0</v>
      </c>
      <c r="BK54">
        <v>0</v>
      </c>
      <c r="BL54">
        <v>1003</v>
      </c>
      <c r="BM54">
        <v>0</v>
      </c>
      <c r="BN54">
        <v>2</v>
      </c>
      <c r="BO54">
        <v>0</v>
      </c>
      <c r="BP54">
        <v>3</v>
      </c>
      <c r="BQ54">
        <v>1</v>
      </c>
      <c r="BR54">
        <v>1</v>
      </c>
      <c r="BS54">
        <v>5</v>
      </c>
      <c r="BT54">
        <v>0</v>
      </c>
      <c r="BU54">
        <v>0</v>
      </c>
      <c r="BV54">
        <v>0</v>
      </c>
      <c r="BW54">
        <v>909</v>
      </c>
      <c r="BX54">
        <v>0</v>
      </c>
      <c r="BY54">
        <v>14</v>
      </c>
      <c r="BZ54">
        <v>18</v>
      </c>
      <c r="CA54">
        <v>2</v>
      </c>
      <c r="CB54">
        <v>34</v>
      </c>
      <c r="CC54">
        <v>8</v>
      </c>
      <c r="CD54">
        <v>0</v>
      </c>
      <c r="CE54">
        <v>0</v>
      </c>
      <c r="CF54">
        <v>24</v>
      </c>
      <c r="CG54">
        <v>0</v>
      </c>
      <c r="CH54">
        <v>815</v>
      </c>
      <c r="CI54">
        <v>20</v>
      </c>
      <c r="CJ54">
        <v>5</v>
      </c>
      <c r="CK54">
        <v>10</v>
      </c>
      <c r="CL54">
        <v>10</v>
      </c>
      <c r="CM54">
        <v>9</v>
      </c>
      <c r="CN54">
        <v>2</v>
      </c>
      <c r="CO54">
        <v>0</v>
      </c>
      <c r="CP54">
        <v>1</v>
      </c>
      <c r="CQ54">
        <v>1</v>
      </c>
      <c r="CR54">
        <v>0</v>
      </c>
      <c r="CS54">
        <v>945</v>
      </c>
      <c r="CT54">
        <v>0</v>
      </c>
      <c r="CU54">
        <v>0</v>
      </c>
      <c r="CV54">
        <v>0</v>
      </c>
      <c r="CW54">
        <v>0</v>
      </c>
      <c r="CX54">
        <v>2</v>
      </c>
      <c r="CY54">
        <v>2</v>
      </c>
      <c r="CZ54">
        <v>1</v>
      </c>
      <c r="DA54">
        <v>0</v>
      </c>
      <c r="DB54">
        <v>0</v>
      </c>
      <c r="DC54">
        <v>0</v>
      </c>
      <c r="DD54">
        <v>1023</v>
      </c>
      <c r="DE54">
        <v>0</v>
      </c>
      <c r="DF54">
        <v>0</v>
      </c>
      <c r="DG54">
        <v>1</v>
      </c>
      <c r="DH54">
        <v>0</v>
      </c>
      <c r="DI54">
        <v>0</v>
      </c>
      <c r="DJ54">
        <v>4</v>
      </c>
      <c r="DK54">
        <v>0</v>
      </c>
      <c r="DL54">
        <v>0</v>
      </c>
      <c r="DM54">
        <v>2</v>
      </c>
      <c r="DN54">
        <v>3</v>
      </c>
      <c r="DO54">
        <v>962</v>
      </c>
      <c r="DP54">
        <v>2</v>
      </c>
      <c r="DQ54">
        <v>5</v>
      </c>
      <c r="DR54">
        <v>1</v>
      </c>
      <c r="DS54">
        <v>0</v>
      </c>
      <c r="DT54">
        <v>2</v>
      </c>
      <c r="DU54">
        <v>1</v>
      </c>
      <c r="DV54">
        <v>0</v>
      </c>
      <c r="DW54">
        <v>1</v>
      </c>
      <c r="DX54">
        <v>6</v>
      </c>
      <c r="DY54">
        <v>2</v>
      </c>
      <c r="DZ54">
        <v>991</v>
      </c>
      <c r="EA54">
        <v>0.96299999999999997</v>
      </c>
      <c r="EB54">
        <v>0.96491603893253997</v>
      </c>
      <c r="EC54">
        <v>0.96250079483344997</v>
      </c>
      <c r="ED54">
        <v>0.96244054198886697</v>
      </c>
      <c r="EE54">
        <f>SUM(Table1[[#This Row],[ratio_0]:[ratio_9]])</f>
        <v>730</v>
      </c>
      <c r="EF54" s="1">
        <f>(Table1[[#This Row],[predicted_0]]-Table1[[#This Row],[actual_0]])/Table1[[#This Row],[actual_0]]</f>
        <v>3.8775510204081633E-2</v>
      </c>
      <c r="EG54" s="1">
        <f>(Table1[[#This Row],[predicted_1]]-Table1[[#This Row],[actual_1]])/Table1[[#This Row],[actual_1]]</f>
        <v>-4.4052863436123352E-3</v>
      </c>
      <c r="EH54" s="1">
        <f>(Table1[[#This Row],[predicted_2]]-Table1[[#This Row],[actual_2]])/Table1[[#This Row],[actual_2]]</f>
        <v>-0.14147286821705427</v>
      </c>
      <c r="EI54" s="1">
        <f>(Table1[[#This Row],[predicted_3]]-Table1[[#This Row],[actual_3]])/Table1[[#This Row],[actual_3]]</f>
        <v>0.1</v>
      </c>
      <c r="EJ54" s="1">
        <f>(Table1[[#This Row],[predicted_4]]-Table1[[#This Row],[actual_4]])/Table1[[#This Row],[actual_4]]</f>
        <v>-7.2301425661914456E-2</v>
      </c>
      <c r="EK54" s="1">
        <f>(Table1[[#This Row],[predicted_5]]-Table1[[#This Row],[actual_5]])/Table1[[#This Row],[actual_5]]</f>
        <v>-8.1838565022421525E-2</v>
      </c>
      <c r="EL54" s="1">
        <f>(Table1[[#This Row],[predicted_6]]-Table1[[#This Row],[actual_6]])/Table1[[#This Row],[actual_6]]</f>
        <v>4.2797494780793317E-2</v>
      </c>
      <c r="EM54" s="1">
        <f>(Table1[[#This Row],[predicted_7]]-Table1[[#This Row],[actual_7]])/Table1[[#This Row],[actual_7]]</f>
        <v>6.7120622568093383E-2</v>
      </c>
      <c r="EN54" s="1">
        <f>(Table1[[#This Row],[predicted_8]]-Table1[[#This Row],[actual_8]])/Table1[[#This Row],[actual_8]]</f>
        <v>1.7453798767967144E-2</v>
      </c>
      <c r="EO54" s="1">
        <f>(Table1[[#This Row],[predicted_9]]-Table1[[#This Row],[actual_9]])/Table1[[#This Row],[actual_9]]</f>
        <v>2.8741328047571853E-2</v>
      </c>
      <c r="EP54" s="1">
        <f>1+(Table1[[#This Row],[error_ratio_0]]-EF$2)</f>
        <v>1.036734693877551</v>
      </c>
      <c r="EQ54" s="1">
        <f>1+(Table1[[#This Row],[error_ratio_1]]-EG$2)</f>
        <v>0.99383259911894273</v>
      </c>
      <c r="ER54" s="1">
        <f>1+(Table1[[#This Row],[error_ratio_2]]-EH$2)</f>
        <v>0.86337209302325579</v>
      </c>
      <c r="ES54" s="1">
        <f>1+(Table1[[#This Row],[error_ratio_3]]-EI$2)</f>
        <v>1.0900990099009902</v>
      </c>
      <c r="ET54" s="1">
        <f>1+(Table1[[#This Row],[error_ratio_4]]-EJ$2)</f>
        <v>0.92668024439918528</v>
      </c>
      <c r="EU54" s="1">
        <f>1+(Table1[[#This Row],[error_ratio_5]]-EK$2)</f>
        <v>0.9170403587443946</v>
      </c>
      <c r="EV54" s="1">
        <f>1+(Table1[[#This Row],[error_ratio_6]]-EL$2)</f>
        <v>1.0490605427974948</v>
      </c>
      <c r="EW54" s="1">
        <f>1+(Table1[[#This Row],[error_ratio_7]]-EM$2)</f>
        <v>1.0651750972762646</v>
      </c>
      <c r="EX54" s="1">
        <f>1+(Table1[[#This Row],[error_ratio_8]]-EN$2)</f>
        <v>1.0205338809034907</v>
      </c>
      <c r="EY54" s="1">
        <f>1+(Table1[[#This Row],[error_ratio_9]]-EO$2)</f>
        <v>1.0327056491575817</v>
      </c>
    </row>
    <row r="55" spans="1:155" x14ac:dyDescent="0.75">
      <c r="A55">
        <v>10</v>
      </c>
      <c r="B55">
        <v>100</v>
      </c>
      <c r="C55">
        <v>10</v>
      </c>
      <c r="D55">
        <v>100</v>
      </c>
      <c r="E55">
        <v>10</v>
      </c>
      <c r="F55">
        <v>10</v>
      </c>
      <c r="G55">
        <v>100</v>
      </c>
      <c r="H55">
        <v>100</v>
      </c>
      <c r="I55">
        <v>100</v>
      </c>
      <c r="J55">
        <v>100</v>
      </c>
      <c r="K55">
        <v>967</v>
      </c>
      <c r="L55">
        <v>1149</v>
      </c>
      <c r="M55">
        <v>871</v>
      </c>
      <c r="N55">
        <v>1071</v>
      </c>
      <c r="O55">
        <v>904</v>
      </c>
      <c r="P55">
        <v>871</v>
      </c>
      <c r="Q55">
        <v>983</v>
      </c>
      <c r="R55">
        <v>1080</v>
      </c>
      <c r="S55">
        <v>1036</v>
      </c>
      <c r="T55">
        <v>1068</v>
      </c>
      <c r="U55">
        <v>980</v>
      </c>
      <c r="V55">
        <v>1135</v>
      </c>
      <c r="W55">
        <v>1032</v>
      </c>
      <c r="X55">
        <v>1010</v>
      </c>
      <c r="Y55">
        <v>982</v>
      </c>
      <c r="Z55">
        <v>892</v>
      </c>
      <c r="AA55">
        <v>958</v>
      </c>
      <c r="AB55">
        <v>1028</v>
      </c>
      <c r="AC55">
        <v>974</v>
      </c>
      <c r="AD55">
        <v>1009</v>
      </c>
      <c r="AE55">
        <v>951</v>
      </c>
      <c r="AF55">
        <v>0</v>
      </c>
      <c r="AG55">
        <v>0</v>
      </c>
      <c r="AH55">
        <v>0</v>
      </c>
      <c r="AI55">
        <v>0</v>
      </c>
      <c r="AJ55">
        <v>3</v>
      </c>
      <c r="AK55">
        <v>4</v>
      </c>
      <c r="AL55">
        <v>2</v>
      </c>
      <c r="AM55">
        <v>10</v>
      </c>
      <c r="AN55">
        <v>10</v>
      </c>
      <c r="AO55">
        <v>0</v>
      </c>
      <c r="AP55">
        <v>1125</v>
      </c>
      <c r="AQ55">
        <v>0</v>
      </c>
      <c r="AR55">
        <v>2</v>
      </c>
      <c r="AS55">
        <v>0</v>
      </c>
      <c r="AT55">
        <v>1</v>
      </c>
      <c r="AU55">
        <v>2</v>
      </c>
      <c r="AV55">
        <v>4</v>
      </c>
      <c r="AW55">
        <v>1</v>
      </c>
      <c r="AX55">
        <v>0</v>
      </c>
      <c r="AY55">
        <v>6</v>
      </c>
      <c r="AZ55">
        <v>20</v>
      </c>
      <c r="BA55">
        <v>870</v>
      </c>
      <c r="BB55">
        <v>56</v>
      </c>
      <c r="BC55">
        <v>0</v>
      </c>
      <c r="BD55">
        <v>0</v>
      </c>
      <c r="BE55">
        <v>7</v>
      </c>
      <c r="BF55">
        <v>42</v>
      </c>
      <c r="BG55">
        <v>25</v>
      </c>
      <c r="BH55">
        <v>6</v>
      </c>
      <c r="BI55">
        <v>0</v>
      </c>
      <c r="BJ55">
        <v>0</v>
      </c>
      <c r="BK55">
        <v>0</v>
      </c>
      <c r="BL55">
        <v>997</v>
      </c>
      <c r="BM55">
        <v>0</v>
      </c>
      <c r="BN55">
        <v>5</v>
      </c>
      <c r="BO55">
        <v>0</v>
      </c>
      <c r="BP55">
        <v>3</v>
      </c>
      <c r="BQ55">
        <v>4</v>
      </c>
      <c r="BR55">
        <v>1</v>
      </c>
      <c r="BS55">
        <v>4</v>
      </c>
      <c r="BT55">
        <v>0</v>
      </c>
      <c r="BU55">
        <v>0</v>
      </c>
      <c r="BV55">
        <v>0</v>
      </c>
      <c r="BW55">
        <v>903</v>
      </c>
      <c r="BX55">
        <v>0</v>
      </c>
      <c r="BY55">
        <v>20</v>
      </c>
      <c r="BZ55">
        <v>4</v>
      </c>
      <c r="CA55">
        <v>3</v>
      </c>
      <c r="CB55">
        <v>48</v>
      </c>
      <c r="CC55">
        <v>1</v>
      </c>
      <c r="CD55">
        <v>0</v>
      </c>
      <c r="CE55">
        <v>0</v>
      </c>
      <c r="CF55">
        <v>10</v>
      </c>
      <c r="CG55">
        <v>0</v>
      </c>
      <c r="CH55">
        <v>855</v>
      </c>
      <c r="CI55">
        <v>4</v>
      </c>
      <c r="CJ55">
        <v>1</v>
      </c>
      <c r="CK55">
        <v>17</v>
      </c>
      <c r="CL55">
        <v>4</v>
      </c>
      <c r="CM55">
        <v>5</v>
      </c>
      <c r="CN55">
        <v>2</v>
      </c>
      <c r="CO55">
        <v>0</v>
      </c>
      <c r="CP55">
        <v>1</v>
      </c>
      <c r="CQ55">
        <v>1</v>
      </c>
      <c r="CR55">
        <v>2</v>
      </c>
      <c r="CS55">
        <v>944</v>
      </c>
      <c r="CT55">
        <v>0</v>
      </c>
      <c r="CU55">
        <v>3</v>
      </c>
      <c r="CV55">
        <v>0</v>
      </c>
      <c r="CW55">
        <v>0</v>
      </c>
      <c r="CX55">
        <v>2</v>
      </c>
      <c r="CY55">
        <v>1</v>
      </c>
      <c r="CZ55">
        <v>0</v>
      </c>
      <c r="DA55">
        <v>0</v>
      </c>
      <c r="DB55">
        <v>0</v>
      </c>
      <c r="DC55">
        <v>0</v>
      </c>
      <c r="DD55">
        <v>1021</v>
      </c>
      <c r="DE55">
        <v>1</v>
      </c>
      <c r="DF55">
        <v>3</v>
      </c>
      <c r="DG55">
        <v>0</v>
      </c>
      <c r="DH55">
        <v>0</v>
      </c>
      <c r="DI55">
        <v>0</v>
      </c>
      <c r="DJ55">
        <v>0</v>
      </c>
      <c r="DK55">
        <v>0</v>
      </c>
      <c r="DL55">
        <v>0</v>
      </c>
      <c r="DM55">
        <v>1</v>
      </c>
      <c r="DN55">
        <v>2</v>
      </c>
      <c r="DO55">
        <v>970</v>
      </c>
      <c r="DP55">
        <v>1</v>
      </c>
      <c r="DQ55">
        <v>0</v>
      </c>
      <c r="DR55">
        <v>0</v>
      </c>
      <c r="DS55">
        <v>0</v>
      </c>
      <c r="DT55">
        <v>5</v>
      </c>
      <c r="DU55">
        <v>0</v>
      </c>
      <c r="DV55">
        <v>5</v>
      </c>
      <c r="DW55">
        <v>1</v>
      </c>
      <c r="DX55">
        <v>1</v>
      </c>
      <c r="DY55">
        <v>2</v>
      </c>
      <c r="DZ55">
        <v>995</v>
      </c>
      <c r="EA55">
        <v>0.96309999999999996</v>
      </c>
      <c r="EB55">
        <v>0.96464852390283695</v>
      </c>
      <c r="EC55">
        <v>0.96304166561696303</v>
      </c>
      <c r="ED55">
        <v>0.96267320730140005</v>
      </c>
      <c r="EE55">
        <f>SUM(Table1[[#This Row],[ratio_0]:[ratio_9]])</f>
        <v>640</v>
      </c>
      <c r="EF55" s="1">
        <f>(Table1[[#This Row],[predicted_0]]-Table1[[#This Row],[actual_0]])/Table1[[#This Row],[actual_0]]</f>
        <v>-1.3265306122448979E-2</v>
      </c>
      <c r="EG55" s="1">
        <f>(Table1[[#This Row],[predicted_1]]-Table1[[#This Row],[actual_1]])/Table1[[#This Row],[actual_1]]</f>
        <v>1.2334801762114538E-2</v>
      </c>
      <c r="EH55" s="1">
        <f>(Table1[[#This Row],[predicted_2]]-Table1[[#This Row],[actual_2]])/Table1[[#This Row],[actual_2]]</f>
        <v>-0.1560077519379845</v>
      </c>
      <c r="EI55" s="1">
        <f>(Table1[[#This Row],[predicted_3]]-Table1[[#This Row],[actual_3]])/Table1[[#This Row],[actual_3]]</f>
        <v>6.0396039603960394E-2</v>
      </c>
      <c r="EJ55" s="1">
        <f>(Table1[[#This Row],[predicted_4]]-Table1[[#This Row],[actual_4]])/Table1[[#This Row],[actual_4]]</f>
        <v>-7.9429735234215884E-2</v>
      </c>
      <c r="EK55" s="1">
        <f>(Table1[[#This Row],[predicted_5]]-Table1[[#This Row],[actual_5]])/Table1[[#This Row],[actual_5]]</f>
        <v>-2.3542600896860985E-2</v>
      </c>
      <c r="EL55" s="1">
        <f>(Table1[[#This Row],[predicted_6]]-Table1[[#This Row],[actual_6]])/Table1[[#This Row],[actual_6]]</f>
        <v>2.6096033402922755E-2</v>
      </c>
      <c r="EM55" s="1">
        <f>(Table1[[#This Row],[predicted_7]]-Table1[[#This Row],[actual_7]])/Table1[[#This Row],[actual_7]]</f>
        <v>5.0583657587548639E-2</v>
      </c>
      <c r="EN55" s="1">
        <f>(Table1[[#This Row],[predicted_8]]-Table1[[#This Row],[actual_8]])/Table1[[#This Row],[actual_8]]</f>
        <v>6.3655030800821355E-2</v>
      </c>
      <c r="EO55" s="1">
        <f>(Table1[[#This Row],[predicted_9]]-Table1[[#This Row],[actual_9]])/Table1[[#This Row],[actual_9]]</f>
        <v>5.8473736372646183E-2</v>
      </c>
      <c r="EP55" s="1">
        <f>1+(Table1[[#This Row],[error_ratio_0]]-EF$2)</f>
        <v>0.98469387755102045</v>
      </c>
      <c r="EQ55" s="1">
        <f>1+(Table1[[#This Row],[error_ratio_1]]-EG$2)</f>
        <v>1.0105726872246696</v>
      </c>
      <c r="ER55" s="1">
        <f>1+(Table1[[#This Row],[error_ratio_2]]-EH$2)</f>
        <v>0.84883720930232553</v>
      </c>
      <c r="ES55" s="1">
        <f>1+(Table1[[#This Row],[error_ratio_3]]-EI$2)</f>
        <v>1.0504950495049505</v>
      </c>
      <c r="ET55" s="1">
        <f>1+(Table1[[#This Row],[error_ratio_4]]-EJ$2)</f>
        <v>0.91955193482688391</v>
      </c>
      <c r="EU55" s="1">
        <f>1+(Table1[[#This Row],[error_ratio_5]]-EK$2)</f>
        <v>0.9753363228699552</v>
      </c>
      <c r="EV55" s="1">
        <f>1+(Table1[[#This Row],[error_ratio_6]]-EL$2)</f>
        <v>1.0323590814196242</v>
      </c>
      <c r="EW55" s="1">
        <f>1+(Table1[[#This Row],[error_ratio_7]]-EM$2)</f>
        <v>1.0486381322957199</v>
      </c>
      <c r="EX55" s="1">
        <f>1+(Table1[[#This Row],[error_ratio_8]]-EN$2)</f>
        <v>1.0667351129363449</v>
      </c>
      <c r="EY55" s="1">
        <f>1+(Table1[[#This Row],[error_ratio_9]]-EO$2)</f>
        <v>1.0624380574826562</v>
      </c>
    </row>
    <row r="56" spans="1:155" x14ac:dyDescent="0.75">
      <c r="A56">
        <v>100</v>
      </c>
      <c r="B56">
        <v>10</v>
      </c>
      <c r="C56">
        <v>10</v>
      </c>
      <c r="D56">
        <v>100</v>
      </c>
      <c r="E56">
        <v>10</v>
      </c>
      <c r="F56">
        <v>10</v>
      </c>
      <c r="G56">
        <v>100</v>
      </c>
      <c r="H56">
        <v>100</v>
      </c>
      <c r="I56">
        <v>100</v>
      </c>
      <c r="J56">
        <v>100</v>
      </c>
      <c r="K56">
        <v>1003</v>
      </c>
      <c r="L56">
        <v>1106</v>
      </c>
      <c r="M56">
        <v>980</v>
      </c>
      <c r="N56">
        <v>1056</v>
      </c>
      <c r="O56">
        <v>887</v>
      </c>
      <c r="P56">
        <v>815</v>
      </c>
      <c r="Q56">
        <v>987</v>
      </c>
      <c r="R56">
        <v>1054</v>
      </c>
      <c r="S56">
        <v>1033</v>
      </c>
      <c r="T56">
        <v>1079</v>
      </c>
      <c r="U56">
        <v>980</v>
      </c>
      <c r="V56">
        <v>1135</v>
      </c>
      <c r="W56">
        <v>1032</v>
      </c>
      <c r="X56">
        <v>1010</v>
      </c>
      <c r="Y56">
        <v>982</v>
      </c>
      <c r="Z56">
        <v>892</v>
      </c>
      <c r="AA56">
        <v>958</v>
      </c>
      <c r="AB56">
        <v>1028</v>
      </c>
      <c r="AC56">
        <v>974</v>
      </c>
      <c r="AD56">
        <v>1009</v>
      </c>
      <c r="AE56">
        <v>977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2</v>
      </c>
      <c r="AM56">
        <v>1</v>
      </c>
      <c r="AN56">
        <v>0</v>
      </c>
      <c r="AO56">
        <v>0</v>
      </c>
      <c r="AP56">
        <v>1104</v>
      </c>
      <c r="AQ56">
        <v>5</v>
      </c>
      <c r="AR56">
        <v>6</v>
      </c>
      <c r="AS56">
        <v>0</v>
      </c>
      <c r="AT56">
        <v>1</v>
      </c>
      <c r="AU56">
        <v>4</v>
      </c>
      <c r="AV56">
        <v>1</v>
      </c>
      <c r="AW56">
        <v>12</v>
      </c>
      <c r="AX56">
        <v>2</v>
      </c>
      <c r="AY56">
        <v>8</v>
      </c>
      <c r="AZ56">
        <v>1</v>
      </c>
      <c r="BA56">
        <v>968</v>
      </c>
      <c r="BB56">
        <v>5</v>
      </c>
      <c r="BC56">
        <v>1</v>
      </c>
      <c r="BD56">
        <v>0</v>
      </c>
      <c r="BE56">
        <v>7</v>
      </c>
      <c r="BF56">
        <v>23</v>
      </c>
      <c r="BG56">
        <v>19</v>
      </c>
      <c r="BH56">
        <v>0</v>
      </c>
      <c r="BI56">
        <v>0</v>
      </c>
      <c r="BJ56">
        <v>0</v>
      </c>
      <c r="BK56">
        <v>1</v>
      </c>
      <c r="BL56">
        <v>1004</v>
      </c>
      <c r="BM56">
        <v>0</v>
      </c>
      <c r="BN56">
        <v>1</v>
      </c>
      <c r="BO56">
        <v>0</v>
      </c>
      <c r="BP56">
        <v>3</v>
      </c>
      <c r="BQ56">
        <v>0</v>
      </c>
      <c r="BR56">
        <v>1</v>
      </c>
      <c r="BS56">
        <v>1</v>
      </c>
      <c r="BT56">
        <v>0</v>
      </c>
      <c r="BU56">
        <v>2</v>
      </c>
      <c r="BV56">
        <v>0</v>
      </c>
      <c r="BW56">
        <v>884</v>
      </c>
      <c r="BX56">
        <v>0</v>
      </c>
      <c r="BY56">
        <v>16</v>
      </c>
      <c r="BZ56">
        <v>6</v>
      </c>
      <c r="CA56">
        <v>11</v>
      </c>
      <c r="CB56">
        <v>62</v>
      </c>
      <c r="CC56">
        <v>6</v>
      </c>
      <c r="CD56">
        <v>0</v>
      </c>
      <c r="CE56">
        <v>0</v>
      </c>
      <c r="CF56">
        <v>39</v>
      </c>
      <c r="CG56">
        <v>0</v>
      </c>
      <c r="CH56">
        <v>811</v>
      </c>
      <c r="CI56">
        <v>11</v>
      </c>
      <c r="CJ56">
        <v>1</v>
      </c>
      <c r="CK56">
        <v>19</v>
      </c>
      <c r="CL56">
        <v>5</v>
      </c>
      <c r="CM56">
        <v>7</v>
      </c>
      <c r="CN56">
        <v>1</v>
      </c>
      <c r="CO56">
        <v>0</v>
      </c>
      <c r="CP56">
        <v>0</v>
      </c>
      <c r="CQ56">
        <v>1</v>
      </c>
      <c r="CR56">
        <v>1</v>
      </c>
      <c r="CS56">
        <v>947</v>
      </c>
      <c r="CT56">
        <v>0</v>
      </c>
      <c r="CU56">
        <v>1</v>
      </c>
      <c r="CV56">
        <v>0</v>
      </c>
      <c r="CW56">
        <v>0</v>
      </c>
      <c r="CX56">
        <v>0</v>
      </c>
      <c r="CY56">
        <v>3</v>
      </c>
      <c r="CZ56">
        <v>1</v>
      </c>
      <c r="DA56">
        <v>0</v>
      </c>
      <c r="DB56">
        <v>0</v>
      </c>
      <c r="DC56">
        <v>0</v>
      </c>
      <c r="DD56">
        <v>1014</v>
      </c>
      <c r="DE56">
        <v>3</v>
      </c>
      <c r="DF56">
        <v>7</v>
      </c>
      <c r="DG56">
        <v>3</v>
      </c>
      <c r="DH56">
        <v>0</v>
      </c>
      <c r="DI56">
        <v>1</v>
      </c>
      <c r="DJ56">
        <v>0</v>
      </c>
      <c r="DK56">
        <v>0</v>
      </c>
      <c r="DL56">
        <v>0</v>
      </c>
      <c r="DM56">
        <v>1</v>
      </c>
      <c r="DN56">
        <v>2</v>
      </c>
      <c r="DO56">
        <v>963</v>
      </c>
      <c r="DP56">
        <v>4</v>
      </c>
      <c r="DQ56">
        <v>1</v>
      </c>
      <c r="DR56">
        <v>0</v>
      </c>
      <c r="DS56">
        <v>0</v>
      </c>
      <c r="DT56">
        <v>1</v>
      </c>
      <c r="DU56">
        <v>1</v>
      </c>
      <c r="DV56">
        <v>1</v>
      </c>
      <c r="DW56">
        <v>1</v>
      </c>
      <c r="DX56">
        <v>2</v>
      </c>
      <c r="DY56">
        <v>4</v>
      </c>
      <c r="DZ56">
        <v>998</v>
      </c>
      <c r="EA56">
        <v>0.96699999999999997</v>
      </c>
      <c r="EB56">
        <v>0.96811811468754005</v>
      </c>
      <c r="EC56">
        <v>0.96637699440547797</v>
      </c>
      <c r="ED56">
        <v>0.96643909110117199</v>
      </c>
      <c r="EE56">
        <f>SUM(Table1[[#This Row],[ratio_0]:[ratio_9]])</f>
        <v>640</v>
      </c>
      <c r="EF56" s="1">
        <f>(Table1[[#This Row],[predicted_0]]-Table1[[#This Row],[actual_0]])/Table1[[#This Row],[actual_0]]</f>
        <v>2.3469387755102041E-2</v>
      </c>
      <c r="EG56" s="1">
        <f>(Table1[[#This Row],[predicted_1]]-Table1[[#This Row],[actual_1]])/Table1[[#This Row],[actual_1]]</f>
        <v>-2.5550660792951541E-2</v>
      </c>
      <c r="EH56" s="1">
        <f>(Table1[[#This Row],[predicted_2]]-Table1[[#This Row],[actual_2]])/Table1[[#This Row],[actual_2]]</f>
        <v>-5.0387596899224806E-2</v>
      </c>
      <c r="EI56" s="1">
        <f>(Table1[[#This Row],[predicted_3]]-Table1[[#This Row],[actual_3]])/Table1[[#This Row],[actual_3]]</f>
        <v>4.5544554455445543E-2</v>
      </c>
      <c r="EJ56" s="1">
        <f>(Table1[[#This Row],[predicted_4]]-Table1[[#This Row],[actual_4]])/Table1[[#This Row],[actual_4]]</f>
        <v>-9.6741344195519344E-2</v>
      </c>
      <c r="EK56" s="1">
        <f>(Table1[[#This Row],[predicted_5]]-Table1[[#This Row],[actual_5]])/Table1[[#This Row],[actual_5]]</f>
        <v>-8.632286995515695E-2</v>
      </c>
      <c r="EL56" s="1">
        <f>(Table1[[#This Row],[predicted_6]]-Table1[[#This Row],[actual_6]])/Table1[[#This Row],[actual_6]]</f>
        <v>3.0271398747390398E-2</v>
      </c>
      <c r="EM56" s="1">
        <f>(Table1[[#This Row],[predicted_7]]-Table1[[#This Row],[actual_7]])/Table1[[#This Row],[actual_7]]</f>
        <v>2.5291828793774319E-2</v>
      </c>
      <c r="EN56" s="1">
        <f>(Table1[[#This Row],[predicted_8]]-Table1[[#This Row],[actual_8]])/Table1[[#This Row],[actual_8]]</f>
        <v>6.0574948665297744E-2</v>
      </c>
      <c r="EO56" s="1">
        <f>(Table1[[#This Row],[predicted_9]]-Table1[[#This Row],[actual_9]])/Table1[[#This Row],[actual_9]]</f>
        <v>6.9375619425173438E-2</v>
      </c>
      <c r="EP56" s="1">
        <f>1+(Table1[[#This Row],[error_ratio_0]]-EF$2)</f>
        <v>1.0214285714285714</v>
      </c>
      <c r="EQ56" s="1">
        <f>1+(Table1[[#This Row],[error_ratio_1]]-EG$2)</f>
        <v>0.97268722466960356</v>
      </c>
      <c r="ER56" s="1">
        <f>1+(Table1[[#This Row],[error_ratio_2]]-EH$2)</f>
        <v>0.9544573643410853</v>
      </c>
      <c r="ES56" s="1">
        <f>1+(Table1[[#This Row],[error_ratio_3]]-EI$2)</f>
        <v>1.0356435643564357</v>
      </c>
      <c r="ET56" s="1">
        <f>1+(Table1[[#This Row],[error_ratio_4]]-EJ$2)</f>
        <v>0.90224032586558045</v>
      </c>
      <c r="EU56" s="1">
        <f>1+(Table1[[#This Row],[error_ratio_5]]-EK$2)</f>
        <v>0.91255605381165916</v>
      </c>
      <c r="EV56" s="1">
        <f>1+(Table1[[#This Row],[error_ratio_6]]-EL$2)</f>
        <v>1.0365344467640918</v>
      </c>
      <c r="EW56" s="1">
        <f>1+(Table1[[#This Row],[error_ratio_7]]-EM$2)</f>
        <v>1.0233463035019454</v>
      </c>
      <c r="EX56" s="1">
        <f>1+(Table1[[#This Row],[error_ratio_8]]-EN$2)</f>
        <v>1.0636550308008212</v>
      </c>
      <c r="EY56" s="1">
        <f>1+(Table1[[#This Row],[error_ratio_9]]-EO$2)</f>
        <v>1.0733399405351833</v>
      </c>
    </row>
    <row r="57" spans="1:155" x14ac:dyDescent="0.75">
      <c r="A57">
        <v>10</v>
      </c>
      <c r="B57">
        <v>10</v>
      </c>
      <c r="C57">
        <v>10</v>
      </c>
      <c r="D57">
        <v>100</v>
      </c>
      <c r="E57">
        <v>10</v>
      </c>
      <c r="F57">
        <v>10</v>
      </c>
      <c r="G57">
        <v>100</v>
      </c>
      <c r="H57">
        <v>100</v>
      </c>
      <c r="I57">
        <v>100</v>
      </c>
      <c r="J57">
        <v>100</v>
      </c>
      <c r="K57">
        <v>929</v>
      </c>
      <c r="L57">
        <v>1119</v>
      </c>
      <c r="M57">
        <v>998</v>
      </c>
      <c r="N57">
        <v>1012</v>
      </c>
      <c r="O57">
        <v>920</v>
      </c>
      <c r="P57">
        <v>853</v>
      </c>
      <c r="Q57">
        <v>1037</v>
      </c>
      <c r="R57">
        <v>1023</v>
      </c>
      <c r="S57">
        <v>1024</v>
      </c>
      <c r="T57">
        <v>1085</v>
      </c>
      <c r="U57">
        <v>980</v>
      </c>
      <c r="V57">
        <v>1135</v>
      </c>
      <c r="W57">
        <v>1032</v>
      </c>
      <c r="X57">
        <v>1010</v>
      </c>
      <c r="Y57">
        <v>982</v>
      </c>
      <c r="Z57">
        <v>892</v>
      </c>
      <c r="AA57">
        <v>958</v>
      </c>
      <c r="AB57">
        <v>1028</v>
      </c>
      <c r="AC57">
        <v>974</v>
      </c>
      <c r="AD57">
        <v>1009</v>
      </c>
      <c r="AE57">
        <v>924</v>
      </c>
      <c r="AF57">
        <v>0</v>
      </c>
      <c r="AG57">
        <v>1</v>
      </c>
      <c r="AH57">
        <v>0</v>
      </c>
      <c r="AI57">
        <v>0</v>
      </c>
      <c r="AJ57">
        <v>0</v>
      </c>
      <c r="AK57">
        <v>34</v>
      </c>
      <c r="AL57">
        <v>4</v>
      </c>
      <c r="AM57">
        <v>10</v>
      </c>
      <c r="AN57">
        <v>7</v>
      </c>
      <c r="AO57">
        <v>0</v>
      </c>
      <c r="AP57">
        <v>1111</v>
      </c>
      <c r="AQ57">
        <v>2</v>
      </c>
      <c r="AR57">
        <v>2</v>
      </c>
      <c r="AS57">
        <v>0</v>
      </c>
      <c r="AT57">
        <v>1</v>
      </c>
      <c r="AU57">
        <v>5</v>
      </c>
      <c r="AV57">
        <v>0</v>
      </c>
      <c r="AW57">
        <v>11</v>
      </c>
      <c r="AX57">
        <v>3</v>
      </c>
      <c r="AY57">
        <v>2</v>
      </c>
      <c r="AZ57">
        <v>1</v>
      </c>
      <c r="BA57">
        <v>980</v>
      </c>
      <c r="BB57">
        <v>3</v>
      </c>
      <c r="BC57">
        <v>2</v>
      </c>
      <c r="BD57">
        <v>0</v>
      </c>
      <c r="BE57">
        <v>5</v>
      </c>
      <c r="BF57">
        <v>14</v>
      </c>
      <c r="BG57">
        <v>22</v>
      </c>
      <c r="BH57">
        <v>3</v>
      </c>
      <c r="BI57">
        <v>0</v>
      </c>
      <c r="BJ57">
        <v>0</v>
      </c>
      <c r="BK57">
        <v>5</v>
      </c>
      <c r="BL57">
        <v>990</v>
      </c>
      <c r="BM57">
        <v>0</v>
      </c>
      <c r="BN57">
        <v>6</v>
      </c>
      <c r="BO57">
        <v>0</v>
      </c>
      <c r="BP57">
        <v>1</v>
      </c>
      <c r="BQ57">
        <v>3</v>
      </c>
      <c r="BR57">
        <v>5</v>
      </c>
      <c r="BS57">
        <v>0</v>
      </c>
      <c r="BT57">
        <v>0</v>
      </c>
      <c r="BU57">
        <v>1</v>
      </c>
      <c r="BV57">
        <v>0</v>
      </c>
      <c r="BW57">
        <v>917</v>
      </c>
      <c r="BX57">
        <v>0</v>
      </c>
      <c r="BY57">
        <v>13</v>
      </c>
      <c r="BZ57">
        <v>1</v>
      </c>
      <c r="CA57">
        <v>3</v>
      </c>
      <c r="CB57">
        <v>47</v>
      </c>
      <c r="CC57">
        <v>2</v>
      </c>
      <c r="CD57">
        <v>0</v>
      </c>
      <c r="CE57">
        <v>1</v>
      </c>
      <c r="CF57">
        <v>15</v>
      </c>
      <c r="CG57">
        <v>0</v>
      </c>
      <c r="CH57">
        <v>842</v>
      </c>
      <c r="CI57">
        <v>24</v>
      </c>
      <c r="CJ57">
        <v>1</v>
      </c>
      <c r="CK57">
        <v>5</v>
      </c>
      <c r="CL57">
        <v>2</v>
      </c>
      <c r="CM57">
        <v>0</v>
      </c>
      <c r="CN57">
        <v>2</v>
      </c>
      <c r="CO57">
        <v>0</v>
      </c>
      <c r="CP57">
        <v>0</v>
      </c>
      <c r="CQ57">
        <v>1</v>
      </c>
      <c r="CR57">
        <v>1</v>
      </c>
      <c r="CS57">
        <v>954</v>
      </c>
      <c r="CT57">
        <v>0</v>
      </c>
      <c r="CU57">
        <v>0</v>
      </c>
      <c r="CV57">
        <v>0</v>
      </c>
      <c r="CW57">
        <v>0</v>
      </c>
      <c r="CX57">
        <v>4</v>
      </c>
      <c r="CY57">
        <v>8</v>
      </c>
      <c r="CZ57">
        <v>1</v>
      </c>
      <c r="DA57">
        <v>0</v>
      </c>
      <c r="DB57">
        <v>0</v>
      </c>
      <c r="DC57">
        <v>0</v>
      </c>
      <c r="DD57">
        <v>997</v>
      </c>
      <c r="DE57">
        <v>2</v>
      </c>
      <c r="DF57">
        <v>16</v>
      </c>
      <c r="DG57">
        <v>1</v>
      </c>
      <c r="DH57">
        <v>0</v>
      </c>
      <c r="DI57">
        <v>0</v>
      </c>
      <c r="DJ57">
        <v>0</v>
      </c>
      <c r="DK57">
        <v>0</v>
      </c>
      <c r="DL57">
        <v>1</v>
      </c>
      <c r="DM57">
        <v>2</v>
      </c>
      <c r="DN57">
        <v>2</v>
      </c>
      <c r="DO57">
        <v>967</v>
      </c>
      <c r="DP57">
        <v>1</v>
      </c>
      <c r="DQ57">
        <v>0</v>
      </c>
      <c r="DR57">
        <v>1</v>
      </c>
      <c r="DS57">
        <v>0</v>
      </c>
      <c r="DT57">
        <v>1</v>
      </c>
      <c r="DU57">
        <v>0</v>
      </c>
      <c r="DV57">
        <v>2</v>
      </c>
      <c r="DW57">
        <v>0</v>
      </c>
      <c r="DX57">
        <v>3</v>
      </c>
      <c r="DY57">
        <v>1</v>
      </c>
      <c r="DZ57">
        <v>1001</v>
      </c>
      <c r="EA57">
        <v>0.96830000000000005</v>
      </c>
      <c r="EB57">
        <v>0.96929994588552204</v>
      </c>
      <c r="EC57">
        <v>0.96798304257187895</v>
      </c>
      <c r="ED57">
        <v>0.96805185536666305</v>
      </c>
      <c r="EE57">
        <f>SUM(Table1[[#This Row],[ratio_0]:[ratio_9]])</f>
        <v>550</v>
      </c>
      <c r="EF57" s="1">
        <f>(Table1[[#This Row],[predicted_0]]-Table1[[#This Row],[actual_0]])/Table1[[#This Row],[actual_0]]</f>
        <v>-5.2040816326530612E-2</v>
      </c>
      <c r="EG57" s="1">
        <f>(Table1[[#This Row],[predicted_1]]-Table1[[#This Row],[actual_1]])/Table1[[#This Row],[actual_1]]</f>
        <v>-1.4096916299559472E-2</v>
      </c>
      <c r="EH57" s="1">
        <f>(Table1[[#This Row],[predicted_2]]-Table1[[#This Row],[actual_2]])/Table1[[#This Row],[actual_2]]</f>
        <v>-3.294573643410853E-2</v>
      </c>
      <c r="EI57" s="1">
        <f>(Table1[[#This Row],[predicted_3]]-Table1[[#This Row],[actual_3]])/Table1[[#This Row],[actual_3]]</f>
        <v>1.9801980198019802E-3</v>
      </c>
      <c r="EJ57" s="1">
        <f>(Table1[[#This Row],[predicted_4]]-Table1[[#This Row],[actual_4]])/Table1[[#This Row],[actual_4]]</f>
        <v>-6.313645621181263E-2</v>
      </c>
      <c r="EK57" s="1">
        <f>(Table1[[#This Row],[predicted_5]]-Table1[[#This Row],[actual_5]])/Table1[[#This Row],[actual_5]]</f>
        <v>-4.3721973094170405E-2</v>
      </c>
      <c r="EL57" s="1">
        <f>(Table1[[#This Row],[predicted_6]]-Table1[[#This Row],[actual_6]])/Table1[[#This Row],[actual_6]]</f>
        <v>8.2463465553235901E-2</v>
      </c>
      <c r="EM57" s="1">
        <f>(Table1[[#This Row],[predicted_7]]-Table1[[#This Row],[actual_7]])/Table1[[#This Row],[actual_7]]</f>
        <v>-4.8638132295719845E-3</v>
      </c>
      <c r="EN57" s="1">
        <f>(Table1[[#This Row],[predicted_8]]-Table1[[#This Row],[actual_8]])/Table1[[#This Row],[actual_8]]</f>
        <v>5.1334702258726897E-2</v>
      </c>
      <c r="EO57" s="1">
        <f>(Table1[[#This Row],[predicted_9]]-Table1[[#This Row],[actual_9]])/Table1[[#This Row],[actual_9]]</f>
        <v>7.5322101090188304E-2</v>
      </c>
      <c r="EP57" s="1">
        <f>1+(Table1[[#This Row],[error_ratio_0]]-EF$2)</f>
        <v>0.94591836734693879</v>
      </c>
      <c r="EQ57" s="1">
        <f>1+(Table1[[#This Row],[error_ratio_1]]-EG$2)</f>
        <v>0.98414096916299565</v>
      </c>
      <c r="ER57" s="1">
        <f>1+(Table1[[#This Row],[error_ratio_2]]-EH$2)</f>
        <v>0.9718992248062015</v>
      </c>
      <c r="ES57" s="1">
        <f>1+(Table1[[#This Row],[error_ratio_3]]-EI$2)</f>
        <v>0.99207920792079207</v>
      </c>
      <c r="ET57" s="1">
        <f>1+(Table1[[#This Row],[error_ratio_4]]-EJ$2)</f>
        <v>0.93584521384928721</v>
      </c>
      <c r="EU57" s="1">
        <f>1+(Table1[[#This Row],[error_ratio_5]]-EK$2)</f>
        <v>0.95515695067264572</v>
      </c>
      <c r="EV57" s="1">
        <f>1+(Table1[[#This Row],[error_ratio_6]]-EL$2)</f>
        <v>1.0887265135699373</v>
      </c>
      <c r="EW57" s="1">
        <f>1+(Table1[[#This Row],[error_ratio_7]]-EM$2)</f>
        <v>0.99319066147859925</v>
      </c>
      <c r="EX57" s="1">
        <f>1+(Table1[[#This Row],[error_ratio_8]]-EN$2)</f>
        <v>1.0544147843942504</v>
      </c>
      <c r="EY57" s="1">
        <f>1+(Table1[[#This Row],[error_ratio_9]]-EO$2)</f>
        <v>1.0792864222001981</v>
      </c>
    </row>
    <row r="58" spans="1:155" x14ac:dyDescent="0.75">
      <c r="A58">
        <v>100</v>
      </c>
      <c r="B58">
        <v>100</v>
      </c>
      <c r="C58">
        <v>100</v>
      </c>
      <c r="D58">
        <v>10</v>
      </c>
      <c r="E58">
        <v>10</v>
      </c>
      <c r="F58">
        <v>10</v>
      </c>
      <c r="G58">
        <v>100</v>
      </c>
      <c r="H58">
        <v>100</v>
      </c>
      <c r="I58">
        <v>100</v>
      </c>
      <c r="J58">
        <v>100</v>
      </c>
      <c r="K58">
        <v>1011</v>
      </c>
      <c r="L58">
        <v>1139</v>
      </c>
      <c r="M58">
        <v>1098</v>
      </c>
      <c r="N58">
        <v>949</v>
      </c>
      <c r="O58">
        <v>921</v>
      </c>
      <c r="P58">
        <v>849</v>
      </c>
      <c r="Q58">
        <v>965</v>
      </c>
      <c r="R58">
        <v>1027</v>
      </c>
      <c r="S58">
        <v>986</v>
      </c>
      <c r="T58">
        <v>1055</v>
      </c>
      <c r="U58">
        <v>980</v>
      </c>
      <c r="V58">
        <v>1135</v>
      </c>
      <c r="W58">
        <v>1032</v>
      </c>
      <c r="X58">
        <v>1010</v>
      </c>
      <c r="Y58">
        <v>982</v>
      </c>
      <c r="Z58">
        <v>892</v>
      </c>
      <c r="AA58">
        <v>958</v>
      </c>
      <c r="AB58">
        <v>1028</v>
      </c>
      <c r="AC58">
        <v>974</v>
      </c>
      <c r="AD58">
        <v>1009</v>
      </c>
      <c r="AE58">
        <v>976</v>
      </c>
      <c r="AF58">
        <v>1</v>
      </c>
      <c r="AG58">
        <v>0</v>
      </c>
      <c r="AH58">
        <v>0</v>
      </c>
      <c r="AI58">
        <v>0</v>
      </c>
      <c r="AJ58">
        <v>0</v>
      </c>
      <c r="AK58">
        <v>1</v>
      </c>
      <c r="AL58">
        <v>2</v>
      </c>
      <c r="AM58">
        <v>0</v>
      </c>
      <c r="AN58">
        <v>0</v>
      </c>
      <c r="AO58">
        <v>0</v>
      </c>
      <c r="AP58">
        <v>1131</v>
      </c>
      <c r="AQ58">
        <v>2</v>
      </c>
      <c r="AR58">
        <v>0</v>
      </c>
      <c r="AS58">
        <v>0</v>
      </c>
      <c r="AT58">
        <v>0</v>
      </c>
      <c r="AU58">
        <v>1</v>
      </c>
      <c r="AV58">
        <v>1</v>
      </c>
      <c r="AW58">
        <v>0</v>
      </c>
      <c r="AX58">
        <v>0</v>
      </c>
      <c r="AY58">
        <v>1</v>
      </c>
      <c r="AZ58">
        <v>1</v>
      </c>
      <c r="BA58">
        <v>1027</v>
      </c>
      <c r="BB58">
        <v>0</v>
      </c>
      <c r="BC58">
        <v>0</v>
      </c>
      <c r="BD58">
        <v>0</v>
      </c>
      <c r="BE58">
        <v>1</v>
      </c>
      <c r="BF58">
        <v>1</v>
      </c>
      <c r="BG58">
        <v>1</v>
      </c>
      <c r="BH58">
        <v>0</v>
      </c>
      <c r="BI58">
        <v>10</v>
      </c>
      <c r="BJ58">
        <v>0</v>
      </c>
      <c r="BK58">
        <v>32</v>
      </c>
      <c r="BL58">
        <v>936</v>
      </c>
      <c r="BM58">
        <v>0</v>
      </c>
      <c r="BN58">
        <v>8</v>
      </c>
      <c r="BO58">
        <v>0</v>
      </c>
      <c r="BP58">
        <v>7</v>
      </c>
      <c r="BQ58">
        <v>11</v>
      </c>
      <c r="BR58">
        <v>6</v>
      </c>
      <c r="BS58">
        <v>2</v>
      </c>
      <c r="BT58">
        <v>1</v>
      </c>
      <c r="BU58">
        <v>6</v>
      </c>
      <c r="BV58">
        <v>0</v>
      </c>
      <c r="BW58">
        <v>920</v>
      </c>
      <c r="BX58">
        <v>0</v>
      </c>
      <c r="BY58">
        <v>10</v>
      </c>
      <c r="BZ58">
        <v>2</v>
      </c>
      <c r="CA58">
        <v>3</v>
      </c>
      <c r="CB58">
        <v>38</v>
      </c>
      <c r="CC58">
        <v>10</v>
      </c>
      <c r="CD58">
        <v>1</v>
      </c>
      <c r="CE58">
        <v>2</v>
      </c>
      <c r="CF58">
        <v>12</v>
      </c>
      <c r="CG58">
        <v>0</v>
      </c>
      <c r="CH58">
        <v>838</v>
      </c>
      <c r="CI58">
        <v>8</v>
      </c>
      <c r="CJ58">
        <v>4</v>
      </c>
      <c r="CK58">
        <v>11</v>
      </c>
      <c r="CL58">
        <v>6</v>
      </c>
      <c r="CM58">
        <v>7</v>
      </c>
      <c r="CN58">
        <v>2</v>
      </c>
      <c r="CO58">
        <v>3</v>
      </c>
      <c r="CP58">
        <v>0</v>
      </c>
      <c r="CQ58">
        <v>1</v>
      </c>
      <c r="CR58">
        <v>1</v>
      </c>
      <c r="CS58">
        <v>943</v>
      </c>
      <c r="CT58">
        <v>0</v>
      </c>
      <c r="CU58">
        <v>1</v>
      </c>
      <c r="CV58">
        <v>0</v>
      </c>
      <c r="CW58">
        <v>0</v>
      </c>
      <c r="CX58">
        <v>2</v>
      </c>
      <c r="CY58">
        <v>17</v>
      </c>
      <c r="CZ58">
        <v>0</v>
      </c>
      <c r="DA58">
        <v>0</v>
      </c>
      <c r="DB58">
        <v>0</v>
      </c>
      <c r="DC58">
        <v>0</v>
      </c>
      <c r="DD58">
        <v>1003</v>
      </c>
      <c r="DE58">
        <v>0</v>
      </c>
      <c r="DF58">
        <v>6</v>
      </c>
      <c r="DG58">
        <v>2</v>
      </c>
      <c r="DH58">
        <v>0</v>
      </c>
      <c r="DI58">
        <v>8</v>
      </c>
      <c r="DJ58">
        <v>0</v>
      </c>
      <c r="DK58">
        <v>0</v>
      </c>
      <c r="DL58">
        <v>0</v>
      </c>
      <c r="DM58">
        <v>1</v>
      </c>
      <c r="DN58">
        <v>3</v>
      </c>
      <c r="DO58">
        <v>955</v>
      </c>
      <c r="DP58">
        <v>5</v>
      </c>
      <c r="DQ58">
        <v>3</v>
      </c>
      <c r="DR58">
        <v>0</v>
      </c>
      <c r="DS58">
        <v>1</v>
      </c>
      <c r="DT58">
        <v>1</v>
      </c>
      <c r="DU58">
        <v>0</v>
      </c>
      <c r="DV58">
        <v>2</v>
      </c>
      <c r="DW58">
        <v>0</v>
      </c>
      <c r="DX58">
        <v>4</v>
      </c>
      <c r="DY58">
        <v>4</v>
      </c>
      <c r="DZ58">
        <v>994</v>
      </c>
      <c r="EA58">
        <v>0.97230000000000005</v>
      </c>
      <c r="EB58">
        <v>0.97305262256369496</v>
      </c>
      <c r="EC58">
        <v>0.97162572002848502</v>
      </c>
      <c r="ED58">
        <v>0.97191861947368496</v>
      </c>
      <c r="EE58">
        <f>SUM(Table1[[#This Row],[ratio_0]:[ratio_9]])</f>
        <v>730</v>
      </c>
      <c r="EF58" s="1">
        <f>(Table1[[#This Row],[predicted_0]]-Table1[[#This Row],[actual_0]])/Table1[[#This Row],[actual_0]]</f>
        <v>3.1632653061224487E-2</v>
      </c>
      <c r="EG58" s="1">
        <f>(Table1[[#This Row],[predicted_1]]-Table1[[#This Row],[actual_1]])/Table1[[#This Row],[actual_1]]</f>
        <v>3.524229074889868E-3</v>
      </c>
      <c r="EH58" s="1">
        <f>(Table1[[#This Row],[predicted_2]]-Table1[[#This Row],[actual_2]])/Table1[[#This Row],[actual_2]]</f>
        <v>6.3953488372093026E-2</v>
      </c>
      <c r="EI58" s="1">
        <f>(Table1[[#This Row],[predicted_3]]-Table1[[#This Row],[actual_3]])/Table1[[#This Row],[actual_3]]</f>
        <v>-6.0396039603960394E-2</v>
      </c>
      <c r="EJ58" s="1">
        <f>(Table1[[#This Row],[predicted_4]]-Table1[[#This Row],[actual_4]])/Table1[[#This Row],[actual_4]]</f>
        <v>-6.2118126272912425E-2</v>
      </c>
      <c r="EK58" s="1">
        <f>(Table1[[#This Row],[predicted_5]]-Table1[[#This Row],[actual_5]])/Table1[[#This Row],[actual_5]]</f>
        <v>-4.820627802690583E-2</v>
      </c>
      <c r="EL58" s="1">
        <f>(Table1[[#This Row],[predicted_6]]-Table1[[#This Row],[actual_6]])/Table1[[#This Row],[actual_6]]</f>
        <v>7.3068893528183713E-3</v>
      </c>
      <c r="EM58" s="1">
        <f>(Table1[[#This Row],[predicted_7]]-Table1[[#This Row],[actual_7]])/Table1[[#This Row],[actual_7]]</f>
        <v>-9.727626459143969E-4</v>
      </c>
      <c r="EN58" s="1">
        <f>(Table1[[#This Row],[predicted_8]]-Table1[[#This Row],[actual_8]])/Table1[[#This Row],[actual_8]]</f>
        <v>1.2320328542094456E-2</v>
      </c>
      <c r="EO58" s="1">
        <f>(Table1[[#This Row],[predicted_9]]-Table1[[#This Row],[actual_9]])/Table1[[#This Row],[actual_9]]</f>
        <v>4.5589692765113973E-2</v>
      </c>
      <c r="EP58" s="1">
        <f>1+(Table1[[#This Row],[error_ratio_0]]-EF$2)</f>
        <v>1.0295918367346939</v>
      </c>
      <c r="EQ58" s="1">
        <f>1+(Table1[[#This Row],[error_ratio_1]]-EG$2)</f>
        <v>1.0017621145374449</v>
      </c>
      <c r="ER58" s="1">
        <f>1+(Table1[[#This Row],[error_ratio_2]]-EH$2)</f>
        <v>1.068798449612403</v>
      </c>
      <c r="ES58" s="1">
        <f>1+(Table1[[#This Row],[error_ratio_3]]-EI$2)</f>
        <v>0.92970297029702975</v>
      </c>
      <c r="ET58" s="1">
        <f>1+(Table1[[#This Row],[error_ratio_4]]-EJ$2)</f>
        <v>0.93686354378818737</v>
      </c>
      <c r="EU58" s="1">
        <f>1+(Table1[[#This Row],[error_ratio_5]]-EK$2)</f>
        <v>0.95067264573991028</v>
      </c>
      <c r="EV58" s="1">
        <f>1+(Table1[[#This Row],[error_ratio_6]]-EL$2)</f>
        <v>1.0135699373695197</v>
      </c>
      <c r="EW58" s="1">
        <f>1+(Table1[[#This Row],[error_ratio_7]]-EM$2)</f>
        <v>0.99708171206225682</v>
      </c>
      <c r="EX58" s="1">
        <f>1+(Table1[[#This Row],[error_ratio_8]]-EN$2)</f>
        <v>1.015400410677618</v>
      </c>
      <c r="EY58" s="1">
        <f>1+(Table1[[#This Row],[error_ratio_9]]-EO$2)</f>
        <v>1.0495540138751238</v>
      </c>
    </row>
    <row r="59" spans="1:155" x14ac:dyDescent="0.75">
      <c r="A59">
        <v>10</v>
      </c>
      <c r="B59">
        <v>100</v>
      </c>
      <c r="C59">
        <v>100</v>
      </c>
      <c r="D59">
        <v>10</v>
      </c>
      <c r="E59">
        <v>10</v>
      </c>
      <c r="F59">
        <v>10</v>
      </c>
      <c r="G59">
        <v>100</v>
      </c>
      <c r="H59">
        <v>100</v>
      </c>
      <c r="I59">
        <v>100</v>
      </c>
      <c r="J59">
        <v>100</v>
      </c>
      <c r="K59">
        <v>948</v>
      </c>
      <c r="L59">
        <v>1135</v>
      </c>
      <c r="M59">
        <v>1058</v>
      </c>
      <c r="N59">
        <v>958</v>
      </c>
      <c r="O59">
        <v>892</v>
      </c>
      <c r="P59">
        <v>887</v>
      </c>
      <c r="Q59">
        <v>973</v>
      </c>
      <c r="R59">
        <v>1079</v>
      </c>
      <c r="S59">
        <v>999</v>
      </c>
      <c r="T59">
        <v>1071</v>
      </c>
      <c r="U59">
        <v>980</v>
      </c>
      <c r="V59">
        <v>1135</v>
      </c>
      <c r="W59">
        <v>1032</v>
      </c>
      <c r="X59">
        <v>1010</v>
      </c>
      <c r="Y59">
        <v>982</v>
      </c>
      <c r="Z59">
        <v>892</v>
      </c>
      <c r="AA59">
        <v>958</v>
      </c>
      <c r="AB59">
        <v>1028</v>
      </c>
      <c r="AC59">
        <v>974</v>
      </c>
      <c r="AD59">
        <v>1009</v>
      </c>
      <c r="AE59">
        <v>939</v>
      </c>
      <c r="AF59">
        <v>0</v>
      </c>
      <c r="AG59">
        <v>4</v>
      </c>
      <c r="AH59">
        <v>0</v>
      </c>
      <c r="AI59">
        <v>0</v>
      </c>
      <c r="AJ59">
        <v>1</v>
      </c>
      <c r="AK59">
        <v>7</v>
      </c>
      <c r="AL59">
        <v>2</v>
      </c>
      <c r="AM59">
        <v>14</v>
      </c>
      <c r="AN59">
        <v>13</v>
      </c>
      <c r="AO59">
        <v>0</v>
      </c>
      <c r="AP59">
        <v>1128</v>
      </c>
      <c r="AQ59">
        <v>1</v>
      </c>
      <c r="AR59">
        <v>1</v>
      </c>
      <c r="AS59">
        <v>0</v>
      </c>
      <c r="AT59">
        <v>0</v>
      </c>
      <c r="AU59">
        <v>2</v>
      </c>
      <c r="AV59">
        <v>3</v>
      </c>
      <c r="AW59">
        <v>0</v>
      </c>
      <c r="AX59">
        <v>0</v>
      </c>
      <c r="AY59">
        <v>0</v>
      </c>
      <c r="AZ59">
        <v>2</v>
      </c>
      <c r="BA59">
        <v>1024</v>
      </c>
      <c r="BB59">
        <v>0</v>
      </c>
      <c r="BC59">
        <v>0</v>
      </c>
      <c r="BD59">
        <v>0</v>
      </c>
      <c r="BE59">
        <v>1</v>
      </c>
      <c r="BF59">
        <v>5</v>
      </c>
      <c r="BG59">
        <v>0</v>
      </c>
      <c r="BH59">
        <v>0</v>
      </c>
      <c r="BI59">
        <v>1</v>
      </c>
      <c r="BJ59">
        <v>0</v>
      </c>
      <c r="BK59">
        <v>13</v>
      </c>
      <c r="BL59">
        <v>950</v>
      </c>
      <c r="BM59">
        <v>0</v>
      </c>
      <c r="BN59">
        <v>12</v>
      </c>
      <c r="BO59">
        <v>0</v>
      </c>
      <c r="BP59">
        <v>17</v>
      </c>
      <c r="BQ59">
        <v>8</v>
      </c>
      <c r="BR59">
        <v>9</v>
      </c>
      <c r="BS59">
        <v>1</v>
      </c>
      <c r="BT59">
        <v>0</v>
      </c>
      <c r="BU59">
        <v>7</v>
      </c>
      <c r="BV59">
        <v>0</v>
      </c>
      <c r="BW59">
        <v>890</v>
      </c>
      <c r="BX59">
        <v>0</v>
      </c>
      <c r="BY59">
        <v>12</v>
      </c>
      <c r="BZ59">
        <v>16</v>
      </c>
      <c r="CA59">
        <v>3</v>
      </c>
      <c r="CB59">
        <v>53</v>
      </c>
      <c r="CC59">
        <v>3</v>
      </c>
      <c r="CD59">
        <v>0</v>
      </c>
      <c r="CE59">
        <v>1</v>
      </c>
      <c r="CF59">
        <v>6</v>
      </c>
      <c r="CG59">
        <v>0</v>
      </c>
      <c r="CH59">
        <v>867</v>
      </c>
      <c r="CI59">
        <v>3</v>
      </c>
      <c r="CJ59">
        <v>1</v>
      </c>
      <c r="CK59">
        <v>7</v>
      </c>
      <c r="CL59">
        <v>4</v>
      </c>
      <c r="CM59">
        <v>2</v>
      </c>
      <c r="CN59">
        <v>2</v>
      </c>
      <c r="CO59">
        <v>1</v>
      </c>
      <c r="CP59">
        <v>0</v>
      </c>
      <c r="CQ59">
        <v>1</v>
      </c>
      <c r="CR59">
        <v>2</v>
      </c>
      <c r="CS59">
        <v>948</v>
      </c>
      <c r="CT59">
        <v>0</v>
      </c>
      <c r="CU59">
        <v>2</v>
      </c>
      <c r="CV59">
        <v>0</v>
      </c>
      <c r="CW59">
        <v>0</v>
      </c>
      <c r="CX59">
        <v>1</v>
      </c>
      <c r="CY59">
        <v>6</v>
      </c>
      <c r="CZ59">
        <v>0</v>
      </c>
      <c r="DA59">
        <v>0</v>
      </c>
      <c r="DB59">
        <v>0</v>
      </c>
      <c r="DC59">
        <v>0</v>
      </c>
      <c r="DD59">
        <v>1021</v>
      </c>
      <c r="DE59">
        <v>0</v>
      </c>
      <c r="DF59">
        <v>0</v>
      </c>
      <c r="DG59">
        <v>2</v>
      </c>
      <c r="DH59">
        <v>0</v>
      </c>
      <c r="DI59">
        <v>1</v>
      </c>
      <c r="DJ59">
        <v>0</v>
      </c>
      <c r="DK59">
        <v>0</v>
      </c>
      <c r="DL59">
        <v>0</v>
      </c>
      <c r="DM59">
        <v>0</v>
      </c>
      <c r="DN59">
        <v>5</v>
      </c>
      <c r="DO59">
        <v>964</v>
      </c>
      <c r="DP59">
        <v>2</v>
      </c>
      <c r="DQ59">
        <v>0</v>
      </c>
      <c r="DR59">
        <v>2</v>
      </c>
      <c r="DS59">
        <v>0</v>
      </c>
      <c r="DT59">
        <v>1</v>
      </c>
      <c r="DU59">
        <v>1</v>
      </c>
      <c r="DV59">
        <v>5</v>
      </c>
      <c r="DW59">
        <v>0</v>
      </c>
      <c r="DX59">
        <v>9</v>
      </c>
      <c r="DY59">
        <v>1</v>
      </c>
      <c r="DZ59">
        <v>990</v>
      </c>
      <c r="EA59">
        <v>0.97209999999999996</v>
      </c>
      <c r="EB59">
        <v>0.97289495315937202</v>
      </c>
      <c r="EC59">
        <v>0.97167795080312303</v>
      </c>
      <c r="ED59">
        <v>0.97179355522546695</v>
      </c>
      <c r="EE59">
        <f>SUM(Table1[[#This Row],[ratio_0]:[ratio_9]])</f>
        <v>640</v>
      </c>
      <c r="EF59" s="1">
        <f>(Table1[[#This Row],[predicted_0]]-Table1[[#This Row],[actual_0]])/Table1[[#This Row],[actual_0]]</f>
        <v>-3.2653061224489799E-2</v>
      </c>
      <c r="EG59" s="1">
        <f>(Table1[[#This Row],[predicted_1]]-Table1[[#This Row],[actual_1]])/Table1[[#This Row],[actual_1]]</f>
        <v>0</v>
      </c>
      <c r="EH59" s="1">
        <f>(Table1[[#This Row],[predicted_2]]-Table1[[#This Row],[actual_2]])/Table1[[#This Row],[actual_2]]</f>
        <v>2.5193798449612403E-2</v>
      </c>
      <c r="EI59" s="1">
        <f>(Table1[[#This Row],[predicted_3]]-Table1[[#This Row],[actual_3]])/Table1[[#This Row],[actual_3]]</f>
        <v>-5.1485148514851482E-2</v>
      </c>
      <c r="EJ59" s="1">
        <f>(Table1[[#This Row],[predicted_4]]-Table1[[#This Row],[actual_4]])/Table1[[#This Row],[actual_4]]</f>
        <v>-9.1649694501018328E-2</v>
      </c>
      <c r="EK59" s="1">
        <f>(Table1[[#This Row],[predicted_5]]-Table1[[#This Row],[actual_5]])/Table1[[#This Row],[actual_5]]</f>
        <v>-5.6053811659192822E-3</v>
      </c>
      <c r="EL59" s="1">
        <f>(Table1[[#This Row],[predicted_6]]-Table1[[#This Row],[actual_6]])/Table1[[#This Row],[actual_6]]</f>
        <v>1.5657620041753653E-2</v>
      </c>
      <c r="EM59" s="1">
        <f>(Table1[[#This Row],[predicted_7]]-Table1[[#This Row],[actual_7]])/Table1[[#This Row],[actual_7]]</f>
        <v>4.9610894941634238E-2</v>
      </c>
      <c r="EN59" s="1">
        <f>(Table1[[#This Row],[predicted_8]]-Table1[[#This Row],[actual_8]])/Table1[[#This Row],[actual_8]]</f>
        <v>2.5667351129363448E-2</v>
      </c>
      <c r="EO59" s="1">
        <f>(Table1[[#This Row],[predicted_9]]-Table1[[#This Row],[actual_9]])/Table1[[#This Row],[actual_9]]</f>
        <v>6.1446977205153616E-2</v>
      </c>
      <c r="EP59" s="1">
        <f>1+(Table1[[#This Row],[error_ratio_0]]-EF$2)</f>
        <v>0.96530612244897962</v>
      </c>
      <c r="EQ59" s="1">
        <f>1+(Table1[[#This Row],[error_ratio_1]]-EG$2)</f>
        <v>0.9982378854625551</v>
      </c>
      <c r="ER59" s="1">
        <f>1+(Table1[[#This Row],[error_ratio_2]]-EH$2)</f>
        <v>1.0300387596899225</v>
      </c>
      <c r="ES59" s="1">
        <f>1+(Table1[[#This Row],[error_ratio_3]]-EI$2)</f>
        <v>0.93861386138613856</v>
      </c>
      <c r="ET59" s="1">
        <f>1+(Table1[[#This Row],[error_ratio_4]]-EJ$2)</f>
        <v>0.90733197556008149</v>
      </c>
      <c r="EU59" s="1">
        <f>1+(Table1[[#This Row],[error_ratio_5]]-EK$2)</f>
        <v>0.99327354260089684</v>
      </c>
      <c r="EV59" s="1">
        <f>1+(Table1[[#This Row],[error_ratio_6]]-EL$2)</f>
        <v>1.0219206680584552</v>
      </c>
      <c r="EW59" s="1">
        <f>1+(Table1[[#This Row],[error_ratio_7]]-EM$2)</f>
        <v>1.0476653696498055</v>
      </c>
      <c r="EX59" s="1">
        <f>1+(Table1[[#This Row],[error_ratio_8]]-EN$2)</f>
        <v>1.0287474332648872</v>
      </c>
      <c r="EY59" s="1">
        <f>1+(Table1[[#This Row],[error_ratio_9]]-EO$2)</f>
        <v>1.0654112983151636</v>
      </c>
    </row>
    <row r="60" spans="1:155" x14ac:dyDescent="0.75">
      <c r="A60">
        <v>100</v>
      </c>
      <c r="B60">
        <v>10</v>
      </c>
      <c r="C60">
        <v>100</v>
      </c>
      <c r="D60">
        <v>10</v>
      </c>
      <c r="E60">
        <v>10</v>
      </c>
      <c r="F60">
        <v>10</v>
      </c>
      <c r="G60">
        <v>100</v>
      </c>
      <c r="H60">
        <v>100</v>
      </c>
      <c r="I60">
        <v>100</v>
      </c>
      <c r="J60">
        <v>100</v>
      </c>
      <c r="K60">
        <v>987</v>
      </c>
      <c r="L60">
        <v>1115</v>
      </c>
      <c r="M60">
        <v>1056</v>
      </c>
      <c r="N60">
        <v>973</v>
      </c>
      <c r="O60">
        <v>928</v>
      </c>
      <c r="P60">
        <v>882</v>
      </c>
      <c r="Q60">
        <v>969</v>
      </c>
      <c r="R60">
        <v>1053</v>
      </c>
      <c r="S60">
        <v>992</v>
      </c>
      <c r="T60">
        <v>1045</v>
      </c>
      <c r="U60">
        <v>980</v>
      </c>
      <c r="V60">
        <v>1135</v>
      </c>
      <c r="W60">
        <v>1032</v>
      </c>
      <c r="X60">
        <v>1010</v>
      </c>
      <c r="Y60">
        <v>982</v>
      </c>
      <c r="Z60">
        <v>892</v>
      </c>
      <c r="AA60">
        <v>958</v>
      </c>
      <c r="AB60">
        <v>1028</v>
      </c>
      <c r="AC60">
        <v>974</v>
      </c>
      <c r="AD60">
        <v>1009</v>
      </c>
      <c r="AE60">
        <v>973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3</v>
      </c>
      <c r="AL60">
        <v>2</v>
      </c>
      <c r="AM60">
        <v>2</v>
      </c>
      <c r="AN60">
        <v>0</v>
      </c>
      <c r="AO60">
        <v>0</v>
      </c>
      <c r="AP60">
        <v>1112</v>
      </c>
      <c r="AQ60">
        <v>7</v>
      </c>
      <c r="AR60">
        <v>3</v>
      </c>
      <c r="AS60">
        <v>1</v>
      </c>
      <c r="AT60">
        <v>0</v>
      </c>
      <c r="AU60">
        <v>2</v>
      </c>
      <c r="AV60">
        <v>4</v>
      </c>
      <c r="AW60">
        <v>5</v>
      </c>
      <c r="AX60">
        <v>1</v>
      </c>
      <c r="AY60">
        <v>2</v>
      </c>
      <c r="AZ60">
        <v>0</v>
      </c>
      <c r="BA60">
        <v>1022</v>
      </c>
      <c r="BB60">
        <v>0</v>
      </c>
      <c r="BC60">
        <v>0</v>
      </c>
      <c r="BD60">
        <v>0</v>
      </c>
      <c r="BE60">
        <v>1</v>
      </c>
      <c r="BF60">
        <v>6</v>
      </c>
      <c r="BG60">
        <v>1</v>
      </c>
      <c r="BH60">
        <v>0</v>
      </c>
      <c r="BI60">
        <v>1</v>
      </c>
      <c r="BJ60">
        <v>0</v>
      </c>
      <c r="BK60">
        <v>11</v>
      </c>
      <c r="BL60">
        <v>962</v>
      </c>
      <c r="BM60">
        <v>0</v>
      </c>
      <c r="BN60">
        <v>17</v>
      </c>
      <c r="BO60">
        <v>0</v>
      </c>
      <c r="BP60">
        <v>9</v>
      </c>
      <c r="BQ60">
        <v>6</v>
      </c>
      <c r="BR60">
        <v>4</v>
      </c>
      <c r="BS60">
        <v>2</v>
      </c>
      <c r="BT60">
        <v>1</v>
      </c>
      <c r="BU60">
        <v>2</v>
      </c>
      <c r="BV60">
        <v>0</v>
      </c>
      <c r="BW60">
        <v>925</v>
      </c>
      <c r="BX60">
        <v>0</v>
      </c>
      <c r="BY60">
        <v>6</v>
      </c>
      <c r="BZ60">
        <v>5</v>
      </c>
      <c r="CA60">
        <v>2</v>
      </c>
      <c r="CB60">
        <v>39</v>
      </c>
      <c r="CC60">
        <v>2</v>
      </c>
      <c r="CD60">
        <v>0</v>
      </c>
      <c r="CE60">
        <v>1</v>
      </c>
      <c r="CF60">
        <v>6</v>
      </c>
      <c r="CG60">
        <v>0</v>
      </c>
      <c r="CH60">
        <v>859</v>
      </c>
      <c r="CI60">
        <v>11</v>
      </c>
      <c r="CJ60">
        <v>2</v>
      </c>
      <c r="CK60">
        <v>10</v>
      </c>
      <c r="CL60">
        <v>1</v>
      </c>
      <c r="CM60">
        <v>4</v>
      </c>
      <c r="CN60">
        <v>1</v>
      </c>
      <c r="CO60">
        <v>2</v>
      </c>
      <c r="CP60">
        <v>0</v>
      </c>
      <c r="CQ60">
        <v>1</v>
      </c>
      <c r="CR60">
        <v>2</v>
      </c>
      <c r="CS60">
        <v>945</v>
      </c>
      <c r="CT60">
        <v>0</v>
      </c>
      <c r="CU60">
        <v>3</v>
      </c>
      <c r="CV60">
        <v>0</v>
      </c>
      <c r="CW60">
        <v>0</v>
      </c>
      <c r="CX60">
        <v>1</v>
      </c>
      <c r="CY60">
        <v>7</v>
      </c>
      <c r="CZ60">
        <v>0</v>
      </c>
      <c r="DA60">
        <v>0</v>
      </c>
      <c r="DB60">
        <v>0</v>
      </c>
      <c r="DC60">
        <v>0</v>
      </c>
      <c r="DD60">
        <v>1017</v>
      </c>
      <c r="DE60">
        <v>2</v>
      </c>
      <c r="DF60">
        <v>1</v>
      </c>
      <c r="DG60">
        <v>2</v>
      </c>
      <c r="DH60">
        <v>0</v>
      </c>
      <c r="DI60">
        <v>2</v>
      </c>
      <c r="DJ60">
        <v>1</v>
      </c>
      <c r="DK60">
        <v>0</v>
      </c>
      <c r="DL60">
        <v>2</v>
      </c>
      <c r="DM60">
        <v>1</v>
      </c>
      <c r="DN60">
        <v>2</v>
      </c>
      <c r="DO60">
        <v>961</v>
      </c>
      <c r="DP60">
        <v>3</v>
      </c>
      <c r="DQ60">
        <v>1</v>
      </c>
      <c r="DR60">
        <v>0</v>
      </c>
      <c r="DS60">
        <v>2</v>
      </c>
      <c r="DT60">
        <v>1</v>
      </c>
      <c r="DU60">
        <v>1</v>
      </c>
      <c r="DV60">
        <v>2</v>
      </c>
      <c r="DW60">
        <v>0</v>
      </c>
      <c r="DX60">
        <v>6</v>
      </c>
      <c r="DY60">
        <v>0</v>
      </c>
      <c r="DZ60">
        <v>996</v>
      </c>
      <c r="EA60">
        <v>0.97719999999999996</v>
      </c>
      <c r="EB60">
        <v>0.97732171643341104</v>
      </c>
      <c r="EC60">
        <v>0.97698364358389</v>
      </c>
      <c r="ED60">
        <v>0.97696103000074497</v>
      </c>
      <c r="EE60">
        <f>SUM(Table1[[#This Row],[ratio_0]:[ratio_9]])</f>
        <v>640</v>
      </c>
      <c r="EF60" s="1">
        <f>(Table1[[#This Row],[predicted_0]]-Table1[[#This Row],[actual_0]])/Table1[[#This Row],[actual_0]]</f>
        <v>7.1428571428571426E-3</v>
      </c>
      <c r="EG60" s="1">
        <f>(Table1[[#This Row],[predicted_1]]-Table1[[#This Row],[actual_1]])/Table1[[#This Row],[actual_1]]</f>
        <v>-1.7621145374449341E-2</v>
      </c>
      <c r="EH60" s="1">
        <f>(Table1[[#This Row],[predicted_2]]-Table1[[#This Row],[actual_2]])/Table1[[#This Row],[actual_2]]</f>
        <v>2.3255813953488372E-2</v>
      </c>
      <c r="EI60" s="1">
        <f>(Table1[[#This Row],[predicted_3]]-Table1[[#This Row],[actual_3]])/Table1[[#This Row],[actual_3]]</f>
        <v>-3.6633663366336632E-2</v>
      </c>
      <c r="EJ60" s="1">
        <f>(Table1[[#This Row],[predicted_4]]-Table1[[#This Row],[actual_4]])/Table1[[#This Row],[actual_4]]</f>
        <v>-5.4989816700610997E-2</v>
      </c>
      <c r="EK60" s="1">
        <f>(Table1[[#This Row],[predicted_5]]-Table1[[#This Row],[actual_5]])/Table1[[#This Row],[actual_5]]</f>
        <v>-1.1210762331838564E-2</v>
      </c>
      <c r="EL60" s="1">
        <f>(Table1[[#This Row],[predicted_6]]-Table1[[#This Row],[actual_6]])/Table1[[#This Row],[actual_6]]</f>
        <v>1.1482254697286013E-2</v>
      </c>
      <c r="EM60" s="1">
        <f>(Table1[[#This Row],[predicted_7]]-Table1[[#This Row],[actual_7]])/Table1[[#This Row],[actual_7]]</f>
        <v>2.4319066147859923E-2</v>
      </c>
      <c r="EN60" s="1">
        <f>(Table1[[#This Row],[predicted_8]]-Table1[[#This Row],[actual_8]])/Table1[[#This Row],[actual_8]]</f>
        <v>1.8480492813141684E-2</v>
      </c>
      <c r="EO60" s="1">
        <f>(Table1[[#This Row],[predicted_9]]-Table1[[#This Row],[actual_9]])/Table1[[#This Row],[actual_9]]</f>
        <v>3.5678889990089196E-2</v>
      </c>
      <c r="EP60" s="1">
        <f>1+(Table1[[#This Row],[error_ratio_0]]-EF$2)</f>
        <v>1.0051020408163265</v>
      </c>
      <c r="EQ60" s="1">
        <f>1+(Table1[[#This Row],[error_ratio_1]]-EG$2)</f>
        <v>0.98061674008810573</v>
      </c>
      <c r="ER60" s="1">
        <f>1+(Table1[[#This Row],[error_ratio_2]]-EH$2)</f>
        <v>1.0281007751937985</v>
      </c>
      <c r="ES60" s="1">
        <f>1+(Table1[[#This Row],[error_ratio_3]]-EI$2)</f>
        <v>0.95346534653465342</v>
      </c>
      <c r="ET60" s="1">
        <f>1+(Table1[[#This Row],[error_ratio_4]]-EJ$2)</f>
        <v>0.94399185336048874</v>
      </c>
      <c r="EU60" s="1">
        <f>1+(Table1[[#This Row],[error_ratio_5]]-EK$2)</f>
        <v>0.9876681614349776</v>
      </c>
      <c r="EV60" s="1">
        <f>1+(Table1[[#This Row],[error_ratio_6]]-EL$2)</f>
        <v>1.0177453027139876</v>
      </c>
      <c r="EW60" s="1">
        <f>1+(Table1[[#This Row],[error_ratio_7]]-EM$2)</f>
        <v>1.022373540856031</v>
      </c>
      <c r="EX60" s="1">
        <f>1+(Table1[[#This Row],[error_ratio_8]]-EN$2)</f>
        <v>1.0215605749486654</v>
      </c>
      <c r="EY60" s="1">
        <f>1+(Table1[[#This Row],[error_ratio_9]]-EO$2)</f>
        <v>1.0396432111000991</v>
      </c>
    </row>
    <row r="61" spans="1:155" x14ac:dyDescent="0.75">
      <c r="A61">
        <v>10</v>
      </c>
      <c r="B61">
        <v>10</v>
      </c>
      <c r="C61">
        <v>100</v>
      </c>
      <c r="D61">
        <v>10</v>
      </c>
      <c r="E61">
        <v>10</v>
      </c>
      <c r="F61">
        <v>10</v>
      </c>
      <c r="G61">
        <v>100</v>
      </c>
      <c r="H61">
        <v>100</v>
      </c>
      <c r="I61">
        <v>100</v>
      </c>
      <c r="J61">
        <v>100</v>
      </c>
      <c r="K61">
        <v>962</v>
      </c>
      <c r="L61">
        <v>1125</v>
      </c>
      <c r="M61">
        <v>1056</v>
      </c>
      <c r="N61">
        <v>923</v>
      </c>
      <c r="O61">
        <v>922</v>
      </c>
      <c r="P61">
        <v>949</v>
      </c>
      <c r="Q61">
        <v>969</v>
      </c>
      <c r="R61">
        <v>1023</v>
      </c>
      <c r="S61">
        <v>1010</v>
      </c>
      <c r="T61">
        <v>1061</v>
      </c>
      <c r="U61">
        <v>980</v>
      </c>
      <c r="V61">
        <v>1135</v>
      </c>
      <c r="W61">
        <v>1032</v>
      </c>
      <c r="X61">
        <v>1010</v>
      </c>
      <c r="Y61">
        <v>982</v>
      </c>
      <c r="Z61">
        <v>892</v>
      </c>
      <c r="AA61">
        <v>958</v>
      </c>
      <c r="AB61">
        <v>1028</v>
      </c>
      <c r="AC61">
        <v>974</v>
      </c>
      <c r="AD61">
        <v>1009</v>
      </c>
      <c r="AE61">
        <v>954</v>
      </c>
      <c r="AF61">
        <v>0</v>
      </c>
      <c r="AG61">
        <v>1</v>
      </c>
      <c r="AH61">
        <v>0</v>
      </c>
      <c r="AI61">
        <v>0</v>
      </c>
      <c r="AJ61">
        <v>2</v>
      </c>
      <c r="AK61">
        <v>5</v>
      </c>
      <c r="AL61">
        <v>3</v>
      </c>
      <c r="AM61">
        <v>9</v>
      </c>
      <c r="AN61">
        <v>6</v>
      </c>
      <c r="AO61">
        <v>0</v>
      </c>
      <c r="AP61">
        <v>1114</v>
      </c>
      <c r="AQ61">
        <v>9</v>
      </c>
      <c r="AR61">
        <v>2</v>
      </c>
      <c r="AS61">
        <v>0</v>
      </c>
      <c r="AT61">
        <v>0</v>
      </c>
      <c r="AU61">
        <v>2</v>
      </c>
      <c r="AV61">
        <v>1</v>
      </c>
      <c r="AW61">
        <v>7</v>
      </c>
      <c r="AX61">
        <v>0</v>
      </c>
      <c r="AY61">
        <v>0</v>
      </c>
      <c r="AZ61">
        <v>0</v>
      </c>
      <c r="BA61">
        <v>1020</v>
      </c>
      <c r="BB61">
        <v>2</v>
      </c>
      <c r="BC61">
        <v>0</v>
      </c>
      <c r="BD61">
        <v>0</v>
      </c>
      <c r="BE61">
        <v>0</v>
      </c>
      <c r="BF61">
        <v>1</v>
      </c>
      <c r="BG61">
        <v>9</v>
      </c>
      <c r="BH61">
        <v>0</v>
      </c>
      <c r="BI61">
        <v>2</v>
      </c>
      <c r="BJ61">
        <v>0</v>
      </c>
      <c r="BK61">
        <v>6</v>
      </c>
      <c r="BL61">
        <v>911</v>
      </c>
      <c r="BM61">
        <v>0</v>
      </c>
      <c r="BN61">
        <v>76</v>
      </c>
      <c r="BO61">
        <v>0</v>
      </c>
      <c r="BP61">
        <v>3</v>
      </c>
      <c r="BQ61">
        <v>10</v>
      </c>
      <c r="BR61">
        <v>2</v>
      </c>
      <c r="BS61">
        <v>0</v>
      </c>
      <c r="BT61">
        <v>3</v>
      </c>
      <c r="BU61">
        <v>1</v>
      </c>
      <c r="BV61">
        <v>0</v>
      </c>
      <c r="BW61">
        <v>917</v>
      </c>
      <c r="BX61">
        <v>0</v>
      </c>
      <c r="BY61">
        <v>5</v>
      </c>
      <c r="BZ61">
        <v>6</v>
      </c>
      <c r="CA61">
        <v>2</v>
      </c>
      <c r="CB61">
        <v>48</v>
      </c>
      <c r="CC61">
        <v>2</v>
      </c>
      <c r="CD61">
        <v>0</v>
      </c>
      <c r="CE61">
        <v>1</v>
      </c>
      <c r="CF61">
        <v>1</v>
      </c>
      <c r="CG61">
        <v>0</v>
      </c>
      <c r="CH61">
        <v>868</v>
      </c>
      <c r="CI61">
        <v>10</v>
      </c>
      <c r="CJ61">
        <v>1</v>
      </c>
      <c r="CK61">
        <v>4</v>
      </c>
      <c r="CL61">
        <v>5</v>
      </c>
      <c r="CM61">
        <v>3</v>
      </c>
      <c r="CN61">
        <v>1</v>
      </c>
      <c r="CO61">
        <v>2</v>
      </c>
      <c r="CP61">
        <v>0</v>
      </c>
      <c r="CQ61">
        <v>3</v>
      </c>
      <c r="CR61">
        <v>2</v>
      </c>
      <c r="CS61">
        <v>944</v>
      </c>
      <c r="CT61">
        <v>0</v>
      </c>
      <c r="CU61">
        <v>3</v>
      </c>
      <c r="CV61">
        <v>0</v>
      </c>
      <c r="CW61">
        <v>0</v>
      </c>
      <c r="CX61">
        <v>4</v>
      </c>
      <c r="CY61">
        <v>10</v>
      </c>
      <c r="CZ61">
        <v>5</v>
      </c>
      <c r="DA61">
        <v>0</v>
      </c>
      <c r="DB61">
        <v>0</v>
      </c>
      <c r="DC61">
        <v>0</v>
      </c>
      <c r="DD61">
        <v>1001</v>
      </c>
      <c r="DE61">
        <v>4</v>
      </c>
      <c r="DF61">
        <v>4</v>
      </c>
      <c r="DG61">
        <v>1</v>
      </c>
      <c r="DH61">
        <v>0</v>
      </c>
      <c r="DI61">
        <v>4</v>
      </c>
      <c r="DJ61">
        <v>1</v>
      </c>
      <c r="DK61">
        <v>1</v>
      </c>
      <c r="DL61">
        <v>1</v>
      </c>
      <c r="DM61">
        <v>3</v>
      </c>
      <c r="DN61">
        <v>1</v>
      </c>
      <c r="DO61">
        <v>958</v>
      </c>
      <c r="DP61">
        <v>4</v>
      </c>
      <c r="DQ61">
        <v>0</v>
      </c>
      <c r="DR61">
        <v>3</v>
      </c>
      <c r="DS61">
        <v>2</v>
      </c>
      <c r="DT61">
        <v>1</v>
      </c>
      <c r="DU61">
        <v>1</v>
      </c>
      <c r="DV61">
        <v>0</v>
      </c>
      <c r="DW61">
        <v>0</v>
      </c>
      <c r="DX61">
        <v>6</v>
      </c>
      <c r="DY61">
        <v>4</v>
      </c>
      <c r="DZ61">
        <v>992</v>
      </c>
      <c r="EA61">
        <v>0.96789999999999998</v>
      </c>
      <c r="EB61">
        <v>0.96802149185300501</v>
      </c>
      <c r="EC61">
        <v>0.96780683609443996</v>
      </c>
      <c r="ED61">
        <v>0.96741722727900603</v>
      </c>
      <c r="EE61">
        <f>SUM(Table1[[#This Row],[ratio_0]:[ratio_9]])</f>
        <v>550</v>
      </c>
      <c r="EF61" s="1">
        <f>(Table1[[#This Row],[predicted_0]]-Table1[[#This Row],[actual_0]])/Table1[[#This Row],[actual_0]]</f>
        <v>-1.8367346938775512E-2</v>
      </c>
      <c r="EG61" s="1">
        <f>(Table1[[#This Row],[predicted_1]]-Table1[[#This Row],[actual_1]])/Table1[[#This Row],[actual_1]]</f>
        <v>-8.8105726872246704E-3</v>
      </c>
      <c r="EH61" s="1">
        <f>(Table1[[#This Row],[predicted_2]]-Table1[[#This Row],[actual_2]])/Table1[[#This Row],[actual_2]]</f>
        <v>2.3255813953488372E-2</v>
      </c>
      <c r="EI61" s="1">
        <f>(Table1[[#This Row],[predicted_3]]-Table1[[#This Row],[actual_3]])/Table1[[#This Row],[actual_3]]</f>
        <v>-8.6138613861386132E-2</v>
      </c>
      <c r="EJ61" s="1">
        <f>(Table1[[#This Row],[predicted_4]]-Table1[[#This Row],[actual_4]])/Table1[[#This Row],[actual_4]]</f>
        <v>-6.1099796334012219E-2</v>
      </c>
      <c r="EK61" s="1">
        <f>(Table1[[#This Row],[predicted_5]]-Table1[[#This Row],[actual_5]])/Table1[[#This Row],[actual_5]]</f>
        <v>6.3901345291479825E-2</v>
      </c>
      <c r="EL61" s="1">
        <f>(Table1[[#This Row],[predicted_6]]-Table1[[#This Row],[actual_6]])/Table1[[#This Row],[actual_6]]</f>
        <v>1.1482254697286013E-2</v>
      </c>
      <c r="EM61" s="1">
        <f>(Table1[[#This Row],[predicted_7]]-Table1[[#This Row],[actual_7]])/Table1[[#This Row],[actual_7]]</f>
        <v>-4.8638132295719845E-3</v>
      </c>
      <c r="EN61" s="1">
        <f>(Table1[[#This Row],[predicted_8]]-Table1[[#This Row],[actual_8]])/Table1[[#This Row],[actual_8]]</f>
        <v>3.6960985626283367E-2</v>
      </c>
      <c r="EO61" s="1">
        <f>(Table1[[#This Row],[predicted_9]]-Table1[[#This Row],[actual_9]])/Table1[[#This Row],[actual_9]]</f>
        <v>5.1536174430128839E-2</v>
      </c>
      <c r="EP61" s="1">
        <f>1+(Table1[[#This Row],[error_ratio_0]]-EF$2)</f>
        <v>0.97959183673469385</v>
      </c>
      <c r="EQ61" s="1">
        <f>1+(Table1[[#This Row],[error_ratio_1]]-EG$2)</f>
        <v>0.98942731277533036</v>
      </c>
      <c r="ER61" s="1">
        <f>1+(Table1[[#This Row],[error_ratio_2]]-EH$2)</f>
        <v>1.0281007751937985</v>
      </c>
      <c r="ES61" s="1">
        <f>1+(Table1[[#This Row],[error_ratio_3]]-EI$2)</f>
        <v>0.90396039603960399</v>
      </c>
      <c r="ET61" s="1">
        <f>1+(Table1[[#This Row],[error_ratio_4]]-EJ$2)</f>
        <v>0.93788187372708753</v>
      </c>
      <c r="EU61" s="1">
        <f>1+(Table1[[#This Row],[error_ratio_5]]-EK$2)</f>
        <v>1.0627802690582959</v>
      </c>
      <c r="EV61" s="1">
        <f>1+(Table1[[#This Row],[error_ratio_6]]-EL$2)</f>
        <v>1.0177453027139876</v>
      </c>
      <c r="EW61" s="1">
        <f>1+(Table1[[#This Row],[error_ratio_7]]-EM$2)</f>
        <v>0.99319066147859925</v>
      </c>
      <c r="EX61" s="1">
        <f>1+(Table1[[#This Row],[error_ratio_8]]-EN$2)</f>
        <v>1.040041067761807</v>
      </c>
      <c r="EY61" s="1">
        <f>1+(Table1[[#This Row],[error_ratio_9]]-EO$2)</f>
        <v>1.0555004955401388</v>
      </c>
    </row>
    <row r="62" spans="1:155" x14ac:dyDescent="0.75">
      <c r="A62">
        <v>100</v>
      </c>
      <c r="B62">
        <v>100</v>
      </c>
      <c r="C62">
        <v>10</v>
      </c>
      <c r="D62">
        <v>10</v>
      </c>
      <c r="E62">
        <v>10</v>
      </c>
      <c r="F62">
        <v>10</v>
      </c>
      <c r="G62">
        <v>100</v>
      </c>
      <c r="H62">
        <v>100</v>
      </c>
      <c r="I62">
        <v>100</v>
      </c>
      <c r="J62">
        <v>100</v>
      </c>
      <c r="K62">
        <v>1022</v>
      </c>
      <c r="L62">
        <v>1192</v>
      </c>
      <c r="M62">
        <v>890</v>
      </c>
      <c r="N62">
        <v>961</v>
      </c>
      <c r="O62">
        <v>932</v>
      </c>
      <c r="P62">
        <v>859</v>
      </c>
      <c r="Q62">
        <v>972</v>
      </c>
      <c r="R62">
        <v>1097</v>
      </c>
      <c r="S62">
        <v>1027</v>
      </c>
      <c r="T62">
        <v>1048</v>
      </c>
      <c r="U62">
        <v>980</v>
      </c>
      <c r="V62">
        <v>1135</v>
      </c>
      <c r="W62">
        <v>1032</v>
      </c>
      <c r="X62">
        <v>1010</v>
      </c>
      <c r="Y62">
        <v>982</v>
      </c>
      <c r="Z62">
        <v>892</v>
      </c>
      <c r="AA62">
        <v>958</v>
      </c>
      <c r="AB62">
        <v>1028</v>
      </c>
      <c r="AC62">
        <v>974</v>
      </c>
      <c r="AD62">
        <v>1009</v>
      </c>
      <c r="AE62">
        <v>972</v>
      </c>
      <c r="AF62">
        <v>1</v>
      </c>
      <c r="AG62">
        <v>1</v>
      </c>
      <c r="AH62">
        <v>0</v>
      </c>
      <c r="AI62">
        <v>0</v>
      </c>
      <c r="AJ62">
        <v>0</v>
      </c>
      <c r="AK62">
        <v>1</v>
      </c>
      <c r="AL62">
        <v>4</v>
      </c>
      <c r="AM62">
        <v>1</v>
      </c>
      <c r="AN62">
        <v>0</v>
      </c>
      <c r="AO62">
        <v>0</v>
      </c>
      <c r="AP62">
        <v>1132</v>
      </c>
      <c r="AQ62">
        <v>0</v>
      </c>
      <c r="AR62">
        <v>0</v>
      </c>
      <c r="AS62">
        <v>0</v>
      </c>
      <c r="AT62">
        <v>0</v>
      </c>
      <c r="AU62">
        <v>3</v>
      </c>
      <c r="AV62">
        <v>0</v>
      </c>
      <c r="AW62">
        <v>0</v>
      </c>
      <c r="AX62">
        <v>0</v>
      </c>
      <c r="AY62">
        <v>21</v>
      </c>
      <c r="AZ62">
        <v>40</v>
      </c>
      <c r="BA62">
        <v>889</v>
      </c>
      <c r="BB62">
        <v>5</v>
      </c>
      <c r="BC62">
        <v>2</v>
      </c>
      <c r="BD62">
        <v>0</v>
      </c>
      <c r="BE62">
        <v>5</v>
      </c>
      <c r="BF62">
        <v>52</v>
      </c>
      <c r="BG62">
        <v>17</v>
      </c>
      <c r="BH62">
        <v>1</v>
      </c>
      <c r="BI62">
        <v>3</v>
      </c>
      <c r="BJ62">
        <v>1</v>
      </c>
      <c r="BK62">
        <v>0</v>
      </c>
      <c r="BL62">
        <v>955</v>
      </c>
      <c r="BM62">
        <v>0</v>
      </c>
      <c r="BN62">
        <v>15</v>
      </c>
      <c r="BO62">
        <v>0</v>
      </c>
      <c r="BP62">
        <v>11</v>
      </c>
      <c r="BQ62">
        <v>21</v>
      </c>
      <c r="BR62">
        <v>4</v>
      </c>
      <c r="BS62">
        <v>6</v>
      </c>
      <c r="BT62">
        <v>4</v>
      </c>
      <c r="BU62">
        <v>0</v>
      </c>
      <c r="BV62">
        <v>0</v>
      </c>
      <c r="BW62">
        <v>928</v>
      </c>
      <c r="BX62">
        <v>0</v>
      </c>
      <c r="BY62">
        <v>7</v>
      </c>
      <c r="BZ62">
        <v>1</v>
      </c>
      <c r="CA62">
        <v>1</v>
      </c>
      <c r="CB62">
        <v>35</v>
      </c>
      <c r="CC62">
        <v>6</v>
      </c>
      <c r="CD62">
        <v>2</v>
      </c>
      <c r="CE62">
        <v>0</v>
      </c>
      <c r="CF62">
        <v>1</v>
      </c>
      <c r="CG62">
        <v>0</v>
      </c>
      <c r="CH62">
        <v>840</v>
      </c>
      <c r="CI62">
        <v>14</v>
      </c>
      <c r="CJ62">
        <v>5</v>
      </c>
      <c r="CK62">
        <v>22</v>
      </c>
      <c r="CL62">
        <v>2</v>
      </c>
      <c r="CM62">
        <v>10</v>
      </c>
      <c r="CN62">
        <v>3</v>
      </c>
      <c r="CO62">
        <v>0</v>
      </c>
      <c r="CP62">
        <v>0</v>
      </c>
      <c r="CQ62">
        <v>1</v>
      </c>
      <c r="CR62">
        <v>1</v>
      </c>
      <c r="CS62">
        <v>940</v>
      </c>
      <c r="CT62">
        <v>0</v>
      </c>
      <c r="CU62">
        <v>3</v>
      </c>
      <c r="CV62">
        <v>0</v>
      </c>
      <c r="CW62">
        <v>0</v>
      </c>
      <c r="CX62">
        <v>7</v>
      </c>
      <c r="CY62">
        <v>0</v>
      </c>
      <c r="CZ62">
        <v>0</v>
      </c>
      <c r="DA62">
        <v>0</v>
      </c>
      <c r="DB62">
        <v>0</v>
      </c>
      <c r="DC62">
        <v>0</v>
      </c>
      <c r="DD62">
        <v>1018</v>
      </c>
      <c r="DE62">
        <v>0</v>
      </c>
      <c r="DF62">
        <v>3</v>
      </c>
      <c r="DG62">
        <v>2</v>
      </c>
      <c r="DH62">
        <v>0</v>
      </c>
      <c r="DI62">
        <v>0</v>
      </c>
      <c r="DJ62">
        <v>0</v>
      </c>
      <c r="DK62">
        <v>0</v>
      </c>
      <c r="DL62">
        <v>1</v>
      </c>
      <c r="DM62">
        <v>1</v>
      </c>
      <c r="DN62">
        <v>4</v>
      </c>
      <c r="DO62">
        <v>961</v>
      </c>
      <c r="DP62">
        <v>5</v>
      </c>
      <c r="DQ62">
        <v>2</v>
      </c>
      <c r="DR62">
        <v>2</v>
      </c>
      <c r="DS62">
        <v>0</v>
      </c>
      <c r="DT62">
        <v>0</v>
      </c>
      <c r="DU62">
        <v>1</v>
      </c>
      <c r="DV62">
        <v>2</v>
      </c>
      <c r="DW62">
        <v>1</v>
      </c>
      <c r="DX62">
        <v>2</v>
      </c>
      <c r="DY62">
        <v>1</v>
      </c>
      <c r="DZ62">
        <v>998</v>
      </c>
      <c r="EA62">
        <v>0.96330000000000005</v>
      </c>
      <c r="EB62">
        <v>0.96500519017171504</v>
      </c>
      <c r="EC62">
        <v>0.96301207688950696</v>
      </c>
      <c r="ED62">
        <v>0.96303092984380001</v>
      </c>
      <c r="EE62">
        <f>SUM(Table1[[#This Row],[ratio_0]:[ratio_9]])</f>
        <v>640</v>
      </c>
      <c r="EF62" s="1">
        <f>(Table1[[#This Row],[predicted_0]]-Table1[[#This Row],[actual_0]])/Table1[[#This Row],[actual_0]]</f>
        <v>4.2857142857142858E-2</v>
      </c>
      <c r="EG62" s="1">
        <f>(Table1[[#This Row],[predicted_1]]-Table1[[#This Row],[actual_1]])/Table1[[#This Row],[actual_1]]</f>
        <v>5.0220264317180616E-2</v>
      </c>
      <c r="EH62" s="1">
        <f>(Table1[[#This Row],[predicted_2]]-Table1[[#This Row],[actual_2]])/Table1[[#This Row],[actual_2]]</f>
        <v>-0.1375968992248062</v>
      </c>
      <c r="EI62" s="1">
        <f>(Table1[[#This Row],[predicted_3]]-Table1[[#This Row],[actual_3]])/Table1[[#This Row],[actual_3]]</f>
        <v>-4.8514851485148516E-2</v>
      </c>
      <c r="EJ62" s="1">
        <f>(Table1[[#This Row],[predicted_4]]-Table1[[#This Row],[actual_4]])/Table1[[#This Row],[actual_4]]</f>
        <v>-5.0916496945010187E-2</v>
      </c>
      <c r="EK62" s="1">
        <f>(Table1[[#This Row],[predicted_5]]-Table1[[#This Row],[actual_5]])/Table1[[#This Row],[actual_5]]</f>
        <v>-3.6995515695067267E-2</v>
      </c>
      <c r="EL62" s="1">
        <f>(Table1[[#This Row],[predicted_6]]-Table1[[#This Row],[actual_6]])/Table1[[#This Row],[actual_6]]</f>
        <v>1.4613778705636743E-2</v>
      </c>
      <c r="EM62" s="1">
        <f>(Table1[[#This Row],[predicted_7]]-Table1[[#This Row],[actual_7]])/Table1[[#This Row],[actual_7]]</f>
        <v>6.7120622568093383E-2</v>
      </c>
      <c r="EN62" s="1">
        <f>(Table1[[#This Row],[predicted_8]]-Table1[[#This Row],[actual_8]])/Table1[[#This Row],[actual_8]]</f>
        <v>5.4414784394250515E-2</v>
      </c>
      <c r="EO62" s="1">
        <f>(Table1[[#This Row],[predicted_9]]-Table1[[#This Row],[actual_9]])/Table1[[#This Row],[actual_9]]</f>
        <v>3.865213082259663E-2</v>
      </c>
      <c r="EP62" s="1">
        <f>1+(Table1[[#This Row],[error_ratio_0]]-EF$2)</f>
        <v>1.0408163265306123</v>
      </c>
      <c r="EQ62" s="1">
        <f>1+(Table1[[#This Row],[error_ratio_1]]-EG$2)</f>
        <v>1.0484581497797356</v>
      </c>
      <c r="ER62" s="1">
        <f>1+(Table1[[#This Row],[error_ratio_2]]-EH$2)</f>
        <v>0.86724806201550386</v>
      </c>
      <c r="ES62" s="1">
        <f>1+(Table1[[#This Row],[error_ratio_3]]-EI$2)</f>
        <v>0.94158415841584153</v>
      </c>
      <c r="ET62" s="1">
        <f>1+(Table1[[#This Row],[error_ratio_4]]-EJ$2)</f>
        <v>0.94806517311608962</v>
      </c>
      <c r="EU62" s="1">
        <f>1+(Table1[[#This Row],[error_ratio_5]]-EK$2)</f>
        <v>0.96188340807174888</v>
      </c>
      <c r="EV62" s="1">
        <f>1+(Table1[[#This Row],[error_ratio_6]]-EL$2)</f>
        <v>1.0208768267223383</v>
      </c>
      <c r="EW62" s="1">
        <f>1+(Table1[[#This Row],[error_ratio_7]]-EM$2)</f>
        <v>1.0651750972762646</v>
      </c>
      <c r="EX62" s="1">
        <f>1+(Table1[[#This Row],[error_ratio_8]]-EN$2)</f>
        <v>1.0574948665297741</v>
      </c>
      <c r="EY62" s="1">
        <f>1+(Table1[[#This Row],[error_ratio_9]]-EO$2)</f>
        <v>1.0426164519326064</v>
      </c>
    </row>
    <row r="63" spans="1:155" x14ac:dyDescent="0.75">
      <c r="A63">
        <v>10</v>
      </c>
      <c r="B63">
        <v>100</v>
      </c>
      <c r="C63">
        <v>10</v>
      </c>
      <c r="D63">
        <v>10</v>
      </c>
      <c r="E63">
        <v>10</v>
      </c>
      <c r="F63">
        <v>10</v>
      </c>
      <c r="G63">
        <v>100</v>
      </c>
      <c r="H63">
        <v>100</v>
      </c>
      <c r="I63">
        <v>100</v>
      </c>
      <c r="J63">
        <v>100</v>
      </c>
      <c r="K63">
        <v>980</v>
      </c>
      <c r="L63">
        <v>1175</v>
      </c>
      <c r="M63">
        <v>954</v>
      </c>
      <c r="N63">
        <v>998</v>
      </c>
      <c r="O63">
        <v>918</v>
      </c>
      <c r="P63">
        <v>837</v>
      </c>
      <c r="Q63">
        <v>993</v>
      </c>
      <c r="R63">
        <v>1060</v>
      </c>
      <c r="S63">
        <v>1024</v>
      </c>
      <c r="T63">
        <v>1061</v>
      </c>
      <c r="U63">
        <v>980</v>
      </c>
      <c r="V63">
        <v>1135</v>
      </c>
      <c r="W63">
        <v>1032</v>
      </c>
      <c r="X63">
        <v>1010</v>
      </c>
      <c r="Y63">
        <v>982</v>
      </c>
      <c r="Z63">
        <v>892</v>
      </c>
      <c r="AA63">
        <v>958</v>
      </c>
      <c r="AB63">
        <v>1028</v>
      </c>
      <c r="AC63">
        <v>974</v>
      </c>
      <c r="AD63">
        <v>1009</v>
      </c>
      <c r="AE63">
        <v>957</v>
      </c>
      <c r="AF63">
        <v>1</v>
      </c>
      <c r="AG63">
        <v>0</v>
      </c>
      <c r="AH63">
        <v>0</v>
      </c>
      <c r="AI63">
        <v>0</v>
      </c>
      <c r="AJ63">
        <v>1</v>
      </c>
      <c r="AK63">
        <v>9</v>
      </c>
      <c r="AL63">
        <v>6</v>
      </c>
      <c r="AM63">
        <v>4</v>
      </c>
      <c r="AN63">
        <v>2</v>
      </c>
      <c r="AO63">
        <v>0</v>
      </c>
      <c r="AP63">
        <v>1134</v>
      </c>
      <c r="AQ63">
        <v>0</v>
      </c>
      <c r="AR63">
        <v>1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10</v>
      </c>
      <c r="AZ63">
        <v>15</v>
      </c>
      <c r="BA63">
        <v>941</v>
      </c>
      <c r="BB63">
        <v>14</v>
      </c>
      <c r="BC63">
        <v>0</v>
      </c>
      <c r="BD63">
        <v>1</v>
      </c>
      <c r="BE63">
        <v>7</v>
      </c>
      <c r="BF63">
        <v>25</v>
      </c>
      <c r="BG63">
        <v>19</v>
      </c>
      <c r="BH63">
        <v>0</v>
      </c>
      <c r="BI63">
        <v>2</v>
      </c>
      <c r="BJ63">
        <v>0</v>
      </c>
      <c r="BK63">
        <v>2</v>
      </c>
      <c r="BL63">
        <v>973</v>
      </c>
      <c r="BM63">
        <v>0</v>
      </c>
      <c r="BN63">
        <v>15</v>
      </c>
      <c r="BO63">
        <v>0</v>
      </c>
      <c r="BP63">
        <v>7</v>
      </c>
      <c r="BQ63">
        <v>4</v>
      </c>
      <c r="BR63">
        <v>7</v>
      </c>
      <c r="BS63">
        <v>2</v>
      </c>
      <c r="BT63">
        <v>11</v>
      </c>
      <c r="BU63">
        <v>4</v>
      </c>
      <c r="BV63">
        <v>0</v>
      </c>
      <c r="BW63">
        <v>915</v>
      </c>
      <c r="BX63">
        <v>0</v>
      </c>
      <c r="BY63">
        <v>20</v>
      </c>
      <c r="BZ63">
        <v>1</v>
      </c>
      <c r="CA63">
        <v>5</v>
      </c>
      <c r="CB63">
        <v>24</v>
      </c>
      <c r="CC63">
        <v>3</v>
      </c>
      <c r="CD63">
        <v>2</v>
      </c>
      <c r="CE63">
        <v>0</v>
      </c>
      <c r="CF63">
        <v>9</v>
      </c>
      <c r="CG63">
        <v>0</v>
      </c>
      <c r="CH63">
        <v>813</v>
      </c>
      <c r="CI63">
        <v>12</v>
      </c>
      <c r="CJ63">
        <v>2</v>
      </c>
      <c r="CK63">
        <v>20</v>
      </c>
      <c r="CL63">
        <v>31</v>
      </c>
      <c r="CM63">
        <v>1</v>
      </c>
      <c r="CN63">
        <v>3</v>
      </c>
      <c r="CO63">
        <v>0</v>
      </c>
      <c r="CP63">
        <v>0</v>
      </c>
      <c r="CQ63">
        <v>1</v>
      </c>
      <c r="CR63">
        <v>1</v>
      </c>
      <c r="CS63">
        <v>944</v>
      </c>
      <c r="CT63">
        <v>0</v>
      </c>
      <c r="CU63">
        <v>8</v>
      </c>
      <c r="CV63">
        <v>0</v>
      </c>
      <c r="CW63">
        <v>0</v>
      </c>
      <c r="CX63">
        <v>8</v>
      </c>
      <c r="CY63">
        <v>5</v>
      </c>
      <c r="CZ63">
        <v>0</v>
      </c>
      <c r="DA63">
        <v>0</v>
      </c>
      <c r="DB63">
        <v>0</v>
      </c>
      <c r="DC63">
        <v>0</v>
      </c>
      <c r="DD63">
        <v>1011</v>
      </c>
      <c r="DE63">
        <v>1</v>
      </c>
      <c r="DF63">
        <v>3</v>
      </c>
      <c r="DG63">
        <v>3</v>
      </c>
      <c r="DH63">
        <v>0</v>
      </c>
      <c r="DI63">
        <v>2</v>
      </c>
      <c r="DJ63">
        <v>1</v>
      </c>
      <c r="DK63">
        <v>0</v>
      </c>
      <c r="DL63">
        <v>2</v>
      </c>
      <c r="DM63">
        <v>0</v>
      </c>
      <c r="DN63">
        <v>4</v>
      </c>
      <c r="DO63">
        <v>959</v>
      </c>
      <c r="DP63">
        <v>3</v>
      </c>
      <c r="DQ63">
        <v>2</v>
      </c>
      <c r="DR63">
        <v>1</v>
      </c>
      <c r="DS63">
        <v>0</v>
      </c>
      <c r="DT63">
        <v>0</v>
      </c>
      <c r="DU63">
        <v>2</v>
      </c>
      <c r="DV63">
        <v>4</v>
      </c>
      <c r="DW63">
        <v>1</v>
      </c>
      <c r="DX63">
        <v>4</v>
      </c>
      <c r="DY63">
        <v>4</v>
      </c>
      <c r="DZ63">
        <v>991</v>
      </c>
      <c r="EA63">
        <v>0.96379999999999999</v>
      </c>
      <c r="EB63">
        <v>0.96459943613239796</v>
      </c>
      <c r="EC63">
        <v>0.96296538693495104</v>
      </c>
      <c r="ED63">
        <v>0.96322391763843895</v>
      </c>
      <c r="EE63">
        <f>SUM(Table1[[#This Row],[ratio_0]:[ratio_9]])</f>
        <v>550</v>
      </c>
      <c r="EF63" s="1">
        <f>(Table1[[#This Row],[predicted_0]]-Table1[[#This Row],[actual_0]])/Table1[[#This Row],[actual_0]]</f>
        <v>0</v>
      </c>
      <c r="EG63" s="1">
        <f>(Table1[[#This Row],[predicted_1]]-Table1[[#This Row],[actual_1]])/Table1[[#This Row],[actual_1]]</f>
        <v>3.5242290748898682E-2</v>
      </c>
      <c r="EH63" s="1">
        <f>(Table1[[#This Row],[predicted_2]]-Table1[[#This Row],[actual_2]])/Table1[[#This Row],[actual_2]]</f>
        <v>-7.5581395348837205E-2</v>
      </c>
      <c r="EI63" s="1">
        <f>(Table1[[#This Row],[predicted_3]]-Table1[[#This Row],[actual_3]])/Table1[[#This Row],[actual_3]]</f>
        <v>-1.1881188118811881E-2</v>
      </c>
      <c r="EJ63" s="1">
        <f>(Table1[[#This Row],[predicted_4]]-Table1[[#This Row],[actual_4]])/Table1[[#This Row],[actual_4]]</f>
        <v>-6.5173116089613028E-2</v>
      </c>
      <c r="EK63" s="1">
        <f>(Table1[[#This Row],[predicted_5]]-Table1[[#This Row],[actual_5]])/Table1[[#This Row],[actual_5]]</f>
        <v>-6.1659192825112105E-2</v>
      </c>
      <c r="EL63" s="1">
        <f>(Table1[[#This Row],[predicted_6]]-Table1[[#This Row],[actual_6]])/Table1[[#This Row],[actual_6]]</f>
        <v>3.6534446764091857E-2</v>
      </c>
      <c r="EM63" s="1">
        <f>(Table1[[#This Row],[predicted_7]]-Table1[[#This Row],[actual_7]])/Table1[[#This Row],[actual_7]]</f>
        <v>3.1128404669260701E-2</v>
      </c>
      <c r="EN63" s="1">
        <f>(Table1[[#This Row],[predicted_8]]-Table1[[#This Row],[actual_8]])/Table1[[#This Row],[actual_8]]</f>
        <v>5.1334702258726897E-2</v>
      </c>
      <c r="EO63" s="1">
        <f>(Table1[[#This Row],[predicted_9]]-Table1[[#This Row],[actual_9]])/Table1[[#This Row],[actual_9]]</f>
        <v>5.1536174430128839E-2</v>
      </c>
      <c r="EP63" s="1">
        <f>1+(Table1[[#This Row],[error_ratio_0]]-EF$2)</f>
        <v>0.99795918367346936</v>
      </c>
      <c r="EQ63" s="1">
        <f>1+(Table1[[#This Row],[error_ratio_1]]-EG$2)</f>
        <v>1.0334801762114538</v>
      </c>
      <c r="ER63" s="1">
        <f>1+(Table1[[#This Row],[error_ratio_2]]-EH$2)</f>
        <v>0.92926356589147285</v>
      </c>
      <c r="ES63" s="1">
        <f>1+(Table1[[#This Row],[error_ratio_3]]-EI$2)</f>
        <v>0.9782178217821782</v>
      </c>
      <c r="ET63" s="1">
        <f>1+(Table1[[#This Row],[error_ratio_4]]-EJ$2)</f>
        <v>0.93380855397148677</v>
      </c>
      <c r="EU63" s="1">
        <f>1+(Table1[[#This Row],[error_ratio_5]]-EK$2)</f>
        <v>0.93721973094170408</v>
      </c>
      <c r="EV63" s="1">
        <f>1+(Table1[[#This Row],[error_ratio_6]]-EL$2)</f>
        <v>1.0427974947807934</v>
      </c>
      <c r="EW63" s="1">
        <f>1+(Table1[[#This Row],[error_ratio_7]]-EM$2)</f>
        <v>1.0291828793774318</v>
      </c>
      <c r="EX63" s="1">
        <f>1+(Table1[[#This Row],[error_ratio_8]]-EN$2)</f>
        <v>1.0544147843942504</v>
      </c>
      <c r="EY63" s="1">
        <f>1+(Table1[[#This Row],[error_ratio_9]]-EO$2)</f>
        <v>1.0555004955401388</v>
      </c>
    </row>
    <row r="64" spans="1:155" x14ac:dyDescent="0.75">
      <c r="A64">
        <v>100</v>
      </c>
      <c r="B64">
        <v>10</v>
      </c>
      <c r="C64">
        <v>10</v>
      </c>
      <c r="D64">
        <v>10</v>
      </c>
      <c r="E64">
        <v>10</v>
      </c>
      <c r="F64">
        <v>10</v>
      </c>
      <c r="G64">
        <v>100</v>
      </c>
      <c r="H64">
        <v>100</v>
      </c>
      <c r="I64">
        <v>100</v>
      </c>
      <c r="J64">
        <v>100</v>
      </c>
      <c r="K64">
        <v>994</v>
      </c>
      <c r="L64">
        <v>1124</v>
      </c>
      <c r="M64">
        <v>884</v>
      </c>
      <c r="N64">
        <v>976</v>
      </c>
      <c r="O64">
        <v>919</v>
      </c>
      <c r="P64">
        <v>888</v>
      </c>
      <c r="Q64">
        <v>994</v>
      </c>
      <c r="R64">
        <v>1056</v>
      </c>
      <c r="S64">
        <v>1036</v>
      </c>
      <c r="T64">
        <v>1129</v>
      </c>
      <c r="U64">
        <v>980</v>
      </c>
      <c r="V64">
        <v>1135</v>
      </c>
      <c r="W64">
        <v>1032</v>
      </c>
      <c r="X64">
        <v>1010</v>
      </c>
      <c r="Y64">
        <v>982</v>
      </c>
      <c r="Z64">
        <v>892</v>
      </c>
      <c r="AA64">
        <v>958</v>
      </c>
      <c r="AB64">
        <v>1028</v>
      </c>
      <c r="AC64">
        <v>974</v>
      </c>
      <c r="AD64">
        <v>1009</v>
      </c>
      <c r="AE64">
        <v>969</v>
      </c>
      <c r="AF64">
        <v>1</v>
      </c>
      <c r="AG64">
        <v>0</v>
      </c>
      <c r="AH64">
        <v>0</v>
      </c>
      <c r="AI64">
        <v>0</v>
      </c>
      <c r="AJ64">
        <v>0</v>
      </c>
      <c r="AK64">
        <v>5</v>
      </c>
      <c r="AL64">
        <v>1</v>
      </c>
      <c r="AM64">
        <v>1</v>
      </c>
      <c r="AN64">
        <v>3</v>
      </c>
      <c r="AO64">
        <v>0</v>
      </c>
      <c r="AP64">
        <v>1118</v>
      </c>
      <c r="AQ64">
        <v>2</v>
      </c>
      <c r="AR64">
        <v>4</v>
      </c>
      <c r="AS64">
        <v>1</v>
      </c>
      <c r="AT64">
        <v>0</v>
      </c>
      <c r="AU64">
        <v>8</v>
      </c>
      <c r="AV64">
        <v>1</v>
      </c>
      <c r="AW64">
        <v>1</v>
      </c>
      <c r="AX64">
        <v>0</v>
      </c>
      <c r="AY64">
        <v>9</v>
      </c>
      <c r="AZ64">
        <v>0</v>
      </c>
      <c r="BA64">
        <v>881</v>
      </c>
      <c r="BB64">
        <v>16</v>
      </c>
      <c r="BC64">
        <v>5</v>
      </c>
      <c r="BD64">
        <v>0</v>
      </c>
      <c r="BE64">
        <v>10</v>
      </c>
      <c r="BF64">
        <v>51</v>
      </c>
      <c r="BG64">
        <v>55</v>
      </c>
      <c r="BH64">
        <v>5</v>
      </c>
      <c r="BI64">
        <v>2</v>
      </c>
      <c r="BJ64">
        <v>0</v>
      </c>
      <c r="BK64">
        <v>0</v>
      </c>
      <c r="BL64">
        <v>951</v>
      </c>
      <c r="BM64">
        <v>0</v>
      </c>
      <c r="BN64">
        <v>30</v>
      </c>
      <c r="BO64">
        <v>0</v>
      </c>
      <c r="BP64">
        <v>8</v>
      </c>
      <c r="BQ64">
        <v>11</v>
      </c>
      <c r="BR64">
        <v>8</v>
      </c>
      <c r="BS64">
        <v>0</v>
      </c>
      <c r="BT64">
        <v>0</v>
      </c>
      <c r="BU64">
        <v>0</v>
      </c>
      <c r="BV64">
        <v>0</v>
      </c>
      <c r="BW64">
        <v>897</v>
      </c>
      <c r="BX64">
        <v>0</v>
      </c>
      <c r="BY64">
        <v>12</v>
      </c>
      <c r="BZ64">
        <v>1</v>
      </c>
      <c r="CA64">
        <v>1</v>
      </c>
      <c r="CB64">
        <v>71</v>
      </c>
      <c r="CC64">
        <v>5</v>
      </c>
      <c r="CD64">
        <v>1</v>
      </c>
      <c r="CE64">
        <v>0</v>
      </c>
      <c r="CF64">
        <v>4</v>
      </c>
      <c r="CG64">
        <v>0</v>
      </c>
      <c r="CH64">
        <v>854</v>
      </c>
      <c r="CI64">
        <v>12</v>
      </c>
      <c r="CJ64">
        <v>2</v>
      </c>
      <c r="CK64">
        <v>8</v>
      </c>
      <c r="CL64">
        <v>6</v>
      </c>
      <c r="CM64">
        <v>5</v>
      </c>
      <c r="CN64">
        <v>2</v>
      </c>
      <c r="CO64">
        <v>0</v>
      </c>
      <c r="CP64">
        <v>0</v>
      </c>
      <c r="CQ64">
        <v>1</v>
      </c>
      <c r="CR64">
        <v>1</v>
      </c>
      <c r="CS64">
        <v>946</v>
      </c>
      <c r="CT64">
        <v>0</v>
      </c>
      <c r="CU64">
        <v>1</v>
      </c>
      <c r="CV64">
        <v>2</v>
      </c>
      <c r="CW64">
        <v>0</v>
      </c>
      <c r="CX64">
        <v>0</v>
      </c>
      <c r="CY64">
        <v>1</v>
      </c>
      <c r="CZ64">
        <v>0</v>
      </c>
      <c r="DA64">
        <v>4</v>
      </c>
      <c r="DB64">
        <v>1</v>
      </c>
      <c r="DC64">
        <v>0</v>
      </c>
      <c r="DD64">
        <v>989</v>
      </c>
      <c r="DE64">
        <v>2</v>
      </c>
      <c r="DF64">
        <v>31</v>
      </c>
      <c r="DG64">
        <v>4</v>
      </c>
      <c r="DH64">
        <v>0</v>
      </c>
      <c r="DI64">
        <v>0</v>
      </c>
      <c r="DJ64">
        <v>1</v>
      </c>
      <c r="DK64">
        <v>5</v>
      </c>
      <c r="DL64">
        <v>0</v>
      </c>
      <c r="DM64">
        <v>1</v>
      </c>
      <c r="DN64">
        <v>2</v>
      </c>
      <c r="DO64">
        <v>955</v>
      </c>
      <c r="DP64">
        <v>6</v>
      </c>
      <c r="DQ64">
        <v>0</v>
      </c>
      <c r="DR64">
        <v>2</v>
      </c>
      <c r="DS64">
        <v>0</v>
      </c>
      <c r="DT64">
        <v>0</v>
      </c>
      <c r="DU64">
        <v>6</v>
      </c>
      <c r="DV64">
        <v>2</v>
      </c>
      <c r="DW64">
        <v>0</v>
      </c>
      <c r="DX64">
        <v>1</v>
      </c>
      <c r="DY64">
        <v>1</v>
      </c>
      <c r="DZ64">
        <v>997</v>
      </c>
      <c r="EA64">
        <v>0.95569999999999999</v>
      </c>
      <c r="EB64">
        <v>0.957143558199957</v>
      </c>
      <c r="EC64">
        <v>0.95580409345143602</v>
      </c>
      <c r="ED64">
        <v>0.95534686245782297</v>
      </c>
      <c r="EE64">
        <f>SUM(Table1[[#This Row],[ratio_0]:[ratio_9]])</f>
        <v>550</v>
      </c>
      <c r="EF64" s="1">
        <f>(Table1[[#This Row],[predicted_0]]-Table1[[#This Row],[actual_0]])/Table1[[#This Row],[actual_0]]</f>
        <v>1.4285714285714285E-2</v>
      </c>
      <c r="EG64" s="1">
        <f>(Table1[[#This Row],[predicted_1]]-Table1[[#This Row],[actual_1]])/Table1[[#This Row],[actual_1]]</f>
        <v>-9.6916299559471359E-3</v>
      </c>
      <c r="EH64" s="1">
        <f>(Table1[[#This Row],[predicted_2]]-Table1[[#This Row],[actual_2]])/Table1[[#This Row],[actual_2]]</f>
        <v>-0.1434108527131783</v>
      </c>
      <c r="EI64" s="1">
        <f>(Table1[[#This Row],[predicted_3]]-Table1[[#This Row],[actual_3]])/Table1[[#This Row],[actual_3]]</f>
        <v>-3.3663366336633666E-2</v>
      </c>
      <c r="EJ64" s="1">
        <f>(Table1[[#This Row],[predicted_4]]-Table1[[#This Row],[actual_4]])/Table1[[#This Row],[actual_4]]</f>
        <v>-6.4154786150712836E-2</v>
      </c>
      <c r="EK64" s="1">
        <f>(Table1[[#This Row],[predicted_5]]-Table1[[#This Row],[actual_5]])/Table1[[#This Row],[actual_5]]</f>
        <v>-4.4843049327354259E-3</v>
      </c>
      <c r="EL64" s="1">
        <f>(Table1[[#This Row],[predicted_6]]-Table1[[#This Row],[actual_6]])/Table1[[#This Row],[actual_6]]</f>
        <v>3.7578288100208766E-2</v>
      </c>
      <c r="EM64" s="1">
        <f>(Table1[[#This Row],[predicted_7]]-Table1[[#This Row],[actual_7]])/Table1[[#This Row],[actual_7]]</f>
        <v>2.7237354085603113E-2</v>
      </c>
      <c r="EN64" s="1">
        <f>(Table1[[#This Row],[predicted_8]]-Table1[[#This Row],[actual_8]])/Table1[[#This Row],[actual_8]]</f>
        <v>6.3655030800821355E-2</v>
      </c>
      <c r="EO64" s="1">
        <f>(Table1[[#This Row],[predicted_9]]-Table1[[#This Row],[actual_9]])/Table1[[#This Row],[actual_9]]</f>
        <v>0.11892963330029732</v>
      </c>
      <c r="EP64" s="1">
        <f>1+(Table1[[#This Row],[error_ratio_0]]-EF$2)</f>
        <v>1.0122448979591836</v>
      </c>
      <c r="EQ64" s="1">
        <f>1+(Table1[[#This Row],[error_ratio_1]]-EG$2)</f>
        <v>0.98854625550660791</v>
      </c>
      <c r="ER64" s="1">
        <f>1+(Table1[[#This Row],[error_ratio_2]]-EH$2)</f>
        <v>0.86143410852713176</v>
      </c>
      <c r="ES64" s="1">
        <f>1+(Table1[[#This Row],[error_ratio_3]]-EI$2)</f>
        <v>0.9564356435643564</v>
      </c>
      <c r="ET64" s="1">
        <f>1+(Table1[[#This Row],[error_ratio_4]]-EJ$2)</f>
        <v>0.93482688391038693</v>
      </c>
      <c r="EU64" s="1">
        <f>1+(Table1[[#This Row],[error_ratio_5]]-EK$2)</f>
        <v>0.99439461883408076</v>
      </c>
      <c r="EV64" s="1">
        <f>1+(Table1[[#This Row],[error_ratio_6]]-EL$2)</f>
        <v>1.0438413361169103</v>
      </c>
      <c r="EW64" s="1">
        <f>1+(Table1[[#This Row],[error_ratio_7]]-EM$2)</f>
        <v>1.0252918287937742</v>
      </c>
      <c r="EX64" s="1">
        <f>1+(Table1[[#This Row],[error_ratio_8]]-EN$2)</f>
        <v>1.0667351129363449</v>
      </c>
      <c r="EY64" s="1">
        <f>1+(Table1[[#This Row],[error_ratio_9]]-EO$2)</f>
        <v>1.1228939544103071</v>
      </c>
    </row>
    <row r="65" spans="1:155" x14ac:dyDescent="0.75">
      <c r="A65">
        <v>10</v>
      </c>
      <c r="B65">
        <v>10</v>
      </c>
      <c r="C65">
        <v>10</v>
      </c>
      <c r="D65">
        <v>10</v>
      </c>
      <c r="E65">
        <v>10</v>
      </c>
      <c r="F65">
        <v>10</v>
      </c>
      <c r="G65">
        <v>100</v>
      </c>
      <c r="H65">
        <v>100</v>
      </c>
      <c r="I65">
        <v>100</v>
      </c>
      <c r="J65">
        <v>100</v>
      </c>
      <c r="K65">
        <v>951</v>
      </c>
      <c r="L65">
        <v>1111</v>
      </c>
      <c r="M65">
        <v>862</v>
      </c>
      <c r="N65">
        <v>965</v>
      </c>
      <c r="O65">
        <v>903</v>
      </c>
      <c r="P65">
        <v>897</v>
      </c>
      <c r="Q65">
        <v>1015</v>
      </c>
      <c r="R65">
        <v>1138</v>
      </c>
      <c r="S65">
        <v>1047</v>
      </c>
      <c r="T65">
        <v>1111</v>
      </c>
      <c r="U65">
        <v>980</v>
      </c>
      <c r="V65">
        <v>1135</v>
      </c>
      <c r="W65">
        <v>1032</v>
      </c>
      <c r="X65">
        <v>1010</v>
      </c>
      <c r="Y65">
        <v>982</v>
      </c>
      <c r="Z65">
        <v>892</v>
      </c>
      <c r="AA65">
        <v>958</v>
      </c>
      <c r="AB65">
        <v>1028</v>
      </c>
      <c r="AC65">
        <v>974</v>
      </c>
      <c r="AD65">
        <v>1009</v>
      </c>
      <c r="AE65">
        <v>935</v>
      </c>
      <c r="AF65">
        <v>0</v>
      </c>
      <c r="AG65">
        <v>0</v>
      </c>
      <c r="AH65">
        <v>0</v>
      </c>
      <c r="AI65">
        <v>1</v>
      </c>
      <c r="AJ65">
        <v>1</v>
      </c>
      <c r="AK65">
        <v>30</v>
      </c>
      <c r="AL65">
        <v>3</v>
      </c>
      <c r="AM65">
        <v>4</v>
      </c>
      <c r="AN65">
        <v>6</v>
      </c>
      <c r="AO65">
        <v>0</v>
      </c>
      <c r="AP65">
        <v>1106</v>
      </c>
      <c r="AQ65">
        <v>2</v>
      </c>
      <c r="AR65">
        <v>2</v>
      </c>
      <c r="AS65">
        <v>0</v>
      </c>
      <c r="AT65">
        <v>3</v>
      </c>
      <c r="AU65">
        <v>8</v>
      </c>
      <c r="AV65">
        <v>4</v>
      </c>
      <c r="AW65">
        <v>10</v>
      </c>
      <c r="AX65">
        <v>0</v>
      </c>
      <c r="AY65">
        <v>9</v>
      </c>
      <c r="AZ65">
        <v>0</v>
      </c>
      <c r="BA65">
        <v>858</v>
      </c>
      <c r="BB65">
        <v>16</v>
      </c>
      <c r="BC65">
        <v>10</v>
      </c>
      <c r="BD65">
        <v>2</v>
      </c>
      <c r="BE65">
        <v>14</v>
      </c>
      <c r="BF65">
        <v>73</v>
      </c>
      <c r="BG65">
        <v>45</v>
      </c>
      <c r="BH65">
        <v>5</v>
      </c>
      <c r="BI65">
        <v>2</v>
      </c>
      <c r="BJ65">
        <v>0</v>
      </c>
      <c r="BK65">
        <v>0</v>
      </c>
      <c r="BL65">
        <v>945</v>
      </c>
      <c r="BM65">
        <v>0</v>
      </c>
      <c r="BN65">
        <v>26</v>
      </c>
      <c r="BO65">
        <v>0</v>
      </c>
      <c r="BP65">
        <v>18</v>
      </c>
      <c r="BQ65">
        <v>10</v>
      </c>
      <c r="BR65">
        <v>9</v>
      </c>
      <c r="BS65">
        <v>0</v>
      </c>
      <c r="BT65">
        <v>2</v>
      </c>
      <c r="BU65">
        <v>1</v>
      </c>
      <c r="BV65">
        <v>0</v>
      </c>
      <c r="BW65">
        <v>884</v>
      </c>
      <c r="BX65">
        <v>0</v>
      </c>
      <c r="BY65">
        <v>6</v>
      </c>
      <c r="BZ65">
        <v>3</v>
      </c>
      <c r="CA65">
        <v>3</v>
      </c>
      <c r="CB65">
        <v>83</v>
      </c>
      <c r="CC65">
        <v>2</v>
      </c>
      <c r="CD65">
        <v>0</v>
      </c>
      <c r="CE65">
        <v>0</v>
      </c>
      <c r="CF65">
        <v>1</v>
      </c>
      <c r="CG65">
        <v>0</v>
      </c>
      <c r="CH65">
        <v>861</v>
      </c>
      <c r="CI65">
        <v>8</v>
      </c>
      <c r="CJ65">
        <v>4</v>
      </c>
      <c r="CK65">
        <v>13</v>
      </c>
      <c r="CL65">
        <v>3</v>
      </c>
      <c r="CM65">
        <v>1</v>
      </c>
      <c r="CN65">
        <v>0</v>
      </c>
      <c r="CO65">
        <v>0</v>
      </c>
      <c r="CP65">
        <v>0</v>
      </c>
      <c r="CQ65">
        <v>6</v>
      </c>
      <c r="CR65">
        <v>2</v>
      </c>
      <c r="CS65">
        <v>948</v>
      </c>
      <c r="CT65">
        <v>0</v>
      </c>
      <c r="CU65">
        <v>1</v>
      </c>
      <c r="CV65">
        <v>0</v>
      </c>
      <c r="CW65">
        <v>0</v>
      </c>
      <c r="CX65">
        <v>3</v>
      </c>
      <c r="CY65">
        <v>1</v>
      </c>
      <c r="CZ65">
        <v>0</v>
      </c>
      <c r="DA65">
        <v>0</v>
      </c>
      <c r="DB65">
        <v>0</v>
      </c>
      <c r="DC65">
        <v>0</v>
      </c>
      <c r="DD65">
        <v>1022</v>
      </c>
      <c r="DE65">
        <v>1</v>
      </c>
      <c r="DF65">
        <v>1</v>
      </c>
      <c r="DG65">
        <v>2</v>
      </c>
      <c r="DH65">
        <v>0</v>
      </c>
      <c r="DI65">
        <v>0</v>
      </c>
      <c r="DJ65">
        <v>0</v>
      </c>
      <c r="DK65">
        <v>1</v>
      </c>
      <c r="DL65">
        <v>1</v>
      </c>
      <c r="DM65">
        <v>1</v>
      </c>
      <c r="DN65">
        <v>6</v>
      </c>
      <c r="DO65">
        <v>959</v>
      </c>
      <c r="DP65">
        <v>4</v>
      </c>
      <c r="DQ65">
        <v>0</v>
      </c>
      <c r="DR65">
        <v>0</v>
      </c>
      <c r="DS65">
        <v>0</v>
      </c>
      <c r="DT65">
        <v>1</v>
      </c>
      <c r="DU65">
        <v>1</v>
      </c>
      <c r="DV65">
        <v>1</v>
      </c>
      <c r="DW65">
        <v>0</v>
      </c>
      <c r="DX65">
        <v>5</v>
      </c>
      <c r="DY65">
        <v>1</v>
      </c>
      <c r="DZ65">
        <v>1000</v>
      </c>
      <c r="EA65">
        <v>0.95179999999999998</v>
      </c>
      <c r="EB65">
        <v>0.95402319158612803</v>
      </c>
      <c r="EC65">
        <v>0.95204250654010303</v>
      </c>
      <c r="ED65">
        <v>0.95138125760340997</v>
      </c>
      <c r="EE65">
        <f>SUM(Table1[[#This Row],[ratio_0]:[ratio_9]])</f>
        <v>460</v>
      </c>
      <c r="EF65" s="1">
        <f>(Table1[[#This Row],[predicted_0]]-Table1[[#This Row],[actual_0]])/Table1[[#This Row],[actual_0]]</f>
        <v>-2.9591836734693878E-2</v>
      </c>
      <c r="EG65" s="1">
        <f>(Table1[[#This Row],[predicted_1]]-Table1[[#This Row],[actual_1]])/Table1[[#This Row],[actual_1]]</f>
        <v>-2.1145374449339206E-2</v>
      </c>
      <c r="EH65" s="1">
        <f>(Table1[[#This Row],[predicted_2]]-Table1[[#This Row],[actual_2]])/Table1[[#This Row],[actual_2]]</f>
        <v>-0.16472868217054262</v>
      </c>
      <c r="EI65" s="1">
        <f>(Table1[[#This Row],[predicted_3]]-Table1[[#This Row],[actual_3]])/Table1[[#This Row],[actual_3]]</f>
        <v>-4.4554455445544552E-2</v>
      </c>
      <c r="EJ65" s="1">
        <f>(Table1[[#This Row],[predicted_4]]-Table1[[#This Row],[actual_4]])/Table1[[#This Row],[actual_4]]</f>
        <v>-8.044806517311609E-2</v>
      </c>
      <c r="EK65" s="1">
        <f>(Table1[[#This Row],[predicted_5]]-Table1[[#This Row],[actual_5]])/Table1[[#This Row],[actual_5]]</f>
        <v>5.6053811659192822E-3</v>
      </c>
      <c r="EL65" s="1">
        <f>(Table1[[#This Row],[predicted_6]]-Table1[[#This Row],[actual_6]])/Table1[[#This Row],[actual_6]]</f>
        <v>5.9498956158663886E-2</v>
      </c>
      <c r="EM65" s="1">
        <f>(Table1[[#This Row],[predicted_7]]-Table1[[#This Row],[actual_7]])/Table1[[#This Row],[actual_7]]</f>
        <v>0.10700389105058365</v>
      </c>
      <c r="EN65" s="1">
        <f>(Table1[[#This Row],[predicted_8]]-Table1[[#This Row],[actual_8]])/Table1[[#This Row],[actual_8]]</f>
        <v>7.4948665297741274E-2</v>
      </c>
      <c r="EO65" s="1">
        <f>(Table1[[#This Row],[predicted_9]]-Table1[[#This Row],[actual_9]])/Table1[[#This Row],[actual_9]]</f>
        <v>0.10109018830525272</v>
      </c>
      <c r="EP65" s="1">
        <f>1+(Table1[[#This Row],[error_ratio_0]]-EF$2)</f>
        <v>0.96836734693877546</v>
      </c>
      <c r="EQ65" s="1">
        <f>1+(Table1[[#This Row],[error_ratio_1]]-EG$2)</f>
        <v>0.97709251101321581</v>
      </c>
      <c r="ER65" s="1">
        <f>1+(Table1[[#This Row],[error_ratio_2]]-EH$2)</f>
        <v>0.84011627906976749</v>
      </c>
      <c r="ES65" s="1">
        <f>1+(Table1[[#This Row],[error_ratio_3]]-EI$2)</f>
        <v>0.9455445544554455</v>
      </c>
      <c r="ET65" s="1">
        <f>1+(Table1[[#This Row],[error_ratio_4]]-EJ$2)</f>
        <v>0.91853360488798375</v>
      </c>
      <c r="EU65" s="1">
        <f>1+(Table1[[#This Row],[error_ratio_5]]-EK$2)</f>
        <v>1.0044843049327354</v>
      </c>
      <c r="EV65" s="1">
        <f>1+(Table1[[#This Row],[error_ratio_6]]-EL$2)</f>
        <v>1.0657620041753653</v>
      </c>
      <c r="EW65" s="1">
        <f>1+(Table1[[#This Row],[error_ratio_7]]-EM$2)</f>
        <v>1.1050583657587549</v>
      </c>
      <c r="EX65" s="1">
        <f>1+(Table1[[#This Row],[error_ratio_8]]-EN$2)</f>
        <v>1.0780287474332648</v>
      </c>
      <c r="EY65" s="1">
        <f>1+(Table1[[#This Row],[error_ratio_9]]-EO$2)</f>
        <v>1.1050545094152626</v>
      </c>
    </row>
    <row r="66" spans="1:155" x14ac:dyDescent="0.75">
      <c r="A66">
        <v>100</v>
      </c>
      <c r="B66">
        <v>100</v>
      </c>
      <c r="C66">
        <v>100</v>
      </c>
      <c r="D66">
        <v>100</v>
      </c>
      <c r="E66">
        <v>100</v>
      </c>
      <c r="F66">
        <v>100</v>
      </c>
      <c r="G66">
        <v>10</v>
      </c>
      <c r="H66">
        <v>100</v>
      </c>
      <c r="I66">
        <v>100</v>
      </c>
      <c r="J66">
        <v>100</v>
      </c>
      <c r="K66">
        <v>1002</v>
      </c>
      <c r="L66">
        <v>1143</v>
      </c>
      <c r="M66">
        <v>1032</v>
      </c>
      <c r="N66">
        <v>1015</v>
      </c>
      <c r="O66">
        <v>990</v>
      </c>
      <c r="P66">
        <v>913</v>
      </c>
      <c r="Q66">
        <v>904</v>
      </c>
      <c r="R66">
        <v>1030</v>
      </c>
      <c r="S66">
        <v>966</v>
      </c>
      <c r="T66">
        <v>1005</v>
      </c>
      <c r="U66">
        <v>980</v>
      </c>
      <c r="V66">
        <v>1135</v>
      </c>
      <c r="W66">
        <v>1032</v>
      </c>
      <c r="X66">
        <v>1010</v>
      </c>
      <c r="Y66">
        <v>982</v>
      </c>
      <c r="Z66">
        <v>892</v>
      </c>
      <c r="AA66">
        <v>958</v>
      </c>
      <c r="AB66">
        <v>1028</v>
      </c>
      <c r="AC66">
        <v>974</v>
      </c>
      <c r="AD66">
        <v>1009</v>
      </c>
      <c r="AE66">
        <v>976</v>
      </c>
      <c r="AF66">
        <v>1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2</v>
      </c>
      <c r="AM66">
        <v>0</v>
      </c>
      <c r="AN66">
        <v>1</v>
      </c>
      <c r="AO66">
        <v>0</v>
      </c>
      <c r="AP66">
        <v>1133</v>
      </c>
      <c r="AQ66">
        <v>0</v>
      </c>
      <c r="AR66">
        <v>0</v>
      </c>
      <c r="AS66">
        <v>0</v>
      </c>
      <c r="AT66">
        <v>2</v>
      </c>
      <c r="AU66">
        <v>0</v>
      </c>
      <c r="AV66">
        <v>0</v>
      </c>
      <c r="AW66">
        <v>0</v>
      </c>
      <c r="AX66">
        <v>0</v>
      </c>
      <c r="AY66">
        <v>2</v>
      </c>
      <c r="AZ66">
        <v>1</v>
      </c>
      <c r="BA66">
        <v>1023</v>
      </c>
      <c r="BB66">
        <v>0</v>
      </c>
      <c r="BC66">
        <v>0</v>
      </c>
      <c r="BD66">
        <v>0</v>
      </c>
      <c r="BE66">
        <v>0</v>
      </c>
      <c r="BF66">
        <v>5</v>
      </c>
      <c r="BG66">
        <v>1</v>
      </c>
      <c r="BH66">
        <v>0</v>
      </c>
      <c r="BI66">
        <v>0</v>
      </c>
      <c r="BJ66">
        <v>0</v>
      </c>
      <c r="BK66">
        <v>2</v>
      </c>
      <c r="BL66">
        <v>1004</v>
      </c>
      <c r="BM66">
        <v>0</v>
      </c>
      <c r="BN66">
        <v>3</v>
      </c>
      <c r="BO66">
        <v>0</v>
      </c>
      <c r="BP66">
        <v>1</v>
      </c>
      <c r="BQ66">
        <v>0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977</v>
      </c>
      <c r="BX66">
        <v>0</v>
      </c>
      <c r="BY66">
        <v>0</v>
      </c>
      <c r="BZ66">
        <v>0</v>
      </c>
      <c r="CA66">
        <v>0</v>
      </c>
      <c r="CB66">
        <v>5</v>
      </c>
      <c r="CC66">
        <v>2</v>
      </c>
      <c r="CD66">
        <v>0</v>
      </c>
      <c r="CE66">
        <v>0</v>
      </c>
      <c r="CF66">
        <v>3</v>
      </c>
      <c r="CG66">
        <v>0</v>
      </c>
      <c r="CH66">
        <v>885</v>
      </c>
      <c r="CI66">
        <v>1</v>
      </c>
      <c r="CJ66">
        <v>1</v>
      </c>
      <c r="CK66">
        <v>0</v>
      </c>
      <c r="CL66">
        <v>0</v>
      </c>
      <c r="CM66">
        <v>17</v>
      </c>
      <c r="CN66">
        <v>5</v>
      </c>
      <c r="CO66">
        <v>1</v>
      </c>
      <c r="CP66">
        <v>0</v>
      </c>
      <c r="CQ66">
        <v>9</v>
      </c>
      <c r="CR66">
        <v>18</v>
      </c>
      <c r="CS66">
        <v>903</v>
      </c>
      <c r="CT66">
        <v>0</v>
      </c>
      <c r="CU66">
        <v>5</v>
      </c>
      <c r="CV66">
        <v>0</v>
      </c>
      <c r="CW66">
        <v>1</v>
      </c>
      <c r="CX66">
        <v>3</v>
      </c>
      <c r="CY66">
        <v>4</v>
      </c>
      <c r="CZ66">
        <v>1</v>
      </c>
      <c r="DA66">
        <v>0</v>
      </c>
      <c r="DB66">
        <v>0</v>
      </c>
      <c r="DC66">
        <v>0</v>
      </c>
      <c r="DD66">
        <v>1016</v>
      </c>
      <c r="DE66">
        <v>0</v>
      </c>
      <c r="DF66">
        <v>3</v>
      </c>
      <c r="DG66">
        <v>4</v>
      </c>
      <c r="DH66">
        <v>0</v>
      </c>
      <c r="DI66">
        <v>2</v>
      </c>
      <c r="DJ66">
        <v>3</v>
      </c>
      <c r="DK66">
        <v>0</v>
      </c>
      <c r="DL66">
        <v>3</v>
      </c>
      <c r="DM66">
        <v>0</v>
      </c>
      <c r="DN66">
        <v>2</v>
      </c>
      <c r="DO66">
        <v>958</v>
      </c>
      <c r="DP66">
        <v>2</v>
      </c>
      <c r="DQ66">
        <v>0</v>
      </c>
      <c r="DR66">
        <v>0</v>
      </c>
      <c r="DS66">
        <v>0</v>
      </c>
      <c r="DT66">
        <v>4</v>
      </c>
      <c r="DU66">
        <v>4</v>
      </c>
      <c r="DV66">
        <v>2</v>
      </c>
      <c r="DW66">
        <v>0</v>
      </c>
      <c r="DX66">
        <v>3</v>
      </c>
      <c r="DY66">
        <v>2</v>
      </c>
      <c r="DZ66">
        <v>994</v>
      </c>
      <c r="EA66">
        <v>0.9869</v>
      </c>
      <c r="EB66">
        <v>0.98680199061489104</v>
      </c>
      <c r="EC66">
        <v>0.98661778110680098</v>
      </c>
      <c r="ED66">
        <v>0.98659720530462702</v>
      </c>
      <c r="EE66">
        <f>SUM(Table1[[#This Row],[ratio_0]:[ratio_9]])</f>
        <v>910</v>
      </c>
      <c r="EF66" s="1">
        <f>(Table1[[#This Row],[predicted_0]]-Table1[[#This Row],[actual_0]])/Table1[[#This Row],[actual_0]]</f>
        <v>2.2448979591836733E-2</v>
      </c>
      <c r="EG66" s="1">
        <f>(Table1[[#This Row],[predicted_1]]-Table1[[#This Row],[actual_1]])/Table1[[#This Row],[actual_1]]</f>
        <v>7.048458149779736E-3</v>
      </c>
      <c r="EH66" s="1">
        <f>(Table1[[#This Row],[predicted_2]]-Table1[[#This Row],[actual_2]])/Table1[[#This Row],[actual_2]]</f>
        <v>0</v>
      </c>
      <c r="EI66" s="1">
        <f>(Table1[[#This Row],[predicted_3]]-Table1[[#This Row],[actual_3]])/Table1[[#This Row],[actual_3]]</f>
        <v>4.9504950495049506E-3</v>
      </c>
      <c r="EJ66" s="1">
        <f>(Table1[[#This Row],[predicted_4]]-Table1[[#This Row],[actual_4]])/Table1[[#This Row],[actual_4]]</f>
        <v>8.1466395112016286E-3</v>
      </c>
      <c r="EK66" s="1">
        <f>(Table1[[#This Row],[predicted_5]]-Table1[[#This Row],[actual_5]])/Table1[[#This Row],[actual_5]]</f>
        <v>2.3542600896860985E-2</v>
      </c>
      <c r="EL66" s="1">
        <f>(Table1[[#This Row],[predicted_6]]-Table1[[#This Row],[actual_6]])/Table1[[#This Row],[actual_6]]</f>
        <v>-5.6367432150313153E-2</v>
      </c>
      <c r="EM66" s="1">
        <f>(Table1[[#This Row],[predicted_7]]-Table1[[#This Row],[actual_7]])/Table1[[#This Row],[actual_7]]</f>
        <v>1.9455252918287938E-3</v>
      </c>
      <c r="EN66" s="1">
        <f>(Table1[[#This Row],[predicted_8]]-Table1[[#This Row],[actual_8]])/Table1[[#This Row],[actual_8]]</f>
        <v>-8.2135523613963042E-3</v>
      </c>
      <c r="EO66" s="1">
        <f>(Table1[[#This Row],[predicted_9]]-Table1[[#This Row],[actual_9]])/Table1[[#This Row],[actual_9]]</f>
        <v>-3.9643211100099107E-3</v>
      </c>
      <c r="EP66" s="1">
        <f>1+(Table1[[#This Row],[error_ratio_0]]-EF$2)</f>
        <v>1.0204081632653061</v>
      </c>
      <c r="EQ66" s="1">
        <f>1+(Table1[[#This Row],[error_ratio_1]]-EG$2)</f>
        <v>1.0052863436123347</v>
      </c>
      <c r="ER66" s="1">
        <f>1+(Table1[[#This Row],[error_ratio_2]]-EH$2)</f>
        <v>1.0048449612403101</v>
      </c>
      <c r="ES66" s="1">
        <f>1+(Table1[[#This Row],[error_ratio_3]]-EI$2)</f>
        <v>0.99504950495049505</v>
      </c>
      <c r="ET66" s="1">
        <f>1+(Table1[[#This Row],[error_ratio_4]]-EJ$2)</f>
        <v>1.0071283095723014</v>
      </c>
      <c r="EU66" s="1">
        <f>1+(Table1[[#This Row],[error_ratio_5]]-EK$2)</f>
        <v>1.0224215246636772</v>
      </c>
      <c r="EV66" s="1">
        <f>1+(Table1[[#This Row],[error_ratio_6]]-EL$2)</f>
        <v>0.94989561586638827</v>
      </c>
      <c r="EW66" s="1">
        <f>1+(Table1[[#This Row],[error_ratio_7]]-EM$2)</f>
        <v>1</v>
      </c>
      <c r="EX66" s="1">
        <f>1+(Table1[[#This Row],[error_ratio_8]]-EN$2)</f>
        <v>0.99486652977412726</v>
      </c>
      <c r="EY66" s="1">
        <f>1+(Table1[[#This Row],[error_ratio_9]]-EO$2)</f>
        <v>1</v>
      </c>
    </row>
    <row r="67" spans="1:155" x14ac:dyDescent="0.75">
      <c r="A67">
        <v>10</v>
      </c>
      <c r="B67">
        <v>100</v>
      </c>
      <c r="C67">
        <v>100</v>
      </c>
      <c r="D67">
        <v>100</v>
      </c>
      <c r="E67">
        <v>100</v>
      </c>
      <c r="F67">
        <v>100</v>
      </c>
      <c r="G67">
        <v>10</v>
      </c>
      <c r="H67">
        <v>100</v>
      </c>
      <c r="I67">
        <v>100</v>
      </c>
      <c r="J67">
        <v>100</v>
      </c>
      <c r="K67">
        <v>955</v>
      </c>
      <c r="L67">
        <v>1143</v>
      </c>
      <c r="M67">
        <v>1027</v>
      </c>
      <c r="N67">
        <v>1013</v>
      </c>
      <c r="O67">
        <v>1001</v>
      </c>
      <c r="P67">
        <v>907</v>
      </c>
      <c r="Q67">
        <v>932</v>
      </c>
      <c r="R67">
        <v>1028</v>
      </c>
      <c r="S67">
        <v>994</v>
      </c>
      <c r="T67">
        <v>1000</v>
      </c>
      <c r="U67">
        <v>980</v>
      </c>
      <c r="V67">
        <v>1135</v>
      </c>
      <c r="W67">
        <v>1032</v>
      </c>
      <c r="X67">
        <v>1010</v>
      </c>
      <c r="Y67">
        <v>982</v>
      </c>
      <c r="Z67">
        <v>892</v>
      </c>
      <c r="AA67">
        <v>958</v>
      </c>
      <c r="AB67">
        <v>1028</v>
      </c>
      <c r="AC67">
        <v>974</v>
      </c>
      <c r="AD67">
        <v>1009</v>
      </c>
      <c r="AE67">
        <v>949</v>
      </c>
      <c r="AF67">
        <v>3</v>
      </c>
      <c r="AG67">
        <v>4</v>
      </c>
      <c r="AH67">
        <v>0</v>
      </c>
      <c r="AI67">
        <v>4</v>
      </c>
      <c r="AJ67">
        <v>1</v>
      </c>
      <c r="AK67">
        <v>6</v>
      </c>
      <c r="AL67">
        <v>4</v>
      </c>
      <c r="AM67">
        <v>4</v>
      </c>
      <c r="AN67">
        <v>5</v>
      </c>
      <c r="AO67">
        <v>0</v>
      </c>
      <c r="AP67">
        <v>1132</v>
      </c>
      <c r="AQ67">
        <v>0</v>
      </c>
      <c r="AR67">
        <v>1</v>
      </c>
      <c r="AS67">
        <v>0</v>
      </c>
      <c r="AT67">
        <v>1</v>
      </c>
      <c r="AU67">
        <v>0</v>
      </c>
      <c r="AV67">
        <v>0</v>
      </c>
      <c r="AW67">
        <v>1</v>
      </c>
      <c r="AX67">
        <v>0</v>
      </c>
      <c r="AY67">
        <v>1</v>
      </c>
      <c r="AZ67">
        <v>0</v>
      </c>
      <c r="BA67">
        <v>1018</v>
      </c>
      <c r="BB67">
        <v>2</v>
      </c>
      <c r="BC67">
        <v>0</v>
      </c>
      <c r="BD67">
        <v>0</v>
      </c>
      <c r="BE67">
        <v>0</v>
      </c>
      <c r="BF67">
        <v>6</v>
      </c>
      <c r="BG67">
        <v>5</v>
      </c>
      <c r="BH67">
        <v>0</v>
      </c>
      <c r="BI67">
        <v>0</v>
      </c>
      <c r="BJ67">
        <v>0</v>
      </c>
      <c r="BK67">
        <v>0</v>
      </c>
      <c r="BL67">
        <v>1003</v>
      </c>
      <c r="BM67">
        <v>0</v>
      </c>
      <c r="BN67">
        <v>2</v>
      </c>
      <c r="BO67">
        <v>0</v>
      </c>
      <c r="BP67">
        <v>1</v>
      </c>
      <c r="BQ67">
        <v>3</v>
      </c>
      <c r="BR67">
        <v>1</v>
      </c>
      <c r="BS67">
        <v>0</v>
      </c>
      <c r="BT67">
        <v>0</v>
      </c>
      <c r="BU67">
        <v>0</v>
      </c>
      <c r="BV67">
        <v>0</v>
      </c>
      <c r="BW67">
        <v>978</v>
      </c>
      <c r="BX67">
        <v>0</v>
      </c>
      <c r="BY67">
        <v>0</v>
      </c>
      <c r="BZ67">
        <v>0</v>
      </c>
      <c r="CA67">
        <v>1</v>
      </c>
      <c r="CB67">
        <v>3</v>
      </c>
      <c r="CC67">
        <v>1</v>
      </c>
      <c r="CD67">
        <v>0</v>
      </c>
      <c r="CE67">
        <v>0</v>
      </c>
      <c r="CF67">
        <v>5</v>
      </c>
      <c r="CG67">
        <v>0</v>
      </c>
      <c r="CH67">
        <v>882</v>
      </c>
      <c r="CI67">
        <v>2</v>
      </c>
      <c r="CJ67">
        <v>1</v>
      </c>
      <c r="CK67">
        <v>1</v>
      </c>
      <c r="CL67">
        <v>0</v>
      </c>
      <c r="CM67">
        <v>2</v>
      </c>
      <c r="CN67">
        <v>3</v>
      </c>
      <c r="CO67">
        <v>0</v>
      </c>
      <c r="CP67">
        <v>0</v>
      </c>
      <c r="CQ67">
        <v>11</v>
      </c>
      <c r="CR67">
        <v>14</v>
      </c>
      <c r="CS67">
        <v>924</v>
      </c>
      <c r="CT67">
        <v>0</v>
      </c>
      <c r="CU67">
        <v>4</v>
      </c>
      <c r="CV67">
        <v>0</v>
      </c>
      <c r="CW67">
        <v>0</v>
      </c>
      <c r="CX67">
        <v>5</v>
      </c>
      <c r="CY67">
        <v>4</v>
      </c>
      <c r="CZ67">
        <v>1</v>
      </c>
      <c r="DA67">
        <v>0</v>
      </c>
      <c r="DB67">
        <v>0</v>
      </c>
      <c r="DC67">
        <v>0</v>
      </c>
      <c r="DD67">
        <v>1012</v>
      </c>
      <c r="DE67">
        <v>2</v>
      </c>
      <c r="DF67">
        <v>4</v>
      </c>
      <c r="DG67">
        <v>1</v>
      </c>
      <c r="DH67">
        <v>0</v>
      </c>
      <c r="DI67">
        <v>1</v>
      </c>
      <c r="DJ67">
        <v>0</v>
      </c>
      <c r="DK67">
        <v>0</v>
      </c>
      <c r="DL67">
        <v>1</v>
      </c>
      <c r="DM67">
        <v>0</v>
      </c>
      <c r="DN67">
        <v>2</v>
      </c>
      <c r="DO67">
        <v>968</v>
      </c>
      <c r="DP67">
        <v>1</v>
      </c>
      <c r="DQ67">
        <v>1</v>
      </c>
      <c r="DR67">
        <v>0</v>
      </c>
      <c r="DS67">
        <v>0</v>
      </c>
      <c r="DT67">
        <v>1</v>
      </c>
      <c r="DU67">
        <v>8</v>
      </c>
      <c r="DV67">
        <v>6</v>
      </c>
      <c r="DW67">
        <v>0</v>
      </c>
      <c r="DX67">
        <v>2</v>
      </c>
      <c r="DY67">
        <v>5</v>
      </c>
      <c r="DZ67">
        <v>986</v>
      </c>
      <c r="EA67">
        <v>0.98519999999999996</v>
      </c>
      <c r="EB67">
        <v>0.98506131698803201</v>
      </c>
      <c r="EC67">
        <v>0.98499336900867795</v>
      </c>
      <c r="ED67">
        <v>0.98496242818854496</v>
      </c>
      <c r="EE67">
        <f>SUM(Table1[[#This Row],[ratio_0]:[ratio_9]])</f>
        <v>820</v>
      </c>
      <c r="EF67" s="1">
        <f>(Table1[[#This Row],[predicted_0]]-Table1[[#This Row],[actual_0]])/Table1[[#This Row],[actual_0]]</f>
        <v>-2.5510204081632654E-2</v>
      </c>
      <c r="EG67" s="1">
        <f>(Table1[[#This Row],[predicted_1]]-Table1[[#This Row],[actual_1]])/Table1[[#This Row],[actual_1]]</f>
        <v>7.048458149779736E-3</v>
      </c>
      <c r="EH67" s="1">
        <f>(Table1[[#This Row],[predicted_2]]-Table1[[#This Row],[actual_2]])/Table1[[#This Row],[actual_2]]</f>
        <v>-4.8449612403100775E-3</v>
      </c>
      <c r="EI67" s="1">
        <f>(Table1[[#This Row],[predicted_3]]-Table1[[#This Row],[actual_3]])/Table1[[#This Row],[actual_3]]</f>
        <v>2.9702970297029703E-3</v>
      </c>
      <c r="EJ67" s="1">
        <f>(Table1[[#This Row],[predicted_4]]-Table1[[#This Row],[actual_4]])/Table1[[#This Row],[actual_4]]</f>
        <v>1.9348268839103868E-2</v>
      </c>
      <c r="EK67" s="1">
        <f>(Table1[[#This Row],[predicted_5]]-Table1[[#This Row],[actual_5]])/Table1[[#This Row],[actual_5]]</f>
        <v>1.6816143497757848E-2</v>
      </c>
      <c r="EL67" s="1">
        <f>(Table1[[#This Row],[predicted_6]]-Table1[[#This Row],[actual_6]])/Table1[[#This Row],[actual_6]]</f>
        <v>-2.7139874739039668E-2</v>
      </c>
      <c r="EM67" s="1">
        <f>(Table1[[#This Row],[predicted_7]]-Table1[[#This Row],[actual_7]])/Table1[[#This Row],[actual_7]]</f>
        <v>0</v>
      </c>
      <c r="EN67" s="1">
        <f>(Table1[[#This Row],[predicted_8]]-Table1[[#This Row],[actual_8]])/Table1[[#This Row],[actual_8]]</f>
        <v>2.0533880903490759E-2</v>
      </c>
      <c r="EO67" s="1">
        <f>(Table1[[#This Row],[predicted_9]]-Table1[[#This Row],[actual_9]])/Table1[[#This Row],[actual_9]]</f>
        <v>-8.9197224975222991E-3</v>
      </c>
      <c r="EP67" s="1">
        <f>1+(Table1[[#This Row],[error_ratio_0]]-EF$2)</f>
        <v>0.97244897959183674</v>
      </c>
      <c r="EQ67" s="1">
        <f>1+(Table1[[#This Row],[error_ratio_1]]-EG$2)</f>
        <v>1.0052863436123347</v>
      </c>
      <c r="ER67" s="1">
        <f>1+(Table1[[#This Row],[error_ratio_2]]-EH$2)</f>
        <v>1</v>
      </c>
      <c r="ES67" s="1">
        <f>1+(Table1[[#This Row],[error_ratio_3]]-EI$2)</f>
        <v>0.99306930693069306</v>
      </c>
      <c r="ET67" s="1">
        <f>1+(Table1[[#This Row],[error_ratio_4]]-EJ$2)</f>
        <v>1.0183299389002036</v>
      </c>
      <c r="EU67" s="1">
        <f>1+(Table1[[#This Row],[error_ratio_5]]-EK$2)</f>
        <v>1.0156950672645739</v>
      </c>
      <c r="EV67" s="1">
        <f>1+(Table1[[#This Row],[error_ratio_6]]-EL$2)</f>
        <v>0.97912317327766174</v>
      </c>
      <c r="EW67" s="1">
        <f>1+(Table1[[#This Row],[error_ratio_7]]-EM$2)</f>
        <v>0.99805447470817121</v>
      </c>
      <c r="EX67" s="1">
        <f>1+(Table1[[#This Row],[error_ratio_8]]-EN$2)</f>
        <v>1.0236139630390144</v>
      </c>
      <c r="EY67" s="1">
        <f>1+(Table1[[#This Row],[error_ratio_9]]-EO$2)</f>
        <v>0.99504459861248762</v>
      </c>
    </row>
    <row r="68" spans="1:155" x14ac:dyDescent="0.75">
      <c r="A68">
        <v>100</v>
      </c>
      <c r="B68">
        <v>10</v>
      </c>
      <c r="C68">
        <v>100</v>
      </c>
      <c r="D68">
        <v>100</v>
      </c>
      <c r="E68">
        <v>100</v>
      </c>
      <c r="F68">
        <v>100</v>
      </c>
      <c r="G68">
        <v>10</v>
      </c>
      <c r="H68">
        <v>100</v>
      </c>
      <c r="I68">
        <v>100</v>
      </c>
      <c r="J68">
        <v>100</v>
      </c>
      <c r="K68">
        <v>1001</v>
      </c>
      <c r="L68">
        <v>1117</v>
      </c>
      <c r="M68">
        <v>1032</v>
      </c>
      <c r="N68">
        <v>1021</v>
      </c>
      <c r="O68">
        <v>978</v>
      </c>
      <c r="P68">
        <v>915</v>
      </c>
      <c r="Q68">
        <v>905</v>
      </c>
      <c r="R68">
        <v>1047</v>
      </c>
      <c r="S68">
        <v>974</v>
      </c>
      <c r="T68">
        <v>1010</v>
      </c>
      <c r="U68">
        <v>980</v>
      </c>
      <c r="V68">
        <v>1135</v>
      </c>
      <c r="W68">
        <v>1032</v>
      </c>
      <c r="X68">
        <v>1010</v>
      </c>
      <c r="Y68">
        <v>982</v>
      </c>
      <c r="Z68">
        <v>892</v>
      </c>
      <c r="AA68">
        <v>958</v>
      </c>
      <c r="AB68">
        <v>1028</v>
      </c>
      <c r="AC68">
        <v>974</v>
      </c>
      <c r="AD68">
        <v>1009</v>
      </c>
      <c r="AE68">
        <v>976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2</v>
      </c>
      <c r="AM68">
        <v>1</v>
      </c>
      <c r="AN68">
        <v>1</v>
      </c>
      <c r="AO68">
        <v>0</v>
      </c>
      <c r="AP68">
        <v>1113</v>
      </c>
      <c r="AQ68">
        <v>3</v>
      </c>
      <c r="AR68">
        <v>6</v>
      </c>
      <c r="AS68">
        <v>0</v>
      </c>
      <c r="AT68">
        <v>2</v>
      </c>
      <c r="AU68">
        <v>0</v>
      </c>
      <c r="AV68">
        <v>7</v>
      </c>
      <c r="AW68">
        <v>4</v>
      </c>
      <c r="AX68">
        <v>0</v>
      </c>
      <c r="AY68">
        <v>2</v>
      </c>
      <c r="AZ68">
        <v>0</v>
      </c>
      <c r="BA68">
        <v>1020</v>
      </c>
      <c r="BB68">
        <v>1</v>
      </c>
      <c r="BC68">
        <v>1</v>
      </c>
      <c r="BD68">
        <v>0</v>
      </c>
      <c r="BE68">
        <v>0</v>
      </c>
      <c r="BF68">
        <v>5</v>
      </c>
      <c r="BG68">
        <v>3</v>
      </c>
      <c r="BH68">
        <v>0</v>
      </c>
      <c r="BI68">
        <v>0</v>
      </c>
      <c r="BJ68">
        <v>0</v>
      </c>
      <c r="BK68">
        <v>1</v>
      </c>
      <c r="BL68">
        <v>1003</v>
      </c>
      <c r="BM68">
        <v>0</v>
      </c>
      <c r="BN68">
        <v>3</v>
      </c>
      <c r="BO68">
        <v>0</v>
      </c>
      <c r="BP68">
        <v>2</v>
      </c>
      <c r="BQ68">
        <v>1</v>
      </c>
      <c r="BR68">
        <v>0</v>
      </c>
      <c r="BS68">
        <v>0</v>
      </c>
      <c r="BT68">
        <v>0</v>
      </c>
      <c r="BU68">
        <v>1</v>
      </c>
      <c r="BV68">
        <v>0</v>
      </c>
      <c r="BW68">
        <v>972</v>
      </c>
      <c r="BX68">
        <v>0</v>
      </c>
      <c r="BY68">
        <v>1</v>
      </c>
      <c r="BZ68">
        <v>2</v>
      </c>
      <c r="CA68">
        <v>0</v>
      </c>
      <c r="CB68">
        <v>6</v>
      </c>
      <c r="CC68">
        <v>2</v>
      </c>
      <c r="CD68">
        <v>0</v>
      </c>
      <c r="CE68">
        <v>0</v>
      </c>
      <c r="CF68">
        <v>6</v>
      </c>
      <c r="CG68">
        <v>0</v>
      </c>
      <c r="CH68">
        <v>882</v>
      </c>
      <c r="CI68">
        <v>0</v>
      </c>
      <c r="CJ68">
        <v>1</v>
      </c>
      <c r="CK68">
        <v>0</v>
      </c>
      <c r="CL68">
        <v>1</v>
      </c>
      <c r="CM68">
        <v>18</v>
      </c>
      <c r="CN68">
        <v>4</v>
      </c>
      <c r="CO68">
        <v>1</v>
      </c>
      <c r="CP68">
        <v>1</v>
      </c>
      <c r="CQ68">
        <v>2</v>
      </c>
      <c r="CR68">
        <v>25</v>
      </c>
      <c r="CS68">
        <v>904</v>
      </c>
      <c r="CT68">
        <v>0</v>
      </c>
      <c r="CU68">
        <v>3</v>
      </c>
      <c r="CV68">
        <v>0</v>
      </c>
      <c r="CW68">
        <v>1</v>
      </c>
      <c r="CX68">
        <v>0</v>
      </c>
      <c r="CY68">
        <v>4</v>
      </c>
      <c r="CZ68">
        <v>1</v>
      </c>
      <c r="DA68">
        <v>0</v>
      </c>
      <c r="DB68">
        <v>0</v>
      </c>
      <c r="DC68">
        <v>0</v>
      </c>
      <c r="DD68">
        <v>1021</v>
      </c>
      <c r="DE68">
        <v>0</v>
      </c>
      <c r="DF68">
        <v>1</v>
      </c>
      <c r="DG68">
        <v>2</v>
      </c>
      <c r="DH68">
        <v>0</v>
      </c>
      <c r="DI68">
        <v>1</v>
      </c>
      <c r="DJ68">
        <v>1</v>
      </c>
      <c r="DK68">
        <v>0</v>
      </c>
      <c r="DL68">
        <v>2</v>
      </c>
      <c r="DM68">
        <v>0</v>
      </c>
      <c r="DN68">
        <v>4</v>
      </c>
      <c r="DO68">
        <v>962</v>
      </c>
      <c r="DP68">
        <v>2</v>
      </c>
      <c r="DQ68">
        <v>0</v>
      </c>
      <c r="DR68">
        <v>0</v>
      </c>
      <c r="DS68">
        <v>1</v>
      </c>
      <c r="DT68">
        <v>2</v>
      </c>
      <c r="DU68">
        <v>3</v>
      </c>
      <c r="DV68">
        <v>1</v>
      </c>
      <c r="DW68">
        <v>0</v>
      </c>
      <c r="DX68">
        <v>3</v>
      </c>
      <c r="DY68">
        <v>0</v>
      </c>
      <c r="DZ68">
        <v>999</v>
      </c>
      <c r="EA68">
        <v>0.98519999999999996</v>
      </c>
      <c r="EB68">
        <v>0.98508364838259499</v>
      </c>
      <c r="EC68">
        <v>0.98511745436793097</v>
      </c>
      <c r="ED68">
        <v>0.98497715010374298</v>
      </c>
      <c r="EE68">
        <f>SUM(Table1[[#This Row],[ratio_0]:[ratio_9]])</f>
        <v>820</v>
      </c>
      <c r="EF68" s="1">
        <f>(Table1[[#This Row],[predicted_0]]-Table1[[#This Row],[actual_0]])/Table1[[#This Row],[actual_0]]</f>
        <v>2.1428571428571429E-2</v>
      </c>
      <c r="EG68" s="1">
        <f>(Table1[[#This Row],[predicted_1]]-Table1[[#This Row],[actual_1]])/Table1[[#This Row],[actual_1]]</f>
        <v>-1.5859030837004406E-2</v>
      </c>
      <c r="EH68" s="1">
        <f>(Table1[[#This Row],[predicted_2]]-Table1[[#This Row],[actual_2]])/Table1[[#This Row],[actual_2]]</f>
        <v>0</v>
      </c>
      <c r="EI68" s="1">
        <f>(Table1[[#This Row],[predicted_3]]-Table1[[#This Row],[actual_3]])/Table1[[#This Row],[actual_3]]</f>
        <v>1.089108910891089E-2</v>
      </c>
      <c r="EJ68" s="1">
        <f>(Table1[[#This Row],[predicted_4]]-Table1[[#This Row],[actual_4]])/Table1[[#This Row],[actual_4]]</f>
        <v>-4.0733197556008143E-3</v>
      </c>
      <c r="EK68" s="1">
        <f>(Table1[[#This Row],[predicted_5]]-Table1[[#This Row],[actual_5]])/Table1[[#This Row],[actual_5]]</f>
        <v>2.5784753363228701E-2</v>
      </c>
      <c r="EL68" s="1">
        <f>(Table1[[#This Row],[predicted_6]]-Table1[[#This Row],[actual_6]])/Table1[[#This Row],[actual_6]]</f>
        <v>-5.5323590814196244E-2</v>
      </c>
      <c r="EM68" s="1">
        <f>(Table1[[#This Row],[predicted_7]]-Table1[[#This Row],[actual_7]])/Table1[[#This Row],[actual_7]]</f>
        <v>1.8482490272373541E-2</v>
      </c>
      <c r="EN68" s="1">
        <f>(Table1[[#This Row],[predicted_8]]-Table1[[#This Row],[actual_8]])/Table1[[#This Row],[actual_8]]</f>
        <v>0</v>
      </c>
      <c r="EO68" s="1">
        <f>(Table1[[#This Row],[predicted_9]]-Table1[[#This Row],[actual_9]])/Table1[[#This Row],[actual_9]]</f>
        <v>9.9108027750247768E-4</v>
      </c>
      <c r="EP68" s="1">
        <f>1+(Table1[[#This Row],[error_ratio_0]]-EF$2)</f>
        <v>1.0193877551020407</v>
      </c>
      <c r="EQ68" s="1">
        <f>1+(Table1[[#This Row],[error_ratio_1]]-EG$2)</f>
        <v>0.98237885462555063</v>
      </c>
      <c r="ER68" s="1">
        <f>1+(Table1[[#This Row],[error_ratio_2]]-EH$2)</f>
        <v>1.0048449612403101</v>
      </c>
      <c r="ES68" s="1">
        <f>1+(Table1[[#This Row],[error_ratio_3]]-EI$2)</f>
        <v>1.000990099009901</v>
      </c>
      <c r="ET68" s="1">
        <f>1+(Table1[[#This Row],[error_ratio_4]]-EJ$2)</f>
        <v>0.99490835030549896</v>
      </c>
      <c r="EU68" s="1">
        <f>1+(Table1[[#This Row],[error_ratio_5]]-EK$2)</f>
        <v>1.0246636771300448</v>
      </c>
      <c r="EV68" s="1">
        <f>1+(Table1[[#This Row],[error_ratio_6]]-EL$2)</f>
        <v>0.95093945720250517</v>
      </c>
      <c r="EW68" s="1">
        <f>1+(Table1[[#This Row],[error_ratio_7]]-EM$2)</f>
        <v>1.0165369649805447</v>
      </c>
      <c r="EX68" s="1">
        <f>1+(Table1[[#This Row],[error_ratio_8]]-EN$2)</f>
        <v>1.0030800821355237</v>
      </c>
      <c r="EY68" s="1">
        <f>1+(Table1[[#This Row],[error_ratio_9]]-EO$2)</f>
        <v>1.0049554013875124</v>
      </c>
    </row>
    <row r="69" spans="1:155" x14ac:dyDescent="0.75">
      <c r="A69">
        <v>10</v>
      </c>
      <c r="B69">
        <v>10</v>
      </c>
      <c r="C69">
        <v>100</v>
      </c>
      <c r="D69">
        <v>100</v>
      </c>
      <c r="E69">
        <v>100</v>
      </c>
      <c r="F69">
        <v>100</v>
      </c>
      <c r="G69">
        <v>10</v>
      </c>
      <c r="H69">
        <v>100</v>
      </c>
      <c r="I69">
        <v>100</v>
      </c>
      <c r="J69">
        <v>100</v>
      </c>
      <c r="K69">
        <v>981</v>
      </c>
      <c r="L69">
        <v>1136</v>
      </c>
      <c r="M69">
        <v>1019</v>
      </c>
      <c r="N69">
        <v>1018</v>
      </c>
      <c r="O69">
        <v>1003</v>
      </c>
      <c r="P69">
        <v>925</v>
      </c>
      <c r="Q69">
        <v>904</v>
      </c>
      <c r="R69">
        <v>1052</v>
      </c>
      <c r="S69">
        <v>988</v>
      </c>
      <c r="T69">
        <v>974</v>
      </c>
      <c r="U69">
        <v>980</v>
      </c>
      <c r="V69">
        <v>1135</v>
      </c>
      <c r="W69">
        <v>1032</v>
      </c>
      <c r="X69">
        <v>1010</v>
      </c>
      <c r="Y69">
        <v>982</v>
      </c>
      <c r="Z69">
        <v>892</v>
      </c>
      <c r="AA69">
        <v>958</v>
      </c>
      <c r="AB69">
        <v>1028</v>
      </c>
      <c r="AC69">
        <v>974</v>
      </c>
      <c r="AD69">
        <v>1009</v>
      </c>
      <c r="AE69">
        <v>963</v>
      </c>
      <c r="AF69">
        <v>0</v>
      </c>
      <c r="AG69">
        <v>2</v>
      </c>
      <c r="AH69">
        <v>0</v>
      </c>
      <c r="AI69">
        <v>1</v>
      </c>
      <c r="AJ69">
        <v>1</v>
      </c>
      <c r="AK69">
        <v>3</v>
      </c>
      <c r="AL69">
        <v>3</v>
      </c>
      <c r="AM69">
        <v>5</v>
      </c>
      <c r="AN69">
        <v>2</v>
      </c>
      <c r="AO69">
        <v>0</v>
      </c>
      <c r="AP69">
        <v>1124</v>
      </c>
      <c r="AQ69">
        <v>0</v>
      </c>
      <c r="AR69">
        <v>6</v>
      </c>
      <c r="AS69">
        <v>0</v>
      </c>
      <c r="AT69">
        <v>2</v>
      </c>
      <c r="AU69">
        <v>0</v>
      </c>
      <c r="AV69">
        <v>1</v>
      </c>
      <c r="AW69">
        <v>2</v>
      </c>
      <c r="AX69">
        <v>0</v>
      </c>
      <c r="AY69">
        <v>2</v>
      </c>
      <c r="AZ69">
        <v>3</v>
      </c>
      <c r="BA69">
        <v>1007</v>
      </c>
      <c r="BB69">
        <v>2</v>
      </c>
      <c r="BC69">
        <v>1</v>
      </c>
      <c r="BD69">
        <v>0</v>
      </c>
      <c r="BE69">
        <v>0</v>
      </c>
      <c r="BF69">
        <v>12</v>
      </c>
      <c r="BG69">
        <v>5</v>
      </c>
      <c r="BH69">
        <v>0</v>
      </c>
      <c r="BI69">
        <v>0</v>
      </c>
      <c r="BJ69">
        <v>0</v>
      </c>
      <c r="BK69">
        <v>1</v>
      </c>
      <c r="BL69">
        <v>1001</v>
      </c>
      <c r="BM69">
        <v>0</v>
      </c>
      <c r="BN69">
        <v>3</v>
      </c>
      <c r="BO69">
        <v>0</v>
      </c>
      <c r="BP69">
        <v>3</v>
      </c>
      <c r="BQ69">
        <v>1</v>
      </c>
      <c r="BR69">
        <v>1</v>
      </c>
      <c r="BS69">
        <v>0</v>
      </c>
      <c r="BT69">
        <v>0</v>
      </c>
      <c r="BU69">
        <v>1</v>
      </c>
      <c r="BV69">
        <v>0</v>
      </c>
      <c r="BW69">
        <v>979</v>
      </c>
      <c r="BX69">
        <v>0</v>
      </c>
      <c r="BY69">
        <v>2</v>
      </c>
      <c r="BZ69">
        <v>0</v>
      </c>
      <c r="CA69">
        <v>0</v>
      </c>
      <c r="CB69">
        <v>0</v>
      </c>
      <c r="CC69">
        <v>1</v>
      </c>
      <c r="CD69">
        <v>0</v>
      </c>
      <c r="CE69">
        <v>0</v>
      </c>
      <c r="CF69">
        <v>6</v>
      </c>
      <c r="CG69">
        <v>0</v>
      </c>
      <c r="CH69">
        <v>884</v>
      </c>
      <c r="CI69">
        <v>0</v>
      </c>
      <c r="CJ69">
        <v>1</v>
      </c>
      <c r="CK69">
        <v>0</v>
      </c>
      <c r="CL69">
        <v>0</v>
      </c>
      <c r="CM69">
        <v>7</v>
      </c>
      <c r="CN69">
        <v>5</v>
      </c>
      <c r="CO69">
        <v>1</v>
      </c>
      <c r="CP69">
        <v>1</v>
      </c>
      <c r="CQ69">
        <v>7</v>
      </c>
      <c r="CR69">
        <v>28</v>
      </c>
      <c r="CS69">
        <v>899</v>
      </c>
      <c r="CT69">
        <v>0</v>
      </c>
      <c r="CU69">
        <v>10</v>
      </c>
      <c r="CV69">
        <v>0</v>
      </c>
      <c r="CW69">
        <v>0</v>
      </c>
      <c r="CX69">
        <v>3</v>
      </c>
      <c r="CY69">
        <v>4</v>
      </c>
      <c r="CZ69">
        <v>2</v>
      </c>
      <c r="DA69">
        <v>0</v>
      </c>
      <c r="DB69">
        <v>0</v>
      </c>
      <c r="DC69">
        <v>0</v>
      </c>
      <c r="DD69">
        <v>1017</v>
      </c>
      <c r="DE69">
        <v>2</v>
      </c>
      <c r="DF69">
        <v>0</v>
      </c>
      <c r="DG69">
        <v>4</v>
      </c>
      <c r="DH69">
        <v>0</v>
      </c>
      <c r="DI69">
        <v>3</v>
      </c>
      <c r="DJ69">
        <v>0</v>
      </c>
      <c r="DK69">
        <v>0</v>
      </c>
      <c r="DL69">
        <v>2</v>
      </c>
      <c r="DM69">
        <v>0</v>
      </c>
      <c r="DN69">
        <v>5</v>
      </c>
      <c r="DO69">
        <v>960</v>
      </c>
      <c r="DP69">
        <v>0</v>
      </c>
      <c r="DQ69">
        <v>4</v>
      </c>
      <c r="DR69">
        <v>1</v>
      </c>
      <c r="DS69">
        <v>0</v>
      </c>
      <c r="DT69">
        <v>0</v>
      </c>
      <c r="DU69">
        <v>15</v>
      </c>
      <c r="DV69">
        <v>5</v>
      </c>
      <c r="DW69">
        <v>0</v>
      </c>
      <c r="DX69">
        <v>10</v>
      </c>
      <c r="DY69">
        <v>3</v>
      </c>
      <c r="DZ69">
        <v>971</v>
      </c>
      <c r="EA69">
        <v>0.98050000000000004</v>
      </c>
      <c r="EB69">
        <v>0.98041386958153998</v>
      </c>
      <c r="EC69">
        <v>0.98034803391822101</v>
      </c>
      <c r="ED69">
        <v>0.98020247292484997</v>
      </c>
      <c r="EE69">
        <f>SUM(Table1[[#This Row],[ratio_0]:[ratio_9]])</f>
        <v>730</v>
      </c>
      <c r="EF69" s="1">
        <f>(Table1[[#This Row],[predicted_0]]-Table1[[#This Row],[actual_0]])/Table1[[#This Row],[actual_0]]</f>
        <v>1.0204081632653062E-3</v>
      </c>
      <c r="EG69" s="1">
        <f>(Table1[[#This Row],[predicted_1]]-Table1[[#This Row],[actual_1]])/Table1[[#This Row],[actual_1]]</f>
        <v>8.81057268722467E-4</v>
      </c>
      <c r="EH69" s="1">
        <f>(Table1[[#This Row],[predicted_2]]-Table1[[#This Row],[actual_2]])/Table1[[#This Row],[actual_2]]</f>
        <v>-1.2596899224806201E-2</v>
      </c>
      <c r="EI69" s="1">
        <f>(Table1[[#This Row],[predicted_3]]-Table1[[#This Row],[actual_3]])/Table1[[#This Row],[actual_3]]</f>
        <v>7.9207920792079209E-3</v>
      </c>
      <c r="EJ69" s="1">
        <f>(Table1[[#This Row],[predicted_4]]-Table1[[#This Row],[actual_4]])/Table1[[#This Row],[actual_4]]</f>
        <v>2.1384928716904276E-2</v>
      </c>
      <c r="EK69" s="1">
        <f>(Table1[[#This Row],[predicted_5]]-Table1[[#This Row],[actual_5]])/Table1[[#This Row],[actual_5]]</f>
        <v>3.6995515695067267E-2</v>
      </c>
      <c r="EL69" s="1">
        <f>(Table1[[#This Row],[predicted_6]]-Table1[[#This Row],[actual_6]])/Table1[[#This Row],[actual_6]]</f>
        <v>-5.6367432150313153E-2</v>
      </c>
      <c r="EM69" s="1">
        <f>(Table1[[#This Row],[predicted_7]]-Table1[[#This Row],[actual_7]])/Table1[[#This Row],[actual_7]]</f>
        <v>2.3346303501945526E-2</v>
      </c>
      <c r="EN69" s="1">
        <f>(Table1[[#This Row],[predicted_8]]-Table1[[#This Row],[actual_8]])/Table1[[#This Row],[actual_8]]</f>
        <v>1.4373716632443531E-2</v>
      </c>
      <c r="EO69" s="1">
        <f>(Table1[[#This Row],[predicted_9]]-Table1[[#This Row],[actual_9]])/Table1[[#This Row],[actual_9]]</f>
        <v>-3.4687809712586719E-2</v>
      </c>
      <c r="EP69" s="1">
        <f>1+(Table1[[#This Row],[error_ratio_0]]-EF$2)</f>
        <v>0.99897959183673468</v>
      </c>
      <c r="EQ69" s="1">
        <f>1+(Table1[[#This Row],[error_ratio_1]]-EG$2)</f>
        <v>0.99911894273127755</v>
      </c>
      <c r="ER69" s="1">
        <f>1+(Table1[[#This Row],[error_ratio_2]]-EH$2)</f>
        <v>0.99224806201550386</v>
      </c>
      <c r="ES69" s="1">
        <f>1+(Table1[[#This Row],[error_ratio_3]]-EI$2)</f>
        <v>0.99801980198019802</v>
      </c>
      <c r="ET69" s="1">
        <f>1+(Table1[[#This Row],[error_ratio_4]]-EJ$2)</f>
        <v>1.0203665987780042</v>
      </c>
      <c r="EU69" s="1">
        <f>1+(Table1[[#This Row],[error_ratio_5]]-EK$2)</f>
        <v>1.0358744394618835</v>
      </c>
      <c r="EV69" s="1">
        <f>1+(Table1[[#This Row],[error_ratio_6]]-EL$2)</f>
        <v>0.94989561586638827</v>
      </c>
      <c r="EW69" s="1">
        <f>1+(Table1[[#This Row],[error_ratio_7]]-EM$2)</f>
        <v>1.0214007782101167</v>
      </c>
      <c r="EX69" s="1">
        <f>1+(Table1[[#This Row],[error_ratio_8]]-EN$2)</f>
        <v>1.017453798767967</v>
      </c>
      <c r="EY69" s="1">
        <f>1+(Table1[[#This Row],[error_ratio_9]]-EO$2)</f>
        <v>0.96927651139742321</v>
      </c>
    </row>
    <row r="70" spans="1:155" x14ac:dyDescent="0.75">
      <c r="A70">
        <v>10</v>
      </c>
      <c r="B70">
        <v>100</v>
      </c>
      <c r="C70">
        <v>10</v>
      </c>
      <c r="D70">
        <v>100</v>
      </c>
      <c r="E70">
        <v>100</v>
      </c>
      <c r="F70">
        <v>100</v>
      </c>
      <c r="G70">
        <v>10</v>
      </c>
      <c r="H70">
        <v>100</v>
      </c>
      <c r="I70">
        <v>100</v>
      </c>
      <c r="J70">
        <v>100</v>
      </c>
      <c r="K70">
        <v>929</v>
      </c>
      <c r="L70">
        <v>1142</v>
      </c>
      <c r="M70">
        <v>987</v>
      </c>
      <c r="N70">
        <v>1015</v>
      </c>
      <c r="O70">
        <v>1089</v>
      </c>
      <c r="P70">
        <v>925</v>
      </c>
      <c r="Q70">
        <v>838</v>
      </c>
      <c r="R70">
        <v>1053</v>
      </c>
      <c r="S70">
        <v>969</v>
      </c>
      <c r="T70">
        <v>1053</v>
      </c>
      <c r="U70">
        <v>980</v>
      </c>
      <c r="V70">
        <v>1135</v>
      </c>
      <c r="W70">
        <v>1032</v>
      </c>
      <c r="X70">
        <v>1010</v>
      </c>
      <c r="Y70">
        <v>982</v>
      </c>
      <c r="Z70">
        <v>892</v>
      </c>
      <c r="AA70">
        <v>958</v>
      </c>
      <c r="AB70">
        <v>1028</v>
      </c>
      <c r="AC70">
        <v>974</v>
      </c>
      <c r="AD70">
        <v>1009</v>
      </c>
      <c r="AE70">
        <v>913</v>
      </c>
      <c r="AF70">
        <v>1</v>
      </c>
      <c r="AG70">
        <v>0</v>
      </c>
      <c r="AH70">
        <v>0</v>
      </c>
      <c r="AI70">
        <v>25</v>
      </c>
      <c r="AJ70">
        <v>4</v>
      </c>
      <c r="AK70">
        <v>1</v>
      </c>
      <c r="AL70">
        <v>6</v>
      </c>
      <c r="AM70">
        <v>3</v>
      </c>
      <c r="AN70">
        <v>27</v>
      </c>
      <c r="AO70">
        <v>0</v>
      </c>
      <c r="AP70">
        <v>1131</v>
      </c>
      <c r="AQ70">
        <v>1</v>
      </c>
      <c r="AR70">
        <v>0</v>
      </c>
      <c r="AS70">
        <v>0</v>
      </c>
      <c r="AT70">
        <v>2</v>
      </c>
      <c r="AU70">
        <v>0</v>
      </c>
      <c r="AV70">
        <v>0</v>
      </c>
      <c r="AW70">
        <v>0</v>
      </c>
      <c r="AX70">
        <v>1</v>
      </c>
      <c r="AY70">
        <v>7</v>
      </c>
      <c r="AZ70">
        <v>2</v>
      </c>
      <c r="BA70">
        <v>972</v>
      </c>
      <c r="BB70">
        <v>13</v>
      </c>
      <c r="BC70">
        <v>7</v>
      </c>
      <c r="BD70">
        <v>1</v>
      </c>
      <c r="BE70">
        <v>0</v>
      </c>
      <c r="BF70">
        <v>19</v>
      </c>
      <c r="BG70">
        <v>9</v>
      </c>
      <c r="BH70">
        <v>2</v>
      </c>
      <c r="BI70">
        <v>0</v>
      </c>
      <c r="BJ70">
        <v>0</v>
      </c>
      <c r="BK70">
        <v>1</v>
      </c>
      <c r="BL70">
        <v>995</v>
      </c>
      <c r="BM70">
        <v>0</v>
      </c>
      <c r="BN70">
        <v>3</v>
      </c>
      <c r="BO70">
        <v>0</v>
      </c>
      <c r="BP70">
        <v>5</v>
      </c>
      <c r="BQ70">
        <v>2</v>
      </c>
      <c r="BR70">
        <v>4</v>
      </c>
      <c r="BS70">
        <v>0</v>
      </c>
      <c r="BT70">
        <v>0</v>
      </c>
      <c r="BU70">
        <v>0</v>
      </c>
      <c r="BV70">
        <v>0</v>
      </c>
      <c r="BW70">
        <v>978</v>
      </c>
      <c r="BX70">
        <v>0</v>
      </c>
      <c r="BY70">
        <v>0</v>
      </c>
      <c r="BZ70">
        <v>0</v>
      </c>
      <c r="CA70">
        <v>0</v>
      </c>
      <c r="CB70">
        <v>4</v>
      </c>
      <c r="CC70">
        <v>1</v>
      </c>
      <c r="CD70">
        <v>0</v>
      </c>
      <c r="CE70">
        <v>0</v>
      </c>
      <c r="CF70">
        <v>4</v>
      </c>
      <c r="CG70">
        <v>0</v>
      </c>
      <c r="CH70">
        <v>869</v>
      </c>
      <c r="CI70">
        <v>0</v>
      </c>
      <c r="CJ70">
        <v>1</v>
      </c>
      <c r="CK70">
        <v>2</v>
      </c>
      <c r="CL70">
        <v>15</v>
      </c>
      <c r="CM70">
        <v>7</v>
      </c>
      <c r="CN70">
        <v>5</v>
      </c>
      <c r="CO70">
        <v>1</v>
      </c>
      <c r="CP70">
        <v>1</v>
      </c>
      <c r="CQ70">
        <v>61</v>
      </c>
      <c r="CR70">
        <v>42</v>
      </c>
      <c r="CS70">
        <v>837</v>
      </c>
      <c r="CT70">
        <v>0</v>
      </c>
      <c r="CU70">
        <v>4</v>
      </c>
      <c r="CV70">
        <v>0</v>
      </c>
      <c r="CW70">
        <v>0</v>
      </c>
      <c r="CX70">
        <v>3</v>
      </c>
      <c r="CY70">
        <v>10</v>
      </c>
      <c r="CZ70">
        <v>0</v>
      </c>
      <c r="DA70">
        <v>0</v>
      </c>
      <c r="DB70">
        <v>0</v>
      </c>
      <c r="DC70">
        <v>0</v>
      </c>
      <c r="DD70">
        <v>1012</v>
      </c>
      <c r="DE70">
        <v>0</v>
      </c>
      <c r="DF70">
        <v>3</v>
      </c>
      <c r="DG70">
        <v>1</v>
      </c>
      <c r="DH70">
        <v>0</v>
      </c>
      <c r="DI70">
        <v>2</v>
      </c>
      <c r="DJ70">
        <v>1</v>
      </c>
      <c r="DK70">
        <v>8</v>
      </c>
      <c r="DL70">
        <v>1</v>
      </c>
      <c r="DM70">
        <v>0</v>
      </c>
      <c r="DN70">
        <v>5</v>
      </c>
      <c r="DO70">
        <v>948</v>
      </c>
      <c r="DP70">
        <v>8</v>
      </c>
      <c r="DQ70">
        <v>0</v>
      </c>
      <c r="DR70">
        <v>0</v>
      </c>
      <c r="DS70">
        <v>0</v>
      </c>
      <c r="DT70">
        <v>1</v>
      </c>
      <c r="DU70">
        <v>10</v>
      </c>
      <c r="DV70">
        <v>3</v>
      </c>
      <c r="DW70">
        <v>0</v>
      </c>
      <c r="DX70">
        <v>5</v>
      </c>
      <c r="DY70">
        <v>1</v>
      </c>
      <c r="DZ70">
        <v>989</v>
      </c>
      <c r="EA70">
        <v>0.96440000000000003</v>
      </c>
      <c r="EB70">
        <v>0.96531937947493496</v>
      </c>
      <c r="EC70">
        <v>0.96368746761058999</v>
      </c>
      <c r="ED70">
        <v>0.96362501254430999</v>
      </c>
      <c r="EE70">
        <f>SUM(Table1[[#This Row],[ratio_0]:[ratio_9]])</f>
        <v>730</v>
      </c>
      <c r="EF70" s="1">
        <f>(Table1[[#This Row],[predicted_0]]-Table1[[#This Row],[actual_0]])/Table1[[#This Row],[actual_0]]</f>
        <v>-5.2040816326530612E-2</v>
      </c>
      <c r="EG70" s="1">
        <f>(Table1[[#This Row],[predicted_1]]-Table1[[#This Row],[actual_1]])/Table1[[#This Row],[actual_1]]</f>
        <v>6.1674008810572688E-3</v>
      </c>
      <c r="EH70" s="1">
        <f>(Table1[[#This Row],[predicted_2]]-Table1[[#This Row],[actual_2]])/Table1[[#This Row],[actual_2]]</f>
        <v>-4.3604651162790699E-2</v>
      </c>
      <c r="EI70" s="1">
        <f>(Table1[[#This Row],[predicted_3]]-Table1[[#This Row],[actual_3]])/Table1[[#This Row],[actual_3]]</f>
        <v>4.9504950495049506E-3</v>
      </c>
      <c r="EJ70" s="1">
        <f>(Table1[[#This Row],[predicted_4]]-Table1[[#This Row],[actual_4]])/Table1[[#This Row],[actual_4]]</f>
        <v>0.10896130346232179</v>
      </c>
      <c r="EK70" s="1">
        <f>(Table1[[#This Row],[predicted_5]]-Table1[[#This Row],[actual_5]])/Table1[[#This Row],[actual_5]]</f>
        <v>3.6995515695067267E-2</v>
      </c>
      <c r="EL70" s="1">
        <f>(Table1[[#This Row],[predicted_6]]-Table1[[#This Row],[actual_6]])/Table1[[#This Row],[actual_6]]</f>
        <v>-0.12526096033402923</v>
      </c>
      <c r="EM70" s="1">
        <f>(Table1[[#This Row],[predicted_7]]-Table1[[#This Row],[actual_7]])/Table1[[#This Row],[actual_7]]</f>
        <v>2.4319066147859923E-2</v>
      </c>
      <c r="EN70" s="1">
        <f>(Table1[[#This Row],[predicted_8]]-Table1[[#This Row],[actual_8]])/Table1[[#This Row],[actual_8]]</f>
        <v>-5.1334702258726897E-3</v>
      </c>
      <c r="EO70" s="1">
        <f>(Table1[[#This Row],[predicted_9]]-Table1[[#This Row],[actual_9]])/Table1[[#This Row],[actual_9]]</f>
        <v>4.3607532210109018E-2</v>
      </c>
      <c r="EP70" s="1">
        <f>1+(Table1[[#This Row],[error_ratio_0]]-EF$2)</f>
        <v>0.94591836734693879</v>
      </c>
      <c r="EQ70" s="1">
        <f>1+(Table1[[#This Row],[error_ratio_1]]-EG$2)</f>
        <v>1.0044052863436124</v>
      </c>
      <c r="ER70" s="1">
        <f>1+(Table1[[#This Row],[error_ratio_2]]-EH$2)</f>
        <v>0.96124031007751942</v>
      </c>
      <c r="ES70" s="1">
        <f>1+(Table1[[#This Row],[error_ratio_3]]-EI$2)</f>
        <v>0.99504950495049505</v>
      </c>
      <c r="ET70" s="1">
        <f>1+(Table1[[#This Row],[error_ratio_4]]-EJ$2)</f>
        <v>1.1079429735234216</v>
      </c>
      <c r="EU70" s="1">
        <f>1+(Table1[[#This Row],[error_ratio_5]]-EK$2)</f>
        <v>1.0358744394618835</v>
      </c>
      <c r="EV70" s="1">
        <f>1+(Table1[[#This Row],[error_ratio_6]]-EL$2)</f>
        <v>0.8810020876826723</v>
      </c>
      <c r="EW70" s="1">
        <f>1+(Table1[[#This Row],[error_ratio_7]]-EM$2)</f>
        <v>1.022373540856031</v>
      </c>
      <c r="EX70" s="1">
        <f>1+(Table1[[#This Row],[error_ratio_8]]-EN$2)</f>
        <v>0.99794661190965095</v>
      </c>
      <c r="EY70" s="1">
        <f>1+(Table1[[#This Row],[error_ratio_9]]-EO$2)</f>
        <v>1.047571853320119</v>
      </c>
    </row>
    <row r="71" spans="1:155" x14ac:dyDescent="0.75">
      <c r="A71">
        <v>100</v>
      </c>
      <c r="B71">
        <v>10</v>
      </c>
      <c r="C71">
        <v>10</v>
      </c>
      <c r="D71">
        <v>100</v>
      </c>
      <c r="E71">
        <v>100</v>
      </c>
      <c r="F71">
        <v>100</v>
      </c>
      <c r="G71">
        <v>10</v>
      </c>
      <c r="H71">
        <v>100</v>
      </c>
      <c r="I71">
        <v>100</v>
      </c>
      <c r="J71">
        <v>100</v>
      </c>
      <c r="K71">
        <v>1014</v>
      </c>
      <c r="L71">
        <v>1128</v>
      </c>
      <c r="M71">
        <v>938</v>
      </c>
      <c r="N71">
        <v>1013</v>
      </c>
      <c r="O71">
        <v>1009</v>
      </c>
      <c r="P71">
        <v>925</v>
      </c>
      <c r="Q71">
        <v>909</v>
      </c>
      <c r="R71">
        <v>1078</v>
      </c>
      <c r="S71">
        <v>975</v>
      </c>
      <c r="T71">
        <v>1011</v>
      </c>
      <c r="U71">
        <v>980</v>
      </c>
      <c r="V71">
        <v>1135</v>
      </c>
      <c r="W71">
        <v>1032</v>
      </c>
      <c r="X71">
        <v>1010</v>
      </c>
      <c r="Y71">
        <v>982</v>
      </c>
      <c r="Z71">
        <v>892</v>
      </c>
      <c r="AA71">
        <v>958</v>
      </c>
      <c r="AB71">
        <v>1028</v>
      </c>
      <c r="AC71">
        <v>974</v>
      </c>
      <c r="AD71">
        <v>1009</v>
      </c>
      <c r="AE71">
        <v>978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1</v>
      </c>
      <c r="AM71">
        <v>1</v>
      </c>
      <c r="AN71">
        <v>0</v>
      </c>
      <c r="AO71">
        <v>0</v>
      </c>
      <c r="AP71">
        <v>1119</v>
      </c>
      <c r="AQ71">
        <v>0</v>
      </c>
      <c r="AR71">
        <v>5</v>
      </c>
      <c r="AS71">
        <v>1</v>
      </c>
      <c r="AT71">
        <v>2</v>
      </c>
      <c r="AU71">
        <v>1</v>
      </c>
      <c r="AV71">
        <v>3</v>
      </c>
      <c r="AW71">
        <v>3</v>
      </c>
      <c r="AX71">
        <v>1</v>
      </c>
      <c r="AY71">
        <v>13</v>
      </c>
      <c r="AZ71">
        <v>5</v>
      </c>
      <c r="BA71">
        <v>937</v>
      </c>
      <c r="BB71">
        <v>11</v>
      </c>
      <c r="BC71">
        <v>12</v>
      </c>
      <c r="BD71">
        <v>0</v>
      </c>
      <c r="BE71">
        <v>0</v>
      </c>
      <c r="BF71">
        <v>44</v>
      </c>
      <c r="BG71">
        <v>10</v>
      </c>
      <c r="BH71">
        <v>0</v>
      </c>
      <c r="BI71">
        <v>0</v>
      </c>
      <c r="BJ71">
        <v>0</v>
      </c>
      <c r="BK71">
        <v>0</v>
      </c>
      <c r="BL71">
        <v>990</v>
      </c>
      <c r="BM71">
        <v>0</v>
      </c>
      <c r="BN71">
        <v>12</v>
      </c>
      <c r="BO71">
        <v>0</v>
      </c>
      <c r="BP71">
        <v>6</v>
      </c>
      <c r="BQ71">
        <v>0</v>
      </c>
      <c r="BR71">
        <v>2</v>
      </c>
      <c r="BS71">
        <v>0</v>
      </c>
      <c r="BT71">
        <v>0</v>
      </c>
      <c r="BU71">
        <v>0</v>
      </c>
      <c r="BV71">
        <v>0</v>
      </c>
      <c r="BW71">
        <v>977</v>
      </c>
      <c r="BX71">
        <v>0</v>
      </c>
      <c r="BY71">
        <v>0</v>
      </c>
      <c r="BZ71">
        <v>0</v>
      </c>
      <c r="CA71">
        <v>0</v>
      </c>
      <c r="CB71">
        <v>5</v>
      </c>
      <c r="CC71">
        <v>0</v>
      </c>
      <c r="CD71">
        <v>0</v>
      </c>
      <c r="CE71">
        <v>1</v>
      </c>
      <c r="CF71">
        <v>2</v>
      </c>
      <c r="CG71">
        <v>0</v>
      </c>
      <c r="CH71">
        <v>886</v>
      </c>
      <c r="CI71">
        <v>1</v>
      </c>
      <c r="CJ71">
        <v>0</v>
      </c>
      <c r="CK71">
        <v>1</v>
      </c>
      <c r="CL71">
        <v>1</v>
      </c>
      <c r="CM71">
        <v>14</v>
      </c>
      <c r="CN71">
        <v>3</v>
      </c>
      <c r="CO71">
        <v>0</v>
      </c>
      <c r="CP71">
        <v>1</v>
      </c>
      <c r="CQ71">
        <v>12</v>
      </c>
      <c r="CR71">
        <v>16</v>
      </c>
      <c r="CS71">
        <v>907</v>
      </c>
      <c r="CT71">
        <v>0</v>
      </c>
      <c r="CU71">
        <v>5</v>
      </c>
      <c r="CV71">
        <v>0</v>
      </c>
      <c r="CW71">
        <v>1</v>
      </c>
      <c r="CX71">
        <v>1</v>
      </c>
      <c r="CY71">
        <v>0</v>
      </c>
      <c r="CZ71">
        <v>2</v>
      </c>
      <c r="DA71">
        <v>1</v>
      </c>
      <c r="DB71">
        <v>1</v>
      </c>
      <c r="DC71">
        <v>0</v>
      </c>
      <c r="DD71">
        <v>1018</v>
      </c>
      <c r="DE71">
        <v>0</v>
      </c>
      <c r="DF71">
        <v>4</v>
      </c>
      <c r="DG71">
        <v>6</v>
      </c>
      <c r="DH71">
        <v>0</v>
      </c>
      <c r="DI71">
        <v>0</v>
      </c>
      <c r="DJ71">
        <v>1</v>
      </c>
      <c r="DK71">
        <v>2</v>
      </c>
      <c r="DL71">
        <v>4</v>
      </c>
      <c r="DM71">
        <v>0</v>
      </c>
      <c r="DN71">
        <v>6</v>
      </c>
      <c r="DO71">
        <v>951</v>
      </c>
      <c r="DP71">
        <v>4</v>
      </c>
      <c r="DQ71">
        <v>2</v>
      </c>
      <c r="DR71">
        <v>0</v>
      </c>
      <c r="DS71">
        <v>0</v>
      </c>
      <c r="DT71">
        <v>1</v>
      </c>
      <c r="DU71">
        <v>4</v>
      </c>
      <c r="DV71">
        <v>4</v>
      </c>
      <c r="DW71">
        <v>0</v>
      </c>
      <c r="DX71">
        <v>0</v>
      </c>
      <c r="DY71">
        <v>4</v>
      </c>
      <c r="DZ71">
        <v>994</v>
      </c>
      <c r="EA71">
        <v>0.97570000000000001</v>
      </c>
      <c r="EB71">
        <v>0.97595813854313496</v>
      </c>
      <c r="EC71">
        <v>0.97587442147137304</v>
      </c>
      <c r="ED71">
        <v>0.97549766269610105</v>
      </c>
      <c r="EE71">
        <f>SUM(Table1[[#This Row],[ratio_0]:[ratio_9]])</f>
        <v>730</v>
      </c>
      <c r="EF71" s="1">
        <f>(Table1[[#This Row],[predicted_0]]-Table1[[#This Row],[actual_0]])/Table1[[#This Row],[actual_0]]</f>
        <v>3.4693877551020408E-2</v>
      </c>
      <c r="EG71" s="1">
        <f>(Table1[[#This Row],[predicted_1]]-Table1[[#This Row],[actual_1]])/Table1[[#This Row],[actual_1]]</f>
        <v>-6.1674008810572688E-3</v>
      </c>
      <c r="EH71" s="1">
        <f>(Table1[[#This Row],[predicted_2]]-Table1[[#This Row],[actual_2]])/Table1[[#This Row],[actual_2]]</f>
        <v>-9.1085271317829453E-2</v>
      </c>
      <c r="EI71" s="1">
        <f>(Table1[[#This Row],[predicted_3]]-Table1[[#This Row],[actual_3]])/Table1[[#This Row],[actual_3]]</f>
        <v>2.9702970297029703E-3</v>
      </c>
      <c r="EJ71" s="1">
        <f>(Table1[[#This Row],[predicted_4]]-Table1[[#This Row],[actual_4]])/Table1[[#This Row],[actual_4]]</f>
        <v>2.7494908350305498E-2</v>
      </c>
      <c r="EK71" s="1">
        <f>(Table1[[#This Row],[predicted_5]]-Table1[[#This Row],[actual_5]])/Table1[[#This Row],[actual_5]]</f>
        <v>3.6995515695067267E-2</v>
      </c>
      <c r="EL71" s="1">
        <f>(Table1[[#This Row],[predicted_6]]-Table1[[#This Row],[actual_6]])/Table1[[#This Row],[actual_6]]</f>
        <v>-5.1148225469728602E-2</v>
      </c>
      <c r="EM71" s="1">
        <f>(Table1[[#This Row],[predicted_7]]-Table1[[#This Row],[actual_7]])/Table1[[#This Row],[actual_7]]</f>
        <v>4.8638132295719845E-2</v>
      </c>
      <c r="EN71" s="1">
        <f>(Table1[[#This Row],[predicted_8]]-Table1[[#This Row],[actual_8]])/Table1[[#This Row],[actual_8]]</f>
        <v>1.026694045174538E-3</v>
      </c>
      <c r="EO71" s="1">
        <f>(Table1[[#This Row],[predicted_9]]-Table1[[#This Row],[actual_9]])/Table1[[#This Row],[actual_9]]</f>
        <v>1.9821605550049554E-3</v>
      </c>
      <c r="EP71" s="1">
        <f>1+(Table1[[#This Row],[error_ratio_0]]-EF$2)</f>
        <v>1.0326530612244897</v>
      </c>
      <c r="EQ71" s="1">
        <f>1+(Table1[[#This Row],[error_ratio_1]]-EG$2)</f>
        <v>0.99207048458149782</v>
      </c>
      <c r="ER71" s="1">
        <f>1+(Table1[[#This Row],[error_ratio_2]]-EH$2)</f>
        <v>0.91375968992248058</v>
      </c>
      <c r="ES71" s="1">
        <f>1+(Table1[[#This Row],[error_ratio_3]]-EI$2)</f>
        <v>0.99306930693069306</v>
      </c>
      <c r="ET71" s="1">
        <f>1+(Table1[[#This Row],[error_ratio_4]]-EJ$2)</f>
        <v>1.0264765784114054</v>
      </c>
      <c r="EU71" s="1">
        <f>1+(Table1[[#This Row],[error_ratio_5]]-EK$2)</f>
        <v>1.0358744394618835</v>
      </c>
      <c r="EV71" s="1">
        <f>1+(Table1[[#This Row],[error_ratio_6]]-EL$2)</f>
        <v>0.95511482254697289</v>
      </c>
      <c r="EW71" s="1">
        <f>1+(Table1[[#This Row],[error_ratio_7]]-EM$2)</f>
        <v>1.0466926070038911</v>
      </c>
      <c r="EX71" s="1">
        <f>1+(Table1[[#This Row],[error_ratio_8]]-EN$2)</f>
        <v>1.0041067761806981</v>
      </c>
      <c r="EY71" s="1">
        <f>1+(Table1[[#This Row],[error_ratio_9]]-EO$2)</f>
        <v>1.0059464816650148</v>
      </c>
    </row>
    <row r="72" spans="1:155" x14ac:dyDescent="0.75">
      <c r="A72">
        <v>100</v>
      </c>
      <c r="B72">
        <v>100</v>
      </c>
      <c r="C72">
        <v>100</v>
      </c>
      <c r="D72">
        <v>10</v>
      </c>
      <c r="E72">
        <v>100</v>
      </c>
      <c r="F72">
        <v>100</v>
      </c>
      <c r="G72">
        <v>10</v>
      </c>
      <c r="H72">
        <v>100</v>
      </c>
      <c r="I72">
        <v>100</v>
      </c>
      <c r="J72">
        <v>100</v>
      </c>
      <c r="K72">
        <v>994</v>
      </c>
      <c r="L72">
        <v>1144</v>
      </c>
      <c r="M72">
        <v>1028</v>
      </c>
      <c r="N72">
        <v>962</v>
      </c>
      <c r="O72">
        <v>1007</v>
      </c>
      <c r="P72">
        <v>918</v>
      </c>
      <c r="Q72">
        <v>901</v>
      </c>
      <c r="R72">
        <v>1044</v>
      </c>
      <c r="S72">
        <v>991</v>
      </c>
      <c r="T72">
        <v>1011</v>
      </c>
      <c r="U72">
        <v>980</v>
      </c>
      <c r="V72">
        <v>1135</v>
      </c>
      <c r="W72">
        <v>1032</v>
      </c>
      <c r="X72">
        <v>1010</v>
      </c>
      <c r="Y72">
        <v>982</v>
      </c>
      <c r="Z72">
        <v>892</v>
      </c>
      <c r="AA72">
        <v>958</v>
      </c>
      <c r="AB72">
        <v>1028</v>
      </c>
      <c r="AC72">
        <v>974</v>
      </c>
      <c r="AD72">
        <v>1009</v>
      </c>
      <c r="AE72">
        <v>974</v>
      </c>
      <c r="AF72">
        <v>1</v>
      </c>
      <c r="AG72">
        <v>0</v>
      </c>
      <c r="AH72">
        <v>0</v>
      </c>
      <c r="AI72">
        <v>0</v>
      </c>
      <c r="AJ72">
        <v>1</v>
      </c>
      <c r="AK72">
        <v>0</v>
      </c>
      <c r="AL72">
        <v>3</v>
      </c>
      <c r="AM72">
        <v>1</v>
      </c>
      <c r="AN72">
        <v>0</v>
      </c>
      <c r="AO72">
        <v>0</v>
      </c>
      <c r="AP72">
        <v>1135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2</v>
      </c>
      <c r="AZ72">
        <v>2</v>
      </c>
      <c r="BA72">
        <v>1019</v>
      </c>
      <c r="BB72">
        <v>0</v>
      </c>
      <c r="BC72">
        <v>1</v>
      </c>
      <c r="BD72">
        <v>0</v>
      </c>
      <c r="BE72">
        <v>0</v>
      </c>
      <c r="BF72">
        <v>6</v>
      </c>
      <c r="BG72">
        <v>2</v>
      </c>
      <c r="BH72">
        <v>0</v>
      </c>
      <c r="BI72">
        <v>1</v>
      </c>
      <c r="BJ72">
        <v>0</v>
      </c>
      <c r="BK72">
        <v>3</v>
      </c>
      <c r="BL72">
        <v>960</v>
      </c>
      <c r="BM72">
        <v>0</v>
      </c>
      <c r="BN72">
        <v>18</v>
      </c>
      <c r="BO72">
        <v>0</v>
      </c>
      <c r="BP72">
        <v>8</v>
      </c>
      <c r="BQ72">
        <v>12</v>
      </c>
      <c r="BR72">
        <v>8</v>
      </c>
      <c r="BS72">
        <v>0</v>
      </c>
      <c r="BT72">
        <v>0</v>
      </c>
      <c r="BU72">
        <v>0</v>
      </c>
      <c r="BV72">
        <v>0</v>
      </c>
      <c r="BW72">
        <v>976</v>
      </c>
      <c r="BX72">
        <v>0</v>
      </c>
      <c r="BY72">
        <v>0</v>
      </c>
      <c r="BZ72">
        <v>1</v>
      </c>
      <c r="CA72">
        <v>0</v>
      </c>
      <c r="CB72">
        <v>5</v>
      </c>
      <c r="CC72">
        <v>2</v>
      </c>
      <c r="CD72">
        <v>0</v>
      </c>
      <c r="CE72">
        <v>1</v>
      </c>
      <c r="CF72">
        <v>2</v>
      </c>
      <c r="CG72">
        <v>0</v>
      </c>
      <c r="CH72">
        <v>883</v>
      </c>
      <c r="CI72">
        <v>1</v>
      </c>
      <c r="CJ72">
        <v>1</v>
      </c>
      <c r="CK72">
        <v>0</v>
      </c>
      <c r="CL72">
        <v>2</v>
      </c>
      <c r="CM72">
        <v>9</v>
      </c>
      <c r="CN72">
        <v>3</v>
      </c>
      <c r="CO72">
        <v>0</v>
      </c>
      <c r="CP72">
        <v>0</v>
      </c>
      <c r="CQ72">
        <v>25</v>
      </c>
      <c r="CR72">
        <v>11</v>
      </c>
      <c r="CS72">
        <v>900</v>
      </c>
      <c r="CT72">
        <v>0</v>
      </c>
      <c r="CU72">
        <v>10</v>
      </c>
      <c r="CV72">
        <v>0</v>
      </c>
      <c r="CW72">
        <v>1</v>
      </c>
      <c r="CX72">
        <v>2</v>
      </c>
      <c r="CY72">
        <v>4</v>
      </c>
      <c r="CZ72">
        <v>0</v>
      </c>
      <c r="DA72">
        <v>0</v>
      </c>
      <c r="DB72">
        <v>0</v>
      </c>
      <c r="DC72">
        <v>0</v>
      </c>
      <c r="DD72">
        <v>1017</v>
      </c>
      <c r="DE72">
        <v>1</v>
      </c>
      <c r="DF72">
        <v>3</v>
      </c>
      <c r="DG72">
        <v>3</v>
      </c>
      <c r="DH72">
        <v>0</v>
      </c>
      <c r="DI72">
        <v>1</v>
      </c>
      <c r="DJ72">
        <v>0</v>
      </c>
      <c r="DK72">
        <v>0</v>
      </c>
      <c r="DL72">
        <v>2</v>
      </c>
      <c r="DM72">
        <v>0</v>
      </c>
      <c r="DN72">
        <v>1</v>
      </c>
      <c r="DO72">
        <v>965</v>
      </c>
      <c r="DP72">
        <v>2</v>
      </c>
      <c r="DQ72">
        <v>2</v>
      </c>
      <c r="DR72">
        <v>1</v>
      </c>
      <c r="DS72">
        <v>0</v>
      </c>
      <c r="DT72">
        <v>0</v>
      </c>
      <c r="DU72">
        <v>5</v>
      </c>
      <c r="DV72">
        <v>3</v>
      </c>
      <c r="DW72">
        <v>0</v>
      </c>
      <c r="DX72">
        <v>7</v>
      </c>
      <c r="DY72">
        <v>0</v>
      </c>
      <c r="DZ72">
        <v>991</v>
      </c>
      <c r="EA72">
        <v>0.98199999999999998</v>
      </c>
      <c r="EB72">
        <v>0.98192769411231495</v>
      </c>
      <c r="EC72">
        <v>0.98172531575670396</v>
      </c>
      <c r="ED72">
        <v>0.981621834094906</v>
      </c>
      <c r="EE72">
        <f>SUM(Table1[[#This Row],[ratio_0]:[ratio_9]])</f>
        <v>820</v>
      </c>
      <c r="EF72" s="1">
        <f>(Table1[[#This Row],[predicted_0]]-Table1[[#This Row],[actual_0]])/Table1[[#This Row],[actual_0]]</f>
        <v>1.4285714285714285E-2</v>
      </c>
      <c r="EG72" s="1">
        <f>(Table1[[#This Row],[predicted_1]]-Table1[[#This Row],[actual_1]])/Table1[[#This Row],[actual_1]]</f>
        <v>7.9295154185022032E-3</v>
      </c>
      <c r="EH72" s="1">
        <f>(Table1[[#This Row],[predicted_2]]-Table1[[#This Row],[actual_2]])/Table1[[#This Row],[actual_2]]</f>
        <v>-3.875968992248062E-3</v>
      </c>
      <c r="EI72" s="1">
        <f>(Table1[[#This Row],[predicted_3]]-Table1[[#This Row],[actual_3]])/Table1[[#This Row],[actual_3]]</f>
        <v>-4.7524752475247525E-2</v>
      </c>
      <c r="EJ72" s="1">
        <f>(Table1[[#This Row],[predicted_4]]-Table1[[#This Row],[actual_4]])/Table1[[#This Row],[actual_4]]</f>
        <v>2.5458248472505093E-2</v>
      </c>
      <c r="EK72" s="1">
        <f>(Table1[[#This Row],[predicted_5]]-Table1[[#This Row],[actual_5]])/Table1[[#This Row],[actual_5]]</f>
        <v>2.914798206278027E-2</v>
      </c>
      <c r="EL72" s="1">
        <f>(Table1[[#This Row],[predicted_6]]-Table1[[#This Row],[actual_6]])/Table1[[#This Row],[actual_6]]</f>
        <v>-5.9498956158663886E-2</v>
      </c>
      <c r="EM72" s="1">
        <f>(Table1[[#This Row],[predicted_7]]-Table1[[#This Row],[actual_7]])/Table1[[#This Row],[actual_7]]</f>
        <v>1.556420233463035E-2</v>
      </c>
      <c r="EN72" s="1">
        <f>(Table1[[#This Row],[predicted_8]]-Table1[[#This Row],[actual_8]])/Table1[[#This Row],[actual_8]]</f>
        <v>1.7453798767967144E-2</v>
      </c>
      <c r="EO72" s="1">
        <f>(Table1[[#This Row],[predicted_9]]-Table1[[#This Row],[actual_9]])/Table1[[#This Row],[actual_9]]</f>
        <v>1.9821605550049554E-3</v>
      </c>
      <c r="EP72" s="1">
        <f>1+(Table1[[#This Row],[error_ratio_0]]-EF$2)</f>
        <v>1.0122448979591836</v>
      </c>
      <c r="EQ72" s="1">
        <f>1+(Table1[[#This Row],[error_ratio_1]]-EG$2)</f>
        <v>1.0061674008810573</v>
      </c>
      <c r="ER72" s="1">
        <f>1+(Table1[[#This Row],[error_ratio_2]]-EH$2)</f>
        <v>1.000968992248062</v>
      </c>
      <c r="ES72" s="1">
        <f>1+(Table1[[#This Row],[error_ratio_3]]-EI$2)</f>
        <v>0.94257425742574252</v>
      </c>
      <c r="ET72" s="1">
        <f>1+(Table1[[#This Row],[error_ratio_4]]-EJ$2)</f>
        <v>1.0244399185336048</v>
      </c>
      <c r="EU72" s="1">
        <f>1+(Table1[[#This Row],[error_ratio_5]]-EK$2)</f>
        <v>1.0280269058295963</v>
      </c>
      <c r="EV72" s="1">
        <f>1+(Table1[[#This Row],[error_ratio_6]]-EL$2)</f>
        <v>0.94676409185803756</v>
      </c>
      <c r="EW72" s="1">
        <f>1+(Table1[[#This Row],[error_ratio_7]]-EM$2)</f>
        <v>1.0136186770428015</v>
      </c>
      <c r="EX72" s="1">
        <f>1+(Table1[[#This Row],[error_ratio_8]]-EN$2)</f>
        <v>1.0205338809034907</v>
      </c>
      <c r="EY72" s="1">
        <f>1+(Table1[[#This Row],[error_ratio_9]]-EO$2)</f>
        <v>1.0059464816650148</v>
      </c>
    </row>
    <row r="73" spans="1:155" x14ac:dyDescent="0.75">
      <c r="A73">
        <v>10</v>
      </c>
      <c r="B73">
        <v>100</v>
      </c>
      <c r="C73">
        <v>100</v>
      </c>
      <c r="D73">
        <v>10</v>
      </c>
      <c r="E73">
        <v>100</v>
      </c>
      <c r="F73">
        <v>100</v>
      </c>
      <c r="G73">
        <v>10</v>
      </c>
      <c r="H73">
        <v>100</v>
      </c>
      <c r="I73">
        <v>100</v>
      </c>
      <c r="J73">
        <v>100</v>
      </c>
      <c r="K73">
        <v>968</v>
      </c>
      <c r="L73">
        <v>1126</v>
      </c>
      <c r="M73">
        <v>1024</v>
      </c>
      <c r="N73">
        <v>899</v>
      </c>
      <c r="O73">
        <v>1007</v>
      </c>
      <c r="P73">
        <v>959</v>
      </c>
      <c r="Q73">
        <v>891</v>
      </c>
      <c r="R73">
        <v>1033</v>
      </c>
      <c r="S73">
        <v>1079</v>
      </c>
      <c r="T73">
        <v>1014</v>
      </c>
      <c r="U73">
        <v>980</v>
      </c>
      <c r="V73">
        <v>1135</v>
      </c>
      <c r="W73">
        <v>1032</v>
      </c>
      <c r="X73">
        <v>1010</v>
      </c>
      <c r="Y73">
        <v>982</v>
      </c>
      <c r="Z73">
        <v>892</v>
      </c>
      <c r="AA73">
        <v>958</v>
      </c>
      <c r="AB73">
        <v>1028</v>
      </c>
      <c r="AC73">
        <v>974</v>
      </c>
      <c r="AD73">
        <v>1009</v>
      </c>
      <c r="AE73">
        <v>952</v>
      </c>
      <c r="AF73">
        <v>0</v>
      </c>
      <c r="AG73">
        <v>2</v>
      </c>
      <c r="AH73">
        <v>0</v>
      </c>
      <c r="AI73">
        <v>2</v>
      </c>
      <c r="AJ73">
        <v>1</v>
      </c>
      <c r="AK73">
        <v>1</v>
      </c>
      <c r="AL73">
        <v>2</v>
      </c>
      <c r="AM73">
        <v>15</v>
      </c>
      <c r="AN73">
        <v>5</v>
      </c>
      <c r="AO73">
        <v>0</v>
      </c>
      <c r="AP73">
        <v>1117</v>
      </c>
      <c r="AQ73">
        <v>0</v>
      </c>
      <c r="AR73">
        <v>0</v>
      </c>
      <c r="AS73">
        <v>0</v>
      </c>
      <c r="AT73">
        <v>0</v>
      </c>
      <c r="AU73">
        <v>1</v>
      </c>
      <c r="AV73">
        <v>1</v>
      </c>
      <c r="AW73">
        <v>16</v>
      </c>
      <c r="AX73">
        <v>0</v>
      </c>
      <c r="AY73">
        <v>2</v>
      </c>
      <c r="AZ73">
        <v>1</v>
      </c>
      <c r="BA73">
        <v>1007</v>
      </c>
      <c r="BB73">
        <v>0</v>
      </c>
      <c r="BC73">
        <v>2</v>
      </c>
      <c r="BD73">
        <v>0</v>
      </c>
      <c r="BE73">
        <v>0</v>
      </c>
      <c r="BF73">
        <v>5</v>
      </c>
      <c r="BG73">
        <v>15</v>
      </c>
      <c r="BH73">
        <v>0</v>
      </c>
      <c r="BI73">
        <v>0</v>
      </c>
      <c r="BJ73">
        <v>0</v>
      </c>
      <c r="BK73">
        <v>8</v>
      </c>
      <c r="BL73">
        <v>898</v>
      </c>
      <c r="BM73">
        <v>0</v>
      </c>
      <c r="BN73">
        <v>51</v>
      </c>
      <c r="BO73">
        <v>0</v>
      </c>
      <c r="BP73">
        <v>8</v>
      </c>
      <c r="BQ73">
        <v>37</v>
      </c>
      <c r="BR73">
        <v>8</v>
      </c>
      <c r="BS73">
        <v>0</v>
      </c>
      <c r="BT73">
        <v>0</v>
      </c>
      <c r="BU73">
        <v>0</v>
      </c>
      <c r="BV73">
        <v>0</v>
      </c>
      <c r="BW73">
        <v>976</v>
      </c>
      <c r="BX73">
        <v>0</v>
      </c>
      <c r="BY73">
        <v>1</v>
      </c>
      <c r="BZ73">
        <v>0</v>
      </c>
      <c r="CA73">
        <v>1</v>
      </c>
      <c r="CB73">
        <v>4</v>
      </c>
      <c r="CC73">
        <v>1</v>
      </c>
      <c r="CD73">
        <v>0</v>
      </c>
      <c r="CE73">
        <v>1</v>
      </c>
      <c r="CF73">
        <v>0</v>
      </c>
      <c r="CG73">
        <v>0</v>
      </c>
      <c r="CH73">
        <v>882</v>
      </c>
      <c r="CI73">
        <v>1</v>
      </c>
      <c r="CJ73">
        <v>1</v>
      </c>
      <c r="CK73">
        <v>3</v>
      </c>
      <c r="CL73">
        <v>3</v>
      </c>
      <c r="CM73">
        <v>10</v>
      </c>
      <c r="CN73">
        <v>1</v>
      </c>
      <c r="CO73">
        <v>0</v>
      </c>
      <c r="CP73">
        <v>0</v>
      </c>
      <c r="CQ73">
        <v>20</v>
      </c>
      <c r="CR73">
        <v>24</v>
      </c>
      <c r="CS73">
        <v>887</v>
      </c>
      <c r="CT73">
        <v>0</v>
      </c>
      <c r="CU73">
        <v>16</v>
      </c>
      <c r="CV73">
        <v>0</v>
      </c>
      <c r="CW73">
        <v>1</v>
      </c>
      <c r="CX73">
        <v>5</v>
      </c>
      <c r="CY73">
        <v>4</v>
      </c>
      <c r="CZ73">
        <v>1</v>
      </c>
      <c r="DA73">
        <v>0</v>
      </c>
      <c r="DB73">
        <v>0</v>
      </c>
      <c r="DC73">
        <v>0</v>
      </c>
      <c r="DD73">
        <v>1013</v>
      </c>
      <c r="DE73">
        <v>2</v>
      </c>
      <c r="DF73">
        <v>2</v>
      </c>
      <c r="DG73">
        <v>0</v>
      </c>
      <c r="DH73">
        <v>0</v>
      </c>
      <c r="DI73">
        <v>1</v>
      </c>
      <c r="DJ73">
        <v>0</v>
      </c>
      <c r="DK73">
        <v>0</v>
      </c>
      <c r="DL73">
        <v>1</v>
      </c>
      <c r="DM73">
        <v>0</v>
      </c>
      <c r="DN73">
        <v>1</v>
      </c>
      <c r="DO73">
        <v>968</v>
      </c>
      <c r="DP73">
        <v>3</v>
      </c>
      <c r="DQ73">
        <v>2</v>
      </c>
      <c r="DR73">
        <v>2</v>
      </c>
      <c r="DS73">
        <v>1</v>
      </c>
      <c r="DT73">
        <v>0</v>
      </c>
      <c r="DU73">
        <v>7</v>
      </c>
      <c r="DV73">
        <v>0</v>
      </c>
      <c r="DW73">
        <v>0</v>
      </c>
      <c r="DX73">
        <v>2</v>
      </c>
      <c r="DY73">
        <v>6</v>
      </c>
      <c r="DZ73">
        <v>989</v>
      </c>
      <c r="EA73">
        <v>0.96889999999999998</v>
      </c>
      <c r="EB73">
        <v>0.96953095054053795</v>
      </c>
      <c r="EC73">
        <v>0.96884469589417499</v>
      </c>
      <c r="ED73">
        <v>0.968346739169611</v>
      </c>
      <c r="EE73">
        <f>SUM(Table1[[#This Row],[ratio_0]:[ratio_9]])</f>
        <v>730</v>
      </c>
      <c r="EF73" s="1">
        <f>(Table1[[#This Row],[predicted_0]]-Table1[[#This Row],[actual_0]])/Table1[[#This Row],[actual_0]]</f>
        <v>-1.2244897959183673E-2</v>
      </c>
      <c r="EG73" s="1">
        <f>(Table1[[#This Row],[predicted_1]]-Table1[[#This Row],[actual_1]])/Table1[[#This Row],[actual_1]]</f>
        <v>-7.9295154185022032E-3</v>
      </c>
      <c r="EH73" s="1">
        <f>(Table1[[#This Row],[predicted_2]]-Table1[[#This Row],[actual_2]])/Table1[[#This Row],[actual_2]]</f>
        <v>-7.7519379844961239E-3</v>
      </c>
      <c r="EI73" s="1">
        <f>(Table1[[#This Row],[predicted_3]]-Table1[[#This Row],[actual_3]])/Table1[[#This Row],[actual_3]]</f>
        <v>-0.1099009900990099</v>
      </c>
      <c r="EJ73" s="1">
        <f>(Table1[[#This Row],[predicted_4]]-Table1[[#This Row],[actual_4]])/Table1[[#This Row],[actual_4]]</f>
        <v>2.5458248472505093E-2</v>
      </c>
      <c r="EK73" s="1">
        <f>(Table1[[#This Row],[predicted_5]]-Table1[[#This Row],[actual_5]])/Table1[[#This Row],[actual_5]]</f>
        <v>7.511210762331838E-2</v>
      </c>
      <c r="EL73" s="1">
        <f>(Table1[[#This Row],[predicted_6]]-Table1[[#This Row],[actual_6]])/Table1[[#This Row],[actual_6]]</f>
        <v>-6.9937369519832981E-2</v>
      </c>
      <c r="EM73" s="1">
        <f>(Table1[[#This Row],[predicted_7]]-Table1[[#This Row],[actual_7]])/Table1[[#This Row],[actual_7]]</f>
        <v>4.8638132295719845E-3</v>
      </c>
      <c r="EN73" s="1">
        <f>(Table1[[#This Row],[predicted_8]]-Table1[[#This Row],[actual_8]])/Table1[[#This Row],[actual_8]]</f>
        <v>0.10780287474332649</v>
      </c>
      <c r="EO73" s="1">
        <f>(Table1[[#This Row],[predicted_9]]-Table1[[#This Row],[actual_9]])/Table1[[#This Row],[actual_9]]</f>
        <v>4.9554013875123884E-3</v>
      </c>
      <c r="EP73" s="1">
        <f>1+(Table1[[#This Row],[error_ratio_0]]-EF$2)</f>
        <v>0.98571428571428577</v>
      </c>
      <c r="EQ73" s="1">
        <f>1+(Table1[[#This Row],[error_ratio_1]]-EG$2)</f>
        <v>0.99030837004405281</v>
      </c>
      <c r="ER73" s="1">
        <f>1+(Table1[[#This Row],[error_ratio_2]]-EH$2)</f>
        <v>0.99709302325581395</v>
      </c>
      <c r="ES73" s="1">
        <f>1+(Table1[[#This Row],[error_ratio_3]]-EI$2)</f>
        <v>0.8801980198019802</v>
      </c>
      <c r="ET73" s="1">
        <f>1+(Table1[[#This Row],[error_ratio_4]]-EJ$2)</f>
        <v>1.0244399185336048</v>
      </c>
      <c r="EU73" s="1">
        <f>1+(Table1[[#This Row],[error_ratio_5]]-EK$2)</f>
        <v>1.0739910313901344</v>
      </c>
      <c r="EV73" s="1">
        <f>1+(Table1[[#This Row],[error_ratio_6]]-EL$2)</f>
        <v>0.93632567849686854</v>
      </c>
      <c r="EW73" s="1">
        <f>1+(Table1[[#This Row],[error_ratio_7]]-EM$2)</f>
        <v>1.0029182879377432</v>
      </c>
      <c r="EX73" s="1">
        <f>1+(Table1[[#This Row],[error_ratio_8]]-EN$2)</f>
        <v>1.1108829568788501</v>
      </c>
      <c r="EY73" s="1">
        <f>1+(Table1[[#This Row],[error_ratio_9]]-EO$2)</f>
        <v>1.0089197224975224</v>
      </c>
    </row>
    <row r="74" spans="1:155" x14ac:dyDescent="0.75">
      <c r="A74">
        <v>100</v>
      </c>
      <c r="B74">
        <v>10</v>
      </c>
      <c r="C74">
        <v>100</v>
      </c>
      <c r="D74">
        <v>10</v>
      </c>
      <c r="E74">
        <v>100</v>
      </c>
      <c r="F74">
        <v>100</v>
      </c>
      <c r="G74">
        <v>10</v>
      </c>
      <c r="H74">
        <v>100</v>
      </c>
      <c r="I74">
        <v>100</v>
      </c>
      <c r="J74">
        <v>100</v>
      </c>
      <c r="K74">
        <v>1004</v>
      </c>
      <c r="L74">
        <v>1120</v>
      </c>
      <c r="M74">
        <v>1050</v>
      </c>
      <c r="N74">
        <v>908</v>
      </c>
      <c r="O74">
        <v>989</v>
      </c>
      <c r="P74">
        <v>969</v>
      </c>
      <c r="Q74">
        <v>911</v>
      </c>
      <c r="R74">
        <v>1040</v>
      </c>
      <c r="S74">
        <v>991</v>
      </c>
      <c r="T74">
        <v>1018</v>
      </c>
      <c r="U74">
        <v>980</v>
      </c>
      <c r="V74">
        <v>1135</v>
      </c>
      <c r="W74">
        <v>1032</v>
      </c>
      <c r="X74">
        <v>1010</v>
      </c>
      <c r="Y74">
        <v>982</v>
      </c>
      <c r="Z74">
        <v>892</v>
      </c>
      <c r="AA74">
        <v>958</v>
      </c>
      <c r="AB74">
        <v>1028</v>
      </c>
      <c r="AC74">
        <v>974</v>
      </c>
      <c r="AD74">
        <v>1009</v>
      </c>
      <c r="AE74">
        <v>977</v>
      </c>
      <c r="AF74">
        <v>0</v>
      </c>
      <c r="AG74">
        <v>0</v>
      </c>
      <c r="AH74">
        <v>0</v>
      </c>
      <c r="AI74">
        <v>0</v>
      </c>
      <c r="AJ74">
        <v>1</v>
      </c>
      <c r="AK74">
        <v>0</v>
      </c>
      <c r="AL74">
        <v>1</v>
      </c>
      <c r="AM74">
        <v>0</v>
      </c>
      <c r="AN74">
        <v>1</v>
      </c>
      <c r="AO74">
        <v>0</v>
      </c>
      <c r="AP74">
        <v>1116</v>
      </c>
      <c r="AQ74">
        <v>7</v>
      </c>
      <c r="AR74">
        <v>0</v>
      </c>
      <c r="AS74">
        <v>0</v>
      </c>
      <c r="AT74">
        <v>5</v>
      </c>
      <c r="AU74">
        <v>1</v>
      </c>
      <c r="AV74">
        <v>5</v>
      </c>
      <c r="AW74">
        <v>0</v>
      </c>
      <c r="AX74">
        <v>1</v>
      </c>
      <c r="AY74">
        <v>1</v>
      </c>
      <c r="AZ74">
        <v>0</v>
      </c>
      <c r="BA74">
        <v>1023</v>
      </c>
      <c r="BB74">
        <v>0</v>
      </c>
      <c r="BC74">
        <v>0</v>
      </c>
      <c r="BD74">
        <v>0</v>
      </c>
      <c r="BE74">
        <v>1</v>
      </c>
      <c r="BF74">
        <v>3</v>
      </c>
      <c r="BG74">
        <v>3</v>
      </c>
      <c r="BH74">
        <v>1</v>
      </c>
      <c r="BI74">
        <v>0</v>
      </c>
      <c r="BJ74">
        <v>0</v>
      </c>
      <c r="BK74">
        <v>11</v>
      </c>
      <c r="BL74">
        <v>906</v>
      </c>
      <c r="BM74">
        <v>0</v>
      </c>
      <c r="BN74">
        <v>64</v>
      </c>
      <c r="BO74">
        <v>0</v>
      </c>
      <c r="BP74">
        <v>9</v>
      </c>
      <c r="BQ74">
        <v>15</v>
      </c>
      <c r="BR74">
        <v>5</v>
      </c>
      <c r="BS74">
        <v>0</v>
      </c>
      <c r="BT74">
        <v>0</v>
      </c>
      <c r="BU74">
        <v>0</v>
      </c>
      <c r="BV74">
        <v>0</v>
      </c>
      <c r="BW74">
        <v>973</v>
      </c>
      <c r="BX74">
        <v>0</v>
      </c>
      <c r="BY74">
        <v>0</v>
      </c>
      <c r="BZ74">
        <v>0</v>
      </c>
      <c r="CA74">
        <v>0</v>
      </c>
      <c r="CB74">
        <v>9</v>
      </c>
      <c r="CC74">
        <v>2</v>
      </c>
      <c r="CD74">
        <v>0</v>
      </c>
      <c r="CE74">
        <v>1</v>
      </c>
      <c r="CF74">
        <v>1</v>
      </c>
      <c r="CG74">
        <v>0</v>
      </c>
      <c r="CH74">
        <v>885</v>
      </c>
      <c r="CI74">
        <v>1</v>
      </c>
      <c r="CJ74">
        <v>1</v>
      </c>
      <c r="CK74">
        <v>1</v>
      </c>
      <c r="CL74">
        <v>0</v>
      </c>
      <c r="CM74">
        <v>19</v>
      </c>
      <c r="CN74">
        <v>3</v>
      </c>
      <c r="CO74">
        <v>0</v>
      </c>
      <c r="CP74">
        <v>0</v>
      </c>
      <c r="CQ74">
        <v>15</v>
      </c>
      <c r="CR74">
        <v>6</v>
      </c>
      <c r="CS74">
        <v>908</v>
      </c>
      <c r="CT74">
        <v>0</v>
      </c>
      <c r="CU74">
        <v>6</v>
      </c>
      <c r="CV74">
        <v>1</v>
      </c>
      <c r="CW74">
        <v>0</v>
      </c>
      <c r="CX74">
        <v>1</v>
      </c>
      <c r="CY74">
        <v>5</v>
      </c>
      <c r="CZ74">
        <v>0</v>
      </c>
      <c r="DA74">
        <v>0</v>
      </c>
      <c r="DB74">
        <v>1</v>
      </c>
      <c r="DC74">
        <v>0</v>
      </c>
      <c r="DD74">
        <v>1017</v>
      </c>
      <c r="DE74">
        <v>1</v>
      </c>
      <c r="DF74">
        <v>3</v>
      </c>
      <c r="DG74">
        <v>5</v>
      </c>
      <c r="DH74">
        <v>0</v>
      </c>
      <c r="DI74">
        <v>3</v>
      </c>
      <c r="DJ74">
        <v>0</v>
      </c>
      <c r="DK74">
        <v>0</v>
      </c>
      <c r="DL74">
        <v>2</v>
      </c>
      <c r="DM74">
        <v>0</v>
      </c>
      <c r="DN74">
        <v>0</v>
      </c>
      <c r="DO74">
        <v>963</v>
      </c>
      <c r="DP74">
        <v>1</v>
      </c>
      <c r="DQ74">
        <v>0</v>
      </c>
      <c r="DR74">
        <v>0</v>
      </c>
      <c r="DS74">
        <v>0</v>
      </c>
      <c r="DT74">
        <v>1</v>
      </c>
      <c r="DU74">
        <v>1</v>
      </c>
      <c r="DV74">
        <v>5</v>
      </c>
      <c r="DW74">
        <v>0</v>
      </c>
      <c r="DX74">
        <v>4</v>
      </c>
      <c r="DY74">
        <v>2</v>
      </c>
      <c r="DZ74">
        <v>996</v>
      </c>
      <c r="EA74">
        <v>0.97640000000000005</v>
      </c>
      <c r="EB74">
        <v>0.97634801885292799</v>
      </c>
      <c r="EC74">
        <v>0.97644248230444697</v>
      </c>
      <c r="ED74">
        <v>0.97586275076430495</v>
      </c>
      <c r="EE74">
        <f>SUM(Table1[[#This Row],[ratio_0]:[ratio_9]])</f>
        <v>730</v>
      </c>
      <c r="EF74" s="1">
        <f>(Table1[[#This Row],[predicted_0]]-Table1[[#This Row],[actual_0]])/Table1[[#This Row],[actual_0]]</f>
        <v>2.4489795918367346E-2</v>
      </c>
      <c r="EG74" s="1">
        <f>(Table1[[#This Row],[predicted_1]]-Table1[[#This Row],[actual_1]])/Table1[[#This Row],[actual_1]]</f>
        <v>-1.3215859030837005E-2</v>
      </c>
      <c r="EH74" s="1">
        <f>(Table1[[#This Row],[predicted_2]]-Table1[[#This Row],[actual_2]])/Table1[[#This Row],[actual_2]]</f>
        <v>1.7441860465116279E-2</v>
      </c>
      <c r="EI74" s="1">
        <f>(Table1[[#This Row],[predicted_3]]-Table1[[#This Row],[actual_3]])/Table1[[#This Row],[actual_3]]</f>
        <v>-0.100990099009901</v>
      </c>
      <c r="EJ74" s="1">
        <f>(Table1[[#This Row],[predicted_4]]-Table1[[#This Row],[actual_4]])/Table1[[#This Row],[actual_4]]</f>
        <v>7.1283095723014261E-3</v>
      </c>
      <c r="EK74" s="1">
        <f>(Table1[[#This Row],[predicted_5]]-Table1[[#This Row],[actual_5]])/Table1[[#This Row],[actual_5]]</f>
        <v>8.632286995515695E-2</v>
      </c>
      <c r="EL74" s="1">
        <f>(Table1[[#This Row],[predicted_6]]-Table1[[#This Row],[actual_6]])/Table1[[#This Row],[actual_6]]</f>
        <v>-4.9060542797494784E-2</v>
      </c>
      <c r="EM74" s="1">
        <f>(Table1[[#This Row],[predicted_7]]-Table1[[#This Row],[actual_7]])/Table1[[#This Row],[actual_7]]</f>
        <v>1.1673151750972763E-2</v>
      </c>
      <c r="EN74" s="1">
        <f>(Table1[[#This Row],[predicted_8]]-Table1[[#This Row],[actual_8]])/Table1[[#This Row],[actual_8]]</f>
        <v>1.7453798767967144E-2</v>
      </c>
      <c r="EO74" s="1">
        <f>(Table1[[#This Row],[predicted_9]]-Table1[[#This Row],[actual_9]])/Table1[[#This Row],[actual_9]]</f>
        <v>8.9197224975222991E-3</v>
      </c>
      <c r="EP74" s="1">
        <f>1+(Table1[[#This Row],[error_ratio_0]]-EF$2)</f>
        <v>1.0224489795918368</v>
      </c>
      <c r="EQ74" s="1">
        <f>1+(Table1[[#This Row],[error_ratio_1]]-EG$2)</f>
        <v>0.9850220264317181</v>
      </c>
      <c r="ER74" s="1">
        <f>1+(Table1[[#This Row],[error_ratio_2]]-EH$2)</f>
        <v>1.0222868217054264</v>
      </c>
      <c r="ES74" s="1">
        <f>1+(Table1[[#This Row],[error_ratio_3]]-EI$2)</f>
        <v>0.88910891089108912</v>
      </c>
      <c r="ET74" s="1">
        <f>1+(Table1[[#This Row],[error_ratio_4]]-EJ$2)</f>
        <v>1.0061099796334012</v>
      </c>
      <c r="EU74" s="1">
        <f>1+(Table1[[#This Row],[error_ratio_5]]-EK$2)</f>
        <v>1.0852017937219731</v>
      </c>
      <c r="EV74" s="1">
        <f>1+(Table1[[#This Row],[error_ratio_6]]-EL$2)</f>
        <v>0.95720250521920669</v>
      </c>
      <c r="EW74" s="1">
        <f>1+(Table1[[#This Row],[error_ratio_7]]-EM$2)</f>
        <v>1.0097276264591439</v>
      </c>
      <c r="EX74" s="1">
        <f>1+(Table1[[#This Row],[error_ratio_8]]-EN$2)</f>
        <v>1.0205338809034907</v>
      </c>
      <c r="EY74" s="1">
        <f>1+(Table1[[#This Row],[error_ratio_9]]-EO$2)</f>
        <v>1.0128840436075321</v>
      </c>
    </row>
    <row r="75" spans="1:155" x14ac:dyDescent="0.75">
      <c r="A75">
        <v>10</v>
      </c>
      <c r="B75">
        <v>10</v>
      </c>
      <c r="C75">
        <v>100</v>
      </c>
      <c r="D75">
        <v>10</v>
      </c>
      <c r="E75">
        <v>100</v>
      </c>
      <c r="F75">
        <v>100</v>
      </c>
      <c r="G75">
        <v>10</v>
      </c>
      <c r="H75">
        <v>100</v>
      </c>
      <c r="I75">
        <v>100</v>
      </c>
      <c r="J75">
        <v>100</v>
      </c>
      <c r="K75">
        <v>959</v>
      </c>
      <c r="L75">
        <v>1110</v>
      </c>
      <c r="M75">
        <v>1056</v>
      </c>
      <c r="N75">
        <v>999</v>
      </c>
      <c r="O75">
        <v>985</v>
      </c>
      <c r="P75">
        <v>958</v>
      </c>
      <c r="Q75">
        <v>899</v>
      </c>
      <c r="R75">
        <v>1046</v>
      </c>
      <c r="S75">
        <v>970</v>
      </c>
      <c r="T75">
        <v>1018</v>
      </c>
      <c r="U75">
        <v>980</v>
      </c>
      <c r="V75">
        <v>1135</v>
      </c>
      <c r="W75">
        <v>1032</v>
      </c>
      <c r="X75">
        <v>1010</v>
      </c>
      <c r="Y75">
        <v>982</v>
      </c>
      <c r="Z75">
        <v>892</v>
      </c>
      <c r="AA75">
        <v>958</v>
      </c>
      <c r="AB75">
        <v>1028</v>
      </c>
      <c r="AC75">
        <v>974</v>
      </c>
      <c r="AD75">
        <v>1009</v>
      </c>
      <c r="AE75">
        <v>948</v>
      </c>
      <c r="AF75">
        <v>0</v>
      </c>
      <c r="AG75">
        <v>3</v>
      </c>
      <c r="AH75">
        <v>0</v>
      </c>
      <c r="AI75">
        <v>4</v>
      </c>
      <c r="AJ75">
        <v>15</v>
      </c>
      <c r="AK75">
        <v>2</v>
      </c>
      <c r="AL75">
        <v>2</v>
      </c>
      <c r="AM75">
        <v>4</v>
      </c>
      <c r="AN75">
        <v>2</v>
      </c>
      <c r="AO75">
        <v>0</v>
      </c>
      <c r="AP75">
        <v>1107</v>
      </c>
      <c r="AQ75">
        <v>4</v>
      </c>
      <c r="AR75">
        <v>6</v>
      </c>
      <c r="AS75">
        <v>0</v>
      </c>
      <c r="AT75">
        <v>0</v>
      </c>
      <c r="AU75">
        <v>2</v>
      </c>
      <c r="AV75">
        <v>8</v>
      </c>
      <c r="AW75">
        <v>6</v>
      </c>
      <c r="AX75">
        <v>2</v>
      </c>
      <c r="AY75">
        <v>0</v>
      </c>
      <c r="AZ75">
        <v>0</v>
      </c>
      <c r="BA75">
        <v>1025</v>
      </c>
      <c r="BB75">
        <v>0</v>
      </c>
      <c r="BC75">
        <v>0</v>
      </c>
      <c r="BD75">
        <v>0</v>
      </c>
      <c r="BE75">
        <v>1</v>
      </c>
      <c r="BF75">
        <v>5</v>
      </c>
      <c r="BG75">
        <v>1</v>
      </c>
      <c r="BH75">
        <v>0</v>
      </c>
      <c r="BI75">
        <v>0</v>
      </c>
      <c r="BJ75">
        <v>0</v>
      </c>
      <c r="BK75">
        <v>5</v>
      </c>
      <c r="BL75">
        <v>985</v>
      </c>
      <c r="BM75">
        <v>0</v>
      </c>
      <c r="BN75">
        <v>9</v>
      </c>
      <c r="BO75">
        <v>0</v>
      </c>
      <c r="BP75">
        <v>7</v>
      </c>
      <c r="BQ75">
        <v>3</v>
      </c>
      <c r="BR75">
        <v>1</v>
      </c>
      <c r="BS75">
        <v>0</v>
      </c>
      <c r="BT75">
        <v>0</v>
      </c>
      <c r="BU75">
        <v>1</v>
      </c>
      <c r="BV75">
        <v>0</v>
      </c>
      <c r="BW75">
        <v>970</v>
      </c>
      <c r="BX75">
        <v>0</v>
      </c>
      <c r="BY75">
        <v>0</v>
      </c>
      <c r="BZ75">
        <v>2</v>
      </c>
      <c r="CA75">
        <v>0</v>
      </c>
      <c r="CB75">
        <v>9</v>
      </c>
      <c r="CC75">
        <v>0</v>
      </c>
      <c r="CD75">
        <v>0</v>
      </c>
      <c r="CE75">
        <v>0</v>
      </c>
      <c r="CF75">
        <v>5</v>
      </c>
      <c r="CG75">
        <v>0</v>
      </c>
      <c r="CH75">
        <v>886</v>
      </c>
      <c r="CI75">
        <v>0</v>
      </c>
      <c r="CJ75">
        <v>1</v>
      </c>
      <c r="CK75">
        <v>0</v>
      </c>
      <c r="CL75">
        <v>0</v>
      </c>
      <c r="CM75">
        <v>8</v>
      </c>
      <c r="CN75">
        <v>3</v>
      </c>
      <c r="CO75">
        <v>5</v>
      </c>
      <c r="CP75">
        <v>0</v>
      </c>
      <c r="CQ75">
        <v>8</v>
      </c>
      <c r="CR75">
        <v>39</v>
      </c>
      <c r="CS75">
        <v>894</v>
      </c>
      <c r="CT75">
        <v>0</v>
      </c>
      <c r="CU75">
        <v>1</v>
      </c>
      <c r="CV75">
        <v>0</v>
      </c>
      <c r="CW75">
        <v>1</v>
      </c>
      <c r="CX75">
        <v>0</v>
      </c>
      <c r="CY75">
        <v>5</v>
      </c>
      <c r="CZ75">
        <v>0</v>
      </c>
      <c r="DA75">
        <v>0</v>
      </c>
      <c r="DB75">
        <v>0</v>
      </c>
      <c r="DC75">
        <v>0</v>
      </c>
      <c r="DD75">
        <v>1017</v>
      </c>
      <c r="DE75">
        <v>1</v>
      </c>
      <c r="DF75">
        <v>4</v>
      </c>
      <c r="DG75">
        <v>1</v>
      </c>
      <c r="DH75">
        <v>0</v>
      </c>
      <c r="DI75">
        <v>7</v>
      </c>
      <c r="DJ75">
        <v>0</v>
      </c>
      <c r="DK75">
        <v>0</v>
      </c>
      <c r="DL75">
        <v>4</v>
      </c>
      <c r="DM75">
        <v>0</v>
      </c>
      <c r="DN75">
        <v>3</v>
      </c>
      <c r="DO75">
        <v>954</v>
      </c>
      <c r="DP75">
        <v>5</v>
      </c>
      <c r="DQ75">
        <v>1</v>
      </c>
      <c r="DR75">
        <v>0</v>
      </c>
      <c r="DS75">
        <v>1</v>
      </c>
      <c r="DT75">
        <v>3</v>
      </c>
      <c r="DU75">
        <v>3</v>
      </c>
      <c r="DV75">
        <v>5</v>
      </c>
      <c r="DW75">
        <v>0</v>
      </c>
      <c r="DX75">
        <v>1</v>
      </c>
      <c r="DY75">
        <v>0</v>
      </c>
      <c r="DZ75">
        <v>995</v>
      </c>
      <c r="EA75">
        <v>0.97809999999999997</v>
      </c>
      <c r="EB75">
        <v>0.97796973722876301</v>
      </c>
      <c r="EC75">
        <v>0.97802802581963499</v>
      </c>
      <c r="ED75">
        <v>0.977729942846989</v>
      </c>
      <c r="EE75">
        <f>SUM(Table1[[#This Row],[ratio_0]:[ratio_9]])</f>
        <v>640</v>
      </c>
      <c r="EF75" s="1">
        <f>(Table1[[#This Row],[predicted_0]]-Table1[[#This Row],[actual_0]])/Table1[[#This Row],[actual_0]]</f>
        <v>-2.1428571428571429E-2</v>
      </c>
      <c r="EG75" s="1">
        <f>(Table1[[#This Row],[predicted_1]]-Table1[[#This Row],[actual_1]])/Table1[[#This Row],[actual_1]]</f>
        <v>-2.2026431718061675E-2</v>
      </c>
      <c r="EH75" s="1">
        <f>(Table1[[#This Row],[predicted_2]]-Table1[[#This Row],[actual_2]])/Table1[[#This Row],[actual_2]]</f>
        <v>2.3255813953488372E-2</v>
      </c>
      <c r="EI75" s="1">
        <f>(Table1[[#This Row],[predicted_3]]-Table1[[#This Row],[actual_3]])/Table1[[#This Row],[actual_3]]</f>
        <v>-1.089108910891089E-2</v>
      </c>
      <c r="EJ75" s="1">
        <f>(Table1[[#This Row],[predicted_4]]-Table1[[#This Row],[actual_4]])/Table1[[#This Row],[actual_4]]</f>
        <v>3.0549898167006109E-3</v>
      </c>
      <c r="EK75" s="1">
        <f>(Table1[[#This Row],[predicted_5]]-Table1[[#This Row],[actual_5]])/Table1[[#This Row],[actual_5]]</f>
        <v>7.3991031390134535E-2</v>
      </c>
      <c r="EL75" s="1">
        <f>(Table1[[#This Row],[predicted_6]]-Table1[[#This Row],[actual_6]])/Table1[[#This Row],[actual_6]]</f>
        <v>-6.1586638830897704E-2</v>
      </c>
      <c r="EM75" s="1">
        <f>(Table1[[#This Row],[predicted_7]]-Table1[[#This Row],[actual_7]])/Table1[[#This Row],[actual_7]]</f>
        <v>1.7509727626459144E-2</v>
      </c>
      <c r="EN75" s="1">
        <f>(Table1[[#This Row],[predicted_8]]-Table1[[#This Row],[actual_8]])/Table1[[#This Row],[actual_8]]</f>
        <v>-4.1067761806981521E-3</v>
      </c>
      <c r="EO75" s="1">
        <f>(Table1[[#This Row],[predicted_9]]-Table1[[#This Row],[actual_9]])/Table1[[#This Row],[actual_9]]</f>
        <v>8.9197224975222991E-3</v>
      </c>
      <c r="EP75" s="1">
        <f>1+(Table1[[#This Row],[error_ratio_0]]-EF$2)</f>
        <v>0.97653061224489801</v>
      </c>
      <c r="EQ75" s="1">
        <f>1+(Table1[[#This Row],[error_ratio_1]]-EG$2)</f>
        <v>0.97621145374449336</v>
      </c>
      <c r="ER75" s="1">
        <f>1+(Table1[[#This Row],[error_ratio_2]]-EH$2)</f>
        <v>1.0281007751937985</v>
      </c>
      <c r="ES75" s="1">
        <f>1+(Table1[[#This Row],[error_ratio_3]]-EI$2)</f>
        <v>0.97920792079207919</v>
      </c>
      <c r="ET75" s="1">
        <f>1+(Table1[[#This Row],[error_ratio_4]]-EJ$2)</f>
        <v>1.0020366598778003</v>
      </c>
      <c r="EU75" s="1">
        <f>1+(Table1[[#This Row],[error_ratio_5]]-EK$2)</f>
        <v>1.0728699551569507</v>
      </c>
      <c r="EV75" s="1">
        <f>1+(Table1[[#This Row],[error_ratio_6]]-EL$2)</f>
        <v>0.94467640918580376</v>
      </c>
      <c r="EW75" s="1">
        <f>1+(Table1[[#This Row],[error_ratio_7]]-EM$2)</f>
        <v>1.0155642023346303</v>
      </c>
      <c r="EX75" s="1">
        <f>1+(Table1[[#This Row],[error_ratio_8]]-EN$2)</f>
        <v>0.99897330595482547</v>
      </c>
      <c r="EY75" s="1">
        <f>1+(Table1[[#This Row],[error_ratio_9]]-EO$2)</f>
        <v>1.0128840436075321</v>
      </c>
    </row>
    <row r="76" spans="1:155" x14ac:dyDescent="0.75">
      <c r="A76">
        <v>100</v>
      </c>
      <c r="B76">
        <v>100</v>
      </c>
      <c r="C76">
        <v>10</v>
      </c>
      <c r="D76">
        <v>10</v>
      </c>
      <c r="E76">
        <v>100</v>
      </c>
      <c r="F76">
        <v>100</v>
      </c>
      <c r="G76">
        <v>10</v>
      </c>
      <c r="H76">
        <v>100</v>
      </c>
      <c r="I76">
        <v>100</v>
      </c>
      <c r="J76">
        <v>100</v>
      </c>
      <c r="K76">
        <v>1023</v>
      </c>
      <c r="L76">
        <v>1158</v>
      </c>
      <c r="M76">
        <v>942</v>
      </c>
      <c r="N76">
        <v>943</v>
      </c>
      <c r="O76">
        <v>1017</v>
      </c>
      <c r="P76">
        <v>948</v>
      </c>
      <c r="Q76">
        <v>883</v>
      </c>
      <c r="R76">
        <v>1100</v>
      </c>
      <c r="S76">
        <v>986</v>
      </c>
      <c r="T76">
        <v>1000</v>
      </c>
      <c r="U76">
        <v>980</v>
      </c>
      <c r="V76">
        <v>1135</v>
      </c>
      <c r="W76">
        <v>1032</v>
      </c>
      <c r="X76">
        <v>1010</v>
      </c>
      <c r="Y76">
        <v>982</v>
      </c>
      <c r="Z76">
        <v>892</v>
      </c>
      <c r="AA76">
        <v>958</v>
      </c>
      <c r="AB76">
        <v>1028</v>
      </c>
      <c r="AC76">
        <v>974</v>
      </c>
      <c r="AD76">
        <v>1009</v>
      </c>
      <c r="AE76">
        <v>975</v>
      </c>
      <c r="AF76">
        <v>2</v>
      </c>
      <c r="AG76">
        <v>1</v>
      </c>
      <c r="AH76">
        <v>0</v>
      </c>
      <c r="AI76">
        <v>0</v>
      </c>
      <c r="AJ76">
        <v>0</v>
      </c>
      <c r="AK76">
        <v>0</v>
      </c>
      <c r="AL76">
        <v>1</v>
      </c>
      <c r="AM76">
        <v>0</v>
      </c>
      <c r="AN76">
        <v>1</v>
      </c>
      <c r="AO76">
        <v>0</v>
      </c>
      <c r="AP76">
        <v>1133</v>
      </c>
      <c r="AQ76">
        <v>0</v>
      </c>
      <c r="AR76">
        <v>1</v>
      </c>
      <c r="AS76">
        <v>0</v>
      </c>
      <c r="AT76">
        <v>0</v>
      </c>
      <c r="AU76">
        <v>0</v>
      </c>
      <c r="AV76">
        <v>1</v>
      </c>
      <c r="AW76">
        <v>0</v>
      </c>
      <c r="AX76">
        <v>0</v>
      </c>
      <c r="AY76">
        <v>11</v>
      </c>
      <c r="AZ76">
        <v>8</v>
      </c>
      <c r="BA76">
        <v>937</v>
      </c>
      <c r="BB76">
        <v>10</v>
      </c>
      <c r="BC76">
        <v>5</v>
      </c>
      <c r="BD76">
        <v>1</v>
      </c>
      <c r="BE76">
        <v>0</v>
      </c>
      <c r="BF76">
        <v>46</v>
      </c>
      <c r="BG76">
        <v>13</v>
      </c>
      <c r="BH76">
        <v>1</v>
      </c>
      <c r="BI76">
        <v>2</v>
      </c>
      <c r="BJ76">
        <v>0</v>
      </c>
      <c r="BK76">
        <v>2</v>
      </c>
      <c r="BL76">
        <v>929</v>
      </c>
      <c r="BM76">
        <v>0</v>
      </c>
      <c r="BN76">
        <v>42</v>
      </c>
      <c r="BO76">
        <v>0</v>
      </c>
      <c r="BP76">
        <v>18</v>
      </c>
      <c r="BQ76">
        <v>13</v>
      </c>
      <c r="BR76">
        <v>4</v>
      </c>
      <c r="BS76">
        <v>0</v>
      </c>
      <c r="BT76">
        <v>0</v>
      </c>
      <c r="BU76">
        <v>0</v>
      </c>
      <c r="BV76">
        <v>0</v>
      </c>
      <c r="BW76">
        <v>980</v>
      </c>
      <c r="BX76">
        <v>0</v>
      </c>
      <c r="BY76">
        <v>0</v>
      </c>
      <c r="BZ76">
        <v>0</v>
      </c>
      <c r="CA76">
        <v>0</v>
      </c>
      <c r="CB76">
        <v>2</v>
      </c>
      <c r="CC76">
        <v>2</v>
      </c>
      <c r="CD76">
        <v>0</v>
      </c>
      <c r="CE76">
        <v>0</v>
      </c>
      <c r="CF76">
        <v>1</v>
      </c>
      <c r="CG76">
        <v>0</v>
      </c>
      <c r="CH76">
        <v>887</v>
      </c>
      <c r="CI76">
        <v>1</v>
      </c>
      <c r="CJ76">
        <v>0</v>
      </c>
      <c r="CK76">
        <v>1</v>
      </c>
      <c r="CL76">
        <v>0</v>
      </c>
      <c r="CM76">
        <v>26</v>
      </c>
      <c r="CN76">
        <v>5</v>
      </c>
      <c r="CO76">
        <v>0</v>
      </c>
      <c r="CP76">
        <v>0</v>
      </c>
      <c r="CQ76">
        <v>25</v>
      </c>
      <c r="CR76">
        <v>12</v>
      </c>
      <c r="CS76">
        <v>882</v>
      </c>
      <c r="CT76">
        <v>0</v>
      </c>
      <c r="CU76">
        <v>8</v>
      </c>
      <c r="CV76">
        <v>0</v>
      </c>
      <c r="CW76">
        <v>0</v>
      </c>
      <c r="CX76">
        <v>5</v>
      </c>
      <c r="CY76">
        <v>1</v>
      </c>
      <c r="CZ76">
        <v>0</v>
      </c>
      <c r="DA76">
        <v>0</v>
      </c>
      <c r="DB76">
        <v>0</v>
      </c>
      <c r="DC76">
        <v>0</v>
      </c>
      <c r="DD76">
        <v>1020</v>
      </c>
      <c r="DE76">
        <v>1</v>
      </c>
      <c r="DF76">
        <v>1</v>
      </c>
      <c r="DG76">
        <v>7</v>
      </c>
      <c r="DH76">
        <v>1</v>
      </c>
      <c r="DI76">
        <v>1</v>
      </c>
      <c r="DJ76">
        <v>0</v>
      </c>
      <c r="DK76">
        <v>1</v>
      </c>
      <c r="DL76">
        <v>3</v>
      </c>
      <c r="DM76">
        <v>0</v>
      </c>
      <c r="DN76">
        <v>7</v>
      </c>
      <c r="DO76">
        <v>950</v>
      </c>
      <c r="DP76">
        <v>4</v>
      </c>
      <c r="DQ76">
        <v>0</v>
      </c>
      <c r="DR76">
        <v>4</v>
      </c>
      <c r="DS76">
        <v>0</v>
      </c>
      <c r="DT76">
        <v>2</v>
      </c>
      <c r="DU76">
        <v>6</v>
      </c>
      <c r="DV76">
        <v>3</v>
      </c>
      <c r="DW76">
        <v>0</v>
      </c>
      <c r="DX76">
        <v>7</v>
      </c>
      <c r="DY76">
        <v>0</v>
      </c>
      <c r="DZ76">
        <v>987</v>
      </c>
      <c r="EA76">
        <v>0.96799999999999997</v>
      </c>
      <c r="EB76">
        <v>0.96872377038170698</v>
      </c>
      <c r="EC76">
        <v>0.96796830543331902</v>
      </c>
      <c r="ED76">
        <v>0.96758714024205195</v>
      </c>
      <c r="EE76">
        <f>SUM(Table1[[#This Row],[ratio_0]:[ratio_9]])</f>
        <v>730</v>
      </c>
      <c r="EF76" s="1">
        <f>(Table1[[#This Row],[predicted_0]]-Table1[[#This Row],[actual_0]])/Table1[[#This Row],[actual_0]]</f>
        <v>4.3877551020408162E-2</v>
      </c>
      <c r="EG76" s="1">
        <f>(Table1[[#This Row],[predicted_1]]-Table1[[#This Row],[actual_1]])/Table1[[#This Row],[actual_1]]</f>
        <v>2.0264317180616741E-2</v>
      </c>
      <c r="EH76" s="1">
        <f>(Table1[[#This Row],[predicted_2]]-Table1[[#This Row],[actual_2]])/Table1[[#This Row],[actual_2]]</f>
        <v>-8.7209302325581398E-2</v>
      </c>
      <c r="EI76" s="1">
        <f>(Table1[[#This Row],[predicted_3]]-Table1[[#This Row],[actual_3]])/Table1[[#This Row],[actual_3]]</f>
        <v>-6.633663366336634E-2</v>
      </c>
      <c r="EJ76" s="1">
        <f>(Table1[[#This Row],[predicted_4]]-Table1[[#This Row],[actual_4]])/Table1[[#This Row],[actual_4]]</f>
        <v>3.5641547861507125E-2</v>
      </c>
      <c r="EK76" s="1">
        <f>(Table1[[#This Row],[predicted_5]]-Table1[[#This Row],[actual_5]])/Table1[[#This Row],[actual_5]]</f>
        <v>6.2780269058295965E-2</v>
      </c>
      <c r="EL76" s="1">
        <f>(Table1[[#This Row],[predicted_6]]-Table1[[#This Row],[actual_6]])/Table1[[#This Row],[actual_6]]</f>
        <v>-7.8288100208768266E-2</v>
      </c>
      <c r="EM76" s="1">
        <f>(Table1[[#This Row],[predicted_7]]-Table1[[#This Row],[actual_7]])/Table1[[#This Row],[actual_7]]</f>
        <v>7.0038910505836577E-2</v>
      </c>
      <c r="EN76" s="1">
        <f>(Table1[[#This Row],[predicted_8]]-Table1[[#This Row],[actual_8]])/Table1[[#This Row],[actual_8]]</f>
        <v>1.2320328542094456E-2</v>
      </c>
      <c r="EO76" s="1">
        <f>(Table1[[#This Row],[predicted_9]]-Table1[[#This Row],[actual_9]])/Table1[[#This Row],[actual_9]]</f>
        <v>-8.9197224975222991E-3</v>
      </c>
      <c r="EP76" s="1">
        <f>1+(Table1[[#This Row],[error_ratio_0]]-EF$2)</f>
        <v>1.0418367346938775</v>
      </c>
      <c r="EQ76" s="1">
        <f>1+(Table1[[#This Row],[error_ratio_1]]-EG$2)</f>
        <v>1.0185022026431718</v>
      </c>
      <c r="ER76" s="1">
        <f>1+(Table1[[#This Row],[error_ratio_2]]-EH$2)</f>
        <v>0.91763565891472865</v>
      </c>
      <c r="ES76" s="1">
        <f>1+(Table1[[#This Row],[error_ratio_3]]-EI$2)</f>
        <v>0.92376237623762381</v>
      </c>
      <c r="ET76" s="1">
        <f>1+(Table1[[#This Row],[error_ratio_4]]-EJ$2)</f>
        <v>1.0346232179226069</v>
      </c>
      <c r="EU76" s="1">
        <f>1+(Table1[[#This Row],[error_ratio_5]]-EK$2)</f>
        <v>1.061659192825112</v>
      </c>
      <c r="EV76" s="1">
        <f>1+(Table1[[#This Row],[error_ratio_6]]-EL$2)</f>
        <v>0.92797494780793321</v>
      </c>
      <c r="EW76" s="1">
        <f>1+(Table1[[#This Row],[error_ratio_7]]-EM$2)</f>
        <v>1.0680933852140078</v>
      </c>
      <c r="EX76" s="1">
        <f>1+(Table1[[#This Row],[error_ratio_8]]-EN$2)</f>
        <v>1.015400410677618</v>
      </c>
      <c r="EY76" s="1">
        <f>1+(Table1[[#This Row],[error_ratio_9]]-EO$2)</f>
        <v>0.99504459861248762</v>
      </c>
    </row>
    <row r="77" spans="1:155" x14ac:dyDescent="0.75">
      <c r="A77">
        <v>10</v>
      </c>
      <c r="B77">
        <v>100</v>
      </c>
      <c r="C77">
        <v>10</v>
      </c>
      <c r="D77">
        <v>10</v>
      </c>
      <c r="E77">
        <v>100</v>
      </c>
      <c r="F77">
        <v>100</v>
      </c>
      <c r="G77">
        <v>10</v>
      </c>
      <c r="H77">
        <v>100</v>
      </c>
      <c r="I77">
        <v>100</v>
      </c>
      <c r="J77">
        <v>100</v>
      </c>
      <c r="K77">
        <v>932</v>
      </c>
      <c r="L77">
        <v>1159</v>
      </c>
      <c r="M77">
        <v>969</v>
      </c>
      <c r="N77">
        <v>956</v>
      </c>
      <c r="O77">
        <v>967</v>
      </c>
      <c r="P77">
        <v>933</v>
      </c>
      <c r="Q77">
        <v>965</v>
      </c>
      <c r="R77">
        <v>1035</v>
      </c>
      <c r="S77">
        <v>987</v>
      </c>
      <c r="T77">
        <v>1097</v>
      </c>
      <c r="U77">
        <v>980</v>
      </c>
      <c r="V77">
        <v>1135</v>
      </c>
      <c r="W77">
        <v>1032</v>
      </c>
      <c r="X77">
        <v>1010</v>
      </c>
      <c r="Y77">
        <v>982</v>
      </c>
      <c r="Z77">
        <v>892</v>
      </c>
      <c r="AA77">
        <v>958</v>
      </c>
      <c r="AB77">
        <v>1028</v>
      </c>
      <c r="AC77">
        <v>974</v>
      </c>
      <c r="AD77">
        <v>1009</v>
      </c>
      <c r="AE77">
        <v>927</v>
      </c>
      <c r="AF77">
        <v>0</v>
      </c>
      <c r="AG77">
        <v>1</v>
      </c>
      <c r="AH77">
        <v>0</v>
      </c>
      <c r="AI77">
        <v>3</v>
      </c>
      <c r="AJ77">
        <v>9</v>
      </c>
      <c r="AK77">
        <v>14</v>
      </c>
      <c r="AL77">
        <v>2</v>
      </c>
      <c r="AM77">
        <v>3</v>
      </c>
      <c r="AN77">
        <v>21</v>
      </c>
      <c r="AO77">
        <v>0</v>
      </c>
      <c r="AP77">
        <v>1131</v>
      </c>
      <c r="AQ77">
        <v>1</v>
      </c>
      <c r="AR77">
        <v>1</v>
      </c>
      <c r="AS77">
        <v>0</v>
      </c>
      <c r="AT77">
        <v>0</v>
      </c>
      <c r="AU77">
        <v>1</v>
      </c>
      <c r="AV77">
        <v>0</v>
      </c>
      <c r="AW77">
        <v>0</v>
      </c>
      <c r="AX77">
        <v>1</v>
      </c>
      <c r="AY77">
        <v>1</v>
      </c>
      <c r="AZ77">
        <v>10</v>
      </c>
      <c r="BA77">
        <v>964</v>
      </c>
      <c r="BB77">
        <v>4</v>
      </c>
      <c r="BC77">
        <v>3</v>
      </c>
      <c r="BD77">
        <v>1</v>
      </c>
      <c r="BE77">
        <v>7</v>
      </c>
      <c r="BF77">
        <v>19</v>
      </c>
      <c r="BG77">
        <v>21</v>
      </c>
      <c r="BH77">
        <v>2</v>
      </c>
      <c r="BI77">
        <v>0</v>
      </c>
      <c r="BJ77">
        <v>0</v>
      </c>
      <c r="BK77">
        <v>0</v>
      </c>
      <c r="BL77">
        <v>950</v>
      </c>
      <c r="BM77">
        <v>0</v>
      </c>
      <c r="BN77">
        <v>23</v>
      </c>
      <c r="BO77">
        <v>0</v>
      </c>
      <c r="BP77">
        <v>6</v>
      </c>
      <c r="BQ77">
        <v>11</v>
      </c>
      <c r="BR77">
        <v>20</v>
      </c>
      <c r="BS77">
        <v>0</v>
      </c>
      <c r="BT77">
        <v>4</v>
      </c>
      <c r="BU77">
        <v>0</v>
      </c>
      <c r="BV77">
        <v>0</v>
      </c>
      <c r="BW77">
        <v>958</v>
      </c>
      <c r="BX77">
        <v>0</v>
      </c>
      <c r="BY77">
        <v>5</v>
      </c>
      <c r="BZ77">
        <v>0</v>
      </c>
      <c r="CA77">
        <v>0</v>
      </c>
      <c r="CB77">
        <v>15</v>
      </c>
      <c r="CC77">
        <v>0</v>
      </c>
      <c r="CD77">
        <v>0</v>
      </c>
      <c r="CE77">
        <v>0</v>
      </c>
      <c r="CF77">
        <v>0</v>
      </c>
      <c r="CG77">
        <v>0</v>
      </c>
      <c r="CH77">
        <v>888</v>
      </c>
      <c r="CI77">
        <v>1</v>
      </c>
      <c r="CJ77">
        <v>0</v>
      </c>
      <c r="CK77">
        <v>0</v>
      </c>
      <c r="CL77">
        <v>3</v>
      </c>
      <c r="CM77">
        <v>3</v>
      </c>
      <c r="CN77">
        <v>5</v>
      </c>
      <c r="CO77">
        <v>0</v>
      </c>
      <c r="CP77">
        <v>0</v>
      </c>
      <c r="CQ77">
        <v>1</v>
      </c>
      <c r="CR77">
        <v>10</v>
      </c>
      <c r="CS77">
        <v>936</v>
      </c>
      <c r="CT77">
        <v>0</v>
      </c>
      <c r="CU77">
        <v>3</v>
      </c>
      <c r="CV77">
        <v>0</v>
      </c>
      <c r="CW77">
        <v>0</v>
      </c>
      <c r="CX77">
        <v>7</v>
      </c>
      <c r="CY77">
        <v>3</v>
      </c>
      <c r="CZ77">
        <v>0</v>
      </c>
      <c r="DA77">
        <v>0</v>
      </c>
      <c r="DB77">
        <v>0</v>
      </c>
      <c r="DC77">
        <v>0</v>
      </c>
      <c r="DD77">
        <v>1002</v>
      </c>
      <c r="DE77">
        <v>1</v>
      </c>
      <c r="DF77">
        <v>15</v>
      </c>
      <c r="DG77">
        <v>1</v>
      </c>
      <c r="DH77">
        <v>0</v>
      </c>
      <c r="DI77">
        <v>0</v>
      </c>
      <c r="DJ77">
        <v>1</v>
      </c>
      <c r="DK77">
        <v>1</v>
      </c>
      <c r="DL77">
        <v>1</v>
      </c>
      <c r="DM77">
        <v>1</v>
      </c>
      <c r="DN77">
        <v>6</v>
      </c>
      <c r="DO77">
        <v>948</v>
      </c>
      <c r="DP77">
        <v>15</v>
      </c>
      <c r="DQ77">
        <v>0</v>
      </c>
      <c r="DR77">
        <v>2</v>
      </c>
      <c r="DS77">
        <v>0</v>
      </c>
      <c r="DT77">
        <v>0</v>
      </c>
      <c r="DU77">
        <v>1</v>
      </c>
      <c r="DV77">
        <v>1</v>
      </c>
      <c r="DW77">
        <v>0</v>
      </c>
      <c r="DX77">
        <v>0</v>
      </c>
      <c r="DY77">
        <v>0</v>
      </c>
      <c r="DZ77">
        <v>1005</v>
      </c>
      <c r="EA77">
        <v>0.97089999999999999</v>
      </c>
      <c r="EB77">
        <v>0.97161870436570497</v>
      </c>
      <c r="EC77">
        <v>0.97092577968705296</v>
      </c>
      <c r="ED77">
        <v>0.97080317148518003</v>
      </c>
      <c r="EE77">
        <f>SUM(Table1[[#This Row],[ratio_0]:[ratio_9]])</f>
        <v>640</v>
      </c>
      <c r="EF77" s="1">
        <f>(Table1[[#This Row],[predicted_0]]-Table1[[#This Row],[actual_0]])/Table1[[#This Row],[actual_0]]</f>
        <v>-4.8979591836734691E-2</v>
      </c>
      <c r="EG77" s="1">
        <f>(Table1[[#This Row],[predicted_1]]-Table1[[#This Row],[actual_1]])/Table1[[#This Row],[actual_1]]</f>
        <v>2.1145374449339206E-2</v>
      </c>
      <c r="EH77" s="1">
        <f>(Table1[[#This Row],[predicted_2]]-Table1[[#This Row],[actual_2]])/Table1[[#This Row],[actual_2]]</f>
        <v>-6.1046511627906974E-2</v>
      </c>
      <c r="EI77" s="1">
        <f>(Table1[[#This Row],[predicted_3]]-Table1[[#This Row],[actual_3]])/Table1[[#This Row],[actual_3]]</f>
        <v>-5.3465346534653464E-2</v>
      </c>
      <c r="EJ77" s="1">
        <f>(Table1[[#This Row],[predicted_4]]-Table1[[#This Row],[actual_4]])/Table1[[#This Row],[actual_4]]</f>
        <v>-1.5274949083503055E-2</v>
      </c>
      <c r="EK77" s="1">
        <f>(Table1[[#This Row],[predicted_5]]-Table1[[#This Row],[actual_5]])/Table1[[#This Row],[actual_5]]</f>
        <v>4.5964125560538117E-2</v>
      </c>
      <c r="EL77" s="1">
        <f>(Table1[[#This Row],[predicted_6]]-Table1[[#This Row],[actual_6]])/Table1[[#This Row],[actual_6]]</f>
        <v>7.3068893528183713E-3</v>
      </c>
      <c r="EM77" s="1">
        <f>(Table1[[#This Row],[predicted_7]]-Table1[[#This Row],[actual_7]])/Table1[[#This Row],[actual_7]]</f>
        <v>6.8093385214007783E-3</v>
      </c>
      <c r="EN77" s="1">
        <f>(Table1[[#This Row],[predicted_8]]-Table1[[#This Row],[actual_8]])/Table1[[#This Row],[actual_8]]</f>
        <v>1.3347022587268994E-2</v>
      </c>
      <c r="EO77" s="1">
        <f>(Table1[[#This Row],[predicted_9]]-Table1[[#This Row],[actual_9]])/Table1[[#This Row],[actual_9]]</f>
        <v>8.7215064420218036E-2</v>
      </c>
      <c r="EP77" s="1">
        <f>1+(Table1[[#This Row],[error_ratio_0]]-EF$2)</f>
        <v>0.94897959183673475</v>
      </c>
      <c r="EQ77" s="1">
        <f>1+(Table1[[#This Row],[error_ratio_1]]-EG$2)</f>
        <v>1.0193832599118944</v>
      </c>
      <c r="ER77" s="1">
        <f>1+(Table1[[#This Row],[error_ratio_2]]-EH$2)</f>
        <v>0.94379844961240311</v>
      </c>
      <c r="ES77" s="1">
        <f>1+(Table1[[#This Row],[error_ratio_3]]-EI$2)</f>
        <v>0.93663366336633658</v>
      </c>
      <c r="ET77" s="1">
        <f>1+(Table1[[#This Row],[error_ratio_4]]-EJ$2)</f>
        <v>0.9837067209775967</v>
      </c>
      <c r="EU77" s="1">
        <f>1+(Table1[[#This Row],[error_ratio_5]]-EK$2)</f>
        <v>1.0448430493273542</v>
      </c>
      <c r="EV77" s="1">
        <f>1+(Table1[[#This Row],[error_ratio_6]]-EL$2)</f>
        <v>1.0135699373695197</v>
      </c>
      <c r="EW77" s="1">
        <f>1+(Table1[[#This Row],[error_ratio_7]]-EM$2)</f>
        <v>1.004863813229572</v>
      </c>
      <c r="EX77" s="1">
        <f>1+(Table1[[#This Row],[error_ratio_8]]-EN$2)</f>
        <v>1.0164271047227926</v>
      </c>
      <c r="EY77" s="1">
        <f>1+(Table1[[#This Row],[error_ratio_9]]-EO$2)</f>
        <v>1.0911793855302279</v>
      </c>
    </row>
    <row r="78" spans="1:155" x14ac:dyDescent="0.75">
      <c r="A78">
        <v>100</v>
      </c>
      <c r="B78">
        <v>10</v>
      </c>
      <c r="C78">
        <v>10</v>
      </c>
      <c r="D78">
        <v>10</v>
      </c>
      <c r="E78">
        <v>100</v>
      </c>
      <c r="F78">
        <v>100</v>
      </c>
      <c r="G78">
        <v>10</v>
      </c>
      <c r="H78">
        <v>100</v>
      </c>
      <c r="I78">
        <v>100</v>
      </c>
      <c r="J78">
        <v>100</v>
      </c>
      <c r="K78">
        <v>993</v>
      </c>
      <c r="L78">
        <v>1100</v>
      </c>
      <c r="M78">
        <v>947</v>
      </c>
      <c r="N78">
        <v>1009</v>
      </c>
      <c r="O78">
        <v>1029</v>
      </c>
      <c r="P78">
        <v>945</v>
      </c>
      <c r="Q78">
        <v>887</v>
      </c>
      <c r="R78">
        <v>1079</v>
      </c>
      <c r="S78">
        <v>987</v>
      </c>
      <c r="T78">
        <v>1024</v>
      </c>
      <c r="U78">
        <v>980</v>
      </c>
      <c r="V78">
        <v>1135</v>
      </c>
      <c r="W78">
        <v>1032</v>
      </c>
      <c r="X78">
        <v>1010</v>
      </c>
      <c r="Y78">
        <v>982</v>
      </c>
      <c r="Z78">
        <v>892</v>
      </c>
      <c r="AA78">
        <v>958</v>
      </c>
      <c r="AB78">
        <v>1028</v>
      </c>
      <c r="AC78">
        <v>974</v>
      </c>
      <c r="AD78">
        <v>1009</v>
      </c>
      <c r="AE78">
        <v>976</v>
      </c>
      <c r="AF78">
        <v>0</v>
      </c>
      <c r="AG78">
        <v>0</v>
      </c>
      <c r="AH78">
        <v>0</v>
      </c>
      <c r="AI78">
        <v>0</v>
      </c>
      <c r="AJ78">
        <v>2</v>
      </c>
      <c r="AK78">
        <v>0</v>
      </c>
      <c r="AL78">
        <v>1</v>
      </c>
      <c r="AM78">
        <v>0</v>
      </c>
      <c r="AN78">
        <v>1</v>
      </c>
      <c r="AO78">
        <v>0</v>
      </c>
      <c r="AP78">
        <v>1098</v>
      </c>
      <c r="AQ78">
        <v>1</v>
      </c>
      <c r="AR78">
        <v>7</v>
      </c>
      <c r="AS78">
        <v>4</v>
      </c>
      <c r="AT78">
        <v>2</v>
      </c>
      <c r="AU78">
        <v>3</v>
      </c>
      <c r="AV78">
        <v>18</v>
      </c>
      <c r="AW78">
        <v>2</v>
      </c>
      <c r="AX78">
        <v>0</v>
      </c>
      <c r="AY78">
        <v>3</v>
      </c>
      <c r="AZ78">
        <v>0</v>
      </c>
      <c r="BA78">
        <v>942</v>
      </c>
      <c r="BB78">
        <v>36</v>
      </c>
      <c r="BC78">
        <v>5</v>
      </c>
      <c r="BD78">
        <v>0</v>
      </c>
      <c r="BE78">
        <v>0</v>
      </c>
      <c r="BF78">
        <v>29</v>
      </c>
      <c r="BG78">
        <v>12</v>
      </c>
      <c r="BH78">
        <v>5</v>
      </c>
      <c r="BI78">
        <v>0</v>
      </c>
      <c r="BJ78">
        <v>0</v>
      </c>
      <c r="BK78">
        <v>0</v>
      </c>
      <c r="BL78">
        <v>961</v>
      </c>
      <c r="BM78">
        <v>0</v>
      </c>
      <c r="BN78">
        <v>19</v>
      </c>
      <c r="BO78">
        <v>0</v>
      </c>
      <c r="BP78">
        <v>12</v>
      </c>
      <c r="BQ78">
        <v>7</v>
      </c>
      <c r="BR78">
        <v>11</v>
      </c>
      <c r="BS78">
        <v>0</v>
      </c>
      <c r="BT78">
        <v>0</v>
      </c>
      <c r="BU78">
        <v>0</v>
      </c>
      <c r="BV78">
        <v>0</v>
      </c>
      <c r="BW78">
        <v>981</v>
      </c>
      <c r="BX78">
        <v>0</v>
      </c>
      <c r="BY78">
        <v>0</v>
      </c>
      <c r="BZ78">
        <v>0</v>
      </c>
      <c r="CA78">
        <v>0</v>
      </c>
      <c r="CB78">
        <v>1</v>
      </c>
      <c r="CC78">
        <v>1</v>
      </c>
      <c r="CD78">
        <v>0</v>
      </c>
      <c r="CE78">
        <v>0</v>
      </c>
      <c r="CF78">
        <v>2</v>
      </c>
      <c r="CG78">
        <v>0</v>
      </c>
      <c r="CH78">
        <v>879</v>
      </c>
      <c r="CI78">
        <v>0</v>
      </c>
      <c r="CJ78">
        <v>1</v>
      </c>
      <c r="CK78">
        <v>2</v>
      </c>
      <c r="CL78">
        <v>7</v>
      </c>
      <c r="CM78">
        <v>10</v>
      </c>
      <c r="CN78">
        <v>2</v>
      </c>
      <c r="CO78">
        <v>0</v>
      </c>
      <c r="CP78">
        <v>1</v>
      </c>
      <c r="CQ78">
        <v>17</v>
      </c>
      <c r="CR78">
        <v>37</v>
      </c>
      <c r="CS78">
        <v>884</v>
      </c>
      <c r="CT78">
        <v>0</v>
      </c>
      <c r="CU78">
        <v>7</v>
      </c>
      <c r="CV78">
        <v>0</v>
      </c>
      <c r="CW78">
        <v>1</v>
      </c>
      <c r="CX78">
        <v>0</v>
      </c>
      <c r="CY78">
        <v>2</v>
      </c>
      <c r="CZ78">
        <v>0</v>
      </c>
      <c r="DA78">
        <v>0</v>
      </c>
      <c r="DB78">
        <v>0</v>
      </c>
      <c r="DC78">
        <v>0</v>
      </c>
      <c r="DD78">
        <v>1012</v>
      </c>
      <c r="DE78">
        <v>0</v>
      </c>
      <c r="DF78">
        <v>13</v>
      </c>
      <c r="DG78">
        <v>1</v>
      </c>
      <c r="DH78">
        <v>0</v>
      </c>
      <c r="DI78">
        <v>2</v>
      </c>
      <c r="DJ78">
        <v>1</v>
      </c>
      <c r="DK78">
        <v>3</v>
      </c>
      <c r="DL78">
        <v>2</v>
      </c>
      <c r="DM78">
        <v>0</v>
      </c>
      <c r="DN78">
        <v>5</v>
      </c>
      <c r="DO78">
        <v>956</v>
      </c>
      <c r="DP78">
        <v>4</v>
      </c>
      <c r="DQ78">
        <v>1</v>
      </c>
      <c r="DR78">
        <v>0</v>
      </c>
      <c r="DS78">
        <v>0</v>
      </c>
      <c r="DT78">
        <v>1</v>
      </c>
      <c r="DU78">
        <v>19</v>
      </c>
      <c r="DV78">
        <v>4</v>
      </c>
      <c r="DW78">
        <v>0</v>
      </c>
      <c r="DX78">
        <v>1</v>
      </c>
      <c r="DY78">
        <v>1</v>
      </c>
      <c r="DZ78">
        <v>982</v>
      </c>
      <c r="EA78">
        <v>0.96709999999999996</v>
      </c>
      <c r="EB78">
        <v>0.96738211426564202</v>
      </c>
      <c r="EC78">
        <v>0.96739546521101905</v>
      </c>
      <c r="ED78">
        <v>0.96684339709198897</v>
      </c>
      <c r="EE78">
        <f>SUM(Table1[[#This Row],[ratio_0]:[ratio_9]])</f>
        <v>640</v>
      </c>
      <c r="EF78" s="1">
        <f>(Table1[[#This Row],[predicted_0]]-Table1[[#This Row],[actual_0]])/Table1[[#This Row],[actual_0]]</f>
        <v>1.3265306122448979E-2</v>
      </c>
      <c r="EG78" s="1">
        <f>(Table1[[#This Row],[predicted_1]]-Table1[[#This Row],[actual_1]])/Table1[[#This Row],[actual_1]]</f>
        <v>-3.0837004405286344E-2</v>
      </c>
      <c r="EH78" s="1">
        <f>(Table1[[#This Row],[predicted_2]]-Table1[[#This Row],[actual_2]])/Table1[[#This Row],[actual_2]]</f>
        <v>-8.2364341085271311E-2</v>
      </c>
      <c r="EI78" s="1">
        <f>(Table1[[#This Row],[predicted_3]]-Table1[[#This Row],[actual_3]])/Table1[[#This Row],[actual_3]]</f>
        <v>-9.9009900990099011E-4</v>
      </c>
      <c r="EJ78" s="1">
        <f>(Table1[[#This Row],[predicted_4]]-Table1[[#This Row],[actual_4]])/Table1[[#This Row],[actual_4]]</f>
        <v>4.7861507128309569E-2</v>
      </c>
      <c r="EK78" s="1">
        <f>(Table1[[#This Row],[predicted_5]]-Table1[[#This Row],[actual_5]])/Table1[[#This Row],[actual_5]]</f>
        <v>5.9417040358744393E-2</v>
      </c>
      <c r="EL78" s="1">
        <f>(Table1[[#This Row],[predicted_6]]-Table1[[#This Row],[actual_6]])/Table1[[#This Row],[actual_6]]</f>
        <v>-7.4112734864300631E-2</v>
      </c>
      <c r="EM78" s="1">
        <f>(Table1[[#This Row],[predicted_7]]-Table1[[#This Row],[actual_7]])/Table1[[#This Row],[actual_7]]</f>
        <v>4.9610894941634238E-2</v>
      </c>
      <c r="EN78" s="1">
        <f>(Table1[[#This Row],[predicted_8]]-Table1[[#This Row],[actual_8]])/Table1[[#This Row],[actual_8]]</f>
        <v>1.3347022587268994E-2</v>
      </c>
      <c r="EO78" s="1">
        <f>(Table1[[#This Row],[predicted_9]]-Table1[[#This Row],[actual_9]])/Table1[[#This Row],[actual_9]]</f>
        <v>1.4866204162537165E-2</v>
      </c>
      <c r="EP78" s="1">
        <f>1+(Table1[[#This Row],[error_ratio_0]]-EF$2)</f>
        <v>1.0112244897959184</v>
      </c>
      <c r="EQ78" s="1">
        <f>1+(Table1[[#This Row],[error_ratio_1]]-EG$2)</f>
        <v>0.96740088105726874</v>
      </c>
      <c r="ER78" s="1">
        <f>1+(Table1[[#This Row],[error_ratio_2]]-EH$2)</f>
        <v>0.92248062015503873</v>
      </c>
      <c r="ES78" s="1">
        <f>1+(Table1[[#This Row],[error_ratio_3]]-EI$2)</f>
        <v>0.9891089108910891</v>
      </c>
      <c r="ET78" s="1">
        <f>1+(Table1[[#This Row],[error_ratio_4]]-EJ$2)</f>
        <v>1.0468431771894093</v>
      </c>
      <c r="EU78" s="1">
        <f>1+(Table1[[#This Row],[error_ratio_5]]-EK$2)</f>
        <v>1.0582959641255605</v>
      </c>
      <c r="EV78" s="1">
        <f>1+(Table1[[#This Row],[error_ratio_6]]-EL$2)</f>
        <v>0.93215031315240082</v>
      </c>
      <c r="EW78" s="1">
        <f>1+(Table1[[#This Row],[error_ratio_7]]-EM$2)</f>
        <v>1.0476653696498055</v>
      </c>
      <c r="EX78" s="1">
        <f>1+(Table1[[#This Row],[error_ratio_8]]-EN$2)</f>
        <v>1.0164271047227926</v>
      </c>
      <c r="EY78" s="1">
        <f>1+(Table1[[#This Row],[error_ratio_9]]-EO$2)</f>
        <v>1.0188305252725471</v>
      </c>
    </row>
    <row r="79" spans="1:155" x14ac:dyDescent="0.75">
      <c r="A79">
        <v>10</v>
      </c>
      <c r="B79">
        <v>10</v>
      </c>
      <c r="C79">
        <v>10</v>
      </c>
      <c r="D79">
        <v>10</v>
      </c>
      <c r="E79">
        <v>100</v>
      </c>
      <c r="F79">
        <v>100</v>
      </c>
      <c r="G79">
        <v>10</v>
      </c>
      <c r="H79">
        <v>100</v>
      </c>
      <c r="I79">
        <v>100</v>
      </c>
      <c r="J79">
        <v>100</v>
      </c>
      <c r="K79">
        <v>963</v>
      </c>
      <c r="L79">
        <v>1108</v>
      </c>
      <c r="M79">
        <v>999</v>
      </c>
      <c r="N79">
        <v>954</v>
      </c>
      <c r="O79">
        <v>983</v>
      </c>
      <c r="P79">
        <v>1002</v>
      </c>
      <c r="Q79">
        <v>871</v>
      </c>
      <c r="R79">
        <v>1071</v>
      </c>
      <c r="S79">
        <v>1018</v>
      </c>
      <c r="T79">
        <v>1031</v>
      </c>
      <c r="U79">
        <v>980</v>
      </c>
      <c r="V79">
        <v>1135</v>
      </c>
      <c r="W79">
        <v>1032</v>
      </c>
      <c r="X79">
        <v>1010</v>
      </c>
      <c r="Y79">
        <v>982</v>
      </c>
      <c r="Z79">
        <v>892</v>
      </c>
      <c r="AA79">
        <v>958</v>
      </c>
      <c r="AB79">
        <v>1028</v>
      </c>
      <c r="AC79">
        <v>974</v>
      </c>
      <c r="AD79">
        <v>1009</v>
      </c>
      <c r="AE79">
        <v>953</v>
      </c>
      <c r="AF79">
        <v>0</v>
      </c>
      <c r="AG79">
        <v>1</v>
      </c>
      <c r="AH79">
        <v>0</v>
      </c>
      <c r="AI79">
        <v>4</v>
      </c>
      <c r="AJ79">
        <v>7</v>
      </c>
      <c r="AK79">
        <v>2</v>
      </c>
      <c r="AL79">
        <v>3</v>
      </c>
      <c r="AM79">
        <v>7</v>
      </c>
      <c r="AN79">
        <v>3</v>
      </c>
      <c r="AO79">
        <v>0</v>
      </c>
      <c r="AP79">
        <v>1103</v>
      </c>
      <c r="AQ79">
        <v>5</v>
      </c>
      <c r="AR79">
        <v>1</v>
      </c>
      <c r="AS79">
        <v>0</v>
      </c>
      <c r="AT79">
        <v>1</v>
      </c>
      <c r="AU79">
        <v>0</v>
      </c>
      <c r="AV79">
        <v>6</v>
      </c>
      <c r="AW79">
        <v>18</v>
      </c>
      <c r="AX79">
        <v>1</v>
      </c>
      <c r="AY79">
        <v>3</v>
      </c>
      <c r="AZ79">
        <v>0</v>
      </c>
      <c r="BA79">
        <v>979</v>
      </c>
      <c r="BB79">
        <v>3</v>
      </c>
      <c r="BC79">
        <v>7</v>
      </c>
      <c r="BD79">
        <v>1</v>
      </c>
      <c r="BE79">
        <v>2</v>
      </c>
      <c r="BF79">
        <v>19</v>
      </c>
      <c r="BG79">
        <v>17</v>
      </c>
      <c r="BH79">
        <v>1</v>
      </c>
      <c r="BI79">
        <v>0</v>
      </c>
      <c r="BJ79">
        <v>0</v>
      </c>
      <c r="BK79">
        <v>7</v>
      </c>
      <c r="BL79">
        <v>947</v>
      </c>
      <c r="BM79">
        <v>0</v>
      </c>
      <c r="BN79">
        <v>30</v>
      </c>
      <c r="BO79">
        <v>0</v>
      </c>
      <c r="BP79">
        <v>19</v>
      </c>
      <c r="BQ79">
        <v>5</v>
      </c>
      <c r="BR79">
        <v>2</v>
      </c>
      <c r="BS79">
        <v>0</v>
      </c>
      <c r="BT79">
        <v>1</v>
      </c>
      <c r="BU79">
        <v>0</v>
      </c>
      <c r="BV79">
        <v>0</v>
      </c>
      <c r="BW79">
        <v>955</v>
      </c>
      <c r="BX79">
        <v>0</v>
      </c>
      <c r="BY79">
        <v>0</v>
      </c>
      <c r="BZ79">
        <v>1</v>
      </c>
      <c r="CA79">
        <v>4</v>
      </c>
      <c r="CB79">
        <v>21</v>
      </c>
      <c r="CC79">
        <v>0</v>
      </c>
      <c r="CD79">
        <v>0</v>
      </c>
      <c r="CE79">
        <v>0</v>
      </c>
      <c r="CF79">
        <v>0</v>
      </c>
      <c r="CG79">
        <v>0</v>
      </c>
      <c r="CH79">
        <v>891</v>
      </c>
      <c r="CI79">
        <v>0</v>
      </c>
      <c r="CJ79">
        <v>0</v>
      </c>
      <c r="CK79">
        <v>1</v>
      </c>
      <c r="CL79">
        <v>0</v>
      </c>
      <c r="CM79">
        <v>6</v>
      </c>
      <c r="CN79">
        <v>3</v>
      </c>
      <c r="CO79">
        <v>2</v>
      </c>
      <c r="CP79">
        <v>0</v>
      </c>
      <c r="CQ79">
        <v>16</v>
      </c>
      <c r="CR79">
        <v>59</v>
      </c>
      <c r="CS79">
        <v>867</v>
      </c>
      <c r="CT79">
        <v>0</v>
      </c>
      <c r="CU79">
        <v>5</v>
      </c>
      <c r="CV79">
        <v>0</v>
      </c>
      <c r="CW79">
        <v>0</v>
      </c>
      <c r="CX79">
        <v>1</v>
      </c>
      <c r="CY79">
        <v>5</v>
      </c>
      <c r="CZ79">
        <v>2</v>
      </c>
      <c r="DA79">
        <v>0</v>
      </c>
      <c r="DB79">
        <v>2</v>
      </c>
      <c r="DC79">
        <v>0</v>
      </c>
      <c r="DD79">
        <v>1010</v>
      </c>
      <c r="DE79">
        <v>3</v>
      </c>
      <c r="DF79">
        <v>5</v>
      </c>
      <c r="DG79">
        <v>0</v>
      </c>
      <c r="DH79">
        <v>0</v>
      </c>
      <c r="DI79">
        <v>0</v>
      </c>
      <c r="DJ79">
        <v>0</v>
      </c>
      <c r="DK79">
        <v>0</v>
      </c>
      <c r="DL79">
        <v>8</v>
      </c>
      <c r="DM79">
        <v>0</v>
      </c>
      <c r="DN79">
        <v>7</v>
      </c>
      <c r="DO79">
        <v>955</v>
      </c>
      <c r="DP79">
        <v>4</v>
      </c>
      <c r="DQ79">
        <v>1</v>
      </c>
      <c r="DR79">
        <v>0</v>
      </c>
      <c r="DS79">
        <v>0</v>
      </c>
      <c r="DT79">
        <v>1</v>
      </c>
      <c r="DU79">
        <v>1</v>
      </c>
      <c r="DV79">
        <v>3</v>
      </c>
      <c r="DW79">
        <v>0</v>
      </c>
      <c r="DX79">
        <v>6</v>
      </c>
      <c r="DY79">
        <v>3</v>
      </c>
      <c r="DZ79">
        <v>994</v>
      </c>
      <c r="EA79">
        <v>0.96540000000000004</v>
      </c>
      <c r="EB79">
        <v>0.96591608501080495</v>
      </c>
      <c r="EC79">
        <v>0.96550336554042204</v>
      </c>
      <c r="ED79">
        <v>0.96495203791823603</v>
      </c>
      <c r="EE79">
        <f>SUM(Table1[[#This Row],[ratio_0]:[ratio_9]])</f>
        <v>550</v>
      </c>
      <c r="EF79" s="1">
        <f>(Table1[[#This Row],[predicted_0]]-Table1[[#This Row],[actual_0]])/Table1[[#This Row],[actual_0]]</f>
        <v>-1.7346938775510204E-2</v>
      </c>
      <c r="EG79" s="1">
        <f>(Table1[[#This Row],[predicted_1]]-Table1[[#This Row],[actual_1]])/Table1[[#This Row],[actual_1]]</f>
        <v>-2.378854625550661E-2</v>
      </c>
      <c r="EH79" s="1">
        <f>(Table1[[#This Row],[predicted_2]]-Table1[[#This Row],[actual_2]])/Table1[[#This Row],[actual_2]]</f>
        <v>-3.1976744186046513E-2</v>
      </c>
      <c r="EI79" s="1">
        <f>(Table1[[#This Row],[predicted_3]]-Table1[[#This Row],[actual_3]])/Table1[[#This Row],[actual_3]]</f>
        <v>-5.5445544554455446E-2</v>
      </c>
      <c r="EJ79" s="1">
        <f>(Table1[[#This Row],[predicted_4]]-Table1[[#This Row],[actual_4]])/Table1[[#This Row],[actual_4]]</f>
        <v>1.0183299389002036E-3</v>
      </c>
      <c r="EK79" s="1">
        <f>(Table1[[#This Row],[predicted_5]]-Table1[[#This Row],[actual_5]])/Table1[[#This Row],[actual_5]]</f>
        <v>0.12331838565022421</v>
      </c>
      <c r="EL79" s="1">
        <f>(Table1[[#This Row],[predicted_6]]-Table1[[#This Row],[actual_6]])/Table1[[#This Row],[actual_6]]</f>
        <v>-9.0814196242171186E-2</v>
      </c>
      <c r="EM79" s="1">
        <f>(Table1[[#This Row],[predicted_7]]-Table1[[#This Row],[actual_7]])/Table1[[#This Row],[actual_7]]</f>
        <v>4.1828793774319063E-2</v>
      </c>
      <c r="EN79" s="1">
        <f>(Table1[[#This Row],[predicted_8]]-Table1[[#This Row],[actual_8]])/Table1[[#This Row],[actual_8]]</f>
        <v>4.5174537987679675E-2</v>
      </c>
      <c r="EO79" s="1">
        <f>(Table1[[#This Row],[predicted_9]]-Table1[[#This Row],[actual_9]])/Table1[[#This Row],[actual_9]]</f>
        <v>2.1803766105054509E-2</v>
      </c>
      <c r="EP79" s="1">
        <f>1+(Table1[[#This Row],[error_ratio_0]]-EF$2)</f>
        <v>0.98061224489795917</v>
      </c>
      <c r="EQ79" s="1">
        <f>1+(Table1[[#This Row],[error_ratio_1]]-EG$2)</f>
        <v>0.97444933920704846</v>
      </c>
      <c r="ER79" s="1">
        <f>1+(Table1[[#This Row],[error_ratio_2]]-EH$2)</f>
        <v>0.97286821705426352</v>
      </c>
      <c r="ES79" s="1">
        <f>1+(Table1[[#This Row],[error_ratio_3]]-EI$2)</f>
        <v>0.9346534653465346</v>
      </c>
      <c r="ET79" s="1">
        <f>1+(Table1[[#This Row],[error_ratio_4]]-EJ$2)</f>
        <v>1</v>
      </c>
      <c r="EU79" s="1">
        <f>1+(Table1[[#This Row],[error_ratio_5]]-EK$2)</f>
        <v>1.1221973094170403</v>
      </c>
      <c r="EV79" s="1">
        <f>1+(Table1[[#This Row],[error_ratio_6]]-EL$2)</f>
        <v>0.91544885177453028</v>
      </c>
      <c r="EW79" s="1">
        <f>1+(Table1[[#This Row],[error_ratio_7]]-EM$2)</f>
        <v>1.0398832684824904</v>
      </c>
      <c r="EX79" s="1">
        <f>1+(Table1[[#This Row],[error_ratio_8]]-EN$2)</f>
        <v>1.0482546201232033</v>
      </c>
      <c r="EY79" s="1">
        <f>1+(Table1[[#This Row],[error_ratio_9]]-EO$2)</f>
        <v>1.0257680872150645</v>
      </c>
    </row>
    <row r="80" spans="1:155" x14ac:dyDescent="0.75">
      <c r="A80">
        <v>100</v>
      </c>
      <c r="B80">
        <v>100</v>
      </c>
      <c r="C80">
        <v>100</v>
      </c>
      <c r="D80">
        <v>100</v>
      </c>
      <c r="E80">
        <v>10</v>
      </c>
      <c r="F80">
        <v>100</v>
      </c>
      <c r="G80">
        <v>10</v>
      </c>
      <c r="H80">
        <v>100</v>
      </c>
      <c r="I80">
        <v>100</v>
      </c>
      <c r="J80">
        <v>100</v>
      </c>
      <c r="K80">
        <v>1004</v>
      </c>
      <c r="L80">
        <v>1142</v>
      </c>
      <c r="M80">
        <v>1043</v>
      </c>
      <c r="N80">
        <v>1014</v>
      </c>
      <c r="O80">
        <v>942</v>
      </c>
      <c r="P80">
        <v>896</v>
      </c>
      <c r="Q80">
        <v>907</v>
      </c>
      <c r="R80">
        <v>1029</v>
      </c>
      <c r="S80">
        <v>981</v>
      </c>
      <c r="T80">
        <v>1042</v>
      </c>
      <c r="U80">
        <v>980</v>
      </c>
      <c r="V80">
        <v>1135</v>
      </c>
      <c r="W80">
        <v>1032</v>
      </c>
      <c r="X80">
        <v>1010</v>
      </c>
      <c r="Y80">
        <v>982</v>
      </c>
      <c r="Z80">
        <v>892</v>
      </c>
      <c r="AA80">
        <v>958</v>
      </c>
      <c r="AB80">
        <v>1028</v>
      </c>
      <c r="AC80">
        <v>974</v>
      </c>
      <c r="AD80">
        <v>1009</v>
      </c>
      <c r="AE80">
        <v>974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3</v>
      </c>
      <c r="AM80">
        <v>3</v>
      </c>
      <c r="AN80">
        <v>0</v>
      </c>
      <c r="AO80">
        <v>0</v>
      </c>
      <c r="AP80">
        <v>1130</v>
      </c>
      <c r="AQ80">
        <v>1</v>
      </c>
      <c r="AR80">
        <v>1</v>
      </c>
      <c r="AS80">
        <v>0</v>
      </c>
      <c r="AT80">
        <v>1</v>
      </c>
      <c r="AU80">
        <v>2</v>
      </c>
      <c r="AV80">
        <v>0</v>
      </c>
      <c r="AW80">
        <v>0</v>
      </c>
      <c r="AX80">
        <v>0</v>
      </c>
      <c r="AY80">
        <v>1</v>
      </c>
      <c r="AZ80">
        <v>1</v>
      </c>
      <c r="BA80">
        <v>1024</v>
      </c>
      <c r="BB80">
        <v>0</v>
      </c>
      <c r="BC80">
        <v>0</v>
      </c>
      <c r="BD80">
        <v>0</v>
      </c>
      <c r="BE80">
        <v>0</v>
      </c>
      <c r="BF80">
        <v>2</v>
      </c>
      <c r="BG80">
        <v>3</v>
      </c>
      <c r="BH80">
        <v>1</v>
      </c>
      <c r="BI80">
        <v>0</v>
      </c>
      <c r="BJ80">
        <v>0</v>
      </c>
      <c r="BK80">
        <v>3</v>
      </c>
      <c r="BL80">
        <v>1004</v>
      </c>
      <c r="BM80">
        <v>0</v>
      </c>
      <c r="BN80">
        <v>2</v>
      </c>
      <c r="BO80">
        <v>0</v>
      </c>
      <c r="BP80">
        <v>0</v>
      </c>
      <c r="BQ80">
        <v>1</v>
      </c>
      <c r="BR80">
        <v>0</v>
      </c>
      <c r="BS80">
        <v>0</v>
      </c>
      <c r="BT80">
        <v>0</v>
      </c>
      <c r="BU80">
        <v>8</v>
      </c>
      <c r="BV80">
        <v>0</v>
      </c>
      <c r="BW80">
        <v>926</v>
      </c>
      <c r="BX80">
        <v>0</v>
      </c>
      <c r="BY80">
        <v>2</v>
      </c>
      <c r="BZ80">
        <v>3</v>
      </c>
      <c r="CA80">
        <v>6</v>
      </c>
      <c r="CB80">
        <v>37</v>
      </c>
      <c r="CC80">
        <v>1</v>
      </c>
      <c r="CD80">
        <v>0</v>
      </c>
      <c r="CE80">
        <v>1</v>
      </c>
      <c r="CF80">
        <v>6</v>
      </c>
      <c r="CG80">
        <v>0</v>
      </c>
      <c r="CH80">
        <v>881</v>
      </c>
      <c r="CI80">
        <v>0</v>
      </c>
      <c r="CJ80">
        <v>1</v>
      </c>
      <c r="CK80">
        <v>1</v>
      </c>
      <c r="CL80">
        <v>1</v>
      </c>
      <c r="CM80">
        <v>22</v>
      </c>
      <c r="CN80">
        <v>3</v>
      </c>
      <c r="CO80">
        <v>0</v>
      </c>
      <c r="CP80">
        <v>1</v>
      </c>
      <c r="CQ80">
        <v>15</v>
      </c>
      <c r="CR80">
        <v>11</v>
      </c>
      <c r="CS80">
        <v>903</v>
      </c>
      <c r="CT80">
        <v>0</v>
      </c>
      <c r="CU80">
        <v>3</v>
      </c>
      <c r="CV80">
        <v>0</v>
      </c>
      <c r="CW80">
        <v>1</v>
      </c>
      <c r="CX80">
        <v>6</v>
      </c>
      <c r="CY80">
        <v>5</v>
      </c>
      <c r="CZ80">
        <v>0</v>
      </c>
      <c r="DA80">
        <v>0</v>
      </c>
      <c r="DB80">
        <v>0</v>
      </c>
      <c r="DC80">
        <v>0</v>
      </c>
      <c r="DD80">
        <v>1014</v>
      </c>
      <c r="DE80">
        <v>0</v>
      </c>
      <c r="DF80">
        <v>2</v>
      </c>
      <c r="DG80">
        <v>3</v>
      </c>
      <c r="DH80">
        <v>0</v>
      </c>
      <c r="DI80">
        <v>1</v>
      </c>
      <c r="DJ80">
        <v>0</v>
      </c>
      <c r="DK80">
        <v>0</v>
      </c>
      <c r="DL80">
        <v>1</v>
      </c>
      <c r="DM80">
        <v>0</v>
      </c>
      <c r="DN80">
        <v>2</v>
      </c>
      <c r="DO80">
        <v>963</v>
      </c>
      <c r="DP80">
        <v>4</v>
      </c>
      <c r="DQ80">
        <v>2</v>
      </c>
      <c r="DR80">
        <v>2</v>
      </c>
      <c r="DS80">
        <v>0</v>
      </c>
      <c r="DT80">
        <v>2</v>
      </c>
      <c r="DU80">
        <v>1</v>
      </c>
      <c r="DV80">
        <v>0</v>
      </c>
      <c r="DW80">
        <v>0</v>
      </c>
      <c r="DX80">
        <v>4</v>
      </c>
      <c r="DY80">
        <v>1</v>
      </c>
      <c r="DZ80">
        <v>997</v>
      </c>
      <c r="EA80">
        <v>0.98160000000000003</v>
      </c>
      <c r="EB80">
        <v>0.98172846089034205</v>
      </c>
      <c r="EC80">
        <v>0.98122048691332697</v>
      </c>
      <c r="ED80">
        <v>0.98131495928412404</v>
      </c>
      <c r="EE80">
        <f>SUM(Table1[[#This Row],[ratio_0]:[ratio_9]])</f>
        <v>820</v>
      </c>
      <c r="EF80" s="1">
        <f>(Table1[[#This Row],[predicted_0]]-Table1[[#This Row],[actual_0]])/Table1[[#This Row],[actual_0]]</f>
        <v>2.4489795918367346E-2</v>
      </c>
      <c r="EG80" s="1">
        <f>(Table1[[#This Row],[predicted_1]]-Table1[[#This Row],[actual_1]])/Table1[[#This Row],[actual_1]]</f>
        <v>6.1674008810572688E-3</v>
      </c>
      <c r="EH80" s="1">
        <f>(Table1[[#This Row],[predicted_2]]-Table1[[#This Row],[actual_2]])/Table1[[#This Row],[actual_2]]</f>
        <v>1.065891472868217E-2</v>
      </c>
      <c r="EI80" s="1">
        <f>(Table1[[#This Row],[predicted_3]]-Table1[[#This Row],[actual_3]])/Table1[[#This Row],[actual_3]]</f>
        <v>3.9603960396039604E-3</v>
      </c>
      <c r="EJ80" s="1">
        <f>(Table1[[#This Row],[predicted_4]]-Table1[[#This Row],[actual_4]])/Table1[[#This Row],[actual_4]]</f>
        <v>-4.0733197556008148E-2</v>
      </c>
      <c r="EK80" s="1">
        <f>(Table1[[#This Row],[predicted_5]]-Table1[[#This Row],[actual_5]])/Table1[[#This Row],[actual_5]]</f>
        <v>4.4843049327354259E-3</v>
      </c>
      <c r="EL80" s="1">
        <f>(Table1[[#This Row],[predicted_6]]-Table1[[#This Row],[actual_6]])/Table1[[#This Row],[actual_6]]</f>
        <v>-5.3235908141962419E-2</v>
      </c>
      <c r="EM80" s="1">
        <f>(Table1[[#This Row],[predicted_7]]-Table1[[#This Row],[actual_7]])/Table1[[#This Row],[actual_7]]</f>
        <v>9.727626459143969E-4</v>
      </c>
      <c r="EN80" s="1">
        <f>(Table1[[#This Row],[predicted_8]]-Table1[[#This Row],[actual_8]])/Table1[[#This Row],[actual_8]]</f>
        <v>7.1868583162217657E-3</v>
      </c>
      <c r="EO80" s="1">
        <f>(Table1[[#This Row],[predicted_9]]-Table1[[#This Row],[actual_9]])/Table1[[#This Row],[actual_9]]</f>
        <v>3.2705649157581763E-2</v>
      </c>
      <c r="EP80" s="1">
        <f>1+(Table1[[#This Row],[error_ratio_0]]-EF$2)</f>
        <v>1.0224489795918368</v>
      </c>
      <c r="EQ80" s="1">
        <f>1+(Table1[[#This Row],[error_ratio_1]]-EG$2)</f>
        <v>1.0044052863436124</v>
      </c>
      <c r="ER80" s="1">
        <f>1+(Table1[[#This Row],[error_ratio_2]]-EH$2)</f>
        <v>1.0155038759689923</v>
      </c>
      <c r="ES80" s="1">
        <f>1+(Table1[[#This Row],[error_ratio_3]]-EI$2)</f>
        <v>0.99405940594059405</v>
      </c>
      <c r="ET80" s="1">
        <f>1+(Table1[[#This Row],[error_ratio_4]]-EJ$2)</f>
        <v>0.9582484725050916</v>
      </c>
      <c r="EU80" s="1">
        <f>1+(Table1[[#This Row],[error_ratio_5]]-EK$2)</f>
        <v>1.0033632286995515</v>
      </c>
      <c r="EV80" s="1">
        <f>1+(Table1[[#This Row],[error_ratio_6]]-EL$2)</f>
        <v>0.95302713987473908</v>
      </c>
      <c r="EW80" s="1">
        <f>1+(Table1[[#This Row],[error_ratio_7]]-EM$2)</f>
        <v>0.99902723735408561</v>
      </c>
      <c r="EX80" s="1">
        <f>1+(Table1[[#This Row],[error_ratio_8]]-EN$2)</f>
        <v>1.0102669404517455</v>
      </c>
      <c r="EY80" s="1">
        <f>1+(Table1[[#This Row],[error_ratio_9]]-EO$2)</f>
        <v>1.0366699702675917</v>
      </c>
    </row>
    <row r="81" spans="1:155" x14ac:dyDescent="0.75">
      <c r="A81">
        <v>10</v>
      </c>
      <c r="B81">
        <v>100</v>
      </c>
      <c r="C81">
        <v>100</v>
      </c>
      <c r="D81">
        <v>100</v>
      </c>
      <c r="E81">
        <v>10</v>
      </c>
      <c r="F81">
        <v>100</v>
      </c>
      <c r="G81">
        <v>10</v>
      </c>
      <c r="H81">
        <v>100</v>
      </c>
      <c r="I81">
        <v>100</v>
      </c>
      <c r="J81">
        <v>100</v>
      </c>
      <c r="K81">
        <v>965</v>
      </c>
      <c r="L81">
        <v>1142</v>
      </c>
      <c r="M81">
        <v>1023</v>
      </c>
      <c r="N81">
        <v>1023</v>
      </c>
      <c r="O81">
        <v>884</v>
      </c>
      <c r="P81">
        <v>887</v>
      </c>
      <c r="Q81">
        <v>956</v>
      </c>
      <c r="R81">
        <v>1027</v>
      </c>
      <c r="S81">
        <v>965</v>
      </c>
      <c r="T81">
        <v>1128</v>
      </c>
      <c r="U81">
        <v>980</v>
      </c>
      <c r="V81">
        <v>1135</v>
      </c>
      <c r="W81">
        <v>1032</v>
      </c>
      <c r="X81">
        <v>1010</v>
      </c>
      <c r="Y81">
        <v>982</v>
      </c>
      <c r="Z81">
        <v>892</v>
      </c>
      <c r="AA81">
        <v>958</v>
      </c>
      <c r="AB81">
        <v>1028</v>
      </c>
      <c r="AC81">
        <v>974</v>
      </c>
      <c r="AD81">
        <v>1009</v>
      </c>
      <c r="AE81">
        <v>949</v>
      </c>
      <c r="AF81">
        <v>0</v>
      </c>
      <c r="AG81">
        <v>1</v>
      </c>
      <c r="AH81">
        <v>0</v>
      </c>
      <c r="AI81">
        <v>0</v>
      </c>
      <c r="AJ81">
        <v>1</v>
      </c>
      <c r="AK81">
        <v>5</v>
      </c>
      <c r="AL81">
        <v>2</v>
      </c>
      <c r="AM81">
        <v>4</v>
      </c>
      <c r="AN81">
        <v>18</v>
      </c>
      <c r="AO81">
        <v>0</v>
      </c>
      <c r="AP81">
        <v>1130</v>
      </c>
      <c r="AQ81">
        <v>0</v>
      </c>
      <c r="AR81">
        <v>1</v>
      </c>
      <c r="AS81">
        <v>0</v>
      </c>
      <c r="AT81">
        <v>1</v>
      </c>
      <c r="AU81">
        <v>1</v>
      </c>
      <c r="AV81">
        <v>1</v>
      </c>
      <c r="AW81">
        <v>0</v>
      </c>
      <c r="AX81">
        <v>1</v>
      </c>
      <c r="AY81">
        <v>3</v>
      </c>
      <c r="AZ81">
        <v>1</v>
      </c>
      <c r="BA81">
        <v>1007</v>
      </c>
      <c r="BB81">
        <v>10</v>
      </c>
      <c r="BC81">
        <v>0</v>
      </c>
      <c r="BD81">
        <v>0</v>
      </c>
      <c r="BE81">
        <v>0</v>
      </c>
      <c r="BF81">
        <v>11</v>
      </c>
      <c r="BG81">
        <v>0</v>
      </c>
      <c r="BH81">
        <v>0</v>
      </c>
      <c r="BI81">
        <v>0</v>
      </c>
      <c r="BJ81">
        <v>0</v>
      </c>
      <c r="BK81">
        <v>1</v>
      </c>
      <c r="BL81">
        <v>1002</v>
      </c>
      <c r="BM81">
        <v>0</v>
      </c>
      <c r="BN81">
        <v>3</v>
      </c>
      <c r="BO81">
        <v>0</v>
      </c>
      <c r="BP81">
        <v>1</v>
      </c>
      <c r="BQ81">
        <v>2</v>
      </c>
      <c r="BR81">
        <v>1</v>
      </c>
      <c r="BS81">
        <v>1</v>
      </c>
      <c r="BT81">
        <v>5</v>
      </c>
      <c r="BU81">
        <v>6</v>
      </c>
      <c r="BV81">
        <v>0</v>
      </c>
      <c r="BW81">
        <v>883</v>
      </c>
      <c r="BX81">
        <v>0</v>
      </c>
      <c r="BY81">
        <v>8</v>
      </c>
      <c r="BZ81">
        <v>3</v>
      </c>
      <c r="CA81">
        <v>1</v>
      </c>
      <c r="CB81">
        <v>75</v>
      </c>
      <c r="CC81">
        <v>3</v>
      </c>
      <c r="CD81">
        <v>0</v>
      </c>
      <c r="CE81">
        <v>0</v>
      </c>
      <c r="CF81">
        <v>5</v>
      </c>
      <c r="CG81">
        <v>0</v>
      </c>
      <c r="CH81">
        <v>877</v>
      </c>
      <c r="CI81">
        <v>1</v>
      </c>
      <c r="CJ81">
        <v>0</v>
      </c>
      <c r="CK81">
        <v>1</v>
      </c>
      <c r="CL81">
        <v>5</v>
      </c>
      <c r="CM81">
        <v>5</v>
      </c>
      <c r="CN81">
        <v>4</v>
      </c>
      <c r="CO81">
        <v>0</v>
      </c>
      <c r="CP81">
        <v>0</v>
      </c>
      <c r="CQ81">
        <v>1</v>
      </c>
      <c r="CR81">
        <v>4</v>
      </c>
      <c r="CS81">
        <v>941</v>
      </c>
      <c r="CT81">
        <v>0</v>
      </c>
      <c r="CU81">
        <v>3</v>
      </c>
      <c r="CV81">
        <v>0</v>
      </c>
      <c r="CW81">
        <v>0</v>
      </c>
      <c r="CX81">
        <v>1</v>
      </c>
      <c r="CY81">
        <v>4</v>
      </c>
      <c r="CZ81">
        <v>1</v>
      </c>
      <c r="DA81">
        <v>0</v>
      </c>
      <c r="DB81">
        <v>0</v>
      </c>
      <c r="DC81">
        <v>0</v>
      </c>
      <c r="DD81">
        <v>1005</v>
      </c>
      <c r="DE81">
        <v>1</v>
      </c>
      <c r="DF81">
        <v>16</v>
      </c>
      <c r="DG81">
        <v>3</v>
      </c>
      <c r="DH81">
        <v>0</v>
      </c>
      <c r="DI81">
        <v>4</v>
      </c>
      <c r="DJ81">
        <v>1</v>
      </c>
      <c r="DK81">
        <v>0</v>
      </c>
      <c r="DL81">
        <v>1</v>
      </c>
      <c r="DM81">
        <v>0</v>
      </c>
      <c r="DN81">
        <v>3</v>
      </c>
      <c r="DO81">
        <v>952</v>
      </c>
      <c r="DP81">
        <v>10</v>
      </c>
      <c r="DQ81">
        <v>1</v>
      </c>
      <c r="DR81">
        <v>1</v>
      </c>
      <c r="DS81">
        <v>0</v>
      </c>
      <c r="DT81">
        <v>3</v>
      </c>
      <c r="DU81">
        <v>0</v>
      </c>
      <c r="DV81">
        <v>0</v>
      </c>
      <c r="DW81">
        <v>0</v>
      </c>
      <c r="DX81">
        <v>1</v>
      </c>
      <c r="DY81">
        <v>1</v>
      </c>
      <c r="DZ81">
        <v>1002</v>
      </c>
      <c r="EA81">
        <v>0.9748</v>
      </c>
      <c r="EB81">
        <v>0.97620528732101297</v>
      </c>
      <c r="EC81">
        <v>0.97445419803591504</v>
      </c>
      <c r="ED81">
        <v>0.97476060875719495</v>
      </c>
      <c r="EE81">
        <f>SUM(Table1[[#This Row],[ratio_0]:[ratio_9]])</f>
        <v>730</v>
      </c>
      <c r="EF81" s="1">
        <f>(Table1[[#This Row],[predicted_0]]-Table1[[#This Row],[actual_0]])/Table1[[#This Row],[actual_0]]</f>
        <v>-1.5306122448979591E-2</v>
      </c>
      <c r="EG81" s="1">
        <f>(Table1[[#This Row],[predicted_1]]-Table1[[#This Row],[actual_1]])/Table1[[#This Row],[actual_1]]</f>
        <v>6.1674008810572688E-3</v>
      </c>
      <c r="EH81" s="1">
        <f>(Table1[[#This Row],[predicted_2]]-Table1[[#This Row],[actual_2]])/Table1[[#This Row],[actual_2]]</f>
        <v>-8.7209302325581394E-3</v>
      </c>
      <c r="EI81" s="1">
        <f>(Table1[[#This Row],[predicted_3]]-Table1[[#This Row],[actual_3]])/Table1[[#This Row],[actual_3]]</f>
        <v>1.2871287128712871E-2</v>
      </c>
      <c r="EJ81" s="1">
        <f>(Table1[[#This Row],[predicted_4]]-Table1[[#This Row],[actual_4]])/Table1[[#This Row],[actual_4]]</f>
        <v>-9.9796334012219962E-2</v>
      </c>
      <c r="EK81" s="1">
        <f>(Table1[[#This Row],[predicted_5]]-Table1[[#This Row],[actual_5]])/Table1[[#This Row],[actual_5]]</f>
        <v>-5.6053811659192822E-3</v>
      </c>
      <c r="EL81" s="1">
        <f>(Table1[[#This Row],[predicted_6]]-Table1[[#This Row],[actual_6]])/Table1[[#This Row],[actual_6]]</f>
        <v>-2.0876826722338203E-3</v>
      </c>
      <c r="EM81" s="1">
        <f>(Table1[[#This Row],[predicted_7]]-Table1[[#This Row],[actual_7]])/Table1[[#This Row],[actual_7]]</f>
        <v>-9.727626459143969E-4</v>
      </c>
      <c r="EN81" s="1">
        <f>(Table1[[#This Row],[predicted_8]]-Table1[[#This Row],[actual_8]])/Table1[[#This Row],[actual_8]]</f>
        <v>-9.2402464065708418E-3</v>
      </c>
      <c r="EO81" s="1">
        <f>(Table1[[#This Row],[predicted_9]]-Table1[[#This Row],[actual_9]])/Table1[[#This Row],[actual_9]]</f>
        <v>0.11793855302279485</v>
      </c>
      <c r="EP81" s="1">
        <f>1+(Table1[[#This Row],[error_ratio_0]]-EF$2)</f>
        <v>0.98265306122448981</v>
      </c>
      <c r="EQ81" s="1">
        <f>1+(Table1[[#This Row],[error_ratio_1]]-EG$2)</f>
        <v>1.0044052863436124</v>
      </c>
      <c r="ER81" s="1">
        <f>1+(Table1[[#This Row],[error_ratio_2]]-EH$2)</f>
        <v>0.99612403100775193</v>
      </c>
      <c r="ES81" s="1">
        <f>1+(Table1[[#This Row],[error_ratio_3]]-EI$2)</f>
        <v>1.002970297029703</v>
      </c>
      <c r="ET81" s="1">
        <f>1+(Table1[[#This Row],[error_ratio_4]]-EJ$2)</f>
        <v>0.89918533604887985</v>
      </c>
      <c r="EU81" s="1">
        <f>1+(Table1[[#This Row],[error_ratio_5]]-EK$2)</f>
        <v>0.99327354260089684</v>
      </c>
      <c r="EV81" s="1">
        <f>1+(Table1[[#This Row],[error_ratio_6]]-EL$2)</f>
        <v>1.0041753653444676</v>
      </c>
      <c r="EW81" s="1">
        <f>1+(Table1[[#This Row],[error_ratio_7]]-EM$2)</f>
        <v>0.99708171206225682</v>
      </c>
      <c r="EX81" s="1">
        <f>1+(Table1[[#This Row],[error_ratio_8]]-EN$2)</f>
        <v>0.99383983572895274</v>
      </c>
      <c r="EY81" s="1">
        <f>1+(Table1[[#This Row],[error_ratio_9]]-EO$2)</f>
        <v>1.1219028741328048</v>
      </c>
    </row>
    <row r="82" spans="1:155" x14ac:dyDescent="0.75">
      <c r="A82">
        <v>100</v>
      </c>
      <c r="B82">
        <v>10</v>
      </c>
      <c r="C82">
        <v>100</v>
      </c>
      <c r="D82">
        <v>100</v>
      </c>
      <c r="E82">
        <v>10</v>
      </c>
      <c r="F82">
        <v>100</v>
      </c>
      <c r="G82">
        <v>10</v>
      </c>
      <c r="H82">
        <v>100</v>
      </c>
      <c r="I82">
        <v>100</v>
      </c>
      <c r="J82">
        <v>100</v>
      </c>
      <c r="K82">
        <v>1006</v>
      </c>
      <c r="L82">
        <v>1092</v>
      </c>
      <c r="M82">
        <v>1082</v>
      </c>
      <c r="N82">
        <v>995</v>
      </c>
      <c r="O82">
        <v>866</v>
      </c>
      <c r="P82">
        <v>906</v>
      </c>
      <c r="Q82">
        <v>927</v>
      </c>
      <c r="R82">
        <v>1020</v>
      </c>
      <c r="S82">
        <v>1008</v>
      </c>
      <c r="T82">
        <v>1098</v>
      </c>
      <c r="U82">
        <v>980</v>
      </c>
      <c r="V82">
        <v>1135</v>
      </c>
      <c r="W82">
        <v>1032</v>
      </c>
      <c r="X82">
        <v>1010</v>
      </c>
      <c r="Y82">
        <v>982</v>
      </c>
      <c r="Z82">
        <v>892</v>
      </c>
      <c r="AA82">
        <v>958</v>
      </c>
      <c r="AB82">
        <v>1028</v>
      </c>
      <c r="AC82">
        <v>974</v>
      </c>
      <c r="AD82">
        <v>1009</v>
      </c>
      <c r="AE82">
        <v>976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2</v>
      </c>
      <c r="AM82">
        <v>2</v>
      </c>
      <c r="AN82">
        <v>0</v>
      </c>
      <c r="AO82">
        <v>2</v>
      </c>
      <c r="AP82">
        <v>1090</v>
      </c>
      <c r="AQ82">
        <v>10</v>
      </c>
      <c r="AR82">
        <v>2</v>
      </c>
      <c r="AS82">
        <v>0</v>
      </c>
      <c r="AT82">
        <v>1</v>
      </c>
      <c r="AU82">
        <v>2</v>
      </c>
      <c r="AV82">
        <v>2</v>
      </c>
      <c r="AW82">
        <v>25</v>
      </c>
      <c r="AX82">
        <v>1</v>
      </c>
      <c r="AY82">
        <v>1</v>
      </c>
      <c r="AZ82">
        <v>0</v>
      </c>
      <c r="BA82">
        <v>1026</v>
      </c>
      <c r="BB82">
        <v>0</v>
      </c>
      <c r="BC82">
        <v>0</v>
      </c>
      <c r="BD82">
        <v>0</v>
      </c>
      <c r="BE82">
        <v>0</v>
      </c>
      <c r="BF82">
        <v>4</v>
      </c>
      <c r="BG82">
        <v>1</v>
      </c>
      <c r="BH82">
        <v>0</v>
      </c>
      <c r="BI82">
        <v>0</v>
      </c>
      <c r="BJ82">
        <v>0</v>
      </c>
      <c r="BK82">
        <v>3</v>
      </c>
      <c r="BL82">
        <v>990</v>
      </c>
      <c r="BM82">
        <v>0</v>
      </c>
      <c r="BN82">
        <v>11</v>
      </c>
      <c r="BO82">
        <v>0</v>
      </c>
      <c r="BP82">
        <v>2</v>
      </c>
      <c r="BQ82">
        <v>3</v>
      </c>
      <c r="BR82">
        <v>1</v>
      </c>
      <c r="BS82">
        <v>6</v>
      </c>
      <c r="BT82">
        <v>0</v>
      </c>
      <c r="BU82">
        <v>18</v>
      </c>
      <c r="BV82">
        <v>0</v>
      </c>
      <c r="BW82">
        <v>865</v>
      </c>
      <c r="BX82">
        <v>0</v>
      </c>
      <c r="BY82">
        <v>7</v>
      </c>
      <c r="BZ82">
        <v>0</v>
      </c>
      <c r="CA82">
        <v>4</v>
      </c>
      <c r="CB82">
        <v>82</v>
      </c>
      <c r="CC82">
        <v>2</v>
      </c>
      <c r="CD82">
        <v>0</v>
      </c>
      <c r="CE82">
        <v>1</v>
      </c>
      <c r="CF82">
        <v>1</v>
      </c>
      <c r="CG82">
        <v>0</v>
      </c>
      <c r="CH82">
        <v>885</v>
      </c>
      <c r="CI82">
        <v>2</v>
      </c>
      <c r="CJ82">
        <v>1</v>
      </c>
      <c r="CK82">
        <v>0</v>
      </c>
      <c r="CL82">
        <v>0</v>
      </c>
      <c r="CM82">
        <v>13</v>
      </c>
      <c r="CN82">
        <v>1</v>
      </c>
      <c r="CO82">
        <v>5</v>
      </c>
      <c r="CP82">
        <v>0</v>
      </c>
      <c r="CQ82">
        <v>1</v>
      </c>
      <c r="CR82">
        <v>7</v>
      </c>
      <c r="CS82">
        <v>916</v>
      </c>
      <c r="CT82">
        <v>0</v>
      </c>
      <c r="CU82">
        <v>15</v>
      </c>
      <c r="CV82">
        <v>0</v>
      </c>
      <c r="CW82">
        <v>0</v>
      </c>
      <c r="CX82">
        <v>1</v>
      </c>
      <c r="CY82">
        <v>15</v>
      </c>
      <c r="CZ82">
        <v>1</v>
      </c>
      <c r="DA82">
        <v>0</v>
      </c>
      <c r="DB82">
        <v>0</v>
      </c>
      <c r="DC82">
        <v>0</v>
      </c>
      <c r="DD82">
        <v>1006</v>
      </c>
      <c r="DE82">
        <v>1</v>
      </c>
      <c r="DF82">
        <v>4</v>
      </c>
      <c r="DG82">
        <v>6</v>
      </c>
      <c r="DH82">
        <v>0</v>
      </c>
      <c r="DI82">
        <v>4</v>
      </c>
      <c r="DJ82">
        <v>0</v>
      </c>
      <c r="DK82">
        <v>0</v>
      </c>
      <c r="DL82">
        <v>1</v>
      </c>
      <c r="DM82">
        <v>0</v>
      </c>
      <c r="DN82">
        <v>2</v>
      </c>
      <c r="DO82">
        <v>955</v>
      </c>
      <c r="DP82">
        <v>6</v>
      </c>
      <c r="DQ82">
        <v>0</v>
      </c>
      <c r="DR82">
        <v>0</v>
      </c>
      <c r="DS82">
        <v>0</v>
      </c>
      <c r="DT82">
        <v>1</v>
      </c>
      <c r="DU82">
        <v>0</v>
      </c>
      <c r="DV82">
        <v>1</v>
      </c>
      <c r="DW82">
        <v>0</v>
      </c>
      <c r="DX82">
        <v>1</v>
      </c>
      <c r="DY82">
        <v>2</v>
      </c>
      <c r="DZ82">
        <v>1004</v>
      </c>
      <c r="EA82">
        <v>0.97130000000000005</v>
      </c>
      <c r="EB82">
        <v>0.97234514584229403</v>
      </c>
      <c r="EC82">
        <v>0.97139580175115703</v>
      </c>
      <c r="ED82">
        <v>0.97115447332377303</v>
      </c>
      <c r="EE82">
        <f>SUM(Table1[[#This Row],[ratio_0]:[ratio_9]])</f>
        <v>730</v>
      </c>
      <c r="EF82" s="1">
        <f>(Table1[[#This Row],[predicted_0]]-Table1[[#This Row],[actual_0]])/Table1[[#This Row],[actual_0]]</f>
        <v>2.6530612244897958E-2</v>
      </c>
      <c r="EG82" s="1">
        <f>(Table1[[#This Row],[predicted_1]]-Table1[[#This Row],[actual_1]])/Table1[[#This Row],[actual_1]]</f>
        <v>-3.7885462555066078E-2</v>
      </c>
      <c r="EH82" s="1">
        <f>(Table1[[#This Row],[predicted_2]]-Table1[[#This Row],[actual_2]])/Table1[[#This Row],[actual_2]]</f>
        <v>4.8449612403100778E-2</v>
      </c>
      <c r="EI82" s="1">
        <f>(Table1[[#This Row],[predicted_3]]-Table1[[#This Row],[actual_3]])/Table1[[#This Row],[actual_3]]</f>
        <v>-1.4851485148514851E-2</v>
      </c>
      <c r="EJ82" s="1">
        <f>(Table1[[#This Row],[predicted_4]]-Table1[[#This Row],[actual_4]])/Table1[[#This Row],[actual_4]]</f>
        <v>-0.11812627291242363</v>
      </c>
      <c r="EK82" s="1">
        <f>(Table1[[#This Row],[predicted_5]]-Table1[[#This Row],[actual_5]])/Table1[[#This Row],[actual_5]]</f>
        <v>1.5695067264573991E-2</v>
      </c>
      <c r="EL82" s="1">
        <f>(Table1[[#This Row],[predicted_6]]-Table1[[#This Row],[actual_6]])/Table1[[#This Row],[actual_6]]</f>
        <v>-3.2359081419624215E-2</v>
      </c>
      <c r="EM82" s="1">
        <f>(Table1[[#This Row],[predicted_7]]-Table1[[#This Row],[actual_7]])/Table1[[#This Row],[actual_7]]</f>
        <v>-7.7821011673151752E-3</v>
      </c>
      <c r="EN82" s="1">
        <f>(Table1[[#This Row],[predicted_8]]-Table1[[#This Row],[actual_8]])/Table1[[#This Row],[actual_8]]</f>
        <v>3.4907597535934289E-2</v>
      </c>
      <c r="EO82" s="1">
        <f>(Table1[[#This Row],[predicted_9]]-Table1[[#This Row],[actual_9]])/Table1[[#This Row],[actual_9]]</f>
        <v>8.820614469772052E-2</v>
      </c>
      <c r="EP82" s="1">
        <f>1+(Table1[[#This Row],[error_ratio_0]]-EF$2)</f>
        <v>1.0244897959183674</v>
      </c>
      <c r="EQ82" s="1">
        <f>1+(Table1[[#This Row],[error_ratio_1]]-EG$2)</f>
        <v>0.96035242290748901</v>
      </c>
      <c r="ER82" s="1">
        <f>1+(Table1[[#This Row],[error_ratio_2]]-EH$2)</f>
        <v>1.0532945736434109</v>
      </c>
      <c r="ES82" s="1">
        <f>1+(Table1[[#This Row],[error_ratio_3]]-EI$2)</f>
        <v>0.97524752475247523</v>
      </c>
      <c r="ET82" s="1">
        <f>1+(Table1[[#This Row],[error_ratio_4]]-EJ$2)</f>
        <v>0.88085539714867611</v>
      </c>
      <c r="EU82" s="1">
        <f>1+(Table1[[#This Row],[error_ratio_5]]-EK$2)</f>
        <v>1.0145739910313902</v>
      </c>
      <c r="EV82" s="1">
        <f>1+(Table1[[#This Row],[error_ratio_6]]-EL$2)</f>
        <v>0.97390396659707723</v>
      </c>
      <c r="EW82" s="1">
        <f>1+(Table1[[#This Row],[error_ratio_7]]-EM$2)</f>
        <v>0.99027237354085607</v>
      </c>
      <c r="EX82" s="1">
        <f>1+(Table1[[#This Row],[error_ratio_8]]-EN$2)</f>
        <v>1.037987679671458</v>
      </c>
      <c r="EY82" s="1">
        <f>1+(Table1[[#This Row],[error_ratio_9]]-EO$2)</f>
        <v>1.0921704658077305</v>
      </c>
    </row>
    <row r="83" spans="1:155" x14ac:dyDescent="0.75">
      <c r="A83">
        <v>10</v>
      </c>
      <c r="B83">
        <v>10</v>
      </c>
      <c r="C83">
        <v>100</v>
      </c>
      <c r="D83">
        <v>100</v>
      </c>
      <c r="E83">
        <v>10</v>
      </c>
      <c r="F83">
        <v>100</v>
      </c>
      <c r="G83">
        <v>10</v>
      </c>
      <c r="H83">
        <v>100</v>
      </c>
      <c r="I83">
        <v>100</v>
      </c>
      <c r="J83">
        <v>100</v>
      </c>
      <c r="K83">
        <v>948</v>
      </c>
      <c r="L83">
        <v>1060</v>
      </c>
      <c r="M83">
        <v>1064</v>
      </c>
      <c r="N83">
        <v>1023</v>
      </c>
      <c r="O83">
        <v>911</v>
      </c>
      <c r="P83">
        <v>924</v>
      </c>
      <c r="Q83">
        <v>951</v>
      </c>
      <c r="R83">
        <v>1039</v>
      </c>
      <c r="S83">
        <v>1026</v>
      </c>
      <c r="T83">
        <v>1054</v>
      </c>
      <c r="U83">
        <v>980</v>
      </c>
      <c r="V83">
        <v>1135</v>
      </c>
      <c r="W83">
        <v>1032</v>
      </c>
      <c r="X83">
        <v>1010</v>
      </c>
      <c r="Y83">
        <v>982</v>
      </c>
      <c r="Z83">
        <v>892</v>
      </c>
      <c r="AA83">
        <v>958</v>
      </c>
      <c r="AB83">
        <v>1028</v>
      </c>
      <c r="AC83">
        <v>974</v>
      </c>
      <c r="AD83">
        <v>1009</v>
      </c>
      <c r="AE83">
        <v>942</v>
      </c>
      <c r="AF83">
        <v>0</v>
      </c>
      <c r="AG83">
        <v>9</v>
      </c>
      <c r="AH83">
        <v>0</v>
      </c>
      <c r="AI83">
        <v>0</v>
      </c>
      <c r="AJ83">
        <v>7</v>
      </c>
      <c r="AK83">
        <v>8</v>
      </c>
      <c r="AL83">
        <v>3</v>
      </c>
      <c r="AM83">
        <v>8</v>
      </c>
      <c r="AN83">
        <v>3</v>
      </c>
      <c r="AO83">
        <v>0</v>
      </c>
      <c r="AP83">
        <v>1060</v>
      </c>
      <c r="AQ83">
        <v>13</v>
      </c>
      <c r="AR83">
        <v>5</v>
      </c>
      <c r="AS83">
        <v>0</v>
      </c>
      <c r="AT83">
        <v>1</v>
      </c>
      <c r="AU83">
        <v>7</v>
      </c>
      <c r="AV83">
        <v>9</v>
      </c>
      <c r="AW83">
        <v>39</v>
      </c>
      <c r="AX83">
        <v>1</v>
      </c>
      <c r="AY83">
        <v>1</v>
      </c>
      <c r="AZ83">
        <v>0</v>
      </c>
      <c r="BA83">
        <v>1027</v>
      </c>
      <c r="BB83">
        <v>0</v>
      </c>
      <c r="BC83">
        <v>0</v>
      </c>
      <c r="BD83">
        <v>0</v>
      </c>
      <c r="BE83">
        <v>0</v>
      </c>
      <c r="BF83">
        <v>4</v>
      </c>
      <c r="BG83">
        <v>0</v>
      </c>
      <c r="BH83">
        <v>0</v>
      </c>
      <c r="BI83">
        <v>0</v>
      </c>
      <c r="BJ83">
        <v>0</v>
      </c>
      <c r="BK83">
        <v>1</v>
      </c>
      <c r="BL83">
        <v>1003</v>
      </c>
      <c r="BM83">
        <v>0</v>
      </c>
      <c r="BN83">
        <v>3</v>
      </c>
      <c r="BO83">
        <v>0</v>
      </c>
      <c r="BP83">
        <v>0</v>
      </c>
      <c r="BQ83">
        <v>2</v>
      </c>
      <c r="BR83">
        <v>1</v>
      </c>
      <c r="BS83">
        <v>1</v>
      </c>
      <c r="BT83">
        <v>0</v>
      </c>
      <c r="BU83">
        <v>5</v>
      </c>
      <c r="BV83">
        <v>1</v>
      </c>
      <c r="BW83">
        <v>910</v>
      </c>
      <c r="BX83">
        <v>0</v>
      </c>
      <c r="BY83">
        <v>11</v>
      </c>
      <c r="BZ83">
        <v>1</v>
      </c>
      <c r="CA83">
        <v>5</v>
      </c>
      <c r="CB83">
        <v>48</v>
      </c>
      <c r="CC83">
        <v>0</v>
      </c>
      <c r="CD83">
        <v>0</v>
      </c>
      <c r="CE83">
        <v>1</v>
      </c>
      <c r="CF83">
        <v>5</v>
      </c>
      <c r="CG83">
        <v>0</v>
      </c>
      <c r="CH83">
        <v>884</v>
      </c>
      <c r="CI83">
        <v>1</v>
      </c>
      <c r="CJ83">
        <v>1</v>
      </c>
      <c r="CK83">
        <v>0</v>
      </c>
      <c r="CL83">
        <v>0</v>
      </c>
      <c r="CM83">
        <v>3</v>
      </c>
      <c r="CN83">
        <v>0</v>
      </c>
      <c r="CO83">
        <v>1</v>
      </c>
      <c r="CP83">
        <v>0</v>
      </c>
      <c r="CQ83">
        <v>1</v>
      </c>
      <c r="CR83">
        <v>25</v>
      </c>
      <c r="CS83">
        <v>924</v>
      </c>
      <c r="CT83">
        <v>0</v>
      </c>
      <c r="CU83">
        <v>4</v>
      </c>
      <c r="CV83">
        <v>0</v>
      </c>
      <c r="CW83">
        <v>0</v>
      </c>
      <c r="CX83">
        <v>0</v>
      </c>
      <c r="CY83">
        <v>5</v>
      </c>
      <c r="CZ83">
        <v>1</v>
      </c>
      <c r="DA83">
        <v>0</v>
      </c>
      <c r="DB83">
        <v>1</v>
      </c>
      <c r="DC83">
        <v>0</v>
      </c>
      <c r="DD83">
        <v>1016</v>
      </c>
      <c r="DE83">
        <v>1</v>
      </c>
      <c r="DF83">
        <v>4</v>
      </c>
      <c r="DG83">
        <v>0</v>
      </c>
      <c r="DH83">
        <v>0</v>
      </c>
      <c r="DI83">
        <v>1</v>
      </c>
      <c r="DJ83">
        <v>2</v>
      </c>
      <c r="DK83">
        <v>0</v>
      </c>
      <c r="DL83">
        <v>1</v>
      </c>
      <c r="DM83">
        <v>0</v>
      </c>
      <c r="DN83">
        <v>1</v>
      </c>
      <c r="DO83">
        <v>966</v>
      </c>
      <c r="DP83">
        <v>3</v>
      </c>
      <c r="DQ83">
        <v>1</v>
      </c>
      <c r="DR83">
        <v>0</v>
      </c>
      <c r="DS83">
        <v>1</v>
      </c>
      <c r="DT83">
        <v>6</v>
      </c>
      <c r="DU83">
        <v>0</v>
      </c>
      <c r="DV83">
        <v>2</v>
      </c>
      <c r="DW83">
        <v>0</v>
      </c>
      <c r="DX83">
        <v>4</v>
      </c>
      <c r="DY83">
        <v>1</v>
      </c>
      <c r="DZ83">
        <v>994</v>
      </c>
      <c r="EA83">
        <v>0.97260000000000002</v>
      </c>
      <c r="EB83">
        <v>0.97290250042878701</v>
      </c>
      <c r="EC83">
        <v>0.97308376611629499</v>
      </c>
      <c r="ED83">
        <v>0.97254545008670001</v>
      </c>
      <c r="EE83">
        <f>SUM(Table1[[#This Row],[ratio_0]:[ratio_9]])</f>
        <v>640</v>
      </c>
      <c r="EF83" s="1">
        <f>(Table1[[#This Row],[predicted_0]]-Table1[[#This Row],[actual_0]])/Table1[[#This Row],[actual_0]]</f>
        <v>-3.2653061224489799E-2</v>
      </c>
      <c r="EG83" s="1">
        <f>(Table1[[#This Row],[predicted_1]]-Table1[[#This Row],[actual_1]])/Table1[[#This Row],[actual_1]]</f>
        <v>-6.6079295154185022E-2</v>
      </c>
      <c r="EH83" s="1">
        <f>(Table1[[#This Row],[predicted_2]]-Table1[[#This Row],[actual_2]])/Table1[[#This Row],[actual_2]]</f>
        <v>3.1007751937984496E-2</v>
      </c>
      <c r="EI83" s="1">
        <f>(Table1[[#This Row],[predicted_3]]-Table1[[#This Row],[actual_3]])/Table1[[#This Row],[actual_3]]</f>
        <v>1.2871287128712871E-2</v>
      </c>
      <c r="EJ83" s="1">
        <f>(Table1[[#This Row],[predicted_4]]-Table1[[#This Row],[actual_4]])/Table1[[#This Row],[actual_4]]</f>
        <v>-7.2301425661914456E-2</v>
      </c>
      <c r="EK83" s="1">
        <f>(Table1[[#This Row],[predicted_5]]-Table1[[#This Row],[actual_5]])/Table1[[#This Row],[actual_5]]</f>
        <v>3.5874439461883408E-2</v>
      </c>
      <c r="EL83" s="1">
        <f>(Table1[[#This Row],[predicted_6]]-Table1[[#This Row],[actual_6]])/Table1[[#This Row],[actual_6]]</f>
        <v>-7.3068893528183713E-3</v>
      </c>
      <c r="EM83" s="1">
        <f>(Table1[[#This Row],[predicted_7]]-Table1[[#This Row],[actual_7]])/Table1[[#This Row],[actual_7]]</f>
        <v>1.0700389105058366E-2</v>
      </c>
      <c r="EN83" s="1">
        <f>(Table1[[#This Row],[predicted_8]]-Table1[[#This Row],[actual_8]])/Table1[[#This Row],[actual_8]]</f>
        <v>5.3388090349075976E-2</v>
      </c>
      <c r="EO83" s="1">
        <f>(Table1[[#This Row],[predicted_9]]-Table1[[#This Row],[actual_9]])/Table1[[#This Row],[actual_9]]</f>
        <v>4.4598612487611496E-2</v>
      </c>
      <c r="EP83" s="1">
        <f>1+(Table1[[#This Row],[error_ratio_0]]-EF$2)</f>
        <v>0.96530612244897962</v>
      </c>
      <c r="EQ83" s="1">
        <f>1+(Table1[[#This Row],[error_ratio_1]]-EG$2)</f>
        <v>0.93215859030837001</v>
      </c>
      <c r="ER83" s="1">
        <f>1+(Table1[[#This Row],[error_ratio_2]]-EH$2)</f>
        <v>1.0358527131782946</v>
      </c>
      <c r="ES83" s="1">
        <f>1+(Table1[[#This Row],[error_ratio_3]]-EI$2)</f>
        <v>1.002970297029703</v>
      </c>
      <c r="ET83" s="1">
        <f>1+(Table1[[#This Row],[error_ratio_4]]-EJ$2)</f>
        <v>0.92668024439918528</v>
      </c>
      <c r="EU83" s="1">
        <f>1+(Table1[[#This Row],[error_ratio_5]]-EK$2)</f>
        <v>1.0347533632286996</v>
      </c>
      <c r="EV83" s="1">
        <f>1+(Table1[[#This Row],[error_ratio_6]]-EL$2)</f>
        <v>0.9989561586638831</v>
      </c>
      <c r="EW83" s="1">
        <f>1+(Table1[[#This Row],[error_ratio_7]]-EM$2)</f>
        <v>1.0087548638132295</v>
      </c>
      <c r="EX83" s="1">
        <f>1+(Table1[[#This Row],[error_ratio_8]]-EN$2)</f>
        <v>1.0564681724845997</v>
      </c>
      <c r="EY83" s="1">
        <f>1+(Table1[[#This Row],[error_ratio_9]]-EO$2)</f>
        <v>1.0485629335976214</v>
      </c>
    </row>
    <row r="84" spans="1:155" x14ac:dyDescent="0.75">
      <c r="A84">
        <v>100</v>
      </c>
      <c r="B84">
        <v>100</v>
      </c>
      <c r="C84">
        <v>10</v>
      </c>
      <c r="D84">
        <v>100</v>
      </c>
      <c r="E84">
        <v>10</v>
      </c>
      <c r="F84">
        <v>100</v>
      </c>
      <c r="G84">
        <v>10</v>
      </c>
      <c r="H84">
        <v>100</v>
      </c>
      <c r="I84">
        <v>100</v>
      </c>
      <c r="J84">
        <v>100</v>
      </c>
      <c r="K84">
        <v>1004</v>
      </c>
      <c r="L84">
        <v>1136</v>
      </c>
      <c r="M84">
        <v>985</v>
      </c>
      <c r="N84">
        <v>1053</v>
      </c>
      <c r="O84">
        <v>887</v>
      </c>
      <c r="P84">
        <v>912</v>
      </c>
      <c r="Q84">
        <v>893</v>
      </c>
      <c r="R84">
        <v>1109</v>
      </c>
      <c r="S84">
        <v>990</v>
      </c>
      <c r="T84">
        <v>1031</v>
      </c>
      <c r="U84">
        <v>980</v>
      </c>
      <c r="V84">
        <v>1135</v>
      </c>
      <c r="W84">
        <v>1032</v>
      </c>
      <c r="X84">
        <v>1010</v>
      </c>
      <c r="Y84">
        <v>982</v>
      </c>
      <c r="Z84">
        <v>892</v>
      </c>
      <c r="AA84">
        <v>958</v>
      </c>
      <c r="AB84">
        <v>1028</v>
      </c>
      <c r="AC84">
        <v>974</v>
      </c>
      <c r="AD84">
        <v>1009</v>
      </c>
      <c r="AE84">
        <v>975</v>
      </c>
      <c r="AF84">
        <v>0</v>
      </c>
      <c r="AG84">
        <v>0</v>
      </c>
      <c r="AH84">
        <v>0</v>
      </c>
      <c r="AI84">
        <v>0</v>
      </c>
      <c r="AJ84">
        <v>1</v>
      </c>
      <c r="AK84">
        <v>0</v>
      </c>
      <c r="AL84">
        <v>2</v>
      </c>
      <c r="AM84">
        <v>2</v>
      </c>
      <c r="AN84">
        <v>0</v>
      </c>
      <c r="AO84">
        <v>0</v>
      </c>
      <c r="AP84">
        <v>1126</v>
      </c>
      <c r="AQ84">
        <v>0</v>
      </c>
      <c r="AR84">
        <v>2</v>
      </c>
      <c r="AS84">
        <v>0</v>
      </c>
      <c r="AT84">
        <v>0</v>
      </c>
      <c r="AU84">
        <v>0</v>
      </c>
      <c r="AV84">
        <v>6</v>
      </c>
      <c r="AW84">
        <v>1</v>
      </c>
      <c r="AX84">
        <v>0</v>
      </c>
      <c r="AY84">
        <v>4</v>
      </c>
      <c r="AZ84">
        <v>4</v>
      </c>
      <c r="BA84">
        <v>974</v>
      </c>
      <c r="BB84">
        <v>20</v>
      </c>
      <c r="BC84">
        <v>0</v>
      </c>
      <c r="BD84">
        <v>2</v>
      </c>
      <c r="BE84">
        <v>0</v>
      </c>
      <c r="BF84">
        <v>21</v>
      </c>
      <c r="BG84">
        <v>7</v>
      </c>
      <c r="BH84">
        <v>0</v>
      </c>
      <c r="BI84">
        <v>0</v>
      </c>
      <c r="BJ84">
        <v>0</v>
      </c>
      <c r="BK84">
        <v>0</v>
      </c>
      <c r="BL84">
        <v>1006</v>
      </c>
      <c r="BM84">
        <v>0</v>
      </c>
      <c r="BN84">
        <v>1</v>
      </c>
      <c r="BO84">
        <v>0</v>
      </c>
      <c r="BP84">
        <v>2</v>
      </c>
      <c r="BQ84">
        <v>0</v>
      </c>
      <c r="BR84">
        <v>1</v>
      </c>
      <c r="BS84">
        <v>2</v>
      </c>
      <c r="BT84">
        <v>1</v>
      </c>
      <c r="BU84">
        <v>6</v>
      </c>
      <c r="BV84">
        <v>1</v>
      </c>
      <c r="BW84">
        <v>880</v>
      </c>
      <c r="BX84">
        <v>0</v>
      </c>
      <c r="BY84">
        <v>3</v>
      </c>
      <c r="BZ84">
        <v>36</v>
      </c>
      <c r="CA84">
        <v>2</v>
      </c>
      <c r="CB84">
        <v>51</v>
      </c>
      <c r="CC84">
        <v>1</v>
      </c>
      <c r="CD84">
        <v>0</v>
      </c>
      <c r="CE84">
        <v>0</v>
      </c>
      <c r="CF84">
        <v>11</v>
      </c>
      <c r="CG84">
        <v>0</v>
      </c>
      <c r="CH84">
        <v>878</v>
      </c>
      <c r="CI84">
        <v>0</v>
      </c>
      <c r="CJ84">
        <v>1</v>
      </c>
      <c r="CK84">
        <v>1</v>
      </c>
      <c r="CL84">
        <v>0</v>
      </c>
      <c r="CM84">
        <v>17</v>
      </c>
      <c r="CN84">
        <v>5</v>
      </c>
      <c r="CO84">
        <v>2</v>
      </c>
      <c r="CP84">
        <v>1</v>
      </c>
      <c r="CQ84">
        <v>6</v>
      </c>
      <c r="CR84">
        <v>21</v>
      </c>
      <c r="CS84">
        <v>890</v>
      </c>
      <c r="CT84">
        <v>0</v>
      </c>
      <c r="CU84">
        <v>16</v>
      </c>
      <c r="CV84">
        <v>0</v>
      </c>
      <c r="CW84">
        <v>0</v>
      </c>
      <c r="CX84">
        <v>0</v>
      </c>
      <c r="CY84">
        <v>2</v>
      </c>
      <c r="CZ84">
        <v>2</v>
      </c>
      <c r="DA84">
        <v>0</v>
      </c>
      <c r="DB84">
        <v>0</v>
      </c>
      <c r="DC84">
        <v>0</v>
      </c>
      <c r="DD84">
        <v>1023</v>
      </c>
      <c r="DE84">
        <v>1</v>
      </c>
      <c r="DF84">
        <v>0</v>
      </c>
      <c r="DG84">
        <v>1</v>
      </c>
      <c r="DH84">
        <v>0</v>
      </c>
      <c r="DI84">
        <v>1</v>
      </c>
      <c r="DJ84">
        <v>2</v>
      </c>
      <c r="DK84">
        <v>0</v>
      </c>
      <c r="DL84">
        <v>3</v>
      </c>
      <c r="DM84">
        <v>0</v>
      </c>
      <c r="DN84">
        <v>5</v>
      </c>
      <c r="DO84">
        <v>960</v>
      </c>
      <c r="DP84">
        <v>2</v>
      </c>
      <c r="DQ84">
        <v>4</v>
      </c>
      <c r="DR84">
        <v>0</v>
      </c>
      <c r="DS84">
        <v>0</v>
      </c>
      <c r="DT84">
        <v>8</v>
      </c>
      <c r="DU84">
        <v>1</v>
      </c>
      <c r="DV84">
        <v>6</v>
      </c>
      <c r="DW84">
        <v>0</v>
      </c>
      <c r="DX84">
        <v>13</v>
      </c>
      <c r="DY84">
        <v>0</v>
      </c>
      <c r="DZ84">
        <v>977</v>
      </c>
      <c r="EA84">
        <v>0.96889999999999998</v>
      </c>
      <c r="EB84">
        <v>0.96977521921318899</v>
      </c>
      <c r="EC84">
        <v>0.96853084667075195</v>
      </c>
      <c r="ED84">
        <v>0.96851377212059597</v>
      </c>
      <c r="EE84">
        <f>SUM(Table1[[#This Row],[ratio_0]:[ratio_9]])</f>
        <v>730</v>
      </c>
      <c r="EF84" s="1">
        <f>(Table1[[#This Row],[predicted_0]]-Table1[[#This Row],[actual_0]])/Table1[[#This Row],[actual_0]]</f>
        <v>2.4489795918367346E-2</v>
      </c>
      <c r="EG84" s="1">
        <f>(Table1[[#This Row],[predicted_1]]-Table1[[#This Row],[actual_1]])/Table1[[#This Row],[actual_1]]</f>
        <v>8.81057268722467E-4</v>
      </c>
      <c r="EH84" s="1">
        <f>(Table1[[#This Row],[predicted_2]]-Table1[[#This Row],[actual_2]])/Table1[[#This Row],[actual_2]]</f>
        <v>-4.5542635658914726E-2</v>
      </c>
      <c r="EI84" s="1">
        <f>(Table1[[#This Row],[predicted_3]]-Table1[[#This Row],[actual_3]])/Table1[[#This Row],[actual_3]]</f>
        <v>4.2574257425742577E-2</v>
      </c>
      <c r="EJ84" s="1">
        <f>(Table1[[#This Row],[predicted_4]]-Table1[[#This Row],[actual_4]])/Table1[[#This Row],[actual_4]]</f>
        <v>-9.6741344195519344E-2</v>
      </c>
      <c r="EK84" s="1">
        <f>(Table1[[#This Row],[predicted_5]]-Table1[[#This Row],[actual_5]])/Table1[[#This Row],[actual_5]]</f>
        <v>2.2421524663677129E-2</v>
      </c>
      <c r="EL84" s="1">
        <f>(Table1[[#This Row],[predicted_6]]-Table1[[#This Row],[actual_6]])/Table1[[#This Row],[actual_6]]</f>
        <v>-6.7849686847599164E-2</v>
      </c>
      <c r="EM84" s="1">
        <f>(Table1[[#This Row],[predicted_7]]-Table1[[#This Row],[actual_7]])/Table1[[#This Row],[actual_7]]</f>
        <v>7.8793774319066145E-2</v>
      </c>
      <c r="EN84" s="1">
        <f>(Table1[[#This Row],[predicted_8]]-Table1[[#This Row],[actual_8]])/Table1[[#This Row],[actual_8]]</f>
        <v>1.6427104722792608E-2</v>
      </c>
      <c r="EO84" s="1">
        <f>(Table1[[#This Row],[predicted_9]]-Table1[[#This Row],[actual_9]])/Table1[[#This Row],[actual_9]]</f>
        <v>2.1803766105054509E-2</v>
      </c>
      <c r="EP84" s="1">
        <f>1+(Table1[[#This Row],[error_ratio_0]]-EF$2)</f>
        <v>1.0224489795918368</v>
      </c>
      <c r="EQ84" s="1">
        <f>1+(Table1[[#This Row],[error_ratio_1]]-EG$2)</f>
        <v>0.99911894273127755</v>
      </c>
      <c r="ER84" s="1">
        <f>1+(Table1[[#This Row],[error_ratio_2]]-EH$2)</f>
        <v>0.95930232558139539</v>
      </c>
      <c r="ES84" s="1">
        <f>1+(Table1[[#This Row],[error_ratio_3]]-EI$2)</f>
        <v>1.0326732673267327</v>
      </c>
      <c r="ET84" s="1">
        <f>1+(Table1[[#This Row],[error_ratio_4]]-EJ$2)</f>
        <v>0.90224032586558045</v>
      </c>
      <c r="EU84" s="1">
        <f>1+(Table1[[#This Row],[error_ratio_5]]-EK$2)</f>
        <v>1.0213004484304933</v>
      </c>
      <c r="EV84" s="1">
        <f>1+(Table1[[#This Row],[error_ratio_6]]-EL$2)</f>
        <v>0.93841336116910234</v>
      </c>
      <c r="EW84" s="1">
        <f>1+(Table1[[#This Row],[error_ratio_7]]-EM$2)</f>
        <v>1.0768482490272373</v>
      </c>
      <c r="EX84" s="1">
        <f>1+(Table1[[#This Row],[error_ratio_8]]-EN$2)</f>
        <v>1.0195071868583163</v>
      </c>
      <c r="EY84" s="1">
        <f>1+(Table1[[#This Row],[error_ratio_9]]-EO$2)</f>
        <v>1.0257680872150645</v>
      </c>
    </row>
    <row r="85" spans="1:155" x14ac:dyDescent="0.75">
      <c r="A85">
        <v>10</v>
      </c>
      <c r="B85">
        <v>100</v>
      </c>
      <c r="C85">
        <v>10</v>
      </c>
      <c r="D85">
        <v>100</v>
      </c>
      <c r="E85">
        <v>10</v>
      </c>
      <c r="F85">
        <v>100</v>
      </c>
      <c r="G85">
        <v>10</v>
      </c>
      <c r="H85">
        <v>100</v>
      </c>
      <c r="I85">
        <v>100</v>
      </c>
      <c r="J85">
        <v>100</v>
      </c>
      <c r="K85">
        <v>971</v>
      </c>
      <c r="L85">
        <v>1155</v>
      </c>
      <c r="M85">
        <v>953</v>
      </c>
      <c r="N85">
        <v>1016</v>
      </c>
      <c r="O85">
        <v>970</v>
      </c>
      <c r="P85">
        <v>903</v>
      </c>
      <c r="Q85">
        <v>927</v>
      </c>
      <c r="R85">
        <v>1071</v>
      </c>
      <c r="S85">
        <v>1015</v>
      </c>
      <c r="T85">
        <v>1019</v>
      </c>
      <c r="U85">
        <v>980</v>
      </c>
      <c r="V85">
        <v>1135</v>
      </c>
      <c r="W85">
        <v>1032</v>
      </c>
      <c r="X85">
        <v>1010</v>
      </c>
      <c r="Y85">
        <v>982</v>
      </c>
      <c r="Z85">
        <v>892</v>
      </c>
      <c r="AA85">
        <v>958</v>
      </c>
      <c r="AB85">
        <v>1028</v>
      </c>
      <c r="AC85">
        <v>974</v>
      </c>
      <c r="AD85">
        <v>1009</v>
      </c>
      <c r="AE85">
        <v>959</v>
      </c>
      <c r="AF85">
        <v>1</v>
      </c>
      <c r="AG85">
        <v>1</v>
      </c>
      <c r="AH85">
        <v>1</v>
      </c>
      <c r="AI85">
        <v>0</v>
      </c>
      <c r="AJ85">
        <v>2</v>
      </c>
      <c r="AK85">
        <v>2</v>
      </c>
      <c r="AL85">
        <v>4</v>
      </c>
      <c r="AM85">
        <v>5</v>
      </c>
      <c r="AN85">
        <v>5</v>
      </c>
      <c r="AO85">
        <v>0</v>
      </c>
      <c r="AP85">
        <v>1131</v>
      </c>
      <c r="AQ85">
        <v>0</v>
      </c>
      <c r="AR85">
        <v>1</v>
      </c>
      <c r="AS85">
        <v>0</v>
      </c>
      <c r="AT85">
        <v>1</v>
      </c>
      <c r="AU85">
        <v>0</v>
      </c>
      <c r="AV85">
        <v>2</v>
      </c>
      <c r="AW85">
        <v>0</v>
      </c>
      <c r="AX85">
        <v>0</v>
      </c>
      <c r="AY85">
        <v>4</v>
      </c>
      <c r="AZ85">
        <v>9</v>
      </c>
      <c r="BA85">
        <v>947</v>
      </c>
      <c r="BB85">
        <v>7</v>
      </c>
      <c r="BC85">
        <v>1</v>
      </c>
      <c r="BD85">
        <v>0</v>
      </c>
      <c r="BE85">
        <v>2</v>
      </c>
      <c r="BF85">
        <v>30</v>
      </c>
      <c r="BG85">
        <v>29</v>
      </c>
      <c r="BH85">
        <v>3</v>
      </c>
      <c r="BI85">
        <v>0</v>
      </c>
      <c r="BJ85">
        <v>0</v>
      </c>
      <c r="BK85">
        <v>0</v>
      </c>
      <c r="BL85">
        <v>1000</v>
      </c>
      <c r="BM85">
        <v>0</v>
      </c>
      <c r="BN85">
        <v>2</v>
      </c>
      <c r="BO85">
        <v>0</v>
      </c>
      <c r="BP85">
        <v>2</v>
      </c>
      <c r="BQ85">
        <v>5</v>
      </c>
      <c r="BR85">
        <v>1</v>
      </c>
      <c r="BS85">
        <v>0</v>
      </c>
      <c r="BT85">
        <v>3</v>
      </c>
      <c r="BU85">
        <v>3</v>
      </c>
      <c r="BV85">
        <v>0</v>
      </c>
      <c r="BW85">
        <v>954</v>
      </c>
      <c r="BX85">
        <v>0</v>
      </c>
      <c r="BY85">
        <v>5</v>
      </c>
      <c r="BZ85">
        <v>3</v>
      </c>
      <c r="CA85">
        <v>3</v>
      </c>
      <c r="CB85">
        <v>11</v>
      </c>
      <c r="CC85">
        <v>1</v>
      </c>
      <c r="CD85">
        <v>0</v>
      </c>
      <c r="CE85">
        <v>0</v>
      </c>
      <c r="CF85">
        <v>6</v>
      </c>
      <c r="CG85">
        <v>0</v>
      </c>
      <c r="CH85">
        <v>881</v>
      </c>
      <c r="CI85">
        <v>1</v>
      </c>
      <c r="CJ85">
        <v>0</v>
      </c>
      <c r="CK85">
        <v>2</v>
      </c>
      <c r="CL85">
        <v>1</v>
      </c>
      <c r="CM85">
        <v>7</v>
      </c>
      <c r="CN85">
        <v>7</v>
      </c>
      <c r="CO85">
        <v>1</v>
      </c>
      <c r="CP85">
        <v>0</v>
      </c>
      <c r="CQ85">
        <v>6</v>
      </c>
      <c r="CR85">
        <v>15</v>
      </c>
      <c r="CS85">
        <v>917</v>
      </c>
      <c r="CT85">
        <v>0</v>
      </c>
      <c r="CU85">
        <v>5</v>
      </c>
      <c r="CV85">
        <v>0</v>
      </c>
      <c r="CW85">
        <v>0</v>
      </c>
      <c r="CX85">
        <v>2</v>
      </c>
      <c r="CY85">
        <v>1</v>
      </c>
      <c r="CZ85">
        <v>1</v>
      </c>
      <c r="DA85">
        <v>0</v>
      </c>
      <c r="DB85">
        <v>0</v>
      </c>
      <c r="DC85">
        <v>0</v>
      </c>
      <c r="DD85">
        <v>1023</v>
      </c>
      <c r="DE85">
        <v>0</v>
      </c>
      <c r="DF85">
        <v>1</v>
      </c>
      <c r="DG85">
        <v>0</v>
      </c>
      <c r="DH85">
        <v>0</v>
      </c>
      <c r="DI85">
        <v>0</v>
      </c>
      <c r="DJ85">
        <v>0</v>
      </c>
      <c r="DK85">
        <v>0</v>
      </c>
      <c r="DL85">
        <v>1</v>
      </c>
      <c r="DM85">
        <v>0</v>
      </c>
      <c r="DN85">
        <v>3</v>
      </c>
      <c r="DO85">
        <v>964</v>
      </c>
      <c r="DP85">
        <v>6</v>
      </c>
      <c r="DQ85">
        <v>0</v>
      </c>
      <c r="DR85">
        <v>2</v>
      </c>
      <c r="DS85">
        <v>0</v>
      </c>
      <c r="DT85">
        <v>0</v>
      </c>
      <c r="DU85">
        <v>9</v>
      </c>
      <c r="DV85">
        <v>1</v>
      </c>
      <c r="DW85">
        <v>0</v>
      </c>
      <c r="DX85">
        <v>4</v>
      </c>
      <c r="DY85">
        <v>2</v>
      </c>
      <c r="DZ85">
        <v>991</v>
      </c>
      <c r="EA85">
        <v>0.97670000000000001</v>
      </c>
      <c r="EB85">
        <v>0.97706307289952699</v>
      </c>
      <c r="EC85">
        <v>0.97661690980008697</v>
      </c>
      <c r="ED85">
        <v>0.97655991951432297</v>
      </c>
      <c r="EE85">
        <f>SUM(Table1[[#This Row],[ratio_0]:[ratio_9]])</f>
        <v>640</v>
      </c>
      <c r="EF85" s="1">
        <f>(Table1[[#This Row],[predicted_0]]-Table1[[#This Row],[actual_0]])/Table1[[#This Row],[actual_0]]</f>
        <v>-9.1836734693877559E-3</v>
      </c>
      <c r="EG85" s="1">
        <f>(Table1[[#This Row],[predicted_1]]-Table1[[#This Row],[actual_1]])/Table1[[#This Row],[actual_1]]</f>
        <v>1.7621145374449341E-2</v>
      </c>
      <c r="EH85" s="1">
        <f>(Table1[[#This Row],[predicted_2]]-Table1[[#This Row],[actual_2]])/Table1[[#This Row],[actual_2]]</f>
        <v>-7.6550387596899222E-2</v>
      </c>
      <c r="EI85" s="1">
        <f>(Table1[[#This Row],[predicted_3]]-Table1[[#This Row],[actual_3]])/Table1[[#This Row],[actual_3]]</f>
        <v>5.9405940594059407E-3</v>
      </c>
      <c r="EJ85" s="1">
        <f>(Table1[[#This Row],[predicted_4]]-Table1[[#This Row],[actual_4]])/Table1[[#This Row],[actual_4]]</f>
        <v>-1.2219959266802444E-2</v>
      </c>
      <c r="EK85" s="1">
        <f>(Table1[[#This Row],[predicted_5]]-Table1[[#This Row],[actual_5]])/Table1[[#This Row],[actual_5]]</f>
        <v>1.2331838565022421E-2</v>
      </c>
      <c r="EL85" s="1">
        <f>(Table1[[#This Row],[predicted_6]]-Table1[[#This Row],[actual_6]])/Table1[[#This Row],[actual_6]]</f>
        <v>-3.2359081419624215E-2</v>
      </c>
      <c r="EM85" s="1">
        <f>(Table1[[#This Row],[predicted_7]]-Table1[[#This Row],[actual_7]])/Table1[[#This Row],[actual_7]]</f>
        <v>4.1828793774319063E-2</v>
      </c>
      <c r="EN85" s="1">
        <f>(Table1[[#This Row],[predicted_8]]-Table1[[#This Row],[actual_8]])/Table1[[#This Row],[actual_8]]</f>
        <v>4.2094455852156057E-2</v>
      </c>
      <c r="EO85" s="1">
        <f>(Table1[[#This Row],[predicted_9]]-Table1[[#This Row],[actual_9]])/Table1[[#This Row],[actual_9]]</f>
        <v>9.9108027750247768E-3</v>
      </c>
      <c r="EP85" s="1">
        <f>1+(Table1[[#This Row],[error_ratio_0]]-EF$2)</f>
        <v>0.98877551020408161</v>
      </c>
      <c r="EQ85" s="1">
        <f>1+(Table1[[#This Row],[error_ratio_1]]-EG$2)</f>
        <v>1.0158590308370044</v>
      </c>
      <c r="ER85" s="1">
        <f>1+(Table1[[#This Row],[error_ratio_2]]-EH$2)</f>
        <v>0.92829457364341084</v>
      </c>
      <c r="ES85" s="1">
        <f>1+(Table1[[#This Row],[error_ratio_3]]-EI$2)</f>
        <v>0.99603960396039604</v>
      </c>
      <c r="ET85" s="1">
        <f>1+(Table1[[#This Row],[error_ratio_4]]-EJ$2)</f>
        <v>0.98676171079429731</v>
      </c>
      <c r="EU85" s="1">
        <f>1+(Table1[[#This Row],[error_ratio_5]]-EK$2)</f>
        <v>1.0112107623318385</v>
      </c>
      <c r="EV85" s="1">
        <f>1+(Table1[[#This Row],[error_ratio_6]]-EL$2)</f>
        <v>0.97390396659707723</v>
      </c>
      <c r="EW85" s="1">
        <f>1+(Table1[[#This Row],[error_ratio_7]]-EM$2)</f>
        <v>1.0398832684824904</v>
      </c>
      <c r="EX85" s="1">
        <f>1+(Table1[[#This Row],[error_ratio_8]]-EN$2)</f>
        <v>1.0451745379876796</v>
      </c>
      <c r="EY85" s="1">
        <f>1+(Table1[[#This Row],[error_ratio_9]]-EO$2)</f>
        <v>1.0138751238850348</v>
      </c>
    </row>
    <row r="86" spans="1:155" x14ac:dyDescent="0.75">
      <c r="A86">
        <v>100</v>
      </c>
      <c r="B86">
        <v>10</v>
      </c>
      <c r="C86">
        <v>10</v>
      </c>
      <c r="D86">
        <v>100</v>
      </c>
      <c r="E86">
        <v>10</v>
      </c>
      <c r="F86">
        <v>100</v>
      </c>
      <c r="G86">
        <v>10</v>
      </c>
      <c r="H86">
        <v>100</v>
      </c>
      <c r="I86">
        <v>100</v>
      </c>
      <c r="J86">
        <v>100</v>
      </c>
      <c r="K86">
        <v>1006</v>
      </c>
      <c r="L86">
        <v>1117</v>
      </c>
      <c r="M86">
        <v>966</v>
      </c>
      <c r="N86">
        <v>1031</v>
      </c>
      <c r="O86">
        <v>924</v>
      </c>
      <c r="P86">
        <v>935</v>
      </c>
      <c r="Q86">
        <v>908</v>
      </c>
      <c r="R86">
        <v>1035</v>
      </c>
      <c r="S86">
        <v>1024</v>
      </c>
      <c r="T86">
        <v>1054</v>
      </c>
      <c r="U86">
        <v>980</v>
      </c>
      <c r="V86">
        <v>1135</v>
      </c>
      <c r="W86">
        <v>1032</v>
      </c>
      <c r="X86">
        <v>1010</v>
      </c>
      <c r="Y86">
        <v>982</v>
      </c>
      <c r="Z86">
        <v>892</v>
      </c>
      <c r="AA86">
        <v>958</v>
      </c>
      <c r="AB86">
        <v>1028</v>
      </c>
      <c r="AC86">
        <v>974</v>
      </c>
      <c r="AD86">
        <v>1009</v>
      </c>
      <c r="AE86">
        <v>977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1</v>
      </c>
      <c r="AM86">
        <v>2</v>
      </c>
      <c r="AN86">
        <v>0</v>
      </c>
      <c r="AO86">
        <v>0</v>
      </c>
      <c r="AP86">
        <v>1113</v>
      </c>
      <c r="AQ86">
        <v>0</v>
      </c>
      <c r="AR86">
        <v>7</v>
      </c>
      <c r="AS86">
        <v>0</v>
      </c>
      <c r="AT86">
        <v>1</v>
      </c>
      <c r="AU86">
        <v>0</v>
      </c>
      <c r="AV86">
        <v>6</v>
      </c>
      <c r="AW86">
        <v>8</v>
      </c>
      <c r="AX86">
        <v>0</v>
      </c>
      <c r="AY86">
        <v>10</v>
      </c>
      <c r="AZ86">
        <v>0</v>
      </c>
      <c r="BA86">
        <v>959</v>
      </c>
      <c r="BB86">
        <v>18</v>
      </c>
      <c r="BC86">
        <v>0</v>
      </c>
      <c r="BD86">
        <v>0</v>
      </c>
      <c r="BE86">
        <v>1</v>
      </c>
      <c r="BF86">
        <v>14</v>
      </c>
      <c r="BG86">
        <v>29</v>
      </c>
      <c r="BH86">
        <v>1</v>
      </c>
      <c r="BI86">
        <v>2</v>
      </c>
      <c r="BJ86">
        <v>0</v>
      </c>
      <c r="BK86">
        <v>0</v>
      </c>
      <c r="BL86">
        <v>995</v>
      </c>
      <c r="BM86">
        <v>0</v>
      </c>
      <c r="BN86">
        <v>10</v>
      </c>
      <c r="BO86">
        <v>0</v>
      </c>
      <c r="BP86">
        <v>0</v>
      </c>
      <c r="BQ86">
        <v>2</v>
      </c>
      <c r="BR86">
        <v>1</v>
      </c>
      <c r="BS86">
        <v>0</v>
      </c>
      <c r="BT86">
        <v>1</v>
      </c>
      <c r="BU86">
        <v>3</v>
      </c>
      <c r="BV86">
        <v>1</v>
      </c>
      <c r="BW86">
        <v>915</v>
      </c>
      <c r="BX86">
        <v>0</v>
      </c>
      <c r="BY86">
        <v>4</v>
      </c>
      <c r="BZ86">
        <v>2</v>
      </c>
      <c r="CA86">
        <v>9</v>
      </c>
      <c r="CB86">
        <v>47</v>
      </c>
      <c r="CC86">
        <v>2</v>
      </c>
      <c r="CD86">
        <v>0</v>
      </c>
      <c r="CE86">
        <v>0</v>
      </c>
      <c r="CF86">
        <v>3</v>
      </c>
      <c r="CG86">
        <v>0</v>
      </c>
      <c r="CH86">
        <v>887</v>
      </c>
      <c r="CI86">
        <v>0</v>
      </c>
      <c r="CJ86">
        <v>0</v>
      </c>
      <c r="CK86">
        <v>0</v>
      </c>
      <c r="CL86">
        <v>0</v>
      </c>
      <c r="CM86">
        <v>9</v>
      </c>
      <c r="CN86">
        <v>3</v>
      </c>
      <c r="CO86">
        <v>0</v>
      </c>
      <c r="CP86">
        <v>2</v>
      </c>
      <c r="CQ86">
        <v>8</v>
      </c>
      <c r="CR86">
        <v>26</v>
      </c>
      <c r="CS86">
        <v>903</v>
      </c>
      <c r="CT86">
        <v>0</v>
      </c>
      <c r="CU86">
        <v>7</v>
      </c>
      <c r="CV86">
        <v>0</v>
      </c>
      <c r="CW86">
        <v>1</v>
      </c>
      <c r="CX86">
        <v>0</v>
      </c>
      <c r="CY86">
        <v>4</v>
      </c>
      <c r="CZ86">
        <v>4</v>
      </c>
      <c r="DA86">
        <v>0</v>
      </c>
      <c r="DB86">
        <v>0</v>
      </c>
      <c r="DC86">
        <v>0</v>
      </c>
      <c r="DD86">
        <v>1010</v>
      </c>
      <c r="DE86">
        <v>4</v>
      </c>
      <c r="DF86">
        <v>5</v>
      </c>
      <c r="DG86">
        <v>3</v>
      </c>
      <c r="DH86">
        <v>0</v>
      </c>
      <c r="DI86">
        <v>0</v>
      </c>
      <c r="DJ86">
        <v>0</v>
      </c>
      <c r="DK86">
        <v>0</v>
      </c>
      <c r="DL86">
        <v>6</v>
      </c>
      <c r="DM86">
        <v>0</v>
      </c>
      <c r="DN86">
        <v>1</v>
      </c>
      <c r="DO86">
        <v>962</v>
      </c>
      <c r="DP86">
        <v>2</v>
      </c>
      <c r="DQ86">
        <v>2</v>
      </c>
      <c r="DR86">
        <v>0</v>
      </c>
      <c r="DS86">
        <v>0</v>
      </c>
      <c r="DT86">
        <v>1</v>
      </c>
      <c r="DU86">
        <v>1</v>
      </c>
      <c r="DV86">
        <v>5</v>
      </c>
      <c r="DW86">
        <v>0</v>
      </c>
      <c r="DX86">
        <v>1</v>
      </c>
      <c r="DY86">
        <v>1</v>
      </c>
      <c r="DZ86">
        <v>998</v>
      </c>
      <c r="EA86">
        <v>0.97189999999999999</v>
      </c>
      <c r="EB86">
        <v>0.97210118488243302</v>
      </c>
      <c r="EC86">
        <v>0.971999089656152</v>
      </c>
      <c r="ED86">
        <v>0.97159189544928004</v>
      </c>
      <c r="EE86">
        <f>SUM(Table1[[#This Row],[ratio_0]:[ratio_9]])</f>
        <v>640</v>
      </c>
      <c r="EF86" s="1">
        <f>(Table1[[#This Row],[predicted_0]]-Table1[[#This Row],[actual_0]])/Table1[[#This Row],[actual_0]]</f>
        <v>2.6530612244897958E-2</v>
      </c>
      <c r="EG86" s="1">
        <f>(Table1[[#This Row],[predicted_1]]-Table1[[#This Row],[actual_1]])/Table1[[#This Row],[actual_1]]</f>
        <v>-1.5859030837004406E-2</v>
      </c>
      <c r="EH86" s="1">
        <f>(Table1[[#This Row],[predicted_2]]-Table1[[#This Row],[actual_2]])/Table1[[#This Row],[actual_2]]</f>
        <v>-6.3953488372093026E-2</v>
      </c>
      <c r="EI86" s="1">
        <f>(Table1[[#This Row],[predicted_3]]-Table1[[#This Row],[actual_3]])/Table1[[#This Row],[actual_3]]</f>
        <v>2.0792079207920793E-2</v>
      </c>
      <c r="EJ86" s="1">
        <f>(Table1[[#This Row],[predicted_4]]-Table1[[#This Row],[actual_4]])/Table1[[#This Row],[actual_4]]</f>
        <v>-5.9063136456211814E-2</v>
      </c>
      <c r="EK86" s="1">
        <f>(Table1[[#This Row],[predicted_5]]-Table1[[#This Row],[actual_5]])/Table1[[#This Row],[actual_5]]</f>
        <v>4.820627802690583E-2</v>
      </c>
      <c r="EL86" s="1">
        <f>(Table1[[#This Row],[predicted_6]]-Table1[[#This Row],[actual_6]])/Table1[[#This Row],[actual_6]]</f>
        <v>-5.2192066805845511E-2</v>
      </c>
      <c r="EM86" s="1">
        <f>(Table1[[#This Row],[predicted_7]]-Table1[[#This Row],[actual_7]])/Table1[[#This Row],[actual_7]]</f>
        <v>6.8093385214007783E-3</v>
      </c>
      <c r="EN86" s="1">
        <f>(Table1[[#This Row],[predicted_8]]-Table1[[#This Row],[actual_8]])/Table1[[#This Row],[actual_8]]</f>
        <v>5.1334702258726897E-2</v>
      </c>
      <c r="EO86" s="1">
        <f>(Table1[[#This Row],[predicted_9]]-Table1[[#This Row],[actual_9]])/Table1[[#This Row],[actual_9]]</f>
        <v>4.4598612487611496E-2</v>
      </c>
      <c r="EP86" s="1">
        <f>1+(Table1[[#This Row],[error_ratio_0]]-EF$2)</f>
        <v>1.0244897959183674</v>
      </c>
      <c r="EQ86" s="1">
        <f>1+(Table1[[#This Row],[error_ratio_1]]-EG$2)</f>
        <v>0.98237885462555063</v>
      </c>
      <c r="ER86" s="1">
        <f>1+(Table1[[#This Row],[error_ratio_2]]-EH$2)</f>
        <v>0.94089147286821706</v>
      </c>
      <c r="ES86" s="1">
        <f>1+(Table1[[#This Row],[error_ratio_3]]-EI$2)</f>
        <v>1.0108910891089109</v>
      </c>
      <c r="ET86" s="1">
        <f>1+(Table1[[#This Row],[error_ratio_4]]-EJ$2)</f>
        <v>0.93991853360488797</v>
      </c>
      <c r="EU86" s="1">
        <f>1+(Table1[[#This Row],[error_ratio_5]]-EK$2)</f>
        <v>1.047085201793722</v>
      </c>
      <c r="EV86" s="1">
        <f>1+(Table1[[#This Row],[error_ratio_6]]-EL$2)</f>
        <v>0.95407098121085598</v>
      </c>
      <c r="EW86" s="1">
        <f>1+(Table1[[#This Row],[error_ratio_7]]-EM$2)</f>
        <v>1.004863813229572</v>
      </c>
      <c r="EX86" s="1">
        <f>1+(Table1[[#This Row],[error_ratio_8]]-EN$2)</f>
        <v>1.0544147843942504</v>
      </c>
      <c r="EY86" s="1">
        <f>1+(Table1[[#This Row],[error_ratio_9]]-EO$2)</f>
        <v>1.0485629335976214</v>
      </c>
    </row>
    <row r="87" spans="1:155" x14ac:dyDescent="0.75">
      <c r="A87">
        <v>10</v>
      </c>
      <c r="B87">
        <v>10</v>
      </c>
      <c r="C87">
        <v>10</v>
      </c>
      <c r="D87">
        <v>100</v>
      </c>
      <c r="E87">
        <v>10</v>
      </c>
      <c r="F87">
        <v>100</v>
      </c>
      <c r="G87">
        <v>10</v>
      </c>
      <c r="H87">
        <v>100</v>
      </c>
      <c r="I87">
        <v>100</v>
      </c>
      <c r="J87">
        <v>100</v>
      </c>
      <c r="K87">
        <v>956</v>
      </c>
      <c r="L87">
        <v>1124</v>
      </c>
      <c r="M87">
        <v>824</v>
      </c>
      <c r="N87">
        <v>1071</v>
      </c>
      <c r="O87">
        <v>881</v>
      </c>
      <c r="P87">
        <v>906</v>
      </c>
      <c r="Q87">
        <v>945</v>
      </c>
      <c r="R87">
        <v>1107</v>
      </c>
      <c r="S87">
        <v>1072</v>
      </c>
      <c r="T87">
        <v>1114</v>
      </c>
      <c r="U87">
        <v>980</v>
      </c>
      <c r="V87">
        <v>1135</v>
      </c>
      <c r="W87">
        <v>1032</v>
      </c>
      <c r="X87">
        <v>1010</v>
      </c>
      <c r="Y87">
        <v>982</v>
      </c>
      <c r="Z87">
        <v>892</v>
      </c>
      <c r="AA87">
        <v>958</v>
      </c>
      <c r="AB87">
        <v>1028</v>
      </c>
      <c r="AC87">
        <v>974</v>
      </c>
      <c r="AD87">
        <v>1009</v>
      </c>
      <c r="AE87">
        <v>939</v>
      </c>
      <c r="AF87">
        <v>0</v>
      </c>
      <c r="AG87">
        <v>1</v>
      </c>
      <c r="AH87">
        <v>1</v>
      </c>
      <c r="AI87">
        <v>2</v>
      </c>
      <c r="AJ87">
        <v>3</v>
      </c>
      <c r="AK87">
        <v>4</v>
      </c>
      <c r="AL87">
        <v>2</v>
      </c>
      <c r="AM87">
        <v>7</v>
      </c>
      <c r="AN87">
        <v>21</v>
      </c>
      <c r="AO87">
        <v>0</v>
      </c>
      <c r="AP87">
        <v>1118</v>
      </c>
      <c r="AQ87">
        <v>0</v>
      </c>
      <c r="AR87">
        <v>3</v>
      </c>
      <c r="AS87">
        <v>0</v>
      </c>
      <c r="AT87">
        <v>1</v>
      </c>
      <c r="AU87">
        <v>2</v>
      </c>
      <c r="AV87">
        <v>7</v>
      </c>
      <c r="AW87">
        <v>4</v>
      </c>
      <c r="AX87">
        <v>0</v>
      </c>
      <c r="AY87">
        <v>4</v>
      </c>
      <c r="AZ87">
        <v>2</v>
      </c>
      <c r="BA87">
        <v>822</v>
      </c>
      <c r="BB87">
        <v>55</v>
      </c>
      <c r="BC87">
        <v>6</v>
      </c>
      <c r="BD87">
        <v>3</v>
      </c>
      <c r="BE87">
        <v>3</v>
      </c>
      <c r="BF87">
        <v>58</v>
      </c>
      <c r="BG87">
        <v>79</v>
      </c>
      <c r="BH87">
        <v>0</v>
      </c>
      <c r="BI87">
        <v>0</v>
      </c>
      <c r="BJ87">
        <v>0</v>
      </c>
      <c r="BK87">
        <v>0</v>
      </c>
      <c r="BL87">
        <v>1003</v>
      </c>
      <c r="BM87">
        <v>0</v>
      </c>
      <c r="BN87">
        <v>3</v>
      </c>
      <c r="BO87">
        <v>0</v>
      </c>
      <c r="BP87">
        <v>3</v>
      </c>
      <c r="BQ87">
        <v>0</v>
      </c>
      <c r="BR87">
        <v>1</v>
      </c>
      <c r="BS87">
        <v>0</v>
      </c>
      <c r="BT87">
        <v>1</v>
      </c>
      <c r="BU87">
        <v>0</v>
      </c>
      <c r="BV87">
        <v>0</v>
      </c>
      <c r="BW87">
        <v>872</v>
      </c>
      <c r="BX87">
        <v>0</v>
      </c>
      <c r="BY87">
        <v>6</v>
      </c>
      <c r="BZ87">
        <v>5</v>
      </c>
      <c r="CA87">
        <v>7</v>
      </c>
      <c r="CB87">
        <v>91</v>
      </c>
      <c r="CC87">
        <v>1</v>
      </c>
      <c r="CD87">
        <v>0</v>
      </c>
      <c r="CE87">
        <v>0</v>
      </c>
      <c r="CF87">
        <v>4</v>
      </c>
      <c r="CG87">
        <v>0</v>
      </c>
      <c r="CH87">
        <v>883</v>
      </c>
      <c r="CI87">
        <v>0</v>
      </c>
      <c r="CJ87">
        <v>1</v>
      </c>
      <c r="CK87">
        <v>1</v>
      </c>
      <c r="CL87">
        <v>2</v>
      </c>
      <c r="CM87">
        <v>10</v>
      </c>
      <c r="CN87">
        <v>3</v>
      </c>
      <c r="CO87">
        <v>0</v>
      </c>
      <c r="CP87">
        <v>0</v>
      </c>
      <c r="CQ87">
        <v>1</v>
      </c>
      <c r="CR87">
        <v>10</v>
      </c>
      <c r="CS87">
        <v>929</v>
      </c>
      <c r="CT87">
        <v>0</v>
      </c>
      <c r="CU87">
        <v>2</v>
      </c>
      <c r="CV87">
        <v>3</v>
      </c>
      <c r="CW87">
        <v>0</v>
      </c>
      <c r="CX87">
        <v>0</v>
      </c>
      <c r="CY87">
        <v>1</v>
      </c>
      <c r="CZ87">
        <v>2</v>
      </c>
      <c r="DA87">
        <v>0</v>
      </c>
      <c r="DB87">
        <v>0</v>
      </c>
      <c r="DC87">
        <v>0</v>
      </c>
      <c r="DD87">
        <v>1017</v>
      </c>
      <c r="DE87">
        <v>5</v>
      </c>
      <c r="DF87">
        <v>3</v>
      </c>
      <c r="DG87">
        <v>1</v>
      </c>
      <c r="DH87">
        <v>0</v>
      </c>
      <c r="DI87">
        <v>0</v>
      </c>
      <c r="DJ87">
        <v>1</v>
      </c>
      <c r="DK87">
        <v>0</v>
      </c>
      <c r="DL87">
        <v>2</v>
      </c>
      <c r="DM87">
        <v>1</v>
      </c>
      <c r="DN87">
        <v>5</v>
      </c>
      <c r="DO87">
        <v>961</v>
      </c>
      <c r="DP87">
        <v>3</v>
      </c>
      <c r="DQ87">
        <v>1</v>
      </c>
      <c r="DR87">
        <v>0</v>
      </c>
      <c r="DS87">
        <v>0</v>
      </c>
      <c r="DT87">
        <v>2</v>
      </c>
      <c r="DU87">
        <v>0</v>
      </c>
      <c r="DV87">
        <v>1</v>
      </c>
      <c r="DW87">
        <v>0</v>
      </c>
      <c r="DX87">
        <v>9</v>
      </c>
      <c r="DY87">
        <v>6</v>
      </c>
      <c r="DZ87">
        <v>990</v>
      </c>
      <c r="EA87">
        <v>0.95340000000000003</v>
      </c>
      <c r="EB87">
        <v>0.95622708709695603</v>
      </c>
      <c r="EC87">
        <v>0.95375109114855605</v>
      </c>
      <c r="ED87">
        <v>0.95290050619412803</v>
      </c>
      <c r="EE87">
        <f>SUM(Table1[[#This Row],[ratio_0]:[ratio_9]])</f>
        <v>550</v>
      </c>
      <c r="EF87" s="1">
        <f>(Table1[[#This Row],[predicted_0]]-Table1[[#This Row],[actual_0]])/Table1[[#This Row],[actual_0]]</f>
        <v>-2.4489795918367346E-2</v>
      </c>
      <c r="EG87" s="1">
        <f>(Table1[[#This Row],[predicted_1]]-Table1[[#This Row],[actual_1]])/Table1[[#This Row],[actual_1]]</f>
        <v>-9.6916299559471359E-3</v>
      </c>
      <c r="EH87" s="1">
        <f>(Table1[[#This Row],[predicted_2]]-Table1[[#This Row],[actual_2]])/Table1[[#This Row],[actual_2]]</f>
        <v>-0.20155038759689922</v>
      </c>
      <c r="EI87" s="1">
        <f>(Table1[[#This Row],[predicted_3]]-Table1[[#This Row],[actual_3]])/Table1[[#This Row],[actual_3]]</f>
        <v>6.0396039603960394E-2</v>
      </c>
      <c r="EJ87" s="1">
        <f>(Table1[[#This Row],[predicted_4]]-Table1[[#This Row],[actual_4]])/Table1[[#This Row],[actual_4]]</f>
        <v>-0.10285132382892057</v>
      </c>
      <c r="EK87" s="1">
        <f>(Table1[[#This Row],[predicted_5]]-Table1[[#This Row],[actual_5]])/Table1[[#This Row],[actual_5]]</f>
        <v>1.5695067264573991E-2</v>
      </c>
      <c r="EL87" s="1">
        <f>(Table1[[#This Row],[predicted_6]]-Table1[[#This Row],[actual_6]])/Table1[[#This Row],[actual_6]]</f>
        <v>-1.3569937369519834E-2</v>
      </c>
      <c r="EM87" s="1">
        <f>(Table1[[#This Row],[predicted_7]]-Table1[[#This Row],[actual_7]])/Table1[[#This Row],[actual_7]]</f>
        <v>7.6848249027237359E-2</v>
      </c>
      <c r="EN87" s="1">
        <f>(Table1[[#This Row],[predicted_8]]-Table1[[#This Row],[actual_8]])/Table1[[#This Row],[actual_8]]</f>
        <v>0.10061601642710473</v>
      </c>
      <c r="EO87" s="1">
        <f>(Table1[[#This Row],[predicted_9]]-Table1[[#This Row],[actual_9]])/Table1[[#This Row],[actual_9]]</f>
        <v>0.10406342913776016</v>
      </c>
      <c r="EP87" s="1">
        <f>1+(Table1[[#This Row],[error_ratio_0]]-EF$2)</f>
        <v>0.97346938775510206</v>
      </c>
      <c r="EQ87" s="1">
        <f>1+(Table1[[#This Row],[error_ratio_1]]-EG$2)</f>
        <v>0.98854625550660791</v>
      </c>
      <c r="ER87" s="1">
        <f>1+(Table1[[#This Row],[error_ratio_2]]-EH$2)</f>
        <v>0.80329457364341084</v>
      </c>
      <c r="ES87" s="1">
        <f>1+(Table1[[#This Row],[error_ratio_3]]-EI$2)</f>
        <v>1.0504950495049505</v>
      </c>
      <c r="ET87" s="1">
        <f>1+(Table1[[#This Row],[error_ratio_4]]-EJ$2)</f>
        <v>0.89613034623217924</v>
      </c>
      <c r="EU87" s="1">
        <f>1+(Table1[[#This Row],[error_ratio_5]]-EK$2)</f>
        <v>1.0145739910313902</v>
      </c>
      <c r="EV87" s="1">
        <f>1+(Table1[[#This Row],[error_ratio_6]]-EL$2)</f>
        <v>0.99269311064718158</v>
      </c>
      <c r="EW87" s="1">
        <f>1+(Table1[[#This Row],[error_ratio_7]]-EM$2)</f>
        <v>1.0749027237354085</v>
      </c>
      <c r="EX87" s="1">
        <f>1+(Table1[[#This Row],[error_ratio_8]]-EN$2)</f>
        <v>1.1036960985626283</v>
      </c>
      <c r="EY87" s="1">
        <f>1+(Table1[[#This Row],[error_ratio_9]]-EO$2)</f>
        <v>1.10802775024777</v>
      </c>
    </row>
    <row r="88" spans="1:155" x14ac:dyDescent="0.75">
      <c r="A88">
        <v>100</v>
      </c>
      <c r="B88">
        <v>100</v>
      </c>
      <c r="C88">
        <v>100</v>
      </c>
      <c r="D88">
        <v>10</v>
      </c>
      <c r="E88">
        <v>10</v>
      </c>
      <c r="F88">
        <v>100</v>
      </c>
      <c r="G88">
        <v>10</v>
      </c>
      <c r="H88">
        <v>100</v>
      </c>
      <c r="I88">
        <v>100</v>
      </c>
      <c r="J88">
        <v>100</v>
      </c>
      <c r="K88">
        <v>1012</v>
      </c>
      <c r="L88">
        <v>1154</v>
      </c>
      <c r="M88">
        <v>1050</v>
      </c>
      <c r="N88">
        <v>965</v>
      </c>
      <c r="O88">
        <v>961</v>
      </c>
      <c r="P88">
        <v>923</v>
      </c>
      <c r="Q88">
        <v>909</v>
      </c>
      <c r="R88">
        <v>961</v>
      </c>
      <c r="S88">
        <v>957</v>
      </c>
      <c r="T88">
        <v>1108</v>
      </c>
      <c r="U88">
        <v>980</v>
      </c>
      <c r="V88">
        <v>1135</v>
      </c>
      <c r="W88">
        <v>1032</v>
      </c>
      <c r="X88">
        <v>1010</v>
      </c>
      <c r="Y88">
        <v>982</v>
      </c>
      <c r="Z88">
        <v>892</v>
      </c>
      <c r="AA88">
        <v>958</v>
      </c>
      <c r="AB88">
        <v>1028</v>
      </c>
      <c r="AC88">
        <v>974</v>
      </c>
      <c r="AD88">
        <v>1009</v>
      </c>
      <c r="AE88">
        <v>976</v>
      </c>
      <c r="AF88">
        <v>1</v>
      </c>
      <c r="AG88">
        <v>0</v>
      </c>
      <c r="AH88">
        <v>0</v>
      </c>
      <c r="AI88">
        <v>0</v>
      </c>
      <c r="AJ88">
        <v>1</v>
      </c>
      <c r="AK88">
        <v>0</v>
      </c>
      <c r="AL88">
        <v>0</v>
      </c>
      <c r="AM88">
        <v>0</v>
      </c>
      <c r="AN88">
        <v>2</v>
      </c>
      <c r="AO88">
        <v>0</v>
      </c>
      <c r="AP88">
        <v>1134</v>
      </c>
      <c r="AQ88">
        <v>0</v>
      </c>
      <c r="AR88">
        <v>1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1</v>
      </c>
      <c r="AZ88">
        <v>5</v>
      </c>
      <c r="BA88">
        <v>1019</v>
      </c>
      <c r="BB88">
        <v>1</v>
      </c>
      <c r="BC88">
        <v>0</v>
      </c>
      <c r="BD88">
        <v>0</v>
      </c>
      <c r="BE88">
        <v>0</v>
      </c>
      <c r="BF88">
        <v>4</v>
      </c>
      <c r="BG88">
        <v>1</v>
      </c>
      <c r="BH88">
        <v>1</v>
      </c>
      <c r="BI88">
        <v>1</v>
      </c>
      <c r="BJ88">
        <v>0</v>
      </c>
      <c r="BK88">
        <v>10</v>
      </c>
      <c r="BL88">
        <v>958</v>
      </c>
      <c r="BM88">
        <v>0</v>
      </c>
      <c r="BN88">
        <v>17</v>
      </c>
      <c r="BO88">
        <v>0</v>
      </c>
      <c r="BP88">
        <v>3</v>
      </c>
      <c r="BQ88">
        <v>3</v>
      </c>
      <c r="BR88">
        <v>18</v>
      </c>
      <c r="BS88">
        <v>1</v>
      </c>
      <c r="BT88">
        <v>2</v>
      </c>
      <c r="BU88">
        <v>4</v>
      </c>
      <c r="BV88">
        <v>0</v>
      </c>
      <c r="BW88">
        <v>953</v>
      </c>
      <c r="BX88">
        <v>0</v>
      </c>
      <c r="BY88">
        <v>4</v>
      </c>
      <c r="BZ88">
        <v>1</v>
      </c>
      <c r="CA88">
        <v>1</v>
      </c>
      <c r="CB88">
        <v>16</v>
      </c>
      <c r="CC88">
        <v>2</v>
      </c>
      <c r="CD88">
        <v>0</v>
      </c>
      <c r="CE88">
        <v>0</v>
      </c>
      <c r="CF88">
        <v>4</v>
      </c>
      <c r="CG88">
        <v>0</v>
      </c>
      <c r="CH88">
        <v>883</v>
      </c>
      <c r="CI88">
        <v>1</v>
      </c>
      <c r="CJ88">
        <v>0</v>
      </c>
      <c r="CK88">
        <v>0</v>
      </c>
      <c r="CL88">
        <v>2</v>
      </c>
      <c r="CM88">
        <v>24</v>
      </c>
      <c r="CN88">
        <v>6</v>
      </c>
      <c r="CO88">
        <v>3</v>
      </c>
      <c r="CP88">
        <v>0</v>
      </c>
      <c r="CQ88">
        <v>4</v>
      </c>
      <c r="CR88">
        <v>14</v>
      </c>
      <c r="CS88">
        <v>904</v>
      </c>
      <c r="CT88">
        <v>0</v>
      </c>
      <c r="CU88">
        <v>3</v>
      </c>
      <c r="CV88">
        <v>0</v>
      </c>
      <c r="CW88">
        <v>2</v>
      </c>
      <c r="CX88">
        <v>4</v>
      </c>
      <c r="CY88">
        <v>11</v>
      </c>
      <c r="CZ88">
        <v>1</v>
      </c>
      <c r="DA88">
        <v>0</v>
      </c>
      <c r="DB88">
        <v>1</v>
      </c>
      <c r="DC88">
        <v>0</v>
      </c>
      <c r="DD88">
        <v>953</v>
      </c>
      <c r="DE88">
        <v>0</v>
      </c>
      <c r="DF88">
        <v>56</v>
      </c>
      <c r="DG88">
        <v>5</v>
      </c>
      <c r="DH88">
        <v>0</v>
      </c>
      <c r="DI88">
        <v>3</v>
      </c>
      <c r="DJ88">
        <v>0</v>
      </c>
      <c r="DK88">
        <v>1</v>
      </c>
      <c r="DL88">
        <v>3</v>
      </c>
      <c r="DM88">
        <v>0</v>
      </c>
      <c r="DN88">
        <v>0</v>
      </c>
      <c r="DO88">
        <v>949</v>
      </c>
      <c r="DP88">
        <v>13</v>
      </c>
      <c r="DQ88">
        <v>0</v>
      </c>
      <c r="DR88">
        <v>2</v>
      </c>
      <c r="DS88">
        <v>0</v>
      </c>
      <c r="DT88">
        <v>0</v>
      </c>
      <c r="DU88">
        <v>3</v>
      </c>
      <c r="DV88">
        <v>4</v>
      </c>
      <c r="DW88">
        <v>0</v>
      </c>
      <c r="DX88">
        <v>0</v>
      </c>
      <c r="DY88">
        <v>0</v>
      </c>
      <c r="DZ88">
        <v>1000</v>
      </c>
      <c r="EA88">
        <v>0.97289999999999999</v>
      </c>
      <c r="EB88">
        <v>0.97389989601611704</v>
      </c>
      <c r="EC88">
        <v>0.97274223037910201</v>
      </c>
      <c r="ED88">
        <v>0.97280109709442397</v>
      </c>
      <c r="EE88">
        <f>SUM(Table1[[#This Row],[ratio_0]:[ratio_9]])</f>
        <v>730</v>
      </c>
      <c r="EF88" s="1">
        <f>(Table1[[#This Row],[predicted_0]]-Table1[[#This Row],[actual_0]])/Table1[[#This Row],[actual_0]]</f>
        <v>3.2653061224489799E-2</v>
      </c>
      <c r="EG88" s="1">
        <f>(Table1[[#This Row],[predicted_1]]-Table1[[#This Row],[actual_1]])/Table1[[#This Row],[actual_1]]</f>
        <v>1.6740088105726872E-2</v>
      </c>
      <c r="EH88" s="1">
        <f>(Table1[[#This Row],[predicted_2]]-Table1[[#This Row],[actual_2]])/Table1[[#This Row],[actual_2]]</f>
        <v>1.7441860465116279E-2</v>
      </c>
      <c r="EI88" s="1">
        <f>(Table1[[#This Row],[predicted_3]]-Table1[[#This Row],[actual_3]])/Table1[[#This Row],[actual_3]]</f>
        <v>-4.4554455445544552E-2</v>
      </c>
      <c r="EJ88" s="1">
        <f>(Table1[[#This Row],[predicted_4]]-Table1[[#This Row],[actual_4]])/Table1[[#This Row],[actual_4]]</f>
        <v>-2.1384928716904276E-2</v>
      </c>
      <c r="EK88" s="1">
        <f>(Table1[[#This Row],[predicted_5]]-Table1[[#This Row],[actual_5]])/Table1[[#This Row],[actual_5]]</f>
        <v>3.4753363228699555E-2</v>
      </c>
      <c r="EL88" s="1">
        <f>(Table1[[#This Row],[predicted_6]]-Table1[[#This Row],[actual_6]])/Table1[[#This Row],[actual_6]]</f>
        <v>-5.1148225469728602E-2</v>
      </c>
      <c r="EM88" s="1">
        <f>(Table1[[#This Row],[predicted_7]]-Table1[[#This Row],[actual_7]])/Table1[[#This Row],[actual_7]]</f>
        <v>-6.5175097276264596E-2</v>
      </c>
      <c r="EN88" s="1">
        <f>(Table1[[#This Row],[predicted_8]]-Table1[[#This Row],[actual_8]])/Table1[[#This Row],[actual_8]]</f>
        <v>-1.7453798767967144E-2</v>
      </c>
      <c r="EO88" s="1">
        <f>(Table1[[#This Row],[predicted_9]]-Table1[[#This Row],[actual_9]])/Table1[[#This Row],[actual_9]]</f>
        <v>9.8116947472745297E-2</v>
      </c>
      <c r="EP88" s="1">
        <f>1+(Table1[[#This Row],[error_ratio_0]]-EF$2)</f>
        <v>1.0306122448979591</v>
      </c>
      <c r="EQ88" s="1">
        <f>1+(Table1[[#This Row],[error_ratio_1]]-EG$2)</f>
        <v>1.014977973568282</v>
      </c>
      <c r="ER88" s="1">
        <f>1+(Table1[[#This Row],[error_ratio_2]]-EH$2)</f>
        <v>1.0222868217054264</v>
      </c>
      <c r="ES88" s="1">
        <f>1+(Table1[[#This Row],[error_ratio_3]]-EI$2)</f>
        <v>0.9455445544554455</v>
      </c>
      <c r="ET88" s="1">
        <f>1+(Table1[[#This Row],[error_ratio_4]]-EJ$2)</f>
        <v>0.9775967413441955</v>
      </c>
      <c r="EU88" s="1">
        <f>1+(Table1[[#This Row],[error_ratio_5]]-EK$2)</f>
        <v>1.0336322869955157</v>
      </c>
      <c r="EV88" s="1">
        <f>1+(Table1[[#This Row],[error_ratio_6]]-EL$2)</f>
        <v>0.95511482254697289</v>
      </c>
      <c r="EW88" s="1">
        <f>1+(Table1[[#This Row],[error_ratio_7]]-EM$2)</f>
        <v>0.93287937743190663</v>
      </c>
      <c r="EX88" s="1">
        <f>1+(Table1[[#This Row],[error_ratio_8]]-EN$2)</f>
        <v>0.98562628336755642</v>
      </c>
      <c r="EY88" s="1">
        <f>1+(Table1[[#This Row],[error_ratio_9]]-EO$2)</f>
        <v>1.1020812685827552</v>
      </c>
    </row>
    <row r="89" spans="1:155" x14ac:dyDescent="0.75">
      <c r="A89">
        <v>10</v>
      </c>
      <c r="B89">
        <v>100</v>
      </c>
      <c r="C89">
        <v>100</v>
      </c>
      <c r="D89">
        <v>10</v>
      </c>
      <c r="E89">
        <v>10</v>
      </c>
      <c r="F89">
        <v>100</v>
      </c>
      <c r="G89">
        <v>10</v>
      </c>
      <c r="H89">
        <v>100</v>
      </c>
      <c r="I89">
        <v>100</v>
      </c>
      <c r="J89">
        <v>100</v>
      </c>
      <c r="K89">
        <v>958</v>
      </c>
      <c r="L89">
        <v>1141</v>
      </c>
      <c r="M89">
        <v>1050</v>
      </c>
      <c r="N89">
        <v>954</v>
      </c>
      <c r="O89">
        <v>879</v>
      </c>
      <c r="P89">
        <v>941</v>
      </c>
      <c r="Q89">
        <v>920</v>
      </c>
      <c r="R89">
        <v>1037</v>
      </c>
      <c r="S89">
        <v>1000</v>
      </c>
      <c r="T89">
        <v>1120</v>
      </c>
      <c r="U89">
        <v>980</v>
      </c>
      <c r="V89">
        <v>1135</v>
      </c>
      <c r="W89">
        <v>1032</v>
      </c>
      <c r="X89">
        <v>1010</v>
      </c>
      <c r="Y89">
        <v>982</v>
      </c>
      <c r="Z89">
        <v>892</v>
      </c>
      <c r="AA89">
        <v>958</v>
      </c>
      <c r="AB89">
        <v>1028</v>
      </c>
      <c r="AC89">
        <v>974</v>
      </c>
      <c r="AD89">
        <v>1009</v>
      </c>
      <c r="AE89">
        <v>945</v>
      </c>
      <c r="AF89">
        <v>1</v>
      </c>
      <c r="AG89">
        <v>3</v>
      </c>
      <c r="AH89">
        <v>0</v>
      </c>
      <c r="AI89">
        <v>0</v>
      </c>
      <c r="AJ89">
        <v>6</v>
      </c>
      <c r="AK89">
        <v>0</v>
      </c>
      <c r="AL89">
        <v>3</v>
      </c>
      <c r="AM89">
        <v>7</v>
      </c>
      <c r="AN89">
        <v>15</v>
      </c>
      <c r="AO89">
        <v>0</v>
      </c>
      <c r="AP89">
        <v>1128</v>
      </c>
      <c r="AQ89">
        <v>0</v>
      </c>
      <c r="AR89">
        <v>1</v>
      </c>
      <c r="AS89">
        <v>0</v>
      </c>
      <c r="AT89">
        <v>2</v>
      </c>
      <c r="AU89">
        <v>0</v>
      </c>
      <c r="AV89">
        <v>4</v>
      </c>
      <c r="AW89">
        <v>0</v>
      </c>
      <c r="AX89">
        <v>0</v>
      </c>
      <c r="AY89">
        <v>0</v>
      </c>
      <c r="AZ89">
        <v>1</v>
      </c>
      <c r="BA89">
        <v>1023</v>
      </c>
      <c r="BB89">
        <v>0</v>
      </c>
      <c r="BC89">
        <v>0</v>
      </c>
      <c r="BD89">
        <v>0</v>
      </c>
      <c r="BE89">
        <v>0</v>
      </c>
      <c r="BF89">
        <v>4</v>
      </c>
      <c r="BG89">
        <v>3</v>
      </c>
      <c r="BH89">
        <v>1</v>
      </c>
      <c r="BI89">
        <v>0</v>
      </c>
      <c r="BJ89">
        <v>0</v>
      </c>
      <c r="BK89">
        <v>7</v>
      </c>
      <c r="BL89">
        <v>952</v>
      </c>
      <c r="BM89">
        <v>0</v>
      </c>
      <c r="BN89">
        <v>28</v>
      </c>
      <c r="BO89">
        <v>0</v>
      </c>
      <c r="BP89">
        <v>6</v>
      </c>
      <c r="BQ89">
        <v>5</v>
      </c>
      <c r="BR89">
        <v>12</v>
      </c>
      <c r="BS89">
        <v>0</v>
      </c>
      <c r="BT89">
        <v>3</v>
      </c>
      <c r="BU89">
        <v>5</v>
      </c>
      <c r="BV89">
        <v>0</v>
      </c>
      <c r="BW89">
        <v>877</v>
      </c>
      <c r="BX89">
        <v>0</v>
      </c>
      <c r="BY89">
        <v>8</v>
      </c>
      <c r="BZ89">
        <v>5</v>
      </c>
      <c r="CA89">
        <v>6</v>
      </c>
      <c r="CB89">
        <v>78</v>
      </c>
      <c r="CC89">
        <v>0</v>
      </c>
      <c r="CD89">
        <v>0</v>
      </c>
      <c r="CE89">
        <v>1</v>
      </c>
      <c r="CF89">
        <v>0</v>
      </c>
      <c r="CG89">
        <v>0</v>
      </c>
      <c r="CH89">
        <v>881</v>
      </c>
      <c r="CI89">
        <v>1</v>
      </c>
      <c r="CJ89">
        <v>1</v>
      </c>
      <c r="CK89">
        <v>3</v>
      </c>
      <c r="CL89">
        <v>5</v>
      </c>
      <c r="CM89">
        <v>10</v>
      </c>
      <c r="CN89">
        <v>6</v>
      </c>
      <c r="CO89">
        <v>1</v>
      </c>
      <c r="CP89">
        <v>0</v>
      </c>
      <c r="CQ89">
        <v>2</v>
      </c>
      <c r="CR89">
        <v>21</v>
      </c>
      <c r="CS89">
        <v>911</v>
      </c>
      <c r="CT89">
        <v>0</v>
      </c>
      <c r="CU89">
        <v>7</v>
      </c>
      <c r="CV89">
        <v>0</v>
      </c>
      <c r="CW89">
        <v>1</v>
      </c>
      <c r="CX89">
        <v>2</v>
      </c>
      <c r="CY89">
        <v>7</v>
      </c>
      <c r="CZ89">
        <v>0</v>
      </c>
      <c r="DA89">
        <v>0</v>
      </c>
      <c r="DB89">
        <v>1</v>
      </c>
      <c r="DC89">
        <v>0</v>
      </c>
      <c r="DD89">
        <v>1011</v>
      </c>
      <c r="DE89">
        <v>0</v>
      </c>
      <c r="DF89">
        <v>6</v>
      </c>
      <c r="DG89">
        <v>1</v>
      </c>
      <c r="DH89">
        <v>0</v>
      </c>
      <c r="DI89">
        <v>2</v>
      </c>
      <c r="DJ89">
        <v>0</v>
      </c>
      <c r="DK89">
        <v>0</v>
      </c>
      <c r="DL89">
        <v>1</v>
      </c>
      <c r="DM89">
        <v>0</v>
      </c>
      <c r="DN89">
        <v>1</v>
      </c>
      <c r="DO89">
        <v>967</v>
      </c>
      <c r="DP89">
        <v>2</v>
      </c>
      <c r="DQ89">
        <v>1</v>
      </c>
      <c r="DR89">
        <v>0</v>
      </c>
      <c r="DS89">
        <v>1</v>
      </c>
      <c r="DT89">
        <v>1</v>
      </c>
      <c r="DU89">
        <v>0</v>
      </c>
      <c r="DV89">
        <v>1</v>
      </c>
      <c r="DW89">
        <v>0</v>
      </c>
      <c r="DX89">
        <v>2</v>
      </c>
      <c r="DY89">
        <v>2</v>
      </c>
      <c r="DZ89">
        <v>1001</v>
      </c>
      <c r="EA89">
        <v>0.96960000000000002</v>
      </c>
      <c r="EB89">
        <v>0.970708362546712</v>
      </c>
      <c r="EC89">
        <v>0.96920021501340103</v>
      </c>
      <c r="ED89">
        <v>0.96918155578494602</v>
      </c>
      <c r="EE89">
        <f>SUM(Table1[[#This Row],[ratio_0]:[ratio_9]])</f>
        <v>640</v>
      </c>
      <c r="EF89" s="1">
        <f>(Table1[[#This Row],[predicted_0]]-Table1[[#This Row],[actual_0]])/Table1[[#This Row],[actual_0]]</f>
        <v>-2.2448979591836733E-2</v>
      </c>
      <c r="EG89" s="1">
        <f>(Table1[[#This Row],[predicted_1]]-Table1[[#This Row],[actual_1]])/Table1[[#This Row],[actual_1]]</f>
        <v>5.2863436123348016E-3</v>
      </c>
      <c r="EH89" s="1">
        <f>(Table1[[#This Row],[predicted_2]]-Table1[[#This Row],[actual_2]])/Table1[[#This Row],[actual_2]]</f>
        <v>1.7441860465116279E-2</v>
      </c>
      <c r="EI89" s="1">
        <f>(Table1[[#This Row],[predicted_3]]-Table1[[#This Row],[actual_3]])/Table1[[#This Row],[actual_3]]</f>
        <v>-5.5445544554455446E-2</v>
      </c>
      <c r="EJ89" s="1">
        <f>(Table1[[#This Row],[predicted_4]]-Table1[[#This Row],[actual_4]])/Table1[[#This Row],[actual_4]]</f>
        <v>-0.10488798370672098</v>
      </c>
      <c r="EK89" s="1">
        <f>(Table1[[#This Row],[predicted_5]]-Table1[[#This Row],[actual_5]])/Table1[[#This Row],[actual_5]]</f>
        <v>5.4932735426008968E-2</v>
      </c>
      <c r="EL89" s="1">
        <f>(Table1[[#This Row],[predicted_6]]-Table1[[#This Row],[actual_6]])/Table1[[#This Row],[actual_6]]</f>
        <v>-3.9665970772442591E-2</v>
      </c>
      <c r="EM89" s="1">
        <f>(Table1[[#This Row],[predicted_7]]-Table1[[#This Row],[actual_7]])/Table1[[#This Row],[actual_7]]</f>
        <v>8.7548638132295721E-3</v>
      </c>
      <c r="EN89" s="1">
        <f>(Table1[[#This Row],[predicted_8]]-Table1[[#This Row],[actual_8]])/Table1[[#This Row],[actual_8]]</f>
        <v>2.6694045174537988E-2</v>
      </c>
      <c r="EO89" s="1">
        <f>(Table1[[#This Row],[predicted_9]]-Table1[[#This Row],[actual_9]])/Table1[[#This Row],[actual_9]]</f>
        <v>0.11000991080277503</v>
      </c>
      <c r="EP89" s="1">
        <f>1+(Table1[[#This Row],[error_ratio_0]]-EF$2)</f>
        <v>0.97551020408163269</v>
      </c>
      <c r="EQ89" s="1">
        <f>1+(Table1[[#This Row],[error_ratio_1]]-EG$2)</f>
        <v>1.0035242290748898</v>
      </c>
      <c r="ER89" s="1">
        <f>1+(Table1[[#This Row],[error_ratio_2]]-EH$2)</f>
        <v>1.0222868217054264</v>
      </c>
      <c r="ES89" s="1">
        <f>1+(Table1[[#This Row],[error_ratio_3]]-EI$2)</f>
        <v>0.9346534653465346</v>
      </c>
      <c r="ET89" s="1">
        <f>1+(Table1[[#This Row],[error_ratio_4]]-EJ$2)</f>
        <v>0.8940936863543788</v>
      </c>
      <c r="EU89" s="1">
        <f>1+(Table1[[#This Row],[error_ratio_5]]-EK$2)</f>
        <v>1.053811659192825</v>
      </c>
      <c r="EV89" s="1">
        <f>1+(Table1[[#This Row],[error_ratio_6]]-EL$2)</f>
        <v>0.96659707724425892</v>
      </c>
      <c r="EW89" s="1">
        <f>1+(Table1[[#This Row],[error_ratio_7]]-EM$2)</f>
        <v>1.0068093385214008</v>
      </c>
      <c r="EX89" s="1">
        <f>1+(Table1[[#This Row],[error_ratio_8]]-EN$2)</f>
        <v>1.0297741273100616</v>
      </c>
      <c r="EY89" s="1">
        <f>1+(Table1[[#This Row],[error_ratio_9]]-EO$2)</f>
        <v>1.113974231912785</v>
      </c>
    </row>
    <row r="90" spans="1:155" x14ac:dyDescent="0.75">
      <c r="A90">
        <v>100</v>
      </c>
      <c r="B90">
        <v>10</v>
      </c>
      <c r="C90">
        <v>100</v>
      </c>
      <c r="D90">
        <v>10</v>
      </c>
      <c r="E90">
        <v>10</v>
      </c>
      <c r="F90">
        <v>100</v>
      </c>
      <c r="G90">
        <v>10</v>
      </c>
      <c r="H90">
        <v>100</v>
      </c>
      <c r="I90">
        <v>100</v>
      </c>
      <c r="J90">
        <v>100</v>
      </c>
      <c r="K90">
        <v>988</v>
      </c>
      <c r="L90">
        <v>1097</v>
      </c>
      <c r="M90">
        <v>1063</v>
      </c>
      <c r="N90">
        <v>954</v>
      </c>
      <c r="O90">
        <v>972</v>
      </c>
      <c r="P90">
        <v>908</v>
      </c>
      <c r="Q90">
        <v>943</v>
      </c>
      <c r="R90">
        <v>1061</v>
      </c>
      <c r="S90">
        <v>1013</v>
      </c>
      <c r="T90">
        <v>1001</v>
      </c>
      <c r="U90">
        <v>980</v>
      </c>
      <c r="V90">
        <v>1135</v>
      </c>
      <c r="W90">
        <v>1032</v>
      </c>
      <c r="X90">
        <v>1010</v>
      </c>
      <c r="Y90">
        <v>982</v>
      </c>
      <c r="Z90">
        <v>892</v>
      </c>
      <c r="AA90">
        <v>958</v>
      </c>
      <c r="AB90">
        <v>1028</v>
      </c>
      <c r="AC90">
        <v>974</v>
      </c>
      <c r="AD90">
        <v>1009</v>
      </c>
      <c r="AE90">
        <v>971</v>
      </c>
      <c r="AF90">
        <v>0</v>
      </c>
      <c r="AG90">
        <v>2</v>
      </c>
      <c r="AH90">
        <v>1</v>
      </c>
      <c r="AI90">
        <v>0</v>
      </c>
      <c r="AJ90">
        <v>0</v>
      </c>
      <c r="AK90">
        <v>2</v>
      </c>
      <c r="AL90">
        <v>3</v>
      </c>
      <c r="AM90">
        <v>1</v>
      </c>
      <c r="AN90">
        <v>0</v>
      </c>
      <c r="AO90">
        <v>0</v>
      </c>
      <c r="AP90">
        <v>1095</v>
      </c>
      <c r="AQ90">
        <v>4</v>
      </c>
      <c r="AR90">
        <v>2</v>
      </c>
      <c r="AS90">
        <v>0</v>
      </c>
      <c r="AT90">
        <v>1</v>
      </c>
      <c r="AU90">
        <v>3</v>
      </c>
      <c r="AV90">
        <v>12</v>
      </c>
      <c r="AW90">
        <v>18</v>
      </c>
      <c r="AX90">
        <v>0</v>
      </c>
      <c r="AY90">
        <v>0</v>
      </c>
      <c r="AZ90">
        <v>0</v>
      </c>
      <c r="BA90">
        <v>1026</v>
      </c>
      <c r="BB90">
        <v>1</v>
      </c>
      <c r="BC90">
        <v>0</v>
      </c>
      <c r="BD90">
        <v>0</v>
      </c>
      <c r="BE90">
        <v>0</v>
      </c>
      <c r="BF90">
        <v>5</v>
      </c>
      <c r="BG90">
        <v>0</v>
      </c>
      <c r="BH90">
        <v>0</v>
      </c>
      <c r="BI90">
        <v>0</v>
      </c>
      <c r="BJ90">
        <v>0</v>
      </c>
      <c r="BK90">
        <v>14</v>
      </c>
      <c r="BL90">
        <v>948</v>
      </c>
      <c r="BM90">
        <v>0</v>
      </c>
      <c r="BN90">
        <v>19</v>
      </c>
      <c r="BO90">
        <v>0</v>
      </c>
      <c r="BP90">
        <v>10</v>
      </c>
      <c r="BQ90">
        <v>14</v>
      </c>
      <c r="BR90">
        <v>5</v>
      </c>
      <c r="BS90">
        <v>0</v>
      </c>
      <c r="BT90">
        <v>0</v>
      </c>
      <c r="BU90">
        <v>3</v>
      </c>
      <c r="BV90">
        <v>0</v>
      </c>
      <c r="BW90">
        <v>963</v>
      </c>
      <c r="BX90">
        <v>0</v>
      </c>
      <c r="BY90">
        <v>6</v>
      </c>
      <c r="BZ90">
        <v>2</v>
      </c>
      <c r="CA90">
        <v>2</v>
      </c>
      <c r="CB90">
        <v>6</v>
      </c>
      <c r="CC90">
        <v>2</v>
      </c>
      <c r="CD90">
        <v>0</v>
      </c>
      <c r="CE90">
        <v>1</v>
      </c>
      <c r="CF90">
        <v>2</v>
      </c>
      <c r="CG90">
        <v>0</v>
      </c>
      <c r="CH90">
        <v>880</v>
      </c>
      <c r="CI90">
        <v>1</v>
      </c>
      <c r="CJ90">
        <v>1</v>
      </c>
      <c r="CK90">
        <v>5</v>
      </c>
      <c r="CL90">
        <v>0</v>
      </c>
      <c r="CM90">
        <v>9</v>
      </c>
      <c r="CN90">
        <v>2</v>
      </c>
      <c r="CO90">
        <v>1</v>
      </c>
      <c r="CP90">
        <v>0</v>
      </c>
      <c r="CQ90">
        <v>4</v>
      </c>
      <c r="CR90">
        <v>3</v>
      </c>
      <c r="CS90">
        <v>930</v>
      </c>
      <c r="CT90">
        <v>0</v>
      </c>
      <c r="CU90">
        <v>9</v>
      </c>
      <c r="CV90">
        <v>0</v>
      </c>
      <c r="CW90">
        <v>0</v>
      </c>
      <c r="CX90">
        <v>0</v>
      </c>
      <c r="CY90">
        <v>9</v>
      </c>
      <c r="CZ90">
        <v>0</v>
      </c>
      <c r="DA90">
        <v>0</v>
      </c>
      <c r="DB90">
        <v>0</v>
      </c>
      <c r="DC90">
        <v>0</v>
      </c>
      <c r="DD90">
        <v>1018</v>
      </c>
      <c r="DE90">
        <v>1</v>
      </c>
      <c r="DF90">
        <v>0</v>
      </c>
      <c r="DG90">
        <v>3</v>
      </c>
      <c r="DH90">
        <v>0</v>
      </c>
      <c r="DI90">
        <v>2</v>
      </c>
      <c r="DJ90">
        <v>0</v>
      </c>
      <c r="DK90">
        <v>0</v>
      </c>
      <c r="DL90">
        <v>3</v>
      </c>
      <c r="DM90">
        <v>1</v>
      </c>
      <c r="DN90">
        <v>3</v>
      </c>
      <c r="DO90">
        <v>961</v>
      </c>
      <c r="DP90">
        <v>1</v>
      </c>
      <c r="DQ90">
        <v>3</v>
      </c>
      <c r="DR90">
        <v>0</v>
      </c>
      <c r="DS90">
        <v>1</v>
      </c>
      <c r="DT90">
        <v>0</v>
      </c>
      <c r="DU90">
        <v>5</v>
      </c>
      <c r="DV90">
        <v>2</v>
      </c>
      <c r="DW90">
        <v>0</v>
      </c>
      <c r="DX90">
        <v>7</v>
      </c>
      <c r="DY90">
        <v>2</v>
      </c>
      <c r="DZ90">
        <v>989</v>
      </c>
      <c r="EA90">
        <v>0.97809999999999997</v>
      </c>
      <c r="EB90">
        <v>0.97821433655929002</v>
      </c>
      <c r="EC90">
        <v>0.978344894803443</v>
      </c>
      <c r="ED90">
        <v>0.97806997164009002</v>
      </c>
      <c r="EE90">
        <f>SUM(Table1[[#This Row],[ratio_0]:[ratio_9]])</f>
        <v>640</v>
      </c>
      <c r="EF90" s="1">
        <f>(Table1[[#This Row],[predicted_0]]-Table1[[#This Row],[actual_0]])/Table1[[#This Row],[actual_0]]</f>
        <v>8.1632653061224497E-3</v>
      </c>
      <c r="EG90" s="1">
        <f>(Table1[[#This Row],[predicted_1]]-Table1[[#This Row],[actual_1]])/Table1[[#This Row],[actual_1]]</f>
        <v>-3.3480176211453744E-2</v>
      </c>
      <c r="EH90" s="1">
        <f>(Table1[[#This Row],[predicted_2]]-Table1[[#This Row],[actual_2]])/Table1[[#This Row],[actual_2]]</f>
        <v>3.0038759689922482E-2</v>
      </c>
      <c r="EI90" s="1">
        <f>(Table1[[#This Row],[predicted_3]]-Table1[[#This Row],[actual_3]])/Table1[[#This Row],[actual_3]]</f>
        <v>-5.5445544554455446E-2</v>
      </c>
      <c r="EJ90" s="1">
        <f>(Table1[[#This Row],[predicted_4]]-Table1[[#This Row],[actual_4]])/Table1[[#This Row],[actual_4]]</f>
        <v>-1.0183299389002037E-2</v>
      </c>
      <c r="EK90" s="1">
        <f>(Table1[[#This Row],[predicted_5]]-Table1[[#This Row],[actual_5]])/Table1[[#This Row],[actual_5]]</f>
        <v>1.7937219730941704E-2</v>
      </c>
      <c r="EL90" s="1">
        <f>(Table1[[#This Row],[predicted_6]]-Table1[[#This Row],[actual_6]])/Table1[[#This Row],[actual_6]]</f>
        <v>-1.5657620041753653E-2</v>
      </c>
      <c r="EM90" s="1">
        <f>(Table1[[#This Row],[predicted_7]]-Table1[[#This Row],[actual_7]])/Table1[[#This Row],[actual_7]]</f>
        <v>3.2101167315175094E-2</v>
      </c>
      <c r="EN90" s="1">
        <f>(Table1[[#This Row],[predicted_8]]-Table1[[#This Row],[actual_8]])/Table1[[#This Row],[actual_8]]</f>
        <v>4.0041067761806978E-2</v>
      </c>
      <c r="EO90" s="1">
        <f>(Table1[[#This Row],[predicted_9]]-Table1[[#This Row],[actual_9]])/Table1[[#This Row],[actual_9]]</f>
        <v>-7.9286422200198214E-3</v>
      </c>
      <c r="EP90" s="1">
        <f>1+(Table1[[#This Row],[error_ratio_0]]-EF$2)</f>
        <v>1.0061224489795919</v>
      </c>
      <c r="EQ90" s="1">
        <f>1+(Table1[[#This Row],[error_ratio_1]]-EG$2)</f>
        <v>0.96475770925110127</v>
      </c>
      <c r="ER90" s="1">
        <f>1+(Table1[[#This Row],[error_ratio_2]]-EH$2)</f>
        <v>1.0348837209302326</v>
      </c>
      <c r="ES90" s="1">
        <f>1+(Table1[[#This Row],[error_ratio_3]]-EI$2)</f>
        <v>0.9346534653465346</v>
      </c>
      <c r="ET90" s="1">
        <f>1+(Table1[[#This Row],[error_ratio_4]]-EJ$2)</f>
        <v>0.98879837067209775</v>
      </c>
      <c r="EU90" s="1">
        <f>1+(Table1[[#This Row],[error_ratio_5]]-EK$2)</f>
        <v>1.0168161434977578</v>
      </c>
      <c r="EV90" s="1">
        <f>1+(Table1[[#This Row],[error_ratio_6]]-EL$2)</f>
        <v>0.99060542797494777</v>
      </c>
      <c r="EW90" s="1">
        <f>1+(Table1[[#This Row],[error_ratio_7]]-EM$2)</f>
        <v>1.0301556420233462</v>
      </c>
      <c r="EX90" s="1">
        <f>1+(Table1[[#This Row],[error_ratio_8]]-EN$2)</f>
        <v>1.0431211498973305</v>
      </c>
      <c r="EY90" s="1">
        <f>1+(Table1[[#This Row],[error_ratio_9]]-EO$2)</f>
        <v>0.99603567888999012</v>
      </c>
    </row>
    <row r="91" spans="1:155" x14ac:dyDescent="0.75">
      <c r="A91">
        <v>10</v>
      </c>
      <c r="B91">
        <v>10</v>
      </c>
      <c r="C91">
        <v>100</v>
      </c>
      <c r="D91">
        <v>10</v>
      </c>
      <c r="E91">
        <v>10</v>
      </c>
      <c r="F91">
        <v>100</v>
      </c>
      <c r="G91">
        <v>10</v>
      </c>
      <c r="H91">
        <v>100</v>
      </c>
      <c r="I91">
        <v>100</v>
      </c>
      <c r="J91">
        <v>100</v>
      </c>
      <c r="K91">
        <v>982</v>
      </c>
      <c r="L91">
        <v>1120</v>
      </c>
      <c r="M91">
        <v>1054</v>
      </c>
      <c r="N91">
        <v>927</v>
      </c>
      <c r="O91">
        <v>903</v>
      </c>
      <c r="P91">
        <v>970</v>
      </c>
      <c r="Q91">
        <v>926</v>
      </c>
      <c r="R91">
        <v>1042</v>
      </c>
      <c r="S91">
        <v>1019</v>
      </c>
      <c r="T91">
        <v>1057</v>
      </c>
      <c r="U91">
        <v>980</v>
      </c>
      <c r="V91">
        <v>1135</v>
      </c>
      <c r="W91">
        <v>1032</v>
      </c>
      <c r="X91">
        <v>1010</v>
      </c>
      <c r="Y91">
        <v>982</v>
      </c>
      <c r="Z91">
        <v>892</v>
      </c>
      <c r="AA91">
        <v>958</v>
      </c>
      <c r="AB91">
        <v>1028</v>
      </c>
      <c r="AC91">
        <v>974</v>
      </c>
      <c r="AD91">
        <v>1009</v>
      </c>
      <c r="AE91">
        <v>960</v>
      </c>
      <c r="AF91">
        <v>0</v>
      </c>
      <c r="AG91">
        <v>4</v>
      </c>
      <c r="AH91">
        <v>0</v>
      </c>
      <c r="AI91">
        <v>0</v>
      </c>
      <c r="AJ91">
        <v>3</v>
      </c>
      <c r="AK91">
        <v>1</v>
      </c>
      <c r="AL91">
        <v>2</v>
      </c>
      <c r="AM91">
        <v>7</v>
      </c>
      <c r="AN91">
        <v>3</v>
      </c>
      <c r="AO91">
        <v>0</v>
      </c>
      <c r="AP91">
        <v>1109</v>
      </c>
      <c r="AQ91">
        <v>7</v>
      </c>
      <c r="AR91">
        <v>1</v>
      </c>
      <c r="AS91">
        <v>0</v>
      </c>
      <c r="AT91">
        <v>3</v>
      </c>
      <c r="AU91">
        <v>3</v>
      </c>
      <c r="AV91">
        <v>5</v>
      </c>
      <c r="AW91">
        <v>7</v>
      </c>
      <c r="AX91">
        <v>0</v>
      </c>
      <c r="AY91">
        <v>3</v>
      </c>
      <c r="AZ91">
        <v>0</v>
      </c>
      <c r="BA91">
        <v>1019</v>
      </c>
      <c r="BB91">
        <v>0</v>
      </c>
      <c r="BC91">
        <v>0</v>
      </c>
      <c r="BD91">
        <v>0</v>
      </c>
      <c r="BE91">
        <v>0</v>
      </c>
      <c r="BF91">
        <v>8</v>
      </c>
      <c r="BG91">
        <v>2</v>
      </c>
      <c r="BH91">
        <v>0</v>
      </c>
      <c r="BI91">
        <v>1</v>
      </c>
      <c r="BJ91">
        <v>0</v>
      </c>
      <c r="BK91">
        <v>10</v>
      </c>
      <c r="BL91">
        <v>924</v>
      </c>
      <c r="BM91">
        <v>0</v>
      </c>
      <c r="BN91">
        <v>50</v>
      </c>
      <c r="BO91">
        <v>0</v>
      </c>
      <c r="BP91">
        <v>9</v>
      </c>
      <c r="BQ91">
        <v>13</v>
      </c>
      <c r="BR91">
        <v>3</v>
      </c>
      <c r="BS91">
        <v>0</v>
      </c>
      <c r="BT91">
        <v>8</v>
      </c>
      <c r="BU91">
        <v>2</v>
      </c>
      <c r="BV91">
        <v>0</v>
      </c>
      <c r="BW91">
        <v>898</v>
      </c>
      <c r="BX91">
        <v>0</v>
      </c>
      <c r="BY91">
        <v>15</v>
      </c>
      <c r="BZ91">
        <v>4</v>
      </c>
      <c r="CA91">
        <v>2</v>
      </c>
      <c r="CB91">
        <v>53</v>
      </c>
      <c r="CC91">
        <v>0</v>
      </c>
      <c r="CD91">
        <v>0</v>
      </c>
      <c r="CE91">
        <v>0</v>
      </c>
      <c r="CF91">
        <v>0</v>
      </c>
      <c r="CG91">
        <v>0</v>
      </c>
      <c r="CH91">
        <v>889</v>
      </c>
      <c r="CI91">
        <v>1</v>
      </c>
      <c r="CJ91">
        <v>0</v>
      </c>
      <c r="CK91">
        <v>2</v>
      </c>
      <c r="CL91">
        <v>0</v>
      </c>
      <c r="CM91">
        <v>14</v>
      </c>
      <c r="CN91">
        <v>2</v>
      </c>
      <c r="CO91">
        <v>1</v>
      </c>
      <c r="CP91">
        <v>0</v>
      </c>
      <c r="CQ91">
        <v>3</v>
      </c>
      <c r="CR91">
        <v>15</v>
      </c>
      <c r="CS91">
        <v>905</v>
      </c>
      <c r="CT91">
        <v>0</v>
      </c>
      <c r="CU91">
        <v>16</v>
      </c>
      <c r="CV91">
        <v>2</v>
      </c>
      <c r="CW91">
        <v>1</v>
      </c>
      <c r="CX91">
        <v>1</v>
      </c>
      <c r="CY91">
        <v>9</v>
      </c>
      <c r="CZ91">
        <v>0</v>
      </c>
      <c r="DA91">
        <v>0</v>
      </c>
      <c r="DB91">
        <v>1</v>
      </c>
      <c r="DC91">
        <v>0</v>
      </c>
      <c r="DD91">
        <v>1008</v>
      </c>
      <c r="DE91">
        <v>2</v>
      </c>
      <c r="DF91">
        <v>6</v>
      </c>
      <c r="DG91">
        <v>2</v>
      </c>
      <c r="DH91">
        <v>0</v>
      </c>
      <c r="DI91">
        <v>1</v>
      </c>
      <c r="DJ91">
        <v>0</v>
      </c>
      <c r="DK91">
        <v>1</v>
      </c>
      <c r="DL91">
        <v>2</v>
      </c>
      <c r="DM91">
        <v>1</v>
      </c>
      <c r="DN91">
        <v>3</v>
      </c>
      <c r="DO91">
        <v>962</v>
      </c>
      <c r="DP91">
        <v>2</v>
      </c>
      <c r="DQ91">
        <v>1</v>
      </c>
      <c r="DR91">
        <v>0</v>
      </c>
      <c r="DS91">
        <v>1</v>
      </c>
      <c r="DT91">
        <v>2</v>
      </c>
      <c r="DU91">
        <v>1</v>
      </c>
      <c r="DV91">
        <v>7</v>
      </c>
      <c r="DW91">
        <v>0</v>
      </c>
      <c r="DX91">
        <v>3</v>
      </c>
      <c r="DY91">
        <v>6</v>
      </c>
      <c r="DZ91">
        <v>988</v>
      </c>
      <c r="EA91">
        <v>0.96619999999999995</v>
      </c>
      <c r="EB91">
        <v>0.96657659531166396</v>
      </c>
      <c r="EC91">
        <v>0.96621241320023099</v>
      </c>
      <c r="ED91">
        <v>0.96573510643309302</v>
      </c>
      <c r="EE91">
        <f>SUM(Table1[[#This Row],[ratio_0]:[ratio_9]])</f>
        <v>550</v>
      </c>
      <c r="EF91" s="1">
        <f>(Table1[[#This Row],[predicted_0]]-Table1[[#This Row],[actual_0]])/Table1[[#This Row],[actual_0]]</f>
        <v>2.0408163265306124E-3</v>
      </c>
      <c r="EG91" s="1">
        <f>(Table1[[#This Row],[predicted_1]]-Table1[[#This Row],[actual_1]])/Table1[[#This Row],[actual_1]]</f>
        <v>-1.3215859030837005E-2</v>
      </c>
      <c r="EH91" s="1">
        <f>(Table1[[#This Row],[predicted_2]]-Table1[[#This Row],[actual_2]])/Table1[[#This Row],[actual_2]]</f>
        <v>2.1317829457364341E-2</v>
      </c>
      <c r="EI91" s="1">
        <f>(Table1[[#This Row],[predicted_3]]-Table1[[#This Row],[actual_3]])/Table1[[#This Row],[actual_3]]</f>
        <v>-8.2178217821782182E-2</v>
      </c>
      <c r="EJ91" s="1">
        <f>(Table1[[#This Row],[predicted_4]]-Table1[[#This Row],[actual_4]])/Table1[[#This Row],[actual_4]]</f>
        <v>-8.044806517311609E-2</v>
      </c>
      <c r="EK91" s="1">
        <f>(Table1[[#This Row],[predicted_5]]-Table1[[#This Row],[actual_5]])/Table1[[#This Row],[actual_5]]</f>
        <v>8.744394618834081E-2</v>
      </c>
      <c r="EL91" s="1">
        <f>(Table1[[#This Row],[predicted_6]]-Table1[[#This Row],[actual_6]])/Table1[[#This Row],[actual_6]]</f>
        <v>-3.3402922755741124E-2</v>
      </c>
      <c r="EM91" s="1">
        <f>(Table1[[#This Row],[predicted_7]]-Table1[[#This Row],[actual_7]])/Table1[[#This Row],[actual_7]]</f>
        <v>1.3618677042801557E-2</v>
      </c>
      <c r="EN91" s="1">
        <f>(Table1[[#This Row],[predicted_8]]-Table1[[#This Row],[actual_8]])/Table1[[#This Row],[actual_8]]</f>
        <v>4.6201232032854207E-2</v>
      </c>
      <c r="EO91" s="1">
        <f>(Table1[[#This Row],[predicted_9]]-Table1[[#This Row],[actual_9]])/Table1[[#This Row],[actual_9]]</f>
        <v>4.7571853320118929E-2</v>
      </c>
      <c r="EP91" s="1">
        <f>1+(Table1[[#This Row],[error_ratio_0]]-EF$2)</f>
        <v>1</v>
      </c>
      <c r="EQ91" s="1">
        <f>1+(Table1[[#This Row],[error_ratio_1]]-EG$2)</f>
        <v>0.9850220264317181</v>
      </c>
      <c r="ER91" s="1">
        <f>1+(Table1[[#This Row],[error_ratio_2]]-EH$2)</f>
        <v>1.0261627906976745</v>
      </c>
      <c r="ES91" s="1">
        <f>1+(Table1[[#This Row],[error_ratio_3]]-EI$2)</f>
        <v>0.90792079207920795</v>
      </c>
      <c r="ET91" s="1">
        <f>1+(Table1[[#This Row],[error_ratio_4]]-EJ$2)</f>
        <v>0.91853360488798375</v>
      </c>
      <c r="EU91" s="1">
        <f>1+(Table1[[#This Row],[error_ratio_5]]-EK$2)</f>
        <v>1.086322869955157</v>
      </c>
      <c r="EV91" s="1">
        <f>1+(Table1[[#This Row],[error_ratio_6]]-EL$2)</f>
        <v>0.97286012526096033</v>
      </c>
      <c r="EW91" s="1">
        <f>1+(Table1[[#This Row],[error_ratio_7]]-EM$2)</f>
        <v>1.0116731517509727</v>
      </c>
      <c r="EX91" s="1">
        <f>1+(Table1[[#This Row],[error_ratio_8]]-EN$2)</f>
        <v>1.0492813141683779</v>
      </c>
      <c r="EY91" s="1">
        <f>1+(Table1[[#This Row],[error_ratio_9]]-EO$2)</f>
        <v>1.0515361744301288</v>
      </c>
    </row>
    <row r="92" spans="1:155" x14ac:dyDescent="0.75">
      <c r="A92">
        <v>10</v>
      </c>
      <c r="B92">
        <v>100</v>
      </c>
      <c r="C92">
        <v>10</v>
      </c>
      <c r="D92">
        <v>10</v>
      </c>
      <c r="E92">
        <v>10</v>
      </c>
      <c r="F92">
        <v>100</v>
      </c>
      <c r="G92">
        <v>10</v>
      </c>
      <c r="H92">
        <v>100</v>
      </c>
      <c r="I92">
        <v>100</v>
      </c>
      <c r="J92">
        <v>100</v>
      </c>
      <c r="K92">
        <v>955</v>
      </c>
      <c r="L92">
        <v>1143</v>
      </c>
      <c r="M92">
        <v>1013</v>
      </c>
      <c r="N92">
        <v>858</v>
      </c>
      <c r="O92">
        <v>901</v>
      </c>
      <c r="P92">
        <v>1074</v>
      </c>
      <c r="Q92">
        <v>917</v>
      </c>
      <c r="R92">
        <v>1063</v>
      </c>
      <c r="S92">
        <v>1015</v>
      </c>
      <c r="T92">
        <v>1061</v>
      </c>
      <c r="U92">
        <v>980</v>
      </c>
      <c r="V92">
        <v>1135</v>
      </c>
      <c r="W92">
        <v>1032</v>
      </c>
      <c r="X92">
        <v>1010</v>
      </c>
      <c r="Y92">
        <v>982</v>
      </c>
      <c r="Z92">
        <v>892</v>
      </c>
      <c r="AA92">
        <v>958</v>
      </c>
      <c r="AB92">
        <v>1028</v>
      </c>
      <c r="AC92">
        <v>974</v>
      </c>
      <c r="AD92">
        <v>1009</v>
      </c>
      <c r="AE92">
        <v>940</v>
      </c>
      <c r="AF92">
        <v>1</v>
      </c>
      <c r="AG92">
        <v>4</v>
      </c>
      <c r="AH92">
        <v>0</v>
      </c>
      <c r="AI92">
        <v>0</v>
      </c>
      <c r="AJ92">
        <v>16</v>
      </c>
      <c r="AK92">
        <v>7</v>
      </c>
      <c r="AL92">
        <v>1</v>
      </c>
      <c r="AM92">
        <v>7</v>
      </c>
      <c r="AN92">
        <v>4</v>
      </c>
      <c r="AO92">
        <v>0</v>
      </c>
      <c r="AP92">
        <v>1127</v>
      </c>
      <c r="AQ92">
        <v>2</v>
      </c>
      <c r="AR92">
        <v>1</v>
      </c>
      <c r="AS92">
        <v>1</v>
      </c>
      <c r="AT92">
        <v>1</v>
      </c>
      <c r="AU92">
        <v>0</v>
      </c>
      <c r="AV92">
        <v>1</v>
      </c>
      <c r="AW92">
        <v>1</v>
      </c>
      <c r="AX92">
        <v>1</v>
      </c>
      <c r="AY92">
        <v>6</v>
      </c>
      <c r="AZ92">
        <v>3</v>
      </c>
      <c r="BA92">
        <v>983</v>
      </c>
      <c r="BB92">
        <v>0</v>
      </c>
      <c r="BC92">
        <v>0</v>
      </c>
      <c r="BD92">
        <v>6</v>
      </c>
      <c r="BE92">
        <v>0</v>
      </c>
      <c r="BF92">
        <v>10</v>
      </c>
      <c r="BG92">
        <v>22</v>
      </c>
      <c r="BH92">
        <v>2</v>
      </c>
      <c r="BI92">
        <v>0</v>
      </c>
      <c r="BJ92">
        <v>0</v>
      </c>
      <c r="BK92">
        <v>4</v>
      </c>
      <c r="BL92">
        <v>856</v>
      </c>
      <c r="BM92">
        <v>0</v>
      </c>
      <c r="BN92">
        <v>121</v>
      </c>
      <c r="BO92">
        <v>0</v>
      </c>
      <c r="BP92">
        <v>17</v>
      </c>
      <c r="BQ92">
        <v>6</v>
      </c>
      <c r="BR92">
        <v>6</v>
      </c>
      <c r="BS92">
        <v>1</v>
      </c>
      <c r="BT92">
        <v>7</v>
      </c>
      <c r="BU92">
        <v>9</v>
      </c>
      <c r="BV92">
        <v>0</v>
      </c>
      <c r="BW92">
        <v>888</v>
      </c>
      <c r="BX92">
        <v>0</v>
      </c>
      <c r="BY92">
        <v>3</v>
      </c>
      <c r="BZ92">
        <v>11</v>
      </c>
      <c r="CA92">
        <v>11</v>
      </c>
      <c r="CB92">
        <v>52</v>
      </c>
      <c r="CC92">
        <v>0</v>
      </c>
      <c r="CD92">
        <v>0</v>
      </c>
      <c r="CE92">
        <v>1</v>
      </c>
      <c r="CF92">
        <v>1</v>
      </c>
      <c r="CG92">
        <v>0</v>
      </c>
      <c r="CH92">
        <v>887</v>
      </c>
      <c r="CI92">
        <v>1</v>
      </c>
      <c r="CJ92">
        <v>1</v>
      </c>
      <c r="CK92">
        <v>1</v>
      </c>
      <c r="CL92">
        <v>0</v>
      </c>
      <c r="CM92">
        <v>6</v>
      </c>
      <c r="CN92">
        <v>4</v>
      </c>
      <c r="CO92">
        <v>1</v>
      </c>
      <c r="CP92">
        <v>0</v>
      </c>
      <c r="CQ92">
        <v>12</v>
      </c>
      <c r="CR92">
        <v>23</v>
      </c>
      <c r="CS92">
        <v>906</v>
      </c>
      <c r="CT92">
        <v>0</v>
      </c>
      <c r="CU92">
        <v>6</v>
      </c>
      <c r="CV92">
        <v>0</v>
      </c>
      <c r="CW92">
        <v>0</v>
      </c>
      <c r="CX92">
        <v>1</v>
      </c>
      <c r="CY92">
        <v>7</v>
      </c>
      <c r="CZ92">
        <v>0</v>
      </c>
      <c r="DA92">
        <v>0</v>
      </c>
      <c r="DB92">
        <v>1</v>
      </c>
      <c r="DC92">
        <v>0</v>
      </c>
      <c r="DD92">
        <v>1017</v>
      </c>
      <c r="DE92">
        <v>0</v>
      </c>
      <c r="DF92">
        <v>2</v>
      </c>
      <c r="DG92">
        <v>1</v>
      </c>
      <c r="DH92">
        <v>0</v>
      </c>
      <c r="DI92">
        <v>2</v>
      </c>
      <c r="DJ92">
        <v>0</v>
      </c>
      <c r="DK92">
        <v>0</v>
      </c>
      <c r="DL92">
        <v>8</v>
      </c>
      <c r="DM92">
        <v>0</v>
      </c>
      <c r="DN92">
        <v>3</v>
      </c>
      <c r="DO92">
        <v>958</v>
      </c>
      <c r="DP92">
        <v>2</v>
      </c>
      <c r="DQ92">
        <v>1</v>
      </c>
      <c r="DR92">
        <v>0</v>
      </c>
      <c r="DS92">
        <v>0</v>
      </c>
      <c r="DT92">
        <v>0</v>
      </c>
      <c r="DU92">
        <v>0</v>
      </c>
      <c r="DV92">
        <v>11</v>
      </c>
      <c r="DW92">
        <v>0</v>
      </c>
      <c r="DX92">
        <v>2</v>
      </c>
      <c r="DY92">
        <v>3</v>
      </c>
      <c r="DZ92">
        <v>992</v>
      </c>
      <c r="EA92">
        <v>0.95540000000000003</v>
      </c>
      <c r="EB92">
        <v>0.95733450524257901</v>
      </c>
      <c r="EC92">
        <v>0.95525953441938005</v>
      </c>
      <c r="ED92">
        <v>0.95453062069428696</v>
      </c>
      <c r="EE92">
        <f>SUM(Table1[[#This Row],[ratio_0]:[ratio_9]])</f>
        <v>550</v>
      </c>
      <c r="EF92" s="1">
        <f>(Table1[[#This Row],[predicted_0]]-Table1[[#This Row],[actual_0]])/Table1[[#This Row],[actual_0]]</f>
        <v>-2.5510204081632654E-2</v>
      </c>
      <c r="EG92" s="1">
        <f>(Table1[[#This Row],[predicted_1]]-Table1[[#This Row],[actual_1]])/Table1[[#This Row],[actual_1]]</f>
        <v>7.048458149779736E-3</v>
      </c>
      <c r="EH92" s="1">
        <f>(Table1[[#This Row],[predicted_2]]-Table1[[#This Row],[actual_2]])/Table1[[#This Row],[actual_2]]</f>
        <v>-1.8410852713178296E-2</v>
      </c>
      <c r="EI92" s="1">
        <f>(Table1[[#This Row],[predicted_3]]-Table1[[#This Row],[actual_3]])/Table1[[#This Row],[actual_3]]</f>
        <v>-0.15049504950495049</v>
      </c>
      <c r="EJ92" s="1">
        <f>(Table1[[#This Row],[predicted_4]]-Table1[[#This Row],[actual_4]])/Table1[[#This Row],[actual_4]]</f>
        <v>-8.2484725050916502E-2</v>
      </c>
      <c r="EK92" s="1">
        <f>(Table1[[#This Row],[predicted_5]]-Table1[[#This Row],[actual_5]])/Table1[[#This Row],[actual_5]]</f>
        <v>0.20403587443946189</v>
      </c>
      <c r="EL92" s="1">
        <f>(Table1[[#This Row],[predicted_6]]-Table1[[#This Row],[actual_6]])/Table1[[#This Row],[actual_6]]</f>
        <v>-4.2797494780793317E-2</v>
      </c>
      <c r="EM92" s="1">
        <f>(Table1[[#This Row],[predicted_7]]-Table1[[#This Row],[actual_7]])/Table1[[#This Row],[actual_7]]</f>
        <v>3.4046692607003888E-2</v>
      </c>
      <c r="EN92" s="1">
        <f>(Table1[[#This Row],[predicted_8]]-Table1[[#This Row],[actual_8]])/Table1[[#This Row],[actual_8]]</f>
        <v>4.2094455852156057E-2</v>
      </c>
      <c r="EO92" s="1">
        <f>(Table1[[#This Row],[predicted_9]]-Table1[[#This Row],[actual_9]])/Table1[[#This Row],[actual_9]]</f>
        <v>5.1536174430128839E-2</v>
      </c>
      <c r="EP92" s="1">
        <f>1+(Table1[[#This Row],[error_ratio_0]]-EF$2)</f>
        <v>0.97244897959183674</v>
      </c>
      <c r="EQ92" s="1">
        <f>1+(Table1[[#This Row],[error_ratio_1]]-EG$2)</f>
        <v>1.0052863436123347</v>
      </c>
      <c r="ER92" s="1">
        <f>1+(Table1[[#This Row],[error_ratio_2]]-EH$2)</f>
        <v>0.98643410852713176</v>
      </c>
      <c r="ES92" s="1">
        <f>1+(Table1[[#This Row],[error_ratio_3]]-EI$2)</f>
        <v>0.83960396039603957</v>
      </c>
      <c r="ET92" s="1">
        <f>1+(Table1[[#This Row],[error_ratio_4]]-EJ$2)</f>
        <v>0.91649694501018331</v>
      </c>
      <c r="EU92" s="1">
        <f>1+(Table1[[#This Row],[error_ratio_5]]-EK$2)</f>
        <v>1.202914798206278</v>
      </c>
      <c r="EV92" s="1">
        <f>1+(Table1[[#This Row],[error_ratio_6]]-EL$2)</f>
        <v>0.9634655532359081</v>
      </c>
      <c r="EW92" s="1">
        <f>1+(Table1[[#This Row],[error_ratio_7]]-EM$2)</f>
        <v>1.032101167315175</v>
      </c>
      <c r="EX92" s="1">
        <f>1+(Table1[[#This Row],[error_ratio_8]]-EN$2)</f>
        <v>1.0451745379876796</v>
      </c>
      <c r="EY92" s="1">
        <f>1+(Table1[[#This Row],[error_ratio_9]]-EO$2)</f>
        <v>1.0555004955401388</v>
      </c>
    </row>
    <row r="93" spans="1:155" x14ac:dyDescent="0.75">
      <c r="A93">
        <v>100</v>
      </c>
      <c r="B93">
        <v>10</v>
      </c>
      <c r="C93">
        <v>10</v>
      </c>
      <c r="D93">
        <v>10</v>
      </c>
      <c r="E93">
        <v>10</v>
      </c>
      <c r="F93">
        <v>100</v>
      </c>
      <c r="G93">
        <v>10</v>
      </c>
      <c r="H93">
        <v>100</v>
      </c>
      <c r="I93">
        <v>100</v>
      </c>
      <c r="J93">
        <v>100</v>
      </c>
      <c r="K93">
        <v>1003</v>
      </c>
      <c r="L93">
        <v>1109</v>
      </c>
      <c r="M93">
        <v>1003</v>
      </c>
      <c r="N93">
        <v>1035</v>
      </c>
      <c r="O93">
        <v>986</v>
      </c>
      <c r="P93">
        <v>1200</v>
      </c>
      <c r="Q93">
        <v>755</v>
      </c>
      <c r="R93">
        <v>1109</v>
      </c>
      <c r="S93">
        <v>703</v>
      </c>
      <c r="T93">
        <v>1097</v>
      </c>
      <c r="U93">
        <v>980</v>
      </c>
      <c r="V93">
        <v>1135</v>
      </c>
      <c r="W93">
        <v>1032</v>
      </c>
      <c r="X93">
        <v>1010</v>
      </c>
      <c r="Y93">
        <v>982</v>
      </c>
      <c r="Z93">
        <v>892</v>
      </c>
      <c r="AA93">
        <v>958</v>
      </c>
      <c r="AB93">
        <v>1028</v>
      </c>
      <c r="AC93">
        <v>974</v>
      </c>
      <c r="AD93">
        <v>1009</v>
      </c>
      <c r="AE93">
        <v>944</v>
      </c>
      <c r="AF93">
        <v>2</v>
      </c>
      <c r="AG93">
        <v>0</v>
      </c>
      <c r="AH93">
        <v>0</v>
      </c>
      <c r="AI93">
        <v>0</v>
      </c>
      <c r="AJ93">
        <v>32</v>
      </c>
      <c r="AK93">
        <v>0</v>
      </c>
      <c r="AL93">
        <v>2</v>
      </c>
      <c r="AM93">
        <v>0</v>
      </c>
      <c r="AN93">
        <v>0</v>
      </c>
      <c r="AO93">
        <v>0</v>
      </c>
      <c r="AP93">
        <v>1102</v>
      </c>
      <c r="AQ93">
        <v>4</v>
      </c>
      <c r="AR93">
        <v>20</v>
      </c>
      <c r="AS93">
        <v>0</v>
      </c>
      <c r="AT93">
        <v>3</v>
      </c>
      <c r="AU93">
        <v>0</v>
      </c>
      <c r="AV93">
        <v>5</v>
      </c>
      <c r="AW93">
        <v>0</v>
      </c>
      <c r="AX93">
        <v>1</v>
      </c>
      <c r="AY93">
        <v>2</v>
      </c>
      <c r="AZ93">
        <v>0</v>
      </c>
      <c r="BA93">
        <v>947</v>
      </c>
      <c r="BB93">
        <v>21</v>
      </c>
      <c r="BC93">
        <v>2</v>
      </c>
      <c r="BD93">
        <v>10</v>
      </c>
      <c r="BE93">
        <v>0</v>
      </c>
      <c r="BF93">
        <v>48</v>
      </c>
      <c r="BG93">
        <v>1</v>
      </c>
      <c r="BH93">
        <v>1</v>
      </c>
      <c r="BI93">
        <v>0</v>
      </c>
      <c r="BJ93">
        <v>0</v>
      </c>
      <c r="BK93">
        <v>1</v>
      </c>
      <c r="BL93">
        <v>948</v>
      </c>
      <c r="BM93">
        <v>0</v>
      </c>
      <c r="BN93">
        <v>34</v>
      </c>
      <c r="BO93">
        <v>0</v>
      </c>
      <c r="BP93">
        <v>17</v>
      </c>
      <c r="BQ93">
        <v>0</v>
      </c>
      <c r="BR93">
        <v>10</v>
      </c>
      <c r="BS93">
        <v>2</v>
      </c>
      <c r="BT93">
        <v>0</v>
      </c>
      <c r="BU93">
        <v>7</v>
      </c>
      <c r="BV93">
        <v>0</v>
      </c>
      <c r="BW93">
        <v>957</v>
      </c>
      <c r="BX93">
        <v>0</v>
      </c>
      <c r="BY93">
        <v>0</v>
      </c>
      <c r="BZ93">
        <v>1</v>
      </c>
      <c r="CA93">
        <v>0</v>
      </c>
      <c r="CB93">
        <v>15</v>
      </c>
      <c r="CC93">
        <v>0</v>
      </c>
      <c r="CD93">
        <v>0</v>
      </c>
      <c r="CE93">
        <v>1</v>
      </c>
      <c r="CF93">
        <v>3</v>
      </c>
      <c r="CG93">
        <v>0</v>
      </c>
      <c r="CH93">
        <v>887</v>
      </c>
      <c r="CI93">
        <v>0</v>
      </c>
      <c r="CJ93">
        <v>0</v>
      </c>
      <c r="CK93">
        <v>1</v>
      </c>
      <c r="CL93">
        <v>0</v>
      </c>
      <c r="CM93">
        <v>49</v>
      </c>
      <c r="CN93">
        <v>4</v>
      </c>
      <c r="CO93">
        <v>31</v>
      </c>
      <c r="CP93">
        <v>0</v>
      </c>
      <c r="CQ93">
        <v>12</v>
      </c>
      <c r="CR93">
        <v>106</v>
      </c>
      <c r="CS93">
        <v>755</v>
      </c>
      <c r="CT93">
        <v>0</v>
      </c>
      <c r="CU93">
        <v>1</v>
      </c>
      <c r="CV93">
        <v>0</v>
      </c>
      <c r="CW93">
        <v>1</v>
      </c>
      <c r="CX93">
        <v>1</v>
      </c>
      <c r="CY93">
        <v>2</v>
      </c>
      <c r="CZ93">
        <v>1</v>
      </c>
      <c r="DA93">
        <v>0</v>
      </c>
      <c r="DB93">
        <v>1</v>
      </c>
      <c r="DC93">
        <v>0</v>
      </c>
      <c r="DD93">
        <v>1012</v>
      </c>
      <c r="DE93">
        <v>1</v>
      </c>
      <c r="DF93">
        <v>9</v>
      </c>
      <c r="DG93">
        <v>2</v>
      </c>
      <c r="DH93">
        <v>0</v>
      </c>
      <c r="DI93">
        <v>10</v>
      </c>
      <c r="DJ93">
        <v>39</v>
      </c>
      <c r="DK93">
        <v>8</v>
      </c>
      <c r="DL93">
        <v>115</v>
      </c>
      <c r="DM93">
        <v>0</v>
      </c>
      <c r="DN93">
        <v>21</v>
      </c>
      <c r="DO93">
        <v>699</v>
      </c>
      <c r="DP93">
        <v>80</v>
      </c>
      <c r="DQ93">
        <v>3</v>
      </c>
      <c r="DR93">
        <v>0</v>
      </c>
      <c r="DS93">
        <v>0</v>
      </c>
      <c r="DT93">
        <v>3</v>
      </c>
      <c r="DU93">
        <v>7</v>
      </c>
      <c r="DV93">
        <v>12</v>
      </c>
      <c r="DW93">
        <v>0</v>
      </c>
      <c r="DX93">
        <v>3</v>
      </c>
      <c r="DY93">
        <v>0</v>
      </c>
      <c r="DZ93">
        <v>981</v>
      </c>
      <c r="EA93">
        <v>0.92320000000000002</v>
      </c>
      <c r="EB93">
        <v>0.93058298847980003</v>
      </c>
      <c r="EC93">
        <v>0.92218212031576197</v>
      </c>
      <c r="ED93">
        <v>0.92065447036275805</v>
      </c>
      <c r="EE93">
        <f>SUM(Table1[[#This Row],[ratio_0]:[ratio_9]])</f>
        <v>550</v>
      </c>
      <c r="EF93" s="1">
        <f>(Table1[[#This Row],[predicted_0]]-Table1[[#This Row],[actual_0]])/Table1[[#This Row],[actual_0]]</f>
        <v>2.3469387755102041E-2</v>
      </c>
      <c r="EG93" s="1">
        <f>(Table1[[#This Row],[predicted_1]]-Table1[[#This Row],[actual_1]])/Table1[[#This Row],[actual_1]]</f>
        <v>-2.2907488986784141E-2</v>
      </c>
      <c r="EH93" s="1">
        <f>(Table1[[#This Row],[predicted_2]]-Table1[[#This Row],[actual_2]])/Table1[[#This Row],[actual_2]]</f>
        <v>-2.8100775193798451E-2</v>
      </c>
      <c r="EI93" s="1">
        <f>(Table1[[#This Row],[predicted_3]]-Table1[[#This Row],[actual_3]])/Table1[[#This Row],[actual_3]]</f>
        <v>2.4752475247524754E-2</v>
      </c>
      <c r="EJ93" s="1">
        <f>(Table1[[#This Row],[predicted_4]]-Table1[[#This Row],[actual_4]])/Table1[[#This Row],[actual_4]]</f>
        <v>4.0733197556008143E-3</v>
      </c>
      <c r="EK93" s="1">
        <f>(Table1[[#This Row],[predicted_5]]-Table1[[#This Row],[actual_5]])/Table1[[#This Row],[actual_5]]</f>
        <v>0.3452914798206278</v>
      </c>
      <c r="EL93" s="1">
        <f>(Table1[[#This Row],[predicted_6]]-Table1[[#This Row],[actual_6]])/Table1[[#This Row],[actual_6]]</f>
        <v>-0.21189979123173278</v>
      </c>
      <c r="EM93" s="1">
        <f>(Table1[[#This Row],[predicted_7]]-Table1[[#This Row],[actual_7]])/Table1[[#This Row],[actual_7]]</f>
        <v>7.8793774319066145E-2</v>
      </c>
      <c r="EN93" s="1">
        <f>(Table1[[#This Row],[predicted_8]]-Table1[[#This Row],[actual_8]])/Table1[[#This Row],[actual_8]]</f>
        <v>-0.27823408624229978</v>
      </c>
      <c r="EO93" s="1">
        <f>(Table1[[#This Row],[predicted_9]]-Table1[[#This Row],[actual_9]])/Table1[[#This Row],[actual_9]]</f>
        <v>8.7215064420218036E-2</v>
      </c>
      <c r="EP93" s="1">
        <f>1+(Table1[[#This Row],[error_ratio_0]]-EF$2)</f>
        <v>1.0214285714285714</v>
      </c>
      <c r="EQ93" s="1">
        <f>1+(Table1[[#This Row],[error_ratio_1]]-EG$2)</f>
        <v>0.97533039647577091</v>
      </c>
      <c r="ER93" s="1">
        <f>1+(Table1[[#This Row],[error_ratio_2]]-EH$2)</f>
        <v>0.97674418604651159</v>
      </c>
      <c r="ES93" s="1">
        <f>1+(Table1[[#This Row],[error_ratio_3]]-EI$2)</f>
        <v>1.0148514851485149</v>
      </c>
      <c r="ET93" s="1">
        <f>1+(Table1[[#This Row],[error_ratio_4]]-EJ$2)</f>
        <v>1.0030549898167007</v>
      </c>
      <c r="EU93" s="1">
        <f>1+(Table1[[#This Row],[error_ratio_5]]-EK$2)</f>
        <v>1.344170403587444</v>
      </c>
      <c r="EV93" s="1">
        <f>1+(Table1[[#This Row],[error_ratio_6]]-EL$2)</f>
        <v>0.79436325678496866</v>
      </c>
      <c r="EW93" s="1">
        <f>1+(Table1[[#This Row],[error_ratio_7]]-EM$2)</f>
        <v>1.0768482490272373</v>
      </c>
      <c r="EX93" s="1">
        <f>1+(Table1[[#This Row],[error_ratio_8]]-EN$2)</f>
        <v>0.72484599589322385</v>
      </c>
      <c r="EY93" s="1">
        <f>1+(Table1[[#This Row],[error_ratio_9]]-EO$2)</f>
        <v>1.0911793855302279</v>
      </c>
    </row>
    <row r="94" spans="1:155" x14ac:dyDescent="0.75">
      <c r="A94">
        <v>10</v>
      </c>
      <c r="B94">
        <v>10</v>
      </c>
      <c r="C94">
        <v>10</v>
      </c>
      <c r="D94">
        <v>10</v>
      </c>
      <c r="E94">
        <v>10</v>
      </c>
      <c r="F94">
        <v>100</v>
      </c>
      <c r="G94">
        <v>10</v>
      </c>
      <c r="H94">
        <v>100</v>
      </c>
      <c r="I94">
        <v>100</v>
      </c>
      <c r="J94">
        <v>100</v>
      </c>
      <c r="K94">
        <v>962</v>
      </c>
      <c r="L94">
        <v>1127</v>
      </c>
      <c r="M94">
        <v>968</v>
      </c>
      <c r="N94">
        <v>1020</v>
      </c>
      <c r="O94">
        <v>974</v>
      </c>
      <c r="P94">
        <v>916</v>
      </c>
      <c r="Q94">
        <v>953</v>
      </c>
      <c r="R94">
        <v>1046</v>
      </c>
      <c r="S94">
        <v>1030</v>
      </c>
      <c r="T94">
        <v>1004</v>
      </c>
      <c r="U94">
        <v>980</v>
      </c>
      <c r="V94">
        <v>1135</v>
      </c>
      <c r="W94">
        <v>1032</v>
      </c>
      <c r="X94">
        <v>1010</v>
      </c>
      <c r="Y94">
        <v>982</v>
      </c>
      <c r="Z94">
        <v>892</v>
      </c>
      <c r="AA94">
        <v>958</v>
      </c>
      <c r="AB94">
        <v>1028</v>
      </c>
      <c r="AC94">
        <v>974</v>
      </c>
      <c r="AD94">
        <v>1009</v>
      </c>
      <c r="AE94">
        <v>948</v>
      </c>
      <c r="AF94">
        <v>0</v>
      </c>
      <c r="AG94">
        <v>3</v>
      </c>
      <c r="AH94">
        <v>0</v>
      </c>
      <c r="AI94">
        <v>0</v>
      </c>
      <c r="AJ94">
        <v>8</v>
      </c>
      <c r="AK94">
        <v>9</v>
      </c>
      <c r="AL94">
        <v>3</v>
      </c>
      <c r="AM94">
        <v>3</v>
      </c>
      <c r="AN94">
        <v>6</v>
      </c>
      <c r="AO94">
        <v>0</v>
      </c>
      <c r="AP94">
        <v>1117</v>
      </c>
      <c r="AQ94">
        <v>1</v>
      </c>
      <c r="AR94">
        <v>4</v>
      </c>
      <c r="AS94">
        <v>0</v>
      </c>
      <c r="AT94">
        <v>2</v>
      </c>
      <c r="AU94">
        <v>0</v>
      </c>
      <c r="AV94">
        <v>2</v>
      </c>
      <c r="AW94">
        <v>9</v>
      </c>
      <c r="AX94">
        <v>0</v>
      </c>
      <c r="AY94">
        <v>4</v>
      </c>
      <c r="AZ94">
        <v>3</v>
      </c>
      <c r="BA94">
        <v>952</v>
      </c>
      <c r="BB94">
        <v>16</v>
      </c>
      <c r="BC94">
        <v>6</v>
      </c>
      <c r="BD94">
        <v>2</v>
      </c>
      <c r="BE94">
        <v>10</v>
      </c>
      <c r="BF94">
        <v>17</v>
      </c>
      <c r="BG94">
        <v>17</v>
      </c>
      <c r="BH94">
        <v>5</v>
      </c>
      <c r="BI94">
        <v>0</v>
      </c>
      <c r="BJ94">
        <v>0</v>
      </c>
      <c r="BK94">
        <v>2</v>
      </c>
      <c r="BL94">
        <v>989</v>
      </c>
      <c r="BM94">
        <v>0</v>
      </c>
      <c r="BN94">
        <v>7</v>
      </c>
      <c r="BO94">
        <v>0</v>
      </c>
      <c r="BP94">
        <v>4</v>
      </c>
      <c r="BQ94">
        <v>7</v>
      </c>
      <c r="BR94">
        <v>1</v>
      </c>
      <c r="BS94">
        <v>0</v>
      </c>
      <c r="BT94">
        <v>0</v>
      </c>
      <c r="BU94">
        <v>1</v>
      </c>
      <c r="BV94">
        <v>1</v>
      </c>
      <c r="BW94">
        <v>956</v>
      </c>
      <c r="BX94">
        <v>1</v>
      </c>
      <c r="BY94">
        <v>8</v>
      </c>
      <c r="BZ94">
        <v>2</v>
      </c>
      <c r="CA94">
        <v>7</v>
      </c>
      <c r="CB94">
        <v>6</v>
      </c>
      <c r="CC94">
        <v>1</v>
      </c>
      <c r="CD94">
        <v>0</v>
      </c>
      <c r="CE94">
        <v>0</v>
      </c>
      <c r="CF94">
        <v>6</v>
      </c>
      <c r="CG94">
        <v>0</v>
      </c>
      <c r="CH94">
        <v>880</v>
      </c>
      <c r="CI94">
        <v>1</v>
      </c>
      <c r="CJ94">
        <v>0</v>
      </c>
      <c r="CK94">
        <v>4</v>
      </c>
      <c r="CL94">
        <v>0</v>
      </c>
      <c r="CM94">
        <v>6</v>
      </c>
      <c r="CN94">
        <v>4</v>
      </c>
      <c r="CO94">
        <v>0</v>
      </c>
      <c r="CP94">
        <v>0</v>
      </c>
      <c r="CQ94">
        <v>7</v>
      </c>
      <c r="CR94">
        <v>12</v>
      </c>
      <c r="CS94">
        <v>925</v>
      </c>
      <c r="CT94">
        <v>0</v>
      </c>
      <c r="CU94">
        <v>4</v>
      </c>
      <c r="CV94">
        <v>0</v>
      </c>
      <c r="CW94">
        <v>0</v>
      </c>
      <c r="CX94">
        <v>3</v>
      </c>
      <c r="CY94">
        <v>9</v>
      </c>
      <c r="CZ94">
        <v>1</v>
      </c>
      <c r="DA94">
        <v>0</v>
      </c>
      <c r="DB94">
        <v>0</v>
      </c>
      <c r="DC94">
        <v>0</v>
      </c>
      <c r="DD94">
        <v>1012</v>
      </c>
      <c r="DE94">
        <v>2</v>
      </c>
      <c r="DF94">
        <v>1</v>
      </c>
      <c r="DG94">
        <v>2</v>
      </c>
      <c r="DH94">
        <v>0</v>
      </c>
      <c r="DI94">
        <v>0</v>
      </c>
      <c r="DJ94">
        <v>1</v>
      </c>
      <c r="DK94">
        <v>0</v>
      </c>
      <c r="DL94">
        <v>0</v>
      </c>
      <c r="DM94">
        <v>0</v>
      </c>
      <c r="DN94">
        <v>2</v>
      </c>
      <c r="DO94">
        <v>968</v>
      </c>
      <c r="DP94">
        <v>1</v>
      </c>
      <c r="DQ94">
        <v>1</v>
      </c>
      <c r="DR94">
        <v>0</v>
      </c>
      <c r="DS94">
        <v>0</v>
      </c>
      <c r="DT94">
        <v>2</v>
      </c>
      <c r="DU94">
        <v>5</v>
      </c>
      <c r="DV94">
        <v>4</v>
      </c>
      <c r="DW94">
        <v>0</v>
      </c>
      <c r="DX94">
        <v>4</v>
      </c>
      <c r="DY94">
        <v>9</v>
      </c>
      <c r="DZ94">
        <v>984</v>
      </c>
      <c r="EA94">
        <v>0.97309999999999997</v>
      </c>
      <c r="EB94">
        <v>0.97298708096338804</v>
      </c>
      <c r="EC94">
        <v>0.97322988180409098</v>
      </c>
      <c r="ED94">
        <v>0.97289600349258698</v>
      </c>
      <c r="EE94">
        <f>SUM(Table1[[#This Row],[ratio_0]:[ratio_9]])</f>
        <v>460</v>
      </c>
      <c r="EF94" s="1">
        <f>(Table1[[#This Row],[predicted_0]]-Table1[[#This Row],[actual_0]])/Table1[[#This Row],[actual_0]]</f>
        <v>-1.8367346938775512E-2</v>
      </c>
      <c r="EG94" s="1">
        <f>(Table1[[#This Row],[predicted_1]]-Table1[[#This Row],[actual_1]])/Table1[[#This Row],[actual_1]]</f>
        <v>-7.048458149779736E-3</v>
      </c>
      <c r="EH94" s="1">
        <f>(Table1[[#This Row],[predicted_2]]-Table1[[#This Row],[actual_2]])/Table1[[#This Row],[actual_2]]</f>
        <v>-6.2015503875968991E-2</v>
      </c>
      <c r="EI94" s="1">
        <f>(Table1[[#This Row],[predicted_3]]-Table1[[#This Row],[actual_3]])/Table1[[#This Row],[actual_3]]</f>
        <v>9.9009900990099011E-3</v>
      </c>
      <c r="EJ94" s="1">
        <f>(Table1[[#This Row],[predicted_4]]-Table1[[#This Row],[actual_4]])/Table1[[#This Row],[actual_4]]</f>
        <v>-8.1466395112016286E-3</v>
      </c>
      <c r="EK94" s="1">
        <f>(Table1[[#This Row],[predicted_5]]-Table1[[#This Row],[actual_5]])/Table1[[#This Row],[actual_5]]</f>
        <v>2.6905829596412557E-2</v>
      </c>
      <c r="EL94" s="1">
        <f>(Table1[[#This Row],[predicted_6]]-Table1[[#This Row],[actual_6]])/Table1[[#This Row],[actual_6]]</f>
        <v>-5.2192066805845511E-3</v>
      </c>
      <c r="EM94" s="1">
        <f>(Table1[[#This Row],[predicted_7]]-Table1[[#This Row],[actual_7]])/Table1[[#This Row],[actual_7]]</f>
        <v>1.7509727626459144E-2</v>
      </c>
      <c r="EN94" s="1">
        <f>(Table1[[#This Row],[predicted_8]]-Table1[[#This Row],[actual_8]])/Table1[[#This Row],[actual_8]]</f>
        <v>5.7494866529774126E-2</v>
      </c>
      <c r="EO94" s="1">
        <f>(Table1[[#This Row],[predicted_9]]-Table1[[#This Row],[actual_9]])/Table1[[#This Row],[actual_9]]</f>
        <v>-4.9554013875123884E-3</v>
      </c>
      <c r="EP94" s="1">
        <f>1+(Table1[[#This Row],[error_ratio_0]]-EF$2)</f>
        <v>0.97959183673469385</v>
      </c>
      <c r="EQ94" s="1">
        <f>1+(Table1[[#This Row],[error_ratio_1]]-EG$2)</f>
        <v>0.99118942731277537</v>
      </c>
      <c r="ER94" s="1">
        <f>1+(Table1[[#This Row],[error_ratio_2]]-EH$2)</f>
        <v>0.94282945736434109</v>
      </c>
      <c r="ES94" s="1">
        <f>1+(Table1[[#This Row],[error_ratio_3]]-EI$2)</f>
        <v>1</v>
      </c>
      <c r="ET94" s="1">
        <f>1+(Table1[[#This Row],[error_ratio_4]]-EJ$2)</f>
        <v>0.99083503054989819</v>
      </c>
      <c r="EU94" s="1">
        <f>1+(Table1[[#This Row],[error_ratio_5]]-EK$2)</f>
        <v>1.0257847533632287</v>
      </c>
      <c r="EV94" s="1">
        <f>1+(Table1[[#This Row],[error_ratio_6]]-EL$2)</f>
        <v>1.0010438413361169</v>
      </c>
      <c r="EW94" s="1">
        <f>1+(Table1[[#This Row],[error_ratio_7]]-EM$2)</f>
        <v>1.0155642023346303</v>
      </c>
      <c r="EX94" s="1">
        <f>1+(Table1[[#This Row],[error_ratio_8]]-EN$2)</f>
        <v>1.0605749486652978</v>
      </c>
      <c r="EY94" s="1">
        <f>1+(Table1[[#This Row],[error_ratio_9]]-EO$2)</f>
        <v>0.9990089197224975</v>
      </c>
    </row>
    <row r="95" spans="1:155" x14ac:dyDescent="0.75">
      <c r="A95">
        <v>10</v>
      </c>
      <c r="B95">
        <v>100</v>
      </c>
      <c r="C95">
        <v>100</v>
      </c>
      <c r="D95">
        <v>100</v>
      </c>
      <c r="E95">
        <v>100</v>
      </c>
      <c r="F95">
        <v>10</v>
      </c>
      <c r="G95">
        <v>10</v>
      </c>
      <c r="H95">
        <v>100</v>
      </c>
      <c r="I95">
        <v>100</v>
      </c>
      <c r="J95">
        <v>100</v>
      </c>
      <c r="K95">
        <v>969</v>
      </c>
      <c r="L95">
        <v>1161</v>
      </c>
      <c r="M95">
        <v>1017</v>
      </c>
      <c r="N95">
        <v>1048</v>
      </c>
      <c r="O95">
        <v>985</v>
      </c>
      <c r="P95">
        <v>818</v>
      </c>
      <c r="Q95">
        <v>933</v>
      </c>
      <c r="R95">
        <v>1038</v>
      </c>
      <c r="S95">
        <v>996</v>
      </c>
      <c r="T95">
        <v>1035</v>
      </c>
      <c r="U95">
        <v>980</v>
      </c>
      <c r="V95">
        <v>1135</v>
      </c>
      <c r="W95">
        <v>1032</v>
      </c>
      <c r="X95">
        <v>1010</v>
      </c>
      <c r="Y95">
        <v>982</v>
      </c>
      <c r="Z95">
        <v>892</v>
      </c>
      <c r="AA95">
        <v>958</v>
      </c>
      <c r="AB95">
        <v>1028</v>
      </c>
      <c r="AC95">
        <v>974</v>
      </c>
      <c r="AD95">
        <v>1009</v>
      </c>
      <c r="AE95">
        <v>952</v>
      </c>
      <c r="AF95">
        <v>0</v>
      </c>
      <c r="AG95">
        <v>0</v>
      </c>
      <c r="AH95">
        <v>2</v>
      </c>
      <c r="AI95">
        <v>3</v>
      </c>
      <c r="AJ95">
        <v>0</v>
      </c>
      <c r="AK95">
        <v>8</v>
      </c>
      <c r="AL95">
        <v>4</v>
      </c>
      <c r="AM95">
        <v>6</v>
      </c>
      <c r="AN95">
        <v>5</v>
      </c>
      <c r="AO95">
        <v>0</v>
      </c>
      <c r="AP95">
        <v>1135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1</v>
      </c>
      <c r="AZ95">
        <v>10</v>
      </c>
      <c r="BA95">
        <v>1008</v>
      </c>
      <c r="BB95">
        <v>1</v>
      </c>
      <c r="BC95">
        <v>0</v>
      </c>
      <c r="BD95">
        <v>0</v>
      </c>
      <c r="BE95">
        <v>0</v>
      </c>
      <c r="BF95">
        <v>5</v>
      </c>
      <c r="BG95">
        <v>6</v>
      </c>
      <c r="BH95">
        <v>1</v>
      </c>
      <c r="BI95">
        <v>1</v>
      </c>
      <c r="BJ95">
        <v>0</v>
      </c>
      <c r="BK95">
        <v>1</v>
      </c>
      <c r="BL95">
        <v>1003</v>
      </c>
      <c r="BM95">
        <v>0</v>
      </c>
      <c r="BN95">
        <v>0</v>
      </c>
      <c r="BO95">
        <v>0</v>
      </c>
      <c r="BP95">
        <v>3</v>
      </c>
      <c r="BQ95">
        <v>1</v>
      </c>
      <c r="BR95">
        <v>1</v>
      </c>
      <c r="BS95">
        <v>0</v>
      </c>
      <c r="BT95">
        <v>1</v>
      </c>
      <c r="BU95">
        <v>2</v>
      </c>
      <c r="BV95">
        <v>0</v>
      </c>
      <c r="BW95">
        <v>973</v>
      </c>
      <c r="BX95">
        <v>0</v>
      </c>
      <c r="BY95">
        <v>1</v>
      </c>
      <c r="BZ95">
        <v>1</v>
      </c>
      <c r="CA95">
        <v>0</v>
      </c>
      <c r="CB95">
        <v>4</v>
      </c>
      <c r="CC95">
        <v>2</v>
      </c>
      <c r="CD95">
        <v>2</v>
      </c>
      <c r="CE95">
        <v>1</v>
      </c>
      <c r="CF95">
        <v>38</v>
      </c>
      <c r="CG95">
        <v>0</v>
      </c>
      <c r="CH95">
        <v>814</v>
      </c>
      <c r="CI95">
        <v>4</v>
      </c>
      <c r="CJ95">
        <v>2</v>
      </c>
      <c r="CK95">
        <v>11</v>
      </c>
      <c r="CL95">
        <v>18</v>
      </c>
      <c r="CM95">
        <v>8</v>
      </c>
      <c r="CN95">
        <v>9</v>
      </c>
      <c r="CO95">
        <v>0</v>
      </c>
      <c r="CP95">
        <v>0</v>
      </c>
      <c r="CQ95">
        <v>6</v>
      </c>
      <c r="CR95">
        <v>3</v>
      </c>
      <c r="CS95">
        <v>920</v>
      </c>
      <c r="CT95">
        <v>0</v>
      </c>
      <c r="CU95">
        <v>12</v>
      </c>
      <c r="CV95">
        <v>0</v>
      </c>
      <c r="CW95">
        <v>0</v>
      </c>
      <c r="CX95">
        <v>3</v>
      </c>
      <c r="CY95">
        <v>3</v>
      </c>
      <c r="CZ95">
        <v>0</v>
      </c>
      <c r="DA95">
        <v>0</v>
      </c>
      <c r="DB95">
        <v>0</v>
      </c>
      <c r="DC95">
        <v>0</v>
      </c>
      <c r="DD95">
        <v>1018</v>
      </c>
      <c r="DE95">
        <v>2</v>
      </c>
      <c r="DF95">
        <v>2</v>
      </c>
      <c r="DG95">
        <v>4</v>
      </c>
      <c r="DH95">
        <v>0</v>
      </c>
      <c r="DI95">
        <v>2</v>
      </c>
      <c r="DJ95">
        <v>2</v>
      </c>
      <c r="DK95">
        <v>1</v>
      </c>
      <c r="DL95">
        <v>0</v>
      </c>
      <c r="DM95">
        <v>0</v>
      </c>
      <c r="DN95">
        <v>3</v>
      </c>
      <c r="DO95">
        <v>957</v>
      </c>
      <c r="DP95">
        <v>5</v>
      </c>
      <c r="DQ95">
        <v>1</v>
      </c>
      <c r="DR95">
        <v>1</v>
      </c>
      <c r="DS95">
        <v>0</v>
      </c>
      <c r="DT95">
        <v>2</v>
      </c>
      <c r="DU95">
        <v>2</v>
      </c>
      <c r="DV95">
        <v>1</v>
      </c>
      <c r="DW95">
        <v>0</v>
      </c>
      <c r="DX95">
        <v>2</v>
      </c>
      <c r="DY95">
        <v>1</v>
      </c>
      <c r="DZ95">
        <v>999</v>
      </c>
      <c r="EA95">
        <v>0.97789999999999999</v>
      </c>
      <c r="EB95">
        <v>0.97840598417200897</v>
      </c>
      <c r="EC95">
        <v>0.97678749499927497</v>
      </c>
      <c r="ED95">
        <v>0.97731631960371101</v>
      </c>
      <c r="EE95">
        <f>SUM(Table1[[#This Row],[ratio_0]:[ratio_9]])</f>
        <v>730</v>
      </c>
      <c r="EF95" s="1">
        <f>(Table1[[#This Row],[predicted_0]]-Table1[[#This Row],[actual_0]])/Table1[[#This Row],[actual_0]]</f>
        <v>-1.1224489795918367E-2</v>
      </c>
      <c r="EG95" s="1">
        <f>(Table1[[#This Row],[predicted_1]]-Table1[[#This Row],[actual_1]])/Table1[[#This Row],[actual_1]]</f>
        <v>2.2907488986784141E-2</v>
      </c>
      <c r="EH95" s="1">
        <f>(Table1[[#This Row],[predicted_2]]-Table1[[#This Row],[actual_2]])/Table1[[#This Row],[actual_2]]</f>
        <v>-1.4534883720930232E-2</v>
      </c>
      <c r="EI95" s="1">
        <f>(Table1[[#This Row],[predicted_3]]-Table1[[#This Row],[actual_3]])/Table1[[#This Row],[actual_3]]</f>
        <v>3.7623762376237622E-2</v>
      </c>
      <c r="EJ95" s="1">
        <f>(Table1[[#This Row],[predicted_4]]-Table1[[#This Row],[actual_4]])/Table1[[#This Row],[actual_4]]</f>
        <v>3.0549898167006109E-3</v>
      </c>
      <c r="EK95" s="1">
        <f>(Table1[[#This Row],[predicted_5]]-Table1[[#This Row],[actual_5]])/Table1[[#This Row],[actual_5]]</f>
        <v>-8.2959641255605385E-2</v>
      </c>
      <c r="EL95" s="1">
        <f>(Table1[[#This Row],[predicted_6]]-Table1[[#This Row],[actual_6]])/Table1[[#This Row],[actual_6]]</f>
        <v>-2.6096033402922755E-2</v>
      </c>
      <c r="EM95" s="1">
        <f>(Table1[[#This Row],[predicted_7]]-Table1[[#This Row],[actual_7]])/Table1[[#This Row],[actual_7]]</f>
        <v>9.727626459143969E-3</v>
      </c>
      <c r="EN95" s="1">
        <f>(Table1[[#This Row],[predicted_8]]-Table1[[#This Row],[actual_8]])/Table1[[#This Row],[actual_8]]</f>
        <v>2.2587268993839837E-2</v>
      </c>
      <c r="EO95" s="1">
        <f>(Table1[[#This Row],[predicted_9]]-Table1[[#This Row],[actual_9]])/Table1[[#This Row],[actual_9]]</f>
        <v>2.576808721506442E-2</v>
      </c>
      <c r="EP95" s="1">
        <f>1+(Table1[[#This Row],[error_ratio_0]]-EF$2)</f>
        <v>0.98673469387755097</v>
      </c>
      <c r="EQ95" s="1">
        <f>1+(Table1[[#This Row],[error_ratio_1]]-EG$2)</f>
        <v>1.0211453744493393</v>
      </c>
      <c r="ER95" s="1">
        <f>1+(Table1[[#This Row],[error_ratio_2]]-EH$2)</f>
        <v>0.99031007751937983</v>
      </c>
      <c r="ES95" s="1">
        <f>1+(Table1[[#This Row],[error_ratio_3]]-EI$2)</f>
        <v>1.0277227722772277</v>
      </c>
      <c r="ET95" s="1">
        <f>1+(Table1[[#This Row],[error_ratio_4]]-EJ$2)</f>
        <v>1.0020366598778003</v>
      </c>
      <c r="EU95" s="1">
        <f>1+(Table1[[#This Row],[error_ratio_5]]-EK$2)</f>
        <v>0.9159192825112108</v>
      </c>
      <c r="EV95" s="1">
        <f>1+(Table1[[#This Row],[error_ratio_6]]-EL$2)</f>
        <v>0.98016701461377875</v>
      </c>
      <c r="EW95" s="1">
        <f>1+(Table1[[#This Row],[error_ratio_7]]-EM$2)</f>
        <v>1.0077821011673151</v>
      </c>
      <c r="EX95" s="1">
        <f>1+(Table1[[#This Row],[error_ratio_8]]-EN$2)</f>
        <v>1.0256673511293635</v>
      </c>
      <c r="EY95" s="1">
        <f>1+(Table1[[#This Row],[error_ratio_9]]-EO$2)</f>
        <v>1.0297324083250743</v>
      </c>
    </row>
    <row r="96" spans="1:155" x14ac:dyDescent="0.75">
      <c r="A96">
        <v>100</v>
      </c>
      <c r="B96">
        <v>10</v>
      </c>
      <c r="C96">
        <v>100</v>
      </c>
      <c r="D96">
        <v>100</v>
      </c>
      <c r="E96">
        <v>100</v>
      </c>
      <c r="F96">
        <v>10</v>
      </c>
      <c r="G96">
        <v>10</v>
      </c>
      <c r="H96">
        <v>100</v>
      </c>
      <c r="I96">
        <v>100</v>
      </c>
      <c r="J96">
        <v>100</v>
      </c>
      <c r="K96">
        <v>992</v>
      </c>
      <c r="L96">
        <v>1108</v>
      </c>
      <c r="M96">
        <v>1037</v>
      </c>
      <c r="N96">
        <v>1004</v>
      </c>
      <c r="O96">
        <v>1005</v>
      </c>
      <c r="P96">
        <v>890</v>
      </c>
      <c r="Q96">
        <v>920</v>
      </c>
      <c r="R96">
        <v>1056</v>
      </c>
      <c r="S96">
        <v>978</v>
      </c>
      <c r="T96">
        <v>1010</v>
      </c>
      <c r="U96">
        <v>980</v>
      </c>
      <c r="V96">
        <v>1135</v>
      </c>
      <c r="W96">
        <v>1032</v>
      </c>
      <c r="X96">
        <v>1010</v>
      </c>
      <c r="Y96">
        <v>982</v>
      </c>
      <c r="Z96">
        <v>892</v>
      </c>
      <c r="AA96">
        <v>958</v>
      </c>
      <c r="AB96">
        <v>1028</v>
      </c>
      <c r="AC96">
        <v>974</v>
      </c>
      <c r="AD96">
        <v>1009</v>
      </c>
      <c r="AE96">
        <v>973</v>
      </c>
      <c r="AF96">
        <v>0</v>
      </c>
      <c r="AG96">
        <v>2</v>
      </c>
      <c r="AH96">
        <v>0</v>
      </c>
      <c r="AI96">
        <v>0</v>
      </c>
      <c r="AJ96">
        <v>0</v>
      </c>
      <c r="AK96">
        <v>1</v>
      </c>
      <c r="AL96">
        <v>3</v>
      </c>
      <c r="AM96">
        <v>1</v>
      </c>
      <c r="AN96">
        <v>0</v>
      </c>
      <c r="AO96">
        <v>0</v>
      </c>
      <c r="AP96">
        <v>1106</v>
      </c>
      <c r="AQ96">
        <v>8</v>
      </c>
      <c r="AR96">
        <v>0</v>
      </c>
      <c r="AS96">
        <v>3</v>
      </c>
      <c r="AT96">
        <v>1</v>
      </c>
      <c r="AU96">
        <v>1</v>
      </c>
      <c r="AV96">
        <v>5</v>
      </c>
      <c r="AW96">
        <v>10</v>
      </c>
      <c r="AX96">
        <v>1</v>
      </c>
      <c r="AY96">
        <v>1</v>
      </c>
      <c r="AZ96">
        <v>0</v>
      </c>
      <c r="BA96">
        <v>1013</v>
      </c>
      <c r="BB96">
        <v>0</v>
      </c>
      <c r="BC96">
        <v>0</v>
      </c>
      <c r="BD96">
        <v>0</v>
      </c>
      <c r="BE96">
        <v>0</v>
      </c>
      <c r="BF96">
        <v>12</v>
      </c>
      <c r="BG96">
        <v>5</v>
      </c>
      <c r="BH96">
        <v>1</v>
      </c>
      <c r="BI96">
        <v>1</v>
      </c>
      <c r="BJ96">
        <v>0</v>
      </c>
      <c r="BK96">
        <v>2</v>
      </c>
      <c r="BL96">
        <v>993</v>
      </c>
      <c r="BM96">
        <v>0</v>
      </c>
      <c r="BN96">
        <v>8</v>
      </c>
      <c r="BO96">
        <v>0</v>
      </c>
      <c r="BP96">
        <v>2</v>
      </c>
      <c r="BQ96">
        <v>2</v>
      </c>
      <c r="BR96">
        <v>2</v>
      </c>
      <c r="BS96">
        <v>0</v>
      </c>
      <c r="BT96">
        <v>0</v>
      </c>
      <c r="BU96">
        <v>0</v>
      </c>
      <c r="BV96">
        <v>0</v>
      </c>
      <c r="BW96">
        <v>978</v>
      </c>
      <c r="BX96">
        <v>0</v>
      </c>
      <c r="BY96">
        <v>0</v>
      </c>
      <c r="BZ96">
        <v>0</v>
      </c>
      <c r="CA96">
        <v>0</v>
      </c>
      <c r="CB96">
        <v>4</v>
      </c>
      <c r="CC96">
        <v>1</v>
      </c>
      <c r="CD96">
        <v>0</v>
      </c>
      <c r="CE96">
        <v>1</v>
      </c>
      <c r="CF96">
        <v>7</v>
      </c>
      <c r="CG96">
        <v>0</v>
      </c>
      <c r="CH96">
        <v>870</v>
      </c>
      <c r="CI96">
        <v>1</v>
      </c>
      <c r="CJ96">
        <v>3</v>
      </c>
      <c r="CK96">
        <v>2</v>
      </c>
      <c r="CL96">
        <v>7</v>
      </c>
      <c r="CM96">
        <v>12</v>
      </c>
      <c r="CN96">
        <v>1</v>
      </c>
      <c r="CO96">
        <v>2</v>
      </c>
      <c r="CP96">
        <v>0</v>
      </c>
      <c r="CQ96">
        <v>16</v>
      </c>
      <c r="CR96">
        <v>6</v>
      </c>
      <c r="CS96">
        <v>917</v>
      </c>
      <c r="CT96">
        <v>0</v>
      </c>
      <c r="CU96">
        <v>4</v>
      </c>
      <c r="CV96">
        <v>0</v>
      </c>
      <c r="CW96">
        <v>0</v>
      </c>
      <c r="CX96">
        <v>1</v>
      </c>
      <c r="CY96">
        <v>6</v>
      </c>
      <c r="CZ96">
        <v>1</v>
      </c>
      <c r="DA96">
        <v>0</v>
      </c>
      <c r="DB96">
        <v>0</v>
      </c>
      <c r="DC96">
        <v>0</v>
      </c>
      <c r="DD96">
        <v>1017</v>
      </c>
      <c r="DE96">
        <v>1</v>
      </c>
      <c r="DF96">
        <v>2</v>
      </c>
      <c r="DG96">
        <v>3</v>
      </c>
      <c r="DH96">
        <v>0</v>
      </c>
      <c r="DI96">
        <v>2</v>
      </c>
      <c r="DJ96">
        <v>2</v>
      </c>
      <c r="DK96">
        <v>2</v>
      </c>
      <c r="DL96">
        <v>1</v>
      </c>
      <c r="DM96">
        <v>0</v>
      </c>
      <c r="DN96">
        <v>8</v>
      </c>
      <c r="DO96">
        <v>953</v>
      </c>
      <c r="DP96">
        <v>3</v>
      </c>
      <c r="DQ96">
        <v>1</v>
      </c>
      <c r="DR96">
        <v>0</v>
      </c>
      <c r="DS96">
        <v>1</v>
      </c>
      <c r="DT96">
        <v>1</v>
      </c>
      <c r="DU96">
        <v>6</v>
      </c>
      <c r="DV96">
        <v>4</v>
      </c>
      <c r="DW96">
        <v>0</v>
      </c>
      <c r="DX96">
        <v>6</v>
      </c>
      <c r="DY96">
        <v>0</v>
      </c>
      <c r="DZ96">
        <v>990</v>
      </c>
      <c r="EA96">
        <v>0.98099999999999998</v>
      </c>
      <c r="EB96">
        <v>0.98100472391527804</v>
      </c>
      <c r="EC96">
        <v>0.98094379651899799</v>
      </c>
      <c r="ED96">
        <v>0.98088349696450405</v>
      </c>
      <c r="EE96">
        <f>SUM(Table1[[#This Row],[ratio_0]:[ratio_9]])</f>
        <v>730</v>
      </c>
      <c r="EF96" s="1">
        <f>(Table1[[#This Row],[predicted_0]]-Table1[[#This Row],[actual_0]])/Table1[[#This Row],[actual_0]]</f>
        <v>1.2244897959183673E-2</v>
      </c>
      <c r="EG96" s="1">
        <f>(Table1[[#This Row],[predicted_1]]-Table1[[#This Row],[actual_1]])/Table1[[#This Row],[actual_1]]</f>
        <v>-2.378854625550661E-2</v>
      </c>
      <c r="EH96" s="1">
        <f>(Table1[[#This Row],[predicted_2]]-Table1[[#This Row],[actual_2]])/Table1[[#This Row],[actual_2]]</f>
        <v>4.8449612403100775E-3</v>
      </c>
      <c r="EI96" s="1">
        <f>(Table1[[#This Row],[predicted_3]]-Table1[[#This Row],[actual_3]])/Table1[[#This Row],[actual_3]]</f>
        <v>-5.9405940594059407E-3</v>
      </c>
      <c r="EJ96" s="1">
        <f>(Table1[[#This Row],[predicted_4]]-Table1[[#This Row],[actual_4]])/Table1[[#This Row],[actual_4]]</f>
        <v>2.3421588594704685E-2</v>
      </c>
      <c r="EK96" s="1">
        <f>(Table1[[#This Row],[predicted_5]]-Table1[[#This Row],[actual_5]])/Table1[[#This Row],[actual_5]]</f>
        <v>-2.242152466367713E-3</v>
      </c>
      <c r="EL96" s="1">
        <f>(Table1[[#This Row],[predicted_6]]-Table1[[#This Row],[actual_6]])/Table1[[#This Row],[actual_6]]</f>
        <v>-3.9665970772442591E-2</v>
      </c>
      <c r="EM96" s="1">
        <f>(Table1[[#This Row],[predicted_7]]-Table1[[#This Row],[actual_7]])/Table1[[#This Row],[actual_7]]</f>
        <v>2.7237354085603113E-2</v>
      </c>
      <c r="EN96" s="1">
        <f>(Table1[[#This Row],[predicted_8]]-Table1[[#This Row],[actual_8]])/Table1[[#This Row],[actual_8]]</f>
        <v>4.1067761806981521E-3</v>
      </c>
      <c r="EO96" s="1">
        <f>(Table1[[#This Row],[predicted_9]]-Table1[[#This Row],[actual_9]])/Table1[[#This Row],[actual_9]]</f>
        <v>9.9108027750247768E-4</v>
      </c>
      <c r="EP96" s="1">
        <f>1+(Table1[[#This Row],[error_ratio_0]]-EF$2)</f>
        <v>1.010204081632653</v>
      </c>
      <c r="EQ96" s="1">
        <f>1+(Table1[[#This Row],[error_ratio_1]]-EG$2)</f>
        <v>0.97444933920704846</v>
      </c>
      <c r="ER96" s="1">
        <f>1+(Table1[[#This Row],[error_ratio_2]]-EH$2)</f>
        <v>1.0096899224806202</v>
      </c>
      <c r="ES96" s="1">
        <f>1+(Table1[[#This Row],[error_ratio_3]]-EI$2)</f>
        <v>0.98415841584158414</v>
      </c>
      <c r="ET96" s="1">
        <f>1+(Table1[[#This Row],[error_ratio_4]]-EJ$2)</f>
        <v>1.0224032586558045</v>
      </c>
      <c r="EU96" s="1">
        <f>1+(Table1[[#This Row],[error_ratio_5]]-EK$2)</f>
        <v>0.99663677130044848</v>
      </c>
      <c r="EV96" s="1">
        <f>1+(Table1[[#This Row],[error_ratio_6]]-EL$2)</f>
        <v>0.96659707724425892</v>
      </c>
      <c r="EW96" s="1">
        <f>1+(Table1[[#This Row],[error_ratio_7]]-EM$2)</f>
        <v>1.0252918287937742</v>
      </c>
      <c r="EX96" s="1">
        <f>1+(Table1[[#This Row],[error_ratio_8]]-EN$2)</f>
        <v>1.0071868583162218</v>
      </c>
      <c r="EY96" s="1">
        <f>1+(Table1[[#This Row],[error_ratio_9]]-EO$2)</f>
        <v>1.0049554013875124</v>
      </c>
    </row>
    <row r="97" spans="1:155" x14ac:dyDescent="0.75">
      <c r="A97">
        <v>10</v>
      </c>
      <c r="B97">
        <v>10</v>
      </c>
      <c r="C97">
        <v>100</v>
      </c>
      <c r="D97">
        <v>100</v>
      </c>
      <c r="E97">
        <v>100</v>
      </c>
      <c r="F97">
        <v>10</v>
      </c>
      <c r="G97">
        <v>10</v>
      </c>
      <c r="H97">
        <v>100</v>
      </c>
      <c r="I97">
        <v>100</v>
      </c>
      <c r="J97">
        <v>100</v>
      </c>
      <c r="K97">
        <v>997</v>
      </c>
      <c r="L97">
        <v>1130</v>
      </c>
      <c r="M97">
        <v>1026</v>
      </c>
      <c r="N97">
        <v>1028</v>
      </c>
      <c r="O97">
        <v>1028</v>
      </c>
      <c r="P97">
        <v>861</v>
      </c>
      <c r="Q97">
        <v>868</v>
      </c>
      <c r="R97">
        <v>1043</v>
      </c>
      <c r="S97">
        <v>992</v>
      </c>
      <c r="T97">
        <v>1027</v>
      </c>
      <c r="U97">
        <v>980</v>
      </c>
      <c r="V97">
        <v>1135</v>
      </c>
      <c r="W97">
        <v>1032</v>
      </c>
      <c r="X97">
        <v>1010</v>
      </c>
      <c r="Y97">
        <v>982</v>
      </c>
      <c r="Z97">
        <v>892</v>
      </c>
      <c r="AA97">
        <v>958</v>
      </c>
      <c r="AB97">
        <v>1028</v>
      </c>
      <c r="AC97">
        <v>974</v>
      </c>
      <c r="AD97">
        <v>1009</v>
      </c>
      <c r="AE97">
        <v>965</v>
      </c>
      <c r="AF97">
        <v>1</v>
      </c>
      <c r="AG97">
        <v>0</v>
      </c>
      <c r="AH97">
        <v>0</v>
      </c>
      <c r="AI97">
        <v>1</v>
      </c>
      <c r="AJ97">
        <v>0</v>
      </c>
      <c r="AK97">
        <v>0</v>
      </c>
      <c r="AL97">
        <v>3</v>
      </c>
      <c r="AM97">
        <v>3</v>
      </c>
      <c r="AN97">
        <v>7</v>
      </c>
      <c r="AO97">
        <v>0</v>
      </c>
      <c r="AP97">
        <v>1124</v>
      </c>
      <c r="AQ97">
        <v>2</v>
      </c>
      <c r="AR97">
        <v>3</v>
      </c>
      <c r="AS97">
        <v>0</v>
      </c>
      <c r="AT97">
        <v>1</v>
      </c>
      <c r="AU97">
        <v>0</v>
      </c>
      <c r="AV97">
        <v>3</v>
      </c>
      <c r="AW97">
        <v>2</v>
      </c>
      <c r="AX97">
        <v>0</v>
      </c>
      <c r="AY97">
        <v>2</v>
      </c>
      <c r="AZ97">
        <v>0</v>
      </c>
      <c r="BA97">
        <v>1015</v>
      </c>
      <c r="BB97">
        <v>4</v>
      </c>
      <c r="BC97">
        <v>1</v>
      </c>
      <c r="BD97">
        <v>0</v>
      </c>
      <c r="BE97">
        <v>0</v>
      </c>
      <c r="BF97">
        <v>7</v>
      </c>
      <c r="BG97">
        <v>3</v>
      </c>
      <c r="BH97">
        <v>0</v>
      </c>
      <c r="BI97">
        <v>0</v>
      </c>
      <c r="BJ97">
        <v>0</v>
      </c>
      <c r="BK97">
        <v>1</v>
      </c>
      <c r="BL97">
        <v>1001</v>
      </c>
      <c r="BM97">
        <v>0</v>
      </c>
      <c r="BN97">
        <v>2</v>
      </c>
      <c r="BO97">
        <v>0</v>
      </c>
      <c r="BP97">
        <v>2</v>
      </c>
      <c r="BQ97">
        <v>1</v>
      </c>
      <c r="BR97">
        <v>3</v>
      </c>
      <c r="BS97">
        <v>0</v>
      </c>
      <c r="BT97">
        <v>0</v>
      </c>
      <c r="BU97">
        <v>0</v>
      </c>
      <c r="BV97">
        <v>0</v>
      </c>
      <c r="BW97">
        <v>978</v>
      </c>
      <c r="BX97">
        <v>0</v>
      </c>
      <c r="BY97">
        <v>0</v>
      </c>
      <c r="BZ97">
        <v>0</v>
      </c>
      <c r="CA97">
        <v>0</v>
      </c>
      <c r="CB97">
        <v>4</v>
      </c>
      <c r="CC97">
        <v>4</v>
      </c>
      <c r="CD97">
        <v>0</v>
      </c>
      <c r="CE97">
        <v>1</v>
      </c>
      <c r="CF97">
        <v>17</v>
      </c>
      <c r="CG97">
        <v>0</v>
      </c>
      <c r="CH97">
        <v>850</v>
      </c>
      <c r="CI97">
        <v>1</v>
      </c>
      <c r="CJ97">
        <v>2</v>
      </c>
      <c r="CK97">
        <v>10</v>
      </c>
      <c r="CL97">
        <v>7</v>
      </c>
      <c r="CM97">
        <v>23</v>
      </c>
      <c r="CN97">
        <v>5</v>
      </c>
      <c r="CO97">
        <v>0</v>
      </c>
      <c r="CP97">
        <v>0</v>
      </c>
      <c r="CQ97">
        <v>44</v>
      </c>
      <c r="CR97">
        <v>6</v>
      </c>
      <c r="CS97">
        <v>867</v>
      </c>
      <c r="CT97">
        <v>0</v>
      </c>
      <c r="CU97">
        <v>13</v>
      </c>
      <c r="CV97">
        <v>0</v>
      </c>
      <c r="CW97">
        <v>0</v>
      </c>
      <c r="CX97">
        <v>0</v>
      </c>
      <c r="CY97">
        <v>5</v>
      </c>
      <c r="CZ97">
        <v>0</v>
      </c>
      <c r="DA97">
        <v>0</v>
      </c>
      <c r="DB97">
        <v>0</v>
      </c>
      <c r="DC97">
        <v>0</v>
      </c>
      <c r="DD97">
        <v>1019</v>
      </c>
      <c r="DE97">
        <v>1</v>
      </c>
      <c r="DF97">
        <v>3</v>
      </c>
      <c r="DG97">
        <v>2</v>
      </c>
      <c r="DH97">
        <v>0</v>
      </c>
      <c r="DI97">
        <v>2</v>
      </c>
      <c r="DJ97">
        <v>0</v>
      </c>
      <c r="DK97">
        <v>0</v>
      </c>
      <c r="DL97">
        <v>0</v>
      </c>
      <c r="DM97">
        <v>0</v>
      </c>
      <c r="DN97">
        <v>1</v>
      </c>
      <c r="DO97">
        <v>958</v>
      </c>
      <c r="DP97">
        <v>11</v>
      </c>
      <c r="DQ97">
        <v>1</v>
      </c>
      <c r="DR97">
        <v>0</v>
      </c>
      <c r="DS97">
        <v>0</v>
      </c>
      <c r="DT97">
        <v>3</v>
      </c>
      <c r="DU97">
        <v>4</v>
      </c>
      <c r="DV97">
        <v>2</v>
      </c>
      <c r="DW97">
        <v>0</v>
      </c>
      <c r="DX97">
        <v>6</v>
      </c>
      <c r="DY97">
        <v>1</v>
      </c>
      <c r="DZ97">
        <v>992</v>
      </c>
      <c r="EA97">
        <v>0.97689999999999999</v>
      </c>
      <c r="EB97">
        <v>0.97716775052892102</v>
      </c>
      <c r="EC97">
        <v>0.97614400718993799</v>
      </c>
      <c r="ED97">
        <v>0.97630614039497998</v>
      </c>
      <c r="EE97">
        <f>SUM(Table1[[#This Row],[ratio_0]:[ratio_9]])</f>
        <v>640</v>
      </c>
      <c r="EF97" s="1">
        <f>(Table1[[#This Row],[predicted_0]]-Table1[[#This Row],[actual_0]])/Table1[[#This Row],[actual_0]]</f>
        <v>1.7346938775510204E-2</v>
      </c>
      <c r="EG97" s="1">
        <f>(Table1[[#This Row],[predicted_1]]-Table1[[#This Row],[actual_1]])/Table1[[#This Row],[actual_1]]</f>
        <v>-4.4052863436123352E-3</v>
      </c>
      <c r="EH97" s="1">
        <f>(Table1[[#This Row],[predicted_2]]-Table1[[#This Row],[actual_2]])/Table1[[#This Row],[actual_2]]</f>
        <v>-5.8139534883720929E-3</v>
      </c>
      <c r="EI97" s="1">
        <f>(Table1[[#This Row],[predicted_3]]-Table1[[#This Row],[actual_3]])/Table1[[#This Row],[actual_3]]</f>
        <v>1.782178217821782E-2</v>
      </c>
      <c r="EJ97" s="1">
        <f>(Table1[[#This Row],[predicted_4]]-Table1[[#This Row],[actual_4]])/Table1[[#This Row],[actual_4]]</f>
        <v>4.684317718940937E-2</v>
      </c>
      <c r="EK97" s="1">
        <f>(Table1[[#This Row],[predicted_5]]-Table1[[#This Row],[actual_5]])/Table1[[#This Row],[actual_5]]</f>
        <v>-3.4753363228699555E-2</v>
      </c>
      <c r="EL97" s="1">
        <f>(Table1[[#This Row],[predicted_6]]-Table1[[#This Row],[actual_6]])/Table1[[#This Row],[actual_6]]</f>
        <v>-9.3945720250521919E-2</v>
      </c>
      <c r="EM97" s="1">
        <f>(Table1[[#This Row],[predicted_7]]-Table1[[#This Row],[actual_7]])/Table1[[#This Row],[actual_7]]</f>
        <v>1.4591439688715954E-2</v>
      </c>
      <c r="EN97" s="1">
        <f>(Table1[[#This Row],[predicted_8]]-Table1[[#This Row],[actual_8]])/Table1[[#This Row],[actual_8]]</f>
        <v>1.8480492813141684E-2</v>
      </c>
      <c r="EO97" s="1">
        <f>(Table1[[#This Row],[predicted_9]]-Table1[[#This Row],[actual_9]])/Table1[[#This Row],[actual_9]]</f>
        <v>1.7839444995044598E-2</v>
      </c>
      <c r="EP97" s="1">
        <f>1+(Table1[[#This Row],[error_ratio_0]]-EF$2)</f>
        <v>1.0153061224489797</v>
      </c>
      <c r="EQ97" s="1">
        <f>1+(Table1[[#This Row],[error_ratio_1]]-EG$2)</f>
        <v>0.99383259911894273</v>
      </c>
      <c r="ER97" s="1">
        <f>1+(Table1[[#This Row],[error_ratio_2]]-EH$2)</f>
        <v>0.99903100775193798</v>
      </c>
      <c r="ES97" s="1">
        <f>1+(Table1[[#This Row],[error_ratio_3]]-EI$2)</f>
        <v>1.0079207920792079</v>
      </c>
      <c r="ET97" s="1">
        <f>1+(Table1[[#This Row],[error_ratio_4]]-EJ$2)</f>
        <v>1.0458248472505092</v>
      </c>
      <c r="EU97" s="1">
        <f>1+(Table1[[#This Row],[error_ratio_5]]-EK$2)</f>
        <v>0.9641255605381166</v>
      </c>
      <c r="EV97" s="1">
        <f>1+(Table1[[#This Row],[error_ratio_6]]-EL$2)</f>
        <v>0.91231732776617958</v>
      </c>
      <c r="EW97" s="1">
        <f>1+(Table1[[#This Row],[error_ratio_7]]-EM$2)</f>
        <v>1.0126459143968871</v>
      </c>
      <c r="EX97" s="1">
        <f>1+(Table1[[#This Row],[error_ratio_8]]-EN$2)</f>
        <v>1.0215605749486654</v>
      </c>
      <c r="EY97" s="1">
        <f>1+(Table1[[#This Row],[error_ratio_9]]-EO$2)</f>
        <v>1.0218037661050545</v>
      </c>
    </row>
    <row r="98" spans="1:155" x14ac:dyDescent="0.75">
      <c r="A98">
        <v>10</v>
      </c>
      <c r="B98">
        <v>100</v>
      </c>
      <c r="C98">
        <v>10</v>
      </c>
      <c r="D98">
        <v>100</v>
      </c>
      <c r="E98">
        <v>100</v>
      </c>
      <c r="F98">
        <v>10</v>
      </c>
      <c r="G98">
        <v>10</v>
      </c>
      <c r="H98">
        <v>100</v>
      </c>
      <c r="I98">
        <v>100</v>
      </c>
      <c r="J98">
        <v>100</v>
      </c>
      <c r="K98">
        <v>987</v>
      </c>
      <c r="L98">
        <v>1160</v>
      </c>
      <c r="M98">
        <v>930</v>
      </c>
      <c r="N98">
        <v>1032</v>
      </c>
      <c r="O98">
        <v>1008</v>
      </c>
      <c r="P98">
        <v>847</v>
      </c>
      <c r="Q98">
        <v>923</v>
      </c>
      <c r="R98">
        <v>1036</v>
      </c>
      <c r="S98">
        <v>1036</v>
      </c>
      <c r="T98">
        <v>1041</v>
      </c>
      <c r="U98">
        <v>980</v>
      </c>
      <c r="V98">
        <v>1135</v>
      </c>
      <c r="W98">
        <v>1032</v>
      </c>
      <c r="X98">
        <v>1010</v>
      </c>
      <c r="Y98">
        <v>982</v>
      </c>
      <c r="Z98">
        <v>892</v>
      </c>
      <c r="AA98">
        <v>958</v>
      </c>
      <c r="AB98">
        <v>1028</v>
      </c>
      <c r="AC98">
        <v>974</v>
      </c>
      <c r="AD98">
        <v>1009</v>
      </c>
      <c r="AE98">
        <v>963</v>
      </c>
      <c r="AF98">
        <v>2</v>
      </c>
      <c r="AG98">
        <v>0</v>
      </c>
      <c r="AH98">
        <v>0</v>
      </c>
      <c r="AI98">
        <v>1</v>
      </c>
      <c r="AJ98">
        <v>0</v>
      </c>
      <c r="AK98">
        <v>3</v>
      </c>
      <c r="AL98">
        <v>2</v>
      </c>
      <c r="AM98">
        <v>4</v>
      </c>
      <c r="AN98">
        <v>5</v>
      </c>
      <c r="AO98">
        <v>0</v>
      </c>
      <c r="AP98">
        <v>1132</v>
      </c>
      <c r="AQ98">
        <v>0</v>
      </c>
      <c r="AR98">
        <v>1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2</v>
      </c>
      <c r="AY98">
        <v>6</v>
      </c>
      <c r="AZ98">
        <v>14</v>
      </c>
      <c r="BA98">
        <v>926</v>
      </c>
      <c r="BB98">
        <v>9</v>
      </c>
      <c r="BC98">
        <v>16</v>
      </c>
      <c r="BD98">
        <v>1</v>
      </c>
      <c r="BE98">
        <v>0</v>
      </c>
      <c r="BF98">
        <v>23</v>
      </c>
      <c r="BG98">
        <v>31</v>
      </c>
      <c r="BH98">
        <v>6</v>
      </c>
      <c r="BI98">
        <v>0</v>
      </c>
      <c r="BJ98">
        <v>0</v>
      </c>
      <c r="BK98">
        <v>0</v>
      </c>
      <c r="BL98">
        <v>1002</v>
      </c>
      <c r="BM98">
        <v>0</v>
      </c>
      <c r="BN98">
        <v>1</v>
      </c>
      <c r="BO98">
        <v>0</v>
      </c>
      <c r="BP98">
        <v>1</v>
      </c>
      <c r="BQ98">
        <v>3</v>
      </c>
      <c r="BR98">
        <v>3</v>
      </c>
      <c r="BS98">
        <v>0</v>
      </c>
      <c r="BT98">
        <v>0</v>
      </c>
      <c r="BU98">
        <v>0</v>
      </c>
      <c r="BV98">
        <v>0</v>
      </c>
      <c r="BW98">
        <v>971</v>
      </c>
      <c r="BX98">
        <v>0</v>
      </c>
      <c r="BY98">
        <v>0</v>
      </c>
      <c r="BZ98">
        <v>0</v>
      </c>
      <c r="CA98">
        <v>0</v>
      </c>
      <c r="CB98">
        <v>11</v>
      </c>
      <c r="CC98">
        <v>4</v>
      </c>
      <c r="CD98">
        <v>1</v>
      </c>
      <c r="CE98">
        <v>0</v>
      </c>
      <c r="CF98">
        <v>17</v>
      </c>
      <c r="CG98">
        <v>0</v>
      </c>
      <c r="CH98">
        <v>838</v>
      </c>
      <c r="CI98">
        <v>2</v>
      </c>
      <c r="CJ98">
        <v>1</v>
      </c>
      <c r="CK98">
        <v>25</v>
      </c>
      <c r="CL98">
        <v>4</v>
      </c>
      <c r="CM98">
        <v>11</v>
      </c>
      <c r="CN98">
        <v>4</v>
      </c>
      <c r="CO98">
        <v>0</v>
      </c>
      <c r="CP98">
        <v>0</v>
      </c>
      <c r="CQ98">
        <v>15</v>
      </c>
      <c r="CR98">
        <v>5</v>
      </c>
      <c r="CS98">
        <v>917</v>
      </c>
      <c r="CT98">
        <v>0</v>
      </c>
      <c r="CU98">
        <v>6</v>
      </c>
      <c r="CV98">
        <v>0</v>
      </c>
      <c r="CW98">
        <v>0</v>
      </c>
      <c r="CX98">
        <v>4</v>
      </c>
      <c r="CY98">
        <v>3</v>
      </c>
      <c r="CZ98">
        <v>1</v>
      </c>
      <c r="DA98">
        <v>0</v>
      </c>
      <c r="DB98">
        <v>0</v>
      </c>
      <c r="DC98">
        <v>0</v>
      </c>
      <c r="DD98">
        <v>1008</v>
      </c>
      <c r="DE98">
        <v>3</v>
      </c>
      <c r="DF98">
        <v>9</v>
      </c>
      <c r="DG98">
        <v>2</v>
      </c>
      <c r="DH98">
        <v>2</v>
      </c>
      <c r="DI98">
        <v>1</v>
      </c>
      <c r="DJ98">
        <v>1</v>
      </c>
      <c r="DK98">
        <v>1</v>
      </c>
      <c r="DL98">
        <v>0</v>
      </c>
      <c r="DM98">
        <v>1</v>
      </c>
      <c r="DN98">
        <v>1</v>
      </c>
      <c r="DO98">
        <v>962</v>
      </c>
      <c r="DP98">
        <v>3</v>
      </c>
      <c r="DQ98">
        <v>1</v>
      </c>
      <c r="DR98">
        <v>1</v>
      </c>
      <c r="DS98">
        <v>0</v>
      </c>
      <c r="DT98">
        <v>1</v>
      </c>
      <c r="DU98">
        <v>4</v>
      </c>
      <c r="DV98">
        <v>2</v>
      </c>
      <c r="DW98">
        <v>0</v>
      </c>
      <c r="DX98">
        <v>0</v>
      </c>
      <c r="DY98">
        <v>2</v>
      </c>
      <c r="DZ98">
        <v>998</v>
      </c>
      <c r="EA98">
        <v>0.97170000000000001</v>
      </c>
      <c r="EB98">
        <v>0.97245804534409996</v>
      </c>
      <c r="EC98">
        <v>0.97121612138309998</v>
      </c>
      <c r="ED98">
        <v>0.97132556274465798</v>
      </c>
      <c r="EE98">
        <f>SUM(Table1[[#This Row],[ratio_0]:[ratio_9]])</f>
        <v>640</v>
      </c>
      <c r="EF98" s="1">
        <f>(Table1[[#This Row],[predicted_0]]-Table1[[#This Row],[actual_0]])/Table1[[#This Row],[actual_0]]</f>
        <v>7.1428571428571426E-3</v>
      </c>
      <c r="EG98" s="1">
        <f>(Table1[[#This Row],[predicted_1]]-Table1[[#This Row],[actual_1]])/Table1[[#This Row],[actual_1]]</f>
        <v>2.2026431718061675E-2</v>
      </c>
      <c r="EH98" s="1">
        <f>(Table1[[#This Row],[predicted_2]]-Table1[[#This Row],[actual_2]])/Table1[[#This Row],[actual_2]]</f>
        <v>-9.8837209302325577E-2</v>
      </c>
      <c r="EI98" s="1">
        <f>(Table1[[#This Row],[predicted_3]]-Table1[[#This Row],[actual_3]])/Table1[[#This Row],[actual_3]]</f>
        <v>2.1782178217821781E-2</v>
      </c>
      <c r="EJ98" s="1">
        <f>(Table1[[#This Row],[predicted_4]]-Table1[[#This Row],[actual_4]])/Table1[[#This Row],[actual_4]]</f>
        <v>2.6476578411405296E-2</v>
      </c>
      <c r="EK98" s="1">
        <f>(Table1[[#This Row],[predicted_5]]-Table1[[#This Row],[actual_5]])/Table1[[#This Row],[actual_5]]</f>
        <v>-5.0448430493273543E-2</v>
      </c>
      <c r="EL98" s="1">
        <f>(Table1[[#This Row],[predicted_6]]-Table1[[#This Row],[actual_6]])/Table1[[#This Row],[actual_6]]</f>
        <v>-3.6534446764091857E-2</v>
      </c>
      <c r="EM98" s="1">
        <f>(Table1[[#This Row],[predicted_7]]-Table1[[#This Row],[actual_7]])/Table1[[#This Row],[actual_7]]</f>
        <v>7.7821011673151752E-3</v>
      </c>
      <c r="EN98" s="1">
        <f>(Table1[[#This Row],[predicted_8]]-Table1[[#This Row],[actual_8]])/Table1[[#This Row],[actual_8]]</f>
        <v>6.3655030800821355E-2</v>
      </c>
      <c r="EO98" s="1">
        <f>(Table1[[#This Row],[predicted_9]]-Table1[[#This Row],[actual_9]])/Table1[[#This Row],[actual_9]]</f>
        <v>3.1714568880079286E-2</v>
      </c>
      <c r="EP98" s="1">
        <f>1+(Table1[[#This Row],[error_ratio_0]]-EF$2)</f>
        <v>1.0051020408163265</v>
      </c>
      <c r="EQ98" s="1">
        <f>1+(Table1[[#This Row],[error_ratio_1]]-EG$2)</f>
        <v>1.0202643171806167</v>
      </c>
      <c r="ER98" s="1">
        <f>1+(Table1[[#This Row],[error_ratio_2]]-EH$2)</f>
        <v>0.90600775193798455</v>
      </c>
      <c r="ES98" s="1">
        <f>1+(Table1[[#This Row],[error_ratio_3]]-EI$2)</f>
        <v>1.0118811881188119</v>
      </c>
      <c r="ET98" s="1">
        <f>1+(Table1[[#This Row],[error_ratio_4]]-EJ$2)</f>
        <v>1.025458248472505</v>
      </c>
      <c r="EU98" s="1">
        <f>1+(Table1[[#This Row],[error_ratio_5]]-EK$2)</f>
        <v>0.94843049327354256</v>
      </c>
      <c r="EV98" s="1">
        <f>1+(Table1[[#This Row],[error_ratio_6]]-EL$2)</f>
        <v>0.96972860125260962</v>
      </c>
      <c r="EW98" s="1">
        <f>1+(Table1[[#This Row],[error_ratio_7]]-EM$2)</f>
        <v>1.0058365758754864</v>
      </c>
      <c r="EX98" s="1">
        <f>1+(Table1[[#This Row],[error_ratio_8]]-EN$2)</f>
        <v>1.0667351129363449</v>
      </c>
      <c r="EY98" s="1">
        <f>1+(Table1[[#This Row],[error_ratio_9]]-EO$2)</f>
        <v>1.0356788899900893</v>
      </c>
    </row>
    <row r="99" spans="1:155" x14ac:dyDescent="0.75">
      <c r="A99">
        <v>100</v>
      </c>
      <c r="B99">
        <v>10</v>
      </c>
      <c r="C99">
        <v>10</v>
      </c>
      <c r="D99">
        <v>100</v>
      </c>
      <c r="E99">
        <v>100</v>
      </c>
      <c r="F99">
        <v>10</v>
      </c>
      <c r="G99">
        <v>10</v>
      </c>
      <c r="H99">
        <v>100</v>
      </c>
      <c r="I99">
        <v>100</v>
      </c>
      <c r="J99">
        <v>100</v>
      </c>
      <c r="K99">
        <v>992</v>
      </c>
      <c r="L99">
        <v>1110</v>
      </c>
      <c r="M99">
        <v>1009</v>
      </c>
      <c r="N99">
        <v>1040</v>
      </c>
      <c r="O99">
        <v>978</v>
      </c>
      <c r="P99">
        <v>797</v>
      </c>
      <c r="Q99">
        <v>932</v>
      </c>
      <c r="R99">
        <v>1074</v>
      </c>
      <c r="S99">
        <v>1071</v>
      </c>
      <c r="T99">
        <v>997</v>
      </c>
      <c r="U99">
        <v>980</v>
      </c>
      <c r="V99">
        <v>1135</v>
      </c>
      <c r="W99">
        <v>1032</v>
      </c>
      <c r="X99">
        <v>1010</v>
      </c>
      <c r="Y99">
        <v>982</v>
      </c>
      <c r="Z99">
        <v>892</v>
      </c>
      <c r="AA99">
        <v>958</v>
      </c>
      <c r="AB99">
        <v>1028</v>
      </c>
      <c r="AC99">
        <v>974</v>
      </c>
      <c r="AD99">
        <v>1009</v>
      </c>
      <c r="AE99">
        <v>973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1</v>
      </c>
      <c r="AL99">
        <v>2</v>
      </c>
      <c r="AM99">
        <v>4</v>
      </c>
      <c r="AN99">
        <v>0</v>
      </c>
      <c r="AO99">
        <v>0</v>
      </c>
      <c r="AP99">
        <v>1107</v>
      </c>
      <c r="AQ99">
        <v>1</v>
      </c>
      <c r="AR99">
        <v>6</v>
      </c>
      <c r="AS99">
        <v>1</v>
      </c>
      <c r="AT99">
        <v>2</v>
      </c>
      <c r="AU99">
        <v>1</v>
      </c>
      <c r="AV99">
        <v>11</v>
      </c>
      <c r="AW99">
        <v>6</v>
      </c>
      <c r="AX99">
        <v>0</v>
      </c>
      <c r="AY99">
        <v>3</v>
      </c>
      <c r="AZ99">
        <v>0</v>
      </c>
      <c r="BA99">
        <v>989</v>
      </c>
      <c r="BB99">
        <v>4</v>
      </c>
      <c r="BC99">
        <v>4</v>
      </c>
      <c r="BD99">
        <v>0</v>
      </c>
      <c r="BE99">
        <v>0</v>
      </c>
      <c r="BF99">
        <v>15</v>
      </c>
      <c r="BG99">
        <v>16</v>
      </c>
      <c r="BH99">
        <v>1</v>
      </c>
      <c r="BI99">
        <v>0</v>
      </c>
      <c r="BJ99">
        <v>0</v>
      </c>
      <c r="BK99">
        <v>2</v>
      </c>
      <c r="BL99">
        <v>996</v>
      </c>
      <c r="BM99">
        <v>0</v>
      </c>
      <c r="BN99">
        <v>1</v>
      </c>
      <c r="BO99">
        <v>0</v>
      </c>
      <c r="BP99">
        <v>5</v>
      </c>
      <c r="BQ99">
        <v>6</v>
      </c>
      <c r="BR99">
        <v>0</v>
      </c>
      <c r="BS99">
        <v>0</v>
      </c>
      <c r="BT99">
        <v>0</v>
      </c>
      <c r="BU99">
        <v>11</v>
      </c>
      <c r="BV99">
        <v>0</v>
      </c>
      <c r="BW99">
        <v>965</v>
      </c>
      <c r="BX99">
        <v>0</v>
      </c>
      <c r="BY99">
        <v>1</v>
      </c>
      <c r="BZ99">
        <v>0</v>
      </c>
      <c r="CA99">
        <v>3</v>
      </c>
      <c r="CB99">
        <v>2</v>
      </c>
      <c r="CC99">
        <v>7</v>
      </c>
      <c r="CD99">
        <v>0</v>
      </c>
      <c r="CE99">
        <v>1</v>
      </c>
      <c r="CF99">
        <v>31</v>
      </c>
      <c r="CG99">
        <v>0</v>
      </c>
      <c r="CH99">
        <v>793</v>
      </c>
      <c r="CI99">
        <v>4</v>
      </c>
      <c r="CJ99">
        <v>6</v>
      </c>
      <c r="CK99">
        <v>42</v>
      </c>
      <c r="CL99">
        <v>8</v>
      </c>
      <c r="CM99">
        <v>8</v>
      </c>
      <c r="CN99">
        <v>3</v>
      </c>
      <c r="CO99">
        <v>0</v>
      </c>
      <c r="CP99">
        <v>0</v>
      </c>
      <c r="CQ99">
        <v>4</v>
      </c>
      <c r="CR99">
        <v>0</v>
      </c>
      <c r="CS99">
        <v>925</v>
      </c>
      <c r="CT99">
        <v>0</v>
      </c>
      <c r="CU99">
        <v>18</v>
      </c>
      <c r="CV99">
        <v>0</v>
      </c>
      <c r="CW99">
        <v>0</v>
      </c>
      <c r="CX99">
        <v>0</v>
      </c>
      <c r="CY99">
        <v>3</v>
      </c>
      <c r="CZ99">
        <v>1</v>
      </c>
      <c r="DA99">
        <v>0</v>
      </c>
      <c r="DB99">
        <v>0</v>
      </c>
      <c r="DC99">
        <v>0</v>
      </c>
      <c r="DD99">
        <v>1023</v>
      </c>
      <c r="DE99">
        <v>1</v>
      </c>
      <c r="DF99">
        <v>0</v>
      </c>
      <c r="DG99">
        <v>0</v>
      </c>
      <c r="DH99">
        <v>0</v>
      </c>
      <c r="DI99">
        <v>1</v>
      </c>
      <c r="DJ99">
        <v>0</v>
      </c>
      <c r="DK99">
        <v>0</v>
      </c>
      <c r="DL99">
        <v>0</v>
      </c>
      <c r="DM99">
        <v>0</v>
      </c>
      <c r="DN99">
        <v>2</v>
      </c>
      <c r="DO99">
        <v>970</v>
      </c>
      <c r="DP99">
        <v>1</v>
      </c>
      <c r="DQ99">
        <v>1</v>
      </c>
      <c r="DR99">
        <v>0</v>
      </c>
      <c r="DS99">
        <v>1</v>
      </c>
      <c r="DT99">
        <v>2</v>
      </c>
      <c r="DU99">
        <v>4</v>
      </c>
      <c r="DV99">
        <v>1</v>
      </c>
      <c r="DW99">
        <v>0</v>
      </c>
      <c r="DX99">
        <v>10</v>
      </c>
      <c r="DY99">
        <v>5</v>
      </c>
      <c r="DZ99">
        <v>985</v>
      </c>
      <c r="EA99">
        <v>0.97260000000000002</v>
      </c>
      <c r="EB99">
        <v>0.97363662596378098</v>
      </c>
      <c r="EC99">
        <v>0.97171580503189403</v>
      </c>
      <c r="ED99">
        <v>0.97204618752055605</v>
      </c>
      <c r="EE99">
        <f>SUM(Table1[[#This Row],[ratio_0]:[ratio_9]])</f>
        <v>640</v>
      </c>
      <c r="EF99" s="1">
        <f>(Table1[[#This Row],[predicted_0]]-Table1[[#This Row],[actual_0]])/Table1[[#This Row],[actual_0]]</f>
        <v>1.2244897959183673E-2</v>
      </c>
      <c r="EG99" s="1">
        <f>(Table1[[#This Row],[predicted_1]]-Table1[[#This Row],[actual_1]])/Table1[[#This Row],[actual_1]]</f>
        <v>-2.2026431718061675E-2</v>
      </c>
      <c r="EH99" s="1">
        <f>(Table1[[#This Row],[predicted_2]]-Table1[[#This Row],[actual_2]])/Table1[[#This Row],[actual_2]]</f>
        <v>-2.2286821705426358E-2</v>
      </c>
      <c r="EI99" s="1">
        <f>(Table1[[#This Row],[predicted_3]]-Table1[[#This Row],[actual_3]])/Table1[[#This Row],[actual_3]]</f>
        <v>2.9702970297029702E-2</v>
      </c>
      <c r="EJ99" s="1">
        <f>(Table1[[#This Row],[predicted_4]]-Table1[[#This Row],[actual_4]])/Table1[[#This Row],[actual_4]]</f>
        <v>-4.0733197556008143E-3</v>
      </c>
      <c r="EK99" s="1">
        <f>(Table1[[#This Row],[predicted_5]]-Table1[[#This Row],[actual_5]])/Table1[[#This Row],[actual_5]]</f>
        <v>-0.10650224215246637</v>
      </c>
      <c r="EL99" s="1">
        <f>(Table1[[#This Row],[predicted_6]]-Table1[[#This Row],[actual_6]])/Table1[[#This Row],[actual_6]]</f>
        <v>-2.7139874739039668E-2</v>
      </c>
      <c r="EM99" s="1">
        <f>(Table1[[#This Row],[predicted_7]]-Table1[[#This Row],[actual_7]])/Table1[[#This Row],[actual_7]]</f>
        <v>4.4747081712062257E-2</v>
      </c>
      <c r="EN99" s="1">
        <f>(Table1[[#This Row],[predicted_8]]-Table1[[#This Row],[actual_8]])/Table1[[#This Row],[actual_8]]</f>
        <v>9.958932238193019E-2</v>
      </c>
      <c r="EO99" s="1">
        <f>(Table1[[#This Row],[predicted_9]]-Table1[[#This Row],[actual_9]])/Table1[[#This Row],[actual_9]]</f>
        <v>-1.1892963330029732E-2</v>
      </c>
      <c r="EP99" s="1">
        <f>1+(Table1[[#This Row],[error_ratio_0]]-EF$2)</f>
        <v>1.010204081632653</v>
      </c>
      <c r="EQ99" s="1">
        <f>1+(Table1[[#This Row],[error_ratio_1]]-EG$2)</f>
        <v>0.97621145374449336</v>
      </c>
      <c r="ER99" s="1">
        <f>1+(Table1[[#This Row],[error_ratio_2]]-EH$2)</f>
        <v>0.98255813953488369</v>
      </c>
      <c r="ES99" s="1">
        <f>1+(Table1[[#This Row],[error_ratio_3]]-EI$2)</f>
        <v>1.0198019801980198</v>
      </c>
      <c r="ET99" s="1">
        <f>1+(Table1[[#This Row],[error_ratio_4]]-EJ$2)</f>
        <v>0.99490835030549896</v>
      </c>
      <c r="EU99" s="1">
        <f>1+(Table1[[#This Row],[error_ratio_5]]-EK$2)</f>
        <v>0.8923766816143498</v>
      </c>
      <c r="EV99" s="1">
        <f>1+(Table1[[#This Row],[error_ratio_6]]-EL$2)</f>
        <v>0.97912317327766174</v>
      </c>
      <c r="EW99" s="1">
        <f>1+(Table1[[#This Row],[error_ratio_7]]-EM$2)</f>
        <v>1.0428015564202335</v>
      </c>
      <c r="EX99" s="1">
        <f>1+(Table1[[#This Row],[error_ratio_8]]-EN$2)</f>
        <v>1.1026694045174539</v>
      </c>
      <c r="EY99" s="1">
        <f>1+(Table1[[#This Row],[error_ratio_9]]-EO$2)</f>
        <v>0.99207135777998023</v>
      </c>
    </row>
    <row r="100" spans="1:155" x14ac:dyDescent="0.75">
      <c r="A100">
        <v>10</v>
      </c>
      <c r="B100">
        <v>10</v>
      </c>
      <c r="C100">
        <v>10</v>
      </c>
      <c r="D100">
        <v>100</v>
      </c>
      <c r="E100">
        <v>100</v>
      </c>
      <c r="F100">
        <v>10</v>
      </c>
      <c r="G100">
        <v>10</v>
      </c>
      <c r="H100">
        <v>100</v>
      </c>
      <c r="I100">
        <v>100</v>
      </c>
      <c r="J100">
        <v>100</v>
      </c>
      <c r="K100">
        <v>963</v>
      </c>
      <c r="L100">
        <v>1122</v>
      </c>
      <c r="M100">
        <v>1036</v>
      </c>
      <c r="N100">
        <v>1053</v>
      </c>
      <c r="O100">
        <v>1004</v>
      </c>
      <c r="P100">
        <v>834</v>
      </c>
      <c r="Q100">
        <v>926</v>
      </c>
      <c r="R100">
        <v>1014</v>
      </c>
      <c r="S100">
        <v>1016</v>
      </c>
      <c r="T100">
        <v>1032</v>
      </c>
      <c r="U100">
        <v>980</v>
      </c>
      <c r="V100">
        <v>1135</v>
      </c>
      <c r="W100">
        <v>1032</v>
      </c>
      <c r="X100">
        <v>1010</v>
      </c>
      <c r="Y100">
        <v>982</v>
      </c>
      <c r="Z100">
        <v>892</v>
      </c>
      <c r="AA100">
        <v>958</v>
      </c>
      <c r="AB100">
        <v>1028</v>
      </c>
      <c r="AC100">
        <v>974</v>
      </c>
      <c r="AD100">
        <v>1009</v>
      </c>
      <c r="AE100">
        <v>943</v>
      </c>
      <c r="AF100">
        <v>1</v>
      </c>
      <c r="AG100">
        <v>2</v>
      </c>
      <c r="AH100">
        <v>0</v>
      </c>
      <c r="AI100">
        <v>15</v>
      </c>
      <c r="AJ100">
        <v>0</v>
      </c>
      <c r="AK100">
        <v>3</v>
      </c>
      <c r="AL100">
        <v>2</v>
      </c>
      <c r="AM100">
        <v>5</v>
      </c>
      <c r="AN100">
        <v>9</v>
      </c>
      <c r="AO100">
        <v>0</v>
      </c>
      <c r="AP100">
        <v>1117</v>
      </c>
      <c r="AQ100">
        <v>3</v>
      </c>
      <c r="AR100">
        <v>2</v>
      </c>
      <c r="AS100">
        <v>2</v>
      </c>
      <c r="AT100">
        <v>1</v>
      </c>
      <c r="AU100">
        <v>0</v>
      </c>
      <c r="AV100">
        <v>7</v>
      </c>
      <c r="AW100">
        <v>3</v>
      </c>
      <c r="AX100">
        <v>0</v>
      </c>
      <c r="AY100">
        <v>5</v>
      </c>
      <c r="AZ100">
        <v>0</v>
      </c>
      <c r="BA100">
        <v>1000</v>
      </c>
      <c r="BB100">
        <v>6</v>
      </c>
      <c r="BC100">
        <v>3</v>
      </c>
      <c r="BD100">
        <v>0</v>
      </c>
      <c r="BE100">
        <v>0</v>
      </c>
      <c r="BF100">
        <v>3</v>
      </c>
      <c r="BG100">
        <v>14</v>
      </c>
      <c r="BH100">
        <v>1</v>
      </c>
      <c r="BI100">
        <v>0</v>
      </c>
      <c r="BJ100">
        <v>0</v>
      </c>
      <c r="BK100">
        <v>4</v>
      </c>
      <c r="BL100">
        <v>1001</v>
      </c>
      <c r="BM100">
        <v>0</v>
      </c>
      <c r="BN100">
        <v>0</v>
      </c>
      <c r="BO100">
        <v>0</v>
      </c>
      <c r="BP100">
        <v>0</v>
      </c>
      <c r="BQ100">
        <v>3</v>
      </c>
      <c r="BR100">
        <v>2</v>
      </c>
      <c r="BS100">
        <v>0</v>
      </c>
      <c r="BT100">
        <v>1</v>
      </c>
      <c r="BU100">
        <v>1</v>
      </c>
      <c r="BV100">
        <v>0</v>
      </c>
      <c r="BW100">
        <v>959</v>
      </c>
      <c r="BX100">
        <v>0</v>
      </c>
      <c r="BY100">
        <v>3</v>
      </c>
      <c r="BZ100">
        <v>1</v>
      </c>
      <c r="CA100">
        <v>0</v>
      </c>
      <c r="CB100">
        <v>17</v>
      </c>
      <c r="CC100">
        <v>4</v>
      </c>
      <c r="CD100">
        <v>0</v>
      </c>
      <c r="CE100">
        <v>1</v>
      </c>
      <c r="CF100">
        <v>38</v>
      </c>
      <c r="CG100">
        <v>0</v>
      </c>
      <c r="CH100">
        <v>826</v>
      </c>
      <c r="CI100">
        <v>7</v>
      </c>
      <c r="CJ100">
        <v>0</v>
      </c>
      <c r="CK100">
        <v>8</v>
      </c>
      <c r="CL100">
        <v>8</v>
      </c>
      <c r="CM100">
        <v>8</v>
      </c>
      <c r="CN100">
        <v>3</v>
      </c>
      <c r="CO100">
        <v>0</v>
      </c>
      <c r="CP100">
        <v>0</v>
      </c>
      <c r="CQ100">
        <v>16</v>
      </c>
      <c r="CR100">
        <v>7</v>
      </c>
      <c r="CS100">
        <v>913</v>
      </c>
      <c r="CT100">
        <v>0</v>
      </c>
      <c r="CU100">
        <v>11</v>
      </c>
      <c r="CV100">
        <v>0</v>
      </c>
      <c r="CW100">
        <v>1</v>
      </c>
      <c r="CX100">
        <v>0</v>
      </c>
      <c r="CY100">
        <v>24</v>
      </c>
      <c r="CZ100">
        <v>4</v>
      </c>
      <c r="DA100">
        <v>0</v>
      </c>
      <c r="DB100">
        <v>0</v>
      </c>
      <c r="DC100">
        <v>0</v>
      </c>
      <c r="DD100">
        <v>996</v>
      </c>
      <c r="DE100">
        <v>2</v>
      </c>
      <c r="DF100">
        <v>1</v>
      </c>
      <c r="DG100">
        <v>2</v>
      </c>
      <c r="DH100">
        <v>0</v>
      </c>
      <c r="DI100">
        <v>1</v>
      </c>
      <c r="DJ100">
        <v>1</v>
      </c>
      <c r="DK100">
        <v>1</v>
      </c>
      <c r="DL100">
        <v>0</v>
      </c>
      <c r="DM100">
        <v>0</v>
      </c>
      <c r="DN100">
        <v>1</v>
      </c>
      <c r="DO100">
        <v>967</v>
      </c>
      <c r="DP100">
        <v>1</v>
      </c>
      <c r="DQ100">
        <v>0</v>
      </c>
      <c r="DR100">
        <v>0</v>
      </c>
      <c r="DS100">
        <v>0</v>
      </c>
      <c r="DT100">
        <v>1</v>
      </c>
      <c r="DU100">
        <v>8</v>
      </c>
      <c r="DV100">
        <v>0</v>
      </c>
      <c r="DW100">
        <v>0</v>
      </c>
      <c r="DX100">
        <v>4</v>
      </c>
      <c r="DY100">
        <v>3</v>
      </c>
      <c r="DZ100">
        <v>993</v>
      </c>
      <c r="EA100">
        <v>0.97150000000000003</v>
      </c>
      <c r="EB100">
        <v>0.97184210456509901</v>
      </c>
      <c r="EC100">
        <v>0.97079091965594599</v>
      </c>
      <c r="ED100">
        <v>0.97105497890872605</v>
      </c>
      <c r="EE100">
        <f>SUM(Table1[[#This Row],[ratio_0]:[ratio_9]])</f>
        <v>550</v>
      </c>
      <c r="EF100" s="1">
        <f>(Table1[[#This Row],[predicted_0]]-Table1[[#This Row],[actual_0]])/Table1[[#This Row],[actual_0]]</f>
        <v>-1.7346938775510204E-2</v>
      </c>
      <c r="EG100" s="1">
        <f>(Table1[[#This Row],[predicted_1]]-Table1[[#This Row],[actual_1]])/Table1[[#This Row],[actual_1]]</f>
        <v>-1.145374449339207E-2</v>
      </c>
      <c r="EH100" s="1">
        <f>(Table1[[#This Row],[predicted_2]]-Table1[[#This Row],[actual_2]])/Table1[[#This Row],[actual_2]]</f>
        <v>3.875968992248062E-3</v>
      </c>
      <c r="EI100" s="1">
        <f>(Table1[[#This Row],[predicted_3]]-Table1[[#This Row],[actual_3]])/Table1[[#This Row],[actual_3]]</f>
        <v>4.2574257425742577E-2</v>
      </c>
      <c r="EJ100" s="1">
        <f>(Table1[[#This Row],[predicted_4]]-Table1[[#This Row],[actual_4]])/Table1[[#This Row],[actual_4]]</f>
        <v>2.2403258655804479E-2</v>
      </c>
      <c r="EK100" s="1">
        <f>(Table1[[#This Row],[predicted_5]]-Table1[[#This Row],[actual_5]])/Table1[[#This Row],[actual_5]]</f>
        <v>-6.5022421524663671E-2</v>
      </c>
      <c r="EL100" s="1">
        <f>(Table1[[#This Row],[predicted_6]]-Table1[[#This Row],[actual_6]])/Table1[[#This Row],[actual_6]]</f>
        <v>-3.3402922755741124E-2</v>
      </c>
      <c r="EM100" s="1">
        <f>(Table1[[#This Row],[predicted_7]]-Table1[[#This Row],[actual_7]])/Table1[[#This Row],[actual_7]]</f>
        <v>-1.3618677042801557E-2</v>
      </c>
      <c r="EN100" s="1">
        <f>(Table1[[#This Row],[predicted_8]]-Table1[[#This Row],[actual_8]])/Table1[[#This Row],[actual_8]]</f>
        <v>4.3121149897330596E-2</v>
      </c>
      <c r="EO100" s="1">
        <f>(Table1[[#This Row],[predicted_9]]-Table1[[#This Row],[actual_9]])/Table1[[#This Row],[actual_9]]</f>
        <v>2.2794846382556987E-2</v>
      </c>
      <c r="EP100" s="1">
        <f>1+(Table1[[#This Row],[error_ratio_0]]-EF$2)</f>
        <v>0.98061224489795917</v>
      </c>
      <c r="EQ100" s="1">
        <f>1+(Table1[[#This Row],[error_ratio_1]]-EG$2)</f>
        <v>0.986784140969163</v>
      </c>
      <c r="ER100" s="1">
        <f>1+(Table1[[#This Row],[error_ratio_2]]-EH$2)</f>
        <v>1.0087209302325582</v>
      </c>
      <c r="ES100" s="1">
        <f>1+(Table1[[#This Row],[error_ratio_3]]-EI$2)</f>
        <v>1.0326732673267327</v>
      </c>
      <c r="ET100" s="1">
        <f>1+(Table1[[#This Row],[error_ratio_4]]-EJ$2)</f>
        <v>1.0213849287169043</v>
      </c>
      <c r="EU100" s="1">
        <f>1+(Table1[[#This Row],[error_ratio_5]]-EK$2)</f>
        <v>0.93385650224215244</v>
      </c>
      <c r="EV100" s="1">
        <f>1+(Table1[[#This Row],[error_ratio_6]]-EL$2)</f>
        <v>0.97286012526096033</v>
      </c>
      <c r="EW100" s="1">
        <f>1+(Table1[[#This Row],[error_ratio_7]]-EM$2)</f>
        <v>0.98443579766536971</v>
      </c>
      <c r="EX100" s="1">
        <f>1+(Table1[[#This Row],[error_ratio_8]]-EN$2)</f>
        <v>1.0462012320328542</v>
      </c>
      <c r="EY100" s="1">
        <f>1+(Table1[[#This Row],[error_ratio_9]]-EO$2)</f>
        <v>1.0267591674925669</v>
      </c>
    </row>
    <row r="101" spans="1:155" x14ac:dyDescent="0.75">
      <c r="A101">
        <v>100</v>
      </c>
      <c r="B101">
        <v>100</v>
      </c>
      <c r="C101">
        <v>100</v>
      </c>
      <c r="D101">
        <v>10</v>
      </c>
      <c r="E101">
        <v>100</v>
      </c>
      <c r="F101">
        <v>10</v>
      </c>
      <c r="G101">
        <v>10</v>
      </c>
      <c r="H101">
        <v>100</v>
      </c>
      <c r="I101">
        <v>100</v>
      </c>
      <c r="J101">
        <v>100</v>
      </c>
      <c r="K101">
        <v>980</v>
      </c>
      <c r="L101">
        <v>1130</v>
      </c>
      <c r="M101">
        <v>1032</v>
      </c>
      <c r="N101">
        <v>932</v>
      </c>
      <c r="O101">
        <v>1005</v>
      </c>
      <c r="P101">
        <v>871</v>
      </c>
      <c r="Q101">
        <v>923</v>
      </c>
      <c r="R101">
        <v>1071</v>
      </c>
      <c r="S101">
        <v>1033</v>
      </c>
      <c r="T101">
        <v>1023</v>
      </c>
      <c r="U101">
        <v>980</v>
      </c>
      <c r="V101">
        <v>1135</v>
      </c>
      <c r="W101">
        <v>1032</v>
      </c>
      <c r="X101">
        <v>1010</v>
      </c>
      <c r="Y101">
        <v>982</v>
      </c>
      <c r="Z101">
        <v>892</v>
      </c>
      <c r="AA101">
        <v>958</v>
      </c>
      <c r="AB101">
        <v>1028</v>
      </c>
      <c r="AC101">
        <v>974</v>
      </c>
      <c r="AD101">
        <v>1009</v>
      </c>
      <c r="AE101">
        <v>964</v>
      </c>
      <c r="AF101">
        <v>0</v>
      </c>
      <c r="AG101">
        <v>0</v>
      </c>
      <c r="AH101">
        <v>0</v>
      </c>
      <c r="AI101">
        <v>2</v>
      </c>
      <c r="AJ101">
        <v>0</v>
      </c>
      <c r="AK101">
        <v>3</v>
      </c>
      <c r="AL101">
        <v>2</v>
      </c>
      <c r="AM101">
        <v>4</v>
      </c>
      <c r="AN101">
        <v>5</v>
      </c>
      <c r="AO101">
        <v>0</v>
      </c>
      <c r="AP101">
        <v>1123</v>
      </c>
      <c r="AQ101">
        <v>1</v>
      </c>
      <c r="AR101">
        <v>0</v>
      </c>
      <c r="AS101">
        <v>4</v>
      </c>
      <c r="AT101">
        <v>1</v>
      </c>
      <c r="AU101">
        <v>0</v>
      </c>
      <c r="AV101">
        <v>4</v>
      </c>
      <c r="AW101">
        <v>2</v>
      </c>
      <c r="AX101">
        <v>0</v>
      </c>
      <c r="AY101">
        <v>0</v>
      </c>
      <c r="AZ101">
        <v>0</v>
      </c>
      <c r="BA101">
        <v>1016</v>
      </c>
      <c r="BB101">
        <v>1</v>
      </c>
      <c r="BC101">
        <v>3</v>
      </c>
      <c r="BD101">
        <v>0</v>
      </c>
      <c r="BE101">
        <v>0</v>
      </c>
      <c r="BF101">
        <v>9</v>
      </c>
      <c r="BG101">
        <v>3</v>
      </c>
      <c r="BH101">
        <v>0</v>
      </c>
      <c r="BI101">
        <v>2</v>
      </c>
      <c r="BJ101">
        <v>0</v>
      </c>
      <c r="BK101">
        <v>8</v>
      </c>
      <c r="BL101">
        <v>928</v>
      </c>
      <c r="BM101">
        <v>0</v>
      </c>
      <c r="BN101">
        <v>27</v>
      </c>
      <c r="BO101">
        <v>0</v>
      </c>
      <c r="BP101">
        <v>16</v>
      </c>
      <c r="BQ101">
        <v>18</v>
      </c>
      <c r="BR101">
        <v>11</v>
      </c>
      <c r="BS101">
        <v>0</v>
      </c>
      <c r="BT101">
        <v>0</v>
      </c>
      <c r="BU101">
        <v>0</v>
      </c>
      <c r="BV101">
        <v>0</v>
      </c>
      <c r="BW101">
        <v>975</v>
      </c>
      <c r="BX101">
        <v>0</v>
      </c>
      <c r="BY101">
        <v>2</v>
      </c>
      <c r="BZ101">
        <v>0</v>
      </c>
      <c r="CA101">
        <v>0</v>
      </c>
      <c r="CB101">
        <v>5</v>
      </c>
      <c r="CC101">
        <v>5</v>
      </c>
      <c r="CD101">
        <v>0</v>
      </c>
      <c r="CE101">
        <v>1</v>
      </c>
      <c r="CF101">
        <v>3</v>
      </c>
      <c r="CG101">
        <v>0</v>
      </c>
      <c r="CH101">
        <v>836</v>
      </c>
      <c r="CI101">
        <v>2</v>
      </c>
      <c r="CJ101">
        <v>6</v>
      </c>
      <c r="CK101">
        <v>27</v>
      </c>
      <c r="CL101">
        <v>12</v>
      </c>
      <c r="CM101">
        <v>8</v>
      </c>
      <c r="CN101">
        <v>4</v>
      </c>
      <c r="CO101">
        <v>0</v>
      </c>
      <c r="CP101">
        <v>0</v>
      </c>
      <c r="CQ101">
        <v>12</v>
      </c>
      <c r="CR101">
        <v>3</v>
      </c>
      <c r="CS101">
        <v>916</v>
      </c>
      <c r="CT101">
        <v>0</v>
      </c>
      <c r="CU101">
        <v>15</v>
      </c>
      <c r="CV101">
        <v>0</v>
      </c>
      <c r="CW101">
        <v>0</v>
      </c>
      <c r="CX101">
        <v>1</v>
      </c>
      <c r="CY101">
        <v>3</v>
      </c>
      <c r="CZ101">
        <v>0</v>
      </c>
      <c r="DA101">
        <v>0</v>
      </c>
      <c r="DB101">
        <v>0</v>
      </c>
      <c r="DC101">
        <v>0</v>
      </c>
      <c r="DD101">
        <v>1021</v>
      </c>
      <c r="DE101">
        <v>0</v>
      </c>
      <c r="DF101">
        <v>3</v>
      </c>
      <c r="DG101">
        <v>1</v>
      </c>
      <c r="DH101">
        <v>0</v>
      </c>
      <c r="DI101">
        <v>2</v>
      </c>
      <c r="DJ101">
        <v>0</v>
      </c>
      <c r="DK101">
        <v>1</v>
      </c>
      <c r="DL101">
        <v>0</v>
      </c>
      <c r="DM101">
        <v>0</v>
      </c>
      <c r="DN101">
        <v>4</v>
      </c>
      <c r="DO101">
        <v>963</v>
      </c>
      <c r="DP101">
        <v>3</v>
      </c>
      <c r="DQ101">
        <v>0</v>
      </c>
      <c r="DR101">
        <v>2</v>
      </c>
      <c r="DS101">
        <v>1</v>
      </c>
      <c r="DT101">
        <v>0</v>
      </c>
      <c r="DU101">
        <v>8</v>
      </c>
      <c r="DV101">
        <v>4</v>
      </c>
      <c r="DW101">
        <v>0</v>
      </c>
      <c r="DX101">
        <v>9</v>
      </c>
      <c r="DY101">
        <v>1</v>
      </c>
      <c r="DZ101">
        <v>984</v>
      </c>
      <c r="EA101">
        <v>0.97260000000000002</v>
      </c>
      <c r="EB101">
        <v>0.97274923464295704</v>
      </c>
      <c r="EC101">
        <v>0.97197788926788198</v>
      </c>
      <c r="ED101">
        <v>0.972019866070716</v>
      </c>
      <c r="EE101">
        <f>SUM(Table1[[#This Row],[ratio_0]:[ratio_9]])</f>
        <v>730</v>
      </c>
      <c r="EF101" s="1">
        <f>(Table1[[#This Row],[predicted_0]]-Table1[[#This Row],[actual_0]])/Table1[[#This Row],[actual_0]]</f>
        <v>0</v>
      </c>
      <c r="EG101" s="1">
        <f>(Table1[[#This Row],[predicted_1]]-Table1[[#This Row],[actual_1]])/Table1[[#This Row],[actual_1]]</f>
        <v>-4.4052863436123352E-3</v>
      </c>
      <c r="EH101" s="1">
        <f>(Table1[[#This Row],[predicted_2]]-Table1[[#This Row],[actual_2]])/Table1[[#This Row],[actual_2]]</f>
        <v>0</v>
      </c>
      <c r="EI101" s="1">
        <f>(Table1[[#This Row],[predicted_3]]-Table1[[#This Row],[actual_3]])/Table1[[#This Row],[actual_3]]</f>
        <v>-7.7227722772277227E-2</v>
      </c>
      <c r="EJ101" s="1">
        <f>(Table1[[#This Row],[predicted_4]]-Table1[[#This Row],[actual_4]])/Table1[[#This Row],[actual_4]]</f>
        <v>2.3421588594704685E-2</v>
      </c>
      <c r="EK101" s="1">
        <f>(Table1[[#This Row],[predicted_5]]-Table1[[#This Row],[actual_5]])/Table1[[#This Row],[actual_5]]</f>
        <v>-2.3542600896860985E-2</v>
      </c>
      <c r="EL101" s="1">
        <f>(Table1[[#This Row],[predicted_6]]-Table1[[#This Row],[actual_6]])/Table1[[#This Row],[actual_6]]</f>
        <v>-3.6534446764091857E-2</v>
      </c>
      <c r="EM101" s="1">
        <f>(Table1[[#This Row],[predicted_7]]-Table1[[#This Row],[actual_7]])/Table1[[#This Row],[actual_7]]</f>
        <v>4.1828793774319063E-2</v>
      </c>
      <c r="EN101" s="1">
        <f>(Table1[[#This Row],[predicted_8]]-Table1[[#This Row],[actual_8]])/Table1[[#This Row],[actual_8]]</f>
        <v>6.0574948665297744E-2</v>
      </c>
      <c r="EO101" s="1">
        <f>(Table1[[#This Row],[predicted_9]]-Table1[[#This Row],[actual_9]])/Table1[[#This Row],[actual_9]]</f>
        <v>1.3875123885034688E-2</v>
      </c>
      <c r="EP101" s="1">
        <f>1+(Table1[[#This Row],[error_ratio_0]]-EF$2)</f>
        <v>0.99795918367346936</v>
      </c>
      <c r="EQ101" s="1">
        <f>1+(Table1[[#This Row],[error_ratio_1]]-EG$2)</f>
        <v>0.99383259911894273</v>
      </c>
      <c r="ER101" s="1">
        <f>1+(Table1[[#This Row],[error_ratio_2]]-EH$2)</f>
        <v>1.0048449612403101</v>
      </c>
      <c r="ES101" s="1">
        <f>1+(Table1[[#This Row],[error_ratio_3]]-EI$2)</f>
        <v>0.9128712871287129</v>
      </c>
      <c r="ET101" s="1">
        <f>1+(Table1[[#This Row],[error_ratio_4]]-EJ$2)</f>
        <v>1.0224032586558045</v>
      </c>
      <c r="EU101" s="1">
        <f>1+(Table1[[#This Row],[error_ratio_5]]-EK$2)</f>
        <v>0.9753363228699552</v>
      </c>
      <c r="EV101" s="1">
        <f>1+(Table1[[#This Row],[error_ratio_6]]-EL$2)</f>
        <v>0.96972860125260962</v>
      </c>
      <c r="EW101" s="1">
        <f>1+(Table1[[#This Row],[error_ratio_7]]-EM$2)</f>
        <v>1.0398832684824904</v>
      </c>
      <c r="EX101" s="1">
        <f>1+(Table1[[#This Row],[error_ratio_8]]-EN$2)</f>
        <v>1.0636550308008212</v>
      </c>
      <c r="EY101" s="1">
        <f>1+(Table1[[#This Row],[error_ratio_9]]-EO$2)</f>
        <v>1.0178394449950445</v>
      </c>
    </row>
    <row r="102" spans="1:155" x14ac:dyDescent="0.75">
      <c r="A102">
        <v>100</v>
      </c>
      <c r="B102">
        <v>10</v>
      </c>
      <c r="C102">
        <v>100</v>
      </c>
      <c r="D102">
        <v>10</v>
      </c>
      <c r="E102">
        <v>100</v>
      </c>
      <c r="F102">
        <v>10</v>
      </c>
      <c r="G102">
        <v>10</v>
      </c>
      <c r="H102">
        <v>100</v>
      </c>
      <c r="I102">
        <v>100</v>
      </c>
      <c r="J102">
        <v>100</v>
      </c>
      <c r="K102">
        <v>1018</v>
      </c>
      <c r="L102">
        <v>1129</v>
      </c>
      <c r="M102">
        <v>1051</v>
      </c>
      <c r="N102">
        <v>963</v>
      </c>
      <c r="O102">
        <v>986</v>
      </c>
      <c r="P102">
        <v>849</v>
      </c>
      <c r="Q102">
        <v>922</v>
      </c>
      <c r="R102">
        <v>1044</v>
      </c>
      <c r="S102">
        <v>990</v>
      </c>
      <c r="T102">
        <v>1048</v>
      </c>
      <c r="U102">
        <v>980</v>
      </c>
      <c r="V102">
        <v>1135</v>
      </c>
      <c r="W102">
        <v>1032</v>
      </c>
      <c r="X102">
        <v>1010</v>
      </c>
      <c r="Y102">
        <v>982</v>
      </c>
      <c r="Z102">
        <v>892</v>
      </c>
      <c r="AA102">
        <v>958</v>
      </c>
      <c r="AB102">
        <v>1028</v>
      </c>
      <c r="AC102">
        <v>974</v>
      </c>
      <c r="AD102">
        <v>1009</v>
      </c>
      <c r="AE102">
        <v>977</v>
      </c>
      <c r="AF102">
        <v>0</v>
      </c>
      <c r="AG102">
        <v>1</v>
      </c>
      <c r="AH102">
        <v>0</v>
      </c>
      <c r="AI102">
        <v>0</v>
      </c>
      <c r="AJ102">
        <v>0</v>
      </c>
      <c r="AK102">
        <v>0</v>
      </c>
      <c r="AL102">
        <v>1</v>
      </c>
      <c r="AM102">
        <v>1</v>
      </c>
      <c r="AN102">
        <v>0</v>
      </c>
      <c r="AO102">
        <v>0</v>
      </c>
      <c r="AP102">
        <v>1122</v>
      </c>
      <c r="AQ102">
        <v>4</v>
      </c>
      <c r="AR102">
        <v>3</v>
      </c>
      <c r="AS102">
        <v>0</v>
      </c>
      <c r="AT102">
        <v>1</v>
      </c>
      <c r="AU102">
        <v>2</v>
      </c>
      <c r="AV102">
        <v>1</v>
      </c>
      <c r="AW102">
        <v>1</v>
      </c>
      <c r="AX102">
        <v>1</v>
      </c>
      <c r="AY102">
        <v>2</v>
      </c>
      <c r="AZ102">
        <v>0</v>
      </c>
      <c r="BA102">
        <v>1024</v>
      </c>
      <c r="BB102">
        <v>2</v>
      </c>
      <c r="BC102">
        <v>0</v>
      </c>
      <c r="BD102">
        <v>0</v>
      </c>
      <c r="BE102">
        <v>0</v>
      </c>
      <c r="BF102">
        <v>4</v>
      </c>
      <c r="BG102">
        <v>0</v>
      </c>
      <c r="BH102">
        <v>0</v>
      </c>
      <c r="BI102">
        <v>3</v>
      </c>
      <c r="BJ102">
        <v>0</v>
      </c>
      <c r="BK102">
        <v>8</v>
      </c>
      <c r="BL102">
        <v>953</v>
      </c>
      <c r="BM102">
        <v>0</v>
      </c>
      <c r="BN102">
        <v>14</v>
      </c>
      <c r="BO102">
        <v>0</v>
      </c>
      <c r="BP102">
        <v>13</v>
      </c>
      <c r="BQ102">
        <v>4</v>
      </c>
      <c r="BR102">
        <v>15</v>
      </c>
      <c r="BS102">
        <v>1</v>
      </c>
      <c r="BT102">
        <v>0</v>
      </c>
      <c r="BU102">
        <v>2</v>
      </c>
      <c r="BV102">
        <v>0</v>
      </c>
      <c r="BW102">
        <v>975</v>
      </c>
      <c r="BX102">
        <v>0</v>
      </c>
      <c r="BY102">
        <v>1</v>
      </c>
      <c r="BZ102">
        <v>0</v>
      </c>
      <c r="CA102">
        <v>2</v>
      </c>
      <c r="CB102">
        <v>1</v>
      </c>
      <c r="CC102">
        <v>6</v>
      </c>
      <c r="CD102">
        <v>0</v>
      </c>
      <c r="CE102">
        <v>1</v>
      </c>
      <c r="CF102">
        <v>3</v>
      </c>
      <c r="CG102">
        <v>0</v>
      </c>
      <c r="CH102">
        <v>827</v>
      </c>
      <c r="CI102">
        <v>3</v>
      </c>
      <c r="CJ102">
        <v>4</v>
      </c>
      <c r="CK102">
        <v>15</v>
      </c>
      <c r="CL102">
        <v>33</v>
      </c>
      <c r="CM102">
        <v>20</v>
      </c>
      <c r="CN102">
        <v>3</v>
      </c>
      <c r="CO102">
        <v>1</v>
      </c>
      <c r="CP102">
        <v>1</v>
      </c>
      <c r="CQ102">
        <v>4</v>
      </c>
      <c r="CR102">
        <v>6</v>
      </c>
      <c r="CS102">
        <v>915</v>
      </c>
      <c r="CT102">
        <v>0</v>
      </c>
      <c r="CU102">
        <v>8</v>
      </c>
      <c r="CV102">
        <v>0</v>
      </c>
      <c r="CW102">
        <v>0</v>
      </c>
      <c r="CX102">
        <v>4</v>
      </c>
      <c r="CY102">
        <v>5</v>
      </c>
      <c r="CZ102">
        <v>0</v>
      </c>
      <c r="DA102">
        <v>0</v>
      </c>
      <c r="DB102">
        <v>0</v>
      </c>
      <c r="DC102">
        <v>0</v>
      </c>
      <c r="DD102">
        <v>1016</v>
      </c>
      <c r="DE102">
        <v>1</v>
      </c>
      <c r="DF102">
        <v>2</v>
      </c>
      <c r="DG102">
        <v>7</v>
      </c>
      <c r="DH102">
        <v>0</v>
      </c>
      <c r="DI102">
        <v>5</v>
      </c>
      <c r="DJ102">
        <v>1</v>
      </c>
      <c r="DK102">
        <v>0</v>
      </c>
      <c r="DL102">
        <v>0</v>
      </c>
      <c r="DM102">
        <v>0</v>
      </c>
      <c r="DN102">
        <v>2</v>
      </c>
      <c r="DO102">
        <v>958</v>
      </c>
      <c r="DP102">
        <v>1</v>
      </c>
      <c r="DQ102">
        <v>2</v>
      </c>
      <c r="DR102">
        <v>0</v>
      </c>
      <c r="DS102">
        <v>0</v>
      </c>
      <c r="DT102">
        <v>0</v>
      </c>
      <c r="DU102">
        <v>7</v>
      </c>
      <c r="DV102">
        <v>1</v>
      </c>
      <c r="DW102">
        <v>1</v>
      </c>
      <c r="DX102">
        <v>3</v>
      </c>
      <c r="DY102">
        <v>0</v>
      </c>
      <c r="DZ102">
        <v>995</v>
      </c>
      <c r="EA102">
        <v>0.97619999999999996</v>
      </c>
      <c r="EB102">
        <v>0.97630738476101997</v>
      </c>
      <c r="EC102">
        <v>0.97544386269268801</v>
      </c>
      <c r="ED102">
        <v>0.97563529171364005</v>
      </c>
      <c r="EE102">
        <f>SUM(Table1[[#This Row],[ratio_0]:[ratio_9]])</f>
        <v>640</v>
      </c>
      <c r="EF102" s="1">
        <f>(Table1[[#This Row],[predicted_0]]-Table1[[#This Row],[actual_0]])/Table1[[#This Row],[actual_0]]</f>
        <v>3.8775510204081633E-2</v>
      </c>
      <c r="EG102" s="1">
        <f>(Table1[[#This Row],[predicted_1]]-Table1[[#This Row],[actual_1]])/Table1[[#This Row],[actual_1]]</f>
        <v>-5.2863436123348016E-3</v>
      </c>
      <c r="EH102" s="1">
        <f>(Table1[[#This Row],[predicted_2]]-Table1[[#This Row],[actual_2]])/Table1[[#This Row],[actual_2]]</f>
        <v>1.8410852713178296E-2</v>
      </c>
      <c r="EI102" s="1">
        <f>(Table1[[#This Row],[predicted_3]]-Table1[[#This Row],[actual_3]])/Table1[[#This Row],[actual_3]]</f>
        <v>-4.6534653465346534E-2</v>
      </c>
      <c r="EJ102" s="1">
        <f>(Table1[[#This Row],[predicted_4]]-Table1[[#This Row],[actual_4]])/Table1[[#This Row],[actual_4]]</f>
        <v>4.0733197556008143E-3</v>
      </c>
      <c r="EK102" s="1">
        <f>(Table1[[#This Row],[predicted_5]]-Table1[[#This Row],[actual_5]])/Table1[[#This Row],[actual_5]]</f>
        <v>-4.820627802690583E-2</v>
      </c>
      <c r="EL102" s="1">
        <f>(Table1[[#This Row],[predicted_6]]-Table1[[#This Row],[actual_6]])/Table1[[#This Row],[actual_6]]</f>
        <v>-3.7578288100208766E-2</v>
      </c>
      <c r="EM102" s="1">
        <f>(Table1[[#This Row],[predicted_7]]-Table1[[#This Row],[actual_7]])/Table1[[#This Row],[actual_7]]</f>
        <v>1.556420233463035E-2</v>
      </c>
      <c r="EN102" s="1">
        <f>(Table1[[#This Row],[predicted_8]]-Table1[[#This Row],[actual_8]])/Table1[[#This Row],[actual_8]]</f>
        <v>1.6427104722792608E-2</v>
      </c>
      <c r="EO102" s="1">
        <f>(Table1[[#This Row],[predicted_9]]-Table1[[#This Row],[actual_9]])/Table1[[#This Row],[actual_9]]</f>
        <v>3.865213082259663E-2</v>
      </c>
      <c r="EP102" s="1">
        <f>1+(Table1[[#This Row],[error_ratio_0]]-EF$2)</f>
        <v>1.036734693877551</v>
      </c>
      <c r="EQ102" s="1">
        <f>1+(Table1[[#This Row],[error_ratio_1]]-EG$2)</f>
        <v>0.99295154185022028</v>
      </c>
      <c r="ER102" s="1">
        <f>1+(Table1[[#This Row],[error_ratio_2]]-EH$2)</f>
        <v>1.0232558139534884</v>
      </c>
      <c r="ES102" s="1">
        <f>1+(Table1[[#This Row],[error_ratio_3]]-EI$2)</f>
        <v>0.94356435643564351</v>
      </c>
      <c r="ET102" s="1">
        <f>1+(Table1[[#This Row],[error_ratio_4]]-EJ$2)</f>
        <v>1.0030549898167007</v>
      </c>
      <c r="EU102" s="1">
        <f>1+(Table1[[#This Row],[error_ratio_5]]-EK$2)</f>
        <v>0.95067264573991028</v>
      </c>
      <c r="EV102" s="1">
        <f>1+(Table1[[#This Row],[error_ratio_6]]-EL$2)</f>
        <v>0.96868475991649272</v>
      </c>
      <c r="EW102" s="1">
        <f>1+(Table1[[#This Row],[error_ratio_7]]-EM$2)</f>
        <v>1.0136186770428015</v>
      </c>
      <c r="EX102" s="1">
        <f>1+(Table1[[#This Row],[error_ratio_8]]-EN$2)</f>
        <v>1.0195071868583163</v>
      </c>
      <c r="EY102" s="1">
        <f>1+(Table1[[#This Row],[error_ratio_9]]-EO$2)</f>
        <v>1.0426164519326064</v>
      </c>
    </row>
    <row r="103" spans="1:155" x14ac:dyDescent="0.75">
      <c r="A103">
        <v>10</v>
      </c>
      <c r="B103">
        <v>10</v>
      </c>
      <c r="C103">
        <v>100</v>
      </c>
      <c r="D103">
        <v>10</v>
      </c>
      <c r="E103">
        <v>100</v>
      </c>
      <c r="F103">
        <v>10</v>
      </c>
      <c r="G103">
        <v>10</v>
      </c>
      <c r="H103">
        <v>100</v>
      </c>
      <c r="I103">
        <v>100</v>
      </c>
      <c r="J103">
        <v>100</v>
      </c>
      <c r="K103">
        <v>956</v>
      </c>
      <c r="L103">
        <v>1088</v>
      </c>
      <c r="M103">
        <v>1053</v>
      </c>
      <c r="N103">
        <v>967</v>
      </c>
      <c r="O103">
        <v>953</v>
      </c>
      <c r="P103">
        <v>912</v>
      </c>
      <c r="Q103">
        <v>903</v>
      </c>
      <c r="R103">
        <v>1054</v>
      </c>
      <c r="S103">
        <v>1036</v>
      </c>
      <c r="T103">
        <v>1078</v>
      </c>
      <c r="U103">
        <v>980</v>
      </c>
      <c r="V103">
        <v>1135</v>
      </c>
      <c r="W103">
        <v>1032</v>
      </c>
      <c r="X103">
        <v>1010</v>
      </c>
      <c r="Y103">
        <v>982</v>
      </c>
      <c r="Z103">
        <v>892</v>
      </c>
      <c r="AA103">
        <v>958</v>
      </c>
      <c r="AB103">
        <v>1028</v>
      </c>
      <c r="AC103">
        <v>974</v>
      </c>
      <c r="AD103">
        <v>1009</v>
      </c>
      <c r="AE103">
        <v>949</v>
      </c>
      <c r="AF103">
        <v>0</v>
      </c>
      <c r="AG103">
        <v>8</v>
      </c>
      <c r="AH103">
        <v>2</v>
      </c>
      <c r="AI103">
        <v>3</v>
      </c>
      <c r="AJ103">
        <v>2</v>
      </c>
      <c r="AK103">
        <v>2</v>
      </c>
      <c r="AL103">
        <v>4</v>
      </c>
      <c r="AM103">
        <v>8</v>
      </c>
      <c r="AN103">
        <v>2</v>
      </c>
      <c r="AO103">
        <v>0</v>
      </c>
      <c r="AP103">
        <v>1087</v>
      </c>
      <c r="AQ103">
        <v>5</v>
      </c>
      <c r="AR103">
        <v>3</v>
      </c>
      <c r="AS103">
        <v>1</v>
      </c>
      <c r="AT103">
        <v>1</v>
      </c>
      <c r="AU103">
        <v>2</v>
      </c>
      <c r="AV103">
        <v>6</v>
      </c>
      <c r="AW103">
        <v>22</v>
      </c>
      <c r="AX103">
        <v>8</v>
      </c>
      <c r="AY103">
        <v>0</v>
      </c>
      <c r="AZ103">
        <v>0</v>
      </c>
      <c r="BA103">
        <v>1016</v>
      </c>
      <c r="BB103">
        <v>4</v>
      </c>
      <c r="BC103">
        <v>4</v>
      </c>
      <c r="BD103">
        <v>0</v>
      </c>
      <c r="BE103">
        <v>0</v>
      </c>
      <c r="BF103">
        <v>7</v>
      </c>
      <c r="BG103">
        <v>1</v>
      </c>
      <c r="BH103">
        <v>0</v>
      </c>
      <c r="BI103">
        <v>0</v>
      </c>
      <c r="BJ103">
        <v>0</v>
      </c>
      <c r="BK103">
        <v>6</v>
      </c>
      <c r="BL103">
        <v>950</v>
      </c>
      <c r="BM103">
        <v>0</v>
      </c>
      <c r="BN103">
        <v>33</v>
      </c>
      <c r="BO103">
        <v>0</v>
      </c>
      <c r="BP103">
        <v>13</v>
      </c>
      <c r="BQ103">
        <v>5</v>
      </c>
      <c r="BR103">
        <v>3</v>
      </c>
      <c r="BS103">
        <v>0</v>
      </c>
      <c r="BT103">
        <v>0</v>
      </c>
      <c r="BU103">
        <v>0</v>
      </c>
      <c r="BV103">
        <v>0</v>
      </c>
      <c r="BW103">
        <v>927</v>
      </c>
      <c r="BX103">
        <v>0</v>
      </c>
      <c r="BY103">
        <v>1</v>
      </c>
      <c r="BZ103">
        <v>0</v>
      </c>
      <c r="CA103">
        <v>1</v>
      </c>
      <c r="CB103">
        <v>53</v>
      </c>
      <c r="CC103">
        <v>1</v>
      </c>
      <c r="CD103">
        <v>0</v>
      </c>
      <c r="CE103">
        <v>6</v>
      </c>
      <c r="CF103">
        <v>4</v>
      </c>
      <c r="CG103">
        <v>0</v>
      </c>
      <c r="CH103">
        <v>863</v>
      </c>
      <c r="CI103">
        <v>3</v>
      </c>
      <c r="CJ103">
        <v>1</v>
      </c>
      <c r="CK103">
        <v>8</v>
      </c>
      <c r="CL103">
        <v>6</v>
      </c>
      <c r="CM103">
        <v>5</v>
      </c>
      <c r="CN103">
        <v>1</v>
      </c>
      <c r="CO103">
        <v>2</v>
      </c>
      <c r="CP103">
        <v>0</v>
      </c>
      <c r="CQ103">
        <v>16</v>
      </c>
      <c r="CR103">
        <v>9</v>
      </c>
      <c r="CS103">
        <v>894</v>
      </c>
      <c r="CT103">
        <v>0</v>
      </c>
      <c r="CU103">
        <v>31</v>
      </c>
      <c r="CV103">
        <v>0</v>
      </c>
      <c r="CW103">
        <v>0</v>
      </c>
      <c r="CX103">
        <v>0</v>
      </c>
      <c r="CY103">
        <v>6</v>
      </c>
      <c r="CZ103">
        <v>0</v>
      </c>
      <c r="DA103">
        <v>0</v>
      </c>
      <c r="DB103">
        <v>1</v>
      </c>
      <c r="DC103">
        <v>0</v>
      </c>
      <c r="DD103">
        <v>1012</v>
      </c>
      <c r="DE103">
        <v>3</v>
      </c>
      <c r="DF103">
        <v>6</v>
      </c>
      <c r="DG103">
        <v>1</v>
      </c>
      <c r="DH103">
        <v>0</v>
      </c>
      <c r="DI103">
        <v>2</v>
      </c>
      <c r="DJ103">
        <v>3</v>
      </c>
      <c r="DK103">
        <v>0</v>
      </c>
      <c r="DL103">
        <v>0</v>
      </c>
      <c r="DM103">
        <v>0</v>
      </c>
      <c r="DN103">
        <v>7</v>
      </c>
      <c r="DO103">
        <v>956</v>
      </c>
      <c r="DP103">
        <v>5</v>
      </c>
      <c r="DQ103">
        <v>0</v>
      </c>
      <c r="DR103">
        <v>0</v>
      </c>
      <c r="DS103">
        <v>2</v>
      </c>
      <c r="DT103">
        <v>1</v>
      </c>
      <c r="DU103">
        <v>2</v>
      </c>
      <c r="DV103">
        <v>3</v>
      </c>
      <c r="DW103">
        <v>1</v>
      </c>
      <c r="DX103">
        <v>4</v>
      </c>
      <c r="DY103">
        <v>1</v>
      </c>
      <c r="DZ103">
        <v>995</v>
      </c>
      <c r="EA103">
        <v>0.96489999999999998</v>
      </c>
      <c r="EB103">
        <v>0.96540010372270302</v>
      </c>
      <c r="EC103">
        <v>0.96479217595309097</v>
      </c>
      <c r="ED103">
        <v>0.96465458660792403</v>
      </c>
      <c r="EE103">
        <f>SUM(Table1[[#This Row],[ratio_0]:[ratio_9]])</f>
        <v>550</v>
      </c>
      <c r="EF103" s="1">
        <f>(Table1[[#This Row],[predicted_0]]-Table1[[#This Row],[actual_0]])/Table1[[#This Row],[actual_0]]</f>
        <v>-2.4489795918367346E-2</v>
      </c>
      <c r="EG103" s="1">
        <f>(Table1[[#This Row],[predicted_1]]-Table1[[#This Row],[actual_1]])/Table1[[#This Row],[actual_1]]</f>
        <v>-4.1409691629955947E-2</v>
      </c>
      <c r="EH103" s="1">
        <f>(Table1[[#This Row],[predicted_2]]-Table1[[#This Row],[actual_2]])/Table1[[#This Row],[actual_2]]</f>
        <v>2.0348837209302327E-2</v>
      </c>
      <c r="EI103" s="1">
        <f>(Table1[[#This Row],[predicted_3]]-Table1[[#This Row],[actual_3]])/Table1[[#This Row],[actual_3]]</f>
        <v>-4.2574257425742577E-2</v>
      </c>
      <c r="EJ103" s="1">
        <f>(Table1[[#This Row],[predicted_4]]-Table1[[#This Row],[actual_4]])/Table1[[#This Row],[actual_4]]</f>
        <v>-2.9531568228105907E-2</v>
      </c>
      <c r="EK103" s="1">
        <f>(Table1[[#This Row],[predicted_5]]-Table1[[#This Row],[actual_5]])/Table1[[#This Row],[actual_5]]</f>
        <v>2.2421524663677129E-2</v>
      </c>
      <c r="EL103" s="1">
        <f>(Table1[[#This Row],[predicted_6]]-Table1[[#This Row],[actual_6]])/Table1[[#This Row],[actual_6]]</f>
        <v>-5.7411273486430062E-2</v>
      </c>
      <c r="EM103" s="1">
        <f>(Table1[[#This Row],[predicted_7]]-Table1[[#This Row],[actual_7]])/Table1[[#This Row],[actual_7]]</f>
        <v>2.5291828793774319E-2</v>
      </c>
      <c r="EN103" s="1">
        <f>(Table1[[#This Row],[predicted_8]]-Table1[[#This Row],[actual_8]])/Table1[[#This Row],[actual_8]]</f>
        <v>6.3655030800821355E-2</v>
      </c>
      <c r="EO103" s="1">
        <f>(Table1[[#This Row],[predicted_9]]-Table1[[#This Row],[actual_9]])/Table1[[#This Row],[actual_9]]</f>
        <v>6.8384539147670967E-2</v>
      </c>
      <c r="EP103" s="1">
        <f>1+(Table1[[#This Row],[error_ratio_0]]-EF$2)</f>
        <v>0.97346938775510206</v>
      </c>
      <c r="EQ103" s="1">
        <f>1+(Table1[[#This Row],[error_ratio_1]]-EG$2)</f>
        <v>0.95682819383259909</v>
      </c>
      <c r="ER103" s="1">
        <f>1+(Table1[[#This Row],[error_ratio_2]]-EH$2)</f>
        <v>1.0251937984496124</v>
      </c>
      <c r="ES103" s="1">
        <f>1+(Table1[[#This Row],[error_ratio_3]]-EI$2)</f>
        <v>0.94752475247524748</v>
      </c>
      <c r="ET103" s="1">
        <f>1+(Table1[[#This Row],[error_ratio_4]]-EJ$2)</f>
        <v>0.96945010183299385</v>
      </c>
      <c r="EU103" s="1">
        <f>1+(Table1[[#This Row],[error_ratio_5]]-EK$2)</f>
        <v>1.0213004484304933</v>
      </c>
      <c r="EV103" s="1">
        <f>1+(Table1[[#This Row],[error_ratio_6]]-EL$2)</f>
        <v>0.94885177453027136</v>
      </c>
      <c r="EW103" s="1">
        <f>1+(Table1[[#This Row],[error_ratio_7]]-EM$2)</f>
        <v>1.0233463035019454</v>
      </c>
      <c r="EX103" s="1">
        <f>1+(Table1[[#This Row],[error_ratio_8]]-EN$2)</f>
        <v>1.0667351129363449</v>
      </c>
      <c r="EY103" s="1">
        <f>1+(Table1[[#This Row],[error_ratio_9]]-EO$2)</f>
        <v>1.0723488602576809</v>
      </c>
    </row>
    <row r="104" spans="1:155" x14ac:dyDescent="0.75">
      <c r="A104">
        <v>100</v>
      </c>
      <c r="B104">
        <v>100</v>
      </c>
      <c r="C104">
        <v>10</v>
      </c>
      <c r="D104">
        <v>10</v>
      </c>
      <c r="E104">
        <v>100</v>
      </c>
      <c r="F104">
        <v>10</v>
      </c>
      <c r="G104">
        <v>10</v>
      </c>
      <c r="H104">
        <v>100</v>
      </c>
      <c r="I104">
        <v>100</v>
      </c>
      <c r="J104">
        <v>100</v>
      </c>
      <c r="K104">
        <v>1016</v>
      </c>
      <c r="L104">
        <v>1141</v>
      </c>
      <c r="M104">
        <v>984</v>
      </c>
      <c r="N104">
        <v>940</v>
      </c>
      <c r="O104">
        <v>1005</v>
      </c>
      <c r="P104">
        <v>882</v>
      </c>
      <c r="Q104">
        <v>917</v>
      </c>
      <c r="R104">
        <v>1062</v>
      </c>
      <c r="S104">
        <v>1031</v>
      </c>
      <c r="T104">
        <v>1022</v>
      </c>
      <c r="U104">
        <v>980</v>
      </c>
      <c r="V104">
        <v>1135</v>
      </c>
      <c r="W104">
        <v>1032</v>
      </c>
      <c r="X104">
        <v>1010</v>
      </c>
      <c r="Y104">
        <v>982</v>
      </c>
      <c r="Z104">
        <v>892</v>
      </c>
      <c r="AA104">
        <v>958</v>
      </c>
      <c r="AB104">
        <v>1028</v>
      </c>
      <c r="AC104">
        <v>974</v>
      </c>
      <c r="AD104">
        <v>1009</v>
      </c>
      <c r="AE104">
        <v>976</v>
      </c>
      <c r="AF104">
        <v>0</v>
      </c>
      <c r="AG104">
        <v>1</v>
      </c>
      <c r="AH104">
        <v>0</v>
      </c>
      <c r="AI104">
        <v>0</v>
      </c>
      <c r="AJ104">
        <v>0</v>
      </c>
      <c r="AK104">
        <v>0</v>
      </c>
      <c r="AL104">
        <v>2</v>
      </c>
      <c r="AM104">
        <v>1</v>
      </c>
      <c r="AN104">
        <v>0</v>
      </c>
      <c r="AO104">
        <v>0</v>
      </c>
      <c r="AP104">
        <v>1128</v>
      </c>
      <c r="AQ104">
        <v>2</v>
      </c>
      <c r="AR104">
        <v>0</v>
      </c>
      <c r="AS104">
        <v>0</v>
      </c>
      <c r="AT104">
        <v>1</v>
      </c>
      <c r="AU104">
        <v>0</v>
      </c>
      <c r="AV104">
        <v>4</v>
      </c>
      <c r="AW104">
        <v>0</v>
      </c>
      <c r="AX104">
        <v>0</v>
      </c>
      <c r="AY104">
        <v>10</v>
      </c>
      <c r="AZ104">
        <v>3</v>
      </c>
      <c r="BA104">
        <v>967</v>
      </c>
      <c r="BB104">
        <v>0</v>
      </c>
      <c r="BC104">
        <v>12</v>
      </c>
      <c r="BD104">
        <v>1</v>
      </c>
      <c r="BE104">
        <v>3</v>
      </c>
      <c r="BF104">
        <v>18</v>
      </c>
      <c r="BG104">
        <v>17</v>
      </c>
      <c r="BH104">
        <v>1</v>
      </c>
      <c r="BI104">
        <v>5</v>
      </c>
      <c r="BJ104">
        <v>1</v>
      </c>
      <c r="BK104">
        <v>3</v>
      </c>
      <c r="BL104">
        <v>937</v>
      </c>
      <c r="BM104">
        <v>0</v>
      </c>
      <c r="BN104">
        <v>13</v>
      </c>
      <c r="BO104">
        <v>0</v>
      </c>
      <c r="BP104">
        <v>13</v>
      </c>
      <c r="BQ104">
        <v>30</v>
      </c>
      <c r="BR104">
        <v>8</v>
      </c>
      <c r="BS104">
        <v>0</v>
      </c>
      <c r="BT104">
        <v>0</v>
      </c>
      <c r="BU104">
        <v>0</v>
      </c>
      <c r="BV104">
        <v>0</v>
      </c>
      <c r="BW104">
        <v>974</v>
      </c>
      <c r="BX104">
        <v>0</v>
      </c>
      <c r="BY104">
        <v>1</v>
      </c>
      <c r="BZ104">
        <v>0</v>
      </c>
      <c r="CA104">
        <v>2</v>
      </c>
      <c r="CB104">
        <v>5</v>
      </c>
      <c r="CC104">
        <v>4</v>
      </c>
      <c r="CD104">
        <v>0</v>
      </c>
      <c r="CE104">
        <v>1</v>
      </c>
      <c r="CF104">
        <v>1</v>
      </c>
      <c r="CG104">
        <v>0</v>
      </c>
      <c r="CH104">
        <v>860</v>
      </c>
      <c r="CI104">
        <v>2</v>
      </c>
      <c r="CJ104">
        <v>2</v>
      </c>
      <c r="CK104">
        <v>13</v>
      </c>
      <c r="CL104">
        <v>9</v>
      </c>
      <c r="CM104">
        <v>17</v>
      </c>
      <c r="CN104">
        <v>6</v>
      </c>
      <c r="CO104">
        <v>2</v>
      </c>
      <c r="CP104">
        <v>0</v>
      </c>
      <c r="CQ104">
        <v>13</v>
      </c>
      <c r="CR104">
        <v>3</v>
      </c>
      <c r="CS104">
        <v>911</v>
      </c>
      <c r="CT104">
        <v>0</v>
      </c>
      <c r="CU104">
        <v>6</v>
      </c>
      <c r="CV104">
        <v>0</v>
      </c>
      <c r="CW104">
        <v>0</v>
      </c>
      <c r="CX104">
        <v>3</v>
      </c>
      <c r="CY104">
        <v>6</v>
      </c>
      <c r="CZ104">
        <v>1</v>
      </c>
      <c r="DA104">
        <v>0</v>
      </c>
      <c r="DB104">
        <v>0</v>
      </c>
      <c r="DC104">
        <v>0</v>
      </c>
      <c r="DD104">
        <v>1016</v>
      </c>
      <c r="DE104">
        <v>1</v>
      </c>
      <c r="DF104">
        <v>1</v>
      </c>
      <c r="DG104">
        <v>1</v>
      </c>
      <c r="DH104">
        <v>0</v>
      </c>
      <c r="DI104">
        <v>2</v>
      </c>
      <c r="DJ104">
        <v>1</v>
      </c>
      <c r="DK104">
        <v>1</v>
      </c>
      <c r="DL104">
        <v>2</v>
      </c>
      <c r="DM104">
        <v>0</v>
      </c>
      <c r="DN104">
        <v>3</v>
      </c>
      <c r="DO104">
        <v>960</v>
      </c>
      <c r="DP104">
        <v>4</v>
      </c>
      <c r="DQ104">
        <v>3</v>
      </c>
      <c r="DR104">
        <v>0</v>
      </c>
      <c r="DS104">
        <v>0</v>
      </c>
      <c r="DT104">
        <v>0</v>
      </c>
      <c r="DU104">
        <v>5</v>
      </c>
      <c r="DV104">
        <v>2</v>
      </c>
      <c r="DW104">
        <v>0</v>
      </c>
      <c r="DX104">
        <v>4</v>
      </c>
      <c r="DY104">
        <v>1</v>
      </c>
      <c r="DZ104">
        <v>994</v>
      </c>
      <c r="EA104">
        <v>0.97230000000000005</v>
      </c>
      <c r="EB104">
        <v>0.97268593969726402</v>
      </c>
      <c r="EC104">
        <v>0.97204945483025396</v>
      </c>
      <c r="ED104">
        <v>0.971986862552358</v>
      </c>
      <c r="EE104">
        <f>SUM(Table1[[#This Row],[ratio_0]:[ratio_9]])</f>
        <v>640</v>
      </c>
      <c r="EF104" s="1">
        <f>(Table1[[#This Row],[predicted_0]]-Table1[[#This Row],[actual_0]])/Table1[[#This Row],[actual_0]]</f>
        <v>3.6734693877551024E-2</v>
      </c>
      <c r="EG104" s="1">
        <f>(Table1[[#This Row],[predicted_1]]-Table1[[#This Row],[actual_1]])/Table1[[#This Row],[actual_1]]</f>
        <v>5.2863436123348016E-3</v>
      </c>
      <c r="EH104" s="1">
        <f>(Table1[[#This Row],[predicted_2]]-Table1[[#This Row],[actual_2]])/Table1[[#This Row],[actual_2]]</f>
        <v>-4.6511627906976744E-2</v>
      </c>
      <c r="EI104" s="1">
        <f>(Table1[[#This Row],[predicted_3]]-Table1[[#This Row],[actual_3]])/Table1[[#This Row],[actual_3]]</f>
        <v>-6.9306930693069313E-2</v>
      </c>
      <c r="EJ104" s="1">
        <f>(Table1[[#This Row],[predicted_4]]-Table1[[#This Row],[actual_4]])/Table1[[#This Row],[actual_4]]</f>
        <v>2.3421588594704685E-2</v>
      </c>
      <c r="EK104" s="1">
        <f>(Table1[[#This Row],[predicted_5]]-Table1[[#This Row],[actual_5]])/Table1[[#This Row],[actual_5]]</f>
        <v>-1.1210762331838564E-2</v>
      </c>
      <c r="EL104" s="1">
        <f>(Table1[[#This Row],[predicted_6]]-Table1[[#This Row],[actual_6]])/Table1[[#This Row],[actual_6]]</f>
        <v>-4.2797494780793317E-2</v>
      </c>
      <c r="EM104" s="1">
        <f>(Table1[[#This Row],[predicted_7]]-Table1[[#This Row],[actual_7]])/Table1[[#This Row],[actual_7]]</f>
        <v>3.3073929961089495E-2</v>
      </c>
      <c r="EN104" s="1">
        <f>(Table1[[#This Row],[predicted_8]]-Table1[[#This Row],[actual_8]])/Table1[[#This Row],[actual_8]]</f>
        <v>5.8521560574948665E-2</v>
      </c>
      <c r="EO104" s="1">
        <f>(Table1[[#This Row],[predicted_9]]-Table1[[#This Row],[actual_9]])/Table1[[#This Row],[actual_9]]</f>
        <v>1.288404360753221E-2</v>
      </c>
      <c r="EP104" s="1">
        <f>1+(Table1[[#This Row],[error_ratio_0]]-EF$2)</f>
        <v>1.0346938775510204</v>
      </c>
      <c r="EQ104" s="1">
        <f>1+(Table1[[#This Row],[error_ratio_1]]-EG$2)</f>
        <v>1.0035242290748898</v>
      </c>
      <c r="ER104" s="1">
        <f>1+(Table1[[#This Row],[error_ratio_2]]-EH$2)</f>
        <v>0.95833333333333337</v>
      </c>
      <c r="ES104" s="1">
        <f>1+(Table1[[#This Row],[error_ratio_3]]-EI$2)</f>
        <v>0.92079207920792083</v>
      </c>
      <c r="ET104" s="1">
        <f>1+(Table1[[#This Row],[error_ratio_4]]-EJ$2)</f>
        <v>1.0224032586558045</v>
      </c>
      <c r="EU104" s="1">
        <f>1+(Table1[[#This Row],[error_ratio_5]]-EK$2)</f>
        <v>0.9876681614349776</v>
      </c>
      <c r="EV104" s="1">
        <f>1+(Table1[[#This Row],[error_ratio_6]]-EL$2)</f>
        <v>0.9634655532359081</v>
      </c>
      <c r="EW104" s="1">
        <f>1+(Table1[[#This Row],[error_ratio_7]]-EM$2)</f>
        <v>1.0311284046692606</v>
      </c>
      <c r="EX104" s="1">
        <f>1+(Table1[[#This Row],[error_ratio_8]]-EN$2)</f>
        <v>1.0616016427104722</v>
      </c>
      <c r="EY104" s="1">
        <f>1+(Table1[[#This Row],[error_ratio_9]]-EO$2)</f>
        <v>1.0168483647175421</v>
      </c>
    </row>
    <row r="105" spans="1:155" x14ac:dyDescent="0.75">
      <c r="A105">
        <v>10</v>
      </c>
      <c r="B105">
        <v>100</v>
      </c>
      <c r="C105">
        <v>10</v>
      </c>
      <c r="D105">
        <v>10</v>
      </c>
      <c r="E105">
        <v>100</v>
      </c>
      <c r="F105">
        <v>10</v>
      </c>
      <c r="G105">
        <v>10</v>
      </c>
      <c r="H105">
        <v>100</v>
      </c>
      <c r="I105">
        <v>100</v>
      </c>
      <c r="J105">
        <v>100</v>
      </c>
      <c r="K105">
        <v>958</v>
      </c>
      <c r="L105">
        <v>1117</v>
      </c>
      <c r="M105">
        <v>1018</v>
      </c>
      <c r="N105">
        <v>926</v>
      </c>
      <c r="O105">
        <v>983</v>
      </c>
      <c r="P105">
        <v>786</v>
      </c>
      <c r="Q105">
        <v>943</v>
      </c>
      <c r="R105">
        <v>1077</v>
      </c>
      <c r="S105">
        <v>1210</v>
      </c>
      <c r="T105">
        <v>982</v>
      </c>
      <c r="U105">
        <v>980</v>
      </c>
      <c r="V105">
        <v>1135</v>
      </c>
      <c r="W105">
        <v>1032</v>
      </c>
      <c r="X105">
        <v>1010</v>
      </c>
      <c r="Y105">
        <v>982</v>
      </c>
      <c r="Z105">
        <v>892</v>
      </c>
      <c r="AA105">
        <v>958</v>
      </c>
      <c r="AB105">
        <v>1028</v>
      </c>
      <c r="AC105">
        <v>974</v>
      </c>
      <c r="AD105">
        <v>1009</v>
      </c>
      <c r="AE105">
        <v>942</v>
      </c>
      <c r="AF105">
        <v>0</v>
      </c>
      <c r="AG105">
        <v>4</v>
      </c>
      <c r="AH105">
        <v>0</v>
      </c>
      <c r="AI105">
        <v>2</v>
      </c>
      <c r="AJ105">
        <v>0</v>
      </c>
      <c r="AK105">
        <v>3</v>
      </c>
      <c r="AL105">
        <v>6</v>
      </c>
      <c r="AM105">
        <v>21</v>
      </c>
      <c r="AN105">
        <v>2</v>
      </c>
      <c r="AO105">
        <v>0</v>
      </c>
      <c r="AP105">
        <v>1112</v>
      </c>
      <c r="AQ105">
        <v>3</v>
      </c>
      <c r="AR105">
        <v>0</v>
      </c>
      <c r="AS105">
        <v>0</v>
      </c>
      <c r="AT105">
        <v>0</v>
      </c>
      <c r="AU105">
        <v>0</v>
      </c>
      <c r="AV105">
        <v>2</v>
      </c>
      <c r="AW105">
        <v>18</v>
      </c>
      <c r="AX105">
        <v>0</v>
      </c>
      <c r="AY105">
        <v>2</v>
      </c>
      <c r="AZ105">
        <v>1</v>
      </c>
      <c r="BA105">
        <v>983</v>
      </c>
      <c r="BB105">
        <v>0</v>
      </c>
      <c r="BC105">
        <v>2</v>
      </c>
      <c r="BD105">
        <v>0</v>
      </c>
      <c r="BE105">
        <v>3</v>
      </c>
      <c r="BF105">
        <v>26</v>
      </c>
      <c r="BG105">
        <v>14</v>
      </c>
      <c r="BH105">
        <v>1</v>
      </c>
      <c r="BI105">
        <v>1</v>
      </c>
      <c r="BJ105">
        <v>0</v>
      </c>
      <c r="BK105">
        <v>17</v>
      </c>
      <c r="BL105">
        <v>915</v>
      </c>
      <c r="BM105">
        <v>0</v>
      </c>
      <c r="BN105">
        <v>6</v>
      </c>
      <c r="BO105">
        <v>1</v>
      </c>
      <c r="BP105">
        <v>13</v>
      </c>
      <c r="BQ105">
        <v>56</v>
      </c>
      <c r="BR105">
        <v>1</v>
      </c>
      <c r="BS105">
        <v>0</v>
      </c>
      <c r="BT105">
        <v>0</v>
      </c>
      <c r="BU105">
        <v>3</v>
      </c>
      <c r="BV105">
        <v>0</v>
      </c>
      <c r="BW105">
        <v>968</v>
      </c>
      <c r="BX105">
        <v>0</v>
      </c>
      <c r="BY105">
        <v>2</v>
      </c>
      <c r="BZ105">
        <v>0</v>
      </c>
      <c r="CA105">
        <v>4</v>
      </c>
      <c r="CB105">
        <v>5</v>
      </c>
      <c r="CC105">
        <v>6</v>
      </c>
      <c r="CD105">
        <v>0</v>
      </c>
      <c r="CE105">
        <v>0</v>
      </c>
      <c r="CF105">
        <v>9</v>
      </c>
      <c r="CG105">
        <v>0</v>
      </c>
      <c r="CH105">
        <v>775</v>
      </c>
      <c r="CI105">
        <v>13</v>
      </c>
      <c r="CJ105">
        <v>4</v>
      </c>
      <c r="CK105">
        <v>80</v>
      </c>
      <c r="CL105">
        <v>5</v>
      </c>
      <c r="CM105">
        <v>5</v>
      </c>
      <c r="CN105">
        <v>2</v>
      </c>
      <c r="CO105">
        <v>2</v>
      </c>
      <c r="CP105">
        <v>0</v>
      </c>
      <c r="CQ105">
        <v>9</v>
      </c>
      <c r="CR105">
        <v>5</v>
      </c>
      <c r="CS105">
        <v>920</v>
      </c>
      <c r="CT105">
        <v>0</v>
      </c>
      <c r="CU105">
        <v>15</v>
      </c>
      <c r="CV105">
        <v>0</v>
      </c>
      <c r="CW105">
        <v>0</v>
      </c>
      <c r="CX105">
        <v>1</v>
      </c>
      <c r="CY105">
        <v>3</v>
      </c>
      <c r="CZ105">
        <v>1</v>
      </c>
      <c r="DA105">
        <v>0</v>
      </c>
      <c r="DB105">
        <v>0</v>
      </c>
      <c r="DC105">
        <v>0</v>
      </c>
      <c r="DD105">
        <v>1016</v>
      </c>
      <c r="DE105">
        <v>7</v>
      </c>
      <c r="DF105">
        <v>0</v>
      </c>
      <c r="DG105">
        <v>0</v>
      </c>
      <c r="DH105">
        <v>0</v>
      </c>
      <c r="DI105">
        <v>3</v>
      </c>
      <c r="DJ105">
        <v>0</v>
      </c>
      <c r="DK105">
        <v>0</v>
      </c>
      <c r="DL105">
        <v>0</v>
      </c>
      <c r="DM105">
        <v>1</v>
      </c>
      <c r="DN105">
        <v>2</v>
      </c>
      <c r="DO105">
        <v>968</v>
      </c>
      <c r="DP105">
        <v>0</v>
      </c>
      <c r="DQ105">
        <v>2</v>
      </c>
      <c r="DR105">
        <v>1</v>
      </c>
      <c r="DS105">
        <v>0</v>
      </c>
      <c r="DT105">
        <v>1</v>
      </c>
      <c r="DU105">
        <v>2</v>
      </c>
      <c r="DV105">
        <v>0</v>
      </c>
      <c r="DW105">
        <v>0</v>
      </c>
      <c r="DX105">
        <v>8</v>
      </c>
      <c r="DY105">
        <v>27</v>
      </c>
      <c r="DZ105">
        <v>968</v>
      </c>
      <c r="EA105">
        <v>0.95669999999999999</v>
      </c>
      <c r="EB105">
        <v>0.96080220782468595</v>
      </c>
      <c r="EC105">
        <v>0.955586402992049</v>
      </c>
      <c r="ED105">
        <v>0.95649904651296702</v>
      </c>
      <c r="EE105">
        <f>SUM(Table1[[#This Row],[ratio_0]:[ratio_9]])</f>
        <v>550</v>
      </c>
      <c r="EF105" s="1">
        <f>(Table1[[#This Row],[predicted_0]]-Table1[[#This Row],[actual_0]])/Table1[[#This Row],[actual_0]]</f>
        <v>-2.2448979591836733E-2</v>
      </c>
      <c r="EG105" s="1">
        <f>(Table1[[#This Row],[predicted_1]]-Table1[[#This Row],[actual_1]])/Table1[[#This Row],[actual_1]]</f>
        <v>-1.5859030837004406E-2</v>
      </c>
      <c r="EH105" s="1">
        <f>(Table1[[#This Row],[predicted_2]]-Table1[[#This Row],[actual_2]])/Table1[[#This Row],[actual_2]]</f>
        <v>-1.3565891472868217E-2</v>
      </c>
      <c r="EI105" s="1">
        <f>(Table1[[#This Row],[predicted_3]]-Table1[[#This Row],[actual_3]])/Table1[[#This Row],[actual_3]]</f>
        <v>-8.3168316831683173E-2</v>
      </c>
      <c r="EJ105" s="1">
        <f>(Table1[[#This Row],[predicted_4]]-Table1[[#This Row],[actual_4]])/Table1[[#This Row],[actual_4]]</f>
        <v>1.0183299389002036E-3</v>
      </c>
      <c r="EK105" s="1">
        <f>(Table1[[#This Row],[predicted_5]]-Table1[[#This Row],[actual_5]])/Table1[[#This Row],[actual_5]]</f>
        <v>-0.11883408071748879</v>
      </c>
      <c r="EL105" s="1">
        <f>(Table1[[#This Row],[predicted_6]]-Table1[[#This Row],[actual_6]])/Table1[[#This Row],[actual_6]]</f>
        <v>-1.5657620041753653E-2</v>
      </c>
      <c r="EM105" s="1">
        <f>(Table1[[#This Row],[predicted_7]]-Table1[[#This Row],[actual_7]])/Table1[[#This Row],[actual_7]]</f>
        <v>4.7665369649805445E-2</v>
      </c>
      <c r="EN105" s="1">
        <f>(Table1[[#This Row],[predicted_8]]-Table1[[#This Row],[actual_8]])/Table1[[#This Row],[actual_8]]</f>
        <v>0.24229979466119098</v>
      </c>
      <c r="EO105" s="1">
        <f>(Table1[[#This Row],[predicted_9]]-Table1[[#This Row],[actual_9]])/Table1[[#This Row],[actual_9]]</f>
        <v>-2.6759167492566897E-2</v>
      </c>
      <c r="EP105" s="1">
        <f>1+(Table1[[#This Row],[error_ratio_0]]-EF$2)</f>
        <v>0.97551020408163269</v>
      </c>
      <c r="EQ105" s="1">
        <f>1+(Table1[[#This Row],[error_ratio_1]]-EG$2)</f>
        <v>0.98237885462555063</v>
      </c>
      <c r="ER105" s="1">
        <f>1+(Table1[[#This Row],[error_ratio_2]]-EH$2)</f>
        <v>0.99127906976744184</v>
      </c>
      <c r="ES105" s="1">
        <f>1+(Table1[[#This Row],[error_ratio_3]]-EI$2)</f>
        <v>0.90693069306930696</v>
      </c>
      <c r="ET105" s="1">
        <f>1+(Table1[[#This Row],[error_ratio_4]]-EJ$2)</f>
        <v>1</v>
      </c>
      <c r="EU105" s="1">
        <f>1+(Table1[[#This Row],[error_ratio_5]]-EK$2)</f>
        <v>0.8800448430493274</v>
      </c>
      <c r="EV105" s="1">
        <f>1+(Table1[[#This Row],[error_ratio_6]]-EL$2)</f>
        <v>0.99060542797494777</v>
      </c>
      <c r="EW105" s="1">
        <f>1+(Table1[[#This Row],[error_ratio_7]]-EM$2)</f>
        <v>1.0457198443579767</v>
      </c>
      <c r="EX105" s="1">
        <f>1+(Table1[[#This Row],[error_ratio_8]]-EN$2)</f>
        <v>1.2453798767967146</v>
      </c>
      <c r="EY105" s="1">
        <f>1+(Table1[[#This Row],[error_ratio_9]]-EO$2)</f>
        <v>0.97720515361744298</v>
      </c>
    </row>
    <row r="106" spans="1:155" x14ac:dyDescent="0.75">
      <c r="A106">
        <v>100</v>
      </c>
      <c r="B106">
        <v>10</v>
      </c>
      <c r="C106">
        <v>10</v>
      </c>
      <c r="D106">
        <v>10</v>
      </c>
      <c r="E106">
        <v>100</v>
      </c>
      <c r="F106">
        <v>10</v>
      </c>
      <c r="G106">
        <v>10</v>
      </c>
      <c r="H106">
        <v>100</v>
      </c>
      <c r="I106">
        <v>100</v>
      </c>
      <c r="J106">
        <v>100</v>
      </c>
      <c r="K106">
        <v>1029</v>
      </c>
      <c r="L106">
        <v>1100</v>
      </c>
      <c r="M106">
        <v>987</v>
      </c>
      <c r="N106">
        <v>1000</v>
      </c>
      <c r="O106">
        <v>939</v>
      </c>
      <c r="P106">
        <v>763</v>
      </c>
      <c r="Q106">
        <v>955</v>
      </c>
      <c r="R106">
        <v>1091</v>
      </c>
      <c r="S106">
        <v>1127</v>
      </c>
      <c r="T106">
        <v>1009</v>
      </c>
      <c r="U106">
        <v>980</v>
      </c>
      <c r="V106">
        <v>1135</v>
      </c>
      <c r="W106">
        <v>1032</v>
      </c>
      <c r="X106">
        <v>1010</v>
      </c>
      <c r="Y106">
        <v>982</v>
      </c>
      <c r="Z106">
        <v>892</v>
      </c>
      <c r="AA106">
        <v>958</v>
      </c>
      <c r="AB106">
        <v>1028</v>
      </c>
      <c r="AC106">
        <v>974</v>
      </c>
      <c r="AD106">
        <v>1009</v>
      </c>
      <c r="AE106">
        <v>974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2</v>
      </c>
      <c r="AM106">
        <v>4</v>
      </c>
      <c r="AN106">
        <v>0</v>
      </c>
      <c r="AO106">
        <v>0</v>
      </c>
      <c r="AP106">
        <v>1095</v>
      </c>
      <c r="AQ106">
        <v>2</v>
      </c>
      <c r="AR106">
        <v>4</v>
      </c>
      <c r="AS106">
        <v>0</v>
      </c>
      <c r="AT106">
        <v>1</v>
      </c>
      <c r="AU106">
        <v>5</v>
      </c>
      <c r="AV106">
        <v>6</v>
      </c>
      <c r="AW106">
        <v>22</v>
      </c>
      <c r="AX106">
        <v>0</v>
      </c>
      <c r="AY106">
        <v>13</v>
      </c>
      <c r="AZ106">
        <v>0</v>
      </c>
      <c r="BA106">
        <v>971</v>
      </c>
      <c r="BB106">
        <v>4</v>
      </c>
      <c r="BC106">
        <v>1</v>
      </c>
      <c r="BD106">
        <v>0</v>
      </c>
      <c r="BE106">
        <v>4</v>
      </c>
      <c r="BF106">
        <v>17</v>
      </c>
      <c r="BG106">
        <v>22</v>
      </c>
      <c r="BH106">
        <v>0</v>
      </c>
      <c r="BI106">
        <v>3</v>
      </c>
      <c r="BJ106">
        <v>0</v>
      </c>
      <c r="BK106">
        <v>6</v>
      </c>
      <c r="BL106">
        <v>965</v>
      </c>
      <c r="BM106">
        <v>0</v>
      </c>
      <c r="BN106">
        <v>2</v>
      </c>
      <c r="BO106">
        <v>0</v>
      </c>
      <c r="BP106">
        <v>14</v>
      </c>
      <c r="BQ106">
        <v>19</v>
      </c>
      <c r="BR106">
        <v>1</v>
      </c>
      <c r="BS106">
        <v>3</v>
      </c>
      <c r="BT106">
        <v>1</v>
      </c>
      <c r="BU106">
        <v>3</v>
      </c>
      <c r="BV106">
        <v>0</v>
      </c>
      <c r="BW106">
        <v>935</v>
      </c>
      <c r="BX106">
        <v>0</v>
      </c>
      <c r="BY106">
        <v>15</v>
      </c>
      <c r="BZ106">
        <v>6</v>
      </c>
      <c r="CA106">
        <v>1</v>
      </c>
      <c r="CB106">
        <v>18</v>
      </c>
      <c r="CC106">
        <v>11</v>
      </c>
      <c r="CD106">
        <v>0</v>
      </c>
      <c r="CE106">
        <v>0</v>
      </c>
      <c r="CF106">
        <v>25</v>
      </c>
      <c r="CG106">
        <v>0</v>
      </c>
      <c r="CH106">
        <v>757</v>
      </c>
      <c r="CI106">
        <v>5</v>
      </c>
      <c r="CJ106">
        <v>2</v>
      </c>
      <c r="CK106">
        <v>72</v>
      </c>
      <c r="CL106">
        <v>20</v>
      </c>
      <c r="CM106">
        <v>16</v>
      </c>
      <c r="CN106">
        <v>2</v>
      </c>
      <c r="CO106">
        <v>0</v>
      </c>
      <c r="CP106">
        <v>0</v>
      </c>
      <c r="CQ106">
        <v>1</v>
      </c>
      <c r="CR106">
        <v>1</v>
      </c>
      <c r="CS106">
        <v>924</v>
      </c>
      <c r="CT106">
        <v>0</v>
      </c>
      <c r="CU106">
        <v>14</v>
      </c>
      <c r="CV106">
        <v>0</v>
      </c>
      <c r="CW106">
        <v>1</v>
      </c>
      <c r="CX106">
        <v>1</v>
      </c>
      <c r="CY106">
        <v>4</v>
      </c>
      <c r="CZ106">
        <v>0</v>
      </c>
      <c r="DA106">
        <v>0</v>
      </c>
      <c r="DB106">
        <v>0</v>
      </c>
      <c r="DC106">
        <v>0</v>
      </c>
      <c r="DD106">
        <v>1021</v>
      </c>
      <c r="DE106">
        <v>1</v>
      </c>
      <c r="DF106">
        <v>0</v>
      </c>
      <c r="DG106">
        <v>3</v>
      </c>
      <c r="DH106">
        <v>0</v>
      </c>
      <c r="DI106">
        <v>1</v>
      </c>
      <c r="DJ106">
        <v>0</v>
      </c>
      <c r="DK106">
        <v>0</v>
      </c>
      <c r="DL106">
        <v>0</v>
      </c>
      <c r="DM106">
        <v>2</v>
      </c>
      <c r="DN106">
        <v>2</v>
      </c>
      <c r="DO106">
        <v>965</v>
      </c>
      <c r="DP106">
        <v>1</v>
      </c>
      <c r="DQ106">
        <v>5</v>
      </c>
      <c r="DR106">
        <v>1</v>
      </c>
      <c r="DS106">
        <v>0</v>
      </c>
      <c r="DT106">
        <v>2</v>
      </c>
      <c r="DU106">
        <v>2</v>
      </c>
      <c r="DV106">
        <v>2</v>
      </c>
      <c r="DW106">
        <v>0</v>
      </c>
      <c r="DX106">
        <v>21</v>
      </c>
      <c r="DY106">
        <v>7</v>
      </c>
      <c r="DZ106">
        <v>969</v>
      </c>
      <c r="EA106">
        <v>0.95760000000000001</v>
      </c>
      <c r="EB106">
        <v>0.95986605893102395</v>
      </c>
      <c r="EC106">
        <v>0.95645820776299995</v>
      </c>
      <c r="ED106">
        <v>0.956846970715026</v>
      </c>
      <c r="EE106">
        <f>SUM(Table1[[#This Row],[ratio_0]:[ratio_9]])</f>
        <v>550</v>
      </c>
      <c r="EF106" s="1">
        <f>(Table1[[#This Row],[predicted_0]]-Table1[[#This Row],[actual_0]])/Table1[[#This Row],[actual_0]]</f>
        <v>0.05</v>
      </c>
      <c r="EG106" s="1">
        <f>(Table1[[#This Row],[predicted_1]]-Table1[[#This Row],[actual_1]])/Table1[[#This Row],[actual_1]]</f>
        <v>-3.0837004405286344E-2</v>
      </c>
      <c r="EH106" s="1">
        <f>(Table1[[#This Row],[predicted_2]]-Table1[[#This Row],[actual_2]])/Table1[[#This Row],[actual_2]]</f>
        <v>-4.3604651162790699E-2</v>
      </c>
      <c r="EI106" s="1">
        <f>(Table1[[#This Row],[predicted_3]]-Table1[[#This Row],[actual_3]])/Table1[[#This Row],[actual_3]]</f>
        <v>-9.9009900990099011E-3</v>
      </c>
      <c r="EJ106" s="1">
        <f>(Table1[[#This Row],[predicted_4]]-Table1[[#This Row],[actual_4]])/Table1[[#This Row],[actual_4]]</f>
        <v>-4.3788187372708759E-2</v>
      </c>
      <c r="EK106" s="1">
        <f>(Table1[[#This Row],[predicted_5]]-Table1[[#This Row],[actual_5]])/Table1[[#This Row],[actual_5]]</f>
        <v>-0.14461883408071749</v>
      </c>
      <c r="EL106" s="1">
        <f>(Table1[[#This Row],[predicted_6]]-Table1[[#This Row],[actual_6]])/Table1[[#This Row],[actual_6]]</f>
        <v>-3.1315240083507308E-3</v>
      </c>
      <c r="EM106" s="1">
        <f>(Table1[[#This Row],[predicted_7]]-Table1[[#This Row],[actual_7]])/Table1[[#This Row],[actual_7]]</f>
        <v>6.1284046692607001E-2</v>
      </c>
      <c r="EN106" s="1">
        <f>(Table1[[#This Row],[predicted_8]]-Table1[[#This Row],[actual_8]])/Table1[[#This Row],[actual_8]]</f>
        <v>0.15708418891170431</v>
      </c>
      <c r="EO106" s="1">
        <f>(Table1[[#This Row],[predicted_9]]-Table1[[#This Row],[actual_9]])/Table1[[#This Row],[actual_9]]</f>
        <v>0</v>
      </c>
      <c r="EP106" s="1">
        <f>1+(Table1[[#This Row],[error_ratio_0]]-EF$2)</f>
        <v>1.0479591836734694</v>
      </c>
      <c r="EQ106" s="1">
        <f>1+(Table1[[#This Row],[error_ratio_1]]-EG$2)</f>
        <v>0.96740088105726874</v>
      </c>
      <c r="ER106" s="1">
        <f>1+(Table1[[#This Row],[error_ratio_2]]-EH$2)</f>
        <v>0.96124031007751942</v>
      </c>
      <c r="ES106" s="1">
        <f>1+(Table1[[#This Row],[error_ratio_3]]-EI$2)</f>
        <v>0.98019801980198018</v>
      </c>
      <c r="ET106" s="1">
        <f>1+(Table1[[#This Row],[error_ratio_4]]-EJ$2)</f>
        <v>0.95519348268839099</v>
      </c>
      <c r="EU106" s="1">
        <f>1+(Table1[[#This Row],[error_ratio_5]]-EK$2)</f>
        <v>0.85426008968609868</v>
      </c>
      <c r="EV106" s="1">
        <f>1+(Table1[[#This Row],[error_ratio_6]]-EL$2)</f>
        <v>1.0031315240083507</v>
      </c>
      <c r="EW106" s="1">
        <f>1+(Table1[[#This Row],[error_ratio_7]]-EM$2)</f>
        <v>1.0593385214007782</v>
      </c>
      <c r="EX106" s="1">
        <f>1+(Table1[[#This Row],[error_ratio_8]]-EN$2)</f>
        <v>1.160164271047228</v>
      </c>
      <c r="EY106" s="1">
        <f>1+(Table1[[#This Row],[error_ratio_9]]-EO$2)</f>
        <v>1.00396432111001</v>
      </c>
    </row>
    <row r="107" spans="1:155" x14ac:dyDescent="0.75">
      <c r="A107">
        <v>10</v>
      </c>
      <c r="B107">
        <v>10</v>
      </c>
      <c r="C107">
        <v>10</v>
      </c>
      <c r="D107">
        <v>10</v>
      </c>
      <c r="E107">
        <v>100</v>
      </c>
      <c r="F107">
        <v>10</v>
      </c>
      <c r="G107">
        <v>10</v>
      </c>
      <c r="H107">
        <v>100</v>
      </c>
      <c r="I107">
        <v>100</v>
      </c>
      <c r="J107">
        <v>100</v>
      </c>
      <c r="K107">
        <v>941</v>
      </c>
      <c r="L107">
        <v>1124</v>
      </c>
      <c r="M107">
        <v>1247</v>
      </c>
      <c r="N107">
        <v>971</v>
      </c>
      <c r="O107">
        <v>1034</v>
      </c>
      <c r="P107">
        <v>778</v>
      </c>
      <c r="Q107">
        <v>915</v>
      </c>
      <c r="R107">
        <v>838</v>
      </c>
      <c r="S107">
        <v>1091</v>
      </c>
      <c r="T107">
        <v>1061</v>
      </c>
      <c r="U107">
        <v>980</v>
      </c>
      <c r="V107">
        <v>1135</v>
      </c>
      <c r="W107">
        <v>1032</v>
      </c>
      <c r="X107">
        <v>1010</v>
      </c>
      <c r="Y107">
        <v>982</v>
      </c>
      <c r="Z107">
        <v>892</v>
      </c>
      <c r="AA107">
        <v>958</v>
      </c>
      <c r="AB107">
        <v>1028</v>
      </c>
      <c r="AC107">
        <v>974</v>
      </c>
      <c r="AD107">
        <v>1009</v>
      </c>
      <c r="AE107">
        <v>929</v>
      </c>
      <c r="AF107">
        <v>0</v>
      </c>
      <c r="AG107">
        <v>7</v>
      </c>
      <c r="AH107">
        <v>0</v>
      </c>
      <c r="AI107">
        <v>11</v>
      </c>
      <c r="AJ107">
        <v>2</v>
      </c>
      <c r="AK107">
        <v>11</v>
      </c>
      <c r="AL107">
        <v>2</v>
      </c>
      <c r="AM107">
        <v>8</v>
      </c>
      <c r="AN107">
        <v>10</v>
      </c>
      <c r="AO107">
        <v>0</v>
      </c>
      <c r="AP107">
        <v>1120</v>
      </c>
      <c r="AQ107">
        <v>7</v>
      </c>
      <c r="AR107">
        <v>0</v>
      </c>
      <c r="AS107">
        <v>4</v>
      </c>
      <c r="AT107">
        <v>0</v>
      </c>
      <c r="AU107">
        <v>1</v>
      </c>
      <c r="AV107">
        <v>0</v>
      </c>
      <c r="AW107">
        <v>2</v>
      </c>
      <c r="AX107">
        <v>1</v>
      </c>
      <c r="AY107">
        <v>2</v>
      </c>
      <c r="AZ107">
        <v>0</v>
      </c>
      <c r="BA107">
        <v>1019</v>
      </c>
      <c r="BB107">
        <v>0</v>
      </c>
      <c r="BC107">
        <v>6</v>
      </c>
      <c r="BD107">
        <v>0</v>
      </c>
      <c r="BE107">
        <v>0</v>
      </c>
      <c r="BF107">
        <v>1</v>
      </c>
      <c r="BG107">
        <v>4</v>
      </c>
      <c r="BH107">
        <v>0</v>
      </c>
      <c r="BI107">
        <v>2</v>
      </c>
      <c r="BJ107">
        <v>0</v>
      </c>
      <c r="BK107">
        <v>17</v>
      </c>
      <c r="BL107">
        <v>964</v>
      </c>
      <c r="BM107">
        <v>0</v>
      </c>
      <c r="BN107">
        <v>4</v>
      </c>
      <c r="BO107">
        <v>0</v>
      </c>
      <c r="BP107">
        <v>3</v>
      </c>
      <c r="BQ107">
        <v>5</v>
      </c>
      <c r="BR107">
        <v>15</v>
      </c>
      <c r="BS107">
        <v>0</v>
      </c>
      <c r="BT107">
        <v>0</v>
      </c>
      <c r="BU107">
        <v>1</v>
      </c>
      <c r="BV107">
        <v>0</v>
      </c>
      <c r="BW107">
        <v>976</v>
      </c>
      <c r="BX107">
        <v>0</v>
      </c>
      <c r="BY107">
        <v>1</v>
      </c>
      <c r="BZ107">
        <v>1</v>
      </c>
      <c r="CA107">
        <v>0</v>
      </c>
      <c r="CB107">
        <v>3</v>
      </c>
      <c r="CC107">
        <v>1</v>
      </c>
      <c r="CD107">
        <v>0</v>
      </c>
      <c r="CE107">
        <v>4</v>
      </c>
      <c r="CF107">
        <v>5</v>
      </c>
      <c r="CG107">
        <v>0</v>
      </c>
      <c r="CH107">
        <v>769</v>
      </c>
      <c r="CI107">
        <v>3</v>
      </c>
      <c r="CJ107">
        <v>2</v>
      </c>
      <c r="CK107">
        <v>84</v>
      </c>
      <c r="CL107">
        <v>24</v>
      </c>
      <c r="CM107">
        <v>6</v>
      </c>
      <c r="CN107">
        <v>2</v>
      </c>
      <c r="CO107">
        <v>4</v>
      </c>
      <c r="CP107">
        <v>0</v>
      </c>
      <c r="CQ107">
        <v>23</v>
      </c>
      <c r="CR107">
        <v>1</v>
      </c>
      <c r="CS107">
        <v>899</v>
      </c>
      <c r="CT107">
        <v>0</v>
      </c>
      <c r="CU107">
        <v>23</v>
      </c>
      <c r="CV107">
        <v>0</v>
      </c>
      <c r="CW107">
        <v>0</v>
      </c>
      <c r="CX107">
        <v>2</v>
      </c>
      <c r="CY107">
        <v>182</v>
      </c>
      <c r="CZ107">
        <v>1</v>
      </c>
      <c r="DA107">
        <v>1</v>
      </c>
      <c r="DB107">
        <v>0</v>
      </c>
      <c r="DC107">
        <v>0</v>
      </c>
      <c r="DD107">
        <v>828</v>
      </c>
      <c r="DE107">
        <v>1</v>
      </c>
      <c r="DF107">
        <v>13</v>
      </c>
      <c r="DG107">
        <v>1</v>
      </c>
      <c r="DH107">
        <v>0</v>
      </c>
      <c r="DI107">
        <v>5</v>
      </c>
      <c r="DJ107">
        <v>0</v>
      </c>
      <c r="DK107">
        <v>1</v>
      </c>
      <c r="DL107">
        <v>0</v>
      </c>
      <c r="DM107">
        <v>0</v>
      </c>
      <c r="DN107">
        <v>0</v>
      </c>
      <c r="DO107">
        <v>963</v>
      </c>
      <c r="DP107">
        <v>4</v>
      </c>
      <c r="DQ107">
        <v>0</v>
      </c>
      <c r="DR107">
        <v>0</v>
      </c>
      <c r="DS107">
        <v>1</v>
      </c>
      <c r="DT107">
        <v>1</v>
      </c>
      <c r="DU107">
        <v>12</v>
      </c>
      <c r="DV107">
        <v>2</v>
      </c>
      <c r="DW107">
        <v>0</v>
      </c>
      <c r="DX107">
        <v>1</v>
      </c>
      <c r="DY107">
        <v>1</v>
      </c>
      <c r="DZ107">
        <v>991</v>
      </c>
      <c r="EA107">
        <v>0.94579999999999997</v>
      </c>
      <c r="EB107">
        <v>0.95132614831631901</v>
      </c>
      <c r="EC107">
        <v>0.94473272671416197</v>
      </c>
      <c r="ED107">
        <v>0.94530962009685005</v>
      </c>
      <c r="EE107">
        <f>SUM(Table1[[#This Row],[ratio_0]:[ratio_9]])</f>
        <v>460</v>
      </c>
      <c r="EF107" s="1">
        <f>(Table1[[#This Row],[predicted_0]]-Table1[[#This Row],[actual_0]])/Table1[[#This Row],[actual_0]]</f>
        <v>-3.9795918367346937E-2</v>
      </c>
      <c r="EG107" s="1">
        <f>(Table1[[#This Row],[predicted_1]]-Table1[[#This Row],[actual_1]])/Table1[[#This Row],[actual_1]]</f>
        <v>-9.6916299559471359E-3</v>
      </c>
      <c r="EH107" s="1">
        <f>(Table1[[#This Row],[predicted_2]]-Table1[[#This Row],[actual_2]])/Table1[[#This Row],[actual_2]]</f>
        <v>0.20833333333333334</v>
      </c>
      <c r="EI107" s="1">
        <f>(Table1[[#This Row],[predicted_3]]-Table1[[#This Row],[actual_3]])/Table1[[#This Row],[actual_3]]</f>
        <v>-3.8613861386138613E-2</v>
      </c>
      <c r="EJ107" s="1">
        <f>(Table1[[#This Row],[predicted_4]]-Table1[[#This Row],[actual_4]])/Table1[[#This Row],[actual_4]]</f>
        <v>5.2953156822810592E-2</v>
      </c>
      <c r="EK107" s="1">
        <f>(Table1[[#This Row],[predicted_5]]-Table1[[#This Row],[actual_5]])/Table1[[#This Row],[actual_5]]</f>
        <v>-0.12780269058295965</v>
      </c>
      <c r="EL107" s="1">
        <f>(Table1[[#This Row],[predicted_6]]-Table1[[#This Row],[actual_6]])/Table1[[#This Row],[actual_6]]</f>
        <v>-4.4885177453027142E-2</v>
      </c>
      <c r="EM107" s="1">
        <f>(Table1[[#This Row],[predicted_7]]-Table1[[#This Row],[actual_7]])/Table1[[#This Row],[actual_7]]</f>
        <v>-0.18482490272373542</v>
      </c>
      <c r="EN107" s="1">
        <f>(Table1[[#This Row],[predicted_8]]-Table1[[#This Row],[actual_8]])/Table1[[#This Row],[actual_8]]</f>
        <v>0.12012320328542095</v>
      </c>
      <c r="EO107" s="1">
        <f>(Table1[[#This Row],[predicted_9]]-Table1[[#This Row],[actual_9]])/Table1[[#This Row],[actual_9]]</f>
        <v>5.1536174430128839E-2</v>
      </c>
      <c r="EP107" s="1">
        <f>1+(Table1[[#This Row],[error_ratio_0]]-EF$2)</f>
        <v>0.9581632653061225</v>
      </c>
      <c r="EQ107" s="1">
        <f>1+(Table1[[#This Row],[error_ratio_1]]-EG$2)</f>
        <v>0.98854625550660791</v>
      </c>
      <c r="ER107" s="1">
        <f>1+(Table1[[#This Row],[error_ratio_2]]-EH$2)</f>
        <v>1.2131782945736433</v>
      </c>
      <c r="ES107" s="1">
        <f>1+(Table1[[#This Row],[error_ratio_3]]-EI$2)</f>
        <v>0.95148514851485144</v>
      </c>
      <c r="ET107" s="1">
        <f>1+(Table1[[#This Row],[error_ratio_4]]-EJ$2)</f>
        <v>1.0519348268839104</v>
      </c>
      <c r="EU107" s="1">
        <f>1+(Table1[[#This Row],[error_ratio_5]]-EK$2)</f>
        <v>0.87107623318385652</v>
      </c>
      <c r="EV107" s="1">
        <f>1+(Table1[[#This Row],[error_ratio_6]]-EL$2)</f>
        <v>0.9613778705636743</v>
      </c>
      <c r="EW107" s="1">
        <f>1+(Table1[[#This Row],[error_ratio_7]]-EM$2)</f>
        <v>0.8132295719844358</v>
      </c>
      <c r="EX107" s="1">
        <f>1+(Table1[[#This Row],[error_ratio_8]]-EN$2)</f>
        <v>1.1232032854209446</v>
      </c>
      <c r="EY107" s="1">
        <f>1+(Table1[[#This Row],[error_ratio_9]]-EO$2)</f>
        <v>1.0555004955401388</v>
      </c>
    </row>
    <row r="108" spans="1:155" x14ac:dyDescent="0.75">
      <c r="A108">
        <v>100</v>
      </c>
      <c r="B108">
        <v>100</v>
      </c>
      <c r="C108">
        <v>100</v>
      </c>
      <c r="D108">
        <v>100</v>
      </c>
      <c r="E108">
        <v>10</v>
      </c>
      <c r="F108">
        <v>10</v>
      </c>
      <c r="G108">
        <v>10</v>
      </c>
      <c r="H108">
        <v>100</v>
      </c>
      <c r="I108">
        <v>100</v>
      </c>
      <c r="J108">
        <v>100</v>
      </c>
      <c r="K108">
        <v>989</v>
      </c>
      <c r="L108">
        <v>1155</v>
      </c>
      <c r="M108">
        <v>1039</v>
      </c>
      <c r="N108">
        <v>1022</v>
      </c>
      <c r="O108">
        <v>815</v>
      </c>
      <c r="P108">
        <v>880</v>
      </c>
      <c r="Q108">
        <v>890</v>
      </c>
      <c r="R108">
        <v>1039</v>
      </c>
      <c r="S108">
        <v>1035</v>
      </c>
      <c r="T108">
        <v>1136</v>
      </c>
      <c r="U108">
        <v>980</v>
      </c>
      <c r="V108">
        <v>1135</v>
      </c>
      <c r="W108">
        <v>1032</v>
      </c>
      <c r="X108">
        <v>1010</v>
      </c>
      <c r="Y108">
        <v>982</v>
      </c>
      <c r="Z108">
        <v>892</v>
      </c>
      <c r="AA108">
        <v>958</v>
      </c>
      <c r="AB108">
        <v>1028</v>
      </c>
      <c r="AC108">
        <v>974</v>
      </c>
      <c r="AD108">
        <v>1009</v>
      </c>
      <c r="AE108">
        <v>967</v>
      </c>
      <c r="AF108">
        <v>0</v>
      </c>
      <c r="AG108">
        <v>0</v>
      </c>
      <c r="AH108">
        <v>1</v>
      </c>
      <c r="AI108">
        <v>0</v>
      </c>
      <c r="AJ108">
        <v>0</v>
      </c>
      <c r="AK108">
        <v>0</v>
      </c>
      <c r="AL108">
        <v>3</v>
      </c>
      <c r="AM108">
        <v>4</v>
      </c>
      <c r="AN108">
        <v>5</v>
      </c>
      <c r="AO108">
        <v>0</v>
      </c>
      <c r="AP108">
        <v>1133</v>
      </c>
      <c r="AQ108">
        <v>0</v>
      </c>
      <c r="AR108">
        <v>2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1</v>
      </c>
      <c r="BA108">
        <v>1021</v>
      </c>
      <c r="BB108">
        <v>0</v>
      </c>
      <c r="BC108">
        <v>0</v>
      </c>
      <c r="BD108">
        <v>0</v>
      </c>
      <c r="BE108">
        <v>0</v>
      </c>
      <c r="BF108">
        <v>7</v>
      </c>
      <c r="BG108">
        <v>2</v>
      </c>
      <c r="BH108">
        <v>1</v>
      </c>
      <c r="BI108">
        <v>1</v>
      </c>
      <c r="BJ108">
        <v>0</v>
      </c>
      <c r="BK108">
        <v>1</v>
      </c>
      <c r="BL108">
        <v>999</v>
      </c>
      <c r="BM108">
        <v>0</v>
      </c>
      <c r="BN108">
        <v>2</v>
      </c>
      <c r="BO108">
        <v>0</v>
      </c>
      <c r="BP108">
        <v>1</v>
      </c>
      <c r="BQ108">
        <v>5</v>
      </c>
      <c r="BR108">
        <v>1</v>
      </c>
      <c r="BS108">
        <v>0</v>
      </c>
      <c r="BT108">
        <v>11</v>
      </c>
      <c r="BU108">
        <v>5</v>
      </c>
      <c r="BV108">
        <v>0</v>
      </c>
      <c r="BW108">
        <v>812</v>
      </c>
      <c r="BX108">
        <v>1</v>
      </c>
      <c r="BY108">
        <v>4</v>
      </c>
      <c r="BZ108">
        <v>6</v>
      </c>
      <c r="CA108">
        <v>14</v>
      </c>
      <c r="CB108">
        <v>129</v>
      </c>
      <c r="CC108">
        <v>3</v>
      </c>
      <c r="CD108">
        <v>0</v>
      </c>
      <c r="CE108">
        <v>1</v>
      </c>
      <c r="CF108">
        <v>16</v>
      </c>
      <c r="CG108">
        <v>0</v>
      </c>
      <c r="CH108">
        <v>847</v>
      </c>
      <c r="CI108">
        <v>1</v>
      </c>
      <c r="CJ108">
        <v>1</v>
      </c>
      <c r="CK108">
        <v>21</v>
      </c>
      <c r="CL108">
        <v>2</v>
      </c>
      <c r="CM108">
        <v>15</v>
      </c>
      <c r="CN108">
        <v>3</v>
      </c>
      <c r="CO108">
        <v>2</v>
      </c>
      <c r="CP108">
        <v>1</v>
      </c>
      <c r="CQ108">
        <v>3</v>
      </c>
      <c r="CR108">
        <v>25</v>
      </c>
      <c r="CS108">
        <v>885</v>
      </c>
      <c r="CT108">
        <v>0</v>
      </c>
      <c r="CU108">
        <v>24</v>
      </c>
      <c r="CV108">
        <v>0</v>
      </c>
      <c r="CW108">
        <v>0</v>
      </c>
      <c r="CX108">
        <v>5</v>
      </c>
      <c r="CY108">
        <v>5</v>
      </c>
      <c r="CZ108">
        <v>2</v>
      </c>
      <c r="DA108">
        <v>0</v>
      </c>
      <c r="DB108">
        <v>0</v>
      </c>
      <c r="DC108">
        <v>0</v>
      </c>
      <c r="DD108">
        <v>1014</v>
      </c>
      <c r="DE108">
        <v>1</v>
      </c>
      <c r="DF108">
        <v>1</v>
      </c>
      <c r="DG108">
        <v>3</v>
      </c>
      <c r="DH108">
        <v>0</v>
      </c>
      <c r="DI108">
        <v>2</v>
      </c>
      <c r="DJ108">
        <v>1</v>
      </c>
      <c r="DK108">
        <v>0</v>
      </c>
      <c r="DL108">
        <v>0</v>
      </c>
      <c r="DM108">
        <v>0</v>
      </c>
      <c r="DN108">
        <v>3</v>
      </c>
      <c r="DO108">
        <v>961</v>
      </c>
      <c r="DP108">
        <v>4</v>
      </c>
      <c r="DQ108">
        <v>0</v>
      </c>
      <c r="DR108">
        <v>2</v>
      </c>
      <c r="DS108">
        <v>2</v>
      </c>
      <c r="DT108">
        <v>0</v>
      </c>
      <c r="DU108">
        <v>0</v>
      </c>
      <c r="DV108">
        <v>5</v>
      </c>
      <c r="DW108">
        <v>0</v>
      </c>
      <c r="DX108">
        <v>4</v>
      </c>
      <c r="DY108">
        <v>3</v>
      </c>
      <c r="DZ108">
        <v>993</v>
      </c>
      <c r="EA108">
        <v>0.96319999999999995</v>
      </c>
      <c r="EB108">
        <v>0.96506400235954504</v>
      </c>
      <c r="EC108">
        <v>0.96208346537895595</v>
      </c>
      <c r="ED108">
        <v>0.96222126092716598</v>
      </c>
      <c r="EE108">
        <f>SUM(Table1[[#This Row],[ratio_0]:[ratio_9]])</f>
        <v>730</v>
      </c>
      <c r="EF108" s="1">
        <f>(Table1[[#This Row],[predicted_0]]-Table1[[#This Row],[actual_0]])/Table1[[#This Row],[actual_0]]</f>
        <v>9.1836734693877559E-3</v>
      </c>
      <c r="EG108" s="1">
        <f>(Table1[[#This Row],[predicted_1]]-Table1[[#This Row],[actual_1]])/Table1[[#This Row],[actual_1]]</f>
        <v>1.7621145374449341E-2</v>
      </c>
      <c r="EH108" s="1">
        <f>(Table1[[#This Row],[predicted_2]]-Table1[[#This Row],[actual_2]])/Table1[[#This Row],[actual_2]]</f>
        <v>6.7829457364341084E-3</v>
      </c>
      <c r="EI108" s="1">
        <f>(Table1[[#This Row],[predicted_3]]-Table1[[#This Row],[actual_3]])/Table1[[#This Row],[actual_3]]</f>
        <v>1.1881188118811881E-2</v>
      </c>
      <c r="EJ108" s="1">
        <f>(Table1[[#This Row],[predicted_4]]-Table1[[#This Row],[actual_4]])/Table1[[#This Row],[actual_4]]</f>
        <v>-0.17006109979633402</v>
      </c>
      <c r="EK108" s="1">
        <f>(Table1[[#This Row],[predicted_5]]-Table1[[#This Row],[actual_5]])/Table1[[#This Row],[actual_5]]</f>
        <v>-1.3452914798206279E-2</v>
      </c>
      <c r="EL108" s="1">
        <f>(Table1[[#This Row],[predicted_6]]-Table1[[#This Row],[actual_6]])/Table1[[#This Row],[actual_6]]</f>
        <v>-7.0981210855949897E-2</v>
      </c>
      <c r="EM108" s="1">
        <f>(Table1[[#This Row],[predicted_7]]-Table1[[#This Row],[actual_7]])/Table1[[#This Row],[actual_7]]</f>
        <v>1.0700389105058366E-2</v>
      </c>
      <c r="EN108" s="1">
        <f>(Table1[[#This Row],[predicted_8]]-Table1[[#This Row],[actual_8]])/Table1[[#This Row],[actual_8]]</f>
        <v>6.2628336755646816E-2</v>
      </c>
      <c r="EO108" s="1">
        <f>(Table1[[#This Row],[predicted_9]]-Table1[[#This Row],[actual_9]])/Table1[[#This Row],[actual_9]]</f>
        <v>0.12586719524281467</v>
      </c>
      <c r="EP108" s="1">
        <f>1+(Table1[[#This Row],[error_ratio_0]]-EF$2)</f>
        <v>1.0071428571428571</v>
      </c>
      <c r="EQ108" s="1">
        <f>1+(Table1[[#This Row],[error_ratio_1]]-EG$2)</f>
        <v>1.0158590308370044</v>
      </c>
      <c r="ER108" s="1">
        <f>1+(Table1[[#This Row],[error_ratio_2]]-EH$2)</f>
        <v>1.0116279069767442</v>
      </c>
      <c r="ES108" s="1">
        <f>1+(Table1[[#This Row],[error_ratio_3]]-EI$2)</f>
        <v>1.001980198019802</v>
      </c>
      <c r="ET108" s="1">
        <f>1+(Table1[[#This Row],[error_ratio_4]]-EJ$2)</f>
        <v>0.82892057026476573</v>
      </c>
      <c r="EU108" s="1">
        <f>1+(Table1[[#This Row],[error_ratio_5]]-EK$2)</f>
        <v>0.98542600896860988</v>
      </c>
      <c r="EV108" s="1">
        <f>1+(Table1[[#This Row],[error_ratio_6]]-EL$2)</f>
        <v>0.93528183716075153</v>
      </c>
      <c r="EW108" s="1">
        <f>1+(Table1[[#This Row],[error_ratio_7]]-EM$2)</f>
        <v>1.0087548638132295</v>
      </c>
      <c r="EX108" s="1">
        <f>1+(Table1[[#This Row],[error_ratio_8]]-EN$2)</f>
        <v>1.0657084188911705</v>
      </c>
      <c r="EY108" s="1">
        <f>1+(Table1[[#This Row],[error_ratio_9]]-EO$2)</f>
        <v>1.1298315163528245</v>
      </c>
    </row>
    <row r="109" spans="1:155" x14ac:dyDescent="0.75">
      <c r="A109">
        <v>10</v>
      </c>
      <c r="B109">
        <v>100</v>
      </c>
      <c r="C109">
        <v>100</v>
      </c>
      <c r="D109">
        <v>100</v>
      </c>
      <c r="E109">
        <v>10</v>
      </c>
      <c r="F109">
        <v>10</v>
      </c>
      <c r="G109">
        <v>10</v>
      </c>
      <c r="H109">
        <v>100</v>
      </c>
      <c r="I109">
        <v>100</v>
      </c>
      <c r="J109">
        <v>100</v>
      </c>
      <c r="K109">
        <v>971</v>
      </c>
      <c r="L109">
        <v>1135</v>
      </c>
      <c r="M109">
        <v>1060</v>
      </c>
      <c r="N109">
        <v>1023</v>
      </c>
      <c r="O109">
        <v>964</v>
      </c>
      <c r="P109">
        <v>889</v>
      </c>
      <c r="Q109">
        <v>927</v>
      </c>
      <c r="R109">
        <v>1030</v>
      </c>
      <c r="S109">
        <v>1000</v>
      </c>
      <c r="T109">
        <v>1001</v>
      </c>
      <c r="U109">
        <v>980</v>
      </c>
      <c r="V109">
        <v>1135</v>
      </c>
      <c r="W109">
        <v>1032</v>
      </c>
      <c r="X109">
        <v>1010</v>
      </c>
      <c r="Y109">
        <v>982</v>
      </c>
      <c r="Z109">
        <v>892</v>
      </c>
      <c r="AA109">
        <v>958</v>
      </c>
      <c r="AB109">
        <v>1028</v>
      </c>
      <c r="AC109">
        <v>974</v>
      </c>
      <c r="AD109">
        <v>1009</v>
      </c>
      <c r="AE109">
        <v>953</v>
      </c>
      <c r="AF109">
        <v>0</v>
      </c>
      <c r="AG109">
        <v>5</v>
      </c>
      <c r="AH109">
        <v>1</v>
      </c>
      <c r="AI109">
        <v>1</v>
      </c>
      <c r="AJ109">
        <v>2</v>
      </c>
      <c r="AK109">
        <v>1</v>
      </c>
      <c r="AL109">
        <v>5</v>
      </c>
      <c r="AM109">
        <v>5</v>
      </c>
      <c r="AN109">
        <v>7</v>
      </c>
      <c r="AO109">
        <v>0</v>
      </c>
      <c r="AP109">
        <v>1128</v>
      </c>
      <c r="AQ109">
        <v>2</v>
      </c>
      <c r="AR109">
        <v>2</v>
      </c>
      <c r="AS109">
        <v>0</v>
      </c>
      <c r="AT109">
        <v>1</v>
      </c>
      <c r="AU109">
        <v>0</v>
      </c>
      <c r="AV109">
        <v>1</v>
      </c>
      <c r="AW109">
        <v>1</v>
      </c>
      <c r="AX109">
        <v>0</v>
      </c>
      <c r="AY109">
        <v>1</v>
      </c>
      <c r="AZ109">
        <v>0</v>
      </c>
      <c r="BA109">
        <v>1027</v>
      </c>
      <c r="BB109">
        <v>0</v>
      </c>
      <c r="BC109">
        <v>0</v>
      </c>
      <c r="BD109">
        <v>0</v>
      </c>
      <c r="BE109">
        <v>0</v>
      </c>
      <c r="BF109">
        <v>2</v>
      </c>
      <c r="BG109">
        <v>2</v>
      </c>
      <c r="BH109">
        <v>0</v>
      </c>
      <c r="BI109">
        <v>0</v>
      </c>
      <c r="BJ109">
        <v>0</v>
      </c>
      <c r="BK109">
        <v>1</v>
      </c>
      <c r="BL109">
        <v>1003</v>
      </c>
      <c r="BM109">
        <v>0</v>
      </c>
      <c r="BN109">
        <v>3</v>
      </c>
      <c r="BO109">
        <v>0</v>
      </c>
      <c r="BP109">
        <v>1</v>
      </c>
      <c r="BQ109">
        <v>0</v>
      </c>
      <c r="BR109">
        <v>2</v>
      </c>
      <c r="BS109">
        <v>0</v>
      </c>
      <c r="BT109">
        <v>2</v>
      </c>
      <c r="BU109">
        <v>7</v>
      </c>
      <c r="BV109">
        <v>0</v>
      </c>
      <c r="BW109">
        <v>952</v>
      </c>
      <c r="BX109">
        <v>0</v>
      </c>
      <c r="BY109">
        <v>7</v>
      </c>
      <c r="BZ109">
        <v>3</v>
      </c>
      <c r="CA109">
        <v>5</v>
      </c>
      <c r="CB109">
        <v>6</v>
      </c>
      <c r="CC109">
        <v>3</v>
      </c>
      <c r="CD109">
        <v>0</v>
      </c>
      <c r="CE109">
        <v>1</v>
      </c>
      <c r="CF109">
        <v>10</v>
      </c>
      <c r="CG109">
        <v>0</v>
      </c>
      <c r="CH109">
        <v>867</v>
      </c>
      <c r="CI109">
        <v>1</v>
      </c>
      <c r="CJ109">
        <v>1</v>
      </c>
      <c r="CK109">
        <v>6</v>
      </c>
      <c r="CL109">
        <v>3</v>
      </c>
      <c r="CM109">
        <v>9</v>
      </c>
      <c r="CN109">
        <v>4</v>
      </c>
      <c r="CO109">
        <v>0</v>
      </c>
      <c r="CP109">
        <v>0</v>
      </c>
      <c r="CQ109">
        <v>3</v>
      </c>
      <c r="CR109">
        <v>11</v>
      </c>
      <c r="CS109">
        <v>918</v>
      </c>
      <c r="CT109">
        <v>0</v>
      </c>
      <c r="CU109">
        <v>13</v>
      </c>
      <c r="CV109">
        <v>0</v>
      </c>
      <c r="CW109">
        <v>0</v>
      </c>
      <c r="CX109">
        <v>1</v>
      </c>
      <c r="CY109">
        <v>15</v>
      </c>
      <c r="CZ109">
        <v>2</v>
      </c>
      <c r="DA109">
        <v>0</v>
      </c>
      <c r="DB109">
        <v>0</v>
      </c>
      <c r="DC109">
        <v>0</v>
      </c>
      <c r="DD109">
        <v>1009</v>
      </c>
      <c r="DE109">
        <v>1</v>
      </c>
      <c r="DF109">
        <v>0</v>
      </c>
      <c r="DG109">
        <v>2</v>
      </c>
      <c r="DH109">
        <v>0</v>
      </c>
      <c r="DI109">
        <v>1</v>
      </c>
      <c r="DJ109">
        <v>4</v>
      </c>
      <c r="DK109">
        <v>1</v>
      </c>
      <c r="DL109">
        <v>0</v>
      </c>
      <c r="DM109">
        <v>0</v>
      </c>
      <c r="DN109">
        <v>1</v>
      </c>
      <c r="DO109">
        <v>963</v>
      </c>
      <c r="DP109">
        <v>2</v>
      </c>
      <c r="DQ109">
        <v>3</v>
      </c>
      <c r="DR109">
        <v>0</v>
      </c>
      <c r="DS109">
        <v>1</v>
      </c>
      <c r="DT109">
        <v>1</v>
      </c>
      <c r="DU109">
        <v>7</v>
      </c>
      <c r="DV109">
        <v>5</v>
      </c>
      <c r="DW109">
        <v>0</v>
      </c>
      <c r="DX109">
        <v>7</v>
      </c>
      <c r="DY109">
        <v>4</v>
      </c>
      <c r="DZ109">
        <v>981</v>
      </c>
      <c r="EA109">
        <v>0.98009999999999997</v>
      </c>
      <c r="EB109">
        <v>0.98003404446275499</v>
      </c>
      <c r="EC109">
        <v>0.97966490944205198</v>
      </c>
      <c r="ED109">
        <v>0.97977220527306497</v>
      </c>
      <c r="EE109">
        <f>SUM(Table1[[#This Row],[ratio_0]:[ratio_9]])</f>
        <v>640</v>
      </c>
      <c r="EF109" s="1">
        <f>(Table1[[#This Row],[predicted_0]]-Table1[[#This Row],[actual_0]])/Table1[[#This Row],[actual_0]]</f>
        <v>-9.1836734693877559E-3</v>
      </c>
      <c r="EG109" s="1">
        <f>(Table1[[#This Row],[predicted_1]]-Table1[[#This Row],[actual_1]])/Table1[[#This Row],[actual_1]]</f>
        <v>0</v>
      </c>
      <c r="EH109" s="1">
        <f>(Table1[[#This Row],[predicted_2]]-Table1[[#This Row],[actual_2]])/Table1[[#This Row],[actual_2]]</f>
        <v>2.7131782945736434E-2</v>
      </c>
      <c r="EI109" s="1">
        <f>(Table1[[#This Row],[predicted_3]]-Table1[[#This Row],[actual_3]])/Table1[[#This Row],[actual_3]]</f>
        <v>1.2871287128712871E-2</v>
      </c>
      <c r="EJ109" s="1">
        <f>(Table1[[#This Row],[predicted_4]]-Table1[[#This Row],[actual_4]])/Table1[[#This Row],[actual_4]]</f>
        <v>-1.8329938900203666E-2</v>
      </c>
      <c r="EK109" s="1">
        <f>(Table1[[#This Row],[predicted_5]]-Table1[[#This Row],[actual_5]])/Table1[[#This Row],[actual_5]]</f>
        <v>-3.3632286995515697E-3</v>
      </c>
      <c r="EL109" s="1">
        <f>(Table1[[#This Row],[predicted_6]]-Table1[[#This Row],[actual_6]])/Table1[[#This Row],[actual_6]]</f>
        <v>-3.2359081419624215E-2</v>
      </c>
      <c r="EM109" s="1">
        <f>(Table1[[#This Row],[predicted_7]]-Table1[[#This Row],[actual_7]])/Table1[[#This Row],[actual_7]]</f>
        <v>1.9455252918287938E-3</v>
      </c>
      <c r="EN109" s="1">
        <f>(Table1[[#This Row],[predicted_8]]-Table1[[#This Row],[actual_8]])/Table1[[#This Row],[actual_8]]</f>
        <v>2.6694045174537988E-2</v>
      </c>
      <c r="EO109" s="1">
        <f>(Table1[[#This Row],[predicted_9]]-Table1[[#This Row],[actual_9]])/Table1[[#This Row],[actual_9]]</f>
        <v>-7.9286422200198214E-3</v>
      </c>
      <c r="EP109" s="1">
        <f>1+(Table1[[#This Row],[error_ratio_0]]-EF$2)</f>
        <v>0.98877551020408161</v>
      </c>
      <c r="EQ109" s="1">
        <f>1+(Table1[[#This Row],[error_ratio_1]]-EG$2)</f>
        <v>0.9982378854625551</v>
      </c>
      <c r="ER109" s="1">
        <f>1+(Table1[[#This Row],[error_ratio_2]]-EH$2)</f>
        <v>1.0319767441860466</v>
      </c>
      <c r="ES109" s="1">
        <f>1+(Table1[[#This Row],[error_ratio_3]]-EI$2)</f>
        <v>1.002970297029703</v>
      </c>
      <c r="ET109" s="1">
        <f>1+(Table1[[#This Row],[error_ratio_4]]-EJ$2)</f>
        <v>0.9806517311608961</v>
      </c>
      <c r="EU109" s="1">
        <f>1+(Table1[[#This Row],[error_ratio_5]]-EK$2)</f>
        <v>0.99551569506726456</v>
      </c>
      <c r="EV109" s="1">
        <f>1+(Table1[[#This Row],[error_ratio_6]]-EL$2)</f>
        <v>0.97390396659707723</v>
      </c>
      <c r="EW109" s="1">
        <f>1+(Table1[[#This Row],[error_ratio_7]]-EM$2)</f>
        <v>1</v>
      </c>
      <c r="EX109" s="1">
        <f>1+(Table1[[#This Row],[error_ratio_8]]-EN$2)</f>
        <v>1.0297741273100616</v>
      </c>
      <c r="EY109" s="1">
        <f>1+(Table1[[#This Row],[error_ratio_9]]-EO$2)</f>
        <v>0.99603567888999012</v>
      </c>
    </row>
    <row r="110" spans="1:155" x14ac:dyDescent="0.75">
      <c r="A110">
        <v>100</v>
      </c>
      <c r="B110">
        <v>10</v>
      </c>
      <c r="C110">
        <v>100</v>
      </c>
      <c r="D110">
        <v>100</v>
      </c>
      <c r="E110">
        <v>10</v>
      </c>
      <c r="F110">
        <v>10</v>
      </c>
      <c r="G110">
        <v>10</v>
      </c>
      <c r="H110">
        <v>100</v>
      </c>
      <c r="I110">
        <v>100</v>
      </c>
      <c r="J110">
        <v>100</v>
      </c>
      <c r="K110">
        <v>988</v>
      </c>
      <c r="L110">
        <v>1102</v>
      </c>
      <c r="M110">
        <v>1068</v>
      </c>
      <c r="N110">
        <v>1024</v>
      </c>
      <c r="O110">
        <v>942</v>
      </c>
      <c r="P110">
        <v>881</v>
      </c>
      <c r="Q110">
        <v>957</v>
      </c>
      <c r="R110">
        <v>1057</v>
      </c>
      <c r="S110">
        <v>982</v>
      </c>
      <c r="T110">
        <v>999</v>
      </c>
      <c r="U110">
        <v>980</v>
      </c>
      <c r="V110">
        <v>1135</v>
      </c>
      <c r="W110">
        <v>1032</v>
      </c>
      <c r="X110">
        <v>1010</v>
      </c>
      <c r="Y110">
        <v>982</v>
      </c>
      <c r="Z110">
        <v>892</v>
      </c>
      <c r="AA110">
        <v>958</v>
      </c>
      <c r="AB110">
        <v>1028</v>
      </c>
      <c r="AC110">
        <v>974</v>
      </c>
      <c r="AD110">
        <v>1009</v>
      </c>
      <c r="AE110">
        <v>970</v>
      </c>
      <c r="AF110">
        <v>0</v>
      </c>
      <c r="AG110">
        <v>2</v>
      </c>
      <c r="AH110">
        <v>0</v>
      </c>
      <c r="AI110">
        <v>0</v>
      </c>
      <c r="AJ110">
        <v>0</v>
      </c>
      <c r="AK110">
        <v>2</v>
      </c>
      <c r="AL110">
        <v>3</v>
      </c>
      <c r="AM110">
        <v>3</v>
      </c>
      <c r="AN110">
        <v>0</v>
      </c>
      <c r="AO110">
        <v>0</v>
      </c>
      <c r="AP110">
        <v>1099</v>
      </c>
      <c r="AQ110">
        <v>7</v>
      </c>
      <c r="AR110">
        <v>5</v>
      </c>
      <c r="AS110">
        <v>0</v>
      </c>
      <c r="AT110">
        <v>2</v>
      </c>
      <c r="AU110">
        <v>3</v>
      </c>
      <c r="AV110">
        <v>12</v>
      </c>
      <c r="AW110">
        <v>6</v>
      </c>
      <c r="AX110">
        <v>1</v>
      </c>
      <c r="AY110">
        <v>0</v>
      </c>
      <c r="AZ110">
        <v>0</v>
      </c>
      <c r="BA110">
        <v>1025</v>
      </c>
      <c r="BB110">
        <v>0</v>
      </c>
      <c r="BC110">
        <v>0</v>
      </c>
      <c r="BD110">
        <v>0</v>
      </c>
      <c r="BE110">
        <v>1</v>
      </c>
      <c r="BF110">
        <v>4</v>
      </c>
      <c r="BG110">
        <v>2</v>
      </c>
      <c r="BH110">
        <v>0</v>
      </c>
      <c r="BI110">
        <v>0</v>
      </c>
      <c r="BJ110">
        <v>0</v>
      </c>
      <c r="BK110">
        <v>2</v>
      </c>
      <c r="BL110">
        <v>1001</v>
      </c>
      <c r="BM110">
        <v>0</v>
      </c>
      <c r="BN110">
        <v>2</v>
      </c>
      <c r="BO110">
        <v>0</v>
      </c>
      <c r="BP110">
        <v>3</v>
      </c>
      <c r="BQ110">
        <v>2</v>
      </c>
      <c r="BR110">
        <v>0</v>
      </c>
      <c r="BS110">
        <v>1</v>
      </c>
      <c r="BT110">
        <v>1</v>
      </c>
      <c r="BU110">
        <v>18</v>
      </c>
      <c r="BV110">
        <v>0</v>
      </c>
      <c r="BW110">
        <v>936</v>
      </c>
      <c r="BX110">
        <v>0</v>
      </c>
      <c r="BY110">
        <v>9</v>
      </c>
      <c r="BZ110">
        <v>5</v>
      </c>
      <c r="CA110">
        <v>4</v>
      </c>
      <c r="CB110">
        <v>8</v>
      </c>
      <c r="CC110">
        <v>2</v>
      </c>
      <c r="CD110">
        <v>0</v>
      </c>
      <c r="CE110">
        <v>1</v>
      </c>
      <c r="CF110">
        <v>13</v>
      </c>
      <c r="CG110">
        <v>0</v>
      </c>
      <c r="CH110">
        <v>861</v>
      </c>
      <c r="CI110">
        <v>5</v>
      </c>
      <c r="CJ110">
        <v>3</v>
      </c>
      <c r="CK110">
        <v>4</v>
      </c>
      <c r="CL110">
        <v>3</v>
      </c>
      <c r="CM110">
        <v>10</v>
      </c>
      <c r="CN110">
        <v>2</v>
      </c>
      <c r="CO110">
        <v>0</v>
      </c>
      <c r="CP110">
        <v>0</v>
      </c>
      <c r="CQ110">
        <v>2</v>
      </c>
      <c r="CR110">
        <v>8</v>
      </c>
      <c r="CS110">
        <v>936</v>
      </c>
      <c r="CT110">
        <v>0</v>
      </c>
      <c r="CU110">
        <v>0</v>
      </c>
      <c r="CV110">
        <v>0</v>
      </c>
      <c r="CW110">
        <v>0</v>
      </c>
      <c r="CX110">
        <v>0</v>
      </c>
      <c r="CY110">
        <v>9</v>
      </c>
      <c r="CZ110">
        <v>0</v>
      </c>
      <c r="DA110">
        <v>0</v>
      </c>
      <c r="DB110">
        <v>0</v>
      </c>
      <c r="DC110">
        <v>0</v>
      </c>
      <c r="DD110">
        <v>1018</v>
      </c>
      <c r="DE110">
        <v>1</v>
      </c>
      <c r="DF110">
        <v>0</v>
      </c>
      <c r="DG110">
        <v>3</v>
      </c>
      <c r="DH110">
        <v>0</v>
      </c>
      <c r="DI110">
        <v>4</v>
      </c>
      <c r="DJ110">
        <v>1</v>
      </c>
      <c r="DK110">
        <v>1</v>
      </c>
      <c r="DL110">
        <v>2</v>
      </c>
      <c r="DM110">
        <v>0</v>
      </c>
      <c r="DN110">
        <v>2</v>
      </c>
      <c r="DO110">
        <v>960</v>
      </c>
      <c r="DP110">
        <v>1</v>
      </c>
      <c r="DQ110">
        <v>2</v>
      </c>
      <c r="DR110">
        <v>0</v>
      </c>
      <c r="DS110">
        <v>0</v>
      </c>
      <c r="DT110">
        <v>4</v>
      </c>
      <c r="DU110">
        <v>3</v>
      </c>
      <c r="DV110">
        <v>6</v>
      </c>
      <c r="DW110">
        <v>1</v>
      </c>
      <c r="DX110">
        <v>7</v>
      </c>
      <c r="DY110">
        <v>0</v>
      </c>
      <c r="DZ110">
        <v>986</v>
      </c>
      <c r="EA110">
        <v>0.97919999999999996</v>
      </c>
      <c r="EB110">
        <v>0.97930083180440497</v>
      </c>
      <c r="EC110">
        <v>0.97909267805809697</v>
      </c>
      <c r="ED110">
        <v>0.97907156893257896</v>
      </c>
      <c r="EE110">
        <f>SUM(Table1[[#This Row],[ratio_0]:[ratio_9]])</f>
        <v>640</v>
      </c>
      <c r="EF110" s="1">
        <f>(Table1[[#This Row],[predicted_0]]-Table1[[#This Row],[actual_0]])/Table1[[#This Row],[actual_0]]</f>
        <v>8.1632653061224497E-3</v>
      </c>
      <c r="EG110" s="1">
        <f>(Table1[[#This Row],[predicted_1]]-Table1[[#This Row],[actual_1]])/Table1[[#This Row],[actual_1]]</f>
        <v>-2.9074889867841409E-2</v>
      </c>
      <c r="EH110" s="1">
        <f>(Table1[[#This Row],[predicted_2]]-Table1[[#This Row],[actual_2]])/Table1[[#This Row],[actual_2]]</f>
        <v>3.4883720930232558E-2</v>
      </c>
      <c r="EI110" s="1">
        <f>(Table1[[#This Row],[predicted_3]]-Table1[[#This Row],[actual_3]])/Table1[[#This Row],[actual_3]]</f>
        <v>1.3861386138613862E-2</v>
      </c>
      <c r="EJ110" s="1">
        <f>(Table1[[#This Row],[predicted_4]]-Table1[[#This Row],[actual_4]])/Table1[[#This Row],[actual_4]]</f>
        <v>-4.0733197556008148E-2</v>
      </c>
      <c r="EK110" s="1">
        <f>(Table1[[#This Row],[predicted_5]]-Table1[[#This Row],[actual_5]])/Table1[[#This Row],[actual_5]]</f>
        <v>-1.2331838565022421E-2</v>
      </c>
      <c r="EL110" s="1">
        <f>(Table1[[#This Row],[predicted_6]]-Table1[[#This Row],[actual_6]])/Table1[[#This Row],[actual_6]]</f>
        <v>-1.0438413361169101E-3</v>
      </c>
      <c r="EM110" s="1">
        <f>(Table1[[#This Row],[predicted_7]]-Table1[[#This Row],[actual_7]])/Table1[[#This Row],[actual_7]]</f>
        <v>2.821011673151751E-2</v>
      </c>
      <c r="EN110" s="1">
        <f>(Table1[[#This Row],[predicted_8]]-Table1[[#This Row],[actual_8]])/Table1[[#This Row],[actual_8]]</f>
        <v>8.2135523613963042E-3</v>
      </c>
      <c r="EO110" s="1">
        <f>(Table1[[#This Row],[predicted_9]]-Table1[[#This Row],[actual_9]])/Table1[[#This Row],[actual_9]]</f>
        <v>-9.9108027750247768E-3</v>
      </c>
      <c r="EP110" s="1">
        <f>1+(Table1[[#This Row],[error_ratio_0]]-EF$2)</f>
        <v>1.0061224489795919</v>
      </c>
      <c r="EQ110" s="1">
        <f>1+(Table1[[#This Row],[error_ratio_1]]-EG$2)</f>
        <v>0.96916299559471364</v>
      </c>
      <c r="ER110" s="1">
        <f>1+(Table1[[#This Row],[error_ratio_2]]-EH$2)</f>
        <v>1.0397286821705427</v>
      </c>
      <c r="ES110" s="1">
        <f>1+(Table1[[#This Row],[error_ratio_3]]-EI$2)</f>
        <v>1.003960396039604</v>
      </c>
      <c r="ET110" s="1">
        <f>1+(Table1[[#This Row],[error_ratio_4]]-EJ$2)</f>
        <v>0.9582484725050916</v>
      </c>
      <c r="EU110" s="1">
        <f>1+(Table1[[#This Row],[error_ratio_5]]-EK$2)</f>
        <v>0.98654708520179368</v>
      </c>
      <c r="EV110" s="1">
        <f>1+(Table1[[#This Row],[error_ratio_6]]-EL$2)</f>
        <v>1.0052192066805845</v>
      </c>
      <c r="EW110" s="1">
        <f>1+(Table1[[#This Row],[error_ratio_7]]-EM$2)</f>
        <v>1.0262645914396886</v>
      </c>
      <c r="EX110" s="1">
        <f>1+(Table1[[#This Row],[error_ratio_8]]-EN$2)</f>
        <v>1.0112936344969199</v>
      </c>
      <c r="EY110" s="1">
        <f>1+(Table1[[#This Row],[error_ratio_9]]-EO$2)</f>
        <v>0.99405351833498512</v>
      </c>
    </row>
    <row r="111" spans="1:155" x14ac:dyDescent="0.75">
      <c r="A111">
        <v>10</v>
      </c>
      <c r="B111">
        <v>100</v>
      </c>
      <c r="C111">
        <v>10</v>
      </c>
      <c r="D111">
        <v>100</v>
      </c>
      <c r="E111">
        <v>10</v>
      </c>
      <c r="F111">
        <v>10</v>
      </c>
      <c r="G111">
        <v>10</v>
      </c>
      <c r="H111">
        <v>100</v>
      </c>
      <c r="I111">
        <v>100</v>
      </c>
      <c r="J111">
        <v>100</v>
      </c>
      <c r="K111">
        <v>895</v>
      </c>
      <c r="L111">
        <v>1149</v>
      </c>
      <c r="M111">
        <v>879</v>
      </c>
      <c r="N111">
        <v>1124</v>
      </c>
      <c r="O111">
        <v>894</v>
      </c>
      <c r="P111">
        <v>808</v>
      </c>
      <c r="Q111">
        <v>1016</v>
      </c>
      <c r="R111">
        <v>1080</v>
      </c>
      <c r="S111">
        <v>1088</v>
      </c>
      <c r="T111">
        <v>1067</v>
      </c>
      <c r="U111">
        <v>980</v>
      </c>
      <c r="V111">
        <v>1135</v>
      </c>
      <c r="W111">
        <v>1032</v>
      </c>
      <c r="X111">
        <v>1010</v>
      </c>
      <c r="Y111">
        <v>982</v>
      </c>
      <c r="Z111">
        <v>892</v>
      </c>
      <c r="AA111">
        <v>958</v>
      </c>
      <c r="AB111">
        <v>1028</v>
      </c>
      <c r="AC111">
        <v>974</v>
      </c>
      <c r="AD111">
        <v>1009</v>
      </c>
      <c r="AE111">
        <v>890</v>
      </c>
      <c r="AF111">
        <v>0</v>
      </c>
      <c r="AG111">
        <v>1</v>
      </c>
      <c r="AH111">
        <v>2</v>
      </c>
      <c r="AI111">
        <v>0</v>
      </c>
      <c r="AJ111">
        <v>0</v>
      </c>
      <c r="AK111">
        <v>68</v>
      </c>
      <c r="AL111">
        <v>1</v>
      </c>
      <c r="AM111">
        <v>10</v>
      </c>
      <c r="AN111">
        <v>8</v>
      </c>
      <c r="AO111">
        <v>0</v>
      </c>
      <c r="AP111">
        <v>1128</v>
      </c>
      <c r="AQ111">
        <v>0</v>
      </c>
      <c r="AR111">
        <v>3</v>
      </c>
      <c r="AS111">
        <v>0</v>
      </c>
      <c r="AT111">
        <v>2</v>
      </c>
      <c r="AU111">
        <v>0</v>
      </c>
      <c r="AV111">
        <v>1</v>
      </c>
      <c r="AW111">
        <v>1</v>
      </c>
      <c r="AX111">
        <v>0</v>
      </c>
      <c r="AY111">
        <v>1</v>
      </c>
      <c r="AZ111">
        <v>15</v>
      </c>
      <c r="BA111">
        <v>867</v>
      </c>
      <c r="BB111">
        <v>55</v>
      </c>
      <c r="BC111">
        <v>0</v>
      </c>
      <c r="BD111">
        <v>0</v>
      </c>
      <c r="BE111">
        <v>6</v>
      </c>
      <c r="BF111">
        <v>35</v>
      </c>
      <c r="BG111">
        <v>53</v>
      </c>
      <c r="BH111">
        <v>0</v>
      </c>
      <c r="BI111">
        <v>0</v>
      </c>
      <c r="BJ111">
        <v>0</v>
      </c>
      <c r="BK111">
        <v>1</v>
      </c>
      <c r="BL111">
        <v>1003</v>
      </c>
      <c r="BM111">
        <v>0</v>
      </c>
      <c r="BN111">
        <v>0</v>
      </c>
      <c r="BO111">
        <v>0</v>
      </c>
      <c r="BP111">
        <v>3</v>
      </c>
      <c r="BQ111">
        <v>2</v>
      </c>
      <c r="BR111">
        <v>1</v>
      </c>
      <c r="BS111">
        <v>0</v>
      </c>
      <c r="BT111">
        <v>1</v>
      </c>
      <c r="BU111">
        <v>7</v>
      </c>
      <c r="BV111">
        <v>0</v>
      </c>
      <c r="BW111">
        <v>892</v>
      </c>
      <c r="BX111">
        <v>0</v>
      </c>
      <c r="BY111">
        <v>4</v>
      </c>
      <c r="BZ111">
        <v>9</v>
      </c>
      <c r="CA111">
        <v>3</v>
      </c>
      <c r="CB111">
        <v>66</v>
      </c>
      <c r="CC111">
        <v>2</v>
      </c>
      <c r="CD111">
        <v>0</v>
      </c>
      <c r="CE111">
        <v>2</v>
      </c>
      <c r="CF111">
        <v>53</v>
      </c>
      <c r="CG111">
        <v>0</v>
      </c>
      <c r="CH111">
        <v>800</v>
      </c>
      <c r="CI111">
        <v>3</v>
      </c>
      <c r="CJ111">
        <v>1</v>
      </c>
      <c r="CK111">
        <v>30</v>
      </c>
      <c r="CL111">
        <v>1</v>
      </c>
      <c r="CM111">
        <v>2</v>
      </c>
      <c r="CN111">
        <v>4</v>
      </c>
      <c r="CO111">
        <v>0</v>
      </c>
      <c r="CP111">
        <v>0</v>
      </c>
      <c r="CQ111">
        <v>2</v>
      </c>
      <c r="CR111">
        <v>2</v>
      </c>
      <c r="CS111">
        <v>934</v>
      </c>
      <c r="CT111">
        <v>0</v>
      </c>
      <c r="CU111">
        <v>14</v>
      </c>
      <c r="CV111">
        <v>0</v>
      </c>
      <c r="CW111">
        <v>0</v>
      </c>
      <c r="CX111">
        <v>1</v>
      </c>
      <c r="CY111">
        <v>1</v>
      </c>
      <c r="CZ111">
        <v>1</v>
      </c>
      <c r="DA111">
        <v>0</v>
      </c>
      <c r="DB111">
        <v>0</v>
      </c>
      <c r="DC111">
        <v>0</v>
      </c>
      <c r="DD111">
        <v>1023</v>
      </c>
      <c r="DE111">
        <v>1</v>
      </c>
      <c r="DF111">
        <v>1</v>
      </c>
      <c r="DG111">
        <v>0</v>
      </c>
      <c r="DH111">
        <v>0</v>
      </c>
      <c r="DI111">
        <v>0</v>
      </c>
      <c r="DJ111">
        <v>1</v>
      </c>
      <c r="DK111">
        <v>0</v>
      </c>
      <c r="DL111">
        <v>1</v>
      </c>
      <c r="DM111">
        <v>0</v>
      </c>
      <c r="DN111">
        <v>2</v>
      </c>
      <c r="DO111">
        <v>968</v>
      </c>
      <c r="DP111">
        <v>2</v>
      </c>
      <c r="DQ111">
        <v>0</v>
      </c>
      <c r="DR111">
        <v>0</v>
      </c>
      <c r="DS111">
        <v>0</v>
      </c>
      <c r="DT111">
        <v>6</v>
      </c>
      <c r="DU111">
        <v>0</v>
      </c>
      <c r="DV111">
        <v>3</v>
      </c>
      <c r="DW111">
        <v>1</v>
      </c>
      <c r="DX111">
        <v>5</v>
      </c>
      <c r="DY111">
        <v>6</v>
      </c>
      <c r="DZ111">
        <v>988</v>
      </c>
      <c r="EA111">
        <v>0.94930000000000003</v>
      </c>
      <c r="EB111">
        <v>0.95248754766287802</v>
      </c>
      <c r="EC111">
        <v>0.94835038870766097</v>
      </c>
      <c r="ED111">
        <v>0.94842220587708603</v>
      </c>
      <c r="EE111">
        <f>SUM(Table1[[#This Row],[ratio_0]:[ratio_9]])</f>
        <v>550</v>
      </c>
      <c r="EF111" s="1">
        <f>(Table1[[#This Row],[predicted_0]]-Table1[[#This Row],[actual_0]])/Table1[[#This Row],[actual_0]]</f>
        <v>-8.673469387755102E-2</v>
      </c>
      <c r="EG111" s="1">
        <f>(Table1[[#This Row],[predicted_1]]-Table1[[#This Row],[actual_1]])/Table1[[#This Row],[actual_1]]</f>
        <v>1.2334801762114538E-2</v>
      </c>
      <c r="EH111" s="1">
        <f>(Table1[[#This Row],[predicted_2]]-Table1[[#This Row],[actual_2]])/Table1[[#This Row],[actual_2]]</f>
        <v>-0.14825581395348839</v>
      </c>
      <c r="EI111" s="1">
        <f>(Table1[[#This Row],[predicted_3]]-Table1[[#This Row],[actual_3]])/Table1[[#This Row],[actual_3]]</f>
        <v>0.11287128712871287</v>
      </c>
      <c r="EJ111" s="1">
        <f>(Table1[[#This Row],[predicted_4]]-Table1[[#This Row],[actual_4]])/Table1[[#This Row],[actual_4]]</f>
        <v>-8.9613034623217916E-2</v>
      </c>
      <c r="EK111" s="1">
        <f>(Table1[[#This Row],[predicted_5]]-Table1[[#This Row],[actual_5]])/Table1[[#This Row],[actual_5]]</f>
        <v>-9.417040358744394E-2</v>
      </c>
      <c r="EL111" s="1">
        <f>(Table1[[#This Row],[predicted_6]]-Table1[[#This Row],[actual_6]])/Table1[[#This Row],[actual_6]]</f>
        <v>6.0542797494780795E-2</v>
      </c>
      <c r="EM111" s="1">
        <f>(Table1[[#This Row],[predicted_7]]-Table1[[#This Row],[actual_7]])/Table1[[#This Row],[actual_7]]</f>
        <v>5.0583657587548639E-2</v>
      </c>
      <c r="EN111" s="1">
        <f>(Table1[[#This Row],[predicted_8]]-Table1[[#This Row],[actual_8]])/Table1[[#This Row],[actual_8]]</f>
        <v>0.11704312114989733</v>
      </c>
      <c r="EO111" s="1">
        <f>(Table1[[#This Row],[predicted_9]]-Table1[[#This Row],[actual_9]])/Table1[[#This Row],[actual_9]]</f>
        <v>5.7482656095143705E-2</v>
      </c>
      <c r="EP111" s="1">
        <f>1+(Table1[[#This Row],[error_ratio_0]]-EF$2)</f>
        <v>0.91122448979591841</v>
      </c>
      <c r="EQ111" s="1">
        <f>1+(Table1[[#This Row],[error_ratio_1]]-EG$2)</f>
        <v>1.0105726872246696</v>
      </c>
      <c r="ER111" s="1">
        <f>1+(Table1[[#This Row],[error_ratio_2]]-EH$2)</f>
        <v>0.85658914728682167</v>
      </c>
      <c r="ES111" s="1">
        <f>1+(Table1[[#This Row],[error_ratio_3]]-EI$2)</f>
        <v>1.1029702970297031</v>
      </c>
      <c r="ET111" s="1">
        <f>1+(Table1[[#This Row],[error_ratio_4]]-EJ$2)</f>
        <v>0.90936863543788182</v>
      </c>
      <c r="EU111" s="1">
        <f>1+(Table1[[#This Row],[error_ratio_5]]-EK$2)</f>
        <v>0.9047085201793722</v>
      </c>
      <c r="EV111" s="1">
        <f>1+(Table1[[#This Row],[error_ratio_6]]-EL$2)</f>
        <v>1.0668058455114822</v>
      </c>
      <c r="EW111" s="1">
        <f>1+(Table1[[#This Row],[error_ratio_7]]-EM$2)</f>
        <v>1.0486381322957199</v>
      </c>
      <c r="EX111" s="1">
        <f>1+(Table1[[#This Row],[error_ratio_8]]-EN$2)</f>
        <v>1.1201232032854209</v>
      </c>
      <c r="EY111" s="1">
        <f>1+(Table1[[#This Row],[error_ratio_9]]-EO$2)</f>
        <v>1.0614469772051536</v>
      </c>
    </row>
    <row r="112" spans="1:155" x14ac:dyDescent="0.75">
      <c r="A112">
        <v>100</v>
      </c>
      <c r="B112">
        <v>10</v>
      </c>
      <c r="C112">
        <v>10</v>
      </c>
      <c r="D112">
        <v>100</v>
      </c>
      <c r="E112">
        <v>10</v>
      </c>
      <c r="F112">
        <v>10</v>
      </c>
      <c r="G112">
        <v>10</v>
      </c>
      <c r="H112">
        <v>100</v>
      </c>
      <c r="I112">
        <v>100</v>
      </c>
      <c r="J112">
        <v>100</v>
      </c>
      <c r="K112">
        <v>1017</v>
      </c>
      <c r="L112">
        <v>1124</v>
      </c>
      <c r="M112">
        <v>952</v>
      </c>
      <c r="N112">
        <v>1064</v>
      </c>
      <c r="O112">
        <v>931</v>
      </c>
      <c r="P112">
        <v>791</v>
      </c>
      <c r="Q112">
        <v>973</v>
      </c>
      <c r="R112">
        <v>1049</v>
      </c>
      <c r="S112">
        <v>1044</v>
      </c>
      <c r="T112">
        <v>1055</v>
      </c>
      <c r="U112">
        <v>980</v>
      </c>
      <c r="V112">
        <v>1135</v>
      </c>
      <c r="W112">
        <v>1032</v>
      </c>
      <c r="X112">
        <v>1010</v>
      </c>
      <c r="Y112">
        <v>982</v>
      </c>
      <c r="Z112">
        <v>892</v>
      </c>
      <c r="AA112">
        <v>958</v>
      </c>
      <c r="AB112">
        <v>1028</v>
      </c>
      <c r="AC112">
        <v>974</v>
      </c>
      <c r="AD112">
        <v>1009</v>
      </c>
      <c r="AE112">
        <v>975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1</v>
      </c>
      <c r="AL112">
        <v>2</v>
      </c>
      <c r="AM112">
        <v>1</v>
      </c>
      <c r="AN112">
        <v>1</v>
      </c>
      <c r="AO112">
        <v>0</v>
      </c>
      <c r="AP112">
        <v>1115</v>
      </c>
      <c r="AQ112">
        <v>0</v>
      </c>
      <c r="AR112">
        <v>6</v>
      </c>
      <c r="AS112">
        <v>0</v>
      </c>
      <c r="AT112">
        <v>0</v>
      </c>
      <c r="AU112">
        <v>5</v>
      </c>
      <c r="AV112">
        <v>6</v>
      </c>
      <c r="AW112">
        <v>3</v>
      </c>
      <c r="AX112">
        <v>0</v>
      </c>
      <c r="AY112">
        <v>11</v>
      </c>
      <c r="AZ112">
        <v>1</v>
      </c>
      <c r="BA112">
        <v>946</v>
      </c>
      <c r="BB112">
        <v>12</v>
      </c>
      <c r="BC112">
        <v>1</v>
      </c>
      <c r="BD112">
        <v>0</v>
      </c>
      <c r="BE112">
        <v>7</v>
      </c>
      <c r="BF112">
        <v>20</v>
      </c>
      <c r="BG112">
        <v>33</v>
      </c>
      <c r="BH112">
        <v>1</v>
      </c>
      <c r="BI112">
        <v>1</v>
      </c>
      <c r="BJ112">
        <v>0</v>
      </c>
      <c r="BK112">
        <v>0</v>
      </c>
      <c r="BL112">
        <v>997</v>
      </c>
      <c r="BM112">
        <v>0</v>
      </c>
      <c r="BN112">
        <v>2</v>
      </c>
      <c r="BO112">
        <v>0</v>
      </c>
      <c r="BP112">
        <v>2</v>
      </c>
      <c r="BQ112">
        <v>1</v>
      </c>
      <c r="BR112">
        <v>7</v>
      </c>
      <c r="BS112">
        <v>1</v>
      </c>
      <c r="BT112">
        <v>1</v>
      </c>
      <c r="BU112">
        <v>2</v>
      </c>
      <c r="BV112">
        <v>0</v>
      </c>
      <c r="BW112">
        <v>927</v>
      </c>
      <c r="BX112">
        <v>0</v>
      </c>
      <c r="BY112">
        <v>16</v>
      </c>
      <c r="BZ112">
        <v>1</v>
      </c>
      <c r="CA112">
        <v>2</v>
      </c>
      <c r="CB112">
        <v>32</v>
      </c>
      <c r="CC112">
        <v>6</v>
      </c>
      <c r="CD112">
        <v>1</v>
      </c>
      <c r="CE112">
        <v>0</v>
      </c>
      <c r="CF112">
        <v>41</v>
      </c>
      <c r="CG112">
        <v>0</v>
      </c>
      <c r="CH112">
        <v>787</v>
      </c>
      <c r="CI112">
        <v>10</v>
      </c>
      <c r="CJ112">
        <v>3</v>
      </c>
      <c r="CK112">
        <v>36</v>
      </c>
      <c r="CL112">
        <v>8</v>
      </c>
      <c r="CM112">
        <v>16</v>
      </c>
      <c r="CN112">
        <v>3</v>
      </c>
      <c r="CO112">
        <v>0</v>
      </c>
      <c r="CP112">
        <v>0</v>
      </c>
      <c r="CQ112">
        <v>1</v>
      </c>
      <c r="CR112">
        <v>1</v>
      </c>
      <c r="CS112">
        <v>933</v>
      </c>
      <c r="CT112">
        <v>0</v>
      </c>
      <c r="CU112">
        <v>4</v>
      </c>
      <c r="CV112">
        <v>0</v>
      </c>
      <c r="CW112">
        <v>1</v>
      </c>
      <c r="CX112">
        <v>2</v>
      </c>
      <c r="CY112">
        <v>4</v>
      </c>
      <c r="CZ112">
        <v>4</v>
      </c>
      <c r="DA112">
        <v>0</v>
      </c>
      <c r="DB112">
        <v>0</v>
      </c>
      <c r="DC112">
        <v>0</v>
      </c>
      <c r="DD112">
        <v>1007</v>
      </c>
      <c r="DE112">
        <v>0</v>
      </c>
      <c r="DF112">
        <v>10</v>
      </c>
      <c r="DG112">
        <v>4</v>
      </c>
      <c r="DH112">
        <v>0</v>
      </c>
      <c r="DI112">
        <v>0</v>
      </c>
      <c r="DJ112">
        <v>1</v>
      </c>
      <c r="DK112">
        <v>1</v>
      </c>
      <c r="DL112">
        <v>0</v>
      </c>
      <c r="DM112">
        <v>1</v>
      </c>
      <c r="DN112">
        <v>3</v>
      </c>
      <c r="DO112">
        <v>962</v>
      </c>
      <c r="DP112">
        <v>2</v>
      </c>
      <c r="DQ112">
        <v>2</v>
      </c>
      <c r="DR112">
        <v>1</v>
      </c>
      <c r="DS112">
        <v>0</v>
      </c>
      <c r="DT112">
        <v>3</v>
      </c>
      <c r="DU112">
        <v>1</v>
      </c>
      <c r="DV112">
        <v>1</v>
      </c>
      <c r="DW112">
        <v>0</v>
      </c>
      <c r="DX112">
        <v>5</v>
      </c>
      <c r="DY112">
        <v>2</v>
      </c>
      <c r="DZ112">
        <v>994</v>
      </c>
      <c r="EA112">
        <v>0.96430000000000005</v>
      </c>
      <c r="EB112">
        <v>0.96545570889643395</v>
      </c>
      <c r="EC112">
        <v>0.96336404605516002</v>
      </c>
      <c r="ED112">
        <v>0.96356804705342602</v>
      </c>
      <c r="EE112">
        <f>SUM(Table1[[#This Row],[ratio_0]:[ratio_9]])</f>
        <v>550</v>
      </c>
      <c r="EF112" s="1">
        <f>(Table1[[#This Row],[predicted_0]]-Table1[[#This Row],[actual_0]])/Table1[[#This Row],[actual_0]]</f>
        <v>3.7755102040816328E-2</v>
      </c>
      <c r="EG112" s="1">
        <f>(Table1[[#This Row],[predicted_1]]-Table1[[#This Row],[actual_1]])/Table1[[#This Row],[actual_1]]</f>
        <v>-9.6916299559471359E-3</v>
      </c>
      <c r="EH112" s="1">
        <f>(Table1[[#This Row],[predicted_2]]-Table1[[#This Row],[actual_2]])/Table1[[#This Row],[actual_2]]</f>
        <v>-7.7519379844961239E-2</v>
      </c>
      <c r="EI112" s="1">
        <f>(Table1[[#This Row],[predicted_3]]-Table1[[#This Row],[actual_3]])/Table1[[#This Row],[actual_3]]</f>
        <v>5.3465346534653464E-2</v>
      </c>
      <c r="EJ112" s="1">
        <f>(Table1[[#This Row],[predicted_4]]-Table1[[#This Row],[actual_4]])/Table1[[#This Row],[actual_4]]</f>
        <v>-5.1934826883910386E-2</v>
      </c>
      <c r="EK112" s="1">
        <f>(Table1[[#This Row],[predicted_5]]-Table1[[#This Row],[actual_5]])/Table1[[#This Row],[actual_5]]</f>
        <v>-0.1132286995515695</v>
      </c>
      <c r="EL112" s="1">
        <f>(Table1[[#This Row],[predicted_6]]-Table1[[#This Row],[actual_6]])/Table1[[#This Row],[actual_6]]</f>
        <v>1.5657620041753653E-2</v>
      </c>
      <c r="EM112" s="1">
        <f>(Table1[[#This Row],[predicted_7]]-Table1[[#This Row],[actual_7]])/Table1[[#This Row],[actual_7]]</f>
        <v>2.0428015564202335E-2</v>
      </c>
      <c r="EN112" s="1">
        <f>(Table1[[#This Row],[predicted_8]]-Table1[[#This Row],[actual_8]])/Table1[[#This Row],[actual_8]]</f>
        <v>7.1868583162217656E-2</v>
      </c>
      <c r="EO112" s="1">
        <f>(Table1[[#This Row],[predicted_9]]-Table1[[#This Row],[actual_9]])/Table1[[#This Row],[actual_9]]</f>
        <v>4.5589692765113973E-2</v>
      </c>
      <c r="EP112" s="1">
        <f>1+(Table1[[#This Row],[error_ratio_0]]-EF$2)</f>
        <v>1.0357142857142858</v>
      </c>
      <c r="EQ112" s="1">
        <f>1+(Table1[[#This Row],[error_ratio_1]]-EG$2)</f>
        <v>0.98854625550660791</v>
      </c>
      <c r="ER112" s="1">
        <f>1+(Table1[[#This Row],[error_ratio_2]]-EH$2)</f>
        <v>0.92732558139534882</v>
      </c>
      <c r="ES112" s="1">
        <f>1+(Table1[[#This Row],[error_ratio_3]]-EI$2)</f>
        <v>1.0435643564356436</v>
      </c>
      <c r="ET112" s="1">
        <f>1+(Table1[[#This Row],[error_ratio_4]]-EJ$2)</f>
        <v>0.94704684317718946</v>
      </c>
      <c r="EU112" s="1">
        <f>1+(Table1[[#This Row],[error_ratio_5]]-EK$2)</f>
        <v>0.88565022421524664</v>
      </c>
      <c r="EV112" s="1">
        <f>1+(Table1[[#This Row],[error_ratio_6]]-EL$2)</f>
        <v>1.0219206680584552</v>
      </c>
      <c r="EW112" s="1">
        <f>1+(Table1[[#This Row],[error_ratio_7]]-EM$2)</f>
        <v>1.0184824902723735</v>
      </c>
      <c r="EX112" s="1">
        <f>1+(Table1[[#This Row],[error_ratio_8]]-EN$2)</f>
        <v>1.0749486652977414</v>
      </c>
      <c r="EY112" s="1">
        <f>1+(Table1[[#This Row],[error_ratio_9]]-EO$2)</f>
        <v>1.0495540138751238</v>
      </c>
    </row>
    <row r="113" spans="1:155" x14ac:dyDescent="0.75">
      <c r="A113">
        <v>10</v>
      </c>
      <c r="B113">
        <v>10</v>
      </c>
      <c r="C113">
        <v>10</v>
      </c>
      <c r="D113">
        <v>100</v>
      </c>
      <c r="E113">
        <v>10</v>
      </c>
      <c r="F113">
        <v>10</v>
      </c>
      <c r="G113">
        <v>10</v>
      </c>
      <c r="H113">
        <v>100</v>
      </c>
      <c r="I113">
        <v>100</v>
      </c>
      <c r="J113">
        <v>100</v>
      </c>
      <c r="K113">
        <v>960</v>
      </c>
      <c r="L113">
        <v>1117</v>
      </c>
      <c r="M113">
        <v>902</v>
      </c>
      <c r="N113">
        <v>1067</v>
      </c>
      <c r="O113">
        <v>977</v>
      </c>
      <c r="P113">
        <v>835</v>
      </c>
      <c r="Q113">
        <v>969</v>
      </c>
      <c r="R113">
        <v>1105</v>
      </c>
      <c r="S113">
        <v>1078</v>
      </c>
      <c r="T113">
        <v>990</v>
      </c>
      <c r="U113">
        <v>980</v>
      </c>
      <c r="V113">
        <v>1135</v>
      </c>
      <c r="W113">
        <v>1032</v>
      </c>
      <c r="X113">
        <v>1010</v>
      </c>
      <c r="Y113">
        <v>982</v>
      </c>
      <c r="Z113">
        <v>892</v>
      </c>
      <c r="AA113">
        <v>958</v>
      </c>
      <c r="AB113">
        <v>1028</v>
      </c>
      <c r="AC113">
        <v>974</v>
      </c>
      <c r="AD113">
        <v>1009</v>
      </c>
      <c r="AE113">
        <v>944</v>
      </c>
      <c r="AF113">
        <v>0</v>
      </c>
      <c r="AG113">
        <v>0</v>
      </c>
      <c r="AH113">
        <v>0</v>
      </c>
      <c r="AI113">
        <v>0</v>
      </c>
      <c r="AJ113">
        <v>9</v>
      </c>
      <c r="AK113">
        <v>7</v>
      </c>
      <c r="AL113">
        <v>10</v>
      </c>
      <c r="AM113">
        <v>10</v>
      </c>
      <c r="AN113">
        <v>0</v>
      </c>
      <c r="AO113">
        <v>0</v>
      </c>
      <c r="AP113">
        <v>1108</v>
      </c>
      <c r="AQ113">
        <v>0</v>
      </c>
      <c r="AR113">
        <v>8</v>
      </c>
      <c r="AS113">
        <v>0</v>
      </c>
      <c r="AT113">
        <v>0</v>
      </c>
      <c r="AU113">
        <v>2</v>
      </c>
      <c r="AV113">
        <v>6</v>
      </c>
      <c r="AW113">
        <v>11</v>
      </c>
      <c r="AX113">
        <v>0</v>
      </c>
      <c r="AY113">
        <v>4</v>
      </c>
      <c r="AZ113">
        <v>6</v>
      </c>
      <c r="BA113">
        <v>897</v>
      </c>
      <c r="BB113">
        <v>37</v>
      </c>
      <c r="BC113">
        <v>1</v>
      </c>
      <c r="BD113">
        <v>0</v>
      </c>
      <c r="BE113">
        <v>14</v>
      </c>
      <c r="BF113">
        <v>32</v>
      </c>
      <c r="BG113">
        <v>40</v>
      </c>
      <c r="BH113">
        <v>1</v>
      </c>
      <c r="BI113">
        <v>0</v>
      </c>
      <c r="BJ113">
        <v>0</v>
      </c>
      <c r="BK113">
        <v>1</v>
      </c>
      <c r="BL113">
        <v>993</v>
      </c>
      <c r="BM113">
        <v>0</v>
      </c>
      <c r="BN113">
        <v>1</v>
      </c>
      <c r="BO113">
        <v>0</v>
      </c>
      <c r="BP113">
        <v>5</v>
      </c>
      <c r="BQ113">
        <v>2</v>
      </c>
      <c r="BR113">
        <v>8</v>
      </c>
      <c r="BS113">
        <v>2</v>
      </c>
      <c r="BT113">
        <v>1</v>
      </c>
      <c r="BU113">
        <v>2</v>
      </c>
      <c r="BV113">
        <v>0</v>
      </c>
      <c r="BW113">
        <v>949</v>
      </c>
      <c r="BX113">
        <v>0</v>
      </c>
      <c r="BY113">
        <v>16</v>
      </c>
      <c r="BZ113">
        <v>6</v>
      </c>
      <c r="CA113">
        <v>1</v>
      </c>
      <c r="CB113">
        <v>5</v>
      </c>
      <c r="CC113">
        <v>2</v>
      </c>
      <c r="CD113">
        <v>0</v>
      </c>
      <c r="CE113">
        <v>1</v>
      </c>
      <c r="CF113">
        <v>24</v>
      </c>
      <c r="CG113">
        <v>0</v>
      </c>
      <c r="CH113">
        <v>819</v>
      </c>
      <c r="CI113">
        <v>11</v>
      </c>
      <c r="CJ113">
        <v>1</v>
      </c>
      <c r="CK113">
        <v>26</v>
      </c>
      <c r="CL113">
        <v>8</v>
      </c>
      <c r="CM113">
        <v>4</v>
      </c>
      <c r="CN113">
        <v>1</v>
      </c>
      <c r="CO113">
        <v>0</v>
      </c>
      <c r="CP113">
        <v>0</v>
      </c>
      <c r="CQ113">
        <v>4</v>
      </c>
      <c r="CR113">
        <v>4</v>
      </c>
      <c r="CS113">
        <v>916</v>
      </c>
      <c r="CT113">
        <v>0</v>
      </c>
      <c r="CU113">
        <v>29</v>
      </c>
      <c r="CV113">
        <v>0</v>
      </c>
      <c r="CW113">
        <v>0</v>
      </c>
      <c r="CX113">
        <v>0</v>
      </c>
      <c r="CY113">
        <v>1</v>
      </c>
      <c r="CZ113">
        <v>0</v>
      </c>
      <c r="DA113">
        <v>0</v>
      </c>
      <c r="DB113">
        <v>0</v>
      </c>
      <c r="DC113">
        <v>0</v>
      </c>
      <c r="DD113">
        <v>1020</v>
      </c>
      <c r="DE113">
        <v>2</v>
      </c>
      <c r="DF113">
        <v>5</v>
      </c>
      <c r="DG113">
        <v>1</v>
      </c>
      <c r="DH113">
        <v>0</v>
      </c>
      <c r="DI113">
        <v>0</v>
      </c>
      <c r="DJ113">
        <v>2</v>
      </c>
      <c r="DK113">
        <v>3</v>
      </c>
      <c r="DL113">
        <v>0</v>
      </c>
      <c r="DM113">
        <v>1</v>
      </c>
      <c r="DN113">
        <v>6</v>
      </c>
      <c r="DO113">
        <v>956</v>
      </c>
      <c r="DP113">
        <v>5</v>
      </c>
      <c r="DQ113">
        <v>3</v>
      </c>
      <c r="DR113">
        <v>1</v>
      </c>
      <c r="DS113">
        <v>0</v>
      </c>
      <c r="DT113">
        <v>3</v>
      </c>
      <c r="DU113">
        <v>20</v>
      </c>
      <c r="DV113">
        <v>2</v>
      </c>
      <c r="DW113">
        <v>2</v>
      </c>
      <c r="DX113">
        <v>19</v>
      </c>
      <c r="DY113">
        <v>1</v>
      </c>
      <c r="DZ113">
        <v>958</v>
      </c>
      <c r="EA113">
        <v>0.95599999999999996</v>
      </c>
      <c r="EB113">
        <v>0.95754442218995395</v>
      </c>
      <c r="EC113">
        <v>0.95557386459541305</v>
      </c>
      <c r="ED113">
        <v>0.95556884006544096</v>
      </c>
      <c r="EE113">
        <f>SUM(Table1[[#This Row],[ratio_0]:[ratio_9]])</f>
        <v>460</v>
      </c>
      <c r="EF113" s="1">
        <f>(Table1[[#This Row],[predicted_0]]-Table1[[#This Row],[actual_0]])/Table1[[#This Row],[actual_0]]</f>
        <v>-2.0408163265306121E-2</v>
      </c>
      <c r="EG113" s="1">
        <f>(Table1[[#This Row],[predicted_1]]-Table1[[#This Row],[actual_1]])/Table1[[#This Row],[actual_1]]</f>
        <v>-1.5859030837004406E-2</v>
      </c>
      <c r="EH113" s="1">
        <f>(Table1[[#This Row],[predicted_2]]-Table1[[#This Row],[actual_2]])/Table1[[#This Row],[actual_2]]</f>
        <v>-0.12596899224806202</v>
      </c>
      <c r="EI113" s="1">
        <f>(Table1[[#This Row],[predicted_3]]-Table1[[#This Row],[actual_3]])/Table1[[#This Row],[actual_3]]</f>
        <v>5.6435643564356437E-2</v>
      </c>
      <c r="EJ113" s="1">
        <f>(Table1[[#This Row],[predicted_4]]-Table1[[#This Row],[actual_4]])/Table1[[#This Row],[actual_4]]</f>
        <v>-5.0916496945010185E-3</v>
      </c>
      <c r="EK113" s="1">
        <f>(Table1[[#This Row],[predicted_5]]-Table1[[#This Row],[actual_5]])/Table1[[#This Row],[actual_5]]</f>
        <v>-6.3901345291479825E-2</v>
      </c>
      <c r="EL113" s="1">
        <f>(Table1[[#This Row],[predicted_6]]-Table1[[#This Row],[actual_6]])/Table1[[#This Row],[actual_6]]</f>
        <v>1.1482254697286013E-2</v>
      </c>
      <c r="EM113" s="1">
        <f>(Table1[[#This Row],[predicted_7]]-Table1[[#This Row],[actual_7]])/Table1[[#This Row],[actual_7]]</f>
        <v>7.4902723735408558E-2</v>
      </c>
      <c r="EN113" s="1">
        <f>(Table1[[#This Row],[predicted_8]]-Table1[[#This Row],[actual_8]])/Table1[[#This Row],[actual_8]]</f>
        <v>0.10677618069815195</v>
      </c>
      <c r="EO113" s="1">
        <f>(Table1[[#This Row],[predicted_9]]-Table1[[#This Row],[actual_9]])/Table1[[#This Row],[actual_9]]</f>
        <v>-1.8830525272547076E-2</v>
      </c>
      <c r="EP113" s="1">
        <f>1+(Table1[[#This Row],[error_ratio_0]]-EF$2)</f>
        <v>0.97755102040816322</v>
      </c>
      <c r="EQ113" s="1">
        <f>1+(Table1[[#This Row],[error_ratio_1]]-EG$2)</f>
        <v>0.98237885462555063</v>
      </c>
      <c r="ER113" s="1">
        <f>1+(Table1[[#This Row],[error_ratio_2]]-EH$2)</f>
        <v>0.87887596899224807</v>
      </c>
      <c r="ES113" s="1">
        <f>1+(Table1[[#This Row],[error_ratio_3]]-EI$2)</f>
        <v>1.0465346534653466</v>
      </c>
      <c r="ET113" s="1">
        <f>1+(Table1[[#This Row],[error_ratio_4]]-EJ$2)</f>
        <v>0.99389002036659879</v>
      </c>
      <c r="EU113" s="1">
        <f>1+(Table1[[#This Row],[error_ratio_5]]-EK$2)</f>
        <v>0.93497757847533636</v>
      </c>
      <c r="EV113" s="1">
        <f>1+(Table1[[#This Row],[error_ratio_6]]-EL$2)</f>
        <v>1.0177453027139876</v>
      </c>
      <c r="EW113" s="1">
        <f>1+(Table1[[#This Row],[error_ratio_7]]-EM$2)</f>
        <v>1.0729571984435797</v>
      </c>
      <c r="EX113" s="1">
        <f>1+(Table1[[#This Row],[error_ratio_8]]-EN$2)</f>
        <v>1.1098562628336757</v>
      </c>
      <c r="EY113" s="1">
        <f>1+(Table1[[#This Row],[error_ratio_9]]-EO$2)</f>
        <v>0.98513379583746286</v>
      </c>
    </row>
    <row r="114" spans="1:155" x14ac:dyDescent="0.75">
      <c r="A114">
        <v>10</v>
      </c>
      <c r="B114">
        <v>100</v>
      </c>
      <c r="C114">
        <v>100</v>
      </c>
      <c r="D114">
        <v>10</v>
      </c>
      <c r="E114">
        <v>10</v>
      </c>
      <c r="F114">
        <v>10</v>
      </c>
      <c r="G114">
        <v>10</v>
      </c>
      <c r="H114">
        <v>100</v>
      </c>
      <c r="I114">
        <v>100</v>
      </c>
      <c r="J114">
        <v>100</v>
      </c>
      <c r="K114">
        <v>838</v>
      </c>
      <c r="L114">
        <v>1061</v>
      </c>
      <c r="M114">
        <v>1319</v>
      </c>
      <c r="N114">
        <v>800</v>
      </c>
      <c r="O114">
        <v>704</v>
      </c>
      <c r="P114">
        <v>1220</v>
      </c>
      <c r="Q114">
        <v>870</v>
      </c>
      <c r="R114">
        <v>1038</v>
      </c>
      <c r="S114">
        <v>922</v>
      </c>
      <c r="T114">
        <v>1228</v>
      </c>
      <c r="U114">
        <v>980</v>
      </c>
      <c r="V114">
        <v>1135</v>
      </c>
      <c r="W114">
        <v>1032</v>
      </c>
      <c r="X114">
        <v>1010</v>
      </c>
      <c r="Y114">
        <v>982</v>
      </c>
      <c r="Z114">
        <v>892</v>
      </c>
      <c r="AA114">
        <v>958</v>
      </c>
      <c r="AB114">
        <v>1028</v>
      </c>
      <c r="AC114">
        <v>974</v>
      </c>
      <c r="AD114">
        <v>1009</v>
      </c>
      <c r="AE114">
        <v>831</v>
      </c>
      <c r="AF114">
        <v>0</v>
      </c>
      <c r="AG114">
        <v>81</v>
      </c>
      <c r="AH114">
        <v>0</v>
      </c>
      <c r="AI114">
        <v>0</v>
      </c>
      <c r="AJ114">
        <v>46</v>
      </c>
      <c r="AK114">
        <v>1</v>
      </c>
      <c r="AL114">
        <v>3</v>
      </c>
      <c r="AM114">
        <v>7</v>
      </c>
      <c r="AN114">
        <v>11</v>
      </c>
      <c r="AO114">
        <v>0</v>
      </c>
      <c r="AP114">
        <v>1059</v>
      </c>
      <c r="AQ114">
        <v>5</v>
      </c>
      <c r="AR114">
        <v>5</v>
      </c>
      <c r="AS114">
        <v>0</v>
      </c>
      <c r="AT114">
        <v>41</v>
      </c>
      <c r="AU114">
        <v>2</v>
      </c>
      <c r="AV114">
        <v>12</v>
      </c>
      <c r="AW114">
        <v>5</v>
      </c>
      <c r="AX114">
        <v>6</v>
      </c>
      <c r="AY114">
        <v>0</v>
      </c>
      <c r="AZ114">
        <v>0</v>
      </c>
      <c r="BA114">
        <v>1022</v>
      </c>
      <c r="BB114">
        <v>0</v>
      </c>
      <c r="BC114">
        <v>0</v>
      </c>
      <c r="BD114">
        <v>0</v>
      </c>
      <c r="BE114">
        <v>0</v>
      </c>
      <c r="BF114">
        <v>8</v>
      </c>
      <c r="BG114">
        <v>2</v>
      </c>
      <c r="BH114">
        <v>0</v>
      </c>
      <c r="BI114">
        <v>1</v>
      </c>
      <c r="BJ114">
        <v>0</v>
      </c>
      <c r="BK114">
        <v>11</v>
      </c>
      <c r="BL114">
        <v>790</v>
      </c>
      <c r="BM114">
        <v>0</v>
      </c>
      <c r="BN114">
        <v>190</v>
      </c>
      <c r="BO114">
        <v>0</v>
      </c>
      <c r="BP114">
        <v>6</v>
      </c>
      <c r="BQ114">
        <v>3</v>
      </c>
      <c r="BR114">
        <v>9</v>
      </c>
      <c r="BS114">
        <v>0</v>
      </c>
      <c r="BT114">
        <v>1</v>
      </c>
      <c r="BU114">
        <v>120</v>
      </c>
      <c r="BV114">
        <v>1</v>
      </c>
      <c r="BW114">
        <v>698</v>
      </c>
      <c r="BX114">
        <v>0</v>
      </c>
      <c r="BY114">
        <v>1</v>
      </c>
      <c r="BZ114">
        <v>4</v>
      </c>
      <c r="CA114">
        <v>2</v>
      </c>
      <c r="CB114">
        <v>155</v>
      </c>
      <c r="CC114">
        <v>0</v>
      </c>
      <c r="CD114">
        <v>0</v>
      </c>
      <c r="CE114">
        <v>9</v>
      </c>
      <c r="CF114">
        <v>0</v>
      </c>
      <c r="CG114">
        <v>0</v>
      </c>
      <c r="CH114">
        <v>874</v>
      </c>
      <c r="CI114">
        <v>1</v>
      </c>
      <c r="CJ114">
        <v>1</v>
      </c>
      <c r="CK114">
        <v>1</v>
      </c>
      <c r="CL114">
        <v>6</v>
      </c>
      <c r="CM114">
        <v>5</v>
      </c>
      <c r="CN114">
        <v>1</v>
      </c>
      <c r="CO114">
        <v>46</v>
      </c>
      <c r="CP114">
        <v>0</v>
      </c>
      <c r="CQ114">
        <v>6</v>
      </c>
      <c r="CR114">
        <v>28</v>
      </c>
      <c r="CS114">
        <v>865</v>
      </c>
      <c r="CT114">
        <v>0</v>
      </c>
      <c r="CU114">
        <v>7</v>
      </c>
      <c r="CV114">
        <v>0</v>
      </c>
      <c r="CW114">
        <v>0</v>
      </c>
      <c r="CX114">
        <v>0</v>
      </c>
      <c r="CY114">
        <v>13</v>
      </c>
      <c r="CZ114">
        <v>3</v>
      </c>
      <c r="DA114">
        <v>0</v>
      </c>
      <c r="DB114">
        <v>1</v>
      </c>
      <c r="DC114">
        <v>0</v>
      </c>
      <c r="DD114">
        <v>999</v>
      </c>
      <c r="DE114">
        <v>1</v>
      </c>
      <c r="DF114">
        <v>11</v>
      </c>
      <c r="DG114">
        <v>1</v>
      </c>
      <c r="DH114">
        <v>0</v>
      </c>
      <c r="DI114">
        <v>11</v>
      </c>
      <c r="DJ114">
        <v>1</v>
      </c>
      <c r="DK114">
        <v>0</v>
      </c>
      <c r="DL114">
        <v>30</v>
      </c>
      <c r="DM114">
        <v>0</v>
      </c>
      <c r="DN114">
        <v>4</v>
      </c>
      <c r="DO114">
        <v>894</v>
      </c>
      <c r="DP114">
        <v>33</v>
      </c>
      <c r="DQ114">
        <v>0</v>
      </c>
      <c r="DR114">
        <v>0</v>
      </c>
      <c r="DS114">
        <v>1</v>
      </c>
      <c r="DT114">
        <v>0</v>
      </c>
      <c r="DU114">
        <v>0</v>
      </c>
      <c r="DV114">
        <v>10</v>
      </c>
      <c r="DW114">
        <v>0</v>
      </c>
      <c r="DX114">
        <v>1</v>
      </c>
      <c r="DY114">
        <v>0</v>
      </c>
      <c r="DZ114">
        <v>997</v>
      </c>
      <c r="EA114">
        <v>0.90290000000000004</v>
      </c>
      <c r="EB114">
        <v>0.91981630019647898</v>
      </c>
      <c r="EC114">
        <v>0.90247862038123705</v>
      </c>
      <c r="ED114">
        <v>0.90245505116354396</v>
      </c>
      <c r="EE114">
        <f>SUM(Table1[[#This Row],[ratio_0]:[ratio_9]])</f>
        <v>550</v>
      </c>
      <c r="EF114" s="1">
        <f>(Table1[[#This Row],[predicted_0]]-Table1[[#This Row],[actual_0]])/Table1[[#This Row],[actual_0]]</f>
        <v>-0.14489795918367346</v>
      </c>
      <c r="EG114" s="1">
        <f>(Table1[[#This Row],[predicted_1]]-Table1[[#This Row],[actual_1]])/Table1[[#This Row],[actual_1]]</f>
        <v>-6.5198237885462557E-2</v>
      </c>
      <c r="EH114" s="1">
        <f>(Table1[[#This Row],[predicted_2]]-Table1[[#This Row],[actual_2]])/Table1[[#This Row],[actual_2]]</f>
        <v>0.27810077519379844</v>
      </c>
      <c r="EI114" s="1">
        <f>(Table1[[#This Row],[predicted_3]]-Table1[[#This Row],[actual_3]])/Table1[[#This Row],[actual_3]]</f>
        <v>-0.20792079207920791</v>
      </c>
      <c r="EJ114" s="1">
        <f>(Table1[[#This Row],[predicted_4]]-Table1[[#This Row],[actual_4]])/Table1[[#This Row],[actual_4]]</f>
        <v>-0.28309572301425662</v>
      </c>
      <c r="EK114" s="1">
        <f>(Table1[[#This Row],[predicted_5]]-Table1[[#This Row],[actual_5]])/Table1[[#This Row],[actual_5]]</f>
        <v>0.36771300448430494</v>
      </c>
      <c r="EL114" s="1">
        <f>(Table1[[#This Row],[predicted_6]]-Table1[[#This Row],[actual_6]])/Table1[[#This Row],[actual_6]]</f>
        <v>-9.1858037578288101E-2</v>
      </c>
      <c r="EM114" s="1">
        <f>(Table1[[#This Row],[predicted_7]]-Table1[[#This Row],[actual_7]])/Table1[[#This Row],[actual_7]]</f>
        <v>9.727626459143969E-3</v>
      </c>
      <c r="EN114" s="1">
        <f>(Table1[[#This Row],[predicted_8]]-Table1[[#This Row],[actual_8]])/Table1[[#This Row],[actual_8]]</f>
        <v>-5.3388090349075976E-2</v>
      </c>
      <c r="EO114" s="1">
        <f>(Table1[[#This Row],[predicted_9]]-Table1[[#This Row],[actual_9]])/Table1[[#This Row],[actual_9]]</f>
        <v>0.21704658077304262</v>
      </c>
      <c r="EP114" s="1">
        <f>1+(Table1[[#This Row],[error_ratio_0]]-EF$2)</f>
        <v>0.85306122448979593</v>
      </c>
      <c r="EQ114" s="1">
        <f>1+(Table1[[#This Row],[error_ratio_1]]-EG$2)</f>
        <v>0.93303964757709257</v>
      </c>
      <c r="ER114" s="1">
        <f>1+(Table1[[#This Row],[error_ratio_2]]-EH$2)</f>
        <v>1.2829457364341086</v>
      </c>
      <c r="ES114" s="1">
        <f>1+(Table1[[#This Row],[error_ratio_3]]-EI$2)</f>
        <v>0.78217821782178221</v>
      </c>
      <c r="ET114" s="1">
        <f>1+(Table1[[#This Row],[error_ratio_4]]-EJ$2)</f>
        <v>0.71588594704684316</v>
      </c>
      <c r="EU114" s="1">
        <f>1+(Table1[[#This Row],[error_ratio_5]]-EK$2)</f>
        <v>1.366591928251121</v>
      </c>
      <c r="EV114" s="1">
        <f>1+(Table1[[#This Row],[error_ratio_6]]-EL$2)</f>
        <v>0.91440501043841338</v>
      </c>
      <c r="EW114" s="1">
        <f>1+(Table1[[#This Row],[error_ratio_7]]-EM$2)</f>
        <v>1.0077821011673151</v>
      </c>
      <c r="EX114" s="1">
        <f>1+(Table1[[#This Row],[error_ratio_8]]-EN$2)</f>
        <v>0.94969199178644759</v>
      </c>
      <c r="EY114" s="1">
        <f>1+(Table1[[#This Row],[error_ratio_9]]-EO$2)</f>
        <v>1.2210109018830526</v>
      </c>
    </row>
    <row r="115" spans="1:155" x14ac:dyDescent="0.75">
      <c r="A115">
        <v>10</v>
      </c>
      <c r="B115">
        <v>10</v>
      </c>
      <c r="C115">
        <v>100</v>
      </c>
      <c r="D115">
        <v>10</v>
      </c>
      <c r="E115">
        <v>10</v>
      </c>
      <c r="F115">
        <v>10</v>
      </c>
      <c r="G115">
        <v>10</v>
      </c>
      <c r="H115">
        <v>100</v>
      </c>
      <c r="I115">
        <v>100</v>
      </c>
      <c r="J115">
        <v>100</v>
      </c>
      <c r="K115">
        <v>1008</v>
      </c>
      <c r="L115">
        <v>1095</v>
      </c>
      <c r="M115">
        <v>1026</v>
      </c>
      <c r="N115">
        <v>694</v>
      </c>
      <c r="O115">
        <v>921</v>
      </c>
      <c r="P115">
        <v>713</v>
      </c>
      <c r="Q115">
        <v>947</v>
      </c>
      <c r="R115">
        <v>1023</v>
      </c>
      <c r="S115">
        <v>1565</v>
      </c>
      <c r="T115">
        <v>1008</v>
      </c>
      <c r="U115">
        <v>980</v>
      </c>
      <c r="V115">
        <v>1135</v>
      </c>
      <c r="W115">
        <v>1032</v>
      </c>
      <c r="X115">
        <v>1010</v>
      </c>
      <c r="Y115">
        <v>982</v>
      </c>
      <c r="Z115">
        <v>892</v>
      </c>
      <c r="AA115">
        <v>958</v>
      </c>
      <c r="AB115">
        <v>1028</v>
      </c>
      <c r="AC115">
        <v>974</v>
      </c>
      <c r="AD115">
        <v>1009</v>
      </c>
      <c r="AE115">
        <v>954</v>
      </c>
      <c r="AF115">
        <v>0</v>
      </c>
      <c r="AG115">
        <v>1</v>
      </c>
      <c r="AH115">
        <v>0</v>
      </c>
      <c r="AI115">
        <v>0</v>
      </c>
      <c r="AJ115">
        <v>0</v>
      </c>
      <c r="AK115">
        <v>4</v>
      </c>
      <c r="AL115">
        <v>5</v>
      </c>
      <c r="AM115">
        <v>8</v>
      </c>
      <c r="AN115">
        <v>8</v>
      </c>
      <c r="AO115">
        <v>0</v>
      </c>
      <c r="AP115">
        <v>1088</v>
      </c>
      <c r="AQ115">
        <v>6</v>
      </c>
      <c r="AR115">
        <v>0</v>
      </c>
      <c r="AS115">
        <v>0</v>
      </c>
      <c r="AT115">
        <v>1</v>
      </c>
      <c r="AU115">
        <v>5</v>
      </c>
      <c r="AV115">
        <v>1</v>
      </c>
      <c r="AW115">
        <v>34</v>
      </c>
      <c r="AX115">
        <v>0</v>
      </c>
      <c r="AY115">
        <v>7</v>
      </c>
      <c r="AZ115">
        <v>0</v>
      </c>
      <c r="BA115">
        <v>993</v>
      </c>
      <c r="BB115">
        <v>0</v>
      </c>
      <c r="BC115">
        <v>0</v>
      </c>
      <c r="BD115">
        <v>0</v>
      </c>
      <c r="BE115">
        <v>1</v>
      </c>
      <c r="BF115">
        <v>1</v>
      </c>
      <c r="BG115">
        <v>30</v>
      </c>
      <c r="BH115">
        <v>0</v>
      </c>
      <c r="BI115">
        <v>11</v>
      </c>
      <c r="BJ115">
        <v>0</v>
      </c>
      <c r="BK115">
        <v>7</v>
      </c>
      <c r="BL115">
        <v>690</v>
      </c>
      <c r="BM115">
        <v>2</v>
      </c>
      <c r="BN115">
        <v>22</v>
      </c>
      <c r="BO115">
        <v>4</v>
      </c>
      <c r="BP115">
        <v>8</v>
      </c>
      <c r="BQ115">
        <v>259</v>
      </c>
      <c r="BR115">
        <v>7</v>
      </c>
      <c r="BS115">
        <v>2</v>
      </c>
      <c r="BT115">
        <v>1</v>
      </c>
      <c r="BU115">
        <v>1</v>
      </c>
      <c r="BV115">
        <v>0</v>
      </c>
      <c r="BW115">
        <v>914</v>
      </c>
      <c r="BX115">
        <v>0</v>
      </c>
      <c r="BY115">
        <v>9</v>
      </c>
      <c r="BZ115">
        <v>0</v>
      </c>
      <c r="CA115">
        <v>8</v>
      </c>
      <c r="CB115">
        <v>47</v>
      </c>
      <c r="CC115">
        <v>15</v>
      </c>
      <c r="CD115">
        <v>0</v>
      </c>
      <c r="CE115">
        <v>4</v>
      </c>
      <c r="CF115">
        <v>3</v>
      </c>
      <c r="CG115">
        <v>0</v>
      </c>
      <c r="CH115">
        <v>686</v>
      </c>
      <c r="CI115">
        <v>6</v>
      </c>
      <c r="CJ115">
        <v>6</v>
      </c>
      <c r="CK115">
        <v>169</v>
      </c>
      <c r="CL115">
        <v>3</v>
      </c>
      <c r="CM115">
        <v>14</v>
      </c>
      <c r="CN115">
        <v>3</v>
      </c>
      <c r="CO115">
        <v>0</v>
      </c>
      <c r="CP115">
        <v>0</v>
      </c>
      <c r="CQ115">
        <v>2</v>
      </c>
      <c r="CR115">
        <v>1</v>
      </c>
      <c r="CS115">
        <v>918</v>
      </c>
      <c r="CT115">
        <v>0</v>
      </c>
      <c r="CU115">
        <v>19</v>
      </c>
      <c r="CV115">
        <v>1</v>
      </c>
      <c r="CW115">
        <v>0</v>
      </c>
      <c r="CX115">
        <v>3</v>
      </c>
      <c r="CY115">
        <v>13</v>
      </c>
      <c r="CZ115">
        <v>0</v>
      </c>
      <c r="DA115">
        <v>0</v>
      </c>
      <c r="DB115">
        <v>1</v>
      </c>
      <c r="DC115">
        <v>0</v>
      </c>
      <c r="DD115">
        <v>998</v>
      </c>
      <c r="DE115">
        <v>11</v>
      </c>
      <c r="DF115">
        <v>2</v>
      </c>
      <c r="DG115">
        <v>5</v>
      </c>
      <c r="DH115">
        <v>0</v>
      </c>
      <c r="DI115">
        <v>0</v>
      </c>
      <c r="DJ115">
        <v>0</v>
      </c>
      <c r="DK115">
        <v>0</v>
      </c>
      <c r="DL115">
        <v>0</v>
      </c>
      <c r="DM115">
        <v>0</v>
      </c>
      <c r="DN115">
        <v>1</v>
      </c>
      <c r="DO115">
        <v>968</v>
      </c>
      <c r="DP115">
        <v>0</v>
      </c>
      <c r="DQ115">
        <v>0</v>
      </c>
      <c r="DR115">
        <v>0</v>
      </c>
      <c r="DS115">
        <v>1</v>
      </c>
      <c r="DT115">
        <v>1</v>
      </c>
      <c r="DU115">
        <v>3</v>
      </c>
      <c r="DV115">
        <v>2</v>
      </c>
      <c r="DW115">
        <v>0</v>
      </c>
      <c r="DX115">
        <v>3</v>
      </c>
      <c r="DY115">
        <v>59</v>
      </c>
      <c r="DZ115">
        <v>940</v>
      </c>
      <c r="EA115">
        <v>0.91490000000000005</v>
      </c>
      <c r="EB115">
        <v>0.93526489351606801</v>
      </c>
      <c r="EC115">
        <v>0.913176793916049</v>
      </c>
      <c r="ED115">
        <v>0.91573798478192603</v>
      </c>
      <c r="EE115">
        <f>SUM(Table1[[#This Row],[ratio_0]:[ratio_9]])</f>
        <v>460</v>
      </c>
      <c r="EF115" s="1">
        <f>(Table1[[#This Row],[predicted_0]]-Table1[[#This Row],[actual_0]])/Table1[[#This Row],[actual_0]]</f>
        <v>2.8571428571428571E-2</v>
      </c>
      <c r="EG115" s="1">
        <f>(Table1[[#This Row],[predicted_1]]-Table1[[#This Row],[actual_1]])/Table1[[#This Row],[actual_1]]</f>
        <v>-3.5242290748898682E-2</v>
      </c>
      <c r="EH115" s="1">
        <f>(Table1[[#This Row],[predicted_2]]-Table1[[#This Row],[actual_2]])/Table1[[#This Row],[actual_2]]</f>
        <v>-5.8139534883720929E-3</v>
      </c>
      <c r="EI115" s="1">
        <f>(Table1[[#This Row],[predicted_3]]-Table1[[#This Row],[actual_3]])/Table1[[#This Row],[actual_3]]</f>
        <v>-0.31287128712871287</v>
      </c>
      <c r="EJ115" s="1">
        <f>(Table1[[#This Row],[predicted_4]]-Table1[[#This Row],[actual_4]])/Table1[[#This Row],[actual_4]]</f>
        <v>-6.2118126272912425E-2</v>
      </c>
      <c r="EK115" s="1">
        <f>(Table1[[#This Row],[predicted_5]]-Table1[[#This Row],[actual_5]])/Table1[[#This Row],[actual_5]]</f>
        <v>-0.20067264573991031</v>
      </c>
      <c r="EL115" s="1">
        <f>(Table1[[#This Row],[predicted_6]]-Table1[[#This Row],[actual_6]])/Table1[[#This Row],[actual_6]]</f>
        <v>-1.1482254697286013E-2</v>
      </c>
      <c r="EM115" s="1">
        <f>(Table1[[#This Row],[predicted_7]]-Table1[[#This Row],[actual_7]])/Table1[[#This Row],[actual_7]]</f>
        <v>-4.8638132295719845E-3</v>
      </c>
      <c r="EN115" s="1">
        <f>(Table1[[#This Row],[predicted_8]]-Table1[[#This Row],[actual_8]])/Table1[[#This Row],[actual_8]]</f>
        <v>0.60677618069815198</v>
      </c>
      <c r="EO115" s="1">
        <f>(Table1[[#This Row],[predicted_9]]-Table1[[#This Row],[actual_9]])/Table1[[#This Row],[actual_9]]</f>
        <v>-9.9108027750247768E-4</v>
      </c>
      <c r="EP115" s="1">
        <f>1+(Table1[[#This Row],[error_ratio_0]]-EF$2)</f>
        <v>1.0265306122448981</v>
      </c>
      <c r="EQ115" s="1">
        <f>1+(Table1[[#This Row],[error_ratio_1]]-EG$2)</f>
        <v>0.96299559471365637</v>
      </c>
      <c r="ER115" s="1">
        <f>1+(Table1[[#This Row],[error_ratio_2]]-EH$2)</f>
        <v>0.99903100775193798</v>
      </c>
      <c r="ES115" s="1">
        <f>1+(Table1[[#This Row],[error_ratio_3]]-EI$2)</f>
        <v>0.67722772277227716</v>
      </c>
      <c r="ET115" s="1">
        <f>1+(Table1[[#This Row],[error_ratio_4]]-EJ$2)</f>
        <v>0.93686354378818737</v>
      </c>
      <c r="EU115" s="1">
        <f>1+(Table1[[#This Row],[error_ratio_5]]-EK$2)</f>
        <v>0.7982062780269058</v>
      </c>
      <c r="EV115" s="1">
        <f>1+(Table1[[#This Row],[error_ratio_6]]-EL$2)</f>
        <v>0.99478079331941549</v>
      </c>
      <c r="EW115" s="1">
        <f>1+(Table1[[#This Row],[error_ratio_7]]-EM$2)</f>
        <v>0.99319066147859925</v>
      </c>
      <c r="EX115" s="1">
        <f>1+(Table1[[#This Row],[error_ratio_8]]-EN$2)</f>
        <v>1.6098562628336754</v>
      </c>
      <c r="EY115" s="1">
        <f>1+(Table1[[#This Row],[error_ratio_9]]-EO$2)</f>
        <v>1.0029732408325074</v>
      </c>
    </row>
    <row r="116" spans="1:155" x14ac:dyDescent="0.75">
      <c r="A116">
        <v>100</v>
      </c>
      <c r="B116">
        <v>100</v>
      </c>
      <c r="C116">
        <v>10</v>
      </c>
      <c r="D116">
        <v>10</v>
      </c>
      <c r="E116">
        <v>10</v>
      </c>
      <c r="F116">
        <v>10</v>
      </c>
      <c r="G116">
        <v>10</v>
      </c>
      <c r="H116">
        <v>100</v>
      </c>
      <c r="I116">
        <v>100</v>
      </c>
      <c r="J116">
        <v>100</v>
      </c>
      <c r="K116">
        <v>1020</v>
      </c>
      <c r="L116">
        <v>1118</v>
      </c>
      <c r="M116">
        <v>1012</v>
      </c>
      <c r="N116">
        <v>944</v>
      </c>
      <c r="O116">
        <v>849</v>
      </c>
      <c r="P116">
        <v>834</v>
      </c>
      <c r="Q116">
        <v>976</v>
      </c>
      <c r="R116">
        <v>1054</v>
      </c>
      <c r="S116">
        <v>1166</v>
      </c>
      <c r="T116">
        <v>1027</v>
      </c>
      <c r="U116">
        <v>980</v>
      </c>
      <c r="V116">
        <v>1135</v>
      </c>
      <c r="W116">
        <v>1032</v>
      </c>
      <c r="X116">
        <v>1010</v>
      </c>
      <c r="Y116">
        <v>982</v>
      </c>
      <c r="Z116">
        <v>892</v>
      </c>
      <c r="AA116">
        <v>958</v>
      </c>
      <c r="AB116">
        <v>1028</v>
      </c>
      <c r="AC116">
        <v>974</v>
      </c>
      <c r="AD116">
        <v>1009</v>
      </c>
      <c r="AE116">
        <v>976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1</v>
      </c>
      <c r="AM116">
        <v>3</v>
      </c>
      <c r="AN116">
        <v>0</v>
      </c>
      <c r="AO116">
        <v>0</v>
      </c>
      <c r="AP116">
        <v>1112</v>
      </c>
      <c r="AQ116">
        <v>1</v>
      </c>
      <c r="AR116">
        <v>1</v>
      </c>
      <c r="AS116">
        <v>0</v>
      </c>
      <c r="AT116">
        <v>0</v>
      </c>
      <c r="AU116">
        <v>3</v>
      </c>
      <c r="AV116">
        <v>1</v>
      </c>
      <c r="AW116">
        <v>16</v>
      </c>
      <c r="AX116">
        <v>1</v>
      </c>
      <c r="AY116">
        <v>5</v>
      </c>
      <c r="AZ116">
        <v>1</v>
      </c>
      <c r="BA116">
        <v>991</v>
      </c>
      <c r="BB116">
        <v>2</v>
      </c>
      <c r="BC116">
        <v>0</v>
      </c>
      <c r="BD116">
        <v>0</v>
      </c>
      <c r="BE116">
        <v>6</v>
      </c>
      <c r="BF116">
        <v>8</v>
      </c>
      <c r="BG116">
        <v>17</v>
      </c>
      <c r="BH116">
        <v>2</v>
      </c>
      <c r="BI116">
        <v>8</v>
      </c>
      <c r="BJ116">
        <v>0</v>
      </c>
      <c r="BK116">
        <v>2</v>
      </c>
      <c r="BL116">
        <v>932</v>
      </c>
      <c r="BM116">
        <v>0</v>
      </c>
      <c r="BN116">
        <v>13</v>
      </c>
      <c r="BO116">
        <v>0</v>
      </c>
      <c r="BP116">
        <v>11</v>
      </c>
      <c r="BQ116">
        <v>41</v>
      </c>
      <c r="BR116">
        <v>3</v>
      </c>
      <c r="BS116">
        <v>1</v>
      </c>
      <c r="BT116">
        <v>0</v>
      </c>
      <c r="BU116">
        <v>7</v>
      </c>
      <c r="BV116">
        <v>0</v>
      </c>
      <c r="BW116">
        <v>847</v>
      </c>
      <c r="BX116">
        <v>0</v>
      </c>
      <c r="BY116">
        <v>28</v>
      </c>
      <c r="BZ116">
        <v>11</v>
      </c>
      <c r="CA116">
        <v>44</v>
      </c>
      <c r="CB116">
        <v>44</v>
      </c>
      <c r="CC116">
        <v>6</v>
      </c>
      <c r="CD116">
        <v>0</v>
      </c>
      <c r="CE116">
        <v>1</v>
      </c>
      <c r="CF116">
        <v>7</v>
      </c>
      <c r="CG116">
        <v>0</v>
      </c>
      <c r="CH116">
        <v>816</v>
      </c>
      <c r="CI116">
        <v>7</v>
      </c>
      <c r="CJ116">
        <v>5</v>
      </c>
      <c r="CK116">
        <v>45</v>
      </c>
      <c r="CL116">
        <v>5</v>
      </c>
      <c r="CM116">
        <v>15</v>
      </c>
      <c r="CN116">
        <v>3</v>
      </c>
      <c r="CO116">
        <v>0</v>
      </c>
      <c r="CP116">
        <v>0</v>
      </c>
      <c r="CQ116">
        <v>1</v>
      </c>
      <c r="CR116">
        <v>3</v>
      </c>
      <c r="CS116">
        <v>929</v>
      </c>
      <c r="CT116">
        <v>0</v>
      </c>
      <c r="CU116">
        <v>7</v>
      </c>
      <c r="CV116">
        <v>0</v>
      </c>
      <c r="CW116">
        <v>0</v>
      </c>
      <c r="CX116">
        <v>2</v>
      </c>
      <c r="CY116">
        <v>10</v>
      </c>
      <c r="CZ116">
        <v>1</v>
      </c>
      <c r="DA116">
        <v>0</v>
      </c>
      <c r="DB116">
        <v>0</v>
      </c>
      <c r="DC116">
        <v>0</v>
      </c>
      <c r="DD116">
        <v>1007</v>
      </c>
      <c r="DE116">
        <v>6</v>
      </c>
      <c r="DF116">
        <v>2</v>
      </c>
      <c r="DG116">
        <v>7</v>
      </c>
      <c r="DH116">
        <v>0</v>
      </c>
      <c r="DI116">
        <v>0</v>
      </c>
      <c r="DJ116">
        <v>0</v>
      </c>
      <c r="DK116">
        <v>0</v>
      </c>
      <c r="DL116">
        <v>0</v>
      </c>
      <c r="DM116">
        <v>1</v>
      </c>
      <c r="DN116">
        <v>2</v>
      </c>
      <c r="DO116">
        <v>964</v>
      </c>
      <c r="DP116">
        <v>0</v>
      </c>
      <c r="DQ116">
        <v>2</v>
      </c>
      <c r="DR116">
        <v>0</v>
      </c>
      <c r="DS116">
        <v>0</v>
      </c>
      <c r="DT116">
        <v>1</v>
      </c>
      <c r="DU116">
        <v>1</v>
      </c>
      <c r="DV116">
        <v>2</v>
      </c>
      <c r="DW116">
        <v>2</v>
      </c>
      <c r="DX116">
        <v>8</v>
      </c>
      <c r="DY116">
        <v>23</v>
      </c>
      <c r="DZ116">
        <v>970</v>
      </c>
      <c r="EA116">
        <v>0.95440000000000003</v>
      </c>
      <c r="EB116">
        <v>0.95726036387186597</v>
      </c>
      <c r="EC116">
        <v>0.95364028241640597</v>
      </c>
      <c r="ED116">
        <v>0.95392781489411205</v>
      </c>
      <c r="EE116">
        <f>SUM(Table1[[#This Row],[ratio_0]:[ratio_9]])</f>
        <v>550</v>
      </c>
      <c r="EF116" s="1">
        <f>(Table1[[#This Row],[predicted_0]]-Table1[[#This Row],[actual_0]])/Table1[[#This Row],[actual_0]]</f>
        <v>4.0816326530612242E-2</v>
      </c>
      <c r="EG116" s="1">
        <f>(Table1[[#This Row],[predicted_1]]-Table1[[#This Row],[actual_1]])/Table1[[#This Row],[actual_1]]</f>
        <v>-1.4977973568281937E-2</v>
      </c>
      <c r="EH116" s="1">
        <f>(Table1[[#This Row],[predicted_2]]-Table1[[#This Row],[actual_2]])/Table1[[#This Row],[actual_2]]</f>
        <v>-1.937984496124031E-2</v>
      </c>
      <c r="EI116" s="1">
        <f>(Table1[[#This Row],[predicted_3]]-Table1[[#This Row],[actual_3]])/Table1[[#This Row],[actual_3]]</f>
        <v>-6.5346534653465349E-2</v>
      </c>
      <c r="EJ116" s="1">
        <f>(Table1[[#This Row],[predicted_4]]-Table1[[#This Row],[actual_4]])/Table1[[#This Row],[actual_4]]</f>
        <v>-0.1354378818737271</v>
      </c>
      <c r="EK116" s="1">
        <f>(Table1[[#This Row],[predicted_5]]-Table1[[#This Row],[actual_5]])/Table1[[#This Row],[actual_5]]</f>
        <v>-6.5022421524663671E-2</v>
      </c>
      <c r="EL116" s="1">
        <f>(Table1[[#This Row],[predicted_6]]-Table1[[#This Row],[actual_6]])/Table1[[#This Row],[actual_6]]</f>
        <v>1.8789144050104383E-2</v>
      </c>
      <c r="EM116" s="1">
        <f>(Table1[[#This Row],[predicted_7]]-Table1[[#This Row],[actual_7]])/Table1[[#This Row],[actual_7]]</f>
        <v>2.5291828793774319E-2</v>
      </c>
      <c r="EN116" s="1">
        <f>(Table1[[#This Row],[predicted_8]]-Table1[[#This Row],[actual_8]])/Table1[[#This Row],[actual_8]]</f>
        <v>0.1971252566735113</v>
      </c>
      <c r="EO116" s="1">
        <f>(Table1[[#This Row],[predicted_9]]-Table1[[#This Row],[actual_9]])/Table1[[#This Row],[actual_9]]</f>
        <v>1.7839444995044598E-2</v>
      </c>
      <c r="EP116" s="1">
        <f>1+(Table1[[#This Row],[error_ratio_0]]-EF$2)</f>
        <v>1.0387755102040817</v>
      </c>
      <c r="EQ116" s="1">
        <f>1+(Table1[[#This Row],[error_ratio_1]]-EG$2)</f>
        <v>0.98325991189427309</v>
      </c>
      <c r="ER116" s="1">
        <f>1+(Table1[[#This Row],[error_ratio_2]]-EH$2)</f>
        <v>0.98546511627906974</v>
      </c>
      <c r="ES116" s="1">
        <f>1+(Table1[[#This Row],[error_ratio_3]]-EI$2)</f>
        <v>0.9247524752475248</v>
      </c>
      <c r="ET116" s="1">
        <f>1+(Table1[[#This Row],[error_ratio_4]]-EJ$2)</f>
        <v>0.86354378818737265</v>
      </c>
      <c r="EU116" s="1">
        <f>1+(Table1[[#This Row],[error_ratio_5]]-EK$2)</f>
        <v>0.93385650224215244</v>
      </c>
      <c r="EV116" s="1">
        <f>1+(Table1[[#This Row],[error_ratio_6]]-EL$2)</f>
        <v>1.0250521920668059</v>
      </c>
      <c r="EW116" s="1">
        <f>1+(Table1[[#This Row],[error_ratio_7]]-EM$2)</f>
        <v>1.0233463035019454</v>
      </c>
      <c r="EX116" s="1">
        <f>1+(Table1[[#This Row],[error_ratio_8]]-EN$2)</f>
        <v>1.200205338809035</v>
      </c>
      <c r="EY116" s="1">
        <f>1+(Table1[[#This Row],[error_ratio_9]]-EO$2)</f>
        <v>1.0218037661050545</v>
      </c>
    </row>
    <row r="117" spans="1:155" x14ac:dyDescent="0.75">
      <c r="A117">
        <v>10</v>
      </c>
      <c r="B117">
        <v>100</v>
      </c>
      <c r="C117">
        <v>10</v>
      </c>
      <c r="D117">
        <v>10</v>
      </c>
      <c r="E117">
        <v>10</v>
      </c>
      <c r="F117">
        <v>10</v>
      </c>
      <c r="G117">
        <v>10</v>
      </c>
      <c r="H117">
        <v>100</v>
      </c>
      <c r="I117">
        <v>100</v>
      </c>
      <c r="J117">
        <v>100</v>
      </c>
      <c r="K117">
        <v>933</v>
      </c>
      <c r="L117">
        <v>1176</v>
      </c>
      <c r="M117">
        <v>908</v>
      </c>
      <c r="N117">
        <v>934</v>
      </c>
      <c r="O117">
        <v>873</v>
      </c>
      <c r="P117">
        <v>830</v>
      </c>
      <c r="Q117">
        <v>949</v>
      </c>
      <c r="R117">
        <v>1043</v>
      </c>
      <c r="S117">
        <v>1235</v>
      </c>
      <c r="T117">
        <v>1119</v>
      </c>
      <c r="U117">
        <v>980</v>
      </c>
      <c r="V117">
        <v>1135</v>
      </c>
      <c r="W117">
        <v>1032</v>
      </c>
      <c r="X117">
        <v>1010</v>
      </c>
      <c r="Y117">
        <v>982</v>
      </c>
      <c r="Z117">
        <v>892</v>
      </c>
      <c r="AA117">
        <v>958</v>
      </c>
      <c r="AB117">
        <v>1028</v>
      </c>
      <c r="AC117">
        <v>974</v>
      </c>
      <c r="AD117">
        <v>1009</v>
      </c>
      <c r="AE117">
        <v>922</v>
      </c>
      <c r="AF117">
        <v>0</v>
      </c>
      <c r="AG117">
        <v>1</v>
      </c>
      <c r="AH117">
        <v>0</v>
      </c>
      <c r="AI117">
        <v>0</v>
      </c>
      <c r="AJ117">
        <v>0</v>
      </c>
      <c r="AK117">
        <v>3</v>
      </c>
      <c r="AL117">
        <v>4</v>
      </c>
      <c r="AM117">
        <v>30</v>
      </c>
      <c r="AN117">
        <v>20</v>
      </c>
      <c r="AO117">
        <v>0</v>
      </c>
      <c r="AP117">
        <v>1132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3</v>
      </c>
      <c r="AX117">
        <v>0</v>
      </c>
      <c r="AY117">
        <v>1</v>
      </c>
      <c r="AZ117">
        <v>28</v>
      </c>
      <c r="BA117">
        <v>905</v>
      </c>
      <c r="BB117">
        <v>4</v>
      </c>
      <c r="BC117">
        <v>0</v>
      </c>
      <c r="BD117">
        <v>0</v>
      </c>
      <c r="BE117">
        <v>3</v>
      </c>
      <c r="BF117">
        <v>21</v>
      </c>
      <c r="BG117">
        <v>64</v>
      </c>
      <c r="BH117">
        <v>6</v>
      </c>
      <c r="BI117">
        <v>1</v>
      </c>
      <c r="BJ117">
        <v>1</v>
      </c>
      <c r="BK117">
        <v>1</v>
      </c>
      <c r="BL117">
        <v>919</v>
      </c>
      <c r="BM117">
        <v>0</v>
      </c>
      <c r="BN117">
        <v>6</v>
      </c>
      <c r="BO117">
        <v>0</v>
      </c>
      <c r="BP117">
        <v>10</v>
      </c>
      <c r="BQ117">
        <v>66</v>
      </c>
      <c r="BR117">
        <v>6</v>
      </c>
      <c r="BS117">
        <v>0</v>
      </c>
      <c r="BT117">
        <v>2</v>
      </c>
      <c r="BU117">
        <v>0</v>
      </c>
      <c r="BV117">
        <v>0</v>
      </c>
      <c r="BW117">
        <v>872</v>
      </c>
      <c r="BX117">
        <v>0</v>
      </c>
      <c r="BY117">
        <v>16</v>
      </c>
      <c r="BZ117">
        <v>3</v>
      </c>
      <c r="CA117">
        <v>17</v>
      </c>
      <c r="CB117">
        <v>72</v>
      </c>
      <c r="CC117">
        <v>4</v>
      </c>
      <c r="CD117">
        <v>2</v>
      </c>
      <c r="CE117">
        <v>0</v>
      </c>
      <c r="CF117">
        <v>11</v>
      </c>
      <c r="CG117">
        <v>0</v>
      </c>
      <c r="CH117">
        <v>817</v>
      </c>
      <c r="CI117">
        <v>6</v>
      </c>
      <c r="CJ117">
        <v>1</v>
      </c>
      <c r="CK117">
        <v>50</v>
      </c>
      <c r="CL117">
        <v>1</v>
      </c>
      <c r="CM117">
        <v>5</v>
      </c>
      <c r="CN117">
        <v>4</v>
      </c>
      <c r="CO117">
        <v>0</v>
      </c>
      <c r="CP117">
        <v>0</v>
      </c>
      <c r="CQ117">
        <v>0</v>
      </c>
      <c r="CR117">
        <v>1</v>
      </c>
      <c r="CS117">
        <v>920</v>
      </c>
      <c r="CT117">
        <v>0</v>
      </c>
      <c r="CU117">
        <v>27</v>
      </c>
      <c r="CV117">
        <v>1</v>
      </c>
      <c r="CW117">
        <v>0</v>
      </c>
      <c r="CX117">
        <v>6</v>
      </c>
      <c r="CY117">
        <v>1</v>
      </c>
      <c r="CZ117">
        <v>0</v>
      </c>
      <c r="DA117">
        <v>0</v>
      </c>
      <c r="DB117">
        <v>0</v>
      </c>
      <c r="DC117">
        <v>0</v>
      </c>
      <c r="DD117">
        <v>1001</v>
      </c>
      <c r="DE117">
        <v>3</v>
      </c>
      <c r="DF117">
        <v>17</v>
      </c>
      <c r="DG117">
        <v>0</v>
      </c>
      <c r="DH117">
        <v>0</v>
      </c>
      <c r="DI117">
        <v>0</v>
      </c>
      <c r="DJ117">
        <v>0</v>
      </c>
      <c r="DK117">
        <v>0</v>
      </c>
      <c r="DL117">
        <v>0</v>
      </c>
      <c r="DM117">
        <v>0</v>
      </c>
      <c r="DN117">
        <v>1</v>
      </c>
      <c r="DO117">
        <v>972</v>
      </c>
      <c r="DP117">
        <v>1</v>
      </c>
      <c r="DQ117">
        <v>0</v>
      </c>
      <c r="DR117">
        <v>1</v>
      </c>
      <c r="DS117">
        <v>0</v>
      </c>
      <c r="DT117">
        <v>0</v>
      </c>
      <c r="DU117">
        <v>1</v>
      </c>
      <c r="DV117">
        <v>6</v>
      </c>
      <c r="DW117">
        <v>1</v>
      </c>
      <c r="DX117">
        <v>2</v>
      </c>
      <c r="DY117">
        <v>3</v>
      </c>
      <c r="DZ117">
        <v>995</v>
      </c>
      <c r="EA117">
        <v>0.94550000000000001</v>
      </c>
      <c r="EB117">
        <v>0.95200274304636601</v>
      </c>
      <c r="EC117">
        <v>0.94470560443642504</v>
      </c>
      <c r="ED117">
        <v>0.94578504163375698</v>
      </c>
      <c r="EE117">
        <f>SUM(Table1[[#This Row],[ratio_0]:[ratio_9]])</f>
        <v>460</v>
      </c>
      <c r="EF117" s="1">
        <f>(Table1[[#This Row],[predicted_0]]-Table1[[#This Row],[actual_0]])/Table1[[#This Row],[actual_0]]</f>
        <v>-4.7959183673469387E-2</v>
      </c>
      <c r="EG117" s="1">
        <f>(Table1[[#This Row],[predicted_1]]-Table1[[#This Row],[actual_1]])/Table1[[#This Row],[actual_1]]</f>
        <v>3.6123348017621147E-2</v>
      </c>
      <c r="EH117" s="1">
        <f>(Table1[[#This Row],[predicted_2]]-Table1[[#This Row],[actual_2]])/Table1[[#This Row],[actual_2]]</f>
        <v>-0.12015503875968993</v>
      </c>
      <c r="EI117" s="1">
        <f>(Table1[[#This Row],[predicted_3]]-Table1[[#This Row],[actual_3]])/Table1[[#This Row],[actual_3]]</f>
        <v>-7.5247524752475245E-2</v>
      </c>
      <c r="EJ117" s="1">
        <f>(Table1[[#This Row],[predicted_4]]-Table1[[#This Row],[actual_4]])/Table1[[#This Row],[actual_4]]</f>
        <v>-0.1109979633401222</v>
      </c>
      <c r="EK117" s="1">
        <f>(Table1[[#This Row],[predicted_5]]-Table1[[#This Row],[actual_5]])/Table1[[#This Row],[actual_5]]</f>
        <v>-6.9506726457399109E-2</v>
      </c>
      <c r="EL117" s="1">
        <f>(Table1[[#This Row],[predicted_6]]-Table1[[#This Row],[actual_6]])/Table1[[#This Row],[actual_6]]</f>
        <v>-9.3945720250521916E-3</v>
      </c>
      <c r="EM117" s="1">
        <f>(Table1[[#This Row],[predicted_7]]-Table1[[#This Row],[actual_7]])/Table1[[#This Row],[actual_7]]</f>
        <v>1.4591439688715954E-2</v>
      </c>
      <c r="EN117" s="1">
        <f>(Table1[[#This Row],[predicted_8]]-Table1[[#This Row],[actual_8]])/Table1[[#This Row],[actual_8]]</f>
        <v>0.26796714579055442</v>
      </c>
      <c r="EO117" s="1">
        <f>(Table1[[#This Row],[predicted_9]]-Table1[[#This Row],[actual_9]])/Table1[[#This Row],[actual_9]]</f>
        <v>0.10901883052527254</v>
      </c>
      <c r="EP117" s="1">
        <f>1+(Table1[[#This Row],[error_ratio_0]]-EF$2)</f>
        <v>0.95</v>
      </c>
      <c r="EQ117" s="1">
        <f>1+(Table1[[#This Row],[error_ratio_1]]-EG$2)</f>
        <v>1.0343612334801762</v>
      </c>
      <c r="ER117" s="1">
        <f>1+(Table1[[#This Row],[error_ratio_2]]-EH$2)</f>
        <v>0.88468992248062017</v>
      </c>
      <c r="ES117" s="1">
        <f>1+(Table1[[#This Row],[error_ratio_3]]-EI$2)</f>
        <v>0.91485148514851489</v>
      </c>
      <c r="ET117" s="1">
        <f>1+(Table1[[#This Row],[error_ratio_4]]-EJ$2)</f>
        <v>0.88798370672097759</v>
      </c>
      <c r="EU117" s="1">
        <f>1+(Table1[[#This Row],[error_ratio_5]]-EK$2)</f>
        <v>0.929372197309417</v>
      </c>
      <c r="EV117" s="1">
        <f>1+(Table1[[#This Row],[error_ratio_6]]-EL$2)</f>
        <v>0.99686847599164929</v>
      </c>
      <c r="EW117" s="1">
        <f>1+(Table1[[#This Row],[error_ratio_7]]-EM$2)</f>
        <v>1.0126459143968871</v>
      </c>
      <c r="EX117" s="1">
        <f>1+(Table1[[#This Row],[error_ratio_8]]-EN$2)</f>
        <v>1.271047227926078</v>
      </c>
      <c r="EY117" s="1">
        <f>1+(Table1[[#This Row],[error_ratio_9]]-EO$2)</f>
        <v>1.1129831516352824</v>
      </c>
    </row>
    <row r="118" spans="1:155" x14ac:dyDescent="0.75">
      <c r="A118">
        <v>100</v>
      </c>
      <c r="B118">
        <v>10</v>
      </c>
      <c r="C118">
        <v>10</v>
      </c>
      <c r="D118">
        <v>10</v>
      </c>
      <c r="E118">
        <v>10</v>
      </c>
      <c r="F118">
        <v>10</v>
      </c>
      <c r="G118">
        <v>10</v>
      </c>
      <c r="H118">
        <v>100</v>
      </c>
      <c r="I118">
        <v>100</v>
      </c>
      <c r="J118">
        <v>100</v>
      </c>
      <c r="K118">
        <v>1027</v>
      </c>
      <c r="L118">
        <v>1147</v>
      </c>
      <c r="M118">
        <v>1042</v>
      </c>
      <c r="N118">
        <v>1024</v>
      </c>
      <c r="O118">
        <v>893</v>
      </c>
      <c r="P118">
        <v>854</v>
      </c>
      <c r="Q118">
        <v>912</v>
      </c>
      <c r="R118">
        <v>1033</v>
      </c>
      <c r="S118">
        <v>1038</v>
      </c>
      <c r="T118">
        <v>1030</v>
      </c>
      <c r="U118">
        <v>980</v>
      </c>
      <c r="V118">
        <v>1135</v>
      </c>
      <c r="W118">
        <v>1032</v>
      </c>
      <c r="X118">
        <v>1010</v>
      </c>
      <c r="Y118">
        <v>982</v>
      </c>
      <c r="Z118">
        <v>892</v>
      </c>
      <c r="AA118">
        <v>958</v>
      </c>
      <c r="AB118">
        <v>1028</v>
      </c>
      <c r="AC118">
        <v>974</v>
      </c>
      <c r="AD118">
        <v>1009</v>
      </c>
      <c r="AE118">
        <v>974</v>
      </c>
      <c r="AF118">
        <v>1</v>
      </c>
      <c r="AG118">
        <v>2</v>
      </c>
      <c r="AH118">
        <v>0</v>
      </c>
      <c r="AI118">
        <v>0</v>
      </c>
      <c r="AJ118">
        <v>0</v>
      </c>
      <c r="AK118">
        <v>0</v>
      </c>
      <c r="AL118">
        <v>2</v>
      </c>
      <c r="AM118">
        <v>1</v>
      </c>
      <c r="AN118">
        <v>0</v>
      </c>
      <c r="AO118">
        <v>0</v>
      </c>
      <c r="AP118">
        <v>1123</v>
      </c>
      <c r="AQ118">
        <v>2</v>
      </c>
      <c r="AR118">
        <v>3</v>
      </c>
      <c r="AS118">
        <v>0</v>
      </c>
      <c r="AT118">
        <v>1</v>
      </c>
      <c r="AU118">
        <v>1</v>
      </c>
      <c r="AV118">
        <v>2</v>
      </c>
      <c r="AW118">
        <v>3</v>
      </c>
      <c r="AX118">
        <v>0</v>
      </c>
      <c r="AY118">
        <v>4</v>
      </c>
      <c r="AZ118">
        <v>0</v>
      </c>
      <c r="BA118">
        <v>985</v>
      </c>
      <c r="BB118">
        <v>14</v>
      </c>
      <c r="BC118">
        <v>0</v>
      </c>
      <c r="BD118">
        <v>0</v>
      </c>
      <c r="BE118">
        <v>0</v>
      </c>
      <c r="BF118">
        <v>10</v>
      </c>
      <c r="BG118">
        <v>16</v>
      </c>
      <c r="BH118">
        <v>3</v>
      </c>
      <c r="BI118">
        <v>4</v>
      </c>
      <c r="BJ118">
        <v>0</v>
      </c>
      <c r="BK118">
        <v>5</v>
      </c>
      <c r="BL118">
        <v>983</v>
      </c>
      <c r="BM118">
        <v>0</v>
      </c>
      <c r="BN118">
        <v>9</v>
      </c>
      <c r="BO118">
        <v>0</v>
      </c>
      <c r="BP118">
        <v>2</v>
      </c>
      <c r="BQ118">
        <v>6</v>
      </c>
      <c r="BR118">
        <v>1</v>
      </c>
      <c r="BS118">
        <v>1</v>
      </c>
      <c r="BT118">
        <v>12</v>
      </c>
      <c r="BU118">
        <v>29</v>
      </c>
      <c r="BV118">
        <v>0</v>
      </c>
      <c r="BW118">
        <v>890</v>
      </c>
      <c r="BX118">
        <v>0</v>
      </c>
      <c r="BY118">
        <v>7</v>
      </c>
      <c r="BZ118">
        <v>3</v>
      </c>
      <c r="CA118">
        <v>19</v>
      </c>
      <c r="CB118">
        <v>21</v>
      </c>
      <c r="CC118">
        <v>15</v>
      </c>
      <c r="CD118">
        <v>1</v>
      </c>
      <c r="CE118">
        <v>1</v>
      </c>
      <c r="CF118">
        <v>10</v>
      </c>
      <c r="CG118">
        <v>0</v>
      </c>
      <c r="CH118">
        <v>842</v>
      </c>
      <c r="CI118">
        <v>1</v>
      </c>
      <c r="CJ118">
        <v>3</v>
      </c>
      <c r="CK118">
        <v>15</v>
      </c>
      <c r="CL118">
        <v>4</v>
      </c>
      <c r="CM118">
        <v>25</v>
      </c>
      <c r="CN118">
        <v>7</v>
      </c>
      <c r="CO118">
        <v>12</v>
      </c>
      <c r="CP118">
        <v>0</v>
      </c>
      <c r="CQ118">
        <v>1</v>
      </c>
      <c r="CR118">
        <v>2</v>
      </c>
      <c r="CS118">
        <v>903</v>
      </c>
      <c r="CT118">
        <v>0</v>
      </c>
      <c r="CU118">
        <v>8</v>
      </c>
      <c r="CV118">
        <v>0</v>
      </c>
      <c r="CW118">
        <v>0</v>
      </c>
      <c r="CX118">
        <v>3</v>
      </c>
      <c r="CY118">
        <v>5</v>
      </c>
      <c r="CZ118">
        <v>3</v>
      </c>
      <c r="DA118">
        <v>0</v>
      </c>
      <c r="DB118">
        <v>0</v>
      </c>
      <c r="DC118">
        <v>0</v>
      </c>
      <c r="DD118">
        <v>1009</v>
      </c>
      <c r="DE118">
        <v>1</v>
      </c>
      <c r="DF118">
        <v>7</v>
      </c>
      <c r="DG118">
        <v>3</v>
      </c>
      <c r="DH118">
        <v>0</v>
      </c>
      <c r="DI118">
        <v>1</v>
      </c>
      <c r="DJ118">
        <v>2</v>
      </c>
      <c r="DK118">
        <v>0</v>
      </c>
      <c r="DL118">
        <v>0</v>
      </c>
      <c r="DM118">
        <v>0</v>
      </c>
      <c r="DN118">
        <v>2</v>
      </c>
      <c r="DO118">
        <v>962</v>
      </c>
      <c r="DP118">
        <v>4</v>
      </c>
      <c r="DQ118">
        <v>1</v>
      </c>
      <c r="DR118">
        <v>0</v>
      </c>
      <c r="DS118">
        <v>0</v>
      </c>
      <c r="DT118">
        <v>9</v>
      </c>
      <c r="DU118">
        <v>2</v>
      </c>
      <c r="DV118">
        <v>0</v>
      </c>
      <c r="DW118">
        <v>0</v>
      </c>
      <c r="DX118">
        <v>0</v>
      </c>
      <c r="DY118">
        <v>7</v>
      </c>
      <c r="DZ118">
        <v>990</v>
      </c>
      <c r="EA118">
        <v>0.96609999999999996</v>
      </c>
      <c r="EB118">
        <v>0.96701622864102099</v>
      </c>
      <c r="EC118">
        <v>0.96542447712580404</v>
      </c>
      <c r="ED118">
        <v>0.96573129567757199</v>
      </c>
      <c r="EE118">
        <f>SUM(Table1[[#This Row],[ratio_0]:[ratio_9]])</f>
        <v>460</v>
      </c>
      <c r="EF118" s="1">
        <f>(Table1[[#This Row],[predicted_0]]-Table1[[#This Row],[actual_0]])/Table1[[#This Row],[actual_0]]</f>
        <v>4.7959183673469387E-2</v>
      </c>
      <c r="EG118" s="1">
        <f>(Table1[[#This Row],[predicted_1]]-Table1[[#This Row],[actual_1]])/Table1[[#This Row],[actual_1]]</f>
        <v>1.0572687224669603E-2</v>
      </c>
      <c r="EH118" s="1">
        <f>(Table1[[#This Row],[predicted_2]]-Table1[[#This Row],[actual_2]])/Table1[[#This Row],[actual_2]]</f>
        <v>9.6899224806201549E-3</v>
      </c>
      <c r="EI118" s="1">
        <f>(Table1[[#This Row],[predicted_3]]-Table1[[#This Row],[actual_3]])/Table1[[#This Row],[actual_3]]</f>
        <v>1.3861386138613862E-2</v>
      </c>
      <c r="EJ118" s="1">
        <f>(Table1[[#This Row],[predicted_4]]-Table1[[#This Row],[actual_4]])/Table1[[#This Row],[actual_4]]</f>
        <v>-9.0631364562118122E-2</v>
      </c>
      <c r="EK118" s="1">
        <f>(Table1[[#This Row],[predicted_5]]-Table1[[#This Row],[actual_5]])/Table1[[#This Row],[actual_5]]</f>
        <v>-4.2600896860986545E-2</v>
      </c>
      <c r="EL118" s="1">
        <f>(Table1[[#This Row],[predicted_6]]-Table1[[#This Row],[actual_6]])/Table1[[#This Row],[actual_6]]</f>
        <v>-4.8016701461377868E-2</v>
      </c>
      <c r="EM118" s="1">
        <f>(Table1[[#This Row],[predicted_7]]-Table1[[#This Row],[actual_7]])/Table1[[#This Row],[actual_7]]</f>
        <v>4.8638132295719845E-3</v>
      </c>
      <c r="EN118" s="1">
        <f>(Table1[[#This Row],[predicted_8]]-Table1[[#This Row],[actual_8]])/Table1[[#This Row],[actual_8]]</f>
        <v>6.5708418891170434E-2</v>
      </c>
      <c r="EO118" s="1">
        <f>(Table1[[#This Row],[predicted_9]]-Table1[[#This Row],[actual_9]])/Table1[[#This Row],[actual_9]]</f>
        <v>2.0812685827552031E-2</v>
      </c>
      <c r="EP118" s="1">
        <f>1+(Table1[[#This Row],[error_ratio_0]]-EF$2)</f>
        <v>1.0459183673469388</v>
      </c>
      <c r="EQ118" s="1">
        <f>1+(Table1[[#This Row],[error_ratio_1]]-EG$2)</f>
        <v>1.0088105726872247</v>
      </c>
      <c r="ER118" s="1">
        <f>1+(Table1[[#This Row],[error_ratio_2]]-EH$2)</f>
        <v>1.0145348837209303</v>
      </c>
      <c r="ES118" s="1">
        <f>1+(Table1[[#This Row],[error_ratio_3]]-EI$2)</f>
        <v>1.003960396039604</v>
      </c>
      <c r="ET118" s="1">
        <f>1+(Table1[[#This Row],[error_ratio_4]]-EJ$2)</f>
        <v>0.90835030549898166</v>
      </c>
      <c r="EU118" s="1">
        <f>1+(Table1[[#This Row],[error_ratio_5]]-EK$2)</f>
        <v>0.95627802690582964</v>
      </c>
      <c r="EV118" s="1">
        <f>1+(Table1[[#This Row],[error_ratio_6]]-EL$2)</f>
        <v>0.95824634655532359</v>
      </c>
      <c r="EW118" s="1">
        <f>1+(Table1[[#This Row],[error_ratio_7]]-EM$2)</f>
        <v>1.0029182879377432</v>
      </c>
      <c r="EX118" s="1">
        <f>1+(Table1[[#This Row],[error_ratio_8]]-EN$2)</f>
        <v>1.068788501026694</v>
      </c>
      <c r="EY118" s="1">
        <f>1+(Table1[[#This Row],[error_ratio_9]]-EO$2)</f>
        <v>1.0247770069375619</v>
      </c>
    </row>
    <row r="119" spans="1:155" x14ac:dyDescent="0.75">
      <c r="A119">
        <v>10</v>
      </c>
      <c r="B119">
        <v>10</v>
      </c>
      <c r="C119">
        <v>10</v>
      </c>
      <c r="D119">
        <v>10</v>
      </c>
      <c r="E119">
        <v>10</v>
      </c>
      <c r="F119">
        <v>10</v>
      </c>
      <c r="G119">
        <v>10</v>
      </c>
      <c r="H119">
        <v>100</v>
      </c>
      <c r="I119">
        <v>100</v>
      </c>
      <c r="J119">
        <v>100</v>
      </c>
      <c r="K119">
        <v>1022</v>
      </c>
      <c r="L119">
        <v>1115</v>
      </c>
      <c r="M119">
        <v>981</v>
      </c>
      <c r="N119">
        <v>963</v>
      </c>
      <c r="O119">
        <v>986</v>
      </c>
      <c r="P119">
        <v>854</v>
      </c>
      <c r="Q119">
        <v>918</v>
      </c>
      <c r="R119">
        <v>1087</v>
      </c>
      <c r="S119">
        <v>1051</v>
      </c>
      <c r="T119">
        <v>1023</v>
      </c>
      <c r="U119">
        <v>980</v>
      </c>
      <c r="V119">
        <v>1135</v>
      </c>
      <c r="W119">
        <v>1032</v>
      </c>
      <c r="X119">
        <v>1010</v>
      </c>
      <c r="Y119">
        <v>982</v>
      </c>
      <c r="Z119">
        <v>892</v>
      </c>
      <c r="AA119">
        <v>958</v>
      </c>
      <c r="AB119">
        <v>1028</v>
      </c>
      <c r="AC119">
        <v>974</v>
      </c>
      <c r="AD119">
        <v>1009</v>
      </c>
      <c r="AE119">
        <v>962</v>
      </c>
      <c r="AF119">
        <v>0</v>
      </c>
      <c r="AG119">
        <v>1</v>
      </c>
      <c r="AH119">
        <v>0</v>
      </c>
      <c r="AI119">
        <v>0</v>
      </c>
      <c r="AJ119">
        <v>0</v>
      </c>
      <c r="AK119">
        <v>1</v>
      </c>
      <c r="AL119">
        <v>4</v>
      </c>
      <c r="AM119">
        <v>4</v>
      </c>
      <c r="AN119">
        <v>8</v>
      </c>
      <c r="AO119">
        <v>0</v>
      </c>
      <c r="AP119">
        <v>1111</v>
      </c>
      <c r="AQ119">
        <v>1</v>
      </c>
      <c r="AR119">
        <v>7</v>
      </c>
      <c r="AS119">
        <v>0</v>
      </c>
      <c r="AT119">
        <v>0</v>
      </c>
      <c r="AU119">
        <v>6</v>
      </c>
      <c r="AV119">
        <v>3</v>
      </c>
      <c r="AW119">
        <v>6</v>
      </c>
      <c r="AX119">
        <v>1</v>
      </c>
      <c r="AY119">
        <v>15</v>
      </c>
      <c r="AZ119">
        <v>0</v>
      </c>
      <c r="BA119">
        <v>969</v>
      </c>
      <c r="BB119">
        <v>2</v>
      </c>
      <c r="BC119">
        <v>4</v>
      </c>
      <c r="BD119">
        <v>0</v>
      </c>
      <c r="BE119">
        <v>3</v>
      </c>
      <c r="BF119">
        <v>12</v>
      </c>
      <c r="BG119">
        <v>27</v>
      </c>
      <c r="BH119">
        <v>0</v>
      </c>
      <c r="BI119">
        <v>5</v>
      </c>
      <c r="BJ119">
        <v>0</v>
      </c>
      <c r="BK119">
        <v>6</v>
      </c>
      <c r="BL119">
        <v>942</v>
      </c>
      <c r="BM119">
        <v>0</v>
      </c>
      <c r="BN119">
        <v>15</v>
      </c>
      <c r="BO119">
        <v>0</v>
      </c>
      <c r="BP119">
        <v>18</v>
      </c>
      <c r="BQ119">
        <v>21</v>
      </c>
      <c r="BR119">
        <v>3</v>
      </c>
      <c r="BS119">
        <v>0</v>
      </c>
      <c r="BT119">
        <v>0</v>
      </c>
      <c r="BU119">
        <v>0</v>
      </c>
      <c r="BV119">
        <v>0</v>
      </c>
      <c r="BW119">
        <v>948</v>
      </c>
      <c r="BX119">
        <v>0</v>
      </c>
      <c r="BY119">
        <v>3</v>
      </c>
      <c r="BZ119">
        <v>5</v>
      </c>
      <c r="CA119">
        <v>2</v>
      </c>
      <c r="CB119">
        <v>24</v>
      </c>
      <c r="CC119">
        <v>13</v>
      </c>
      <c r="CD119">
        <v>0</v>
      </c>
      <c r="CE119">
        <v>0</v>
      </c>
      <c r="CF119">
        <v>10</v>
      </c>
      <c r="CG119">
        <v>0</v>
      </c>
      <c r="CH119">
        <v>837</v>
      </c>
      <c r="CI119">
        <v>6</v>
      </c>
      <c r="CJ119">
        <v>7</v>
      </c>
      <c r="CK119">
        <v>14</v>
      </c>
      <c r="CL119">
        <v>5</v>
      </c>
      <c r="CM119">
        <v>20</v>
      </c>
      <c r="CN119">
        <v>1</v>
      </c>
      <c r="CO119">
        <v>0</v>
      </c>
      <c r="CP119">
        <v>1</v>
      </c>
      <c r="CQ119">
        <v>23</v>
      </c>
      <c r="CR119">
        <v>2</v>
      </c>
      <c r="CS119">
        <v>899</v>
      </c>
      <c r="CT119">
        <v>0</v>
      </c>
      <c r="CU119">
        <v>7</v>
      </c>
      <c r="CV119">
        <v>5</v>
      </c>
      <c r="CW119">
        <v>0</v>
      </c>
      <c r="CX119">
        <v>1</v>
      </c>
      <c r="CY119">
        <v>4</v>
      </c>
      <c r="CZ119">
        <v>0</v>
      </c>
      <c r="DA119">
        <v>0</v>
      </c>
      <c r="DB119">
        <v>0</v>
      </c>
      <c r="DC119">
        <v>0</v>
      </c>
      <c r="DD119">
        <v>1021</v>
      </c>
      <c r="DE119">
        <v>2</v>
      </c>
      <c r="DF119">
        <v>0</v>
      </c>
      <c r="DG119">
        <v>6</v>
      </c>
      <c r="DH119">
        <v>0</v>
      </c>
      <c r="DI119">
        <v>0</v>
      </c>
      <c r="DJ119">
        <v>0</v>
      </c>
      <c r="DK119">
        <v>0</v>
      </c>
      <c r="DL119">
        <v>0</v>
      </c>
      <c r="DM119">
        <v>0</v>
      </c>
      <c r="DN119">
        <v>2</v>
      </c>
      <c r="DO119">
        <v>963</v>
      </c>
      <c r="DP119">
        <v>3</v>
      </c>
      <c r="DQ119">
        <v>1</v>
      </c>
      <c r="DR119">
        <v>2</v>
      </c>
      <c r="DS119">
        <v>0</v>
      </c>
      <c r="DT119">
        <v>1</v>
      </c>
      <c r="DU119">
        <v>11</v>
      </c>
      <c r="DV119">
        <v>0</v>
      </c>
      <c r="DW119">
        <v>0</v>
      </c>
      <c r="DX119">
        <v>15</v>
      </c>
      <c r="DY119">
        <v>5</v>
      </c>
      <c r="DZ119">
        <v>974</v>
      </c>
      <c r="EA119">
        <v>0.96260000000000001</v>
      </c>
      <c r="EB119">
        <v>0.963217613632391</v>
      </c>
      <c r="EC119">
        <v>0.96214542020011795</v>
      </c>
      <c r="ED119">
        <v>0.96220845789295095</v>
      </c>
      <c r="EE119">
        <f>SUM(Table1[[#This Row],[ratio_0]:[ratio_9]])</f>
        <v>370</v>
      </c>
      <c r="EF119" s="1">
        <f>(Table1[[#This Row],[predicted_0]]-Table1[[#This Row],[actual_0]])/Table1[[#This Row],[actual_0]]</f>
        <v>4.2857142857142858E-2</v>
      </c>
      <c r="EG119" s="1">
        <f>(Table1[[#This Row],[predicted_1]]-Table1[[#This Row],[actual_1]])/Table1[[#This Row],[actual_1]]</f>
        <v>-1.7621145374449341E-2</v>
      </c>
      <c r="EH119" s="1">
        <f>(Table1[[#This Row],[predicted_2]]-Table1[[#This Row],[actual_2]])/Table1[[#This Row],[actual_2]]</f>
        <v>-4.9418604651162788E-2</v>
      </c>
      <c r="EI119" s="1">
        <f>(Table1[[#This Row],[predicted_3]]-Table1[[#This Row],[actual_3]])/Table1[[#This Row],[actual_3]]</f>
        <v>-4.6534653465346534E-2</v>
      </c>
      <c r="EJ119" s="1">
        <f>(Table1[[#This Row],[predicted_4]]-Table1[[#This Row],[actual_4]])/Table1[[#This Row],[actual_4]]</f>
        <v>4.0733197556008143E-3</v>
      </c>
      <c r="EK119" s="1">
        <f>(Table1[[#This Row],[predicted_5]]-Table1[[#This Row],[actual_5]])/Table1[[#This Row],[actual_5]]</f>
        <v>-4.2600896860986545E-2</v>
      </c>
      <c r="EL119" s="1">
        <f>(Table1[[#This Row],[predicted_6]]-Table1[[#This Row],[actual_6]])/Table1[[#This Row],[actual_6]]</f>
        <v>-4.1753653444676408E-2</v>
      </c>
      <c r="EM119" s="1">
        <f>(Table1[[#This Row],[predicted_7]]-Table1[[#This Row],[actual_7]])/Table1[[#This Row],[actual_7]]</f>
        <v>5.7392996108949414E-2</v>
      </c>
      <c r="EN119" s="1">
        <f>(Table1[[#This Row],[predicted_8]]-Table1[[#This Row],[actual_8]])/Table1[[#This Row],[actual_8]]</f>
        <v>7.9055441478439431E-2</v>
      </c>
      <c r="EO119" s="1">
        <f>(Table1[[#This Row],[predicted_9]]-Table1[[#This Row],[actual_9]])/Table1[[#This Row],[actual_9]]</f>
        <v>1.3875123885034688E-2</v>
      </c>
      <c r="EP119" s="1">
        <f>1+(Table1[[#This Row],[error_ratio_0]]-EF$2)</f>
        <v>1.0408163265306123</v>
      </c>
      <c r="EQ119" s="1">
        <f>1+(Table1[[#This Row],[error_ratio_1]]-EG$2)</f>
        <v>0.98061674008810573</v>
      </c>
      <c r="ER119" s="1">
        <f>1+(Table1[[#This Row],[error_ratio_2]]-EH$2)</f>
        <v>0.95542635658914732</v>
      </c>
      <c r="ES119" s="1">
        <f>1+(Table1[[#This Row],[error_ratio_3]]-EI$2)</f>
        <v>0.94356435643564351</v>
      </c>
      <c r="ET119" s="1">
        <f>1+(Table1[[#This Row],[error_ratio_4]]-EJ$2)</f>
        <v>1.0030549898167007</v>
      </c>
      <c r="EU119" s="1">
        <f>1+(Table1[[#This Row],[error_ratio_5]]-EK$2)</f>
        <v>0.95627802690582964</v>
      </c>
      <c r="EV119" s="1">
        <f>1+(Table1[[#This Row],[error_ratio_6]]-EL$2)</f>
        <v>0.964509394572025</v>
      </c>
      <c r="EW119" s="1">
        <f>1+(Table1[[#This Row],[error_ratio_7]]-EM$2)</f>
        <v>1.0554474708171206</v>
      </c>
      <c r="EX119" s="1">
        <f>1+(Table1[[#This Row],[error_ratio_8]]-EN$2)</f>
        <v>1.0821355236139631</v>
      </c>
      <c r="EY119" s="1">
        <f>1+(Table1[[#This Row],[error_ratio_9]]-EO$2)</f>
        <v>1.0178394449950445</v>
      </c>
    </row>
    <row r="120" spans="1:155" x14ac:dyDescent="0.75">
      <c r="A120">
        <v>100</v>
      </c>
      <c r="B120">
        <v>100</v>
      </c>
      <c r="C120">
        <v>100</v>
      </c>
      <c r="D120">
        <v>100</v>
      </c>
      <c r="E120">
        <v>100</v>
      </c>
      <c r="F120">
        <v>100</v>
      </c>
      <c r="G120">
        <v>100</v>
      </c>
      <c r="H120">
        <v>10</v>
      </c>
      <c r="I120">
        <v>100</v>
      </c>
      <c r="J120">
        <v>100</v>
      </c>
      <c r="K120">
        <v>986</v>
      </c>
      <c r="L120">
        <v>1142</v>
      </c>
      <c r="M120">
        <v>1071</v>
      </c>
      <c r="N120">
        <v>1026</v>
      </c>
      <c r="O120">
        <v>980</v>
      </c>
      <c r="P120">
        <v>906</v>
      </c>
      <c r="Q120">
        <v>946</v>
      </c>
      <c r="R120">
        <v>908</v>
      </c>
      <c r="S120">
        <v>988</v>
      </c>
      <c r="T120">
        <v>1047</v>
      </c>
      <c r="U120">
        <v>980</v>
      </c>
      <c r="V120">
        <v>1135</v>
      </c>
      <c r="W120">
        <v>1032</v>
      </c>
      <c r="X120">
        <v>1010</v>
      </c>
      <c r="Y120">
        <v>982</v>
      </c>
      <c r="Z120">
        <v>892</v>
      </c>
      <c r="AA120">
        <v>958</v>
      </c>
      <c r="AB120">
        <v>1028</v>
      </c>
      <c r="AC120">
        <v>974</v>
      </c>
      <c r="AD120">
        <v>1009</v>
      </c>
      <c r="AE120">
        <v>975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1</v>
      </c>
      <c r="AL120">
        <v>1</v>
      </c>
      <c r="AM120">
        <v>2</v>
      </c>
      <c r="AN120">
        <v>1</v>
      </c>
      <c r="AO120">
        <v>0</v>
      </c>
      <c r="AP120">
        <v>1127</v>
      </c>
      <c r="AQ120">
        <v>1</v>
      </c>
      <c r="AR120">
        <v>1</v>
      </c>
      <c r="AS120">
        <v>0</v>
      </c>
      <c r="AT120">
        <v>3</v>
      </c>
      <c r="AU120">
        <v>2</v>
      </c>
      <c r="AV120">
        <v>0</v>
      </c>
      <c r="AW120">
        <v>1</v>
      </c>
      <c r="AX120">
        <v>0</v>
      </c>
      <c r="AY120">
        <v>0</v>
      </c>
      <c r="AZ120">
        <v>1</v>
      </c>
      <c r="BA120">
        <v>1024</v>
      </c>
      <c r="BB120">
        <v>1</v>
      </c>
      <c r="BC120">
        <v>0</v>
      </c>
      <c r="BD120">
        <v>0</v>
      </c>
      <c r="BE120">
        <v>0</v>
      </c>
      <c r="BF120">
        <v>2</v>
      </c>
      <c r="BG120">
        <v>4</v>
      </c>
      <c r="BH120">
        <v>0</v>
      </c>
      <c r="BI120">
        <v>0</v>
      </c>
      <c r="BJ120">
        <v>0</v>
      </c>
      <c r="BK120">
        <v>2</v>
      </c>
      <c r="BL120">
        <v>1004</v>
      </c>
      <c r="BM120">
        <v>0</v>
      </c>
      <c r="BN120">
        <v>3</v>
      </c>
      <c r="BO120">
        <v>0</v>
      </c>
      <c r="BP120">
        <v>0</v>
      </c>
      <c r="BQ120">
        <v>1</v>
      </c>
      <c r="BR120">
        <v>0</v>
      </c>
      <c r="BS120">
        <v>0</v>
      </c>
      <c r="BT120">
        <v>0</v>
      </c>
      <c r="BU120">
        <v>1</v>
      </c>
      <c r="BV120">
        <v>0</v>
      </c>
      <c r="BW120">
        <v>973</v>
      </c>
      <c r="BX120">
        <v>0</v>
      </c>
      <c r="BY120">
        <v>1</v>
      </c>
      <c r="BZ120">
        <v>0</v>
      </c>
      <c r="CA120">
        <v>0</v>
      </c>
      <c r="CB120">
        <v>7</v>
      </c>
      <c r="CC120">
        <v>1</v>
      </c>
      <c r="CD120">
        <v>0</v>
      </c>
      <c r="CE120">
        <v>0</v>
      </c>
      <c r="CF120">
        <v>4</v>
      </c>
      <c r="CG120">
        <v>0</v>
      </c>
      <c r="CH120">
        <v>885</v>
      </c>
      <c r="CI120">
        <v>1</v>
      </c>
      <c r="CJ120">
        <v>0</v>
      </c>
      <c r="CK120">
        <v>1</v>
      </c>
      <c r="CL120">
        <v>0</v>
      </c>
      <c r="CM120">
        <v>4</v>
      </c>
      <c r="CN120">
        <v>2</v>
      </c>
      <c r="CO120">
        <v>0</v>
      </c>
      <c r="CP120">
        <v>0</v>
      </c>
      <c r="CQ120">
        <v>1</v>
      </c>
      <c r="CR120">
        <v>8</v>
      </c>
      <c r="CS120">
        <v>941</v>
      </c>
      <c r="CT120">
        <v>0</v>
      </c>
      <c r="CU120">
        <v>2</v>
      </c>
      <c r="CV120">
        <v>0</v>
      </c>
      <c r="CW120">
        <v>3</v>
      </c>
      <c r="CX120">
        <v>10</v>
      </c>
      <c r="CY120">
        <v>40</v>
      </c>
      <c r="CZ120">
        <v>14</v>
      </c>
      <c r="DA120">
        <v>3</v>
      </c>
      <c r="DB120">
        <v>4</v>
      </c>
      <c r="DC120">
        <v>0</v>
      </c>
      <c r="DD120">
        <v>904</v>
      </c>
      <c r="DE120">
        <v>11</v>
      </c>
      <c r="DF120">
        <v>39</v>
      </c>
      <c r="DG120">
        <v>2</v>
      </c>
      <c r="DH120">
        <v>0</v>
      </c>
      <c r="DI120">
        <v>1</v>
      </c>
      <c r="DJ120">
        <v>1</v>
      </c>
      <c r="DK120">
        <v>0</v>
      </c>
      <c r="DL120">
        <v>1</v>
      </c>
      <c r="DM120">
        <v>0</v>
      </c>
      <c r="DN120">
        <v>1</v>
      </c>
      <c r="DO120">
        <v>965</v>
      </c>
      <c r="DP120">
        <v>3</v>
      </c>
      <c r="DQ120">
        <v>1</v>
      </c>
      <c r="DR120">
        <v>2</v>
      </c>
      <c r="DS120">
        <v>2</v>
      </c>
      <c r="DT120">
        <v>1</v>
      </c>
      <c r="DU120">
        <v>3</v>
      </c>
      <c r="DV120">
        <v>2</v>
      </c>
      <c r="DW120">
        <v>0</v>
      </c>
      <c r="DX120">
        <v>0</v>
      </c>
      <c r="DY120">
        <v>1</v>
      </c>
      <c r="DZ120">
        <v>997</v>
      </c>
      <c r="EA120">
        <v>0.97950000000000004</v>
      </c>
      <c r="EB120">
        <v>0.97993350389636202</v>
      </c>
      <c r="EC120">
        <v>0.97976433853636202</v>
      </c>
      <c r="ED120">
        <v>0.979399141063376</v>
      </c>
      <c r="EE120">
        <f>SUM(Table1[[#This Row],[ratio_0]:[ratio_9]])</f>
        <v>910</v>
      </c>
      <c r="EF120" s="1">
        <f>(Table1[[#This Row],[predicted_0]]-Table1[[#This Row],[actual_0]])/Table1[[#This Row],[actual_0]]</f>
        <v>6.1224489795918364E-3</v>
      </c>
      <c r="EG120" s="1">
        <f>(Table1[[#This Row],[predicted_1]]-Table1[[#This Row],[actual_1]])/Table1[[#This Row],[actual_1]]</f>
        <v>6.1674008810572688E-3</v>
      </c>
      <c r="EH120" s="1">
        <f>(Table1[[#This Row],[predicted_2]]-Table1[[#This Row],[actual_2]])/Table1[[#This Row],[actual_2]]</f>
        <v>3.7790697674418602E-2</v>
      </c>
      <c r="EI120" s="1">
        <f>(Table1[[#This Row],[predicted_3]]-Table1[[#This Row],[actual_3]])/Table1[[#This Row],[actual_3]]</f>
        <v>1.5841584158415842E-2</v>
      </c>
      <c r="EJ120" s="1">
        <f>(Table1[[#This Row],[predicted_4]]-Table1[[#This Row],[actual_4]])/Table1[[#This Row],[actual_4]]</f>
        <v>-2.0366598778004071E-3</v>
      </c>
      <c r="EK120" s="1">
        <f>(Table1[[#This Row],[predicted_5]]-Table1[[#This Row],[actual_5]])/Table1[[#This Row],[actual_5]]</f>
        <v>1.5695067264573991E-2</v>
      </c>
      <c r="EL120" s="1">
        <f>(Table1[[#This Row],[predicted_6]]-Table1[[#This Row],[actual_6]])/Table1[[#This Row],[actual_6]]</f>
        <v>-1.2526096033402923E-2</v>
      </c>
      <c r="EM120" s="1">
        <f>(Table1[[#This Row],[predicted_7]]-Table1[[#This Row],[actual_7]])/Table1[[#This Row],[actual_7]]</f>
        <v>-0.11673151750972763</v>
      </c>
      <c r="EN120" s="1">
        <f>(Table1[[#This Row],[predicted_8]]-Table1[[#This Row],[actual_8]])/Table1[[#This Row],[actual_8]]</f>
        <v>1.4373716632443531E-2</v>
      </c>
      <c r="EO120" s="1">
        <f>(Table1[[#This Row],[predicted_9]]-Table1[[#This Row],[actual_9]])/Table1[[#This Row],[actual_9]]</f>
        <v>3.7661050545094152E-2</v>
      </c>
      <c r="EP120" s="1">
        <f>1+(Table1[[#This Row],[error_ratio_0]]-EF$2)</f>
        <v>1.0040816326530613</v>
      </c>
      <c r="EQ120" s="1">
        <f>1+(Table1[[#This Row],[error_ratio_1]]-EG$2)</f>
        <v>1.0044052863436124</v>
      </c>
      <c r="ER120" s="1">
        <f>1+(Table1[[#This Row],[error_ratio_2]]-EH$2)</f>
        <v>1.0426356589147288</v>
      </c>
      <c r="ES120" s="1">
        <f>1+(Table1[[#This Row],[error_ratio_3]]-EI$2)</f>
        <v>1.0059405940594059</v>
      </c>
      <c r="ET120" s="1">
        <f>1+(Table1[[#This Row],[error_ratio_4]]-EJ$2)</f>
        <v>0.9969450101832994</v>
      </c>
      <c r="EU120" s="1">
        <f>1+(Table1[[#This Row],[error_ratio_5]]-EK$2)</f>
        <v>1.0145739910313902</v>
      </c>
      <c r="EV120" s="1">
        <f>1+(Table1[[#This Row],[error_ratio_6]]-EL$2)</f>
        <v>0.99373695198329859</v>
      </c>
      <c r="EW120" s="1">
        <f>1+(Table1[[#This Row],[error_ratio_7]]-EM$2)</f>
        <v>0.88132295719844356</v>
      </c>
      <c r="EX120" s="1">
        <f>1+(Table1[[#This Row],[error_ratio_8]]-EN$2)</f>
        <v>1.017453798767967</v>
      </c>
      <c r="EY120" s="1">
        <f>1+(Table1[[#This Row],[error_ratio_9]]-EO$2)</f>
        <v>1.041625371655104</v>
      </c>
    </row>
    <row r="121" spans="1:155" x14ac:dyDescent="0.75">
      <c r="A121">
        <v>10</v>
      </c>
      <c r="B121">
        <v>100</v>
      </c>
      <c r="C121">
        <v>100</v>
      </c>
      <c r="D121">
        <v>100</v>
      </c>
      <c r="E121">
        <v>100</v>
      </c>
      <c r="F121">
        <v>100</v>
      </c>
      <c r="G121">
        <v>100</v>
      </c>
      <c r="H121">
        <v>10</v>
      </c>
      <c r="I121">
        <v>100</v>
      </c>
      <c r="J121">
        <v>100</v>
      </c>
      <c r="K121">
        <v>965</v>
      </c>
      <c r="L121">
        <v>1141</v>
      </c>
      <c r="M121">
        <v>1073</v>
      </c>
      <c r="N121">
        <v>1003</v>
      </c>
      <c r="O121">
        <v>989</v>
      </c>
      <c r="P121">
        <v>906</v>
      </c>
      <c r="Q121">
        <v>958</v>
      </c>
      <c r="R121">
        <v>947</v>
      </c>
      <c r="S121">
        <v>987</v>
      </c>
      <c r="T121">
        <v>1031</v>
      </c>
      <c r="U121">
        <v>980</v>
      </c>
      <c r="V121">
        <v>1135</v>
      </c>
      <c r="W121">
        <v>1032</v>
      </c>
      <c r="X121">
        <v>1010</v>
      </c>
      <c r="Y121">
        <v>982</v>
      </c>
      <c r="Z121">
        <v>892</v>
      </c>
      <c r="AA121">
        <v>958</v>
      </c>
      <c r="AB121">
        <v>1028</v>
      </c>
      <c r="AC121">
        <v>974</v>
      </c>
      <c r="AD121">
        <v>1009</v>
      </c>
      <c r="AE121">
        <v>958</v>
      </c>
      <c r="AF121">
        <v>1</v>
      </c>
      <c r="AG121">
        <v>3</v>
      </c>
      <c r="AH121">
        <v>0</v>
      </c>
      <c r="AI121">
        <v>3</v>
      </c>
      <c r="AJ121">
        <v>4</v>
      </c>
      <c r="AK121">
        <v>5</v>
      </c>
      <c r="AL121">
        <v>1</v>
      </c>
      <c r="AM121">
        <v>4</v>
      </c>
      <c r="AN121">
        <v>1</v>
      </c>
      <c r="AO121">
        <v>0</v>
      </c>
      <c r="AP121">
        <v>1131</v>
      </c>
      <c r="AQ121">
        <v>0</v>
      </c>
      <c r="AR121">
        <v>0</v>
      </c>
      <c r="AS121">
        <v>0</v>
      </c>
      <c r="AT121">
        <v>1</v>
      </c>
      <c r="AU121">
        <v>1</v>
      </c>
      <c r="AV121">
        <v>0</v>
      </c>
      <c r="AW121">
        <v>1</v>
      </c>
      <c r="AX121">
        <v>1</v>
      </c>
      <c r="AY121">
        <v>1</v>
      </c>
      <c r="AZ121">
        <v>2</v>
      </c>
      <c r="BA121">
        <v>1023</v>
      </c>
      <c r="BB121">
        <v>0</v>
      </c>
      <c r="BC121">
        <v>1</v>
      </c>
      <c r="BD121">
        <v>0</v>
      </c>
      <c r="BE121">
        <v>0</v>
      </c>
      <c r="BF121">
        <v>3</v>
      </c>
      <c r="BG121">
        <v>2</v>
      </c>
      <c r="BH121">
        <v>0</v>
      </c>
      <c r="BI121">
        <v>0</v>
      </c>
      <c r="BJ121">
        <v>0</v>
      </c>
      <c r="BK121">
        <v>4</v>
      </c>
      <c r="BL121">
        <v>996</v>
      </c>
      <c r="BM121">
        <v>0</v>
      </c>
      <c r="BN121">
        <v>5</v>
      </c>
      <c r="BO121">
        <v>0</v>
      </c>
      <c r="BP121">
        <v>1</v>
      </c>
      <c r="BQ121">
        <v>3</v>
      </c>
      <c r="BR121">
        <v>1</v>
      </c>
      <c r="BS121">
        <v>0</v>
      </c>
      <c r="BT121">
        <v>0</v>
      </c>
      <c r="BU121">
        <v>2</v>
      </c>
      <c r="BV121">
        <v>0</v>
      </c>
      <c r="BW121">
        <v>970</v>
      </c>
      <c r="BX121">
        <v>0</v>
      </c>
      <c r="BY121">
        <v>2</v>
      </c>
      <c r="BZ121">
        <v>0</v>
      </c>
      <c r="CA121">
        <v>1</v>
      </c>
      <c r="CB121">
        <v>7</v>
      </c>
      <c r="CC121">
        <v>0</v>
      </c>
      <c r="CD121">
        <v>0</v>
      </c>
      <c r="CE121">
        <v>1</v>
      </c>
      <c r="CF121">
        <v>1</v>
      </c>
      <c r="CG121">
        <v>0</v>
      </c>
      <c r="CH121">
        <v>887</v>
      </c>
      <c r="CI121">
        <v>2</v>
      </c>
      <c r="CJ121">
        <v>0</v>
      </c>
      <c r="CK121">
        <v>0</v>
      </c>
      <c r="CL121">
        <v>1</v>
      </c>
      <c r="CM121">
        <v>2</v>
      </c>
      <c r="CN121">
        <v>1</v>
      </c>
      <c r="CO121">
        <v>0</v>
      </c>
      <c r="CP121">
        <v>1</v>
      </c>
      <c r="CQ121">
        <v>4</v>
      </c>
      <c r="CR121">
        <v>1</v>
      </c>
      <c r="CS121">
        <v>947</v>
      </c>
      <c r="CT121">
        <v>0</v>
      </c>
      <c r="CU121">
        <v>2</v>
      </c>
      <c r="CV121">
        <v>0</v>
      </c>
      <c r="CW121">
        <v>1</v>
      </c>
      <c r="CX121">
        <v>5</v>
      </c>
      <c r="CY121">
        <v>38</v>
      </c>
      <c r="CZ121">
        <v>5</v>
      </c>
      <c r="DA121">
        <v>4</v>
      </c>
      <c r="DB121">
        <v>2</v>
      </c>
      <c r="DC121">
        <v>0</v>
      </c>
      <c r="DD121">
        <v>940</v>
      </c>
      <c r="DE121">
        <v>5</v>
      </c>
      <c r="DF121">
        <v>28</v>
      </c>
      <c r="DG121">
        <v>2</v>
      </c>
      <c r="DH121">
        <v>0</v>
      </c>
      <c r="DI121">
        <v>2</v>
      </c>
      <c r="DJ121">
        <v>0</v>
      </c>
      <c r="DK121">
        <v>0</v>
      </c>
      <c r="DL121">
        <v>2</v>
      </c>
      <c r="DM121">
        <v>0</v>
      </c>
      <c r="DN121">
        <v>1</v>
      </c>
      <c r="DO121">
        <v>965</v>
      </c>
      <c r="DP121">
        <v>2</v>
      </c>
      <c r="DQ121">
        <v>1</v>
      </c>
      <c r="DR121">
        <v>1</v>
      </c>
      <c r="DS121">
        <v>0</v>
      </c>
      <c r="DT121">
        <v>0</v>
      </c>
      <c r="DU121">
        <v>7</v>
      </c>
      <c r="DV121">
        <v>4</v>
      </c>
      <c r="DW121">
        <v>1</v>
      </c>
      <c r="DX121">
        <v>1</v>
      </c>
      <c r="DY121">
        <v>4</v>
      </c>
      <c r="DZ121">
        <v>990</v>
      </c>
      <c r="EA121">
        <v>0.98070000000000002</v>
      </c>
      <c r="EB121">
        <v>0.98092908583997396</v>
      </c>
      <c r="EC121">
        <v>0.98084629953125002</v>
      </c>
      <c r="ED121">
        <v>0.98065983698464998</v>
      </c>
      <c r="EE121">
        <f>SUM(Table1[[#This Row],[ratio_0]:[ratio_9]])</f>
        <v>820</v>
      </c>
      <c r="EF121" s="1">
        <f>(Table1[[#This Row],[predicted_0]]-Table1[[#This Row],[actual_0]])/Table1[[#This Row],[actual_0]]</f>
        <v>-1.5306122448979591E-2</v>
      </c>
      <c r="EG121" s="1">
        <f>(Table1[[#This Row],[predicted_1]]-Table1[[#This Row],[actual_1]])/Table1[[#This Row],[actual_1]]</f>
        <v>5.2863436123348016E-3</v>
      </c>
      <c r="EH121" s="1">
        <f>(Table1[[#This Row],[predicted_2]]-Table1[[#This Row],[actual_2]])/Table1[[#This Row],[actual_2]]</f>
        <v>3.9728682170542637E-2</v>
      </c>
      <c r="EI121" s="1">
        <f>(Table1[[#This Row],[predicted_3]]-Table1[[#This Row],[actual_3]])/Table1[[#This Row],[actual_3]]</f>
        <v>-6.9306930693069308E-3</v>
      </c>
      <c r="EJ121" s="1">
        <f>(Table1[[#This Row],[predicted_4]]-Table1[[#This Row],[actual_4]])/Table1[[#This Row],[actual_4]]</f>
        <v>7.1283095723014261E-3</v>
      </c>
      <c r="EK121" s="1">
        <f>(Table1[[#This Row],[predicted_5]]-Table1[[#This Row],[actual_5]])/Table1[[#This Row],[actual_5]]</f>
        <v>1.5695067264573991E-2</v>
      </c>
      <c r="EL121" s="1">
        <f>(Table1[[#This Row],[predicted_6]]-Table1[[#This Row],[actual_6]])/Table1[[#This Row],[actual_6]]</f>
        <v>0</v>
      </c>
      <c r="EM121" s="1">
        <f>(Table1[[#This Row],[predicted_7]]-Table1[[#This Row],[actual_7]])/Table1[[#This Row],[actual_7]]</f>
        <v>-7.8793774319066145E-2</v>
      </c>
      <c r="EN121" s="1">
        <f>(Table1[[#This Row],[predicted_8]]-Table1[[#This Row],[actual_8]])/Table1[[#This Row],[actual_8]]</f>
        <v>1.3347022587268994E-2</v>
      </c>
      <c r="EO121" s="1">
        <f>(Table1[[#This Row],[predicted_9]]-Table1[[#This Row],[actual_9]])/Table1[[#This Row],[actual_9]]</f>
        <v>2.1803766105054509E-2</v>
      </c>
      <c r="EP121" s="1">
        <f>1+(Table1[[#This Row],[error_ratio_0]]-EF$2)</f>
        <v>0.98265306122448981</v>
      </c>
      <c r="EQ121" s="1">
        <f>1+(Table1[[#This Row],[error_ratio_1]]-EG$2)</f>
        <v>1.0035242290748898</v>
      </c>
      <c r="ER121" s="1">
        <f>1+(Table1[[#This Row],[error_ratio_2]]-EH$2)</f>
        <v>1.0445736434108528</v>
      </c>
      <c r="ES121" s="1">
        <f>1+(Table1[[#This Row],[error_ratio_3]]-EI$2)</f>
        <v>0.98316831683168315</v>
      </c>
      <c r="ET121" s="1">
        <f>1+(Table1[[#This Row],[error_ratio_4]]-EJ$2)</f>
        <v>1.0061099796334012</v>
      </c>
      <c r="EU121" s="1">
        <f>1+(Table1[[#This Row],[error_ratio_5]]-EK$2)</f>
        <v>1.0145739910313902</v>
      </c>
      <c r="EV121" s="1">
        <f>1+(Table1[[#This Row],[error_ratio_6]]-EL$2)</f>
        <v>1.0062630480167014</v>
      </c>
      <c r="EW121" s="1">
        <f>1+(Table1[[#This Row],[error_ratio_7]]-EM$2)</f>
        <v>0.91926070038910512</v>
      </c>
      <c r="EX121" s="1">
        <f>1+(Table1[[#This Row],[error_ratio_8]]-EN$2)</f>
        <v>1.0164271047227926</v>
      </c>
      <c r="EY121" s="1">
        <f>1+(Table1[[#This Row],[error_ratio_9]]-EO$2)</f>
        <v>1.0257680872150645</v>
      </c>
    </row>
    <row r="122" spans="1:155" x14ac:dyDescent="0.75">
      <c r="A122">
        <v>100</v>
      </c>
      <c r="B122">
        <v>10</v>
      </c>
      <c r="C122">
        <v>100</v>
      </c>
      <c r="D122">
        <v>100</v>
      </c>
      <c r="E122">
        <v>100</v>
      </c>
      <c r="F122">
        <v>100</v>
      </c>
      <c r="G122">
        <v>100</v>
      </c>
      <c r="H122">
        <v>10</v>
      </c>
      <c r="I122">
        <v>100</v>
      </c>
      <c r="J122">
        <v>100</v>
      </c>
      <c r="K122">
        <v>993</v>
      </c>
      <c r="L122">
        <v>1128</v>
      </c>
      <c r="M122">
        <v>1058</v>
      </c>
      <c r="N122">
        <v>1022</v>
      </c>
      <c r="O122">
        <v>991</v>
      </c>
      <c r="P122">
        <v>889</v>
      </c>
      <c r="Q122">
        <v>959</v>
      </c>
      <c r="R122">
        <v>969</v>
      </c>
      <c r="S122">
        <v>977</v>
      </c>
      <c r="T122">
        <v>1014</v>
      </c>
      <c r="U122">
        <v>980</v>
      </c>
      <c r="V122">
        <v>1135</v>
      </c>
      <c r="W122">
        <v>1032</v>
      </c>
      <c r="X122">
        <v>1010</v>
      </c>
      <c r="Y122">
        <v>982</v>
      </c>
      <c r="Z122">
        <v>892</v>
      </c>
      <c r="AA122">
        <v>958</v>
      </c>
      <c r="AB122">
        <v>1028</v>
      </c>
      <c r="AC122">
        <v>974</v>
      </c>
      <c r="AD122">
        <v>1009</v>
      </c>
      <c r="AE122">
        <v>976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2</v>
      </c>
      <c r="AL122">
        <v>1</v>
      </c>
      <c r="AM122">
        <v>1</v>
      </c>
      <c r="AN122">
        <v>0</v>
      </c>
      <c r="AO122">
        <v>0</v>
      </c>
      <c r="AP122">
        <v>1121</v>
      </c>
      <c r="AQ122">
        <v>4</v>
      </c>
      <c r="AR122">
        <v>4</v>
      </c>
      <c r="AS122">
        <v>0</v>
      </c>
      <c r="AT122">
        <v>1</v>
      </c>
      <c r="AU122">
        <v>2</v>
      </c>
      <c r="AV122">
        <v>0</v>
      </c>
      <c r="AW122">
        <v>2</v>
      </c>
      <c r="AX122">
        <v>1</v>
      </c>
      <c r="AY122">
        <v>3</v>
      </c>
      <c r="AZ122">
        <v>1</v>
      </c>
      <c r="BA122">
        <v>1021</v>
      </c>
      <c r="BB122">
        <v>0</v>
      </c>
      <c r="BC122">
        <v>3</v>
      </c>
      <c r="BD122">
        <v>0</v>
      </c>
      <c r="BE122">
        <v>0</v>
      </c>
      <c r="BF122">
        <v>1</v>
      </c>
      <c r="BG122">
        <v>3</v>
      </c>
      <c r="BH122">
        <v>0</v>
      </c>
      <c r="BI122">
        <v>0</v>
      </c>
      <c r="BJ122">
        <v>0</v>
      </c>
      <c r="BK122">
        <v>2</v>
      </c>
      <c r="BL122">
        <v>998</v>
      </c>
      <c r="BM122">
        <v>0</v>
      </c>
      <c r="BN122">
        <v>3</v>
      </c>
      <c r="BO122">
        <v>0</v>
      </c>
      <c r="BP122">
        <v>2</v>
      </c>
      <c r="BQ122">
        <v>2</v>
      </c>
      <c r="BR122">
        <v>3</v>
      </c>
      <c r="BS122">
        <v>0</v>
      </c>
      <c r="BT122">
        <v>0</v>
      </c>
      <c r="BU122">
        <v>1</v>
      </c>
      <c r="BV122">
        <v>0</v>
      </c>
      <c r="BW122">
        <v>975</v>
      </c>
      <c r="BX122">
        <v>0</v>
      </c>
      <c r="BY122">
        <v>2</v>
      </c>
      <c r="BZ122">
        <v>0</v>
      </c>
      <c r="CA122">
        <v>0</v>
      </c>
      <c r="CB122">
        <v>4</v>
      </c>
      <c r="CC122">
        <v>2</v>
      </c>
      <c r="CD122">
        <v>0</v>
      </c>
      <c r="CE122">
        <v>1</v>
      </c>
      <c r="CF122">
        <v>7</v>
      </c>
      <c r="CG122">
        <v>0</v>
      </c>
      <c r="CH122">
        <v>878</v>
      </c>
      <c r="CI122">
        <v>3</v>
      </c>
      <c r="CJ122">
        <v>1</v>
      </c>
      <c r="CK122">
        <v>0</v>
      </c>
      <c r="CL122">
        <v>0</v>
      </c>
      <c r="CM122">
        <v>4</v>
      </c>
      <c r="CN122">
        <v>2</v>
      </c>
      <c r="CO122">
        <v>0</v>
      </c>
      <c r="CP122">
        <v>0</v>
      </c>
      <c r="CQ122">
        <v>1</v>
      </c>
      <c r="CR122">
        <v>2</v>
      </c>
      <c r="CS122">
        <v>949</v>
      </c>
      <c r="CT122">
        <v>0</v>
      </c>
      <c r="CU122">
        <v>0</v>
      </c>
      <c r="CV122">
        <v>0</v>
      </c>
      <c r="CW122">
        <v>1</v>
      </c>
      <c r="CX122">
        <v>4</v>
      </c>
      <c r="CY122">
        <v>26</v>
      </c>
      <c r="CZ122">
        <v>12</v>
      </c>
      <c r="DA122">
        <v>5</v>
      </c>
      <c r="DB122">
        <v>3</v>
      </c>
      <c r="DC122">
        <v>0</v>
      </c>
      <c r="DD122">
        <v>960</v>
      </c>
      <c r="DE122">
        <v>5</v>
      </c>
      <c r="DF122">
        <v>12</v>
      </c>
      <c r="DG122">
        <v>4</v>
      </c>
      <c r="DH122">
        <v>0</v>
      </c>
      <c r="DI122">
        <v>3</v>
      </c>
      <c r="DJ122">
        <v>0</v>
      </c>
      <c r="DK122">
        <v>0</v>
      </c>
      <c r="DL122">
        <v>1</v>
      </c>
      <c r="DM122">
        <v>0</v>
      </c>
      <c r="DN122">
        <v>1</v>
      </c>
      <c r="DO122">
        <v>963</v>
      </c>
      <c r="DP122">
        <v>2</v>
      </c>
      <c r="DQ122">
        <v>3</v>
      </c>
      <c r="DR122">
        <v>0</v>
      </c>
      <c r="DS122">
        <v>0</v>
      </c>
      <c r="DT122">
        <v>1</v>
      </c>
      <c r="DU122">
        <v>7</v>
      </c>
      <c r="DV122">
        <v>1</v>
      </c>
      <c r="DW122">
        <v>1</v>
      </c>
      <c r="DX122">
        <v>3</v>
      </c>
      <c r="DY122">
        <v>1</v>
      </c>
      <c r="DZ122">
        <v>992</v>
      </c>
      <c r="EA122">
        <v>0.98329999999999995</v>
      </c>
      <c r="EB122">
        <v>0.98339594285333798</v>
      </c>
      <c r="EC122">
        <v>0.98345356547387597</v>
      </c>
      <c r="ED122">
        <v>0.98331377203495096</v>
      </c>
      <c r="EE122">
        <f>SUM(Table1[[#This Row],[ratio_0]:[ratio_9]])</f>
        <v>820</v>
      </c>
      <c r="EF122" s="1">
        <f>(Table1[[#This Row],[predicted_0]]-Table1[[#This Row],[actual_0]])/Table1[[#This Row],[actual_0]]</f>
        <v>1.3265306122448979E-2</v>
      </c>
      <c r="EG122" s="1">
        <f>(Table1[[#This Row],[predicted_1]]-Table1[[#This Row],[actual_1]])/Table1[[#This Row],[actual_1]]</f>
        <v>-6.1674008810572688E-3</v>
      </c>
      <c r="EH122" s="1">
        <f>(Table1[[#This Row],[predicted_2]]-Table1[[#This Row],[actual_2]])/Table1[[#This Row],[actual_2]]</f>
        <v>2.5193798449612403E-2</v>
      </c>
      <c r="EI122" s="1">
        <f>(Table1[[#This Row],[predicted_3]]-Table1[[#This Row],[actual_3]])/Table1[[#This Row],[actual_3]]</f>
        <v>1.1881188118811881E-2</v>
      </c>
      <c r="EJ122" s="1">
        <f>(Table1[[#This Row],[predicted_4]]-Table1[[#This Row],[actual_4]])/Table1[[#This Row],[actual_4]]</f>
        <v>9.1649694501018328E-3</v>
      </c>
      <c r="EK122" s="1">
        <f>(Table1[[#This Row],[predicted_5]]-Table1[[#This Row],[actual_5]])/Table1[[#This Row],[actual_5]]</f>
        <v>-3.3632286995515697E-3</v>
      </c>
      <c r="EL122" s="1">
        <f>(Table1[[#This Row],[predicted_6]]-Table1[[#This Row],[actual_6]])/Table1[[#This Row],[actual_6]]</f>
        <v>1.0438413361169101E-3</v>
      </c>
      <c r="EM122" s="1">
        <f>(Table1[[#This Row],[predicted_7]]-Table1[[#This Row],[actual_7]])/Table1[[#This Row],[actual_7]]</f>
        <v>-5.7392996108949414E-2</v>
      </c>
      <c r="EN122" s="1">
        <f>(Table1[[#This Row],[predicted_8]]-Table1[[#This Row],[actual_8]])/Table1[[#This Row],[actual_8]]</f>
        <v>3.0800821355236141E-3</v>
      </c>
      <c r="EO122" s="1">
        <f>(Table1[[#This Row],[predicted_9]]-Table1[[#This Row],[actual_9]])/Table1[[#This Row],[actual_9]]</f>
        <v>4.9554013875123884E-3</v>
      </c>
      <c r="EP122" s="1">
        <f>1+(Table1[[#This Row],[error_ratio_0]]-EF$2)</f>
        <v>1.0112244897959184</v>
      </c>
      <c r="EQ122" s="1">
        <f>1+(Table1[[#This Row],[error_ratio_1]]-EG$2)</f>
        <v>0.99207048458149782</v>
      </c>
      <c r="ER122" s="1">
        <f>1+(Table1[[#This Row],[error_ratio_2]]-EH$2)</f>
        <v>1.0300387596899225</v>
      </c>
      <c r="ES122" s="1">
        <f>1+(Table1[[#This Row],[error_ratio_3]]-EI$2)</f>
        <v>1.001980198019802</v>
      </c>
      <c r="ET122" s="1">
        <f>1+(Table1[[#This Row],[error_ratio_4]]-EJ$2)</f>
        <v>1.0081466395112015</v>
      </c>
      <c r="EU122" s="1">
        <f>1+(Table1[[#This Row],[error_ratio_5]]-EK$2)</f>
        <v>0.99551569506726456</v>
      </c>
      <c r="EV122" s="1">
        <f>1+(Table1[[#This Row],[error_ratio_6]]-EL$2)</f>
        <v>1.0073068893528183</v>
      </c>
      <c r="EW122" s="1">
        <f>1+(Table1[[#This Row],[error_ratio_7]]-EM$2)</f>
        <v>0.94066147859922178</v>
      </c>
      <c r="EX122" s="1">
        <f>1+(Table1[[#This Row],[error_ratio_8]]-EN$2)</f>
        <v>1.0061601642710472</v>
      </c>
      <c r="EY122" s="1">
        <f>1+(Table1[[#This Row],[error_ratio_9]]-EO$2)</f>
        <v>1.0089197224975224</v>
      </c>
    </row>
    <row r="123" spans="1:155" x14ac:dyDescent="0.75">
      <c r="A123">
        <v>10</v>
      </c>
      <c r="B123">
        <v>10</v>
      </c>
      <c r="C123">
        <v>100</v>
      </c>
      <c r="D123">
        <v>100</v>
      </c>
      <c r="E123">
        <v>100</v>
      </c>
      <c r="F123">
        <v>100</v>
      </c>
      <c r="G123">
        <v>100</v>
      </c>
      <c r="H123">
        <v>10</v>
      </c>
      <c r="I123">
        <v>100</v>
      </c>
      <c r="J123">
        <v>100</v>
      </c>
      <c r="K123">
        <v>974</v>
      </c>
      <c r="L123">
        <v>1016</v>
      </c>
      <c r="M123">
        <v>1028</v>
      </c>
      <c r="N123">
        <v>1052</v>
      </c>
      <c r="O123">
        <v>982</v>
      </c>
      <c r="P123">
        <v>912</v>
      </c>
      <c r="Q123">
        <v>945</v>
      </c>
      <c r="R123">
        <v>992</v>
      </c>
      <c r="S123">
        <v>1075</v>
      </c>
      <c r="T123">
        <v>1024</v>
      </c>
      <c r="U123">
        <v>980</v>
      </c>
      <c r="V123">
        <v>1135</v>
      </c>
      <c r="W123">
        <v>1032</v>
      </c>
      <c r="X123">
        <v>1010</v>
      </c>
      <c r="Y123">
        <v>982</v>
      </c>
      <c r="Z123">
        <v>892</v>
      </c>
      <c r="AA123">
        <v>958</v>
      </c>
      <c r="AB123">
        <v>1028</v>
      </c>
      <c r="AC123">
        <v>974</v>
      </c>
      <c r="AD123">
        <v>1009</v>
      </c>
      <c r="AE123">
        <v>963</v>
      </c>
      <c r="AF123">
        <v>0</v>
      </c>
      <c r="AG123">
        <v>0</v>
      </c>
      <c r="AH123">
        <v>0</v>
      </c>
      <c r="AI123">
        <v>0</v>
      </c>
      <c r="AJ123">
        <v>3</v>
      </c>
      <c r="AK123">
        <v>1</v>
      </c>
      <c r="AL123">
        <v>1</v>
      </c>
      <c r="AM123">
        <v>10</v>
      </c>
      <c r="AN123">
        <v>2</v>
      </c>
      <c r="AO123">
        <v>0</v>
      </c>
      <c r="AP123">
        <v>1014</v>
      </c>
      <c r="AQ123">
        <v>2</v>
      </c>
      <c r="AR123">
        <v>9</v>
      </c>
      <c r="AS123">
        <v>2</v>
      </c>
      <c r="AT123">
        <v>1</v>
      </c>
      <c r="AU123">
        <v>6</v>
      </c>
      <c r="AV123">
        <v>0</v>
      </c>
      <c r="AW123">
        <v>97</v>
      </c>
      <c r="AX123">
        <v>4</v>
      </c>
      <c r="AY123">
        <v>4</v>
      </c>
      <c r="AZ123">
        <v>0</v>
      </c>
      <c r="BA123">
        <v>1009</v>
      </c>
      <c r="BB123">
        <v>4</v>
      </c>
      <c r="BC123">
        <v>1</v>
      </c>
      <c r="BD123">
        <v>0</v>
      </c>
      <c r="BE123">
        <v>1</v>
      </c>
      <c r="BF123">
        <v>7</v>
      </c>
      <c r="BG123">
        <v>5</v>
      </c>
      <c r="BH123">
        <v>1</v>
      </c>
      <c r="BI123">
        <v>0</v>
      </c>
      <c r="BJ123">
        <v>0</v>
      </c>
      <c r="BK123">
        <v>1</v>
      </c>
      <c r="BL123">
        <v>1005</v>
      </c>
      <c r="BM123">
        <v>0</v>
      </c>
      <c r="BN123">
        <v>1</v>
      </c>
      <c r="BO123">
        <v>0</v>
      </c>
      <c r="BP123">
        <v>1</v>
      </c>
      <c r="BQ123">
        <v>1</v>
      </c>
      <c r="BR123">
        <v>1</v>
      </c>
      <c r="BS123">
        <v>0</v>
      </c>
      <c r="BT123">
        <v>0</v>
      </c>
      <c r="BU123">
        <v>0</v>
      </c>
      <c r="BV123">
        <v>0</v>
      </c>
      <c r="BW123">
        <v>972</v>
      </c>
      <c r="BX123">
        <v>0</v>
      </c>
      <c r="BY123">
        <v>4</v>
      </c>
      <c r="BZ123">
        <v>0</v>
      </c>
      <c r="CA123">
        <v>0</v>
      </c>
      <c r="CB123">
        <v>6</v>
      </c>
      <c r="CC123">
        <v>0</v>
      </c>
      <c r="CD123">
        <v>0</v>
      </c>
      <c r="CE123">
        <v>0</v>
      </c>
      <c r="CF123">
        <v>13</v>
      </c>
      <c r="CG123">
        <v>0</v>
      </c>
      <c r="CH123">
        <v>876</v>
      </c>
      <c r="CI123">
        <v>1</v>
      </c>
      <c r="CJ123">
        <v>1</v>
      </c>
      <c r="CK123">
        <v>1</v>
      </c>
      <c r="CL123">
        <v>0</v>
      </c>
      <c r="CM123">
        <v>3</v>
      </c>
      <c r="CN123">
        <v>1</v>
      </c>
      <c r="CO123">
        <v>0</v>
      </c>
      <c r="CP123">
        <v>1</v>
      </c>
      <c r="CQ123">
        <v>1</v>
      </c>
      <c r="CR123">
        <v>17</v>
      </c>
      <c r="CS123">
        <v>932</v>
      </c>
      <c r="CT123">
        <v>0</v>
      </c>
      <c r="CU123">
        <v>3</v>
      </c>
      <c r="CV123">
        <v>0</v>
      </c>
      <c r="CW123">
        <v>1</v>
      </c>
      <c r="CX123">
        <v>1</v>
      </c>
      <c r="CY123">
        <v>13</v>
      </c>
      <c r="CZ123">
        <v>12</v>
      </c>
      <c r="DA123">
        <v>2</v>
      </c>
      <c r="DB123">
        <v>3</v>
      </c>
      <c r="DC123">
        <v>0</v>
      </c>
      <c r="DD123">
        <v>977</v>
      </c>
      <c r="DE123">
        <v>4</v>
      </c>
      <c r="DF123">
        <v>15</v>
      </c>
      <c r="DG123">
        <v>1</v>
      </c>
      <c r="DH123">
        <v>0</v>
      </c>
      <c r="DI123">
        <v>3</v>
      </c>
      <c r="DJ123">
        <v>3</v>
      </c>
      <c r="DK123">
        <v>0</v>
      </c>
      <c r="DL123">
        <v>6</v>
      </c>
      <c r="DM123">
        <v>0</v>
      </c>
      <c r="DN123">
        <v>2</v>
      </c>
      <c r="DO123">
        <v>954</v>
      </c>
      <c r="DP123">
        <v>5</v>
      </c>
      <c r="DQ123">
        <v>2</v>
      </c>
      <c r="DR123">
        <v>0</v>
      </c>
      <c r="DS123">
        <v>0</v>
      </c>
      <c r="DT123">
        <v>5</v>
      </c>
      <c r="DU123">
        <v>4</v>
      </c>
      <c r="DV123">
        <v>5</v>
      </c>
      <c r="DW123">
        <v>0</v>
      </c>
      <c r="DX123">
        <v>3</v>
      </c>
      <c r="DY123">
        <v>0</v>
      </c>
      <c r="DZ123">
        <v>990</v>
      </c>
      <c r="EA123">
        <v>0.96919999999999995</v>
      </c>
      <c r="EB123">
        <v>0.96992827355770805</v>
      </c>
      <c r="EC123">
        <v>0.97045721199774804</v>
      </c>
      <c r="ED123">
        <v>0.96958218692139497</v>
      </c>
      <c r="EE123">
        <f>SUM(Table1[[#This Row],[ratio_0]:[ratio_9]])</f>
        <v>730</v>
      </c>
      <c r="EF123" s="1">
        <f>(Table1[[#This Row],[predicted_0]]-Table1[[#This Row],[actual_0]])/Table1[[#This Row],[actual_0]]</f>
        <v>-6.1224489795918364E-3</v>
      </c>
      <c r="EG123" s="1">
        <f>(Table1[[#This Row],[predicted_1]]-Table1[[#This Row],[actual_1]])/Table1[[#This Row],[actual_1]]</f>
        <v>-0.10484581497797357</v>
      </c>
      <c r="EH123" s="1">
        <f>(Table1[[#This Row],[predicted_2]]-Table1[[#This Row],[actual_2]])/Table1[[#This Row],[actual_2]]</f>
        <v>-3.875968992248062E-3</v>
      </c>
      <c r="EI123" s="1">
        <f>(Table1[[#This Row],[predicted_3]]-Table1[[#This Row],[actual_3]])/Table1[[#This Row],[actual_3]]</f>
        <v>4.1584158415841586E-2</v>
      </c>
      <c r="EJ123" s="1">
        <f>(Table1[[#This Row],[predicted_4]]-Table1[[#This Row],[actual_4]])/Table1[[#This Row],[actual_4]]</f>
        <v>0</v>
      </c>
      <c r="EK123" s="1">
        <f>(Table1[[#This Row],[predicted_5]]-Table1[[#This Row],[actual_5]])/Table1[[#This Row],[actual_5]]</f>
        <v>2.2421524663677129E-2</v>
      </c>
      <c r="EL123" s="1">
        <f>(Table1[[#This Row],[predicted_6]]-Table1[[#This Row],[actual_6]])/Table1[[#This Row],[actual_6]]</f>
        <v>-1.3569937369519834E-2</v>
      </c>
      <c r="EM123" s="1">
        <f>(Table1[[#This Row],[predicted_7]]-Table1[[#This Row],[actual_7]])/Table1[[#This Row],[actual_7]]</f>
        <v>-3.5019455252918288E-2</v>
      </c>
      <c r="EN123" s="1">
        <f>(Table1[[#This Row],[predicted_8]]-Table1[[#This Row],[actual_8]])/Table1[[#This Row],[actual_8]]</f>
        <v>0.10369609856262833</v>
      </c>
      <c r="EO123" s="1">
        <f>(Table1[[#This Row],[predicted_9]]-Table1[[#This Row],[actual_9]])/Table1[[#This Row],[actual_9]]</f>
        <v>1.4866204162537165E-2</v>
      </c>
      <c r="EP123" s="1">
        <f>1+(Table1[[#This Row],[error_ratio_0]]-EF$2)</f>
        <v>0.99183673469387756</v>
      </c>
      <c r="EQ123" s="1">
        <f>1+(Table1[[#This Row],[error_ratio_1]]-EG$2)</f>
        <v>0.89339207048458147</v>
      </c>
      <c r="ER123" s="1">
        <f>1+(Table1[[#This Row],[error_ratio_2]]-EH$2)</f>
        <v>1.000968992248062</v>
      </c>
      <c r="ES123" s="1">
        <f>1+(Table1[[#This Row],[error_ratio_3]]-EI$2)</f>
        <v>1.0316831683168317</v>
      </c>
      <c r="ET123" s="1">
        <f>1+(Table1[[#This Row],[error_ratio_4]]-EJ$2)</f>
        <v>0.99898167006109984</v>
      </c>
      <c r="EU123" s="1">
        <f>1+(Table1[[#This Row],[error_ratio_5]]-EK$2)</f>
        <v>1.0213004484304933</v>
      </c>
      <c r="EV123" s="1">
        <f>1+(Table1[[#This Row],[error_ratio_6]]-EL$2)</f>
        <v>0.99269311064718158</v>
      </c>
      <c r="EW123" s="1">
        <f>1+(Table1[[#This Row],[error_ratio_7]]-EM$2)</f>
        <v>0.96303501945525294</v>
      </c>
      <c r="EX123" s="1">
        <f>1+(Table1[[#This Row],[error_ratio_8]]-EN$2)</f>
        <v>1.106776180698152</v>
      </c>
      <c r="EY123" s="1">
        <f>1+(Table1[[#This Row],[error_ratio_9]]-EO$2)</f>
        <v>1.0188305252725471</v>
      </c>
    </row>
    <row r="124" spans="1:155" x14ac:dyDescent="0.75">
      <c r="A124">
        <v>100</v>
      </c>
      <c r="B124">
        <v>100</v>
      </c>
      <c r="C124">
        <v>10</v>
      </c>
      <c r="D124">
        <v>100</v>
      </c>
      <c r="E124">
        <v>100</v>
      </c>
      <c r="F124">
        <v>100</v>
      </c>
      <c r="G124">
        <v>100</v>
      </c>
      <c r="H124">
        <v>10</v>
      </c>
      <c r="I124">
        <v>100</v>
      </c>
      <c r="J124">
        <v>100</v>
      </c>
      <c r="K124">
        <v>990</v>
      </c>
      <c r="L124">
        <v>1158</v>
      </c>
      <c r="M124">
        <v>1007</v>
      </c>
      <c r="N124">
        <v>1032</v>
      </c>
      <c r="O124">
        <v>995</v>
      </c>
      <c r="P124">
        <v>904</v>
      </c>
      <c r="Q124">
        <v>955</v>
      </c>
      <c r="R124">
        <v>937</v>
      </c>
      <c r="S124">
        <v>993</v>
      </c>
      <c r="T124">
        <v>1029</v>
      </c>
      <c r="U124">
        <v>980</v>
      </c>
      <c r="V124">
        <v>1135</v>
      </c>
      <c r="W124">
        <v>1032</v>
      </c>
      <c r="X124">
        <v>1010</v>
      </c>
      <c r="Y124">
        <v>982</v>
      </c>
      <c r="Z124">
        <v>892</v>
      </c>
      <c r="AA124">
        <v>958</v>
      </c>
      <c r="AB124">
        <v>1028</v>
      </c>
      <c r="AC124">
        <v>974</v>
      </c>
      <c r="AD124">
        <v>1009</v>
      </c>
      <c r="AE124">
        <v>975</v>
      </c>
      <c r="AF124">
        <v>0</v>
      </c>
      <c r="AG124">
        <v>0</v>
      </c>
      <c r="AH124">
        <v>0</v>
      </c>
      <c r="AI124">
        <v>1</v>
      </c>
      <c r="AJ124">
        <v>0</v>
      </c>
      <c r="AK124">
        <v>1</v>
      </c>
      <c r="AL124">
        <v>0</v>
      </c>
      <c r="AM124">
        <v>2</v>
      </c>
      <c r="AN124">
        <v>1</v>
      </c>
      <c r="AO124">
        <v>0</v>
      </c>
      <c r="AP124">
        <v>1130</v>
      </c>
      <c r="AQ124">
        <v>0</v>
      </c>
      <c r="AR124">
        <v>0</v>
      </c>
      <c r="AS124">
        <v>0</v>
      </c>
      <c r="AT124">
        <v>2</v>
      </c>
      <c r="AU124">
        <v>2</v>
      </c>
      <c r="AV124">
        <v>0</v>
      </c>
      <c r="AW124">
        <v>1</v>
      </c>
      <c r="AX124">
        <v>0</v>
      </c>
      <c r="AY124">
        <v>6</v>
      </c>
      <c r="AZ124">
        <v>9</v>
      </c>
      <c r="BA124">
        <v>983</v>
      </c>
      <c r="BB124">
        <v>5</v>
      </c>
      <c r="BC124">
        <v>3</v>
      </c>
      <c r="BD124">
        <v>1</v>
      </c>
      <c r="BE124">
        <v>4</v>
      </c>
      <c r="BF124">
        <v>2</v>
      </c>
      <c r="BG124">
        <v>18</v>
      </c>
      <c r="BH124">
        <v>1</v>
      </c>
      <c r="BI124">
        <v>0</v>
      </c>
      <c r="BJ124">
        <v>0</v>
      </c>
      <c r="BK124">
        <v>1</v>
      </c>
      <c r="BL124">
        <v>1005</v>
      </c>
      <c r="BM124">
        <v>0</v>
      </c>
      <c r="BN124">
        <v>4</v>
      </c>
      <c r="BO124">
        <v>0</v>
      </c>
      <c r="BP124">
        <v>0</v>
      </c>
      <c r="BQ124">
        <v>0</v>
      </c>
      <c r="BR124">
        <v>0</v>
      </c>
      <c r="BS124">
        <v>0</v>
      </c>
      <c r="BT124">
        <v>0</v>
      </c>
      <c r="BU124">
        <v>0</v>
      </c>
      <c r="BV124">
        <v>0</v>
      </c>
      <c r="BW124">
        <v>976</v>
      </c>
      <c r="BX124">
        <v>0</v>
      </c>
      <c r="BY124">
        <v>3</v>
      </c>
      <c r="BZ124">
        <v>0</v>
      </c>
      <c r="CA124">
        <v>0</v>
      </c>
      <c r="CB124">
        <v>3</v>
      </c>
      <c r="CC124">
        <v>1</v>
      </c>
      <c r="CD124">
        <v>0</v>
      </c>
      <c r="CE124">
        <v>0</v>
      </c>
      <c r="CF124">
        <v>5</v>
      </c>
      <c r="CG124">
        <v>0</v>
      </c>
      <c r="CH124">
        <v>885</v>
      </c>
      <c r="CI124">
        <v>1</v>
      </c>
      <c r="CJ124">
        <v>0</v>
      </c>
      <c r="CK124">
        <v>0</v>
      </c>
      <c r="CL124">
        <v>0</v>
      </c>
      <c r="CM124">
        <v>4</v>
      </c>
      <c r="CN124">
        <v>2</v>
      </c>
      <c r="CO124">
        <v>0</v>
      </c>
      <c r="CP124">
        <v>0</v>
      </c>
      <c r="CQ124">
        <v>2</v>
      </c>
      <c r="CR124">
        <v>6</v>
      </c>
      <c r="CS124">
        <v>944</v>
      </c>
      <c r="CT124">
        <v>0</v>
      </c>
      <c r="CU124">
        <v>0</v>
      </c>
      <c r="CV124">
        <v>0</v>
      </c>
      <c r="CW124">
        <v>2</v>
      </c>
      <c r="CX124">
        <v>16</v>
      </c>
      <c r="CY124">
        <v>23</v>
      </c>
      <c r="CZ124">
        <v>15</v>
      </c>
      <c r="DA124">
        <v>5</v>
      </c>
      <c r="DB124">
        <v>0</v>
      </c>
      <c r="DC124">
        <v>0</v>
      </c>
      <c r="DD124">
        <v>934</v>
      </c>
      <c r="DE124">
        <v>5</v>
      </c>
      <c r="DF124">
        <v>28</v>
      </c>
      <c r="DG124">
        <v>2</v>
      </c>
      <c r="DH124">
        <v>0</v>
      </c>
      <c r="DI124">
        <v>0</v>
      </c>
      <c r="DJ124">
        <v>0</v>
      </c>
      <c r="DK124">
        <v>2</v>
      </c>
      <c r="DL124">
        <v>2</v>
      </c>
      <c r="DM124">
        <v>0</v>
      </c>
      <c r="DN124">
        <v>0</v>
      </c>
      <c r="DO124">
        <v>966</v>
      </c>
      <c r="DP124">
        <v>2</v>
      </c>
      <c r="DQ124">
        <v>0</v>
      </c>
      <c r="DR124">
        <v>1</v>
      </c>
      <c r="DS124">
        <v>0</v>
      </c>
      <c r="DT124">
        <v>2</v>
      </c>
      <c r="DU124">
        <v>6</v>
      </c>
      <c r="DV124">
        <v>4</v>
      </c>
      <c r="DW124">
        <v>0</v>
      </c>
      <c r="DX124">
        <v>1</v>
      </c>
      <c r="DY124">
        <v>1</v>
      </c>
      <c r="DZ124">
        <v>994</v>
      </c>
      <c r="EA124">
        <v>0.97919999999999996</v>
      </c>
      <c r="EB124">
        <v>0.97946357598359002</v>
      </c>
      <c r="EC124">
        <v>0.97949708204243002</v>
      </c>
      <c r="ED124">
        <v>0.97921014799174499</v>
      </c>
      <c r="EE124">
        <f>SUM(Table1[[#This Row],[ratio_0]:[ratio_9]])</f>
        <v>820</v>
      </c>
      <c r="EF124" s="1">
        <f>(Table1[[#This Row],[predicted_0]]-Table1[[#This Row],[actual_0]])/Table1[[#This Row],[actual_0]]</f>
        <v>1.020408163265306E-2</v>
      </c>
      <c r="EG124" s="1">
        <f>(Table1[[#This Row],[predicted_1]]-Table1[[#This Row],[actual_1]])/Table1[[#This Row],[actual_1]]</f>
        <v>2.0264317180616741E-2</v>
      </c>
      <c r="EH124" s="1">
        <f>(Table1[[#This Row],[predicted_2]]-Table1[[#This Row],[actual_2]])/Table1[[#This Row],[actual_2]]</f>
        <v>-2.4224806201550389E-2</v>
      </c>
      <c r="EI124" s="1">
        <f>(Table1[[#This Row],[predicted_3]]-Table1[[#This Row],[actual_3]])/Table1[[#This Row],[actual_3]]</f>
        <v>2.1782178217821781E-2</v>
      </c>
      <c r="EJ124" s="1">
        <f>(Table1[[#This Row],[predicted_4]]-Table1[[#This Row],[actual_4]])/Table1[[#This Row],[actual_4]]</f>
        <v>1.3238289205702648E-2</v>
      </c>
      <c r="EK124" s="1">
        <f>(Table1[[#This Row],[predicted_5]]-Table1[[#This Row],[actual_5]])/Table1[[#This Row],[actual_5]]</f>
        <v>1.3452914798206279E-2</v>
      </c>
      <c r="EL124" s="1">
        <f>(Table1[[#This Row],[predicted_6]]-Table1[[#This Row],[actual_6]])/Table1[[#This Row],[actual_6]]</f>
        <v>-3.1315240083507308E-3</v>
      </c>
      <c r="EM124" s="1">
        <f>(Table1[[#This Row],[predicted_7]]-Table1[[#This Row],[actual_7]])/Table1[[#This Row],[actual_7]]</f>
        <v>-8.8521400778210121E-2</v>
      </c>
      <c r="EN124" s="1">
        <f>(Table1[[#This Row],[predicted_8]]-Table1[[#This Row],[actual_8]])/Table1[[#This Row],[actual_8]]</f>
        <v>1.9507186858316223E-2</v>
      </c>
      <c r="EO124" s="1">
        <f>(Table1[[#This Row],[predicted_9]]-Table1[[#This Row],[actual_9]])/Table1[[#This Row],[actual_9]]</f>
        <v>1.9821605550049554E-2</v>
      </c>
      <c r="EP124" s="1">
        <f>1+(Table1[[#This Row],[error_ratio_0]]-EF$2)</f>
        <v>1.0081632653061225</v>
      </c>
      <c r="EQ124" s="1">
        <f>1+(Table1[[#This Row],[error_ratio_1]]-EG$2)</f>
        <v>1.0185022026431718</v>
      </c>
      <c r="ER124" s="1">
        <f>1+(Table1[[#This Row],[error_ratio_2]]-EH$2)</f>
        <v>0.98062015503875966</v>
      </c>
      <c r="ES124" s="1">
        <f>1+(Table1[[#This Row],[error_ratio_3]]-EI$2)</f>
        <v>1.0118811881188119</v>
      </c>
      <c r="ET124" s="1">
        <f>1+(Table1[[#This Row],[error_ratio_4]]-EJ$2)</f>
        <v>1.0122199592668024</v>
      </c>
      <c r="EU124" s="1">
        <f>1+(Table1[[#This Row],[error_ratio_5]]-EK$2)</f>
        <v>1.0123318385650224</v>
      </c>
      <c r="EV124" s="1">
        <f>1+(Table1[[#This Row],[error_ratio_6]]-EL$2)</f>
        <v>1.0031315240083507</v>
      </c>
      <c r="EW124" s="1">
        <f>1+(Table1[[#This Row],[error_ratio_7]]-EM$2)</f>
        <v>0.90953307392996108</v>
      </c>
      <c r="EX124" s="1">
        <f>1+(Table1[[#This Row],[error_ratio_8]]-EN$2)</f>
        <v>1.0225872689938398</v>
      </c>
      <c r="EY124" s="1">
        <f>1+(Table1[[#This Row],[error_ratio_9]]-EO$2)</f>
        <v>1.0237859266600595</v>
      </c>
    </row>
    <row r="125" spans="1:155" x14ac:dyDescent="0.75">
      <c r="A125">
        <v>10</v>
      </c>
      <c r="B125">
        <v>100</v>
      </c>
      <c r="C125">
        <v>10</v>
      </c>
      <c r="D125">
        <v>100</v>
      </c>
      <c r="E125">
        <v>100</v>
      </c>
      <c r="F125">
        <v>100</v>
      </c>
      <c r="G125">
        <v>100</v>
      </c>
      <c r="H125">
        <v>10</v>
      </c>
      <c r="I125">
        <v>100</v>
      </c>
      <c r="J125">
        <v>100</v>
      </c>
      <c r="K125">
        <v>927</v>
      </c>
      <c r="L125">
        <v>1132</v>
      </c>
      <c r="M125">
        <v>937</v>
      </c>
      <c r="N125">
        <v>1155</v>
      </c>
      <c r="O125">
        <v>888</v>
      </c>
      <c r="P125">
        <v>936</v>
      </c>
      <c r="Q125">
        <v>961</v>
      </c>
      <c r="R125">
        <v>916</v>
      </c>
      <c r="S125">
        <v>1033</v>
      </c>
      <c r="T125">
        <v>1115</v>
      </c>
      <c r="U125">
        <v>980</v>
      </c>
      <c r="V125">
        <v>1135</v>
      </c>
      <c r="W125">
        <v>1032</v>
      </c>
      <c r="X125">
        <v>1010</v>
      </c>
      <c r="Y125">
        <v>982</v>
      </c>
      <c r="Z125">
        <v>892</v>
      </c>
      <c r="AA125">
        <v>958</v>
      </c>
      <c r="AB125">
        <v>1028</v>
      </c>
      <c r="AC125">
        <v>974</v>
      </c>
      <c r="AD125">
        <v>1009</v>
      </c>
      <c r="AE125">
        <v>925</v>
      </c>
      <c r="AF125">
        <v>0</v>
      </c>
      <c r="AG125">
        <v>4</v>
      </c>
      <c r="AH125">
        <v>1</v>
      </c>
      <c r="AI125">
        <v>2</v>
      </c>
      <c r="AJ125">
        <v>11</v>
      </c>
      <c r="AK125">
        <v>12</v>
      </c>
      <c r="AL125">
        <v>1</v>
      </c>
      <c r="AM125">
        <v>18</v>
      </c>
      <c r="AN125">
        <v>6</v>
      </c>
      <c r="AO125">
        <v>0</v>
      </c>
      <c r="AP125">
        <v>1115</v>
      </c>
      <c r="AQ125">
        <v>0</v>
      </c>
      <c r="AR125">
        <v>7</v>
      </c>
      <c r="AS125">
        <v>0</v>
      </c>
      <c r="AT125">
        <v>2</v>
      </c>
      <c r="AU125">
        <v>2</v>
      </c>
      <c r="AV125">
        <v>0</v>
      </c>
      <c r="AW125">
        <v>9</v>
      </c>
      <c r="AX125">
        <v>0</v>
      </c>
      <c r="AY125">
        <v>0</v>
      </c>
      <c r="AZ125">
        <v>8</v>
      </c>
      <c r="BA125">
        <v>924</v>
      </c>
      <c r="BB125">
        <v>69</v>
      </c>
      <c r="BC125">
        <v>4</v>
      </c>
      <c r="BD125">
        <v>1</v>
      </c>
      <c r="BE125">
        <v>5</v>
      </c>
      <c r="BF125">
        <v>5</v>
      </c>
      <c r="BG125">
        <v>15</v>
      </c>
      <c r="BH125">
        <v>1</v>
      </c>
      <c r="BI125">
        <v>0</v>
      </c>
      <c r="BJ125">
        <v>0</v>
      </c>
      <c r="BK125">
        <v>0</v>
      </c>
      <c r="BL125">
        <v>1005</v>
      </c>
      <c r="BM125">
        <v>0</v>
      </c>
      <c r="BN125">
        <v>2</v>
      </c>
      <c r="BO125">
        <v>0</v>
      </c>
      <c r="BP125">
        <v>1</v>
      </c>
      <c r="BQ125">
        <v>1</v>
      </c>
      <c r="BR125">
        <v>1</v>
      </c>
      <c r="BS125">
        <v>0</v>
      </c>
      <c r="BT125">
        <v>2</v>
      </c>
      <c r="BU125">
        <v>0</v>
      </c>
      <c r="BV125">
        <v>0</v>
      </c>
      <c r="BW125">
        <v>879</v>
      </c>
      <c r="BX125">
        <v>1</v>
      </c>
      <c r="BY125">
        <v>5</v>
      </c>
      <c r="BZ125">
        <v>0</v>
      </c>
      <c r="CA125">
        <v>11</v>
      </c>
      <c r="CB125">
        <v>84</v>
      </c>
      <c r="CC125">
        <v>0</v>
      </c>
      <c r="CD125">
        <v>0</v>
      </c>
      <c r="CE125">
        <v>0</v>
      </c>
      <c r="CF125">
        <v>5</v>
      </c>
      <c r="CG125">
        <v>0</v>
      </c>
      <c r="CH125">
        <v>886</v>
      </c>
      <c r="CI125">
        <v>1</v>
      </c>
      <c r="CJ125">
        <v>0</v>
      </c>
      <c r="CK125">
        <v>0</v>
      </c>
      <c r="CL125">
        <v>0</v>
      </c>
      <c r="CM125">
        <v>1</v>
      </c>
      <c r="CN125">
        <v>1</v>
      </c>
      <c r="CO125">
        <v>0</v>
      </c>
      <c r="CP125">
        <v>1</v>
      </c>
      <c r="CQ125">
        <v>2</v>
      </c>
      <c r="CR125">
        <v>12</v>
      </c>
      <c r="CS125">
        <v>936</v>
      </c>
      <c r="CT125">
        <v>0</v>
      </c>
      <c r="CU125">
        <v>5</v>
      </c>
      <c r="CV125">
        <v>0</v>
      </c>
      <c r="CW125">
        <v>1</v>
      </c>
      <c r="CX125">
        <v>5</v>
      </c>
      <c r="CY125">
        <v>9</v>
      </c>
      <c r="CZ125">
        <v>60</v>
      </c>
      <c r="DA125">
        <v>0</v>
      </c>
      <c r="DB125">
        <v>11</v>
      </c>
      <c r="DC125">
        <v>0</v>
      </c>
      <c r="DD125">
        <v>908</v>
      </c>
      <c r="DE125">
        <v>7</v>
      </c>
      <c r="DF125">
        <v>27</v>
      </c>
      <c r="DG125">
        <v>0</v>
      </c>
      <c r="DH125">
        <v>0</v>
      </c>
      <c r="DI125">
        <v>0</v>
      </c>
      <c r="DJ125">
        <v>3</v>
      </c>
      <c r="DK125">
        <v>0</v>
      </c>
      <c r="DL125">
        <v>3</v>
      </c>
      <c r="DM125">
        <v>0</v>
      </c>
      <c r="DN125">
        <v>1</v>
      </c>
      <c r="DO125">
        <v>965</v>
      </c>
      <c r="DP125">
        <v>2</v>
      </c>
      <c r="DQ125">
        <v>0</v>
      </c>
      <c r="DR125">
        <v>1</v>
      </c>
      <c r="DS125">
        <v>0</v>
      </c>
      <c r="DT125">
        <v>4</v>
      </c>
      <c r="DU125">
        <v>1</v>
      </c>
      <c r="DV125">
        <v>7</v>
      </c>
      <c r="DW125">
        <v>0</v>
      </c>
      <c r="DX125">
        <v>0</v>
      </c>
      <c r="DY125">
        <v>2</v>
      </c>
      <c r="DZ125">
        <v>994</v>
      </c>
      <c r="EA125">
        <v>0.95369999999999999</v>
      </c>
      <c r="EB125">
        <v>0.95664306419247003</v>
      </c>
      <c r="EC125">
        <v>0.95412378292265199</v>
      </c>
      <c r="ED125">
        <v>0.95374839263938205</v>
      </c>
      <c r="EE125">
        <f>SUM(Table1[[#This Row],[ratio_0]:[ratio_9]])</f>
        <v>730</v>
      </c>
      <c r="EF125" s="1">
        <f>(Table1[[#This Row],[predicted_0]]-Table1[[#This Row],[actual_0]])/Table1[[#This Row],[actual_0]]</f>
        <v>-5.4081632653061228E-2</v>
      </c>
      <c r="EG125" s="1">
        <f>(Table1[[#This Row],[predicted_1]]-Table1[[#This Row],[actual_1]])/Table1[[#This Row],[actual_1]]</f>
        <v>-2.6431718061674008E-3</v>
      </c>
      <c r="EH125" s="1">
        <f>(Table1[[#This Row],[predicted_2]]-Table1[[#This Row],[actual_2]])/Table1[[#This Row],[actual_2]]</f>
        <v>-9.205426356589147E-2</v>
      </c>
      <c r="EI125" s="1">
        <f>(Table1[[#This Row],[predicted_3]]-Table1[[#This Row],[actual_3]])/Table1[[#This Row],[actual_3]]</f>
        <v>0.14356435643564355</v>
      </c>
      <c r="EJ125" s="1">
        <f>(Table1[[#This Row],[predicted_4]]-Table1[[#This Row],[actual_4]])/Table1[[#This Row],[actual_4]]</f>
        <v>-9.5723014256619138E-2</v>
      </c>
      <c r="EK125" s="1">
        <f>(Table1[[#This Row],[predicted_5]]-Table1[[#This Row],[actual_5]])/Table1[[#This Row],[actual_5]]</f>
        <v>4.9327354260089683E-2</v>
      </c>
      <c r="EL125" s="1">
        <f>(Table1[[#This Row],[predicted_6]]-Table1[[#This Row],[actual_6]])/Table1[[#This Row],[actual_6]]</f>
        <v>3.1315240083507308E-3</v>
      </c>
      <c r="EM125" s="1">
        <f>(Table1[[#This Row],[predicted_7]]-Table1[[#This Row],[actual_7]])/Table1[[#This Row],[actual_7]]</f>
        <v>-0.10894941634241245</v>
      </c>
      <c r="EN125" s="1">
        <f>(Table1[[#This Row],[predicted_8]]-Table1[[#This Row],[actual_8]])/Table1[[#This Row],[actual_8]]</f>
        <v>6.0574948665297744E-2</v>
      </c>
      <c r="EO125" s="1">
        <f>(Table1[[#This Row],[predicted_9]]-Table1[[#This Row],[actual_9]])/Table1[[#This Row],[actual_9]]</f>
        <v>0.10505450941526263</v>
      </c>
      <c r="EP125" s="1">
        <f>1+(Table1[[#This Row],[error_ratio_0]]-EF$2)</f>
        <v>0.94387755102040816</v>
      </c>
      <c r="EQ125" s="1">
        <f>1+(Table1[[#This Row],[error_ratio_1]]-EG$2)</f>
        <v>0.99559471365638763</v>
      </c>
      <c r="ER125" s="1">
        <f>1+(Table1[[#This Row],[error_ratio_2]]-EH$2)</f>
        <v>0.91279069767441856</v>
      </c>
      <c r="ES125" s="1">
        <f>1+(Table1[[#This Row],[error_ratio_3]]-EI$2)</f>
        <v>1.1336633663366336</v>
      </c>
      <c r="ET125" s="1">
        <f>1+(Table1[[#This Row],[error_ratio_4]]-EJ$2)</f>
        <v>0.90325865580448061</v>
      </c>
      <c r="EU125" s="1">
        <f>1+(Table1[[#This Row],[error_ratio_5]]-EK$2)</f>
        <v>1.0482062780269059</v>
      </c>
      <c r="EV125" s="1">
        <f>1+(Table1[[#This Row],[error_ratio_6]]-EL$2)</f>
        <v>1.0093945720250521</v>
      </c>
      <c r="EW125" s="1">
        <f>1+(Table1[[#This Row],[error_ratio_7]]-EM$2)</f>
        <v>0.8891050583657587</v>
      </c>
      <c r="EX125" s="1">
        <f>1+(Table1[[#This Row],[error_ratio_8]]-EN$2)</f>
        <v>1.0636550308008212</v>
      </c>
      <c r="EY125" s="1">
        <f>1+(Table1[[#This Row],[error_ratio_9]]-EO$2)</f>
        <v>1.1090188305252726</v>
      </c>
    </row>
    <row r="126" spans="1:155" x14ac:dyDescent="0.75">
      <c r="A126">
        <v>10</v>
      </c>
      <c r="B126">
        <v>10</v>
      </c>
      <c r="C126">
        <v>10</v>
      </c>
      <c r="D126">
        <v>100</v>
      </c>
      <c r="E126">
        <v>100</v>
      </c>
      <c r="F126">
        <v>100</v>
      </c>
      <c r="G126">
        <v>100</v>
      </c>
      <c r="H126">
        <v>10</v>
      </c>
      <c r="I126">
        <v>100</v>
      </c>
      <c r="J126">
        <v>100</v>
      </c>
      <c r="K126">
        <v>957</v>
      </c>
      <c r="L126">
        <v>1128</v>
      </c>
      <c r="M126">
        <v>991</v>
      </c>
      <c r="N126">
        <v>999</v>
      </c>
      <c r="O126">
        <v>965</v>
      </c>
      <c r="P126">
        <v>911</v>
      </c>
      <c r="Q126">
        <v>969</v>
      </c>
      <c r="R126">
        <v>932</v>
      </c>
      <c r="S126">
        <v>1083</v>
      </c>
      <c r="T126">
        <v>1065</v>
      </c>
      <c r="U126">
        <v>980</v>
      </c>
      <c r="V126">
        <v>1135</v>
      </c>
      <c r="W126">
        <v>1032</v>
      </c>
      <c r="X126">
        <v>1010</v>
      </c>
      <c r="Y126">
        <v>982</v>
      </c>
      <c r="Z126">
        <v>892</v>
      </c>
      <c r="AA126">
        <v>958</v>
      </c>
      <c r="AB126">
        <v>1028</v>
      </c>
      <c r="AC126">
        <v>974</v>
      </c>
      <c r="AD126">
        <v>1009</v>
      </c>
      <c r="AE126">
        <v>943</v>
      </c>
      <c r="AF126">
        <v>0</v>
      </c>
      <c r="AG126">
        <v>2</v>
      </c>
      <c r="AH126">
        <v>0</v>
      </c>
      <c r="AI126">
        <v>2</v>
      </c>
      <c r="AJ126">
        <v>4</v>
      </c>
      <c r="AK126">
        <v>6</v>
      </c>
      <c r="AL126">
        <v>0</v>
      </c>
      <c r="AM126">
        <v>11</v>
      </c>
      <c r="AN126">
        <v>12</v>
      </c>
      <c r="AO126">
        <v>0</v>
      </c>
      <c r="AP126">
        <v>1119</v>
      </c>
      <c r="AQ126">
        <v>0</v>
      </c>
      <c r="AR126">
        <v>4</v>
      </c>
      <c r="AS126">
        <v>0</v>
      </c>
      <c r="AT126">
        <v>3</v>
      </c>
      <c r="AU126">
        <v>3</v>
      </c>
      <c r="AV126">
        <v>0</v>
      </c>
      <c r="AW126">
        <v>5</v>
      </c>
      <c r="AX126">
        <v>1</v>
      </c>
      <c r="AY126">
        <v>4</v>
      </c>
      <c r="AZ126">
        <v>0</v>
      </c>
      <c r="BA126">
        <v>964</v>
      </c>
      <c r="BB126">
        <v>2</v>
      </c>
      <c r="BC126">
        <v>2</v>
      </c>
      <c r="BD126">
        <v>3</v>
      </c>
      <c r="BE126">
        <v>3</v>
      </c>
      <c r="BF126">
        <v>1</v>
      </c>
      <c r="BG126">
        <v>53</v>
      </c>
      <c r="BH126">
        <v>0</v>
      </c>
      <c r="BI126">
        <v>0</v>
      </c>
      <c r="BJ126">
        <v>0</v>
      </c>
      <c r="BK126">
        <v>1</v>
      </c>
      <c r="BL126">
        <v>984</v>
      </c>
      <c r="BM126">
        <v>0</v>
      </c>
      <c r="BN126">
        <v>10</v>
      </c>
      <c r="BO126">
        <v>0</v>
      </c>
      <c r="BP126">
        <v>0</v>
      </c>
      <c r="BQ126">
        <v>6</v>
      </c>
      <c r="BR126">
        <v>9</v>
      </c>
      <c r="BS126">
        <v>0</v>
      </c>
      <c r="BT126">
        <v>1</v>
      </c>
      <c r="BU126">
        <v>1</v>
      </c>
      <c r="BV126">
        <v>0</v>
      </c>
      <c r="BW126">
        <v>956</v>
      </c>
      <c r="BX126">
        <v>0</v>
      </c>
      <c r="BY126">
        <v>7</v>
      </c>
      <c r="BZ126">
        <v>0</v>
      </c>
      <c r="CA126">
        <v>5</v>
      </c>
      <c r="CB126">
        <v>12</v>
      </c>
      <c r="CC126">
        <v>0</v>
      </c>
      <c r="CD126">
        <v>0</v>
      </c>
      <c r="CE126">
        <v>0</v>
      </c>
      <c r="CF126">
        <v>3</v>
      </c>
      <c r="CG126">
        <v>0</v>
      </c>
      <c r="CH126">
        <v>883</v>
      </c>
      <c r="CI126">
        <v>3</v>
      </c>
      <c r="CJ126">
        <v>0</v>
      </c>
      <c r="CK126">
        <v>1</v>
      </c>
      <c r="CL126">
        <v>2</v>
      </c>
      <c r="CM126">
        <v>4</v>
      </c>
      <c r="CN126">
        <v>2</v>
      </c>
      <c r="CO126">
        <v>0</v>
      </c>
      <c r="CP126">
        <v>0</v>
      </c>
      <c r="CQ126">
        <v>0</v>
      </c>
      <c r="CR126">
        <v>2</v>
      </c>
      <c r="CS126">
        <v>946</v>
      </c>
      <c r="CT126">
        <v>0</v>
      </c>
      <c r="CU126">
        <v>3</v>
      </c>
      <c r="CV126">
        <v>1</v>
      </c>
      <c r="CW126">
        <v>2</v>
      </c>
      <c r="CX126">
        <v>6</v>
      </c>
      <c r="CY126">
        <v>22</v>
      </c>
      <c r="CZ126">
        <v>6</v>
      </c>
      <c r="DA126">
        <v>2</v>
      </c>
      <c r="DB126">
        <v>1</v>
      </c>
      <c r="DC126">
        <v>0</v>
      </c>
      <c r="DD126">
        <v>931</v>
      </c>
      <c r="DE126">
        <v>21</v>
      </c>
      <c r="DF126">
        <v>37</v>
      </c>
      <c r="DG126">
        <v>0</v>
      </c>
      <c r="DH126">
        <v>0</v>
      </c>
      <c r="DI126">
        <v>1</v>
      </c>
      <c r="DJ126">
        <v>0</v>
      </c>
      <c r="DK126">
        <v>0</v>
      </c>
      <c r="DL126">
        <v>0</v>
      </c>
      <c r="DM126">
        <v>1</v>
      </c>
      <c r="DN126">
        <v>0</v>
      </c>
      <c r="DO126">
        <v>970</v>
      </c>
      <c r="DP126">
        <v>2</v>
      </c>
      <c r="DQ126">
        <v>4</v>
      </c>
      <c r="DR126">
        <v>0</v>
      </c>
      <c r="DS126">
        <v>0</v>
      </c>
      <c r="DT126">
        <v>0</v>
      </c>
      <c r="DU126">
        <v>3</v>
      </c>
      <c r="DV126">
        <v>5</v>
      </c>
      <c r="DW126">
        <v>0</v>
      </c>
      <c r="DX126">
        <v>0</v>
      </c>
      <c r="DY126">
        <v>8</v>
      </c>
      <c r="DZ126">
        <v>989</v>
      </c>
      <c r="EA126">
        <v>0.96850000000000003</v>
      </c>
      <c r="EB126">
        <v>0.969456005449844</v>
      </c>
      <c r="EC126">
        <v>0.96891352156060695</v>
      </c>
      <c r="ED126">
        <v>0.96854282264601099</v>
      </c>
      <c r="EE126">
        <f>SUM(Table1[[#This Row],[ratio_0]:[ratio_9]])</f>
        <v>640</v>
      </c>
      <c r="EF126" s="1">
        <f>(Table1[[#This Row],[predicted_0]]-Table1[[#This Row],[actual_0]])/Table1[[#This Row],[actual_0]]</f>
        <v>-2.3469387755102041E-2</v>
      </c>
      <c r="EG126" s="1">
        <f>(Table1[[#This Row],[predicted_1]]-Table1[[#This Row],[actual_1]])/Table1[[#This Row],[actual_1]]</f>
        <v>-6.1674008810572688E-3</v>
      </c>
      <c r="EH126" s="1">
        <f>(Table1[[#This Row],[predicted_2]]-Table1[[#This Row],[actual_2]])/Table1[[#This Row],[actual_2]]</f>
        <v>-3.9728682170542637E-2</v>
      </c>
      <c r="EI126" s="1">
        <f>(Table1[[#This Row],[predicted_3]]-Table1[[#This Row],[actual_3]])/Table1[[#This Row],[actual_3]]</f>
        <v>-1.089108910891089E-2</v>
      </c>
      <c r="EJ126" s="1">
        <f>(Table1[[#This Row],[predicted_4]]-Table1[[#This Row],[actual_4]])/Table1[[#This Row],[actual_4]]</f>
        <v>-1.7311608961303463E-2</v>
      </c>
      <c r="EK126" s="1">
        <f>(Table1[[#This Row],[predicted_5]]-Table1[[#This Row],[actual_5]])/Table1[[#This Row],[actual_5]]</f>
        <v>2.1300448430493273E-2</v>
      </c>
      <c r="EL126" s="1">
        <f>(Table1[[#This Row],[predicted_6]]-Table1[[#This Row],[actual_6]])/Table1[[#This Row],[actual_6]]</f>
        <v>1.1482254697286013E-2</v>
      </c>
      <c r="EM126" s="1">
        <f>(Table1[[#This Row],[predicted_7]]-Table1[[#This Row],[actual_7]])/Table1[[#This Row],[actual_7]]</f>
        <v>-9.3385214007782102E-2</v>
      </c>
      <c r="EN126" s="1">
        <f>(Table1[[#This Row],[predicted_8]]-Table1[[#This Row],[actual_8]])/Table1[[#This Row],[actual_8]]</f>
        <v>0.11190965092402463</v>
      </c>
      <c r="EO126" s="1">
        <f>(Table1[[#This Row],[predicted_9]]-Table1[[#This Row],[actual_9]])/Table1[[#This Row],[actual_9]]</f>
        <v>5.550049554013875E-2</v>
      </c>
      <c r="EP126" s="1">
        <f>1+(Table1[[#This Row],[error_ratio_0]]-EF$2)</f>
        <v>0.97448979591836737</v>
      </c>
      <c r="EQ126" s="1">
        <f>1+(Table1[[#This Row],[error_ratio_1]]-EG$2)</f>
        <v>0.99207048458149782</v>
      </c>
      <c r="ER126" s="1">
        <f>1+(Table1[[#This Row],[error_ratio_2]]-EH$2)</f>
        <v>0.96511627906976749</v>
      </c>
      <c r="ES126" s="1">
        <f>1+(Table1[[#This Row],[error_ratio_3]]-EI$2)</f>
        <v>0.97920792079207919</v>
      </c>
      <c r="ET126" s="1">
        <f>1+(Table1[[#This Row],[error_ratio_4]]-EJ$2)</f>
        <v>0.98167006109979638</v>
      </c>
      <c r="EU126" s="1">
        <f>1+(Table1[[#This Row],[error_ratio_5]]-EK$2)</f>
        <v>1.0201793721973094</v>
      </c>
      <c r="EV126" s="1">
        <f>1+(Table1[[#This Row],[error_ratio_6]]-EL$2)</f>
        <v>1.0177453027139876</v>
      </c>
      <c r="EW126" s="1">
        <f>1+(Table1[[#This Row],[error_ratio_7]]-EM$2)</f>
        <v>0.90466926070038911</v>
      </c>
      <c r="EX126" s="1">
        <f>1+(Table1[[#This Row],[error_ratio_8]]-EN$2)</f>
        <v>1.1149897330595482</v>
      </c>
      <c r="EY126" s="1">
        <f>1+(Table1[[#This Row],[error_ratio_9]]-EO$2)</f>
        <v>1.0594648166501486</v>
      </c>
    </row>
    <row r="127" spans="1:155" x14ac:dyDescent="0.75">
      <c r="A127">
        <v>100</v>
      </c>
      <c r="B127">
        <v>100</v>
      </c>
      <c r="C127">
        <v>100</v>
      </c>
      <c r="D127">
        <v>10</v>
      </c>
      <c r="E127">
        <v>100</v>
      </c>
      <c r="F127">
        <v>100</v>
      </c>
      <c r="G127">
        <v>100</v>
      </c>
      <c r="H127">
        <v>10</v>
      </c>
      <c r="I127">
        <v>100</v>
      </c>
      <c r="J127">
        <v>100</v>
      </c>
      <c r="K127">
        <v>982</v>
      </c>
      <c r="L127">
        <v>1142</v>
      </c>
      <c r="M127">
        <v>1086</v>
      </c>
      <c r="N127">
        <v>943</v>
      </c>
      <c r="O127">
        <v>982</v>
      </c>
      <c r="P127">
        <v>934</v>
      </c>
      <c r="Q127">
        <v>955</v>
      </c>
      <c r="R127">
        <v>940</v>
      </c>
      <c r="S127">
        <v>984</v>
      </c>
      <c r="T127">
        <v>1052</v>
      </c>
      <c r="U127">
        <v>980</v>
      </c>
      <c r="V127">
        <v>1135</v>
      </c>
      <c r="W127">
        <v>1032</v>
      </c>
      <c r="X127">
        <v>1010</v>
      </c>
      <c r="Y127">
        <v>982</v>
      </c>
      <c r="Z127">
        <v>892</v>
      </c>
      <c r="AA127">
        <v>958</v>
      </c>
      <c r="AB127">
        <v>1028</v>
      </c>
      <c r="AC127">
        <v>974</v>
      </c>
      <c r="AD127">
        <v>1009</v>
      </c>
      <c r="AE127">
        <v>973</v>
      </c>
      <c r="AF127">
        <v>0</v>
      </c>
      <c r="AG127">
        <v>0</v>
      </c>
      <c r="AH127">
        <v>0</v>
      </c>
      <c r="AI127">
        <v>0</v>
      </c>
      <c r="AJ127">
        <v>2</v>
      </c>
      <c r="AK127">
        <v>1</v>
      </c>
      <c r="AL127">
        <v>1</v>
      </c>
      <c r="AM127">
        <v>2</v>
      </c>
      <c r="AN127">
        <v>1</v>
      </c>
      <c r="AO127">
        <v>0</v>
      </c>
      <c r="AP127">
        <v>1130</v>
      </c>
      <c r="AQ127">
        <v>2</v>
      </c>
      <c r="AR127">
        <v>0</v>
      </c>
      <c r="AS127">
        <v>0</v>
      </c>
      <c r="AT127">
        <v>1</v>
      </c>
      <c r="AU127">
        <v>2</v>
      </c>
      <c r="AV127">
        <v>0</v>
      </c>
      <c r="AW127">
        <v>0</v>
      </c>
      <c r="AX127">
        <v>0</v>
      </c>
      <c r="AY127">
        <v>1</v>
      </c>
      <c r="AZ127">
        <v>2</v>
      </c>
      <c r="BA127">
        <v>1026</v>
      </c>
      <c r="BB127">
        <v>0</v>
      </c>
      <c r="BC127">
        <v>0</v>
      </c>
      <c r="BD127">
        <v>0</v>
      </c>
      <c r="BE127">
        <v>0</v>
      </c>
      <c r="BF127">
        <v>2</v>
      </c>
      <c r="BG127">
        <v>1</v>
      </c>
      <c r="BH127">
        <v>0</v>
      </c>
      <c r="BI127">
        <v>0</v>
      </c>
      <c r="BJ127">
        <v>0</v>
      </c>
      <c r="BK127">
        <v>4</v>
      </c>
      <c r="BL127">
        <v>939</v>
      </c>
      <c r="BM127">
        <v>0</v>
      </c>
      <c r="BN127">
        <v>41</v>
      </c>
      <c r="BO127">
        <v>0</v>
      </c>
      <c r="BP127">
        <v>6</v>
      </c>
      <c r="BQ127">
        <v>8</v>
      </c>
      <c r="BR127">
        <v>12</v>
      </c>
      <c r="BS127">
        <v>0</v>
      </c>
      <c r="BT127">
        <v>0</v>
      </c>
      <c r="BU127">
        <v>2</v>
      </c>
      <c r="BV127">
        <v>0</v>
      </c>
      <c r="BW127">
        <v>972</v>
      </c>
      <c r="BX127">
        <v>0</v>
      </c>
      <c r="BY127">
        <v>1</v>
      </c>
      <c r="BZ127">
        <v>0</v>
      </c>
      <c r="CA127">
        <v>0</v>
      </c>
      <c r="CB127">
        <v>7</v>
      </c>
      <c r="CC127">
        <v>1</v>
      </c>
      <c r="CD127">
        <v>0</v>
      </c>
      <c r="CE127">
        <v>1</v>
      </c>
      <c r="CF127">
        <v>2</v>
      </c>
      <c r="CG127">
        <v>0</v>
      </c>
      <c r="CH127">
        <v>885</v>
      </c>
      <c r="CI127">
        <v>2</v>
      </c>
      <c r="CJ127">
        <v>1</v>
      </c>
      <c r="CK127">
        <v>0</v>
      </c>
      <c r="CL127">
        <v>0</v>
      </c>
      <c r="CM127">
        <v>5</v>
      </c>
      <c r="CN127">
        <v>1</v>
      </c>
      <c r="CO127">
        <v>0</v>
      </c>
      <c r="CP127">
        <v>1</v>
      </c>
      <c r="CQ127">
        <v>2</v>
      </c>
      <c r="CR127">
        <v>1</v>
      </c>
      <c r="CS127">
        <v>948</v>
      </c>
      <c r="CT127">
        <v>0</v>
      </c>
      <c r="CU127">
        <v>0</v>
      </c>
      <c r="CV127">
        <v>0</v>
      </c>
      <c r="CW127">
        <v>1</v>
      </c>
      <c r="CX127">
        <v>9</v>
      </c>
      <c r="CY127">
        <v>50</v>
      </c>
      <c r="CZ127">
        <v>1</v>
      </c>
      <c r="DA127">
        <v>4</v>
      </c>
      <c r="DB127">
        <v>1</v>
      </c>
      <c r="DC127">
        <v>0</v>
      </c>
      <c r="DD127">
        <v>929</v>
      </c>
      <c r="DE127">
        <v>7</v>
      </c>
      <c r="DF127">
        <v>26</v>
      </c>
      <c r="DG127">
        <v>1</v>
      </c>
      <c r="DH127">
        <v>0</v>
      </c>
      <c r="DI127">
        <v>1</v>
      </c>
      <c r="DJ127">
        <v>0</v>
      </c>
      <c r="DK127">
        <v>0</v>
      </c>
      <c r="DL127">
        <v>1</v>
      </c>
      <c r="DM127">
        <v>1</v>
      </c>
      <c r="DN127">
        <v>1</v>
      </c>
      <c r="DO127">
        <v>965</v>
      </c>
      <c r="DP127">
        <v>4</v>
      </c>
      <c r="DQ127">
        <v>0</v>
      </c>
      <c r="DR127">
        <v>0</v>
      </c>
      <c r="DS127">
        <v>0</v>
      </c>
      <c r="DT127">
        <v>0</v>
      </c>
      <c r="DU127">
        <v>4</v>
      </c>
      <c r="DV127">
        <v>2</v>
      </c>
      <c r="DW127">
        <v>0</v>
      </c>
      <c r="DX127">
        <v>0</v>
      </c>
      <c r="DY127">
        <v>1</v>
      </c>
      <c r="DZ127">
        <v>1002</v>
      </c>
      <c r="EA127">
        <v>0.97689999999999999</v>
      </c>
      <c r="EB127">
        <v>0.97723214923596302</v>
      </c>
      <c r="EC127">
        <v>0.97713903166451099</v>
      </c>
      <c r="ED127">
        <v>0.97672260763696195</v>
      </c>
      <c r="EE127">
        <f>SUM(Table1[[#This Row],[ratio_0]:[ratio_9]])</f>
        <v>820</v>
      </c>
      <c r="EF127" s="1">
        <f>(Table1[[#This Row],[predicted_0]]-Table1[[#This Row],[actual_0]])/Table1[[#This Row],[actual_0]]</f>
        <v>2.0408163265306124E-3</v>
      </c>
      <c r="EG127" s="1">
        <f>(Table1[[#This Row],[predicted_1]]-Table1[[#This Row],[actual_1]])/Table1[[#This Row],[actual_1]]</f>
        <v>6.1674008810572688E-3</v>
      </c>
      <c r="EH127" s="1">
        <f>(Table1[[#This Row],[predicted_2]]-Table1[[#This Row],[actual_2]])/Table1[[#This Row],[actual_2]]</f>
        <v>5.232558139534884E-2</v>
      </c>
      <c r="EI127" s="1">
        <f>(Table1[[#This Row],[predicted_3]]-Table1[[#This Row],[actual_3]])/Table1[[#This Row],[actual_3]]</f>
        <v>-6.633663366336634E-2</v>
      </c>
      <c r="EJ127" s="1">
        <f>(Table1[[#This Row],[predicted_4]]-Table1[[#This Row],[actual_4]])/Table1[[#This Row],[actual_4]]</f>
        <v>0</v>
      </c>
      <c r="EK127" s="1">
        <f>(Table1[[#This Row],[predicted_5]]-Table1[[#This Row],[actual_5]])/Table1[[#This Row],[actual_5]]</f>
        <v>4.708520179372197E-2</v>
      </c>
      <c r="EL127" s="1">
        <f>(Table1[[#This Row],[predicted_6]]-Table1[[#This Row],[actual_6]])/Table1[[#This Row],[actual_6]]</f>
        <v>-3.1315240083507308E-3</v>
      </c>
      <c r="EM127" s="1">
        <f>(Table1[[#This Row],[predicted_7]]-Table1[[#This Row],[actual_7]])/Table1[[#This Row],[actual_7]]</f>
        <v>-8.5603112840466927E-2</v>
      </c>
      <c r="EN127" s="1">
        <f>(Table1[[#This Row],[predicted_8]]-Table1[[#This Row],[actual_8]])/Table1[[#This Row],[actual_8]]</f>
        <v>1.0266940451745379E-2</v>
      </c>
      <c r="EO127" s="1">
        <f>(Table1[[#This Row],[predicted_9]]-Table1[[#This Row],[actual_9]])/Table1[[#This Row],[actual_9]]</f>
        <v>4.261645193260654E-2</v>
      </c>
      <c r="EP127" s="1">
        <f>1+(Table1[[#This Row],[error_ratio_0]]-EF$2)</f>
        <v>1</v>
      </c>
      <c r="EQ127" s="1">
        <f>1+(Table1[[#This Row],[error_ratio_1]]-EG$2)</f>
        <v>1.0044052863436124</v>
      </c>
      <c r="ER127" s="1">
        <f>1+(Table1[[#This Row],[error_ratio_2]]-EH$2)</f>
        <v>1.057170542635659</v>
      </c>
      <c r="ES127" s="1">
        <f>1+(Table1[[#This Row],[error_ratio_3]]-EI$2)</f>
        <v>0.92376237623762381</v>
      </c>
      <c r="ET127" s="1">
        <f>1+(Table1[[#This Row],[error_ratio_4]]-EJ$2)</f>
        <v>0.99898167006109984</v>
      </c>
      <c r="EU127" s="1">
        <f>1+(Table1[[#This Row],[error_ratio_5]]-EK$2)</f>
        <v>1.0459641255605381</v>
      </c>
      <c r="EV127" s="1">
        <f>1+(Table1[[#This Row],[error_ratio_6]]-EL$2)</f>
        <v>1.0031315240083507</v>
      </c>
      <c r="EW127" s="1">
        <f>1+(Table1[[#This Row],[error_ratio_7]]-EM$2)</f>
        <v>0.91245136186770426</v>
      </c>
      <c r="EX127" s="1">
        <f>1+(Table1[[#This Row],[error_ratio_8]]-EN$2)</f>
        <v>1.0133470225872689</v>
      </c>
      <c r="EY127" s="1">
        <f>1+(Table1[[#This Row],[error_ratio_9]]-EO$2)</f>
        <v>1.0465807730426164</v>
      </c>
    </row>
    <row r="128" spans="1:155" x14ac:dyDescent="0.75">
      <c r="A128">
        <v>10</v>
      </c>
      <c r="B128">
        <v>100</v>
      </c>
      <c r="C128">
        <v>100</v>
      </c>
      <c r="D128">
        <v>10</v>
      </c>
      <c r="E128">
        <v>100</v>
      </c>
      <c r="F128">
        <v>100</v>
      </c>
      <c r="G128">
        <v>100</v>
      </c>
      <c r="H128">
        <v>10</v>
      </c>
      <c r="I128">
        <v>100</v>
      </c>
      <c r="J128">
        <v>100</v>
      </c>
      <c r="K128">
        <v>921</v>
      </c>
      <c r="L128">
        <v>1151</v>
      </c>
      <c r="M128">
        <v>1093</v>
      </c>
      <c r="N128">
        <v>941</v>
      </c>
      <c r="O128">
        <v>1010</v>
      </c>
      <c r="P128">
        <v>929</v>
      </c>
      <c r="Q128">
        <v>979</v>
      </c>
      <c r="R128">
        <v>989</v>
      </c>
      <c r="S128">
        <v>974</v>
      </c>
      <c r="T128">
        <v>1013</v>
      </c>
      <c r="U128">
        <v>980</v>
      </c>
      <c r="V128">
        <v>1135</v>
      </c>
      <c r="W128">
        <v>1032</v>
      </c>
      <c r="X128">
        <v>1010</v>
      </c>
      <c r="Y128">
        <v>982</v>
      </c>
      <c r="Z128">
        <v>892</v>
      </c>
      <c r="AA128">
        <v>958</v>
      </c>
      <c r="AB128">
        <v>1028</v>
      </c>
      <c r="AC128">
        <v>974</v>
      </c>
      <c r="AD128">
        <v>1009</v>
      </c>
      <c r="AE128">
        <v>919</v>
      </c>
      <c r="AF128">
        <v>1</v>
      </c>
      <c r="AG128">
        <v>9</v>
      </c>
      <c r="AH128">
        <v>0</v>
      </c>
      <c r="AI128">
        <v>9</v>
      </c>
      <c r="AJ128">
        <v>1</v>
      </c>
      <c r="AK128">
        <v>23</v>
      </c>
      <c r="AL128">
        <v>3</v>
      </c>
      <c r="AM128">
        <v>4</v>
      </c>
      <c r="AN128">
        <v>11</v>
      </c>
      <c r="AO128">
        <v>0</v>
      </c>
      <c r="AP128">
        <v>1130</v>
      </c>
      <c r="AQ128">
        <v>2</v>
      </c>
      <c r="AR128">
        <v>0</v>
      </c>
      <c r="AS128">
        <v>0</v>
      </c>
      <c r="AT128">
        <v>1</v>
      </c>
      <c r="AU128">
        <v>2</v>
      </c>
      <c r="AV128">
        <v>0</v>
      </c>
      <c r="AW128">
        <v>0</v>
      </c>
      <c r="AX128">
        <v>0</v>
      </c>
      <c r="AY128">
        <v>0</v>
      </c>
      <c r="AZ128">
        <v>2</v>
      </c>
      <c r="BA128">
        <v>1027</v>
      </c>
      <c r="BB128">
        <v>0</v>
      </c>
      <c r="BC128">
        <v>1</v>
      </c>
      <c r="BD128">
        <v>0</v>
      </c>
      <c r="BE128">
        <v>1</v>
      </c>
      <c r="BF128">
        <v>1</v>
      </c>
      <c r="BG128">
        <v>0</v>
      </c>
      <c r="BH128">
        <v>0</v>
      </c>
      <c r="BI128">
        <v>0</v>
      </c>
      <c r="BJ128">
        <v>0</v>
      </c>
      <c r="BK128">
        <v>10</v>
      </c>
      <c r="BL128">
        <v>938</v>
      </c>
      <c r="BM128">
        <v>0</v>
      </c>
      <c r="BN128">
        <v>39</v>
      </c>
      <c r="BO128">
        <v>0</v>
      </c>
      <c r="BP128">
        <v>12</v>
      </c>
      <c r="BQ128">
        <v>8</v>
      </c>
      <c r="BR128">
        <v>3</v>
      </c>
      <c r="BS128">
        <v>0</v>
      </c>
      <c r="BT128">
        <v>0</v>
      </c>
      <c r="BU128">
        <v>1</v>
      </c>
      <c r="BV128">
        <v>0</v>
      </c>
      <c r="BW128">
        <v>976</v>
      </c>
      <c r="BX128">
        <v>0</v>
      </c>
      <c r="BY128">
        <v>3</v>
      </c>
      <c r="BZ128">
        <v>0</v>
      </c>
      <c r="CA128">
        <v>0</v>
      </c>
      <c r="CB128">
        <v>2</v>
      </c>
      <c r="CC128">
        <v>1</v>
      </c>
      <c r="CD128">
        <v>0</v>
      </c>
      <c r="CE128">
        <v>1</v>
      </c>
      <c r="CF128">
        <v>2</v>
      </c>
      <c r="CG128">
        <v>0</v>
      </c>
      <c r="CH128">
        <v>881</v>
      </c>
      <c r="CI128">
        <v>4</v>
      </c>
      <c r="CJ128">
        <v>1</v>
      </c>
      <c r="CK128">
        <v>1</v>
      </c>
      <c r="CL128">
        <v>1</v>
      </c>
      <c r="CM128">
        <v>0</v>
      </c>
      <c r="CN128">
        <v>2</v>
      </c>
      <c r="CO128">
        <v>2</v>
      </c>
      <c r="CP128">
        <v>0</v>
      </c>
      <c r="CQ128">
        <v>9</v>
      </c>
      <c r="CR128">
        <v>1</v>
      </c>
      <c r="CS128">
        <v>943</v>
      </c>
      <c r="CT128">
        <v>0</v>
      </c>
      <c r="CU128">
        <v>1</v>
      </c>
      <c r="CV128">
        <v>0</v>
      </c>
      <c r="CW128">
        <v>1</v>
      </c>
      <c r="CX128">
        <v>14</v>
      </c>
      <c r="CY128">
        <v>31</v>
      </c>
      <c r="CZ128">
        <v>0</v>
      </c>
      <c r="DA128">
        <v>2</v>
      </c>
      <c r="DB128">
        <v>1</v>
      </c>
      <c r="DC128">
        <v>0</v>
      </c>
      <c r="DD128">
        <v>967</v>
      </c>
      <c r="DE128">
        <v>1</v>
      </c>
      <c r="DF128">
        <v>11</v>
      </c>
      <c r="DG128">
        <v>0</v>
      </c>
      <c r="DH128">
        <v>0</v>
      </c>
      <c r="DI128">
        <v>7</v>
      </c>
      <c r="DJ128">
        <v>1</v>
      </c>
      <c r="DK128">
        <v>0</v>
      </c>
      <c r="DL128">
        <v>0</v>
      </c>
      <c r="DM128">
        <v>3</v>
      </c>
      <c r="DN128">
        <v>2</v>
      </c>
      <c r="DO128">
        <v>957</v>
      </c>
      <c r="DP128">
        <v>4</v>
      </c>
      <c r="DQ128">
        <v>0</v>
      </c>
      <c r="DR128">
        <v>2</v>
      </c>
      <c r="DS128">
        <v>3</v>
      </c>
      <c r="DT128">
        <v>0</v>
      </c>
      <c r="DU128">
        <v>13</v>
      </c>
      <c r="DV128">
        <v>5</v>
      </c>
      <c r="DW128">
        <v>0</v>
      </c>
      <c r="DX128">
        <v>3</v>
      </c>
      <c r="DY128">
        <v>2</v>
      </c>
      <c r="DZ128">
        <v>981</v>
      </c>
      <c r="EA128">
        <v>0.97189999999999999</v>
      </c>
      <c r="EB128">
        <v>0.97226192091640495</v>
      </c>
      <c r="EC128">
        <v>0.97185757195650302</v>
      </c>
      <c r="ED128">
        <v>0.97165452905683303</v>
      </c>
      <c r="EE128">
        <f>SUM(Table1[[#This Row],[ratio_0]:[ratio_9]])</f>
        <v>730</v>
      </c>
      <c r="EF128" s="1">
        <f>(Table1[[#This Row],[predicted_0]]-Table1[[#This Row],[actual_0]])/Table1[[#This Row],[actual_0]]</f>
        <v>-6.0204081632653061E-2</v>
      </c>
      <c r="EG128" s="1">
        <f>(Table1[[#This Row],[predicted_1]]-Table1[[#This Row],[actual_1]])/Table1[[#This Row],[actual_1]]</f>
        <v>1.4096916299559472E-2</v>
      </c>
      <c r="EH128" s="1">
        <f>(Table1[[#This Row],[predicted_2]]-Table1[[#This Row],[actual_2]])/Table1[[#This Row],[actual_2]]</f>
        <v>5.9108527131782947E-2</v>
      </c>
      <c r="EI128" s="1">
        <f>(Table1[[#This Row],[predicted_3]]-Table1[[#This Row],[actual_3]])/Table1[[#This Row],[actual_3]]</f>
        <v>-6.8316831683168322E-2</v>
      </c>
      <c r="EJ128" s="1">
        <f>(Table1[[#This Row],[predicted_4]]-Table1[[#This Row],[actual_4]])/Table1[[#This Row],[actual_4]]</f>
        <v>2.8513238289205704E-2</v>
      </c>
      <c r="EK128" s="1">
        <f>(Table1[[#This Row],[predicted_5]]-Table1[[#This Row],[actual_5]])/Table1[[#This Row],[actual_5]]</f>
        <v>4.1479820627802692E-2</v>
      </c>
      <c r="EL128" s="1">
        <f>(Table1[[#This Row],[predicted_6]]-Table1[[#This Row],[actual_6]])/Table1[[#This Row],[actual_6]]</f>
        <v>2.1920668058455117E-2</v>
      </c>
      <c r="EM128" s="1">
        <f>(Table1[[#This Row],[predicted_7]]-Table1[[#This Row],[actual_7]])/Table1[[#This Row],[actual_7]]</f>
        <v>-3.7937743190661476E-2</v>
      </c>
      <c r="EN128" s="1">
        <f>(Table1[[#This Row],[predicted_8]]-Table1[[#This Row],[actual_8]])/Table1[[#This Row],[actual_8]]</f>
        <v>0</v>
      </c>
      <c r="EO128" s="1">
        <f>(Table1[[#This Row],[predicted_9]]-Table1[[#This Row],[actual_9]])/Table1[[#This Row],[actual_9]]</f>
        <v>3.9643211100099107E-3</v>
      </c>
      <c r="EP128" s="1">
        <f>1+(Table1[[#This Row],[error_ratio_0]]-EF$2)</f>
        <v>0.93775510204081636</v>
      </c>
      <c r="EQ128" s="1">
        <f>1+(Table1[[#This Row],[error_ratio_1]]-EG$2)</f>
        <v>1.0123348017621145</v>
      </c>
      <c r="ER128" s="1">
        <f>1+(Table1[[#This Row],[error_ratio_2]]-EH$2)</f>
        <v>1.0639534883720931</v>
      </c>
      <c r="ES128" s="1">
        <f>1+(Table1[[#This Row],[error_ratio_3]]-EI$2)</f>
        <v>0.92178217821782182</v>
      </c>
      <c r="ET128" s="1">
        <f>1+(Table1[[#This Row],[error_ratio_4]]-EJ$2)</f>
        <v>1.0274949083503055</v>
      </c>
      <c r="EU128" s="1">
        <f>1+(Table1[[#This Row],[error_ratio_5]]-EK$2)</f>
        <v>1.0403587443946187</v>
      </c>
      <c r="EV128" s="1">
        <f>1+(Table1[[#This Row],[error_ratio_6]]-EL$2)</f>
        <v>1.0281837160751566</v>
      </c>
      <c r="EW128" s="1">
        <f>1+(Table1[[#This Row],[error_ratio_7]]-EM$2)</f>
        <v>0.96011673151750976</v>
      </c>
      <c r="EX128" s="1">
        <f>1+(Table1[[#This Row],[error_ratio_8]]-EN$2)</f>
        <v>1.0030800821355237</v>
      </c>
      <c r="EY128" s="1">
        <f>1+(Table1[[#This Row],[error_ratio_9]]-EO$2)</f>
        <v>1.0079286422200198</v>
      </c>
    </row>
    <row r="129" spans="1:155" x14ac:dyDescent="0.75">
      <c r="A129">
        <v>100</v>
      </c>
      <c r="B129">
        <v>10</v>
      </c>
      <c r="C129">
        <v>100</v>
      </c>
      <c r="D129">
        <v>10</v>
      </c>
      <c r="E129">
        <v>100</v>
      </c>
      <c r="F129">
        <v>100</v>
      </c>
      <c r="G129">
        <v>100</v>
      </c>
      <c r="H129">
        <v>10</v>
      </c>
      <c r="I129">
        <v>100</v>
      </c>
      <c r="J129">
        <v>100</v>
      </c>
      <c r="K129">
        <v>992</v>
      </c>
      <c r="L129">
        <v>1110</v>
      </c>
      <c r="M129">
        <v>1048</v>
      </c>
      <c r="N129">
        <v>981</v>
      </c>
      <c r="O129">
        <v>981</v>
      </c>
      <c r="P129">
        <v>898</v>
      </c>
      <c r="Q129">
        <v>954</v>
      </c>
      <c r="R129">
        <v>923</v>
      </c>
      <c r="S129">
        <v>1045</v>
      </c>
      <c r="T129">
        <v>1068</v>
      </c>
      <c r="U129">
        <v>980</v>
      </c>
      <c r="V129">
        <v>1135</v>
      </c>
      <c r="W129">
        <v>1032</v>
      </c>
      <c r="X129">
        <v>1010</v>
      </c>
      <c r="Y129">
        <v>982</v>
      </c>
      <c r="Z129">
        <v>892</v>
      </c>
      <c r="AA129">
        <v>958</v>
      </c>
      <c r="AB129">
        <v>1028</v>
      </c>
      <c r="AC129">
        <v>974</v>
      </c>
      <c r="AD129">
        <v>1009</v>
      </c>
      <c r="AE129">
        <v>976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1</v>
      </c>
      <c r="AL129">
        <v>0</v>
      </c>
      <c r="AM129">
        <v>2</v>
      </c>
      <c r="AN129">
        <v>1</v>
      </c>
      <c r="AO129">
        <v>0</v>
      </c>
      <c r="AP129">
        <v>1108</v>
      </c>
      <c r="AQ129">
        <v>5</v>
      </c>
      <c r="AR129">
        <v>5</v>
      </c>
      <c r="AS129">
        <v>1</v>
      </c>
      <c r="AT129">
        <v>0</v>
      </c>
      <c r="AU129">
        <v>4</v>
      </c>
      <c r="AV129">
        <v>2</v>
      </c>
      <c r="AW129">
        <v>8</v>
      </c>
      <c r="AX129">
        <v>2</v>
      </c>
      <c r="AY129">
        <v>1</v>
      </c>
      <c r="AZ129">
        <v>0</v>
      </c>
      <c r="BA129">
        <v>1021</v>
      </c>
      <c r="BB129">
        <v>2</v>
      </c>
      <c r="BC129">
        <v>0</v>
      </c>
      <c r="BD129">
        <v>0</v>
      </c>
      <c r="BE129">
        <v>0</v>
      </c>
      <c r="BF129">
        <v>2</v>
      </c>
      <c r="BG129">
        <v>6</v>
      </c>
      <c r="BH129">
        <v>0</v>
      </c>
      <c r="BI129">
        <v>0</v>
      </c>
      <c r="BJ129">
        <v>0</v>
      </c>
      <c r="BK129">
        <v>1</v>
      </c>
      <c r="BL129">
        <v>965</v>
      </c>
      <c r="BM129">
        <v>0</v>
      </c>
      <c r="BN129">
        <v>13</v>
      </c>
      <c r="BO129">
        <v>0</v>
      </c>
      <c r="BP129">
        <v>5</v>
      </c>
      <c r="BQ129">
        <v>22</v>
      </c>
      <c r="BR129">
        <v>4</v>
      </c>
      <c r="BS129">
        <v>0</v>
      </c>
      <c r="BT129">
        <v>0</v>
      </c>
      <c r="BU129">
        <v>0</v>
      </c>
      <c r="BV129">
        <v>0</v>
      </c>
      <c r="BW129">
        <v>972</v>
      </c>
      <c r="BX129">
        <v>0</v>
      </c>
      <c r="BY129">
        <v>5</v>
      </c>
      <c r="BZ129">
        <v>0</v>
      </c>
      <c r="CA129">
        <v>0</v>
      </c>
      <c r="CB129">
        <v>5</v>
      </c>
      <c r="CC129">
        <v>2</v>
      </c>
      <c r="CD129">
        <v>0</v>
      </c>
      <c r="CE129">
        <v>0</v>
      </c>
      <c r="CF129">
        <v>2</v>
      </c>
      <c r="CG129">
        <v>0</v>
      </c>
      <c r="CH129">
        <v>878</v>
      </c>
      <c r="CI129">
        <v>1</v>
      </c>
      <c r="CJ129">
        <v>0</v>
      </c>
      <c r="CK129">
        <v>9</v>
      </c>
      <c r="CL129">
        <v>0</v>
      </c>
      <c r="CM129">
        <v>5</v>
      </c>
      <c r="CN129">
        <v>1</v>
      </c>
      <c r="CO129">
        <v>0</v>
      </c>
      <c r="CP129">
        <v>0</v>
      </c>
      <c r="CQ129">
        <v>1</v>
      </c>
      <c r="CR129">
        <v>1</v>
      </c>
      <c r="CS129">
        <v>941</v>
      </c>
      <c r="CT129">
        <v>0</v>
      </c>
      <c r="CU129">
        <v>9</v>
      </c>
      <c r="CV129">
        <v>0</v>
      </c>
      <c r="CW129">
        <v>5</v>
      </c>
      <c r="CX129">
        <v>1</v>
      </c>
      <c r="CY129">
        <v>21</v>
      </c>
      <c r="CZ129">
        <v>7</v>
      </c>
      <c r="DA129">
        <v>2</v>
      </c>
      <c r="DB129">
        <v>3</v>
      </c>
      <c r="DC129">
        <v>1</v>
      </c>
      <c r="DD129">
        <v>914</v>
      </c>
      <c r="DE129">
        <v>12</v>
      </c>
      <c r="DF129">
        <v>62</v>
      </c>
      <c r="DG129">
        <v>1</v>
      </c>
      <c r="DH129">
        <v>0</v>
      </c>
      <c r="DI129">
        <v>0</v>
      </c>
      <c r="DJ129">
        <v>0</v>
      </c>
      <c r="DK129">
        <v>0</v>
      </c>
      <c r="DL129">
        <v>0</v>
      </c>
      <c r="DM129">
        <v>1</v>
      </c>
      <c r="DN129">
        <v>0</v>
      </c>
      <c r="DO129">
        <v>971</v>
      </c>
      <c r="DP129">
        <v>1</v>
      </c>
      <c r="DQ129">
        <v>2</v>
      </c>
      <c r="DR129">
        <v>0</v>
      </c>
      <c r="DS129">
        <v>0</v>
      </c>
      <c r="DT129">
        <v>0</v>
      </c>
      <c r="DU129">
        <v>5</v>
      </c>
      <c r="DV129">
        <v>3</v>
      </c>
      <c r="DW129">
        <v>0</v>
      </c>
      <c r="DX129">
        <v>0</v>
      </c>
      <c r="DY129">
        <v>6</v>
      </c>
      <c r="DZ129">
        <v>993</v>
      </c>
      <c r="EA129">
        <v>0.97389999999999999</v>
      </c>
      <c r="EB129">
        <v>0.97441341292637496</v>
      </c>
      <c r="EC129">
        <v>0.974346047333983</v>
      </c>
      <c r="ED129">
        <v>0.97386739871460803</v>
      </c>
      <c r="EE129">
        <f>SUM(Table1[[#This Row],[ratio_0]:[ratio_9]])</f>
        <v>730</v>
      </c>
      <c r="EF129" s="1">
        <f>(Table1[[#This Row],[predicted_0]]-Table1[[#This Row],[actual_0]])/Table1[[#This Row],[actual_0]]</f>
        <v>1.2244897959183673E-2</v>
      </c>
      <c r="EG129" s="1">
        <f>(Table1[[#This Row],[predicted_1]]-Table1[[#This Row],[actual_1]])/Table1[[#This Row],[actual_1]]</f>
        <v>-2.2026431718061675E-2</v>
      </c>
      <c r="EH129" s="1">
        <f>(Table1[[#This Row],[predicted_2]]-Table1[[#This Row],[actual_2]])/Table1[[#This Row],[actual_2]]</f>
        <v>1.5503875968992248E-2</v>
      </c>
      <c r="EI129" s="1">
        <f>(Table1[[#This Row],[predicted_3]]-Table1[[#This Row],[actual_3]])/Table1[[#This Row],[actual_3]]</f>
        <v>-2.8712871287128714E-2</v>
      </c>
      <c r="EJ129" s="1">
        <f>(Table1[[#This Row],[predicted_4]]-Table1[[#This Row],[actual_4]])/Table1[[#This Row],[actual_4]]</f>
        <v>-1.0183299389002036E-3</v>
      </c>
      <c r="EK129" s="1">
        <f>(Table1[[#This Row],[predicted_5]]-Table1[[#This Row],[actual_5]])/Table1[[#This Row],[actual_5]]</f>
        <v>6.7264573991031393E-3</v>
      </c>
      <c r="EL129" s="1">
        <f>(Table1[[#This Row],[predicted_6]]-Table1[[#This Row],[actual_6]])/Table1[[#This Row],[actual_6]]</f>
        <v>-4.1753653444676405E-3</v>
      </c>
      <c r="EM129" s="1">
        <f>(Table1[[#This Row],[predicted_7]]-Table1[[#This Row],[actual_7]])/Table1[[#This Row],[actual_7]]</f>
        <v>-0.10214007782101167</v>
      </c>
      <c r="EN129" s="1">
        <f>(Table1[[#This Row],[predicted_8]]-Table1[[#This Row],[actual_8]])/Table1[[#This Row],[actual_8]]</f>
        <v>7.2895277207392195E-2</v>
      </c>
      <c r="EO129" s="1">
        <f>(Table1[[#This Row],[predicted_9]]-Table1[[#This Row],[actual_9]])/Table1[[#This Row],[actual_9]]</f>
        <v>5.8473736372646183E-2</v>
      </c>
      <c r="EP129" s="1">
        <f>1+(Table1[[#This Row],[error_ratio_0]]-EF$2)</f>
        <v>1.010204081632653</v>
      </c>
      <c r="EQ129" s="1">
        <f>1+(Table1[[#This Row],[error_ratio_1]]-EG$2)</f>
        <v>0.97621145374449336</v>
      </c>
      <c r="ER129" s="1">
        <f>1+(Table1[[#This Row],[error_ratio_2]]-EH$2)</f>
        <v>1.0203488372093024</v>
      </c>
      <c r="ES129" s="1">
        <f>1+(Table1[[#This Row],[error_ratio_3]]-EI$2)</f>
        <v>0.96138613861386135</v>
      </c>
      <c r="ET129" s="1">
        <f>1+(Table1[[#This Row],[error_ratio_4]]-EJ$2)</f>
        <v>0.99796334012219956</v>
      </c>
      <c r="EU129" s="1">
        <f>1+(Table1[[#This Row],[error_ratio_5]]-EK$2)</f>
        <v>1.0056053811659194</v>
      </c>
      <c r="EV129" s="1">
        <f>1+(Table1[[#This Row],[error_ratio_6]]-EL$2)</f>
        <v>1.0020876826722338</v>
      </c>
      <c r="EW129" s="1">
        <f>1+(Table1[[#This Row],[error_ratio_7]]-EM$2)</f>
        <v>0.89591439688715957</v>
      </c>
      <c r="EX129" s="1">
        <f>1+(Table1[[#This Row],[error_ratio_8]]-EN$2)</f>
        <v>1.0759753593429158</v>
      </c>
      <c r="EY129" s="1">
        <f>1+(Table1[[#This Row],[error_ratio_9]]-EO$2)</f>
        <v>1.0624380574826562</v>
      </c>
    </row>
    <row r="130" spans="1:155" x14ac:dyDescent="0.75">
      <c r="A130">
        <v>10</v>
      </c>
      <c r="B130">
        <v>10</v>
      </c>
      <c r="C130">
        <v>100</v>
      </c>
      <c r="D130">
        <v>10</v>
      </c>
      <c r="E130">
        <v>100</v>
      </c>
      <c r="F130">
        <v>100</v>
      </c>
      <c r="G130">
        <v>100</v>
      </c>
      <c r="H130">
        <v>10</v>
      </c>
      <c r="I130">
        <v>100</v>
      </c>
      <c r="J130">
        <v>100</v>
      </c>
      <c r="K130">
        <v>944</v>
      </c>
      <c r="L130">
        <v>1125</v>
      </c>
      <c r="M130">
        <v>1112</v>
      </c>
      <c r="N130">
        <v>989</v>
      </c>
      <c r="O130">
        <v>986</v>
      </c>
      <c r="P130">
        <v>908</v>
      </c>
      <c r="Q130">
        <v>968</v>
      </c>
      <c r="R130">
        <v>970</v>
      </c>
      <c r="S130">
        <v>976</v>
      </c>
      <c r="T130">
        <v>1022</v>
      </c>
      <c r="U130">
        <v>980</v>
      </c>
      <c r="V130">
        <v>1135</v>
      </c>
      <c r="W130">
        <v>1032</v>
      </c>
      <c r="X130">
        <v>1010</v>
      </c>
      <c r="Y130">
        <v>982</v>
      </c>
      <c r="Z130">
        <v>892</v>
      </c>
      <c r="AA130">
        <v>958</v>
      </c>
      <c r="AB130">
        <v>1028</v>
      </c>
      <c r="AC130">
        <v>974</v>
      </c>
      <c r="AD130">
        <v>1009</v>
      </c>
      <c r="AE130">
        <v>939</v>
      </c>
      <c r="AF130">
        <v>0</v>
      </c>
      <c r="AG130">
        <v>12</v>
      </c>
      <c r="AH130">
        <v>0</v>
      </c>
      <c r="AI130">
        <v>4</v>
      </c>
      <c r="AJ130">
        <v>1</v>
      </c>
      <c r="AK130">
        <v>9</v>
      </c>
      <c r="AL130">
        <v>1</v>
      </c>
      <c r="AM130">
        <v>5</v>
      </c>
      <c r="AN130">
        <v>9</v>
      </c>
      <c r="AO130">
        <v>0</v>
      </c>
      <c r="AP130">
        <v>1119</v>
      </c>
      <c r="AQ130">
        <v>4</v>
      </c>
      <c r="AR130">
        <v>7</v>
      </c>
      <c r="AS130">
        <v>0</v>
      </c>
      <c r="AT130">
        <v>0</v>
      </c>
      <c r="AU130">
        <v>2</v>
      </c>
      <c r="AV130">
        <v>0</v>
      </c>
      <c r="AW130">
        <v>2</v>
      </c>
      <c r="AX130">
        <v>1</v>
      </c>
      <c r="AY130">
        <v>0</v>
      </c>
      <c r="AZ130">
        <v>1</v>
      </c>
      <c r="BA130">
        <v>1026</v>
      </c>
      <c r="BB130">
        <v>0</v>
      </c>
      <c r="BC130">
        <v>1</v>
      </c>
      <c r="BD130">
        <v>0</v>
      </c>
      <c r="BE130">
        <v>0</v>
      </c>
      <c r="BF130">
        <v>3</v>
      </c>
      <c r="BG130">
        <v>1</v>
      </c>
      <c r="BH130">
        <v>0</v>
      </c>
      <c r="BI130">
        <v>0</v>
      </c>
      <c r="BJ130">
        <v>0</v>
      </c>
      <c r="BK130">
        <v>12</v>
      </c>
      <c r="BL130">
        <v>967</v>
      </c>
      <c r="BM130">
        <v>0</v>
      </c>
      <c r="BN130">
        <v>21</v>
      </c>
      <c r="BO130">
        <v>0</v>
      </c>
      <c r="BP130">
        <v>5</v>
      </c>
      <c r="BQ130">
        <v>4</v>
      </c>
      <c r="BR130">
        <v>1</v>
      </c>
      <c r="BS130">
        <v>0</v>
      </c>
      <c r="BT130">
        <v>0</v>
      </c>
      <c r="BU130">
        <v>1</v>
      </c>
      <c r="BV130">
        <v>0</v>
      </c>
      <c r="BW130">
        <v>969</v>
      </c>
      <c r="BX130">
        <v>0</v>
      </c>
      <c r="BY130">
        <v>3</v>
      </c>
      <c r="BZ130">
        <v>0</v>
      </c>
      <c r="CA130">
        <v>1</v>
      </c>
      <c r="CB130">
        <v>8</v>
      </c>
      <c r="CC130">
        <v>1</v>
      </c>
      <c r="CD130">
        <v>0</v>
      </c>
      <c r="CE130">
        <v>1</v>
      </c>
      <c r="CF130">
        <v>2</v>
      </c>
      <c r="CG130">
        <v>0</v>
      </c>
      <c r="CH130">
        <v>879</v>
      </c>
      <c r="CI130">
        <v>4</v>
      </c>
      <c r="CJ130">
        <v>0</v>
      </c>
      <c r="CK130">
        <v>3</v>
      </c>
      <c r="CL130">
        <v>2</v>
      </c>
      <c r="CM130">
        <v>2</v>
      </c>
      <c r="CN130">
        <v>1</v>
      </c>
      <c r="CO130">
        <v>2</v>
      </c>
      <c r="CP130">
        <v>0</v>
      </c>
      <c r="CQ130">
        <v>1</v>
      </c>
      <c r="CR130">
        <v>1</v>
      </c>
      <c r="CS130">
        <v>950</v>
      </c>
      <c r="CT130">
        <v>0</v>
      </c>
      <c r="CU130">
        <v>1</v>
      </c>
      <c r="CV130">
        <v>0</v>
      </c>
      <c r="CW130">
        <v>1</v>
      </c>
      <c r="CX130">
        <v>3</v>
      </c>
      <c r="CY130">
        <v>42</v>
      </c>
      <c r="CZ130">
        <v>9</v>
      </c>
      <c r="DA130">
        <v>3</v>
      </c>
      <c r="DB130">
        <v>3</v>
      </c>
      <c r="DC130">
        <v>0</v>
      </c>
      <c r="DD130">
        <v>955</v>
      </c>
      <c r="DE130">
        <v>3</v>
      </c>
      <c r="DF130">
        <v>9</v>
      </c>
      <c r="DG130">
        <v>1</v>
      </c>
      <c r="DH130">
        <v>0</v>
      </c>
      <c r="DI130">
        <v>9</v>
      </c>
      <c r="DJ130">
        <v>1</v>
      </c>
      <c r="DK130">
        <v>1</v>
      </c>
      <c r="DL130">
        <v>1</v>
      </c>
      <c r="DM130">
        <v>0</v>
      </c>
      <c r="DN130">
        <v>2</v>
      </c>
      <c r="DO130">
        <v>955</v>
      </c>
      <c r="DP130">
        <v>4</v>
      </c>
      <c r="DQ130">
        <v>0</v>
      </c>
      <c r="DR130">
        <v>1</v>
      </c>
      <c r="DS130">
        <v>3</v>
      </c>
      <c r="DT130">
        <v>3</v>
      </c>
      <c r="DU130">
        <v>7</v>
      </c>
      <c r="DV130">
        <v>2</v>
      </c>
      <c r="DW130">
        <v>0</v>
      </c>
      <c r="DX130">
        <v>4</v>
      </c>
      <c r="DY130">
        <v>1</v>
      </c>
      <c r="DZ130">
        <v>988</v>
      </c>
      <c r="EA130">
        <v>0.97470000000000001</v>
      </c>
      <c r="EB130">
        <v>0.97517640760395896</v>
      </c>
      <c r="EC130">
        <v>0.97481835813287998</v>
      </c>
      <c r="ED130">
        <v>0.97472164197769395</v>
      </c>
      <c r="EE130">
        <f>SUM(Table1[[#This Row],[ratio_0]:[ratio_9]])</f>
        <v>640</v>
      </c>
      <c r="EF130" s="1">
        <f>(Table1[[#This Row],[predicted_0]]-Table1[[#This Row],[actual_0]])/Table1[[#This Row],[actual_0]]</f>
        <v>-3.6734693877551024E-2</v>
      </c>
      <c r="EG130" s="1">
        <f>(Table1[[#This Row],[predicted_1]]-Table1[[#This Row],[actual_1]])/Table1[[#This Row],[actual_1]]</f>
        <v>-8.8105726872246704E-3</v>
      </c>
      <c r="EH130" s="1">
        <f>(Table1[[#This Row],[predicted_2]]-Table1[[#This Row],[actual_2]])/Table1[[#This Row],[actual_2]]</f>
        <v>7.7519379844961239E-2</v>
      </c>
      <c r="EI130" s="1">
        <f>(Table1[[#This Row],[predicted_3]]-Table1[[#This Row],[actual_3]])/Table1[[#This Row],[actual_3]]</f>
        <v>-2.0792079207920793E-2</v>
      </c>
      <c r="EJ130" s="1">
        <f>(Table1[[#This Row],[predicted_4]]-Table1[[#This Row],[actual_4]])/Table1[[#This Row],[actual_4]]</f>
        <v>4.0733197556008143E-3</v>
      </c>
      <c r="EK130" s="1">
        <f>(Table1[[#This Row],[predicted_5]]-Table1[[#This Row],[actual_5]])/Table1[[#This Row],[actual_5]]</f>
        <v>1.7937219730941704E-2</v>
      </c>
      <c r="EL130" s="1">
        <f>(Table1[[#This Row],[predicted_6]]-Table1[[#This Row],[actual_6]])/Table1[[#This Row],[actual_6]]</f>
        <v>1.0438413361169102E-2</v>
      </c>
      <c r="EM130" s="1">
        <f>(Table1[[#This Row],[predicted_7]]-Table1[[#This Row],[actual_7]])/Table1[[#This Row],[actual_7]]</f>
        <v>-5.642023346303502E-2</v>
      </c>
      <c r="EN130" s="1">
        <f>(Table1[[#This Row],[predicted_8]]-Table1[[#This Row],[actual_8]])/Table1[[#This Row],[actual_8]]</f>
        <v>2.0533880903490761E-3</v>
      </c>
      <c r="EO130" s="1">
        <f>(Table1[[#This Row],[predicted_9]]-Table1[[#This Row],[actual_9]])/Table1[[#This Row],[actual_9]]</f>
        <v>1.288404360753221E-2</v>
      </c>
      <c r="EP130" s="1">
        <f>1+(Table1[[#This Row],[error_ratio_0]]-EF$2)</f>
        <v>0.96122448979591835</v>
      </c>
      <c r="EQ130" s="1">
        <f>1+(Table1[[#This Row],[error_ratio_1]]-EG$2)</f>
        <v>0.98942731277533036</v>
      </c>
      <c r="ER130" s="1">
        <f>1+(Table1[[#This Row],[error_ratio_2]]-EH$2)</f>
        <v>1.0823643410852712</v>
      </c>
      <c r="ES130" s="1">
        <f>1+(Table1[[#This Row],[error_ratio_3]]-EI$2)</f>
        <v>0.96930693069306928</v>
      </c>
      <c r="ET130" s="1">
        <f>1+(Table1[[#This Row],[error_ratio_4]]-EJ$2)</f>
        <v>1.0030549898167007</v>
      </c>
      <c r="EU130" s="1">
        <f>1+(Table1[[#This Row],[error_ratio_5]]-EK$2)</f>
        <v>1.0168161434977578</v>
      </c>
      <c r="EV130" s="1">
        <f>1+(Table1[[#This Row],[error_ratio_6]]-EL$2)</f>
        <v>1.0167014613778707</v>
      </c>
      <c r="EW130" s="1">
        <f>1+(Table1[[#This Row],[error_ratio_7]]-EM$2)</f>
        <v>0.94163424124513617</v>
      </c>
      <c r="EX130" s="1">
        <f>1+(Table1[[#This Row],[error_ratio_8]]-EN$2)</f>
        <v>1.0051334702258727</v>
      </c>
      <c r="EY130" s="1">
        <f>1+(Table1[[#This Row],[error_ratio_9]]-EO$2)</f>
        <v>1.0168483647175421</v>
      </c>
    </row>
    <row r="131" spans="1:155" x14ac:dyDescent="0.75">
      <c r="A131">
        <v>100</v>
      </c>
      <c r="B131">
        <v>100</v>
      </c>
      <c r="C131">
        <v>10</v>
      </c>
      <c r="D131">
        <v>10</v>
      </c>
      <c r="E131">
        <v>100</v>
      </c>
      <c r="F131">
        <v>100</v>
      </c>
      <c r="G131">
        <v>100</v>
      </c>
      <c r="H131">
        <v>10</v>
      </c>
      <c r="I131">
        <v>100</v>
      </c>
      <c r="J131">
        <v>100</v>
      </c>
      <c r="K131">
        <v>989</v>
      </c>
      <c r="L131">
        <v>1141</v>
      </c>
      <c r="M131">
        <v>988</v>
      </c>
      <c r="N131">
        <v>977</v>
      </c>
      <c r="O131">
        <v>1000</v>
      </c>
      <c r="P131">
        <v>909</v>
      </c>
      <c r="Q131">
        <v>965</v>
      </c>
      <c r="R131">
        <v>993</v>
      </c>
      <c r="S131">
        <v>1029</v>
      </c>
      <c r="T131">
        <v>1009</v>
      </c>
      <c r="U131">
        <v>980</v>
      </c>
      <c r="V131">
        <v>1135</v>
      </c>
      <c r="W131">
        <v>1032</v>
      </c>
      <c r="X131">
        <v>1010</v>
      </c>
      <c r="Y131">
        <v>982</v>
      </c>
      <c r="Z131">
        <v>892</v>
      </c>
      <c r="AA131">
        <v>958</v>
      </c>
      <c r="AB131">
        <v>1028</v>
      </c>
      <c r="AC131">
        <v>974</v>
      </c>
      <c r="AD131">
        <v>1009</v>
      </c>
      <c r="AE131">
        <v>969</v>
      </c>
      <c r="AF131">
        <v>0</v>
      </c>
      <c r="AG131">
        <v>0</v>
      </c>
      <c r="AH131">
        <v>0</v>
      </c>
      <c r="AI131">
        <v>1</v>
      </c>
      <c r="AJ131">
        <v>1</v>
      </c>
      <c r="AK131">
        <v>4</v>
      </c>
      <c r="AL131">
        <v>1</v>
      </c>
      <c r="AM131">
        <v>3</v>
      </c>
      <c r="AN131">
        <v>1</v>
      </c>
      <c r="AO131">
        <v>0</v>
      </c>
      <c r="AP131">
        <v>1123</v>
      </c>
      <c r="AQ131">
        <v>0</v>
      </c>
      <c r="AR131">
        <v>2</v>
      </c>
      <c r="AS131">
        <v>0</v>
      </c>
      <c r="AT131">
        <v>0</v>
      </c>
      <c r="AU131">
        <v>2</v>
      </c>
      <c r="AV131">
        <v>0</v>
      </c>
      <c r="AW131">
        <v>8</v>
      </c>
      <c r="AX131">
        <v>0</v>
      </c>
      <c r="AY131">
        <v>7</v>
      </c>
      <c r="AZ131">
        <v>8</v>
      </c>
      <c r="BA131">
        <v>974</v>
      </c>
      <c r="BB131">
        <v>1</v>
      </c>
      <c r="BC131">
        <v>8</v>
      </c>
      <c r="BD131">
        <v>0</v>
      </c>
      <c r="BE131">
        <v>3</v>
      </c>
      <c r="BF131">
        <v>8</v>
      </c>
      <c r="BG131">
        <v>23</v>
      </c>
      <c r="BH131">
        <v>0</v>
      </c>
      <c r="BI131">
        <v>1</v>
      </c>
      <c r="BJ131">
        <v>0</v>
      </c>
      <c r="BK131">
        <v>1</v>
      </c>
      <c r="BL131">
        <v>969</v>
      </c>
      <c r="BM131">
        <v>0</v>
      </c>
      <c r="BN131">
        <v>20</v>
      </c>
      <c r="BO131">
        <v>0</v>
      </c>
      <c r="BP131">
        <v>5</v>
      </c>
      <c r="BQ131">
        <v>11</v>
      </c>
      <c r="BR131">
        <v>3</v>
      </c>
      <c r="BS131">
        <v>0</v>
      </c>
      <c r="BT131">
        <v>0</v>
      </c>
      <c r="BU131">
        <v>0</v>
      </c>
      <c r="BV131">
        <v>0</v>
      </c>
      <c r="BW131">
        <v>976</v>
      </c>
      <c r="BX131">
        <v>0</v>
      </c>
      <c r="BY131">
        <v>2</v>
      </c>
      <c r="BZ131">
        <v>0</v>
      </c>
      <c r="CA131">
        <v>1</v>
      </c>
      <c r="CB131">
        <v>3</v>
      </c>
      <c r="CC131">
        <v>2</v>
      </c>
      <c r="CD131">
        <v>0</v>
      </c>
      <c r="CE131">
        <v>0</v>
      </c>
      <c r="CF131">
        <v>2</v>
      </c>
      <c r="CG131">
        <v>0</v>
      </c>
      <c r="CH131">
        <v>882</v>
      </c>
      <c r="CI131">
        <v>3</v>
      </c>
      <c r="CJ131">
        <v>1</v>
      </c>
      <c r="CK131">
        <v>2</v>
      </c>
      <c r="CL131">
        <v>0</v>
      </c>
      <c r="CM131">
        <v>4</v>
      </c>
      <c r="CN131">
        <v>1</v>
      </c>
      <c r="CO131">
        <v>0</v>
      </c>
      <c r="CP131">
        <v>0</v>
      </c>
      <c r="CQ131">
        <v>4</v>
      </c>
      <c r="CR131">
        <v>1</v>
      </c>
      <c r="CS131">
        <v>948</v>
      </c>
      <c r="CT131">
        <v>0</v>
      </c>
      <c r="CU131">
        <v>0</v>
      </c>
      <c r="CV131">
        <v>0</v>
      </c>
      <c r="CW131">
        <v>2</v>
      </c>
      <c r="CX131">
        <v>7</v>
      </c>
      <c r="CY131">
        <v>13</v>
      </c>
      <c r="CZ131">
        <v>1</v>
      </c>
      <c r="DA131">
        <v>6</v>
      </c>
      <c r="DB131">
        <v>3</v>
      </c>
      <c r="DC131">
        <v>0</v>
      </c>
      <c r="DD131">
        <v>972</v>
      </c>
      <c r="DE131">
        <v>8</v>
      </c>
      <c r="DF131">
        <v>16</v>
      </c>
      <c r="DG131">
        <v>2</v>
      </c>
      <c r="DH131">
        <v>0</v>
      </c>
      <c r="DI131">
        <v>0</v>
      </c>
      <c r="DJ131">
        <v>0</v>
      </c>
      <c r="DK131">
        <v>0</v>
      </c>
      <c r="DL131">
        <v>1</v>
      </c>
      <c r="DM131">
        <v>1</v>
      </c>
      <c r="DN131">
        <v>2</v>
      </c>
      <c r="DO131">
        <v>966</v>
      </c>
      <c r="DP131">
        <v>2</v>
      </c>
      <c r="DQ131">
        <v>2</v>
      </c>
      <c r="DR131">
        <v>2</v>
      </c>
      <c r="DS131">
        <v>0</v>
      </c>
      <c r="DT131">
        <v>2</v>
      </c>
      <c r="DU131">
        <v>5</v>
      </c>
      <c r="DV131">
        <v>1</v>
      </c>
      <c r="DW131">
        <v>2</v>
      </c>
      <c r="DX131">
        <v>4</v>
      </c>
      <c r="DY131">
        <v>7</v>
      </c>
      <c r="DZ131">
        <v>984</v>
      </c>
      <c r="EA131">
        <v>0.97629999999999995</v>
      </c>
      <c r="EB131">
        <v>0.97631744619679495</v>
      </c>
      <c r="EC131">
        <v>0.97661827903892995</v>
      </c>
      <c r="ED131">
        <v>0.976272637489776</v>
      </c>
      <c r="EE131">
        <f>SUM(Table1[[#This Row],[ratio_0]:[ratio_9]])</f>
        <v>730</v>
      </c>
      <c r="EF131" s="1">
        <f>(Table1[[#This Row],[predicted_0]]-Table1[[#This Row],[actual_0]])/Table1[[#This Row],[actual_0]]</f>
        <v>9.1836734693877559E-3</v>
      </c>
      <c r="EG131" s="1">
        <f>(Table1[[#This Row],[predicted_1]]-Table1[[#This Row],[actual_1]])/Table1[[#This Row],[actual_1]]</f>
        <v>5.2863436123348016E-3</v>
      </c>
      <c r="EH131" s="1">
        <f>(Table1[[#This Row],[predicted_2]]-Table1[[#This Row],[actual_2]])/Table1[[#This Row],[actual_2]]</f>
        <v>-4.2635658914728682E-2</v>
      </c>
      <c r="EI131" s="1">
        <f>(Table1[[#This Row],[predicted_3]]-Table1[[#This Row],[actual_3]])/Table1[[#This Row],[actual_3]]</f>
        <v>-3.2673267326732675E-2</v>
      </c>
      <c r="EJ131" s="1">
        <f>(Table1[[#This Row],[predicted_4]]-Table1[[#This Row],[actual_4]])/Table1[[#This Row],[actual_4]]</f>
        <v>1.8329938900203666E-2</v>
      </c>
      <c r="EK131" s="1">
        <f>(Table1[[#This Row],[predicted_5]]-Table1[[#This Row],[actual_5]])/Table1[[#This Row],[actual_5]]</f>
        <v>1.905829596412556E-2</v>
      </c>
      <c r="EL131" s="1">
        <f>(Table1[[#This Row],[predicted_6]]-Table1[[#This Row],[actual_6]])/Table1[[#This Row],[actual_6]]</f>
        <v>7.3068893528183713E-3</v>
      </c>
      <c r="EM131" s="1">
        <f>(Table1[[#This Row],[predicted_7]]-Table1[[#This Row],[actual_7]])/Table1[[#This Row],[actual_7]]</f>
        <v>-3.4046692607003888E-2</v>
      </c>
      <c r="EN131" s="1">
        <f>(Table1[[#This Row],[predicted_8]]-Table1[[#This Row],[actual_8]])/Table1[[#This Row],[actual_8]]</f>
        <v>5.6468172484599587E-2</v>
      </c>
      <c r="EO131" s="1">
        <f>(Table1[[#This Row],[predicted_9]]-Table1[[#This Row],[actual_9]])/Table1[[#This Row],[actual_9]]</f>
        <v>0</v>
      </c>
      <c r="EP131" s="1">
        <f>1+(Table1[[#This Row],[error_ratio_0]]-EF$2)</f>
        <v>1.0071428571428571</v>
      </c>
      <c r="EQ131" s="1">
        <f>1+(Table1[[#This Row],[error_ratio_1]]-EG$2)</f>
        <v>1.0035242290748898</v>
      </c>
      <c r="ER131" s="1">
        <f>1+(Table1[[#This Row],[error_ratio_2]]-EH$2)</f>
        <v>0.96220930232558144</v>
      </c>
      <c r="ES131" s="1">
        <f>1+(Table1[[#This Row],[error_ratio_3]]-EI$2)</f>
        <v>0.95742574257425739</v>
      </c>
      <c r="ET131" s="1">
        <f>1+(Table1[[#This Row],[error_ratio_4]]-EJ$2)</f>
        <v>1.0173116089613035</v>
      </c>
      <c r="EU131" s="1">
        <f>1+(Table1[[#This Row],[error_ratio_5]]-EK$2)</f>
        <v>1.0179372197309418</v>
      </c>
      <c r="EV131" s="1">
        <f>1+(Table1[[#This Row],[error_ratio_6]]-EL$2)</f>
        <v>1.0135699373695197</v>
      </c>
      <c r="EW131" s="1">
        <f>1+(Table1[[#This Row],[error_ratio_7]]-EM$2)</f>
        <v>0.96400778210116733</v>
      </c>
      <c r="EX131" s="1">
        <f>1+(Table1[[#This Row],[error_ratio_8]]-EN$2)</f>
        <v>1.0595482546201231</v>
      </c>
      <c r="EY131" s="1">
        <f>1+(Table1[[#This Row],[error_ratio_9]]-EO$2)</f>
        <v>1.00396432111001</v>
      </c>
    </row>
    <row r="132" spans="1:155" x14ac:dyDescent="0.75">
      <c r="A132">
        <v>10</v>
      </c>
      <c r="B132">
        <v>100</v>
      </c>
      <c r="C132">
        <v>10</v>
      </c>
      <c r="D132">
        <v>10</v>
      </c>
      <c r="E132">
        <v>100</v>
      </c>
      <c r="F132">
        <v>100</v>
      </c>
      <c r="G132">
        <v>100</v>
      </c>
      <c r="H132">
        <v>10</v>
      </c>
      <c r="I132">
        <v>100</v>
      </c>
      <c r="J132">
        <v>100</v>
      </c>
      <c r="K132">
        <v>940</v>
      </c>
      <c r="L132">
        <v>1191</v>
      </c>
      <c r="M132">
        <v>996</v>
      </c>
      <c r="N132">
        <v>994</v>
      </c>
      <c r="O132">
        <v>1003</v>
      </c>
      <c r="P132">
        <v>904</v>
      </c>
      <c r="Q132">
        <v>982</v>
      </c>
      <c r="R132">
        <v>971</v>
      </c>
      <c r="S132">
        <v>1006</v>
      </c>
      <c r="T132">
        <v>1013</v>
      </c>
      <c r="U132">
        <v>980</v>
      </c>
      <c r="V132">
        <v>1135</v>
      </c>
      <c r="W132">
        <v>1032</v>
      </c>
      <c r="X132">
        <v>1010</v>
      </c>
      <c r="Y132">
        <v>982</v>
      </c>
      <c r="Z132">
        <v>892</v>
      </c>
      <c r="AA132">
        <v>958</v>
      </c>
      <c r="AB132">
        <v>1028</v>
      </c>
      <c r="AC132">
        <v>974</v>
      </c>
      <c r="AD132">
        <v>1009</v>
      </c>
      <c r="AE132">
        <v>933</v>
      </c>
      <c r="AF132">
        <v>3</v>
      </c>
      <c r="AG132">
        <v>2</v>
      </c>
      <c r="AH132">
        <v>1</v>
      </c>
      <c r="AI132">
        <v>2</v>
      </c>
      <c r="AJ132">
        <v>2</v>
      </c>
      <c r="AK132">
        <v>23</v>
      </c>
      <c r="AL132">
        <v>1</v>
      </c>
      <c r="AM132">
        <v>11</v>
      </c>
      <c r="AN132">
        <v>2</v>
      </c>
      <c r="AO132">
        <v>0</v>
      </c>
      <c r="AP132">
        <v>1130</v>
      </c>
      <c r="AQ132">
        <v>0</v>
      </c>
      <c r="AR132">
        <v>2</v>
      </c>
      <c r="AS132">
        <v>0</v>
      </c>
      <c r="AT132">
        <v>1</v>
      </c>
      <c r="AU132">
        <v>1</v>
      </c>
      <c r="AV132">
        <v>0</v>
      </c>
      <c r="AW132">
        <v>1</v>
      </c>
      <c r="AX132">
        <v>0</v>
      </c>
      <c r="AY132">
        <v>2</v>
      </c>
      <c r="AZ132">
        <v>22</v>
      </c>
      <c r="BA132">
        <v>962</v>
      </c>
      <c r="BB132">
        <v>6</v>
      </c>
      <c r="BC132">
        <v>4</v>
      </c>
      <c r="BD132">
        <v>0</v>
      </c>
      <c r="BE132">
        <v>6</v>
      </c>
      <c r="BF132">
        <v>8</v>
      </c>
      <c r="BG132">
        <v>20</v>
      </c>
      <c r="BH132">
        <v>2</v>
      </c>
      <c r="BI132">
        <v>0</v>
      </c>
      <c r="BJ132">
        <v>0</v>
      </c>
      <c r="BK132">
        <v>3</v>
      </c>
      <c r="BL132">
        <v>976</v>
      </c>
      <c r="BM132">
        <v>0</v>
      </c>
      <c r="BN132">
        <v>9</v>
      </c>
      <c r="BO132">
        <v>0</v>
      </c>
      <c r="BP132">
        <v>8</v>
      </c>
      <c r="BQ132">
        <v>9</v>
      </c>
      <c r="BR132">
        <v>5</v>
      </c>
      <c r="BS132">
        <v>0</v>
      </c>
      <c r="BT132">
        <v>0</v>
      </c>
      <c r="BU132">
        <v>2</v>
      </c>
      <c r="BV132">
        <v>0</v>
      </c>
      <c r="BW132">
        <v>975</v>
      </c>
      <c r="BX132">
        <v>0</v>
      </c>
      <c r="BY132">
        <v>4</v>
      </c>
      <c r="BZ132">
        <v>0</v>
      </c>
      <c r="CA132">
        <v>0</v>
      </c>
      <c r="CB132">
        <v>1</v>
      </c>
      <c r="CC132">
        <v>1</v>
      </c>
      <c r="CD132">
        <v>0</v>
      </c>
      <c r="CE132">
        <v>0</v>
      </c>
      <c r="CF132">
        <v>5</v>
      </c>
      <c r="CG132">
        <v>0</v>
      </c>
      <c r="CH132">
        <v>880</v>
      </c>
      <c r="CI132">
        <v>2</v>
      </c>
      <c r="CJ132">
        <v>0</v>
      </c>
      <c r="CK132">
        <v>1</v>
      </c>
      <c r="CL132">
        <v>3</v>
      </c>
      <c r="CM132">
        <v>1</v>
      </c>
      <c r="CN132">
        <v>5</v>
      </c>
      <c r="CO132">
        <v>1</v>
      </c>
      <c r="CP132">
        <v>0</v>
      </c>
      <c r="CQ132">
        <v>2</v>
      </c>
      <c r="CR132">
        <v>4</v>
      </c>
      <c r="CS132">
        <v>944</v>
      </c>
      <c r="CT132">
        <v>0</v>
      </c>
      <c r="CU132">
        <v>1</v>
      </c>
      <c r="CV132">
        <v>0</v>
      </c>
      <c r="CW132">
        <v>2</v>
      </c>
      <c r="CX132">
        <v>24</v>
      </c>
      <c r="CY132">
        <v>25</v>
      </c>
      <c r="CZ132">
        <v>1</v>
      </c>
      <c r="DA132">
        <v>3</v>
      </c>
      <c r="DB132">
        <v>3</v>
      </c>
      <c r="DC132">
        <v>1</v>
      </c>
      <c r="DD132">
        <v>948</v>
      </c>
      <c r="DE132">
        <v>0</v>
      </c>
      <c r="DF132">
        <v>21</v>
      </c>
      <c r="DG132">
        <v>0</v>
      </c>
      <c r="DH132">
        <v>0</v>
      </c>
      <c r="DI132">
        <v>1</v>
      </c>
      <c r="DJ132">
        <v>0</v>
      </c>
      <c r="DK132">
        <v>1</v>
      </c>
      <c r="DL132">
        <v>2</v>
      </c>
      <c r="DM132">
        <v>1</v>
      </c>
      <c r="DN132">
        <v>2</v>
      </c>
      <c r="DO132">
        <v>963</v>
      </c>
      <c r="DP132">
        <v>4</v>
      </c>
      <c r="DQ132">
        <v>1</v>
      </c>
      <c r="DR132">
        <v>7</v>
      </c>
      <c r="DS132">
        <v>0</v>
      </c>
      <c r="DT132">
        <v>3</v>
      </c>
      <c r="DU132">
        <v>16</v>
      </c>
      <c r="DV132">
        <v>3</v>
      </c>
      <c r="DW132">
        <v>0</v>
      </c>
      <c r="DX132">
        <v>4</v>
      </c>
      <c r="DY132">
        <v>0</v>
      </c>
      <c r="DZ132">
        <v>975</v>
      </c>
      <c r="EA132">
        <v>0.96860000000000002</v>
      </c>
      <c r="EB132">
        <v>0.96919862685335101</v>
      </c>
      <c r="EC132">
        <v>0.96881363276006405</v>
      </c>
      <c r="ED132">
        <v>0.968738224469189</v>
      </c>
      <c r="EE132">
        <f>SUM(Table1[[#This Row],[ratio_0]:[ratio_9]])</f>
        <v>640</v>
      </c>
      <c r="EF132" s="1">
        <f>(Table1[[#This Row],[predicted_0]]-Table1[[#This Row],[actual_0]])/Table1[[#This Row],[actual_0]]</f>
        <v>-4.0816326530612242E-2</v>
      </c>
      <c r="EG132" s="1">
        <f>(Table1[[#This Row],[predicted_1]]-Table1[[#This Row],[actual_1]])/Table1[[#This Row],[actual_1]]</f>
        <v>4.933920704845815E-2</v>
      </c>
      <c r="EH132" s="1">
        <f>(Table1[[#This Row],[predicted_2]]-Table1[[#This Row],[actual_2]])/Table1[[#This Row],[actual_2]]</f>
        <v>-3.4883720930232558E-2</v>
      </c>
      <c r="EI132" s="1">
        <f>(Table1[[#This Row],[predicted_3]]-Table1[[#This Row],[actual_3]])/Table1[[#This Row],[actual_3]]</f>
        <v>-1.5841584158415842E-2</v>
      </c>
      <c r="EJ132" s="1">
        <f>(Table1[[#This Row],[predicted_4]]-Table1[[#This Row],[actual_4]])/Table1[[#This Row],[actual_4]]</f>
        <v>2.1384928716904276E-2</v>
      </c>
      <c r="EK132" s="1">
        <f>(Table1[[#This Row],[predicted_5]]-Table1[[#This Row],[actual_5]])/Table1[[#This Row],[actual_5]]</f>
        <v>1.3452914798206279E-2</v>
      </c>
      <c r="EL132" s="1">
        <f>(Table1[[#This Row],[predicted_6]]-Table1[[#This Row],[actual_6]])/Table1[[#This Row],[actual_6]]</f>
        <v>2.5052192066805846E-2</v>
      </c>
      <c r="EM132" s="1">
        <f>(Table1[[#This Row],[predicted_7]]-Table1[[#This Row],[actual_7]])/Table1[[#This Row],[actual_7]]</f>
        <v>-5.544747081712062E-2</v>
      </c>
      <c r="EN132" s="1">
        <f>(Table1[[#This Row],[predicted_8]]-Table1[[#This Row],[actual_8]])/Table1[[#This Row],[actual_8]]</f>
        <v>3.2854209445585217E-2</v>
      </c>
      <c r="EO132" s="1">
        <f>(Table1[[#This Row],[predicted_9]]-Table1[[#This Row],[actual_9]])/Table1[[#This Row],[actual_9]]</f>
        <v>3.9643211100099107E-3</v>
      </c>
      <c r="EP132" s="1">
        <f>1+(Table1[[#This Row],[error_ratio_0]]-EF$2)</f>
        <v>0.95714285714285718</v>
      </c>
      <c r="EQ132" s="1">
        <f>1+(Table1[[#This Row],[error_ratio_1]]-EG$2)</f>
        <v>1.0475770925110133</v>
      </c>
      <c r="ER132" s="1">
        <f>1+(Table1[[#This Row],[error_ratio_2]]-EH$2)</f>
        <v>0.96996124031007747</v>
      </c>
      <c r="ES132" s="1">
        <f>1+(Table1[[#This Row],[error_ratio_3]]-EI$2)</f>
        <v>0.97425742574257423</v>
      </c>
      <c r="ET132" s="1">
        <f>1+(Table1[[#This Row],[error_ratio_4]]-EJ$2)</f>
        <v>1.0203665987780042</v>
      </c>
      <c r="EU132" s="1">
        <f>1+(Table1[[#This Row],[error_ratio_5]]-EK$2)</f>
        <v>1.0123318385650224</v>
      </c>
      <c r="EV132" s="1">
        <f>1+(Table1[[#This Row],[error_ratio_6]]-EL$2)</f>
        <v>1.0313152400835073</v>
      </c>
      <c r="EW132" s="1">
        <f>1+(Table1[[#This Row],[error_ratio_7]]-EM$2)</f>
        <v>0.94260700389105057</v>
      </c>
      <c r="EX132" s="1">
        <f>1+(Table1[[#This Row],[error_ratio_8]]-EN$2)</f>
        <v>1.0359342915811087</v>
      </c>
      <c r="EY132" s="1">
        <f>1+(Table1[[#This Row],[error_ratio_9]]-EO$2)</f>
        <v>1.0079286422200198</v>
      </c>
    </row>
    <row r="133" spans="1:155" x14ac:dyDescent="0.75">
      <c r="A133">
        <v>100</v>
      </c>
      <c r="B133">
        <v>10</v>
      </c>
      <c r="C133">
        <v>10</v>
      </c>
      <c r="D133">
        <v>10</v>
      </c>
      <c r="E133">
        <v>100</v>
      </c>
      <c r="F133">
        <v>100</v>
      </c>
      <c r="G133">
        <v>100</v>
      </c>
      <c r="H133">
        <v>10</v>
      </c>
      <c r="I133">
        <v>100</v>
      </c>
      <c r="J133">
        <v>100</v>
      </c>
      <c r="K133">
        <v>961</v>
      </c>
      <c r="L133">
        <v>1101</v>
      </c>
      <c r="M133">
        <v>1031</v>
      </c>
      <c r="N133">
        <v>1036</v>
      </c>
      <c r="O133">
        <v>985</v>
      </c>
      <c r="P133">
        <v>957</v>
      </c>
      <c r="Q133">
        <v>953</v>
      </c>
      <c r="R133">
        <v>946</v>
      </c>
      <c r="S133">
        <v>1020</v>
      </c>
      <c r="T133">
        <v>1010</v>
      </c>
      <c r="U133">
        <v>980</v>
      </c>
      <c r="V133">
        <v>1135</v>
      </c>
      <c r="W133">
        <v>1032</v>
      </c>
      <c r="X133">
        <v>1010</v>
      </c>
      <c r="Y133">
        <v>982</v>
      </c>
      <c r="Z133">
        <v>892</v>
      </c>
      <c r="AA133">
        <v>958</v>
      </c>
      <c r="AB133">
        <v>1028</v>
      </c>
      <c r="AC133">
        <v>974</v>
      </c>
      <c r="AD133">
        <v>1009</v>
      </c>
      <c r="AE133">
        <v>956</v>
      </c>
      <c r="AF133">
        <v>0</v>
      </c>
      <c r="AG133">
        <v>0</v>
      </c>
      <c r="AH133">
        <v>0</v>
      </c>
      <c r="AI133">
        <v>0</v>
      </c>
      <c r="AJ133">
        <v>13</v>
      </c>
      <c r="AK133">
        <v>6</v>
      </c>
      <c r="AL133">
        <v>1</v>
      </c>
      <c r="AM133">
        <v>4</v>
      </c>
      <c r="AN133">
        <v>0</v>
      </c>
      <c r="AO133">
        <v>0</v>
      </c>
      <c r="AP133">
        <v>1099</v>
      </c>
      <c r="AQ133">
        <v>5</v>
      </c>
      <c r="AR133">
        <v>6</v>
      </c>
      <c r="AS133">
        <v>1</v>
      </c>
      <c r="AT133">
        <v>2</v>
      </c>
      <c r="AU133">
        <v>3</v>
      </c>
      <c r="AV133">
        <v>0</v>
      </c>
      <c r="AW133">
        <v>18</v>
      </c>
      <c r="AX133">
        <v>1</v>
      </c>
      <c r="AY133">
        <v>1</v>
      </c>
      <c r="AZ133">
        <v>0</v>
      </c>
      <c r="BA133">
        <v>997</v>
      </c>
      <c r="BB133">
        <v>14</v>
      </c>
      <c r="BC133">
        <v>1</v>
      </c>
      <c r="BD133">
        <v>3</v>
      </c>
      <c r="BE133">
        <v>0</v>
      </c>
      <c r="BF133">
        <v>4</v>
      </c>
      <c r="BG133">
        <v>12</v>
      </c>
      <c r="BH133">
        <v>0</v>
      </c>
      <c r="BI133">
        <v>0</v>
      </c>
      <c r="BJ133">
        <v>0</v>
      </c>
      <c r="BK133">
        <v>2</v>
      </c>
      <c r="BL133">
        <v>972</v>
      </c>
      <c r="BM133">
        <v>0</v>
      </c>
      <c r="BN133">
        <v>21</v>
      </c>
      <c r="BO133">
        <v>0</v>
      </c>
      <c r="BP133">
        <v>4</v>
      </c>
      <c r="BQ133">
        <v>9</v>
      </c>
      <c r="BR133">
        <v>2</v>
      </c>
      <c r="BS133">
        <v>0</v>
      </c>
      <c r="BT133">
        <v>0</v>
      </c>
      <c r="BU133">
        <v>2</v>
      </c>
      <c r="BV133">
        <v>0</v>
      </c>
      <c r="BW133">
        <v>972</v>
      </c>
      <c r="BX133">
        <v>0</v>
      </c>
      <c r="BY133">
        <v>2</v>
      </c>
      <c r="BZ133">
        <v>0</v>
      </c>
      <c r="CA133">
        <v>1</v>
      </c>
      <c r="CB133">
        <v>5</v>
      </c>
      <c r="CC133">
        <v>0</v>
      </c>
      <c r="CD133">
        <v>0</v>
      </c>
      <c r="CE133">
        <v>0</v>
      </c>
      <c r="CF133">
        <v>2</v>
      </c>
      <c r="CG133">
        <v>0</v>
      </c>
      <c r="CH133">
        <v>887</v>
      </c>
      <c r="CI133">
        <v>1</v>
      </c>
      <c r="CJ133">
        <v>0</v>
      </c>
      <c r="CK133">
        <v>1</v>
      </c>
      <c r="CL133">
        <v>1</v>
      </c>
      <c r="CM133">
        <v>2</v>
      </c>
      <c r="CN133">
        <v>0</v>
      </c>
      <c r="CO133">
        <v>2</v>
      </c>
      <c r="CP133">
        <v>0</v>
      </c>
      <c r="CQ133">
        <v>2</v>
      </c>
      <c r="CR133">
        <v>10</v>
      </c>
      <c r="CS133">
        <v>941</v>
      </c>
      <c r="CT133">
        <v>0</v>
      </c>
      <c r="CU133">
        <v>1</v>
      </c>
      <c r="CV133">
        <v>0</v>
      </c>
      <c r="CW133">
        <v>0</v>
      </c>
      <c r="CX133">
        <v>2</v>
      </c>
      <c r="CY133">
        <v>23</v>
      </c>
      <c r="CZ133">
        <v>34</v>
      </c>
      <c r="DA133">
        <v>3</v>
      </c>
      <c r="DB133">
        <v>5</v>
      </c>
      <c r="DC133">
        <v>0</v>
      </c>
      <c r="DD133">
        <v>936</v>
      </c>
      <c r="DE133">
        <v>11</v>
      </c>
      <c r="DF133">
        <v>14</v>
      </c>
      <c r="DG133">
        <v>1</v>
      </c>
      <c r="DH133">
        <v>0</v>
      </c>
      <c r="DI133">
        <v>0</v>
      </c>
      <c r="DJ133">
        <v>0</v>
      </c>
      <c r="DK133">
        <v>0</v>
      </c>
      <c r="DL133">
        <v>6</v>
      </c>
      <c r="DM133">
        <v>0</v>
      </c>
      <c r="DN133">
        <v>1</v>
      </c>
      <c r="DO133">
        <v>961</v>
      </c>
      <c r="DP133">
        <v>5</v>
      </c>
      <c r="DQ133">
        <v>1</v>
      </c>
      <c r="DR133">
        <v>0</v>
      </c>
      <c r="DS133">
        <v>0</v>
      </c>
      <c r="DT133">
        <v>8</v>
      </c>
      <c r="DU133">
        <v>6</v>
      </c>
      <c r="DV133">
        <v>10</v>
      </c>
      <c r="DW133">
        <v>0</v>
      </c>
      <c r="DX133">
        <v>0</v>
      </c>
      <c r="DY133">
        <v>2</v>
      </c>
      <c r="DZ133">
        <v>982</v>
      </c>
      <c r="EA133">
        <v>0.97030000000000005</v>
      </c>
      <c r="EB133">
        <v>0.97031550381251497</v>
      </c>
      <c r="EC133">
        <v>0.97091193145763399</v>
      </c>
      <c r="ED133">
        <v>0.97023128383699098</v>
      </c>
      <c r="EE133">
        <f>SUM(Table1[[#This Row],[ratio_0]:[ratio_9]])</f>
        <v>640</v>
      </c>
      <c r="EF133" s="1">
        <f>(Table1[[#This Row],[predicted_0]]-Table1[[#This Row],[actual_0]])/Table1[[#This Row],[actual_0]]</f>
        <v>-1.9387755102040816E-2</v>
      </c>
      <c r="EG133" s="1">
        <f>(Table1[[#This Row],[predicted_1]]-Table1[[#This Row],[actual_1]])/Table1[[#This Row],[actual_1]]</f>
        <v>-2.9955947136563875E-2</v>
      </c>
      <c r="EH133" s="1">
        <f>(Table1[[#This Row],[predicted_2]]-Table1[[#This Row],[actual_2]])/Table1[[#This Row],[actual_2]]</f>
        <v>-9.6899224806201549E-4</v>
      </c>
      <c r="EI133" s="1">
        <f>(Table1[[#This Row],[predicted_3]]-Table1[[#This Row],[actual_3]])/Table1[[#This Row],[actual_3]]</f>
        <v>2.5742574257425741E-2</v>
      </c>
      <c r="EJ133" s="1">
        <f>(Table1[[#This Row],[predicted_4]]-Table1[[#This Row],[actual_4]])/Table1[[#This Row],[actual_4]]</f>
        <v>3.0549898167006109E-3</v>
      </c>
      <c r="EK133" s="1">
        <f>(Table1[[#This Row],[predicted_5]]-Table1[[#This Row],[actual_5]])/Table1[[#This Row],[actual_5]]</f>
        <v>7.2869955156950675E-2</v>
      </c>
      <c r="EL133" s="1">
        <f>(Table1[[#This Row],[predicted_6]]-Table1[[#This Row],[actual_6]])/Table1[[#This Row],[actual_6]]</f>
        <v>-5.2192066805845511E-3</v>
      </c>
      <c r="EM133" s="1">
        <f>(Table1[[#This Row],[predicted_7]]-Table1[[#This Row],[actual_7]])/Table1[[#This Row],[actual_7]]</f>
        <v>-7.9766536964980539E-2</v>
      </c>
      <c r="EN133" s="1">
        <f>(Table1[[#This Row],[predicted_8]]-Table1[[#This Row],[actual_8]])/Table1[[#This Row],[actual_8]]</f>
        <v>4.7227926078028747E-2</v>
      </c>
      <c r="EO133" s="1">
        <f>(Table1[[#This Row],[predicted_9]]-Table1[[#This Row],[actual_9]])/Table1[[#This Row],[actual_9]]</f>
        <v>9.9108027750247768E-4</v>
      </c>
      <c r="EP133" s="1">
        <f>1+(Table1[[#This Row],[error_ratio_0]]-EF$2)</f>
        <v>0.97857142857142854</v>
      </c>
      <c r="EQ133" s="1">
        <f>1+(Table1[[#This Row],[error_ratio_1]]-EG$2)</f>
        <v>0.96828193832599119</v>
      </c>
      <c r="ER133" s="1">
        <f>1+(Table1[[#This Row],[error_ratio_2]]-EH$2)</f>
        <v>1.0038759689922481</v>
      </c>
      <c r="ES133" s="1">
        <f>1+(Table1[[#This Row],[error_ratio_3]]-EI$2)</f>
        <v>1.0158415841584159</v>
      </c>
      <c r="ET133" s="1">
        <f>1+(Table1[[#This Row],[error_ratio_4]]-EJ$2)</f>
        <v>1.0020366598778003</v>
      </c>
      <c r="EU133" s="1">
        <f>1+(Table1[[#This Row],[error_ratio_5]]-EK$2)</f>
        <v>1.0717488789237668</v>
      </c>
      <c r="EV133" s="1">
        <f>1+(Table1[[#This Row],[error_ratio_6]]-EL$2)</f>
        <v>1.0010438413361169</v>
      </c>
      <c r="EW133" s="1">
        <f>1+(Table1[[#This Row],[error_ratio_7]]-EM$2)</f>
        <v>0.91828793774319073</v>
      </c>
      <c r="EX133" s="1">
        <f>1+(Table1[[#This Row],[error_ratio_8]]-EN$2)</f>
        <v>1.0503080082135523</v>
      </c>
      <c r="EY133" s="1">
        <f>1+(Table1[[#This Row],[error_ratio_9]]-EO$2)</f>
        <v>1.0049554013875124</v>
      </c>
    </row>
    <row r="134" spans="1:155" x14ac:dyDescent="0.75">
      <c r="A134">
        <v>10</v>
      </c>
      <c r="B134">
        <v>10</v>
      </c>
      <c r="C134">
        <v>10</v>
      </c>
      <c r="D134">
        <v>10</v>
      </c>
      <c r="E134">
        <v>100</v>
      </c>
      <c r="F134">
        <v>100</v>
      </c>
      <c r="G134">
        <v>100</v>
      </c>
      <c r="H134">
        <v>10</v>
      </c>
      <c r="I134">
        <v>100</v>
      </c>
      <c r="J134">
        <v>100</v>
      </c>
      <c r="K134">
        <v>984</v>
      </c>
      <c r="L134">
        <v>1145</v>
      </c>
      <c r="M134">
        <v>1012</v>
      </c>
      <c r="N134">
        <v>979</v>
      </c>
      <c r="O134">
        <v>1013</v>
      </c>
      <c r="P134">
        <v>926</v>
      </c>
      <c r="Q134">
        <v>955</v>
      </c>
      <c r="R134">
        <v>1040</v>
      </c>
      <c r="S134">
        <v>948</v>
      </c>
      <c r="T134">
        <v>998</v>
      </c>
      <c r="U134">
        <v>980</v>
      </c>
      <c r="V134">
        <v>1135</v>
      </c>
      <c r="W134">
        <v>1032</v>
      </c>
      <c r="X134">
        <v>1010</v>
      </c>
      <c r="Y134">
        <v>982</v>
      </c>
      <c r="Z134">
        <v>892</v>
      </c>
      <c r="AA134">
        <v>958</v>
      </c>
      <c r="AB134">
        <v>1028</v>
      </c>
      <c r="AC134">
        <v>974</v>
      </c>
      <c r="AD134">
        <v>1009</v>
      </c>
      <c r="AE134">
        <v>963</v>
      </c>
      <c r="AF134">
        <v>1</v>
      </c>
      <c r="AG134">
        <v>1</v>
      </c>
      <c r="AH134">
        <v>0</v>
      </c>
      <c r="AI134">
        <v>0</v>
      </c>
      <c r="AJ134">
        <v>0</v>
      </c>
      <c r="AK134">
        <v>8</v>
      </c>
      <c r="AL134">
        <v>2</v>
      </c>
      <c r="AM134">
        <v>3</v>
      </c>
      <c r="AN134">
        <v>2</v>
      </c>
      <c r="AO134">
        <v>0</v>
      </c>
      <c r="AP134">
        <v>1124</v>
      </c>
      <c r="AQ134">
        <v>1</v>
      </c>
      <c r="AR134">
        <v>2</v>
      </c>
      <c r="AS134">
        <v>1</v>
      </c>
      <c r="AT134">
        <v>5</v>
      </c>
      <c r="AU134">
        <v>1</v>
      </c>
      <c r="AV134">
        <v>1</v>
      </c>
      <c r="AW134">
        <v>0</v>
      </c>
      <c r="AX134">
        <v>0</v>
      </c>
      <c r="AY134">
        <v>6</v>
      </c>
      <c r="AZ134">
        <v>8</v>
      </c>
      <c r="BA134">
        <v>986</v>
      </c>
      <c r="BB134">
        <v>8</v>
      </c>
      <c r="BC134">
        <v>1</v>
      </c>
      <c r="BD134">
        <v>5</v>
      </c>
      <c r="BE134">
        <v>3</v>
      </c>
      <c r="BF134">
        <v>13</v>
      </c>
      <c r="BG134">
        <v>2</v>
      </c>
      <c r="BH134">
        <v>0</v>
      </c>
      <c r="BI134">
        <v>1</v>
      </c>
      <c r="BJ134">
        <v>0</v>
      </c>
      <c r="BK134">
        <v>3</v>
      </c>
      <c r="BL134">
        <v>965</v>
      </c>
      <c r="BM134">
        <v>1</v>
      </c>
      <c r="BN134">
        <v>16</v>
      </c>
      <c r="BO134">
        <v>0</v>
      </c>
      <c r="BP134">
        <v>14</v>
      </c>
      <c r="BQ134">
        <v>4</v>
      </c>
      <c r="BR134">
        <v>6</v>
      </c>
      <c r="BS134">
        <v>0</v>
      </c>
      <c r="BT134">
        <v>1</v>
      </c>
      <c r="BU134">
        <v>1</v>
      </c>
      <c r="BV134">
        <v>0</v>
      </c>
      <c r="BW134">
        <v>975</v>
      </c>
      <c r="BX134">
        <v>0</v>
      </c>
      <c r="BY134">
        <v>4</v>
      </c>
      <c r="BZ134">
        <v>0</v>
      </c>
      <c r="CA134">
        <v>1</v>
      </c>
      <c r="CB134">
        <v>0</v>
      </c>
      <c r="CC134">
        <v>1</v>
      </c>
      <c r="CD134">
        <v>0</v>
      </c>
      <c r="CE134">
        <v>0</v>
      </c>
      <c r="CF134">
        <v>2</v>
      </c>
      <c r="CG134">
        <v>0</v>
      </c>
      <c r="CH134">
        <v>887</v>
      </c>
      <c r="CI134">
        <v>1</v>
      </c>
      <c r="CJ134">
        <v>1</v>
      </c>
      <c r="CK134">
        <v>0</v>
      </c>
      <c r="CL134">
        <v>0</v>
      </c>
      <c r="CM134">
        <v>5</v>
      </c>
      <c r="CN134">
        <v>1</v>
      </c>
      <c r="CO134">
        <v>0</v>
      </c>
      <c r="CP134">
        <v>0</v>
      </c>
      <c r="CQ134">
        <v>5</v>
      </c>
      <c r="CR134">
        <v>8</v>
      </c>
      <c r="CS134">
        <v>937</v>
      </c>
      <c r="CT134">
        <v>0</v>
      </c>
      <c r="CU134">
        <v>2</v>
      </c>
      <c r="CV134">
        <v>0</v>
      </c>
      <c r="CW134">
        <v>1</v>
      </c>
      <c r="CX134">
        <v>4</v>
      </c>
      <c r="CY134">
        <v>14</v>
      </c>
      <c r="CZ134">
        <v>0</v>
      </c>
      <c r="DA134">
        <v>3</v>
      </c>
      <c r="DB134">
        <v>0</v>
      </c>
      <c r="DC134">
        <v>0</v>
      </c>
      <c r="DD134">
        <v>996</v>
      </c>
      <c r="DE134">
        <v>1</v>
      </c>
      <c r="DF134">
        <v>9</v>
      </c>
      <c r="DG134">
        <v>3</v>
      </c>
      <c r="DH134">
        <v>5</v>
      </c>
      <c r="DI134">
        <v>6</v>
      </c>
      <c r="DJ134">
        <v>2</v>
      </c>
      <c r="DK134">
        <v>5</v>
      </c>
      <c r="DL134">
        <v>2</v>
      </c>
      <c r="DM134">
        <v>1</v>
      </c>
      <c r="DN134">
        <v>8</v>
      </c>
      <c r="DO134">
        <v>935</v>
      </c>
      <c r="DP134">
        <v>7</v>
      </c>
      <c r="DQ134">
        <v>4</v>
      </c>
      <c r="DR134">
        <v>1</v>
      </c>
      <c r="DS134">
        <v>0</v>
      </c>
      <c r="DT134">
        <v>0</v>
      </c>
      <c r="DU134">
        <v>22</v>
      </c>
      <c r="DV134">
        <v>3</v>
      </c>
      <c r="DW134">
        <v>0</v>
      </c>
      <c r="DX134">
        <v>5</v>
      </c>
      <c r="DY134">
        <v>0</v>
      </c>
      <c r="DZ134">
        <v>974</v>
      </c>
      <c r="EA134">
        <v>0.97419999999999995</v>
      </c>
      <c r="EB134">
        <v>0.97417799127287097</v>
      </c>
      <c r="EC134">
        <v>0.97433216914718102</v>
      </c>
      <c r="ED134">
        <v>0.97413800644568105</v>
      </c>
      <c r="EE134">
        <f>SUM(Table1[[#This Row],[ratio_0]:[ratio_9]])</f>
        <v>550</v>
      </c>
      <c r="EF134" s="1">
        <f>(Table1[[#This Row],[predicted_0]]-Table1[[#This Row],[actual_0]])/Table1[[#This Row],[actual_0]]</f>
        <v>4.0816326530612249E-3</v>
      </c>
      <c r="EG134" s="1">
        <f>(Table1[[#This Row],[predicted_1]]-Table1[[#This Row],[actual_1]])/Table1[[#This Row],[actual_1]]</f>
        <v>8.8105726872246704E-3</v>
      </c>
      <c r="EH134" s="1">
        <f>(Table1[[#This Row],[predicted_2]]-Table1[[#This Row],[actual_2]])/Table1[[#This Row],[actual_2]]</f>
        <v>-1.937984496124031E-2</v>
      </c>
      <c r="EI134" s="1">
        <f>(Table1[[#This Row],[predicted_3]]-Table1[[#This Row],[actual_3]])/Table1[[#This Row],[actual_3]]</f>
        <v>-3.0693069306930693E-2</v>
      </c>
      <c r="EJ134" s="1">
        <f>(Table1[[#This Row],[predicted_4]]-Table1[[#This Row],[actual_4]])/Table1[[#This Row],[actual_4]]</f>
        <v>3.1568228105906315E-2</v>
      </c>
      <c r="EK134" s="1">
        <f>(Table1[[#This Row],[predicted_5]]-Table1[[#This Row],[actual_5]])/Table1[[#This Row],[actual_5]]</f>
        <v>3.811659192825112E-2</v>
      </c>
      <c r="EL134" s="1">
        <f>(Table1[[#This Row],[predicted_6]]-Table1[[#This Row],[actual_6]])/Table1[[#This Row],[actual_6]]</f>
        <v>-3.1315240083507308E-3</v>
      </c>
      <c r="EM134" s="1">
        <f>(Table1[[#This Row],[predicted_7]]-Table1[[#This Row],[actual_7]])/Table1[[#This Row],[actual_7]]</f>
        <v>1.1673151750972763E-2</v>
      </c>
      <c r="EN134" s="1">
        <f>(Table1[[#This Row],[predicted_8]]-Table1[[#This Row],[actual_8]])/Table1[[#This Row],[actual_8]]</f>
        <v>-2.6694045174537988E-2</v>
      </c>
      <c r="EO134" s="1">
        <f>(Table1[[#This Row],[predicted_9]]-Table1[[#This Row],[actual_9]])/Table1[[#This Row],[actual_9]]</f>
        <v>-1.0901883052527254E-2</v>
      </c>
      <c r="EP134" s="1">
        <f>1+(Table1[[#This Row],[error_ratio_0]]-EF$2)</f>
        <v>1.0020408163265306</v>
      </c>
      <c r="EQ134" s="1">
        <f>1+(Table1[[#This Row],[error_ratio_1]]-EG$2)</f>
        <v>1.0070484581497798</v>
      </c>
      <c r="ER134" s="1">
        <f>1+(Table1[[#This Row],[error_ratio_2]]-EH$2)</f>
        <v>0.98546511627906974</v>
      </c>
      <c r="ES134" s="1">
        <f>1+(Table1[[#This Row],[error_ratio_3]]-EI$2)</f>
        <v>0.95940594059405937</v>
      </c>
      <c r="ET134" s="1">
        <f>1+(Table1[[#This Row],[error_ratio_4]]-EJ$2)</f>
        <v>1.030549898167006</v>
      </c>
      <c r="EU134" s="1">
        <f>1+(Table1[[#This Row],[error_ratio_5]]-EK$2)</f>
        <v>1.0369955156950672</v>
      </c>
      <c r="EV134" s="1">
        <f>1+(Table1[[#This Row],[error_ratio_6]]-EL$2)</f>
        <v>1.0031315240083507</v>
      </c>
      <c r="EW134" s="1">
        <f>1+(Table1[[#This Row],[error_ratio_7]]-EM$2)</f>
        <v>1.0097276264591439</v>
      </c>
      <c r="EX134" s="1">
        <f>1+(Table1[[#This Row],[error_ratio_8]]-EN$2)</f>
        <v>0.97638603696098558</v>
      </c>
      <c r="EY134" s="1">
        <f>1+(Table1[[#This Row],[error_ratio_9]]-EO$2)</f>
        <v>0.99306243805748262</v>
      </c>
    </row>
    <row r="135" spans="1:155" x14ac:dyDescent="0.75">
      <c r="A135">
        <v>100</v>
      </c>
      <c r="B135">
        <v>100</v>
      </c>
      <c r="C135">
        <v>100</v>
      </c>
      <c r="D135">
        <v>100</v>
      </c>
      <c r="E135">
        <v>10</v>
      </c>
      <c r="F135">
        <v>100</v>
      </c>
      <c r="G135">
        <v>100</v>
      </c>
      <c r="H135">
        <v>10</v>
      </c>
      <c r="I135">
        <v>100</v>
      </c>
      <c r="J135">
        <v>100</v>
      </c>
      <c r="K135">
        <v>984</v>
      </c>
      <c r="L135">
        <v>1145</v>
      </c>
      <c r="M135">
        <v>1056</v>
      </c>
      <c r="N135">
        <v>1020</v>
      </c>
      <c r="O135">
        <v>938</v>
      </c>
      <c r="P135">
        <v>895</v>
      </c>
      <c r="Q135">
        <v>958</v>
      </c>
      <c r="R135">
        <v>962</v>
      </c>
      <c r="S135">
        <v>979</v>
      </c>
      <c r="T135">
        <v>1063</v>
      </c>
      <c r="U135">
        <v>980</v>
      </c>
      <c r="V135">
        <v>1135</v>
      </c>
      <c r="W135">
        <v>1032</v>
      </c>
      <c r="X135">
        <v>1010</v>
      </c>
      <c r="Y135">
        <v>982</v>
      </c>
      <c r="Z135">
        <v>892</v>
      </c>
      <c r="AA135">
        <v>958</v>
      </c>
      <c r="AB135">
        <v>1028</v>
      </c>
      <c r="AC135">
        <v>974</v>
      </c>
      <c r="AD135">
        <v>1009</v>
      </c>
      <c r="AE135">
        <v>976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1</v>
      </c>
      <c r="AL135">
        <v>0</v>
      </c>
      <c r="AM135">
        <v>1</v>
      </c>
      <c r="AN135">
        <v>2</v>
      </c>
      <c r="AO135">
        <v>0</v>
      </c>
      <c r="AP135">
        <v>1132</v>
      </c>
      <c r="AQ135">
        <v>0</v>
      </c>
      <c r="AR135">
        <v>1</v>
      </c>
      <c r="AS135">
        <v>0</v>
      </c>
      <c r="AT135">
        <v>1</v>
      </c>
      <c r="AU135">
        <v>1</v>
      </c>
      <c r="AV135">
        <v>0</v>
      </c>
      <c r="AW135">
        <v>0</v>
      </c>
      <c r="AX135">
        <v>0</v>
      </c>
      <c r="AY135">
        <v>1</v>
      </c>
      <c r="AZ135">
        <v>1</v>
      </c>
      <c r="BA135">
        <v>1025</v>
      </c>
      <c r="BB135">
        <v>1</v>
      </c>
      <c r="BC135">
        <v>0</v>
      </c>
      <c r="BD135">
        <v>0</v>
      </c>
      <c r="BE135">
        <v>0</v>
      </c>
      <c r="BF135">
        <v>1</v>
      </c>
      <c r="BG135">
        <v>3</v>
      </c>
      <c r="BH135">
        <v>0</v>
      </c>
      <c r="BI135">
        <v>0</v>
      </c>
      <c r="BJ135">
        <v>0</v>
      </c>
      <c r="BK135">
        <v>1</v>
      </c>
      <c r="BL135">
        <v>1004</v>
      </c>
      <c r="BM135">
        <v>0</v>
      </c>
      <c r="BN135">
        <v>2</v>
      </c>
      <c r="BO135">
        <v>0</v>
      </c>
      <c r="BP135">
        <v>2</v>
      </c>
      <c r="BQ135">
        <v>1</v>
      </c>
      <c r="BR135">
        <v>0</v>
      </c>
      <c r="BS135">
        <v>1</v>
      </c>
      <c r="BT135">
        <v>1</v>
      </c>
      <c r="BU135">
        <v>4</v>
      </c>
      <c r="BV135">
        <v>1</v>
      </c>
      <c r="BW135">
        <v>935</v>
      </c>
      <c r="BX135">
        <v>0</v>
      </c>
      <c r="BY135">
        <v>9</v>
      </c>
      <c r="BZ135">
        <v>0</v>
      </c>
      <c r="CA135">
        <v>2</v>
      </c>
      <c r="CB135">
        <v>29</v>
      </c>
      <c r="CC135">
        <v>1</v>
      </c>
      <c r="CD135">
        <v>0</v>
      </c>
      <c r="CE135">
        <v>0</v>
      </c>
      <c r="CF135">
        <v>5</v>
      </c>
      <c r="CG135">
        <v>0</v>
      </c>
      <c r="CH135">
        <v>882</v>
      </c>
      <c r="CI135">
        <v>1</v>
      </c>
      <c r="CJ135">
        <v>0</v>
      </c>
      <c r="CK135">
        <v>1</v>
      </c>
      <c r="CL135">
        <v>2</v>
      </c>
      <c r="CM135">
        <v>3</v>
      </c>
      <c r="CN135">
        <v>3</v>
      </c>
      <c r="CO135">
        <v>0</v>
      </c>
      <c r="CP135">
        <v>0</v>
      </c>
      <c r="CQ135">
        <v>1</v>
      </c>
      <c r="CR135">
        <v>3</v>
      </c>
      <c r="CS135">
        <v>946</v>
      </c>
      <c r="CT135">
        <v>0</v>
      </c>
      <c r="CU135">
        <v>2</v>
      </c>
      <c r="CV135">
        <v>0</v>
      </c>
      <c r="CW135">
        <v>1</v>
      </c>
      <c r="CX135">
        <v>8</v>
      </c>
      <c r="CY135">
        <v>24</v>
      </c>
      <c r="CZ135">
        <v>6</v>
      </c>
      <c r="DA135">
        <v>0</v>
      </c>
      <c r="DB135">
        <v>4</v>
      </c>
      <c r="DC135">
        <v>0</v>
      </c>
      <c r="DD135">
        <v>957</v>
      </c>
      <c r="DE135">
        <v>5</v>
      </c>
      <c r="DF135">
        <v>23</v>
      </c>
      <c r="DG135">
        <v>1</v>
      </c>
      <c r="DH135">
        <v>0</v>
      </c>
      <c r="DI135">
        <v>2</v>
      </c>
      <c r="DJ135">
        <v>1</v>
      </c>
      <c r="DK135">
        <v>0</v>
      </c>
      <c r="DL135">
        <v>2</v>
      </c>
      <c r="DM135">
        <v>0</v>
      </c>
      <c r="DN135">
        <v>1</v>
      </c>
      <c r="DO135">
        <v>962</v>
      </c>
      <c r="DP135">
        <v>5</v>
      </c>
      <c r="DQ135">
        <v>0</v>
      </c>
      <c r="DR135">
        <v>0</v>
      </c>
      <c r="DS135">
        <v>0</v>
      </c>
      <c r="DT135">
        <v>1</v>
      </c>
      <c r="DU135">
        <v>2</v>
      </c>
      <c r="DV135">
        <v>1</v>
      </c>
      <c r="DW135">
        <v>0</v>
      </c>
      <c r="DX135">
        <v>1</v>
      </c>
      <c r="DY135">
        <v>2</v>
      </c>
      <c r="DZ135">
        <v>1002</v>
      </c>
      <c r="EA135">
        <v>0.98209999999999997</v>
      </c>
      <c r="EB135">
        <v>0.98252774187271597</v>
      </c>
      <c r="EC135">
        <v>0.98206292519068406</v>
      </c>
      <c r="ED135">
        <v>0.98205388706693397</v>
      </c>
      <c r="EE135">
        <f>SUM(Table1[[#This Row],[ratio_0]:[ratio_9]])</f>
        <v>820</v>
      </c>
      <c r="EF135" s="1">
        <f>(Table1[[#This Row],[predicted_0]]-Table1[[#This Row],[actual_0]])/Table1[[#This Row],[actual_0]]</f>
        <v>4.0816326530612249E-3</v>
      </c>
      <c r="EG135" s="1">
        <f>(Table1[[#This Row],[predicted_1]]-Table1[[#This Row],[actual_1]])/Table1[[#This Row],[actual_1]]</f>
        <v>8.8105726872246704E-3</v>
      </c>
      <c r="EH135" s="1">
        <f>(Table1[[#This Row],[predicted_2]]-Table1[[#This Row],[actual_2]])/Table1[[#This Row],[actual_2]]</f>
        <v>2.3255813953488372E-2</v>
      </c>
      <c r="EI135" s="1">
        <f>(Table1[[#This Row],[predicted_3]]-Table1[[#This Row],[actual_3]])/Table1[[#This Row],[actual_3]]</f>
        <v>9.9009900990099011E-3</v>
      </c>
      <c r="EJ135" s="1">
        <f>(Table1[[#This Row],[predicted_4]]-Table1[[#This Row],[actual_4]])/Table1[[#This Row],[actual_4]]</f>
        <v>-4.4806517311608958E-2</v>
      </c>
      <c r="EK135" s="1">
        <f>(Table1[[#This Row],[predicted_5]]-Table1[[#This Row],[actual_5]])/Table1[[#This Row],[actual_5]]</f>
        <v>3.3632286995515697E-3</v>
      </c>
      <c r="EL135" s="1">
        <f>(Table1[[#This Row],[predicted_6]]-Table1[[#This Row],[actual_6]])/Table1[[#This Row],[actual_6]]</f>
        <v>0</v>
      </c>
      <c r="EM135" s="1">
        <f>(Table1[[#This Row],[predicted_7]]-Table1[[#This Row],[actual_7]])/Table1[[#This Row],[actual_7]]</f>
        <v>-6.4202334630350189E-2</v>
      </c>
      <c r="EN135" s="1">
        <f>(Table1[[#This Row],[predicted_8]]-Table1[[#This Row],[actual_8]])/Table1[[#This Row],[actual_8]]</f>
        <v>5.1334702258726897E-3</v>
      </c>
      <c r="EO135" s="1">
        <f>(Table1[[#This Row],[predicted_9]]-Table1[[#This Row],[actual_9]])/Table1[[#This Row],[actual_9]]</f>
        <v>5.3518334985133795E-2</v>
      </c>
      <c r="EP135" s="1">
        <f>1+(Table1[[#This Row],[error_ratio_0]]-EF$2)</f>
        <v>1.0020408163265306</v>
      </c>
      <c r="EQ135" s="1">
        <f>1+(Table1[[#This Row],[error_ratio_1]]-EG$2)</f>
        <v>1.0070484581497798</v>
      </c>
      <c r="ER135" s="1">
        <f>1+(Table1[[#This Row],[error_ratio_2]]-EH$2)</f>
        <v>1.0281007751937985</v>
      </c>
      <c r="ES135" s="1">
        <f>1+(Table1[[#This Row],[error_ratio_3]]-EI$2)</f>
        <v>1</v>
      </c>
      <c r="ET135" s="1">
        <f>1+(Table1[[#This Row],[error_ratio_4]]-EJ$2)</f>
        <v>0.95417515274949083</v>
      </c>
      <c r="EU135" s="1">
        <f>1+(Table1[[#This Row],[error_ratio_5]]-EK$2)</f>
        <v>1.0022421524663676</v>
      </c>
      <c r="EV135" s="1">
        <f>1+(Table1[[#This Row],[error_ratio_6]]-EL$2)</f>
        <v>1.0062630480167014</v>
      </c>
      <c r="EW135" s="1">
        <f>1+(Table1[[#This Row],[error_ratio_7]]-EM$2)</f>
        <v>0.93385214007782102</v>
      </c>
      <c r="EX135" s="1">
        <f>1+(Table1[[#This Row],[error_ratio_8]]-EN$2)</f>
        <v>1.0082135523613962</v>
      </c>
      <c r="EY135" s="1">
        <f>1+(Table1[[#This Row],[error_ratio_9]]-EO$2)</f>
        <v>1.0574826560951438</v>
      </c>
    </row>
    <row r="136" spans="1:155" x14ac:dyDescent="0.75">
      <c r="A136">
        <v>100</v>
      </c>
      <c r="B136">
        <v>10</v>
      </c>
      <c r="C136">
        <v>100</v>
      </c>
      <c r="D136">
        <v>100</v>
      </c>
      <c r="E136">
        <v>10</v>
      </c>
      <c r="F136">
        <v>100</v>
      </c>
      <c r="G136">
        <v>100</v>
      </c>
      <c r="H136">
        <v>10</v>
      </c>
      <c r="I136">
        <v>100</v>
      </c>
      <c r="J136">
        <v>100</v>
      </c>
      <c r="K136">
        <v>987</v>
      </c>
      <c r="L136">
        <v>1116</v>
      </c>
      <c r="M136">
        <v>1080</v>
      </c>
      <c r="N136">
        <v>1026</v>
      </c>
      <c r="O136">
        <v>876</v>
      </c>
      <c r="P136">
        <v>918</v>
      </c>
      <c r="Q136">
        <v>938</v>
      </c>
      <c r="R136">
        <v>985</v>
      </c>
      <c r="S136">
        <v>988</v>
      </c>
      <c r="T136">
        <v>1086</v>
      </c>
      <c r="U136">
        <v>980</v>
      </c>
      <c r="V136">
        <v>1135</v>
      </c>
      <c r="W136">
        <v>1032</v>
      </c>
      <c r="X136">
        <v>1010</v>
      </c>
      <c r="Y136">
        <v>982</v>
      </c>
      <c r="Z136">
        <v>892</v>
      </c>
      <c r="AA136">
        <v>958</v>
      </c>
      <c r="AB136">
        <v>1028</v>
      </c>
      <c r="AC136">
        <v>974</v>
      </c>
      <c r="AD136">
        <v>1009</v>
      </c>
      <c r="AE136">
        <v>971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2</v>
      </c>
      <c r="AL136">
        <v>1</v>
      </c>
      <c r="AM136">
        <v>4</v>
      </c>
      <c r="AN136">
        <v>2</v>
      </c>
      <c r="AO136">
        <v>0</v>
      </c>
      <c r="AP136">
        <v>1113</v>
      </c>
      <c r="AQ136">
        <v>4</v>
      </c>
      <c r="AR136">
        <v>4</v>
      </c>
      <c r="AS136">
        <v>0</v>
      </c>
      <c r="AT136">
        <v>3</v>
      </c>
      <c r="AU136">
        <v>2</v>
      </c>
      <c r="AV136">
        <v>0</v>
      </c>
      <c r="AW136">
        <v>8</v>
      </c>
      <c r="AX136">
        <v>1</v>
      </c>
      <c r="AY136">
        <v>0</v>
      </c>
      <c r="AZ136">
        <v>0</v>
      </c>
      <c r="BA136">
        <v>1025</v>
      </c>
      <c r="BB136">
        <v>0</v>
      </c>
      <c r="BC136">
        <v>0</v>
      </c>
      <c r="BD136">
        <v>0</v>
      </c>
      <c r="BE136">
        <v>0</v>
      </c>
      <c r="BF136">
        <v>5</v>
      </c>
      <c r="BG136">
        <v>2</v>
      </c>
      <c r="BH136">
        <v>0</v>
      </c>
      <c r="BI136">
        <v>0</v>
      </c>
      <c r="BJ136">
        <v>0</v>
      </c>
      <c r="BK136">
        <v>2</v>
      </c>
      <c r="BL136">
        <v>999</v>
      </c>
      <c r="BM136">
        <v>0</v>
      </c>
      <c r="BN136">
        <v>4</v>
      </c>
      <c r="BO136">
        <v>0</v>
      </c>
      <c r="BP136">
        <v>2</v>
      </c>
      <c r="BQ136">
        <v>0</v>
      </c>
      <c r="BR136">
        <v>3</v>
      </c>
      <c r="BS136">
        <v>0</v>
      </c>
      <c r="BT136">
        <v>0</v>
      </c>
      <c r="BU136">
        <v>19</v>
      </c>
      <c r="BV136">
        <v>0</v>
      </c>
      <c r="BW136">
        <v>873</v>
      </c>
      <c r="BX136">
        <v>0</v>
      </c>
      <c r="BY136">
        <v>5</v>
      </c>
      <c r="BZ136">
        <v>1</v>
      </c>
      <c r="CA136">
        <v>5</v>
      </c>
      <c r="CB136">
        <v>79</v>
      </c>
      <c r="CC136">
        <v>2</v>
      </c>
      <c r="CD136">
        <v>0</v>
      </c>
      <c r="CE136">
        <v>0</v>
      </c>
      <c r="CF136">
        <v>3</v>
      </c>
      <c r="CG136">
        <v>0</v>
      </c>
      <c r="CH136">
        <v>885</v>
      </c>
      <c r="CI136">
        <v>1</v>
      </c>
      <c r="CJ136">
        <v>1</v>
      </c>
      <c r="CK136">
        <v>0</v>
      </c>
      <c r="CL136">
        <v>0</v>
      </c>
      <c r="CM136">
        <v>12</v>
      </c>
      <c r="CN136">
        <v>1</v>
      </c>
      <c r="CO136">
        <v>2</v>
      </c>
      <c r="CP136">
        <v>0</v>
      </c>
      <c r="CQ136">
        <v>2</v>
      </c>
      <c r="CR136">
        <v>11</v>
      </c>
      <c r="CS136">
        <v>928</v>
      </c>
      <c r="CT136">
        <v>0</v>
      </c>
      <c r="CU136">
        <v>1</v>
      </c>
      <c r="CV136">
        <v>1</v>
      </c>
      <c r="CW136">
        <v>1</v>
      </c>
      <c r="CX136">
        <v>2</v>
      </c>
      <c r="CY136">
        <v>26</v>
      </c>
      <c r="CZ136">
        <v>12</v>
      </c>
      <c r="DA136">
        <v>0</v>
      </c>
      <c r="DB136">
        <v>3</v>
      </c>
      <c r="DC136">
        <v>0</v>
      </c>
      <c r="DD136">
        <v>969</v>
      </c>
      <c r="DE136">
        <v>5</v>
      </c>
      <c r="DF136">
        <v>10</v>
      </c>
      <c r="DG136">
        <v>1</v>
      </c>
      <c r="DH136">
        <v>0</v>
      </c>
      <c r="DI136">
        <v>1</v>
      </c>
      <c r="DJ136">
        <v>4</v>
      </c>
      <c r="DK136">
        <v>0</v>
      </c>
      <c r="DL136">
        <v>2</v>
      </c>
      <c r="DM136">
        <v>0</v>
      </c>
      <c r="DN136">
        <v>1</v>
      </c>
      <c r="DO136">
        <v>961</v>
      </c>
      <c r="DP136">
        <v>4</v>
      </c>
      <c r="DQ136">
        <v>0</v>
      </c>
      <c r="DR136">
        <v>0</v>
      </c>
      <c r="DS136">
        <v>1</v>
      </c>
      <c r="DT136">
        <v>4</v>
      </c>
      <c r="DU136">
        <v>1</v>
      </c>
      <c r="DV136">
        <v>10</v>
      </c>
      <c r="DW136">
        <v>0</v>
      </c>
      <c r="DX136">
        <v>5</v>
      </c>
      <c r="DY136">
        <v>2</v>
      </c>
      <c r="DZ136">
        <v>986</v>
      </c>
      <c r="EA136">
        <v>0.97099999999999997</v>
      </c>
      <c r="EB136">
        <v>0.97181734008270404</v>
      </c>
      <c r="EC136">
        <v>0.97100634296386801</v>
      </c>
      <c r="ED136">
        <v>0.970833124107083</v>
      </c>
      <c r="EE136">
        <f>SUM(Table1[[#This Row],[ratio_0]:[ratio_9]])</f>
        <v>730</v>
      </c>
      <c r="EF136" s="1">
        <f>(Table1[[#This Row],[predicted_0]]-Table1[[#This Row],[actual_0]])/Table1[[#This Row],[actual_0]]</f>
        <v>7.1428571428571426E-3</v>
      </c>
      <c r="EG136" s="1">
        <f>(Table1[[#This Row],[predicted_1]]-Table1[[#This Row],[actual_1]])/Table1[[#This Row],[actual_1]]</f>
        <v>-1.6740088105726872E-2</v>
      </c>
      <c r="EH136" s="1">
        <f>(Table1[[#This Row],[predicted_2]]-Table1[[#This Row],[actual_2]])/Table1[[#This Row],[actual_2]]</f>
        <v>4.6511627906976744E-2</v>
      </c>
      <c r="EI136" s="1">
        <f>(Table1[[#This Row],[predicted_3]]-Table1[[#This Row],[actual_3]])/Table1[[#This Row],[actual_3]]</f>
        <v>1.5841584158415842E-2</v>
      </c>
      <c r="EJ136" s="1">
        <f>(Table1[[#This Row],[predicted_4]]-Table1[[#This Row],[actual_4]])/Table1[[#This Row],[actual_4]]</f>
        <v>-0.1079429735234216</v>
      </c>
      <c r="EK136" s="1">
        <f>(Table1[[#This Row],[predicted_5]]-Table1[[#This Row],[actual_5]])/Table1[[#This Row],[actual_5]]</f>
        <v>2.914798206278027E-2</v>
      </c>
      <c r="EL136" s="1">
        <f>(Table1[[#This Row],[predicted_6]]-Table1[[#This Row],[actual_6]])/Table1[[#This Row],[actual_6]]</f>
        <v>-2.0876826722338204E-2</v>
      </c>
      <c r="EM136" s="1">
        <f>(Table1[[#This Row],[predicted_7]]-Table1[[#This Row],[actual_7]])/Table1[[#This Row],[actual_7]]</f>
        <v>-4.1828793774319063E-2</v>
      </c>
      <c r="EN136" s="1">
        <f>(Table1[[#This Row],[predicted_8]]-Table1[[#This Row],[actual_8]])/Table1[[#This Row],[actual_8]]</f>
        <v>1.4373716632443531E-2</v>
      </c>
      <c r="EO136" s="1">
        <f>(Table1[[#This Row],[predicted_9]]-Table1[[#This Row],[actual_9]])/Table1[[#This Row],[actual_9]]</f>
        <v>7.6313181367690788E-2</v>
      </c>
      <c r="EP136" s="1">
        <f>1+(Table1[[#This Row],[error_ratio_0]]-EF$2)</f>
        <v>1.0051020408163265</v>
      </c>
      <c r="EQ136" s="1">
        <f>1+(Table1[[#This Row],[error_ratio_1]]-EG$2)</f>
        <v>0.98149779735682818</v>
      </c>
      <c r="ER136" s="1">
        <f>1+(Table1[[#This Row],[error_ratio_2]]-EH$2)</f>
        <v>1.0513565891472869</v>
      </c>
      <c r="ES136" s="1">
        <f>1+(Table1[[#This Row],[error_ratio_3]]-EI$2)</f>
        <v>1.0059405940594059</v>
      </c>
      <c r="ET136" s="1">
        <f>1+(Table1[[#This Row],[error_ratio_4]]-EJ$2)</f>
        <v>0.8910386965376782</v>
      </c>
      <c r="EU136" s="1">
        <f>1+(Table1[[#This Row],[error_ratio_5]]-EK$2)</f>
        <v>1.0280269058295963</v>
      </c>
      <c r="EV136" s="1">
        <f>1+(Table1[[#This Row],[error_ratio_6]]-EL$2)</f>
        <v>0.98538622129436326</v>
      </c>
      <c r="EW136" s="1">
        <f>1+(Table1[[#This Row],[error_ratio_7]]-EM$2)</f>
        <v>0.95622568093385218</v>
      </c>
      <c r="EX136" s="1">
        <f>1+(Table1[[#This Row],[error_ratio_8]]-EN$2)</f>
        <v>1.017453798767967</v>
      </c>
      <c r="EY136" s="1">
        <f>1+(Table1[[#This Row],[error_ratio_9]]-EO$2)</f>
        <v>1.0802775024777007</v>
      </c>
    </row>
    <row r="137" spans="1:155" x14ac:dyDescent="0.75">
      <c r="A137">
        <v>10</v>
      </c>
      <c r="B137">
        <v>10</v>
      </c>
      <c r="C137">
        <v>100</v>
      </c>
      <c r="D137">
        <v>100</v>
      </c>
      <c r="E137">
        <v>10</v>
      </c>
      <c r="F137">
        <v>100</v>
      </c>
      <c r="G137">
        <v>100</v>
      </c>
      <c r="H137">
        <v>10</v>
      </c>
      <c r="I137">
        <v>100</v>
      </c>
      <c r="J137">
        <v>100</v>
      </c>
      <c r="K137">
        <v>951</v>
      </c>
      <c r="L137">
        <v>1124</v>
      </c>
      <c r="M137">
        <v>1051</v>
      </c>
      <c r="N137">
        <v>1048</v>
      </c>
      <c r="O137">
        <v>907</v>
      </c>
      <c r="P137">
        <v>891</v>
      </c>
      <c r="Q137">
        <v>984</v>
      </c>
      <c r="R137">
        <v>971</v>
      </c>
      <c r="S137">
        <v>973</v>
      </c>
      <c r="T137">
        <v>1100</v>
      </c>
      <c r="U137">
        <v>980</v>
      </c>
      <c r="V137">
        <v>1135</v>
      </c>
      <c r="W137">
        <v>1032</v>
      </c>
      <c r="X137">
        <v>1010</v>
      </c>
      <c r="Y137">
        <v>982</v>
      </c>
      <c r="Z137">
        <v>892</v>
      </c>
      <c r="AA137">
        <v>958</v>
      </c>
      <c r="AB137">
        <v>1028</v>
      </c>
      <c r="AC137">
        <v>974</v>
      </c>
      <c r="AD137">
        <v>1009</v>
      </c>
      <c r="AE137">
        <v>947</v>
      </c>
      <c r="AF137">
        <v>0</v>
      </c>
      <c r="AG137">
        <v>2</v>
      </c>
      <c r="AH137">
        <v>0</v>
      </c>
      <c r="AI137">
        <v>0</v>
      </c>
      <c r="AJ137">
        <v>6</v>
      </c>
      <c r="AK137">
        <v>9</v>
      </c>
      <c r="AL137">
        <v>1</v>
      </c>
      <c r="AM137">
        <v>4</v>
      </c>
      <c r="AN137">
        <v>11</v>
      </c>
      <c r="AO137">
        <v>0</v>
      </c>
      <c r="AP137">
        <v>1117</v>
      </c>
      <c r="AQ137">
        <v>3</v>
      </c>
      <c r="AR137">
        <v>5</v>
      </c>
      <c r="AS137">
        <v>0</v>
      </c>
      <c r="AT137">
        <v>3</v>
      </c>
      <c r="AU137">
        <v>4</v>
      </c>
      <c r="AV137">
        <v>0</v>
      </c>
      <c r="AW137">
        <v>1</v>
      </c>
      <c r="AX137">
        <v>2</v>
      </c>
      <c r="AY137">
        <v>1</v>
      </c>
      <c r="AZ137">
        <v>0</v>
      </c>
      <c r="BA137">
        <v>1020</v>
      </c>
      <c r="BB137">
        <v>4</v>
      </c>
      <c r="BC137">
        <v>0</v>
      </c>
      <c r="BD137">
        <v>0</v>
      </c>
      <c r="BE137">
        <v>1</v>
      </c>
      <c r="BF137">
        <v>4</v>
      </c>
      <c r="BG137">
        <v>2</v>
      </c>
      <c r="BH137">
        <v>0</v>
      </c>
      <c r="BI137">
        <v>0</v>
      </c>
      <c r="BJ137">
        <v>0</v>
      </c>
      <c r="BK137">
        <v>1</v>
      </c>
      <c r="BL137">
        <v>1006</v>
      </c>
      <c r="BM137">
        <v>0</v>
      </c>
      <c r="BN137">
        <v>2</v>
      </c>
      <c r="BO137">
        <v>0</v>
      </c>
      <c r="BP137">
        <v>0</v>
      </c>
      <c r="BQ137">
        <v>1</v>
      </c>
      <c r="BR137">
        <v>0</v>
      </c>
      <c r="BS137">
        <v>0</v>
      </c>
      <c r="BT137">
        <v>0</v>
      </c>
      <c r="BU137">
        <v>1</v>
      </c>
      <c r="BV137">
        <v>1</v>
      </c>
      <c r="BW137">
        <v>905</v>
      </c>
      <c r="BX137">
        <v>0</v>
      </c>
      <c r="BY137">
        <v>12</v>
      </c>
      <c r="BZ137">
        <v>0</v>
      </c>
      <c r="CA137">
        <v>3</v>
      </c>
      <c r="CB137">
        <v>60</v>
      </c>
      <c r="CC137">
        <v>0</v>
      </c>
      <c r="CD137">
        <v>0</v>
      </c>
      <c r="CE137">
        <v>1</v>
      </c>
      <c r="CF137">
        <v>16</v>
      </c>
      <c r="CG137">
        <v>0</v>
      </c>
      <c r="CH137">
        <v>871</v>
      </c>
      <c r="CI137">
        <v>3</v>
      </c>
      <c r="CJ137">
        <v>0</v>
      </c>
      <c r="CK137">
        <v>0</v>
      </c>
      <c r="CL137">
        <v>1</v>
      </c>
      <c r="CM137">
        <v>0</v>
      </c>
      <c r="CN137">
        <v>1</v>
      </c>
      <c r="CO137">
        <v>0</v>
      </c>
      <c r="CP137">
        <v>0</v>
      </c>
      <c r="CQ137">
        <v>1</v>
      </c>
      <c r="CR137">
        <v>2</v>
      </c>
      <c r="CS137">
        <v>954</v>
      </c>
      <c r="CT137">
        <v>0</v>
      </c>
      <c r="CU137">
        <v>0</v>
      </c>
      <c r="CV137">
        <v>0</v>
      </c>
      <c r="CW137">
        <v>2</v>
      </c>
      <c r="CX137">
        <v>5</v>
      </c>
      <c r="CY137">
        <v>21</v>
      </c>
      <c r="CZ137">
        <v>11</v>
      </c>
      <c r="DA137">
        <v>0</v>
      </c>
      <c r="DB137">
        <v>0</v>
      </c>
      <c r="DC137">
        <v>0</v>
      </c>
      <c r="DD137">
        <v>962</v>
      </c>
      <c r="DE137">
        <v>4</v>
      </c>
      <c r="DF137">
        <v>23</v>
      </c>
      <c r="DG137">
        <v>1</v>
      </c>
      <c r="DH137">
        <v>0</v>
      </c>
      <c r="DI137">
        <v>2</v>
      </c>
      <c r="DJ137">
        <v>2</v>
      </c>
      <c r="DK137">
        <v>0</v>
      </c>
      <c r="DL137">
        <v>4</v>
      </c>
      <c r="DM137">
        <v>1</v>
      </c>
      <c r="DN137">
        <v>3</v>
      </c>
      <c r="DO137">
        <v>956</v>
      </c>
      <c r="DP137">
        <v>5</v>
      </c>
      <c r="DQ137">
        <v>0</v>
      </c>
      <c r="DR137">
        <v>1</v>
      </c>
      <c r="DS137">
        <v>0</v>
      </c>
      <c r="DT137">
        <v>3</v>
      </c>
      <c r="DU137">
        <v>1</v>
      </c>
      <c r="DV137">
        <v>3</v>
      </c>
      <c r="DW137">
        <v>0</v>
      </c>
      <c r="DX137">
        <v>1</v>
      </c>
      <c r="DY137">
        <v>2</v>
      </c>
      <c r="DZ137">
        <v>998</v>
      </c>
      <c r="EA137">
        <v>0.97360000000000002</v>
      </c>
      <c r="EB137">
        <v>0.97453867185718801</v>
      </c>
      <c r="EC137">
        <v>0.97351651147262197</v>
      </c>
      <c r="ED137">
        <v>0.973537822438022</v>
      </c>
      <c r="EE137">
        <f>SUM(Table1[[#This Row],[ratio_0]:[ratio_9]])</f>
        <v>640</v>
      </c>
      <c r="EF137" s="1">
        <f>(Table1[[#This Row],[predicted_0]]-Table1[[#This Row],[actual_0]])/Table1[[#This Row],[actual_0]]</f>
        <v>-2.9591836734693878E-2</v>
      </c>
      <c r="EG137" s="1">
        <f>(Table1[[#This Row],[predicted_1]]-Table1[[#This Row],[actual_1]])/Table1[[#This Row],[actual_1]]</f>
        <v>-9.6916299559471359E-3</v>
      </c>
      <c r="EH137" s="1">
        <f>(Table1[[#This Row],[predicted_2]]-Table1[[#This Row],[actual_2]])/Table1[[#This Row],[actual_2]]</f>
        <v>1.8410852713178296E-2</v>
      </c>
      <c r="EI137" s="1">
        <f>(Table1[[#This Row],[predicted_3]]-Table1[[#This Row],[actual_3]])/Table1[[#This Row],[actual_3]]</f>
        <v>3.7623762376237622E-2</v>
      </c>
      <c r="EJ137" s="1">
        <f>(Table1[[#This Row],[predicted_4]]-Table1[[#This Row],[actual_4]])/Table1[[#This Row],[actual_4]]</f>
        <v>-7.637474541751528E-2</v>
      </c>
      <c r="EK137" s="1">
        <f>(Table1[[#This Row],[predicted_5]]-Table1[[#This Row],[actual_5]])/Table1[[#This Row],[actual_5]]</f>
        <v>-1.1210762331838565E-3</v>
      </c>
      <c r="EL137" s="1">
        <f>(Table1[[#This Row],[predicted_6]]-Table1[[#This Row],[actual_6]])/Table1[[#This Row],[actual_6]]</f>
        <v>2.7139874739039668E-2</v>
      </c>
      <c r="EM137" s="1">
        <f>(Table1[[#This Row],[predicted_7]]-Table1[[#This Row],[actual_7]])/Table1[[#This Row],[actual_7]]</f>
        <v>-5.544747081712062E-2</v>
      </c>
      <c r="EN137" s="1">
        <f>(Table1[[#This Row],[predicted_8]]-Table1[[#This Row],[actual_8]])/Table1[[#This Row],[actual_8]]</f>
        <v>-1.026694045174538E-3</v>
      </c>
      <c r="EO137" s="1">
        <f>(Table1[[#This Row],[predicted_9]]-Table1[[#This Row],[actual_9]])/Table1[[#This Row],[actual_9]]</f>
        <v>9.0188305252725476E-2</v>
      </c>
      <c r="EP137" s="1">
        <f>1+(Table1[[#This Row],[error_ratio_0]]-EF$2)</f>
        <v>0.96836734693877546</v>
      </c>
      <c r="EQ137" s="1">
        <f>1+(Table1[[#This Row],[error_ratio_1]]-EG$2)</f>
        <v>0.98854625550660791</v>
      </c>
      <c r="ER137" s="1">
        <f>1+(Table1[[#This Row],[error_ratio_2]]-EH$2)</f>
        <v>1.0232558139534884</v>
      </c>
      <c r="ES137" s="1">
        <f>1+(Table1[[#This Row],[error_ratio_3]]-EI$2)</f>
        <v>1.0277227722772277</v>
      </c>
      <c r="ET137" s="1">
        <f>1+(Table1[[#This Row],[error_ratio_4]]-EJ$2)</f>
        <v>0.92260692464358451</v>
      </c>
      <c r="EU137" s="1">
        <f>1+(Table1[[#This Row],[error_ratio_5]]-EK$2)</f>
        <v>0.99775784753363228</v>
      </c>
      <c r="EV137" s="1">
        <f>1+(Table1[[#This Row],[error_ratio_6]]-EL$2)</f>
        <v>1.0334029227557411</v>
      </c>
      <c r="EW137" s="1">
        <f>1+(Table1[[#This Row],[error_ratio_7]]-EM$2)</f>
        <v>0.94260700389105057</v>
      </c>
      <c r="EX137" s="1">
        <f>1+(Table1[[#This Row],[error_ratio_8]]-EN$2)</f>
        <v>1.0020533880903491</v>
      </c>
      <c r="EY137" s="1">
        <f>1+(Table1[[#This Row],[error_ratio_9]]-EO$2)</f>
        <v>1.0941526263627355</v>
      </c>
    </row>
    <row r="138" spans="1:155" x14ac:dyDescent="0.75">
      <c r="A138">
        <v>100</v>
      </c>
      <c r="B138">
        <v>100</v>
      </c>
      <c r="C138">
        <v>10</v>
      </c>
      <c r="D138">
        <v>100</v>
      </c>
      <c r="E138">
        <v>10</v>
      </c>
      <c r="F138">
        <v>100</v>
      </c>
      <c r="G138">
        <v>100</v>
      </c>
      <c r="H138">
        <v>10</v>
      </c>
      <c r="I138">
        <v>100</v>
      </c>
      <c r="J138">
        <v>100</v>
      </c>
      <c r="K138">
        <v>1016</v>
      </c>
      <c r="L138">
        <v>1155</v>
      </c>
      <c r="M138">
        <v>996</v>
      </c>
      <c r="N138">
        <v>1005</v>
      </c>
      <c r="O138">
        <v>923</v>
      </c>
      <c r="P138">
        <v>919</v>
      </c>
      <c r="Q138">
        <v>938</v>
      </c>
      <c r="R138">
        <v>1002</v>
      </c>
      <c r="S138">
        <v>982</v>
      </c>
      <c r="T138">
        <v>1064</v>
      </c>
      <c r="U138">
        <v>980</v>
      </c>
      <c r="V138">
        <v>1135</v>
      </c>
      <c r="W138">
        <v>1032</v>
      </c>
      <c r="X138">
        <v>1010</v>
      </c>
      <c r="Y138">
        <v>982</v>
      </c>
      <c r="Z138">
        <v>892</v>
      </c>
      <c r="AA138">
        <v>958</v>
      </c>
      <c r="AB138">
        <v>1028</v>
      </c>
      <c r="AC138">
        <v>974</v>
      </c>
      <c r="AD138">
        <v>1009</v>
      </c>
      <c r="AE138">
        <v>978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2</v>
      </c>
      <c r="AN138">
        <v>0</v>
      </c>
      <c r="AO138">
        <v>0</v>
      </c>
      <c r="AP138">
        <v>1133</v>
      </c>
      <c r="AQ138">
        <v>0</v>
      </c>
      <c r="AR138">
        <v>0</v>
      </c>
      <c r="AS138">
        <v>0</v>
      </c>
      <c r="AT138">
        <v>2</v>
      </c>
      <c r="AU138">
        <v>0</v>
      </c>
      <c r="AV138">
        <v>0</v>
      </c>
      <c r="AW138">
        <v>0</v>
      </c>
      <c r="AX138">
        <v>0</v>
      </c>
      <c r="AY138">
        <v>15</v>
      </c>
      <c r="AZ138">
        <v>6</v>
      </c>
      <c r="BA138">
        <v>982</v>
      </c>
      <c r="BB138">
        <v>4</v>
      </c>
      <c r="BC138">
        <v>3</v>
      </c>
      <c r="BD138">
        <v>1</v>
      </c>
      <c r="BE138">
        <v>4</v>
      </c>
      <c r="BF138">
        <v>7</v>
      </c>
      <c r="BG138">
        <v>9</v>
      </c>
      <c r="BH138">
        <v>1</v>
      </c>
      <c r="BI138">
        <v>0</v>
      </c>
      <c r="BJ138">
        <v>1</v>
      </c>
      <c r="BK138">
        <v>1</v>
      </c>
      <c r="BL138">
        <v>995</v>
      </c>
      <c r="BM138">
        <v>0</v>
      </c>
      <c r="BN138">
        <v>7</v>
      </c>
      <c r="BO138">
        <v>0</v>
      </c>
      <c r="BP138">
        <v>4</v>
      </c>
      <c r="BQ138">
        <v>1</v>
      </c>
      <c r="BR138">
        <v>1</v>
      </c>
      <c r="BS138">
        <v>4</v>
      </c>
      <c r="BT138">
        <v>3</v>
      </c>
      <c r="BU138">
        <v>2</v>
      </c>
      <c r="BV138">
        <v>1</v>
      </c>
      <c r="BW138">
        <v>911</v>
      </c>
      <c r="BX138">
        <v>0</v>
      </c>
      <c r="BY138">
        <v>4</v>
      </c>
      <c r="BZ138">
        <v>0</v>
      </c>
      <c r="CA138">
        <v>4</v>
      </c>
      <c r="CB138">
        <v>53</v>
      </c>
      <c r="CC138">
        <v>2</v>
      </c>
      <c r="CD138">
        <v>0</v>
      </c>
      <c r="CE138">
        <v>0</v>
      </c>
      <c r="CF138">
        <v>3</v>
      </c>
      <c r="CG138">
        <v>0</v>
      </c>
      <c r="CH138">
        <v>886</v>
      </c>
      <c r="CI138">
        <v>1</v>
      </c>
      <c r="CJ138">
        <v>0</v>
      </c>
      <c r="CK138">
        <v>0</v>
      </c>
      <c r="CL138">
        <v>0</v>
      </c>
      <c r="CM138">
        <v>10</v>
      </c>
      <c r="CN138">
        <v>3</v>
      </c>
      <c r="CO138">
        <v>0</v>
      </c>
      <c r="CP138">
        <v>1</v>
      </c>
      <c r="CQ138">
        <v>8</v>
      </c>
      <c r="CR138">
        <v>6</v>
      </c>
      <c r="CS138">
        <v>929</v>
      </c>
      <c r="CT138">
        <v>0</v>
      </c>
      <c r="CU138">
        <v>1</v>
      </c>
      <c r="CV138">
        <v>0</v>
      </c>
      <c r="CW138">
        <v>1</v>
      </c>
      <c r="CX138">
        <v>8</v>
      </c>
      <c r="CY138">
        <v>9</v>
      </c>
      <c r="CZ138">
        <v>1</v>
      </c>
      <c r="DA138">
        <v>0</v>
      </c>
      <c r="DB138">
        <v>5</v>
      </c>
      <c r="DC138">
        <v>0</v>
      </c>
      <c r="DD138">
        <v>987</v>
      </c>
      <c r="DE138">
        <v>2</v>
      </c>
      <c r="DF138">
        <v>15</v>
      </c>
      <c r="DG138">
        <v>2</v>
      </c>
      <c r="DH138">
        <v>0</v>
      </c>
      <c r="DI138">
        <v>2</v>
      </c>
      <c r="DJ138">
        <v>0</v>
      </c>
      <c r="DK138">
        <v>0</v>
      </c>
      <c r="DL138">
        <v>2</v>
      </c>
      <c r="DM138">
        <v>0</v>
      </c>
      <c r="DN138">
        <v>2</v>
      </c>
      <c r="DO138">
        <v>963</v>
      </c>
      <c r="DP138">
        <v>3</v>
      </c>
      <c r="DQ138">
        <v>4</v>
      </c>
      <c r="DR138">
        <v>1</v>
      </c>
      <c r="DS138">
        <v>0</v>
      </c>
      <c r="DT138">
        <v>0</v>
      </c>
      <c r="DU138">
        <v>1</v>
      </c>
      <c r="DV138">
        <v>10</v>
      </c>
      <c r="DW138">
        <v>0</v>
      </c>
      <c r="DX138">
        <v>2</v>
      </c>
      <c r="DY138">
        <v>0</v>
      </c>
      <c r="DZ138">
        <v>991</v>
      </c>
      <c r="EA138">
        <v>0.97550000000000003</v>
      </c>
      <c r="EB138">
        <v>0.97581124187645196</v>
      </c>
      <c r="EC138">
        <v>0.97545803418015398</v>
      </c>
      <c r="ED138">
        <v>0.97535462628362102</v>
      </c>
      <c r="EE138">
        <f>SUM(Table1[[#This Row],[ratio_0]:[ratio_9]])</f>
        <v>730</v>
      </c>
      <c r="EF138" s="1">
        <f>(Table1[[#This Row],[predicted_0]]-Table1[[#This Row],[actual_0]])/Table1[[#This Row],[actual_0]]</f>
        <v>3.6734693877551024E-2</v>
      </c>
      <c r="EG138" s="1">
        <f>(Table1[[#This Row],[predicted_1]]-Table1[[#This Row],[actual_1]])/Table1[[#This Row],[actual_1]]</f>
        <v>1.7621145374449341E-2</v>
      </c>
      <c r="EH138" s="1">
        <f>(Table1[[#This Row],[predicted_2]]-Table1[[#This Row],[actual_2]])/Table1[[#This Row],[actual_2]]</f>
        <v>-3.4883720930232558E-2</v>
      </c>
      <c r="EI138" s="1">
        <f>(Table1[[#This Row],[predicted_3]]-Table1[[#This Row],[actual_3]])/Table1[[#This Row],[actual_3]]</f>
        <v>-4.9504950495049506E-3</v>
      </c>
      <c r="EJ138" s="1">
        <f>(Table1[[#This Row],[predicted_4]]-Table1[[#This Row],[actual_4]])/Table1[[#This Row],[actual_4]]</f>
        <v>-6.008146639511202E-2</v>
      </c>
      <c r="EK138" s="1">
        <f>(Table1[[#This Row],[predicted_5]]-Table1[[#This Row],[actual_5]])/Table1[[#This Row],[actual_5]]</f>
        <v>3.0269058295964126E-2</v>
      </c>
      <c r="EL138" s="1">
        <f>(Table1[[#This Row],[predicted_6]]-Table1[[#This Row],[actual_6]])/Table1[[#This Row],[actual_6]]</f>
        <v>-2.0876826722338204E-2</v>
      </c>
      <c r="EM138" s="1">
        <f>(Table1[[#This Row],[predicted_7]]-Table1[[#This Row],[actual_7]])/Table1[[#This Row],[actual_7]]</f>
        <v>-2.5291828793774319E-2</v>
      </c>
      <c r="EN138" s="1">
        <f>(Table1[[#This Row],[predicted_8]]-Table1[[#This Row],[actual_8]])/Table1[[#This Row],[actual_8]]</f>
        <v>8.2135523613963042E-3</v>
      </c>
      <c r="EO138" s="1">
        <f>(Table1[[#This Row],[predicted_9]]-Table1[[#This Row],[actual_9]])/Table1[[#This Row],[actual_9]]</f>
        <v>5.4509415262636272E-2</v>
      </c>
      <c r="EP138" s="1">
        <f>1+(Table1[[#This Row],[error_ratio_0]]-EF$2)</f>
        <v>1.0346938775510204</v>
      </c>
      <c r="EQ138" s="1">
        <f>1+(Table1[[#This Row],[error_ratio_1]]-EG$2)</f>
        <v>1.0158590308370044</v>
      </c>
      <c r="ER138" s="1">
        <f>1+(Table1[[#This Row],[error_ratio_2]]-EH$2)</f>
        <v>0.96996124031007747</v>
      </c>
      <c r="ES138" s="1">
        <f>1+(Table1[[#This Row],[error_ratio_3]]-EI$2)</f>
        <v>0.98514851485148514</v>
      </c>
      <c r="ET138" s="1">
        <f>1+(Table1[[#This Row],[error_ratio_4]]-EJ$2)</f>
        <v>0.93890020366598781</v>
      </c>
      <c r="EU138" s="1">
        <f>1+(Table1[[#This Row],[error_ratio_5]]-EK$2)</f>
        <v>1.0291479820627802</v>
      </c>
      <c r="EV138" s="1">
        <f>1+(Table1[[#This Row],[error_ratio_6]]-EL$2)</f>
        <v>0.98538622129436326</v>
      </c>
      <c r="EW138" s="1">
        <f>1+(Table1[[#This Row],[error_ratio_7]]-EM$2)</f>
        <v>0.97276264591439687</v>
      </c>
      <c r="EX138" s="1">
        <f>1+(Table1[[#This Row],[error_ratio_8]]-EN$2)</f>
        <v>1.0112936344969199</v>
      </c>
      <c r="EY138" s="1">
        <f>1+(Table1[[#This Row],[error_ratio_9]]-EO$2)</f>
        <v>1.0584737363726462</v>
      </c>
    </row>
    <row r="139" spans="1:155" x14ac:dyDescent="0.75">
      <c r="A139">
        <v>10</v>
      </c>
      <c r="B139">
        <v>100</v>
      </c>
      <c r="C139">
        <v>10</v>
      </c>
      <c r="D139">
        <v>100</v>
      </c>
      <c r="E139">
        <v>10</v>
      </c>
      <c r="F139">
        <v>100</v>
      </c>
      <c r="G139">
        <v>100</v>
      </c>
      <c r="H139">
        <v>10</v>
      </c>
      <c r="I139">
        <v>100</v>
      </c>
      <c r="J139">
        <v>100</v>
      </c>
      <c r="K139">
        <v>937</v>
      </c>
      <c r="L139">
        <v>1155</v>
      </c>
      <c r="M139">
        <v>1024</v>
      </c>
      <c r="N139">
        <v>1091</v>
      </c>
      <c r="O139">
        <v>947</v>
      </c>
      <c r="P139">
        <v>919</v>
      </c>
      <c r="Q139">
        <v>968</v>
      </c>
      <c r="R139">
        <v>946</v>
      </c>
      <c r="S139">
        <v>977</v>
      </c>
      <c r="T139">
        <v>1036</v>
      </c>
      <c r="U139">
        <v>980</v>
      </c>
      <c r="V139">
        <v>1135</v>
      </c>
      <c r="W139">
        <v>1032</v>
      </c>
      <c r="X139">
        <v>1010</v>
      </c>
      <c r="Y139">
        <v>982</v>
      </c>
      <c r="Z139">
        <v>892</v>
      </c>
      <c r="AA139">
        <v>958</v>
      </c>
      <c r="AB139">
        <v>1028</v>
      </c>
      <c r="AC139">
        <v>974</v>
      </c>
      <c r="AD139">
        <v>1009</v>
      </c>
      <c r="AE139">
        <v>931</v>
      </c>
      <c r="AF139">
        <v>3</v>
      </c>
      <c r="AG139">
        <v>7</v>
      </c>
      <c r="AH139">
        <v>2</v>
      </c>
      <c r="AI139">
        <v>2</v>
      </c>
      <c r="AJ139">
        <v>12</v>
      </c>
      <c r="AK139">
        <v>13</v>
      </c>
      <c r="AL139">
        <v>1</v>
      </c>
      <c r="AM139">
        <v>7</v>
      </c>
      <c r="AN139">
        <v>2</v>
      </c>
      <c r="AO139">
        <v>0</v>
      </c>
      <c r="AP139">
        <v>1127</v>
      </c>
      <c r="AQ139">
        <v>0</v>
      </c>
      <c r="AR139">
        <v>6</v>
      </c>
      <c r="AS139">
        <v>0</v>
      </c>
      <c r="AT139">
        <v>0</v>
      </c>
      <c r="AU139">
        <v>2</v>
      </c>
      <c r="AV139">
        <v>0</v>
      </c>
      <c r="AW139">
        <v>0</v>
      </c>
      <c r="AX139">
        <v>0</v>
      </c>
      <c r="AY139">
        <v>1</v>
      </c>
      <c r="AZ139">
        <v>7</v>
      </c>
      <c r="BA139">
        <v>992</v>
      </c>
      <c r="BB139">
        <v>18</v>
      </c>
      <c r="BC139">
        <v>3</v>
      </c>
      <c r="BD139">
        <v>0</v>
      </c>
      <c r="BE139">
        <v>3</v>
      </c>
      <c r="BF139">
        <v>2</v>
      </c>
      <c r="BG139">
        <v>6</v>
      </c>
      <c r="BH139">
        <v>0</v>
      </c>
      <c r="BI139">
        <v>0</v>
      </c>
      <c r="BJ139">
        <v>0</v>
      </c>
      <c r="BK139">
        <v>1</v>
      </c>
      <c r="BL139">
        <v>1007</v>
      </c>
      <c r="BM139">
        <v>0</v>
      </c>
      <c r="BN139">
        <v>1</v>
      </c>
      <c r="BO139">
        <v>0</v>
      </c>
      <c r="BP139">
        <v>0</v>
      </c>
      <c r="BQ139">
        <v>0</v>
      </c>
      <c r="BR139">
        <v>1</v>
      </c>
      <c r="BS139">
        <v>0</v>
      </c>
      <c r="BT139">
        <v>7</v>
      </c>
      <c r="BU139">
        <v>2</v>
      </c>
      <c r="BV139">
        <v>1</v>
      </c>
      <c r="BW139">
        <v>937</v>
      </c>
      <c r="BX139">
        <v>0</v>
      </c>
      <c r="BY139">
        <v>5</v>
      </c>
      <c r="BZ139">
        <v>1</v>
      </c>
      <c r="CA139">
        <v>7</v>
      </c>
      <c r="CB139">
        <v>22</v>
      </c>
      <c r="CC139">
        <v>0</v>
      </c>
      <c r="CD139">
        <v>0</v>
      </c>
      <c r="CE139">
        <v>0</v>
      </c>
      <c r="CF139">
        <v>8</v>
      </c>
      <c r="CG139">
        <v>0</v>
      </c>
      <c r="CH139">
        <v>883</v>
      </c>
      <c r="CI139">
        <v>0</v>
      </c>
      <c r="CJ139">
        <v>0</v>
      </c>
      <c r="CK139">
        <v>1</v>
      </c>
      <c r="CL139">
        <v>0</v>
      </c>
      <c r="CM139">
        <v>2</v>
      </c>
      <c r="CN139">
        <v>1</v>
      </c>
      <c r="CO139">
        <v>0</v>
      </c>
      <c r="CP139">
        <v>1</v>
      </c>
      <c r="CQ139">
        <v>3</v>
      </c>
      <c r="CR139">
        <v>8</v>
      </c>
      <c r="CS139">
        <v>943</v>
      </c>
      <c r="CT139">
        <v>0</v>
      </c>
      <c r="CU139">
        <v>0</v>
      </c>
      <c r="CV139">
        <v>0</v>
      </c>
      <c r="CW139">
        <v>1</v>
      </c>
      <c r="CX139">
        <v>7</v>
      </c>
      <c r="CY139">
        <v>20</v>
      </c>
      <c r="CZ139">
        <v>27</v>
      </c>
      <c r="DA139">
        <v>0</v>
      </c>
      <c r="DB139">
        <v>5</v>
      </c>
      <c r="DC139">
        <v>0</v>
      </c>
      <c r="DD139">
        <v>940</v>
      </c>
      <c r="DE139">
        <v>1</v>
      </c>
      <c r="DF139">
        <v>27</v>
      </c>
      <c r="DG139">
        <v>1</v>
      </c>
      <c r="DH139">
        <v>1</v>
      </c>
      <c r="DI139">
        <v>1</v>
      </c>
      <c r="DJ139">
        <v>12</v>
      </c>
      <c r="DK139">
        <v>0</v>
      </c>
      <c r="DL139">
        <v>8</v>
      </c>
      <c r="DM139">
        <v>0</v>
      </c>
      <c r="DN139">
        <v>0</v>
      </c>
      <c r="DO139">
        <v>950</v>
      </c>
      <c r="DP139">
        <v>1</v>
      </c>
      <c r="DQ139">
        <v>1</v>
      </c>
      <c r="DR139">
        <v>2</v>
      </c>
      <c r="DS139">
        <v>1</v>
      </c>
      <c r="DT139">
        <v>9</v>
      </c>
      <c r="DU139">
        <v>2</v>
      </c>
      <c r="DV139">
        <v>2</v>
      </c>
      <c r="DW139">
        <v>2</v>
      </c>
      <c r="DX139">
        <v>2</v>
      </c>
      <c r="DY139">
        <v>5</v>
      </c>
      <c r="DZ139">
        <v>983</v>
      </c>
      <c r="EA139">
        <v>0.96930000000000005</v>
      </c>
      <c r="EB139">
        <v>0.97004150391017296</v>
      </c>
      <c r="EC139">
        <v>0.96936375443673894</v>
      </c>
      <c r="ED139">
        <v>0.96926414453897303</v>
      </c>
      <c r="EE139">
        <f>SUM(Table1[[#This Row],[ratio_0]:[ratio_9]])</f>
        <v>640</v>
      </c>
      <c r="EF139" s="1">
        <f>(Table1[[#This Row],[predicted_0]]-Table1[[#This Row],[actual_0]])/Table1[[#This Row],[actual_0]]</f>
        <v>-4.3877551020408162E-2</v>
      </c>
      <c r="EG139" s="1">
        <f>(Table1[[#This Row],[predicted_1]]-Table1[[#This Row],[actual_1]])/Table1[[#This Row],[actual_1]]</f>
        <v>1.7621145374449341E-2</v>
      </c>
      <c r="EH139" s="1">
        <f>(Table1[[#This Row],[predicted_2]]-Table1[[#This Row],[actual_2]])/Table1[[#This Row],[actual_2]]</f>
        <v>-7.7519379844961239E-3</v>
      </c>
      <c r="EI139" s="1">
        <f>(Table1[[#This Row],[predicted_3]]-Table1[[#This Row],[actual_3]])/Table1[[#This Row],[actual_3]]</f>
        <v>8.01980198019802E-2</v>
      </c>
      <c r="EJ139" s="1">
        <f>(Table1[[#This Row],[predicted_4]]-Table1[[#This Row],[actual_4]])/Table1[[#This Row],[actual_4]]</f>
        <v>-3.5641547861507125E-2</v>
      </c>
      <c r="EK139" s="1">
        <f>(Table1[[#This Row],[predicted_5]]-Table1[[#This Row],[actual_5]])/Table1[[#This Row],[actual_5]]</f>
        <v>3.0269058295964126E-2</v>
      </c>
      <c r="EL139" s="1">
        <f>(Table1[[#This Row],[predicted_6]]-Table1[[#This Row],[actual_6]])/Table1[[#This Row],[actual_6]]</f>
        <v>1.0438413361169102E-2</v>
      </c>
      <c r="EM139" s="1">
        <f>(Table1[[#This Row],[predicted_7]]-Table1[[#This Row],[actual_7]])/Table1[[#This Row],[actual_7]]</f>
        <v>-7.9766536964980539E-2</v>
      </c>
      <c r="EN139" s="1">
        <f>(Table1[[#This Row],[predicted_8]]-Table1[[#This Row],[actual_8]])/Table1[[#This Row],[actual_8]]</f>
        <v>3.0800821355236141E-3</v>
      </c>
      <c r="EO139" s="1">
        <f>(Table1[[#This Row],[predicted_9]]-Table1[[#This Row],[actual_9]])/Table1[[#This Row],[actual_9]]</f>
        <v>2.6759167492566897E-2</v>
      </c>
      <c r="EP139" s="1">
        <f>1+(Table1[[#This Row],[error_ratio_0]]-EF$2)</f>
        <v>0.95408163265306123</v>
      </c>
      <c r="EQ139" s="1">
        <f>1+(Table1[[#This Row],[error_ratio_1]]-EG$2)</f>
        <v>1.0158590308370044</v>
      </c>
      <c r="ER139" s="1">
        <f>1+(Table1[[#This Row],[error_ratio_2]]-EH$2)</f>
        <v>0.99709302325581395</v>
      </c>
      <c r="ES139" s="1">
        <f>1+(Table1[[#This Row],[error_ratio_3]]-EI$2)</f>
        <v>1.0702970297029704</v>
      </c>
      <c r="ET139" s="1">
        <f>1+(Table1[[#This Row],[error_ratio_4]]-EJ$2)</f>
        <v>0.96334012219959264</v>
      </c>
      <c r="EU139" s="1">
        <f>1+(Table1[[#This Row],[error_ratio_5]]-EK$2)</f>
        <v>1.0291479820627802</v>
      </c>
      <c r="EV139" s="1">
        <f>1+(Table1[[#This Row],[error_ratio_6]]-EL$2)</f>
        <v>1.0167014613778707</v>
      </c>
      <c r="EW139" s="1">
        <f>1+(Table1[[#This Row],[error_ratio_7]]-EM$2)</f>
        <v>0.91828793774319073</v>
      </c>
      <c r="EX139" s="1">
        <f>1+(Table1[[#This Row],[error_ratio_8]]-EN$2)</f>
        <v>1.0061601642710472</v>
      </c>
      <c r="EY139" s="1">
        <f>1+(Table1[[#This Row],[error_ratio_9]]-EO$2)</f>
        <v>1.0307234886025769</v>
      </c>
    </row>
    <row r="140" spans="1:155" x14ac:dyDescent="0.75">
      <c r="A140">
        <v>100</v>
      </c>
      <c r="B140">
        <v>10</v>
      </c>
      <c r="C140">
        <v>10</v>
      </c>
      <c r="D140">
        <v>100</v>
      </c>
      <c r="E140">
        <v>10</v>
      </c>
      <c r="F140">
        <v>100</v>
      </c>
      <c r="G140">
        <v>100</v>
      </c>
      <c r="H140">
        <v>10</v>
      </c>
      <c r="I140">
        <v>100</v>
      </c>
      <c r="J140">
        <v>100</v>
      </c>
      <c r="K140">
        <v>1017</v>
      </c>
      <c r="L140">
        <v>1125</v>
      </c>
      <c r="M140">
        <v>1006</v>
      </c>
      <c r="N140">
        <v>1029</v>
      </c>
      <c r="O140">
        <v>852</v>
      </c>
      <c r="P140">
        <v>878</v>
      </c>
      <c r="Q140">
        <v>984</v>
      </c>
      <c r="R140">
        <v>1007</v>
      </c>
      <c r="S140">
        <v>1011</v>
      </c>
      <c r="T140">
        <v>1091</v>
      </c>
      <c r="U140">
        <v>980</v>
      </c>
      <c r="V140">
        <v>1135</v>
      </c>
      <c r="W140">
        <v>1032</v>
      </c>
      <c r="X140">
        <v>1010</v>
      </c>
      <c r="Y140">
        <v>982</v>
      </c>
      <c r="Z140">
        <v>892</v>
      </c>
      <c r="AA140">
        <v>958</v>
      </c>
      <c r="AB140">
        <v>1028</v>
      </c>
      <c r="AC140">
        <v>974</v>
      </c>
      <c r="AD140">
        <v>1009</v>
      </c>
      <c r="AE140">
        <v>976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1</v>
      </c>
      <c r="AL140">
        <v>0</v>
      </c>
      <c r="AM140">
        <v>2</v>
      </c>
      <c r="AN140">
        <v>1</v>
      </c>
      <c r="AO140">
        <v>0</v>
      </c>
      <c r="AP140">
        <v>1117</v>
      </c>
      <c r="AQ140">
        <v>2</v>
      </c>
      <c r="AR140">
        <v>3</v>
      </c>
      <c r="AS140">
        <v>0</v>
      </c>
      <c r="AT140">
        <v>1</v>
      </c>
      <c r="AU140">
        <v>8</v>
      </c>
      <c r="AV140">
        <v>0</v>
      </c>
      <c r="AW140">
        <v>3</v>
      </c>
      <c r="AX140">
        <v>1</v>
      </c>
      <c r="AY140">
        <v>9</v>
      </c>
      <c r="AZ140">
        <v>1</v>
      </c>
      <c r="BA140">
        <v>990</v>
      </c>
      <c r="BB140">
        <v>4</v>
      </c>
      <c r="BC140">
        <v>0</v>
      </c>
      <c r="BD140">
        <v>0</v>
      </c>
      <c r="BE140">
        <v>6</v>
      </c>
      <c r="BF140">
        <v>12</v>
      </c>
      <c r="BG140">
        <v>10</v>
      </c>
      <c r="BH140">
        <v>0</v>
      </c>
      <c r="BI140">
        <v>0</v>
      </c>
      <c r="BJ140">
        <v>0</v>
      </c>
      <c r="BK140">
        <v>1</v>
      </c>
      <c r="BL140">
        <v>1001</v>
      </c>
      <c r="BM140">
        <v>0</v>
      </c>
      <c r="BN140">
        <v>2</v>
      </c>
      <c r="BO140">
        <v>0</v>
      </c>
      <c r="BP140">
        <v>3</v>
      </c>
      <c r="BQ140">
        <v>2</v>
      </c>
      <c r="BR140">
        <v>1</v>
      </c>
      <c r="BS140">
        <v>8</v>
      </c>
      <c r="BT140">
        <v>0</v>
      </c>
      <c r="BU140">
        <v>0</v>
      </c>
      <c r="BV140">
        <v>0</v>
      </c>
      <c r="BW140">
        <v>849</v>
      </c>
      <c r="BX140">
        <v>0</v>
      </c>
      <c r="BY140">
        <v>20</v>
      </c>
      <c r="BZ140">
        <v>2</v>
      </c>
      <c r="CA140">
        <v>10</v>
      </c>
      <c r="CB140">
        <v>93</v>
      </c>
      <c r="CC140">
        <v>3</v>
      </c>
      <c r="CD140">
        <v>0</v>
      </c>
      <c r="CE140">
        <v>0</v>
      </c>
      <c r="CF140">
        <v>12</v>
      </c>
      <c r="CG140">
        <v>0</v>
      </c>
      <c r="CH140">
        <v>866</v>
      </c>
      <c r="CI140">
        <v>3</v>
      </c>
      <c r="CJ140">
        <v>1</v>
      </c>
      <c r="CK140">
        <v>7</v>
      </c>
      <c r="CL140">
        <v>0</v>
      </c>
      <c r="CM140">
        <v>8</v>
      </c>
      <c r="CN140">
        <v>1</v>
      </c>
      <c r="CO140">
        <v>0</v>
      </c>
      <c r="CP140">
        <v>0</v>
      </c>
      <c r="CQ140">
        <v>1</v>
      </c>
      <c r="CR140">
        <v>1</v>
      </c>
      <c r="CS140">
        <v>945</v>
      </c>
      <c r="CT140">
        <v>0</v>
      </c>
      <c r="CU140">
        <v>2</v>
      </c>
      <c r="CV140">
        <v>0</v>
      </c>
      <c r="CW140">
        <v>4</v>
      </c>
      <c r="CX140">
        <v>4</v>
      </c>
      <c r="CY140">
        <v>13</v>
      </c>
      <c r="CZ140">
        <v>6</v>
      </c>
      <c r="DA140">
        <v>2</v>
      </c>
      <c r="DB140">
        <v>1</v>
      </c>
      <c r="DC140">
        <v>0</v>
      </c>
      <c r="DD140">
        <v>985</v>
      </c>
      <c r="DE140">
        <v>4</v>
      </c>
      <c r="DF140">
        <v>9</v>
      </c>
      <c r="DG140">
        <v>3</v>
      </c>
      <c r="DH140">
        <v>0</v>
      </c>
      <c r="DI140">
        <v>0</v>
      </c>
      <c r="DJ140">
        <v>0</v>
      </c>
      <c r="DK140">
        <v>0</v>
      </c>
      <c r="DL140">
        <v>0</v>
      </c>
      <c r="DM140">
        <v>1</v>
      </c>
      <c r="DN140">
        <v>1</v>
      </c>
      <c r="DO140">
        <v>967</v>
      </c>
      <c r="DP140">
        <v>2</v>
      </c>
      <c r="DQ140">
        <v>6</v>
      </c>
      <c r="DR140">
        <v>2</v>
      </c>
      <c r="DS140">
        <v>0</v>
      </c>
      <c r="DT140">
        <v>3</v>
      </c>
      <c r="DU140">
        <v>0</v>
      </c>
      <c r="DV140">
        <v>7</v>
      </c>
      <c r="DW140">
        <v>0</v>
      </c>
      <c r="DX140">
        <v>3</v>
      </c>
      <c r="DY140">
        <v>4</v>
      </c>
      <c r="DZ140">
        <v>984</v>
      </c>
      <c r="EA140">
        <v>0.96799999999999997</v>
      </c>
      <c r="EB140">
        <v>0.96891925849833205</v>
      </c>
      <c r="EC140">
        <v>0.96785023106680901</v>
      </c>
      <c r="ED140">
        <v>0.96764651822494896</v>
      </c>
      <c r="EE140">
        <f>SUM(Table1[[#This Row],[ratio_0]:[ratio_9]])</f>
        <v>640</v>
      </c>
      <c r="EF140" s="1">
        <f>(Table1[[#This Row],[predicted_0]]-Table1[[#This Row],[actual_0]])/Table1[[#This Row],[actual_0]]</f>
        <v>3.7755102040816328E-2</v>
      </c>
      <c r="EG140" s="1">
        <f>(Table1[[#This Row],[predicted_1]]-Table1[[#This Row],[actual_1]])/Table1[[#This Row],[actual_1]]</f>
        <v>-8.8105726872246704E-3</v>
      </c>
      <c r="EH140" s="1">
        <f>(Table1[[#This Row],[predicted_2]]-Table1[[#This Row],[actual_2]])/Table1[[#This Row],[actual_2]]</f>
        <v>-2.5193798449612403E-2</v>
      </c>
      <c r="EI140" s="1">
        <f>(Table1[[#This Row],[predicted_3]]-Table1[[#This Row],[actual_3]])/Table1[[#This Row],[actual_3]]</f>
        <v>1.8811881188118811E-2</v>
      </c>
      <c r="EJ140" s="1">
        <f>(Table1[[#This Row],[predicted_4]]-Table1[[#This Row],[actual_4]])/Table1[[#This Row],[actual_4]]</f>
        <v>-0.13238289205702647</v>
      </c>
      <c r="EK140" s="1">
        <f>(Table1[[#This Row],[predicted_5]]-Table1[[#This Row],[actual_5]])/Table1[[#This Row],[actual_5]]</f>
        <v>-1.5695067264573991E-2</v>
      </c>
      <c r="EL140" s="1">
        <f>(Table1[[#This Row],[predicted_6]]-Table1[[#This Row],[actual_6]])/Table1[[#This Row],[actual_6]]</f>
        <v>2.7139874739039668E-2</v>
      </c>
      <c r="EM140" s="1">
        <f>(Table1[[#This Row],[predicted_7]]-Table1[[#This Row],[actual_7]])/Table1[[#This Row],[actual_7]]</f>
        <v>-2.0428015564202335E-2</v>
      </c>
      <c r="EN140" s="1">
        <f>(Table1[[#This Row],[predicted_8]]-Table1[[#This Row],[actual_8]])/Table1[[#This Row],[actual_8]]</f>
        <v>3.7987679671457907E-2</v>
      </c>
      <c r="EO140" s="1">
        <f>(Table1[[#This Row],[predicted_9]]-Table1[[#This Row],[actual_9]])/Table1[[#This Row],[actual_9]]</f>
        <v>8.126858275520317E-2</v>
      </c>
      <c r="EP140" s="1">
        <f>1+(Table1[[#This Row],[error_ratio_0]]-EF$2)</f>
        <v>1.0357142857142858</v>
      </c>
      <c r="EQ140" s="1">
        <f>1+(Table1[[#This Row],[error_ratio_1]]-EG$2)</f>
        <v>0.98942731277533036</v>
      </c>
      <c r="ER140" s="1">
        <f>1+(Table1[[#This Row],[error_ratio_2]]-EH$2)</f>
        <v>0.97965116279069764</v>
      </c>
      <c r="ES140" s="1">
        <f>1+(Table1[[#This Row],[error_ratio_3]]-EI$2)</f>
        <v>1.0089108910891089</v>
      </c>
      <c r="ET140" s="1">
        <f>1+(Table1[[#This Row],[error_ratio_4]]-EJ$2)</f>
        <v>0.86659877800407337</v>
      </c>
      <c r="EU140" s="1">
        <f>1+(Table1[[#This Row],[error_ratio_5]]-EK$2)</f>
        <v>0.98318385650224216</v>
      </c>
      <c r="EV140" s="1">
        <f>1+(Table1[[#This Row],[error_ratio_6]]-EL$2)</f>
        <v>1.0334029227557411</v>
      </c>
      <c r="EW140" s="1">
        <f>1+(Table1[[#This Row],[error_ratio_7]]-EM$2)</f>
        <v>0.97762645914396884</v>
      </c>
      <c r="EX140" s="1">
        <f>1+(Table1[[#This Row],[error_ratio_8]]-EN$2)</f>
        <v>1.0410677618069815</v>
      </c>
      <c r="EY140" s="1">
        <f>1+(Table1[[#This Row],[error_ratio_9]]-EO$2)</f>
        <v>1.0852329038652131</v>
      </c>
    </row>
    <row r="141" spans="1:155" x14ac:dyDescent="0.75">
      <c r="A141">
        <v>10</v>
      </c>
      <c r="B141">
        <v>10</v>
      </c>
      <c r="C141">
        <v>10</v>
      </c>
      <c r="D141">
        <v>100</v>
      </c>
      <c r="E141">
        <v>10</v>
      </c>
      <c r="F141">
        <v>100</v>
      </c>
      <c r="G141">
        <v>100</v>
      </c>
      <c r="H141">
        <v>10</v>
      </c>
      <c r="I141">
        <v>100</v>
      </c>
      <c r="J141">
        <v>100</v>
      </c>
      <c r="K141">
        <v>918</v>
      </c>
      <c r="L141">
        <v>1128</v>
      </c>
      <c r="M141">
        <v>974</v>
      </c>
      <c r="N141">
        <v>1023</v>
      </c>
      <c r="O141">
        <v>930</v>
      </c>
      <c r="P141">
        <v>932</v>
      </c>
      <c r="Q141">
        <v>1002</v>
      </c>
      <c r="R141">
        <v>996</v>
      </c>
      <c r="S141">
        <v>1001</v>
      </c>
      <c r="T141">
        <v>1096</v>
      </c>
      <c r="U141">
        <v>980</v>
      </c>
      <c r="V141">
        <v>1135</v>
      </c>
      <c r="W141">
        <v>1032</v>
      </c>
      <c r="X141">
        <v>1010</v>
      </c>
      <c r="Y141">
        <v>982</v>
      </c>
      <c r="Z141">
        <v>892</v>
      </c>
      <c r="AA141">
        <v>958</v>
      </c>
      <c r="AB141">
        <v>1028</v>
      </c>
      <c r="AC141">
        <v>974</v>
      </c>
      <c r="AD141">
        <v>1009</v>
      </c>
      <c r="AE141">
        <v>912</v>
      </c>
      <c r="AF141">
        <v>0</v>
      </c>
      <c r="AG141">
        <v>1</v>
      </c>
      <c r="AH141">
        <v>1</v>
      </c>
      <c r="AI141">
        <v>0</v>
      </c>
      <c r="AJ141">
        <v>15</v>
      </c>
      <c r="AK141">
        <v>23</v>
      </c>
      <c r="AL141">
        <v>1</v>
      </c>
      <c r="AM141">
        <v>4</v>
      </c>
      <c r="AN141">
        <v>23</v>
      </c>
      <c r="AO141">
        <v>0</v>
      </c>
      <c r="AP141">
        <v>1117</v>
      </c>
      <c r="AQ141">
        <v>0</v>
      </c>
      <c r="AR141">
        <v>3</v>
      </c>
      <c r="AS141">
        <v>0</v>
      </c>
      <c r="AT141">
        <v>3</v>
      </c>
      <c r="AU141">
        <v>10</v>
      </c>
      <c r="AV141">
        <v>0</v>
      </c>
      <c r="AW141">
        <v>2</v>
      </c>
      <c r="AX141">
        <v>0</v>
      </c>
      <c r="AY141">
        <v>2</v>
      </c>
      <c r="AZ141">
        <v>5</v>
      </c>
      <c r="BA141">
        <v>964</v>
      </c>
      <c r="BB141">
        <v>18</v>
      </c>
      <c r="BC141">
        <v>0</v>
      </c>
      <c r="BD141">
        <v>0</v>
      </c>
      <c r="BE141">
        <v>6</v>
      </c>
      <c r="BF141">
        <v>20</v>
      </c>
      <c r="BG141">
        <v>17</v>
      </c>
      <c r="BH141">
        <v>0</v>
      </c>
      <c r="BI141">
        <v>0</v>
      </c>
      <c r="BJ141">
        <v>0</v>
      </c>
      <c r="BK141">
        <v>1</v>
      </c>
      <c r="BL141">
        <v>987</v>
      </c>
      <c r="BM141">
        <v>0</v>
      </c>
      <c r="BN141">
        <v>17</v>
      </c>
      <c r="BO141">
        <v>0</v>
      </c>
      <c r="BP141">
        <v>2</v>
      </c>
      <c r="BQ141">
        <v>1</v>
      </c>
      <c r="BR141">
        <v>2</v>
      </c>
      <c r="BS141">
        <v>1</v>
      </c>
      <c r="BT141">
        <v>0</v>
      </c>
      <c r="BU141">
        <v>2</v>
      </c>
      <c r="BV141">
        <v>1</v>
      </c>
      <c r="BW141">
        <v>921</v>
      </c>
      <c r="BX141">
        <v>1</v>
      </c>
      <c r="BY141">
        <v>12</v>
      </c>
      <c r="BZ141">
        <v>0</v>
      </c>
      <c r="CA141">
        <v>1</v>
      </c>
      <c r="CB141">
        <v>43</v>
      </c>
      <c r="CC141">
        <v>0</v>
      </c>
      <c r="CD141">
        <v>0</v>
      </c>
      <c r="CE141">
        <v>1</v>
      </c>
      <c r="CF141">
        <v>2</v>
      </c>
      <c r="CG141">
        <v>0</v>
      </c>
      <c r="CH141">
        <v>884</v>
      </c>
      <c r="CI141">
        <v>1</v>
      </c>
      <c r="CJ141">
        <v>0</v>
      </c>
      <c r="CK141">
        <v>4</v>
      </c>
      <c r="CL141">
        <v>0</v>
      </c>
      <c r="CM141">
        <v>1</v>
      </c>
      <c r="CN141">
        <v>0</v>
      </c>
      <c r="CO141">
        <v>0</v>
      </c>
      <c r="CP141">
        <v>0</v>
      </c>
      <c r="CQ141">
        <v>2</v>
      </c>
      <c r="CR141">
        <v>5</v>
      </c>
      <c r="CS141">
        <v>948</v>
      </c>
      <c r="CT141">
        <v>0</v>
      </c>
      <c r="CU141">
        <v>1</v>
      </c>
      <c r="CV141">
        <v>1</v>
      </c>
      <c r="CW141">
        <v>0</v>
      </c>
      <c r="CX141">
        <v>6</v>
      </c>
      <c r="CY141">
        <v>5</v>
      </c>
      <c r="CZ141">
        <v>7</v>
      </c>
      <c r="DA141">
        <v>1</v>
      </c>
      <c r="DB141">
        <v>2</v>
      </c>
      <c r="DC141">
        <v>0</v>
      </c>
      <c r="DD141">
        <v>969</v>
      </c>
      <c r="DE141">
        <v>4</v>
      </c>
      <c r="DF141">
        <v>34</v>
      </c>
      <c r="DG141">
        <v>0</v>
      </c>
      <c r="DH141">
        <v>0</v>
      </c>
      <c r="DI141">
        <v>0</v>
      </c>
      <c r="DJ141">
        <v>1</v>
      </c>
      <c r="DK141">
        <v>1</v>
      </c>
      <c r="DL141">
        <v>3</v>
      </c>
      <c r="DM141">
        <v>1</v>
      </c>
      <c r="DN141">
        <v>3</v>
      </c>
      <c r="DO141">
        <v>964</v>
      </c>
      <c r="DP141">
        <v>1</v>
      </c>
      <c r="DQ141">
        <v>2</v>
      </c>
      <c r="DR141">
        <v>0</v>
      </c>
      <c r="DS141">
        <v>0</v>
      </c>
      <c r="DT141">
        <v>3</v>
      </c>
      <c r="DU141">
        <v>5</v>
      </c>
      <c r="DV141">
        <v>2</v>
      </c>
      <c r="DW141">
        <v>1</v>
      </c>
      <c r="DX141">
        <v>1</v>
      </c>
      <c r="DY141">
        <v>3</v>
      </c>
      <c r="DZ141">
        <v>992</v>
      </c>
      <c r="EA141">
        <v>0.96579999999999999</v>
      </c>
      <c r="EB141">
        <v>0.96642209604570795</v>
      </c>
      <c r="EC141">
        <v>0.96600560131872204</v>
      </c>
      <c r="ED141">
        <v>0.96565567761663496</v>
      </c>
      <c r="EE141">
        <f>SUM(Table1[[#This Row],[ratio_0]:[ratio_9]])</f>
        <v>550</v>
      </c>
      <c r="EF141" s="1">
        <f>(Table1[[#This Row],[predicted_0]]-Table1[[#This Row],[actual_0]])/Table1[[#This Row],[actual_0]]</f>
        <v>-6.3265306122448975E-2</v>
      </c>
      <c r="EG141" s="1">
        <f>(Table1[[#This Row],[predicted_1]]-Table1[[#This Row],[actual_1]])/Table1[[#This Row],[actual_1]]</f>
        <v>-6.1674008810572688E-3</v>
      </c>
      <c r="EH141" s="1">
        <f>(Table1[[#This Row],[predicted_2]]-Table1[[#This Row],[actual_2]])/Table1[[#This Row],[actual_2]]</f>
        <v>-5.6201550387596902E-2</v>
      </c>
      <c r="EI141" s="1">
        <f>(Table1[[#This Row],[predicted_3]]-Table1[[#This Row],[actual_3]])/Table1[[#This Row],[actual_3]]</f>
        <v>1.2871287128712871E-2</v>
      </c>
      <c r="EJ141" s="1">
        <f>(Table1[[#This Row],[predicted_4]]-Table1[[#This Row],[actual_4]])/Table1[[#This Row],[actual_4]]</f>
        <v>-5.2953156822810592E-2</v>
      </c>
      <c r="EK141" s="1">
        <f>(Table1[[#This Row],[predicted_5]]-Table1[[#This Row],[actual_5]])/Table1[[#This Row],[actual_5]]</f>
        <v>4.4843049327354258E-2</v>
      </c>
      <c r="EL141" s="1">
        <f>(Table1[[#This Row],[predicted_6]]-Table1[[#This Row],[actual_6]])/Table1[[#This Row],[actual_6]]</f>
        <v>4.5929018789144051E-2</v>
      </c>
      <c r="EM141" s="1">
        <f>(Table1[[#This Row],[predicted_7]]-Table1[[#This Row],[actual_7]])/Table1[[#This Row],[actual_7]]</f>
        <v>-3.1128404669260701E-2</v>
      </c>
      <c r="EN141" s="1">
        <f>(Table1[[#This Row],[predicted_8]]-Table1[[#This Row],[actual_8]])/Table1[[#This Row],[actual_8]]</f>
        <v>2.7720739219712527E-2</v>
      </c>
      <c r="EO141" s="1">
        <f>(Table1[[#This Row],[predicted_9]]-Table1[[#This Row],[actual_9]])/Table1[[#This Row],[actual_9]]</f>
        <v>8.6223984142715565E-2</v>
      </c>
      <c r="EP141" s="1">
        <f>1+(Table1[[#This Row],[error_ratio_0]]-EF$2)</f>
        <v>0.9346938775510204</v>
      </c>
      <c r="EQ141" s="1">
        <f>1+(Table1[[#This Row],[error_ratio_1]]-EG$2)</f>
        <v>0.99207048458149782</v>
      </c>
      <c r="ER141" s="1">
        <f>1+(Table1[[#This Row],[error_ratio_2]]-EH$2)</f>
        <v>0.9486434108527132</v>
      </c>
      <c r="ES141" s="1">
        <f>1+(Table1[[#This Row],[error_ratio_3]]-EI$2)</f>
        <v>1.002970297029703</v>
      </c>
      <c r="ET141" s="1">
        <f>1+(Table1[[#This Row],[error_ratio_4]]-EJ$2)</f>
        <v>0.94602851323828918</v>
      </c>
      <c r="EU141" s="1">
        <f>1+(Table1[[#This Row],[error_ratio_5]]-EK$2)</f>
        <v>1.0437219730941705</v>
      </c>
      <c r="EV141" s="1">
        <f>1+(Table1[[#This Row],[error_ratio_6]]-EL$2)</f>
        <v>1.0521920668058455</v>
      </c>
      <c r="EW141" s="1">
        <f>1+(Table1[[#This Row],[error_ratio_7]]-EM$2)</f>
        <v>0.96692607003891051</v>
      </c>
      <c r="EX141" s="1">
        <f>1+(Table1[[#This Row],[error_ratio_8]]-EN$2)</f>
        <v>1.0308008213552362</v>
      </c>
      <c r="EY141" s="1">
        <f>1+(Table1[[#This Row],[error_ratio_9]]-EO$2)</f>
        <v>1.0901883052527255</v>
      </c>
    </row>
    <row r="142" spans="1:155" x14ac:dyDescent="0.75">
      <c r="A142">
        <v>100</v>
      </c>
      <c r="B142">
        <v>100</v>
      </c>
      <c r="C142">
        <v>100</v>
      </c>
      <c r="D142">
        <v>10</v>
      </c>
      <c r="E142">
        <v>10</v>
      </c>
      <c r="F142">
        <v>100</v>
      </c>
      <c r="G142">
        <v>100</v>
      </c>
      <c r="H142">
        <v>10</v>
      </c>
      <c r="I142">
        <v>100</v>
      </c>
      <c r="J142">
        <v>100</v>
      </c>
      <c r="K142">
        <v>988</v>
      </c>
      <c r="L142">
        <v>1153</v>
      </c>
      <c r="M142">
        <v>1090</v>
      </c>
      <c r="N142">
        <v>966</v>
      </c>
      <c r="O142">
        <v>961</v>
      </c>
      <c r="P142">
        <v>911</v>
      </c>
      <c r="Q142">
        <v>960</v>
      </c>
      <c r="R142">
        <v>958</v>
      </c>
      <c r="S142">
        <v>980</v>
      </c>
      <c r="T142">
        <v>1033</v>
      </c>
      <c r="U142">
        <v>980</v>
      </c>
      <c r="V142">
        <v>1135</v>
      </c>
      <c r="W142">
        <v>1032</v>
      </c>
      <c r="X142">
        <v>1010</v>
      </c>
      <c r="Y142">
        <v>982</v>
      </c>
      <c r="Z142">
        <v>892</v>
      </c>
      <c r="AA142">
        <v>958</v>
      </c>
      <c r="AB142">
        <v>1028</v>
      </c>
      <c r="AC142">
        <v>974</v>
      </c>
      <c r="AD142">
        <v>1009</v>
      </c>
      <c r="AE142">
        <v>971</v>
      </c>
      <c r="AF142">
        <v>0</v>
      </c>
      <c r="AG142">
        <v>0</v>
      </c>
      <c r="AH142">
        <v>0</v>
      </c>
      <c r="AI142">
        <v>0</v>
      </c>
      <c r="AJ142">
        <v>1</v>
      </c>
      <c r="AK142">
        <v>0</v>
      </c>
      <c r="AL142">
        <v>1</v>
      </c>
      <c r="AM142">
        <v>1</v>
      </c>
      <c r="AN142">
        <v>6</v>
      </c>
      <c r="AO142">
        <v>0</v>
      </c>
      <c r="AP142">
        <v>1131</v>
      </c>
      <c r="AQ142">
        <v>0</v>
      </c>
      <c r="AR142">
        <v>2</v>
      </c>
      <c r="AS142">
        <v>0</v>
      </c>
      <c r="AT142">
        <v>0</v>
      </c>
      <c r="AU142">
        <v>2</v>
      </c>
      <c r="AV142">
        <v>0</v>
      </c>
      <c r="AW142">
        <v>0</v>
      </c>
      <c r="AX142">
        <v>0</v>
      </c>
      <c r="AY142">
        <v>2</v>
      </c>
      <c r="AZ142">
        <v>1</v>
      </c>
      <c r="BA142">
        <v>1024</v>
      </c>
      <c r="BB142">
        <v>0</v>
      </c>
      <c r="BC142">
        <v>1</v>
      </c>
      <c r="BD142">
        <v>0</v>
      </c>
      <c r="BE142">
        <v>0</v>
      </c>
      <c r="BF142">
        <v>1</v>
      </c>
      <c r="BG142">
        <v>3</v>
      </c>
      <c r="BH142">
        <v>0</v>
      </c>
      <c r="BI142">
        <v>0</v>
      </c>
      <c r="BJ142">
        <v>0</v>
      </c>
      <c r="BK142">
        <v>16</v>
      </c>
      <c r="BL142">
        <v>959</v>
      </c>
      <c r="BM142">
        <v>0</v>
      </c>
      <c r="BN142">
        <v>17</v>
      </c>
      <c r="BO142">
        <v>0</v>
      </c>
      <c r="BP142">
        <v>7</v>
      </c>
      <c r="BQ142">
        <v>5</v>
      </c>
      <c r="BR142">
        <v>6</v>
      </c>
      <c r="BS142">
        <v>0</v>
      </c>
      <c r="BT142">
        <v>3</v>
      </c>
      <c r="BU142">
        <v>1</v>
      </c>
      <c r="BV142">
        <v>0</v>
      </c>
      <c r="BW142">
        <v>952</v>
      </c>
      <c r="BX142">
        <v>0</v>
      </c>
      <c r="BY142">
        <v>10</v>
      </c>
      <c r="BZ142">
        <v>0</v>
      </c>
      <c r="CA142">
        <v>2</v>
      </c>
      <c r="CB142">
        <v>14</v>
      </c>
      <c r="CC142">
        <v>2</v>
      </c>
      <c r="CD142">
        <v>0</v>
      </c>
      <c r="CE142">
        <v>0</v>
      </c>
      <c r="CF142">
        <v>1</v>
      </c>
      <c r="CG142">
        <v>0</v>
      </c>
      <c r="CH142">
        <v>885</v>
      </c>
      <c r="CI142">
        <v>2</v>
      </c>
      <c r="CJ142">
        <v>0</v>
      </c>
      <c r="CK142">
        <v>2</v>
      </c>
      <c r="CL142">
        <v>0</v>
      </c>
      <c r="CM142">
        <v>6</v>
      </c>
      <c r="CN142">
        <v>2</v>
      </c>
      <c r="CO142">
        <v>1</v>
      </c>
      <c r="CP142">
        <v>0</v>
      </c>
      <c r="CQ142">
        <v>3</v>
      </c>
      <c r="CR142">
        <v>1</v>
      </c>
      <c r="CS142">
        <v>944</v>
      </c>
      <c r="CT142">
        <v>0</v>
      </c>
      <c r="CU142">
        <v>1</v>
      </c>
      <c r="CV142">
        <v>0</v>
      </c>
      <c r="CW142">
        <v>1</v>
      </c>
      <c r="CX142">
        <v>14</v>
      </c>
      <c r="CY142">
        <v>46</v>
      </c>
      <c r="CZ142">
        <v>1</v>
      </c>
      <c r="DA142">
        <v>2</v>
      </c>
      <c r="DB142">
        <v>3</v>
      </c>
      <c r="DC142">
        <v>1</v>
      </c>
      <c r="DD142">
        <v>947</v>
      </c>
      <c r="DE142">
        <v>2</v>
      </c>
      <c r="DF142">
        <v>11</v>
      </c>
      <c r="DG142">
        <v>5</v>
      </c>
      <c r="DH142">
        <v>0</v>
      </c>
      <c r="DI142">
        <v>2</v>
      </c>
      <c r="DJ142">
        <v>1</v>
      </c>
      <c r="DK142">
        <v>1</v>
      </c>
      <c r="DL142">
        <v>0</v>
      </c>
      <c r="DM142">
        <v>1</v>
      </c>
      <c r="DN142">
        <v>0</v>
      </c>
      <c r="DO142">
        <v>963</v>
      </c>
      <c r="DP142">
        <v>1</v>
      </c>
      <c r="DQ142">
        <v>1</v>
      </c>
      <c r="DR142">
        <v>2</v>
      </c>
      <c r="DS142">
        <v>0</v>
      </c>
      <c r="DT142">
        <v>2</v>
      </c>
      <c r="DU142">
        <v>2</v>
      </c>
      <c r="DV142">
        <v>4</v>
      </c>
      <c r="DW142">
        <v>0</v>
      </c>
      <c r="DX142">
        <v>2</v>
      </c>
      <c r="DY142">
        <v>1</v>
      </c>
      <c r="DZ142">
        <v>995</v>
      </c>
      <c r="EA142">
        <v>0.97709999999999997</v>
      </c>
      <c r="EB142">
        <v>0.97757287970325102</v>
      </c>
      <c r="EC142">
        <v>0.97720713667603198</v>
      </c>
      <c r="ED142">
        <v>0.97710647376944504</v>
      </c>
      <c r="EE142">
        <f>SUM(Table1[[#This Row],[ratio_0]:[ratio_9]])</f>
        <v>730</v>
      </c>
      <c r="EF142" s="1">
        <f>(Table1[[#This Row],[predicted_0]]-Table1[[#This Row],[actual_0]])/Table1[[#This Row],[actual_0]]</f>
        <v>8.1632653061224497E-3</v>
      </c>
      <c r="EG142" s="1">
        <f>(Table1[[#This Row],[predicted_1]]-Table1[[#This Row],[actual_1]])/Table1[[#This Row],[actual_1]]</f>
        <v>1.5859030837004406E-2</v>
      </c>
      <c r="EH142" s="1">
        <f>(Table1[[#This Row],[predicted_2]]-Table1[[#This Row],[actual_2]])/Table1[[#This Row],[actual_2]]</f>
        <v>5.6201550387596902E-2</v>
      </c>
      <c r="EI142" s="1">
        <f>(Table1[[#This Row],[predicted_3]]-Table1[[#This Row],[actual_3]])/Table1[[#This Row],[actual_3]]</f>
        <v>-4.3564356435643561E-2</v>
      </c>
      <c r="EJ142" s="1">
        <f>(Table1[[#This Row],[predicted_4]]-Table1[[#This Row],[actual_4]])/Table1[[#This Row],[actual_4]]</f>
        <v>-2.1384928716904276E-2</v>
      </c>
      <c r="EK142" s="1">
        <f>(Table1[[#This Row],[predicted_5]]-Table1[[#This Row],[actual_5]])/Table1[[#This Row],[actual_5]]</f>
        <v>2.1300448430493273E-2</v>
      </c>
      <c r="EL142" s="1">
        <f>(Table1[[#This Row],[predicted_6]]-Table1[[#This Row],[actual_6]])/Table1[[#This Row],[actual_6]]</f>
        <v>2.0876826722338203E-3</v>
      </c>
      <c r="EM142" s="1">
        <f>(Table1[[#This Row],[predicted_7]]-Table1[[#This Row],[actual_7]])/Table1[[#This Row],[actual_7]]</f>
        <v>-6.8093385214007776E-2</v>
      </c>
      <c r="EN142" s="1">
        <f>(Table1[[#This Row],[predicted_8]]-Table1[[#This Row],[actual_8]])/Table1[[#This Row],[actual_8]]</f>
        <v>6.1601642710472282E-3</v>
      </c>
      <c r="EO142" s="1">
        <f>(Table1[[#This Row],[predicted_9]]-Table1[[#This Row],[actual_9]])/Table1[[#This Row],[actual_9]]</f>
        <v>2.3785926660059464E-2</v>
      </c>
      <c r="EP142" s="1">
        <f>1+(Table1[[#This Row],[error_ratio_0]]-EF$2)</f>
        <v>1.0061224489795919</v>
      </c>
      <c r="EQ142" s="1">
        <f>1+(Table1[[#This Row],[error_ratio_1]]-EG$2)</f>
        <v>1.0140969162995594</v>
      </c>
      <c r="ER142" s="1">
        <f>1+(Table1[[#This Row],[error_ratio_2]]-EH$2)</f>
        <v>1.0610465116279071</v>
      </c>
      <c r="ES142" s="1">
        <f>1+(Table1[[#This Row],[error_ratio_3]]-EI$2)</f>
        <v>0.94653465346534649</v>
      </c>
      <c r="ET142" s="1">
        <f>1+(Table1[[#This Row],[error_ratio_4]]-EJ$2)</f>
        <v>0.9775967413441955</v>
      </c>
      <c r="EU142" s="1">
        <f>1+(Table1[[#This Row],[error_ratio_5]]-EK$2)</f>
        <v>1.0201793721973094</v>
      </c>
      <c r="EV142" s="1">
        <f>1+(Table1[[#This Row],[error_ratio_6]]-EL$2)</f>
        <v>1.0083507306889352</v>
      </c>
      <c r="EW142" s="1">
        <f>1+(Table1[[#This Row],[error_ratio_7]]-EM$2)</f>
        <v>0.92996108949416345</v>
      </c>
      <c r="EX142" s="1">
        <f>1+(Table1[[#This Row],[error_ratio_8]]-EN$2)</f>
        <v>1.0092402464065708</v>
      </c>
      <c r="EY142" s="1">
        <f>1+(Table1[[#This Row],[error_ratio_9]]-EO$2)</f>
        <v>1.0277502477700693</v>
      </c>
    </row>
    <row r="143" spans="1:155" x14ac:dyDescent="0.75">
      <c r="A143">
        <v>10</v>
      </c>
      <c r="B143">
        <v>100</v>
      </c>
      <c r="C143">
        <v>100</v>
      </c>
      <c r="D143">
        <v>10</v>
      </c>
      <c r="E143">
        <v>10</v>
      </c>
      <c r="F143">
        <v>100</v>
      </c>
      <c r="G143">
        <v>100</v>
      </c>
      <c r="H143">
        <v>10</v>
      </c>
      <c r="I143">
        <v>100</v>
      </c>
      <c r="J143">
        <v>100</v>
      </c>
      <c r="K143">
        <v>978</v>
      </c>
      <c r="L143">
        <v>1153</v>
      </c>
      <c r="M143">
        <v>963</v>
      </c>
      <c r="N143">
        <v>986</v>
      </c>
      <c r="O143">
        <v>925</v>
      </c>
      <c r="P143">
        <v>925</v>
      </c>
      <c r="Q143">
        <v>950</v>
      </c>
      <c r="R143">
        <v>1017</v>
      </c>
      <c r="S143">
        <v>1038</v>
      </c>
      <c r="T143">
        <v>1065</v>
      </c>
      <c r="U143">
        <v>980</v>
      </c>
      <c r="V143">
        <v>1135</v>
      </c>
      <c r="W143">
        <v>1032</v>
      </c>
      <c r="X143">
        <v>1010</v>
      </c>
      <c r="Y143">
        <v>982</v>
      </c>
      <c r="Z143">
        <v>892</v>
      </c>
      <c r="AA143">
        <v>958</v>
      </c>
      <c r="AB143">
        <v>1028</v>
      </c>
      <c r="AC143">
        <v>974</v>
      </c>
      <c r="AD143">
        <v>1009</v>
      </c>
      <c r="AE143">
        <v>967</v>
      </c>
      <c r="AF143">
        <v>0</v>
      </c>
      <c r="AG143">
        <v>0</v>
      </c>
      <c r="AH143">
        <v>0</v>
      </c>
      <c r="AI143">
        <v>0</v>
      </c>
      <c r="AJ143">
        <v>2</v>
      </c>
      <c r="AK143">
        <v>1</v>
      </c>
      <c r="AL143">
        <v>2</v>
      </c>
      <c r="AM143">
        <v>6</v>
      </c>
      <c r="AN143">
        <v>2</v>
      </c>
      <c r="AO143">
        <v>0</v>
      </c>
      <c r="AP143">
        <v>1132</v>
      </c>
      <c r="AQ143">
        <v>0</v>
      </c>
      <c r="AR143">
        <v>1</v>
      </c>
      <c r="AS143">
        <v>0</v>
      </c>
      <c r="AT143">
        <v>0</v>
      </c>
      <c r="AU143">
        <v>0</v>
      </c>
      <c r="AV143">
        <v>0</v>
      </c>
      <c r="AW143">
        <v>2</v>
      </c>
      <c r="AX143">
        <v>0</v>
      </c>
      <c r="AY143">
        <v>3</v>
      </c>
      <c r="AZ143">
        <v>9</v>
      </c>
      <c r="BA143">
        <v>960</v>
      </c>
      <c r="BB143">
        <v>13</v>
      </c>
      <c r="BC143">
        <v>0</v>
      </c>
      <c r="BD143">
        <v>0</v>
      </c>
      <c r="BE143">
        <v>1</v>
      </c>
      <c r="BF143">
        <v>13</v>
      </c>
      <c r="BG143">
        <v>31</v>
      </c>
      <c r="BH143">
        <v>2</v>
      </c>
      <c r="BI143">
        <v>0</v>
      </c>
      <c r="BJ143">
        <v>0</v>
      </c>
      <c r="BK143">
        <v>0</v>
      </c>
      <c r="BL143">
        <v>966</v>
      </c>
      <c r="BM143">
        <v>0</v>
      </c>
      <c r="BN143">
        <v>21</v>
      </c>
      <c r="BO143">
        <v>0</v>
      </c>
      <c r="BP143">
        <v>6</v>
      </c>
      <c r="BQ143">
        <v>13</v>
      </c>
      <c r="BR143">
        <v>4</v>
      </c>
      <c r="BS143">
        <v>1</v>
      </c>
      <c r="BT143">
        <v>2</v>
      </c>
      <c r="BU143">
        <v>2</v>
      </c>
      <c r="BV143">
        <v>0</v>
      </c>
      <c r="BW143">
        <v>919</v>
      </c>
      <c r="BX143">
        <v>0</v>
      </c>
      <c r="BY143">
        <v>7</v>
      </c>
      <c r="BZ143">
        <v>0</v>
      </c>
      <c r="CA143">
        <v>6</v>
      </c>
      <c r="CB143">
        <v>45</v>
      </c>
      <c r="CC143">
        <v>1</v>
      </c>
      <c r="CD143">
        <v>0</v>
      </c>
      <c r="CE143">
        <v>0</v>
      </c>
      <c r="CF143">
        <v>1</v>
      </c>
      <c r="CG143">
        <v>0</v>
      </c>
      <c r="CH143">
        <v>889</v>
      </c>
      <c r="CI143">
        <v>1</v>
      </c>
      <c r="CJ143">
        <v>0</v>
      </c>
      <c r="CK143">
        <v>0</v>
      </c>
      <c r="CL143">
        <v>0</v>
      </c>
      <c r="CM143">
        <v>3</v>
      </c>
      <c r="CN143">
        <v>3</v>
      </c>
      <c r="CO143">
        <v>0</v>
      </c>
      <c r="CP143">
        <v>1</v>
      </c>
      <c r="CQ143">
        <v>2</v>
      </c>
      <c r="CR143">
        <v>3</v>
      </c>
      <c r="CS143">
        <v>940</v>
      </c>
      <c r="CT143">
        <v>0</v>
      </c>
      <c r="CU143">
        <v>6</v>
      </c>
      <c r="CV143">
        <v>0</v>
      </c>
      <c r="CW143">
        <v>1</v>
      </c>
      <c r="CX143">
        <v>5</v>
      </c>
      <c r="CY143">
        <v>1</v>
      </c>
      <c r="CZ143">
        <v>4</v>
      </c>
      <c r="DA143">
        <v>2</v>
      </c>
      <c r="DB143">
        <v>2</v>
      </c>
      <c r="DC143">
        <v>0</v>
      </c>
      <c r="DD143">
        <v>991</v>
      </c>
      <c r="DE143">
        <v>10</v>
      </c>
      <c r="DF143">
        <v>12</v>
      </c>
      <c r="DG143">
        <v>1</v>
      </c>
      <c r="DH143">
        <v>0</v>
      </c>
      <c r="DI143">
        <v>0</v>
      </c>
      <c r="DJ143">
        <v>0</v>
      </c>
      <c r="DK143">
        <v>1</v>
      </c>
      <c r="DL143">
        <v>3</v>
      </c>
      <c r="DM143">
        <v>0</v>
      </c>
      <c r="DN143">
        <v>2</v>
      </c>
      <c r="DO143">
        <v>963</v>
      </c>
      <c r="DP143">
        <v>4</v>
      </c>
      <c r="DQ143">
        <v>1</v>
      </c>
      <c r="DR143">
        <v>2</v>
      </c>
      <c r="DS143">
        <v>0</v>
      </c>
      <c r="DT143">
        <v>0</v>
      </c>
      <c r="DU143">
        <v>1</v>
      </c>
      <c r="DV143">
        <v>5</v>
      </c>
      <c r="DW143">
        <v>0</v>
      </c>
      <c r="DX143">
        <v>3</v>
      </c>
      <c r="DY143">
        <v>1</v>
      </c>
      <c r="DZ143">
        <v>996</v>
      </c>
      <c r="EA143">
        <v>0.97230000000000005</v>
      </c>
      <c r="EB143">
        <v>0.97285997820724701</v>
      </c>
      <c r="EC143">
        <v>0.972428266887162</v>
      </c>
      <c r="ED143">
        <v>0.97221859701577595</v>
      </c>
      <c r="EE143">
        <f>SUM(Table1[[#This Row],[ratio_0]:[ratio_9]])</f>
        <v>640</v>
      </c>
      <c r="EF143" s="1">
        <f>(Table1[[#This Row],[predicted_0]]-Table1[[#This Row],[actual_0]])/Table1[[#This Row],[actual_0]]</f>
        <v>-2.0408163265306124E-3</v>
      </c>
      <c r="EG143" s="1">
        <f>(Table1[[#This Row],[predicted_1]]-Table1[[#This Row],[actual_1]])/Table1[[#This Row],[actual_1]]</f>
        <v>1.5859030837004406E-2</v>
      </c>
      <c r="EH143" s="1">
        <f>(Table1[[#This Row],[predicted_2]]-Table1[[#This Row],[actual_2]])/Table1[[#This Row],[actual_2]]</f>
        <v>-6.6860465116279064E-2</v>
      </c>
      <c r="EI143" s="1">
        <f>(Table1[[#This Row],[predicted_3]]-Table1[[#This Row],[actual_3]])/Table1[[#This Row],[actual_3]]</f>
        <v>-2.3762376237623763E-2</v>
      </c>
      <c r="EJ143" s="1">
        <f>(Table1[[#This Row],[predicted_4]]-Table1[[#This Row],[actual_4]])/Table1[[#This Row],[actual_4]]</f>
        <v>-5.8044806517311608E-2</v>
      </c>
      <c r="EK143" s="1">
        <f>(Table1[[#This Row],[predicted_5]]-Table1[[#This Row],[actual_5]])/Table1[[#This Row],[actual_5]]</f>
        <v>3.6995515695067267E-2</v>
      </c>
      <c r="EL143" s="1">
        <f>(Table1[[#This Row],[predicted_6]]-Table1[[#This Row],[actual_6]])/Table1[[#This Row],[actual_6]]</f>
        <v>-8.350730688935281E-3</v>
      </c>
      <c r="EM143" s="1">
        <f>(Table1[[#This Row],[predicted_7]]-Table1[[#This Row],[actual_7]])/Table1[[#This Row],[actual_7]]</f>
        <v>-1.0700389105058366E-2</v>
      </c>
      <c r="EN143" s="1">
        <f>(Table1[[#This Row],[predicted_8]]-Table1[[#This Row],[actual_8]])/Table1[[#This Row],[actual_8]]</f>
        <v>6.5708418891170434E-2</v>
      </c>
      <c r="EO143" s="1">
        <f>(Table1[[#This Row],[predicted_9]]-Table1[[#This Row],[actual_9]])/Table1[[#This Row],[actual_9]]</f>
        <v>5.550049554013875E-2</v>
      </c>
      <c r="EP143" s="1">
        <f>1+(Table1[[#This Row],[error_ratio_0]]-EF$2)</f>
        <v>0.99591836734693873</v>
      </c>
      <c r="EQ143" s="1">
        <f>1+(Table1[[#This Row],[error_ratio_1]]-EG$2)</f>
        <v>1.0140969162995594</v>
      </c>
      <c r="ER143" s="1">
        <f>1+(Table1[[#This Row],[error_ratio_2]]-EH$2)</f>
        <v>0.93798449612403101</v>
      </c>
      <c r="ES143" s="1">
        <f>1+(Table1[[#This Row],[error_ratio_3]]-EI$2)</f>
        <v>0.96633663366336631</v>
      </c>
      <c r="ET143" s="1">
        <f>1+(Table1[[#This Row],[error_ratio_4]]-EJ$2)</f>
        <v>0.94093686354378814</v>
      </c>
      <c r="EU143" s="1">
        <f>1+(Table1[[#This Row],[error_ratio_5]]-EK$2)</f>
        <v>1.0358744394618835</v>
      </c>
      <c r="EV143" s="1">
        <f>1+(Table1[[#This Row],[error_ratio_6]]-EL$2)</f>
        <v>0.9979123173277662</v>
      </c>
      <c r="EW143" s="1">
        <f>1+(Table1[[#This Row],[error_ratio_7]]-EM$2)</f>
        <v>0.98735408560311289</v>
      </c>
      <c r="EX143" s="1">
        <f>1+(Table1[[#This Row],[error_ratio_8]]-EN$2)</f>
        <v>1.068788501026694</v>
      </c>
      <c r="EY143" s="1">
        <f>1+(Table1[[#This Row],[error_ratio_9]]-EO$2)</f>
        <v>1.0594648166501486</v>
      </c>
    </row>
    <row r="144" spans="1:155" x14ac:dyDescent="0.75">
      <c r="A144">
        <v>100</v>
      </c>
      <c r="B144">
        <v>10</v>
      </c>
      <c r="C144">
        <v>100</v>
      </c>
      <c r="D144">
        <v>10</v>
      </c>
      <c r="E144">
        <v>10</v>
      </c>
      <c r="F144">
        <v>100</v>
      </c>
      <c r="G144">
        <v>100</v>
      </c>
      <c r="H144">
        <v>10</v>
      </c>
      <c r="I144">
        <v>100</v>
      </c>
      <c r="J144">
        <v>100</v>
      </c>
      <c r="K144">
        <v>985</v>
      </c>
      <c r="L144">
        <v>1135</v>
      </c>
      <c r="M144">
        <v>1061</v>
      </c>
      <c r="N144">
        <v>952</v>
      </c>
      <c r="O144">
        <v>932</v>
      </c>
      <c r="P144">
        <v>917</v>
      </c>
      <c r="Q144">
        <v>969</v>
      </c>
      <c r="R144">
        <v>1020</v>
      </c>
      <c r="S144">
        <v>987</v>
      </c>
      <c r="T144">
        <v>1042</v>
      </c>
      <c r="U144">
        <v>980</v>
      </c>
      <c r="V144">
        <v>1135</v>
      </c>
      <c r="W144">
        <v>1032</v>
      </c>
      <c r="X144">
        <v>1010</v>
      </c>
      <c r="Y144">
        <v>982</v>
      </c>
      <c r="Z144">
        <v>892</v>
      </c>
      <c r="AA144">
        <v>958</v>
      </c>
      <c r="AB144">
        <v>1028</v>
      </c>
      <c r="AC144">
        <v>974</v>
      </c>
      <c r="AD144">
        <v>1009</v>
      </c>
      <c r="AE144">
        <v>974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2</v>
      </c>
      <c r="AL144">
        <v>1</v>
      </c>
      <c r="AM144">
        <v>2</v>
      </c>
      <c r="AN144">
        <v>1</v>
      </c>
      <c r="AO144">
        <v>0</v>
      </c>
      <c r="AP144">
        <v>1121</v>
      </c>
      <c r="AQ144">
        <v>4</v>
      </c>
      <c r="AR144">
        <v>2</v>
      </c>
      <c r="AS144">
        <v>0</v>
      </c>
      <c r="AT144">
        <v>3</v>
      </c>
      <c r="AU144">
        <v>3</v>
      </c>
      <c r="AV144">
        <v>1</v>
      </c>
      <c r="AW144">
        <v>1</v>
      </c>
      <c r="AX144">
        <v>0</v>
      </c>
      <c r="AY144">
        <v>0</v>
      </c>
      <c r="AZ144">
        <v>1</v>
      </c>
      <c r="BA144">
        <v>1026</v>
      </c>
      <c r="BB144">
        <v>0</v>
      </c>
      <c r="BC144">
        <v>0</v>
      </c>
      <c r="BD144">
        <v>0</v>
      </c>
      <c r="BE144">
        <v>1</v>
      </c>
      <c r="BF144">
        <v>4</v>
      </c>
      <c r="BG144">
        <v>0</v>
      </c>
      <c r="BH144">
        <v>0</v>
      </c>
      <c r="BI144">
        <v>0</v>
      </c>
      <c r="BJ144">
        <v>0</v>
      </c>
      <c r="BK144">
        <v>7</v>
      </c>
      <c r="BL144">
        <v>948</v>
      </c>
      <c r="BM144">
        <v>0</v>
      </c>
      <c r="BN144">
        <v>25</v>
      </c>
      <c r="BO144">
        <v>0</v>
      </c>
      <c r="BP144">
        <v>9</v>
      </c>
      <c r="BQ144">
        <v>17</v>
      </c>
      <c r="BR144">
        <v>4</v>
      </c>
      <c r="BS144">
        <v>0</v>
      </c>
      <c r="BT144">
        <v>5</v>
      </c>
      <c r="BU144">
        <v>5</v>
      </c>
      <c r="BV144">
        <v>0</v>
      </c>
      <c r="BW144">
        <v>928</v>
      </c>
      <c r="BX144">
        <v>0</v>
      </c>
      <c r="BY144">
        <v>12</v>
      </c>
      <c r="BZ144">
        <v>0</v>
      </c>
      <c r="CA144">
        <v>4</v>
      </c>
      <c r="CB144">
        <v>28</v>
      </c>
      <c r="CC144">
        <v>2</v>
      </c>
      <c r="CD144">
        <v>0</v>
      </c>
      <c r="CE144">
        <v>1</v>
      </c>
      <c r="CF144">
        <v>2</v>
      </c>
      <c r="CG144">
        <v>0</v>
      </c>
      <c r="CH144">
        <v>882</v>
      </c>
      <c r="CI144">
        <v>3</v>
      </c>
      <c r="CJ144">
        <v>1</v>
      </c>
      <c r="CK144">
        <v>1</v>
      </c>
      <c r="CL144">
        <v>0</v>
      </c>
      <c r="CM144">
        <v>5</v>
      </c>
      <c r="CN144">
        <v>2</v>
      </c>
      <c r="CO144">
        <v>1</v>
      </c>
      <c r="CP144">
        <v>0</v>
      </c>
      <c r="CQ144">
        <v>1</v>
      </c>
      <c r="CR144">
        <v>1</v>
      </c>
      <c r="CS144">
        <v>947</v>
      </c>
      <c r="CT144">
        <v>0</v>
      </c>
      <c r="CU144">
        <v>1</v>
      </c>
      <c r="CV144">
        <v>0</v>
      </c>
      <c r="CW144">
        <v>2</v>
      </c>
      <c r="CX144">
        <v>3</v>
      </c>
      <c r="CY144">
        <v>15</v>
      </c>
      <c r="CZ144">
        <v>0</v>
      </c>
      <c r="DA144">
        <v>0</v>
      </c>
      <c r="DB144">
        <v>1</v>
      </c>
      <c r="DC144">
        <v>0</v>
      </c>
      <c r="DD144">
        <v>995</v>
      </c>
      <c r="DE144">
        <v>2</v>
      </c>
      <c r="DF144">
        <v>10</v>
      </c>
      <c r="DG144">
        <v>1</v>
      </c>
      <c r="DH144">
        <v>0</v>
      </c>
      <c r="DI144">
        <v>2</v>
      </c>
      <c r="DJ144">
        <v>0</v>
      </c>
      <c r="DK144">
        <v>0</v>
      </c>
      <c r="DL144">
        <v>2</v>
      </c>
      <c r="DM144">
        <v>1</v>
      </c>
      <c r="DN144">
        <v>5</v>
      </c>
      <c r="DO144">
        <v>958</v>
      </c>
      <c r="DP144">
        <v>5</v>
      </c>
      <c r="DQ144">
        <v>1</v>
      </c>
      <c r="DR144">
        <v>3</v>
      </c>
      <c r="DS144">
        <v>0</v>
      </c>
      <c r="DT144">
        <v>0</v>
      </c>
      <c r="DU144">
        <v>3</v>
      </c>
      <c r="DV144">
        <v>3</v>
      </c>
      <c r="DW144">
        <v>0</v>
      </c>
      <c r="DX144">
        <v>4</v>
      </c>
      <c r="DY144">
        <v>1</v>
      </c>
      <c r="DZ144">
        <v>994</v>
      </c>
      <c r="EA144">
        <v>0.97729999999999995</v>
      </c>
      <c r="EB144">
        <v>0.97741876260820104</v>
      </c>
      <c r="EC144">
        <v>0.97732653472258202</v>
      </c>
      <c r="ED144">
        <v>0.977149731958187</v>
      </c>
      <c r="EE144">
        <f>SUM(Table1[[#This Row],[ratio_0]:[ratio_9]])</f>
        <v>640</v>
      </c>
      <c r="EF144" s="1">
        <f>(Table1[[#This Row],[predicted_0]]-Table1[[#This Row],[actual_0]])/Table1[[#This Row],[actual_0]]</f>
        <v>5.1020408163265302E-3</v>
      </c>
      <c r="EG144" s="1">
        <f>(Table1[[#This Row],[predicted_1]]-Table1[[#This Row],[actual_1]])/Table1[[#This Row],[actual_1]]</f>
        <v>0</v>
      </c>
      <c r="EH144" s="1">
        <f>(Table1[[#This Row],[predicted_2]]-Table1[[#This Row],[actual_2]])/Table1[[#This Row],[actual_2]]</f>
        <v>2.8100775193798451E-2</v>
      </c>
      <c r="EI144" s="1">
        <f>(Table1[[#This Row],[predicted_3]]-Table1[[#This Row],[actual_3]])/Table1[[#This Row],[actual_3]]</f>
        <v>-5.7425742574257428E-2</v>
      </c>
      <c r="EJ144" s="1">
        <f>(Table1[[#This Row],[predicted_4]]-Table1[[#This Row],[actual_4]])/Table1[[#This Row],[actual_4]]</f>
        <v>-5.0916496945010187E-2</v>
      </c>
      <c r="EK144" s="1">
        <f>(Table1[[#This Row],[predicted_5]]-Table1[[#This Row],[actual_5]])/Table1[[#This Row],[actual_5]]</f>
        <v>2.8026905829596414E-2</v>
      </c>
      <c r="EL144" s="1">
        <f>(Table1[[#This Row],[predicted_6]]-Table1[[#This Row],[actual_6]])/Table1[[#This Row],[actual_6]]</f>
        <v>1.1482254697286013E-2</v>
      </c>
      <c r="EM144" s="1">
        <f>(Table1[[#This Row],[predicted_7]]-Table1[[#This Row],[actual_7]])/Table1[[#This Row],[actual_7]]</f>
        <v>-7.7821011673151752E-3</v>
      </c>
      <c r="EN144" s="1">
        <f>(Table1[[#This Row],[predicted_8]]-Table1[[#This Row],[actual_8]])/Table1[[#This Row],[actual_8]]</f>
        <v>1.3347022587268994E-2</v>
      </c>
      <c r="EO144" s="1">
        <f>(Table1[[#This Row],[predicted_9]]-Table1[[#This Row],[actual_9]])/Table1[[#This Row],[actual_9]]</f>
        <v>3.2705649157581763E-2</v>
      </c>
      <c r="EP144" s="1">
        <f>1+(Table1[[#This Row],[error_ratio_0]]-EF$2)</f>
        <v>1.0030612244897958</v>
      </c>
      <c r="EQ144" s="1">
        <f>1+(Table1[[#This Row],[error_ratio_1]]-EG$2)</f>
        <v>0.9982378854625551</v>
      </c>
      <c r="ER144" s="1">
        <f>1+(Table1[[#This Row],[error_ratio_2]]-EH$2)</f>
        <v>1.0329457364341086</v>
      </c>
      <c r="ES144" s="1">
        <f>1+(Table1[[#This Row],[error_ratio_3]]-EI$2)</f>
        <v>0.93267326732673261</v>
      </c>
      <c r="ET144" s="1">
        <f>1+(Table1[[#This Row],[error_ratio_4]]-EJ$2)</f>
        <v>0.94806517311608962</v>
      </c>
      <c r="EU144" s="1">
        <f>1+(Table1[[#This Row],[error_ratio_5]]-EK$2)</f>
        <v>1.0269058295964126</v>
      </c>
      <c r="EV144" s="1">
        <f>1+(Table1[[#This Row],[error_ratio_6]]-EL$2)</f>
        <v>1.0177453027139876</v>
      </c>
      <c r="EW144" s="1">
        <f>1+(Table1[[#This Row],[error_ratio_7]]-EM$2)</f>
        <v>0.99027237354085607</v>
      </c>
      <c r="EX144" s="1">
        <f>1+(Table1[[#This Row],[error_ratio_8]]-EN$2)</f>
        <v>1.0164271047227926</v>
      </c>
      <c r="EY144" s="1">
        <f>1+(Table1[[#This Row],[error_ratio_9]]-EO$2)</f>
        <v>1.0366699702675917</v>
      </c>
    </row>
    <row r="145" spans="1:155" x14ac:dyDescent="0.75">
      <c r="A145">
        <v>10</v>
      </c>
      <c r="B145">
        <v>10</v>
      </c>
      <c r="C145">
        <v>100</v>
      </c>
      <c r="D145">
        <v>10</v>
      </c>
      <c r="E145">
        <v>10</v>
      </c>
      <c r="F145">
        <v>100</v>
      </c>
      <c r="G145">
        <v>100</v>
      </c>
      <c r="H145">
        <v>10</v>
      </c>
      <c r="I145">
        <v>100</v>
      </c>
      <c r="J145">
        <v>100</v>
      </c>
      <c r="K145">
        <v>926</v>
      </c>
      <c r="L145">
        <v>1130</v>
      </c>
      <c r="M145">
        <v>1108</v>
      </c>
      <c r="N145">
        <v>910</v>
      </c>
      <c r="O145">
        <v>931</v>
      </c>
      <c r="P145">
        <v>929</v>
      </c>
      <c r="Q145">
        <v>1006</v>
      </c>
      <c r="R145">
        <v>960</v>
      </c>
      <c r="S145">
        <v>1011</v>
      </c>
      <c r="T145">
        <v>1089</v>
      </c>
      <c r="U145">
        <v>980</v>
      </c>
      <c r="V145">
        <v>1135</v>
      </c>
      <c r="W145">
        <v>1032</v>
      </c>
      <c r="X145">
        <v>1010</v>
      </c>
      <c r="Y145">
        <v>982</v>
      </c>
      <c r="Z145">
        <v>892</v>
      </c>
      <c r="AA145">
        <v>958</v>
      </c>
      <c r="AB145">
        <v>1028</v>
      </c>
      <c r="AC145">
        <v>974</v>
      </c>
      <c r="AD145">
        <v>1009</v>
      </c>
      <c r="AE145">
        <v>923</v>
      </c>
      <c r="AF145">
        <v>0</v>
      </c>
      <c r="AG145">
        <v>11</v>
      </c>
      <c r="AH145">
        <v>0</v>
      </c>
      <c r="AI145">
        <v>0</v>
      </c>
      <c r="AJ145">
        <v>1</v>
      </c>
      <c r="AK145">
        <v>28</v>
      </c>
      <c r="AL145">
        <v>2</v>
      </c>
      <c r="AM145">
        <v>8</v>
      </c>
      <c r="AN145">
        <v>7</v>
      </c>
      <c r="AO145">
        <v>0</v>
      </c>
      <c r="AP145">
        <v>1121</v>
      </c>
      <c r="AQ145">
        <v>4</v>
      </c>
      <c r="AR145">
        <v>0</v>
      </c>
      <c r="AS145">
        <v>0</v>
      </c>
      <c r="AT145">
        <v>1</v>
      </c>
      <c r="AU145">
        <v>6</v>
      </c>
      <c r="AV145">
        <v>0</v>
      </c>
      <c r="AW145">
        <v>1</v>
      </c>
      <c r="AX145">
        <v>2</v>
      </c>
      <c r="AY145">
        <v>0</v>
      </c>
      <c r="AZ145">
        <v>1</v>
      </c>
      <c r="BA145">
        <v>1023</v>
      </c>
      <c r="BB145">
        <v>0</v>
      </c>
      <c r="BC145">
        <v>0</v>
      </c>
      <c r="BD145">
        <v>0</v>
      </c>
      <c r="BE145">
        <v>0</v>
      </c>
      <c r="BF145">
        <v>5</v>
      </c>
      <c r="BG145">
        <v>2</v>
      </c>
      <c r="BH145">
        <v>1</v>
      </c>
      <c r="BI145">
        <v>0</v>
      </c>
      <c r="BJ145">
        <v>0</v>
      </c>
      <c r="BK145">
        <v>18</v>
      </c>
      <c r="BL145">
        <v>907</v>
      </c>
      <c r="BM145">
        <v>0</v>
      </c>
      <c r="BN145">
        <v>35</v>
      </c>
      <c r="BO145">
        <v>1</v>
      </c>
      <c r="BP145">
        <v>6</v>
      </c>
      <c r="BQ145">
        <v>29</v>
      </c>
      <c r="BR145">
        <v>14</v>
      </c>
      <c r="BS145">
        <v>0</v>
      </c>
      <c r="BT145">
        <v>2</v>
      </c>
      <c r="BU145">
        <v>8</v>
      </c>
      <c r="BV145">
        <v>0</v>
      </c>
      <c r="BW145">
        <v>923</v>
      </c>
      <c r="BX145">
        <v>0</v>
      </c>
      <c r="BY145">
        <v>11</v>
      </c>
      <c r="BZ145">
        <v>0</v>
      </c>
      <c r="CA145">
        <v>3</v>
      </c>
      <c r="CB145">
        <v>35</v>
      </c>
      <c r="CC145">
        <v>1</v>
      </c>
      <c r="CD145">
        <v>0</v>
      </c>
      <c r="CE145">
        <v>1</v>
      </c>
      <c r="CF145">
        <v>2</v>
      </c>
      <c r="CG145">
        <v>0</v>
      </c>
      <c r="CH145">
        <v>880</v>
      </c>
      <c r="CI145">
        <v>2</v>
      </c>
      <c r="CJ145">
        <v>1</v>
      </c>
      <c r="CK145">
        <v>4</v>
      </c>
      <c r="CL145">
        <v>1</v>
      </c>
      <c r="CM145">
        <v>0</v>
      </c>
      <c r="CN145">
        <v>1</v>
      </c>
      <c r="CO145">
        <v>1</v>
      </c>
      <c r="CP145">
        <v>0</v>
      </c>
      <c r="CQ145">
        <v>1</v>
      </c>
      <c r="CR145">
        <v>1</v>
      </c>
      <c r="CS145">
        <v>954</v>
      </c>
      <c r="CT145">
        <v>0</v>
      </c>
      <c r="CU145">
        <v>0</v>
      </c>
      <c r="CV145">
        <v>0</v>
      </c>
      <c r="CW145">
        <v>1</v>
      </c>
      <c r="CX145">
        <v>5</v>
      </c>
      <c r="CY145">
        <v>36</v>
      </c>
      <c r="CZ145">
        <v>1</v>
      </c>
      <c r="DA145">
        <v>5</v>
      </c>
      <c r="DB145">
        <v>5</v>
      </c>
      <c r="DC145">
        <v>1</v>
      </c>
      <c r="DD145">
        <v>942</v>
      </c>
      <c r="DE145">
        <v>3</v>
      </c>
      <c r="DF145">
        <v>29</v>
      </c>
      <c r="DG145">
        <v>1</v>
      </c>
      <c r="DH145">
        <v>0</v>
      </c>
      <c r="DI145">
        <v>5</v>
      </c>
      <c r="DJ145">
        <v>0</v>
      </c>
      <c r="DK145">
        <v>0</v>
      </c>
      <c r="DL145">
        <v>2</v>
      </c>
      <c r="DM145">
        <v>2</v>
      </c>
      <c r="DN145">
        <v>2</v>
      </c>
      <c r="DO145">
        <v>957</v>
      </c>
      <c r="DP145">
        <v>5</v>
      </c>
      <c r="DQ145">
        <v>0</v>
      </c>
      <c r="DR145">
        <v>0</v>
      </c>
      <c r="DS145">
        <v>1</v>
      </c>
      <c r="DT145">
        <v>0</v>
      </c>
      <c r="DU145">
        <v>2</v>
      </c>
      <c r="DV145">
        <v>4</v>
      </c>
      <c r="DW145">
        <v>1</v>
      </c>
      <c r="DX145">
        <v>2</v>
      </c>
      <c r="DY145">
        <v>4</v>
      </c>
      <c r="DZ145">
        <v>995</v>
      </c>
      <c r="EA145">
        <v>0.96250000000000002</v>
      </c>
      <c r="EB145">
        <v>0.96372763084204505</v>
      </c>
      <c r="EC145">
        <v>0.96261045479399698</v>
      </c>
      <c r="ED145">
        <v>0.96226377868285096</v>
      </c>
      <c r="EE145">
        <f>SUM(Table1[[#This Row],[ratio_0]:[ratio_9]])</f>
        <v>550</v>
      </c>
      <c r="EF145" s="1">
        <f>(Table1[[#This Row],[predicted_0]]-Table1[[#This Row],[actual_0]])/Table1[[#This Row],[actual_0]]</f>
        <v>-5.5102040816326532E-2</v>
      </c>
      <c r="EG145" s="1">
        <f>(Table1[[#This Row],[predicted_1]]-Table1[[#This Row],[actual_1]])/Table1[[#This Row],[actual_1]]</f>
        <v>-4.4052863436123352E-3</v>
      </c>
      <c r="EH145" s="1">
        <f>(Table1[[#This Row],[predicted_2]]-Table1[[#This Row],[actual_2]])/Table1[[#This Row],[actual_2]]</f>
        <v>7.3643410852713184E-2</v>
      </c>
      <c r="EI145" s="1">
        <f>(Table1[[#This Row],[predicted_3]]-Table1[[#This Row],[actual_3]])/Table1[[#This Row],[actual_3]]</f>
        <v>-9.9009900990099015E-2</v>
      </c>
      <c r="EJ145" s="1">
        <f>(Table1[[#This Row],[predicted_4]]-Table1[[#This Row],[actual_4]])/Table1[[#This Row],[actual_4]]</f>
        <v>-5.1934826883910386E-2</v>
      </c>
      <c r="EK145" s="1">
        <f>(Table1[[#This Row],[predicted_5]]-Table1[[#This Row],[actual_5]])/Table1[[#This Row],[actual_5]]</f>
        <v>4.1479820627802692E-2</v>
      </c>
      <c r="EL145" s="1">
        <f>(Table1[[#This Row],[predicted_6]]-Table1[[#This Row],[actual_6]])/Table1[[#This Row],[actual_6]]</f>
        <v>5.0104384133611693E-2</v>
      </c>
      <c r="EM145" s="1">
        <f>(Table1[[#This Row],[predicted_7]]-Table1[[#This Row],[actual_7]])/Table1[[#This Row],[actual_7]]</f>
        <v>-6.6147859922178989E-2</v>
      </c>
      <c r="EN145" s="1">
        <f>(Table1[[#This Row],[predicted_8]]-Table1[[#This Row],[actual_8]])/Table1[[#This Row],[actual_8]]</f>
        <v>3.7987679671457907E-2</v>
      </c>
      <c r="EO145" s="1">
        <f>(Table1[[#This Row],[predicted_9]]-Table1[[#This Row],[actual_9]])/Table1[[#This Row],[actual_9]]</f>
        <v>7.9286422200198214E-2</v>
      </c>
      <c r="EP145" s="1">
        <f>1+(Table1[[#This Row],[error_ratio_0]]-EF$2)</f>
        <v>0.94285714285714284</v>
      </c>
      <c r="EQ145" s="1">
        <f>1+(Table1[[#This Row],[error_ratio_1]]-EG$2)</f>
        <v>0.99383259911894273</v>
      </c>
      <c r="ER145" s="1">
        <f>1+(Table1[[#This Row],[error_ratio_2]]-EH$2)</f>
        <v>1.0784883720930232</v>
      </c>
      <c r="ES145" s="1">
        <f>1+(Table1[[#This Row],[error_ratio_3]]-EI$2)</f>
        <v>0.8910891089108911</v>
      </c>
      <c r="ET145" s="1">
        <f>1+(Table1[[#This Row],[error_ratio_4]]-EJ$2)</f>
        <v>0.94704684317718946</v>
      </c>
      <c r="EU145" s="1">
        <f>1+(Table1[[#This Row],[error_ratio_5]]-EK$2)</f>
        <v>1.0403587443946187</v>
      </c>
      <c r="EV145" s="1">
        <f>1+(Table1[[#This Row],[error_ratio_6]]-EL$2)</f>
        <v>1.0563674321503131</v>
      </c>
      <c r="EW145" s="1">
        <f>1+(Table1[[#This Row],[error_ratio_7]]-EM$2)</f>
        <v>0.93190661478599224</v>
      </c>
      <c r="EX145" s="1">
        <f>1+(Table1[[#This Row],[error_ratio_8]]-EN$2)</f>
        <v>1.0410677618069815</v>
      </c>
      <c r="EY145" s="1">
        <f>1+(Table1[[#This Row],[error_ratio_9]]-EO$2)</f>
        <v>1.0832507433102081</v>
      </c>
    </row>
    <row r="146" spans="1:155" x14ac:dyDescent="0.75">
      <c r="A146">
        <v>100</v>
      </c>
      <c r="B146">
        <v>100</v>
      </c>
      <c r="C146">
        <v>10</v>
      </c>
      <c r="D146">
        <v>10</v>
      </c>
      <c r="E146">
        <v>10</v>
      </c>
      <c r="F146">
        <v>100</v>
      </c>
      <c r="G146">
        <v>100</v>
      </c>
      <c r="H146">
        <v>10</v>
      </c>
      <c r="I146">
        <v>100</v>
      </c>
      <c r="J146">
        <v>100</v>
      </c>
      <c r="K146">
        <v>1000</v>
      </c>
      <c r="L146">
        <v>1113</v>
      </c>
      <c r="M146">
        <v>1023</v>
      </c>
      <c r="N146">
        <v>913</v>
      </c>
      <c r="O146">
        <v>888</v>
      </c>
      <c r="P146">
        <v>906</v>
      </c>
      <c r="Q146">
        <v>939</v>
      </c>
      <c r="R146">
        <v>970</v>
      </c>
      <c r="S146">
        <v>1140</v>
      </c>
      <c r="T146">
        <v>1108</v>
      </c>
      <c r="U146">
        <v>980</v>
      </c>
      <c r="V146">
        <v>1135</v>
      </c>
      <c r="W146">
        <v>1032</v>
      </c>
      <c r="X146">
        <v>1010</v>
      </c>
      <c r="Y146">
        <v>982</v>
      </c>
      <c r="Z146">
        <v>892</v>
      </c>
      <c r="AA146">
        <v>958</v>
      </c>
      <c r="AB146">
        <v>1028</v>
      </c>
      <c r="AC146">
        <v>974</v>
      </c>
      <c r="AD146">
        <v>1009</v>
      </c>
      <c r="AE146">
        <v>976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1</v>
      </c>
      <c r="AL146">
        <v>0</v>
      </c>
      <c r="AM146">
        <v>3</v>
      </c>
      <c r="AN146">
        <v>0</v>
      </c>
      <c r="AO146">
        <v>0</v>
      </c>
      <c r="AP146">
        <v>1107</v>
      </c>
      <c r="AQ146">
        <v>1</v>
      </c>
      <c r="AR146">
        <v>2</v>
      </c>
      <c r="AS146">
        <v>0</v>
      </c>
      <c r="AT146">
        <v>1</v>
      </c>
      <c r="AU146">
        <v>4</v>
      </c>
      <c r="AV146">
        <v>0</v>
      </c>
      <c r="AW146">
        <v>19</v>
      </c>
      <c r="AX146">
        <v>1</v>
      </c>
      <c r="AY146">
        <v>6</v>
      </c>
      <c r="AZ146">
        <v>1</v>
      </c>
      <c r="BA146">
        <v>995</v>
      </c>
      <c r="BB146">
        <v>2</v>
      </c>
      <c r="BC146">
        <v>1</v>
      </c>
      <c r="BD146">
        <v>0</v>
      </c>
      <c r="BE146">
        <v>1</v>
      </c>
      <c r="BF146">
        <v>5</v>
      </c>
      <c r="BG146">
        <v>21</v>
      </c>
      <c r="BH146">
        <v>0</v>
      </c>
      <c r="BI146">
        <v>3</v>
      </c>
      <c r="BJ146">
        <v>0</v>
      </c>
      <c r="BK146">
        <v>3</v>
      </c>
      <c r="BL146">
        <v>905</v>
      </c>
      <c r="BM146">
        <v>0</v>
      </c>
      <c r="BN146">
        <v>15</v>
      </c>
      <c r="BO146">
        <v>0</v>
      </c>
      <c r="BP146">
        <v>4</v>
      </c>
      <c r="BQ146">
        <v>62</v>
      </c>
      <c r="BR146">
        <v>18</v>
      </c>
      <c r="BS146">
        <v>1</v>
      </c>
      <c r="BT146">
        <v>0</v>
      </c>
      <c r="BU146">
        <v>4</v>
      </c>
      <c r="BV146">
        <v>0</v>
      </c>
      <c r="BW146">
        <v>886</v>
      </c>
      <c r="BX146">
        <v>0</v>
      </c>
      <c r="BY146">
        <v>5</v>
      </c>
      <c r="BZ146">
        <v>0</v>
      </c>
      <c r="CA146">
        <v>14</v>
      </c>
      <c r="CB146">
        <v>72</v>
      </c>
      <c r="CC146">
        <v>2</v>
      </c>
      <c r="CD146">
        <v>0</v>
      </c>
      <c r="CE146">
        <v>0</v>
      </c>
      <c r="CF146">
        <v>4</v>
      </c>
      <c r="CG146">
        <v>0</v>
      </c>
      <c r="CH146">
        <v>869</v>
      </c>
      <c r="CI146">
        <v>1</v>
      </c>
      <c r="CJ146">
        <v>1</v>
      </c>
      <c r="CK146">
        <v>10</v>
      </c>
      <c r="CL146">
        <v>5</v>
      </c>
      <c r="CM146">
        <v>6</v>
      </c>
      <c r="CN146">
        <v>1</v>
      </c>
      <c r="CO146">
        <v>1</v>
      </c>
      <c r="CP146">
        <v>0</v>
      </c>
      <c r="CQ146">
        <v>1</v>
      </c>
      <c r="CR146">
        <v>18</v>
      </c>
      <c r="CS146">
        <v>927</v>
      </c>
      <c r="CT146">
        <v>0</v>
      </c>
      <c r="CU146">
        <v>4</v>
      </c>
      <c r="CV146">
        <v>0</v>
      </c>
      <c r="CW146">
        <v>2</v>
      </c>
      <c r="CX146">
        <v>4</v>
      </c>
      <c r="CY146">
        <v>19</v>
      </c>
      <c r="CZ146">
        <v>0</v>
      </c>
      <c r="DA146">
        <v>0</v>
      </c>
      <c r="DB146">
        <v>1</v>
      </c>
      <c r="DC146">
        <v>0</v>
      </c>
      <c r="DD146">
        <v>958</v>
      </c>
      <c r="DE146">
        <v>26</v>
      </c>
      <c r="DF146">
        <v>18</v>
      </c>
      <c r="DG146">
        <v>3</v>
      </c>
      <c r="DH146">
        <v>0</v>
      </c>
      <c r="DI146">
        <v>0</v>
      </c>
      <c r="DJ146">
        <v>0</v>
      </c>
      <c r="DK146">
        <v>0</v>
      </c>
      <c r="DL146">
        <v>1</v>
      </c>
      <c r="DM146">
        <v>0</v>
      </c>
      <c r="DN146">
        <v>0</v>
      </c>
      <c r="DO146">
        <v>970</v>
      </c>
      <c r="DP146">
        <v>0</v>
      </c>
      <c r="DQ146">
        <v>1</v>
      </c>
      <c r="DR146">
        <v>0</v>
      </c>
      <c r="DS146">
        <v>0</v>
      </c>
      <c r="DT146">
        <v>0</v>
      </c>
      <c r="DU146">
        <v>0</v>
      </c>
      <c r="DV146">
        <v>1</v>
      </c>
      <c r="DW146">
        <v>0</v>
      </c>
      <c r="DX146">
        <v>2</v>
      </c>
      <c r="DY146">
        <v>11</v>
      </c>
      <c r="DZ146">
        <v>994</v>
      </c>
      <c r="EA146">
        <v>0.9587</v>
      </c>
      <c r="EB146">
        <v>0.96142236786759605</v>
      </c>
      <c r="EC146">
        <v>0.95884657801302897</v>
      </c>
      <c r="ED146">
        <v>0.95876125647970001</v>
      </c>
      <c r="EE146">
        <f>SUM(Table1[[#This Row],[ratio_0]:[ratio_9]])</f>
        <v>640</v>
      </c>
      <c r="EF146" s="1">
        <f>(Table1[[#This Row],[predicted_0]]-Table1[[#This Row],[actual_0]])/Table1[[#This Row],[actual_0]]</f>
        <v>2.0408163265306121E-2</v>
      </c>
      <c r="EG146" s="1">
        <f>(Table1[[#This Row],[predicted_1]]-Table1[[#This Row],[actual_1]])/Table1[[#This Row],[actual_1]]</f>
        <v>-1.9383259911894272E-2</v>
      </c>
      <c r="EH146" s="1">
        <f>(Table1[[#This Row],[predicted_2]]-Table1[[#This Row],[actual_2]])/Table1[[#This Row],[actual_2]]</f>
        <v>-8.7209302325581394E-3</v>
      </c>
      <c r="EI146" s="1">
        <f>(Table1[[#This Row],[predicted_3]]-Table1[[#This Row],[actual_3]])/Table1[[#This Row],[actual_3]]</f>
        <v>-9.6039603960396042E-2</v>
      </c>
      <c r="EJ146" s="1">
        <f>(Table1[[#This Row],[predicted_4]]-Table1[[#This Row],[actual_4]])/Table1[[#This Row],[actual_4]]</f>
        <v>-9.5723014256619138E-2</v>
      </c>
      <c r="EK146" s="1">
        <f>(Table1[[#This Row],[predicted_5]]-Table1[[#This Row],[actual_5]])/Table1[[#This Row],[actual_5]]</f>
        <v>1.5695067264573991E-2</v>
      </c>
      <c r="EL146" s="1">
        <f>(Table1[[#This Row],[predicted_6]]-Table1[[#This Row],[actual_6]])/Table1[[#This Row],[actual_6]]</f>
        <v>-1.9832985386221295E-2</v>
      </c>
      <c r="EM146" s="1">
        <f>(Table1[[#This Row],[predicted_7]]-Table1[[#This Row],[actual_7]])/Table1[[#This Row],[actual_7]]</f>
        <v>-5.642023346303502E-2</v>
      </c>
      <c r="EN146" s="1">
        <f>(Table1[[#This Row],[predicted_8]]-Table1[[#This Row],[actual_8]])/Table1[[#This Row],[actual_8]]</f>
        <v>0.17043121149897331</v>
      </c>
      <c r="EO146" s="1">
        <f>(Table1[[#This Row],[predicted_9]]-Table1[[#This Row],[actual_9]])/Table1[[#This Row],[actual_9]]</f>
        <v>9.8116947472745297E-2</v>
      </c>
      <c r="EP146" s="1">
        <f>1+(Table1[[#This Row],[error_ratio_0]]-EF$2)</f>
        <v>1.0183673469387755</v>
      </c>
      <c r="EQ146" s="1">
        <f>1+(Table1[[#This Row],[error_ratio_1]]-EG$2)</f>
        <v>0.97885462555066083</v>
      </c>
      <c r="ER146" s="1">
        <f>1+(Table1[[#This Row],[error_ratio_2]]-EH$2)</f>
        <v>0.99612403100775193</v>
      </c>
      <c r="ES146" s="1">
        <f>1+(Table1[[#This Row],[error_ratio_3]]-EI$2)</f>
        <v>0.89405940594059408</v>
      </c>
      <c r="ET146" s="1">
        <f>1+(Table1[[#This Row],[error_ratio_4]]-EJ$2)</f>
        <v>0.90325865580448061</v>
      </c>
      <c r="EU146" s="1">
        <f>1+(Table1[[#This Row],[error_ratio_5]]-EK$2)</f>
        <v>1.0145739910313902</v>
      </c>
      <c r="EV146" s="1">
        <f>1+(Table1[[#This Row],[error_ratio_6]]-EL$2)</f>
        <v>0.98643006263048016</v>
      </c>
      <c r="EW146" s="1">
        <f>1+(Table1[[#This Row],[error_ratio_7]]-EM$2)</f>
        <v>0.94163424124513617</v>
      </c>
      <c r="EX146" s="1">
        <f>1+(Table1[[#This Row],[error_ratio_8]]-EN$2)</f>
        <v>1.1735112936344969</v>
      </c>
      <c r="EY146" s="1">
        <f>1+(Table1[[#This Row],[error_ratio_9]]-EO$2)</f>
        <v>1.1020812685827552</v>
      </c>
    </row>
    <row r="147" spans="1:155" x14ac:dyDescent="0.75">
      <c r="A147">
        <v>10</v>
      </c>
      <c r="B147">
        <v>100</v>
      </c>
      <c r="C147">
        <v>10</v>
      </c>
      <c r="D147">
        <v>10</v>
      </c>
      <c r="E147">
        <v>10</v>
      </c>
      <c r="F147">
        <v>100</v>
      </c>
      <c r="G147">
        <v>100</v>
      </c>
      <c r="H147">
        <v>10</v>
      </c>
      <c r="I147">
        <v>100</v>
      </c>
      <c r="J147">
        <v>100</v>
      </c>
      <c r="K147">
        <v>985</v>
      </c>
      <c r="L147">
        <v>1156</v>
      </c>
      <c r="M147">
        <v>951</v>
      </c>
      <c r="N147">
        <v>768</v>
      </c>
      <c r="O147">
        <v>978</v>
      </c>
      <c r="P147">
        <v>929</v>
      </c>
      <c r="Q147">
        <v>945</v>
      </c>
      <c r="R147">
        <v>911</v>
      </c>
      <c r="S147">
        <v>1182</v>
      </c>
      <c r="T147">
        <v>1195</v>
      </c>
      <c r="U147">
        <v>980</v>
      </c>
      <c r="V147">
        <v>1135</v>
      </c>
      <c r="W147">
        <v>1032</v>
      </c>
      <c r="X147">
        <v>1010</v>
      </c>
      <c r="Y147">
        <v>982</v>
      </c>
      <c r="Z147">
        <v>892</v>
      </c>
      <c r="AA147">
        <v>958</v>
      </c>
      <c r="AB147">
        <v>1028</v>
      </c>
      <c r="AC147">
        <v>974</v>
      </c>
      <c r="AD147">
        <v>1009</v>
      </c>
      <c r="AE147">
        <v>958</v>
      </c>
      <c r="AF147">
        <v>0</v>
      </c>
      <c r="AG147">
        <v>1</v>
      </c>
      <c r="AH147">
        <v>0</v>
      </c>
      <c r="AI147">
        <v>0</v>
      </c>
      <c r="AJ147">
        <v>0</v>
      </c>
      <c r="AK147">
        <v>1</v>
      </c>
      <c r="AL147">
        <v>2</v>
      </c>
      <c r="AM147">
        <v>12</v>
      </c>
      <c r="AN147">
        <v>6</v>
      </c>
      <c r="AO147">
        <v>0</v>
      </c>
      <c r="AP147">
        <v>1128</v>
      </c>
      <c r="AQ147">
        <v>2</v>
      </c>
      <c r="AR147">
        <v>0</v>
      </c>
      <c r="AS147">
        <v>1</v>
      </c>
      <c r="AT147">
        <v>0</v>
      </c>
      <c r="AU147">
        <v>1</v>
      </c>
      <c r="AV147">
        <v>0</v>
      </c>
      <c r="AW147">
        <v>2</v>
      </c>
      <c r="AX147">
        <v>1</v>
      </c>
      <c r="AY147">
        <v>6</v>
      </c>
      <c r="AZ147">
        <v>5</v>
      </c>
      <c r="BA147">
        <v>927</v>
      </c>
      <c r="BB147">
        <v>5</v>
      </c>
      <c r="BC147">
        <v>19</v>
      </c>
      <c r="BD147">
        <v>0</v>
      </c>
      <c r="BE147">
        <v>6</v>
      </c>
      <c r="BF147">
        <v>12</v>
      </c>
      <c r="BG147">
        <v>41</v>
      </c>
      <c r="BH147">
        <v>11</v>
      </c>
      <c r="BI147">
        <v>8</v>
      </c>
      <c r="BJ147">
        <v>0</v>
      </c>
      <c r="BK147">
        <v>14</v>
      </c>
      <c r="BL147">
        <v>761</v>
      </c>
      <c r="BM147">
        <v>0</v>
      </c>
      <c r="BN147">
        <v>48</v>
      </c>
      <c r="BO147">
        <v>0</v>
      </c>
      <c r="BP147">
        <v>4</v>
      </c>
      <c r="BQ147">
        <v>142</v>
      </c>
      <c r="BR147">
        <v>33</v>
      </c>
      <c r="BS147">
        <v>0</v>
      </c>
      <c r="BT147">
        <v>0</v>
      </c>
      <c r="BU147">
        <v>0</v>
      </c>
      <c r="BV147">
        <v>0</v>
      </c>
      <c r="BW147">
        <v>941</v>
      </c>
      <c r="BX147">
        <v>0</v>
      </c>
      <c r="BY147">
        <v>4</v>
      </c>
      <c r="BZ147">
        <v>0</v>
      </c>
      <c r="CA147">
        <v>2</v>
      </c>
      <c r="CB147">
        <v>35</v>
      </c>
      <c r="CC147">
        <v>3</v>
      </c>
      <c r="CD147">
        <v>0</v>
      </c>
      <c r="CE147">
        <v>0</v>
      </c>
      <c r="CF147">
        <v>1</v>
      </c>
      <c r="CG147">
        <v>0</v>
      </c>
      <c r="CH147">
        <v>874</v>
      </c>
      <c r="CI147">
        <v>5</v>
      </c>
      <c r="CJ147">
        <v>0</v>
      </c>
      <c r="CK147">
        <v>5</v>
      </c>
      <c r="CL147">
        <v>4</v>
      </c>
      <c r="CM147">
        <v>7</v>
      </c>
      <c r="CN147">
        <v>2</v>
      </c>
      <c r="CO147">
        <v>1</v>
      </c>
      <c r="CP147">
        <v>0</v>
      </c>
      <c r="CQ147">
        <v>7</v>
      </c>
      <c r="CR147">
        <v>3</v>
      </c>
      <c r="CS147">
        <v>928</v>
      </c>
      <c r="CT147">
        <v>0</v>
      </c>
      <c r="CU147">
        <v>10</v>
      </c>
      <c r="CV147">
        <v>0</v>
      </c>
      <c r="CW147">
        <v>2</v>
      </c>
      <c r="CX147">
        <v>21</v>
      </c>
      <c r="CY147">
        <v>6</v>
      </c>
      <c r="CZ147">
        <v>1</v>
      </c>
      <c r="DA147">
        <v>6</v>
      </c>
      <c r="DB147">
        <v>2</v>
      </c>
      <c r="DC147">
        <v>0</v>
      </c>
      <c r="DD147">
        <v>890</v>
      </c>
      <c r="DE147">
        <v>6</v>
      </c>
      <c r="DF147">
        <v>94</v>
      </c>
      <c r="DG147">
        <v>0</v>
      </c>
      <c r="DH147">
        <v>0</v>
      </c>
      <c r="DI147">
        <v>0</v>
      </c>
      <c r="DJ147">
        <v>0</v>
      </c>
      <c r="DK147">
        <v>3</v>
      </c>
      <c r="DL147">
        <v>0</v>
      </c>
      <c r="DM147">
        <v>0</v>
      </c>
      <c r="DN147">
        <v>3</v>
      </c>
      <c r="DO147">
        <v>962</v>
      </c>
      <c r="DP147">
        <v>6</v>
      </c>
      <c r="DQ147">
        <v>1</v>
      </c>
      <c r="DR147">
        <v>0</v>
      </c>
      <c r="DS147">
        <v>0</v>
      </c>
      <c r="DT147">
        <v>0</v>
      </c>
      <c r="DU147">
        <v>1</v>
      </c>
      <c r="DV147">
        <v>2</v>
      </c>
      <c r="DW147">
        <v>0</v>
      </c>
      <c r="DX147">
        <v>0</v>
      </c>
      <c r="DY147">
        <v>0</v>
      </c>
      <c r="DZ147">
        <v>1005</v>
      </c>
      <c r="EA147">
        <v>0.93740000000000001</v>
      </c>
      <c r="EB147">
        <v>0.94308184103518999</v>
      </c>
      <c r="EC147">
        <v>0.93793327454512299</v>
      </c>
      <c r="ED147">
        <v>0.936854037260068</v>
      </c>
      <c r="EE147">
        <f>SUM(Table1[[#This Row],[ratio_0]:[ratio_9]])</f>
        <v>550</v>
      </c>
      <c r="EF147" s="1">
        <f>(Table1[[#This Row],[predicted_0]]-Table1[[#This Row],[actual_0]])/Table1[[#This Row],[actual_0]]</f>
        <v>5.1020408163265302E-3</v>
      </c>
      <c r="EG147" s="1">
        <f>(Table1[[#This Row],[predicted_1]]-Table1[[#This Row],[actual_1]])/Table1[[#This Row],[actual_1]]</f>
        <v>1.8502202643171806E-2</v>
      </c>
      <c r="EH147" s="1">
        <f>(Table1[[#This Row],[predicted_2]]-Table1[[#This Row],[actual_2]])/Table1[[#This Row],[actual_2]]</f>
        <v>-7.8488372093023256E-2</v>
      </c>
      <c r="EI147" s="1">
        <f>(Table1[[#This Row],[predicted_3]]-Table1[[#This Row],[actual_3]])/Table1[[#This Row],[actual_3]]</f>
        <v>-0.23960396039603959</v>
      </c>
      <c r="EJ147" s="1">
        <f>(Table1[[#This Row],[predicted_4]]-Table1[[#This Row],[actual_4]])/Table1[[#This Row],[actual_4]]</f>
        <v>-4.0733197556008143E-3</v>
      </c>
      <c r="EK147" s="1">
        <f>(Table1[[#This Row],[predicted_5]]-Table1[[#This Row],[actual_5]])/Table1[[#This Row],[actual_5]]</f>
        <v>4.1479820627802692E-2</v>
      </c>
      <c r="EL147" s="1">
        <f>(Table1[[#This Row],[predicted_6]]-Table1[[#This Row],[actual_6]])/Table1[[#This Row],[actual_6]]</f>
        <v>-1.3569937369519834E-2</v>
      </c>
      <c r="EM147" s="1">
        <f>(Table1[[#This Row],[predicted_7]]-Table1[[#This Row],[actual_7]])/Table1[[#This Row],[actual_7]]</f>
        <v>-0.11381322957198443</v>
      </c>
      <c r="EN147" s="1">
        <f>(Table1[[#This Row],[predicted_8]]-Table1[[#This Row],[actual_8]])/Table1[[#This Row],[actual_8]]</f>
        <v>0.2135523613963039</v>
      </c>
      <c r="EO147" s="1">
        <f>(Table1[[#This Row],[predicted_9]]-Table1[[#This Row],[actual_9]])/Table1[[#This Row],[actual_9]]</f>
        <v>0.18434093161546086</v>
      </c>
      <c r="EP147" s="1">
        <f>1+(Table1[[#This Row],[error_ratio_0]]-EF$2)</f>
        <v>1.0030612244897958</v>
      </c>
      <c r="EQ147" s="1">
        <f>1+(Table1[[#This Row],[error_ratio_1]]-EG$2)</f>
        <v>1.0167400881057269</v>
      </c>
      <c r="ER147" s="1">
        <f>1+(Table1[[#This Row],[error_ratio_2]]-EH$2)</f>
        <v>0.9263565891472868</v>
      </c>
      <c r="ES147" s="1">
        <f>1+(Table1[[#This Row],[error_ratio_3]]-EI$2)</f>
        <v>0.7504950495049505</v>
      </c>
      <c r="ET147" s="1">
        <f>1+(Table1[[#This Row],[error_ratio_4]]-EJ$2)</f>
        <v>0.99490835030549896</v>
      </c>
      <c r="EU147" s="1">
        <f>1+(Table1[[#This Row],[error_ratio_5]]-EK$2)</f>
        <v>1.0403587443946187</v>
      </c>
      <c r="EV147" s="1">
        <f>1+(Table1[[#This Row],[error_ratio_6]]-EL$2)</f>
        <v>0.99269311064718158</v>
      </c>
      <c r="EW147" s="1">
        <f>1+(Table1[[#This Row],[error_ratio_7]]-EM$2)</f>
        <v>0.88424124513618674</v>
      </c>
      <c r="EX147" s="1">
        <f>1+(Table1[[#This Row],[error_ratio_8]]-EN$2)</f>
        <v>1.2166324435318274</v>
      </c>
      <c r="EY147" s="1">
        <f>1+(Table1[[#This Row],[error_ratio_9]]-EO$2)</f>
        <v>1.1883052527254707</v>
      </c>
    </row>
    <row r="148" spans="1:155" x14ac:dyDescent="0.75">
      <c r="A148">
        <v>100</v>
      </c>
      <c r="B148">
        <v>10</v>
      </c>
      <c r="C148">
        <v>10</v>
      </c>
      <c r="D148">
        <v>10</v>
      </c>
      <c r="E148">
        <v>10</v>
      </c>
      <c r="F148">
        <v>100</v>
      </c>
      <c r="G148">
        <v>100</v>
      </c>
      <c r="H148">
        <v>10</v>
      </c>
      <c r="I148">
        <v>100</v>
      </c>
      <c r="J148">
        <v>100</v>
      </c>
      <c r="K148">
        <v>1052</v>
      </c>
      <c r="L148">
        <v>1098</v>
      </c>
      <c r="M148">
        <v>953</v>
      </c>
      <c r="N148">
        <v>971</v>
      </c>
      <c r="O148">
        <v>925</v>
      </c>
      <c r="P148">
        <v>898</v>
      </c>
      <c r="Q148">
        <v>960</v>
      </c>
      <c r="R148">
        <v>967</v>
      </c>
      <c r="S148">
        <v>1078</v>
      </c>
      <c r="T148">
        <v>1098</v>
      </c>
      <c r="U148">
        <v>980</v>
      </c>
      <c r="V148">
        <v>1135</v>
      </c>
      <c r="W148">
        <v>1032</v>
      </c>
      <c r="X148">
        <v>1010</v>
      </c>
      <c r="Y148">
        <v>982</v>
      </c>
      <c r="Z148">
        <v>892</v>
      </c>
      <c r="AA148">
        <v>958</v>
      </c>
      <c r="AB148">
        <v>1028</v>
      </c>
      <c r="AC148">
        <v>974</v>
      </c>
      <c r="AD148">
        <v>1009</v>
      </c>
      <c r="AE148">
        <v>976</v>
      </c>
      <c r="AF148">
        <v>0</v>
      </c>
      <c r="AG148">
        <v>1</v>
      </c>
      <c r="AH148">
        <v>0</v>
      </c>
      <c r="AI148">
        <v>0</v>
      </c>
      <c r="AJ148">
        <v>0</v>
      </c>
      <c r="AK148">
        <v>1</v>
      </c>
      <c r="AL148">
        <v>0</v>
      </c>
      <c r="AM148">
        <v>2</v>
      </c>
      <c r="AN148">
        <v>0</v>
      </c>
      <c r="AO148">
        <v>0</v>
      </c>
      <c r="AP148">
        <v>1092</v>
      </c>
      <c r="AQ148">
        <v>3</v>
      </c>
      <c r="AR148">
        <v>3</v>
      </c>
      <c r="AS148">
        <v>0</v>
      </c>
      <c r="AT148">
        <v>2</v>
      </c>
      <c r="AU148">
        <v>8</v>
      </c>
      <c r="AV148">
        <v>7</v>
      </c>
      <c r="AW148">
        <v>17</v>
      </c>
      <c r="AX148">
        <v>3</v>
      </c>
      <c r="AY148">
        <v>35</v>
      </c>
      <c r="AZ148">
        <v>1</v>
      </c>
      <c r="BA148">
        <v>930</v>
      </c>
      <c r="BB148">
        <v>0</v>
      </c>
      <c r="BC148">
        <v>5</v>
      </c>
      <c r="BD148">
        <v>0</v>
      </c>
      <c r="BE148">
        <v>3</v>
      </c>
      <c r="BF148">
        <v>8</v>
      </c>
      <c r="BG148">
        <v>50</v>
      </c>
      <c r="BH148">
        <v>0</v>
      </c>
      <c r="BI148">
        <v>8</v>
      </c>
      <c r="BJ148">
        <v>0</v>
      </c>
      <c r="BK148">
        <v>3</v>
      </c>
      <c r="BL148">
        <v>958</v>
      </c>
      <c r="BM148">
        <v>0</v>
      </c>
      <c r="BN148">
        <v>13</v>
      </c>
      <c r="BO148">
        <v>0</v>
      </c>
      <c r="BP148">
        <v>3</v>
      </c>
      <c r="BQ148">
        <v>16</v>
      </c>
      <c r="BR148">
        <v>9</v>
      </c>
      <c r="BS148">
        <v>5</v>
      </c>
      <c r="BT148">
        <v>1</v>
      </c>
      <c r="BU148">
        <v>1</v>
      </c>
      <c r="BV148">
        <v>0</v>
      </c>
      <c r="BW148">
        <v>911</v>
      </c>
      <c r="BX148">
        <v>0</v>
      </c>
      <c r="BY148">
        <v>11</v>
      </c>
      <c r="BZ148">
        <v>0</v>
      </c>
      <c r="CA148">
        <v>7</v>
      </c>
      <c r="CB148">
        <v>46</v>
      </c>
      <c r="CC148">
        <v>3</v>
      </c>
      <c r="CD148">
        <v>0</v>
      </c>
      <c r="CE148">
        <v>0</v>
      </c>
      <c r="CF148">
        <v>4</v>
      </c>
      <c r="CG148">
        <v>0</v>
      </c>
      <c r="CH148">
        <v>875</v>
      </c>
      <c r="CI148">
        <v>2</v>
      </c>
      <c r="CJ148">
        <v>0</v>
      </c>
      <c r="CK148">
        <v>8</v>
      </c>
      <c r="CL148">
        <v>0</v>
      </c>
      <c r="CM148">
        <v>12</v>
      </c>
      <c r="CN148">
        <v>1</v>
      </c>
      <c r="CO148">
        <v>0</v>
      </c>
      <c r="CP148">
        <v>0</v>
      </c>
      <c r="CQ148">
        <v>1</v>
      </c>
      <c r="CR148">
        <v>3</v>
      </c>
      <c r="CS148">
        <v>934</v>
      </c>
      <c r="CT148">
        <v>0</v>
      </c>
      <c r="CU148">
        <v>7</v>
      </c>
      <c r="CV148">
        <v>0</v>
      </c>
      <c r="CW148">
        <v>4</v>
      </c>
      <c r="CX148">
        <v>3</v>
      </c>
      <c r="CY148">
        <v>15</v>
      </c>
      <c r="CZ148">
        <v>4</v>
      </c>
      <c r="DA148">
        <v>5</v>
      </c>
      <c r="DB148">
        <v>1</v>
      </c>
      <c r="DC148">
        <v>0</v>
      </c>
      <c r="DD148">
        <v>947</v>
      </c>
      <c r="DE148">
        <v>3</v>
      </c>
      <c r="DF148">
        <v>46</v>
      </c>
      <c r="DG148">
        <v>5</v>
      </c>
      <c r="DH148">
        <v>0</v>
      </c>
      <c r="DI148">
        <v>0</v>
      </c>
      <c r="DJ148">
        <v>0</v>
      </c>
      <c r="DK148">
        <v>0</v>
      </c>
      <c r="DL148">
        <v>1</v>
      </c>
      <c r="DM148">
        <v>0</v>
      </c>
      <c r="DN148">
        <v>1</v>
      </c>
      <c r="DO148">
        <v>963</v>
      </c>
      <c r="DP148">
        <v>4</v>
      </c>
      <c r="DQ148">
        <v>4</v>
      </c>
      <c r="DR148">
        <v>0</v>
      </c>
      <c r="DS148">
        <v>0</v>
      </c>
      <c r="DT148">
        <v>2</v>
      </c>
      <c r="DU148">
        <v>3</v>
      </c>
      <c r="DV148">
        <v>3</v>
      </c>
      <c r="DW148">
        <v>1</v>
      </c>
      <c r="DX148">
        <v>1</v>
      </c>
      <c r="DY148">
        <v>5</v>
      </c>
      <c r="DZ148">
        <v>990</v>
      </c>
      <c r="EA148">
        <v>0.95760000000000001</v>
      </c>
      <c r="EB148">
        <v>0.959121644601023</v>
      </c>
      <c r="EC148">
        <v>0.95823806991933103</v>
      </c>
      <c r="ED148">
        <v>0.95776091784884998</v>
      </c>
      <c r="EE148">
        <f>SUM(Table1[[#This Row],[ratio_0]:[ratio_9]])</f>
        <v>550</v>
      </c>
      <c r="EF148" s="1">
        <f>(Table1[[#This Row],[predicted_0]]-Table1[[#This Row],[actual_0]])/Table1[[#This Row],[actual_0]]</f>
        <v>7.3469387755102047E-2</v>
      </c>
      <c r="EG148" s="1">
        <f>(Table1[[#This Row],[predicted_1]]-Table1[[#This Row],[actual_1]])/Table1[[#This Row],[actual_1]]</f>
        <v>-3.2599118942731278E-2</v>
      </c>
      <c r="EH148" s="1">
        <f>(Table1[[#This Row],[predicted_2]]-Table1[[#This Row],[actual_2]])/Table1[[#This Row],[actual_2]]</f>
        <v>-7.6550387596899222E-2</v>
      </c>
      <c r="EI148" s="1">
        <f>(Table1[[#This Row],[predicted_3]]-Table1[[#This Row],[actual_3]])/Table1[[#This Row],[actual_3]]</f>
        <v>-3.8613861386138613E-2</v>
      </c>
      <c r="EJ148" s="1">
        <f>(Table1[[#This Row],[predicted_4]]-Table1[[#This Row],[actual_4]])/Table1[[#This Row],[actual_4]]</f>
        <v>-5.8044806517311608E-2</v>
      </c>
      <c r="EK148" s="1">
        <f>(Table1[[#This Row],[predicted_5]]-Table1[[#This Row],[actual_5]])/Table1[[#This Row],[actual_5]]</f>
        <v>6.7264573991031393E-3</v>
      </c>
      <c r="EL148" s="1">
        <f>(Table1[[#This Row],[predicted_6]]-Table1[[#This Row],[actual_6]])/Table1[[#This Row],[actual_6]]</f>
        <v>2.0876826722338203E-3</v>
      </c>
      <c r="EM148" s="1">
        <f>(Table1[[#This Row],[predicted_7]]-Table1[[#This Row],[actual_7]])/Table1[[#This Row],[actual_7]]</f>
        <v>-5.9338521400778207E-2</v>
      </c>
      <c r="EN148" s="1">
        <f>(Table1[[#This Row],[predicted_8]]-Table1[[#This Row],[actual_8]])/Table1[[#This Row],[actual_8]]</f>
        <v>0.10677618069815195</v>
      </c>
      <c r="EO148" s="1">
        <f>(Table1[[#This Row],[predicted_9]]-Table1[[#This Row],[actual_9]])/Table1[[#This Row],[actual_9]]</f>
        <v>8.820614469772052E-2</v>
      </c>
      <c r="EP148" s="1">
        <f>1+(Table1[[#This Row],[error_ratio_0]]-EF$2)</f>
        <v>1.0714285714285714</v>
      </c>
      <c r="EQ148" s="1">
        <f>1+(Table1[[#This Row],[error_ratio_1]]-EG$2)</f>
        <v>0.96563876651982383</v>
      </c>
      <c r="ER148" s="1">
        <f>1+(Table1[[#This Row],[error_ratio_2]]-EH$2)</f>
        <v>0.92829457364341084</v>
      </c>
      <c r="ES148" s="1">
        <f>1+(Table1[[#This Row],[error_ratio_3]]-EI$2)</f>
        <v>0.95148514851485144</v>
      </c>
      <c r="ET148" s="1">
        <f>1+(Table1[[#This Row],[error_ratio_4]]-EJ$2)</f>
        <v>0.94093686354378814</v>
      </c>
      <c r="EU148" s="1">
        <f>1+(Table1[[#This Row],[error_ratio_5]]-EK$2)</f>
        <v>1.0056053811659194</v>
      </c>
      <c r="EV148" s="1">
        <f>1+(Table1[[#This Row],[error_ratio_6]]-EL$2)</f>
        <v>1.0083507306889352</v>
      </c>
      <c r="EW148" s="1">
        <f>1+(Table1[[#This Row],[error_ratio_7]]-EM$2)</f>
        <v>0.93871595330739299</v>
      </c>
      <c r="EX148" s="1">
        <f>1+(Table1[[#This Row],[error_ratio_8]]-EN$2)</f>
        <v>1.1098562628336757</v>
      </c>
      <c r="EY148" s="1">
        <f>1+(Table1[[#This Row],[error_ratio_9]]-EO$2)</f>
        <v>1.0921704658077305</v>
      </c>
    </row>
    <row r="149" spans="1:155" x14ac:dyDescent="0.75">
      <c r="A149">
        <v>10</v>
      </c>
      <c r="B149">
        <v>10</v>
      </c>
      <c r="C149">
        <v>10</v>
      </c>
      <c r="D149">
        <v>10</v>
      </c>
      <c r="E149">
        <v>10</v>
      </c>
      <c r="F149">
        <v>100</v>
      </c>
      <c r="G149">
        <v>100</v>
      </c>
      <c r="H149">
        <v>10</v>
      </c>
      <c r="I149">
        <v>100</v>
      </c>
      <c r="J149">
        <v>100</v>
      </c>
      <c r="K149">
        <v>949</v>
      </c>
      <c r="L149">
        <v>1094</v>
      </c>
      <c r="M149">
        <v>1049</v>
      </c>
      <c r="N149">
        <v>951</v>
      </c>
      <c r="O149">
        <v>910</v>
      </c>
      <c r="P149">
        <v>911</v>
      </c>
      <c r="Q149">
        <v>1008</v>
      </c>
      <c r="R149">
        <v>998</v>
      </c>
      <c r="S149">
        <v>966</v>
      </c>
      <c r="T149">
        <v>1164</v>
      </c>
      <c r="U149">
        <v>980</v>
      </c>
      <c r="V149">
        <v>1135</v>
      </c>
      <c r="W149">
        <v>1032</v>
      </c>
      <c r="X149">
        <v>1010</v>
      </c>
      <c r="Y149">
        <v>982</v>
      </c>
      <c r="Z149">
        <v>892</v>
      </c>
      <c r="AA149">
        <v>958</v>
      </c>
      <c r="AB149">
        <v>1028</v>
      </c>
      <c r="AC149">
        <v>974</v>
      </c>
      <c r="AD149">
        <v>1009</v>
      </c>
      <c r="AE149">
        <v>936</v>
      </c>
      <c r="AF149">
        <v>0</v>
      </c>
      <c r="AG149">
        <v>4</v>
      </c>
      <c r="AH149">
        <v>0</v>
      </c>
      <c r="AI149">
        <v>0</v>
      </c>
      <c r="AJ149">
        <v>2</v>
      </c>
      <c r="AK149">
        <v>20</v>
      </c>
      <c r="AL149">
        <v>1</v>
      </c>
      <c r="AM149">
        <v>2</v>
      </c>
      <c r="AN149">
        <v>15</v>
      </c>
      <c r="AO149">
        <v>4</v>
      </c>
      <c r="AP149">
        <v>1091</v>
      </c>
      <c r="AQ149">
        <v>5</v>
      </c>
      <c r="AR149">
        <v>4</v>
      </c>
      <c r="AS149">
        <v>0</v>
      </c>
      <c r="AT149">
        <v>3</v>
      </c>
      <c r="AU149">
        <v>11</v>
      </c>
      <c r="AV149">
        <v>1</v>
      </c>
      <c r="AW149">
        <v>14</v>
      </c>
      <c r="AX149">
        <v>2</v>
      </c>
      <c r="AY149">
        <v>1</v>
      </c>
      <c r="AZ149">
        <v>0</v>
      </c>
      <c r="BA149">
        <v>1005</v>
      </c>
      <c r="BB149">
        <v>6</v>
      </c>
      <c r="BC149">
        <v>1</v>
      </c>
      <c r="BD149">
        <v>0</v>
      </c>
      <c r="BE149">
        <v>8</v>
      </c>
      <c r="BF149">
        <v>7</v>
      </c>
      <c r="BG149">
        <v>3</v>
      </c>
      <c r="BH149">
        <v>1</v>
      </c>
      <c r="BI149">
        <v>1</v>
      </c>
      <c r="BJ149">
        <v>0</v>
      </c>
      <c r="BK149">
        <v>4</v>
      </c>
      <c r="BL149">
        <v>936</v>
      </c>
      <c r="BM149">
        <v>0</v>
      </c>
      <c r="BN149">
        <v>17</v>
      </c>
      <c r="BO149">
        <v>0</v>
      </c>
      <c r="BP149">
        <v>7</v>
      </c>
      <c r="BQ149">
        <v>1</v>
      </c>
      <c r="BR149">
        <v>44</v>
      </c>
      <c r="BS149">
        <v>0</v>
      </c>
      <c r="BT149">
        <v>0</v>
      </c>
      <c r="BU149">
        <v>1</v>
      </c>
      <c r="BV149">
        <v>0</v>
      </c>
      <c r="BW149">
        <v>905</v>
      </c>
      <c r="BX149">
        <v>0</v>
      </c>
      <c r="BY149">
        <v>11</v>
      </c>
      <c r="BZ149">
        <v>1</v>
      </c>
      <c r="CA149">
        <v>2</v>
      </c>
      <c r="CB149">
        <v>62</v>
      </c>
      <c r="CC149">
        <v>1</v>
      </c>
      <c r="CD149">
        <v>0</v>
      </c>
      <c r="CE149">
        <v>0</v>
      </c>
      <c r="CF149">
        <v>1</v>
      </c>
      <c r="CG149">
        <v>0</v>
      </c>
      <c r="CH149">
        <v>881</v>
      </c>
      <c r="CI149">
        <v>3</v>
      </c>
      <c r="CJ149">
        <v>0</v>
      </c>
      <c r="CK149">
        <v>0</v>
      </c>
      <c r="CL149">
        <v>6</v>
      </c>
      <c r="CM149">
        <v>1</v>
      </c>
      <c r="CN149">
        <v>1</v>
      </c>
      <c r="CO149">
        <v>0</v>
      </c>
      <c r="CP149">
        <v>0</v>
      </c>
      <c r="CQ149">
        <v>1</v>
      </c>
      <c r="CR149">
        <v>1</v>
      </c>
      <c r="CS149">
        <v>954</v>
      </c>
      <c r="CT149">
        <v>0</v>
      </c>
      <c r="CU149">
        <v>0</v>
      </c>
      <c r="CV149">
        <v>0</v>
      </c>
      <c r="CW149">
        <v>0</v>
      </c>
      <c r="CX149">
        <v>2</v>
      </c>
      <c r="CY149">
        <v>25</v>
      </c>
      <c r="CZ149">
        <v>1</v>
      </c>
      <c r="DA149">
        <v>2</v>
      </c>
      <c r="DB149">
        <v>2</v>
      </c>
      <c r="DC149">
        <v>0</v>
      </c>
      <c r="DD149">
        <v>973</v>
      </c>
      <c r="DE149">
        <v>2</v>
      </c>
      <c r="DF149">
        <v>21</v>
      </c>
      <c r="DG149">
        <v>5</v>
      </c>
      <c r="DH149">
        <v>0</v>
      </c>
      <c r="DI149">
        <v>5</v>
      </c>
      <c r="DJ149">
        <v>3</v>
      </c>
      <c r="DK149">
        <v>0</v>
      </c>
      <c r="DL149">
        <v>4</v>
      </c>
      <c r="DM149">
        <v>0</v>
      </c>
      <c r="DN149">
        <v>3</v>
      </c>
      <c r="DO149">
        <v>942</v>
      </c>
      <c r="DP149">
        <v>12</v>
      </c>
      <c r="DQ149">
        <v>0</v>
      </c>
      <c r="DR149">
        <v>0</v>
      </c>
      <c r="DS149">
        <v>0</v>
      </c>
      <c r="DT149">
        <v>0</v>
      </c>
      <c r="DU149">
        <v>1</v>
      </c>
      <c r="DV149">
        <v>1</v>
      </c>
      <c r="DW149">
        <v>1</v>
      </c>
      <c r="DX149">
        <v>5</v>
      </c>
      <c r="DY149">
        <v>0</v>
      </c>
      <c r="DZ149">
        <v>1001</v>
      </c>
      <c r="EA149">
        <v>0.96240000000000003</v>
      </c>
      <c r="EB149">
        <v>0.964391559535687</v>
      </c>
      <c r="EC149">
        <v>0.96277019971664801</v>
      </c>
      <c r="ED149">
        <v>0.96272346140072995</v>
      </c>
      <c r="EE149">
        <f>SUM(Table1[[#This Row],[ratio_0]:[ratio_9]])</f>
        <v>460</v>
      </c>
      <c r="EF149" s="1">
        <f>(Table1[[#This Row],[predicted_0]]-Table1[[#This Row],[actual_0]])/Table1[[#This Row],[actual_0]]</f>
        <v>-3.1632653061224487E-2</v>
      </c>
      <c r="EG149" s="1">
        <f>(Table1[[#This Row],[predicted_1]]-Table1[[#This Row],[actual_1]])/Table1[[#This Row],[actual_1]]</f>
        <v>-3.6123348017621147E-2</v>
      </c>
      <c r="EH149" s="1">
        <f>(Table1[[#This Row],[predicted_2]]-Table1[[#This Row],[actual_2]])/Table1[[#This Row],[actual_2]]</f>
        <v>1.6472868217054265E-2</v>
      </c>
      <c r="EI149" s="1">
        <f>(Table1[[#This Row],[predicted_3]]-Table1[[#This Row],[actual_3]])/Table1[[#This Row],[actual_3]]</f>
        <v>-5.8415841584158419E-2</v>
      </c>
      <c r="EJ149" s="1">
        <f>(Table1[[#This Row],[predicted_4]]-Table1[[#This Row],[actual_4]])/Table1[[#This Row],[actual_4]]</f>
        <v>-7.3319755600814662E-2</v>
      </c>
      <c r="EK149" s="1">
        <f>(Table1[[#This Row],[predicted_5]]-Table1[[#This Row],[actual_5]])/Table1[[#This Row],[actual_5]]</f>
        <v>2.1300448430493273E-2</v>
      </c>
      <c r="EL149" s="1">
        <f>(Table1[[#This Row],[predicted_6]]-Table1[[#This Row],[actual_6]])/Table1[[#This Row],[actual_6]]</f>
        <v>5.2192066805845511E-2</v>
      </c>
      <c r="EM149" s="1">
        <f>(Table1[[#This Row],[predicted_7]]-Table1[[#This Row],[actual_7]])/Table1[[#This Row],[actual_7]]</f>
        <v>-2.9182879377431907E-2</v>
      </c>
      <c r="EN149" s="1">
        <f>(Table1[[#This Row],[predicted_8]]-Table1[[#This Row],[actual_8]])/Table1[[#This Row],[actual_8]]</f>
        <v>-8.2135523613963042E-3</v>
      </c>
      <c r="EO149" s="1">
        <f>(Table1[[#This Row],[predicted_9]]-Table1[[#This Row],[actual_9]])/Table1[[#This Row],[actual_9]]</f>
        <v>0.15361744301288405</v>
      </c>
      <c r="EP149" s="1">
        <f>1+(Table1[[#This Row],[error_ratio_0]]-EF$2)</f>
        <v>0.96632653061224494</v>
      </c>
      <c r="EQ149" s="1">
        <f>1+(Table1[[#This Row],[error_ratio_1]]-EG$2)</f>
        <v>0.96211453744493391</v>
      </c>
      <c r="ER149" s="1">
        <f>1+(Table1[[#This Row],[error_ratio_2]]-EH$2)</f>
        <v>1.0213178294573644</v>
      </c>
      <c r="ES149" s="1">
        <f>1+(Table1[[#This Row],[error_ratio_3]]-EI$2)</f>
        <v>0.93168316831683162</v>
      </c>
      <c r="ET149" s="1">
        <f>1+(Table1[[#This Row],[error_ratio_4]]-EJ$2)</f>
        <v>0.92566191446028512</v>
      </c>
      <c r="EU149" s="1">
        <f>1+(Table1[[#This Row],[error_ratio_5]]-EK$2)</f>
        <v>1.0201793721973094</v>
      </c>
      <c r="EV149" s="1">
        <f>1+(Table1[[#This Row],[error_ratio_6]]-EL$2)</f>
        <v>1.0584551148225469</v>
      </c>
      <c r="EW149" s="1">
        <f>1+(Table1[[#This Row],[error_ratio_7]]-EM$2)</f>
        <v>0.9688715953307393</v>
      </c>
      <c r="EX149" s="1">
        <f>1+(Table1[[#This Row],[error_ratio_8]]-EN$2)</f>
        <v>0.99486652977412726</v>
      </c>
      <c r="EY149" s="1">
        <f>1+(Table1[[#This Row],[error_ratio_9]]-EO$2)</f>
        <v>1.157581764122894</v>
      </c>
    </row>
    <row r="150" spans="1:155" x14ac:dyDescent="0.75">
      <c r="A150">
        <v>100</v>
      </c>
      <c r="B150">
        <v>100</v>
      </c>
      <c r="C150">
        <v>100</v>
      </c>
      <c r="D150">
        <v>100</v>
      </c>
      <c r="E150">
        <v>100</v>
      </c>
      <c r="F150">
        <v>10</v>
      </c>
      <c r="G150">
        <v>100</v>
      </c>
      <c r="H150">
        <v>10</v>
      </c>
      <c r="I150">
        <v>100</v>
      </c>
      <c r="J150">
        <v>100</v>
      </c>
      <c r="K150">
        <v>994</v>
      </c>
      <c r="L150">
        <v>1147</v>
      </c>
      <c r="M150">
        <v>1058</v>
      </c>
      <c r="N150">
        <v>1052</v>
      </c>
      <c r="O150">
        <v>988</v>
      </c>
      <c r="P150">
        <v>841</v>
      </c>
      <c r="Q150">
        <v>959</v>
      </c>
      <c r="R150">
        <v>954</v>
      </c>
      <c r="S150">
        <v>985</v>
      </c>
      <c r="T150">
        <v>1022</v>
      </c>
      <c r="U150">
        <v>980</v>
      </c>
      <c r="V150">
        <v>1135</v>
      </c>
      <c r="W150">
        <v>1032</v>
      </c>
      <c r="X150">
        <v>1010</v>
      </c>
      <c r="Y150">
        <v>982</v>
      </c>
      <c r="Z150">
        <v>892</v>
      </c>
      <c r="AA150">
        <v>958</v>
      </c>
      <c r="AB150">
        <v>1028</v>
      </c>
      <c r="AC150">
        <v>974</v>
      </c>
      <c r="AD150">
        <v>1009</v>
      </c>
      <c r="AE150">
        <v>975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2</v>
      </c>
      <c r="AL150">
        <v>1</v>
      </c>
      <c r="AM150">
        <v>1</v>
      </c>
      <c r="AN150">
        <v>1</v>
      </c>
      <c r="AO150">
        <v>0</v>
      </c>
      <c r="AP150">
        <v>1132</v>
      </c>
      <c r="AQ150">
        <v>1</v>
      </c>
      <c r="AR150">
        <v>1</v>
      </c>
      <c r="AS150">
        <v>0</v>
      </c>
      <c r="AT150">
        <v>0</v>
      </c>
      <c r="AU150">
        <v>1</v>
      </c>
      <c r="AV150">
        <v>0</v>
      </c>
      <c r="AW150">
        <v>0</v>
      </c>
      <c r="AX150">
        <v>0</v>
      </c>
      <c r="AY150">
        <v>2</v>
      </c>
      <c r="AZ150">
        <v>2</v>
      </c>
      <c r="BA150">
        <v>1023</v>
      </c>
      <c r="BB150">
        <v>0</v>
      </c>
      <c r="BC150">
        <v>0</v>
      </c>
      <c r="BD150">
        <v>0</v>
      </c>
      <c r="BE150">
        <v>0</v>
      </c>
      <c r="BF150">
        <v>3</v>
      </c>
      <c r="BG150">
        <v>2</v>
      </c>
      <c r="BH150">
        <v>0</v>
      </c>
      <c r="BI150">
        <v>1</v>
      </c>
      <c r="BJ150">
        <v>0</v>
      </c>
      <c r="BK150">
        <v>1</v>
      </c>
      <c r="BL150">
        <v>1004</v>
      </c>
      <c r="BM150">
        <v>0</v>
      </c>
      <c r="BN150">
        <v>1</v>
      </c>
      <c r="BO150">
        <v>0</v>
      </c>
      <c r="BP150">
        <v>2</v>
      </c>
      <c r="BQ150">
        <v>1</v>
      </c>
      <c r="BR150">
        <v>0</v>
      </c>
      <c r="BS150">
        <v>0</v>
      </c>
      <c r="BT150">
        <v>0</v>
      </c>
      <c r="BU150">
        <v>1</v>
      </c>
      <c r="BV150">
        <v>0</v>
      </c>
      <c r="BW150">
        <v>974</v>
      </c>
      <c r="BX150">
        <v>0</v>
      </c>
      <c r="BY150">
        <v>2</v>
      </c>
      <c r="BZ150">
        <v>0</v>
      </c>
      <c r="CA150">
        <v>2</v>
      </c>
      <c r="CB150">
        <v>3</v>
      </c>
      <c r="CC150">
        <v>2</v>
      </c>
      <c r="CD150">
        <v>0</v>
      </c>
      <c r="CE150">
        <v>1</v>
      </c>
      <c r="CF150">
        <v>24</v>
      </c>
      <c r="CG150">
        <v>0</v>
      </c>
      <c r="CH150">
        <v>839</v>
      </c>
      <c r="CI150">
        <v>9</v>
      </c>
      <c r="CJ150">
        <v>1</v>
      </c>
      <c r="CK150">
        <v>8</v>
      </c>
      <c r="CL150">
        <v>8</v>
      </c>
      <c r="CM150">
        <v>7</v>
      </c>
      <c r="CN150">
        <v>2</v>
      </c>
      <c r="CO150">
        <v>1</v>
      </c>
      <c r="CP150">
        <v>0</v>
      </c>
      <c r="CQ150">
        <v>3</v>
      </c>
      <c r="CR150">
        <v>1</v>
      </c>
      <c r="CS150">
        <v>944</v>
      </c>
      <c r="CT150">
        <v>0</v>
      </c>
      <c r="CU150">
        <v>0</v>
      </c>
      <c r="CV150">
        <v>0</v>
      </c>
      <c r="CW150">
        <v>2</v>
      </c>
      <c r="CX150">
        <v>9</v>
      </c>
      <c r="CY150">
        <v>27</v>
      </c>
      <c r="CZ150">
        <v>20</v>
      </c>
      <c r="DA150">
        <v>2</v>
      </c>
      <c r="DB150">
        <v>0</v>
      </c>
      <c r="DC150">
        <v>1</v>
      </c>
      <c r="DD150">
        <v>946</v>
      </c>
      <c r="DE150">
        <v>4</v>
      </c>
      <c r="DF150">
        <v>17</v>
      </c>
      <c r="DG150">
        <v>3</v>
      </c>
      <c r="DH150">
        <v>0</v>
      </c>
      <c r="DI150">
        <v>2</v>
      </c>
      <c r="DJ150">
        <v>1</v>
      </c>
      <c r="DK150">
        <v>0</v>
      </c>
      <c r="DL150">
        <v>0</v>
      </c>
      <c r="DM150">
        <v>0</v>
      </c>
      <c r="DN150">
        <v>1</v>
      </c>
      <c r="DO150">
        <v>966</v>
      </c>
      <c r="DP150">
        <v>1</v>
      </c>
      <c r="DQ150">
        <v>2</v>
      </c>
      <c r="DR150">
        <v>2</v>
      </c>
      <c r="DS150">
        <v>1</v>
      </c>
      <c r="DT150">
        <v>2</v>
      </c>
      <c r="DU150">
        <v>9</v>
      </c>
      <c r="DV150">
        <v>0</v>
      </c>
      <c r="DW150">
        <v>0</v>
      </c>
      <c r="DX150">
        <v>0</v>
      </c>
      <c r="DY150">
        <v>1</v>
      </c>
      <c r="DZ150">
        <v>992</v>
      </c>
      <c r="EA150">
        <v>0.97950000000000004</v>
      </c>
      <c r="EB150">
        <v>0.97998803097220799</v>
      </c>
      <c r="EC150">
        <v>0.97905873504660401</v>
      </c>
      <c r="ED150">
        <v>0.97923486102357804</v>
      </c>
      <c r="EE150">
        <f>SUM(Table1[[#This Row],[ratio_0]:[ratio_9]])</f>
        <v>820</v>
      </c>
      <c r="EF150" s="1">
        <f>(Table1[[#This Row],[predicted_0]]-Table1[[#This Row],[actual_0]])/Table1[[#This Row],[actual_0]]</f>
        <v>1.4285714285714285E-2</v>
      </c>
      <c r="EG150" s="1">
        <f>(Table1[[#This Row],[predicted_1]]-Table1[[#This Row],[actual_1]])/Table1[[#This Row],[actual_1]]</f>
        <v>1.0572687224669603E-2</v>
      </c>
      <c r="EH150" s="1">
        <f>(Table1[[#This Row],[predicted_2]]-Table1[[#This Row],[actual_2]])/Table1[[#This Row],[actual_2]]</f>
        <v>2.5193798449612403E-2</v>
      </c>
      <c r="EI150" s="1">
        <f>(Table1[[#This Row],[predicted_3]]-Table1[[#This Row],[actual_3]])/Table1[[#This Row],[actual_3]]</f>
        <v>4.1584158415841586E-2</v>
      </c>
      <c r="EJ150" s="1">
        <f>(Table1[[#This Row],[predicted_4]]-Table1[[#This Row],[actual_4]])/Table1[[#This Row],[actual_4]]</f>
        <v>6.1099796334012219E-3</v>
      </c>
      <c r="EK150" s="1">
        <f>(Table1[[#This Row],[predicted_5]]-Table1[[#This Row],[actual_5]])/Table1[[#This Row],[actual_5]]</f>
        <v>-5.717488789237668E-2</v>
      </c>
      <c r="EL150" s="1">
        <f>(Table1[[#This Row],[predicted_6]]-Table1[[#This Row],[actual_6]])/Table1[[#This Row],[actual_6]]</f>
        <v>1.0438413361169101E-3</v>
      </c>
      <c r="EM150" s="1">
        <f>(Table1[[#This Row],[predicted_7]]-Table1[[#This Row],[actual_7]])/Table1[[#This Row],[actual_7]]</f>
        <v>-7.1984435797665364E-2</v>
      </c>
      <c r="EN150" s="1">
        <f>(Table1[[#This Row],[predicted_8]]-Table1[[#This Row],[actual_8]])/Table1[[#This Row],[actual_8]]</f>
        <v>1.1293634496919919E-2</v>
      </c>
      <c r="EO150" s="1">
        <f>(Table1[[#This Row],[predicted_9]]-Table1[[#This Row],[actual_9]])/Table1[[#This Row],[actual_9]]</f>
        <v>1.288404360753221E-2</v>
      </c>
      <c r="EP150" s="1">
        <f>1+(Table1[[#This Row],[error_ratio_0]]-EF$2)</f>
        <v>1.0122448979591836</v>
      </c>
      <c r="EQ150" s="1">
        <f>1+(Table1[[#This Row],[error_ratio_1]]-EG$2)</f>
        <v>1.0088105726872247</v>
      </c>
      <c r="ER150" s="1">
        <f>1+(Table1[[#This Row],[error_ratio_2]]-EH$2)</f>
        <v>1.0300387596899225</v>
      </c>
      <c r="ES150" s="1">
        <f>1+(Table1[[#This Row],[error_ratio_3]]-EI$2)</f>
        <v>1.0316831683168317</v>
      </c>
      <c r="ET150" s="1">
        <f>1+(Table1[[#This Row],[error_ratio_4]]-EJ$2)</f>
        <v>1.005091649694501</v>
      </c>
      <c r="EU150" s="1">
        <f>1+(Table1[[#This Row],[error_ratio_5]]-EK$2)</f>
        <v>0.94170403587443952</v>
      </c>
      <c r="EV150" s="1">
        <f>1+(Table1[[#This Row],[error_ratio_6]]-EL$2)</f>
        <v>1.0073068893528183</v>
      </c>
      <c r="EW150" s="1">
        <f>1+(Table1[[#This Row],[error_ratio_7]]-EM$2)</f>
        <v>0.92607003891050588</v>
      </c>
      <c r="EX150" s="1">
        <f>1+(Table1[[#This Row],[error_ratio_8]]-EN$2)</f>
        <v>1.0143737166324436</v>
      </c>
      <c r="EY150" s="1">
        <f>1+(Table1[[#This Row],[error_ratio_9]]-EO$2)</f>
        <v>1.0168483647175421</v>
      </c>
    </row>
    <row r="151" spans="1:155" x14ac:dyDescent="0.75">
      <c r="A151">
        <v>10</v>
      </c>
      <c r="B151">
        <v>100</v>
      </c>
      <c r="C151">
        <v>100</v>
      </c>
      <c r="D151">
        <v>100</v>
      </c>
      <c r="E151">
        <v>100</v>
      </c>
      <c r="F151">
        <v>10</v>
      </c>
      <c r="G151">
        <v>100</v>
      </c>
      <c r="H151">
        <v>10</v>
      </c>
      <c r="I151">
        <v>100</v>
      </c>
      <c r="J151">
        <v>100</v>
      </c>
      <c r="K151">
        <v>967</v>
      </c>
      <c r="L151">
        <v>1121</v>
      </c>
      <c r="M151">
        <v>1142</v>
      </c>
      <c r="N151">
        <v>1151</v>
      </c>
      <c r="O151">
        <v>985</v>
      </c>
      <c r="P151">
        <v>650</v>
      </c>
      <c r="Q151">
        <v>983</v>
      </c>
      <c r="R151">
        <v>935</v>
      </c>
      <c r="S151">
        <v>1015</v>
      </c>
      <c r="T151">
        <v>1051</v>
      </c>
      <c r="U151">
        <v>980</v>
      </c>
      <c r="V151">
        <v>1135</v>
      </c>
      <c r="W151">
        <v>1032</v>
      </c>
      <c r="X151">
        <v>1010</v>
      </c>
      <c r="Y151">
        <v>982</v>
      </c>
      <c r="Z151">
        <v>892</v>
      </c>
      <c r="AA151">
        <v>958</v>
      </c>
      <c r="AB151">
        <v>1028</v>
      </c>
      <c r="AC151">
        <v>974</v>
      </c>
      <c r="AD151">
        <v>1009</v>
      </c>
      <c r="AE151">
        <v>955</v>
      </c>
      <c r="AF151">
        <v>0</v>
      </c>
      <c r="AG151">
        <v>5</v>
      </c>
      <c r="AH151">
        <v>1</v>
      </c>
      <c r="AI151">
        <v>0</v>
      </c>
      <c r="AJ151">
        <v>0</v>
      </c>
      <c r="AK151">
        <v>13</v>
      </c>
      <c r="AL151">
        <v>0</v>
      </c>
      <c r="AM151">
        <v>3</v>
      </c>
      <c r="AN151">
        <v>3</v>
      </c>
      <c r="AO151">
        <v>0</v>
      </c>
      <c r="AP151">
        <v>1118</v>
      </c>
      <c r="AQ151">
        <v>5</v>
      </c>
      <c r="AR151">
        <v>8</v>
      </c>
      <c r="AS151">
        <v>0</v>
      </c>
      <c r="AT151">
        <v>0</v>
      </c>
      <c r="AU151">
        <v>2</v>
      </c>
      <c r="AV151">
        <v>0</v>
      </c>
      <c r="AW151">
        <v>1</v>
      </c>
      <c r="AX151">
        <v>1</v>
      </c>
      <c r="AY151">
        <v>2</v>
      </c>
      <c r="AZ151">
        <v>1</v>
      </c>
      <c r="BA151">
        <v>1025</v>
      </c>
      <c r="BB151">
        <v>1</v>
      </c>
      <c r="BC151">
        <v>1</v>
      </c>
      <c r="BD151">
        <v>0</v>
      </c>
      <c r="BE151">
        <v>2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6</v>
      </c>
      <c r="BL151">
        <v>998</v>
      </c>
      <c r="BM151">
        <v>0</v>
      </c>
      <c r="BN151">
        <v>1</v>
      </c>
      <c r="BO151">
        <v>0</v>
      </c>
      <c r="BP151">
        <v>2</v>
      </c>
      <c r="BQ151">
        <v>2</v>
      </c>
      <c r="BR151">
        <v>1</v>
      </c>
      <c r="BS151">
        <v>0</v>
      </c>
      <c r="BT151">
        <v>0</v>
      </c>
      <c r="BU151">
        <v>5</v>
      </c>
      <c r="BV151">
        <v>0</v>
      </c>
      <c r="BW151">
        <v>969</v>
      </c>
      <c r="BX151">
        <v>0</v>
      </c>
      <c r="BY151">
        <v>3</v>
      </c>
      <c r="BZ151">
        <v>1</v>
      </c>
      <c r="CA151">
        <v>1</v>
      </c>
      <c r="CB151">
        <v>3</v>
      </c>
      <c r="CC151">
        <v>3</v>
      </c>
      <c r="CD151">
        <v>0</v>
      </c>
      <c r="CE151">
        <v>2</v>
      </c>
      <c r="CF151">
        <v>119</v>
      </c>
      <c r="CG151">
        <v>1</v>
      </c>
      <c r="CH151">
        <v>649</v>
      </c>
      <c r="CI151">
        <v>10</v>
      </c>
      <c r="CJ151">
        <v>3</v>
      </c>
      <c r="CK151">
        <v>45</v>
      </c>
      <c r="CL151">
        <v>60</v>
      </c>
      <c r="CM151">
        <v>1</v>
      </c>
      <c r="CN151">
        <v>1</v>
      </c>
      <c r="CO151">
        <v>1</v>
      </c>
      <c r="CP151">
        <v>1</v>
      </c>
      <c r="CQ151">
        <v>1</v>
      </c>
      <c r="CR151">
        <v>0</v>
      </c>
      <c r="CS151">
        <v>952</v>
      </c>
      <c r="CT151">
        <v>0</v>
      </c>
      <c r="CU151">
        <v>1</v>
      </c>
      <c r="CV151">
        <v>0</v>
      </c>
      <c r="CW151">
        <v>1</v>
      </c>
      <c r="CX151">
        <v>1</v>
      </c>
      <c r="CY151">
        <v>88</v>
      </c>
      <c r="CZ151">
        <v>10</v>
      </c>
      <c r="DA151">
        <v>2</v>
      </c>
      <c r="DB151">
        <v>0</v>
      </c>
      <c r="DC151">
        <v>0</v>
      </c>
      <c r="DD151">
        <v>922</v>
      </c>
      <c r="DE151">
        <v>1</v>
      </c>
      <c r="DF151">
        <v>3</v>
      </c>
      <c r="DG151">
        <v>3</v>
      </c>
      <c r="DH151">
        <v>0</v>
      </c>
      <c r="DI151">
        <v>4</v>
      </c>
      <c r="DJ151">
        <v>4</v>
      </c>
      <c r="DK151">
        <v>0</v>
      </c>
      <c r="DL151">
        <v>0</v>
      </c>
      <c r="DM151">
        <v>0</v>
      </c>
      <c r="DN151">
        <v>2</v>
      </c>
      <c r="DO151">
        <v>960</v>
      </c>
      <c r="DP151">
        <v>1</v>
      </c>
      <c r="DQ151">
        <v>2</v>
      </c>
      <c r="DR151">
        <v>0</v>
      </c>
      <c r="DS151">
        <v>1</v>
      </c>
      <c r="DT151">
        <v>9</v>
      </c>
      <c r="DU151">
        <v>11</v>
      </c>
      <c r="DV151">
        <v>0</v>
      </c>
      <c r="DW151">
        <v>1</v>
      </c>
      <c r="DX151">
        <v>5</v>
      </c>
      <c r="DY151">
        <v>1</v>
      </c>
      <c r="DZ151">
        <v>979</v>
      </c>
      <c r="EA151">
        <v>0.95269999999999999</v>
      </c>
      <c r="EB151">
        <v>0.95636192260698405</v>
      </c>
      <c r="EC151">
        <v>0.95017058611843097</v>
      </c>
      <c r="ED151">
        <v>0.95018713778453301</v>
      </c>
      <c r="EE151">
        <f>SUM(Table1[[#This Row],[ratio_0]:[ratio_9]])</f>
        <v>730</v>
      </c>
      <c r="EF151" s="1">
        <f>(Table1[[#This Row],[predicted_0]]-Table1[[#This Row],[actual_0]])/Table1[[#This Row],[actual_0]]</f>
        <v>-1.3265306122448979E-2</v>
      </c>
      <c r="EG151" s="1">
        <f>(Table1[[#This Row],[predicted_1]]-Table1[[#This Row],[actual_1]])/Table1[[#This Row],[actual_1]]</f>
        <v>-1.2334801762114538E-2</v>
      </c>
      <c r="EH151" s="1">
        <f>(Table1[[#This Row],[predicted_2]]-Table1[[#This Row],[actual_2]])/Table1[[#This Row],[actual_2]]</f>
        <v>0.1065891472868217</v>
      </c>
      <c r="EI151" s="1">
        <f>(Table1[[#This Row],[predicted_3]]-Table1[[#This Row],[actual_3]])/Table1[[#This Row],[actual_3]]</f>
        <v>0.13960396039603962</v>
      </c>
      <c r="EJ151" s="1">
        <f>(Table1[[#This Row],[predicted_4]]-Table1[[#This Row],[actual_4]])/Table1[[#This Row],[actual_4]]</f>
        <v>3.0549898167006109E-3</v>
      </c>
      <c r="EK151" s="1">
        <f>(Table1[[#This Row],[predicted_5]]-Table1[[#This Row],[actual_5]])/Table1[[#This Row],[actual_5]]</f>
        <v>-0.27130044843049328</v>
      </c>
      <c r="EL151" s="1">
        <f>(Table1[[#This Row],[predicted_6]]-Table1[[#This Row],[actual_6]])/Table1[[#This Row],[actual_6]]</f>
        <v>2.6096033402922755E-2</v>
      </c>
      <c r="EM151" s="1">
        <f>(Table1[[#This Row],[predicted_7]]-Table1[[#This Row],[actual_7]])/Table1[[#This Row],[actual_7]]</f>
        <v>-9.0466926070038908E-2</v>
      </c>
      <c r="EN151" s="1">
        <f>(Table1[[#This Row],[predicted_8]]-Table1[[#This Row],[actual_8]])/Table1[[#This Row],[actual_8]]</f>
        <v>4.2094455852156057E-2</v>
      </c>
      <c r="EO151" s="1">
        <f>(Table1[[#This Row],[predicted_9]]-Table1[[#This Row],[actual_9]])/Table1[[#This Row],[actual_9]]</f>
        <v>4.1625371655104063E-2</v>
      </c>
      <c r="EP151" s="1">
        <f>1+(Table1[[#This Row],[error_ratio_0]]-EF$2)</f>
        <v>0.98469387755102045</v>
      </c>
      <c r="EQ151" s="1">
        <f>1+(Table1[[#This Row],[error_ratio_1]]-EG$2)</f>
        <v>0.98590308370044055</v>
      </c>
      <c r="ER151" s="1">
        <f>1+(Table1[[#This Row],[error_ratio_2]]-EH$2)</f>
        <v>1.1114341085271318</v>
      </c>
      <c r="ES151" s="1">
        <f>1+(Table1[[#This Row],[error_ratio_3]]-EI$2)</f>
        <v>1.1297029702970298</v>
      </c>
      <c r="ET151" s="1">
        <f>1+(Table1[[#This Row],[error_ratio_4]]-EJ$2)</f>
        <v>1.0020366598778003</v>
      </c>
      <c r="EU151" s="1">
        <f>1+(Table1[[#This Row],[error_ratio_5]]-EK$2)</f>
        <v>0.72757847533632281</v>
      </c>
      <c r="EV151" s="1">
        <f>1+(Table1[[#This Row],[error_ratio_6]]-EL$2)</f>
        <v>1.0323590814196242</v>
      </c>
      <c r="EW151" s="1">
        <f>1+(Table1[[#This Row],[error_ratio_7]]-EM$2)</f>
        <v>0.90758754863813229</v>
      </c>
      <c r="EX151" s="1">
        <f>1+(Table1[[#This Row],[error_ratio_8]]-EN$2)</f>
        <v>1.0451745379876796</v>
      </c>
      <c r="EY151" s="1">
        <f>1+(Table1[[#This Row],[error_ratio_9]]-EO$2)</f>
        <v>1.045589692765114</v>
      </c>
    </row>
    <row r="152" spans="1:155" x14ac:dyDescent="0.75">
      <c r="A152">
        <v>100</v>
      </c>
      <c r="B152">
        <v>10</v>
      </c>
      <c r="C152">
        <v>100</v>
      </c>
      <c r="D152">
        <v>100</v>
      </c>
      <c r="E152">
        <v>100</v>
      </c>
      <c r="F152">
        <v>10</v>
      </c>
      <c r="G152">
        <v>100</v>
      </c>
      <c r="H152">
        <v>10</v>
      </c>
      <c r="I152">
        <v>100</v>
      </c>
      <c r="J152">
        <v>100</v>
      </c>
      <c r="K152">
        <v>984</v>
      </c>
      <c r="L152">
        <v>1127</v>
      </c>
      <c r="M152">
        <v>1088</v>
      </c>
      <c r="N152">
        <v>1024</v>
      </c>
      <c r="O152">
        <v>1005</v>
      </c>
      <c r="P152">
        <v>772</v>
      </c>
      <c r="Q152">
        <v>978</v>
      </c>
      <c r="R152">
        <v>955</v>
      </c>
      <c r="S152">
        <v>1017</v>
      </c>
      <c r="T152">
        <v>1050</v>
      </c>
      <c r="U152">
        <v>980</v>
      </c>
      <c r="V152">
        <v>1135</v>
      </c>
      <c r="W152">
        <v>1032</v>
      </c>
      <c r="X152">
        <v>1010</v>
      </c>
      <c r="Y152">
        <v>982</v>
      </c>
      <c r="Z152">
        <v>892</v>
      </c>
      <c r="AA152">
        <v>958</v>
      </c>
      <c r="AB152">
        <v>1028</v>
      </c>
      <c r="AC152">
        <v>974</v>
      </c>
      <c r="AD152">
        <v>1009</v>
      </c>
      <c r="AE152">
        <v>973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3</v>
      </c>
      <c r="AL152">
        <v>1</v>
      </c>
      <c r="AM152">
        <v>2</v>
      </c>
      <c r="AN152">
        <v>1</v>
      </c>
      <c r="AO152">
        <v>0</v>
      </c>
      <c r="AP152">
        <v>1119</v>
      </c>
      <c r="AQ152">
        <v>6</v>
      </c>
      <c r="AR152">
        <v>0</v>
      </c>
      <c r="AS152">
        <v>3</v>
      </c>
      <c r="AT152">
        <v>1</v>
      </c>
      <c r="AU152">
        <v>3</v>
      </c>
      <c r="AV152">
        <v>0</v>
      </c>
      <c r="AW152">
        <v>2</v>
      </c>
      <c r="AX152">
        <v>1</v>
      </c>
      <c r="AY152">
        <v>1</v>
      </c>
      <c r="AZ152">
        <v>0</v>
      </c>
      <c r="BA152">
        <v>1026</v>
      </c>
      <c r="BB152">
        <v>0</v>
      </c>
      <c r="BC152">
        <v>1</v>
      </c>
      <c r="BD152">
        <v>0</v>
      </c>
      <c r="BE152">
        <v>1</v>
      </c>
      <c r="BF152">
        <v>1</v>
      </c>
      <c r="BG152">
        <v>2</v>
      </c>
      <c r="BH152">
        <v>0</v>
      </c>
      <c r="BI152">
        <v>0</v>
      </c>
      <c r="BJ152">
        <v>0</v>
      </c>
      <c r="BK152">
        <v>5</v>
      </c>
      <c r="BL152">
        <v>993</v>
      </c>
      <c r="BM152">
        <v>0</v>
      </c>
      <c r="BN152">
        <v>1</v>
      </c>
      <c r="BO152">
        <v>0</v>
      </c>
      <c r="BP152">
        <v>3</v>
      </c>
      <c r="BQ152">
        <v>7</v>
      </c>
      <c r="BR152">
        <v>1</v>
      </c>
      <c r="BS152">
        <v>0</v>
      </c>
      <c r="BT152">
        <v>0</v>
      </c>
      <c r="BU152">
        <v>1</v>
      </c>
      <c r="BV152">
        <v>0</v>
      </c>
      <c r="BW152">
        <v>978</v>
      </c>
      <c r="BX152">
        <v>0</v>
      </c>
      <c r="BY152">
        <v>1</v>
      </c>
      <c r="BZ152">
        <v>0</v>
      </c>
      <c r="CA152">
        <v>0</v>
      </c>
      <c r="CB152">
        <v>2</v>
      </c>
      <c r="CC152">
        <v>3</v>
      </c>
      <c r="CD152">
        <v>0</v>
      </c>
      <c r="CE152">
        <v>1</v>
      </c>
      <c r="CF152">
        <v>25</v>
      </c>
      <c r="CG152">
        <v>0</v>
      </c>
      <c r="CH152">
        <v>770</v>
      </c>
      <c r="CI152">
        <v>20</v>
      </c>
      <c r="CJ152">
        <v>2</v>
      </c>
      <c r="CK152">
        <v>43</v>
      </c>
      <c r="CL152">
        <v>28</v>
      </c>
      <c r="CM152">
        <v>3</v>
      </c>
      <c r="CN152">
        <v>2</v>
      </c>
      <c r="CO152">
        <v>0</v>
      </c>
      <c r="CP152">
        <v>0</v>
      </c>
      <c r="CQ152">
        <v>4</v>
      </c>
      <c r="CR152">
        <v>0</v>
      </c>
      <c r="CS152">
        <v>948</v>
      </c>
      <c r="CT152">
        <v>0</v>
      </c>
      <c r="CU152">
        <v>1</v>
      </c>
      <c r="CV152">
        <v>0</v>
      </c>
      <c r="CW152">
        <v>2</v>
      </c>
      <c r="CX152">
        <v>6</v>
      </c>
      <c r="CY152">
        <v>46</v>
      </c>
      <c r="CZ152">
        <v>2</v>
      </c>
      <c r="DA152">
        <v>7</v>
      </c>
      <c r="DB152">
        <v>0</v>
      </c>
      <c r="DC152">
        <v>0</v>
      </c>
      <c r="DD152">
        <v>946</v>
      </c>
      <c r="DE152">
        <v>2</v>
      </c>
      <c r="DF152">
        <v>17</v>
      </c>
      <c r="DG152">
        <v>1</v>
      </c>
      <c r="DH152">
        <v>0</v>
      </c>
      <c r="DI152">
        <v>3</v>
      </c>
      <c r="DJ152">
        <v>1</v>
      </c>
      <c r="DK152">
        <v>2</v>
      </c>
      <c r="DL152">
        <v>0</v>
      </c>
      <c r="DM152">
        <v>2</v>
      </c>
      <c r="DN152">
        <v>1</v>
      </c>
      <c r="DO152">
        <v>958</v>
      </c>
      <c r="DP152">
        <v>6</v>
      </c>
      <c r="DQ152">
        <v>1</v>
      </c>
      <c r="DR152">
        <v>0</v>
      </c>
      <c r="DS152">
        <v>0</v>
      </c>
      <c r="DT152">
        <v>3</v>
      </c>
      <c r="DU152">
        <v>10</v>
      </c>
      <c r="DV152">
        <v>0</v>
      </c>
      <c r="DW152">
        <v>0</v>
      </c>
      <c r="DX152">
        <v>1</v>
      </c>
      <c r="DY152">
        <v>0</v>
      </c>
      <c r="DZ152">
        <v>994</v>
      </c>
      <c r="EA152">
        <v>0.97050000000000003</v>
      </c>
      <c r="EB152">
        <v>0.97135615400991704</v>
      </c>
      <c r="EC152">
        <v>0.96937717104853804</v>
      </c>
      <c r="ED152">
        <v>0.969572652527806</v>
      </c>
      <c r="EE152">
        <f>SUM(Table1[[#This Row],[ratio_0]:[ratio_9]])</f>
        <v>730</v>
      </c>
      <c r="EF152" s="1">
        <f>(Table1[[#This Row],[predicted_0]]-Table1[[#This Row],[actual_0]])/Table1[[#This Row],[actual_0]]</f>
        <v>4.0816326530612249E-3</v>
      </c>
      <c r="EG152" s="1">
        <f>(Table1[[#This Row],[predicted_1]]-Table1[[#This Row],[actual_1]])/Table1[[#This Row],[actual_1]]</f>
        <v>-7.048458149779736E-3</v>
      </c>
      <c r="EH152" s="1">
        <f>(Table1[[#This Row],[predicted_2]]-Table1[[#This Row],[actual_2]])/Table1[[#This Row],[actual_2]]</f>
        <v>5.4263565891472867E-2</v>
      </c>
      <c r="EI152" s="1">
        <f>(Table1[[#This Row],[predicted_3]]-Table1[[#This Row],[actual_3]])/Table1[[#This Row],[actual_3]]</f>
        <v>1.3861386138613862E-2</v>
      </c>
      <c r="EJ152" s="1">
        <f>(Table1[[#This Row],[predicted_4]]-Table1[[#This Row],[actual_4]])/Table1[[#This Row],[actual_4]]</f>
        <v>2.3421588594704685E-2</v>
      </c>
      <c r="EK152" s="1">
        <f>(Table1[[#This Row],[predicted_5]]-Table1[[#This Row],[actual_5]])/Table1[[#This Row],[actual_5]]</f>
        <v>-0.13452914798206278</v>
      </c>
      <c r="EL152" s="1">
        <f>(Table1[[#This Row],[predicted_6]]-Table1[[#This Row],[actual_6]])/Table1[[#This Row],[actual_6]]</f>
        <v>2.0876826722338204E-2</v>
      </c>
      <c r="EM152" s="1">
        <f>(Table1[[#This Row],[predicted_7]]-Table1[[#This Row],[actual_7]])/Table1[[#This Row],[actual_7]]</f>
        <v>-7.101167315175097E-2</v>
      </c>
      <c r="EN152" s="1">
        <f>(Table1[[#This Row],[predicted_8]]-Table1[[#This Row],[actual_8]])/Table1[[#This Row],[actual_8]]</f>
        <v>4.4147843942505136E-2</v>
      </c>
      <c r="EO152" s="1">
        <f>(Table1[[#This Row],[predicted_9]]-Table1[[#This Row],[actual_9]])/Table1[[#This Row],[actual_9]]</f>
        <v>4.0634291377601585E-2</v>
      </c>
      <c r="EP152" s="1">
        <f>1+(Table1[[#This Row],[error_ratio_0]]-EF$2)</f>
        <v>1.0020408163265306</v>
      </c>
      <c r="EQ152" s="1">
        <f>1+(Table1[[#This Row],[error_ratio_1]]-EG$2)</f>
        <v>0.99118942731277537</v>
      </c>
      <c r="ER152" s="1">
        <f>1+(Table1[[#This Row],[error_ratio_2]]-EH$2)</f>
        <v>1.0591085271317831</v>
      </c>
      <c r="ES152" s="1">
        <f>1+(Table1[[#This Row],[error_ratio_3]]-EI$2)</f>
        <v>1.003960396039604</v>
      </c>
      <c r="ET152" s="1">
        <f>1+(Table1[[#This Row],[error_ratio_4]]-EJ$2)</f>
        <v>1.0224032586558045</v>
      </c>
      <c r="EU152" s="1">
        <f>1+(Table1[[#This Row],[error_ratio_5]]-EK$2)</f>
        <v>0.86434977578475336</v>
      </c>
      <c r="EV152" s="1">
        <f>1+(Table1[[#This Row],[error_ratio_6]]-EL$2)</f>
        <v>1.0271398747390397</v>
      </c>
      <c r="EW152" s="1">
        <f>1+(Table1[[#This Row],[error_ratio_7]]-EM$2)</f>
        <v>0.92704280155642027</v>
      </c>
      <c r="EX152" s="1">
        <f>1+(Table1[[#This Row],[error_ratio_8]]-EN$2)</f>
        <v>1.0472279260780288</v>
      </c>
      <c r="EY152" s="1">
        <f>1+(Table1[[#This Row],[error_ratio_9]]-EO$2)</f>
        <v>1.0445986124876114</v>
      </c>
    </row>
    <row r="153" spans="1:155" x14ac:dyDescent="0.75">
      <c r="A153">
        <v>10</v>
      </c>
      <c r="B153">
        <v>10</v>
      </c>
      <c r="C153">
        <v>100</v>
      </c>
      <c r="D153">
        <v>100</v>
      </c>
      <c r="E153">
        <v>100</v>
      </c>
      <c r="F153">
        <v>10</v>
      </c>
      <c r="G153">
        <v>100</v>
      </c>
      <c r="H153">
        <v>10</v>
      </c>
      <c r="I153">
        <v>100</v>
      </c>
      <c r="J153">
        <v>100</v>
      </c>
      <c r="K153">
        <v>965</v>
      </c>
      <c r="L153">
        <v>1126</v>
      </c>
      <c r="M153">
        <v>1067</v>
      </c>
      <c r="N153">
        <v>1008</v>
      </c>
      <c r="O153">
        <v>992</v>
      </c>
      <c r="P153">
        <v>866</v>
      </c>
      <c r="Q153">
        <v>989</v>
      </c>
      <c r="R153">
        <v>1003</v>
      </c>
      <c r="S153">
        <v>965</v>
      </c>
      <c r="T153">
        <v>1019</v>
      </c>
      <c r="U153">
        <v>980</v>
      </c>
      <c r="V153">
        <v>1135</v>
      </c>
      <c r="W153">
        <v>1032</v>
      </c>
      <c r="X153">
        <v>1010</v>
      </c>
      <c r="Y153">
        <v>982</v>
      </c>
      <c r="Z153">
        <v>892</v>
      </c>
      <c r="AA153">
        <v>958</v>
      </c>
      <c r="AB153">
        <v>1028</v>
      </c>
      <c r="AC153">
        <v>974</v>
      </c>
      <c r="AD153">
        <v>1009</v>
      </c>
      <c r="AE153">
        <v>954</v>
      </c>
      <c r="AF153">
        <v>1</v>
      </c>
      <c r="AG153">
        <v>3</v>
      </c>
      <c r="AH153">
        <v>0</v>
      </c>
      <c r="AI153">
        <v>1</v>
      </c>
      <c r="AJ153">
        <v>1</v>
      </c>
      <c r="AK153">
        <v>12</v>
      </c>
      <c r="AL153">
        <v>1</v>
      </c>
      <c r="AM153">
        <v>2</v>
      </c>
      <c r="AN153">
        <v>5</v>
      </c>
      <c r="AO153">
        <v>0</v>
      </c>
      <c r="AP153">
        <v>1115</v>
      </c>
      <c r="AQ153">
        <v>6</v>
      </c>
      <c r="AR153">
        <v>2</v>
      </c>
      <c r="AS153">
        <v>0</v>
      </c>
      <c r="AT153">
        <v>3</v>
      </c>
      <c r="AU153">
        <v>3</v>
      </c>
      <c r="AV153">
        <v>1</v>
      </c>
      <c r="AW153">
        <v>4</v>
      </c>
      <c r="AX153">
        <v>1</v>
      </c>
      <c r="AY153">
        <v>0</v>
      </c>
      <c r="AZ153">
        <v>3</v>
      </c>
      <c r="BA153">
        <v>1017</v>
      </c>
      <c r="BB153">
        <v>0</v>
      </c>
      <c r="BC153">
        <v>1</v>
      </c>
      <c r="BD153">
        <v>0</v>
      </c>
      <c r="BE153">
        <v>5</v>
      </c>
      <c r="BF153">
        <v>5</v>
      </c>
      <c r="BG153">
        <v>1</v>
      </c>
      <c r="BH153">
        <v>0</v>
      </c>
      <c r="BI153">
        <v>0</v>
      </c>
      <c r="BJ153">
        <v>0</v>
      </c>
      <c r="BK153">
        <v>2</v>
      </c>
      <c r="BL153">
        <v>993</v>
      </c>
      <c r="BM153">
        <v>0</v>
      </c>
      <c r="BN153">
        <v>7</v>
      </c>
      <c r="BO153">
        <v>0</v>
      </c>
      <c r="BP153">
        <v>3</v>
      </c>
      <c r="BQ153">
        <v>3</v>
      </c>
      <c r="BR153">
        <v>2</v>
      </c>
      <c r="BS153">
        <v>0</v>
      </c>
      <c r="BT153">
        <v>0</v>
      </c>
      <c r="BU153">
        <v>3</v>
      </c>
      <c r="BV153">
        <v>0</v>
      </c>
      <c r="BW153">
        <v>972</v>
      </c>
      <c r="BX153">
        <v>0</v>
      </c>
      <c r="BY153">
        <v>4</v>
      </c>
      <c r="BZ153">
        <v>0</v>
      </c>
      <c r="CA153">
        <v>0</v>
      </c>
      <c r="CB153">
        <v>3</v>
      </c>
      <c r="CC153">
        <v>4</v>
      </c>
      <c r="CD153">
        <v>0</v>
      </c>
      <c r="CE153">
        <v>0</v>
      </c>
      <c r="CF153">
        <v>13</v>
      </c>
      <c r="CG153">
        <v>0</v>
      </c>
      <c r="CH153">
        <v>851</v>
      </c>
      <c r="CI153">
        <v>13</v>
      </c>
      <c r="CJ153">
        <v>1</v>
      </c>
      <c r="CK153">
        <v>6</v>
      </c>
      <c r="CL153">
        <v>4</v>
      </c>
      <c r="CM153">
        <v>3</v>
      </c>
      <c r="CN153">
        <v>2</v>
      </c>
      <c r="CO153">
        <v>2</v>
      </c>
      <c r="CP153">
        <v>0</v>
      </c>
      <c r="CQ153">
        <v>2</v>
      </c>
      <c r="CR153">
        <v>1</v>
      </c>
      <c r="CS153">
        <v>948</v>
      </c>
      <c r="CT153">
        <v>0</v>
      </c>
      <c r="CU153">
        <v>0</v>
      </c>
      <c r="CV153">
        <v>0</v>
      </c>
      <c r="CW153">
        <v>1</v>
      </c>
      <c r="CX153">
        <v>5</v>
      </c>
      <c r="CY153">
        <v>27</v>
      </c>
      <c r="CZ153">
        <v>0</v>
      </c>
      <c r="DA153">
        <v>4</v>
      </c>
      <c r="DB153">
        <v>1</v>
      </c>
      <c r="DC153">
        <v>0</v>
      </c>
      <c r="DD153">
        <v>982</v>
      </c>
      <c r="DE153">
        <v>1</v>
      </c>
      <c r="DF153">
        <v>7</v>
      </c>
      <c r="DG153">
        <v>2</v>
      </c>
      <c r="DH153">
        <v>0</v>
      </c>
      <c r="DI153">
        <v>7</v>
      </c>
      <c r="DJ153">
        <v>0</v>
      </c>
      <c r="DK153">
        <v>2</v>
      </c>
      <c r="DL153">
        <v>0</v>
      </c>
      <c r="DM153">
        <v>4</v>
      </c>
      <c r="DN153">
        <v>6</v>
      </c>
      <c r="DO153">
        <v>948</v>
      </c>
      <c r="DP153">
        <v>5</v>
      </c>
      <c r="DQ153">
        <v>1</v>
      </c>
      <c r="DR153">
        <v>0</v>
      </c>
      <c r="DS153">
        <v>0</v>
      </c>
      <c r="DT153">
        <v>0</v>
      </c>
      <c r="DU153">
        <v>10</v>
      </c>
      <c r="DV153">
        <v>2</v>
      </c>
      <c r="DW153">
        <v>0</v>
      </c>
      <c r="DX153">
        <v>4</v>
      </c>
      <c r="DY153">
        <v>0</v>
      </c>
      <c r="DZ153">
        <v>992</v>
      </c>
      <c r="EA153">
        <v>0.97719999999999996</v>
      </c>
      <c r="EB153">
        <v>0.97731019769387695</v>
      </c>
      <c r="EC153">
        <v>0.97696063455765503</v>
      </c>
      <c r="ED153">
        <v>0.97703343038764601</v>
      </c>
      <c r="EE153">
        <f>SUM(Table1[[#This Row],[ratio_0]:[ratio_9]])</f>
        <v>640</v>
      </c>
      <c r="EF153" s="1">
        <f>(Table1[[#This Row],[predicted_0]]-Table1[[#This Row],[actual_0]])/Table1[[#This Row],[actual_0]]</f>
        <v>-1.5306122448979591E-2</v>
      </c>
      <c r="EG153" s="1">
        <f>(Table1[[#This Row],[predicted_1]]-Table1[[#This Row],[actual_1]])/Table1[[#This Row],[actual_1]]</f>
        <v>-7.9295154185022032E-3</v>
      </c>
      <c r="EH153" s="1">
        <f>(Table1[[#This Row],[predicted_2]]-Table1[[#This Row],[actual_2]])/Table1[[#This Row],[actual_2]]</f>
        <v>3.391472868217054E-2</v>
      </c>
      <c r="EI153" s="1">
        <f>(Table1[[#This Row],[predicted_3]]-Table1[[#This Row],[actual_3]])/Table1[[#This Row],[actual_3]]</f>
        <v>-1.9801980198019802E-3</v>
      </c>
      <c r="EJ153" s="1">
        <f>(Table1[[#This Row],[predicted_4]]-Table1[[#This Row],[actual_4]])/Table1[[#This Row],[actual_4]]</f>
        <v>1.0183299389002037E-2</v>
      </c>
      <c r="EK153" s="1">
        <f>(Table1[[#This Row],[predicted_5]]-Table1[[#This Row],[actual_5]])/Table1[[#This Row],[actual_5]]</f>
        <v>-2.914798206278027E-2</v>
      </c>
      <c r="EL153" s="1">
        <f>(Table1[[#This Row],[predicted_6]]-Table1[[#This Row],[actual_6]])/Table1[[#This Row],[actual_6]]</f>
        <v>3.2359081419624215E-2</v>
      </c>
      <c r="EM153" s="1">
        <f>(Table1[[#This Row],[predicted_7]]-Table1[[#This Row],[actual_7]])/Table1[[#This Row],[actual_7]]</f>
        <v>-2.4319066147859923E-2</v>
      </c>
      <c r="EN153" s="1">
        <f>(Table1[[#This Row],[predicted_8]]-Table1[[#This Row],[actual_8]])/Table1[[#This Row],[actual_8]]</f>
        <v>-9.2402464065708418E-3</v>
      </c>
      <c r="EO153" s="1">
        <f>(Table1[[#This Row],[predicted_9]]-Table1[[#This Row],[actual_9]])/Table1[[#This Row],[actual_9]]</f>
        <v>9.9108027750247768E-3</v>
      </c>
      <c r="EP153" s="1">
        <f>1+(Table1[[#This Row],[error_ratio_0]]-EF$2)</f>
        <v>0.98265306122448981</v>
      </c>
      <c r="EQ153" s="1">
        <f>1+(Table1[[#This Row],[error_ratio_1]]-EG$2)</f>
        <v>0.99030837004405281</v>
      </c>
      <c r="ER153" s="1">
        <f>1+(Table1[[#This Row],[error_ratio_2]]-EH$2)</f>
        <v>1.0387596899224807</v>
      </c>
      <c r="ES153" s="1">
        <f>1+(Table1[[#This Row],[error_ratio_3]]-EI$2)</f>
        <v>0.98811881188118811</v>
      </c>
      <c r="ET153" s="1">
        <f>1+(Table1[[#This Row],[error_ratio_4]]-EJ$2)</f>
        <v>1.0091649694501019</v>
      </c>
      <c r="EU153" s="1">
        <f>1+(Table1[[#This Row],[error_ratio_5]]-EK$2)</f>
        <v>0.96973094170403584</v>
      </c>
      <c r="EV153" s="1">
        <f>1+(Table1[[#This Row],[error_ratio_6]]-EL$2)</f>
        <v>1.0386221294363256</v>
      </c>
      <c r="EW153" s="1">
        <f>1+(Table1[[#This Row],[error_ratio_7]]-EM$2)</f>
        <v>0.97373540856031127</v>
      </c>
      <c r="EX153" s="1">
        <f>1+(Table1[[#This Row],[error_ratio_8]]-EN$2)</f>
        <v>0.99383983572895274</v>
      </c>
      <c r="EY153" s="1">
        <f>1+(Table1[[#This Row],[error_ratio_9]]-EO$2)</f>
        <v>1.0138751238850348</v>
      </c>
    </row>
    <row r="154" spans="1:155" x14ac:dyDescent="0.75">
      <c r="A154">
        <v>10</v>
      </c>
      <c r="B154">
        <v>100</v>
      </c>
      <c r="C154">
        <v>10</v>
      </c>
      <c r="D154">
        <v>100</v>
      </c>
      <c r="E154">
        <v>100</v>
      </c>
      <c r="F154">
        <v>10</v>
      </c>
      <c r="G154">
        <v>100</v>
      </c>
      <c r="H154">
        <v>10</v>
      </c>
      <c r="I154">
        <v>100</v>
      </c>
      <c r="J154">
        <v>100</v>
      </c>
      <c r="K154">
        <v>964</v>
      </c>
      <c r="L154">
        <v>1168</v>
      </c>
      <c r="M154">
        <v>1008</v>
      </c>
      <c r="N154">
        <v>1108</v>
      </c>
      <c r="O154">
        <v>963</v>
      </c>
      <c r="P154">
        <v>850</v>
      </c>
      <c r="Q154">
        <v>982</v>
      </c>
      <c r="R154">
        <v>899</v>
      </c>
      <c r="S154">
        <v>970</v>
      </c>
      <c r="T154">
        <v>1088</v>
      </c>
      <c r="U154">
        <v>980</v>
      </c>
      <c r="V154">
        <v>1135</v>
      </c>
      <c r="W154">
        <v>1032</v>
      </c>
      <c r="X154">
        <v>1010</v>
      </c>
      <c r="Y154">
        <v>982</v>
      </c>
      <c r="Z154">
        <v>892</v>
      </c>
      <c r="AA154">
        <v>958</v>
      </c>
      <c r="AB154">
        <v>1028</v>
      </c>
      <c r="AC154">
        <v>974</v>
      </c>
      <c r="AD154">
        <v>1009</v>
      </c>
      <c r="AE154">
        <v>956</v>
      </c>
      <c r="AF154">
        <v>0</v>
      </c>
      <c r="AG154">
        <v>1</v>
      </c>
      <c r="AH154">
        <v>0</v>
      </c>
      <c r="AI154">
        <v>1</v>
      </c>
      <c r="AJ154">
        <v>0</v>
      </c>
      <c r="AK154">
        <v>13</v>
      </c>
      <c r="AL154">
        <v>0</v>
      </c>
      <c r="AM154">
        <v>5</v>
      </c>
      <c r="AN154">
        <v>4</v>
      </c>
      <c r="AO154">
        <v>0</v>
      </c>
      <c r="AP154">
        <v>1129</v>
      </c>
      <c r="AQ154">
        <v>0</v>
      </c>
      <c r="AR154">
        <v>3</v>
      </c>
      <c r="AS154">
        <v>0</v>
      </c>
      <c r="AT154">
        <v>1</v>
      </c>
      <c r="AU154">
        <v>2</v>
      </c>
      <c r="AV154">
        <v>0</v>
      </c>
      <c r="AW154">
        <v>0</v>
      </c>
      <c r="AX154">
        <v>0</v>
      </c>
      <c r="AY154">
        <v>4</v>
      </c>
      <c r="AZ154">
        <v>21</v>
      </c>
      <c r="BA154">
        <v>975</v>
      </c>
      <c r="BB154">
        <v>15</v>
      </c>
      <c r="BC154">
        <v>4</v>
      </c>
      <c r="BD154">
        <v>0</v>
      </c>
      <c r="BE154">
        <v>4</v>
      </c>
      <c r="BF154">
        <v>4</v>
      </c>
      <c r="BG154">
        <v>5</v>
      </c>
      <c r="BH154">
        <v>0</v>
      </c>
      <c r="BI154">
        <v>0</v>
      </c>
      <c r="BJ154">
        <v>0</v>
      </c>
      <c r="BK154">
        <v>2</v>
      </c>
      <c r="BL154">
        <v>1004</v>
      </c>
      <c r="BM154">
        <v>0</v>
      </c>
      <c r="BN154">
        <v>2</v>
      </c>
      <c r="BO154">
        <v>0</v>
      </c>
      <c r="BP154">
        <v>2</v>
      </c>
      <c r="BQ154">
        <v>0</v>
      </c>
      <c r="BR154">
        <v>0</v>
      </c>
      <c r="BS154">
        <v>0</v>
      </c>
      <c r="BT154">
        <v>0</v>
      </c>
      <c r="BU154">
        <v>2</v>
      </c>
      <c r="BV154">
        <v>0</v>
      </c>
      <c r="BW154">
        <v>950</v>
      </c>
      <c r="BX154">
        <v>0</v>
      </c>
      <c r="BY154">
        <v>3</v>
      </c>
      <c r="BZ154">
        <v>0</v>
      </c>
      <c r="CA154">
        <v>1</v>
      </c>
      <c r="CB154">
        <v>26</v>
      </c>
      <c r="CC154">
        <v>1</v>
      </c>
      <c r="CD154">
        <v>0</v>
      </c>
      <c r="CE154">
        <v>0</v>
      </c>
      <c r="CF154">
        <v>34</v>
      </c>
      <c r="CG154">
        <v>0</v>
      </c>
      <c r="CH154">
        <v>843</v>
      </c>
      <c r="CI154">
        <v>6</v>
      </c>
      <c r="CJ154">
        <v>0</v>
      </c>
      <c r="CK154">
        <v>3</v>
      </c>
      <c r="CL154">
        <v>5</v>
      </c>
      <c r="CM154">
        <v>0</v>
      </c>
      <c r="CN154">
        <v>3</v>
      </c>
      <c r="CO154">
        <v>0</v>
      </c>
      <c r="CP154">
        <v>1</v>
      </c>
      <c r="CQ154">
        <v>3</v>
      </c>
      <c r="CR154">
        <v>1</v>
      </c>
      <c r="CS154">
        <v>950</v>
      </c>
      <c r="CT154">
        <v>0</v>
      </c>
      <c r="CU154">
        <v>0</v>
      </c>
      <c r="CV154">
        <v>0</v>
      </c>
      <c r="CW154">
        <v>2</v>
      </c>
      <c r="CX154">
        <v>13</v>
      </c>
      <c r="CY154">
        <v>28</v>
      </c>
      <c r="CZ154">
        <v>37</v>
      </c>
      <c r="DA154">
        <v>2</v>
      </c>
      <c r="DB154">
        <v>0</v>
      </c>
      <c r="DC154">
        <v>0</v>
      </c>
      <c r="DD154">
        <v>891</v>
      </c>
      <c r="DE154">
        <v>5</v>
      </c>
      <c r="DF154">
        <v>50</v>
      </c>
      <c r="DG154">
        <v>1</v>
      </c>
      <c r="DH154">
        <v>0</v>
      </c>
      <c r="DI154">
        <v>0</v>
      </c>
      <c r="DJ154">
        <v>11</v>
      </c>
      <c r="DK154">
        <v>0</v>
      </c>
      <c r="DL154">
        <v>1</v>
      </c>
      <c r="DM154">
        <v>4</v>
      </c>
      <c r="DN154">
        <v>2</v>
      </c>
      <c r="DO154">
        <v>951</v>
      </c>
      <c r="DP154">
        <v>4</v>
      </c>
      <c r="DQ154">
        <v>0</v>
      </c>
      <c r="DR154">
        <v>2</v>
      </c>
      <c r="DS154">
        <v>0</v>
      </c>
      <c r="DT154">
        <v>3</v>
      </c>
      <c r="DU154">
        <v>3</v>
      </c>
      <c r="DV154">
        <v>2</v>
      </c>
      <c r="DW154">
        <v>0</v>
      </c>
      <c r="DX154">
        <v>0</v>
      </c>
      <c r="DY154">
        <v>0</v>
      </c>
      <c r="DZ154">
        <v>999</v>
      </c>
      <c r="EA154">
        <v>0.96479999999999999</v>
      </c>
      <c r="EB154">
        <v>0.96671007139076903</v>
      </c>
      <c r="EC154">
        <v>0.96463874358062895</v>
      </c>
      <c r="ED154">
        <v>0.96479824314713802</v>
      </c>
      <c r="EE154">
        <f>SUM(Table1[[#This Row],[ratio_0]:[ratio_9]])</f>
        <v>640</v>
      </c>
      <c r="EF154" s="1">
        <f>(Table1[[#This Row],[predicted_0]]-Table1[[#This Row],[actual_0]])/Table1[[#This Row],[actual_0]]</f>
        <v>-1.6326530612244899E-2</v>
      </c>
      <c r="EG154" s="1">
        <f>(Table1[[#This Row],[predicted_1]]-Table1[[#This Row],[actual_1]])/Table1[[#This Row],[actual_1]]</f>
        <v>2.9074889867841409E-2</v>
      </c>
      <c r="EH154" s="1">
        <f>(Table1[[#This Row],[predicted_2]]-Table1[[#This Row],[actual_2]])/Table1[[#This Row],[actual_2]]</f>
        <v>-2.3255813953488372E-2</v>
      </c>
      <c r="EI154" s="1">
        <f>(Table1[[#This Row],[predicted_3]]-Table1[[#This Row],[actual_3]])/Table1[[#This Row],[actual_3]]</f>
        <v>9.7029702970297033E-2</v>
      </c>
      <c r="EJ154" s="1">
        <f>(Table1[[#This Row],[predicted_4]]-Table1[[#This Row],[actual_4]])/Table1[[#This Row],[actual_4]]</f>
        <v>-1.9348268839103868E-2</v>
      </c>
      <c r="EK154" s="1">
        <f>(Table1[[#This Row],[predicted_5]]-Table1[[#This Row],[actual_5]])/Table1[[#This Row],[actual_5]]</f>
        <v>-4.708520179372197E-2</v>
      </c>
      <c r="EL154" s="1">
        <f>(Table1[[#This Row],[predicted_6]]-Table1[[#This Row],[actual_6]])/Table1[[#This Row],[actual_6]]</f>
        <v>2.5052192066805846E-2</v>
      </c>
      <c r="EM154" s="1">
        <f>(Table1[[#This Row],[predicted_7]]-Table1[[#This Row],[actual_7]])/Table1[[#This Row],[actual_7]]</f>
        <v>-0.1254863813229572</v>
      </c>
      <c r="EN154" s="1">
        <f>(Table1[[#This Row],[predicted_8]]-Table1[[#This Row],[actual_8]])/Table1[[#This Row],[actual_8]]</f>
        <v>-4.1067761806981521E-3</v>
      </c>
      <c r="EO154" s="1">
        <f>(Table1[[#This Row],[predicted_9]]-Table1[[#This Row],[actual_9]])/Table1[[#This Row],[actual_9]]</f>
        <v>7.8295341922695744E-2</v>
      </c>
      <c r="EP154" s="1">
        <f>1+(Table1[[#This Row],[error_ratio_0]]-EF$2)</f>
        <v>0.98163265306122449</v>
      </c>
      <c r="EQ154" s="1">
        <f>1+(Table1[[#This Row],[error_ratio_1]]-EG$2)</f>
        <v>1.0273127753303966</v>
      </c>
      <c r="ER154" s="1">
        <f>1+(Table1[[#This Row],[error_ratio_2]]-EH$2)</f>
        <v>0.98158914728682167</v>
      </c>
      <c r="ES154" s="1">
        <f>1+(Table1[[#This Row],[error_ratio_3]]-EI$2)</f>
        <v>1.0871287128712872</v>
      </c>
      <c r="ET154" s="1">
        <f>1+(Table1[[#This Row],[error_ratio_4]]-EJ$2)</f>
        <v>0.97963340122199594</v>
      </c>
      <c r="EU154" s="1">
        <f>1+(Table1[[#This Row],[error_ratio_5]]-EK$2)</f>
        <v>0.9517937219730942</v>
      </c>
      <c r="EV154" s="1">
        <f>1+(Table1[[#This Row],[error_ratio_6]]-EL$2)</f>
        <v>1.0313152400835073</v>
      </c>
      <c r="EW154" s="1">
        <f>1+(Table1[[#This Row],[error_ratio_7]]-EM$2)</f>
        <v>0.87256809338521402</v>
      </c>
      <c r="EX154" s="1">
        <f>1+(Table1[[#This Row],[error_ratio_8]]-EN$2)</f>
        <v>0.99897330595482547</v>
      </c>
      <c r="EY154" s="1">
        <f>1+(Table1[[#This Row],[error_ratio_9]]-EO$2)</f>
        <v>1.0822596630327057</v>
      </c>
    </row>
    <row r="155" spans="1:155" x14ac:dyDescent="0.75">
      <c r="A155">
        <v>100</v>
      </c>
      <c r="B155">
        <v>10</v>
      </c>
      <c r="C155">
        <v>10</v>
      </c>
      <c r="D155">
        <v>100</v>
      </c>
      <c r="E155">
        <v>100</v>
      </c>
      <c r="F155">
        <v>10</v>
      </c>
      <c r="G155">
        <v>100</v>
      </c>
      <c r="H155">
        <v>10</v>
      </c>
      <c r="I155">
        <v>100</v>
      </c>
      <c r="J155">
        <v>100</v>
      </c>
      <c r="K155">
        <v>1013</v>
      </c>
      <c r="L155">
        <v>1126</v>
      </c>
      <c r="M155">
        <v>1002</v>
      </c>
      <c r="N155">
        <v>1033</v>
      </c>
      <c r="O155">
        <v>988</v>
      </c>
      <c r="P155">
        <v>811</v>
      </c>
      <c r="Q155">
        <v>978</v>
      </c>
      <c r="R155">
        <v>925</v>
      </c>
      <c r="S155">
        <v>1055</v>
      </c>
      <c r="T155">
        <v>1069</v>
      </c>
      <c r="U155">
        <v>980</v>
      </c>
      <c r="V155">
        <v>1135</v>
      </c>
      <c r="W155">
        <v>1032</v>
      </c>
      <c r="X155">
        <v>1010</v>
      </c>
      <c r="Y155">
        <v>982</v>
      </c>
      <c r="Z155">
        <v>892</v>
      </c>
      <c r="AA155">
        <v>958</v>
      </c>
      <c r="AB155">
        <v>1028</v>
      </c>
      <c r="AC155">
        <v>974</v>
      </c>
      <c r="AD155">
        <v>1009</v>
      </c>
      <c r="AE155">
        <v>978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1</v>
      </c>
      <c r="AL155">
        <v>0</v>
      </c>
      <c r="AM155">
        <v>1</v>
      </c>
      <c r="AN155">
        <v>0</v>
      </c>
      <c r="AO155">
        <v>0</v>
      </c>
      <c r="AP155">
        <v>1115</v>
      </c>
      <c r="AQ155">
        <v>3</v>
      </c>
      <c r="AR155">
        <v>3</v>
      </c>
      <c r="AS155">
        <v>1</v>
      </c>
      <c r="AT155">
        <v>2</v>
      </c>
      <c r="AU155">
        <v>5</v>
      </c>
      <c r="AV155">
        <v>0</v>
      </c>
      <c r="AW155">
        <v>5</v>
      </c>
      <c r="AX155">
        <v>1</v>
      </c>
      <c r="AY155">
        <v>16</v>
      </c>
      <c r="AZ155">
        <v>1</v>
      </c>
      <c r="BA155">
        <v>982</v>
      </c>
      <c r="BB155">
        <v>3</v>
      </c>
      <c r="BC155">
        <v>3</v>
      </c>
      <c r="BD155">
        <v>0</v>
      </c>
      <c r="BE155">
        <v>1</v>
      </c>
      <c r="BF155">
        <v>4</v>
      </c>
      <c r="BG155">
        <v>22</v>
      </c>
      <c r="BH155">
        <v>0</v>
      </c>
      <c r="BI155">
        <v>0</v>
      </c>
      <c r="BJ155">
        <v>0</v>
      </c>
      <c r="BK155">
        <v>1</v>
      </c>
      <c r="BL155">
        <v>1004</v>
      </c>
      <c r="BM155">
        <v>0</v>
      </c>
      <c r="BN155">
        <v>2</v>
      </c>
      <c r="BO155">
        <v>0</v>
      </c>
      <c r="BP155">
        <v>0</v>
      </c>
      <c r="BQ155">
        <v>0</v>
      </c>
      <c r="BR155">
        <v>3</v>
      </c>
      <c r="BS155">
        <v>0</v>
      </c>
      <c r="BT155">
        <v>0</v>
      </c>
      <c r="BU155">
        <v>0</v>
      </c>
      <c r="BV155">
        <v>0</v>
      </c>
      <c r="BW155">
        <v>972</v>
      </c>
      <c r="BX155">
        <v>0</v>
      </c>
      <c r="BY155">
        <v>3</v>
      </c>
      <c r="BZ155">
        <v>0</v>
      </c>
      <c r="CA155">
        <v>1</v>
      </c>
      <c r="CB155">
        <v>6</v>
      </c>
      <c r="CC155">
        <v>3</v>
      </c>
      <c r="CD155">
        <v>0</v>
      </c>
      <c r="CE155">
        <v>0</v>
      </c>
      <c r="CF155">
        <v>14</v>
      </c>
      <c r="CG155">
        <v>0</v>
      </c>
      <c r="CH155">
        <v>801</v>
      </c>
      <c r="CI155">
        <v>19</v>
      </c>
      <c r="CJ155">
        <v>0</v>
      </c>
      <c r="CK155">
        <v>43</v>
      </c>
      <c r="CL155">
        <v>12</v>
      </c>
      <c r="CM155">
        <v>3</v>
      </c>
      <c r="CN155">
        <v>2</v>
      </c>
      <c r="CO155">
        <v>0</v>
      </c>
      <c r="CP155">
        <v>0</v>
      </c>
      <c r="CQ155">
        <v>2</v>
      </c>
      <c r="CR155">
        <v>1</v>
      </c>
      <c r="CS155">
        <v>948</v>
      </c>
      <c r="CT155">
        <v>0</v>
      </c>
      <c r="CU155">
        <v>2</v>
      </c>
      <c r="CV155">
        <v>0</v>
      </c>
      <c r="CW155">
        <v>6</v>
      </c>
      <c r="CX155">
        <v>6</v>
      </c>
      <c r="CY155">
        <v>16</v>
      </c>
      <c r="CZ155">
        <v>8</v>
      </c>
      <c r="DA155">
        <v>6</v>
      </c>
      <c r="DB155">
        <v>0</v>
      </c>
      <c r="DC155">
        <v>1</v>
      </c>
      <c r="DD155">
        <v>921</v>
      </c>
      <c r="DE155">
        <v>13</v>
      </c>
      <c r="DF155">
        <v>51</v>
      </c>
      <c r="DG155">
        <v>3</v>
      </c>
      <c r="DH155">
        <v>0</v>
      </c>
      <c r="DI155">
        <v>0</v>
      </c>
      <c r="DJ155">
        <v>0</v>
      </c>
      <c r="DK155">
        <v>0</v>
      </c>
      <c r="DL155">
        <v>0</v>
      </c>
      <c r="DM155">
        <v>0</v>
      </c>
      <c r="DN155">
        <v>0</v>
      </c>
      <c r="DO155">
        <v>968</v>
      </c>
      <c r="DP155">
        <v>3</v>
      </c>
      <c r="DQ155">
        <v>4</v>
      </c>
      <c r="DR155">
        <v>2</v>
      </c>
      <c r="DS155">
        <v>0</v>
      </c>
      <c r="DT155">
        <v>1</v>
      </c>
      <c r="DU155">
        <v>4</v>
      </c>
      <c r="DV155">
        <v>5</v>
      </c>
      <c r="DW155">
        <v>0</v>
      </c>
      <c r="DX155">
        <v>0</v>
      </c>
      <c r="DY155">
        <v>0</v>
      </c>
      <c r="DZ155">
        <v>993</v>
      </c>
      <c r="EA155">
        <v>0.96819999999999995</v>
      </c>
      <c r="EB155">
        <v>0.96905635198490103</v>
      </c>
      <c r="EC155">
        <v>0.96772051300426798</v>
      </c>
      <c r="ED155">
        <v>0.96760670642915003</v>
      </c>
      <c r="EE155">
        <f>SUM(Table1[[#This Row],[ratio_0]:[ratio_9]])</f>
        <v>640</v>
      </c>
      <c r="EF155" s="1">
        <f>(Table1[[#This Row],[predicted_0]]-Table1[[#This Row],[actual_0]])/Table1[[#This Row],[actual_0]]</f>
        <v>3.3673469387755103E-2</v>
      </c>
      <c r="EG155" s="1">
        <f>(Table1[[#This Row],[predicted_1]]-Table1[[#This Row],[actual_1]])/Table1[[#This Row],[actual_1]]</f>
        <v>-7.9295154185022032E-3</v>
      </c>
      <c r="EH155" s="1">
        <f>(Table1[[#This Row],[predicted_2]]-Table1[[#This Row],[actual_2]])/Table1[[#This Row],[actual_2]]</f>
        <v>-2.9069767441860465E-2</v>
      </c>
      <c r="EI155" s="1">
        <f>(Table1[[#This Row],[predicted_3]]-Table1[[#This Row],[actual_3]])/Table1[[#This Row],[actual_3]]</f>
        <v>2.2772277227722772E-2</v>
      </c>
      <c r="EJ155" s="1">
        <f>(Table1[[#This Row],[predicted_4]]-Table1[[#This Row],[actual_4]])/Table1[[#This Row],[actual_4]]</f>
        <v>6.1099796334012219E-3</v>
      </c>
      <c r="EK155" s="1">
        <f>(Table1[[#This Row],[predicted_5]]-Table1[[#This Row],[actual_5]])/Table1[[#This Row],[actual_5]]</f>
        <v>-9.0807174887892375E-2</v>
      </c>
      <c r="EL155" s="1">
        <f>(Table1[[#This Row],[predicted_6]]-Table1[[#This Row],[actual_6]])/Table1[[#This Row],[actual_6]]</f>
        <v>2.0876826722338204E-2</v>
      </c>
      <c r="EM155" s="1">
        <f>(Table1[[#This Row],[predicted_7]]-Table1[[#This Row],[actual_7]])/Table1[[#This Row],[actual_7]]</f>
        <v>-0.10019455252918288</v>
      </c>
      <c r="EN155" s="1">
        <f>(Table1[[#This Row],[predicted_8]]-Table1[[#This Row],[actual_8]])/Table1[[#This Row],[actual_8]]</f>
        <v>8.3162217659137574E-2</v>
      </c>
      <c r="EO155" s="1">
        <f>(Table1[[#This Row],[predicted_9]]-Table1[[#This Row],[actual_9]])/Table1[[#This Row],[actual_9]]</f>
        <v>5.9464816650148661E-2</v>
      </c>
      <c r="EP155" s="1">
        <f>1+(Table1[[#This Row],[error_ratio_0]]-EF$2)</f>
        <v>1.0316326530612245</v>
      </c>
      <c r="EQ155" s="1">
        <f>1+(Table1[[#This Row],[error_ratio_1]]-EG$2)</f>
        <v>0.99030837004405281</v>
      </c>
      <c r="ER155" s="1">
        <f>1+(Table1[[#This Row],[error_ratio_2]]-EH$2)</f>
        <v>0.97577519379844957</v>
      </c>
      <c r="ES155" s="1">
        <f>1+(Table1[[#This Row],[error_ratio_3]]-EI$2)</f>
        <v>1.0128712871287129</v>
      </c>
      <c r="ET155" s="1">
        <f>1+(Table1[[#This Row],[error_ratio_4]]-EJ$2)</f>
        <v>1.005091649694501</v>
      </c>
      <c r="EU155" s="1">
        <f>1+(Table1[[#This Row],[error_ratio_5]]-EK$2)</f>
        <v>0.90807174887892372</v>
      </c>
      <c r="EV155" s="1">
        <f>1+(Table1[[#This Row],[error_ratio_6]]-EL$2)</f>
        <v>1.0271398747390397</v>
      </c>
      <c r="EW155" s="1">
        <f>1+(Table1[[#This Row],[error_ratio_7]]-EM$2)</f>
        <v>0.89785992217898836</v>
      </c>
      <c r="EX155" s="1">
        <f>1+(Table1[[#This Row],[error_ratio_8]]-EN$2)</f>
        <v>1.0862422997946612</v>
      </c>
      <c r="EY155" s="1">
        <f>1+(Table1[[#This Row],[error_ratio_9]]-EO$2)</f>
        <v>1.0634291377601586</v>
      </c>
    </row>
    <row r="156" spans="1:155" x14ac:dyDescent="0.75">
      <c r="A156">
        <v>10</v>
      </c>
      <c r="B156">
        <v>10</v>
      </c>
      <c r="C156">
        <v>10</v>
      </c>
      <c r="D156">
        <v>100</v>
      </c>
      <c r="E156">
        <v>100</v>
      </c>
      <c r="F156">
        <v>10</v>
      </c>
      <c r="G156">
        <v>100</v>
      </c>
      <c r="H156">
        <v>10</v>
      </c>
      <c r="I156">
        <v>100</v>
      </c>
      <c r="J156">
        <v>100</v>
      </c>
      <c r="K156">
        <v>965</v>
      </c>
      <c r="L156">
        <v>1012</v>
      </c>
      <c r="M156">
        <v>934</v>
      </c>
      <c r="N156">
        <v>1171</v>
      </c>
      <c r="O156">
        <v>988</v>
      </c>
      <c r="P156">
        <v>734</v>
      </c>
      <c r="Q156">
        <v>980</v>
      </c>
      <c r="R156">
        <v>955</v>
      </c>
      <c r="S156">
        <v>1157</v>
      </c>
      <c r="T156">
        <v>1104</v>
      </c>
      <c r="U156">
        <v>980</v>
      </c>
      <c r="V156">
        <v>1135</v>
      </c>
      <c r="W156">
        <v>1032</v>
      </c>
      <c r="X156">
        <v>1010</v>
      </c>
      <c r="Y156">
        <v>982</v>
      </c>
      <c r="Z156">
        <v>892</v>
      </c>
      <c r="AA156">
        <v>958</v>
      </c>
      <c r="AB156">
        <v>1028</v>
      </c>
      <c r="AC156">
        <v>974</v>
      </c>
      <c r="AD156">
        <v>1009</v>
      </c>
      <c r="AE156">
        <v>951</v>
      </c>
      <c r="AF156">
        <v>0</v>
      </c>
      <c r="AG156">
        <v>2</v>
      </c>
      <c r="AH156">
        <v>0</v>
      </c>
      <c r="AI156">
        <v>2</v>
      </c>
      <c r="AJ156">
        <v>0</v>
      </c>
      <c r="AK156">
        <v>11</v>
      </c>
      <c r="AL156">
        <v>1</v>
      </c>
      <c r="AM156">
        <v>9</v>
      </c>
      <c r="AN156">
        <v>4</v>
      </c>
      <c r="AO156">
        <v>0</v>
      </c>
      <c r="AP156">
        <v>1012</v>
      </c>
      <c r="AQ156">
        <v>0</v>
      </c>
      <c r="AR156">
        <v>10</v>
      </c>
      <c r="AS156">
        <v>4</v>
      </c>
      <c r="AT156">
        <v>2</v>
      </c>
      <c r="AU156">
        <v>13</v>
      </c>
      <c r="AV156">
        <v>1</v>
      </c>
      <c r="AW156">
        <v>89</v>
      </c>
      <c r="AX156">
        <v>4</v>
      </c>
      <c r="AY156">
        <v>9</v>
      </c>
      <c r="AZ156">
        <v>0</v>
      </c>
      <c r="BA156">
        <v>922</v>
      </c>
      <c r="BB156">
        <v>16</v>
      </c>
      <c r="BC156">
        <v>11</v>
      </c>
      <c r="BD156">
        <v>0</v>
      </c>
      <c r="BE156">
        <v>4</v>
      </c>
      <c r="BF156">
        <v>12</v>
      </c>
      <c r="BG156">
        <v>56</v>
      </c>
      <c r="BH156">
        <v>2</v>
      </c>
      <c r="BI156">
        <v>0</v>
      </c>
      <c r="BJ156">
        <v>0</v>
      </c>
      <c r="BK156">
        <v>1</v>
      </c>
      <c r="BL156">
        <v>1004</v>
      </c>
      <c r="BM156">
        <v>0</v>
      </c>
      <c r="BN156">
        <v>0</v>
      </c>
      <c r="BO156">
        <v>0</v>
      </c>
      <c r="BP156">
        <v>1</v>
      </c>
      <c r="BQ156">
        <v>1</v>
      </c>
      <c r="BR156">
        <v>3</v>
      </c>
      <c r="BS156">
        <v>0</v>
      </c>
      <c r="BT156">
        <v>0</v>
      </c>
      <c r="BU156">
        <v>3</v>
      </c>
      <c r="BV156">
        <v>0</v>
      </c>
      <c r="BW156">
        <v>961</v>
      </c>
      <c r="BX156">
        <v>0</v>
      </c>
      <c r="BY156">
        <v>1</v>
      </c>
      <c r="BZ156">
        <v>0</v>
      </c>
      <c r="CA156">
        <v>2</v>
      </c>
      <c r="CB156">
        <v>15</v>
      </c>
      <c r="CC156">
        <v>1</v>
      </c>
      <c r="CD156">
        <v>0</v>
      </c>
      <c r="CE156">
        <v>0</v>
      </c>
      <c r="CF156">
        <v>113</v>
      </c>
      <c r="CG156">
        <v>1</v>
      </c>
      <c r="CH156">
        <v>730</v>
      </c>
      <c r="CI156">
        <v>7</v>
      </c>
      <c r="CJ156">
        <v>1</v>
      </c>
      <c r="CK156">
        <v>16</v>
      </c>
      <c r="CL156">
        <v>23</v>
      </c>
      <c r="CM156">
        <v>2</v>
      </c>
      <c r="CN156">
        <v>0</v>
      </c>
      <c r="CO156">
        <v>0</v>
      </c>
      <c r="CP156">
        <v>1</v>
      </c>
      <c r="CQ156">
        <v>4</v>
      </c>
      <c r="CR156">
        <v>2</v>
      </c>
      <c r="CS156">
        <v>944</v>
      </c>
      <c r="CT156">
        <v>0</v>
      </c>
      <c r="CU156">
        <v>5</v>
      </c>
      <c r="CV156">
        <v>0</v>
      </c>
      <c r="CW156">
        <v>0</v>
      </c>
      <c r="CX156">
        <v>0</v>
      </c>
      <c r="CY156">
        <v>6</v>
      </c>
      <c r="CZ156">
        <v>15</v>
      </c>
      <c r="DA156">
        <v>3</v>
      </c>
      <c r="DB156">
        <v>0</v>
      </c>
      <c r="DC156">
        <v>0</v>
      </c>
      <c r="DD156">
        <v>938</v>
      </c>
      <c r="DE156">
        <v>14</v>
      </c>
      <c r="DF156">
        <v>52</v>
      </c>
      <c r="DG156">
        <v>1</v>
      </c>
      <c r="DH156">
        <v>0</v>
      </c>
      <c r="DI156">
        <v>0</v>
      </c>
      <c r="DJ156">
        <v>7</v>
      </c>
      <c r="DK156">
        <v>0</v>
      </c>
      <c r="DL156">
        <v>0</v>
      </c>
      <c r="DM156">
        <v>0</v>
      </c>
      <c r="DN156">
        <v>0</v>
      </c>
      <c r="DO156">
        <v>963</v>
      </c>
      <c r="DP156">
        <v>3</v>
      </c>
      <c r="DQ156">
        <v>1</v>
      </c>
      <c r="DR156">
        <v>0</v>
      </c>
      <c r="DS156">
        <v>0</v>
      </c>
      <c r="DT156">
        <v>5</v>
      </c>
      <c r="DU156">
        <v>2</v>
      </c>
      <c r="DV156">
        <v>0</v>
      </c>
      <c r="DW156">
        <v>0</v>
      </c>
      <c r="DX156">
        <v>1</v>
      </c>
      <c r="DY156">
        <v>2</v>
      </c>
      <c r="DZ156">
        <v>998</v>
      </c>
      <c r="EA156">
        <v>0.94230000000000003</v>
      </c>
      <c r="EB156">
        <v>0.94790283292251298</v>
      </c>
      <c r="EC156">
        <v>0.942215116498614</v>
      </c>
      <c r="ED156">
        <v>0.94214410213946798</v>
      </c>
      <c r="EE156">
        <f>SUM(Table1[[#This Row],[ratio_0]:[ratio_9]])</f>
        <v>550</v>
      </c>
      <c r="EF156" s="1">
        <f>(Table1[[#This Row],[predicted_0]]-Table1[[#This Row],[actual_0]])/Table1[[#This Row],[actual_0]]</f>
        <v>-1.5306122448979591E-2</v>
      </c>
      <c r="EG156" s="1">
        <f>(Table1[[#This Row],[predicted_1]]-Table1[[#This Row],[actual_1]])/Table1[[#This Row],[actual_1]]</f>
        <v>-0.10837004405286343</v>
      </c>
      <c r="EH156" s="1">
        <f>(Table1[[#This Row],[predicted_2]]-Table1[[#This Row],[actual_2]])/Table1[[#This Row],[actual_2]]</f>
        <v>-9.4961240310077522E-2</v>
      </c>
      <c r="EI156" s="1">
        <f>(Table1[[#This Row],[predicted_3]]-Table1[[#This Row],[actual_3]])/Table1[[#This Row],[actual_3]]</f>
        <v>0.15940594059405941</v>
      </c>
      <c r="EJ156" s="1">
        <f>(Table1[[#This Row],[predicted_4]]-Table1[[#This Row],[actual_4]])/Table1[[#This Row],[actual_4]]</f>
        <v>6.1099796334012219E-3</v>
      </c>
      <c r="EK156" s="1">
        <f>(Table1[[#This Row],[predicted_5]]-Table1[[#This Row],[actual_5]])/Table1[[#This Row],[actual_5]]</f>
        <v>-0.17713004484304934</v>
      </c>
      <c r="EL156" s="1">
        <f>(Table1[[#This Row],[predicted_6]]-Table1[[#This Row],[actual_6]])/Table1[[#This Row],[actual_6]]</f>
        <v>2.2964509394572025E-2</v>
      </c>
      <c r="EM156" s="1">
        <f>(Table1[[#This Row],[predicted_7]]-Table1[[#This Row],[actual_7]])/Table1[[#This Row],[actual_7]]</f>
        <v>-7.101167315175097E-2</v>
      </c>
      <c r="EN156" s="1">
        <f>(Table1[[#This Row],[predicted_8]]-Table1[[#This Row],[actual_8]])/Table1[[#This Row],[actual_8]]</f>
        <v>0.18788501026694046</v>
      </c>
      <c r="EO156" s="1">
        <f>(Table1[[#This Row],[predicted_9]]-Table1[[#This Row],[actual_9]])/Table1[[#This Row],[actual_9]]</f>
        <v>9.4152626362735387E-2</v>
      </c>
      <c r="EP156" s="1">
        <f>1+(Table1[[#This Row],[error_ratio_0]]-EF$2)</f>
        <v>0.98265306122448981</v>
      </c>
      <c r="EQ156" s="1">
        <f>1+(Table1[[#This Row],[error_ratio_1]]-EG$2)</f>
        <v>0.88986784140969166</v>
      </c>
      <c r="ER156" s="1">
        <f>1+(Table1[[#This Row],[error_ratio_2]]-EH$2)</f>
        <v>0.90988372093023251</v>
      </c>
      <c r="ES156" s="1">
        <f>1+(Table1[[#This Row],[error_ratio_3]]-EI$2)</f>
        <v>1.1495049504950494</v>
      </c>
      <c r="ET156" s="1">
        <f>1+(Table1[[#This Row],[error_ratio_4]]-EJ$2)</f>
        <v>1.005091649694501</v>
      </c>
      <c r="EU156" s="1">
        <f>1+(Table1[[#This Row],[error_ratio_5]]-EK$2)</f>
        <v>0.8217488789237668</v>
      </c>
      <c r="EV156" s="1">
        <f>1+(Table1[[#This Row],[error_ratio_6]]-EL$2)</f>
        <v>1.0292275574112735</v>
      </c>
      <c r="EW156" s="1">
        <f>1+(Table1[[#This Row],[error_ratio_7]]-EM$2)</f>
        <v>0.92704280155642027</v>
      </c>
      <c r="EX156" s="1">
        <f>1+(Table1[[#This Row],[error_ratio_8]]-EN$2)</f>
        <v>1.1909650924024642</v>
      </c>
      <c r="EY156" s="1">
        <f>1+(Table1[[#This Row],[error_ratio_9]]-EO$2)</f>
        <v>1.0981169474727452</v>
      </c>
    </row>
    <row r="157" spans="1:155" x14ac:dyDescent="0.75">
      <c r="A157">
        <v>100</v>
      </c>
      <c r="B157">
        <v>100</v>
      </c>
      <c r="C157">
        <v>100</v>
      </c>
      <c r="D157">
        <v>10</v>
      </c>
      <c r="E157">
        <v>100</v>
      </c>
      <c r="F157">
        <v>10</v>
      </c>
      <c r="G157">
        <v>100</v>
      </c>
      <c r="H157">
        <v>10</v>
      </c>
      <c r="I157">
        <v>100</v>
      </c>
      <c r="J157">
        <v>100</v>
      </c>
      <c r="K157">
        <v>982</v>
      </c>
      <c r="L157">
        <v>1155</v>
      </c>
      <c r="M157">
        <v>1115</v>
      </c>
      <c r="N157">
        <v>1029</v>
      </c>
      <c r="O157">
        <v>961</v>
      </c>
      <c r="P157">
        <v>806</v>
      </c>
      <c r="Q157">
        <v>982</v>
      </c>
      <c r="R157">
        <v>898</v>
      </c>
      <c r="S157">
        <v>992</v>
      </c>
      <c r="T157">
        <v>1080</v>
      </c>
      <c r="U157">
        <v>980</v>
      </c>
      <c r="V157">
        <v>1135</v>
      </c>
      <c r="W157">
        <v>1032</v>
      </c>
      <c r="X157">
        <v>1010</v>
      </c>
      <c r="Y157">
        <v>982</v>
      </c>
      <c r="Z157">
        <v>892</v>
      </c>
      <c r="AA157">
        <v>958</v>
      </c>
      <c r="AB157">
        <v>1028</v>
      </c>
      <c r="AC157">
        <v>974</v>
      </c>
      <c r="AD157">
        <v>1009</v>
      </c>
      <c r="AE157">
        <v>971</v>
      </c>
      <c r="AF157">
        <v>1</v>
      </c>
      <c r="AG157">
        <v>1</v>
      </c>
      <c r="AH157">
        <v>0</v>
      </c>
      <c r="AI157">
        <v>0</v>
      </c>
      <c r="AJ157">
        <v>0</v>
      </c>
      <c r="AK157">
        <v>4</v>
      </c>
      <c r="AL157">
        <v>1</v>
      </c>
      <c r="AM157">
        <v>1</v>
      </c>
      <c r="AN157">
        <v>1</v>
      </c>
      <c r="AO157">
        <v>0</v>
      </c>
      <c r="AP157">
        <v>1133</v>
      </c>
      <c r="AQ157">
        <v>1</v>
      </c>
      <c r="AR157">
        <v>0</v>
      </c>
      <c r="AS157">
        <v>0</v>
      </c>
      <c r="AT157">
        <v>0</v>
      </c>
      <c r="AU157">
        <v>1</v>
      </c>
      <c r="AV157">
        <v>0</v>
      </c>
      <c r="AW157">
        <v>0</v>
      </c>
      <c r="AX157">
        <v>0</v>
      </c>
      <c r="AY157">
        <v>0</v>
      </c>
      <c r="AZ157">
        <v>2</v>
      </c>
      <c r="BA157">
        <v>1022</v>
      </c>
      <c r="BB157">
        <v>0</v>
      </c>
      <c r="BC157">
        <v>1</v>
      </c>
      <c r="BD157">
        <v>0</v>
      </c>
      <c r="BE157">
        <v>4</v>
      </c>
      <c r="BF157">
        <v>1</v>
      </c>
      <c r="BG157">
        <v>2</v>
      </c>
      <c r="BH157">
        <v>0</v>
      </c>
      <c r="BI157">
        <v>0</v>
      </c>
      <c r="BJ157">
        <v>0</v>
      </c>
      <c r="BK157">
        <v>11</v>
      </c>
      <c r="BL157">
        <v>985</v>
      </c>
      <c r="BM157">
        <v>0</v>
      </c>
      <c r="BN157">
        <v>2</v>
      </c>
      <c r="BO157">
        <v>0</v>
      </c>
      <c r="BP157">
        <v>1</v>
      </c>
      <c r="BQ157">
        <v>5</v>
      </c>
      <c r="BR157">
        <v>6</v>
      </c>
      <c r="BS157">
        <v>0</v>
      </c>
      <c r="BT157">
        <v>0</v>
      </c>
      <c r="BU157">
        <v>2</v>
      </c>
      <c r="BV157">
        <v>0</v>
      </c>
      <c r="BW157">
        <v>954</v>
      </c>
      <c r="BX157">
        <v>0</v>
      </c>
      <c r="BY157">
        <v>4</v>
      </c>
      <c r="BZ157">
        <v>0</v>
      </c>
      <c r="CA157">
        <v>2</v>
      </c>
      <c r="CB157">
        <v>20</v>
      </c>
      <c r="CC157">
        <v>3</v>
      </c>
      <c r="CD157">
        <v>1</v>
      </c>
      <c r="CE157">
        <v>1</v>
      </c>
      <c r="CF157">
        <v>37</v>
      </c>
      <c r="CG157">
        <v>0</v>
      </c>
      <c r="CH157">
        <v>803</v>
      </c>
      <c r="CI157">
        <v>14</v>
      </c>
      <c r="CJ157">
        <v>1</v>
      </c>
      <c r="CK157">
        <v>16</v>
      </c>
      <c r="CL157">
        <v>16</v>
      </c>
      <c r="CM157">
        <v>3</v>
      </c>
      <c r="CN157">
        <v>1</v>
      </c>
      <c r="CO157">
        <v>0</v>
      </c>
      <c r="CP157">
        <v>0</v>
      </c>
      <c r="CQ157">
        <v>1</v>
      </c>
      <c r="CR157">
        <v>1</v>
      </c>
      <c r="CS157">
        <v>952</v>
      </c>
      <c r="CT157">
        <v>0</v>
      </c>
      <c r="CU157">
        <v>0</v>
      </c>
      <c r="CV157">
        <v>0</v>
      </c>
      <c r="CW157">
        <v>2</v>
      </c>
      <c r="CX157">
        <v>15</v>
      </c>
      <c r="CY157">
        <v>70</v>
      </c>
      <c r="CZ157">
        <v>2</v>
      </c>
      <c r="DA157">
        <v>3</v>
      </c>
      <c r="DB157">
        <v>0</v>
      </c>
      <c r="DC157">
        <v>1</v>
      </c>
      <c r="DD157">
        <v>893</v>
      </c>
      <c r="DE157">
        <v>6</v>
      </c>
      <c r="DF157">
        <v>36</v>
      </c>
      <c r="DG157">
        <v>2</v>
      </c>
      <c r="DH157">
        <v>0</v>
      </c>
      <c r="DI157">
        <v>4</v>
      </c>
      <c r="DJ157">
        <v>3</v>
      </c>
      <c r="DK157">
        <v>1</v>
      </c>
      <c r="DL157">
        <v>0</v>
      </c>
      <c r="DM157">
        <v>1</v>
      </c>
      <c r="DN157">
        <v>1</v>
      </c>
      <c r="DO157">
        <v>960</v>
      </c>
      <c r="DP157">
        <v>2</v>
      </c>
      <c r="DQ157">
        <v>1</v>
      </c>
      <c r="DR157">
        <v>2</v>
      </c>
      <c r="DS157">
        <v>3</v>
      </c>
      <c r="DT157">
        <v>2</v>
      </c>
      <c r="DU157">
        <v>1</v>
      </c>
      <c r="DV157">
        <v>0</v>
      </c>
      <c r="DW157">
        <v>1</v>
      </c>
      <c r="DX157">
        <v>0</v>
      </c>
      <c r="DY157">
        <v>0</v>
      </c>
      <c r="DZ157">
        <v>999</v>
      </c>
      <c r="EA157">
        <v>0.96719999999999995</v>
      </c>
      <c r="EB157">
        <v>0.96892006638831096</v>
      </c>
      <c r="EC157">
        <v>0.966445226659984</v>
      </c>
      <c r="ED157">
        <v>0.966711167708726</v>
      </c>
      <c r="EE157">
        <f>SUM(Table1[[#This Row],[ratio_0]:[ratio_9]])</f>
        <v>730</v>
      </c>
      <c r="EF157" s="1">
        <f>(Table1[[#This Row],[predicted_0]]-Table1[[#This Row],[actual_0]])/Table1[[#This Row],[actual_0]]</f>
        <v>2.0408163265306124E-3</v>
      </c>
      <c r="EG157" s="1">
        <f>(Table1[[#This Row],[predicted_1]]-Table1[[#This Row],[actual_1]])/Table1[[#This Row],[actual_1]]</f>
        <v>1.7621145374449341E-2</v>
      </c>
      <c r="EH157" s="1">
        <f>(Table1[[#This Row],[predicted_2]]-Table1[[#This Row],[actual_2]])/Table1[[#This Row],[actual_2]]</f>
        <v>8.0426356589147291E-2</v>
      </c>
      <c r="EI157" s="1">
        <f>(Table1[[#This Row],[predicted_3]]-Table1[[#This Row],[actual_3]])/Table1[[#This Row],[actual_3]]</f>
        <v>1.8811881188118811E-2</v>
      </c>
      <c r="EJ157" s="1">
        <f>(Table1[[#This Row],[predicted_4]]-Table1[[#This Row],[actual_4]])/Table1[[#This Row],[actual_4]]</f>
        <v>-2.1384928716904276E-2</v>
      </c>
      <c r="EK157" s="1">
        <f>(Table1[[#This Row],[predicted_5]]-Table1[[#This Row],[actual_5]])/Table1[[#This Row],[actual_5]]</f>
        <v>-9.641255605381166E-2</v>
      </c>
      <c r="EL157" s="1">
        <f>(Table1[[#This Row],[predicted_6]]-Table1[[#This Row],[actual_6]])/Table1[[#This Row],[actual_6]]</f>
        <v>2.5052192066805846E-2</v>
      </c>
      <c r="EM157" s="1">
        <f>(Table1[[#This Row],[predicted_7]]-Table1[[#This Row],[actual_7]])/Table1[[#This Row],[actual_7]]</f>
        <v>-0.12645914396887159</v>
      </c>
      <c r="EN157" s="1">
        <f>(Table1[[#This Row],[predicted_8]]-Table1[[#This Row],[actual_8]])/Table1[[#This Row],[actual_8]]</f>
        <v>1.8480492813141684E-2</v>
      </c>
      <c r="EO157" s="1">
        <f>(Table1[[#This Row],[predicted_9]]-Table1[[#This Row],[actual_9]])/Table1[[#This Row],[actual_9]]</f>
        <v>7.0366699702675922E-2</v>
      </c>
      <c r="EP157" s="1">
        <f>1+(Table1[[#This Row],[error_ratio_0]]-EF$2)</f>
        <v>1</v>
      </c>
      <c r="EQ157" s="1">
        <f>1+(Table1[[#This Row],[error_ratio_1]]-EG$2)</f>
        <v>1.0158590308370044</v>
      </c>
      <c r="ER157" s="1">
        <f>1+(Table1[[#This Row],[error_ratio_2]]-EH$2)</f>
        <v>1.0852713178294573</v>
      </c>
      <c r="ES157" s="1">
        <f>1+(Table1[[#This Row],[error_ratio_3]]-EI$2)</f>
        <v>1.0089108910891089</v>
      </c>
      <c r="ET157" s="1">
        <f>1+(Table1[[#This Row],[error_ratio_4]]-EJ$2)</f>
        <v>0.9775967413441955</v>
      </c>
      <c r="EU157" s="1">
        <f>1+(Table1[[#This Row],[error_ratio_5]]-EK$2)</f>
        <v>0.90246636771300448</v>
      </c>
      <c r="EV157" s="1">
        <f>1+(Table1[[#This Row],[error_ratio_6]]-EL$2)</f>
        <v>1.0313152400835073</v>
      </c>
      <c r="EW157" s="1">
        <f>1+(Table1[[#This Row],[error_ratio_7]]-EM$2)</f>
        <v>0.87159533073929962</v>
      </c>
      <c r="EX157" s="1">
        <f>1+(Table1[[#This Row],[error_ratio_8]]-EN$2)</f>
        <v>1.0215605749486654</v>
      </c>
      <c r="EY157" s="1">
        <f>1+(Table1[[#This Row],[error_ratio_9]]-EO$2)</f>
        <v>1.0743310208126857</v>
      </c>
    </row>
    <row r="158" spans="1:155" x14ac:dyDescent="0.75">
      <c r="A158">
        <v>10</v>
      </c>
      <c r="B158">
        <v>100</v>
      </c>
      <c r="C158">
        <v>100</v>
      </c>
      <c r="D158">
        <v>10</v>
      </c>
      <c r="E158">
        <v>100</v>
      </c>
      <c r="F158">
        <v>10</v>
      </c>
      <c r="G158">
        <v>100</v>
      </c>
      <c r="H158">
        <v>10</v>
      </c>
      <c r="I158">
        <v>100</v>
      </c>
      <c r="J158">
        <v>100</v>
      </c>
      <c r="K158">
        <v>980</v>
      </c>
      <c r="L158">
        <v>1154</v>
      </c>
      <c r="M158">
        <v>1070</v>
      </c>
      <c r="N158">
        <v>992</v>
      </c>
      <c r="O158">
        <v>1014</v>
      </c>
      <c r="P158">
        <v>878</v>
      </c>
      <c r="Q158">
        <v>964</v>
      </c>
      <c r="R158">
        <v>965</v>
      </c>
      <c r="S158">
        <v>983</v>
      </c>
      <c r="T158">
        <v>1000</v>
      </c>
      <c r="U158">
        <v>980</v>
      </c>
      <c r="V158">
        <v>1135</v>
      </c>
      <c r="W158">
        <v>1032</v>
      </c>
      <c r="X158">
        <v>1010</v>
      </c>
      <c r="Y158">
        <v>982</v>
      </c>
      <c r="Z158">
        <v>892</v>
      </c>
      <c r="AA158">
        <v>958</v>
      </c>
      <c r="AB158">
        <v>1028</v>
      </c>
      <c r="AC158">
        <v>974</v>
      </c>
      <c r="AD158">
        <v>1009</v>
      </c>
      <c r="AE158">
        <v>963</v>
      </c>
      <c r="AF158">
        <v>2</v>
      </c>
      <c r="AG158">
        <v>1</v>
      </c>
      <c r="AH158">
        <v>0</v>
      </c>
      <c r="AI158">
        <v>4</v>
      </c>
      <c r="AJ158">
        <v>0</v>
      </c>
      <c r="AK158">
        <v>7</v>
      </c>
      <c r="AL158">
        <v>1</v>
      </c>
      <c r="AM158">
        <v>1</v>
      </c>
      <c r="AN158">
        <v>1</v>
      </c>
      <c r="AO158">
        <v>0</v>
      </c>
      <c r="AP158">
        <v>1130</v>
      </c>
      <c r="AQ158">
        <v>2</v>
      </c>
      <c r="AR158">
        <v>0</v>
      </c>
      <c r="AS158">
        <v>0</v>
      </c>
      <c r="AT158">
        <v>2</v>
      </c>
      <c r="AU158">
        <v>1</v>
      </c>
      <c r="AV158">
        <v>0</v>
      </c>
      <c r="AW158">
        <v>0</v>
      </c>
      <c r="AX158">
        <v>0</v>
      </c>
      <c r="AY158">
        <v>3</v>
      </c>
      <c r="AZ158">
        <v>1</v>
      </c>
      <c r="BA158">
        <v>1019</v>
      </c>
      <c r="BB158">
        <v>0</v>
      </c>
      <c r="BC158">
        <v>2</v>
      </c>
      <c r="BD158">
        <v>0</v>
      </c>
      <c r="BE158">
        <v>1</v>
      </c>
      <c r="BF158">
        <v>2</v>
      </c>
      <c r="BG158">
        <v>3</v>
      </c>
      <c r="BH158">
        <v>1</v>
      </c>
      <c r="BI158">
        <v>3</v>
      </c>
      <c r="BJ158">
        <v>0</v>
      </c>
      <c r="BK158">
        <v>5</v>
      </c>
      <c r="BL158">
        <v>981</v>
      </c>
      <c r="BM158">
        <v>0</v>
      </c>
      <c r="BN158">
        <v>10</v>
      </c>
      <c r="BO158">
        <v>0</v>
      </c>
      <c r="BP158">
        <v>3</v>
      </c>
      <c r="BQ158">
        <v>6</v>
      </c>
      <c r="BR158">
        <v>2</v>
      </c>
      <c r="BS158">
        <v>0</v>
      </c>
      <c r="BT158">
        <v>0</v>
      </c>
      <c r="BU158">
        <v>1</v>
      </c>
      <c r="BV158">
        <v>0</v>
      </c>
      <c r="BW158">
        <v>980</v>
      </c>
      <c r="BX158">
        <v>0</v>
      </c>
      <c r="BY158">
        <v>0</v>
      </c>
      <c r="BZ158">
        <v>0</v>
      </c>
      <c r="CA158">
        <v>0</v>
      </c>
      <c r="CB158">
        <v>1</v>
      </c>
      <c r="CC158">
        <v>3</v>
      </c>
      <c r="CD158">
        <v>0</v>
      </c>
      <c r="CE158">
        <v>0</v>
      </c>
      <c r="CF158">
        <v>8</v>
      </c>
      <c r="CG158">
        <v>0</v>
      </c>
      <c r="CH158">
        <v>864</v>
      </c>
      <c r="CI158">
        <v>10</v>
      </c>
      <c r="CJ158">
        <v>1</v>
      </c>
      <c r="CK158">
        <v>3</v>
      </c>
      <c r="CL158">
        <v>3</v>
      </c>
      <c r="CM158">
        <v>2</v>
      </c>
      <c r="CN158">
        <v>4</v>
      </c>
      <c r="CO158">
        <v>1</v>
      </c>
      <c r="CP158">
        <v>0</v>
      </c>
      <c r="CQ158">
        <v>6</v>
      </c>
      <c r="CR158">
        <v>1</v>
      </c>
      <c r="CS158">
        <v>944</v>
      </c>
      <c r="CT158">
        <v>0</v>
      </c>
      <c r="CU158">
        <v>0</v>
      </c>
      <c r="CV158">
        <v>0</v>
      </c>
      <c r="CW158">
        <v>1</v>
      </c>
      <c r="CX158">
        <v>14</v>
      </c>
      <c r="CY158">
        <v>38</v>
      </c>
      <c r="CZ158">
        <v>2</v>
      </c>
      <c r="DA158">
        <v>2</v>
      </c>
      <c r="DB158">
        <v>1</v>
      </c>
      <c r="DC158">
        <v>0</v>
      </c>
      <c r="DD158">
        <v>955</v>
      </c>
      <c r="DE158">
        <v>2</v>
      </c>
      <c r="DF158">
        <v>13</v>
      </c>
      <c r="DG158">
        <v>4</v>
      </c>
      <c r="DH158">
        <v>0</v>
      </c>
      <c r="DI158">
        <v>3</v>
      </c>
      <c r="DJ158">
        <v>0</v>
      </c>
      <c r="DK158">
        <v>1</v>
      </c>
      <c r="DL158">
        <v>0</v>
      </c>
      <c r="DM158">
        <v>1</v>
      </c>
      <c r="DN158">
        <v>0</v>
      </c>
      <c r="DO158">
        <v>964</v>
      </c>
      <c r="DP158">
        <v>1</v>
      </c>
      <c r="DQ158">
        <v>1</v>
      </c>
      <c r="DR158">
        <v>3</v>
      </c>
      <c r="DS158">
        <v>0</v>
      </c>
      <c r="DT158">
        <v>1</v>
      </c>
      <c r="DU158">
        <v>19</v>
      </c>
      <c r="DV158">
        <v>0</v>
      </c>
      <c r="DW158">
        <v>0</v>
      </c>
      <c r="DX158">
        <v>3</v>
      </c>
      <c r="DY158">
        <v>4</v>
      </c>
      <c r="DZ158">
        <v>978</v>
      </c>
      <c r="EA158">
        <v>0.9778</v>
      </c>
      <c r="EB158">
        <v>0.97811895025919005</v>
      </c>
      <c r="EC158">
        <v>0.97768953290502802</v>
      </c>
      <c r="ED158">
        <v>0.97772561238658995</v>
      </c>
      <c r="EE158">
        <f>SUM(Table1[[#This Row],[ratio_0]:[ratio_9]])</f>
        <v>640</v>
      </c>
      <c r="EF158" s="1">
        <f>(Table1[[#This Row],[predicted_0]]-Table1[[#This Row],[actual_0]])/Table1[[#This Row],[actual_0]]</f>
        <v>0</v>
      </c>
      <c r="EG158" s="1">
        <f>(Table1[[#This Row],[predicted_1]]-Table1[[#This Row],[actual_1]])/Table1[[#This Row],[actual_1]]</f>
        <v>1.6740088105726872E-2</v>
      </c>
      <c r="EH158" s="1">
        <f>(Table1[[#This Row],[predicted_2]]-Table1[[#This Row],[actual_2]])/Table1[[#This Row],[actual_2]]</f>
        <v>3.6821705426356592E-2</v>
      </c>
      <c r="EI158" s="1">
        <f>(Table1[[#This Row],[predicted_3]]-Table1[[#This Row],[actual_3]])/Table1[[#This Row],[actual_3]]</f>
        <v>-1.782178217821782E-2</v>
      </c>
      <c r="EJ158" s="1">
        <f>(Table1[[#This Row],[predicted_4]]-Table1[[#This Row],[actual_4]])/Table1[[#This Row],[actual_4]]</f>
        <v>3.2586558044806514E-2</v>
      </c>
      <c r="EK158" s="1">
        <f>(Table1[[#This Row],[predicted_5]]-Table1[[#This Row],[actual_5]])/Table1[[#This Row],[actual_5]]</f>
        <v>-1.5695067264573991E-2</v>
      </c>
      <c r="EL158" s="1">
        <f>(Table1[[#This Row],[predicted_6]]-Table1[[#This Row],[actual_6]])/Table1[[#This Row],[actual_6]]</f>
        <v>6.2630480167014616E-3</v>
      </c>
      <c r="EM158" s="1">
        <f>(Table1[[#This Row],[predicted_7]]-Table1[[#This Row],[actual_7]])/Table1[[#This Row],[actual_7]]</f>
        <v>-6.1284046692607001E-2</v>
      </c>
      <c r="EN158" s="1">
        <f>(Table1[[#This Row],[predicted_8]]-Table1[[#This Row],[actual_8]])/Table1[[#This Row],[actual_8]]</f>
        <v>9.2402464065708418E-3</v>
      </c>
      <c r="EO158" s="1">
        <f>(Table1[[#This Row],[predicted_9]]-Table1[[#This Row],[actual_9]])/Table1[[#This Row],[actual_9]]</f>
        <v>-8.9197224975222991E-3</v>
      </c>
      <c r="EP158" s="1">
        <f>1+(Table1[[#This Row],[error_ratio_0]]-EF$2)</f>
        <v>0.99795918367346936</v>
      </c>
      <c r="EQ158" s="1">
        <f>1+(Table1[[#This Row],[error_ratio_1]]-EG$2)</f>
        <v>1.014977973568282</v>
      </c>
      <c r="ER158" s="1">
        <f>1+(Table1[[#This Row],[error_ratio_2]]-EH$2)</f>
        <v>1.0416666666666667</v>
      </c>
      <c r="ES158" s="1">
        <f>1+(Table1[[#This Row],[error_ratio_3]]-EI$2)</f>
        <v>0.97227722772277225</v>
      </c>
      <c r="ET158" s="1">
        <f>1+(Table1[[#This Row],[error_ratio_4]]-EJ$2)</f>
        <v>1.0315682281059062</v>
      </c>
      <c r="EU158" s="1">
        <f>1+(Table1[[#This Row],[error_ratio_5]]-EK$2)</f>
        <v>0.98318385650224216</v>
      </c>
      <c r="EV158" s="1">
        <f>1+(Table1[[#This Row],[error_ratio_6]]-EL$2)</f>
        <v>1.0125260960334028</v>
      </c>
      <c r="EW158" s="1">
        <f>1+(Table1[[#This Row],[error_ratio_7]]-EM$2)</f>
        <v>0.9367704280155642</v>
      </c>
      <c r="EX158" s="1">
        <f>1+(Table1[[#This Row],[error_ratio_8]]-EN$2)</f>
        <v>1.0123203285420945</v>
      </c>
      <c r="EY158" s="1">
        <f>1+(Table1[[#This Row],[error_ratio_9]]-EO$2)</f>
        <v>0.99504459861248762</v>
      </c>
    </row>
    <row r="159" spans="1:155" x14ac:dyDescent="0.75">
      <c r="A159">
        <v>100</v>
      </c>
      <c r="B159">
        <v>10</v>
      </c>
      <c r="C159">
        <v>100</v>
      </c>
      <c r="D159">
        <v>10</v>
      </c>
      <c r="E159">
        <v>100</v>
      </c>
      <c r="F159">
        <v>10</v>
      </c>
      <c r="G159">
        <v>100</v>
      </c>
      <c r="H159">
        <v>10</v>
      </c>
      <c r="I159">
        <v>100</v>
      </c>
      <c r="J159">
        <v>100</v>
      </c>
      <c r="K159">
        <v>1010</v>
      </c>
      <c r="L159">
        <v>1122</v>
      </c>
      <c r="M159">
        <v>1122</v>
      </c>
      <c r="N159">
        <v>961</v>
      </c>
      <c r="O159">
        <v>988</v>
      </c>
      <c r="P159">
        <v>837</v>
      </c>
      <c r="Q159">
        <v>976</v>
      </c>
      <c r="R159">
        <v>950</v>
      </c>
      <c r="S159">
        <v>977</v>
      </c>
      <c r="T159">
        <v>1057</v>
      </c>
      <c r="U159">
        <v>980</v>
      </c>
      <c r="V159">
        <v>1135</v>
      </c>
      <c r="W159">
        <v>1032</v>
      </c>
      <c r="X159">
        <v>1010</v>
      </c>
      <c r="Y159">
        <v>982</v>
      </c>
      <c r="Z159">
        <v>892</v>
      </c>
      <c r="AA159">
        <v>958</v>
      </c>
      <c r="AB159">
        <v>1028</v>
      </c>
      <c r="AC159">
        <v>974</v>
      </c>
      <c r="AD159">
        <v>1009</v>
      </c>
      <c r="AE159">
        <v>975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2</v>
      </c>
      <c r="AL159">
        <v>1</v>
      </c>
      <c r="AM159">
        <v>0</v>
      </c>
      <c r="AN159">
        <v>2</v>
      </c>
      <c r="AO159">
        <v>1</v>
      </c>
      <c r="AP159">
        <v>1117</v>
      </c>
      <c r="AQ159">
        <v>7</v>
      </c>
      <c r="AR159">
        <v>1</v>
      </c>
      <c r="AS159">
        <v>0</v>
      </c>
      <c r="AT159">
        <v>2</v>
      </c>
      <c r="AU159">
        <v>4</v>
      </c>
      <c r="AV159">
        <v>0</v>
      </c>
      <c r="AW159">
        <v>2</v>
      </c>
      <c r="AX159">
        <v>1</v>
      </c>
      <c r="AY159">
        <v>3</v>
      </c>
      <c r="AZ159">
        <v>0</v>
      </c>
      <c r="BA159">
        <v>1020</v>
      </c>
      <c r="BB159">
        <v>0</v>
      </c>
      <c r="BC159">
        <v>3</v>
      </c>
      <c r="BD159">
        <v>0</v>
      </c>
      <c r="BE159">
        <v>1</v>
      </c>
      <c r="BF159">
        <v>3</v>
      </c>
      <c r="BG159">
        <v>2</v>
      </c>
      <c r="BH159">
        <v>0</v>
      </c>
      <c r="BI159">
        <v>1</v>
      </c>
      <c r="BJ159">
        <v>0</v>
      </c>
      <c r="BK159">
        <v>35</v>
      </c>
      <c r="BL159">
        <v>946</v>
      </c>
      <c r="BM159">
        <v>0</v>
      </c>
      <c r="BN159">
        <v>10</v>
      </c>
      <c r="BO159">
        <v>1</v>
      </c>
      <c r="BP159">
        <v>4</v>
      </c>
      <c r="BQ159">
        <v>6</v>
      </c>
      <c r="BR159">
        <v>7</v>
      </c>
      <c r="BS159">
        <v>0</v>
      </c>
      <c r="BT159">
        <v>0</v>
      </c>
      <c r="BU159">
        <v>1</v>
      </c>
      <c r="BV159">
        <v>0</v>
      </c>
      <c r="BW159">
        <v>972</v>
      </c>
      <c r="BX159">
        <v>0</v>
      </c>
      <c r="BY159">
        <v>2</v>
      </c>
      <c r="BZ159">
        <v>0</v>
      </c>
      <c r="CA159">
        <v>0</v>
      </c>
      <c r="CB159">
        <v>7</v>
      </c>
      <c r="CC159">
        <v>12</v>
      </c>
      <c r="CD159">
        <v>0</v>
      </c>
      <c r="CE159">
        <v>4</v>
      </c>
      <c r="CF159">
        <v>9</v>
      </c>
      <c r="CG159">
        <v>1</v>
      </c>
      <c r="CH159">
        <v>824</v>
      </c>
      <c r="CI159">
        <v>18</v>
      </c>
      <c r="CJ159">
        <v>1</v>
      </c>
      <c r="CK159">
        <v>9</v>
      </c>
      <c r="CL159">
        <v>14</v>
      </c>
      <c r="CM159">
        <v>9</v>
      </c>
      <c r="CN159">
        <v>1</v>
      </c>
      <c r="CO159">
        <v>0</v>
      </c>
      <c r="CP159">
        <v>0</v>
      </c>
      <c r="CQ159">
        <v>1</v>
      </c>
      <c r="CR159">
        <v>1</v>
      </c>
      <c r="CS159">
        <v>946</v>
      </c>
      <c r="CT159">
        <v>0</v>
      </c>
      <c r="CU159">
        <v>0</v>
      </c>
      <c r="CV159">
        <v>0</v>
      </c>
      <c r="CW159">
        <v>0</v>
      </c>
      <c r="CX159">
        <v>4</v>
      </c>
      <c r="CY159">
        <v>52</v>
      </c>
      <c r="CZ159">
        <v>5</v>
      </c>
      <c r="DA159">
        <v>6</v>
      </c>
      <c r="DB159">
        <v>0</v>
      </c>
      <c r="DC159">
        <v>0</v>
      </c>
      <c r="DD159">
        <v>938</v>
      </c>
      <c r="DE159">
        <v>1</v>
      </c>
      <c r="DF159">
        <v>22</v>
      </c>
      <c r="DG159">
        <v>7</v>
      </c>
      <c r="DH159">
        <v>0</v>
      </c>
      <c r="DI159">
        <v>1</v>
      </c>
      <c r="DJ159">
        <v>0</v>
      </c>
      <c r="DK159">
        <v>1</v>
      </c>
      <c r="DL159">
        <v>0</v>
      </c>
      <c r="DM159">
        <v>2</v>
      </c>
      <c r="DN159">
        <v>2</v>
      </c>
      <c r="DO159">
        <v>957</v>
      </c>
      <c r="DP159">
        <v>4</v>
      </c>
      <c r="DQ159">
        <v>2</v>
      </c>
      <c r="DR159">
        <v>0</v>
      </c>
      <c r="DS159">
        <v>2</v>
      </c>
      <c r="DT159">
        <v>0</v>
      </c>
      <c r="DU159">
        <v>4</v>
      </c>
      <c r="DV159">
        <v>0</v>
      </c>
      <c r="DW159">
        <v>0</v>
      </c>
      <c r="DX159">
        <v>1</v>
      </c>
      <c r="DY159">
        <v>0</v>
      </c>
      <c r="DZ159">
        <v>1000</v>
      </c>
      <c r="EA159">
        <v>0.96950000000000003</v>
      </c>
      <c r="EB159">
        <v>0.97048800630089105</v>
      </c>
      <c r="EC159">
        <v>0.96911799460595704</v>
      </c>
      <c r="ED159">
        <v>0.96924628408973901</v>
      </c>
      <c r="EE159">
        <f>SUM(Table1[[#This Row],[ratio_0]:[ratio_9]])</f>
        <v>640</v>
      </c>
      <c r="EF159" s="1">
        <f>(Table1[[#This Row],[predicted_0]]-Table1[[#This Row],[actual_0]])/Table1[[#This Row],[actual_0]]</f>
        <v>3.0612244897959183E-2</v>
      </c>
      <c r="EG159" s="1">
        <f>(Table1[[#This Row],[predicted_1]]-Table1[[#This Row],[actual_1]])/Table1[[#This Row],[actual_1]]</f>
        <v>-1.145374449339207E-2</v>
      </c>
      <c r="EH159" s="1">
        <f>(Table1[[#This Row],[predicted_2]]-Table1[[#This Row],[actual_2]])/Table1[[#This Row],[actual_2]]</f>
        <v>8.7209302325581398E-2</v>
      </c>
      <c r="EI159" s="1">
        <f>(Table1[[#This Row],[predicted_3]]-Table1[[#This Row],[actual_3]])/Table1[[#This Row],[actual_3]]</f>
        <v>-4.8514851485148516E-2</v>
      </c>
      <c r="EJ159" s="1">
        <f>(Table1[[#This Row],[predicted_4]]-Table1[[#This Row],[actual_4]])/Table1[[#This Row],[actual_4]]</f>
        <v>6.1099796334012219E-3</v>
      </c>
      <c r="EK159" s="1">
        <f>(Table1[[#This Row],[predicted_5]]-Table1[[#This Row],[actual_5]])/Table1[[#This Row],[actual_5]]</f>
        <v>-6.1659192825112105E-2</v>
      </c>
      <c r="EL159" s="1">
        <f>(Table1[[#This Row],[predicted_6]]-Table1[[#This Row],[actual_6]])/Table1[[#This Row],[actual_6]]</f>
        <v>1.8789144050104383E-2</v>
      </c>
      <c r="EM159" s="1">
        <f>(Table1[[#This Row],[predicted_7]]-Table1[[#This Row],[actual_7]])/Table1[[#This Row],[actual_7]]</f>
        <v>-7.5875486381322951E-2</v>
      </c>
      <c r="EN159" s="1">
        <f>(Table1[[#This Row],[predicted_8]]-Table1[[#This Row],[actual_8]])/Table1[[#This Row],[actual_8]]</f>
        <v>3.0800821355236141E-3</v>
      </c>
      <c r="EO159" s="1">
        <f>(Table1[[#This Row],[predicted_9]]-Table1[[#This Row],[actual_9]])/Table1[[#This Row],[actual_9]]</f>
        <v>4.7571853320118929E-2</v>
      </c>
      <c r="EP159" s="1">
        <f>1+(Table1[[#This Row],[error_ratio_0]]-EF$2)</f>
        <v>1.0285714285714285</v>
      </c>
      <c r="EQ159" s="1">
        <f>1+(Table1[[#This Row],[error_ratio_1]]-EG$2)</f>
        <v>0.986784140969163</v>
      </c>
      <c r="ER159" s="1">
        <f>1+(Table1[[#This Row],[error_ratio_2]]-EH$2)</f>
        <v>1.0920542635658914</v>
      </c>
      <c r="ES159" s="1">
        <f>1+(Table1[[#This Row],[error_ratio_3]]-EI$2)</f>
        <v>0.94158415841584153</v>
      </c>
      <c r="ET159" s="1">
        <f>1+(Table1[[#This Row],[error_ratio_4]]-EJ$2)</f>
        <v>1.005091649694501</v>
      </c>
      <c r="EU159" s="1">
        <f>1+(Table1[[#This Row],[error_ratio_5]]-EK$2)</f>
        <v>0.93721973094170408</v>
      </c>
      <c r="EV159" s="1">
        <f>1+(Table1[[#This Row],[error_ratio_6]]-EL$2)</f>
        <v>1.0250521920668059</v>
      </c>
      <c r="EW159" s="1">
        <f>1+(Table1[[#This Row],[error_ratio_7]]-EM$2)</f>
        <v>0.9221789883268483</v>
      </c>
      <c r="EX159" s="1">
        <f>1+(Table1[[#This Row],[error_ratio_8]]-EN$2)</f>
        <v>1.0061601642710472</v>
      </c>
      <c r="EY159" s="1">
        <f>1+(Table1[[#This Row],[error_ratio_9]]-EO$2)</f>
        <v>1.0515361744301288</v>
      </c>
    </row>
    <row r="160" spans="1:155" x14ac:dyDescent="0.75">
      <c r="A160">
        <v>10</v>
      </c>
      <c r="B160">
        <v>10</v>
      </c>
      <c r="C160">
        <v>100</v>
      </c>
      <c r="D160">
        <v>10</v>
      </c>
      <c r="E160">
        <v>100</v>
      </c>
      <c r="F160">
        <v>10</v>
      </c>
      <c r="G160">
        <v>100</v>
      </c>
      <c r="H160">
        <v>10</v>
      </c>
      <c r="I160">
        <v>100</v>
      </c>
      <c r="J160">
        <v>100</v>
      </c>
      <c r="K160">
        <v>972</v>
      </c>
      <c r="L160">
        <v>1078</v>
      </c>
      <c r="M160">
        <v>1098</v>
      </c>
      <c r="N160">
        <v>925</v>
      </c>
      <c r="O160">
        <v>992</v>
      </c>
      <c r="P160">
        <v>772</v>
      </c>
      <c r="Q160">
        <v>981</v>
      </c>
      <c r="R160">
        <v>789</v>
      </c>
      <c r="S160">
        <v>1180</v>
      </c>
      <c r="T160">
        <v>1213</v>
      </c>
      <c r="U160">
        <v>980</v>
      </c>
      <c r="V160">
        <v>1135</v>
      </c>
      <c r="W160">
        <v>1032</v>
      </c>
      <c r="X160">
        <v>1010</v>
      </c>
      <c r="Y160">
        <v>982</v>
      </c>
      <c r="Z160">
        <v>892</v>
      </c>
      <c r="AA160">
        <v>958</v>
      </c>
      <c r="AB160">
        <v>1028</v>
      </c>
      <c r="AC160">
        <v>974</v>
      </c>
      <c r="AD160">
        <v>1009</v>
      </c>
      <c r="AE160">
        <v>959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7</v>
      </c>
      <c r="AL160">
        <v>1</v>
      </c>
      <c r="AM160">
        <v>6</v>
      </c>
      <c r="AN160">
        <v>7</v>
      </c>
      <c r="AO160">
        <v>0</v>
      </c>
      <c r="AP160">
        <v>1072</v>
      </c>
      <c r="AQ160">
        <v>6</v>
      </c>
      <c r="AR160">
        <v>2</v>
      </c>
      <c r="AS160">
        <v>7</v>
      </c>
      <c r="AT160">
        <v>0</v>
      </c>
      <c r="AU160">
        <v>2</v>
      </c>
      <c r="AV160">
        <v>0</v>
      </c>
      <c r="AW160">
        <v>39</v>
      </c>
      <c r="AX160">
        <v>7</v>
      </c>
      <c r="AY160">
        <v>1</v>
      </c>
      <c r="AZ160">
        <v>0</v>
      </c>
      <c r="BA160">
        <v>1015</v>
      </c>
      <c r="BB160">
        <v>0</v>
      </c>
      <c r="BC160">
        <v>2</v>
      </c>
      <c r="BD160">
        <v>0</v>
      </c>
      <c r="BE160">
        <v>0</v>
      </c>
      <c r="BF160">
        <v>1</v>
      </c>
      <c r="BG160">
        <v>13</v>
      </c>
      <c r="BH160">
        <v>0</v>
      </c>
      <c r="BI160">
        <v>2</v>
      </c>
      <c r="BJ160">
        <v>0</v>
      </c>
      <c r="BK160">
        <v>20</v>
      </c>
      <c r="BL160">
        <v>919</v>
      </c>
      <c r="BM160">
        <v>2</v>
      </c>
      <c r="BN160">
        <v>11</v>
      </c>
      <c r="BO160">
        <v>0</v>
      </c>
      <c r="BP160">
        <v>2</v>
      </c>
      <c r="BQ160">
        <v>24</v>
      </c>
      <c r="BR160">
        <v>30</v>
      </c>
      <c r="BS160">
        <v>0</v>
      </c>
      <c r="BT160">
        <v>0</v>
      </c>
      <c r="BU160">
        <v>1</v>
      </c>
      <c r="BV160">
        <v>0</v>
      </c>
      <c r="BW160">
        <v>956</v>
      </c>
      <c r="BX160">
        <v>0</v>
      </c>
      <c r="BY160">
        <v>5</v>
      </c>
      <c r="BZ160">
        <v>0</v>
      </c>
      <c r="CA160">
        <v>0</v>
      </c>
      <c r="CB160">
        <v>20</v>
      </c>
      <c r="CC160">
        <v>1</v>
      </c>
      <c r="CD160">
        <v>0</v>
      </c>
      <c r="CE160">
        <v>3</v>
      </c>
      <c r="CF160">
        <v>4</v>
      </c>
      <c r="CG160">
        <v>4</v>
      </c>
      <c r="CH160">
        <v>759</v>
      </c>
      <c r="CI160">
        <v>19</v>
      </c>
      <c r="CJ160">
        <v>1</v>
      </c>
      <c r="CK160">
        <v>77</v>
      </c>
      <c r="CL160">
        <v>24</v>
      </c>
      <c r="CM160">
        <v>2</v>
      </c>
      <c r="CN160">
        <v>2</v>
      </c>
      <c r="CO160">
        <v>2</v>
      </c>
      <c r="CP160">
        <v>0</v>
      </c>
      <c r="CQ160">
        <v>4</v>
      </c>
      <c r="CR160">
        <v>0</v>
      </c>
      <c r="CS160">
        <v>945</v>
      </c>
      <c r="CT160">
        <v>0</v>
      </c>
      <c r="CU160">
        <v>3</v>
      </c>
      <c r="CV160">
        <v>0</v>
      </c>
      <c r="CW160">
        <v>3</v>
      </c>
      <c r="CX160">
        <v>4</v>
      </c>
      <c r="CY160">
        <v>49</v>
      </c>
      <c r="CZ160">
        <v>0</v>
      </c>
      <c r="DA160">
        <v>7</v>
      </c>
      <c r="DB160">
        <v>2</v>
      </c>
      <c r="DC160">
        <v>2</v>
      </c>
      <c r="DD160">
        <v>784</v>
      </c>
      <c r="DE160">
        <v>51</v>
      </c>
      <c r="DF160">
        <v>126</v>
      </c>
      <c r="DG160">
        <v>2</v>
      </c>
      <c r="DH160">
        <v>0</v>
      </c>
      <c r="DI160">
        <v>1</v>
      </c>
      <c r="DJ160">
        <v>0</v>
      </c>
      <c r="DK160">
        <v>3</v>
      </c>
      <c r="DL160">
        <v>0</v>
      </c>
      <c r="DM160">
        <v>1</v>
      </c>
      <c r="DN160">
        <v>0</v>
      </c>
      <c r="DO160">
        <v>966</v>
      </c>
      <c r="DP160">
        <v>1</v>
      </c>
      <c r="DQ160">
        <v>2</v>
      </c>
      <c r="DR160">
        <v>0</v>
      </c>
      <c r="DS160">
        <v>1</v>
      </c>
      <c r="DT160">
        <v>0</v>
      </c>
      <c r="DU160">
        <v>7</v>
      </c>
      <c r="DV160">
        <v>0</v>
      </c>
      <c r="DW160">
        <v>0</v>
      </c>
      <c r="DX160">
        <v>0</v>
      </c>
      <c r="DY160">
        <v>1</v>
      </c>
      <c r="DZ160">
        <v>998</v>
      </c>
      <c r="EA160">
        <v>0.93730000000000002</v>
      </c>
      <c r="EB160">
        <v>0.94442146671463401</v>
      </c>
      <c r="EC160">
        <v>0.93708737667124498</v>
      </c>
      <c r="ED160">
        <v>0.93680922529414101</v>
      </c>
      <c r="EE160">
        <f>SUM(Table1[[#This Row],[ratio_0]:[ratio_9]])</f>
        <v>550</v>
      </c>
      <c r="EF160" s="1">
        <f>(Table1[[#This Row],[predicted_0]]-Table1[[#This Row],[actual_0]])/Table1[[#This Row],[actual_0]]</f>
        <v>-8.1632653061224497E-3</v>
      </c>
      <c r="EG160" s="1">
        <f>(Table1[[#This Row],[predicted_1]]-Table1[[#This Row],[actual_1]])/Table1[[#This Row],[actual_1]]</f>
        <v>-5.0220264317180616E-2</v>
      </c>
      <c r="EH160" s="1">
        <f>(Table1[[#This Row],[predicted_2]]-Table1[[#This Row],[actual_2]])/Table1[[#This Row],[actual_2]]</f>
        <v>6.3953488372093026E-2</v>
      </c>
      <c r="EI160" s="1">
        <f>(Table1[[#This Row],[predicted_3]]-Table1[[#This Row],[actual_3]])/Table1[[#This Row],[actual_3]]</f>
        <v>-8.4158415841584164E-2</v>
      </c>
      <c r="EJ160" s="1">
        <f>(Table1[[#This Row],[predicted_4]]-Table1[[#This Row],[actual_4]])/Table1[[#This Row],[actual_4]]</f>
        <v>1.0183299389002037E-2</v>
      </c>
      <c r="EK160" s="1">
        <f>(Table1[[#This Row],[predicted_5]]-Table1[[#This Row],[actual_5]])/Table1[[#This Row],[actual_5]]</f>
        <v>-0.13452914798206278</v>
      </c>
      <c r="EL160" s="1">
        <f>(Table1[[#This Row],[predicted_6]]-Table1[[#This Row],[actual_6]])/Table1[[#This Row],[actual_6]]</f>
        <v>2.4008350730688934E-2</v>
      </c>
      <c r="EM160" s="1">
        <f>(Table1[[#This Row],[predicted_7]]-Table1[[#This Row],[actual_7]])/Table1[[#This Row],[actual_7]]</f>
        <v>-0.23249027237354086</v>
      </c>
      <c r="EN160" s="1">
        <f>(Table1[[#This Row],[predicted_8]]-Table1[[#This Row],[actual_8]])/Table1[[#This Row],[actual_8]]</f>
        <v>0.21149897330595482</v>
      </c>
      <c r="EO160" s="1">
        <f>(Table1[[#This Row],[predicted_9]]-Table1[[#This Row],[actual_9]])/Table1[[#This Row],[actual_9]]</f>
        <v>0.20218037661050545</v>
      </c>
      <c r="EP160" s="1">
        <f>1+(Table1[[#This Row],[error_ratio_0]]-EF$2)</f>
        <v>0.98979591836734693</v>
      </c>
      <c r="EQ160" s="1">
        <f>1+(Table1[[#This Row],[error_ratio_1]]-EG$2)</f>
        <v>0.94801762114537447</v>
      </c>
      <c r="ER160" s="1">
        <f>1+(Table1[[#This Row],[error_ratio_2]]-EH$2)</f>
        <v>1.068798449612403</v>
      </c>
      <c r="ES160" s="1">
        <f>1+(Table1[[#This Row],[error_ratio_3]]-EI$2)</f>
        <v>0.90594059405940597</v>
      </c>
      <c r="ET160" s="1">
        <f>1+(Table1[[#This Row],[error_ratio_4]]-EJ$2)</f>
        <v>1.0091649694501019</v>
      </c>
      <c r="EU160" s="1">
        <f>1+(Table1[[#This Row],[error_ratio_5]]-EK$2)</f>
        <v>0.86434977578475336</v>
      </c>
      <c r="EV160" s="1">
        <f>1+(Table1[[#This Row],[error_ratio_6]]-EL$2)</f>
        <v>1.0302713987473904</v>
      </c>
      <c r="EW160" s="1">
        <f>1+(Table1[[#This Row],[error_ratio_7]]-EM$2)</f>
        <v>0.76556420233463029</v>
      </c>
      <c r="EX160" s="1">
        <f>1+(Table1[[#This Row],[error_ratio_8]]-EN$2)</f>
        <v>1.2145790554414784</v>
      </c>
      <c r="EY160" s="1">
        <f>1+(Table1[[#This Row],[error_ratio_9]]-EO$2)</f>
        <v>1.2061446977205152</v>
      </c>
    </row>
    <row r="161" spans="1:155" x14ac:dyDescent="0.75">
      <c r="A161">
        <v>100</v>
      </c>
      <c r="B161">
        <v>100</v>
      </c>
      <c r="C161">
        <v>10</v>
      </c>
      <c r="D161">
        <v>10</v>
      </c>
      <c r="E161">
        <v>100</v>
      </c>
      <c r="F161">
        <v>10</v>
      </c>
      <c r="G161">
        <v>100</v>
      </c>
      <c r="H161">
        <v>10</v>
      </c>
      <c r="I161">
        <v>100</v>
      </c>
      <c r="J161">
        <v>100</v>
      </c>
      <c r="K161">
        <v>1013</v>
      </c>
      <c r="L161">
        <v>1146</v>
      </c>
      <c r="M161">
        <v>958</v>
      </c>
      <c r="N161">
        <v>983</v>
      </c>
      <c r="O161">
        <v>993</v>
      </c>
      <c r="P161">
        <v>844</v>
      </c>
      <c r="Q161">
        <v>969</v>
      </c>
      <c r="R161">
        <v>970</v>
      </c>
      <c r="S161">
        <v>1022</v>
      </c>
      <c r="T161">
        <v>1102</v>
      </c>
      <c r="U161">
        <v>980</v>
      </c>
      <c r="V161">
        <v>1135</v>
      </c>
      <c r="W161">
        <v>1032</v>
      </c>
      <c r="X161">
        <v>1010</v>
      </c>
      <c r="Y161">
        <v>982</v>
      </c>
      <c r="Z161">
        <v>892</v>
      </c>
      <c r="AA161">
        <v>958</v>
      </c>
      <c r="AB161">
        <v>1028</v>
      </c>
      <c r="AC161">
        <v>974</v>
      </c>
      <c r="AD161">
        <v>1009</v>
      </c>
      <c r="AE161">
        <v>972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1</v>
      </c>
      <c r="AL161">
        <v>0</v>
      </c>
      <c r="AM161">
        <v>2</v>
      </c>
      <c r="AN161">
        <v>5</v>
      </c>
      <c r="AO161">
        <v>0</v>
      </c>
      <c r="AP161">
        <v>1124</v>
      </c>
      <c r="AQ161">
        <v>0</v>
      </c>
      <c r="AR161">
        <v>1</v>
      </c>
      <c r="AS161">
        <v>0</v>
      </c>
      <c r="AT161">
        <v>1</v>
      </c>
      <c r="AU161">
        <v>2</v>
      </c>
      <c r="AV161">
        <v>0</v>
      </c>
      <c r="AW161">
        <v>6</v>
      </c>
      <c r="AX161">
        <v>1</v>
      </c>
      <c r="AY161">
        <v>15</v>
      </c>
      <c r="AZ161">
        <v>11</v>
      </c>
      <c r="BA161">
        <v>949</v>
      </c>
      <c r="BB161">
        <v>3</v>
      </c>
      <c r="BC161">
        <v>14</v>
      </c>
      <c r="BD161">
        <v>0</v>
      </c>
      <c r="BE161">
        <v>7</v>
      </c>
      <c r="BF161">
        <v>9</v>
      </c>
      <c r="BG161">
        <v>23</v>
      </c>
      <c r="BH161">
        <v>1</v>
      </c>
      <c r="BI161">
        <v>2</v>
      </c>
      <c r="BJ161">
        <v>0</v>
      </c>
      <c r="BK161">
        <v>1</v>
      </c>
      <c r="BL161">
        <v>965</v>
      </c>
      <c r="BM161">
        <v>0</v>
      </c>
      <c r="BN161">
        <v>5</v>
      </c>
      <c r="BO161">
        <v>0</v>
      </c>
      <c r="BP161">
        <v>9</v>
      </c>
      <c r="BQ161">
        <v>13</v>
      </c>
      <c r="BR161">
        <v>15</v>
      </c>
      <c r="BS161">
        <v>0</v>
      </c>
      <c r="BT161">
        <v>0</v>
      </c>
      <c r="BU161">
        <v>0</v>
      </c>
      <c r="BV161">
        <v>0</v>
      </c>
      <c r="BW161">
        <v>970</v>
      </c>
      <c r="BX161">
        <v>0</v>
      </c>
      <c r="BY161">
        <v>5</v>
      </c>
      <c r="BZ161">
        <v>0</v>
      </c>
      <c r="CA161">
        <v>0</v>
      </c>
      <c r="CB161">
        <v>7</v>
      </c>
      <c r="CC161">
        <v>10</v>
      </c>
      <c r="CD161">
        <v>0</v>
      </c>
      <c r="CE161">
        <v>0</v>
      </c>
      <c r="CF161">
        <v>12</v>
      </c>
      <c r="CG161">
        <v>0</v>
      </c>
      <c r="CH161">
        <v>830</v>
      </c>
      <c r="CI161">
        <v>8</v>
      </c>
      <c r="CJ161">
        <v>1</v>
      </c>
      <c r="CK161">
        <v>7</v>
      </c>
      <c r="CL161">
        <v>24</v>
      </c>
      <c r="CM161">
        <v>7</v>
      </c>
      <c r="CN161">
        <v>3</v>
      </c>
      <c r="CO161">
        <v>0</v>
      </c>
      <c r="CP161">
        <v>0</v>
      </c>
      <c r="CQ161">
        <v>1</v>
      </c>
      <c r="CR161">
        <v>2</v>
      </c>
      <c r="CS161">
        <v>943</v>
      </c>
      <c r="CT161">
        <v>0</v>
      </c>
      <c r="CU161">
        <v>2</v>
      </c>
      <c r="CV161">
        <v>0</v>
      </c>
      <c r="CW161">
        <v>3</v>
      </c>
      <c r="CX161">
        <v>7</v>
      </c>
      <c r="CY161">
        <v>8</v>
      </c>
      <c r="CZ161">
        <v>2</v>
      </c>
      <c r="DA161">
        <v>2</v>
      </c>
      <c r="DB161">
        <v>0</v>
      </c>
      <c r="DC161">
        <v>1</v>
      </c>
      <c r="DD161">
        <v>949</v>
      </c>
      <c r="DE161">
        <v>5</v>
      </c>
      <c r="DF161">
        <v>51</v>
      </c>
      <c r="DG161">
        <v>2</v>
      </c>
      <c r="DH161">
        <v>0</v>
      </c>
      <c r="DI161">
        <v>0</v>
      </c>
      <c r="DJ161">
        <v>0</v>
      </c>
      <c r="DK161">
        <v>1</v>
      </c>
      <c r="DL161">
        <v>2</v>
      </c>
      <c r="DM161">
        <v>2</v>
      </c>
      <c r="DN161">
        <v>2</v>
      </c>
      <c r="DO161">
        <v>963</v>
      </c>
      <c r="DP161">
        <v>2</v>
      </c>
      <c r="DQ161">
        <v>2</v>
      </c>
      <c r="DR161">
        <v>1</v>
      </c>
      <c r="DS161">
        <v>0</v>
      </c>
      <c r="DT161">
        <v>0</v>
      </c>
      <c r="DU161">
        <v>5</v>
      </c>
      <c r="DV161">
        <v>4</v>
      </c>
      <c r="DW161">
        <v>0</v>
      </c>
      <c r="DX161">
        <v>0</v>
      </c>
      <c r="DY161">
        <v>1</v>
      </c>
      <c r="DZ161">
        <v>996</v>
      </c>
      <c r="EA161">
        <v>0.96609999999999996</v>
      </c>
      <c r="EB161">
        <v>0.96704733166792001</v>
      </c>
      <c r="EC161">
        <v>0.96587540598055899</v>
      </c>
      <c r="ED161">
        <v>0.96588363220514795</v>
      </c>
      <c r="EE161">
        <f>SUM(Table1[[#This Row],[ratio_0]:[ratio_9]])</f>
        <v>640</v>
      </c>
      <c r="EF161" s="1">
        <f>(Table1[[#This Row],[predicted_0]]-Table1[[#This Row],[actual_0]])/Table1[[#This Row],[actual_0]]</f>
        <v>3.3673469387755103E-2</v>
      </c>
      <c r="EG161" s="1">
        <f>(Table1[[#This Row],[predicted_1]]-Table1[[#This Row],[actual_1]])/Table1[[#This Row],[actual_1]]</f>
        <v>9.6916299559471359E-3</v>
      </c>
      <c r="EH161" s="1">
        <f>(Table1[[#This Row],[predicted_2]]-Table1[[#This Row],[actual_2]])/Table1[[#This Row],[actual_2]]</f>
        <v>-7.170542635658915E-2</v>
      </c>
      <c r="EI161" s="1">
        <f>(Table1[[#This Row],[predicted_3]]-Table1[[#This Row],[actual_3]])/Table1[[#This Row],[actual_3]]</f>
        <v>-2.6732673267326732E-2</v>
      </c>
      <c r="EJ161" s="1">
        <f>(Table1[[#This Row],[predicted_4]]-Table1[[#This Row],[actual_4]])/Table1[[#This Row],[actual_4]]</f>
        <v>1.1201629327902239E-2</v>
      </c>
      <c r="EK161" s="1">
        <f>(Table1[[#This Row],[predicted_5]]-Table1[[#This Row],[actual_5]])/Table1[[#This Row],[actual_5]]</f>
        <v>-5.3811659192825115E-2</v>
      </c>
      <c r="EL161" s="1">
        <f>(Table1[[#This Row],[predicted_6]]-Table1[[#This Row],[actual_6]])/Table1[[#This Row],[actual_6]]</f>
        <v>1.1482254697286013E-2</v>
      </c>
      <c r="EM161" s="1">
        <f>(Table1[[#This Row],[predicted_7]]-Table1[[#This Row],[actual_7]])/Table1[[#This Row],[actual_7]]</f>
        <v>-5.642023346303502E-2</v>
      </c>
      <c r="EN161" s="1">
        <f>(Table1[[#This Row],[predicted_8]]-Table1[[#This Row],[actual_8]])/Table1[[#This Row],[actual_8]]</f>
        <v>4.9281314168377825E-2</v>
      </c>
      <c r="EO161" s="1">
        <f>(Table1[[#This Row],[predicted_9]]-Table1[[#This Row],[actual_9]])/Table1[[#This Row],[actual_9]]</f>
        <v>9.2170465807730431E-2</v>
      </c>
      <c r="EP161" s="1">
        <f>1+(Table1[[#This Row],[error_ratio_0]]-EF$2)</f>
        <v>1.0316326530612245</v>
      </c>
      <c r="EQ161" s="1">
        <f>1+(Table1[[#This Row],[error_ratio_1]]-EG$2)</f>
        <v>1.0079295154185022</v>
      </c>
      <c r="ER161" s="1">
        <f>1+(Table1[[#This Row],[error_ratio_2]]-EH$2)</f>
        <v>0.93313953488372092</v>
      </c>
      <c r="ES161" s="1">
        <f>1+(Table1[[#This Row],[error_ratio_3]]-EI$2)</f>
        <v>0.96336633663366333</v>
      </c>
      <c r="ET161" s="1">
        <f>1+(Table1[[#This Row],[error_ratio_4]]-EJ$2)</f>
        <v>1.0101832993890021</v>
      </c>
      <c r="EU161" s="1">
        <f>1+(Table1[[#This Row],[error_ratio_5]]-EK$2)</f>
        <v>0.94506726457399104</v>
      </c>
      <c r="EV161" s="1">
        <f>1+(Table1[[#This Row],[error_ratio_6]]-EL$2)</f>
        <v>1.0177453027139876</v>
      </c>
      <c r="EW161" s="1">
        <f>1+(Table1[[#This Row],[error_ratio_7]]-EM$2)</f>
        <v>0.94163424124513617</v>
      </c>
      <c r="EX161" s="1">
        <f>1+(Table1[[#This Row],[error_ratio_8]]-EN$2)</f>
        <v>1.0523613963039014</v>
      </c>
      <c r="EY161" s="1">
        <f>1+(Table1[[#This Row],[error_ratio_9]]-EO$2)</f>
        <v>1.0961347869177402</v>
      </c>
    </row>
    <row r="162" spans="1:155" x14ac:dyDescent="0.75">
      <c r="A162">
        <v>10</v>
      </c>
      <c r="B162">
        <v>100</v>
      </c>
      <c r="C162">
        <v>10</v>
      </c>
      <c r="D162">
        <v>10</v>
      </c>
      <c r="E162">
        <v>100</v>
      </c>
      <c r="F162">
        <v>10</v>
      </c>
      <c r="G162">
        <v>100</v>
      </c>
      <c r="H162">
        <v>10</v>
      </c>
      <c r="I162">
        <v>100</v>
      </c>
      <c r="J162">
        <v>100</v>
      </c>
      <c r="K162">
        <v>932</v>
      </c>
      <c r="L162">
        <v>1206</v>
      </c>
      <c r="M162">
        <v>935</v>
      </c>
      <c r="N162">
        <v>962</v>
      </c>
      <c r="O162">
        <v>1012</v>
      </c>
      <c r="P162">
        <v>897</v>
      </c>
      <c r="Q162">
        <v>982</v>
      </c>
      <c r="R162">
        <v>1001</v>
      </c>
      <c r="S162">
        <v>1030</v>
      </c>
      <c r="T162">
        <v>1043</v>
      </c>
      <c r="U162">
        <v>980</v>
      </c>
      <c r="V162">
        <v>1135</v>
      </c>
      <c r="W162">
        <v>1032</v>
      </c>
      <c r="X162">
        <v>1010</v>
      </c>
      <c r="Y162">
        <v>982</v>
      </c>
      <c r="Z162">
        <v>892</v>
      </c>
      <c r="AA162">
        <v>958</v>
      </c>
      <c r="AB162">
        <v>1028</v>
      </c>
      <c r="AC162">
        <v>974</v>
      </c>
      <c r="AD162">
        <v>1009</v>
      </c>
      <c r="AE162">
        <v>926</v>
      </c>
      <c r="AF162">
        <v>1</v>
      </c>
      <c r="AG162">
        <v>0</v>
      </c>
      <c r="AH162">
        <v>1</v>
      </c>
      <c r="AI162">
        <v>8</v>
      </c>
      <c r="AJ162">
        <v>4</v>
      </c>
      <c r="AK162">
        <v>17</v>
      </c>
      <c r="AL162">
        <v>4</v>
      </c>
      <c r="AM162">
        <v>9</v>
      </c>
      <c r="AN162">
        <v>10</v>
      </c>
      <c r="AO162">
        <v>0</v>
      </c>
      <c r="AP162">
        <v>1134</v>
      </c>
      <c r="AQ162">
        <v>0</v>
      </c>
      <c r="AR162">
        <v>0</v>
      </c>
      <c r="AS162">
        <v>0</v>
      </c>
      <c r="AT162">
        <v>0</v>
      </c>
      <c r="AU162">
        <v>1</v>
      </c>
      <c r="AV162">
        <v>0</v>
      </c>
      <c r="AW162">
        <v>0</v>
      </c>
      <c r="AX162">
        <v>0</v>
      </c>
      <c r="AY162">
        <v>2</v>
      </c>
      <c r="AZ162">
        <v>30</v>
      </c>
      <c r="BA162">
        <v>930</v>
      </c>
      <c r="BB162">
        <v>5</v>
      </c>
      <c r="BC162">
        <v>5</v>
      </c>
      <c r="BD162">
        <v>0</v>
      </c>
      <c r="BE162">
        <v>10</v>
      </c>
      <c r="BF162">
        <v>22</v>
      </c>
      <c r="BG162">
        <v>28</v>
      </c>
      <c r="BH162">
        <v>0</v>
      </c>
      <c r="BI162">
        <v>1</v>
      </c>
      <c r="BJ162">
        <v>1</v>
      </c>
      <c r="BK162">
        <v>0</v>
      </c>
      <c r="BL162">
        <v>951</v>
      </c>
      <c r="BM162">
        <v>0</v>
      </c>
      <c r="BN162">
        <v>25</v>
      </c>
      <c r="BO162">
        <v>0</v>
      </c>
      <c r="BP162">
        <v>12</v>
      </c>
      <c r="BQ162">
        <v>8</v>
      </c>
      <c r="BR162">
        <v>12</v>
      </c>
      <c r="BS162">
        <v>0</v>
      </c>
      <c r="BT162">
        <v>2</v>
      </c>
      <c r="BU162">
        <v>0</v>
      </c>
      <c r="BV162">
        <v>0</v>
      </c>
      <c r="BW162">
        <v>978</v>
      </c>
      <c r="BX162">
        <v>0</v>
      </c>
      <c r="BY162">
        <v>1</v>
      </c>
      <c r="BZ162">
        <v>0</v>
      </c>
      <c r="CA162">
        <v>1</v>
      </c>
      <c r="CB162">
        <v>0</v>
      </c>
      <c r="CC162">
        <v>1</v>
      </c>
      <c r="CD162">
        <v>1</v>
      </c>
      <c r="CE162">
        <v>0</v>
      </c>
      <c r="CF162">
        <v>1</v>
      </c>
      <c r="CG162">
        <v>0</v>
      </c>
      <c r="CH162">
        <v>865</v>
      </c>
      <c r="CI162">
        <v>9</v>
      </c>
      <c r="CJ162">
        <v>1</v>
      </c>
      <c r="CK162">
        <v>7</v>
      </c>
      <c r="CL162">
        <v>7</v>
      </c>
      <c r="CM162">
        <v>1</v>
      </c>
      <c r="CN162">
        <v>5</v>
      </c>
      <c r="CO162">
        <v>0</v>
      </c>
      <c r="CP162">
        <v>0</v>
      </c>
      <c r="CQ162">
        <v>1</v>
      </c>
      <c r="CR162">
        <v>2</v>
      </c>
      <c r="CS162">
        <v>943</v>
      </c>
      <c r="CT162">
        <v>0</v>
      </c>
      <c r="CU162">
        <v>6</v>
      </c>
      <c r="CV162">
        <v>0</v>
      </c>
      <c r="CW162">
        <v>0</v>
      </c>
      <c r="CX162">
        <v>27</v>
      </c>
      <c r="CY162">
        <v>5</v>
      </c>
      <c r="CZ162">
        <v>1</v>
      </c>
      <c r="DA162">
        <v>7</v>
      </c>
      <c r="DB162">
        <v>0</v>
      </c>
      <c r="DC162">
        <v>0</v>
      </c>
      <c r="DD162">
        <v>959</v>
      </c>
      <c r="DE162">
        <v>3</v>
      </c>
      <c r="DF162">
        <v>26</v>
      </c>
      <c r="DG162">
        <v>1</v>
      </c>
      <c r="DH162">
        <v>0</v>
      </c>
      <c r="DI162">
        <v>0</v>
      </c>
      <c r="DJ162">
        <v>2</v>
      </c>
      <c r="DK162">
        <v>0</v>
      </c>
      <c r="DL162">
        <v>0</v>
      </c>
      <c r="DM162">
        <v>1</v>
      </c>
      <c r="DN162">
        <v>3</v>
      </c>
      <c r="DO162">
        <v>964</v>
      </c>
      <c r="DP162">
        <v>3</v>
      </c>
      <c r="DQ162">
        <v>0</v>
      </c>
      <c r="DR162">
        <v>5</v>
      </c>
      <c r="DS162">
        <v>0</v>
      </c>
      <c r="DT162">
        <v>1</v>
      </c>
      <c r="DU162">
        <v>13</v>
      </c>
      <c r="DV162">
        <v>1</v>
      </c>
      <c r="DW162">
        <v>0</v>
      </c>
      <c r="DX162">
        <v>0</v>
      </c>
      <c r="DY162">
        <v>4</v>
      </c>
      <c r="DZ162">
        <v>985</v>
      </c>
      <c r="EA162">
        <v>0.96350000000000002</v>
      </c>
      <c r="EB162">
        <v>0.96464479256156399</v>
      </c>
      <c r="EC162">
        <v>0.96355903632552498</v>
      </c>
      <c r="ED162">
        <v>0.96350780161512395</v>
      </c>
      <c r="EE162">
        <f>SUM(Table1[[#This Row],[ratio_0]:[ratio_9]])</f>
        <v>550</v>
      </c>
      <c r="EF162" s="1">
        <f>(Table1[[#This Row],[predicted_0]]-Table1[[#This Row],[actual_0]])/Table1[[#This Row],[actual_0]]</f>
        <v>-4.8979591836734691E-2</v>
      </c>
      <c r="EG162" s="1">
        <f>(Table1[[#This Row],[predicted_1]]-Table1[[#This Row],[actual_1]])/Table1[[#This Row],[actual_1]]</f>
        <v>6.255506607929516E-2</v>
      </c>
      <c r="EH162" s="1">
        <f>(Table1[[#This Row],[predicted_2]]-Table1[[#This Row],[actual_2]])/Table1[[#This Row],[actual_2]]</f>
        <v>-9.3992248062015504E-2</v>
      </c>
      <c r="EI162" s="1">
        <f>(Table1[[#This Row],[predicted_3]]-Table1[[#This Row],[actual_3]])/Table1[[#This Row],[actual_3]]</f>
        <v>-4.7524752475247525E-2</v>
      </c>
      <c r="EJ162" s="1">
        <f>(Table1[[#This Row],[predicted_4]]-Table1[[#This Row],[actual_4]])/Table1[[#This Row],[actual_4]]</f>
        <v>3.0549898167006109E-2</v>
      </c>
      <c r="EK162" s="1">
        <f>(Table1[[#This Row],[predicted_5]]-Table1[[#This Row],[actual_5]])/Table1[[#This Row],[actual_5]]</f>
        <v>5.6053811659192822E-3</v>
      </c>
      <c r="EL162" s="1">
        <f>(Table1[[#This Row],[predicted_6]]-Table1[[#This Row],[actual_6]])/Table1[[#This Row],[actual_6]]</f>
        <v>2.5052192066805846E-2</v>
      </c>
      <c r="EM162" s="1">
        <f>(Table1[[#This Row],[predicted_7]]-Table1[[#This Row],[actual_7]])/Table1[[#This Row],[actual_7]]</f>
        <v>-2.6264591439688716E-2</v>
      </c>
      <c r="EN162" s="1">
        <f>(Table1[[#This Row],[predicted_8]]-Table1[[#This Row],[actual_8]])/Table1[[#This Row],[actual_8]]</f>
        <v>5.7494866529774126E-2</v>
      </c>
      <c r="EO162" s="1">
        <f>(Table1[[#This Row],[predicted_9]]-Table1[[#This Row],[actual_9]])/Table1[[#This Row],[actual_9]]</f>
        <v>3.3696729435084241E-2</v>
      </c>
      <c r="EP162" s="1">
        <f>1+(Table1[[#This Row],[error_ratio_0]]-EF$2)</f>
        <v>0.94897959183673475</v>
      </c>
      <c r="EQ162" s="1">
        <f>1+(Table1[[#This Row],[error_ratio_1]]-EG$2)</f>
        <v>1.0607929515418502</v>
      </c>
      <c r="ER162" s="1">
        <f>1+(Table1[[#This Row],[error_ratio_2]]-EH$2)</f>
        <v>0.91085271317829453</v>
      </c>
      <c r="ES162" s="1">
        <f>1+(Table1[[#This Row],[error_ratio_3]]-EI$2)</f>
        <v>0.94257425742574252</v>
      </c>
      <c r="ET162" s="1">
        <f>1+(Table1[[#This Row],[error_ratio_4]]-EJ$2)</f>
        <v>1.0295315682281059</v>
      </c>
      <c r="EU162" s="1">
        <f>1+(Table1[[#This Row],[error_ratio_5]]-EK$2)</f>
        <v>1.0044843049327354</v>
      </c>
      <c r="EV162" s="1">
        <f>1+(Table1[[#This Row],[error_ratio_6]]-EL$2)</f>
        <v>1.0313152400835073</v>
      </c>
      <c r="EW162" s="1">
        <f>1+(Table1[[#This Row],[error_ratio_7]]-EM$2)</f>
        <v>0.97178988326848248</v>
      </c>
      <c r="EX162" s="1">
        <f>1+(Table1[[#This Row],[error_ratio_8]]-EN$2)</f>
        <v>1.0605749486652978</v>
      </c>
      <c r="EY162" s="1">
        <f>1+(Table1[[#This Row],[error_ratio_9]]-EO$2)</f>
        <v>1.0376610505450941</v>
      </c>
    </row>
    <row r="163" spans="1:155" x14ac:dyDescent="0.75">
      <c r="A163">
        <v>100</v>
      </c>
      <c r="B163">
        <v>10</v>
      </c>
      <c r="C163">
        <v>10</v>
      </c>
      <c r="D163">
        <v>10</v>
      </c>
      <c r="E163">
        <v>100</v>
      </c>
      <c r="F163">
        <v>10</v>
      </c>
      <c r="G163">
        <v>100</v>
      </c>
      <c r="H163">
        <v>10</v>
      </c>
      <c r="I163">
        <v>100</v>
      </c>
      <c r="J163">
        <v>100</v>
      </c>
      <c r="K163">
        <v>1007</v>
      </c>
      <c r="L163">
        <v>1129</v>
      </c>
      <c r="M163">
        <v>1008</v>
      </c>
      <c r="N163">
        <v>989</v>
      </c>
      <c r="O163">
        <v>989</v>
      </c>
      <c r="P163">
        <v>779</v>
      </c>
      <c r="Q163">
        <v>979</v>
      </c>
      <c r="R163">
        <v>1005</v>
      </c>
      <c r="S163">
        <v>1067</v>
      </c>
      <c r="T163">
        <v>1048</v>
      </c>
      <c r="U163">
        <v>980</v>
      </c>
      <c r="V163">
        <v>1135</v>
      </c>
      <c r="W163">
        <v>1032</v>
      </c>
      <c r="X163">
        <v>1010</v>
      </c>
      <c r="Y163">
        <v>982</v>
      </c>
      <c r="Z163">
        <v>892</v>
      </c>
      <c r="AA163">
        <v>958</v>
      </c>
      <c r="AB163">
        <v>1028</v>
      </c>
      <c r="AC163">
        <v>974</v>
      </c>
      <c r="AD163">
        <v>1009</v>
      </c>
      <c r="AE163">
        <v>975</v>
      </c>
      <c r="AF163">
        <v>1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1</v>
      </c>
      <c r="AM163">
        <v>2</v>
      </c>
      <c r="AN163">
        <v>1</v>
      </c>
      <c r="AO163">
        <v>0</v>
      </c>
      <c r="AP163">
        <v>1119</v>
      </c>
      <c r="AQ163">
        <v>0</v>
      </c>
      <c r="AR163">
        <v>7</v>
      </c>
      <c r="AS163">
        <v>1</v>
      </c>
      <c r="AT163">
        <v>0</v>
      </c>
      <c r="AU163">
        <v>1</v>
      </c>
      <c r="AV163">
        <v>0</v>
      </c>
      <c r="AW163">
        <v>7</v>
      </c>
      <c r="AX163">
        <v>0</v>
      </c>
      <c r="AY163">
        <v>13</v>
      </c>
      <c r="AZ163">
        <v>2</v>
      </c>
      <c r="BA163">
        <v>977</v>
      </c>
      <c r="BB163">
        <v>3</v>
      </c>
      <c r="BC163">
        <v>1</v>
      </c>
      <c r="BD163">
        <v>0</v>
      </c>
      <c r="BE163">
        <v>3</v>
      </c>
      <c r="BF163">
        <v>7</v>
      </c>
      <c r="BG163">
        <v>20</v>
      </c>
      <c r="BH163">
        <v>6</v>
      </c>
      <c r="BI163">
        <v>4</v>
      </c>
      <c r="BJ163">
        <v>0</v>
      </c>
      <c r="BK163">
        <v>4</v>
      </c>
      <c r="BL163">
        <v>962</v>
      </c>
      <c r="BM163">
        <v>0</v>
      </c>
      <c r="BN163">
        <v>5</v>
      </c>
      <c r="BO163">
        <v>0</v>
      </c>
      <c r="BP163">
        <v>9</v>
      </c>
      <c r="BQ163">
        <v>17</v>
      </c>
      <c r="BR163">
        <v>9</v>
      </c>
      <c r="BS163">
        <v>0</v>
      </c>
      <c r="BT163">
        <v>0</v>
      </c>
      <c r="BU163">
        <v>2</v>
      </c>
      <c r="BV163">
        <v>0</v>
      </c>
      <c r="BW163">
        <v>970</v>
      </c>
      <c r="BX163">
        <v>0</v>
      </c>
      <c r="BY163">
        <v>3</v>
      </c>
      <c r="BZ163">
        <v>0</v>
      </c>
      <c r="CA163">
        <v>0</v>
      </c>
      <c r="CB163">
        <v>7</v>
      </c>
      <c r="CC163">
        <v>10</v>
      </c>
      <c r="CD163">
        <v>1</v>
      </c>
      <c r="CE163">
        <v>1</v>
      </c>
      <c r="CF163">
        <v>12</v>
      </c>
      <c r="CG163">
        <v>0</v>
      </c>
      <c r="CH163">
        <v>773</v>
      </c>
      <c r="CI163">
        <v>27</v>
      </c>
      <c r="CJ163">
        <v>2</v>
      </c>
      <c r="CK163">
        <v>48</v>
      </c>
      <c r="CL163">
        <v>18</v>
      </c>
      <c r="CM163">
        <v>4</v>
      </c>
      <c r="CN163">
        <v>3</v>
      </c>
      <c r="CO163">
        <v>0</v>
      </c>
      <c r="CP163">
        <v>0</v>
      </c>
      <c r="CQ163">
        <v>3</v>
      </c>
      <c r="CR163">
        <v>0</v>
      </c>
      <c r="CS163">
        <v>944</v>
      </c>
      <c r="CT163">
        <v>0</v>
      </c>
      <c r="CU163">
        <v>4</v>
      </c>
      <c r="CV163">
        <v>0</v>
      </c>
      <c r="CW163">
        <v>0</v>
      </c>
      <c r="CX163">
        <v>3</v>
      </c>
      <c r="CY163">
        <v>22</v>
      </c>
      <c r="CZ163">
        <v>1</v>
      </c>
      <c r="DA163">
        <v>10</v>
      </c>
      <c r="DB163">
        <v>1</v>
      </c>
      <c r="DC163">
        <v>0</v>
      </c>
      <c r="DD163">
        <v>978</v>
      </c>
      <c r="DE163">
        <v>2</v>
      </c>
      <c r="DF163">
        <v>11</v>
      </c>
      <c r="DG163">
        <v>0</v>
      </c>
      <c r="DH163">
        <v>0</v>
      </c>
      <c r="DI163">
        <v>2</v>
      </c>
      <c r="DJ163">
        <v>1</v>
      </c>
      <c r="DK163">
        <v>0</v>
      </c>
      <c r="DL163">
        <v>0</v>
      </c>
      <c r="DM163">
        <v>1</v>
      </c>
      <c r="DN163">
        <v>3</v>
      </c>
      <c r="DO163">
        <v>962</v>
      </c>
      <c r="DP163">
        <v>5</v>
      </c>
      <c r="DQ163">
        <v>1</v>
      </c>
      <c r="DR163">
        <v>0</v>
      </c>
      <c r="DS163">
        <v>0</v>
      </c>
      <c r="DT163">
        <v>3</v>
      </c>
      <c r="DU163">
        <v>4</v>
      </c>
      <c r="DV163">
        <v>0</v>
      </c>
      <c r="DW163">
        <v>0</v>
      </c>
      <c r="DX163">
        <v>5</v>
      </c>
      <c r="DY163">
        <v>5</v>
      </c>
      <c r="DZ163">
        <v>991</v>
      </c>
      <c r="EA163">
        <v>0.96509999999999996</v>
      </c>
      <c r="EB163">
        <v>0.96589847699301501</v>
      </c>
      <c r="EC163">
        <v>0.96409420012112801</v>
      </c>
      <c r="ED163">
        <v>0.96427280612994104</v>
      </c>
      <c r="EE163">
        <f>SUM(Table1[[#This Row],[ratio_0]:[ratio_9]])</f>
        <v>550</v>
      </c>
      <c r="EF163" s="1">
        <f>(Table1[[#This Row],[predicted_0]]-Table1[[#This Row],[actual_0]])/Table1[[#This Row],[actual_0]]</f>
        <v>2.7551020408163266E-2</v>
      </c>
      <c r="EG163" s="1">
        <f>(Table1[[#This Row],[predicted_1]]-Table1[[#This Row],[actual_1]])/Table1[[#This Row],[actual_1]]</f>
        <v>-5.2863436123348016E-3</v>
      </c>
      <c r="EH163" s="1">
        <f>(Table1[[#This Row],[predicted_2]]-Table1[[#This Row],[actual_2]])/Table1[[#This Row],[actual_2]]</f>
        <v>-2.3255813953488372E-2</v>
      </c>
      <c r="EI163" s="1">
        <f>(Table1[[#This Row],[predicted_3]]-Table1[[#This Row],[actual_3]])/Table1[[#This Row],[actual_3]]</f>
        <v>-2.0792079207920793E-2</v>
      </c>
      <c r="EJ163" s="1">
        <f>(Table1[[#This Row],[predicted_4]]-Table1[[#This Row],[actual_4]])/Table1[[#This Row],[actual_4]]</f>
        <v>7.1283095723014261E-3</v>
      </c>
      <c r="EK163" s="1">
        <f>(Table1[[#This Row],[predicted_5]]-Table1[[#This Row],[actual_5]])/Table1[[#This Row],[actual_5]]</f>
        <v>-0.12668161434977579</v>
      </c>
      <c r="EL163" s="1">
        <f>(Table1[[#This Row],[predicted_6]]-Table1[[#This Row],[actual_6]])/Table1[[#This Row],[actual_6]]</f>
        <v>2.1920668058455117E-2</v>
      </c>
      <c r="EM163" s="1">
        <f>(Table1[[#This Row],[predicted_7]]-Table1[[#This Row],[actual_7]])/Table1[[#This Row],[actual_7]]</f>
        <v>-2.2373540856031129E-2</v>
      </c>
      <c r="EN163" s="1">
        <f>(Table1[[#This Row],[predicted_8]]-Table1[[#This Row],[actual_8]])/Table1[[#This Row],[actual_8]]</f>
        <v>9.5482546201232033E-2</v>
      </c>
      <c r="EO163" s="1">
        <f>(Table1[[#This Row],[predicted_9]]-Table1[[#This Row],[actual_9]])/Table1[[#This Row],[actual_9]]</f>
        <v>3.865213082259663E-2</v>
      </c>
      <c r="EP163" s="1">
        <f>1+(Table1[[#This Row],[error_ratio_0]]-EF$2)</f>
        <v>1.0255102040816326</v>
      </c>
      <c r="EQ163" s="1">
        <f>1+(Table1[[#This Row],[error_ratio_1]]-EG$2)</f>
        <v>0.99295154185022028</v>
      </c>
      <c r="ER163" s="1">
        <f>1+(Table1[[#This Row],[error_ratio_2]]-EH$2)</f>
        <v>0.98158914728682167</v>
      </c>
      <c r="ES163" s="1">
        <f>1+(Table1[[#This Row],[error_ratio_3]]-EI$2)</f>
        <v>0.96930693069306928</v>
      </c>
      <c r="ET163" s="1">
        <f>1+(Table1[[#This Row],[error_ratio_4]]-EJ$2)</f>
        <v>1.0061099796334012</v>
      </c>
      <c r="EU163" s="1">
        <f>1+(Table1[[#This Row],[error_ratio_5]]-EK$2)</f>
        <v>0.87219730941704032</v>
      </c>
      <c r="EV163" s="1">
        <f>1+(Table1[[#This Row],[error_ratio_6]]-EL$2)</f>
        <v>1.0281837160751566</v>
      </c>
      <c r="EW163" s="1">
        <f>1+(Table1[[#This Row],[error_ratio_7]]-EM$2)</f>
        <v>0.97568093385214005</v>
      </c>
      <c r="EX163" s="1">
        <f>1+(Table1[[#This Row],[error_ratio_8]]-EN$2)</f>
        <v>1.0985626283367556</v>
      </c>
      <c r="EY163" s="1">
        <f>1+(Table1[[#This Row],[error_ratio_9]]-EO$2)</f>
        <v>1.0426164519326064</v>
      </c>
    </row>
    <row r="164" spans="1:155" x14ac:dyDescent="0.75">
      <c r="A164">
        <v>10</v>
      </c>
      <c r="B164">
        <v>10</v>
      </c>
      <c r="C164">
        <v>10</v>
      </c>
      <c r="D164">
        <v>10</v>
      </c>
      <c r="E164">
        <v>100</v>
      </c>
      <c r="F164">
        <v>10</v>
      </c>
      <c r="G164">
        <v>100</v>
      </c>
      <c r="H164">
        <v>10</v>
      </c>
      <c r="I164">
        <v>100</v>
      </c>
      <c r="J164">
        <v>100</v>
      </c>
      <c r="K164">
        <v>972</v>
      </c>
      <c r="L164">
        <v>1085</v>
      </c>
      <c r="M164">
        <v>931</v>
      </c>
      <c r="N164">
        <v>1007</v>
      </c>
      <c r="O164">
        <v>1046</v>
      </c>
      <c r="P164">
        <v>853</v>
      </c>
      <c r="Q164">
        <v>997</v>
      </c>
      <c r="R164">
        <v>953</v>
      </c>
      <c r="S164">
        <v>1093</v>
      </c>
      <c r="T164">
        <v>1063</v>
      </c>
      <c r="U164">
        <v>980</v>
      </c>
      <c r="V164">
        <v>1135</v>
      </c>
      <c r="W164">
        <v>1032</v>
      </c>
      <c r="X164">
        <v>1010</v>
      </c>
      <c r="Y164">
        <v>982</v>
      </c>
      <c r="Z164">
        <v>892</v>
      </c>
      <c r="AA164">
        <v>958</v>
      </c>
      <c r="AB164">
        <v>1028</v>
      </c>
      <c r="AC164">
        <v>974</v>
      </c>
      <c r="AD164">
        <v>1009</v>
      </c>
      <c r="AE164">
        <v>954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14</v>
      </c>
      <c r="AL164">
        <v>1</v>
      </c>
      <c r="AM164">
        <v>5</v>
      </c>
      <c r="AN164">
        <v>6</v>
      </c>
      <c r="AO164">
        <v>0</v>
      </c>
      <c r="AP164">
        <v>1082</v>
      </c>
      <c r="AQ164">
        <v>1</v>
      </c>
      <c r="AR164">
        <v>7</v>
      </c>
      <c r="AS164">
        <v>14</v>
      </c>
      <c r="AT164">
        <v>1</v>
      </c>
      <c r="AU164">
        <v>8</v>
      </c>
      <c r="AV164">
        <v>1</v>
      </c>
      <c r="AW164">
        <v>20</v>
      </c>
      <c r="AX164">
        <v>1</v>
      </c>
      <c r="AY164">
        <v>12</v>
      </c>
      <c r="AZ164">
        <v>0</v>
      </c>
      <c r="BA164">
        <v>915</v>
      </c>
      <c r="BB164">
        <v>18</v>
      </c>
      <c r="BC164">
        <v>21</v>
      </c>
      <c r="BD164">
        <v>0</v>
      </c>
      <c r="BE164">
        <v>9</v>
      </c>
      <c r="BF164">
        <v>7</v>
      </c>
      <c r="BG164">
        <v>44</v>
      </c>
      <c r="BH164">
        <v>6</v>
      </c>
      <c r="BI164">
        <v>0</v>
      </c>
      <c r="BJ164">
        <v>0</v>
      </c>
      <c r="BK164">
        <v>1</v>
      </c>
      <c r="BL164">
        <v>963</v>
      </c>
      <c r="BM164">
        <v>0</v>
      </c>
      <c r="BN164">
        <v>16</v>
      </c>
      <c r="BO164">
        <v>1</v>
      </c>
      <c r="BP164">
        <v>4</v>
      </c>
      <c r="BQ164">
        <v>19</v>
      </c>
      <c r="BR164">
        <v>6</v>
      </c>
      <c r="BS164">
        <v>0</v>
      </c>
      <c r="BT164">
        <v>0</v>
      </c>
      <c r="BU164">
        <v>0</v>
      </c>
      <c r="BV164">
        <v>0</v>
      </c>
      <c r="BW164">
        <v>979</v>
      </c>
      <c r="BX164">
        <v>0</v>
      </c>
      <c r="BY164">
        <v>1</v>
      </c>
      <c r="BZ164">
        <v>0</v>
      </c>
      <c r="CA164">
        <v>0</v>
      </c>
      <c r="CB164">
        <v>2</v>
      </c>
      <c r="CC164">
        <v>2</v>
      </c>
      <c r="CD164">
        <v>0</v>
      </c>
      <c r="CE164">
        <v>0</v>
      </c>
      <c r="CF164">
        <v>12</v>
      </c>
      <c r="CG164">
        <v>2</v>
      </c>
      <c r="CH164">
        <v>832</v>
      </c>
      <c r="CI164">
        <v>10</v>
      </c>
      <c r="CJ164">
        <v>1</v>
      </c>
      <c r="CK164">
        <v>27</v>
      </c>
      <c r="CL164">
        <v>6</v>
      </c>
      <c r="CM164">
        <v>0</v>
      </c>
      <c r="CN164">
        <v>0</v>
      </c>
      <c r="CO164">
        <v>0</v>
      </c>
      <c r="CP164">
        <v>0</v>
      </c>
      <c r="CQ164">
        <v>3</v>
      </c>
      <c r="CR164">
        <v>1</v>
      </c>
      <c r="CS164">
        <v>952</v>
      </c>
      <c r="CT164">
        <v>0</v>
      </c>
      <c r="CU164">
        <v>1</v>
      </c>
      <c r="CV164">
        <v>1</v>
      </c>
      <c r="CW164">
        <v>2</v>
      </c>
      <c r="CX164">
        <v>1</v>
      </c>
      <c r="CY164">
        <v>14</v>
      </c>
      <c r="CZ164">
        <v>4</v>
      </c>
      <c r="DA164">
        <v>13</v>
      </c>
      <c r="DB164">
        <v>1</v>
      </c>
      <c r="DC164">
        <v>0</v>
      </c>
      <c r="DD164">
        <v>937</v>
      </c>
      <c r="DE164">
        <v>7</v>
      </c>
      <c r="DF164">
        <v>49</v>
      </c>
      <c r="DG164">
        <v>0</v>
      </c>
      <c r="DH164">
        <v>0</v>
      </c>
      <c r="DI164">
        <v>0</v>
      </c>
      <c r="DJ164">
        <v>1</v>
      </c>
      <c r="DK164">
        <v>3</v>
      </c>
      <c r="DL164">
        <v>0</v>
      </c>
      <c r="DM164">
        <v>1</v>
      </c>
      <c r="DN164">
        <v>1</v>
      </c>
      <c r="DO164">
        <v>967</v>
      </c>
      <c r="DP164">
        <v>1</v>
      </c>
      <c r="DQ164">
        <v>2</v>
      </c>
      <c r="DR164">
        <v>2</v>
      </c>
      <c r="DS164">
        <v>0</v>
      </c>
      <c r="DT164">
        <v>2</v>
      </c>
      <c r="DU164">
        <v>11</v>
      </c>
      <c r="DV164">
        <v>2</v>
      </c>
      <c r="DW164">
        <v>1</v>
      </c>
      <c r="DX164">
        <v>1</v>
      </c>
      <c r="DY164">
        <v>3</v>
      </c>
      <c r="DZ164">
        <v>985</v>
      </c>
      <c r="EA164">
        <v>0.95660000000000001</v>
      </c>
      <c r="EB164">
        <v>0.95785832366892298</v>
      </c>
      <c r="EC164">
        <v>0.95707898084452803</v>
      </c>
      <c r="ED164">
        <v>0.95647563984862305</v>
      </c>
      <c r="EE164">
        <f>SUM(Table1[[#This Row],[ratio_0]:[ratio_9]])</f>
        <v>460</v>
      </c>
      <c r="EF164" s="1">
        <f>(Table1[[#This Row],[predicted_0]]-Table1[[#This Row],[actual_0]])/Table1[[#This Row],[actual_0]]</f>
        <v>-8.1632653061224497E-3</v>
      </c>
      <c r="EG164" s="1">
        <f>(Table1[[#This Row],[predicted_1]]-Table1[[#This Row],[actual_1]])/Table1[[#This Row],[actual_1]]</f>
        <v>-4.405286343612335E-2</v>
      </c>
      <c r="EH164" s="1">
        <f>(Table1[[#This Row],[predicted_2]]-Table1[[#This Row],[actual_2]])/Table1[[#This Row],[actual_2]]</f>
        <v>-9.7868217054263559E-2</v>
      </c>
      <c r="EI164" s="1">
        <f>(Table1[[#This Row],[predicted_3]]-Table1[[#This Row],[actual_3]])/Table1[[#This Row],[actual_3]]</f>
        <v>-2.9702970297029703E-3</v>
      </c>
      <c r="EJ164" s="1">
        <f>(Table1[[#This Row],[predicted_4]]-Table1[[#This Row],[actual_4]])/Table1[[#This Row],[actual_4]]</f>
        <v>6.5173116089613028E-2</v>
      </c>
      <c r="EK164" s="1">
        <f>(Table1[[#This Row],[predicted_5]]-Table1[[#This Row],[actual_5]])/Table1[[#This Row],[actual_5]]</f>
        <v>-4.3721973094170405E-2</v>
      </c>
      <c r="EL164" s="1">
        <f>(Table1[[#This Row],[predicted_6]]-Table1[[#This Row],[actual_6]])/Table1[[#This Row],[actual_6]]</f>
        <v>4.07098121085595E-2</v>
      </c>
      <c r="EM164" s="1">
        <f>(Table1[[#This Row],[predicted_7]]-Table1[[#This Row],[actual_7]])/Table1[[#This Row],[actual_7]]</f>
        <v>-7.2957198443579771E-2</v>
      </c>
      <c r="EN164" s="1">
        <f>(Table1[[#This Row],[predicted_8]]-Table1[[#This Row],[actual_8]])/Table1[[#This Row],[actual_8]]</f>
        <v>0.12217659137577003</v>
      </c>
      <c r="EO164" s="1">
        <f>(Table1[[#This Row],[predicted_9]]-Table1[[#This Row],[actual_9]])/Table1[[#This Row],[actual_9]]</f>
        <v>5.3518334985133795E-2</v>
      </c>
      <c r="EP164" s="1">
        <f>1+(Table1[[#This Row],[error_ratio_0]]-EF$2)</f>
        <v>0.98979591836734693</v>
      </c>
      <c r="EQ164" s="1">
        <f>1+(Table1[[#This Row],[error_ratio_1]]-EG$2)</f>
        <v>0.95418502202643174</v>
      </c>
      <c r="ER164" s="1">
        <f>1+(Table1[[#This Row],[error_ratio_2]]-EH$2)</f>
        <v>0.90697674418604657</v>
      </c>
      <c r="ES164" s="1">
        <f>1+(Table1[[#This Row],[error_ratio_3]]-EI$2)</f>
        <v>0.98712871287128712</v>
      </c>
      <c r="ET164" s="1">
        <f>1+(Table1[[#This Row],[error_ratio_4]]-EJ$2)</f>
        <v>1.0641547861507128</v>
      </c>
      <c r="EU164" s="1">
        <f>1+(Table1[[#This Row],[error_ratio_5]]-EK$2)</f>
        <v>0.95515695067264572</v>
      </c>
      <c r="EV164" s="1">
        <f>1+(Table1[[#This Row],[error_ratio_6]]-EL$2)</f>
        <v>1.046972860125261</v>
      </c>
      <c r="EW164" s="1">
        <f>1+(Table1[[#This Row],[error_ratio_7]]-EM$2)</f>
        <v>0.92509727626459148</v>
      </c>
      <c r="EX164" s="1">
        <f>1+(Table1[[#This Row],[error_ratio_8]]-EN$2)</f>
        <v>1.1252566735112937</v>
      </c>
      <c r="EY164" s="1">
        <f>1+(Table1[[#This Row],[error_ratio_9]]-EO$2)</f>
        <v>1.0574826560951438</v>
      </c>
    </row>
    <row r="165" spans="1:155" x14ac:dyDescent="0.75">
      <c r="A165">
        <v>100</v>
      </c>
      <c r="B165">
        <v>100</v>
      </c>
      <c r="C165">
        <v>100</v>
      </c>
      <c r="D165">
        <v>100</v>
      </c>
      <c r="E165">
        <v>10</v>
      </c>
      <c r="F165">
        <v>10</v>
      </c>
      <c r="G165">
        <v>100</v>
      </c>
      <c r="H165">
        <v>10</v>
      </c>
      <c r="I165">
        <v>100</v>
      </c>
      <c r="J165">
        <v>100</v>
      </c>
      <c r="K165">
        <v>986</v>
      </c>
      <c r="L165">
        <v>1137</v>
      </c>
      <c r="M165">
        <v>1053</v>
      </c>
      <c r="N165">
        <v>1003</v>
      </c>
      <c r="O165">
        <v>924</v>
      </c>
      <c r="P165">
        <v>847</v>
      </c>
      <c r="Q165">
        <v>985</v>
      </c>
      <c r="R165">
        <v>965</v>
      </c>
      <c r="S165">
        <v>1023</v>
      </c>
      <c r="T165">
        <v>1077</v>
      </c>
      <c r="U165">
        <v>980</v>
      </c>
      <c r="V165">
        <v>1135</v>
      </c>
      <c r="W165">
        <v>1032</v>
      </c>
      <c r="X165">
        <v>1010</v>
      </c>
      <c r="Y165">
        <v>982</v>
      </c>
      <c r="Z165">
        <v>892</v>
      </c>
      <c r="AA165">
        <v>958</v>
      </c>
      <c r="AB165">
        <v>1028</v>
      </c>
      <c r="AC165">
        <v>974</v>
      </c>
      <c r="AD165">
        <v>1009</v>
      </c>
      <c r="AE165">
        <v>971</v>
      </c>
      <c r="AF165">
        <v>1</v>
      </c>
      <c r="AG165">
        <v>1</v>
      </c>
      <c r="AH165">
        <v>0</v>
      </c>
      <c r="AI165">
        <v>0</v>
      </c>
      <c r="AJ165">
        <v>0</v>
      </c>
      <c r="AK165">
        <v>2</v>
      </c>
      <c r="AL165">
        <v>1</v>
      </c>
      <c r="AM165">
        <v>2</v>
      </c>
      <c r="AN165">
        <v>2</v>
      </c>
      <c r="AO165">
        <v>0</v>
      </c>
      <c r="AP165">
        <v>1128</v>
      </c>
      <c r="AQ165">
        <v>0</v>
      </c>
      <c r="AR165">
        <v>0</v>
      </c>
      <c r="AS165">
        <v>0</v>
      </c>
      <c r="AT165">
        <v>3</v>
      </c>
      <c r="AU165">
        <v>3</v>
      </c>
      <c r="AV165">
        <v>0</v>
      </c>
      <c r="AW165">
        <v>0</v>
      </c>
      <c r="AX165">
        <v>1</v>
      </c>
      <c r="AY165">
        <v>2</v>
      </c>
      <c r="AZ165">
        <v>1</v>
      </c>
      <c r="BA165">
        <v>1019</v>
      </c>
      <c r="BB165">
        <v>3</v>
      </c>
      <c r="BC165">
        <v>0</v>
      </c>
      <c r="BD165">
        <v>0</v>
      </c>
      <c r="BE165">
        <v>0</v>
      </c>
      <c r="BF165">
        <v>3</v>
      </c>
      <c r="BG165">
        <v>4</v>
      </c>
      <c r="BH165">
        <v>0</v>
      </c>
      <c r="BI165">
        <v>0</v>
      </c>
      <c r="BJ165">
        <v>0</v>
      </c>
      <c r="BK165">
        <v>2</v>
      </c>
      <c r="BL165">
        <v>992</v>
      </c>
      <c r="BM165">
        <v>0</v>
      </c>
      <c r="BN165">
        <v>6</v>
      </c>
      <c r="BO165">
        <v>0</v>
      </c>
      <c r="BP165">
        <v>2</v>
      </c>
      <c r="BQ165">
        <v>6</v>
      </c>
      <c r="BR165">
        <v>2</v>
      </c>
      <c r="BS165">
        <v>2</v>
      </c>
      <c r="BT165">
        <v>0</v>
      </c>
      <c r="BU165">
        <v>3</v>
      </c>
      <c r="BV165">
        <v>0</v>
      </c>
      <c r="BW165">
        <v>920</v>
      </c>
      <c r="BX165">
        <v>0</v>
      </c>
      <c r="BY165">
        <v>17</v>
      </c>
      <c r="BZ165">
        <v>0</v>
      </c>
      <c r="CA165">
        <v>4</v>
      </c>
      <c r="CB165">
        <v>36</v>
      </c>
      <c r="CC165">
        <v>4</v>
      </c>
      <c r="CD165">
        <v>0</v>
      </c>
      <c r="CE165">
        <v>1</v>
      </c>
      <c r="CF165">
        <v>6</v>
      </c>
      <c r="CG165">
        <v>0</v>
      </c>
      <c r="CH165">
        <v>835</v>
      </c>
      <c r="CI165">
        <v>8</v>
      </c>
      <c r="CJ165">
        <v>3</v>
      </c>
      <c r="CK165">
        <v>28</v>
      </c>
      <c r="CL165">
        <v>7</v>
      </c>
      <c r="CM165">
        <v>4</v>
      </c>
      <c r="CN165">
        <v>2</v>
      </c>
      <c r="CO165">
        <v>0</v>
      </c>
      <c r="CP165">
        <v>0</v>
      </c>
      <c r="CQ165">
        <v>1</v>
      </c>
      <c r="CR165">
        <v>0</v>
      </c>
      <c r="CS165">
        <v>951</v>
      </c>
      <c r="CT165">
        <v>0</v>
      </c>
      <c r="CU165">
        <v>0</v>
      </c>
      <c r="CV165">
        <v>0</v>
      </c>
      <c r="CW165">
        <v>0</v>
      </c>
      <c r="CX165">
        <v>5</v>
      </c>
      <c r="CY165">
        <v>25</v>
      </c>
      <c r="CZ165">
        <v>2</v>
      </c>
      <c r="DA165">
        <v>2</v>
      </c>
      <c r="DB165">
        <v>0</v>
      </c>
      <c r="DC165">
        <v>1</v>
      </c>
      <c r="DD165">
        <v>953</v>
      </c>
      <c r="DE165">
        <v>8</v>
      </c>
      <c r="DF165">
        <v>32</v>
      </c>
      <c r="DG165">
        <v>0</v>
      </c>
      <c r="DH165">
        <v>0</v>
      </c>
      <c r="DI165">
        <v>1</v>
      </c>
      <c r="DJ165">
        <v>0</v>
      </c>
      <c r="DK165">
        <v>0</v>
      </c>
      <c r="DL165">
        <v>0</v>
      </c>
      <c r="DM165">
        <v>2</v>
      </c>
      <c r="DN165">
        <v>1</v>
      </c>
      <c r="DO165">
        <v>967</v>
      </c>
      <c r="DP165">
        <v>3</v>
      </c>
      <c r="DQ165">
        <v>3</v>
      </c>
      <c r="DR165">
        <v>0</v>
      </c>
      <c r="DS165">
        <v>1</v>
      </c>
      <c r="DT165">
        <v>0</v>
      </c>
      <c r="DU165">
        <v>1</v>
      </c>
      <c r="DV165">
        <v>3</v>
      </c>
      <c r="DW165">
        <v>1</v>
      </c>
      <c r="DX165">
        <v>2</v>
      </c>
      <c r="DY165">
        <v>4</v>
      </c>
      <c r="DZ165">
        <v>994</v>
      </c>
      <c r="EA165">
        <v>0.97299999999999998</v>
      </c>
      <c r="EB165">
        <v>0.973635911696628</v>
      </c>
      <c r="EC165">
        <v>0.97248752924680804</v>
      </c>
      <c r="ED165">
        <v>0.97262150643258705</v>
      </c>
      <c r="EE165">
        <f>SUM(Table1[[#This Row],[ratio_0]:[ratio_9]])</f>
        <v>730</v>
      </c>
      <c r="EF165" s="1">
        <f>(Table1[[#This Row],[predicted_0]]-Table1[[#This Row],[actual_0]])/Table1[[#This Row],[actual_0]]</f>
        <v>6.1224489795918364E-3</v>
      </c>
      <c r="EG165" s="1">
        <f>(Table1[[#This Row],[predicted_1]]-Table1[[#This Row],[actual_1]])/Table1[[#This Row],[actual_1]]</f>
        <v>1.762114537444934E-3</v>
      </c>
      <c r="EH165" s="1">
        <f>(Table1[[#This Row],[predicted_2]]-Table1[[#This Row],[actual_2]])/Table1[[#This Row],[actual_2]]</f>
        <v>2.0348837209302327E-2</v>
      </c>
      <c r="EI165" s="1">
        <f>(Table1[[#This Row],[predicted_3]]-Table1[[#This Row],[actual_3]])/Table1[[#This Row],[actual_3]]</f>
        <v>-6.9306930693069308E-3</v>
      </c>
      <c r="EJ165" s="1">
        <f>(Table1[[#This Row],[predicted_4]]-Table1[[#This Row],[actual_4]])/Table1[[#This Row],[actual_4]]</f>
        <v>-5.9063136456211814E-2</v>
      </c>
      <c r="EK165" s="1">
        <f>(Table1[[#This Row],[predicted_5]]-Table1[[#This Row],[actual_5]])/Table1[[#This Row],[actual_5]]</f>
        <v>-5.0448430493273543E-2</v>
      </c>
      <c r="EL165" s="1">
        <f>(Table1[[#This Row],[predicted_6]]-Table1[[#This Row],[actual_6]])/Table1[[#This Row],[actual_6]]</f>
        <v>2.8183716075156576E-2</v>
      </c>
      <c r="EM165" s="1">
        <f>(Table1[[#This Row],[predicted_7]]-Table1[[#This Row],[actual_7]])/Table1[[#This Row],[actual_7]]</f>
        <v>-6.1284046692607001E-2</v>
      </c>
      <c r="EN165" s="1">
        <f>(Table1[[#This Row],[predicted_8]]-Table1[[#This Row],[actual_8]])/Table1[[#This Row],[actual_8]]</f>
        <v>5.0308008213552365E-2</v>
      </c>
      <c r="EO165" s="1">
        <f>(Table1[[#This Row],[predicted_9]]-Table1[[#This Row],[actual_9]])/Table1[[#This Row],[actual_9]]</f>
        <v>6.7393458870168482E-2</v>
      </c>
      <c r="EP165" s="1">
        <f>1+(Table1[[#This Row],[error_ratio_0]]-EF$2)</f>
        <v>1.0040816326530613</v>
      </c>
      <c r="EQ165" s="1">
        <f>1+(Table1[[#This Row],[error_ratio_1]]-EG$2)</f>
        <v>1</v>
      </c>
      <c r="ER165" s="1">
        <f>1+(Table1[[#This Row],[error_ratio_2]]-EH$2)</f>
        <v>1.0251937984496124</v>
      </c>
      <c r="ES165" s="1">
        <f>1+(Table1[[#This Row],[error_ratio_3]]-EI$2)</f>
        <v>0.98316831683168315</v>
      </c>
      <c r="ET165" s="1">
        <f>1+(Table1[[#This Row],[error_ratio_4]]-EJ$2)</f>
        <v>0.93991853360488797</v>
      </c>
      <c r="EU165" s="1">
        <f>1+(Table1[[#This Row],[error_ratio_5]]-EK$2)</f>
        <v>0.94843049327354256</v>
      </c>
      <c r="EV165" s="1">
        <f>1+(Table1[[#This Row],[error_ratio_6]]-EL$2)</f>
        <v>1.034446764091858</v>
      </c>
      <c r="EW165" s="1">
        <f>1+(Table1[[#This Row],[error_ratio_7]]-EM$2)</f>
        <v>0.9367704280155642</v>
      </c>
      <c r="EX165" s="1">
        <f>1+(Table1[[#This Row],[error_ratio_8]]-EN$2)</f>
        <v>1.053388090349076</v>
      </c>
      <c r="EY165" s="1">
        <f>1+(Table1[[#This Row],[error_ratio_9]]-EO$2)</f>
        <v>1.0713577799801783</v>
      </c>
    </row>
    <row r="166" spans="1:155" x14ac:dyDescent="0.75">
      <c r="A166">
        <v>10</v>
      </c>
      <c r="B166">
        <v>100</v>
      </c>
      <c r="C166">
        <v>100</v>
      </c>
      <c r="D166">
        <v>100</v>
      </c>
      <c r="E166">
        <v>10</v>
      </c>
      <c r="F166">
        <v>10</v>
      </c>
      <c r="G166">
        <v>100</v>
      </c>
      <c r="H166">
        <v>10</v>
      </c>
      <c r="I166">
        <v>100</v>
      </c>
      <c r="J166">
        <v>100</v>
      </c>
      <c r="K166">
        <v>981</v>
      </c>
      <c r="L166">
        <v>1144</v>
      </c>
      <c r="M166">
        <v>1099</v>
      </c>
      <c r="N166">
        <v>1017</v>
      </c>
      <c r="O166">
        <v>921</v>
      </c>
      <c r="P166">
        <v>816</v>
      </c>
      <c r="Q166">
        <v>992</v>
      </c>
      <c r="R166">
        <v>959</v>
      </c>
      <c r="S166">
        <v>985</v>
      </c>
      <c r="T166">
        <v>1086</v>
      </c>
      <c r="U166">
        <v>980</v>
      </c>
      <c r="V166">
        <v>1135</v>
      </c>
      <c r="W166">
        <v>1032</v>
      </c>
      <c r="X166">
        <v>1010</v>
      </c>
      <c r="Y166">
        <v>982</v>
      </c>
      <c r="Z166">
        <v>892</v>
      </c>
      <c r="AA166">
        <v>958</v>
      </c>
      <c r="AB166">
        <v>1028</v>
      </c>
      <c r="AC166">
        <v>974</v>
      </c>
      <c r="AD166">
        <v>1009</v>
      </c>
      <c r="AE166">
        <v>964</v>
      </c>
      <c r="AF166">
        <v>1</v>
      </c>
      <c r="AG166">
        <v>2</v>
      </c>
      <c r="AH166">
        <v>1</v>
      </c>
      <c r="AI166">
        <v>0</v>
      </c>
      <c r="AJ166">
        <v>0</v>
      </c>
      <c r="AK166">
        <v>8</v>
      </c>
      <c r="AL166">
        <v>1</v>
      </c>
      <c r="AM166">
        <v>3</v>
      </c>
      <c r="AN166">
        <v>0</v>
      </c>
      <c r="AO166">
        <v>0</v>
      </c>
      <c r="AP166">
        <v>1127</v>
      </c>
      <c r="AQ166">
        <v>1</v>
      </c>
      <c r="AR166">
        <v>2</v>
      </c>
      <c r="AS166">
        <v>0</v>
      </c>
      <c r="AT166">
        <v>2</v>
      </c>
      <c r="AU166">
        <v>2</v>
      </c>
      <c r="AV166">
        <v>0</v>
      </c>
      <c r="AW166">
        <v>1</v>
      </c>
      <c r="AX166">
        <v>0</v>
      </c>
      <c r="AY166">
        <v>2</v>
      </c>
      <c r="AZ166">
        <v>0</v>
      </c>
      <c r="BA166">
        <v>1026</v>
      </c>
      <c r="BB166">
        <v>1</v>
      </c>
      <c r="BC166">
        <v>0</v>
      </c>
      <c r="BD166">
        <v>0</v>
      </c>
      <c r="BE166">
        <v>0</v>
      </c>
      <c r="BF166">
        <v>1</v>
      </c>
      <c r="BG166">
        <v>2</v>
      </c>
      <c r="BH166">
        <v>0</v>
      </c>
      <c r="BI166">
        <v>0</v>
      </c>
      <c r="BJ166">
        <v>0</v>
      </c>
      <c r="BK166">
        <v>3</v>
      </c>
      <c r="BL166">
        <v>995</v>
      </c>
      <c r="BM166">
        <v>0</v>
      </c>
      <c r="BN166">
        <v>2</v>
      </c>
      <c r="BO166">
        <v>0</v>
      </c>
      <c r="BP166">
        <v>3</v>
      </c>
      <c r="BQ166">
        <v>0</v>
      </c>
      <c r="BR166">
        <v>7</v>
      </c>
      <c r="BS166">
        <v>1</v>
      </c>
      <c r="BT166">
        <v>4</v>
      </c>
      <c r="BU166">
        <v>19</v>
      </c>
      <c r="BV166">
        <v>0</v>
      </c>
      <c r="BW166">
        <v>920</v>
      </c>
      <c r="BX166">
        <v>0</v>
      </c>
      <c r="BY166">
        <v>13</v>
      </c>
      <c r="BZ166">
        <v>0</v>
      </c>
      <c r="CA166">
        <v>5</v>
      </c>
      <c r="CB166">
        <v>20</v>
      </c>
      <c r="CC166">
        <v>5</v>
      </c>
      <c r="CD166">
        <v>1</v>
      </c>
      <c r="CE166">
        <v>0</v>
      </c>
      <c r="CF166">
        <v>17</v>
      </c>
      <c r="CG166">
        <v>0</v>
      </c>
      <c r="CH166">
        <v>811</v>
      </c>
      <c r="CI166">
        <v>15</v>
      </c>
      <c r="CJ166">
        <v>1</v>
      </c>
      <c r="CK166">
        <v>8</v>
      </c>
      <c r="CL166">
        <v>34</v>
      </c>
      <c r="CM166">
        <v>2</v>
      </c>
      <c r="CN166">
        <v>2</v>
      </c>
      <c r="CO166">
        <v>0</v>
      </c>
      <c r="CP166">
        <v>0</v>
      </c>
      <c r="CQ166">
        <v>1</v>
      </c>
      <c r="CR166">
        <v>1</v>
      </c>
      <c r="CS166">
        <v>951</v>
      </c>
      <c r="CT166">
        <v>0</v>
      </c>
      <c r="CU166">
        <v>1</v>
      </c>
      <c r="CV166">
        <v>0</v>
      </c>
      <c r="CW166">
        <v>3</v>
      </c>
      <c r="CX166">
        <v>7</v>
      </c>
      <c r="CY166">
        <v>43</v>
      </c>
      <c r="CZ166">
        <v>0</v>
      </c>
      <c r="DA166">
        <v>0</v>
      </c>
      <c r="DB166">
        <v>0</v>
      </c>
      <c r="DC166">
        <v>1</v>
      </c>
      <c r="DD166">
        <v>947</v>
      </c>
      <c r="DE166">
        <v>2</v>
      </c>
      <c r="DF166">
        <v>25</v>
      </c>
      <c r="DG166">
        <v>1</v>
      </c>
      <c r="DH166">
        <v>0</v>
      </c>
      <c r="DI166">
        <v>4</v>
      </c>
      <c r="DJ166">
        <v>0</v>
      </c>
      <c r="DK166">
        <v>0</v>
      </c>
      <c r="DL166">
        <v>0</v>
      </c>
      <c r="DM166">
        <v>1</v>
      </c>
      <c r="DN166">
        <v>2</v>
      </c>
      <c r="DO166">
        <v>962</v>
      </c>
      <c r="DP166">
        <v>4</v>
      </c>
      <c r="DQ166">
        <v>3</v>
      </c>
      <c r="DR166">
        <v>2</v>
      </c>
      <c r="DS166">
        <v>1</v>
      </c>
      <c r="DT166">
        <v>1</v>
      </c>
      <c r="DU166">
        <v>0</v>
      </c>
      <c r="DV166">
        <v>0</v>
      </c>
      <c r="DW166">
        <v>1</v>
      </c>
      <c r="DX166">
        <v>4</v>
      </c>
      <c r="DY166">
        <v>1</v>
      </c>
      <c r="DZ166">
        <v>996</v>
      </c>
      <c r="EA166">
        <v>0.96989999999999998</v>
      </c>
      <c r="EB166">
        <v>0.97124742418531995</v>
      </c>
      <c r="EC166">
        <v>0.96907109056798701</v>
      </c>
      <c r="ED166">
        <v>0.96949692945902299</v>
      </c>
      <c r="EE166">
        <f>SUM(Table1[[#This Row],[ratio_0]:[ratio_9]])</f>
        <v>640</v>
      </c>
      <c r="EF166" s="1">
        <f>(Table1[[#This Row],[predicted_0]]-Table1[[#This Row],[actual_0]])/Table1[[#This Row],[actual_0]]</f>
        <v>1.0204081632653062E-3</v>
      </c>
      <c r="EG166" s="1">
        <f>(Table1[[#This Row],[predicted_1]]-Table1[[#This Row],[actual_1]])/Table1[[#This Row],[actual_1]]</f>
        <v>7.9295154185022032E-3</v>
      </c>
      <c r="EH166" s="1">
        <f>(Table1[[#This Row],[predicted_2]]-Table1[[#This Row],[actual_2]])/Table1[[#This Row],[actual_2]]</f>
        <v>6.4922480620155043E-2</v>
      </c>
      <c r="EI166" s="1">
        <f>(Table1[[#This Row],[predicted_3]]-Table1[[#This Row],[actual_3]])/Table1[[#This Row],[actual_3]]</f>
        <v>6.9306930693069308E-3</v>
      </c>
      <c r="EJ166" s="1">
        <f>(Table1[[#This Row],[predicted_4]]-Table1[[#This Row],[actual_4]])/Table1[[#This Row],[actual_4]]</f>
        <v>-6.2118126272912425E-2</v>
      </c>
      <c r="EK166" s="1">
        <f>(Table1[[#This Row],[predicted_5]]-Table1[[#This Row],[actual_5]])/Table1[[#This Row],[actual_5]]</f>
        <v>-8.520179372197309E-2</v>
      </c>
      <c r="EL166" s="1">
        <f>(Table1[[#This Row],[predicted_6]]-Table1[[#This Row],[actual_6]])/Table1[[#This Row],[actual_6]]</f>
        <v>3.5490605427974949E-2</v>
      </c>
      <c r="EM166" s="1">
        <f>(Table1[[#This Row],[predicted_7]]-Table1[[#This Row],[actual_7]])/Table1[[#This Row],[actual_7]]</f>
        <v>-6.7120622568093383E-2</v>
      </c>
      <c r="EN166" s="1">
        <f>(Table1[[#This Row],[predicted_8]]-Table1[[#This Row],[actual_8]])/Table1[[#This Row],[actual_8]]</f>
        <v>1.1293634496919919E-2</v>
      </c>
      <c r="EO166" s="1">
        <f>(Table1[[#This Row],[predicted_9]]-Table1[[#This Row],[actual_9]])/Table1[[#This Row],[actual_9]]</f>
        <v>7.6313181367690788E-2</v>
      </c>
      <c r="EP166" s="1">
        <f>1+(Table1[[#This Row],[error_ratio_0]]-EF$2)</f>
        <v>0.99897959183673468</v>
      </c>
      <c r="EQ166" s="1">
        <f>1+(Table1[[#This Row],[error_ratio_1]]-EG$2)</f>
        <v>1.0061674008810573</v>
      </c>
      <c r="ER166" s="1">
        <f>1+(Table1[[#This Row],[error_ratio_2]]-EH$2)</f>
        <v>1.069767441860465</v>
      </c>
      <c r="ES166" s="1">
        <f>1+(Table1[[#This Row],[error_ratio_3]]-EI$2)</f>
        <v>0.99702970297029703</v>
      </c>
      <c r="ET166" s="1">
        <f>1+(Table1[[#This Row],[error_ratio_4]]-EJ$2)</f>
        <v>0.93686354378818737</v>
      </c>
      <c r="EU166" s="1">
        <f>1+(Table1[[#This Row],[error_ratio_5]]-EK$2)</f>
        <v>0.91367713004484308</v>
      </c>
      <c r="EV166" s="1">
        <f>1+(Table1[[#This Row],[error_ratio_6]]-EL$2)</f>
        <v>1.0417536534446765</v>
      </c>
      <c r="EW166" s="1">
        <f>1+(Table1[[#This Row],[error_ratio_7]]-EM$2)</f>
        <v>0.93093385214007784</v>
      </c>
      <c r="EX166" s="1">
        <f>1+(Table1[[#This Row],[error_ratio_8]]-EN$2)</f>
        <v>1.0143737166324436</v>
      </c>
      <c r="EY166" s="1">
        <f>1+(Table1[[#This Row],[error_ratio_9]]-EO$2)</f>
        <v>1.0802775024777007</v>
      </c>
    </row>
    <row r="167" spans="1:155" x14ac:dyDescent="0.75">
      <c r="A167">
        <v>100</v>
      </c>
      <c r="B167">
        <v>10</v>
      </c>
      <c r="C167">
        <v>100</v>
      </c>
      <c r="D167">
        <v>100</v>
      </c>
      <c r="E167">
        <v>10</v>
      </c>
      <c r="F167">
        <v>10</v>
      </c>
      <c r="G167">
        <v>100</v>
      </c>
      <c r="H167">
        <v>10</v>
      </c>
      <c r="I167">
        <v>100</v>
      </c>
      <c r="J167">
        <v>100</v>
      </c>
      <c r="K167">
        <v>972</v>
      </c>
      <c r="L167">
        <v>1122</v>
      </c>
      <c r="M167">
        <v>1082</v>
      </c>
      <c r="N167">
        <v>1069</v>
      </c>
      <c r="O167">
        <v>909</v>
      </c>
      <c r="P167">
        <v>808</v>
      </c>
      <c r="Q167">
        <v>1009</v>
      </c>
      <c r="R167">
        <v>973</v>
      </c>
      <c r="S167">
        <v>974</v>
      </c>
      <c r="T167">
        <v>1082</v>
      </c>
      <c r="U167">
        <v>980</v>
      </c>
      <c r="V167">
        <v>1135</v>
      </c>
      <c r="W167">
        <v>1032</v>
      </c>
      <c r="X167">
        <v>1010</v>
      </c>
      <c r="Y167">
        <v>982</v>
      </c>
      <c r="Z167">
        <v>892</v>
      </c>
      <c r="AA167">
        <v>958</v>
      </c>
      <c r="AB167">
        <v>1028</v>
      </c>
      <c r="AC167">
        <v>974</v>
      </c>
      <c r="AD167">
        <v>1009</v>
      </c>
      <c r="AE167">
        <v>964</v>
      </c>
      <c r="AF167">
        <v>0</v>
      </c>
      <c r="AG167">
        <v>3</v>
      </c>
      <c r="AH167">
        <v>0</v>
      </c>
      <c r="AI167">
        <v>0</v>
      </c>
      <c r="AJ167">
        <v>0</v>
      </c>
      <c r="AK167">
        <v>9</v>
      </c>
      <c r="AL167">
        <v>1</v>
      </c>
      <c r="AM167">
        <v>1</v>
      </c>
      <c r="AN167">
        <v>2</v>
      </c>
      <c r="AO167">
        <v>0</v>
      </c>
      <c r="AP167">
        <v>1117</v>
      </c>
      <c r="AQ167">
        <v>5</v>
      </c>
      <c r="AR167">
        <v>3</v>
      </c>
      <c r="AS167">
        <v>0</v>
      </c>
      <c r="AT167">
        <v>0</v>
      </c>
      <c r="AU167">
        <v>5</v>
      </c>
      <c r="AV167">
        <v>0</v>
      </c>
      <c r="AW167">
        <v>3</v>
      </c>
      <c r="AX167">
        <v>2</v>
      </c>
      <c r="AY167">
        <v>0</v>
      </c>
      <c r="AZ167">
        <v>0</v>
      </c>
      <c r="BA167">
        <v>1028</v>
      </c>
      <c r="BB167">
        <v>1</v>
      </c>
      <c r="BC167">
        <v>0</v>
      </c>
      <c r="BD167">
        <v>0</v>
      </c>
      <c r="BE167">
        <v>0</v>
      </c>
      <c r="BF167">
        <v>2</v>
      </c>
      <c r="BG167">
        <v>1</v>
      </c>
      <c r="BH167">
        <v>0</v>
      </c>
      <c r="BI167">
        <v>0</v>
      </c>
      <c r="BJ167">
        <v>0</v>
      </c>
      <c r="BK167">
        <v>2</v>
      </c>
      <c r="BL167">
        <v>1004</v>
      </c>
      <c r="BM167">
        <v>0</v>
      </c>
      <c r="BN167">
        <v>1</v>
      </c>
      <c r="BO167">
        <v>2</v>
      </c>
      <c r="BP167">
        <v>1</v>
      </c>
      <c r="BQ167">
        <v>0</v>
      </c>
      <c r="BR167">
        <v>0</v>
      </c>
      <c r="BS167">
        <v>0</v>
      </c>
      <c r="BT167">
        <v>0</v>
      </c>
      <c r="BU167">
        <v>4</v>
      </c>
      <c r="BV167">
        <v>1</v>
      </c>
      <c r="BW167">
        <v>908</v>
      </c>
      <c r="BX167">
        <v>0</v>
      </c>
      <c r="BY167">
        <v>12</v>
      </c>
      <c r="BZ167">
        <v>1</v>
      </c>
      <c r="CA167">
        <v>6</v>
      </c>
      <c r="CB167">
        <v>50</v>
      </c>
      <c r="CC167">
        <v>4</v>
      </c>
      <c r="CD167">
        <v>0</v>
      </c>
      <c r="CE167">
        <v>1</v>
      </c>
      <c r="CF167">
        <v>40</v>
      </c>
      <c r="CG167">
        <v>0</v>
      </c>
      <c r="CH167">
        <v>805</v>
      </c>
      <c r="CI167">
        <v>25</v>
      </c>
      <c r="CJ167">
        <v>1</v>
      </c>
      <c r="CK167">
        <v>7</v>
      </c>
      <c r="CL167">
        <v>9</v>
      </c>
      <c r="CM167">
        <v>0</v>
      </c>
      <c r="CN167">
        <v>2</v>
      </c>
      <c r="CO167">
        <v>1</v>
      </c>
      <c r="CP167">
        <v>0</v>
      </c>
      <c r="CQ167">
        <v>0</v>
      </c>
      <c r="CR167">
        <v>1</v>
      </c>
      <c r="CS167">
        <v>953</v>
      </c>
      <c r="CT167">
        <v>0</v>
      </c>
      <c r="CU167">
        <v>0</v>
      </c>
      <c r="CV167">
        <v>1</v>
      </c>
      <c r="CW167">
        <v>1</v>
      </c>
      <c r="CX167">
        <v>3</v>
      </c>
      <c r="CY167">
        <v>33</v>
      </c>
      <c r="CZ167">
        <v>14</v>
      </c>
      <c r="DA167">
        <v>0</v>
      </c>
      <c r="DB167">
        <v>0</v>
      </c>
      <c r="DC167">
        <v>0</v>
      </c>
      <c r="DD167">
        <v>962</v>
      </c>
      <c r="DE167">
        <v>1</v>
      </c>
      <c r="DF167">
        <v>14</v>
      </c>
      <c r="DG167">
        <v>2</v>
      </c>
      <c r="DH167">
        <v>0</v>
      </c>
      <c r="DI167">
        <v>3</v>
      </c>
      <c r="DJ167">
        <v>5</v>
      </c>
      <c r="DK167">
        <v>0</v>
      </c>
      <c r="DL167">
        <v>0</v>
      </c>
      <c r="DM167">
        <v>1</v>
      </c>
      <c r="DN167">
        <v>4</v>
      </c>
      <c r="DO167">
        <v>955</v>
      </c>
      <c r="DP167">
        <v>4</v>
      </c>
      <c r="DQ167">
        <v>1</v>
      </c>
      <c r="DR167">
        <v>0</v>
      </c>
      <c r="DS167">
        <v>2</v>
      </c>
      <c r="DT167">
        <v>1</v>
      </c>
      <c r="DU167">
        <v>1</v>
      </c>
      <c r="DV167">
        <v>1</v>
      </c>
      <c r="DW167">
        <v>2</v>
      </c>
      <c r="DX167">
        <v>1</v>
      </c>
      <c r="DY167">
        <v>0</v>
      </c>
      <c r="DZ167">
        <v>1000</v>
      </c>
      <c r="EA167">
        <v>0.96960000000000002</v>
      </c>
      <c r="EB167">
        <v>0.97096896631306595</v>
      </c>
      <c r="EC167">
        <v>0.96872593770667104</v>
      </c>
      <c r="ED167">
        <v>0.96908050078969699</v>
      </c>
      <c r="EE167">
        <f>SUM(Table1[[#This Row],[ratio_0]:[ratio_9]])</f>
        <v>640</v>
      </c>
      <c r="EF167" s="1">
        <f>(Table1[[#This Row],[predicted_0]]-Table1[[#This Row],[actual_0]])/Table1[[#This Row],[actual_0]]</f>
        <v>-8.1632653061224497E-3</v>
      </c>
      <c r="EG167" s="1">
        <f>(Table1[[#This Row],[predicted_1]]-Table1[[#This Row],[actual_1]])/Table1[[#This Row],[actual_1]]</f>
        <v>-1.145374449339207E-2</v>
      </c>
      <c r="EH167" s="1">
        <f>(Table1[[#This Row],[predicted_2]]-Table1[[#This Row],[actual_2]])/Table1[[#This Row],[actual_2]]</f>
        <v>4.8449612403100778E-2</v>
      </c>
      <c r="EI167" s="1">
        <f>(Table1[[#This Row],[predicted_3]]-Table1[[#This Row],[actual_3]])/Table1[[#This Row],[actual_3]]</f>
        <v>5.8415841584158419E-2</v>
      </c>
      <c r="EJ167" s="1">
        <f>(Table1[[#This Row],[predicted_4]]-Table1[[#This Row],[actual_4]])/Table1[[#This Row],[actual_4]]</f>
        <v>-7.4338085539714868E-2</v>
      </c>
      <c r="EK167" s="1">
        <f>(Table1[[#This Row],[predicted_5]]-Table1[[#This Row],[actual_5]])/Table1[[#This Row],[actual_5]]</f>
        <v>-9.417040358744394E-2</v>
      </c>
      <c r="EL167" s="1">
        <f>(Table1[[#This Row],[predicted_6]]-Table1[[#This Row],[actual_6]])/Table1[[#This Row],[actual_6]]</f>
        <v>5.3235908141962419E-2</v>
      </c>
      <c r="EM167" s="1">
        <f>(Table1[[#This Row],[predicted_7]]-Table1[[#This Row],[actual_7]])/Table1[[#This Row],[actual_7]]</f>
        <v>-5.3501945525291826E-2</v>
      </c>
      <c r="EN167" s="1">
        <f>(Table1[[#This Row],[predicted_8]]-Table1[[#This Row],[actual_8]])/Table1[[#This Row],[actual_8]]</f>
        <v>0</v>
      </c>
      <c r="EO167" s="1">
        <f>(Table1[[#This Row],[predicted_9]]-Table1[[#This Row],[actual_9]])/Table1[[#This Row],[actual_9]]</f>
        <v>7.2348860257680878E-2</v>
      </c>
      <c r="EP167" s="1">
        <f>1+(Table1[[#This Row],[error_ratio_0]]-EF$2)</f>
        <v>0.98979591836734693</v>
      </c>
      <c r="EQ167" s="1">
        <f>1+(Table1[[#This Row],[error_ratio_1]]-EG$2)</f>
        <v>0.986784140969163</v>
      </c>
      <c r="ER167" s="1">
        <f>1+(Table1[[#This Row],[error_ratio_2]]-EH$2)</f>
        <v>1.0532945736434109</v>
      </c>
      <c r="ES167" s="1">
        <f>1+(Table1[[#This Row],[error_ratio_3]]-EI$2)</f>
        <v>1.0485148514851486</v>
      </c>
      <c r="ET167" s="1">
        <f>1+(Table1[[#This Row],[error_ratio_4]]-EJ$2)</f>
        <v>0.92464358452138495</v>
      </c>
      <c r="EU167" s="1">
        <f>1+(Table1[[#This Row],[error_ratio_5]]-EK$2)</f>
        <v>0.9047085201793722</v>
      </c>
      <c r="EV167" s="1">
        <f>1+(Table1[[#This Row],[error_ratio_6]]-EL$2)</f>
        <v>1.0594989561586639</v>
      </c>
      <c r="EW167" s="1">
        <f>1+(Table1[[#This Row],[error_ratio_7]]-EM$2)</f>
        <v>0.94455252918287935</v>
      </c>
      <c r="EX167" s="1">
        <f>1+(Table1[[#This Row],[error_ratio_8]]-EN$2)</f>
        <v>1.0030800821355237</v>
      </c>
      <c r="EY167" s="1">
        <f>1+(Table1[[#This Row],[error_ratio_9]]-EO$2)</f>
        <v>1.0763131813676907</v>
      </c>
    </row>
    <row r="168" spans="1:155" x14ac:dyDescent="0.75">
      <c r="A168">
        <v>10</v>
      </c>
      <c r="B168">
        <v>10</v>
      </c>
      <c r="C168">
        <v>100</v>
      </c>
      <c r="D168">
        <v>100</v>
      </c>
      <c r="E168">
        <v>10</v>
      </c>
      <c r="F168">
        <v>10</v>
      </c>
      <c r="G168">
        <v>100</v>
      </c>
      <c r="H168">
        <v>10</v>
      </c>
      <c r="I168">
        <v>100</v>
      </c>
      <c r="J168">
        <v>100</v>
      </c>
      <c r="K168">
        <v>947</v>
      </c>
      <c r="L168">
        <v>1142</v>
      </c>
      <c r="M168">
        <v>1087</v>
      </c>
      <c r="N168">
        <v>1067</v>
      </c>
      <c r="O168">
        <v>928</v>
      </c>
      <c r="P168">
        <v>842</v>
      </c>
      <c r="Q168">
        <v>996</v>
      </c>
      <c r="R168">
        <v>931</v>
      </c>
      <c r="S168">
        <v>995</v>
      </c>
      <c r="T168">
        <v>1065</v>
      </c>
      <c r="U168">
        <v>980</v>
      </c>
      <c r="V168">
        <v>1135</v>
      </c>
      <c r="W168">
        <v>1032</v>
      </c>
      <c r="X168">
        <v>1010</v>
      </c>
      <c r="Y168">
        <v>982</v>
      </c>
      <c r="Z168">
        <v>892</v>
      </c>
      <c r="AA168">
        <v>958</v>
      </c>
      <c r="AB168">
        <v>1028</v>
      </c>
      <c r="AC168">
        <v>974</v>
      </c>
      <c r="AD168">
        <v>1009</v>
      </c>
      <c r="AE168">
        <v>941</v>
      </c>
      <c r="AF168">
        <v>1</v>
      </c>
      <c r="AG168">
        <v>3</v>
      </c>
      <c r="AH168">
        <v>1</v>
      </c>
      <c r="AI168">
        <v>0</v>
      </c>
      <c r="AJ168">
        <v>0</v>
      </c>
      <c r="AK168">
        <v>19</v>
      </c>
      <c r="AL168">
        <v>0</v>
      </c>
      <c r="AM168">
        <v>9</v>
      </c>
      <c r="AN168">
        <v>6</v>
      </c>
      <c r="AO168">
        <v>0</v>
      </c>
      <c r="AP168">
        <v>1124</v>
      </c>
      <c r="AQ168">
        <v>6</v>
      </c>
      <c r="AR168">
        <v>1</v>
      </c>
      <c r="AS168">
        <v>0</v>
      </c>
      <c r="AT168">
        <v>2</v>
      </c>
      <c r="AU168">
        <v>1</v>
      </c>
      <c r="AV168">
        <v>0</v>
      </c>
      <c r="AW168">
        <v>1</v>
      </c>
      <c r="AX168">
        <v>0</v>
      </c>
      <c r="AY168">
        <v>0</v>
      </c>
      <c r="AZ168">
        <v>1</v>
      </c>
      <c r="BA168">
        <v>1019</v>
      </c>
      <c r="BB168">
        <v>6</v>
      </c>
      <c r="BC168">
        <v>0</v>
      </c>
      <c r="BD168">
        <v>0</v>
      </c>
      <c r="BE168">
        <v>0</v>
      </c>
      <c r="BF168">
        <v>2</v>
      </c>
      <c r="BG168">
        <v>4</v>
      </c>
      <c r="BH168">
        <v>0</v>
      </c>
      <c r="BI168">
        <v>0</v>
      </c>
      <c r="BJ168">
        <v>0</v>
      </c>
      <c r="BK168">
        <v>3</v>
      </c>
      <c r="BL168">
        <v>999</v>
      </c>
      <c r="BM168">
        <v>0</v>
      </c>
      <c r="BN168">
        <v>2</v>
      </c>
      <c r="BO168">
        <v>0</v>
      </c>
      <c r="BP168">
        <v>0</v>
      </c>
      <c r="BQ168">
        <v>3</v>
      </c>
      <c r="BR168">
        <v>3</v>
      </c>
      <c r="BS168">
        <v>1</v>
      </c>
      <c r="BT168">
        <v>2</v>
      </c>
      <c r="BU168">
        <v>19</v>
      </c>
      <c r="BV168">
        <v>0</v>
      </c>
      <c r="BW168">
        <v>918</v>
      </c>
      <c r="BX168">
        <v>0</v>
      </c>
      <c r="BY168">
        <v>15</v>
      </c>
      <c r="BZ168">
        <v>0</v>
      </c>
      <c r="CA168">
        <v>2</v>
      </c>
      <c r="CB168">
        <v>25</v>
      </c>
      <c r="CC168">
        <v>2</v>
      </c>
      <c r="CD168">
        <v>0</v>
      </c>
      <c r="CE168">
        <v>1</v>
      </c>
      <c r="CF168">
        <v>14</v>
      </c>
      <c r="CG168">
        <v>0</v>
      </c>
      <c r="CH168">
        <v>836</v>
      </c>
      <c r="CI168">
        <v>10</v>
      </c>
      <c r="CJ168">
        <v>0</v>
      </c>
      <c r="CK168">
        <v>13</v>
      </c>
      <c r="CL168">
        <v>16</v>
      </c>
      <c r="CM168">
        <v>1</v>
      </c>
      <c r="CN168">
        <v>3</v>
      </c>
      <c r="CO168">
        <v>0</v>
      </c>
      <c r="CP168">
        <v>0</v>
      </c>
      <c r="CQ168">
        <v>1</v>
      </c>
      <c r="CR168">
        <v>1</v>
      </c>
      <c r="CS168">
        <v>951</v>
      </c>
      <c r="CT168">
        <v>0</v>
      </c>
      <c r="CU168">
        <v>1</v>
      </c>
      <c r="CV168">
        <v>0</v>
      </c>
      <c r="CW168">
        <v>0</v>
      </c>
      <c r="CX168">
        <v>8</v>
      </c>
      <c r="CY168">
        <v>29</v>
      </c>
      <c r="CZ168">
        <v>43</v>
      </c>
      <c r="DA168">
        <v>2</v>
      </c>
      <c r="DB168">
        <v>0</v>
      </c>
      <c r="DC168">
        <v>0</v>
      </c>
      <c r="DD168">
        <v>923</v>
      </c>
      <c r="DE168">
        <v>3</v>
      </c>
      <c r="DF168">
        <v>20</v>
      </c>
      <c r="DG168">
        <v>2</v>
      </c>
      <c r="DH168">
        <v>0</v>
      </c>
      <c r="DI168">
        <v>5</v>
      </c>
      <c r="DJ168">
        <v>0</v>
      </c>
      <c r="DK168">
        <v>1</v>
      </c>
      <c r="DL168">
        <v>0</v>
      </c>
      <c r="DM168">
        <v>0</v>
      </c>
      <c r="DN168">
        <v>3</v>
      </c>
      <c r="DO168">
        <v>957</v>
      </c>
      <c r="DP168">
        <v>6</v>
      </c>
      <c r="DQ168">
        <v>0</v>
      </c>
      <c r="DR168">
        <v>3</v>
      </c>
      <c r="DS168">
        <v>2</v>
      </c>
      <c r="DT168">
        <v>3</v>
      </c>
      <c r="DU168">
        <v>6</v>
      </c>
      <c r="DV168">
        <v>1</v>
      </c>
      <c r="DW168">
        <v>0</v>
      </c>
      <c r="DX168">
        <v>3</v>
      </c>
      <c r="DY168">
        <v>2</v>
      </c>
      <c r="DZ168">
        <v>989</v>
      </c>
      <c r="EA168">
        <v>0.9657</v>
      </c>
      <c r="EB168">
        <v>0.96703869556640398</v>
      </c>
      <c r="EC168">
        <v>0.96523487067032299</v>
      </c>
      <c r="ED168">
        <v>0.96546365448742599</v>
      </c>
      <c r="EE168">
        <f>SUM(Table1[[#This Row],[ratio_0]:[ratio_9]])</f>
        <v>550</v>
      </c>
      <c r="EF168" s="1">
        <f>(Table1[[#This Row],[predicted_0]]-Table1[[#This Row],[actual_0]])/Table1[[#This Row],[actual_0]]</f>
        <v>-3.3673469387755103E-2</v>
      </c>
      <c r="EG168" s="1">
        <f>(Table1[[#This Row],[predicted_1]]-Table1[[#This Row],[actual_1]])/Table1[[#This Row],[actual_1]]</f>
        <v>6.1674008810572688E-3</v>
      </c>
      <c r="EH168" s="1">
        <f>(Table1[[#This Row],[predicted_2]]-Table1[[#This Row],[actual_2]])/Table1[[#This Row],[actual_2]]</f>
        <v>5.329457364341085E-2</v>
      </c>
      <c r="EI168" s="1">
        <f>(Table1[[#This Row],[predicted_3]]-Table1[[#This Row],[actual_3]])/Table1[[#This Row],[actual_3]]</f>
        <v>5.6435643564356437E-2</v>
      </c>
      <c r="EJ168" s="1">
        <f>(Table1[[#This Row],[predicted_4]]-Table1[[#This Row],[actual_4]])/Table1[[#This Row],[actual_4]]</f>
        <v>-5.4989816700610997E-2</v>
      </c>
      <c r="EK168" s="1">
        <f>(Table1[[#This Row],[predicted_5]]-Table1[[#This Row],[actual_5]])/Table1[[#This Row],[actual_5]]</f>
        <v>-5.6053811659192827E-2</v>
      </c>
      <c r="EL168" s="1">
        <f>(Table1[[#This Row],[predicted_6]]-Table1[[#This Row],[actual_6]])/Table1[[#This Row],[actual_6]]</f>
        <v>3.9665970772442591E-2</v>
      </c>
      <c r="EM168" s="1">
        <f>(Table1[[#This Row],[predicted_7]]-Table1[[#This Row],[actual_7]])/Table1[[#This Row],[actual_7]]</f>
        <v>-9.4357976653696496E-2</v>
      </c>
      <c r="EN168" s="1">
        <f>(Table1[[#This Row],[predicted_8]]-Table1[[#This Row],[actual_8]])/Table1[[#This Row],[actual_8]]</f>
        <v>2.1560574948665298E-2</v>
      </c>
      <c r="EO168" s="1">
        <f>(Table1[[#This Row],[predicted_9]]-Table1[[#This Row],[actual_9]])/Table1[[#This Row],[actual_9]]</f>
        <v>5.550049554013875E-2</v>
      </c>
      <c r="EP168" s="1">
        <f>1+(Table1[[#This Row],[error_ratio_0]]-EF$2)</f>
        <v>0.9642857142857143</v>
      </c>
      <c r="EQ168" s="1">
        <f>1+(Table1[[#This Row],[error_ratio_1]]-EG$2)</f>
        <v>1.0044052863436124</v>
      </c>
      <c r="ER168" s="1">
        <f>1+(Table1[[#This Row],[error_ratio_2]]-EH$2)</f>
        <v>1.058139534883721</v>
      </c>
      <c r="ES168" s="1">
        <f>1+(Table1[[#This Row],[error_ratio_3]]-EI$2)</f>
        <v>1.0465346534653466</v>
      </c>
      <c r="ET168" s="1">
        <f>1+(Table1[[#This Row],[error_ratio_4]]-EJ$2)</f>
        <v>0.94399185336048874</v>
      </c>
      <c r="EU168" s="1">
        <f>1+(Table1[[#This Row],[error_ratio_5]]-EK$2)</f>
        <v>0.94282511210762332</v>
      </c>
      <c r="EV168" s="1">
        <f>1+(Table1[[#This Row],[error_ratio_6]]-EL$2)</f>
        <v>1.0459290187891441</v>
      </c>
      <c r="EW168" s="1">
        <f>1+(Table1[[#This Row],[error_ratio_7]]-EM$2)</f>
        <v>0.90369649805447472</v>
      </c>
      <c r="EX168" s="1">
        <f>1+(Table1[[#This Row],[error_ratio_8]]-EN$2)</f>
        <v>1.0246406570841888</v>
      </c>
      <c r="EY168" s="1">
        <f>1+(Table1[[#This Row],[error_ratio_9]]-EO$2)</f>
        <v>1.0594648166501486</v>
      </c>
    </row>
    <row r="169" spans="1:155" x14ac:dyDescent="0.75">
      <c r="A169">
        <v>100</v>
      </c>
      <c r="B169">
        <v>100</v>
      </c>
      <c r="C169">
        <v>10</v>
      </c>
      <c r="D169">
        <v>100</v>
      </c>
      <c r="E169">
        <v>10</v>
      </c>
      <c r="F169">
        <v>10</v>
      </c>
      <c r="G169">
        <v>100</v>
      </c>
      <c r="H169">
        <v>10</v>
      </c>
      <c r="I169">
        <v>100</v>
      </c>
      <c r="J169">
        <v>100</v>
      </c>
      <c r="K169">
        <v>1025</v>
      </c>
      <c r="L169">
        <v>1139</v>
      </c>
      <c r="M169">
        <v>977</v>
      </c>
      <c r="N169">
        <v>1020</v>
      </c>
      <c r="O169">
        <v>938</v>
      </c>
      <c r="P169">
        <v>855</v>
      </c>
      <c r="Q169">
        <v>986</v>
      </c>
      <c r="R169">
        <v>1019</v>
      </c>
      <c r="S169">
        <v>1010</v>
      </c>
      <c r="T169">
        <v>1031</v>
      </c>
      <c r="U169">
        <v>980</v>
      </c>
      <c r="V169">
        <v>1135</v>
      </c>
      <c r="W169">
        <v>1032</v>
      </c>
      <c r="X169">
        <v>1010</v>
      </c>
      <c r="Y169">
        <v>982</v>
      </c>
      <c r="Z169">
        <v>892</v>
      </c>
      <c r="AA169">
        <v>958</v>
      </c>
      <c r="AB169">
        <v>1028</v>
      </c>
      <c r="AC169">
        <v>974</v>
      </c>
      <c r="AD169">
        <v>1009</v>
      </c>
      <c r="AE169">
        <v>977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1</v>
      </c>
      <c r="AM169">
        <v>1</v>
      </c>
      <c r="AN169">
        <v>1</v>
      </c>
      <c r="AO169">
        <v>0</v>
      </c>
      <c r="AP169">
        <v>1115</v>
      </c>
      <c r="AQ169">
        <v>0</v>
      </c>
      <c r="AR169">
        <v>0</v>
      </c>
      <c r="AS169">
        <v>0</v>
      </c>
      <c r="AT169">
        <v>1</v>
      </c>
      <c r="AU169">
        <v>6</v>
      </c>
      <c r="AV169">
        <v>0</v>
      </c>
      <c r="AW169">
        <v>13</v>
      </c>
      <c r="AX169">
        <v>0</v>
      </c>
      <c r="AY169">
        <v>17</v>
      </c>
      <c r="AZ169">
        <v>12</v>
      </c>
      <c r="BA169">
        <v>966</v>
      </c>
      <c r="BB169">
        <v>4</v>
      </c>
      <c r="BC169">
        <v>0</v>
      </c>
      <c r="BD169">
        <v>0</v>
      </c>
      <c r="BE169">
        <v>4</v>
      </c>
      <c r="BF169">
        <v>14</v>
      </c>
      <c r="BG169">
        <v>15</v>
      </c>
      <c r="BH169">
        <v>0</v>
      </c>
      <c r="BI169">
        <v>0</v>
      </c>
      <c r="BJ169">
        <v>1</v>
      </c>
      <c r="BK169">
        <v>1</v>
      </c>
      <c r="BL169">
        <v>994</v>
      </c>
      <c r="BM169">
        <v>0</v>
      </c>
      <c r="BN169">
        <v>4</v>
      </c>
      <c r="BO169">
        <v>2</v>
      </c>
      <c r="BP169">
        <v>4</v>
      </c>
      <c r="BQ169">
        <v>3</v>
      </c>
      <c r="BR169">
        <v>1</v>
      </c>
      <c r="BS169">
        <v>5</v>
      </c>
      <c r="BT169">
        <v>0</v>
      </c>
      <c r="BU169">
        <v>0</v>
      </c>
      <c r="BV169">
        <v>0</v>
      </c>
      <c r="BW169">
        <v>934</v>
      </c>
      <c r="BX169">
        <v>0</v>
      </c>
      <c r="BY169">
        <v>16</v>
      </c>
      <c r="BZ169">
        <v>0</v>
      </c>
      <c r="CA169">
        <v>5</v>
      </c>
      <c r="CB169">
        <v>22</v>
      </c>
      <c r="CC169">
        <v>6</v>
      </c>
      <c r="CD169">
        <v>0</v>
      </c>
      <c r="CE169">
        <v>0</v>
      </c>
      <c r="CF169">
        <v>15</v>
      </c>
      <c r="CG169">
        <v>0</v>
      </c>
      <c r="CH169">
        <v>847</v>
      </c>
      <c r="CI169">
        <v>13</v>
      </c>
      <c r="CJ169">
        <v>2</v>
      </c>
      <c r="CK169">
        <v>5</v>
      </c>
      <c r="CL169">
        <v>4</v>
      </c>
      <c r="CM169">
        <v>12</v>
      </c>
      <c r="CN169">
        <v>2</v>
      </c>
      <c r="CO169">
        <v>0</v>
      </c>
      <c r="CP169">
        <v>0</v>
      </c>
      <c r="CQ169">
        <v>1</v>
      </c>
      <c r="CR169">
        <v>1</v>
      </c>
      <c r="CS169">
        <v>942</v>
      </c>
      <c r="CT169">
        <v>0</v>
      </c>
      <c r="CU169">
        <v>0</v>
      </c>
      <c r="CV169">
        <v>0</v>
      </c>
      <c r="CW169">
        <v>1</v>
      </c>
      <c r="CX169">
        <v>7</v>
      </c>
      <c r="CY169">
        <v>10</v>
      </c>
      <c r="CZ169">
        <v>4</v>
      </c>
      <c r="DA169">
        <v>0</v>
      </c>
      <c r="DB169">
        <v>0</v>
      </c>
      <c r="DC169">
        <v>0</v>
      </c>
      <c r="DD169">
        <v>991</v>
      </c>
      <c r="DE169">
        <v>5</v>
      </c>
      <c r="DF169">
        <v>10</v>
      </c>
      <c r="DG169">
        <v>5</v>
      </c>
      <c r="DH169">
        <v>0</v>
      </c>
      <c r="DI169">
        <v>0</v>
      </c>
      <c r="DJ169">
        <v>1</v>
      </c>
      <c r="DK169">
        <v>1</v>
      </c>
      <c r="DL169">
        <v>2</v>
      </c>
      <c r="DM169">
        <v>2</v>
      </c>
      <c r="DN169">
        <v>3</v>
      </c>
      <c r="DO169">
        <v>959</v>
      </c>
      <c r="DP169">
        <v>1</v>
      </c>
      <c r="DQ169">
        <v>2</v>
      </c>
      <c r="DR169">
        <v>2</v>
      </c>
      <c r="DS169">
        <v>0</v>
      </c>
      <c r="DT169">
        <v>2</v>
      </c>
      <c r="DU169">
        <v>2</v>
      </c>
      <c r="DV169">
        <v>0</v>
      </c>
      <c r="DW169">
        <v>1</v>
      </c>
      <c r="DX169">
        <v>4</v>
      </c>
      <c r="DY169">
        <v>4</v>
      </c>
      <c r="DZ169">
        <v>992</v>
      </c>
      <c r="EA169">
        <v>0.97170000000000001</v>
      </c>
      <c r="EB169">
        <v>0.97213042795881399</v>
      </c>
      <c r="EC169">
        <v>0.97152518353728901</v>
      </c>
      <c r="ED169">
        <v>0.97154410971239602</v>
      </c>
      <c r="EE169">
        <f>SUM(Table1[[#This Row],[ratio_0]:[ratio_9]])</f>
        <v>640</v>
      </c>
      <c r="EF169" s="1">
        <f>(Table1[[#This Row],[predicted_0]]-Table1[[#This Row],[actual_0]])/Table1[[#This Row],[actual_0]]</f>
        <v>4.5918367346938778E-2</v>
      </c>
      <c r="EG169" s="1">
        <f>(Table1[[#This Row],[predicted_1]]-Table1[[#This Row],[actual_1]])/Table1[[#This Row],[actual_1]]</f>
        <v>3.524229074889868E-3</v>
      </c>
      <c r="EH169" s="1">
        <f>(Table1[[#This Row],[predicted_2]]-Table1[[#This Row],[actual_2]])/Table1[[#This Row],[actual_2]]</f>
        <v>-5.329457364341085E-2</v>
      </c>
      <c r="EI169" s="1">
        <f>(Table1[[#This Row],[predicted_3]]-Table1[[#This Row],[actual_3]])/Table1[[#This Row],[actual_3]]</f>
        <v>9.9009900990099011E-3</v>
      </c>
      <c r="EJ169" s="1">
        <f>(Table1[[#This Row],[predicted_4]]-Table1[[#This Row],[actual_4]])/Table1[[#This Row],[actual_4]]</f>
        <v>-4.4806517311608958E-2</v>
      </c>
      <c r="EK169" s="1">
        <f>(Table1[[#This Row],[predicted_5]]-Table1[[#This Row],[actual_5]])/Table1[[#This Row],[actual_5]]</f>
        <v>-4.1479820627802692E-2</v>
      </c>
      <c r="EL169" s="1">
        <f>(Table1[[#This Row],[predicted_6]]-Table1[[#This Row],[actual_6]])/Table1[[#This Row],[actual_6]]</f>
        <v>2.9227557411273485E-2</v>
      </c>
      <c r="EM169" s="1">
        <f>(Table1[[#This Row],[predicted_7]]-Table1[[#This Row],[actual_7]])/Table1[[#This Row],[actual_7]]</f>
        <v>-8.7548638132295721E-3</v>
      </c>
      <c r="EN169" s="1">
        <f>(Table1[[#This Row],[predicted_8]]-Table1[[#This Row],[actual_8]])/Table1[[#This Row],[actual_8]]</f>
        <v>3.6960985626283367E-2</v>
      </c>
      <c r="EO169" s="1">
        <f>(Table1[[#This Row],[predicted_9]]-Table1[[#This Row],[actual_9]])/Table1[[#This Row],[actual_9]]</f>
        <v>2.1803766105054509E-2</v>
      </c>
      <c r="EP169" s="1">
        <f>1+(Table1[[#This Row],[error_ratio_0]]-EF$2)</f>
        <v>1.0438775510204081</v>
      </c>
      <c r="EQ169" s="1">
        <f>1+(Table1[[#This Row],[error_ratio_1]]-EG$2)</f>
        <v>1.0017621145374449</v>
      </c>
      <c r="ER169" s="1">
        <f>1+(Table1[[#This Row],[error_ratio_2]]-EH$2)</f>
        <v>0.95155038759689925</v>
      </c>
      <c r="ES169" s="1">
        <f>1+(Table1[[#This Row],[error_ratio_3]]-EI$2)</f>
        <v>1</v>
      </c>
      <c r="ET169" s="1">
        <f>1+(Table1[[#This Row],[error_ratio_4]]-EJ$2)</f>
        <v>0.95417515274949083</v>
      </c>
      <c r="EU169" s="1">
        <f>1+(Table1[[#This Row],[error_ratio_5]]-EK$2)</f>
        <v>0.95739910313901344</v>
      </c>
      <c r="EV169" s="1">
        <f>1+(Table1[[#This Row],[error_ratio_6]]-EL$2)</f>
        <v>1.0354906054279749</v>
      </c>
      <c r="EW169" s="1">
        <f>1+(Table1[[#This Row],[error_ratio_7]]-EM$2)</f>
        <v>0.98929961089494167</v>
      </c>
      <c r="EX169" s="1">
        <f>1+(Table1[[#This Row],[error_ratio_8]]-EN$2)</f>
        <v>1.040041067761807</v>
      </c>
      <c r="EY169" s="1">
        <f>1+(Table1[[#This Row],[error_ratio_9]]-EO$2)</f>
        <v>1.0257680872150645</v>
      </c>
    </row>
    <row r="170" spans="1:155" x14ac:dyDescent="0.75">
      <c r="A170">
        <v>10</v>
      </c>
      <c r="B170">
        <v>100</v>
      </c>
      <c r="C170">
        <v>10</v>
      </c>
      <c r="D170">
        <v>100</v>
      </c>
      <c r="E170">
        <v>10</v>
      </c>
      <c r="F170">
        <v>10</v>
      </c>
      <c r="G170">
        <v>100</v>
      </c>
      <c r="H170">
        <v>10</v>
      </c>
      <c r="I170">
        <v>100</v>
      </c>
      <c r="J170">
        <v>100</v>
      </c>
      <c r="K170">
        <v>981</v>
      </c>
      <c r="L170">
        <v>1172</v>
      </c>
      <c r="M170">
        <v>995</v>
      </c>
      <c r="N170">
        <v>1088</v>
      </c>
      <c r="O170">
        <v>904</v>
      </c>
      <c r="P170">
        <v>816</v>
      </c>
      <c r="Q170">
        <v>978</v>
      </c>
      <c r="R170">
        <v>920</v>
      </c>
      <c r="S170">
        <v>1026</v>
      </c>
      <c r="T170">
        <v>1120</v>
      </c>
      <c r="U170">
        <v>980</v>
      </c>
      <c r="V170">
        <v>1135</v>
      </c>
      <c r="W170">
        <v>1032</v>
      </c>
      <c r="X170">
        <v>1010</v>
      </c>
      <c r="Y170">
        <v>982</v>
      </c>
      <c r="Z170">
        <v>892</v>
      </c>
      <c r="AA170">
        <v>958</v>
      </c>
      <c r="AB170">
        <v>1028</v>
      </c>
      <c r="AC170">
        <v>974</v>
      </c>
      <c r="AD170">
        <v>1009</v>
      </c>
      <c r="AE170">
        <v>964</v>
      </c>
      <c r="AF170">
        <v>0</v>
      </c>
      <c r="AG170">
        <v>0</v>
      </c>
      <c r="AH170">
        <v>1</v>
      </c>
      <c r="AI170">
        <v>0</v>
      </c>
      <c r="AJ170">
        <v>0</v>
      </c>
      <c r="AK170">
        <v>8</v>
      </c>
      <c r="AL170">
        <v>1</v>
      </c>
      <c r="AM170">
        <v>4</v>
      </c>
      <c r="AN170">
        <v>2</v>
      </c>
      <c r="AO170">
        <v>0</v>
      </c>
      <c r="AP170">
        <v>1133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1</v>
      </c>
      <c r="AX170">
        <v>1</v>
      </c>
      <c r="AY170">
        <v>2</v>
      </c>
      <c r="AZ170">
        <v>23</v>
      </c>
      <c r="BA170">
        <v>975</v>
      </c>
      <c r="BB170">
        <v>12</v>
      </c>
      <c r="BC170">
        <v>1</v>
      </c>
      <c r="BD170">
        <v>0</v>
      </c>
      <c r="BE170">
        <v>3</v>
      </c>
      <c r="BF170">
        <v>5</v>
      </c>
      <c r="BG170">
        <v>9</v>
      </c>
      <c r="BH170">
        <v>2</v>
      </c>
      <c r="BI170">
        <v>0</v>
      </c>
      <c r="BJ170">
        <v>0</v>
      </c>
      <c r="BK170">
        <v>0</v>
      </c>
      <c r="BL170">
        <v>1004</v>
      </c>
      <c r="BM170">
        <v>0</v>
      </c>
      <c r="BN170">
        <v>1</v>
      </c>
      <c r="BO170">
        <v>0</v>
      </c>
      <c r="BP170">
        <v>0</v>
      </c>
      <c r="BQ170">
        <v>2</v>
      </c>
      <c r="BR170">
        <v>3</v>
      </c>
      <c r="BS170">
        <v>1</v>
      </c>
      <c r="BT170">
        <v>0</v>
      </c>
      <c r="BU170">
        <v>2</v>
      </c>
      <c r="BV170">
        <v>0</v>
      </c>
      <c r="BW170">
        <v>896</v>
      </c>
      <c r="BX170">
        <v>0</v>
      </c>
      <c r="BY170">
        <v>9</v>
      </c>
      <c r="BZ170">
        <v>0</v>
      </c>
      <c r="CA170">
        <v>6</v>
      </c>
      <c r="CB170">
        <v>68</v>
      </c>
      <c r="CC170">
        <v>3</v>
      </c>
      <c r="CD170">
        <v>0</v>
      </c>
      <c r="CE170">
        <v>1</v>
      </c>
      <c r="CF170">
        <v>34</v>
      </c>
      <c r="CG170">
        <v>0</v>
      </c>
      <c r="CH170">
        <v>812</v>
      </c>
      <c r="CI170">
        <v>14</v>
      </c>
      <c r="CJ170">
        <v>0</v>
      </c>
      <c r="CK170">
        <v>26</v>
      </c>
      <c r="CL170">
        <v>2</v>
      </c>
      <c r="CM170">
        <v>4</v>
      </c>
      <c r="CN170">
        <v>4</v>
      </c>
      <c r="CO170">
        <v>0</v>
      </c>
      <c r="CP170">
        <v>0</v>
      </c>
      <c r="CQ170">
        <v>1</v>
      </c>
      <c r="CR170">
        <v>1</v>
      </c>
      <c r="CS170">
        <v>942</v>
      </c>
      <c r="CT170">
        <v>0</v>
      </c>
      <c r="CU170">
        <v>6</v>
      </c>
      <c r="CV170">
        <v>0</v>
      </c>
      <c r="CW170">
        <v>4</v>
      </c>
      <c r="CX170">
        <v>10</v>
      </c>
      <c r="CY170">
        <v>16</v>
      </c>
      <c r="CZ170">
        <v>36</v>
      </c>
      <c r="DA170">
        <v>3</v>
      </c>
      <c r="DB170">
        <v>0</v>
      </c>
      <c r="DC170">
        <v>2</v>
      </c>
      <c r="DD170">
        <v>911</v>
      </c>
      <c r="DE170">
        <v>6</v>
      </c>
      <c r="DF170">
        <v>40</v>
      </c>
      <c r="DG170">
        <v>3</v>
      </c>
      <c r="DH170">
        <v>0</v>
      </c>
      <c r="DI170">
        <v>1</v>
      </c>
      <c r="DJ170">
        <v>0</v>
      </c>
      <c r="DK170">
        <v>0</v>
      </c>
      <c r="DL170">
        <v>0</v>
      </c>
      <c r="DM170">
        <v>0</v>
      </c>
      <c r="DN170">
        <v>2</v>
      </c>
      <c r="DO170">
        <v>965</v>
      </c>
      <c r="DP170">
        <v>3</v>
      </c>
      <c r="DQ170">
        <v>0</v>
      </c>
      <c r="DR170">
        <v>2</v>
      </c>
      <c r="DS170">
        <v>0</v>
      </c>
      <c r="DT170">
        <v>1</v>
      </c>
      <c r="DU170">
        <v>3</v>
      </c>
      <c r="DV170">
        <v>2</v>
      </c>
      <c r="DW170">
        <v>0</v>
      </c>
      <c r="DX170">
        <v>1</v>
      </c>
      <c r="DY170">
        <v>1</v>
      </c>
      <c r="DZ170">
        <v>999</v>
      </c>
      <c r="EA170">
        <v>0.96009999999999995</v>
      </c>
      <c r="EB170">
        <v>0.96242540604893201</v>
      </c>
      <c r="EC170">
        <v>0.95938099891197903</v>
      </c>
      <c r="ED170">
        <v>0.95974209562137303</v>
      </c>
      <c r="EE170">
        <f>SUM(Table1[[#This Row],[ratio_0]:[ratio_9]])</f>
        <v>550</v>
      </c>
      <c r="EF170" s="1">
        <f>(Table1[[#This Row],[predicted_0]]-Table1[[#This Row],[actual_0]])/Table1[[#This Row],[actual_0]]</f>
        <v>1.0204081632653062E-3</v>
      </c>
      <c r="EG170" s="1">
        <f>(Table1[[#This Row],[predicted_1]]-Table1[[#This Row],[actual_1]])/Table1[[#This Row],[actual_1]]</f>
        <v>3.2599118942731278E-2</v>
      </c>
      <c r="EH170" s="1">
        <f>(Table1[[#This Row],[predicted_2]]-Table1[[#This Row],[actual_2]])/Table1[[#This Row],[actual_2]]</f>
        <v>-3.5852713178294575E-2</v>
      </c>
      <c r="EI170" s="1">
        <f>(Table1[[#This Row],[predicted_3]]-Table1[[#This Row],[actual_3]])/Table1[[#This Row],[actual_3]]</f>
        <v>7.7227722772277227E-2</v>
      </c>
      <c r="EJ170" s="1">
        <f>(Table1[[#This Row],[predicted_4]]-Table1[[#This Row],[actual_4]])/Table1[[#This Row],[actual_4]]</f>
        <v>-7.9429735234215884E-2</v>
      </c>
      <c r="EK170" s="1">
        <f>(Table1[[#This Row],[predicted_5]]-Table1[[#This Row],[actual_5]])/Table1[[#This Row],[actual_5]]</f>
        <v>-8.520179372197309E-2</v>
      </c>
      <c r="EL170" s="1">
        <f>(Table1[[#This Row],[predicted_6]]-Table1[[#This Row],[actual_6]])/Table1[[#This Row],[actual_6]]</f>
        <v>2.0876826722338204E-2</v>
      </c>
      <c r="EM170" s="1">
        <f>(Table1[[#This Row],[predicted_7]]-Table1[[#This Row],[actual_7]])/Table1[[#This Row],[actual_7]]</f>
        <v>-0.10505836575875487</v>
      </c>
      <c r="EN170" s="1">
        <f>(Table1[[#This Row],[predicted_8]]-Table1[[#This Row],[actual_8]])/Table1[[#This Row],[actual_8]]</f>
        <v>5.3388090349075976E-2</v>
      </c>
      <c r="EO170" s="1">
        <f>(Table1[[#This Row],[predicted_9]]-Table1[[#This Row],[actual_9]])/Table1[[#This Row],[actual_9]]</f>
        <v>0.11000991080277503</v>
      </c>
      <c r="EP170" s="1">
        <f>1+(Table1[[#This Row],[error_ratio_0]]-EF$2)</f>
        <v>0.99897959183673468</v>
      </c>
      <c r="EQ170" s="1">
        <f>1+(Table1[[#This Row],[error_ratio_1]]-EG$2)</f>
        <v>1.0308370044052864</v>
      </c>
      <c r="ER170" s="1">
        <f>1+(Table1[[#This Row],[error_ratio_2]]-EH$2)</f>
        <v>0.96899224806201545</v>
      </c>
      <c r="ES170" s="1">
        <f>1+(Table1[[#This Row],[error_ratio_3]]-EI$2)</f>
        <v>1.0673267326732674</v>
      </c>
      <c r="ET170" s="1">
        <f>1+(Table1[[#This Row],[error_ratio_4]]-EJ$2)</f>
        <v>0.91955193482688391</v>
      </c>
      <c r="EU170" s="1">
        <f>1+(Table1[[#This Row],[error_ratio_5]]-EK$2)</f>
        <v>0.91367713004484308</v>
      </c>
      <c r="EV170" s="1">
        <f>1+(Table1[[#This Row],[error_ratio_6]]-EL$2)</f>
        <v>1.0271398747390397</v>
      </c>
      <c r="EW170" s="1">
        <f>1+(Table1[[#This Row],[error_ratio_7]]-EM$2)</f>
        <v>0.89299610894941628</v>
      </c>
      <c r="EX170" s="1">
        <f>1+(Table1[[#This Row],[error_ratio_8]]-EN$2)</f>
        <v>1.0564681724845997</v>
      </c>
      <c r="EY170" s="1">
        <f>1+(Table1[[#This Row],[error_ratio_9]]-EO$2)</f>
        <v>1.113974231912785</v>
      </c>
    </row>
    <row r="171" spans="1:155" x14ac:dyDescent="0.75">
      <c r="A171">
        <v>10</v>
      </c>
      <c r="B171">
        <v>10</v>
      </c>
      <c r="C171">
        <v>10</v>
      </c>
      <c r="D171">
        <v>100</v>
      </c>
      <c r="E171">
        <v>10</v>
      </c>
      <c r="F171">
        <v>10</v>
      </c>
      <c r="G171">
        <v>100</v>
      </c>
      <c r="H171">
        <v>10</v>
      </c>
      <c r="I171">
        <v>100</v>
      </c>
      <c r="J171">
        <v>100</v>
      </c>
      <c r="K171">
        <v>968</v>
      </c>
      <c r="L171">
        <v>1044</v>
      </c>
      <c r="M171">
        <v>887</v>
      </c>
      <c r="N171">
        <v>1022</v>
      </c>
      <c r="O171">
        <v>937</v>
      </c>
      <c r="P171">
        <v>848</v>
      </c>
      <c r="Q171">
        <v>982</v>
      </c>
      <c r="R171">
        <v>1049</v>
      </c>
      <c r="S171">
        <v>1151</v>
      </c>
      <c r="T171">
        <v>1112</v>
      </c>
      <c r="U171">
        <v>980</v>
      </c>
      <c r="V171">
        <v>1135</v>
      </c>
      <c r="W171">
        <v>1032</v>
      </c>
      <c r="X171">
        <v>1010</v>
      </c>
      <c r="Y171">
        <v>982</v>
      </c>
      <c r="Z171">
        <v>892</v>
      </c>
      <c r="AA171">
        <v>958</v>
      </c>
      <c r="AB171">
        <v>1028</v>
      </c>
      <c r="AC171">
        <v>974</v>
      </c>
      <c r="AD171">
        <v>1009</v>
      </c>
      <c r="AE171">
        <v>954</v>
      </c>
      <c r="AF171">
        <v>0</v>
      </c>
      <c r="AG171">
        <v>0</v>
      </c>
      <c r="AH171">
        <v>0</v>
      </c>
      <c r="AI171">
        <v>0</v>
      </c>
      <c r="AJ171">
        <v>2</v>
      </c>
      <c r="AK171">
        <v>1</v>
      </c>
      <c r="AL171">
        <v>3</v>
      </c>
      <c r="AM171">
        <v>7</v>
      </c>
      <c r="AN171">
        <v>13</v>
      </c>
      <c r="AO171">
        <v>0</v>
      </c>
      <c r="AP171">
        <v>1040</v>
      </c>
      <c r="AQ171">
        <v>0</v>
      </c>
      <c r="AR171">
        <v>5</v>
      </c>
      <c r="AS171">
        <v>2</v>
      </c>
      <c r="AT171">
        <v>1</v>
      </c>
      <c r="AU171">
        <v>6</v>
      </c>
      <c r="AV171">
        <v>0</v>
      </c>
      <c r="AW171">
        <v>63</v>
      </c>
      <c r="AX171">
        <v>18</v>
      </c>
      <c r="AY171">
        <v>4</v>
      </c>
      <c r="AZ171">
        <v>2</v>
      </c>
      <c r="BA171">
        <v>879</v>
      </c>
      <c r="BB171">
        <v>25</v>
      </c>
      <c r="BC171">
        <v>3</v>
      </c>
      <c r="BD171">
        <v>0</v>
      </c>
      <c r="BE171">
        <v>13</v>
      </c>
      <c r="BF171">
        <v>35</v>
      </c>
      <c r="BG171">
        <v>69</v>
      </c>
      <c r="BH171">
        <v>2</v>
      </c>
      <c r="BI171">
        <v>0</v>
      </c>
      <c r="BJ171">
        <v>0</v>
      </c>
      <c r="BK171">
        <v>1</v>
      </c>
      <c r="BL171">
        <v>975</v>
      </c>
      <c r="BM171">
        <v>0</v>
      </c>
      <c r="BN171">
        <v>3</v>
      </c>
      <c r="BO171">
        <v>0</v>
      </c>
      <c r="BP171">
        <v>8</v>
      </c>
      <c r="BQ171">
        <v>12</v>
      </c>
      <c r="BR171">
        <v>11</v>
      </c>
      <c r="BS171">
        <v>0</v>
      </c>
      <c r="BT171">
        <v>0</v>
      </c>
      <c r="BU171">
        <v>0</v>
      </c>
      <c r="BV171">
        <v>0</v>
      </c>
      <c r="BW171">
        <v>930</v>
      </c>
      <c r="BX171">
        <v>0</v>
      </c>
      <c r="BY171">
        <v>10</v>
      </c>
      <c r="BZ171">
        <v>1</v>
      </c>
      <c r="CA171">
        <v>2</v>
      </c>
      <c r="CB171">
        <v>39</v>
      </c>
      <c r="CC171">
        <v>2</v>
      </c>
      <c r="CD171">
        <v>0</v>
      </c>
      <c r="CE171">
        <v>1</v>
      </c>
      <c r="CF171">
        <v>14</v>
      </c>
      <c r="CG171">
        <v>0</v>
      </c>
      <c r="CH171">
        <v>841</v>
      </c>
      <c r="CI171">
        <v>6</v>
      </c>
      <c r="CJ171">
        <v>1</v>
      </c>
      <c r="CK171">
        <v>24</v>
      </c>
      <c r="CL171">
        <v>3</v>
      </c>
      <c r="CM171">
        <v>7</v>
      </c>
      <c r="CN171">
        <v>1</v>
      </c>
      <c r="CO171">
        <v>1</v>
      </c>
      <c r="CP171">
        <v>0</v>
      </c>
      <c r="CQ171">
        <v>1</v>
      </c>
      <c r="CR171">
        <v>1</v>
      </c>
      <c r="CS171">
        <v>945</v>
      </c>
      <c r="CT171">
        <v>0</v>
      </c>
      <c r="CU171">
        <v>2</v>
      </c>
      <c r="CV171">
        <v>0</v>
      </c>
      <c r="CW171">
        <v>0</v>
      </c>
      <c r="CX171">
        <v>1</v>
      </c>
      <c r="CY171">
        <v>5</v>
      </c>
      <c r="CZ171">
        <v>3</v>
      </c>
      <c r="DA171">
        <v>0</v>
      </c>
      <c r="DB171">
        <v>0</v>
      </c>
      <c r="DC171">
        <v>0</v>
      </c>
      <c r="DD171">
        <v>994</v>
      </c>
      <c r="DE171">
        <v>3</v>
      </c>
      <c r="DF171">
        <v>22</v>
      </c>
      <c r="DG171">
        <v>1</v>
      </c>
      <c r="DH171">
        <v>0</v>
      </c>
      <c r="DI171">
        <v>0</v>
      </c>
      <c r="DJ171">
        <v>0</v>
      </c>
      <c r="DK171">
        <v>0</v>
      </c>
      <c r="DL171">
        <v>0</v>
      </c>
      <c r="DM171">
        <v>1</v>
      </c>
      <c r="DN171">
        <v>3</v>
      </c>
      <c r="DO171">
        <v>967</v>
      </c>
      <c r="DP171">
        <v>2</v>
      </c>
      <c r="DQ171">
        <v>0</v>
      </c>
      <c r="DR171">
        <v>0</v>
      </c>
      <c r="DS171">
        <v>0</v>
      </c>
      <c r="DT171">
        <v>0</v>
      </c>
      <c r="DU171">
        <v>1</v>
      </c>
      <c r="DV171">
        <v>0</v>
      </c>
      <c r="DW171">
        <v>0</v>
      </c>
      <c r="DX171">
        <v>4</v>
      </c>
      <c r="DY171">
        <v>2</v>
      </c>
      <c r="DZ171">
        <v>1002</v>
      </c>
      <c r="EA171">
        <v>0.95269999999999999</v>
      </c>
      <c r="EB171">
        <v>0.95620820323685396</v>
      </c>
      <c r="EC171">
        <v>0.95359633356218998</v>
      </c>
      <c r="ED171">
        <v>0.95320332538805996</v>
      </c>
      <c r="EE171">
        <f>SUM(Table1[[#This Row],[ratio_0]:[ratio_9]])</f>
        <v>460</v>
      </c>
      <c r="EF171" s="1">
        <f>(Table1[[#This Row],[predicted_0]]-Table1[[#This Row],[actual_0]])/Table1[[#This Row],[actual_0]]</f>
        <v>-1.2244897959183673E-2</v>
      </c>
      <c r="EG171" s="1">
        <f>(Table1[[#This Row],[predicted_1]]-Table1[[#This Row],[actual_1]])/Table1[[#This Row],[actual_1]]</f>
        <v>-8.0176211453744498E-2</v>
      </c>
      <c r="EH171" s="1">
        <f>(Table1[[#This Row],[predicted_2]]-Table1[[#This Row],[actual_2]])/Table1[[#This Row],[actual_2]]</f>
        <v>-0.14050387596899225</v>
      </c>
      <c r="EI171" s="1">
        <f>(Table1[[#This Row],[predicted_3]]-Table1[[#This Row],[actual_3]])/Table1[[#This Row],[actual_3]]</f>
        <v>1.1881188118811881E-2</v>
      </c>
      <c r="EJ171" s="1">
        <f>(Table1[[#This Row],[predicted_4]]-Table1[[#This Row],[actual_4]])/Table1[[#This Row],[actual_4]]</f>
        <v>-4.5824847250509164E-2</v>
      </c>
      <c r="EK171" s="1">
        <f>(Table1[[#This Row],[predicted_5]]-Table1[[#This Row],[actual_5]])/Table1[[#This Row],[actual_5]]</f>
        <v>-4.9327354260089683E-2</v>
      </c>
      <c r="EL171" s="1">
        <f>(Table1[[#This Row],[predicted_6]]-Table1[[#This Row],[actual_6]])/Table1[[#This Row],[actual_6]]</f>
        <v>2.5052192066805846E-2</v>
      </c>
      <c r="EM171" s="1">
        <f>(Table1[[#This Row],[predicted_7]]-Table1[[#This Row],[actual_7]])/Table1[[#This Row],[actual_7]]</f>
        <v>2.0428015564202335E-2</v>
      </c>
      <c r="EN171" s="1">
        <f>(Table1[[#This Row],[predicted_8]]-Table1[[#This Row],[actual_8]])/Table1[[#This Row],[actual_8]]</f>
        <v>0.18172484599589322</v>
      </c>
      <c r="EO171" s="1">
        <f>(Table1[[#This Row],[predicted_9]]-Table1[[#This Row],[actual_9]])/Table1[[#This Row],[actual_9]]</f>
        <v>0.10208126858275521</v>
      </c>
      <c r="EP171" s="1">
        <f>1+(Table1[[#This Row],[error_ratio_0]]-EF$2)</f>
        <v>0.98571428571428577</v>
      </c>
      <c r="EQ171" s="1">
        <f>1+(Table1[[#This Row],[error_ratio_1]]-EG$2)</f>
        <v>0.91806167400881056</v>
      </c>
      <c r="ER171" s="1">
        <f>1+(Table1[[#This Row],[error_ratio_2]]-EH$2)</f>
        <v>0.86434108527131781</v>
      </c>
      <c r="ES171" s="1">
        <f>1+(Table1[[#This Row],[error_ratio_3]]-EI$2)</f>
        <v>1.001980198019802</v>
      </c>
      <c r="ET171" s="1">
        <f>1+(Table1[[#This Row],[error_ratio_4]]-EJ$2)</f>
        <v>0.95315682281059066</v>
      </c>
      <c r="EU171" s="1">
        <f>1+(Table1[[#This Row],[error_ratio_5]]-EK$2)</f>
        <v>0.94955156950672648</v>
      </c>
      <c r="EV171" s="1">
        <f>1+(Table1[[#This Row],[error_ratio_6]]-EL$2)</f>
        <v>1.0313152400835073</v>
      </c>
      <c r="EW171" s="1">
        <f>1+(Table1[[#This Row],[error_ratio_7]]-EM$2)</f>
        <v>1.0184824902723735</v>
      </c>
      <c r="EX171" s="1">
        <f>1+(Table1[[#This Row],[error_ratio_8]]-EN$2)</f>
        <v>1.1848049281314168</v>
      </c>
      <c r="EY171" s="1">
        <f>1+(Table1[[#This Row],[error_ratio_9]]-EO$2)</f>
        <v>1.1060455896927652</v>
      </c>
    </row>
    <row r="172" spans="1:155" x14ac:dyDescent="0.75">
      <c r="A172">
        <v>100</v>
      </c>
      <c r="B172">
        <v>100</v>
      </c>
      <c r="C172">
        <v>100</v>
      </c>
      <c r="D172">
        <v>10</v>
      </c>
      <c r="E172">
        <v>10</v>
      </c>
      <c r="F172">
        <v>10</v>
      </c>
      <c r="G172">
        <v>100</v>
      </c>
      <c r="H172">
        <v>10</v>
      </c>
      <c r="I172">
        <v>100</v>
      </c>
      <c r="J172">
        <v>100</v>
      </c>
      <c r="K172">
        <v>986</v>
      </c>
      <c r="L172">
        <v>1161</v>
      </c>
      <c r="M172">
        <v>1104</v>
      </c>
      <c r="N172">
        <v>992</v>
      </c>
      <c r="O172">
        <v>948</v>
      </c>
      <c r="P172">
        <v>849</v>
      </c>
      <c r="Q172">
        <v>978</v>
      </c>
      <c r="R172">
        <v>926</v>
      </c>
      <c r="S172">
        <v>1023</v>
      </c>
      <c r="T172">
        <v>1033</v>
      </c>
      <c r="U172">
        <v>980</v>
      </c>
      <c r="V172">
        <v>1135</v>
      </c>
      <c r="W172">
        <v>1032</v>
      </c>
      <c r="X172">
        <v>1010</v>
      </c>
      <c r="Y172">
        <v>982</v>
      </c>
      <c r="Z172">
        <v>892</v>
      </c>
      <c r="AA172">
        <v>958</v>
      </c>
      <c r="AB172">
        <v>1028</v>
      </c>
      <c r="AC172">
        <v>974</v>
      </c>
      <c r="AD172">
        <v>1009</v>
      </c>
      <c r="AE172">
        <v>972</v>
      </c>
      <c r="AF172">
        <v>1</v>
      </c>
      <c r="AG172">
        <v>0</v>
      </c>
      <c r="AH172">
        <v>0</v>
      </c>
      <c r="AI172">
        <v>0</v>
      </c>
      <c r="AJ172">
        <v>0</v>
      </c>
      <c r="AK172">
        <v>3</v>
      </c>
      <c r="AL172">
        <v>0</v>
      </c>
      <c r="AM172">
        <v>4</v>
      </c>
      <c r="AN172">
        <v>0</v>
      </c>
      <c r="AO172">
        <v>0</v>
      </c>
      <c r="AP172">
        <v>1131</v>
      </c>
      <c r="AQ172">
        <v>2</v>
      </c>
      <c r="AR172">
        <v>1</v>
      </c>
      <c r="AS172">
        <v>0</v>
      </c>
      <c r="AT172">
        <v>1</v>
      </c>
      <c r="AU172">
        <v>0</v>
      </c>
      <c r="AV172">
        <v>0</v>
      </c>
      <c r="AW172">
        <v>0</v>
      </c>
      <c r="AX172">
        <v>0</v>
      </c>
      <c r="AY172">
        <v>1</v>
      </c>
      <c r="AZ172">
        <v>1</v>
      </c>
      <c r="BA172">
        <v>1027</v>
      </c>
      <c r="BB172">
        <v>0</v>
      </c>
      <c r="BC172">
        <v>0</v>
      </c>
      <c r="BD172">
        <v>0</v>
      </c>
      <c r="BE172">
        <v>0</v>
      </c>
      <c r="BF172">
        <v>1</v>
      </c>
      <c r="BG172">
        <v>2</v>
      </c>
      <c r="BH172">
        <v>0</v>
      </c>
      <c r="BI172">
        <v>0</v>
      </c>
      <c r="BJ172">
        <v>0</v>
      </c>
      <c r="BK172">
        <v>12</v>
      </c>
      <c r="BL172">
        <v>975</v>
      </c>
      <c r="BM172">
        <v>0</v>
      </c>
      <c r="BN172">
        <v>10</v>
      </c>
      <c r="BO172">
        <v>0</v>
      </c>
      <c r="BP172">
        <v>4</v>
      </c>
      <c r="BQ172">
        <v>6</v>
      </c>
      <c r="BR172">
        <v>3</v>
      </c>
      <c r="BS172">
        <v>1</v>
      </c>
      <c r="BT172">
        <v>1</v>
      </c>
      <c r="BU172">
        <v>11</v>
      </c>
      <c r="BV172">
        <v>0</v>
      </c>
      <c r="BW172">
        <v>941</v>
      </c>
      <c r="BX172">
        <v>0</v>
      </c>
      <c r="BY172">
        <v>7</v>
      </c>
      <c r="BZ172">
        <v>1</v>
      </c>
      <c r="CA172">
        <v>5</v>
      </c>
      <c r="CB172">
        <v>15</v>
      </c>
      <c r="CC172">
        <v>3</v>
      </c>
      <c r="CD172">
        <v>1</v>
      </c>
      <c r="CE172">
        <v>1</v>
      </c>
      <c r="CF172">
        <v>9</v>
      </c>
      <c r="CG172">
        <v>0</v>
      </c>
      <c r="CH172">
        <v>836</v>
      </c>
      <c r="CI172">
        <v>19</v>
      </c>
      <c r="CJ172">
        <v>1</v>
      </c>
      <c r="CK172">
        <v>20</v>
      </c>
      <c r="CL172">
        <v>2</v>
      </c>
      <c r="CM172">
        <v>4</v>
      </c>
      <c r="CN172">
        <v>3</v>
      </c>
      <c r="CO172">
        <v>1</v>
      </c>
      <c r="CP172">
        <v>0</v>
      </c>
      <c r="CQ172">
        <v>1</v>
      </c>
      <c r="CR172">
        <v>0</v>
      </c>
      <c r="CS172">
        <v>947</v>
      </c>
      <c r="CT172">
        <v>0</v>
      </c>
      <c r="CU172">
        <v>2</v>
      </c>
      <c r="CV172">
        <v>0</v>
      </c>
      <c r="CW172">
        <v>1</v>
      </c>
      <c r="CX172">
        <v>18</v>
      </c>
      <c r="CY172">
        <v>47</v>
      </c>
      <c r="CZ172">
        <v>6</v>
      </c>
      <c r="DA172">
        <v>1</v>
      </c>
      <c r="DB172">
        <v>1</v>
      </c>
      <c r="DC172">
        <v>1</v>
      </c>
      <c r="DD172">
        <v>919</v>
      </c>
      <c r="DE172">
        <v>10</v>
      </c>
      <c r="DF172">
        <v>24</v>
      </c>
      <c r="DG172">
        <v>1</v>
      </c>
      <c r="DH172">
        <v>0</v>
      </c>
      <c r="DI172">
        <v>2</v>
      </c>
      <c r="DJ172">
        <v>0</v>
      </c>
      <c r="DK172">
        <v>0</v>
      </c>
      <c r="DL172">
        <v>0</v>
      </c>
      <c r="DM172">
        <v>1</v>
      </c>
      <c r="DN172">
        <v>0</v>
      </c>
      <c r="DO172">
        <v>969</v>
      </c>
      <c r="DP172">
        <v>1</v>
      </c>
      <c r="DQ172">
        <v>3</v>
      </c>
      <c r="DR172">
        <v>5</v>
      </c>
      <c r="DS172">
        <v>1</v>
      </c>
      <c r="DT172">
        <v>1</v>
      </c>
      <c r="DU172">
        <v>5</v>
      </c>
      <c r="DV172">
        <v>1</v>
      </c>
      <c r="DW172">
        <v>0</v>
      </c>
      <c r="DX172">
        <v>0</v>
      </c>
      <c r="DY172">
        <v>5</v>
      </c>
      <c r="DZ172">
        <v>988</v>
      </c>
      <c r="EA172">
        <v>0.97050000000000003</v>
      </c>
      <c r="EB172">
        <v>0.97147767519945105</v>
      </c>
      <c r="EC172">
        <v>0.97008227433235505</v>
      </c>
      <c r="ED172">
        <v>0.97022098137514801</v>
      </c>
      <c r="EE172">
        <f>SUM(Table1[[#This Row],[ratio_0]:[ratio_9]])</f>
        <v>640</v>
      </c>
      <c r="EF172" s="1">
        <f>(Table1[[#This Row],[predicted_0]]-Table1[[#This Row],[actual_0]])/Table1[[#This Row],[actual_0]]</f>
        <v>6.1224489795918364E-3</v>
      </c>
      <c r="EG172" s="1">
        <f>(Table1[[#This Row],[predicted_1]]-Table1[[#This Row],[actual_1]])/Table1[[#This Row],[actual_1]]</f>
        <v>2.2907488986784141E-2</v>
      </c>
      <c r="EH172" s="1">
        <f>(Table1[[#This Row],[predicted_2]]-Table1[[#This Row],[actual_2]])/Table1[[#This Row],[actual_2]]</f>
        <v>6.9767441860465115E-2</v>
      </c>
      <c r="EI172" s="1">
        <f>(Table1[[#This Row],[predicted_3]]-Table1[[#This Row],[actual_3]])/Table1[[#This Row],[actual_3]]</f>
        <v>-1.782178217821782E-2</v>
      </c>
      <c r="EJ172" s="1">
        <f>(Table1[[#This Row],[predicted_4]]-Table1[[#This Row],[actual_4]])/Table1[[#This Row],[actual_4]]</f>
        <v>-3.4623217922606926E-2</v>
      </c>
      <c r="EK172" s="1">
        <f>(Table1[[#This Row],[predicted_5]]-Table1[[#This Row],[actual_5]])/Table1[[#This Row],[actual_5]]</f>
        <v>-4.820627802690583E-2</v>
      </c>
      <c r="EL172" s="1">
        <f>(Table1[[#This Row],[predicted_6]]-Table1[[#This Row],[actual_6]])/Table1[[#This Row],[actual_6]]</f>
        <v>2.0876826722338204E-2</v>
      </c>
      <c r="EM172" s="1">
        <f>(Table1[[#This Row],[predicted_7]]-Table1[[#This Row],[actual_7]])/Table1[[#This Row],[actual_7]]</f>
        <v>-9.9221789883268477E-2</v>
      </c>
      <c r="EN172" s="1">
        <f>(Table1[[#This Row],[predicted_8]]-Table1[[#This Row],[actual_8]])/Table1[[#This Row],[actual_8]]</f>
        <v>5.0308008213552365E-2</v>
      </c>
      <c r="EO172" s="1">
        <f>(Table1[[#This Row],[predicted_9]]-Table1[[#This Row],[actual_9]])/Table1[[#This Row],[actual_9]]</f>
        <v>2.3785926660059464E-2</v>
      </c>
      <c r="EP172" s="1">
        <f>1+(Table1[[#This Row],[error_ratio_0]]-EF$2)</f>
        <v>1.0040816326530613</v>
      </c>
      <c r="EQ172" s="1">
        <f>1+(Table1[[#This Row],[error_ratio_1]]-EG$2)</f>
        <v>1.0211453744493393</v>
      </c>
      <c r="ER172" s="1">
        <f>1+(Table1[[#This Row],[error_ratio_2]]-EH$2)</f>
        <v>1.0746124031007751</v>
      </c>
      <c r="ES172" s="1">
        <f>1+(Table1[[#This Row],[error_ratio_3]]-EI$2)</f>
        <v>0.97227722772277225</v>
      </c>
      <c r="ET172" s="1">
        <f>1+(Table1[[#This Row],[error_ratio_4]]-EJ$2)</f>
        <v>0.96435845213849292</v>
      </c>
      <c r="EU172" s="1">
        <f>1+(Table1[[#This Row],[error_ratio_5]]-EK$2)</f>
        <v>0.95067264573991028</v>
      </c>
      <c r="EV172" s="1">
        <f>1+(Table1[[#This Row],[error_ratio_6]]-EL$2)</f>
        <v>1.0271398747390397</v>
      </c>
      <c r="EW172" s="1">
        <f>1+(Table1[[#This Row],[error_ratio_7]]-EM$2)</f>
        <v>0.89883268482490275</v>
      </c>
      <c r="EX172" s="1">
        <f>1+(Table1[[#This Row],[error_ratio_8]]-EN$2)</f>
        <v>1.053388090349076</v>
      </c>
      <c r="EY172" s="1">
        <f>1+(Table1[[#This Row],[error_ratio_9]]-EO$2)</f>
        <v>1.0277502477700693</v>
      </c>
    </row>
    <row r="173" spans="1:155" x14ac:dyDescent="0.75">
      <c r="A173">
        <v>10</v>
      </c>
      <c r="B173">
        <v>100</v>
      </c>
      <c r="C173">
        <v>100</v>
      </c>
      <c r="D173">
        <v>10</v>
      </c>
      <c r="E173">
        <v>10</v>
      </c>
      <c r="F173">
        <v>10</v>
      </c>
      <c r="G173">
        <v>100</v>
      </c>
      <c r="H173">
        <v>10</v>
      </c>
      <c r="I173">
        <v>100</v>
      </c>
      <c r="J173">
        <v>100</v>
      </c>
      <c r="K173">
        <v>941</v>
      </c>
      <c r="L173">
        <v>1160</v>
      </c>
      <c r="M173">
        <v>1088</v>
      </c>
      <c r="N173">
        <v>958</v>
      </c>
      <c r="O173">
        <v>930</v>
      </c>
      <c r="P173">
        <v>794</v>
      </c>
      <c r="Q173">
        <v>1001</v>
      </c>
      <c r="R173">
        <v>965</v>
      </c>
      <c r="S173">
        <v>1065</v>
      </c>
      <c r="T173">
        <v>1098</v>
      </c>
      <c r="U173">
        <v>980</v>
      </c>
      <c r="V173">
        <v>1135</v>
      </c>
      <c r="W173">
        <v>1032</v>
      </c>
      <c r="X173">
        <v>1010</v>
      </c>
      <c r="Y173">
        <v>982</v>
      </c>
      <c r="Z173">
        <v>892</v>
      </c>
      <c r="AA173">
        <v>958</v>
      </c>
      <c r="AB173">
        <v>1028</v>
      </c>
      <c r="AC173">
        <v>974</v>
      </c>
      <c r="AD173">
        <v>1009</v>
      </c>
      <c r="AE173">
        <v>933</v>
      </c>
      <c r="AF173">
        <v>1</v>
      </c>
      <c r="AG173">
        <v>6</v>
      </c>
      <c r="AH173">
        <v>0</v>
      </c>
      <c r="AI173">
        <v>0</v>
      </c>
      <c r="AJ173">
        <v>0</v>
      </c>
      <c r="AK173">
        <v>4</v>
      </c>
      <c r="AL173">
        <v>0</v>
      </c>
      <c r="AM173">
        <v>8</v>
      </c>
      <c r="AN173">
        <v>28</v>
      </c>
      <c r="AO173">
        <v>0</v>
      </c>
      <c r="AP173">
        <v>1129</v>
      </c>
      <c r="AQ173">
        <v>2</v>
      </c>
      <c r="AR173">
        <v>0</v>
      </c>
      <c r="AS173">
        <v>0</v>
      </c>
      <c r="AT173">
        <v>0</v>
      </c>
      <c r="AU173">
        <v>2</v>
      </c>
      <c r="AV173">
        <v>0</v>
      </c>
      <c r="AW173">
        <v>2</v>
      </c>
      <c r="AX173">
        <v>0</v>
      </c>
      <c r="AY173">
        <v>1</v>
      </c>
      <c r="AZ173">
        <v>1</v>
      </c>
      <c r="BA173">
        <v>1016</v>
      </c>
      <c r="BB173">
        <v>0</v>
      </c>
      <c r="BC173">
        <v>0</v>
      </c>
      <c r="BD173">
        <v>0</v>
      </c>
      <c r="BE173">
        <v>5</v>
      </c>
      <c r="BF173">
        <v>3</v>
      </c>
      <c r="BG173">
        <v>6</v>
      </c>
      <c r="BH173">
        <v>0</v>
      </c>
      <c r="BI173">
        <v>0</v>
      </c>
      <c r="BJ173">
        <v>0</v>
      </c>
      <c r="BK173">
        <v>11</v>
      </c>
      <c r="BL173">
        <v>944</v>
      </c>
      <c r="BM173">
        <v>2</v>
      </c>
      <c r="BN173">
        <v>12</v>
      </c>
      <c r="BO173">
        <v>1</v>
      </c>
      <c r="BP173">
        <v>16</v>
      </c>
      <c r="BQ173">
        <v>19</v>
      </c>
      <c r="BR173">
        <v>5</v>
      </c>
      <c r="BS173">
        <v>0</v>
      </c>
      <c r="BT173">
        <v>3</v>
      </c>
      <c r="BU173">
        <v>3</v>
      </c>
      <c r="BV173">
        <v>0</v>
      </c>
      <c r="BW173">
        <v>919</v>
      </c>
      <c r="BX173">
        <v>0</v>
      </c>
      <c r="BY173">
        <v>21</v>
      </c>
      <c r="BZ173">
        <v>0</v>
      </c>
      <c r="CA173">
        <v>1</v>
      </c>
      <c r="CB173">
        <v>35</v>
      </c>
      <c r="CC173">
        <v>2</v>
      </c>
      <c r="CD173">
        <v>0</v>
      </c>
      <c r="CE173">
        <v>0</v>
      </c>
      <c r="CF173">
        <v>11</v>
      </c>
      <c r="CG173">
        <v>0</v>
      </c>
      <c r="CH173">
        <v>780</v>
      </c>
      <c r="CI173">
        <v>24</v>
      </c>
      <c r="CJ173">
        <v>0</v>
      </c>
      <c r="CK173">
        <v>60</v>
      </c>
      <c r="CL173">
        <v>15</v>
      </c>
      <c r="CM173">
        <v>4</v>
      </c>
      <c r="CN173">
        <v>2</v>
      </c>
      <c r="CO173">
        <v>0</v>
      </c>
      <c r="CP173">
        <v>0</v>
      </c>
      <c r="CQ173">
        <v>2</v>
      </c>
      <c r="CR173">
        <v>1</v>
      </c>
      <c r="CS173">
        <v>943</v>
      </c>
      <c r="CT173">
        <v>0</v>
      </c>
      <c r="CU173">
        <v>5</v>
      </c>
      <c r="CV173">
        <v>1</v>
      </c>
      <c r="CW173">
        <v>0</v>
      </c>
      <c r="CX173">
        <v>20</v>
      </c>
      <c r="CY173">
        <v>47</v>
      </c>
      <c r="CZ173">
        <v>0</v>
      </c>
      <c r="DA173">
        <v>3</v>
      </c>
      <c r="DB173">
        <v>1</v>
      </c>
      <c r="DC173">
        <v>0</v>
      </c>
      <c r="DD173">
        <v>935</v>
      </c>
      <c r="DE173">
        <v>4</v>
      </c>
      <c r="DF173">
        <v>18</v>
      </c>
      <c r="DG173">
        <v>0</v>
      </c>
      <c r="DH173">
        <v>0</v>
      </c>
      <c r="DI173">
        <v>3</v>
      </c>
      <c r="DJ173">
        <v>0</v>
      </c>
      <c r="DK173">
        <v>1</v>
      </c>
      <c r="DL173">
        <v>0</v>
      </c>
      <c r="DM173">
        <v>1</v>
      </c>
      <c r="DN173">
        <v>6</v>
      </c>
      <c r="DO173">
        <v>958</v>
      </c>
      <c r="DP173">
        <v>5</v>
      </c>
      <c r="DQ173">
        <v>1</v>
      </c>
      <c r="DR173">
        <v>4</v>
      </c>
      <c r="DS173">
        <v>0</v>
      </c>
      <c r="DT173">
        <v>3</v>
      </c>
      <c r="DU173">
        <v>3</v>
      </c>
      <c r="DV173">
        <v>0</v>
      </c>
      <c r="DW173">
        <v>0</v>
      </c>
      <c r="DX173">
        <v>5</v>
      </c>
      <c r="DY173">
        <v>2</v>
      </c>
      <c r="DZ173">
        <v>991</v>
      </c>
      <c r="EA173">
        <v>0.95479999999999998</v>
      </c>
      <c r="EB173">
        <v>0.956757428658635</v>
      </c>
      <c r="EC173">
        <v>0.95357976419947998</v>
      </c>
      <c r="ED173">
        <v>0.95410215485600502</v>
      </c>
      <c r="EE173">
        <f>SUM(Table1[[#This Row],[ratio_0]:[ratio_9]])</f>
        <v>550</v>
      </c>
      <c r="EF173" s="1">
        <f>(Table1[[#This Row],[predicted_0]]-Table1[[#This Row],[actual_0]])/Table1[[#This Row],[actual_0]]</f>
        <v>-3.9795918367346937E-2</v>
      </c>
      <c r="EG173" s="1">
        <f>(Table1[[#This Row],[predicted_1]]-Table1[[#This Row],[actual_1]])/Table1[[#This Row],[actual_1]]</f>
        <v>2.2026431718061675E-2</v>
      </c>
      <c r="EH173" s="1">
        <f>(Table1[[#This Row],[predicted_2]]-Table1[[#This Row],[actual_2]])/Table1[[#This Row],[actual_2]]</f>
        <v>5.4263565891472867E-2</v>
      </c>
      <c r="EI173" s="1">
        <f>(Table1[[#This Row],[predicted_3]]-Table1[[#This Row],[actual_3]])/Table1[[#This Row],[actual_3]]</f>
        <v>-5.1485148514851482E-2</v>
      </c>
      <c r="EJ173" s="1">
        <f>(Table1[[#This Row],[predicted_4]]-Table1[[#This Row],[actual_4]])/Table1[[#This Row],[actual_4]]</f>
        <v>-5.2953156822810592E-2</v>
      </c>
      <c r="EK173" s="1">
        <f>(Table1[[#This Row],[predicted_5]]-Table1[[#This Row],[actual_5]])/Table1[[#This Row],[actual_5]]</f>
        <v>-0.10986547085201794</v>
      </c>
      <c r="EL173" s="1">
        <f>(Table1[[#This Row],[predicted_6]]-Table1[[#This Row],[actual_6]])/Table1[[#This Row],[actual_6]]</f>
        <v>4.4885177453027142E-2</v>
      </c>
      <c r="EM173" s="1">
        <f>(Table1[[#This Row],[predicted_7]]-Table1[[#This Row],[actual_7]])/Table1[[#This Row],[actual_7]]</f>
        <v>-6.1284046692607001E-2</v>
      </c>
      <c r="EN173" s="1">
        <f>(Table1[[#This Row],[predicted_8]]-Table1[[#This Row],[actual_8]])/Table1[[#This Row],[actual_8]]</f>
        <v>9.3429158110882954E-2</v>
      </c>
      <c r="EO173" s="1">
        <f>(Table1[[#This Row],[predicted_9]]-Table1[[#This Row],[actual_9]])/Table1[[#This Row],[actual_9]]</f>
        <v>8.820614469772052E-2</v>
      </c>
      <c r="EP173" s="1">
        <f>1+(Table1[[#This Row],[error_ratio_0]]-EF$2)</f>
        <v>0.9581632653061225</v>
      </c>
      <c r="EQ173" s="1">
        <f>1+(Table1[[#This Row],[error_ratio_1]]-EG$2)</f>
        <v>1.0202643171806167</v>
      </c>
      <c r="ER173" s="1">
        <f>1+(Table1[[#This Row],[error_ratio_2]]-EH$2)</f>
        <v>1.0591085271317831</v>
      </c>
      <c r="ES173" s="1">
        <f>1+(Table1[[#This Row],[error_ratio_3]]-EI$2)</f>
        <v>0.93861386138613856</v>
      </c>
      <c r="ET173" s="1">
        <f>1+(Table1[[#This Row],[error_ratio_4]]-EJ$2)</f>
        <v>0.94602851323828918</v>
      </c>
      <c r="EU173" s="1">
        <f>1+(Table1[[#This Row],[error_ratio_5]]-EK$2)</f>
        <v>0.88901345291479816</v>
      </c>
      <c r="EV173" s="1">
        <f>1+(Table1[[#This Row],[error_ratio_6]]-EL$2)</f>
        <v>1.0511482254697286</v>
      </c>
      <c r="EW173" s="1">
        <f>1+(Table1[[#This Row],[error_ratio_7]]-EM$2)</f>
        <v>0.9367704280155642</v>
      </c>
      <c r="EX173" s="1">
        <f>1+(Table1[[#This Row],[error_ratio_8]]-EN$2)</f>
        <v>1.0965092402464065</v>
      </c>
      <c r="EY173" s="1">
        <f>1+(Table1[[#This Row],[error_ratio_9]]-EO$2)</f>
        <v>1.0921704658077305</v>
      </c>
    </row>
    <row r="174" spans="1:155" x14ac:dyDescent="0.75">
      <c r="A174">
        <v>100</v>
      </c>
      <c r="B174">
        <v>10</v>
      </c>
      <c r="C174">
        <v>100</v>
      </c>
      <c r="D174">
        <v>10</v>
      </c>
      <c r="E174">
        <v>10</v>
      </c>
      <c r="F174">
        <v>10</v>
      </c>
      <c r="G174">
        <v>100</v>
      </c>
      <c r="H174">
        <v>10</v>
      </c>
      <c r="I174">
        <v>100</v>
      </c>
      <c r="J174">
        <v>100</v>
      </c>
      <c r="K174">
        <v>997</v>
      </c>
      <c r="L174">
        <v>1107</v>
      </c>
      <c r="M174">
        <v>1163</v>
      </c>
      <c r="N174">
        <v>943</v>
      </c>
      <c r="O174">
        <v>957</v>
      </c>
      <c r="P174">
        <v>776</v>
      </c>
      <c r="Q174">
        <v>971</v>
      </c>
      <c r="R174">
        <v>920</v>
      </c>
      <c r="S174">
        <v>1070</v>
      </c>
      <c r="T174">
        <v>1096</v>
      </c>
      <c r="U174">
        <v>980</v>
      </c>
      <c r="V174">
        <v>1135</v>
      </c>
      <c r="W174">
        <v>1032</v>
      </c>
      <c r="X174">
        <v>1010</v>
      </c>
      <c r="Y174">
        <v>982</v>
      </c>
      <c r="Z174">
        <v>892</v>
      </c>
      <c r="AA174">
        <v>958</v>
      </c>
      <c r="AB174">
        <v>1028</v>
      </c>
      <c r="AC174">
        <v>974</v>
      </c>
      <c r="AD174">
        <v>1009</v>
      </c>
      <c r="AE174">
        <v>972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2</v>
      </c>
      <c r="AL174">
        <v>1</v>
      </c>
      <c r="AM174">
        <v>4</v>
      </c>
      <c r="AN174">
        <v>1</v>
      </c>
      <c r="AO174">
        <v>0</v>
      </c>
      <c r="AP174">
        <v>1102</v>
      </c>
      <c r="AQ174">
        <v>14</v>
      </c>
      <c r="AR174">
        <v>1</v>
      </c>
      <c r="AS174">
        <v>0</v>
      </c>
      <c r="AT174">
        <v>1</v>
      </c>
      <c r="AU174">
        <v>3</v>
      </c>
      <c r="AV174">
        <v>0</v>
      </c>
      <c r="AW174">
        <v>13</v>
      </c>
      <c r="AX174">
        <v>1</v>
      </c>
      <c r="AY174">
        <v>4</v>
      </c>
      <c r="AZ174">
        <v>0</v>
      </c>
      <c r="BA174">
        <v>1022</v>
      </c>
      <c r="BB174">
        <v>1</v>
      </c>
      <c r="BC174">
        <v>1</v>
      </c>
      <c r="BD174">
        <v>0</v>
      </c>
      <c r="BE174">
        <v>0</v>
      </c>
      <c r="BF174">
        <v>1</v>
      </c>
      <c r="BG174">
        <v>3</v>
      </c>
      <c r="BH174">
        <v>0</v>
      </c>
      <c r="BI174">
        <v>1</v>
      </c>
      <c r="BJ174">
        <v>0</v>
      </c>
      <c r="BK174">
        <v>14</v>
      </c>
      <c r="BL174">
        <v>933</v>
      </c>
      <c r="BM174">
        <v>0</v>
      </c>
      <c r="BN174">
        <v>8</v>
      </c>
      <c r="BO174">
        <v>0</v>
      </c>
      <c r="BP174">
        <v>6</v>
      </c>
      <c r="BQ174">
        <v>22</v>
      </c>
      <c r="BR174">
        <v>26</v>
      </c>
      <c r="BS174">
        <v>0</v>
      </c>
      <c r="BT174">
        <v>0</v>
      </c>
      <c r="BU174">
        <v>4</v>
      </c>
      <c r="BV174">
        <v>0</v>
      </c>
      <c r="BW174">
        <v>950</v>
      </c>
      <c r="BX174">
        <v>0</v>
      </c>
      <c r="BY174">
        <v>6</v>
      </c>
      <c r="BZ174">
        <v>1</v>
      </c>
      <c r="CA174">
        <v>6</v>
      </c>
      <c r="CB174">
        <v>15</v>
      </c>
      <c r="CC174">
        <v>7</v>
      </c>
      <c r="CD174">
        <v>0</v>
      </c>
      <c r="CE174">
        <v>4</v>
      </c>
      <c r="CF174">
        <v>7</v>
      </c>
      <c r="CG174">
        <v>1</v>
      </c>
      <c r="CH174">
        <v>766</v>
      </c>
      <c r="CI174">
        <v>18</v>
      </c>
      <c r="CJ174">
        <v>4</v>
      </c>
      <c r="CK174">
        <v>42</v>
      </c>
      <c r="CL174">
        <v>43</v>
      </c>
      <c r="CM174">
        <v>6</v>
      </c>
      <c r="CN174">
        <v>3</v>
      </c>
      <c r="CO174">
        <v>2</v>
      </c>
      <c r="CP174">
        <v>0</v>
      </c>
      <c r="CQ174">
        <v>1</v>
      </c>
      <c r="CR174">
        <v>1</v>
      </c>
      <c r="CS174">
        <v>942</v>
      </c>
      <c r="CT174">
        <v>0</v>
      </c>
      <c r="CU174">
        <v>3</v>
      </c>
      <c r="CV174">
        <v>0</v>
      </c>
      <c r="CW174">
        <v>2</v>
      </c>
      <c r="CX174">
        <v>2</v>
      </c>
      <c r="CY174">
        <v>98</v>
      </c>
      <c r="CZ174">
        <v>1</v>
      </c>
      <c r="DA174">
        <v>0</v>
      </c>
      <c r="DB174">
        <v>0</v>
      </c>
      <c r="DC174">
        <v>0</v>
      </c>
      <c r="DD174">
        <v>901</v>
      </c>
      <c r="DE174">
        <v>9</v>
      </c>
      <c r="DF174">
        <v>15</v>
      </c>
      <c r="DG174">
        <v>3</v>
      </c>
      <c r="DH174">
        <v>0</v>
      </c>
      <c r="DI174">
        <v>4</v>
      </c>
      <c r="DJ174">
        <v>0</v>
      </c>
      <c r="DK174">
        <v>0</v>
      </c>
      <c r="DL174">
        <v>0</v>
      </c>
      <c r="DM174">
        <v>0</v>
      </c>
      <c r="DN174">
        <v>0</v>
      </c>
      <c r="DO174">
        <v>965</v>
      </c>
      <c r="DP174">
        <v>2</v>
      </c>
      <c r="DQ174">
        <v>2</v>
      </c>
      <c r="DR174">
        <v>0</v>
      </c>
      <c r="DS174">
        <v>1</v>
      </c>
      <c r="DT174">
        <v>0</v>
      </c>
      <c r="DU174">
        <v>4</v>
      </c>
      <c r="DV174">
        <v>0</v>
      </c>
      <c r="DW174">
        <v>0</v>
      </c>
      <c r="DX174">
        <v>6</v>
      </c>
      <c r="DY174">
        <v>3</v>
      </c>
      <c r="DZ174">
        <v>993</v>
      </c>
      <c r="EA174">
        <v>0.9546</v>
      </c>
      <c r="EB174">
        <v>0.95757370743673298</v>
      </c>
      <c r="EC174">
        <v>0.95376522869014502</v>
      </c>
      <c r="ED174">
        <v>0.95407892202773303</v>
      </c>
      <c r="EE174">
        <f>SUM(Table1[[#This Row],[ratio_0]:[ratio_9]])</f>
        <v>550</v>
      </c>
      <c r="EF174" s="1">
        <f>(Table1[[#This Row],[predicted_0]]-Table1[[#This Row],[actual_0]])/Table1[[#This Row],[actual_0]]</f>
        <v>1.7346938775510204E-2</v>
      </c>
      <c r="EG174" s="1">
        <f>(Table1[[#This Row],[predicted_1]]-Table1[[#This Row],[actual_1]])/Table1[[#This Row],[actual_1]]</f>
        <v>-2.4669603524229075E-2</v>
      </c>
      <c r="EH174" s="1">
        <f>(Table1[[#This Row],[predicted_2]]-Table1[[#This Row],[actual_2]])/Table1[[#This Row],[actual_2]]</f>
        <v>0.12693798449612403</v>
      </c>
      <c r="EI174" s="1">
        <f>(Table1[[#This Row],[predicted_3]]-Table1[[#This Row],[actual_3]])/Table1[[#This Row],[actual_3]]</f>
        <v>-6.633663366336634E-2</v>
      </c>
      <c r="EJ174" s="1">
        <f>(Table1[[#This Row],[predicted_4]]-Table1[[#This Row],[actual_4]])/Table1[[#This Row],[actual_4]]</f>
        <v>-2.5458248472505093E-2</v>
      </c>
      <c r="EK174" s="1">
        <f>(Table1[[#This Row],[predicted_5]]-Table1[[#This Row],[actual_5]])/Table1[[#This Row],[actual_5]]</f>
        <v>-0.13004484304932734</v>
      </c>
      <c r="EL174" s="1">
        <f>(Table1[[#This Row],[predicted_6]]-Table1[[#This Row],[actual_6]])/Table1[[#This Row],[actual_6]]</f>
        <v>1.3569937369519834E-2</v>
      </c>
      <c r="EM174" s="1">
        <f>(Table1[[#This Row],[predicted_7]]-Table1[[#This Row],[actual_7]])/Table1[[#This Row],[actual_7]]</f>
        <v>-0.10505836575875487</v>
      </c>
      <c r="EN174" s="1">
        <f>(Table1[[#This Row],[predicted_8]]-Table1[[#This Row],[actual_8]])/Table1[[#This Row],[actual_8]]</f>
        <v>9.856262833675565E-2</v>
      </c>
      <c r="EO174" s="1">
        <f>(Table1[[#This Row],[predicted_9]]-Table1[[#This Row],[actual_9]])/Table1[[#This Row],[actual_9]]</f>
        <v>8.6223984142715565E-2</v>
      </c>
      <c r="EP174" s="1">
        <f>1+(Table1[[#This Row],[error_ratio_0]]-EF$2)</f>
        <v>1.0153061224489797</v>
      </c>
      <c r="EQ174" s="1">
        <f>1+(Table1[[#This Row],[error_ratio_1]]-EG$2)</f>
        <v>0.97356828193832601</v>
      </c>
      <c r="ER174" s="1">
        <f>1+(Table1[[#This Row],[error_ratio_2]]-EH$2)</f>
        <v>1.1317829457364341</v>
      </c>
      <c r="ES174" s="1">
        <f>1+(Table1[[#This Row],[error_ratio_3]]-EI$2)</f>
        <v>0.92376237623762381</v>
      </c>
      <c r="ET174" s="1">
        <f>1+(Table1[[#This Row],[error_ratio_4]]-EJ$2)</f>
        <v>0.97352342158859473</v>
      </c>
      <c r="EU174" s="1">
        <f>1+(Table1[[#This Row],[error_ratio_5]]-EK$2)</f>
        <v>0.8688340807174888</v>
      </c>
      <c r="EV174" s="1">
        <f>1+(Table1[[#This Row],[error_ratio_6]]-EL$2)</f>
        <v>1.0198329853862214</v>
      </c>
      <c r="EW174" s="1">
        <f>1+(Table1[[#This Row],[error_ratio_7]]-EM$2)</f>
        <v>0.89299610894941628</v>
      </c>
      <c r="EX174" s="1">
        <f>1+(Table1[[#This Row],[error_ratio_8]]-EN$2)</f>
        <v>1.1016427104722792</v>
      </c>
      <c r="EY174" s="1">
        <f>1+(Table1[[#This Row],[error_ratio_9]]-EO$2)</f>
        <v>1.0901883052527255</v>
      </c>
    </row>
    <row r="175" spans="1:155" x14ac:dyDescent="0.75">
      <c r="A175">
        <v>10</v>
      </c>
      <c r="B175">
        <v>10</v>
      </c>
      <c r="C175">
        <v>100</v>
      </c>
      <c r="D175">
        <v>10</v>
      </c>
      <c r="E175">
        <v>10</v>
      </c>
      <c r="F175">
        <v>10</v>
      </c>
      <c r="G175">
        <v>100</v>
      </c>
      <c r="H175">
        <v>10</v>
      </c>
      <c r="I175">
        <v>100</v>
      </c>
      <c r="J175">
        <v>100</v>
      </c>
      <c r="K175">
        <v>971</v>
      </c>
      <c r="L175">
        <v>1084</v>
      </c>
      <c r="M175">
        <v>1118</v>
      </c>
      <c r="N175">
        <v>948</v>
      </c>
      <c r="O175">
        <v>901</v>
      </c>
      <c r="P175">
        <v>826</v>
      </c>
      <c r="Q175">
        <v>993</v>
      </c>
      <c r="R175">
        <v>976</v>
      </c>
      <c r="S175">
        <v>1012</v>
      </c>
      <c r="T175">
        <v>1171</v>
      </c>
      <c r="U175">
        <v>980</v>
      </c>
      <c r="V175">
        <v>1135</v>
      </c>
      <c r="W175">
        <v>1032</v>
      </c>
      <c r="X175">
        <v>1010</v>
      </c>
      <c r="Y175">
        <v>982</v>
      </c>
      <c r="Z175">
        <v>892</v>
      </c>
      <c r="AA175">
        <v>958</v>
      </c>
      <c r="AB175">
        <v>1028</v>
      </c>
      <c r="AC175">
        <v>974</v>
      </c>
      <c r="AD175">
        <v>1009</v>
      </c>
      <c r="AE175">
        <v>956</v>
      </c>
      <c r="AF175">
        <v>0</v>
      </c>
      <c r="AG175">
        <v>3</v>
      </c>
      <c r="AH175">
        <v>0</v>
      </c>
      <c r="AI175">
        <v>0</v>
      </c>
      <c r="AJ175">
        <v>1</v>
      </c>
      <c r="AK175">
        <v>10</v>
      </c>
      <c r="AL175">
        <v>1</v>
      </c>
      <c r="AM175">
        <v>7</v>
      </c>
      <c r="AN175">
        <v>2</v>
      </c>
      <c r="AO175">
        <v>0</v>
      </c>
      <c r="AP175">
        <v>1083</v>
      </c>
      <c r="AQ175">
        <v>9</v>
      </c>
      <c r="AR175">
        <v>6</v>
      </c>
      <c r="AS175">
        <v>4</v>
      </c>
      <c r="AT175">
        <v>1</v>
      </c>
      <c r="AU175">
        <v>3</v>
      </c>
      <c r="AV175">
        <v>1</v>
      </c>
      <c r="AW175">
        <v>7</v>
      </c>
      <c r="AX175">
        <v>21</v>
      </c>
      <c r="AY175">
        <v>1</v>
      </c>
      <c r="AZ175">
        <v>0</v>
      </c>
      <c r="BA175">
        <v>1010</v>
      </c>
      <c r="BB175">
        <v>0</v>
      </c>
      <c r="BC175">
        <v>0</v>
      </c>
      <c r="BD175">
        <v>0</v>
      </c>
      <c r="BE175">
        <v>2</v>
      </c>
      <c r="BF175">
        <v>4</v>
      </c>
      <c r="BG175">
        <v>14</v>
      </c>
      <c r="BH175">
        <v>1</v>
      </c>
      <c r="BI175">
        <v>4</v>
      </c>
      <c r="BJ175">
        <v>0</v>
      </c>
      <c r="BK175">
        <v>24</v>
      </c>
      <c r="BL175">
        <v>930</v>
      </c>
      <c r="BM175">
        <v>0</v>
      </c>
      <c r="BN175">
        <v>2</v>
      </c>
      <c r="BO175">
        <v>0</v>
      </c>
      <c r="BP175">
        <v>3</v>
      </c>
      <c r="BQ175">
        <v>12</v>
      </c>
      <c r="BR175">
        <v>35</v>
      </c>
      <c r="BS175">
        <v>1</v>
      </c>
      <c r="BT175">
        <v>0</v>
      </c>
      <c r="BU175">
        <v>13</v>
      </c>
      <c r="BV175">
        <v>0</v>
      </c>
      <c r="BW175">
        <v>894</v>
      </c>
      <c r="BX175">
        <v>0</v>
      </c>
      <c r="BY175">
        <v>7</v>
      </c>
      <c r="BZ175">
        <v>0</v>
      </c>
      <c r="CA175">
        <v>1</v>
      </c>
      <c r="CB175">
        <v>66</v>
      </c>
      <c r="CC175">
        <v>4</v>
      </c>
      <c r="CD175">
        <v>0</v>
      </c>
      <c r="CE175">
        <v>2</v>
      </c>
      <c r="CF175">
        <v>10</v>
      </c>
      <c r="CG175">
        <v>0</v>
      </c>
      <c r="CH175">
        <v>820</v>
      </c>
      <c r="CI175">
        <v>23</v>
      </c>
      <c r="CJ175">
        <v>2</v>
      </c>
      <c r="CK175">
        <v>12</v>
      </c>
      <c r="CL175">
        <v>19</v>
      </c>
      <c r="CM175">
        <v>2</v>
      </c>
      <c r="CN175">
        <v>1</v>
      </c>
      <c r="CO175">
        <v>2</v>
      </c>
      <c r="CP175">
        <v>0</v>
      </c>
      <c r="CQ175">
        <v>1</v>
      </c>
      <c r="CR175">
        <v>1</v>
      </c>
      <c r="CS175">
        <v>946</v>
      </c>
      <c r="CT175">
        <v>0</v>
      </c>
      <c r="CU175">
        <v>5</v>
      </c>
      <c r="CV175">
        <v>0</v>
      </c>
      <c r="CW175">
        <v>1</v>
      </c>
      <c r="CX175">
        <v>0</v>
      </c>
      <c r="CY175">
        <v>47</v>
      </c>
      <c r="CZ175">
        <v>1</v>
      </c>
      <c r="DA175">
        <v>0</v>
      </c>
      <c r="DB175">
        <v>0</v>
      </c>
      <c r="DC175">
        <v>1</v>
      </c>
      <c r="DD175">
        <v>955</v>
      </c>
      <c r="DE175">
        <v>1</v>
      </c>
      <c r="DF175">
        <v>22</v>
      </c>
      <c r="DG175">
        <v>1</v>
      </c>
      <c r="DH175">
        <v>0</v>
      </c>
      <c r="DI175">
        <v>7</v>
      </c>
      <c r="DJ175">
        <v>0</v>
      </c>
      <c r="DK175">
        <v>0</v>
      </c>
      <c r="DL175">
        <v>1</v>
      </c>
      <c r="DM175">
        <v>1</v>
      </c>
      <c r="DN175">
        <v>4</v>
      </c>
      <c r="DO175">
        <v>953</v>
      </c>
      <c r="DP175">
        <v>7</v>
      </c>
      <c r="DQ175">
        <v>1</v>
      </c>
      <c r="DR175">
        <v>0</v>
      </c>
      <c r="DS175">
        <v>1</v>
      </c>
      <c r="DT175">
        <v>1</v>
      </c>
      <c r="DU175">
        <v>2</v>
      </c>
      <c r="DV175">
        <v>0</v>
      </c>
      <c r="DW175">
        <v>0</v>
      </c>
      <c r="DX175">
        <v>6</v>
      </c>
      <c r="DY175">
        <v>0</v>
      </c>
      <c r="DZ175">
        <v>998</v>
      </c>
      <c r="EA175">
        <v>0.95450000000000002</v>
      </c>
      <c r="EB175">
        <v>0.95781229311072902</v>
      </c>
      <c r="EC175">
        <v>0.95428387252598201</v>
      </c>
      <c r="ED175">
        <v>0.95479236592352101</v>
      </c>
      <c r="EE175">
        <f>SUM(Table1[[#This Row],[ratio_0]:[ratio_9]])</f>
        <v>460</v>
      </c>
      <c r="EF175" s="1">
        <f>(Table1[[#This Row],[predicted_0]]-Table1[[#This Row],[actual_0]])/Table1[[#This Row],[actual_0]]</f>
        <v>-9.1836734693877559E-3</v>
      </c>
      <c r="EG175" s="1">
        <f>(Table1[[#This Row],[predicted_1]]-Table1[[#This Row],[actual_1]])/Table1[[#This Row],[actual_1]]</f>
        <v>-4.4933920704845816E-2</v>
      </c>
      <c r="EH175" s="1">
        <f>(Table1[[#This Row],[predicted_2]]-Table1[[#This Row],[actual_2]])/Table1[[#This Row],[actual_2]]</f>
        <v>8.3333333333333329E-2</v>
      </c>
      <c r="EI175" s="1">
        <f>(Table1[[#This Row],[predicted_3]]-Table1[[#This Row],[actual_3]])/Table1[[#This Row],[actual_3]]</f>
        <v>-6.1386138613861385E-2</v>
      </c>
      <c r="EJ175" s="1">
        <f>(Table1[[#This Row],[predicted_4]]-Table1[[#This Row],[actual_4]])/Table1[[#This Row],[actual_4]]</f>
        <v>-8.2484725050916502E-2</v>
      </c>
      <c r="EK175" s="1">
        <f>(Table1[[#This Row],[predicted_5]]-Table1[[#This Row],[actual_5]])/Table1[[#This Row],[actual_5]]</f>
        <v>-7.3991031390134535E-2</v>
      </c>
      <c r="EL175" s="1">
        <f>(Table1[[#This Row],[predicted_6]]-Table1[[#This Row],[actual_6]])/Table1[[#This Row],[actual_6]]</f>
        <v>3.6534446764091857E-2</v>
      </c>
      <c r="EM175" s="1">
        <f>(Table1[[#This Row],[predicted_7]]-Table1[[#This Row],[actual_7]])/Table1[[#This Row],[actual_7]]</f>
        <v>-5.0583657587548639E-2</v>
      </c>
      <c r="EN175" s="1">
        <f>(Table1[[#This Row],[predicted_8]]-Table1[[#This Row],[actual_8]])/Table1[[#This Row],[actual_8]]</f>
        <v>3.9014373716632446E-2</v>
      </c>
      <c r="EO175" s="1">
        <f>(Table1[[#This Row],[predicted_9]]-Table1[[#This Row],[actual_9]])/Table1[[#This Row],[actual_9]]</f>
        <v>0.1605550049554014</v>
      </c>
      <c r="EP175" s="1">
        <f>1+(Table1[[#This Row],[error_ratio_0]]-EF$2)</f>
        <v>0.98877551020408161</v>
      </c>
      <c r="EQ175" s="1">
        <f>1+(Table1[[#This Row],[error_ratio_1]]-EG$2)</f>
        <v>0.95330396475770929</v>
      </c>
      <c r="ER175" s="1">
        <f>1+(Table1[[#This Row],[error_ratio_2]]-EH$2)</f>
        <v>1.0881782945736433</v>
      </c>
      <c r="ES175" s="1">
        <f>1+(Table1[[#This Row],[error_ratio_3]]-EI$2)</f>
        <v>0.92871287128712876</v>
      </c>
      <c r="ET175" s="1">
        <f>1+(Table1[[#This Row],[error_ratio_4]]-EJ$2)</f>
        <v>0.91649694501018331</v>
      </c>
      <c r="EU175" s="1">
        <f>1+(Table1[[#This Row],[error_ratio_5]]-EK$2)</f>
        <v>0.92488789237668156</v>
      </c>
      <c r="EV175" s="1">
        <f>1+(Table1[[#This Row],[error_ratio_6]]-EL$2)</f>
        <v>1.0427974947807934</v>
      </c>
      <c r="EW175" s="1">
        <f>1+(Table1[[#This Row],[error_ratio_7]]-EM$2)</f>
        <v>0.94747081712062253</v>
      </c>
      <c r="EX175" s="1">
        <f>1+(Table1[[#This Row],[error_ratio_8]]-EN$2)</f>
        <v>1.0420944558521561</v>
      </c>
      <c r="EY175" s="1">
        <f>1+(Table1[[#This Row],[error_ratio_9]]-EO$2)</f>
        <v>1.1645193260654114</v>
      </c>
    </row>
    <row r="176" spans="1:155" x14ac:dyDescent="0.75">
      <c r="A176">
        <v>100</v>
      </c>
      <c r="B176">
        <v>100</v>
      </c>
      <c r="C176">
        <v>10</v>
      </c>
      <c r="D176">
        <v>10</v>
      </c>
      <c r="E176">
        <v>10</v>
      </c>
      <c r="F176">
        <v>10</v>
      </c>
      <c r="G176">
        <v>100</v>
      </c>
      <c r="H176">
        <v>10</v>
      </c>
      <c r="I176">
        <v>100</v>
      </c>
      <c r="J176">
        <v>100</v>
      </c>
      <c r="K176">
        <v>1046</v>
      </c>
      <c r="L176">
        <v>1203</v>
      </c>
      <c r="M176">
        <v>943</v>
      </c>
      <c r="N176">
        <v>903</v>
      </c>
      <c r="O176">
        <v>922</v>
      </c>
      <c r="P176">
        <v>901</v>
      </c>
      <c r="Q176">
        <v>956</v>
      </c>
      <c r="R176">
        <v>994</v>
      </c>
      <c r="S176">
        <v>1040</v>
      </c>
      <c r="T176">
        <v>1092</v>
      </c>
      <c r="U176">
        <v>980</v>
      </c>
      <c r="V176">
        <v>1135</v>
      </c>
      <c r="W176">
        <v>1032</v>
      </c>
      <c r="X176">
        <v>1010</v>
      </c>
      <c r="Y176">
        <v>982</v>
      </c>
      <c r="Z176">
        <v>892</v>
      </c>
      <c r="AA176">
        <v>958</v>
      </c>
      <c r="AB176">
        <v>1028</v>
      </c>
      <c r="AC176">
        <v>974</v>
      </c>
      <c r="AD176">
        <v>1009</v>
      </c>
      <c r="AE176">
        <v>978</v>
      </c>
      <c r="AF176">
        <v>2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1132</v>
      </c>
      <c r="AQ176">
        <v>0</v>
      </c>
      <c r="AR176">
        <v>0</v>
      </c>
      <c r="AS176">
        <v>0</v>
      </c>
      <c r="AT176">
        <v>1</v>
      </c>
      <c r="AU176">
        <v>2</v>
      </c>
      <c r="AV176">
        <v>0</v>
      </c>
      <c r="AW176">
        <v>0</v>
      </c>
      <c r="AX176">
        <v>0</v>
      </c>
      <c r="AY176">
        <v>25</v>
      </c>
      <c r="AZ176">
        <v>34</v>
      </c>
      <c r="BA176">
        <v>916</v>
      </c>
      <c r="BB176">
        <v>7</v>
      </c>
      <c r="BC176">
        <v>1</v>
      </c>
      <c r="BD176">
        <v>0</v>
      </c>
      <c r="BE176">
        <v>3</v>
      </c>
      <c r="BF176">
        <v>16</v>
      </c>
      <c r="BG176">
        <v>29</v>
      </c>
      <c r="BH176">
        <v>1</v>
      </c>
      <c r="BI176">
        <v>7</v>
      </c>
      <c r="BJ176">
        <v>0</v>
      </c>
      <c r="BK176">
        <v>3</v>
      </c>
      <c r="BL176">
        <v>893</v>
      </c>
      <c r="BM176">
        <v>0</v>
      </c>
      <c r="BN176">
        <v>47</v>
      </c>
      <c r="BO176">
        <v>0</v>
      </c>
      <c r="BP176">
        <v>8</v>
      </c>
      <c r="BQ176">
        <v>19</v>
      </c>
      <c r="BR176">
        <v>33</v>
      </c>
      <c r="BS176">
        <v>9</v>
      </c>
      <c r="BT176">
        <v>12</v>
      </c>
      <c r="BU176">
        <v>2</v>
      </c>
      <c r="BV176">
        <v>0</v>
      </c>
      <c r="BW176">
        <v>917</v>
      </c>
      <c r="BX176">
        <v>0</v>
      </c>
      <c r="BY176">
        <v>5</v>
      </c>
      <c r="BZ176">
        <v>2</v>
      </c>
      <c r="CA176">
        <v>3</v>
      </c>
      <c r="CB176">
        <v>32</v>
      </c>
      <c r="CC176">
        <v>6</v>
      </c>
      <c r="CD176">
        <v>2</v>
      </c>
      <c r="CE176">
        <v>0</v>
      </c>
      <c r="CF176">
        <v>1</v>
      </c>
      <c r="CG176">
        <v>0</v>
      </c>
      <c r="CH176">
        <v>846</v>
      </c>
      <c r="CI176">
        <v>5</v>
      </c>
      <c r="CJ176">
        <v>0</v>
      </c>
      <c r="CK176">
        <v>23</v>
      </c>
      <c r="CL176">
        <v>9</v>
      </c>
      <c r="CM176">
        <v>9</v>
      </c>
      <c r="CN176">
        <v>5</v>
      </c>
      <c r="CO176">
        <v>0</v>
      </c>
      <c r="CP176">
        <v>0</v>
      </c>
      <c r="CQ176">
        <v>1</v>
      </c>
      <c r="CR176">
        <v>2</v>
      </c>
      <c r="CS176">
        <v>940</v>
      </c>
      <c r="CT176">
        <v>0</v>
      </c>
      <c r="CU176">
        <v>1</v>
      </c>
      <c r="CV176">
        <v>0</v>
      </c>
      <c r="CW176">
        <v>2</v>
      </c>
      <c r="CX176">
        <v>13</v>
      </c>
      <c r="CY176">
        <v>22</v>
      </c>
      <c r="CZ176">
        <v>2</v>
      </c>
      <c r="DA176">
        <v>0</v>
      </c>
      <c r="DB176">
        <v>1</v>
      </c>
      <c r="DC176">
        <v>1</v>
      </c>
      <c r="DD176">
        <v>961</v>
      </c>
      <c r="DE176">
        <v>8</v>
      </c>
      <c r="DF176">
        <v>18</v>
      </c>
      <c r="DG176">
        <v>5</v>
      </c>
      <c r="DH176">
        <v>0</v>
      </c>
      <c r="DI176">
        <v>0</v>
      </c>
      <c r="DJ176">
        <v>0</v>
      </c>
      <c r="DK176">
        <v>0</v>
      </c>
      <c r="DL176">
        <v>3</v>
      </c>
      <c r="DM176">
        <v>0</v>
      </c>
      <c r="DN176">
        <v>2</v>
      </c>
      <c r="DO176">
        <v>957</v>
      </c>
      <c r="DP176">
        <v>7</v>
      </c>
      <c r="DQ176">
        <v>5</v>
      </c>
      <c r="DR176">
        <v>3</v>
      </c>
      <c r="DS176">
        <v>0</v>
      </c>
      <c r="DT176">
        <v>0</v>
      </c>
      <c r="DU176">
        <v>3</v>
      </c>
      <c r="DV176">
        <v>1</v>
      </c>
      <c r="DW176">
        <v>0</v>
      </c>
      <c r="DX176">
        <v>5</v>
      </c>
      <c r="DY176">
        <v>0</v>
      </c>
      <c r="DZ176">
        <v>992</v>
      </c>
      <c r="EA176">
        <v>0.95320000000000005</v>
      </c>
      <c r="EB176">
        <v>0.95484804388711797</v>
      </c>
      <c r="EC176">
        <v>0.95310439693668403</v>
      </c>
      <c r="ED176">
        <v>0.95293503324186601</v>
      </c>
      <c r="EE176">
        <f>SUM(Table1[[#This Row],[ratio_0]:[ratio_9]])</f>
        <v>550</v>
      </c>
      <c r="EF176" s="1">
        <f>(Table1[[#This Row],[predicted_0]]-Table1[[#This Row],[actual_0]])/Table1[[#This Row],[actual_0]]</f>
        <v>6.7346938775510207E-2</v>
      </c>
      <c r="EG176" s="1">
        <f>(Table1[[#This Row],[predicted_1]]-Table1[[#This Row],[actual_1]])/Table1[[#This Row],[actual_1]]</f>
        <v>5.991189427312775E-2</v>
      </c>
      <c r="EH176" s="1">
        <f>(Table1[[#This Row],[predicted_2]]-Table1[[#This Row],[actual_2]])/Table1[[#This Row],[actual_2]]</f>
        <v>-8.624031007751938E-2</v>
      </c>
      <c r="EI176" s="1">
        <f>(Table1[[#This Row],[predicted_3]]-Table1[[#This Row],[actual_3]])/Table1[[#This Row],[actual_3]]</f>
        <v>-0.10594059405940594</v>
      </c>
      <c r="EJ176" s="1">
        <f>(Table1[[#This Row],[predicted_4]]-Table1[[#This Row],[actual_4]])/Table1[[#This Row],[actual_4]]</f>
        <v>-6.1099796334012219E-2</v>
      </c>
      <c r="EK176" s="1">
        <f>(Table1[[#This Row],[predicted_5]]-Table1[[#This Row],[actual_5]])/Table1[[#This Row],[actual_5]]</f>
        <v>1.0089686098654708E-2</v>
      </c>
      <c r="EL176" s="1">
        <f>(Table1[[#This Row],[predicted_6]]-Table1[[#This Row],[actual_6]])/Table1[[#This Row],[actual_6]]</f>
        <v>-2.0876826722338203E-3</v>
      </c>
      <c r="EM176" s="1">
        <f>(Table1[[#This Row],[predicted_7]]-Table1[[#This Row],[actual_7]])/Table1[[#This Row],[actual_7]]</f>
        <v>-3.3073929961089495E-2</v>
      </c>
      <c r="EN176" s="1">
        <f>(Table1[[#This Row],[predicted_8]]-Table1[[#This Row],[actual_8]])/Table1[[#This Row],[actual_8]]</f>
        <v>6.7761806981519512E-2</v>
      </c>
      <c r="EO176" s="1">
        <f>(Table1[[#This Row],[predicted_9]]-Table1[[#This Row],[actual_9]])/Table1[[#This Row],[actual_9]]</f>
        <v>8.2259663032705654E-2</v>
      </c>
      <c r="EP176" s="1">
        <f>1+(Table1[[#This Row],[error_ratio_0]]-EF$2)</f>
        <v>1.0653061224489795</v>
      </c>
      <c r="EQ176" s="1">
        <f>1+(Table1[[#This Row],[error_ratio_1]]-EG$2)</f>
        <v>1.0581497797356829</v>
      </c>
      <c r="ER176" s="1">
        <f>1+(Table1[[#This Row],[error_ratio_2]]-EH$2)</f>
        <v>0.91860465116279066</v>
      </c>
      <c r="ES176" s="1">
        <f>1+(Table1[[#This Row],[error_ratio_3]]-EI$2)</f>
        <v>0.88415841584158417</v>
      </c>
      <c r="ET176" s="1">
        <f>1+(Table1[[#This Row],[error_ratio_4]]-EJ$2)</f>
        <v>0.93788187372708753</v>
      </c>
      <c r="EU176" s="1">
        <f>1+(Table1[[#This Row],[error_ratio_5]]-EK$2)</f>
        <v>1.0089686098654709</v>
      </c>
      <c r="EV176" s="1">
        <f>1+(Table1[[#This Row],[error_ratio_6]]-EL$2)</f>
        <v>1.0041753653444676</v>
      </c>
      <c r="EW176" s="1">
        <f>1+(Table1[[#This Row],[error_ratio_7]]-EM$2)</f>
        <v>0.96498054474708173</v>
      </c>
      <c r="EX176" s="1">
        <f>1+(Table1[[#This Row],[error_ratio_8]]-EN$2)</f>
        <v>1.070841889117043</v>
      </c>
      <c r="EY176" s="1">
        <f>1+(Table1[[#This Row],[error_ratio_9]]-EO$2)</f>
        <v>1.0862239841427155</v>
      </c>
    </row>
    <row r="177" spans="1:155" x14ac:dyDescent="0.75">
      <c r="A177">
        <v>10</v>
      </c>
      <c r="B177">
        <v>100</v>
      </c>
      <c r="C177">
        <v>10</v>
      </c>
      <c r="D177">
        <v>10</v>
      </c>
      <c r="E177">
        <v>10</v>
      </c>
      <c r="F177">
        <v>10</v>
      </c>
      <c r="G177">
        <v>100</v>
      </c>
      <c r="H177">
        <v>10</v>
      </c>
      <c r="I177">
        <v>100</v>
      </c>
      <c r="J177">
        <v>100</v>
      </c>
      <c r="K177">
        <v>902</v>
      </c>
      <c r="L177">
        <v>1190</v>
      </c>
      <c r="M177">
        <v>1019</v>
      </c>
      <c r="N177">
        <v>935</v>
      </c>
      <c r="O177">
        <v>948</v>
      </c>
      <c r="P177">
        <v>921</v>
      </c>
      <c r="Q177">
        <v>977</v>
      </c>
      <c r="R177">
        <v>972</v>
      </c>
      <c r="S177">
        <v>1050</v>
      </c>
      <c r="T177">
        <v>1086</v>
      </c>
      <c r="U177">
        <v>980</v>
      </c>
      <c r="V177">
        <v>1135</v>
      </c>
      <c r="W177">
        <v>1032</v>
      </c>
      <c r="X177">
        <v>1010</v>
      </c>
      <c r="Y177">
        <v>982</v>
      </c>
      <c r="Z177">
        <v>892</v>
      </c>
      <c r="AA177">
        <v>958</v>
      </c>
      <c r="AB177">
        <v>1028</v>
      </c>
      <c r="AC177">
        <v>974</v>
      </c>
      <c r="AD177">
        <v>1009</v>
      </c>
      <c r="AE177">
        <v>895</v>
      </c>
      <c r="AF177">
        <v>0</v>
      </c>
      <c r="AG177">
        <v>1</v>
      </c>
      <c r="AH177">
        <v>0</v>
      </c>
      <c r="AI177">
        <v>0</v>
      </c>
      <c r="AJ177">
        <v>1</v>
      </c>
      <c r="AK177">
        <v>25</v>
      </c>
      <c r="AL177">
        <v>2</v>
      </c>
      <c r="AM177">
        <v>12</v>
      </c>
      <c r="AN177">
        <v>44</v>
      </c>
      <c r="AO177">
        <v>0</v>
      </c>
      <c r="AP177">
        <v>1132</v>
      </c>
      <c r="AQ177">
        <v>0</v>
      </c>
      <c r="AR177">
        <v>0</v>
      </c>
      <c r="AS177">
        <v>0</v>
      </c>
      <c r="AT177">
        <v>0</v>
      </c>
      <c r="AU177">
        <v>2</v>
      </c>
      <c r="AV177">
        <v>0</v>
      </c>
      <c r="AW177">
        <v>1</v>
      </c>
      <c r="AX177">
        <v>0</v>
      </c>
      <c r="AY177">
        <v>0</v>
      </c>
      <c r="AZ177">
        <v>17</v>
      </c>
      <c r="BA177">
        <v>982</v>
      </c>
      <c r="BB177">
        <v>0</v>
      </c>
      <c r="BC177">
        <v>0</v>
      </c>
      <c r="BD177">
        <v>1</v>
      </c>
      <c r="BE177">
        <v>10</v>
      </c>
      <c r="BF177">
        <v>3</v>
      </c>
      <c r="BG177">
        <v>17</v>
      </c>
      <c r="BH177">
        <v>2</v>
      </c>
      <c r="BI177">
        <v>2</v>
      </c>
      <c r="BJ177">
        <v>2</v>
      </c>
      <c r="BK177">
        <v>7</v>
      </c>
      <c r="BL177">
        <v>932</v>
      </c>
      <c r="BM177">
        <v>0</v>
      </c>
      <c r="BN177">
        <v>36</v>
      </c>
      <c r="BO177">
        <v>0</v>
      </c>
      <c r="BP177">
        <v>5</v>
      </c>
      <c r="BQ177">
        <v>22</v>
      </c>
      <c r="BR177">
        <v>4</v>
      </c>
      <c r="BS177">
        <v>0</v>
      </c>
      <c r="BT177">
        <v>9</v>
      </c>
      <c r="BU177">
        <v>1</v>
      </c>
      <c r="BV177">
        <v>0</v>
      </c>
      <c r="BW177">
        <v>921</v>
      </c>
      <c r="BX177">
        <v>0</v>
      </c>
      <c r="BY177">
        <v>7</v>
      </c>
      <c r="BZ177">
        <v>1</v>
      </c>
      <c r="CA177">
        <v>6</v>
      </c>
      <c r="CB177">
        <v>37</v>
      </c>
      <c r="CC177">
        <v>2</v>
      </c>
      <c r="CD177">
        <v>1</v>
      </c>
      <c r="CE177">
        <v>0</v>
      </c>
      <c r="CF177">
        <v>1</v>
      </c>
      <c r="CG177">
        <v>0</v>
      </c>
      <c r="CH177">
        <v>873</v>
      </c>
      <c r="CI177">
        <v>6</v>
      </c>
      <c r="CJ177">
        <v>1</v>
      </c>
      <c r="CK177">
        <v>8</v>
      </c>
      <c r="CL177">
        <v>0</v>
      </c>
      <c r="CM177">
        <v>1</v>
      </c>
      <c r="CN177">
        <v>2</v>
      </c>
      <c r="CO177">
        <v>0</v>
      </c>
      <c r="CP177">
        <v>0</v>
      </c>
      <c r="CQ177">
        <v>23</v>
      </c>
      <c r="CR177">
        <v>3</v>
      </c>
      <c r="CS177">
        <v>927</v>
      </c>
      <c r="CT177">
        <v>0</v>
      </c>
      <c r="CU177">
        <v>2</v>
      </c>
      <c r="CV177">
        <v>0</v>
      </c>
      <c r="CW177">
        <v>0</v>
      </c>
      <c r="CX177">
        <v>19</v>
      </c>
      <c r="CY177">
        <v>28</v>
      </c>
      <c r="CZ177">
        <v>0</v>
      </c>
      <c r="DA177">
        <v>2</v>
      </c>
      <c r="DB177">
        <v>0</v>
      </c>
      <c r="DC177">
        <v>0</v>
      </c>
      <c r="DD177">
        <v>957</v>
      </c>
      <c r="DE177">
        <v>5</v>
      </c>
      <c r="DF177">
        <v>17</v>
      </c>
      <c r="DG177">
        <v>1</v>
      </c>
      <c r="DH177">
        <v>0</v>
      </c>
      <c r="DI177">
        <v>0</v>
      </c>
      <c r="DJ177">
        <v>0</v>
      </c>
      <c r="DK177">
        <v>1</v>
      </c>
      <c r="DL177">
        <v>0</v>
      </c>
      <c r="DM177">
        <v>0</v>
      </c>
      <c r="DN177">
        <v>0</v>
      </c>
      <c r="DO177">
        <v>971</v>
      </c>
      <c r="DP177">
        <v>1</v>
      </c>
      <c r="DQ177">
        <v>1</v>
      </c>
      <c r="DR177">
        <v>8</v>
      </c>
      <c r="DS177">
        <v>0</v>
      </c>
      <c r="DT177">
        <v>2</v>
      </c>
      <c r="DU177">
        <v>1</v>
      </c>
      <c r="DV177">
        <v>7</v>
      </c>
      <c r="DW177">
        <v>0</v>
      </c>
      <c r="DX177">
        <v>3</v>
      </c>
      <c r="DY177">
        <v>6</v>
      </c>
      <c r="DZ177">
        <v>981</v>
      </c>
      <c r="EA177">
        <v>0.95709999999999995</v>
      </c>
      <c r="EB177">
        <v>0.95848506819024204</v>
      </c>
      <c r="EC177">
        <v>0.95692706652523596</v>
      </c>
      <c r="ED177">
        <v>0.95694057347687</v>
      </c>
      <c r="EE177">
        <f>SUM(Table1[[#This Row],[ratio_0]:[ratio_9]])</f>
        <v>460</v>
      </c>
      <c r="EF177" s="1">
        <f>(Table1[[#This Row],[predicted_0]]-Table1[[#This Row],[actual_0]])/Table1[[#This Row],[actual_0]]</f>
        <v>-7.9591836734693874E-2</v>
      </c>
      <c r="EG177" s="1">
        <f>(Table1[[#This Row],[predicted_1]]-Table1[[#This Row],[actual_1]])/Table1[[#This Row],[actual_1]]</f>
        <v>4.8458149779735685E-2</v>
      </c>
      <c r="EH177" s="1">
        <f>(Table1[[#This Row],[predicted_2]]-Table1[[#This Row],[actual_2]])/Table1[[#This Row],[actual_2]]</f>
        <v>-1.2596899224806201E-2</v>
      </c>
      <c r="EI177" s="1">
        <f>(Table1[[#This Row],[predicted_3]]-Table1[[#This Row],[actual_3]])/Table1[[#This Row],[actual_3]]</f>
        <v>-7.4257425742574254E-2</v>
      </c>
      <c r="EJ177" s="1">
        <f>(Table1[[#This Row],[predicted_4]]-Table1[[#This Row],[actual_4]])/Table1[[#This Row],[actual_4]]</f>
        <v>-3.4623217922606926E-2</v>
      </c>
      <c r="EK177" s="1">
        <f>(Table1[[#This Row],[predicted_5]]-Table1[[#This Row],[actual_5]])/Table1[[#This Row],[actual_5]]</f>
        <v>3.2511210762331835E-2</v>
      </c>
      <c r="EL177" s="1">
        <f>(Table1[[#This Row],[predicted_6]]-Table1[[#This Row],[actual_6]])/Table1[[#This Row],[actual_6]]</f>
        <v>1.9832985386221295E-2</v>
      </c>
      <c r="EM177" s="1">
        <f>(Table1[[#This Row],[predicted_7]]-Table1[[#This Row],[actual_7]])/Table1[[#This Row],[actual_7]]</f>
        <v>-5.4474708171206226E-2</v>
      </c>
      <c r="EN177" s="1">
        <f>(Table1[[#This Row],[predicted_8]]-Table1[[#This Row],[actual_8]])/Table1[[#This Row],[actual_8]]</f>
        <v>7.8028747433264892E-2</v>
      </c>
      <c r="EO177" s="1">
        <f>(Table1[[#This Row],[predicted_9]]-Table1[[#This Row],[actual_9]])/Table1[[#This Row],[actual_9]]</f>
        <v>7.6313181367690788E-2</v>
      </c>
      <c r="EP177" s="1">
        <f>1+(Table1[[#This Row],[error_ratio_0]]-EF$2)</f>
        <v>0.91836734693877553</v>
      </c>
      <c r="EQ177" s="1">
        <f>1+(Table1[[#This Row],[error_ratio_1]]-EG$2)</f>
        <v>1.0466960352422907</v>
      </c>
      <c r="ER177" s="1">
        <f>1+(Table1[[#This Row],[error_ratio_2]]-EH$2)</f>
        <v>0.99224806201550386</v>
      </c>
      <c r="ES177" s="1">
        <f>1+(Table1[[#This Row],[error_ratio_3]]-EI$2)</f>
        <v>0.91584158415841588</v>
      </c>
      <c r="ET177" s="1">
        <f>1+(Table1[[#This Row],[error_ratio_4]]-EJ$2)</f>
        <v>0.96435845213849292</v>
      </c>
      <c r="EU177" s="1">
        <f>1+(Table1[[#This Row],[error_ratio_5]]-EK$2)</f>
        <v>1.0313901345291481</v>
      </c>
      <c r="EV177" s="1">
        <f>1+(Table1[[#This Row],[error_ratio_6]]-EL$2)</f>
        <v>1.0260960334029228</v>
      </c>
      <c r="EW177" s="1">
        <f>1+(Table1[[#This Row],[error_ratio_7]]-EM$2)</f>
        <v>0.94357976653696496</v>
      </c>
      <c r="EX177" s="1">
        <f>1+(Table1[[#This Row],[error_ratio_8]]-EN$2)</f>
        <v>1.0811088295687885</v>
      </c>
      <c r="EY177" s="1">
        <f>1+(Table1[[#This Row],[error_ratio_9]]-EO$2)</f>
        <v>1.0802775024777007</v>
      </c>
    </row>
    <row r="178" spans="1:155" x14ac:dyDescent="0.75">
      <c r="A178">
        <v>100</v>
      </c>
      <c r="B178">
        <v>10</v>
      </c>
      <c r="C178">
        <v>10</v>
      </c>
      <c r="D178">
        <v>10</v>
      </c>
      <c r="E178">
        <v>10</v>
      </c>
      <c r="F178">
        <v>10</v>
      </c>
      <c r="G178">
        <v>100</v>
      </c>
      <c r="H178">
        <v>10</v>
      </c>
      <c r="I178">
        <v>100</v>
      </c>
      <c r="J178">
        <v>100</v>
      </c>
      <c r="K178">
        <v>1015</v>
      </c>
      <c r="L178">
        <v>1100</v>
      </c>
      <c r="M178">
        <v>1008</v>
      </c>
      <c r="N178">
        <v>940</v>
      </c>
      <c r="O178">
        <v>928</v>
      </c>
      <c r="P178">
        <v>808</v>
      </c>
      <c r="Q178">
        <v>943</v>
      </c>
      <c r="R178">
        <v>1011</v>
      </c>
      <c r="S178">
        <v>1183</v>
      </c>
      <c r="T178">
        <v>1064</v>
      </c>
      <c r="U178">
        <v>980</v>
      </c>
      <c r="V178">
        <v>1135</v>
      </c>
      <c r="W178">
        <v>1032</v>
      </c>
      <c r="X178">
        <v>1010</v>
      </c>
      <c r="Y178">
        <v>982</v>
      </c>
      <c r="Z178">
        <v>892</v>
      </c>
      <c r="AA178">
        <v>958</v>
      </c>
      <c r="AB178">
        <v>1028</v>
      </c>
      <c r="AC178">
        <v>974</v>
      </c>
      <c r="AD178">
        <v>1009</v>
      </c>
      <c r="AE178">
        <v>975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1</v>
      </c>
      <c r="AL178">
        <v>1</v>
      </c>
      <c r="AM178">
        <v>3</v>
      </c>
      <c r="AN178">
        <v>0</v>
      </c>
      <c r="AO178">
        <v>0</v>
      </c>
      <c r="AP178">
        <v>1095</v>
      </c>
      <c r="AQ178">
        <v>4</v>
      </c>
      <c r="AR178">
        <v>1</v>
      </c>
      <c r="AS178">
        <v>0</v>
      </c>
      <c r="AT178">
        <v>1</v>
      </c>
      <c r="AU178">
        <v>1</v>
      </c>
      <c r="AV178">
        <v>4</v>
      </c>
      <c r="AW178">
        <v>28</v>
      </c>
      <c r="AX178">
        <v>1</v>
      </c>
      <c r="AY178">
        <v>11</v>
      </c>
      <c r="AZ178">
        <v>0</v>
      </c>
      <c r="BA178">
        <v>970</v>
      </c>
      <c r="BB178">
        <v>3</v>
      </c>
      <c r="BC178">
        <v>0</v>
      </c>
      <c r="BD178">
        <v>0</v>
      </c>
      <c r="BE178">
        <v>2</v>
      </c>
      <c r="BF178">
        <v>9</v>
      </c>
      <c r="BG178">
        <v>37</v>
      </c>
      <c r="BH178">
        <v>0</v>
      </c>
      <c r="BI178">
        <v>4</v>
      </c>
      <c r="BJ178">
        <v>0</v>
      </c>
      <c r="BK178">
        <v>4</v>
      </c>
      <c r="BL178">
        <v>929</v>
      </c>
      <c r="BM178">
        <v>0</v>
      </c>
      <c r="BN178">
        <v>17</v>
      </c>
      <c r="BO178">
        <v>0</v>
      </c>
      <c r="BP178">
        <v>6</v>
      </c>
      <c r="BQ178">
        <v>43</v>
      </c>
      <c r="BR178">
        <v>7</v>
      </c>
      <c r="BS178">
        <v>1</v>
      </c>
      <c r="BT178">
        <v>0</v>
      </c>
      <c r="BU178">
        <v>13</v>
      </c>
      <c r="BV178">
        <v>0</v>
      </c>
      <c r="BW178">
        <v>920</v>
      </c>
      <c r="BX178">
        <v>0</v>
      </c>
      <c r="BY178">
        <v>5</v>
      </c>
      <c r="BZ178">
        <v>1</v>
      </c>
      <c r="CA178">
        <v>1</v>
      </c>
      <c r="CB178">
        <v>41</v>
      </c>
      <c r="CC178">
        <v>3</v>
      </c>
      <c r="CD178">
        <v>0</v>
      </c>
      <c r="CE178">
        <v>1</v>
      </c>
      <c r="CF178">
        <v>5</v>
      </c>
      <c r="CG178">
        <v>0</v>
      </c>
      <c r="CH178">
        <v>787</v>
      </c>
      <c r="CI178">
        <v>5</v>
      </c>
      <c r="CJ178">
        <v>1</v>
      </c>
      <c r="CK178">
        <v>73</v>
      </c>
      <c r="CL178">
        <v>17</v>
      </c>
      <c r="CM178">
        <v>11</v>
      </c>
      <c r="CN178">
        <v>1</v>
      </c>
      <c r="CO178">
        <v>1</v>
      </c>
      <c r="CP178">
        <v>0</v>
      </c>
      <c r="CQ178">
        <v>2</v>
      </c>
      <c r="CR178">
        <v>0</v>
      </c>
      <c r="CS178">
        <v>926</v>
      </c>
      <c r="CT178">
        <v>0</v>
      </c>
      <c r="CU178">
        <v>17</v>
      </c>
      <c r="CV178">
        <v>0</v>
      </c>
      <c r="CW178">
        <v>1</v>
      </c>
      <c r="CX178">
        <v>3</v>
      </c>
      <c r="CY178">
        <v>15</v>
      </c>
      <c r="CZ178">
        <v>0</v>
      </c>
      <c r="DA178">
        <v>0</v>
      </c>
      <c r="DB178">
        <v>0</v>
      </c>
      <c r="DC178">
        <v>1</v>
      </c>
      <c r="DD178">
        <v>983</v>
      </c>
      <c r="DE178">
        <v>12</v>
      </c>
      <c r="DF178">
        <v>13</v>
      </c>
      <c r="DG178">
        <v>5</v>
      </c>
      <c r="DH178">
        <v>0</v>
      </c>
      <c r="DI178">
        <v>0</v>
      </c>
      <c r="DJ178">
        <v>0</v>
      </c>
      <c r="DK178">
        <v>1</v>
      </c>
      <c r="DL178">
        <v>2</v>
      </c>
      <c r="DM178">
        <v>2</v>
      </c>
      <c r="DN178">
        <v>2</v>
      </c>
      <c r="DO178">
        <v>961</v>
      </c>
      <c r="DP178">
        <v>1</v>
      </c>
      <c r="DQ178">
        <v>4</v>
      </c>
      <c r="DR178">
        <v>1</v>
      </c>
      <c r="DS178">
        <v>0</v>
      </c>
      <c r="DT178">
        <v>2</v>
      </c>
      <c r="DU178">
        <v>5</v>
      </c>
      <c r="DV178">
        <v>1</v>
      </c>
      <c r="DW178">
        <v>0</v>
      </c>
      <c r="DX178">
        <v>4</v>
      </c>
      <c r="DY178">
        <v>8</v>
      </c>
      <c r="DZ178">
        <v>984</v>
      </c>
      <c r="EA178">
        <v>0.95299999999999996</v>
      </c>
      <c r="EB178">
        <v>0.95634649614432399</v>
      </c>
      <c r="EC178">
        <v>0.95232293972101101</v>
      </c>
      <c r="ED178">
        <v>0.95291668104917304</v>
      </c>
      <c r="EE178">
        <f>SUM(Table1[[#This Row],[ratio_0]:[ratio_9]])</f>
        <v>460</v>
      </c>
      <c r="EF178" s="1">
        <f>(Table1[[#This Row],[predicted_0]]-Table1[[#This Row],[actual_0]])/Table1[[#This Row],[actual_0]]</f>
        <v>3.5714285714285712E-2</v>
      </c>
      <c r="EG178" s="1">
        <f>(Table1[[#This Row],[predicted_1]]-Table1[[#This Row],[actual_1]])/Table1[[#This Row],[actual_1]]</f>
        <v>-3.0837004405286344E-2</v>
      </c>
      <c r="EH178" s="1">
        <f>(Table1[[#This Row],[predicted_2]]-Table1[[#This Row],[actual_2]])/Table1[[#This Row],[actual_2]]</f>
        <v>-2.3255813953488372E-2</v>
      </c>
      <c r="EI178" s="1">
        <f>(Table1[[#This Row],[predicted_3]]-Table1[[#This Row],[actual_3]])/Table1[[#This Row],[actual_3]]</f>
        <v>-6.9306930693069313E-2</v>
      </c>
      <c r="EJ178" s="1">
        <f>(Table1[[#This Row],[predicted_4]]-Table1[[#This Row],[actual_4]])/Table1[[#This Row],[actual_4]]</f>
        <v>-5.4989816700610997E-2</v>
      </c>
      <c r="EK178" s="1">
        <f>(Table1[[#This Row],[predicted_5]]-Table1[[#This Row],[actual_5]])/Table1[[#This Row],[actual_5]]</f>
        <v>-9.417040358744394E-2</v>
      </c>
      <c r="EL178" s="1">
        <f>(Table1[[#This Row],[predicted_6]]-Table1[[#This Row],[actual_6]])/Table1[[#This Row],[actual_6]]</f>
        <v>-1.5657620041753653E-2</v>
      </c>
      <c r="EM178" s="1">
        <f>(Table1[[#This Row],[predicted_7]]-Table1[[#This Row],[actual_7]])/Table1[[#This Row],[actual_7]]</f>
        <v>-1.6536964980544747E-2</v>
      </c>
      <c r="EN178" s="1">
        <f>(Table1[[#This Row],[predicted_8]]-Table1[[#This Row],[actual_8]])/Table1[[#This Row],[actual_8]]</f>
        <v>0.21457905544147843</v>
      </c>
      <c r="EO178" s="1">
        <f>(Table1[[#This Row],[predicted_9]]-Table1[[#This Row],[actual_9]])/Table1[[#This Row],[actual_9]]</f>
        <v>5.4509415262636272E-2</v>
      </c>
      <c r="EP178" s="1">
        <f>1+(Table1[[#This Row],[error_ratio_0]]-EF$2)</f>
        <v>1.0336734693877552</v>
      </c>
      <c r="EQ178" s="1">
        <f>1+(Table1[[#This Row],[error_ratio_1]]-EG$2)</f>
        <v>0.96740088105726874</v>
      </c>
      <c r="ER178" s="1">
        <f>1+(Table1[[#This Row],[error_ratio_2]]-EH$2)</f>
        <v>0.98158914728682167</v>
      </c>
      <c r="ES178" s="1">
        <f>1+(Table1[[#This Row],[error_ratio_3]]-EI$2)</f>
        <v>0.92079207920792083</v>
      </c>
      <c r="ET178" s="1">
        <f>1+(Table1[[#This Row],[error_ratio_4]]-EJ$2)</f>
        <v>0.94399185336048874</v>
      </c>
      <c r="EU178" s="1">
        <f>1+(Table1[[#This Row],[error_ratio_5]]-EK$2)</f>
        <v>0.9047085201793722</v>
      </c>
      <c r="EV178" s="1">
        <f>1+(Table1[[#This Row],[error_ratio_6]]-EL$2)</f>
        <v>0.99060542797494777</v>
      </c>
      <c r="EW178" s="1">
        <f>1+(Table1[[#This Row],[error_ratio_7]]-EM$2)</f>
        <v>0.98151750972762641</v>
      </c>
      <c r="EX178" s="1">
        <f>1+(Table1[[#This Row],[error_ratio_8]]-EN$2)</f>
        <v>1.2176591375770021</v>
      </c>
      <c r="EY178" s="1">
        <f>1+(Table1[[#This Row],[error_ratio_9]]-EO$2)</f>
        <v>1.0584737363726462</v>
      </c>
    </row>
    <row r="179" spans="1:155" x14ac:dyDescent="0.75">
      <c r="A179">
        <v>100</v>
      </c>
      <c r="B179">
        <v>100</v>
      </c>
      <c r="C179">
        <v>100</v>
      </c>
      <c r="D179">
        <v>100</v>
      </c>
      <c r="E179">
        <v>100</v>
      </c>
      <c r="F179">
        <v>100</v>
      </c>
      <c r="G179">
        <v>10</v>
      </c>
      <c r="H179">
        <v>10</v>
      </c>
      <c r="I179">
        <v>100</v>
      </c>
      <c r="J179">
        <v>100</v>
      </c>
      <c r="K179">
        <v>1001</v>
      </c>
      <c r="L179">
        <v>1158</v>
      </c>
      <c r="M179">
        <v>1059</v>
      </c>
      <c r="N179">
        <v>1014</v>
      </c>
      <c r="O179">
        <v>1008</v>
      </c>
      <c r="P179">
        <v>901</v>
      </c>
      <c r="Q179">
        <v>898</v>
      </c>
      <c r="R179">
        <v>936</v>
      </c>
      <c r="S179">
        <v>987</v>
      </c>
      <c r="T179">
        <v>1038</v>
      </c>
      <c r="U179">
        <v>980</v>
      </c>
      <c r="V179">
        <v>1135</v>
      </c>
      <c r="W179">
        <v>1032</v>
      </c>
      <c r="X179">
        <v>1010</v>
      </c>
      <c r="Y179">
        <v>982</v>
      </c>
      <c r="Z179">
        <v>892</v>
      </c>
      <c r="AA179">
        <v>958</v>
      </c>
      <c r="AB179">
        <v>1028</v>
      </c>
      <c r="AC179">
        <v>974</v>
      </c>
      <c r="AD179">
        <v>1009</v>
      </c>
      <c r="AE179">
        <v>975</v>
      </c>
      <c r="AF179">
        <v>0</v>
      </c>
      <c r="AG179">
        <v>1</v>
      </c>
      <c r="AH179">
        <v>0</v>
      </c>
      <c r="AI179">
        <v>0</v>
      </c>
      <c r="AJ179">
        <v>0</v>
      </c>
      <c r="AK179">
        <v>0</v>
      </c>
      <c r="AL179">
        <v>1</v>
      </c>
      <c r="AM179">
        <v>3</v>
      </c>
      <c r="AN179">
        <v>0</v>
      </c>
      <c r="AO179">
        <v>0</v>
      </c>
      <c r="AP179">
        <v>1130</v>
      </c>
      <c r="AQ179">
        <v>1</v>
      </c>
      <c r="AR179">
        <v>0</v>
      </c>
      <c r="AS179">
        <v>0</v>
      </c>
      <c r="AT179">
        <v>0</v>
      </c>
      <c r="AU179">
        <v>2</v>
      </c>
      <c r="AV179">
        <v>0</v>
      </c>
      <c r="AW179">
        <v>2</v>
      </c>
      <c r="AX179">
        <v>0</v>
      </c>
      <c r="AY179">
        <v>1</v>
      </c>
      <c r="AZ179">
        <v>2</v>
      </c>
      <c r="BA179">
        <v>1017</v>
      </c>
      <c r="BB179">
        <v>3</v>
      </c>
      <c r="BC179">
        <v>3</v>
      </c>
      <c r="BD179">
        <v>0</v>
      </c>
      <c r="BE179">
        <v>0</v>
      </c>
      <c r="BF179">
        <v>4</v>
      </c>
      <c r="BG179">
        <v>2</v>
      </c>
      <c r="BH179">
        <v>0</v>
      </c>
      <c r="BI179">
        <v>0</v>
      </c>
      <c r="BJ179">
        <v>0</v>
      </c>
      <c r="BK179">
        <v>3</v>
      </c>
      <c r="BL179">
        <v>1001</v>
      </c>
      <c r="BM179">
        <v>0</v>
      </c>
      <c r="BN179">
        <v>3</v>
      </c>
      <c r="BO179">
        <v>0</v>
      </c>
      <c r="BP179">
        <v>1</v>
      </c>
      <c r="BQ179">
        <v>2</v>
      </c>
      <c r="BR179">
        <v>0</v>
      </c>
      <c r="BS179">
        <v>0</v>
      </c>
      <c r="BT179">
        <v>0</v>
      </c>
      <c r="BU179">
        <v>1</v>
      </c>
      <c r="BV179">
        <v>0</v>
      </c>
      <c r="BW179">
        <v>978</v>
      </c>
      <c r="BX179">
        <v>0</v>
      </c>
      <c r="BY179">
        <v>0</v>
      </c>
      <c r="BZ179">
        <v>0</v>
      </c>
      <c r="CA179">
        <v>0</v>
      </c>
      <c r="CB179">
        <v>3</v>
      </c>
      <c r="CC179">
        <v>2</v>
      </c>
      <c r="CD179">
        <v>0</v>
      </c>
      <c r="CE179">
        <v>1</v>
      </c>
      <c r="CF179">
        <v>5</v>
      </c>
      <c r="CG179">
        <v>0</v>
      </c>
      <c r="CH179">
        <v>881</v>
      </c>
      <c r="CI179">
        <v>1</v>
      </c>
      <c r="CJ179">
        <v>1</v>
      </c>
      <c r="CK179">
        <v>1</v>
      </c>
      <c r="CL179">
        <v>0</v>
      </c>
      <c r="CM179">
        <v>18</v>
      </c>
      <c r="CN179">
        <v>5</v>
      </c>
      <c r="CO179">
        <v>1</v>
      </c>
      <c r="CP179">
        <v>0</v>
      </c>
      <c r="CQ179">
        <v>20</v>
      </c>
      <c r="CR179">
        <v>13</v>
      </c>
      <c r="CS179">
        <v>895</v>
      </c>
      <c r="CT179">
        <v>0</v>
      </c>
      <c r="CU179">
        <v>6</v>
      </c>
      <c r="CV179">
        <v>0</v>
      </c>
      <c r="CW179">
        <v>2</v>
      </c>
      <c r="CX179">
        <v>19</v>
      </c>
      <c r="CY179">
        <v>30</v>
      </c>
      <c r="CZ179">
        <v>4</v>
      </c>
      <c r="DA179">
        <v>4</v>
      </c>
      <c r="DB179">
        <v>3</v>
      </c>
      <c r="DC179">
        <v>0</v>
      </c>
      <c r="DD179">
        <v>927</v>
      </c>
      <c r="DE179">
        <v>5</v>
      </c>
      <c r="DF179">
        <v>34</v>
      </c>
      <c r="DG179">
        <v>2</v>
      </c>
      <c r="DH179">
        <v>0</v>
      </c>
      <c r="DI179">
        <v>3</v>
      </c>
      <c r="DJ179">
        <v>0</v>
      </c>
      <c r="DK179">
        <v>1</v>
      </c>
      <c r="DL179">
        <v>0</v>
      </c>
      <c r="DM179">
        <v>0</v>
      </c>
      <c r="DN179">
        <v>2</v>
      </c>
      <c r="DO179">
        <v>963</v>
      </c>
      <c r="DP179">
        <v>3</v>
      </c>
      <c r="DQ179">
        <v>1</v>
      </c>
      <c r="DR179">
        <v>2</v>
      </c>
      <c r="DS179">
        <v>1</v>
      </c>
      <c r="DT179">
        <v>1</v>
      </c>
      <c r="DU179">
        <v>2</v>
      </c>
      <c r="DV179">
        <v>1</v>
      </c>
      <c r="DW179">
        <v>0</v>
      </c>
      <c r="DX179">
        <v>0</v>
      </c>
      <c r="DY179">
        <v>3</v>
      </c>
      <c r="DZ179">
        <v>998</v>
      </c>
      <c r="EA179">
        <v>0.97650000000000003</v>
      </c>
      <c r="EB179">
        <v>0.97695984247349499</v>
      </c>
      <c r="EC179">
        <v>0.97644351907472304</v>
      </c>
      <c r="ED179">
        <v>0.97631245380757503</v>
      </c>
      <c r="EE179">
        <f>SUM(Table1[[#This Row],[ratio_0]:[ratio_9]])</f>
        <v>820</v>
      </c>
      <c r="EF179" s="1">
        <f>(Table1[[#This Row],[predicted_0]]-Table1[[#This Row],[actual_0]])/Table1[[#This Row],[actual_0]]</f>
        <v>2.1428571428571429E-2</v>
      </c>
      <c r="EG179" s="1">
        <f>(Table1[[#This Row],[predicted_1]]-Table1[[#This Row],[actual_1]])/Table1[[#This Row],[actual_1]]</f>
        <v>2.0264317180616741E-2</v>
      </c>
      <c r="EH179" s="1">
        <f>(Table1[[#This Row],[predicted_2]]-Table1[[#This Row],[actual_2]])/Table1[[#This Row],[actual_2]]</f>
        <v>2.616279069767442E-2</v>
      </c>
      <c r="EI179" s="1">
        <f>(Table1[[#This Row],[predicted_3]]-Table1[[#This Row],[actual_3]])/Table1[[#This Row],[actual_3]]</f>
        <v>3.9603960396039604E-3</v>
      </c>
      <c r="EJ179" s="1">
        <f>(Table1[[#This Row],[predicted_4]]-Table1[[#This Row],[actual_4]])/Table1[[#This Row],[actual_4]]</f>
        <v>2.6476578411405296E-2</v>
      </c>
      <c r="EK179" s="1">
        <f>(Table1[[#This Row],[predicted_5]]-Table1[[#This Row],[actual_5]])/Table1[[#This Row],[actual_5]]</f>
        <v>1.0089686098654708E-2</v>
      </c>
      <c r="EL179" s="1">
        <f>(Table1[[#This Row],[predicted_6]]-Table1[[#This Row],[actual_6]])/Table1[[#This Row],[actual_6]]</f>
        <v>-6.2630480167014613E-2</v>
      </c>
      <c r="EM179" s="1">
        <f>(Table1[[#This Row],[predicted_7]]-Table1[[#This Row],[actual_7]])/Table1[[#This Row],[actual_7]]</f>
        <v>-8.9494163424124515E-2</v>
      </c>
      <c r="EN179" s="1">
        <f>(Table1[[#This Row],[predicted_8]]-Table1[[#This Row],[actual_8]])/Table1[[#This Row],[actual_8]]</f>
        <v>1.3347022587268994E-2</v>
      </c>
      <c r="EO179" s="1">
        <f>(Table1[[#This Row],[predicted_9]]-Table1[[#This Row],[actual_9]])/Table1[[#This Row],[actual_9]]</f>
        <v>2.8741328047571853E-2</v>
      </c>
      <c r="EP179" s="1">
        <f>1+(Table1[[#This Row],[error_ratio_0]]-EF$2)</f>
        <v>1.0193877551020407</v>
      </c>
      <c r="EQ179" s="1">
        <f>1+(Table1[[#This Row],[error_ratio_1]]-EG$2)</f>
        <v>1.0185022026431718</v>
      </c>
      <c r="ER179" s="1">
        <f>1+(Table1[[#This Row],[error_ratio_2]]-EH$2)</f>
        <v>1.0310077519379846</v>
      </c>
      <c r="ES179" s="1">
        <f>1+(Table1[[#This Row],[error_ratio_3]]-EI$2)</f>
        <v>0.99405940594059405</v>
      </c>
      <c r="ET179" s="1">
        <f>1+(Table1[[#This Row],[error_ratio_4]]-EJ$2)</f>
        <v>1.025458248472505</v>
      </c>
      <c r="EU179" s="1">
        <f>1+(Table1[[#This Row],[error_ratio_5]]-EK$2)</f>
        <v>1.0089686098654709</v>
      </c>
      <c r="EV179" s="1">
        <f>1+(Table1[[#This Row],[error_ratio_6]]-EL$2)</f>
        <v>0.94363256784968685</v>
      </c>
      <c r="EW179" s="1">
        <f>1+(Table1[[#This Row],[error_ratio_7]]-EM$2)</f>
        <v>0.90856031128404668</v>
      </c>
      <c r="EX179" s="1">
        <f>1+(Table1[[#This Row],[error_ratio_8]]-EN$2)</f>
        <v>1.0164271047227926</v>
      </c>
      <c r="EY179" s="1">
        <f>1+(Table1[[#This Row],[error_ratio_9]]-EO$2)</f>
        <v>1.0327056491575817</v>
      </c>
    </row>
    <row r="180" spans="1:155" x14ac:dyDescent="0.75">
      <c r="A180">
        <v>10</v>
      </c>
      <c r="B180">
        <v>100</v>
      </c>
      <c r="C180">
        <v>100</v>
      </c>
      <c r="D180">
        <v>100</v>
      </c>
      <c r="E180">
        <v>100</v>
      </c>
      <c r="F180">
        <v>100</v>
      </c>
      <c r="G180">
        <v>10</v>
      </c>
      <c r="H180">
        <v>10</v>
      </c>
      <c r="I180">
        <v>100</v>
      </c>
      <c r="J180">
        <v>100</v>
      </c>
      <c r="K180">
        <v>981</v>
      </c>
      <c r="L180">
        <v>1157</v>
      </c>
      <c r="M180">
        <v>1066</v>
      </c>
      <c r="N180">
        <v>1016</v>
      </c>
      <c r="O180">
        <v>1038</v>
      </c>
      <c r="P180">
        <v>893</v>
      </c>
      <c r="Q180">
        <v>914</v>
      </c>
      <c r="R180">
        <v>959</v>
      </c>
      <c r="S180">
        <v>977</v>
      </c>
      <c r="T180">
        <v>999</v>
      </c>
      <c r="U180">
        <v>980</v>
      </c>
      <c r="V180">
        <v>1135</v>
      </c>
      <c r="W180">
        <v>1032</v>
      </c>
      <c r="X180">
        <v>1010</v>
      </c>
      <c r="Y180">
        <v>982</v>
      </c>
      <c r="Z180">
        <v>892</v>
      </c>
      <c r="AA180">
        <v>958</v>
      </c>
      <c r="AB180">
        <v>1028</v>
      </c>
      <c r="AC180">
        <v>974</v>
      </c>
      <c r="AD180">
        <v>1009</v>
      </c>
      <c r="AE180">
        <v>963</v>
      </c>
      <c r="AF180">
        <v>0</v>
      </c>
      <c r="AG180">
        <v>6</v>
      </c>
      <c r="AH180">
        <v>0</v>
      </c>
      <c r="AI180">
        <v>3</v>
      </c>
      <c r="AJ180">
        <v>0</v>
      </c>
      <c r="AK180">
        <v>2</v>
      </c>
      <c r="AL180">
        <v>1</v>
      </c>
      <c r="AM180">
        <v>4</v>
      </c>
      <c r="AN180">
        <v>1</v>
      </c>
      <c r="AO180">
        <v>0</v>
      </c>
      <c r="AP180">
        <v>1133</v>
      </c>
      <c r="AQ180">
        <v>2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3</v>
      </c>
      <c r="BA180">
        <v>1023</v>
      </c>
      <c r="BB180">
        <v>1</v>
      </c>
      <c r="BC180">
        <v>1</v>
      </c>
      <c r="BD180">
        <v>0</v>
      </c>
      <c r="BE180">
        <v>1</v>
      </c>
      <c r="BF180">
        <v>1</v>
      </c>
      <c r="BG180">
        <v>2</v>
      </c>
      <c r="BH180">
        <v>0</v>
      </c>
      <c r="BI180">
        <v>0</v>
      </c>
      <c r="BJ180">
        <v>0</v>
      </c>
      <c r="BK180">
        <v>1</v>
      </c>
      <c r="BL180">
        <v>1000</v>
      </c>
      <c r="BM180">
        <v>0</v>
      </c>
      <c r="BN180">
        <v>4</v>
      </c>
      <c r="BO180">
        <v>0</v>
      </c>
      <c r="BP180">
        <v>2</v>
      </c>
      <c r="BQ180">
        <v>1</v>
      </c>
      <c r="BR180">
        <v>2</v>
      </c>
      <c r="BS180">
        <v>0</v>
      </c>
      <c r="BT180">
        <v>0</v>
      </c>
      <c r="BU180">
        <v>0</v>
      </c>
      <c r="BV180">
        <v>0</v>
      </c>
      <c r="BW180">
        <v>982</v>
      </c>
      <c r="BX180">
        <v>0</v>
      </c>
      <c r="BY180">
        <v>0</v>
      </c>
      <c r="BZ180">
        <v>0</v>
      </c>
      <c r="CA180">
        <v>0</v>
      </c>
      <c r="CB180">
        <v>0</v>
      </c>
      <c r="CC180">
        <v>3</v>
      </c>
      <c r="CD180">
        <v>0</v>
      </c>
      <c r="CE180">
        <v>1</v>
      </c>
      <c r="CF180">
        <v>4</v>
      </c>
      <c r="CG180">
        <v>0</v>
      </c>
      <c r="CH180">
        <v>877</v>
      </c>
      <c r="CI180">
        <v>2</v>
      </c>
      <c r="CJ180">
        <v>0</v>
      </c>
      <c r="CK180">
        <v>3</v>
      </c>
      <c r="CL180">
        <v>2</v>
      </c>
      <c r="CM180">
        <v>9</v>
      </c>
      <c r="CN180">
        <v>6</v>
      </c>
      <c r="CO180">
        <v>2</v>
      </c>
      <c r="CP180">
        <v>0</v>
      </c>
      <c r="CQ180">
        <v>21</v>
      </c>
      <c r="CR180">
        <v>8</v>
      </c>
      <c r="CS180">
        <v>909</v>
      </c>
      <c r="CT180">
        <v>0</v>
      </c>
      <c r="CU180">
        <v>3</v>
      </c>
      <c r="CV180">
        <v>0</v>
      </c>
      <c r="CW180">
        <v>1</v>
      </c>
      <c r="CX180">
        <v>12</v>
      </c>
      <c r="CY180">
        <v>29</v>
      </c>
      <c r="CZ180">
        <v>10</v>
      </c>
      <c r="DA180">
        <v>9</v>
      </c>
      <c r="DB180">
        <v>0</v>
      </c>
      <c r="DC180">
        <v>0</v>
      </c>
      <c r="DD180">
        <v>952</v>
      </c>
      <c r="DE180">
        <v>4</v>
      </c>
      <c r="DF180">
        <v>11</v>
      </c>
      <c r="DG180">
        <v>3</v>
      </c>
      <c r="DH180">
        <v>1</v>
      </c>
      <c r="DI180">
        <v>1</v>
      </c>
      <c r="DJ180">
        <v>1</v>
      </c>
      <c r="DK180">
        <v>2</v>
      </c>
      <c r="DL180">
        <v>2</v>
      </c>
      <c r="DM180">
        <v>0</v>
      </c>
      <c r="DN180">
        <v>2</v>
      </c>
      <c r="DO180">
        <v>960</v>
      </c>
      <c r="DP180">
        <v>2</v>
      </c>
      <c r="DQ180">
        <v>2</v>
      </c>
      <c r="DR180">
        <v>2</v>
      </c>
      <c r="DS180">
        <v>1</v>
      </c>
      <c r="DT180">
        <v>0</v>
      </c>
      <c r="DU180">
        <v>20</v>
      </c>
      <c r="DV180">
        <v>2</v>
      </c>
      <c r="DW180">
        <v>0</v>
      </c>
      <c r="DX180">
        <v>1</v>
      </c>
      <c r="DY180">
        <v>0</v>
      </c>
      <c r="DZ180">
        <v>981</v>
      </c>
      <c r="EA180">
        <v>0.97799999999999998</v>
      </c>
      <c r="EB180">
        <v>0.97847673427016602</v>
      </c>
      <c r="EC180">
        <v>0.97782507318959799</v>
      </c>
      <c r="ED180">
        <v>0.97786844381041405</v>
      </c>
      <c r="EE180">
        <f>SUM(Table1[[#This Row],[ratio_0]:[ratio_9]])</f>
        <v>730</v>
      </c>
      <c r="EF180" s="1">
        <f>(Table1[[#This Row],[predicted_0]]-Table1[[#This Row],[actual_0]])/Table1[[#This Row],[actual_0]]</f>
        <v>1.0204081632653062E-3</v>
      </c>
      <c r="EG180" s="1">
        <f>(Table1[[#This Row],[predicted_1]]-Table1[[#This Row],[actual_1]])/Table1[[#This Row],[actual_1]]</f>
        <v>1.9383259911894272E-2</v>
      </c>
      <c r="EH180" s="1">
        <f>(Table1[[#This Row],[predicted_2]]-Table1[[#This Row],[actual_2]])/Table1[[#This Row],[actual_2]]</f>
        <v>3.294573643410853E-2</v>
      </c>
      <c r="EI180" s="1">
        <f>(Table1[[#This Row],[predicted_3]]-Table1[[#This Row],[actual_3]])/Table1[[#This Row],[actual_3]]</f>
        <v>5.9405940594059407E-3</v>
      </c>
      <c r="EJ180" s="1">
        <f>(Table1[[#This Row],[predicted_4]]-Table1[[#This Row],[actual_4]])/Table1[[#This Row],[actual_4]]</f>
        <v>5.7026476578411409E-2</v>
      </c>
      <c r="EK180" s="1">
        <f>(Table1[[#This Row],[predicted_5]]-Table1[[#This Row],[actual_5]])/Table1[[#This Row],[actual_5]]</f>
        <v>1.1210762331838565E-3</v>
      </c>
      <c r="EL180" s="1">
        <f>(Table1[[#This Row],[predicted_6]]-Table1[[#This Row],[actual_6]])/Table1[[#This Row],[actual_6]]</f>
        <v>-4.5929018789144051E-2</v>
      </c>
      <c r="EM180" s="1">
        <f>(Table1[[#This Row],[predicted_7]]-Table1[[#This Row],[actual_7]])/Table1[[#This Row],[actual_7]]</f>
        <v>-6.7120622568093383E-2</v>
      </c>
      <c r="EN180" s="1">
        <f>(Table1[[#This Row],[predicted_8]]-Table1[[#This Row],[actual_8]])/Table1[[#This Row],[actual_8]]</f>
        <v>3.0800821355236141E-3</v>
      </c>
      <c r="EO180" s="1">
        <f>(Table1[[#This Row],[predicted_9]]-Table1[[#This Row],[actual_9]])/Table1[[#This Row],[actual_9]]</f>
        <v>-9.9108027750247768E-3</v>
      </c>
      <c r="EP180" s="1">
        <f>1+(Table1[[#This Row],[error_ratio_0]]-EF$2)</f>
        <v>0.99897959183673468</v>
      </c>
      <c r="EQ180" s="1">
        <f>1+(Table1[[#This Row],[error_ratio_1]]-EG$2)</f>
        <v>1.0176211453744493</v>
      </c>
      <c r="ER180" s="1">
        <f>1+(Table1[[#This Row],[error_ratio_2]]-EH$2)</f>
        <v>1.0377906976744187</v>
      </c>
      <c r="ES180" s="1">
        <f>1+(Table1[[#This Row],[error_ratio_3]]-EI$2)</f>
        <v>0.99603960396039604</v>
      </c>
      <c r="ET180" s="1">
        <f>1+(Table1[[#This Row],[error_ratio_4]]-EJ$2)</f>
        <v>1.0560081466395113</v>
      </c>
      <c r="EU180" s="1">
        <f>1+(Table1[[#This Row],[error_ratio_5]]-EK$2)</f>
        <v>1</v>
      </c>
      <c r="EV180" s="1">
        <f>1+(Table1[[#This Row],[error_ratio_6]]-EL$2)</f>
        <v>0.9603340292275574</v>
      </c>
      <c r="EW180" s="1">
        <f>1+(Table1[[#This Row],[error_ratio_7]]-EM$2)</f>
        <v>0.93093385214007784</v>
      </c>
      <c r="EX180" s="1">
        <f>1+(Table1[[#This Row],[error_ratio_8]]-EN$2)</f>
        <v>1.0061601642710472</v>
      </c>
      <c r="EY180" s="1">
        <f>1+(Table1[[#This Row],[error_ratio_9]]-EO$2)</f>
        <v>0.99405351833498512</v>
      </c>
    </row>
    <row r="181" spans="1:155" x14ac:dyDescent="0.75">
      <c r="A181">
        <v>100</v>
      </c>
      <c r="B181">
        <v>10</v>
      </c>
      <c r="C181">
        <v>100</v>
      </c>
      <c r="D181">
        <v>100</v>
      </c>
      <c r="E181">
        <v>100</v>
      </c>
      <c r="F181">
        <v>100</v>
      </c>
      <c r="G181">
        <v>10</v>
      </c>
      <c r="H181">
        <v>10</v>
      </c>
      <c r="I181">
        <v>100</v>
      </c>
      <c r="J181">
        <v>100</v>
      </c>
      <c r="K181">
        <v>995</v>
      </c>
      <c r="L181">
        <v>1118</v>
      </c>
      <c r="M181">
        <v>1055</v>
      </c>
      <c r="N181">
        <v>1030</v>
      </c>
      <c r="O181">
        <v>990</v>
      </c>
      <c r="P181">
        <v>985</v>
      </c>
      <c r="Q181">
        <v>846</v>
      </c>
      <c r="R181">
        <v>966</v>
      </c>
      <c r="S181">
        <v>1003</v>
      </c>
      <c r="T181">
        <v>1012</v>
      </c>
      <c r="U181">
        <v>980</v>
      </c>
      <c r="V181">
        <v>1135</v>
      </c>
      <c r="W181">
        <v>1032</v>
      </c>
      <c r="X181">
        <v>1010</v>
      </c>
      <c r="Y181">
        <v>982</v>
      </c>
      <c r="Z181">
        <v>892</v>
      </c>
      <c r="AA181">
        <v>958</v>
      </c>
      <c r="AB181">
        <v>1028</v>
      </c>
      <c r="AC181">
        <v>974</v>
      </c>
      <c r="AD181">
        <v>1009</v>
      </c>
      <c r="AE181">
        <v>974</v>
      </c>
      <c r="AF181">
        <v>0</v>
      </c>
      <c r="AG181">
        <v>1</v>
      </c>
      <c r="AH181">
        <v>0</v>
      </c>
      <c r="AI181">
        <v>0</v>
      </c>
      <c r="AJ181">
        <v>2</v>
      </c>
      <c r="AK181">
        <v>0</v>
      </c>
      <c r="AL181">
        <v>1</v>
      </c>
      <c r="AM181">
        <v>2</v>
      </c>
      <c r="AN181">
        <v>0</v>
      </c>
      <c r="AO181">
        <v>0</v>
      </c>
      <c r="AP181">
        <v>1114</v>
      </c>
      <c r="AQ181">
        <v>4</v>
      </c>
      <c r="AR181">
        <v>6</v>
      </c>
      <c r="AS181">
        <v>1</v>
      </c>
      <c r="AT181">
        <v>3</v>
      </c>
      <c r="AU181">
        <v>0</v>
      </c>
      <c r="AV181">
        <v>2</v>
      </c>
      <c r="AW181">
        <v>4</v>
      </c>
      <c r="AX181">
        <v>1</v>
      </c>
      <c r="AY181">
        <v>2</v>
      </c>
      <c r="AZ181">
        <v>0</v>
      </c>
      <c r="BA181">
        <v>1018</v>
      </c>
      <c r="BB181">
        <v>4</v>
      </c>
      <c r="BC181">
        <v>0</v>
      </c>
      <c r="BD181">
        <v>0</v>
      </c>
      <c r="BE181">
        <v>0</v>
      </c>
      <c r="BF181">
        <v>2</v>
      </c>
      <c r="BG181">
        <v>6</v>
      </c>
      <c r="BH181">
        <v>0</v>
      </c>
      <c r="BI181">
        <v>0</v>
      </c>
      <c r="BJ181">
        <v>0</v>
      </c>
      <c r="BK181">
        <v>2</v>
      </c>
      <c r="BL181">
        <v>1001</v>
      </c>
      <c r="BM181">
        <v>0</v>
      </c>
      <c r="BN181">
        <v>3</v>
      </c>
      <c r="BO181">
        <v>0</v>
      </c>
      <c r="BP181">
        <v>1</v>
      </c>
      <c r="BQ181">
        <v>2</v>
      </c>
      <c r="BR181">
        <v>1</v>
      </c>
      <c r="BS181">
        <v>1</v>
      </c>
      <c r="BT181">
        <v>0</v>
      </c>
      <c r="BU181">
        <v>2</v>
      </c>
      <c r="BV181">
        <v>0</v>
      </c>
      <c r="BW181">
        <v>972</v>
      </c>
      <c r="BX181">
        <v>2</v>
      </c>
      <c r="BY181">
        <v>0</v>
      </c>
      <c r="BZ181">
        <v>0</v>
      </c>
      <c r="CA181">
        <v>2</v>
      </c>
      <c r="CB181">
        <v>3</v>
      </c>
      <c r="CC181">
        <v>1</v>
      </c>
      <c r="CD181">
        <v>0</v>
      </c>
      <c r="CE181">
        <v>1</v>
      </c>
      <c r="CF181">
        <v>3</v>
      </c>
      <c r="CG181">
        <v>0</v>
      </c>
      <c r="CH181">
        <v>886</v>
      </c>
      <c r="CI181">
        <v>0</v>
      </c>
      <c r="CJ181">
        <v>1</v>
      </c>
      <c r="CK181">
        <v>0</v>
      </c>
      <c r="CL181">
        <v>0</v>
      </c>
      <c r="CM181">
        <v>16</v>
      </c>
      <c r="CN181">
        <v>2</v>
      </c>
      <c r="CO181">
        <v>1</v>
      </c>
      <c r="CP181">
        <v>0</v>
      </c>
      <c r="CQ181">
        <v>6</v>
      </c>
      <c r="CR181">
        <v>76</v>
      </c>
      <c r="CS181">
        <v>846</v>
      </c>
      <c r="CT181">
        <v>0</v>
      </c>
      <c r="CU181">
        <v>11</v>
      </c>
      <c r="CV181">
        <v>0</v>
      </c>
      <c r="CW181">
        <v>0</v>
      </c>
      <c r="CX181">
        <v>2</v>
      </c>
      <c r="CY181">
        <v>24</v>
      </c>
      <c r="CZ181">
        <v>10</v>
      </c>
      <c r="DA181">
        <v>2</v>
      </c>
      <c r="DB181">
        <v>7</v>
      </c>
      <c r="DC181">
        <v>0</v>
      </c>
      <c r="DD181">
        <v>955</v>
      </c>
      <c r="DE181">
        <v>7</v>
      </c>
      <c r="DF181">
        <v>21</v>
      </c>
      <c r="DG181">
        <v>0</v>
      </c>
      <c r="DH181">
        <v>0</v>
      </c>
      <c r="DI181">
        <v>2</v>
      </c>
      <c r="DJ181">
        <v>0</v>
      </c>
      <c r="DK181">
        <v>0</v>
      </c>
      <c r="DL181">
        <v>2</v>
      </c>
      <c r="DM181">
        <v>0</v>
      </c>
      <c r="DN181">
        <v>1</v>
      </c>
      <c r="DO181">
        <v>966</v>
      </c>
      <c r="DP181">
        <v>3</v>
      </c>
      <c r="DQ181">
        <v>1</v>
      </c>
      <c r="DR181">
        <v>0</v>
      </c>
      <c r="DS181">
        <v>0</v>
      </c>
      <c r="DT181">
        <v>6</v>
      </c>
      <c r="DU181">
        <v>9</v>
      </c>
      <c r="DV181">
        <v>4</v>
      </c>
      <c r="DW181">
        <v>0</v>
      </c>
      <c r="DX181">
        <v>3</v>
      </c>
      <c r="DY181">
        <v>3</v>
      </c>
      <c r="DZ181">
        <v>983</v>
      </c>
      <c r="EA181">
        <v>0.97150000000000003</v>
      </c>
      <c r="EB181">
        <v>0.97164681705349898</v>
      </c>
      <c r="EC181">
        <v>0.97140852666538402</v>
      </c>
      <c r="ED181">
        <v>0.97078425957912395</v>
      </c>
      <c r="EE181">
        <f>SUM(Table1[[#This Row],[ratio_0]:[ratio_9]])</f>
        <v>730</v>
      </c>
      <c r="EF181" s="1">
        <f>(Table1[[#This Row],[predicted_0]]-Table1[[#This Row],[actual_0]])/Table1[[#This Row],[actual_0]]</f>
        <v>1.5306122448979591E-2</v>
      </c>
      <c r="EG181" s="1">
        <f>(Table1[[#This Row],[predicted_1]]-Table1[[#This Row],[actual_1]])/Table1[[#This Row],[actual_1]]</f>
        <v>-1.4977973568281937E-2</v>
      </c>
      <c r="EH181" s="1">
        <f>(Table1[[#This Row],[predicted_2]]-Table1[[#This Row],[actual_2]])/Table1[[#This Row],[actual_2]]</f>
        <v>2.2286821705426358E-2</v>
      </c>
      <c r="EI181" s="1">
        <f>(Table1[[#This Row],[predicted_3]]-Table1[[#This Row],[actual_3]])/Table1[[#This Row],[actual_3]]</f>
        <v>1.9801980198019802E-2</v>
      </c>
      <c r="EJ181" s="1">
        <f>(Table1[[#This Row],[predicted_4]]-Table1[[#This Row],[actual_4]])/Table1[[#This Row],[actual_4]]</f>
        <v>8.1466395112016286E-3</v>
      </c>
      <c r="EK181" s="1">
        <f>(Table1[[#This Row],[predicted_5]]-Table1[[#This Row],[actual_5]])/Table1[[#This Row],[actual_5]]</f>
        <v>0.10426008968609865</v>
      </c>
      <c r="EL181" s="1">
        <f>(Table1[[#This Row],[predicted_6]]-Table1[[#This Row],[actual_6]])/Table1[[#This Row],[actual_6]]</f>
        <v>-0.11691022964509394</v>
      </c>
      <c r="EM181" s="1">
        <f>(Table1[[#This Row],[predicted_7]]-Table1[[#This Row],[actual_7]])/Table1[[#This Row],[actual_7]]</f>
        <v>-6.0311284046692608E-2</v>
      </c>
      <c r="EN181" s="1">
        <f>(Table1[[#This Row],[predicted_8]]-Table1[[#This Row],[actual_8]])/Table1[[#This Row],[actual_8]]</f>
        <v>2.9774127310061602E-2</v>
      </c>
      <c r="EO181" s="1">
        <f>(Table1[[#This Row],[predicted_9]]-Table1[[#This Row],[actual_9]])/Table1[[#This Row],[actual_9]]</f>
        <v>2.973240832507433E-3</v>
      </c>
      <c r="EP181" s="1">
        <f>1+(Table1[[#This Row],[error_ratio_0]]-EF$2)</f>
        <v>1.013265306122449</v>
      </c>
      <c r="EQ181" s="1">
        <f>1+(Table1[[#This Row],[error_ratio_1]]-EG$2)</f>
        <v>0.98325991189427309</v>
      </c>
      <c r="ER181" s="1">
        <f>1+(Table1[[#This Row],[error_ratio_2]]-EH$2)</f>
        <v>1.0271317829457365</v>
      </c>
      <c r="ES181" s="1">
        <f>1+(Table1[[#This Row],[error_ratio_3]]-EI$2)</f>
        <v>1.0099009900990099</v>
      </c>
      <c r="ET181" s="1">
        <f>1+(Table1[[#This Row],[error_ratio_4]]-EJ$2)</f>
        <v>1.0071283095723014</v>
      </c>
      <c r="EU181" s="1">
        <f>1+(Table1[[#This Row],[error_ratio_5]]-EK$2)</f>
        <v>1.1031390134529149</v>
      </c>
      <c r="EV181" s="1">
        <f>1+(Table1[[#This Row],[error_ratio_6]]-EL$2)</f>
        <v>0.88935281837160751</v>
      </c>
      <c r="EW181" s="1">
        <f>1+(Table1[[#This Row],[error_ratio_7]]-EM$2)</f>
        <v>0.9377431906614786</v>
      </c>
      <c r="EX181" s="1">
        <f>1+(Table1[[#This Row],[error_ratio_8]]-EN$2)</f>
        <v>1.0328542094455853</v>
      </c>
      <c r="EY181" s="1">
        <f>1+(Table1[[#This Row],[error_ratio_9]]-EO$2)</f>
        <v>1.0069375619425174</v>
      </c>
    </row>
    <row r="182" spans="1:155" x14ac:dyDescent="0.75">
      <c r="A182">
        <v>100</v>
      </c>
      <c r="B182">
        <v>100</v>
      </c>
      <c r="C182">
        <v>10</v>
      </c>
      <c r="D182">
        <v>100</v>
      </c>
      <c r="E182">
        <v>100</v>
      </c>
      <c r="F182">
        <v>100</v>
      </c>
      <c r="G182">
        <v>10</v>
      </c>
      <c r="H182">
        <v>10</v>
      </c>
      <c r="I182">
        <v>100</v>
      </c>
      <c r="J182">
        <v>100</v>
      </c>
      <c r="K182">
        <v>1065</v>
      </c>
      <c r="L182">
        <v>1165</v>
      </c>
      <c r="M182">
        <v>973</v>
      </c>
      <c r="N182">
        <v>1071</v>
      </c>
      <c r="O182">
        <v>995</v>
      </c>
      <c r="P182">
        <v>871</v>
      </c>
      <c r="Q182">
        <v>861</v>
      </c>
      <c r="R182">
        <v>1030</v>
      </c>
      <c r="S182">
        <v>970</v>
      </c>
      <c r="T182">
        <v>999</v>
      </c>
      <c r="U182">
        <v>980</v>
      </c>
      <c r="V182">
        <v>1135</v>
      </c>
      <c r="W182">
        <v>1032</v>
      </c>
      <c r="X182">
        <v>1010</v>
      </c>
      <c r="Y182">
        <v>982</v>
      </c>
      <c r="Z182">
        <v>892</v>
      </c>
      <c r="AA182">
        <v>958</v>
      </c>
      <c r="AB182">
        <v>1028</v>
      </c>
      <c r="AC182">
        <v>974</v>
      </c>
      <c r="AD182">
        <v>1009</v>
      </c>
      <c r="AE182">
        <v>978</v>
      </c>
      <c r="AF182">
        <v>2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1133</v>
      </c>
      <c r="AQ182">
        <v>0</v>
      </c>
      <c r="AR182">
        <v>2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12</v>
      </c>
      <c r="AZ182">
        <v>15</v>
      </c>
      <c r="BA182">
        <v>960</v>
      </c>
      <c r="BB182">
        <v>20</v>
      </c>
      <c r="BC182">
        <v>5</v>
      </c>
      <c r="BD182">
        <v>0</v>
      </c>
      <c r="BE182">
        <v>0</v>
      </c>
      <c r="BF182">
        <v>11</v>
      </c>
      <c r="BG182">
        <v>8</v>
      </c>
      <c r="BH182">
        <v>1</v>
      </c>
      <c r="BI182">
        <v>0</v>
      </c>
      <c r="BJ182">
        <v>0</v>
      </c>
      <c r="BK182">
        <v>1</v>
      </c>
      <c r="BL182">
        <v>1007</v>
      </c>
      <c r="BM182">
        <v>0</v>
      </c>
      <c r="BN182">
        <v>0</v>
      </c>
      <c r="BO182">
        <v>0</v>
      </c>
      <c r="BP182">
        <v>2</v>
      </c>
      <c r="BQ182">
        <v>0</v>
      </c>
      <c r="BR182">
        <v>0</v>
      </c>
      <c r="BS182">
        <v>0</v>
      </c>
      <c r="BT182">
        <v>0</v>
      </c>
      <c r="BU182">
        <v>0</v>
      </c>
      <c r="BV182">
        <v>0</v>
      </c>
      <c r="BW182">
        <v>973</v>
      </c>
      <c r="BX182">
        <v>0</v>
      </c>
      <c r="BY182">
        <v>0</v>
      </c>
      <c r="BZ182">
        <v>0</v>
      </c>
      <c r="CA182">
        <v>0</v>
      </c>
      <c r="CB182">
        <v>9</v>
      </c>
      <c r="CC182">
        <v>3</v>
      </c>
      <c r="CD182">
        <v>1</v>
      </c>
      <c r="CE182">
        <v>0</v>
      </c>
      <c r="CF182">
        <v>22</v>
      </c>
      <c r="CG182">
        <v>0</v>
      </c>
      <c r="CH182">
        <v>860</v>
      </c>
      <c r="CI182">
        <v>1</v>
      </c>
      <c r="CJ182">
        <v>1</v>
      </c>
      <c r="CK182">
        <v>3</v>
      </c>
      <c r="CL182">
        <v>1</v>
      </c>
      <c r="CM182">
        <v>61</v>
      </c>
      <c r="CN182">
        <v>5</v>
      </c>
      <c r="CO182">
        <v>1</v>
      </c>
      <c r="CP182">
        <v>1</v>
      </c>
      <c r="CQ182">
        <v>14</v>
      </c>
      <c r="CR182">
        <v>10</v>
      </c>
      <c r="CS182">
        <v>860</v>
      </c>
      <c r="CT182">
        <v>0</v>
      </c>
      <c r="CU182">
        <v>6</v>
      </c>
      <c r="CV182">
        <v>0</v>
      </c>
      <c r="CW182">
        <v>3</v>
      </c>
      <c r="CX182">
        <v>6</v>
      </c>
      <c r="CY182">
        <v>11</v>
      </c>
      <c r="CZ182">
        <v>8</v>
      </c>
      <c r="DA182">
        <v>1</v>
      </c>
      <c r="DB182">
        <v>0</v>
      </c>
      <c r="DC182">
        <v>0</v>
      </c>
      <c r="DD182">
        <v>998</v>
      </c>
      <c r="DE182">
        <v>1</v>
      </c>
      <c r="DF182">
        <v>0</v>
      </c>
      <c r="DG182">
        <v>4</v>
      </c>
      <c r="DH182">
        <v>2</v>
      </c>
      <c r="DI182">
        <v>0</v>
      </c>
      <c r="DJ182">
        <v>2</v>
      </c>
      <c r="DK182">
        <v>1</v>
      </c>
      <c r="DL182">
        <v>0</v>
      </c>
      <c r="DM182">
        <v>0</v>
      </c>
      <c r="DN182">
        <v>7</v>
      </c>
      <c r="DO182">
        <v>952</v>
      </c>
      <c r="DP182">
        <v>6</v>
      </c>
      <c r="DQ182">
        <v>4</v>
      </c>
      <c r="DR182">
        <v>1</v>
      </c>
      <c r="DS182">
        <v>0</v>
      </c>
      <c r="DT182">
        <v>9</v>
      </c>
      <c r="DU182">
        <v>1</v>
      </c>
      <c r="DV182">
        <v>1</v>
      </c>
      <c r="DW182">
        <v>0</v>
      </c>
      <c r="DX182">
        <v>11</v>
      </c>
      <c r="DY182">
        <v>0</v>
      </c>
      <c r="DZ182">
        <v>982</v>
      </c>
      <c r="EA182">
        <v>0.97030000000000005</v>
      </c>
      <c r="EB182">
        <v>0.971518123774332</v>
      </c>
      <c r="EC182">
        <v>0.96975941545305699</v>
      </c>
      <c r="ED182">
        <v>0.969999563967887</v>
      </c>
      <c r="EE182">
        <f>SUM(Table1[[#This Row],[ratio_0]:[ratio_9]])</f>
        <v>730</v>
      </c>
      <c r="EF182" s="1">
        <f>(Table1[[#This Row],[predicted_0]]-Table1[[#This Row],[actual_0]])/Table1[[#This Row],[actual_0]]</f>
        <v>8.673469387755102E-2</v>
      </c>
      <c r="EG182" s="1">
        <f>(Table1[[#This Row],[predicted_1]]-Table1[[#This Row],[actual_1]])/Table1[[#This Row],[actual_1]]</f>
        <v>2.643171806167401E-2</v>
      </c>
      <c r="EH182" s="1">
        <f>(Table1[[#This Row],[predicted_2]]-Table1[[#This Row],[actual_2]])/Table1[[#This Row],[actual_2]]</f>
        <v>-5.7170542635658912E-2</v>
      </c>
      <c r="EI182" s="1">
        <f>(Table1[[#This Row],[predicted_3]]-Table1[[#This Row],[actual_3]])/Table1[[#This Row],[actual_3]]</f>
        <v>6.0396039603960394E-2</v>
      </c>
      <c r="EJ182" s="1">
        <f>(Table1[[#This Row],[predicted_4]]-Table1[[#This Row],[actual_4]])/Table1[[#This Row],[actual_4]]</f>
        <v>1.3238289205702648E-2</v>
      </c>
      <c r="EK182" s="1">
        <f>(Table1[[#This Row],[predicted_5]]-Table1[[#This Row],[actual_5]])/Table1[[#This Row],[actual_5]]</f>
        <v>-2.3542600896860985E-2</v>
      </c>
      <c r="EL182" s="1">
        <f>(Table1[[#This Row],[predicted_6]]-Table1[[#This Row],[actual_6]])/Table1[[#This Row],[actual_6]]</f>
        <v>-0.10125260960334029</v>
      </c>
      <c r="EM182" s="1">
        <f>(Table1[[#This Row],[predicted_7]]-Table1[[#This Row],[actual_7]])/Table1[[#This Row],[actual_7]]</f>
        <v>1.9455252918287938E-3</v>
      </c>
      <c r="EN182" s="1">
        <f>(Table1[[#This Row],[predicted_8]]-Table1[[#This Row],[actual_8]])/Table1[[#This Row],[actual_8]]</f>
        <v>-4.1067761806981521E-3</v>
      </c>
      <c r="EO182" s="1">
        <f>(Table1[[#This Row],[predicted_9]]-Table1[[#This Row],[actual_9]])/Table1[[#This Row],[actual_9]]</f>
        <v>-9.9108027750247768E-3</v>
      </c>
      <c r="EP182" s="1">
        <f>1+(Table1[[#This Row],[error_ratio_0]]-EF$2)</f>
        <v>1.0846938775510204</v>
      </c>
      <c r="EQ182" s="1">
        <f>1+(Table1[[#This Row],[error_ratio_1]]-EG$2)</f>
        <v>1.0246696035242291</v>
      </c>
      <c r="ER182" s="1">
        <f>1+(Table1[[#This Row],[error_ratio_2]]-EH$2)</f>
        <v>0.94767441860465118</v>
      </c>
      <c r="ES182" s="1">
        <f>1+(Table1[[#This Row],[error_ratio_3]]-EI$2)</f>
        <v>1.0504950495049505</v>
      </c>
      <c r="ET182" s="1">
        <f>1+(Table1[[#This Row],[error_ratio_4]]-EJ$2)</f>
        <v>1.0122199592668024</v>
      </c>
      <c r="EU182" s="1">
        <f>1+(Table1[[#This Row],[error_ratio_5]]-EK$2)</f>
        <v>0.9753363228699552</v>
      </c>
      <c r="EV182" s="1">
        <f>1+(Table1[[#This Row],[error_ratio_6]]-EL$2)</f>
        <v>0.90501043841336115</v>
      </c>
      <c r="EW182" s="1">
        <f>1+(Table1[[#This Row],[error_ratio_7]]-EM$2)</f>
        <v>1</v>
      </c>
      <c r="EX182" s="1">
        <f>1+(Table1[[#This Row],[error_ratio_8]]-EN$2)</f>
        <v>0.99897330595482547</v>
      </c>
      <c r="EY182" s="1">
        <f>1+(Table1[[#This Row],[error_ratio_9]]-EO$2)</f>
        <v>0.99405351833498512</v>
      </c>
    </row>
    <row r="183" spans="1:155" x14ac:dyDescent="0.75">
      <c r="A183">
        <v>10</v>
      </c>
      <c r="B183">
        <v>100</v>
      </c>
      <c r="C183">
        <v>10</v>
      </c>
      <c r="D183">
        <v>100</v>
      </c>
      <c r="E183">
        <v>100</v>
      </c>
      <c r="F183">
        <v>100</v>
      </c>
      <c r="G183">
        <v>10</v>
      </c>
      <c r="H183">
        <v>10</v>
      </c>
      <c r="I183">
        <v>100</v>
      </c>
      <c r="J183">
        <v>100</v>
      </c>
      <c r="K183">
        <v>933</v>
      </c>
      <c r="L183">
        <v>1160</v>
      </c>
      <c r="M183">
        <v>955</v>
      </c>
      <c r="N183">
        <v>1063</v>
      </c>
      <c r="O183">
        <v>1021</v>
      </c>
      <c r="P183">
        <v>910</v>
      </c>
      <c r="Q183">
        <v>906</v>
      </c>
      <c r="R183">
        <v>917</v>
      </c>
      <c r="S183">
        <v>1102</v>
      </c>
      <c r="T183">
        <v>1033</v>
      </c>
      <c r="U183">
        <v>980</v>
      </c>
      <c r="V183">
        <v>1135</v>
      </c>
      <c r="W183">
        <v>1032</v>
      </c>
      <c r="X183">
        <v>1010</v>
      </c>
      <c r="Y183">
        <v>982</v>
      </c>
      <c r="Z183">
        <v>892</v>
      </c>
      <c r="AA183">
        <v>958</v>
      </c>
      <c r="AB183">
        <v>1028</v>
      </c>
      <c r="AC183">
        <v>974</v>
      </c>
      <c r="AD183">
        <v>1009</v>
      </c>
      <c r="AE183">
        <v>925</v>
      </c>
      <c r="AF183">
        <v>0</v>
      </c>
      <c r="AG183">
        <v>0</v>
      </c>
      <c r="AH183">
        <v>0</v>
      </c>
      <c r="AI183">
        <v>7</v>
      </c>
      <c r="AJ183">
        <v>7</v>
      </c>
      <c r="AK183">
        <v>2</v>
      </c>
      <c r="AL183">
        <v>1</v>
      </c>
      <c r="AM183">
        <v>25</v>
      </c>
      <c r="AN183">
        <v>13</v>
      </c>
      <c r="AO183">
        <v>0</v>
      </c>
      <c r="AP183">
        <v>1131</v>
      </c>
      <c r="AQ183">
        <v>2</v>
      </c>
      <c r="AR183">
        <v>0</v>
      </c>
      <c r="AS183">
        <v>0</v>
      </c>
      <c r="AT183">
        <v>0</v>
      </c>
      <c r="AU183">
        <v>1</v>
      </c>
      <c r="AV183">
        <v>0</v>
      </c>
      <c r="AW183">
        <v>1</v>
      </c>
      <c r="AX183">
        <v>0</v>
      </c>
      <c r="AY183">
        <v>2</v>
      </c>
      <c r="AZ183">
        <v>6</v>
      </c>
      <c r="BA183">
        <v>940</v>
      </c>
      <c r="BB183">
        <v>25</v>
      </c>
      <c r="BC183">
        <v>10</v>
      </c>
      <c r="BD183">
        <v>0</v>
      </c>
      <c r="BE183">
        <v>0</v>
      </c>
      <c r="BF183">
        <v>4</v>
      </c>
      <c r="BG183">
        <v>43</v>
      </c>
      <c r="BH183">
        <v>2</v>
      </c>
      <c r="BI183">
        <v>0</v>
      </c>
      <c r="BJ183">
        <v>0</v>
      </c>
      <c r="BK183">
        <v>0</v>
      </c>
      <c r="BL183">
        <v>1001</v>
      </c>
      <c r="BM183">
        <v>0</v>
      </c>
      <c r="BN183">
        <v>3</v>
      </c>
      <c r="BO183">
        <v>0</v>
      </c>
      <c r="BP183">
        <v>0</v>
      </c>
      <c r="BQ183">
        <v>5</v>
      </c>
      <c r="BR183">
        <v>1</v>
      </c>
      <c r="BS183">
        <v>0</v>
      </c>
      <c r="BT183">
        <v>0</v>
      </c>
      <c r="BU183">
        <v>0</v>
      </c>
      <c r="BV183">
        <v>0</v>
      </c>
      <c r="BW183">
        <v>978</v>
      </c>
      <c r="BX183">
        <v>0</v>
      </c>
      <c r="BY183">
        <v>0</v>
      </c>
      <c r="BZ183">
        <v>0</v>
      </c>
      <c r="CA183">
        <v>1</v>
      </c>
      <c r="CB183">
        <v>3</v>
      </c>
      <c r="CC183">
        <v>0</v>
      </c>
      <c r="CD183">
        <v>0</v>
      </c>
      <c r="CE183">
        <v>0</v>
      </c>
      <c r="CF183">
        <v>3</v>
      </c>
      <c r="CG183">
        <v>0</v>
      </c>
      <c r="CH183">
        <v>880</v>
      </c>
      <c r="CI183">
        <v>1</v>
      </c>
      <c r="CJ183">
        <v>0</v>
      </c>
      <c r="CK183">
        <v>7</v>
      </c>
      <c r="CL183">
        <v>1</v>
      </c>
      <c r="CM183">
        <v>5</v>
      </c>
      <c r="CN183">
        <v>2</v>
      </c>
      <c r="CO183">
        <v>0</v>
      </c>
      <c r="CP183">
        <v>0</v>
      </c>
      <c r="CQ183">
        <v>15</v>
      </c>
      <c r="CR183">
        <v>15</v>
      </c>
      <c r="CS183">
        <v>901</v>
      </c>
      <c r="CT183">
        <v>0</v>
      </c>
      <c r="CU183">
        <v>20</v>
      </c>
      <c r="CV183">
        <v>0</v>
      </c>
      <c r="CW183">
        <v>1</v>
      </c>
      <c r="CX183">
        <v>19</v>
      </c>
      <c r="CY183">
        <v>13</v>
      </c>
      <c r="CZ183">
        <v>27</v>
      </c>
      <c r="DA183">
        <v>5</v>
      </c>
      <c r="DB183">
        <v>2</v>
      </c>
      <c r="DC183">
        <v>0</v>
      </c>
      <c r="DD183">
        <v>910</v>
      </c>
      <c r="DE183">
        <v>22</v>
      </c>
      <c r="DF183">
        <v>29</v>
      </c>
      <c r="DG183">
        <v>0</v>
      </c>
      <c r="DH183">
        <v>0</v>
      </c>
      <c r="DI183">
        <v>0</v>
      </c>
      <c r="DJ183">
        <v>1</v>
      </c>
      <c r="DK183">
        <v>1</v>
      </c>
      <c r="DL183">
        <v>1</v>
      </c>
      <c r="DM183">
        <v>0</v>
      </c>
      <c r="DN183">
        <v>1</v>
      </c>
      <c r="DO183">
        <v>969</v>
      </c>
      <c r="DP183">
        <v>1</v>
      </c>
      <c r="DQ183">
        <v>0</v>
      </c>
      <c r="DR183">
        <v>2</v>
      </c>
      <c r="DS183">
        <v>0</v>
      </c>
      <c r="DT183">
        <v>6</v>
      </c>
      <c r="DU183">
        <v>5</v>
      </c>
      <c r="DV183">
        <v>2</v>
      </c>
      <c r="DW183">
        <v>1</v>
      </c>
      <c r="DX183">
        <v>1</v>
      </c>
      <c r="DY183">
        <v>9</v>
      </c>
      <c r="DZ183">
        <v>983</v>
      </c>
      <c r="EA183">
        <v>0.96179999999999999</v>
      </c>
      <c r="EB183">
        <v>0.96350658857003502</v>
      </c>
      <c r="EC183">
        <v>0.96195824036633903</v>
      </c>
      <c r="ED183">
        <v>0.96165946483204301</v>
      </c>
      <c r="EE183">
        <f>SUM(Table1[[#This Row],[ratio_0]:[ratio_9]])</f>
        <v>640</v>
      </c>
      <c r="EF183" s="1">
        <f>(Table1[[#This Row],[predicted_0]]-Table1[[#This Row],[actual_0]])/Table1[[#This Row],[actual_0]]</f>
        <v>-4.7959183673469387E-2</v>
      </c>
      <c r="EG183" s="1">
        <f>(Table1[[#This Row],[predicted_1]]-Table1[[#This Row],[actual_1]])/Table1[[#This Row],[actual_1]]</f>
        <v>2.2026431718061675E-2</v>
      </c>
      <c r="EH183" s="1">
        <f>(Table1[[#This Row],[predicted_2]]-Table1[[#This Row],[actual_2]])/Table1[[#This Row],[actual_2]]</f>
        <v>-7.4612403100775188E-2</v>
      </c>
      <c r="EI183" s="1">
        <f>(Table1[[#This Row],[predicted_3]]-Table1[[#This Row],[actual_3]])/Table1[[#This Row],[actual_3]]</f>
        <v>5.2475247524752473E-2</v>
      </c>
      <c r="EJ183" s="1">
        <f>(Table1[[#This Row],[predicted_4]]-Table1[[#This Row],[actual_4]])/Table1[[#This Row],[actual_4]]</f>
        <v>3.9714867617107942E-2</v>
      </c>
      <c r="EK183" s="1">
        <f>(Table1[[#This Row],[predicted_5]]-Table1[[#This Row],[actual_5]])/Table1[[#This Row],[actual_5]]</f>
        <v>2.0179372197309416E-2</v>
      </c>
      <c r="EL183" s="1">
        <f>(Table1[[#This Row],[predicted_6]]-Table1[[#This Row],[actual_6]])/Table1[[#This Row],[actual_6]]</f>
        <v>-5.4279749478079335E-2</v>
      </c>
      <c r="EM183" s="1">
        <f>(Table1[[#This Row],[predicted_7]]-Table1[[#This Row],[actual_7]])/Table1[[#This Row],[actual_7]]</f>
        <v>-0.10797665369649806</v>
      </c>
      <c r="EN183" s="1">
        <f>(Table1[[#This Row],[predicted_8]]-Table1[[#This Row],[actual_8]])/Table1[[#This Row],[actual_8]]</f>
        <v>0.13141683778234087</v>
      </c>
      <c r="EO183" s="1">
        <f>(Table1[[#This Row],[predicted_9]]-Table1[[#This Row],[actual_9]])/Table1[[#This Row],[actual_9]]</f>
        <v>2.3785926660059464E-2</v>
      </c>
      <c r="EP183" s="1">
        <f>1+(Table1[[#This Row],[error_ratio_0]]-EF$2)</f>
        <v>0.95</v>
      </c>
      <c r="EQ183" s="1">
        <f>1+(Table1[[#This Row],[error_ratio_1]]-EG$2)</f>
        <v>1.0202643171806167</v>
      </c>
      <c r="ER183" s="1">
        <f>1+(Table1[[#This Row],[error_ratio_2]]-EH$2)</f>
        <v>0.93023255813953487</v>
      </c>
      <c r="ES183" s="1">
        <f>1+(Table1[[#This Row],[error_ratio_3]]-EI$2)</f>
        <v>1.0425742574257426</v>
      </c>
      <c r="ET183" s="1">
        <f>1+(Table1[[#This Row],[error_ratio_4]]-EJ$2)</f>
        <v>1.0386965376782078</v>
      </c>
      <c r="EU183" s="1">
        <f>1+(Table1[[#This Row],[error_ratio_5]]-EK$2)</f>
        <v>1.0190582959641254</v>
      </c>
      <c r="EV183" s="1">
        <f>1+(Table1[[#This Row],[error_ratio_6]]-EL$2)</f>
        <v>0.95198329853862207</v>
      </c>
      <c r="EW183" s="1">
        <f>1+(Table1[[#This Row],[error_ratio_7]]-EM$2)</f>
        <v>0.8900778210116731</v>
      </c>
      <c r="EX183" s="1">
        <f>1+(Table1[[#This Row],[error_ratio_8]]-EN$2)</f>
        <v>1.1344969199178645</v>
      </c>
      <c r="EY183" s="1">
        <f>1+(Table1[[#This Row],[error_ratio_9]]-EO$2)</f>
        <v>1.0277502477700693</v>
      </c>
    </row>
    <row r="184" spans="1:155" x14ac:dyDescent="0.75">
      <c r="A184">
        <v>100</v>
      </c>
      <c r="B184">
        <v>10</v>
      </c>
      <c r="C184">
        <v>10</v>
      </c>
      <c r="D184">
        <v>100</v>
      </c>
      <c r="E184">
        <v>100</v>
      </c>
      <c r="F184">
        <v>100</v>
      </c>
      <c r="G184">
        <v>10</v>
      </c>
      <c r="H184">
        <v>10</v>
      </c>
      <c r="I184">
        <v>100</v>
      </c>
      <c r="J184">
        <v>100</v>
      </c>
      <c r="K184">
        <v>1017</v>
      </c>
      <c r="L184">
        <v>1138</v>
      </c>
      <c r="M184">
        <v>988</v>
      </c>
      <c r="N184">
        <v>1044</v>
      </c>
      <c r="O184">
        <v>1044</v>
      </c>
      <c r="P184">
        <v>901</v>
      </c>
      <c r="Q184">
        <v>884</v>
      </c>
      <c r="R184">
        <v>1018</v>
      </c>
      <c r="S184">
        <v>961</v>
      </c>
      <c r="T184">
        <v>1005</v>
      </c>
      <c r="U184">
        <v>980</v>
      </c>
      <c r="V184">
        <v>1135</v>
      </c>
      <c r="W184">
        <v>1032</v>
      </c>
      <c r="X184">
        <v>1010</v>
      </c>
      <c r="Y184">
        <v>982</v>
      </c>
      <c r="Z184">
        <v>892</v>
      </c>
      <c r="AA184">
        <v>958</v>
      </c>
      <c r="AB184">
        <v>1028</v>
      </c>
      <c r="AC184">
        <v>974</v>
      </c>
      <c r="AD184">
        <v>1009</v>
      </c>
      <c r="AE184">
        <v>978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1</v>
      </c>
      <c r="AM184">
        <v>1</v>
      </c>
      <c r="AN184">
        <v>0</v>
      </c>
      <c r="AO184">
        <v>0</v>
      </c>
      <c r="AP184">
        <v>1124</v>
      </c>
      <c r="AQ184">
        <v>1</v>
      </c>
      <c r="AR184">
        <v>7</v>
      </c>
      <c r="AS184">
        <v>0</v>
      </c>
      <c r="AT184">
        <v>2</v>
      </c>
      <c r="AU184">
        <v>0</v>
      </c>
      <c r="AV184">
        <v>1</v>
      </c>
      <c r="AW184">
        <v>0</v>
      </c>
      <c r="AX184">
        <v>0</v>
      </c>
      <c r="AY184">
        <v>12</v>
      </c>
      <c r="AZ184">
        <v>3</v>
      </c>
      <c r="BA184">
        <v>977</v>
      </c>
      <c r="BB184">
        <v>3</v>
      </c>
      <c r="BC184">
        <v>11</v>
      </c>
      <c r="BD184">
        <v>0</v>
      </c>
      <c r="BE184">
        <v>0</v>
      </c>
      <c r="BF184">
        <v>20</v>
      </c>
      <c r="BG184">
        <v>6</v>
      </c>
      <c r="BH184">
        <v>0</v>
      </c>
      <c r="BI184">
        <v>0</v>
      </c>
      <c r="BJ184">
        <v>0</v>
      </c>
      <c r="BK184">
        <v>0</v>
      </c>
      <c r="BL184">
        <v>1003</v>
      </c>
      <c r="BM184">
        <v>0</v>
      </c>
      <c r="BN184">
        <v>4</v>
      </c>
      <c r="BO184">
        <v>0</v>
      </c>
      <c r="BP184">
        <v>0</v>
      </c>
      <c r="BQ184">
        <v>1</v>
      </c>
      <c r="BR184">
        <v>2</v>
      </c>
      <c r="BS184">
        <v>0</v>
      </c>
      <c r="BT184">
        <v>0</v>
      </c>
      <c r="BU184">
        <v>0</v>
      </c>
      <c r="BV184">
        <v>0</v>
      </c>
      <c r="BW184">
        <v>978</v>
      </c>
      <c r="BX184">
        <v>0</v>
      </c>
      <c r="BY184">
        <v>0</v>
      </c>
      <c r="BZ184">
        <v>0</v>
      </c>
      <c r="CA184">
        <v>0</v>
      </c>
      <c r="CB184">
        <v>4</v>
      </c>
      <c r="CC184">
        <v>2</v>
      </c>
      <c r="CD184">
        <v>0</v>
      </c>
      <c r="CE184">
        <v>0</v>
      </c>
      <c r="CF184">
        <v>10</v>
      </c>
      <c r="CG184">
        <v>0</v>
      </c>
      <c r="CH184">
        <v>874</v>
      </c>
      <c r="CI184">
        <v>2</v>
      </c>
      <c r="CJ184">
        <v>0</v>
      </c>
      <c r="CK184">
        <v>1</v>
      </c>
      <c r="CL184">
        <v>3</v>
      </c>
      <c r="CM184">
        <v>20</v>
      </c>
      <c r="CN184">
        <v>4</v>
      </c>
      <c r="CO184">
        <v>0</v>
      </c>
      <c r="CP184">
        <v>1</v>
      </c>
      <c r="CQ184">
        <v>32</v>
      </c>
      <c r="CR184">
        <v>15</v>
      </c>
      <c r="CS184">
        <v>882</v>
      </c>
      <c r="CT184">
        <v>0</v>
      </c>
      <c r="CU184">
        <v>4</v>
      </c>
      <c r="CV184">
        <v>0</v>
      </c>
      <c r="CW184">
        <v>1</v>
      </c>
      <c r="CX184">
        <v>3</v>
      </c>
      <c r="CY184">
        <v>7</v>
      </c>
      <c r="CZ184">
        <v>9</v>
      </c>
      <c r="DA184">
        <v>9</v>
      </c>
      <c r="DB184">
        <v>4</v>
      </c>
      <c r="DC184">
        <v>0</v>
      </c>
      <c r="DD184">
        <v>986</v>
      </c>
      <c r="DE184">
        <v>0</v>
      </c>
      <c r="DF184">
        <v>9</v>
      </c>
      <c r="DG184">
        <v>3</v>
      </c>
      <c r="DH184">
        <v>2</v>
      </c>
      <c r="DI184">
        <v>3</v>
      </c>
      <c r="DJ184">
        <v>5</v>
      </c>
      <c r="DK184">
        <v>5</v>
      </c>
      <c r="DL184">
        <v>1</v>
      </c>
      <c r="DM184">
        <v>0</v>
      </c>
      <c r="DN184">
        <v>6</v>
      </c>
      <c r="DO184">
        <v>946</v>
      </c>
      <c r="DP184">
        <v>3</v>
      </c>
      <c r="DQ184">
        <v>1</v>
      </c>
      <c r="DR184">
        <v>2</v>
      </c>
      <c r="DS184">
        <v>0</v>
      </c>
      <c r="DT184">
        <v>6</v>
      </c>
      <c r="DU184">
        <v>9</v>
      </c>
      <c r="DV184">
        <v>1</v>
      </c>
      <c r="DW184">
        <v>0</v>
      </c>
      <c r="DX184">
        <v>4</v>
      </c>
      <c r="DY184">
        <v>2</v>
      </c>
      <c r="DZ184">
        <v>984</v>
      </c>
      <c r="EA184">
        <v>0.97319999999999995</v>
      </c>
      <c r="EB184">
        <v>0.97355580129389996</v>
      </c>
      <c r="EC184">
        <v>0.973007718217615</v>
      </c>
      <c r="ED184">
        <v>0.97292040282134495</v>
      </c>
      <c r="EE184">
        <f>SUM(Table1[[#This Row],[ratio_0]:[ratio_9]])</f>
        <v>640</v>
      </c>
      <c r="EF184" s="1">
        <f>(Table1[[#This Row],[predicted_0]]-Table1[[#This Row],[actual_0]])/Table1[[#This Row],[actual_0]]</f>
        <v>3.7755102040816328E-2</v>
      </c>
      <c r="EG184" s="1">
        <f>(Table1[[#This Row],[predicted_1]]-Table1[[#This Row],[actual_1]])/Table1[[#This Row],[actual_1]]</f>
        <v>2.6431718061674008E-3</v>
      </c>
      <c r="EH184" s="1">
        <f>(Table1[[#This Row],[predicted_2]]-Table1[[#This Row],[actual_2]])/Table1[[#This Row],[actual_2]]</f>
        <v>-4.2635658914728682E-2</v>
      </c>
      <c r="EI184" s="1">
        <f>(Table1[[#This Row],[predicted_3]]-Table1[[#This Row],[actual_3]])/Table1[[#This Row],[actual_3]]</f>
        <v>3.3663366336633666E-2</v>
      </c>
      <c r="EJ184" s="1">
        <f>(Table1[[#This Row],[predicted_4]]-Table1[[#This Row],[actual_4]])/Table1[[#This Row],[actual_4]]</f>
        <v>6.313645621181263E-2</v>
      </c>
      <c r="EK184" s="1">
        <f>(Table1[[#This Row],[predicted_5]]-Table1[[#This Row],[actual_5]])/Table1[[#This Row],[actual_5]]</f>
        <v>1.0089686098654708E-2</v>
      </c>
      <c r="EL184" s="1">
        <f>(Table1[[#This Row],[predicted_6]]-Table1[[#This Row],[actual_6]])/Table1[[#This Row],[actual_6]]</f>
        <v>-7.724425887265135E-2</v>
      </c>
      <c r="EM184" s="1">
        <f>(Table1[[#This Row],[predicted_7]]-Table1[[#This Row],[actual_7]])/Table1[[#This Row],[actual_7]]</f>
        <v>-9.727626459143969E-3</v>
      </c>
      <c r="EN184" s="1">
        <f>(Table1[[#This Row],[predicted_8]]-Table1[[#This Row],[actual_8]])/Table1[[#This Row],[actual_8]]</f>
        <v>-1.3347022587268994E-2</v>
      </c>
      <c r="EO184" s="1">
        <f>(Table1[[#This Row],[predicted_9]]-Table1[[#This Row],[actual_9]])/Table1[[#This Row],[actual_9]]</f>
        <v>-3.9643211100099107E-3</v>
      </c>
      <c r="EP184" s="1">
        <f>1+(Table1[[#This Row],[error_ratio_0]]-EF$2)</f>
        <v>1.0357142857142858</v>
      </c>
      <c r="EQ184" s="1">
        <f>1+(Table1[[#This Row],[error_ratio_1]]-EG$2)</f>
        <v>1.0008810572687226</v>
      </c>
      <c r="ER184" s="1">
        <f>1+(Table1[[#This Row],[error_ratio_2]]-EH$2)</f>
        <v>0.96220930232558144</v>
      </c>
      <c r="ES184" s="1">
        <f>1+(Table1[[#This Row],[error_ratio_3]]-EI$2)</f>
        <v>1.0237623762376238</v>
      </c>
      <c r="ET184" s="1">
        <f>1+(Table1[[#This Row],[error_ratio_4]]-EJ$2)</f>
        <v>1.0621181262729125</v>
      </c>
      <c r="EU184" s="1">
        <f>1+(Table1[[#This Row],[error_ratio_5]]-EK$2)</f>
        <v>1.0089686098654709</v>
      </c>
      <c r="EV184" s="1">
        <f>1+(Table1[[#This Row],[error_ratio_6]]-EL$2)</f>
        <v>0.92901878914405012</v>
      </c>
      <c r="EW184" s="1">
        <f>1+(Table1[[#This Row],[error_ratio_7]]-EM$2)</f>
        <v>0.98832684824902728</v>
      </c>
      <c r="EX184" s="1">
        <f>1+(Table1[[#This Row],[error_ratio_8]]-EN$2)</f>
        <v>0.98973305954825463</v>
      </c>
      <c r="EY184" s="1">
        <f>1+(Table1[[#This Row],[error_ratio_9]]-EO$2)</f>
        <v>1</v>
      </c>
    </row>
    <row r="185" spans="1:155" x14ac:dyDescent="0.75">
      <c r="A185">
        <v>10</v>
      </c>
      <c r="B185">
        <v>10</v>
      </c>
      <c r="C185">
        <v>10</v>
      </c>
      <c r="D185">
        <v>100</v>
      </c>
      <c r="E185">
        <v>100</v>
      </c>
      <c r="F185">
        <v>100</v>
      </c>
      <c r="G185">
        <v>10</v>
      </c>
      <c r="H185">
        <v>10</v>
      </c>
      <c r="I185">
        <v>100</v>
      </c>
      <c r="J185">
        <v>100</v>
      </c>
      <c r="K185">
        <v>935</v>
      </c>
      <c r="L185">
        <v>1125</v>
      </c>
      <c r="M185">
        <v>942</v>
      </c>
      <c r="N185">
        <v>1070</v>
      </c>
      <c r="O185">
        <v>1027</v>
      </c>
      <c r="P185">
        <v>1014</v>
      </c>
      <c r="Q185">
        <v>824</v>
      </c>
      <c r="R185">
        <v>849</v>
      </c>
      <c r="S185">
        <v>1120</v>
      </c>
      <c r="T185">
        <v>1094</v>
      </c>
      <c r="U185">
        <v>980</v>
      </c>
      <c r="V185">
        <v>1135</v>
      </c>
      <c r="W185">
        <v>1032</v>
      </c>
      <c r="X185">
        <v>1010</v>
      </c>
      <c r="Y185">
        <v>982</v>
      </c>
      <c r="Z185">
        <v>892</v>
      </c>
      <c r="AA185">
        <v>958</v>
      </c>
      <c r="AB185">
        <v>1028</v>
      </c>
      <c r="AC185">
        <v>974</v>
      </c>
      <c r="AD185">
        <v>1009</v>
      </c>
      <c r="AE185">
        <v>920</v>
      </c>
      <c r="AF185">
        <v>0</v>
      </c>
      <c r="AG185">
        <v>1</v>
      </c>
      <c r="AH185">
        <v>1</v>
      </c>
      <c r="AI185">
        <v>7</v>
      </c>
      <c r="AJ185">
        <v>8</v>
      </c>
      <c r="AK185">
        <v>3</v>
      </c>
      <c r="AL185">
        <v>0</v>
      </c>
      <c r="AM185">
        <v>24</v>
      </c>
      <c r="AN185">
        <v>16</v>
      </c>
      <c r="AO185">
        <v>0</v>
      </c>
      <c r="AP185">
        <v>1109</v>
      </c>
      <c r="AQ185">
        <v>1</v>
      </c>
      <c r="AR185">
        <v>4</v>
      </c>
      <c r="AS185">
        <v>0</v>
      </c>
      <c r="AT185">
        <v>4</v>
      </c>
      <c r="AU185">
        <v>2</v>
      </c>
      <c r="AV185">
        <v>0</v>
      </c>
      <c r="AW185">
        <v>15</v>
      </c>
      <c r="AX185">
        <v>0</v>
      </c>
      <c r="AY185">
        <v>4</v>
      </c>
      <c r="AZ185">
        <v>7</v>
      </c>
      <c r="BA185">
        <v>902</v>
      </c>
      <c r="BB185">
        <v>23</v>
      </c>
      <c r="BC185">
        <v>10</v>
      </c>
      <c r="BD185">
        <v>0</v>
      </c>
      <c r="BE185">
        <v>1</v>
      </c>
      <c r="BF185">
        <v>2</v>
      </c>
      <c r="BG185">
        <v>78</v>
      </c>
      <c r="BH185">
        <v>5</v>
      </c>
      <c r="BI185">
        <v>0</v>
      </c>
      <c r="BJ185">
        <v>0</v>
      </c>
      <c r="BK185">
        <v>1</v>
      </c>
      <c r="BL185">
        <v>1005</v>
      </c>
      <c r="BM185">
        <v>0</v>
      </c>
      <c r="BN185">
        <v>0</v>
      </c>
      <c r="BO185">
        <v>0</v>
      </c>
      <c r="BP185">
        <v>0</v>
      </c>
      <c r="BQ185">
        <v>1</v>
      </c>
      <c r="BR185">
        <v>3</v>
      </c>
      <c r="BS185">
        <v>0</v>
      </c>
      <c r="BT185">
        <v>0</v>
      </c>
      <c r="BU185">
        <v>0</v>
      </c>
      <c r="BV185">
        <v>0</v>
      </c>
      <c r="BW185">
        <v>972</v>
      </c>
      <c r="BX185">
        <v>0</v>
      </c>
      <c r="BY185">
        <v>0</v>
      </c>
      <c r="BZ185">
        <v>0</v>
      </c>
      <c r="CA185">
        <v>3</v>
      </c>
      <c r="CB185">
        <v>7</v>
      </c>
      <c r="CC185">
        <v>1</v>
      </c>
      <c r="CD185">
        <v>0</v>
      </c>
      <c r="CE185">
        <v>0</v>
      </c>
      <c r="CF185">
        <v>9</v>
      </c>
      <c r="CG185">
        <v>0</v>
      </c>
      <c r="CH185">
        <v>880</v>
      </c>
      <c r="CI185">
        <v>1</v>
      </c>
      <c r="CJ185">
        <v>0</v>
      </c>
      <c r="CK185">
        <v>1</v>
      </c>
      <c r="CL185">
        <v>0</v>
      </c>
      <c r="CM185">
        <v>10</v>
      </c>
      <c r="CN185">
        <v>3</v>
      </c>
      <c r="CO185">
        <v>0</v>
      </c>
      <c r="CP185">
        <v>0</v>
      </c>
      <c r="CQ185">
        <v>15</v>
      </c>
      <c r="CR185">
        <v>101</v>
      </c>
      <c r="CS185">
        <v>817</v>
      </c>
      <c r="CT185">
        <v>0</v>
      </c>
      <c r="CU185">
        <v>10</v>
      </c>
      <c r="CV185">
        <v>2</v>
      </c>
      <c r="CW185">
        <v>0</v>
      </c>
      <c r="CX185">
        <v>6</v>
      </c>
      <c r="CY185">
        <v>37</v>
      </c>
      <c r="CZ185">
        <v>28</v>
      </c>
      <c r="DA185">
        <v>9</v>
      </c>
      <c r="DB185">
        <v>3</v>
      </c>
      <c r="DC185">
        <v>0</v>
      </c>
      <c r="DD185">
        <v>847</v>
      </c>
      <c r="DE185">
        <v>24</v>
      </c>
      <c r="DF185">
        <v>74</v>
      </c>
      <c r="DG185">
        <v>0</v>
      </c>
      <c r="DH185">
        <v>0</v>
      </c>
      <c r="DI185">
        <v>0</v>
      </c>
      <c r="DJ185">
        <v>0</v>
      </c>
      <c r="DK185">
        <v>1</v>
      </c>
      <c r="DL185">
        <v>7</v>
      </c>
      <c r="DM185">
        <v>0</v>
      </c>
      <c r="DN185">
        <v>0</v>
      </c>
      <c r="DO185">
        <v>962</v>
      </c>
      <c r="DP185">
        <v>4</v>
      </c>
      <c r="DQ185">
        <v>0</v>
      </c>
      <c r="DR185">
        <v>0</v>
      </c>
      <c r="DS185">
        <v>0</v>
      </c>
      <c r="DT185">
        <v>0</v>
      </c>
      <c r="DU185">
        <v>13</v>
      </c>
      <c r="DV185">
        <v>11</v>
      </c>
      <c r="DW185">
        <v>0</v>
      </c>
      <c r="DX185">
        <v>0</v>
      </c>
      <c r="DY185">
        <v>2</v>
      </c>
      <c r="DZ185">
        <v>983</v>
      </c>
      <c r="EA185">
        <v>0.93969999999999998</v>
      </c>
      <c r="EB185">
        <v>0.94274357365331296</v>
      </c>
      <c r="EC185">
        <v>0.93999722366723704</v>
      </c>
      <c r="ED185">
        <v>0.93866453018546903</v>
      </c>
      <c r="EE185">
        <f>SUM(Table1[[#This Row],[ratio_0]:[ratio_9]])</f>
        <v>550</v>
      </c>
      <c r="EF185" s="1">
        <f>(Table1[[#This Row],[predicted_0]]-Table1[[#This Row],[actual_0]])/Table1[[#This Row],[actual_0]]</f>
        <v>-4.5918367346938778E-2</v>
      </c>
      <c r="EG185" s="1">
        <f>(Table1[[#This Row],[predicted_1]]-Table1[[#This Row],[actual_1]])/Table1[[#This Row],[actual_1]]</f>
        <v>-8.8105726872246704E-3</v>
      </c>
      <c r="EH185" s="1">
        <f>(Table1[[#This Row],[predicted_2]]-Table1[[#This Row],[actual_2]])/Table1[[#This Row],[actual_2]]</f>
        <v>-8.7209302325581398E-2</v>
      </c>
      <c r="EI185" s="1">
        <f>(Table1[[#This Row],[predicted_3]]-Table1[[#This Row],[actual_3]])/Table1[[#This Row],[actual_3]]</f>
        <v>5.9405940594059403E-2</v>
      </c>
      <c r="EJ185" s="1">
        <f>(Table1[[#This Row],[predicted_4]]-Table1[[#This Row],[actual_4]])/Table1[[#This Row],[actual_4]]</f>
        <v>4.5824847250509164E-2</v>
      </c>
      <c r="EK185" s="1">
        <f>(Table1[[#This Row],[predicted_5]]-Table1[[#This Row],[actual_5]])/Table1[[#This Row],[actual_5]]</f>
        <v>0.1367713004484305</v>
      </c>
      <c r="EL185" s="1">
        <f>(Table1[[#This Row],[predicted_6]]-Table1[[#This Row],[actual_6]])/Table1[[#This Row],[actual_6]]</f>
        <v>-0.13987473903966596</v>
      </c>
      <c r="EM185" s="1">
        <f>(Table1[[#This Row],[predicted_7]]-Table1[[#This Row],[actual_7]])/Table1[[#This Row],[actual_7]]</f>
        <v>-0.17412451361867703</v>
      </c>
      <c r="EN185" s="1">
        <f>(Table1[[#This Row],[predicted_8]]-Table1[[#This Row],[actual_8]])/Table1[[#This Row],[actual_8]]</f>
        <v>0.14989733059548255</v>
      </c>
      <c r="EO185" s="1">
        <f>(Table1[[#This Row],[predicted_9]]-Table1[[#This Row],[actual_9]])/Table1[[#This Row],[actual_9]]</f>
        <v>8.424182358771061E-2</v>
      </c>
      <c r="EP185" s="1">
        <f>1+(Table1[[#This Row],[error_ratio_0]]-EF$2)</f>
        <v>0.95204081632653059</v>
      </c>
      <c r="EQ185" s="1">
        <f>1+(Table1[[#This Row],[error_ratio_1]]-EG$2)</f>
        <v>0.98942731277533036</v>
      </c>
      <c r="ER185" s="1">
        <f>1+(Table1[[#This Row],[error_ratio_2]]-EH$2)</f>
        <v>0.91763565891472865</v>
      </c>
      <c r="ES185" s="1">
        <f>1+(Table1[[#This Row],[error_ratio_3]]-EI$2)</f>
        <v>1.0495049504950495</v>
      </c>
      <c r="ET185" s="1">
        <f>1+(Table1[[#This Row],[error_ratio_4]]-EJ$2)</f>
        <v>1.044806517311609</v>
      </c>
      <c r="EU185" s="1">
        <f>1+(Table1[[#This Row],[error_ratio_5]]-EK$2)</f>
        <v>1.1356502242152466</v>
      </c>
      <c r="EV185" s="1">
        <f>1+(Table1[[#This Row],[error_ratio_6]]-EL$2)</f>
        <v>0.86638830897703545</v>
      </c>
      <c r="EW185" s="1">
        <f>1+(Table1[[#This Row],[error_ratio_7]]-EM$2)</f>
        <v>0.82392996108949412</v>
      </c>
      <c r="EX185" s="1">
        <f>1+(Table1[[#This Row],[error_ratio_8]]-EN$2)</f>
        <v>1.1529774127310062</v>
      </c>
      <c r="EY185" s="1">
        <f>1+(Table1[[#This Row],[error_ratio_9]]-EO$2)</f>
        <v>1.0882061446977205</v>
      </c>
    </row>
    <row r="186" spans="1:155" x14ac:dyDescent="0.75">
      <c r="A186">
        <v>10</v>
      </c>
      <c r="B186">
        <v>100</v>
      </c>
      <c r="C186">
        <v>100</v>
      </c>
      <c r="D186">
        <v>10</v>
      </c>
      <c r="E186">
        <v>100</v>
      </c>
      <c r="F186">
        <v>100</v>
      </c>
      <c r="G186">
        <v>10</v>
      </c>
      <c r="H186">
        <v>10</v>
      </c>
      <c r="I186">
        <v>100</v>
      </c>
      <c r="J186">
        <v>100</v>
      </c>
      <c r="K186">
        <v>960</v>
      </c>
      <c r="L186">
        <v>1163</v>
      </c>
      <c r="M186">
        <v>1077</v>
      </c>
      <c r="N186">
        <v>940</v>
      </c>
      <c r="O186">
        <v>1013</v>
      </c>
      <c r="P186">
        <v>989</v>
      </c>
      <c r="Q186">
        <v>880</v>
      </c>
      <c r="R186">
        <v>911</v>
      </c>
      <c r="S186">
        <v>973</v>
      </c>
      <c r="T186">
        <v>1094</v>
      </c>
      <c r="U186">
        <v>980</v>
      </c>
      <c r="V186">
        <v>1135</v>
      </c>
      <c r="W186">
        <v>1032</v>
      </c>
      <c r="X186">
        <v>1010</v>
      </c>
      <c r="Y186">
        <v>982</v>
      </c>
      <c r="Z186">
        <v>892</v>
      </c>
      <c r="AA186">
        <v>958</v>
      </c>
      <c r="AB186">
        <v>1028</v>
      </c>
      <c r="AC186">
        <v>974</v>
      </c>
      <c r="AD186">
        <v>1009</v>
      </c>
      <c r="AE186">
        <v>946</v>
      </c>
      <c r="AF186">
        <v>1</v>
      </c>
      <c r="AG186">
        <v>4</v>
      </c>
      <c r="AH186">
        <v>0</v>
      </c>
      <c r="AI186">
        <v>2</v>
      </c>
      <c r="AJ186">
        <v>6</v>
      </c>
      <c r="AK186">
        <v>3</v>
      </c>
      <c r="AL186">
        <v>1</v>
      </c>
      <c r="AM186">
        <v>5</v>
      </c>
      <c r="AN186">
        <v>12</v>
      </c>
      <c r="AO186">
        <v>0</v>
      </c>
      <c r="AP186">
        <v>1135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4</v>
      </c>
      <c r="BA186">
        <v>1024</v>
      </c>
      <c r="BB186">
        <v>0</v>
      </c>
      <c r="BC186">
        <v>0</v>
      </c>
      <c r="BD186">
        <v>0</v>
      </c>
      <c r="BE186">
        <v>0</v>
      </c>
      <c r="BF186">
        <v>2</v>
      </c>
      <c r="BG186">
        <v>2</v>
      </c>
      <c r="BH186">
        <v>0</v>
      </c>
      <c r="BI186">
        <v>0</v>
      </c>
      <c r="BJ186">
        <v>1</v>
      </c>
      <c r="BK186">
        <v>3</v>
      </c>
      <c r="BL186">
        <v>935</v>
      </c>
      <c r="BM186">
        <v>0</v>
      </c>
      <c r="BN186">
        <v>46</v>
      </c>
      <c r="BO186">
        <v>0</v>
      </c>
      <c r="BP186">
        <v>5</v>
      </c>
      <c r="BQ186">
        <v>8</v>
      </c>
      <c r="BR186">
        <v>12</v>
      </c>
      <c r="BS186">
        <v>0</v>
      </c>
      <c r="BT186">
        <v>0</v>
      </c>
      <c r="BU186">
        <v>1</v>
      </c>
      <c r="BV186">
        <v>0</v>
      </c>
      <c r="BW186">
        <v>980</v>
      </c>
      <c r="BX186">
        <v>0</v>
      </c>
      <c r="BY186">
        <v>0</v>
      </c>
      <c r="BZ186">
        <v>0</v>
      </c>
      <c r="CA186">
        <v>0</v>
      </c>
      <c r="CB186">
        <v>1</v>
      </c>
      <c r="CC186">
        <v>1</v>
      </c>
      <c r="CD186">
        <v>0</v>
      </c>
      <c r="CE186">
        <v>1</v>
      </c>
      <c r="CF186">
        <v>0</v>
      </c>
      <c r="CG186">
        <v>0</v>
      </c>
      <c r="CH186">
        <v>887</v>
      </c>
      <c r="CI186">
        <v>1</v>
      </c>
      <c r="CJ186">
        <v>1</v>
      </c>
      <c r="CK186">
        <v>0</v>
      </c>
      <c r="CL186">
        <v>1</v>
      </c>
      <c r="CM186">
        <v>7</v>
      </c>
      <c r="CN186">
        <v>7</v>
      </c>
      <c r="CO186">
        <v>3</v>
      </c>
      <c r="CP186">
        <v>0</v>
      </c>
      <c r="CQ186">
        <v>23</v>
      </c>
      <c r="CR186">
        <v>39</v>
      </c>
      <c r="CS186">
        <v>876</v>
      </c>
      <c r="CT186">
        <v>0</v>
      </c>
      <c r="CU186">
        <v>3</v>
      </c>
      <c r="CV186">
        <v>0</v>
      </c>
      <c r="CW186">
        <v>2</v>
      </c>
      <c r="CX186">
        <v>13</v>
      </c>
      <c r="CY186">
        <v>38</v>
      </c>
      <c r="CZ186">
        <v>4</v>
      </c>
      <c r="DA186">
        <v>2</v>
      </c>
      <c r="DB186">
        <v>2</v>
      </c>
      <c r="DC186">
        <v>0</v>
      </c>
      <c r="DD186">
        <v>902</v>
      </c>
      <c r="DE186">
        <v>3</v>
      </c>
      <c r="DF186">
        <v>62</v>
      </c>
      <c r="DG186">
        <v>3</v>
      </c>
      <c r="DH186">
        <v>0</v>
      </c>
      <c r="DI186">
        <v>3</v>
      </c>
      <c r="DJ186">
        <v>1</v>
      </c>
      <c r="DK186">
        <v>1</v>
      </c>
      <c r="DL186">
        <v>6</v>
      </c>
      <c r="DM186">
        <v>0</v>
      </c>
      <c r="DN186">
        <v>0</v>
      </c>
      <c r="DO186">
        <v>952</v>
      </c>
      <c r="DP186">
        <v>8</v>
      </c>
      <c r="DQ186">
        <v>1</v>
      </c>
      <c r="DR186">
        <v>2</v>
      </c>
      <c r="DS186">
        <v>0</v>
      </c>
      <c r="DT186">
        <v>0</v>
      </c>
      <c r="DU186">
        <v>5</v>
      </c>
      <c r="DV186">
        <v>3</v>
      </c>
      <c r="DW186">
        <v>0</v>
      </c>
      <c r="DX186">
        <v>0</v>
      </c>
      <c r="DY186">
        <v>0</v>
      </c>
      <c r="DZ186">
        <v>998</v>
      </c>
      <c r="EA186">
        <v>0.96350000000000002</v>
      </c>
      <c r="EB186">
        <v>0.96473412829487104</v>
      </c>
      <c r="EC186">
        <v>0.96340024826850201</v>
      </c>
      <c r="ED186">
        <v>0.96293169652395305</v>
      </c>
      <c r="EE186">
        <f>SUM(Table1[[#This Row],[ratio_0]:[ratio_9]])</f>
        <v>640</v>
      </c>
      <c r="EF186" s="1">
        <f>(Table1[[#This Row],[predicted_0]]-Table1[[#This Row],[actual_0]])/Table1[[#This Row],[actual_0]]</f>
        <v>-2.0408163265306121E-2</v>
      </c>
      <c r="EG186" s="1">
        <f>(Table1[[#This Row],[predicted_1]]-Table1[[#This Row],[actual_1]])/Table1[[#This Row],[actual_1]]</f>
        <v>2.4669603524229075E-2</v>
      </c>
      <c r="EH186" s="1">
        <f>(Table1[[#This Row],[predicted_2]]-Table1[[#This Row],[actual_2]])/Table1[[#This Row],[actual_2]]</f>
        <v>4.3604651162790699E-2</v>
      </c>
      <c r="EI186" s="1">
        <f>(Table1[[#This Row],[predicted_3]]-Table1[[#This Row],[actual_3]])/Table1[[#This Row],[actual_3]]</f>
        <v>-6.9306930693069313E-2</v>
      </c>
      <c r="EJ186" s="1">
        <f>(Table1[[#This Row],[predicted_4]]-Table1[[#This Row],[actual_4]])/Table1[[#This Row],[actual_4]]</f>
        <v>3.1568228105906315E-2</v>
      </c>
      <c r="EK186" s="1">
        <f>(Table1[[#This Row],[predicted_5]]-Table1[[#This Row],[actual_5]])/Table1[[#This Row],[actual_5]]</f>
        <v>0.10874439461883408</v>
      </c>
      <c r="EL186" s="1">
        <f>(Table1[[#This Row],[predicted_6]]-Table1[[#This Row],[actual_6]])/Table1[[#This Row],[actual_6]]</f>
        <v>-8.1419624217118999E-2</v>
      </c>
      <c r="EM186" s="1">
        <f>(Table1[[#This Row],[predicted_7]]-Table1[[#This Row],[actual_7]])/Table1[[#This Row],[actual_7]]</f>
        <v>-0.11381322957198443</v>
      </c>
      <c r="EN186" s="1">
        <f>(Table1[[#This Row],[predicted_8]]-Table1[[#This Row],[actual_8]])/Table1[[#This Row],[actual_8]]</f>
        <v>-1.026694045174538E-3</v>
      </c>
      <c r="EO186" s="1">
        <f>(Table1[[#This Row],[predicted_9]]-Table1[[#This Row],[actual_9]])/Table1[[#This Row],[actual_9]]</f>
        <v>8.424182358771061E-2</v>
      </c>
      <c r="EP186" s="1">
        <f>1+(Table1[[#This Row],[error_ratio_0]]-EF$2)</f>
        <v>0.97755102040816322</v>
      </c>
      <c r="EQ186" s="1">
        <f>1+(Table1[[#This Row],[error_ratio_1]]-EG$2)</f>
        <v>1.0229074889867842</v>
      </c>
      <c r="ER186" s="1">
        <f>1+(Table1[[#This Row],[error_ratio_2]]-EH$2)</f>
        <v>1.0484496124031009</v>
      </c>
      <c r="ES186" s="1">
        <f>1+(Table1[[#This Row],[error_ratio_3]]-EI$2)</f>
        <v>0.92079207920792083</v>
      </c>
      <c r="ET186" s="1">
        <f>1+(Table1[[#This Row],[error_ratio_4]]-EJ$2)</f>
        <v>1.030549898167006</v>
      </c>
      <c r="EU186" s="1">
        <f>1+(Table1[[#This Row],[error_ratio_5]]-EK$2)</f>
        <v>1.1076233183856503</v>
      </c>
      <c r="EV186" s="1">
        <f>1+(Table1[[#This Row],[error_ratio_6]]-EL$2)</f>
        <v>0.92484342379958251</v>
      </c>
      <c r="EW186" s="1">
        <f>1+(Table1[[#This Row],[error_ratio_7]]-EM$2)</f>
        <v>0.88424124513618674</v>
      </c>
      <c r="EX186" s="1">
        <f>1+(Table1[[#This Row],[error_ratio_8]]-EN$2)</f>
        <v>1.0020533880903491</v>
      </c>
      <c r="EY186" s="1">
        <f>1+(Table1[[#This Row],[error_ratio_9]]-EO$2)</f>
        <v>1.0882061446977205</v>
      </c>
    </row>
    <row r="187" spans="1:155" x14ac:dyDescent="0.75">
      <c r="A187">
        <v>100</v>
      </c>
      <c r="B187">
        <v>10</v>
      </c>
      <c r="C187">
        <v>100</v>
      </c>
      <c r="D187">
        <v>10</v>
      </c>
      <c r="E187">
        <v>100</v>
      </c>
      <c r="F187">
        <v>100</v>
      </c>
      <c r="G187">
        <v>10</v>
      </c>
      <c r="H187">
        <v>10</v>
      </c>
      <c r="I187">
        <v>100</v>
      </c>
      <c r="J187">
        <v>100</v>
      </c>
      <c r="K187">
        <v>1012</v>
      </c>
      <c r="L187">
        <v>1133</v>
      </c>
      <c r="M187">
        <v>1089</v>
      </c>
      <c r="N187">
        <v>933</v>
      </c>
      <c r="O187">
        <v>999</v>
      </c>
      <c r="P187">
        <v>935</v>
      </c>
      <c r="Q187">
        <v>892</v>
      </c>
      <c r="R187">
        <v>964</v>
      </c>
      <c r="S187">
        <v>1004</v>
      </c>
      <c r="T187">
        <v>1039</v>
      </c>
      <c r="U187">
        <v>980</v>
      </c>
      <c r="V187">
        <v>1135</v>
      </c>
      <c r="W187">
        <v>1032</v>
      </c>
      <c r="X187">
        <v>1010</v>
      </c>
      <c r="Y187">
        <v>982</v>
      </c>
      <c r="Z187">
        <v>892</v>
      </c>
      <c r="AA187">
        <v>958</v>
      </c>
      <c r="AB187">
        <v>1028</v>
      </c>
      <c r="AC187">
        <v>974</v>
      </c>
      <c r="AD187">
        <v>1009</v>
      </c>
      <c r="AE187">
        <v>977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1</v>
      </c>
      <c r="AM187">
        <v>2</v>
      </c>
      <c r="AN187">
        <v>0</v>
      </c>
      <c r="AO187">
        <v>0</v>
      </c>
      <c r="AP187">
        <v>1125</v>
      </c>
      <c r="AQ187">
        <v>5</v>
      </c>
      <c r="AR187">
        <v>1</v>
      </c>
      <c r="AS187">
        <v>0</v>
      </c>
      <c r="AT187">
        <v>2</v>
      </c>
      <c r="AU187">
        <v>0</v>
      </c>
      <c r="AV187">
        <v>1</v>
      </c>
      <c r="AW187">
        <v>1</v>
      </c>
      <c r="AX187">
        <v>0</v>
      </c>
      <c r="AY187">
        <v>1</v>
      </c>
      <c r="AZ187">
        <v>0</v>
      </c>
      <c r="BA187">
        <v>1026</v>
      </c>
      <c r="BB187">
        <v>0</v>
      </c>
      <c r="BC187">
        <v>0</v>
      </c>
      <c r="BD187">
        <v>0</v>
      </c>
      <c r="BE187">
        <v>0</v>
      </c>
      <c r="BF187">
        <v>1</v>
      </c>
      <c r="BG187">
        <v>4</v>
      </c>
      <c r="BH187">
        <v>0</v>
      </c>
      <c r="BI187">
        <v>2</v>
      </c>
      <c r="BJ187">
        <v>0</v>
      </c>
      <c r="BK187">
        <v>11</v>
      </c>
      <c r="BL187">
        <v>927</v>
      </c>
      <c r="BM187">
        <v>0</v>
      </c>
      <c r="BN187">
        <v>23</v>
      </c>
      <c r="BO187">
        <v>0</v>
      </c>
      <c r="BP187">
        <v>3</v>
      </c>
      <c r="BQ187">
        <v>29</v>
      </c>
      <c r="BR187">
        <v>15</v>
      </c>
      <c r="BS187">
        <v>1</v>
      </c>
      <c r="BT187">
        <v>0</v>
      </c>
      <c r="BU187">
        <v>3</v>
      </c>
      <c r="BV187">
        <v>0</v>
      </c>
      <c r="BW187">
        <v>971</v>
      </c>
      <c r="BX187">
        <v>0</v>
      </c>
      <c r="BY187">
        <v>2</v>
      </c>
      <c r="BZ187">
        <v>0</v>
      </c>
      <c r="CA187">
        <v>0</v>
      </c>
      <c r="CB187">
        <v>5</v>
      </c>
      <c r="CC187">
        <v>1</v>
      </c>
      <c r="CD187">
        <v>0</v>
      </c>
      <c r="CE187">
        <v>0</v>
      </c>
      <c r="CF187">
        <v>2</v>
      </c>
      <c r="CG187">
        <v>0</v>
      </c>
      <c r="CH187">
        <v>881</v>
      </c>
      <c r="CI187">
        <v>1</v>
      </c>
      <c r="CJ187">
        <v>1</v>
      </c>
      <c r="CK187">
        <v>1</v>
      </c>
      <c r="CL187">
        <v>5</v>
      </c>
      <c r="CM187">
        <v>20</v>
      </c>
      <c r="CN187">
        <v>3</v>
      </c>
      <c r="CO187">
        <v>1</v>
      </c>
      <c r="CP187">
        <v>0</v>
      </c>
      <c r="CQ187">
        <v>10</v>
      </c>
      <c r="CR187">
        <v>27</v>
      </c>
      <c r="CS187">
        <v>889</v>
      </c>
      <c r="CT187">
        <v>0</v>
      </c>
      <c r="CU187">
        <v>8</v>
      </c>
      <c r="CV187">
        <v>0</v>
      </c>
      <c r="CW187">
        <v>1</v>
      </c>
      <c r="CX187">
        <v>4</v>
      </c>
      <c r="CY187">
        <v>38</v>
      </c>
      <c r="CZ187">
        <v>1</v>
      </c>
      <c r="DA187">
        <v>6</v>
      </c>
      <c r="DB187">
        <v>0</v>
      </c>
      <c r="DC187">
        <v>0</v>
      </c>
      <c r="DD187">
        <v>952</v>
      </c>
      <c r="DE187">
        <v>4</v>
      </c>
      <c r="DF187">
        <v>22</v>
      </c>
      <c r="DG187">
        <v>7</v>
      </c>
      <c r="DH187">
        <v>0</v>
      </c>
      <c r="DI187">
        <v>3</v>
      </c>
      <c r="DJ187">
        <v>0</v>
      </c>
      <c r="DK187">
        <v>1</v>
      </c>
      <c r="DL187">
        <v>2</v>
      </c>
      <c r="DM187">
        <v>0</v>
      </c>
      <c r="DN187">
        <v>3</v>
      </c>
      <c r="DO187">
        <v>955</v>
      </c>
      <c r="DP187">
        <v>3</v>
      </c>
      <c r="DQ187">
        <v>2</v>
      </c>
      <c r="DR187">
        <v>1</v>
      </c>
      <c r="DS187">
        <v>2</v>
      </c>
      <c r="DT187">
        <v>2</v>
      </c>
      <c r="DU187">
        <v>11</v>
      </c>
      <c r="DV187">
        <v>0</v>
      </c>
      <c r="DW187">
        <v>0</v>
      </c>
      <c r="DX187">
        <v>2</v>
      </c>
      <c r="DY187">
        <v>0</v>
      </c>
      <c r="DZ187">
        <v>989</v>
      </c>
      <c r="EA187">
        <v>0.96919999999999995</v>
      </c>
      <c r="EB187">
        <v>0.96955506352019205</v>
      </c>
      <c r="EC187">
        <v>0.96913187579299698</v>
      </c>
      <c r="ED187">
        <v>0.96877319576220799</v>
      </c>
      <c r="EE187">
        <f>SUM(Table1[[#This Row],[ratio_0]:[ratio_9]])</f>
        <v>640</v>
      </c>
      <c r="EF187" s="1">
        <f>(Table1[[#This Row],[predicted_0]]-Table1[[#This Row],[actual_0]])/Table1[[#This Row],[actual_0]]</f>
        <v>3.2653061224489799E-2</v>
      </c>
      <c r="EG187" s="1">
        <f>(Table1[[#This Row],[predicted_1]]-Table1[[#This Row],[actual_1]])/Table1[[#This Row],[actual_1]]</f>
        <v>-1.762114537444934E-3</v>
      </c>
      <c r="EH187" s="1">
        <f>(Table1[[#This Row],[predicted_2]]-Table1[[#This Row],[actual_2]])/Table1[[#This Row],[actual_2]]</f>
        <v>5.5232558139534885E-2</v>
      </c>
      <c r="EI187" s="1">
        <f>(Table1[[#This Row],[predicted_3]]-Table1[[#This Row],[actual_3]])/Table1[[#This Row],[actual_3]]</f>
        <v>-7.6237623762376236E-2</v>
      </c>
      <c r="EJ187" s="1">
        <f>(Table1[[#This Row],[predicted_4]]-Table1[[#This Row],[actual_4]])/Table1[[#This Row],[actual_4]]</f>
        <v>1.7311608961303463E-2</v>
      </c>
      <c r="EK187" s="1">
        <f>(Table1[[#This Row],[predicted_5]]-Table1[[#This Row],[actual_5]])/Table1[[#This Row],[actual_5]]</f>
        <v>4.820627802690583E-2</v>
      </c>
      <c r="EL187" s="1">
        <f>(Table1[[#This Row],[predicted_6]]-Table1[[#This Row],[actual_6]])/Table1[[#This Row],[actual_6]]</f>
        <v>-6.889352818371608E-2</v>
      </c>
      <c r="EM187" s="1">
        <f>(Table1[[#This Row],[predicted_7]]-Table1[[#This Row],[actual_7]])/Table1[[#This Row],[actual_7]]</f>
        <v>-6.2256809338521402E-2</v>
      </c>
      <c r="EN187" s="1">
        <f>(Table1[[#This Row],[predicted_8]]-Table1[[#This Row],[actual_8]])/Table1[[#This Row],[actual_8]]</f>
        <v>3.0800821355236138E-2</v>
      </c>
      <c r="EO187" s="1">
        <f>(Table1[[#This Row],[predicted_9]]-Table1[[#This Row],[actual_9]])/Table1[[#This Row],[actual_9]]</f>
        <v>2.973240832507433E-2</v>
      </c>
      <c r="EP187" s="1">
        <f>1+(Table1[[#This Row],[error_ratio_0]]-EF$2)</f>
        <v>1.0306122448979591</v>
      </c>
      <c r="EQ187" s="1">
        <f>1+(Table1[[#This Row],[error_ratio_1]]-EG$2)</f>
        <v>0.99647577092511008</v>
      </c>
      <c r="ER187" s="1">
        <f>1+(Table1[[#This Row],[error_ratio_2]]-EH$2)</f>
        <v>1.0600775193798451</v>
      </c>
      <c r="ES187" s="1">
        <f>1+(Table1[[#This Row],[error_ratio_3]]-EI$2)</f>
        <v>0.9138613861386139</v>
      </c>
      <c r="ET187" s="1">
        <f>1+(Table1[[#This Row],[error_ratio_4]]-EJ$2)</f>
        <v>1.0162932790224033</v>
      </c>
      <c r="EU187" s="1">
        <f>1+(Table1[[#This Row],[error_ratio_5]]-EK$2)</f>
        <v>1.047085201793722</v>
      </c>
      <c r="EV187" s="1">
        <f>1+(Table1[[#This Row],[error_ratio_6]]-EL$2)</f>
        <v>0.93736951983298544</v>
      </c>
      <c r="EW187" s="1">
        <f>1+(Table1[[#This Row],[error_ratio_7]]-EM$2)</f>
        <v>0.93579766536964981</v>
      </c>
      <c r="EX187" s="1">
        <f>1+(Table1[[#This Row],[error_ratio_8]]-EN$2)</f>
        <v>1.0338809034907597</v>
      </c>
      <c r="EY187" s="1">
        <f>1+(Table1[[#This Row],[error_ratio_9]]-EO$2)</f>
        <v>1.0336967294350843</v>
      </c>
    </row>
    <row r="188" spans="1:155" x14ac:dyDescent="0.75">
      <c r="A188">
        <v>10</v>
      </c>
      <c r="B188">
        <v>10</v>
      </c>
      <c r="C188">
        <v>100</v>
      </c>
      <c r="D188">
        <v>10</v>
      </c>
      <c r="E188">
        <v>100</v>
      </c>
      <c r="F188">
        <v>100</v>
      </c>
      <c r="G188">
        <v>10</v>
      </c>
      <c r="H188">
        <v>10</v>
      </c>
      <c r="I188">
        <v>100</v>
      </c>
      <c r="J188">
        <v>100</v>
      </c>
      <c r="K188">
        <v>950</v>
      </c>
      <c r="L188">
        <v>1128</v>
      </c>
      <c r="M188">
        <v>1121</v>
      </c>
      <c r="N188">
        <v>946</v>
      </c>
      <c r="O188">
        <v>1030</v>
      </c>
      <c r="P188">
        <v>949</v>
      </c>
      <c r="Q188">
        <v>899</v>
      </c>
      <c r="R188">
        <v>945</v>
      </c>
      <c r="S188">
        <v>997</v>
      </c>
      <c r="T188">
        <v>1035</v>
      </c>
      <c r="U188">
        <v>980</v>
      </c>
      <c r="V188">
        <v>1135</v>
      </c>
      <c r="W188">
        <v>1032</v>
      </c>
      <c r="X188">
        <v>1010</v>
      </c>
      <c r="Y188">
        <v>982</v>
      </c>
      <c r="Z188">
        <v>892</v>
      </c>
      <c r="AA188">
        <v>958</v>
      </c>
      <c r="AB188">
        <v>1028</v>
      </c>
      <c r="AC188">
        <v>974</v>
      </c>
      <c r="AD188">
        <v>1009</v>
      </c>
      <c r="AE188">
        <v>937</v>
      </c>
      <c r="AF188">
        <v>0</v>
      </c>
      <c r="AG188">
        <v>13</v>
      </c>
      <c r="AH188">
        <v>0</v>
      </c>
      <c r="AI188">
        <v>2</v>
      </c>
      <c r="AJ188">
        <v>12</v>
      </c>
      <c r="AK188">
        <v>1</v>
      </c>
      <c r="AL188">
        <v>0</v>
      </c>
      <c r="AM188">
        <v>12</v>
      </c>
      <c r="AN188">
        <v>3</v>
      </c>
      <c r="AO188">
        <v>0</v>
      </c>
      <c r="AP188">
        <v>1118</v>
      </c>
      <c r="AQ188">
        <v>9</v>
      </c>
      <c r="AR188">
        <v>0</v>
      </c>
      <c r="AS188">
        <v>5</v>
      </c>
      <c r="AT188">
        <v>1</v>
      </c>
      <c r="AU188">
        <v>1</v>
      </c>
      <c r="AV188">
        <v>0</v>
      </c>
      <c r="AW188">
        <v>1</v>
      </c>
      <c r="AX188">
        <v>0</v>
      </c>
      <c r="AY188">
        <v>1</v>
      </c>
      <c r="AZ188">
        <v>1</v>
      </c>
      <c r="BA188">
        <v>1027</v>
      </c>
      <c r="BB188">
        <v>0</v>
      </c>
      <c r="BC188">
        <v>1</v>
      </c>
      <c r="BD188">
        <v>0</v>
      </c>
      <c r="BE188">
        <v>0</v>
      </c>
      <c r="BF188">
        <v>1</v>
      </c>
      <c r="BG188">
        <v>1</v>
      </c>
      <c r="BH188">
        <v>0</v>
      </c>
      <c r="BI188">
        <v>0</v>
      </c>
      <c r="BJ188">
        <v>0</v>
      </c>
      <c r="BK188">
        <v>21</v>
      </c>
      <c r="BL188">
        <v>942</v>
      </c>
      <c r="BM188">
        <v>0</v>
      </c>
      <c r="BN188">
        <v>24</v>
      </c>
      <c r="BO188">
        <v>0</v>
      </c>
      <c r="BP188">
        <v>5</v>
      </c>
      <c r="BQ188">
        <v>6</v>
      </c>
      <c r="BR188">
        <v>12</v>
      </c>
      <c r="BS188">
        <v>0</v>
      </c>
      <c r="BT188">
        <v>0</v>
      </c>
      <c r="BU188">
        <v>0</v>
      </c>
      <c r="BV188">
        <v>0</v>
      </c>
      <c r="BW188">
        <v>978</v>
      </c>
      <c r="BX188">
        <v>0</v>
      </c>
      <c r="BY188">
        <v>3</v>
      </c>
      <c r="BZ188">
        <v>0</v>
      </c>
      <c r="CA188">
        <v>0</v>
      </c>
      <c r="CB188">
        <v>1</v>
      </c>
      <c r="CC188">
        <v>0</v>
      </c>
      <c r="CD188">
        <v>0</v>
      </c>
      <c r="CE188">
        <v>1</v>
      </c>
      <c r="CF188">
        <v>2</v>
      </c>
      <c r="CG188">
        <v>0</v>
      </c>
      <c r="CH188">
        <v>889</v>
      </c>
      <c r="CI188">
        <v>0</v>
      </c>
      <c r="CJ188">
        <v>0</v>
      </c>
      <c r="CK188">
        <v>0</v>
      </c>
      <c r="CL188">
        <v>0</v>
      </c>
      <c r="CM188">
        <v>8</v>
      </c>
      <c r="CN188">
        <v>4</v>
      </c>
      <c r="CO188">
        <v>3</v>
      </c>
      <c r="CP188">
        <v>0</v>
      </c>
      <c r="CQ188">
        <v>25</v>
      </c>
      <c r="CR188">
        <v>15</v>
      </c>
      <c r="CS188">
        <v>894</v>
      </c>
      <c r="CT188">
        <v>0</v>
      </c>
      <c r="CU188">
        <v>9</v>
      </c>
      <c r="CV188">
        <v>0</v>
      </c>
      <c r="CW188">
        <v>2</v>
      </c>
      <c r="CX188">
        <v>4</v>
      </c>
      <c r="CY188">
        <v>38</v>
      </c>
      <c r="CZ188">
        <v>2</v>
      </c>
      <c r="DA188">
        <v>6</v>
      </c>
      <c r="DB188">
        <v>4</v>
      </c>
      <c r="DC188">
        <v>0</v>
      </c>
      <c r="DD188">
        <v>937</v>
      </c>
      <c r="DE188">
        <v>5</v>
      </c>
      <c r="DF188">
        <v>30</v>
      </c>
      <c r="DG188">
        <v>1</v>
      </c>
      <c r="DH188">
        <v>0</v>
      </c>
      <c r="DI188">
        <v>6</v>
      </c>
      <c r="DJ188">
        <v>0</v>
      </c>
      <c r="DK188">
        <v>2</v>
      </c>
      <c r="DL188">
        <v>1</v>
      </c>
      <c r="DM188">
        <v>0</v>
      </c>
      <c r="DN188">
        <v>1</v>
      </c>
      <c r="DO188">
        <v>961</v>
      </c>
      <c r="DP188">
        <v>2</v>
      </c>
      <c r="DQ188">
        <v>1</v>
      </c>
      <c r="DR188">
        <v>1</v>
      </c>
      <c r="DS188">
        <v>3</v>
      </c>
      <c r="DT188">
        <v>0</v>
      </c>
      <c r="DU188">
        <v>11</v>
      </c>
      <c r="DV188">
        <v>3</v>
      </c>
      <c r="DW188">
        <v>0</v>
      </c>
      <c r="DX188">
        <v>1</v>
      </c>
      <c r="DY188">
        <v>2</v>
      </c>
      <c r="DZ188">
        <v>987</v>
      </c>
      <c r="EA188">
        <v>0.96699999999999997</v>
      </c>
      <c r="EB188">
        <v>0.96791461454098304</v>
      </c>
      <c r="EC188">
        <v>0.96710581980605603</v>
      </c>
      <c r="ED188">
        <v>0.96677665390833101</v>
      </c>
      <c r="EE188">
        <f>SUM(Table1[[#This Row],[ratio_0]:[ratio_9]])</f>
        <v>550</v>
      </c>
      <c r="EF188" s="1">
        <f>(Table1[[#This Row],[predicted_0]]-Table1[[#This Row],[actual_0]])/Table1[[#This Row],[actual_0]]</f>
        <v>-3.0612244897959183E-2</v>
      </c>
      <c r="EG188" s="1">
        <f>(Table1[[#This Row],[predicted_1]]-Table1[[#This Row],[actual_1]])/Table1[[#This Row],[actual_1]]</f>
        <v>-6.1674008810572688E-3</v>
      </c>
      <c r="EH188" s="1">
        <f>(Table1[[#This Row],[predicted_2]]-Table1[[#This Row],[actual_2]])/Table1[[#This Row],[actual_2]]</f>
        <v>8.624031007751938E-2</v>
      </c>
      <c r="EI188" s="1">
        <f>(Table1[[#This Row],[predicted_3]]-Table1[[#This Row],[actual_3]])/Table1[[#This Row],[actual_3]]</f>
        <v>-6.3366336633663367E-2</v>
      </c>
      <c r="EJ188" s="1">
        <f>(Table1[[#This Row],[predicted_4]]-Table1[[#This Row],[actual_4]])/Table1[[#This Row],[actual_4]]</f>
        <v>4.8879837067209775E-2</v>
      </c>
      <c r="EK188" s="1">
        <f>(Table1[[#This Row],[predicted_5]]-Table1[[#This Row],[actual_5]])/Table1[[#This Row],[actual_5]]</f>
        <v>6.3901345291479825E-2</v>
      </c>
      <c r="EL188" s="1">
        <f>(Table1[[#This Row],[predicted_6]]-Table1[[#This Row],[actual_6]])/Table1[[#This Row],[actual_6]]</f>
        <v>-6.1586638830897704E-2</v>
      </c>
      <c r="EM188" s="1">
        <f>(Table1[[#This Row],[predicted_7]]-Table1[[#This Row],[actual_7]])/Table1[[#This Row],[actual_7]]</f>
        <v>-8.0739299610894946E-2</v>
      </c>
      <c r="EN188" s="1">
        <f>(Table1[[#This Row],[predicted_8]]-Table1[[#This Row],[actual_8]])/Table1[[#This Row],[actual_8]]</f>
        <v>2.3613963039014373E-2</v>
      </c>
      <c r="EO188" s="1">
        <f>(Table1[[#This Row],[predicted_9]]-Table1[[#This Row],[actual_9]])/Table1[[#This Row],[actual_9]]</f>
        <v>2.576808721506442E-2</v>
      </c>
      <c r="EP188" s="1">
        <f>1+(Table1[[#This Row],[error_ratio_0]]-EF$2)</f>
        <v>0.96734693877551026</v>
      </c>
      <c r="EQ188" s="1">
        <f>1+(Table1[[#This Row],[error_ratio_1]]-EG$2)</f>
        <v>0.99207048458149782</v>
      </c>
      <c r="ER188" s="1">
        <f>1+(Table1[[#This Row],[error_ratio_2]]-EH$2)</f>
        <v>1.0910852713178294</v>
      </c>
      <c r="ES188" s="1">
        <f>1+(Table1[[#This Row],[error_ratio_3]]-EI$2)</f>
        <v>0.92673267326732678</v>
      </c>
      <c r="ET188" s="1">
        <f>1+(Table1[[#This Row],[error_ratio_4]]-EJ$2)</f>
        <v>1.0478615071283095</v>
      </c>
      <c r="EU188" s="1">
        <f>1+(Table1[[#This Row],[error_ratio_5]]-EK$2)</f>
        <v>1.0627802690582959</v>
      </c>
      <c r="EV188" s="1">
        <f>1+(Table1[[#This Row],[error_ratio_6]]-EL$2)</f>
        <v>0.94467640918580376</v>
      </c>
      <c r="EW188" s="1">
        <f>1+(Table1[[#This Row],[error_ratio_7]]-EM$2)</f>
        <v>0.91731517509727623</v>
      </c>
      <c r="EX188" s="1">
        <f>1+(Table1[[#This Row],[error_ratio_8]]-EN$2)</f>
        <v>1.0266940451745379</v>
      </c>
      <c r="EY188" s="1">
        <f>1+(Table1[[#This Row],[error_ratio_9]]-EO$2)</f>
        <v>1.0297324083250743</v>
      </c>
    </row>
    <row r="189" spans="1:155" x14ac:dyDescent="0.75">
      <c r="A189">
        <v>100</v>
      </c>
      <c r="B189">
        <v>100</v>
      </c>
      <c r="C189">
        <v>10</v>
      </c>
      <c r="D189">
        <v>10</v>
      </c>
      <c r="E189">
        <v>100</v>
      </c>
      <c r="F189">
        <v>100</v>
      </c>
      <c r="G189">
        <v>10</v>
      </c>
      <c r="H189">
        <v>10</v>
      </c>
      <c r="I189">
        <v>100</v>
      </c>
      <c r="J189">
        <v>100</v>
      </c>
      <c r="K189">
        <v>993</v>
      </c>
      <c r="L189">
        <v>1153</v>
      </c>
      <c r="M189">
        <v>971</v>
      </c>
      <c r="N189">
        <v>948</v>
      </c>
      <c r="O189">
        <v>1030</v>
      </c>
      <c r="P189">
        <v>918</v>
      </c>
      <c r="Q189">
        <v>905</v>
      </c>
      <c r="R189">
        <v>1006</v>
      </c>
      <c r="S189">
        <v>1009</v>
      </c>
      <c r="T189">
        <v>1067</v>
      </c>
      <c r="U189">
        <v>980</v>
      </c>
      <c r="V189">
        <v>1135</v>
      </c>
      <c r="W189">
        <v>1032</v>
      </c>
      <c r="X189">
        <v>1010</v>
      </c>
      <c r="Y189">
        <v>982</v>
      </c>
      <c r="Z189">
        <v>892</v>
      </c>
      <c r="AA189">
        <v>958</v>
      </c>
      <c r="AB189">
        <v>1028</v>
      </c>
      <c r="AC189">
        <v>974</v>
      </c>
      <c r="AD189">
        <v>1009</v>
      </c>
      <c r="AE189">
        <v>972</v>
      </c>
      <c r="AF189">
        <v>0</v>
      </c>
      <c r="AG189">
        <v>0</v>
      </c>
      <c r="AH189">
        <v>0</v>
      </c>
      <c r="AI189">
        <v>1</v>
      </c>
      <c r="AJ189">
        <v>2</v>
      </c>
      <c r="AK189">
        <v>0</v>
      </c>
      <c r="AL189">
        <v>0</v>
      </c>
      <c r="AM189">
        <v>3</v>
      </c>
      <c r="AN189">
        <v>2</v>
      </c>
      <c r="AO189">
        <v>0</v>
      </c>
      <c r="AP189">
        <v>1133</v>
      </c>
      <c r="AQ189">
        <v>0</v>
      </c>
      <c r="AR189">
        <v>1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1</v>
      </c>
      <c r="AY189">
        <v>4</v>
      </c>
      <c r="AZ189">
        <v>7</v>
      </c>
      <c r="BA189">
        <v>968</v>
      </c>
      <c r="BB189">
        <v>0</v>
      </c>
      <c r="BC189">
        <v>13</v>
      </c>
      <c r="BD189">
        <v>0</v>
      </c>
      <c r="BE189">
        <v>0</v>
      </c>
      <c r="BF189">
        <v>25</v>
      </c>
      <c r="BG189">
        <v>13</v>
      </c>
      <c r="BH189">
        <v>2</v>
      </c>
      <c r="BI189">
        <v>1</v>
      </c>
      <c r="BJ189">
        <v>0</v>
      </c>
      <c r="BK189">
        <v>1</v>
      </c>
      <c r="BL189">
        <v>943</v>
      </c>
      <c r="BM189">
        <v>2</v>
      </c>
      <c r="BN189">
        <v>27</v>
      </c>
      <c r="BO189">
        <v>0</v>
      </c>
      <c r="BP189">
        <v>8</v>
      </c>
      <c r="BQ189">
        <v>17</v>
      </c>
      <c r="BR189">
        <v>11</v>
      </c>
      <c r="BS189">
        <v>0</v>
      </c>
      <c r="BT189">
        <v>0</v>
      </c>
      <c r="BU189">
        <v>0</v>
      </c>
      <c r="BV189">
        <v>0</v>
      </c>
      <c r="BW189">
        <v>978</v>
      </c>
      <c r="BX189">
        <v>0</v>
      </c>
      <c r="BY189">
        <v>0</v>
      </c>
      <c r="BZ189">
        <v>0</v>
      </c>
      <c r="CA189">
        <v>0</v>
      </c>
      <c r="CB189">
        <v>4</v>
      </c>
      <c r="CC189">
        <v>2</v>
      </c>
      <c r="CD189">
        <v>0</v>
      </c>
      <c r="CE189">
        <v>0</v>
      </c>
      <c r="CF189">
        <v>2</v>
      </c>
      <c r="CG189">
        <v>0</v>
      </c>
      <c r="CH189">
        <v>879</v>
      </c>
      <c r="CI189">
        <v>1</v>
      </c>
      <c r="CJ189">
        <v>0</v>
      </c>
      <c r="CK189">
        <v>3</v>
      </c>
      <c r="CL189">
        <v>5</v>
      </c>
      <c r="CM189">
        <v>12</v>
      </c>
      <c r="CN189">
        <v>5</v>
      </c>
      <c r="CO189">
        <v>0</v>
      </c>
      <c r="CP189">
        <v>0</v>
      </c>
      <c r="CQ189">
        <v>16</v>
      </c>
      <c r="CR189">
        <v>7</v>
      </c>
      <c r="CS189">
        <v>904</v>
      </c>
      <c r="CT189">
        <v>0</v>
      </c>
      <c r="CU189">
        <v>14</v>
      </c>
      <c r="CV189">
        <v>0</v>
      </c>
      <c r="CW189">
        <v>2</v>
      </c>
      <c r="CX189">
        <v>8</v>
      </c>
      <c r="CY189">
        <v>1</v>
      </c>
      <c r="CZ189">
        <v>0</v>
      </c>
      <c r="DA189">
        <v>8</v>
      </c>
      <c r="DB189">
        <v>1</v>
      </c>
      <c r="DC189">
        <v>0</v>
      </c>
      <c r="DD189">
        <v>968</v>
      </c>
      <c r="DE189">
        <v>1</v>
      </c>
      <c r="DF189">
        <v>39</v>
      </c>
      <c r="DG189">
        <v>0</v>
      </c>
      <c r="DH189">
        <v>0</v>
      </c>
      <c r="DI189">
        <v>1</v>
      </c>
      <c r="DJ189">
        <v>1</v>
      </c>
      <c r="DK189">
        <v>5</v>
      </c>
      <c r="DL189">
        <v>1</v>
      </c>
      <c r="DM189">
        <v>0</v>
      </c>
      <c r="DN189">
        <v>4</v>
      </c>
      <c r="DO189">
        <v>957</v>
      </c>
      <c r="DP189">
        <v>5</v>
      </c>
      <c r="DQ189">
        <v>0</v>
      </c>
      <c r="DR189">
        <v>0</v>
      </c>
      <c r="DS189">
        <v>0</v>
      </c>
      <c r="DT189">
        <v>1</v>
      </c>
      <c r="DU189">
        <v>7</v>
      </c>
      <c r="DV189">
        <v>1</v>
      </c>
      <c r="DW189">
        <v>0</v>
      </c>
      <c r="DX189">
        <v>1</v>
      </c>
      <c r="DY189">
        <v>1</v>
      </c>
      <c r="DZ189">
        <v>998</v>
      </c>
      <c r="EA189">
        <v>0.97</v>
      </c>
      <c r="EB189">
        <v>0.97050911548757501</v>
      </c>
      <c r="EC189">
        <v>0.96999862991044306</v>
      </c>
      <c r="ED189">
        <v>0.96978672513781194</v>
      </c>
      <c r="EE189">
        <f>SUM(Table1[[#This Row],[ratio_0]:[ratio_9]])</f>
        <v>640</v>
      </c>
      <c r="EF189" s="1">
        <f>(Table1[[#This Row],[predicted_0]]-Table1[[#This Row],[actual_0]])/Table1[[#This Row],[actual_0]]</f>
        <v>1.3265306122448979E-2</v>
      </c>
      <c r="EG189" s="1">
        <f>(Table1[[#This Row],[predicted_1]]-Table1[[#This Row],[actual_1]])/Table1[[#This Row],[actual_1]]</f>
        <v>1.5859030837004406E-2</v>
      </c>
      <c r="EH189" s="1">
        <f>(Table1[[#This Row],[predicted_2]]-Table1[[#This Row],[actual_2]])/Table1[[#This Row],[actual_2]]</f>
        <v>-5.9108527131782947E-2</v>
      </c>
      <c r="EI189" s="1">
        <f>(Table1[[#This Row],[predicted_3]]-Table1[[#This Row],[actual_3]])/Table1[[#This Row],[actual_3]]</f>
        <v>-6.1386138613861385E-2</v>
      </c>
      <c r="EJ189" s="1">
        <f>(Table1[[#This Row],[predicted_4]]-Table1[[#This Row],[actual_4]])/Table1[[#This Row],[actual_4]]</f>
        <v>4.8879837067209775E-2</v>
      </c>
      <c r="EK189" s="1">
        <f>(Table1[[#This Row],[predicted_5]]-Table1[[#This Row],[actual_5]])/Table1[[#This Row],[actual_5]]</f>
        <v>2.914798206278027E-2</v>
      </c>
      <c r="EL189" s="1">
        <f>(Table1[[#This Row],[predicted_6]]-Table1[[#This Row],[actual_6]])/Table1[[#This Row],[actual_6]]</f>
        <v>-5.5323590814196244E-2</v>
      </c>
      <c r="EM189" s="1">
        <f>(Table1[[#This Row],[predicted_7]]-Table1[[#This Row],[actual_7]])/Table1[[#This Row],[actual_7]]</f>
        <v>-2.1400778210116732E-2</v>
      </c>
      <c r="EN189" s="1">
        <f>(Table1[[#This Row],[predicted_8]]-Table1[[#This Row],[actual_8]])/Table1[[#This Row],[actual_8]]</f>
        <v>3.5934291581108828E-2</v>
      </c>
      <c r="EO189" s="1">
        <f>(Table1[[#This Row],[predicted_9]]-Table1[[#This Row],[actual_9]])/Table1[[#This Row],[actual_9]]</f>
        <v>5.7482656095143705E-2</v>
      </c>
      <c r="EP189" s="1">
        <f>1+(Table1[[#This Row],[error_ratio_0]]-EF$2)</f>
        <v>1.0112244897959184</v>
      </c>
      <c r="EQ189" s="1">
        <f>1+(Table1[[#This Row],[error_ratio_1]]-EG$2)</f>
        <v>1.0140969162995594</v>
      </c>
      <c r="ER189" s="1">
        <f>1+(Table1[[#This Row],[error_ratio_2]]-EH$2)</f>
        <v>0.94573643410852715</v>
      </c>
      <c r="ES189" s="1">
        <f>1+(Table1[[#This Row],[error_ratio_3]]-EI$2)</f>
        <v>0.92871287128712876</v>
      </c>
      <c r="ET189" s="1">
        <f>1+(Table1[[#This Row],[error_ratio_4]]-EJ$2)</f>
        <v>1.0478615071283095</v>
      </c>
      <c r="EU189" s="1">
        <f>1+(Table1[[#This Row],[error_ratio_5]]-EK$2)</f>
        <v>1.0280269058295963</v>
      </c>
      <c r="EV189" s="1">
        <f>1+(Table1[[#This Row],[error_ratio_6]]-EL$2)</f>
        <v>0.95093945720250517</v>
      </c>
      <c r="EW189" s="1">
        <f>1+(Table1[[#This Row],[error_ratio_7]]-EM$2)</f>
        <v>0.97665369649805445</v>
      </c>
      <c r="EX189" s="1">
        <f>1+(Table1[[#This Row],[error_ratio_8]]-EN$2)</f>
        <v>1.0390143737166324</v>
      </c>
      <c r="EY189" s="1">
        <f>1+(Table1[[#This Row],[error_ratio_9]]-EO$2)</f>
        <v>1.0614469772051536</v>
      </c>
    </row>
    <row r="190" spans="1:155" x14ac:dyDescent="0.75">
      <c r="A190">
        <v>10</v>
      </c>
      <c r="B190">
        <v>100</v>
      </c>
      <c r="C190">
        <v>10</v>
      </c>
      <c r="D190">
        <v>10</v>
      </c>
      <c r="E190">
        <v>100</v>
      </c>
      <c r="F190">
        <v>100</v>
      </c>
      <c r="G190">
        <v>10</v>
      </c>
      <c r="H190">
        <v>10</v>
      </c>
      <c r="I190">
        <v>100</v>
      </c>
      <c r="J190">
        <v>100</v>
      </c>
      <c r="K190">
        <v>948</v>
      </c>
      <c r="L190">
        <v>1165</v>
      </c>
      <c r="M190">
        <v>986</v>
      </c>
      <c r="N190">
        <v>914</v>
      </c>
      <c r="O190">
        <v>1040</v>
      </c>
      <c r="P190">
        <v>950</v>
      </c>
      <c r="Q190">
        <v>922</v>
      </c>
      <c r="R190">
        <v>959</v>
      </c>
      <c r="S190">
        <v>1045</v>
      </c>
      <c r="T190">
        <v>1071</v>
      </c>
      <c r="U190">
        <v>980</v>
      </c>
      <c r="V190">
        <v>1135</v>
      </c>
      <c r="W190">
        <v>1032</v>
      </c>
      <c r="X190">
        <v>1010</v>
      </c>
      <c r="Y190">
        <v>982</v>
      </c>
      <c r="Z190">
        <v>892</v>
      </c>
      <c r="AA190">
        <v>958</v>
      </c>
      <c r="AB190">
        <v>1028</v>
      </c>
      <c r="AC190">
        <v>974</v>
      </c>
      <c r="AD190">
        <v>1009</v>
      </c>
      <c r="AE190">
        <v>926</v>
      </c>
      <c r="AF190">
        <v>1</v>
      </c>
      <c r="AG190">
        <v>1</v>
      </c>
      <c r="AH190">
        <v>0</v>
      </c>
      <c r="AI190">
        <v>7</v>
      </c>
      <c r="AJ190">
        <v>0</v>
      </c>
      <c r="AK190">
        <v>19</v>
      </c>
      <c r="AL190">
        <v>3</v>
      </c>
      <c r="AM190">
        <v>8</v>
      </c>
      <c r="AN190">
        <v>15</v>
      </c>
      <c r="AO190">
        <v>0</v>
      </c>
      <c r="AP190">
        <v>1133</v>
      </c>
      <c r="AQ190">
        <v>0</v>
      </c>
      <c r="AR190">
        <v>0</v>
      </c>
      <c r="AS190">
        <v>0</v>
      </c>
      <c r="AT190">
        <v>1</v>
      </c>
      <c r="AU190">
        <v>0</v>
      </c>
      <c r="AV190">
        <v>0</v>
      </c>
      <c r="AW190">
        <v>1</v>
      </c>
      <c r="AX190">
        <v>0</v>
      </c>
      <c r="AY190">
        <v>4</v>
      </c>
      <c r="AZ190">
        <v>12</v>
      </c>
      <c r="BA190">
        <v>966</v>
      </c>
      <c r="BB190">
        <v>1</v>
      </c>
      <c r="BC190">
        <v>12</v>
      </c>
      <c r="BD190">
        <v>0</v>
      </c>
      <c r="BE190">
        <v>1</v>
      </c>
      <c r="BF190">
        <v>9</v>
      </c>
      <c r="BG190">
        <v>22</v>
      </c>
      <c r="BH190">
        <v>5</v>
      </c>
      <c r="BI190">
        <v>5</v>
      </c>
      <c r="BJ190">
        <v>2</v>
      </c>
      <c r="BK190">
        <v>8</v>
      </c>
      <c r="BL190">
        <v>910</v>
      </c>
      <c r="BM190">
        <v>0</v>
      </c>
      <c r="BN190">
        <v>43</v>
      </c>
      <c r="BO190">
        <v>1</v>
      </c>
      <c r="BP190">
        <v>4</v>
      </c>
      <c r="BQ190">
        <v>26</v>
      </c>
      <c r="BR190">
        <v>11</v>
      </c>
      <c r="BS190">
        <v>0</v>
      </c>
      <c r="BT190">
        <v>0</v>
      </c>
      <c r="BU190">
        <v>0</v>
      </c>
      <c r="BV190">
        <v>0</v>
      </c>
      <c r="BW190">
        <v>975</v>
      </c>
      <c r="BX190">
        <v>0</v>
      </c>
      <c r="BY190">
        <v>0</v>
      </c>
      <c r="BZ190">
        <v>0</v>
      </c>
      <c r="CA190">
        <v>0</v>
      </c>
      <c r="CB190">
        <v>7</v>
      </c>
      <c r="CC190">
        <v>4</v>
      </c>
      <c r="CD190">
        <v>0</v>
      </c>
      <c r="CE190">
        <v>0</v>
      </c>
      <c r="CF190">
        <v>1</v>
      </c>
      <c r="CG190">
        <v>0</v>
      </c>
      <c r="CH190">
        <v>880</v>
      </c>
      <c r="CI190">
        <v>2</v>
      </c>
      <c r="CJ190">
        <v>0</v>
      </c>
      <c r="CK190">
        <v>4</v>
      </c>
      <c r="CL190">
        <v>1</v>
      </c>
      <c r="CM190">
        <v>5</v>
      </c>
      <c r="CN190">
        <v>5</v>
      </c>
      <c r="CO190">
        <v>0</v>
      </c>
      <c r="CP190">
        <v>0</v>
      </c>
      <c r="CQ190">
        <v>32</v>
      </c>
      <c r="CR190">
        <v>8</v>
      </c>
      <c r="CS190">
        <v>899</v>
      </c>
      <c r="CT190">
        <v>0</v>
      </c>
      <c r="CU190">
        <v>8</v>
      </c>
      <c r="CV190">
        <v>1</v>
      </c>
      <c r="CW190">
        <v>2</v>
      </c>
      <c r="CX190">
        <v>11</v>
      </c>
      <c r="CY190">
        <v>11</v>
      </c>
      <c r="CZ190">
        <v>0</v>
      </c>
      <c r="DA190">
        <v>8</v>
      </c>
      <c r="DB190">
        <v>9</v>
      </c>
      <c r="DC190">
        <v>0</v>
      </c>
      <c r="DD190">
        <v>943</v>
      </c>
      <c r="DE190">
        <v>4</v>
      </c>
      <c r="DF190">
        <v>40</v>
      </c>
      <c r="DG190">
        <v>2</v>
      </c>
      <c r="DH190">
        <v>0</v>
      </c>
      <c r="DI190">
        <v>0</v>
      </c>
      <c r="DJ190">
        <v>0</v>
      </c>
      <c r="DK190">
        <v>1</v>
      </c>
      <c r="DL190">
        <v>1</v>
      </c>
      <c r="DM190">
        <v>0</v>
      </c>
      <c r="DN190">
        <v>0</v>
      </c>
      <c r="DO190">
        <v>969</v>
      </c>
      <c r="DP190">
        <v>1</v>
      </c>
      <c r="DQ190">
        <v>0</v>
      </c>
      <c r="DR190">
        <v>1</v>
      </c>
      <c r="DS190">
        <v>0</v>
      </c>
      <c r="DT190">
        <v>2</v>
      </c>
      <c r="DU190">
        <v>5</v>
      </c>
      <c r="DV190">
        <v>8</v>
      </c>
      <c r="DW190">
        <v>0</v>
      </c>
      <c r="DX190">
        <v>0</v>
      </c>
      <c r="DY190">
        <v>3</v>
      </c>
      <c r="DZ190">
        <v>990</v>
      </c>
      <c r="EA190">
        <v>0.95909999999999995</v>
      </c>
      <c r="EB190">
        <v>0.95984935432116103</v>
      </c>
      <c r="EC190">
        <v>0.95913557716814801</v>
      </c>
      <c r="ED190">
        <v>0.95863594473763902</v>
      </c>
      <c r="EE190">
        <f>SUM(Table1[[#This Row],[ratio_0]:[ratio_9]])</f>
        <v>550</v>
      </c>
      <c r="EF190" s="1">
        <f>(Table1[[#This Row],[predicted_0]]-Table1[[#This Row],[actual_0]])/Table1[[#This Row],[actual_0]]</f>
        <v>-3.2653061224489799E-2</v>
      </c>
      <c r="EG190" s="1">
        <f>(Table1[[#This Row],[predicted_1]]-Table1[[#This Row],[actual_1]])/Table1[[#This Row],[actual_1]]</f>
        <v>2.643171806167401E-2</v>
      </c>
      <c r="EH190" s="1">
        <f>(Table1[[#This Row],[predicted_2]]-Table1[[#This Row],[actual_2]])/Table1[[#This Row],[actual_2]]</f>
        <v>-4.4573643410852716E-2</v>
      </c>
      <c r="EI190" s="1">
        <f>(Table1[[#This Row],[predicted_3]]-Table1[[#This Row],[actual_3]])/Table1[[#This Row],[actual_3]]</f>
        <v>-9.5049504950495051E-2</v>
      </c>
      <c r="EJ190" s="1">
        <f>(Table1[[#This Row],[predicted_4]]-Table1[[#This Row],[actual_4]])/Table1[[#This Row],[actual_4]]</f>
        <v>5.9063136456211814E-2</v>
      </c>
      <c r="EK190" s="1">
        <f>(Table1[[#This Row],[predicted_5]]-Table1[[#This Row],[actual_5]])/Table1[[#This Row],[actual_5]]</f>
        <v>6.5022421524663671E-2</v>
      </c>
      <c r="EL190" s="1">
        <f>(Table1[[#This Row],[predicted_6]]-Table1[[#This Row],[actual_6]])/Table1[[#This Row],[actual_6]]</f>
        <v>-3.7578288100208766E-2</v>
      </c>
      <c r="EM190" s="1">
        <f>(Table1[[#This Row],[predicted_7]]-Table1[[#This Row],[actual_7]])/Table1[[#This Row],[actual_7]]</f>
        <v>-6.7120622568093383E-2</v>
      </c>
      <c r="EN190" s="1">
        <f>(Table1[[#This Row],[predicted_8]]-Table1[[#This Row],[actual_8]])/Table1[[#This Row],[actual_8]]</f>
        <v>7.2895277207392195E-2</v>
      </c>
      <c r="EO190" s="1">
        <f>(Table1[[#This Row],[predicted_9]]-Table1[[#This Row],[actual_9]])/Table1[[#This Row],[actual_9]]</f>
        <v>6.1446977205153616E-2</v>
      </c>
      <c r="EP190" s="1">
        <f>1+(Table1[[#This Row],[error_ratio_0]]-EF$2)</f>
        <v>0.96530612244897962</v>
      </c>
      <c r="EQ190" s="1">
        <f>1+(Table1[[#This Row],[error_ratio_1]]-EG$2)</f>
        <v>1.0246696035242291</v>
      </c>
      <c r="ER190" s="1">
        <f>1+(Table1[[#This Row],[error_ratio_2]]-EH$2)</f>
        <v>0.9602713178294574</v>
      </c>
      <c r="ES190" s="1">
        <f>1+(Table1[[#This Row],[error_ratio_3]]-EI$2)</f>
        <v>0.89504950495049507</v>
      </c>
      <c r="ET190" s="1">
        <f>1+(Table1[[#This Row],[error_ratio_4]]-EJ$2)</f>
        <v>1.0580448065173116</v>
      </c>
      <c r="EU190" s="1">
        <f>1+(Table1[[#This Row],[error_ratio_5]]-EK$2)</f>
        <v>1.0639013452914798</v>
      </c>
      <c r="EV190" s="1">
        <f>1+(Table1[[#This Row],[error_ratio_6]]-EL$2)</f>
        <v>0.96868475991649272</v>
      </c>
      <c r="EW190" s="1">
        <f>1+(Table1[[#This Row],[error_ratio_7]]-EM$2)</f>
        <v>0.93093385214007784</v>
      </c>
      <c r="EX190" s="1">
        <f>1+(Table1[[#This Row],[error_ratio_8]]-EN$2)</f>
        <v>1.0759753593429158</v>
      </c>
      <c r="EY190" s="1">
        <f>1+(Table1[[#This Row],[error_ratio_9]]-EO$2)</f>
        <v>1.0654112983151636</v>
      </c>
    </row>
    <row r="191" spans="1:155" x14ac:dyDescent="0.75">
      <c r="A191">
        <v>100</v>
      </c>
      <c r="B191">
        <v>10</v>
      </c>
      <c r="C191">
        <v>10</v>
      </c>
      <c r="D191">
        <v>10</v>
      </c>
      <c r="E191">
        <v>100</v>
      </c>
      <c r="F191">
        <v>100</v>
      </c>
      <c r="G191">
        <v>10</v>
      </c>
      <c r="H191">
        <v>10</v>
      </c>
      <c r="I191">
        <v>100</v>
      </c>
      <c r="J191">
        <v>100</v>
      </c>
      <c r="K191">
        <v>1021</v>
      </c>
      <c r="L191">
        <v>1119</v>
      </c>
      <c r="M191">
        <v>934</v>
      </c>
      <c r="N191">
        <v>988</v>
      </c>
      <c r="O191">
        <v>1040</v>
      </c>
      <c r="P191">
        <v>979</v>
      </c>
      <c r="Q191">
        <v>881</v>
      </c>
      <c r="R191">
        <v>902</v>
      </c>
      <c r="S191">
        <v>1035</v>
      </c>
      <c r="T191">
        <v>1101</v>
      </c>
      <c r="U191">
        <v>980</v>
      </c>
      <c r="V191">
        <v>1135</v>
      </c>
      <c r="W191">
        <v>1032</v>
      </c>
      <c r="X191">
        <v>1010</v>
      </c>
      <c r="Y191">
        <v>982</v>
      </c>
      <c r="Z191">
        <v>892</v>
      </c>
      <c r="AA191">
        <v>958</v>
      </c>
      <c r="AB191">
        <v>1028</v>
      </c>
      <c r="AC191">
        <v>974</v>
      </c>
      <c r="AD191">
        <v>1009</v>
      </c>
      <c r="AE191">
        <v>978</v>
      </c>
      <c r="AF191">
        <v>0</v>
      </c>
      <c r="AG191">
        <v>0</v>
      </c>
      <c r="AH191">
        <v>0</v>
      </c>
      <c r="AI191">
        <v>0</v>
      </c>
      <c r="AJ191">
        <v>1</v>
      </c>
      <c r="AK191">
        <v>0</v>
      </c>
      <c r="AL191">
        <v>0</v>
      </c>
      <c r="AM191">
        <v>1</v>
      </c>
      <c r="AN191">
        <v>0</v>
      </c>
      <c r="AO191">
        <v>0</v>
      </c>
      <c r="AP191">
        <v>1109</v>
      </c>
      <c r="AQ191">
        <v>4</v>
      </c>
      <c r="AR191">
        <v>1</v>
      </c>
      <c r="AS191">
        <v>3</v>
      </c>
      <c r="AT191">
        <v>2</v>
      </c>
      <c r="AU191">
        <v>0</v>
      </c>
      <c r="AV191">
        <v>1</v>
      </c>
      <c r="AW191">
        <v>14</v>
      </c>
      <c r="AX191">
        <v>1</v>
      </c>
      <c r="AY191">
        <v>13</v>
      </c>
      <c r="AZ191">
        <v>3</v>
      </c>
      <c r="BA191">
        <v>895</v>
      </c>
      <c r="BB191">
        <v>21</v>
      </c>
      <c r="BC191">
        <v>45</v>
      </c>
      <c r="BD191">
        <v>10</v>
      </c>
      <c r="BE191">
        <v>1</v>
      </c>
      <c r="BF191">
        <v>10</v>
      </c>
      <c r="BG191">
        <v>33</v>
      </c>
      <c r="BH191">
        <v>1</v>
      </c>
      <c r="BI191">
        <v>3</v>
      </c>
      <c r="BJ191">
        <v>0</v>
      </c>
      <c r="BK191">
        <v>7</v>
      </c>
      <c r="BL191">
        <v>940</v>
      </c>
      <c r="BM191">
        <v>0</v>
      </c>
      <c r="BN191">
        <v>34</v>
      </c>
      <c r="BO191">
        <v>0</v>
      </c>
      <c r="BP191">
        <v>3</v>
      </c>
      <c r="BQ191">
        <v>10</v>
      </c>
      <c r="BR191">
        <v>13</v>
      </c>
      <c r="BS191">
        <v>0</v>
      </c>
      <c r="BT191">
        <v>0</v>
      </c>
      <c r="BU191">
        <v>0</v>
      </c>
      <c r="BV191">
        <v>0</v>
      </c>
      <c r="BW191">
        <v>965</v>
      </c>
      <c r="BX191">
        <v>0</v>
      </c>
      <c r="BY191">
        <v>1</v>
      </c>
      <c r="BZ191">
        <v>0</v>
      </c>
      <c r="CA191">
        <v>2</v>
      </c>
      <c r="CB191">
        <v>14</v>
      </c>
      <c r="CC191">
        <v>1</v>
      </c>
      <c r="CD191">
        <v>0</v>
      </c>
      <c r="CE191">
        <v>0</v>
      </c>
      <c r="CF191">
        <v>2</v>
      </c>
      <c r="CG191">
        <v>0</v>
      </c>
      <c r="CH191">
        <v>885</v>
      </c>
      <c r="CI191">
        <v>0</v>
      </c>
      <c r="CJ191">
        <v>0</v>
      </c>
      <c r="CK191">
        <v>3</v>
      </c>
      <c r="CL191">
        <v>1</v>
      </c>
      <c r="CM191">
        <v>13</v>
      </c>
      <c r="CN191">
        <v>2</v>
      </c>
      <c r="CO191">
        <v>0</v>
      </c>
      <c r="CP191">
        <v>0</v>
      </c>
      <c r="CQ191">
        <v>15</v>
      </c>
      <c r="CR191">
        <v>40</v>
      </c>
      <c r="CS191">
        <v>879</v>
      </c>
      <c r="CT191">
        <v>0</v>
      </c>
      <c r="CU191">
        <v>9</v>
      </c>
      <c r="CV191">
        <v>0</v>
      </c>
      <c r="CW191">
        <v>5</v>
      </c>
      <c r="CX191">
        <v>3</v>
      </c>
      <c r="CY191">
        <v>28</v>
      </c>
      <c r="CZ191">
        <v>23</v>
      </c>
      <c r="DA191">
        <v>8</v>
      </c>
      <c r="DB191">
        <v>2</v>
      </c>
      <c r="DC191">
        <v>0</v>
      </c>
      <c r="DD191">
        <v>887</v>
      </c>
      <c r="DE191">
        <v>6</v>
      </c>
      <c r="DF191">
        <v>66</v>
      </c>
      <c r="DG191">
        <v>5</v>
      </c>
      <c r="DH191">
        <v>0</v>
      </c>
      <c r="DI191">
        <v>0</v>
      </c>
      <c r="DJ191">
        <v>0</v>
      </c>
      <c r="DK191">
        <v>1</v>
      </c>
      <c r="DL191">
        <v>2</v>
      </c>
      <c r="DM191">
        <v>0</v>
      </c>
      <c r="DN191">
        <v>1</v>
      </c>
      <c r="DO191">
        <v>957</v>
      </c>
      <c r="DP191">
        <v>8</v>
      </c>
      <c r="DQ191">
        <v>3</v>
      </c>
      <c r="DR191">
        <v>2</v>
      </c>
      <c r="DS191">
        <v>0</v>
      </c>
      <c r="DT191">
        <v>1</v>
      </c>
      <c r="DU191">
        <v>3</v>
      </c>
      <c r="DV191">
        <v>3</v>
      </c>
      <c r="DW191">
        <v>0</v>
      </c>
      <c r="DX191">
        <v>0</v>
      </c>
      <c r="DY191">
        <v>0</v>
      </c>
      <c r="DZ191">
        <v>997</v>
      </c>
      <c r="EA191">
        <v>0.94920000000000004</v>
      </c>
      <c r="EB191">
        <v>0.95017555037658497</v>
      </c>
      <c r="EC191">
        <v>0.94988639226903604</v>
      </c>
      <c r="ED191">
        <v>0.94863391706985001</v>
      </c>
      <c r="EE191">
        <f>SUM(Table1[[#This Row],[ratio_0]:[ratio_9]])</f>
        <v>550</v>
      </c>
      <c r="EF191" s="1">
        <f>(Table1[[#This Row],[predicted_0]]-Table1[[#This Row],[actual_0]])/Table1[[#This Row],[actual_0]]</f>
        <v>4.1836734693877553E-2</v>
      </c>
      <c r="EG191" s="1">
        <f>(Table1[[#This Row],[predicted_1]]-Table1[[#This Row],[actual_1]])/Table1[[#This Row],[actual_1]]</f>
        <v>-1.4096916299559472E-2</v>
      </c>
      <c r="EH191" s="1">
        <f>(Table1[[#This Row],[predicted_2]]-Table1[[#This Row],[actual_2]])/Table1[[#This Row],[actual_2]]</f>
        <v>-9.4961240310077522E-2</v>
      </c>
      <c r="EI191" s="1">
        <f>(Table1[[#This Row],[predicted_3]]-Table1[[#This Row],[actual_3]])/Table1[[#This Row],[actual_3]]</f>
        <v>-2.1782178217821781E-2</v>
      </c>
      <c r="EJ191" s="1">
        <f>(Table1[[#This Row],[predicted_4]]-Table1[[#This Row],[actual_4]])/Table1[[#This Row],[actual_4]]</f>
        <v>5.9063136456211814E-2</v>
      </c>
      <c r="EK191" s="1">
        <f>(Table1[[#This Row],[predicted_5]]-Table1[[#This Row],[actual_5]])/Table1[[#This Row],[actual_5]]</f>
        <v>9.753363228699552E-2</v>
      </c>
      <c r="EL191" s="1">
        <f>(Table1[[#This Row],[predicted_6]]-Table1[[#This Row],[actual_6]])/Table1[[#This Row],[actual_6]]</f>
        <v>-8.0375782881002084E-2</v>
      </c>
      <c r="EM191" s="1">
        <f>(Table1[[#This Row],[predicted_7]]-Table1[[#This Row],[actual_7]])/Table1[[#This Row],[actual_7]]</f>
        <v>-0.122568093385214</v>
      </c>
      <c r="EN191" s="1">
        <f>(Table1[[#This Row],[predicted_8]]-Table1[[#This Row],[actual_8]])/Table1[[#This Row],[actual_8]]</f>
        <v>6.2628336755646816E-2</v>
      </c>
      <c r="EO191" s="1">
        <f>(Table1[[#This Row],[predicted_9]]-Table1[[#This Row],[actual_9]])/Table1[[#This Row],[actual_9]]</f>
        <v>9.1179385530227947E-2</v>
      </c>
      <c r="EP191" s="1">
        <f>1+(Table1[[#This Row],[error_ratio_0]]-EF$2)</f>
        <v>1.0397959183673469</v>
      </c>
      <c r="EQ191" s="1">
        <f>1+(Table1[[#This Row],[error_ratio_1]]-EG$2)</f>
        <v>0.98414096916299565</v>
      </c>
      <c r="ER191" s="1">
        <f>1+(Table1[[#This Row],[error_ratio_2]]-EH$2)</f>
        <v>0.90988372093023251</v>
      </c>
      <c r="ES191" s="1">
        <f>1+(Table1[[#This Row],[error_ratio_3]]-EI$2)</f>
        <v>0.96831683168316829</v>
      </c>
      <c r="ET191" s="1">
        <f>1+(Table1[[#This Row],[error_ratio_4]]-EJ$2)</f>
        <v>1.0580448065173116</v>
      </c>
      <c r="EU191" s="1">
        <f>1+(Table1[[#This Row],[error_ratio_5]]-EK$2)</f>
        <v>1.0964125560538116</v>
      </c>
      <c r="EV191" s="1">
        <f>1+(Table1[[#This Row],[error_ratio_6]]-EL$2)</f>
        <v>0.92588726513569941</v>
      </c>
      <c r="EW191" s="1">
        <f>1+(Table1[[#This Row],[error_ratio_7]]-EM$2)</f>
        <v>0.8754863813229572</v>
      </c>
      <c r="EX191" s="1">
        <f>1+(Table1[[#This Row],[error_ratio_8]]-EN$2)</f>
        <v>1.0657084188911705</v>
      </c>
      <c r="EY191" s="1">
        <f>1+(Table1[[#This Row],[error_ratio_9]]-EO$2)</f>
        <v>1.0951437066402379</v>
      </c>
    </row>
    <row r="192" spans="1:155" x14ac:dyDescent="0.75">
      <c r="A192">
        <v>10</v>
      </c>
      <c r="B192">
        <v>10</v>
      </c>
      <c r="C192">
        <v>10</v>
      </c>
      <c r="D192">
        <v>10</v>
      </c>
      <c r="E192">
        <v>100</v>
      </c>
      <c r="F192">
        <v>100</v>
      </c>
      <c r="G192">
        <v>10</v>
      </c>
      <c r="H192">
        <v>10</v>
      </c>
      <c r="I192">
        <v>100</v>
      </c>
      <c r="J192">
        <v>100</v>
      </c>
      <c r="K192">
        <v>929</v>
      </c>
      <c r="L192">
        <v>1113</v>
      </c>
      <c r="M192">
        <v>1023</v>
      </c>
      <c r="N192">
        <v>1006</v>
      </c>
      <c r="O192">
        <v>1035</v>
      </c>
      <c r="P192">
        <v>1003</v>
      </c>
      <c r="Q192">
        <v>851</v>
      </c>
      <c r="R192">
        <v>900</v>
      </c>
      <c r="S192">
        <v>1060</v>
      </c>
      <c r="T192">
        <v>1080</v>
      </c>
      <c r="U192">
        <v>980</v>
      </c>
      <c r="V192">
        <v>1135</v>
      </c>
      <c r="W192">
        <v>1032</v>
      </c>
      <c r="X192">
        <v>1010</v>
      </c>
      <c r="Y192">
        <v>982</v>
      </c>
      <c r="Z192">
        <v>892</v>
      </c>
      <c r="AA192">
        <v>958</v>
      </c>
      <c r="AB192">
        <v>1028</v>
      </c>
      <c r="AC192">
        <v>974</v>
      </c>
      <c r="AD192">
        <v>1009</v>
      </c>
      <c r="AE192">
        <v>923</v>
      </c>
      <c r="AF192">
        <v>0</v>
      </c>
      <c r="AG192">
        <v>2</v>
      </c>
      <c r="AH192">
        <v>1</v>
      </c>
      <c r="AI192">
        <v>7</v>
      </c>
      <c r="AJ192">
        <v>18</v>
      </c>
      <c r="AK192">
        <v>2</v>
      </c>
      <c r="AL192">
        <v>1</v>
      </c>
      <c r="AM192">
        <v>14</v>
      </c>
      <c r="AN192">
        <v>12</v>
      </c>
      <c r="AO192">
        <v>0</v>
      </c>
      <c r="AP192">
        <v>1109</v>
      </c>
      <c r="AQ192">
        <v>3</v>
      </c>
      <c r="AR192">
        <v>4</v>
      </c>
      <c r="AS192">
        <v>3</v>
      </c>
      <c r="AT192">
        <v>1</v>
      </c>
      <c r="AU192">
        <v>1</v>
      </c>
      <c r="AV192">
        <v>0</v>
      </c>
      <c r="AW192">
        <v>5</v>
      </c>
      <c r="AX192">
        <v>9</v>
      </c>
      <c r="AY192">
        <v>1</v>
      </c>
      <c r="AZ192">
        <v>0</v>
      </c>
      <c r="BA192">
        <v>987</v>
      </c>
      <c r="BB192">
        <v>3</v>
      </c>
      <c r="BC192">
        <v>12</v>
      </c>
      <c r="BD192">
        <v>1</v>
      </c>
      <c r="BE192">
        <v>1</v>
      </c>
      <c r="BF192">
        <v>4</v>
      </c>
      <c r="BG192">
        <v>22</v>
      </c>
      <c r="BH192">
        <v>1</v>
      </c>
      <c r="BI192">
        <v>0</v>
      </c>
      <c r="BJ192">
        <v>0</v>
      </c>
      <c r="BK192">
        <v>4</v>
      </c>
      <c r="BL192">
        <v>963</v>
      </c>
      <c r="BM192">
        <v>0</v>
      </c>
      <c r="BN192">
        <v>22</v>
      </c>
      <c r="BO192">
        <v>0</v>
      </c>
      <c r="BP192">
        <v>2</v>
      </c>
      <c r="BQ192">
        <v>14</v>
      </c>
      <c r="BR192">
        <v>5</v>
      </c>
      <c r="BS192">
        <v>0</v>
      </c>
      <c r="BT192">
        <v>0</v>
      </c>
      <c r="BU192">
        <v>0</v>
      </c>
      <c r="BV192">
        <v>0</v>
      </c>
      <c r="BW192">
        <v>977</v>
      </c>
      <c r="BX192">
        <v>0</v>
      </c>
      <c r="BY192">
        <v>0</v>
      </c>
      <c r="BZ192">
        <v>0</v>
      </c>
      <c r="CA192">
        <v>1</v>
      </c>
      <c r="CB192">
        <v>4</v>
      </c>
      <c r="CC192">
        <v>0</v>
      </c>
      <c r="CD192">
        <v>0</v>
      </c>
      <c r="CE192">
        <v>0</v>
      </c>
      <c r="CF192">
        <v>4</v>
      </c>
      <c r="CG192">
        <v>0</v>
      </c>
      <c r="CH192">
        <v>886</v>
      </c>
      <c r="CI192">
        <v>1</v>
      </c>
      <c r="CJ192">
        <v>0</v>
      </c>
      <c r="CK192">
        <v>1</v>
      </c>
      <c r="CL192">
        <v>0</v>
      </c>
      <c r="CM192">
        <v>4</v>
      </c>
      <c r="CN192">
        <v>2</v>
      </c>
      <c r="CO192">
        <v>1</v>
      </c>
      <c r="CP192">
        <v>0</v>
      </c>
      <c r="CQ192">
        <v>24</v>
      </c>
      <c r="CR192">
        <v>66</v>
      </c>
      <c r="CS192">
        <v>846</v>
      </c>
      <c r="CT192">
        <v>0</v>
      </c>
      <c r="CU192">
        <v>15</v>
      </c>
      <c r="CV192">
        <v>0</v>
      </c>
      <c r="CW192">
        <v>1</v>
      </c>
      <c r="CX192">
        <v>2</v>
      </c>
      <c r="CY192">
        <v>25</v>
      </c>
      <c r="CZ192">
        <v>28</v>
      </c>
      <c r="DA192">
        <v>4</v>
      </c>
      <c r="DB192">
        <v>2</v>
      </c>
      <c r="DC192">
        <v>0</v>
      </c>
      <c r="DD192">
        <v>891</v>
      </c>
      <c r="DE192">
        <v>11</v>
      </c>
      <c r="DF192">
        <v>64</v>
      </c>
      <c r="DG192">
        <v>0</v>
      </c>
      <c r="DH192">
        <v>0</v>
      </c>
      <c r="DI192">
        <v>0</v>
      </c>
      <c r="DJ192">
        <v>1</v>
      </c>
      <c r="DK192">
        <v>0</v>
      </c>
      <c r="DL192">
        <v>2</v>
      </c>
      <c r="DM192">
        <v>0</v>
      </c>
      <c r="DN192">
        <v>2</v>
      </c>
      <c r="DO192">
        <v>968</v>
      </c>
      <c r="DP192">
        <v>1</v>
      </c>
      <c r="DQ192">
        <v>0</v>
      </c>
      <c r="DR192">
        <v>0</v>
      </c>
      <c r="DS192">
        <v>1</v>
      </c>
      <c r="DT192">
        <v>2</v>
      </c>
      <c r="DU192">
        <v>8</v>
      </c>
      <c r="DV192">
        <v>5</v>
      </c>
      <c r="DW192">
        <v>0</v>
      </c>
      <c r="DX192">
        <v>0</v>
      </c>
      <c r="DY192">
        <v>9</v>
      </c>
      <c r="DZ192">
        <v>984</v>
      </c>
      <c r="EA192">
        <v>0.95340000000000003</v>
      </c>
      <c r="EB192">
        <v>0.95477679178510999</v>
      </c>
      <c r="EC192">
        <v>0.95358559506413698</v>
      </c>
      <c r="ED192">
        <v>0.95269460256070504</v>
      </c>
      <c r="EE192">
        <f>SUM(Table1[[#This Row],[ratio_0]:[ratio_9]])</f>
        <v>460</v>
      </c>
      <c r="EF192" s="1">
        <f>(Table1[[#This Row],[predicted_0]]-Table1[[#This Row],[actual_0]])/Table1[[#This Row],[actual_0]]</f>
        <v>-5.2040816326530612E-2</v>
      </c>
      <c r="EG192" s="1">
        <f>(Table1[[#This Row],[predicted_1]]-Table1[[#This Row],[actual_1]])/Table1[[#This Row],[actual_1]]</f>
        <v>-1.9383259911894272E-2</v>
      </c>
      <c r="EH192" s="1">
        <f>(Table1[[#This Row],[predicted_2]]-Table1[[#This Row],[actual_2]])/Table1[[#This Row],[actual_2]]</f>
        <v>-8.7209302325581394E-3</v>
      </c>
      <c r="EI192" s="1">
        <f>(Table1[[#This Row],[predicted_3]]-Table1[[#This Row],[actual_3]])/Table1[[#This Row],[actual_3]]</f>
        <v>-3.9603960396039604E-3</v>
      </c>
      <c r="EJ192" s="1">
        <f>(Table1[[#This Row],[predicted_4]]-Table1[[#This Row],[actual_4]])/Table1[[#This Row],[actual_4]]</f>
        <v>5.3971486761710798E-2</v>
      </c>
      <c r="EK192" s="1">
        <f>(Table1[[#This Row],[predicted_5]]-Table1[[#This Row],[actual_5]])/Table1[[#This Row],[actual_5]]</f>
        <v>0.12443946188340807</v>
      </c>
      <c r="EL192" s="1">
        <f>(Table1[[#This Row],[predicted_6]]-Table1[[#This Row],[actual_6]])/Table1[[#This Row],[actual_6]]</f>
        <v>-0.11169102296450939</v>
      </c>
      <c r="EM192" s="1">
        <f>(Table1[[#This Row],[predicted_7]]-Table1[[#This Row],[actual_7]])/Table1[[#This Row],[actual_7]]</f>
        <v>-0.1245136186770428</v>
      </c>
      <c r="EN192" s="1">
        <f>(Table1[[#This Row],[predicted_8]]-Table1[[#This Row],[actual_8]])/Table1[[#This Row],[actual_8]]</f>
        <v>8.8295687885010271E-2</v>
      </c>
      <c r="EO192" s="1">
        <f>(Table1[[#This Row],[predicted_9]]-Table1[[#This Row],[actual_9]])/Table1[[#This Row],[actual_9]]</f>
        <v>7.0366699702675922E-2</v>
      </c>
      <c r="EP192" s="1">
        <f>1+(Table1[[#This Row],[error_ratio_0]]-EF$2)</f>
        <v>0.94591836734693879</v>
      </c>
      <c r="EQ192" s="1">
        <f>1+(Table1[[#This Row],[error_ratio_1]]-EG$2)</f>
        <v>0.97885462555066083</v>
      </c>
      <c r="ER192" s="1">
        <f>1+(Table1[[#This Row],[error_ratio_2]]-EH$2)</f>
        <v>0.99612403100775193</v>
      </c>
      <c r="ES192" s="1">
        <f>1+(Table1[[#This Row],[error_ratio_3]]-EI$2)</f>
        <v>0.98613861386138613</v>
      </c>
      <c r="ET192" s="1">
        <f>1+(Table1[[#This Row],[error_ratio_4]]-EJ$2)</f>
        <v>1.0529531568228105</v>
      </c>
      <c r="EU192" s="1">
        <f>1+(Table1[[#This Row],[error_ratio_5]]-EK$2)</f>
        <v>1.1233183856502242</v>
      </c>
      <c r="EV192" s="1">
        <f>1+(Table1[[#This Row],[error_ratio_6]]-EL$2)</f>
        <v>0.89457202505219202</v>
      </c>
      <c r="EW192" s="1">
        <f>1+(Table1[[#This Row],[error_ratio_7]]-EM$2)</f>
        <v>0.87354085603112841</v>
      </c>
      <c r="EX192" s="1">
        <f>1+(Table1[[#This Row],[error_ratio_8]]-EN$2)</f>
        <v>1.091375770020534</v>
      </c>
      <c r="EY192" s="1">
        <f>1+(Table1[[#This Row],[error_ratio_9]]-EO$2)</f>
        <v>1.0743310208126857</v>
      </c>
    </row>
    <row r="193" spans="1:155" x14ac:dyDescent="0.75">
      <c r="A193">
        <v>100</v>
      </c>
      <c r="B193">
        <v>100</v>
      </c>
      <c r="C193">
        <v>100</v>
      </c>
      <c r="D193">
        <v>100</v>
      </c>
      <c r="E193">
        <v>10</v>
      </c>
      <c r="F193">
        <v>100</v>
      </c>
      <c r="G193">
        <v>10</v>
      </c>
      <c r="H193">
        <v>10</v>
      </c>
      <c r="I193">
        <v>100</v>
      </c>
      <c r="J193">
        <v>100</v>
      </c>
      <c r="K193">
        <v>1016</v>
      </c>
      <c r="L193">
        <v>1162</v>
      </c>
      <c r="M193">
        <v>1069</v>
      </c>
      <c r="N193">
        <v>1047</v>
      </c>
      <c r="O193">
        <v>957</v>
      </c>
      <c r="P193">
        <v>898</v>
      </c>
      <c r="Q193">
        <v>847</v>
      </c>
      <c r="R193">
        <v>926</v>
      </c>
      <c r="S193">
        <v>1009</v>
      </c>
      <c r="T193">
        <v>1069</v>
      </c>
      <c r="U193">
        <v>980</v>
      </c>
      <c r="V193">
        <v>1135</v>
      </c>
      <c r="W193">
        <v>1032</v>
      </c>
      <c r="X193">
        <v>1010</v>
      </c>
      <c r="Y193">
        <v>982</v>
      </c>
      <c r="Z193">
        <v>892</v>
      </c>
      <c r="AA193">
        <v>958</v>
      </c>
      <c r="AB193">
        <v>1028</v>
      </c>
      <c r="AC193">
        <v>974</v>
      </c>
      <c r="AD193">
        <v>1009</v>
      </c>
      <c r="AE193">
        <v>977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1</v>
      </c>
      <c r="AM193">
        <v>1</v>
      </c>
      <c r="AN193">
        <v>1</v>
      </c>
      <c r="AO193">
        <v>0</v>
      </c>
      <c r="AP193">
        <v>1129</v>
      </c>
      <c r="AQ193">
        <v>1</v>
      </c>
      <c r="AR193">
        <v>3</v>
      </c>
      <c r="AS193">
        <v>0</v>
      </c>
      <c r="AT193">
        <v>1</v>
      </c>
      <c r="AU193">
        <v>0</v>
      </c>
      <c r="AV193">
        <v>0</v>
      </c>
      <c r="AW193">
        <v>1</v>
      </c>
      <c r="AX193">
        <v>0</v>
      </c>
      <c r="AY193">
        <v>2</v>
      </c>
      <c r="AZ193">
        <v>1</v>
      </c>
      <c r="BA193">
        <v>1023</v>
      </c>
      <c r="BB193">
        <v>0</v>
      </c>
      <c r="BC193">
        <v>1</v>
      </c>
      <c r="BD193">
        <v>0</v>
      </c>
      <c r="BE193">
        <v>0</v>
      </c>
      <c r="BF193">
        <v>2</v>
      </c>
      <c r="BG193">
        <v>3</v>
      </c>
      <c r="BH193">
        <v>0</v>
      </c>
      <c r="BI193">
        <v>0</v>
      </c>
      <c r="BJ193">
        <v>0</v>
      </c>
      <c r="BK193">
        <v>1</v>
      </c>
      <c r="BL193">
        <v>1008</v>
      </c>
      <c r="BM193">
        <v>0</v>
      </c>
      <c r="BN193">
        <v>0</v>
      </c>
      <c r="BO193">
        <v>0</v>
      </c>
      <c r="BP193">
        <v>0</v>
      </c>
      <c r="BQ193">
        <v>0</v>
      </c>
      <c r="BR193">
        <v>1</v>
      </c>
      <c r="BS193">
        <v>1</v>
      </c>
      <c r="BT193">
        <v>1</v>
      </c>
      <c r="BU193">
        <v>2</v>
      </c>
      <c r="BV193">
        <v>0</v>
      </c>
      <c r="BW193">
        <v>935</v>
      </c>
      <c r="BX193">
        <v>0</v>
      </c>
      <c r="BY193">
        <v>0</v>
      </c>
      <c r="BZ193">
        <v>1</v>
      </c>
      <c r="CA193">
        <v>2</v>
      </c>
      <c r="CB193">
        <v>40</v>
      </c>
      <c r="CC193">
        <v>2</v>
      </c>
      <c r="CD193">
        <v>0</v>
      </c>
      <c r="CE193">
        <v>1</v>
      </c>
      <c r="CF193">
        <v>16</v>
      </c>
      <c r="CG193">
        <v>0</v>
      </c>
      <c r="CH193">
        <v>869</v>
      </c>
      <c r="CI193">
        <v>0</v>
      </c>
      <c r="CJ193">
        <v>1</v>
      </c>
      <c r="CK193">
        <v>2</v>
      </c>
      <c r="CL193">
        <v>1</v>
      </c>
      <c r="CM193">
        <v>28</v>
      </c>
      <c r="CN193">
        <v>6</v>
      </c>
      <c r="CO193">
        <v>2</v>
      </c>
      <c r="CP193">
        <v>0</v>
      </c>
      <c r="CQ193">
        <v>21</v>
      </c>
      <c r="CR193">
        <v>25</v>
      </c>
      <c r="CS193">
        <v>847</v>
      </c>
      <c r="CT193">
        <v>0</v>
      </c>
      <c r="CU193">
        <v>26</v>
      </c>
      <c r="CV193">
        <v>3</v>
      </c>
      <c r="CW193">
        <v>1</v>
      </c>
      <c r="CX193">
        <v>24</v>
      </c>
      <c r="CY193">
        <v>38</v>
      </c>
      <c r="CZ193">
        <v>16</v>
      </c>
      <c r="DA193">
        <v>0</v>
      </c>
      <c r="DB193">
        <v>1</v>
      </c>
      <c r="DC193">
        <v>0</v>
      </c>
      <c r="DD193">
        <v>918</v>
      </c>
      <c r="DE193">
        <v>5</v>
      </c>
      <c r="DF193">
        <v>25</v>
      </c>
      <c r="DG193">
        <v>5</v>
      </c>
      <c r="DH193">
        <v>0</v>
      </c>
      <c r="DI193">
        <v>1</v>
      </c>
      <c r="DJ193">
        <v>1</v>
      </c>
      <c r="DK193">
        <v>0</v>
      </c>
      <c r="DL193">
        <v>1</v>
      </c>
      <c r="DM193">
        <v>0</v>
      </c>
      <c r="DN193">
        <v>2</v>
      </c>
      <c r="DO193">
        <v>963</v>
      </c>
      <c r="DP193">
        <v>1</v>
      </c>
      <c r="DQ193">
        <v>0</v>
      </c>
      <c r="DR193">
        <v>1</v>
      </c>
      <c r="DS193">
        <v>0</v>
      </c>
      <c r="DT193">
        <v>3</v>
      </c>
      <c r="DU193">
        <v>0</v>
      </c>
      <c r="DV193">
        <v>1</v>
      </c>
      <c r="DW193">
        <v>0</v>
      </c>
      <c r="DX193">
        <v>1</v>
      </c>
      <c r="DY193">
        <v>6</v>
      </c>
      <c r="DZ193">
        <v>997</v>
      </c>
      <c r="EA193">
        <v>0.96660000000000001</v>
      </c>
      <c r="EB193">
        <v>0.967607054800941</v>
      </c>
      <c r="EC193">
        <v>0.96612481659674598</v>
      </c>
      <c r="ED193">
        <v>0.96601810636857199</v>
      </c>
      <c r="EE193">
        <f>SUM(Table1[[#This Row],[ratio_0]:[ratio_9]])</f>
        <v>730</v>
      </c>
      <c r="EF193" s="1">
        <f>(Table1[[#This Row],[predicted_0]]-Table1[[#This Row],[actual_0]])/Table1[[#This Row],[actual_0]]</f>
        <v>3.6734693877551024E-2</v>
      </c>
      <c r="EG193" s="1">
        <f>(Table1[[#This Row],[predicted_1]]-Table1[[#This Row],[actual_1]])/Table1[[#This Row],[actual_1]]</f>
        <v>2.378854625550661E-2</v>
      </c>
      <c r="EH193" s="1">
        <f>(Table1[[#This Row],[predicted_2]]-Table1[[#This Row],[actual_2]])/Table1[[#This Row],[actual_2]]</f>
        <v>3.5852713178294575E-2</v>
      </c>
      <c r="EI193" s="1">
        <f>(Table1[[#This Row],[predicted_3]]-Table1[[#This Row],[actual_3]])/Table1[[#This Row],[actual_3]]</f>
        <v>3.6633663366336632E-2</v>
      </c>
      <c r="EJ193" s="1">
        <f>(Table1[[#This Row],[predicted_4]]-Table1[[#This Row],[actual_4]])/Table1[[#This Row],[actual_4]]</f>
        <v>-2.5458248472505093E-2</v>
      </c>
      <c r="EK193" s="1">
        <f>(Table1[[#This Row],[predicted_5]]-Table1[[#This Row],[actual_5]])/Table1[[#This Row],[actual_5]]</f>
        <v>6.7264573991031393E-3</v>
      </c>
      <c r="EL193" s="1">
        <f>(Table1[[#This Row],[predicted_6]]-Table1[[#This Row],[actual_6]])/Table1[[#This Row],[actual_6]]</f>
        <v>-0.11586638830897704</v>
      </c>
      <c r="EM193" s="1">
        <f>(Table1[[#This Row],[predicted_7]]-Table1[[#This Row],[actual_7]])/Table1[[#This Row],[actual_7]]</f>
        <v>-9.9221789883268477E-2</v>
      </c>
      <c r="EN193" s="1">
        <f>(Table1[[#This Row],[predicted_8]]-Table1[[#This Row],[actual_8]])/Table1[[#This Row],[actual_8]]</f>
        <v>3.5934291581108828E-2</v>
      </c>
      <c r="EO193" s="1">
        <f>(Table1[[#This Row],[predicted_9]]-Table1[[#This Row],[actual_9]])/Table1[[#This Row],[actual_9]]</f>
        <v>5.9464816650148661E-2</v>
      </c>
      <c r="EP193" s="1">
        <f>1+(Table1[[#This Row],[error_ratio_0]]-EF$2)</f>
        <v>1.0346938775510204</v>
      </c>
      <c r="EQ193" s="1">
        <f>1+(Table1[[#This Row],[error_ratio_1]]-EG$2)</f>
        <v>1.0220264317180616</v>
      </c>
      <c r="ER193" s="1">
        <f>1+(Table1[[#This Row],[error_ratio_2]]-EH$2)</f>
        <v>1.0406976744186047</v>
      </c>
      <c r="ES193" s="1">
        <f>1+(Table1[[#This Row],[error_ratio_3]]-EI$2)</f>
        <v>1.0267326732673268</v>
      </c>
      <c r="ET193" s="1">
        <f>1+(Table1[[#This Row],[error_ratio_4]]-EJ$2)</f>
        <v>0.97352342158859473</v>
      </c>
      <c r="EU193" s="1">
        <f>1+(Table1[[#This Row],[error_ratio_5]]-EK$2)</f>
        <v>1.0056053811659194</v>
      </c>
      <c r="EV193" s="1">
        <f>1+(Table1[[#This Row],[error_ratio_6]]-EL$2)</f>
        <v>0.89039665970772441</v>
      </c>
      <c r="EW193" s="1">
        <f>1+(Table1[[#This Row],[error_ratio_7]]-EM$2)</f>
        <v>0.89883268482490275</v>
      </c>
      <c r="EX193" s="1">
        <f>1+(Table1[[#This Row],[error_ratio_8]]-EN$2)</f>
        <v>1.0390143737166324</v>
      </c>
      <c r="EY193" s="1">
        <f>1+(Table1[[#This Row],[error_ratio_9]]-EO$2)</f>
        <v>1.0634291377601586</v>
      </c>
    </row>
    <row r="194" spans="1:155" x14ac:dyDescent="0.75">
      <c r="A194">
        <v>10</v>
      </c>
      <c r="B194">
        <v>100</v>
      </c>
      <c r="C194">
        <v>100</v>
      </c>
      <c r="D194">
        <v>100</v>
      </c>
      <c r="E194">
        <v>10</v>
      </c>
      <c r="F194">
        <v>100</v>
      </c>
      <c r="G194">
        <v>10</v>
      </c>
      <c r="H194">
        <v>10</v>
      </c>
      <c r="I194">
        <v>100</v>
      </c>
      <c r="J194">
        <v>100</v>
      </c>
      <c r="K194">
        <v>975</v>
      </c>
      <c r="L194">
        <v>1144</v>
      </c>
      <c r="M194">
        <v>1038</v>
      </c>
      <c r="N194">
        <v>1013</v>
      </c>
      <c r="O194">
        <v>948</v>
      </c>
      <c r="P194">
        <v>915</v>
      </c>
      <c r="Q194">
        <v>937</v>
      </c>
      <c r="R194">
        <v>1018</v>
      </c>
      <c r="S194">
        <v>980</v>
      </c>
      <c r="T194">
        <v>1032</v>
      </c>
      <c r="U194">
        <v>980</v>
      </c>
      <c r="V194">
        <v>1135</v>
      </c>
      <c r="W194">
        <v>1032</v>
      </c>
      <c r="X194">
        <v>1010</v>
      </c>
      <c r="Y194">
        <v>982</v>
      </c>
      <c r="Z194">
        <v>892</v>
      </c>
      <c r="AA194">
        <v>958</v>
      </c>
      <c r="AB194">
        <v>1028</v>
      </c>
      <c r="AC194">
        <v>974</v>
      </c>
      <c r="AD194">
        <v>1009</v>
      </c>
      <c r="AE194">
        <v>960</v>
      </c>
      <c r="AF194">
        <v>0</v>
      </c>
      <c r="AG194">
        <v>2</v>
      </c>
      <c r="AH194">
        <v>0</v>
      </c>
      <c r="AI194">
        <v>0</v>
      </c>
      <c r="AJ194">
        <v>3</v>
      </c>
      <c r="AK194">
        <v>4</v>
      </c>
      <c r="AL194">
        <v>2</v>
      </c>
      <c r="AM194">
        <v>3</v>
      </c>
      <c r="AN194">
        <v>6</v>
      </c>
      <c r="AO194">
        <v>0</v>
      </c>
      <c r="AP194">
        <v>1131</v>
      </c>
      <c r="AQ194">
        <v>0</v>
      </c>
      <c r="AR194">
        <v>2</v>
      </c>
      <c r="AS194">
        <v>0</v>
      </c>
      <c r="AT194">
        <v>1</v>
      </c>
      <c r="AU194">
        <v>1</v>
      </c>
      <c r="AV194">
        <v>0</v>
      </c>
      <c r="AW194">
        <v>0</v>
      </c>
      <c r="AX194">
        <v>0</v>
      </c>
      <c r="AY194">
        <v>1</v>
      </c>
      <c r="AZ194">
        <v>2</v>
      </c>
      <c r="BA194">
        <v>1016</v>
      </c>
      <c r="BB194">
        <v>2</v>
      </c>
      <c r="BC194">
        <v>0</v>
      </c>
      <c r="BD194">
        <v>0</v>
      </c>
      <c r="BE194">
        <v>1</v>
      </c>
      <c r="BF194">
        <v>6</v>
      </c>
      <c r="BG194">
        <v>3</v>
      </c>
      <c r="BH194">
        <v>1</v>
      </c>
      <c r="BI194">
        <v>0</v>
      </c>
      <c r="BJ194">
        <v>0</v>
      </c>
      <c r="BK194">
        <v>1</v>
      </c>
      <c r="BL194">
        <v>998</v>
      </c>
      <c r="BM194">
        <v>0</v>
      </c>
      <c r="BN194">
        <v>3</v>
      </c>
      <c r="BO194">
        <v>0</v>
      </c>
      <c r="BP194">
        <v>6</v>
      </c>
      <c r="BQ194">
        <v>2</v>
      </c>
      <c r="BR194">
        <v>0</v>
      </c>
      <c r="BS194">
        <v>0</v>
      </c>
      <c r="BT194">
        <v>1</v>
      </c>
      <c r="BU194">
        <v>4</v>
      </c>
      <c r="BV194">
        <v>0</v>
      </c>
      <c r="BW194">
        <v>937</v>
      </c>
      <c r="BX194">
        <v>0</v>
      </c>
      <c r="BY194">
        <v>7</v>
      </c>
      <c r="BZ194">
        <v>0</v>
      </c>
      <c r="CA194">
        <v>2</v>
      </c>
      <c r="CB194">
        <v>31</v>
      </c>
      <c r="CC194">
        <v>1</v>
      </c>
      <c r="CD194">
        <v>0</v>
      </c>
      <c r="CE194">
        <v>0</v>
      </c>
      <c r="CF194">
        <v>4</v>
      </c>
      <c r="CG194">
        <v>0</v>
      </c>
      <c r="CH194">
        <v>884</v>
      </c>
      <c r="CI194">
        <v>0</v>
      </c>
      <c r="CJ194">
        <v>1</v>
      </c>
      <c r="CK194">
        <v>2</v>
      </c>
      <c r="CL194">
        <v>0</v>
      </c>
      <c r="CM194">
        <v>6</v>
      </c>
      <c r="CN194">
        <v>4</v>
      </c>
      <c r="CO194">
        <v>0</v>
      </c>
      <c r="CP194">
        <v>0</v>
      </c>
      <c r="CQ194">
        <v>3</v>
      </c>
      <c r="CR194">
        <v>18</v>
      </c>
      <c r="CS194">
        <v>924</v>
      </c>
      <c r="CT194">
        <v>0</v>
      </c>
      <c r="CU194">
        <v>3</v>
      </c>
      <c r="CV194">
        <v>0</v>
      </c>
      <c r="CW194">
        <v>1</v>
      </c>
      <c r="CX194">
        <v>4</v>
      </c>
      <c r="CY194">
        <v>13</v>
      </c>
      <c r="CZ194">
        <v>5</v>
      </c>
      <c r="DA194">
        <v>3</v>
      </c>
      <c r="DB194">
        <v>2</v>
      </c>
      <c r="DC194">
        <v>0</v>
      </c>
      <c r="DD194">
        <v>994</v>
      </c>
      <c r="DE194">
        <v>1</v>
      </c>
      <c r="DF194">
        <v>5</v>
      </c>
      <c r="DG194">
        <v>5</v>
      </c>
      <c r="DH194">
        <v>0</v>
      </c>
      <c r="DI194">
        <v>2</v>
      </c>
      <c r="DJ194">
        <v>1</v>
      </c>
      <c r="DK194">
        <v>1</v>
      </c>
      <c r="DL194">
        <v>1</v>
      </c>
      <c r="DM194">
        <v>0</v>
      </c>
      <c r="DN194">
        <v>4</v>
      </c>
      <c r="DO194">
        <v>960</v>
      </c>
      <c r="DP194">
        <v>0</v>
      </c>
      <c r="DQ194">
        <v>1</v>
      </c>
      <c r="DR194">
        <v>2</v>
      </c>
      <c r="DS194">
        <v>0</v>
      </c>
      <c r="DT194">
        <v>1</v>
      </c>
      <c r="DU194">
        <v>4</v>
      </c>
      <c r="DV194">
        <v>3</v>
      </c>
      <c r="DW194">
        <v>0</v>
      </c>
      <c r="DX194">
        <v>5</v>
      </c>
      <c r="DY194">
        <v>4</v>
      </c>
      <c r="DZ194">
        <v>989</v>
      </c>
      <c r="EA194">
        <v>0.97929999999999995</v>
      </c>
      <c r="EB194">
        <v>0.97922419492185298</v>
      </c>
      <c r="EC194">
        <v>0.97911292288844598</v>
      </c>
      <c r="ED194">
        <v>0.97909179602580299</v>
      </c>
      <c r="EE194">
        <f>SUM(Table1[[#This Row],[ratio_0]:[ratio_9]])</f>
        <v>640</v>
      </c>
      <c r="EF194" s="1">
        <f>(Table1[[#This Row],[predicted_0]]-Table1[[#This Row],[actual_0]])/Table1[[#This Row],[actual_0]]</f>
        <v>-5.1020408163265302E-3</v>
      </c>
      <c r="EG194" s="1">
        <f>(Table1[[#This Row],[predicted_1]]-Table1[[#This Row],[actual_1]])/Table1[[#This Row],[actual_1]]</f>
        <v>7.9295154185022032E-3</v>
      </c>
      <c r="EH194" s="1">
        <f>(Table1[[#This Row],[predicted_2]]-Table1[[#This Row],[actual_2]])/Table1[[#This Row],[actual_2]]</f>
        <v>5.8139534883720929E-3</v>
      </c>
      <c r="EI194" s="1">
        <f>(Table1[[#This Row],[predicted_3]]-Table1[[#This Row],[actual_3]])/Table1[[#This Row],[actual_3]]</f>
        <v>2.9702970297029703E-3</v>
      </c>
      <c r="EJ194" s="1">
        <f>(Table1[[#This Row],[predicted_4]]-Table1[[#This Row],[actual_4]])/Table1[[#This Row],[actual_4]]</f>
        <v>-3.4623217922606926E-2</v>
      </c>
      <c r="EK194" s="1">
        <f>(Table1[[#This Row],[predicted_5]]-Table1[[#This Row],[actual_5]])/Table1[[#This Row],[actual_5]]</f>
        <v>2.5784753363228701E-2</v>
      </c>
      <c r="EL194" s="1">
        <f>(Table1[[#This Row],[predicted_6]]-Table1[[#This Row],[actual_6]])/Table1[[#This Row],[actual_6]]</f>
        <v>-2.1920668058455117E-2</v>
      </c>
      <c r="EM194" s="1">
        <f>(Table1[[#This Row],[predicted_7]]-Table1[[#This Row],[actual_7]])/Table1[[#This Row],[actual_7]]</f>
        <v>-9.727626459143969E-3</v>
      </c>
      <c r="EN194" s="1">
        <f>(Table1[[#This Row],[predicted_8]]-Table1[[#This Row],[actual_8]])/Table1[[#This Row],[actual_8]]</f>
        <v>6.1601642710472282E-3</v>
      </c>
      <c r="EO194" s="1">
        <f>(Table1[[#This Row],[predicted_9]]-Table1[[#This Row],[actual_9]])/Table1[[#This Row],[actual_9]]</f>
        <v>2.2794846382556987E-2</v>
      </c>
      <c r="EP194" s="1">
        <f>1+(Table1[[#This Row],[error_ratio_0]]-EF$2)</f>
        <v>0.99285714285714288</v>
      </c>
      <c r="EQ194" s="1">
        <f>1+(Table1[[#This Row],[error_ratio_1]]-EG$2)</f>
        <v>1.0061674008810573</v>
      </c>
      <c r="ER194" s="1">
        <f>1+(Table1[[#This Row],[error_ratio_2]]-EH$2)</f>
        <v>1.0106589147286822</v>
      </c>
      <c r="ES194" s="1">
        <f>1+(Table1[[#This Row],[error_ratio_3]]-EI$2)</f>
        <v>0.99306930693069306</v>
      </c>
      <c r="ET194" s="1">
        <f>1+(Table1[[#This Row],[error_ratio_4]]-EJ$2)</f>
        <v>0.96435845213849292</v>
      </c>
      <c r="EU194" s="1">
        <f>1+(Table1[[#This Row],[error_ratio_5]]-EK$2)</f>
        <v>1.0246636771300448</v>
      </c>
      <c r="EV194" s="1">
        <f>1+(Table1[[#This Row],[error_ratio_6]]-EL$2)</f>
        <v>0.98434237995824636</v>
      </c>
      <c r="EW194" s="1">
        <f>1+(Table1[[#This Row],[error_ratio_7]]-EM$2)</f>
        <v>0.98832684824902728</v>
      </c>
      <c r="EX194" s="1">
        <f>1+(Table1[[#This Row],[error_ratio_8]]-EN$2)</f>
        <v>1.0092402464065708</v>
      </c>
      <c r="EY194" s="1">
        <f>1+(Table1[[#This Row],[error_ratio_9]]-EO$2)</f>
        <v>1.0267591674925669</v>
      </c>
    </row>
    <row r="195" spans="1:155" x14ac:dyDescent="0.75">
      <c r="A195">
        <v>100</v>
      </c>
      <c r="B195">
        <v>10</v>
      </c>
      <c r="C195">
        <v>100</v>
      </c>
      <c r="D195">
        <v>100</v>
      </c>
      <c r="E195">
        <v>10</v>
      </c>
      <c r="F195">
        <v>100</v>
      </c>
      <c r="G195">
        <v>10</v>
      </c>
      <c r="H195">
        <v>10</v>
      </c>
      <c r="I195">
        <v>100</v>
      </c>
      <c r="J195">
        <v>100</v>
      </c>
      <c r="K195">
        <v>987</v>
      </c>
      <c r="L195">
        <v>1120</v>
      </c>
      <c r="M195">
        <v>1054</v>
      </c>
      <c r="N195">
        <v>1020</v>
      </c>
      <c r="O195">
        <v>936</v>
      </c>
      <c r="P195">
        <v>940</v>
      </c>
      <c r="Q195">
        <v>928</v>
      </c>
      <c r="R195">
        <v>973</v>
      </c>
      <c r="S195">
        <v>999</v>
      </c>
      <c r="T195">
        <v>1043</v>
      </c>
      <c r="U195">
        <v>980</v>
      </c>
      <c r="V195">
        <v>1135</v>
      </c>
      <c r="W195">
        <v>1032</v>
      </c>
      <c r="X195">
        <v>1010</v>
      </c>
      <c r="Y195">
        <v>982</v>
      </c>
      <c r="Z195">
        <v>892</v>
      </c>
      <c r="AA195">
        <v>958</v>
      </c>
      <c r="AB195">
        <v>1028</v>
      </c>
      <c r="AC195">
        <v>974</v>
      </c>
      <c r="AD195">
        <v>1009</v>
      </c>
      <c r="AE195">
        <v>973</v>
      </c>
      <c r="AF195">
        <v>0</v>
      </c>
      <c r="AG195">
        <v>0</v>
      </c>
      <c r="AH195">
        <v>0</v>
      </c>
      <c r="AI195">
        <v>0</v>
      </c>
      <c r="AJ195">
        <v>3</v>
      </c>
      <c r="AK195">
        <v>0</v>
      </c>
      <c r="AL195">
        <v>1</v>
      </c>
      <c r="AM195">
        <v>2</v>
      </c>
      <c r="AN195">
        <v>1</v>
      </c>
      <c r="AO195">
        <v>0</v>
      </c>
      <c r="AP195">
        <v>1110</v>
      </c>
      <c r="AQ195">
        <v>6</v>
      </c>
      <c r="AR195">
        <v>3</v>
      </c>
      <c r="AS195">
        <v>0</v>
      </c>
      <c r="AT195">
        <v>2</v>
      </c>
      <c r="AU195">
        <v>3</v>
      </c>
      <c r="AV195">
        <v>0</v>
      </c>
      <c r="AW195">
        <v>11</v>
      </c>
      <c r="AX195">
        <v>0</v>
      </c>
      <c r="AY195">
        <v>1</v>
      </c>
      <c r="AZ195">
        <v>0</v>
      </c>
      <c r="BA195">
        <v>1018</v>
      </c>
      <c r="BB195">
        <v>5</v>
      </c>
      <c r="BC195">
        <v>0</v>
      </c>
      <c r="BD195">
        <v>0</v>
      </c>
      <c r="BE195">
        <v>0</v>
      </c>
      <c r="BF195">
        <v>5</v>
      </c>
      <c r="BG195">
        <v>2</v>
      </c>
      <c r="BH195">
        <v>1</v>
      </c>
      <c r="BI195">
        <v>0</v>
      </c>
      <c r="BJ195">
        <v>0</v>
      </c>
      <c r="BK195">
        <v>2</v>
      </c>
      <c r="BL195">
        <v>1000</v>
      </c>
      <c r="BM195">
        <v>0</v>
      </c>
      <c r="BN195">
        <v>5</v>
      </c>
      <c r="BO195">
        <v>0</v>
      </c>
      <c r="BP195">
        <v>1</v>
      </c>
      <c r="BQ195">
        <v>2</v>
      </c>
      <c r="BR195">
        <v>0</v>
      </c>
      <c r="BS195">
        <v>0</v>
      </c>
      <c r="BT195">
        <v>2</v>
      </c>
      <c r="BU195">
        <v>7</v>
      </c>
      <c r="BV195">
        <v>0</v>
      </c>
      <c r="BW195">
        <v>929</v>
      </c>
      <c r="BX195">
        <v>1</v>
      </c>
      <c r="BY195">
        <v>10</v>
      </c>
      <c r="BZ195">
        <v>0</v>
      </c>
      <c r="CA195">
        <v>5</v>
      </c>
      <c r="CB195">
        <v>28</v>
      </c>
      <c r="CC195">
        <v>0</v>
      </c>
      <c r="CD195">
        <v>0</v>
      </c>
      <c r="CE195">
        <v>0</v>
      </c>
      <c r="CF195">
        <v>3</v>
      </c>
      <c r="CG195">
        <v>0</v>
      </c>
      <c r="CH195">
        <v>889</v>
      </c>
      <c r="CI195">
        <v>0</v>
      </c>
      <c r="CJ195">
        <v>0</v>
      </c>
      <c r="CK195">
        <v>0</v>
      </c>
      <c r="CL195">
        <v>0</v>
      </c>
      <c r="CM195">
        <v>9</v>
      </c>
      <c r="CN195">
        <v>2</v>
      </c>
      <c r="CO195">
        <v>1</v>
      </c>
      <c r="CP195">
        <v>0</v>
      </c>
      <c r="CQ195">
        <v>2</v>
      </c>
      <c r="CR195">
        <v>25</v>
      </c>
      <c r="CS195">
        <v>915</v>
      </c>
      <c r="CT195">
        <v>0</v>
      </c>
      <c r="CU195">
        <v>4</v>
      </c>
      <c r="CV195">
        <v>0</v>
      </c>
      <c r="CW195">
        <v>2</v>
      </c>
      <c r="CX195">
        <v>4</v>
      </c>
      <c r="CY195">
        <v>18</v>
      </c>
      <c r="CZ195">
        <v>8</v>
      </c>
      <c r="DA195">
        <v>1</v>
      </c>
      <c r="DB195">
        <v>5</v>
      </c>
      <c r="DC195">
        <v>0</v>
      </c>
      <c r="DD195">
        <v>964</v>
      </c>
      <c r="DE195">
        <v>5</v>
      </c>
      <c r="DF195">
        <v>21</v>
      </c>
      <c r="DG195">
        <v>2</v>
      </c>
      <c r="DH195">
        <v>0</v>
      </c>
      <c r="DI195">
        <v>2</v>
      </c>
      <c r="DJ195">
        <v>0</v>
      </c>
      <c r="DK195">
        <v>0</v>
      </c>
      <c r="DL195">
        <v>2</v>
      </c>
      <c r="DM195">
        <v>0</v>
      </c>
      <c r="DN195">
        <v>1</v>
      </c>
      <c r="DO195">
        <v>965</v>
      </c>
      <c r="DP195">
        <v>2</v>
      </c>
      <c r="DQ195">
        <v>0</v>
      </c>
      <c r="DR195">
        <v>2</v>
      </c>
      <c r="DS195">
        <v>0</v>
      </c>
      <c r="DT195">
        <v>1</v>
      </c>
      <c r="DU195">
        <v>4</v>
      </c>
      <c r="DV195">
        <v>8</v>
      </c>
      <c r="DW195">
        <v>0</v>
      </c>
      <c r="DX195">
        <v>1</v>
      </c>
      <c r="DY195">
        <v>3</v>
      </c>
      <c r="DZ195">
        <v>990</v>
      </c>
      <c r="EA195">
        <v>0.97529999999999994</v>
      </c>
      <c r="EB195">
        <v>0.97532822842789102</v>
      </c>
      <c r="EC195">
        <v>0.97548163556352696</v>
      </c>
      <c r="ED195">
        <v>0.97512403949070703</v>
      </c>
      <c r="EE195">
        <f>SUM(Table1[[#This Row],[ratio_0]:[ratio_9]])</f>
        <v>640</v>
      </c>
      <c r="EF195" s="1">
        <f>(Table1[[#This Row],[predicted_0]]-Table1[[#This Row],[actual_0]])/Table1[[#This Row],[actual_0]]</f>
        <v>7.1428571428571426E-3</v>
      </c>
      <c r="EG195" s="1">
        <f>(Table1[[#This Row],[predicted_1]]-Table1[[#This Row],[actual_1]])/Table1[[#This Row],[actual_1]]</f>
        <v>-1.3215859030837005E-2</v>
      </c>
      <c r="EH195" s="1">
        <f>(Table1[[#This Row],[predicted_2]]-Table1[[#This Row],[actual_2]])/Table1[[#This Row],[actual_2]]</f>
        <v>2.1317829457364341E-2</v>
      </c>
      <c r="EI195" s="1">
        <f>(Table1[[#This Row],[predicted_3]]-Table1[[#This Row],[actual_3]])/Table1[[#This Row],[actual_3]]</f>
        <v>9.9009900990099011E-3</v>
      </c>
      <c r="EJ195" s="1">
        <f>(Table1[[#This Row],[predicted_4]]-Table1[[#This Row],[actual_4]])/Table1[[#This Row],[actual_4]]</f>
        <v>-4.684317718940937E-2</v>
      </c>
      <c r="EK195" s="1">
        <f>(Table1[[#This Row],[predicted_5]]-Table1[[#This Row],[actual_5]])/Table1[[#This Row],[actual_5]]</f>
        <v>5.3811659192825115E-2</v>
      </c>
      <c r="EL195" s="1">
        <f>(Table1[[#This Row],[predicted_6]]-Table1[[#This Row],[actual_6]])/Table1[[#This Row],[actual_6]]</f>
        <v>-3.1315240083507306E-2</v>
      </c>
      <c r="EM195" s="1">
        <f>(Table1[[#This Row],[predicted_7]]-Table1[[#This Row],[actual_7]])/Table1[[#This Row],[actual_7]]</f>
        <v>-5.3501945525291826E-2</v>
      </c>
      <c r="EN195" s="1">
        <f>(Table1[[#This Row],[predicted_8]]-Table1[[#This Row],[actual_8]])/Table1[[#This Row],[actual_8]]</f>
        <v>2.5667351129363448E-2</v>
      </c>
      <c r="EO195" s="1">
        <f>(Table1[[#This Row],[predicted_9]]-Table1[[#This Row],[actual_9]])/Table1[[#This Row],[actual_9]]</f>
        <v>3.3696729435084241E-2</v>
      </c>
      <c r="EP195" s="1">
        <f>1+(Table1[[#This Row],[error_ratio_0]]-EF$2)</f>
        <v>1.0051020408163265</v>
      </c>
      <c r="EQ195" s="1">
        <f>1+(Table1[[#This Row],[error_ratio_1]]-EG$2)</f>
        <v>0.9850220264317181</v>
      </c>
      <c r="ER195" s="1">
        <f>1+(Table1[[#This Row],[error_ratio_2]]-EH$2)</f>
        <v>1.0261627906976745</v>
      </c>
      <c r="ES195" s="1">
        <f>1+(Table1[[#This Row],[error_ratio_3]]-EI$2)</f>
        <v>1</v>
      </c>
      <c r="ET195" s="1">
        <f>1+(Table1[[#This Row],[error_ratio_4]]-EJ$2)</f>
        <v>0.95213849287169039</v>
      </c>
      <c r="EU195" s="1">
        <f>1+(Table1[[#This Row],[error_ratio_5]]-EK$2)</f>
        <v>1.0526905829596414</v>
      </c>
      <c r="EV195" s="1">
        <f>1+(Table1[[#This Row],[error_ratio_6]]-EL$2)</f>
        <v>0.97494780793319413</v>
      </c>
      <c r="EW195" s="1">
        <f>1+(Table1[[#This Row],[error_ratio_7]]-EM$2)</f>
        <v>0.94455252918287935</v>
      </c>
      <c r="EX195" s="1">
        <f>1+(Table1[[#This Row],[error_ratio_8]]-EN$2)</f>
        <v>1.0287474332648872</v>
      </c>
      <c r="EY195" s="1">
        <f>1+(Table1[[#This Row],[error_ratio_9]]-EO$2)</f>
        <v>1.0376610505450941</v>
      </c>
    </row>
    <row r="196" spans="1:155" x14ac:dyDescent="0.75">
      <c r="A196">
        <v>100</v>
      </c>
      <c r="B196">
        <v>100</v>
      </c>
      <c r="C196">
        <v>10</v>
      </c>
      <c r="D196">
        <v>100</v>
      </c>
      <c r="E196">
        <v>10</v>
      </c>
      <c r="F196">
        <v>100</v>
      </c>
      <c r="G196">
        <v>10</v>
      </c>
      <c r="H196">
        <v>10</v>
      </c>
      <c r="I196">
        <v>100</v>
      </c>
      <c r="J196">
        <v>100</v>
      </c>
      <c r="K196">
        <v>1014</v>
      </c>
      <c r="L196">
        <v>1143</v>
      </c>
      <c r="M196">
        <v>991</v>
      </c>
      <c r="N196">
        <v>1047</v>
      </c>
      <c r="O196">
        <v>961</v>
      </c>
      <c r="P196">
        <v>911</v>
      </c>
      <c r="Q196">
        <v>926</v>
      </c>
      <c r="R196">
        <v>952</v>
      </c>
      <c r="S196">
        <v>1009</v>
      </c>
      <c r="T196">
        <v>1046</v>
      </c>
      <c r="U196">
        <v>980</v>
      </c>
      <c r="V196">
        <v>1135</v>
      </c>
      <c r="W196">
        <v>1032</v>
      </c>
      <c r="X196">
        <v>1010</v>
      </c>
      <c r="Y196">
        <v>982</v>
      </c>
      <c r="Z196">
        <v>892</v>
      </c>
      <c r="AA196">
        <v>958</v>
      </c>
      <c r="AB196">
        <v>1028</v>
      </c>
      <c r="AC196">
        <v>974</v>
      </c>
      <c r="AD196">
        <v>1009</v>
      </c>
      <c r="AE196">
        <v>976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1</v>
      </c>
      <c r="AM196">
        <v>2</v>
      </c>
      <c r="AN196">
        <v>1</v>
      </c>
      <c r="AO196">
        <v>0</v>
      </c>
      <c r="AP196">
        <v>1123</v>
      </c>
      <c r="AQ196">
        <v>1</v>
      </c>
      <c r="AR196">
        <v>2</v>
      </c>
      <c r="AS196">
        <v>0</v>
      </c>
      <c r="AT196">
        <v>2</v>
      </c>
      <c r="AU196">
        <v>3</v>
      </c>
      <c r="AV196">
        <v>0</v>
      </c>
      <c r="AW196">
        <v>4</v>
      </c>
      <c r="AX196">
        <v>0</v>
      </c>
      <c r="AY196">
        <v>13</v>
      </c>
      <c r="AZ196">
        <v>5</v>
      </c>
      <c r="BA196">
        <v>962</v>
      </c>
      <c r="BB196">
        <v>15</v>
      </c>
      <c r="BC196">
        <v>4</v>
      </c>
      <c r="BD196">
        <v>4</v>
      </c>
      <c r="BE196">
        <v>8</v>
      </c>
      <c r="BF196">
        <v>5</v>
      </c>
      <c r="BG196">
        <v>16</v>
      </c>
      <c r="BH196">
        <v>0</v>
      </c>
      <c r="BI196">
        <v>0</v>
      </c>
      <c r="BJ196">
        <v>0</v>
      </c>
      <c r="BK196">
        <v>1</v>
      </c>
      <c r="BL196">
        <v>1003</v>
      </c>
      <c r="BM196">
        <v>0</v>
      </c>
      <c r="BN196">
        <v>3</v>
      </c>
      <c r="BO196">
        <v>0</v>
      </c>
      <c r="BP196">
        <v>0</v>
      </c>
      <c r="BQ196">
        <v>1</v>
      </c>
      <c r="BR196">
        <v>2</v>
      </c>
      <c r="BS196">
        <v>2</v>
      </c>
      <c r="BT196">
        <v>5</v>
      </c>
      <c r="BU196">
        <v>0</v>
      </c>
      <c r="BV196">
        <v>0</v>
      </c>
      <c r="BW196">
        <v>939</v>
      </c>
      <c r="BX196">
        <v>0</v>
      </c>
      <c r="BY196">
        <v>5</v>
      </c>
      <c r="BZ196">
        <v>1</v>
      </c>
      <c r="CA196">
        <v>9</v>
      </c>
      <c r="CB196">
        <v>21</v>
      </c>
      <c r="CC196">
        <v>1</v>
      </c>
      <c r="CD196">
        <v>0</v>
      </c>
      <c r="CE196">
        <v>0</v>
      </c>
      <c r="CF196">
        <v>4</v>
      </c>
      <c r="CG196">
        <v>0</v>
      </c>
      <c r="CH196">
        <v>884</v>
      </c>
      <c r="CI196">
        <v>0</v>
      </c>
      <c r="CJ196">
        <v>1</v>
      </c>
      <c r="CK196">
        <v>2</v>
      </c>
      <c r="CL196">
        <v>0</v>
      </c>
      <c r="CM196">
        <v>20</v>
      </c>
      <c r="CN196">
        <v>2</v>
      </c>
      <c r="CO196">
        <v>0</v>
      </c>
      <c r="CP196">
        <v>0</v>
      </c>
      <c r="CQ196">
        <v>12</v>
      </c>
      <c r="CR196">
        <v>11</v>
      </c>
      <c r="CS196">
        <v>910</v>
      </c>
      <c r="CT196">
        <v>0</v>
      </c>
      <c r="CU196">
        <v>3</v>
      </c>
      <c r="CV196">
        <v>0</v>
      </c>
      <c r="CW196">
        <v>1</v>
      </c>
      <c r="CX196">
        <v>8</v>
      </c>
      <c r="CY196">
        <v>27</v>
      </c>
      <c r="CZ196">
        <v>19</v>
      </c>
      <c r="DA196">
        <v>4</v>
      </c>
      <c r="DB196">
        <v>1</v>
      </c>
      <c r="DC196">
        <v>0</v>
      </c>
      <c r="DD196">
        <v>936</v>
      </c>
      <c r="DE196">
        <v>5</v>
      </c>
      <c r="DF196">
        <v>27</v>
      </c>
      <c r="DG196">
        <v>1</v>
      </c>
      <c r="DH196">
        <v>0</v>
      </c>
      <c r="DI196">
        <v>0</v>
      </c>
      <c r="DJ196">
        <v>0</v>
      </c>
      <c r="DK196">
        <v>0</v>
      </c>
      <c r="DL196">
        <v>1</v>
      </c>
      <c r="DM196">
        <v>0</v>
      </c>
      <c r="DN196">
        <v>4</v>
      </c>
      <c r="DO196">
        <v>964</v>
      </c>
      <c r="DP196">
        <v>4</v>
      </c>
      <c r="DQ196">
        <v>0</v>
      </c>
      <c r="DR196">
        <v>0</v>
      </c>
      <c r="DS196">
        <v>0</v>
      </c>
      <c r="DT196">
        <v>4</v>
      </c>
      <c r="DU196">
        <v>2</v>
      </c>
      <c r="DV196">
        <v>5</v>
      </c>
      <c r="DW196">
        <v>0</v>
      </c>
      <c r="DX196">
        <v>4</v>
      </c>
      <c r="DY196">
        <v>3</v>
      </c>
      <c r="DZ196">
        <v>991</v>
      </c>
      <c r="EA196">
        <v>0.96879999999999999</v>
      </c>
      <c r="EB196">
        <v>0.96899428433508905</v>
      </c>
      <c r="EC196">
        <v>0.969012379944591</v>
      </c>
      <c r="ED196">
        <v>0.96865186777257895</v>
      </c>
      <c r="EE196">
        <f>SUM(Table1[[#This Row],[ratio_0]:[ratio_9]])</f>
        <v>640</v>
      </c>
      <c r="EF196" s="1">
        <f>(Table1[[#This Row],[predicted_0]]-Table1[[#This Row],[actual_0]])/Table1[[#This Row],[actual_0]]</f>
        <v>3.4693877551020408E-2</v>
      </c>
      <c r="EG196" s="1">
        <f>(Table1[[#This Row],[predicted_1]]-Table1[[#This Row],[actual_1]])/Table1[[#This Row],[actual_1]]</f>
        <v>7.048458149779736E-3</v>
      </c>
      <c r="EH196" s="1">
        <f>(Table1[[#This Row],[predicted_2]]-Table1[[#This Row],[actual_2]])/Table1[[#This Row],[actual_2]]</f>
        <v>-3.9728682170542637E-2</v>
      </c>
      <c r="EI196" s="1">
        <f>(Table1[[#This Row],[predicted_3]]-Table1[[#This Row],[actual_3]])/Table1[[#This Row],[actual_3]]</f>
        <v>3.6633663366336632E-2</v>
      </c>
      <c r="EJ196" s="1">
        <f>(Table1[[#This Row],[predicted_4]]-Table1[[#This Row],[actual_4]])/Table1[[#This Row],[actual_4]]</f>
        <v>-2.1384928716904276E-2</v>
      </c>
      <c r="EK196" s="1">
        <f>(Table1[[#This Row],[predicted_5]]-Table1[[#This Row],[actual_5]])/Table1[[#This Row],[actual_5]]</f>
        <v>2.1300448430493273E-2</v>
      </c>
      <c r="EL196" s="1">
        <f>(Table1[[#This Row],[predicted_6]]-Table1[[#This Row],[actual_6]])/Table1[[#This Row],[actual_6]]</f>
        <v>-3.3402922755741124E-2</v>
      </c>
      <c r="EM196" s="1">
        <f>(Table1[[#This Row],[predicted_7]]-Table1[[#This Row],[actual_7]])/Table1[[#This Row],[actual_7]]</f>
        <v>-7.3929961089494164E-2</v>
      </c>
      <c r="EN196" s="1">
        <f>(Table1[[#This Row],[predicted_8]]-Table1[[#This Row],[actual_8]])/Table1[[#This Row],[actual_8]]</f>
        <v>3.5934291581108828E-2</v>
      </c>
      <c r="EO196" s="1">
        <f>(Table1[[#This Row],[predicted_9]]-Table1[[#This Row],[actual_9]])/Table1[[#This Row],[actual_9]]</f>
        <v>3.6669970267591674E-2</v>
      </c>
      <c r="EP196" s="1">
        <f>1+(Table1[[#This Row],[error_ratio_0]]-EF$2)</f>
        <v>1.0326530612244897</v>
      </c>
      <c r="EQ196" s="1">
        <f>1+(Table1[[#This Row],[error_ratio_1]]-EG$2)</f>
        <v>1.0052863436123347</v>
      </c>
      <c r="ER196" s="1">
        <f>1+(Table1[[#This Row],[error_ratio_2]]-EH$2)</f>
        <v>0.96511627906976749</v>
      </c>
      <c r="ES196" s="1">
        <f>1+(Table1[[#This Row],[error_ratio_3]]-EI$2)</f>
        <v>1.0267326732673268</v>
      </c>
      <c r="ET196" s="1">
        <f>1+(Table1[[#This Row],[error_ratio_4]]-EJ$2)</f>
        <v>0.9775967413441955</v>
      </c>
      <c r="EU196" s="1">
        <f>1+(Table1[[#This Row],[error_ratio_5]]-EK$2)</f>
        <v>1.0201793721973094</v>
      </c>
      <c r="EV196" s="1">
        <f>1+(Table1[[#This Row],[error_ratio_6]]-EL$2)</f>
        <v>0.97286012526096033</v>
      </c>
      <c r="EW196" s="1">
        <f>1+(Table1[[#This Row],[error_ratio_7]]-EM$2)</f>
        <v>0.92412451361867709</v>
      </c>
      <c r="EX196" s="1">
        <f>1+(Table1[[#This Row],[error_ratio_8]]-EN$2)</f>
        <v>1.0390143737166324</v>
      </c>
      <c r="EY196" s="1">
        <f>1+(Table1[[#This Row],[error_ratio_9]]-EO$2)</f>
        <v>1.0406342913776017</v>
      </c>
    </row>
    <row r="197" spans="1:155" x14ac:dyDescent="0.75">
      <c r="A197">
        <v>10</v>
      </c>
      <c r="B197">
        <v>100</v>
      </c>
      <c r="C197">
        <v>10</v>
      </c>
      <c r="D197">
        <v>100</v>
      </c>
      <c r="E197">
        <v>10</v>
      </c>
      <c r="F197">
        <v>100</v>
      </c>
      <c r="G197">
        <v>10</v>
      </c>
      <c r="H197">
        <v>10</v>
      </c>
      <c r="I197">
        <v>100</v>
      </c>
      <c r="J197">
        <v>100</v>
      </c>
      <c r="K197">
        <v>991</v>
      </c>
      <c r="L197">
        <v>1182</v>
      </c>
      <c r="M197">
        <v>934</v>
      </c>
      <c r="N197">
        <v>1077</v>
      </c>
      <c r="O197">
        <v>855</v>
      </c>
      <c r="P197">
        <v>888</v>
      </c>
      <c r="Q197">
        <v>933</v>
      </c>
      <c r="R197">
        <v>1019</v>
      </c>
      <c r="S197">
        <v>1017</v>
      </c>
      <c r="T197">
        <v>1104</v>
      </c>
      <c r="U197">
        <v>980</v>
      </c>
      <c r="V197">
        <v>1135</v>
      </c>
      <c r="W197">
        <v>1032</v>
      </c>
      <c r="X197">
        <v>1010</v>
      </c>
      <c r="Y197">
        <v>982</v>
      </c>
      <c r="Z197">
        <v>892</v>
      </c>
      <c r="AA197">
        <v>958</v>
      </c>
      <c r="AB197">
        <v>1028</v>
      </c>
      <c r="AC197">
        <v>974</v>
      </c>
      <c r="AD197">
        <v>1009</v>
      </c>
      <c r="AE197">
        <v>958</v>
      </c>
      <c r="AF197">
        <v>0</v>
      </c>
      <c r="AG197">
        <v>0</v>
      </c>
      <c r="AH197">
        <v>2</v>
      </c>
      <c r="AI197">
        <v>0</v>
      </c>
      <c r="AJ197">
        <v>5</v>
      </c>
      <c r="AK197">
        <v>7</v>
      </c>
      <c r="AL197">
        <v>3</v>
      </c>
      <c r="AM197">
        <v>5</v>
      </c>
      <c r="AN197">
        <v>0</v>
      </c>
      <c r="AO197">
        <v>0</v>
      </c>
      <c r="AP197">
        <v>1130</v>
      </c>
      <c r="AQ197">
        <v>0</v>
      </c>
      <c r="AR197">
        <v>0</v>
      </c>
      <c r="AS197">
        <v>0</v>
      </c>
      <c r="AT197">
        <v>1</v>
      </c>
      <c r="AU197">
        <v>2</v>
      </c>
      <c r="AV197">
        <v>0</v>
      </c>
      <c r="AW197">
        <v>2</v>
      </c>
      <c r="AX197">
        <v>0</v>
      </c>
      <c r="AY197">
        <v>10</v>
      </c>
      <c r="AZ197">
        <v>27</v>
      </c>
      <c r="BA197">
        <v>913</v>
      </c>
      <c r="BB197">
        <v>15</v>
      </c>
      <c r="BC197">
        <v>0</v>
      </c>
      <c r="BD197">
        <v>0</v>
      </c>
      <c r="BE197">
        <v>3</v>
      </c>
      <c r="BF197">
        <v>29</v>
      </c>
      <c r="BG197">
        <v>34</v>
      </c>
      <c r="BH197">
        <v>1</v>
      </c>
      <c r="BI197">
        <v>0</v>
      </c>
      <c r="BJ197">
        <v>0</v>
      </c>
      <c r="BK197">
        <v>1</v>
      </c>
      <c r="BL197">
        <v>1002</v>
      </c>
      <c r="BM197">
        <v>0</v>
      </c>
      <c r="BN197">
        <v>0</v>
      </c>
      <c r="BO197">
        <v>0</v>
      </c>
      <c r="BP197">
        <v>2</v>
      </c>
      <c r="BQ197">
        <v>3</v>
      </c>
      <c r="BR197">
        <v>2</v>
      </c>
      <c r="BS197">
        <v>4</v>
      </c>
      <c r="BT197">
        <v>0</v>
      </c>
      <c r="BU197">
        <v>16</v>
      </c>
      <c r="BV197">
        <v>5</v>
      </c>
      <c r="BW197">
        <v>848</v>
      </c>
      <c r="BX197">
        <v>0</v>
      </c>
      <c r="BY197">
        <v>15</v>
      </c>
      <c r="BZ197">
        <v>2</v>
      </c>
      <c r="CA197">
        <v>3</v>
      </c>
      <c r="CB197">
        <v>89</v>
      </c>
      <c r="CC197">
        <v>0</v>
      </c>
      <c r="CD197">
        <v>3</v>
      </c>
      <c r="CE197">
        <v>1</v>
      </c>
      <c r="CF197">
        <v>34</v>
      </c>
      <c r="CG197">
        <v>0</v>
      </c>
      <c r="CH197">
        <v>853</v>
      </c>
      <c r="CI197">
        <v>0</v>
      </c>
      <c r="CJ197">
        <v>0</v>
      </c>
      <c r="CK197">
        <v>1</v>
      </c>
      <c r="CL197">
        <v>0</v>
      </c>
      <c r="CM197">
        <v>16</v>
      </c>
      <c r="CN197">
        <v>5</v>
      </c>
      <c r="CO197">
        <v>2</v>
      </c>
      <c r="CP197">
        <v>2</v>
      </c>
      <c r="CQ197">
        <v>5</v>
      </c>
      <c r="CR197">
        <v>16</v>
      </c>
      <c r="CS197">
        <v>906</v>
      </c>
      <c r="CT197">
        <v>0</v>
      </c>
      <c r="CU197">
        <v>6</v>
      </c>
      <c r="CV197">
        <v>0</v>
      </c>
      <c r="CW197">
        <v>1</v>
      </c>
      <c r="CX197">
        <v>15</v>
      </c>
      <c r="CY197">
        <v>1</v>
      </c>
      <c r="CZ197">
        <v>10</v>
      </c>
      <c r="DA197">
        <v>0</v>
      </c>
      <c r="DB197">
        <v>4</v>
      </c>
      <c r="DC197">
        <v>0</v>
      </c>
      <c r="DD197">
        <v>978</v>
      </c>
      <c r="DE197">
        <v>2</v>
      </c>
      <c r="DF197">
        <v>17</v>
      </c>
      <c r="DG197">
        <v>1</v>
      </c>
      <c r="DH197">
        <v>0</v>
      </c>
      <c r="DI197">
        <v>0</v>
      </c>
      <c r="DJ197">
        <v>1</v>
      </c>
      <c r="DK197">
        <v>1</v>
      </c>
      <c r="DL197">
        <v>2</v>
      </c>
      <c r="DM197">
        <v>0</v>
      </c>
      <c r="DN197">
        <v>4</v>
      </c>
      <c r="DO197">
        <v>961</v>
      </c>
      <c r="DP197">
        <v>4</v>
      </c>
      <c r="DQ197">
        <v>1</v>
      </c>
      <c r="DR197">
        <v>2</v>
      </c>
      <c r="DS197">
        <v>0</v>
      </c>
      <c r="DT197">
        <v>6</v>
      </c>
      <c r="DU197">
        <v>1</v>
      </c>
      <c r="DV197">
        <v>7</v>
      </c>
      <c r="DW197">
        <v>0</v>
      </c>
      <c r="DX197">
        <v>1</v>
      </c>
      <c r="DY197">
        <v>0</v>
      </c>
      <c r="DZ197">
        <v>991</v>
      </c>
      <c r="EA197">
        <v>0.95399999999999996</v>
      </c>
      <c r="EB197">
        <v>0.95563902812337997</v>
      </c>
      <c r="EC197">
        <v>0.95356323302030499</v>
      </c>
      <c r="ED197">
        <v>0.95353001577709195</v>
      </c>
      <c r="EE197">
        <f>SUM(Table1[[#This Row],[ratio_0]:[ratio_9]])</f>
        <v>550</v>
      </c>
      <c r="EF197" s="1">
        <f>(Table1[[#This Row],[predicted_0]]-Table1[[#This Row],[actual_0]])/Table1[[#This Row],[actual_0]]</f>
        <v>1.1224489795918367E-2</v>
      </c>
      <c r="EG197" s="1">
        <f>(Table1[[#This Row],[predicted_1]]-Table1[[#This Row],[actual_1]])/Table1[[#This Row],[actual_1]]</f>
        <v>4.1409691629955947E-2</v>
      </c>
      <c r="EH197" s="1">
        <f>(Table1[[#This Row],[predicted_2]]-Table1[[#This Row],[actual_2]])/Table1[[#This Row],[actual_2]]</f>
        <v>-9.4961240310077522E-2</v>
      </c>
      <c r="EI197" s="1">
        <f>(Table1[[#This Row],[predicted_3]]-Table1[[#This Row],[actual_3]])/Table1[[#This Row],[actual_3]]</f>
        <v>6.633663366336634E-2</v>
      </c>
      <c r="EJ197" s="1">
        <f>(Table1[[#This Row],[predicted_4]]-Table1[[#This Row],[actual_4]])/Table1[[#This Row],[actual_4]]</f>
        <v>-0.12932790224032586</v>
      </c>
      <c r="EK197" s="1">
        <f>(Table1[[#This Row],[predicted_5]]-Table1[[#This Row],[actual_5]])/Table1[[#This Row],[actual_5]]</f>
        <v>-4.4843049327354259E-3</v>
      </c>
      <c r="EL197" s="1">
        <f>(Table1[[#This Row],[predicted_6]]-Table1[[#This Row],[actual_6]])/Table1[[#This Row],[actual_6]]</f>
        <v>-2.6096033402922755E-2</v>
      </c>
      <c r="EM197" s="1">
        <f>(Table1[[#This Row],[predicted_7]]-Table1[[#This Row],[actual_7]])/Table1[[#This Row],[actual_7]]</f>
        <v>-8.7548638132295721E-3</v>
      </c>
      <c r="EN197" s="1">
        <f>(Table1[[#This Row],[predicted_8]]-Table1[[#This Row],[actual_8]])/Table1[[#This Row],[actual_8]]</f>
        <v>4.4147843942505136E-2</v>
      </c>
      <c r="EO197" s="1">
        <f>(Table1[[#This Row],[predicted_9]]-Table1[[#This Row],[actual_9]])/Table1[[#This Row],[actual_9]]</f>
        <v>9.4152626362735387E-2</v>
      </c>
      <c r="EP197" s="1">
        <f>1+(Table1[[#This Row],[error_ratio_0]]-EF$2)</f>
        <v>1.0091836734693878</v>
      </c>
      <c r="EQ197" s="1">
        <f>1+(Table1[[#This Row],[error_ratio_1]]-EG$2)</f>
        <v>1.0396475770925111</v>
      </c>
      <c r="ER197" s="1">
        <f>1+(Table1[[#This Row],[error_ratio_2]]-EH$2)</f>
        <v>0.90988372093023251</v>
      </c>
      <c r="ES197" s="1">
        <f>1+(Table1[[#This Row],[error_ratio_3]]-EI$2)</f>
        <v>1.0564356435643565</v>
      </c>
      <c r="ET197" s="1">
        <f>1+(Table1[[#This Row],[error_ratio_4]]-EJ$2)</f>
        <v>0.86965376782077397</v>
      </c>
      <c r="EU197" s="1">
        <f>1+(Table1[[#This Row],[error_ratio_5]]-EK$2)</f>
        <v>0.99439461883408076</v>
      </c>
      <c r="EV197" s="1">
        <f>1+(Table1[[#This Row],[error_ratio_6]]-EL$2)</f>
        <v>0.98016701461377875</v>
      </c>
      <c r="EW197" s="1">
        <f>1+(Table1[[#This Row],[error_ratio_7]]-EM$2)</f>
        <v>0.98929961089494167</v>
      </c>
      <c r="EX197" s="1">
        <f>1+(Table1[[#This Row],[error_ratio_8]]-EN$2)</f>
        <v>1.0472279260780288</v>
      </c>
      <c r="EY197" s="1">
        <f>1+(Table1[[#This Row],[error_ratio_9]]-EO$2)</f>
        <v>1.0981169474727452</v>
      </c>
    </row>
    <row r="198" spans="1:155" x14ac:dyDescent="0.75">
      <c r="A198">
        <v>100</v>
      </c>
      <c r="B198">
        <v>10</v>
      </c>
      <c r="C198">
        <v>10</v>
      </c>
      <c r="D198">
        <v>100</v>
      </c>
      <c r="E198">
        <v>10</v>
      </c>
      <c r="F198">
        <v>100</v>
      </c>
      <c r="G198">
        <v>10</v>
      </c>
      <c r="H198">
        <v>10</v>
      </c>
      <c r="I198">
        <v>100</v>
      </c>
      <c r="J198">
        <v>100</v>
      </c>
      <c r="K198">
        <v>1030</v>
      </c>
      <c r="L198">
        <v>1158</v>
      </c>
      <c r="M198">
        <v>969</v>
      </c>
      <c r="N198">
        <v>1033</v>
      </c>
      <c r="O198">
        <v>1044</v>
      </c>
      <c r="P198">
        <v>920</v>
      </c>
      <c r="Q198">
        <v>923</v>
      </c>
      <c r="R198">
        <v>1004</v>
      </c>
      <c r="S198">
        <v>996</v>
      </c>
      <c r="T198">
        <v>923</v>
      </c>
      <c r="U198">
        <v>980</v>
      </c>
      <c r="V198">
        <v>1135</v>
      </c>
      <c r="W198">
        <v>1032</v>
      </c>
      <c r="X198">
        <v>1010</v>
      </c>
      <c r="Y198">
        <v>982</v>
      </c>
      <c r="Z198">
        <v>892</v>
      </c>
      <c r="AA198">
        <v>958</v>
      </c>
      <c r="AB198">
        <v>1028</v>
      </c>
      <c r="AC198">
        <v>974</v>
      </c>
      <c r="AD198">
        <v>1009</v>
      </c>
      <c r="AE198">
        <v>979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1</v>
      </c>
      <c r="AN198">
        <v>0</v>
      </c>
      <c r="AO198">
        <v>0</v>
      </c>
      <c r="AP198">
        <v>1127</v>
      </c>
      <c r="AQ198">
        <v>2</v>
      </c>
      <c r="AR198">
        <v>3</v>
      </c>
      <c r="AS198">
        <v>0</v>
      </c>
      <c r="AT198">
        <v>1</v>
      </c>
      <c r="AU198">
        <v>2</v>
      </c>
      <c r="AV198">
        <v>0</v>
      </c>
      <c r="AW198">
        <v>0</v>
      </c>
      <c r="AX198">
        <v>0</v>
      </c>
      <c r="AY198">
        <v>18</v>
      </c>
      <c r="AZ198">
        <v>10</v>
      </c>
      <c r="BA198">
        <v>950</v>
      </c>
      <c r="BB198">
        <v>15</v>
      </c>
      <c r="BC198">
        <v>2</v>
      </c>
      <c r="BD198">
        <v>0</v>
      </c>
      <c r="BE198">
        <v>5</v>
      </c>
      <c r="BF198">
        <v>15</v>
      </c>
      <c r="BG198">
        <v>17</v>
      </c>
      <c r="BH198">
        <v>0</v>
      </c>
      <c r="BI198">
        <v>0</v>
      </c>
      <c r="BJ198">
        <v>0</v>
      </c>
      <c r="BK198">
        <v>2</v>
      </c>
      <c r="BL198">
        <v>999</v>
      </c>
      <c r="BM198">
        <v>0</v>
      </c>
      <c r="BN198">
        <v>3</v>
      </c>
      <c r="BO198">
        <v>0</v>
      </c>
      <c r="BP198">
        <v>4</v>
      </c>
      <c r="BQ198">
        <v>2</v>
      </c>
      <c r="BR198">
        <v>0</v>
      </c>
      <c r="BS198">
        <v>2</v>
      </c>
      <c r="BT198">
        <v>4</v>
      </c>
      <c r="BU198">
        <v>0</v>
      </c>
      <c r="BV198">
        <v>0</v>
      </c>
      <c r="BW198">
        <v>968</v>
      </c>
      <c r="BX198">
        <v>0</v>
      </c>
      <c r="BY198">
        <v>3</v>
      </c>
      <c r="BZ198">
        <v>0</v>
      </c>
      <c r="CA198">
        <v>2</v>
      </c>
      <c r="CB198">
        <v>3</v>
      </c>
      <c r="CC198">
        <v>1</v>
      </c>
      <c r="CD198">
        <v>0</v>
      </c>
      <c r="CE198">
        <v>0</v>
      </c>
      <c r="CF198">
        <v>7</v>
      </c>
      <c r="CG198">
        <v>0</v>
      </c>
      <c r="CH198">
        <v>880</v>
      </c>
      <c r="CI198">
        <v>1</v>
      </c>
      <c r="CJ198">
        <v>1</v>
      </c>
      <c r="CK198">
        <v>2</v>
      </c>
      <c r="CL198">
        <v>0</v>
      </c>
      <c r="CM198">
        <v>22</v>
      </c>
      <c r="CN198">
        <v>4</v>
      </c>
      <c r="CO198">
        <v>0</v>
      </c>
      <c r="CP198">
        <v>0</v>
      </c>
      <c r="CQ198">
        <v>4</v>
      </c>
      <c r="CR198">
        <v>15</v>
      </c>
      <c r="CS198">
        <v>912</v>
      </c>
      <c r="CT198">
        <v>0</v>
      </c>
      <c r="CU198">
        <v>1</v>
      </c>
      <c r="CV198">
        <v>0</v>
      </c>
      <c r="CW198">
        <v>2</v>
      </c>
      <c r="CX198">
        <v>9</v>
      </c>
      <c r="CY198">
        <v>13</v>
      </c>
      <c r="CZ198">
        <v>4</v>
      </c>
      <c r="DA198">
        <v>5</v>
      </c>
      <c r="DB198">
        <v>3</v>
      </c>
      <c r="DC198">
        <v>0</v>
      </c>
      <c r="DD198">
        <v>979</v>
      </c>
      <c r="DE198">
        <v>3</v>
      </c>
      <c r="DF198">
        <v>10</v>
      </c>
      <c r="DG198">
        <v>1</v>
      </c>
      <c r="DH198">
        <v>0</v>
      </c>
      <c r="DI198">
        <v>2</v>
      </c>
      <c r="DJ198">
        <v>0</v>
      </c>
      <c r="DK198">
        <v>2</v>
      </c>
      <c r="DL198">
        <v>2</v>
      </c>
      <c r="DM198">
        <v>0</v>
      </c>
      <c r="DN198">
        <v>3</v>
      </c>
      <c r="DO198">
        <v>964</v>
      </c>
      <c r="DP198">
        <v>0</v>
      </c>
      <c r="DQ198">
        <v>5</v>
      </c>
      <c r="DR198">
        <v>4</v>
      </c>
      <c r="DS198">
        <v>0</v>
      </c>
      <c r="DT198">
        <v>5</v>
      </c>
      <c r="DU198">
        <v>63</v>
      </c>
      <c r="DV198">
        <v>16</v>
      </c>
      <c r="DW198">
        <v>0</v>
      </c>
      <c r="DX198">
        <v>2</v>
      </c>
      <c r="DY198">
        <v>4</v>
      </c>
      <c r="DZ198">
        <v>910</v>
      </c>
      <c r="EA198">
        <v>0.96679999999999999</v>
      </c>
      <c r="EB198">
        <v>0.96718871819257501</v>
      </c>
      <c r="EC198">
        <v>0.96698071872584701</v>
      </c>
      <c r="ED198">
        <v>0.96654886290765596</v>
      </c>
      <c r="EE198">
        <f>SUM(Table1[[#This Row],[ratio_0]:[ratio_9]])</f>
        <v>550</v>
      </c>
      <c r="EF198" s="1">
        <f>(Table1[[#This Row],[predicted_0]]-Table1[[#This Row],[actual_0]])/Table1[[#This Row],[actual_0]]</f>
        <v>5.1020408163265307E-2</v>
      </c>
      <c r="EG198" s="1">
        <f>(Table1[[#This Row],[predicted_1]]-Table1[[#This Row],[actual_1]])/Table1[[#This Row],[actual_1]]</f>
        <v>2.0264317180616741E-2</v>
      </c>
      <c r="EH198" s="1">
        <f>(Table1[[#This Row],[predicted_2]]-Table1[[#This Row],[actual_2]])/Table1[[#This Row],[actual_2]]</f>
        <v>-6.1046511627906974E-2</v>
      </c>
      <c r="EI198" s="1">
        <f>(Table1[[#This Row],[predicted_3]]-Table1[[#This Row],[actual_3]])/Table1[[#This Row],[actual_3]]</f>
        <v>2.2772277227722772E-2</v>
      </c>
      <c r="EJ198" s="1">
        <f>(Table1[[#This Row],[predicted_4]]-Table1[[#This Row],[actual_4]])/Table1[[#This Row],[actual_4]]</f>
        <v>6.313645621181263E-2</v>
      </c>
      <c r="EK198" s="1">
        <f>(Table1[[#This Row],[predicted_5]]-Table1[[#This Row],[actual_5]])/Table1[[#This Row],[actual_5]]</f>
        <v>3.1390134529147982E-2</v>
      </c>
      <c r="EL198" s="1">
        <f>(Table1[[#This Row],[predicted_6]]-Table1[[#This Row],[actual_6]])/Table1[[#This Row],[actual_6]]</f>
        <v>-3.6534446764091857E-2</v>
      </c>
      <c r="EM198" s="1">
        <f>(Table1[[#This Row],[predicted_7]]-Table1[[#This Row],[actual_7]])/Table1[[#This Row],[actual_7]]</f>
        <v>-2.3346303501945526E-2</v>
      </c>
      <c r="EN198" s="1">
        <f>(Table1[[#This Row],[predicted_8]]-Table1[[#This Row],[actual_8]])/Table1[[#This Row],[actual_8]]</f>
        <v>2.2587268993839837E-2</v>
      </c>
      <c r="EO198" s="1">
        <f>(Table1[[#This Row],[predicted_9]]-Table1[[#This Row],[actual_9]])/Table1[[#This Row],[actual_9]]</f>
        <v>-8.523290386521308E-2</v>
      </c>
      <c r="EP198" s="1">
        <f>1+(Table1[[#This Row],[error_ratio_0]]-EF$2)</f>
        <v>1.0489795918367346</v>
      </c>
      <c r="EQ198" s="1">
        <f>1+(Table1[[#This Row],[error_ratio_1]]-EG$2)</f>
        <v>1.0185022026431718</v>
      </c>
      <c r="ER198" s="1">
        <f>1+(Table1[[#This Row],[error_ratio_2]]-EH$2)</f>
        <v>0.94379844961240311</v>
      </c>
      <c r="ES198" s="1">
        <f>1+(Table1[[#This Row],[error_ratio_3]]-EI$2)</f>
        <v>1.0128712871287129</v>
      </c>
      <c r="ET198" s="1">
        <f>1+(Table1[[#This Row],[error_ratio_4]]-EJ$2)</f>
        <v>1.0621181262729125</v>
      </c>
      <c r="EU198" s="1">
        <f>1+(Table1[[#This Row],[error_ratio_5]]-EK$2)</f>
        <v>1.0302690582959642</v>
      </c>
      <c r="EV198" s="1">
        <f>1+(Table1[[#This Row],[error_ratio_6]]-EL$2)</f>
        <v>0.96972860125260962</v>
      </c>
      <c r="EW198" s="1">
        <f>1+(Table1[[#This Row],[error_ratio_7]]-EM$2)</f>
        <v>0.97470817120622566</v>
      </c>
      <c r="EX198" s="1">
        <f>1+(Table1[[#This Row],[error_ratio_8]]-EN$2)</f>
        <v>1.0256673511293635</v>
      </c>
      <c r="EY198" s="1">
        <f>1+(Table1[[#This Row],[error_ratio_9]]-EO$2)</f>
        <v>0.91873141724479679</v>
      </c>
    </row>
    <row r="199" spans="1:155" x14ac:dyDescent="0.75">
      <c r="A199">
        <v>10</v>
      </c>
      <c r="B199">
        <v>10</v>
      </c>
      <c r="C199">
        <v>10</v>
      </c>
      <c r="D199">
        <v>100</v>
      </c>
      <c r="E199">
        <v>10</v>
      </c>
      <c r="F199">
        <v>100</v>
      </c>
      <c r="G199">
        <v>10</v>
      </c>
      <c r="H199">
        <v>10</v>
      </c>
      <c r="I199">
        <v>100</v>
      </c>
      <c r="J199">
        <v>100</v>
      </c>
      <c r="K199">
        <v>927</v>
      </c>
      <c r="L199">
        <v>1137</v>
      </c>
      <c r="M199">
        <v>982</v>
      </c>
      <c r="N199">
        <v>1048</v>
      </c>
      <c r="O199">
        <v>949</v>
      </c>
      <c r="P199">
        <v>908</v>
      </c>
      <c r="Q199">
        <v>965</v>
      </c>
      <c r="R199">
        <v>1310</v>
      </c>
      <c r="S199">
        <v>941</v>
      </c>
      <c r="T199">
        <v>833</v>
      </c>
      <c r="U199">
        <v>980</v>
      </c>
      <c r="V199">
        <v>1135</v>
      </c>
      <c r="W199">
        <v>1032</v>
      </c>
      <c r="X199">
        <v>1010</v>
      </c>
      <c r="Y199">
        <v>982</v>
      </c>
      <c r="Z199">
        <v>892</v>
      </c>
      <c r="AA199">
        <v>958</v>
      </c>
      <c r="AB199">
        <v>1028</v>
      </c>
      <c r="AC199">
        <v>974</v>
      </c>
      <c r="AD199">
        <v>1009</v>
      </c>
      <c r="AE199">
        <v>914</v>
      </c>
      <c r="AF199">
        <v>0</v>
      </c>
      <c r="AG199">
        <v>0</v>
      </c>
      <c r="AH199">
        <v>0</v>
      </c>
      <c r="AI199">
        <v>1</v>
      </c>
      <c r="AJ199">
        <v>3</v>
      </c>
      <c r="AK199">
        <v>15</v>
      </c>
      <c r="AL199">
        <v>43</v>
      </c>
      <c r="AM199">
        <v>2</v>
      </c>
      <c r="AN199">
        <v>2</v>
      </c>
      <c r="AO199">
        <v>0</v>
      </c>
      <c r="AP199">
        <v>1122</v>
      </c>
      <c r="AQ199">
        <v>1</v>
      </c>
      <c r="AR199">
        <v>3</v>
      </c>
      <c r="AS199">
        <v>1</v>
      </c>
      <c r="AT199">
        <v>2</v>
      </c>
      <c r="AU199">
        <v>4</v>
      </c>
      <c r="AV199">
        <v>1</v>
      </c>
      <c r="AW199">
        <v>0</v>
      </c>
      <c r="AX199">
        <v>1</v>
      </c>
      <c r="AY199">
        <v>2</v>
      </c>
      <c r="AZ199">
        <v>4</v>
      </c>
      <c r="BA199">
        <v>968</v>
      </c>
      <c r="BB199">
        <v>21</v>
      </c>
      <c r="BC199">
        <v>3</v>
      </c>
      <c r="BD199">
        <v>0</v>
      </c>
      <c r="BE199">
        <v>7</v>
      </c>
      <c r="BF199">
        <v>25</v>
      </c>
      <c r="BG199">
        <v>2</v>
      </c>
      <c r="BH199">
        <v>0</v>
      </c>
      <c r="BI199">
        <v>0</v>
      </c>
      <c r="BJ199">
        <v>0</v>
      </c>
      <c r="BK199">
        <v>1</v>
      </c>
      <c r="BL199">
        <v>1002</v>
      </c>
      <c r="BM199">
        <v>0</v>
      </c>
      <c r="BN199">
        <v>3</v>
      </c>
      <c r="BO199">
        <v>0</v>
      </c>
      <c r="BP199">
        <v>1</v>
      </c>
      <c r="BQ199">
        <v>1</v>
      </c>
      <c r="BR199">
        <v>2</v>
      </c>
      <c r="BS199">
        <v>0</v>
      </c>
      <c r="BT199">
        <v>0</v>
      </c>
      <c r="BU199">
        <v>0</v>
      </c>
      <c r="BV199">
        <v>0</v>
      </c>
      <c r="BW199">
        <v>931</v>
      </c>
      <c r="BX199">
        <v>0</v>
      </c>
      <c r="BY199">
        <v>3</v>
      </c>
      <c r="BZ199">
        <v>33</v>
      </c>
      <c r="CA199">
        <v>0</v>
      </c>
      <c r="CB199">
        <v>15</v>
      </c>
      <c r="CC199">
        <v>1</v>
      </c>
      <c r="CD199">
        <v>0</v>
      </c>
      <c r="CE199">
        <v>0</v>
      </c>
      <c r="CF199">
        <v>4</v>
      </c>
      <c r="CG199">
        <v>0</v>
      </c>
      <c r="CH199">
        <v>882</v>
      </c>
      <c r="CI199">
        <v>2</v>
      </c>
      <c r="CJ199">
        <v>3</v>
      </c>
      <c r="CK199">
        <v>0</v>
      </c>
      <c r="CL199">
        <v>0</v>
      </c>
      <c r="CM199">
        <v>6</v>
      </c>
      <c r="CN199">
        <v>2</v>
      </c>
      <c r="CO199">
        <v>0</v>
      </c>
      <c r="CP199">
        <v>1</v>
      </c>
      <c r="CQ199">
        <v>8</v>
      </c>
      <c r="CR199">
        <v>8</v>
      </c>
      <c r="CS199">
        <v>931</v>
      </c>
      <c r="CT199">
        <v>1</v>
      </c>
      <c r="CU199">
        <v>1</v>
      </c>
      <c r="CV199">
        <v>0</v>
      </c>
      <c r="CW199">
        <v>0</v>
      </c>
      <c r="CX199">
        <v>6</v>
      </c>
      <c r="CY199">
        <v>11</v>
      </c>
      <c r="CZ199">
        <v>6</v>
      </c>
      <c r="DA199">
        <v>1</v>
      </c>
      <c r="DB199">
        <v>0</v>
      </c>
      <c r="DC199">
        <v>0</v>
      </c>
      <c r="DD199">
        <v>1002</v>
      </c>
      <c r="DE199">
        <v>0</v>
      </c>
      <c r="DF199">
        <v>2</v>
      </c>
      <c r="DG199">
        <v>3</v>
      </c>
      <c r="DH199">
        <v>1</v>
      </c>
      <c r="DI199">
        <v>1</v>
      </c>
      <c r="DJ199">
        <v>10</v>
      </c>
      <c r="DK199">
        <v>0</v>
      </c>
      <c r="DL199">
        <v>5</v>
      </c>
      <c r="DM199">
        <v>3</v>
      </c>
      <c r="DN199">
        <v>15</v>
      </c>
      <c r="DO199">
        <v>933</v>
      </c>
      <c r="DP199">
        <v>3</v>
      </c>
      <c r="DQ199">
        <v>1</v>
      </c>
      <c r="DR199">
        <v>2</v>
      </c>
      <c r="DS199">
        <v>0</v>
      </c>
      <c r="DT199">
        <v>1</v>
      </c>
      <c r="DU199">
        <v>4</v>
      </c>
      <c r="DV199">
        <v>5</v>
      </c>
      <c r="DW199">
        <v>0</v>
      </c>
      <c r="DX199">
        <v>186</v>
      </c>
      <c r="DY199">
        <v>2</v>
      </c>
      <c r="DZ199">
        <v>808</v>
      </c>
      <c r="EA199">
        <v>0.94930000000000003</v>
      </c>
      <c r="EB199">
        <v>0.95581709479181998</v>
      </c>
      <c r="EC199">
        <v>0.94933402950610801</v>
      </c>
      <c r="ED199">
        <v>0.95026903821855002</v>
      </c>
      <c r="EE199">
        <f>SUM(Table1[[#This Row],[ratio_0]:[ratio_9]])</f>
        <v>460</v>
      </c>
      <c r="EF199" s="1">
        <f>(Table1[[#This Row],[predicted_0]]-Table1[[#This Row],[actual_0]])/Table1[[#This Row],[actual_0]]</f>
        <v>-5.4081632653061228E-2</v>
      </c>
      <c r="EG199" s="1">
        <f>(Table1[[#This Row],[predicted_1]]-Table1[[#This Row],[actual_1]])/Table1[[#This Row],[actual_1]]</f>
        <v>1.762114537444934E-3</v>
      </c>
      <c r="EH199" s="1">
        <f>(Table1[[#This Row],[predicted_2]]-Table1[[#This Row],[actual_2]])/Table1[[#This Row],[actual_2]]</f>
        <v>-4.8449612403100778E-2</v>
      </c>
      <c r="EI199" s="1">
        <f>(Table1[[#This Row],[predicted_3]]-Table1[[#This Row],[actual_3]])/Table1[[#This Row],[actual_3]]</f>
        <v>3.7623762376237622E-2</v>
      </c>
      <c r="EJ199" s="1">
        <f>(Table1[[#This Row],[predicted_4]]-Table1[[#This Row],[actual_4]])/Table1[[#This Row],[actual_4]]</f>
        <v>-3.360488798370672E-2</v>
      </c>
      <c r="EK199" s="1">
        <f>(Table1[[#This Row],[predicted_5]]-Table1[[#This Row],[actual_5]])/Table1[[#This Row],[actual_5]]</f>
        <v>1.7937219730941704E-2</v>
      </c>
      <c r="EL199" s="1">
        <f>(Table1[[#This Row],[predicted_6]]-Table1[[#This Row],[actual_6]])/Table1[[#This Row],[actual_6]]</f>
        <v>7.3068893528183713E-3</v>
      </c>
      <c r="EM199" s="1">
        <f>(Table1[[#This Row],[predicted_7]]-Table1[[#This Row],[actual_7]])/Table1[[#This Row],[actual_7]]</f>
        <v>0.27431906614785995</v>
      </c>
      <c r="EN199" s="1">
        <f>(Table1[[#This Row],[predicted_8]]-Table1[[#This Row],[actual_8]])/Table1[[#This Row],[actual_8]]</f>
        <v>-3.3880903490759756E-2</v>
      </c>
      <c r="EO199" s="1">
        <f>(Table1[[#This Row],[predicted_9]]-Table1[[#This Row],[actual_9]])/Table1[[#This Row],[actual_9]]</f>
        <v>-0.17443012884043607</v>
      </c>
      <c r="EP199" s="1">
        <f>1+(Table1[[#This Row],[error_ratio_0]]-EF$2)</f>
        <v>0.94387755102040816</v>
      </c>
      <c r="EQ199" s="1">
        <f>1+(Table1[[#This Row],[error_ratio_1]]-EG$2)</f>
        <v>1</v>
      </c>
      <c r="ER199" s="1">
        <f>1+(Table1[[#This Row],[error_ratio_2]]-EH$2)</f>
        <v>0.95639534883720934</v>
      </c>
      <c r="ES199" s="1">
        <f>1+(Table1[[#This Row],[error_ratio_3]]-EI$2)</f>
        <v>1.0277227722772277</v>
      </c>
      <c r="ET199" s="1">
        <f>1+(Table1[[#This Row],[error_ratio_4]]-EJ$2)</f>
        <v>0.96537678207739308</v>
      </c>
      <c r="EU199" s="1">
        <f>1+(Table1[[#This Row],[error_ratio_5]]-EK$2)</f>
        <v>1.0168161434977578</v>
      </c>
      <c r="EV199" s="1">
        <f>1+(Table1[[#This Row],[error_ratio_6]]-EL$2)</f>
        <v>1.0135699373695197</v>
      </c>
      <c r="EW199" s="1">
        <f>1+(Table1[[#This Row],[error_ratio_7]]-EM$2)</f>
        <v>1.272373540856031</v>
      </c>
      <c r="EX199" s="1">
        <f>1+(Table1[[#This Row],[error_ratio_8]]-EN$2)</f>
        <v>0.9691991786447639</v>
      </c>
      <c r="EY199" s="1">
        <f>1+(Table1[[#This Row],[error_ratio_9]]-EO$2)</f>
        <v>0.82953419226957381</v>
      </c>
    </row>
    <row r="200" spans="1:155" x14ac:dyDescent="0.75">
      <c r="A200">
        <v>100</v>
      </c>
      <c r="B200">
        <v>100</v>
      </c>
      <c r="C200">
        <v>100</v>
      </c>
      <c r="D200">
        <v>10</v>
      </c>
      <c r="E200">
        <v>10</v>
      </c>
      <c r="F200">
        <v>100</v>
      </c>
      <c r="G200">
        <v>10</v>
      </c>
      <c r="H200">
        <v>10</v>
      </c>
      <c r="I200">
        <v>100</v>
      </c>
      <c r="J200">
        <v>100</v>
      </c>
      <c r="K200">
        <v>1011</v>
      </c>
      <c r="L200">
        <v>1161</v>
      </c>
      <c r="M200">
        <v>1101</v>
      </c>
      <c r="N200">
        <v>937</v>
      </c>
      <c r="O200">
        <v>967</v>
      </c>
      <c r="P200">
        <v>991</v>
      </c>
      <c r="Q200">
        <v>855</v>
      </c>
      <c r="R200">
        <v>947</v>
      </c>
      <c r="S200">
        <v>989</v>
      </c>
      <c r="T200">
        <v>1041</v>
      </c>
      <c r="U200">
        <v>980</v>
      </c>
      <c r="V200">
        <v>1135</v>
      </c>
      <c r="W200">
        <v>1032</v>
      </c>
      <c r="X200">
        <v>1010</v>
      </c>
      <c r="Y200">
        <v>982</v>
      </c>
      <c r="Z200">
        <v>892</v>
      </c>
      <c r="AA200">
        <v>958</v>
      </c>
      <c r="AB200">
        <v>1028</v>
      </c>
      <c r="AC200">
        <v>974</v>
      </c>
      <c r="AD200">
        <v>1009</v>
      </c>
      <c r="AE200">
        <v>977</v>
      </c>
      <c r="AF200">
        <v>0</v>
      </c>
      <c r="AG200">
        <v>1</v>
      </c>
      <c r="AH200">
        <v>0</v>
      </c>
      <c r="AI200">
        <v>0</v>
      </c>
      <c r="AJ200">
        <v>1</v>
      </c>
      <c r="AK200">
        <v>0</v>
      </c>
      <c r="AL200">
        <v>1</v>
      </c>
      <c r="AM200">
        <v>0</v>
      </c>
      <c r="AN200">
        <v>0</v>
      </c>
      <c r="AO200">
        <v>0</v>
      </c>
      <c r="AP200">
        <v>1132</v>
      </c>
      <c r="AQ200">
        <v>1</v>
      </c>
      <c r="AR200">
        <v>0</v>
      </c>
      <c r="AS200">
        <v>0</v>
      </c>
      <c r="AT200">
        <v>1</v>
      </c>
      <c r="AU200">
        <v>0</v>
      </c>
      <c r="AV200">
        <v>0</v>
      </c>
      <c r="AW200">
        <v>1</v>
      </c>
      <c r="AX200">
        <v>0</v>
      </c>
      <c r="AY200">
        <v>0</v>
      </c>
      <c r="AZ200">
        <v>1</v>
      </c>
      <c r="BA200">
        <v>1027</v>
      </c>
      <c r="BB200">
        <v>0</v>
      </c>
      <c r="BC200">
        <v>0</v>
      </c>
      <c r="BD200">
        <v>0</v>
      </c>
      <c r="BE200">
        <v>0</v>
      </c>
      <c r="BF200">
        <v>2</v>
      </c>
      <c r="BG200">
        <v>2</v>
      </c>
      <c r="BH200">
        <v>0</v>
      </c>
      <c r="BI200">
        <v>3</v>
      </c>
      <c r="BJ200">
        <v>0</v>
      </c>
      <c r="BK200">
        <v>10</v>
      </c>
      <c r="BL200">
        <v>936</v>
      </c>
      <c r="BM200">
        <v>0</v>
      </c>
      <c r="BN200">
        <v>33</v>
      </c>
      <c r="BO200">
        <v>0</v>
      </c>
      <c r="BP200">
        <v>8</v>
      </c>
      <c r="BQ200">
        <v>13</v>
      </c>
      <c r="BR200">
        <v>7</v>
      </c>
      <c r="BS200">
        <v>1</v>
      </c>
      <c r="BT200">
        <v>2</v>
      </c>
      <c r="BU200">
        <v>5</v>
      </c>
      <c r="BV200">
        <v>0</v>
      </c>
      <c r="BW200">
        <v>941</v>
      </c>
      <c r="BX200">
        <v>0</v>
      </c>
      <c r="BY200">
        <v>1</v>
      </c>
      <c r="BZ200">
        <v>0</v>
      </c>
      <c r="CA200">
        <v>2</v>
      </c>
      <c r="CB200">
        <v>30</v>
      </c>
      <c r="CC200">
        <v>1</v>
      </c>
      <c r="CD200">
        <v>0</v>
      </c>
      <c r="CE200">
        <v>0</v>
      </c>
      <c r="CF200">
        <v>0</v>
      </c>
      <c r="CG200">
        <v>0</v>
      </c>
      <c r="CH200">
        <v>890</v>
      </c>
      <c r="CI200">
        <v>0</v>
      </c>
      <c r="CJ200">
        <v>0</v>
      </c>
      <c r="CK200">
        <v>1</v>
      </c>
      <c r="CL200">
        <v>0</v>
      </c>
      <c r="CM200">
        <v>17</v>
      </c>
      <c r="CN200">
        <v>4</v>
      </c>
      <c r="CO200">
        <v>2</v>
      </c>
      <c r="CP200">
        <v>0</v>
      </c>
      <c r="CQ200">
        <v>20</v>
      </c>
      <c r="CR200">
        <v>56</v>
      </c>
      <c r="CS200">
        <v>854</v>
      </c>
      <c r="CT200">
        <v>0</v>
      </c>
      <c r="CU200">
        <v>5</v>
      </c>
      <c r="CV200">
        <v>0</v>
      </c>
      <c r="CW200">
        <v>3</v>
      </c>
      <c r="CX200">
        <v>19</v>
      </c>
      <c r="CY200">
        <v>52</v>
      </c>
      <c r="CZ200">
        <v>1</v>
      </c>
      <c r="DA200">
        <v>3</v>
      </c>
      <c r="DB200">
        <v>4</v>
      </c>
      <c r="DC200">
        <v>0</v>
      </c>
      <c r="DD200">
        <v>932</v>
      </c>
      <c r="DE200">
        <v>3</v>
      </c>
      <c r="DF200">
        <v>11</v>
      </c>
      <c r="DG200">
        <v>6</v>
      </c>
      <c r="DH200">
        <v>0</v>
      </c>
      <c r="DI200">
        <v>3</v>
      </c>
      <c r="DJ200">
        <v>0</v>
      </c>
      <c r="DK200">
        <v>1</v>
      </c>
      <c r="DL200">
        <v>3</v>
      </c>
      <c r="DM200">
        <v>0</v>
      </c>
      <c r="DN200">
        <v>2</v>
      </c>
      <c r="DO200">
        <v>957</v>
      </c>
      <c r="DP200">
        <v>2</v>
      </c>
      <c r="DQ200">
        <v>3</v>
      </c>
      <c r="DR200">
        <v>3</v>
      </c>
      <c r="DS200">
        <v>0</v>
      </c>
      <c r="DT200">
        <v>0</v>
      </c>
      <c r="DU200">
        <v>2</v>
      </c>
      <c r="DV200">
        <v>3</v>
      </c>
      <c r="DW200">
        <v>0</v>
      </c>
      <c r="DX200">
        <v>2</v>
      </c>
      <c r="DY200">
        <v>5</v>
      </c>
      <c r="DZ200">
        <v>991</v>
      </c>
      <c r="EA200">
        <v>0.9637</v>
      </c>
      <c r="EB200">
        <v>0.96469123282043501</v>
      </c>
      <c r="EC200">
        <v>0.96349516790428202</v>
      </c>
      <c r="ED200">
        <v>0.96305945884606303</v>
      </c>
      <c r="EE200">
        <f>SUM(Table1[[#This Row],[ratio_0]:[ratio_9]])</f>
        <v>640</v>
      </c>
      <c r="EF200" s="1">
        <f>(Table1[[#This Row],[predicted_0]]-Table1[[#This Row],[actual_0]])/Table1[[#This Row],[actual_0]]</f>
        <v>3.1632653061224487E-2</v>
      </c>
      <c r="EG200" s="1">
        <f>(Table1[[#This Row],[predicted_1]]-Table1[[#This Row],[actual_1]])/Table1[[#This Row],[actual_1]]</f>
        <v>2.2907488986784141E-2</v>
      </c>
      <c r="EH200" s="1">
        <f>(Table1[[#This Row],[predicted_2]]-Table1[[#This Row],[actual_2]])/Table1[[#This Row],[actual_2]]</f>
        <v>6.6860465116279064E-2</v>
      </c>
      <c r="EI200" s="1">
        <f>(Table1[[#This Row],[predicted_3]]-Table1[[#This Row],[actual_3]])/Table1[[#This Row],[actual_3]]</f>
        <v>-7.2277227722772272E-2</v>
      </c>
      <c r="EJ200" s="1">
        <f>(Table1[[#This Row],[predicted_4]]-Table1[[#This Row],[actual_4]])/Table1[[#This Row],[actual_4]]</f>
        <v>-1.5274949083503055E-2</v>
      </c>
      <c r="EK200" s="1">
        <f>(Table1[[#This Row],[predicted_5]]-Table1[[#This Row],[actual_5]])/Table1[[#This Row],[actual_5]]</f>
        <v>0.11098654708520179</v>
      </c>
      <c r="EL200" s="1">
        <f>(Table1[[#This Row],[predicted_6]]-Table1[[#This Row],[actual_6]])/Table1[[#This Row],[actual_6]]</f>
        <v>-0.10751565762004175</v>
      </c>
      <c r="EM200" s="1">
        <f>(Table1[[#This Row],[predicted_7]]-Table1[[#This Row],[actual_7]])/Table1[[#This Row],[actual_7]]</f>
        <v>-7.8793774319066145E-2</v>
      </c>
      <c r="EN200" s="1">
        <f>(Table1[[#This Row],[predicted_8]]-Table1[[#This Row],[actual_8]])/Table1[[#This Row],[actual_8]]</f>
        <v>1.5400410677618069E-2</v>
      </c>
      <c r="EO200" s="1">
        <f>(Table1[[#This Row],[predicted_9]]-Table1[[#This Row],[actual_9]])/Table1[[#This Row],[actual_9]]</f>
        <v>3.1714568880079286E-2</v>
      </c>
      <c r="EP200" s="1">
        <f>1+(Table1[[#This Row],[error_ratio_0]]-EF$2)</f>
        <v>1.0295918367346939</v>
      </c>
      <c r="EQ200" s="1">
        <f>1+(Table1[[#This Row],[error_ratio_1]]-EG$2)</f>
        <v>1.0211453744493393</v>
      </c>
      <c r="ER200" s="1">
        <f>1+(Table1[[#This Row],[error_ratio_2]]-EH$2)</f>
        <v>1.0717054263565891</v>
      </c>
      <c r="ES200" s="1">
        <f>1+(Table1[[#This Row],[error_ratio_3]]-EI$2)</f>
        <v>0.91782178217821786</v>
      </c>
      <c r="ET200" s="1">
        <f>1+(Table1[[#This Row],[error_ratio_4]]-EJ$2)</f>
        <v>0.9837067209775967</v>
      </c>
      <c r="EU200" s="1">
        <f>1+(Table1[[#This Row],[error_ratio_5]]-EK$2)</f>
        <v>1.1098654708520179</v>
      </c>
      <c r="EV200" s="1">
        <f>1+(Table1[[#This Row],[error_ratio_6]]-EL$2)</f>
        <v>0.89874739039665974</v>
      </c>
      <c r="EW200" s="1">
        <f>1+(Table1[[#This Row],[error_ratio_7]]-EM$2)</f>
        <v>0.91926070038910512</v>
      </c>
      <c r="EX200" s="1">
        <f>1+(Table1[[#This Row],[error_ratio_8]]-EN$2)</f>
        <v>1.0184804928131417</v>
      </c>
      <c r="EY200" s="1">
        <f>1+(Table1[[#This Row],[error_ratio_9]]-EO$2)</f>
        <v>1.0356788899900893</v>
      </c>
    </row>
    <row r="201" spans="1:155" x14ac:dyDescent="0.75">
      <c r="A201">
        <v>10</v>
      </c>
      <c r="B201">
        <v>100</v>
      </c>
      <c r="C201">
        <v>100</v>
      </c>
      <c r="D201">
        <v>10</v>
      </c>
      <c r="E201">
        <v>10</v>
      </c>
      <c r="F201">
        <v>100</v>
      </c>
      <c r="G201">
        <v>10</v>
      </c>
      <c r="H201">
        <v>10</v>
      </c>
      <c r="I201">
        <v>100</v>
      </c>
      <c r="J201">
        <v>100</v>
      </c>
      <c r="K201">
        <v>974</v>
      </c>
      <c r="L201">
        <v>1165</v>
      </c>
      <c r="M201">
        <v>1092</v>
      </c>
      <c r="N201">
        <v>1003</v>
      </c>
      <c r="O201">
        <v>704</v>
      </c>
      <c r="P201">
        <v>940</v>
      </c>
      <c r="Q201">
        <v>911</v>
      </c>
      <c r="R201">
        <v>888</v>
      </c>
      <c r="S201">
        <v>987</v>
      </c>
      <c r="T201">
        <v>1336</v>
      </c>
      <c r="U201">
        <v>980</v>
      </c>
      <c r="V201">
        <v>1135</v>
      </c>
      <c r="W201">
        <v>1032</v>
      </c>
      <c r="X201">
        <v>1010</v>
      </c>
      <c r="Y201">
        <v>982</v>
      </c>
      <c r="Z201">
        <v>892</v>
      </c>
      <c r="AA201">
        <v>958</v>
      </c>
      <c r="AB201">
        <v>1028</v>
      </c>
      <c r="AC201">
        <v>974</v>
      </c>
      <c r="AD201">
        <v>1009</v>
      </c>
      <c r="AE201">
        <v>958</v>
      </c>
      <c r="AF201">
        <v>0</v>
      </c>
      <c r="AG201">
        <v>8</v>
      </c>
      <c r="AH201">
        <v>1</v>
      </c>
      <c r="AI201">
        <v>0</v>
      </c>
      <c r="AJ201">
        <v>4</v>
      </c>
      <c r="AK201">
        <v>1</v>
      </c>
      <c r="AL201">
        <v>0</v>
      </c>
      <c r="AM201">
        <v>7</v>
      </c>
      <c r="AN201">
        <v>1</v>
      </c>
      <c r="AO201">
        <v>0</v>
      </c>
      <c r="AP201">
        <v>1135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3</v>
      </c>
      <c r="BA201">
        <v>1011</v>
      </c>
      <c r="BB201">
        <v>3</v>
      </c>
      <c r="BC201">
        <v>0</v>
      </c>
      <c r="BD201">
        <v>0</v>
      </c>
      <c r="BE201">
        <v>0</v>
      </c>
      <c r="BF201">
        <v>5</v>
      </c>
      <c r="BG201">
        <v>9</v>
      </c>
      <c r="BH201">
        <v>1</v>
      </c>
      <c r="BI201">
        <v>0</v>
      </c>
      <c r="BJ201">
        <v>0</v>
      </c>
      <c r="BK201">
        <v>6</v>
      </c>
      <c r="BL201">
        <v>972</v>
      </c>
      <c r="BM201">
        <v>0</v>
      </c>
      <c r="BN201">
        <v>23</v>
      </c>
      <c r="BO201">
        <v>0</v>
      </c>
      <c r="BP201">
        <v>1</v>
      </c>
      <c r="BQ201">
        <v>1</v>
      </c>
      <c r="BR201">
        <v>7</v>
      </c>
      <c r="BS201">
        <v>1</v>
      </c>
      <c r="BT201">
        <v>7</v>
      </c>
      <c r="BU201">
        <v>6</v>
      </c>
      <c r="BV201">
        <v>0</v>
      </c>
      <c r="BW201">
        <v>702</v>
      </c>
      <c r="BX201">
        <v>0</v>
      </c>
      <c r="BY201">
        <v>4</v>
      </c>
      <c r="BZ201">
        <v>2</v>
      </c>
      <c r="CA201">
        <v>6</v>
      </c>
      <c r="CB201">
        <v>254</v>
      </c>
      <c r="CC201">
        <v>1</v>
      </c>
      <c r="CD201">
        <v>0</v>
      </c>
      <c r="CE201">
        <v>1</v>
      </c>
      <c r="CF201">
        <v>2</v>
      </c>
      <c r="CG201">
        <v>0</v>
      </c>
      <c r="CH201">
        <v>885</v>
      </c>
      <c r="CI201">
        <v>1</v>
      </c>
      <c r="CJ201">
        <v>0</v>
      </c>
      <c r="CK201">
        <v>1</v>
      </c>
      <c r="CL201">
        <v>1</v>
      </c>
      <c r="CM201">
        <v>10</v>
      </c>
      <c r="CN201">
        <v>5</v>
      </c>
      <c r="CO201">
        <v>7</v>
      </c>
      <c r="CP201">
        <v>0</v>
      </c>
      <c r="CQ201">
        <v>1</v>
      </c>
      <c r="CR201">
        <v>19</v>
      </c>
      <c r="CS201">
        <v>905</v>
      </c>
      <c r="CT201">
        <v>0</v>
      </c>
      <c r="CU201">
        <v>9</v>
      </c>
      <c r="CV201">
        <v>2</v>
      </c>
      <c r="CW201">
        <v>1</v>
      </c>
      <c r="CX201">
        <v>13</v>
      </c>
      <c r="CY201">
        <v>50</v>
      </c>
      <c r="CZ201">
        <v>19</v>
      </c>
      <c r="DA201">
        <v>0</v>
      </c>
      <c r="DB201">
        <v>2</v>
      </c>
      <c r="DC201">
        <v>0</v>
      </c>
      <c r="DD201">
        <v>877</v>
      </c>
      <c r="DE201">
        <v>5</v>
      </c>
      <c r="DF201">
        <v>61</v>
      </c>
      <c r="DG201">
        <v>2</v>
      </c>
      <c r="DH201">
        <v>0</v>
      </c>
      <c r="DI201">
        <v>1</v>
      </c>
      <c r="DJ201">
        <v>4</v>
      </c>
      <c r="DK201">
        <v>1</v>
      </c>
      <c r="DL201">
        <v>5</v>
      </c>
      <c r="DM201">
        <v>0</v>
      </c>
      <c r="DN201">
        <v>1</v>
      </c>
      <c r="DO201">
        <v>949</v>
      </c>
      <c r="DP201">
        <v>11</v>
      </c>
      <c r="DQ201">
        <v>1</v>
      </c>
      <c r="DR201">
        <v>2</v>
      </c>
      <c r="DS201">
        <v>2</v>
      </c>
      <c r="DT201">
        <v>2</v>
      </c>
      <c r="DU201">
        <v>0</v>
      </c>
      <c r="DV201">
        <v>2</v>
      </c>
      <c r="DW201">
        <v>0</v>
      </c>
      <c r="DX201">
        <v>2</v>
      </c>
      <c r="DY201">
        <v>0</v>
      </c>
      <c r="DZ201">
        <v>998</v>
      </c>
      <c r="EA201">
        <v>0.93920000000000003</v>
      </c>
      <c r="EB201">
        <v>0.94809190975916702</v>
      </c>
      <c r="EC201">
        <v>0.938781851976911</v>
      </c>
      <c r="ED201">
        <v>0.93870342661274497</v>
      </c>
      <c r="EE201">
        <f>SUM(Table1[[#This Row],[ratio_0]:[ratio_9]])</f>
        <v>550</v>
      </c>
      <c r="EF201" s="1">
        <f>(Table1[[#This Row],[predicted_0]]-Table1[[#This Row],[actual_0]])/Table1[[#This Row],[actual_0]]</f>
        <v>-6.1224489795918364E-3</v>
      </c>
      <c r="EG201" s="1">
        <f>(Table1[[#This Row],[predicted_1]]-Table1[[#This Row],[actual_1]])/Table1[[#This Row],[actual_1]]</f>
        <v>2.643171806167401E-2</v>
      </c>
      <c r="EH201" s="1">
        <f>(Table1[[#This Row],[predicted_2]]-Table1[[#This Row],[actual_2]])/Table1[[#This Row],[actual_2]]</f>
        <v>5.8139534883720929E-2</v>
      </c>
      <c r="EI201" s="1">
        <f>(Table1[[#This Row],[predicted_3]]-Table1[[#This Row],[actual_3]])/Table1[[#This Row],[actual_3]]</f>
        <v>-6.9306930693069308E-3</v>
      </c>
      <c r="EJ201" s="1">
        <f>(Table1[[#This Row],[predicted_4]]-Table1[[#This Row],[actual_4]])/Table1[[#This Row],[actual_4]]</f>
        <v>-0.28309572301425662</v>
      </c>
      <c r="EK201" s="1">
        <f>(Table1[[#This Row],[predicted_5]]-Table1[[#This Row],[actual_5]])/Table1[[#This Row],[actual_5]]</f>
        <v>5.3811659192825115E-2</v>
      </c>
      <c r="EL201" s="1">
        <f>(Table1[[#This Row],[predicted_6]]-Table1[[#This Row],[actual_6]])/Table1[[#This Row],[actual_6]]</f>
        <v>-4.9060542797494784E-2</v>
      </c>
      <c r="EM201" s="1">
        <f>(Table1[[#This Row],[predicted_7]]-Table1[[#This Row],[actual_7]])/Table1[[#This Row],[actual_7]]</f>
        <v>-0.13618677042801555</v>
      </c>
      <c r="EN201" s="1">
        <f>(Table1[[#This Row],[predicted_8]]-Table1[[#This Row],[actual_8]])/Table1[[#This Row],[actual_8]]</f>
        <v>1.3347022587268994E-2</v>
      </c>
      <c r="EO201" s="1">
        <f>(Table1[[#This Row],[predicted_9]]-Table1[[#This Row],[actual_9]])/Table1[[#This Row],[actual_9]]</f>
        <v>0.32408325074331018</v>
      </c>
      <c r="EP201" s="1">
        <f>1+(Table1[[#This Row],[error_ratio_0]]-EF$2)</f>
        <v>0.99183673469387756</v>
      </c>
      <c r="EQ201" s="1">
        <f>1+(Table1[[#This Row],[error_ratio_1]]-EG$2)</f>
        <v>1.0246696035242291</v>
      </c>
      <c r="ER201" s="1">
        <f>1+(Table1[[#This Row],[error_ratio_2]]-EH$2)</f>
        <v>1.0629844961240309</v>
      </c>
      <c r="ES201" s="1">
        <f>1+(Table1[[#This Row],[error_ratio_3]]-EI$2)</f>
        <v>0.98316831683168315</v>
      </c>
      <c r="ET201" s="1">
        <f>1+(Table1[[#This Row],[error_ratio_4]]-EJ$2)</f>
        <v>0.71588594704684316</v>
      </c>
      <c r="EU201" s="1">
        <f>1+(Table1[[#This Row],[error_ratio_5]]-EK$2)</f>
        <v>1.0526905829596414</v>
      </c>
      <c r="EV201" s="1">
        <f>1+(Table1[[#This Row],[error_ratio_6]]-EL$2)</f>
        <v>0.95720250521920669</v>
      </c>
      <c r="EW201" s="1">
        <f>1+(Table1[[#This Row],[error_ratio_7]]-EM$2)</f>
        <v>0.86186770428015569</v>
      </c>
      <c r="EX201" s="1">
        <f>1+(Table1[[#This Row],[error_ratio_8]]-EN$2)</f>
        <v>1.0164271047227926</v>
      </c>
      <c r="EY201" s="1">
        <f>1+(Table1[[#This Row],[error_ratio_9]]-EO$2)</f>
        <v>1.32804757185332</v>
      </c>
    </row>
    <row r="202" spans="1:155" x14ac:dyDescent="0.75">
      <c r="A202">
        <v>100</v>
      </c>
      <c r="B202">
        <v>10</v>
      </c>
      <c r="C202">
        <v>100</v>
      </c>
      <c r="D202">
        <v>10</v>
      </c>
      <c r="E202">
        <v>10</v>
      </c>
      <c r="F202">
        <v>100</v>
      </c>
      <c r="G202">
        <v>10</v>
      </c>
      <c r="H202">
        <v>10</v>
      </c>
      <c r="I202">
        <v>100</v>
      </c>
      <c r="J202">
        <v>100</v>
      </c>
      <c r="K202">
        <v>983</v>
      </c>
      <c r="L202">
        <v>1073</v>
      </c>
      <c r="M202">
        <v>1206</v>
      </c>
      <c r="N202">
        <v>894</v>
      </c>
      <c r="O202">
        <v>915</v>
      </c>
      <c r="P202">
        <v>982</v>
      </c>
      <c r="Q202">
        <v>881</v>
      </c>
      <c r="R202">
        <v>947</v>
      </c>
      <c r="S202">
        <v>1043</v>
      </c>
      <c r="T202">
        <v>1076</v>
      </c>
      <c r="U202">
        <v>980</v>
      </c>
      <c r="V202">
        <v>1135</v>
      </c>
      <c r="W202">
        <v>1032</v>
      </c>
      <c r="X202">
        <v>1010</v>
      </c>
      <c r="Y202">
        <v>982</v>
      </c>
      <c r="Z202">
        <v>892</v>
      </c>
      <c r="AA202">
        <v>958</v>
      </c>
      <c r="AB202">
        <v>1028</v>
      </c>
      <c r="AC202">
        <v>974</v>
      </c>
      <c r="AD202">
        <v>1009</v>
      </c>
      <c r="AE202">
        <v>970</v>
      </c>
      <c r="AF202">
        <v>0</v>
      </c>
      <c r="AG202">
        <v>3</v>
      </c>
      <c r="AH202">
        <v>0</v>
      </c>
      <c r="AI202">
        <v>0</v>
      </c>
      <c r="AJ202">
        <v>2</v>
      </c>
      <c r="AK202">
        <v>1</v>
      </c>
      <c r="AL202">
        <v>1</v>
      </c>
      <c r="AM202">
        <v>3</v>
      </c>
      <c r="AN202">
        <v>0</v>
      </c>
      <c r="AO202">
        <v>0</v>
      </c>
      <c r="AP202">
        <v>1072</v>
      </c>
      <c r="AQ202">
        <v>19</v>
      </c>
      <c r="AR202">
        <v>0</v>
      </c>
      <c r="AS202">
        <v>0</v>
      </c>
      <c r="AT202">
        <v>3</v>
      </c>
      <c r="AU202">
        <v>1</v>
      </c>
      <c r="AV202">
        <v>0</v>
      </c>
      <c r="AW202">
        <v>39</v>
      </c>
      <c r="AX202">
        <v>1</v>
      </c>
      <c r="AY202">
        <v>0</v>
      </c>
      <c r="AZ202">
        <v>0</v>
      </c>
      <c r="BA202">
        <v>1030</v>
      </c>
      <c r="BB202">
        <v>0</v>
      </c>
      <c r="BC202">
        <v>0</v>
      </c>
      <c r="BD202">
        <v>0</v>
      </c>
      <c r="BE202">
        <v>0</v>
      </c>
      <c r="BF202">
        <v>0</v>
      </c>
      <c r="BG202">
        <v>2</v>
      </c>
      <c r="BH202">
        <v>0</v>
      </c>
      <c r="BI202">
        <v>0</v>
      </c>
      <c r="BJ202">
        <v>0</v>
      </c>
      <c r="BK202">
        <v>58</v>
      </c>
      <c r="BL202">
        <v>891</v>
      </c>
      <c r="BM202">
        <v>0</v>
      </c>
      <c r="BN202">
        <v>28</v>
      </c>
      <c r="BO202">
        <v>0</v>
      </c>
      <c r="BP202">
        <v>11</v>
      </c>
      <c r="BQ202">
        <v>16</v>
      </c>
      <c r="BR202">
        <v>6</v>
      </c>
      <c r="BS202">
        <v>1</v>
      </c>
      <c r="BT202">
        <v>0</v>
      </c>
      <c r="BU202">
        <v>14</v>
      </c>
      <c r="BV202">
        <v>0</v>
      </c>
      <c r="BW202">
        <v>911</v>
      </c>
      <c r="BX202">
        <v>0</v>
      </c>
      <c r="BY202">
        <v>4</v>
      </c>
      <c r="BZ202">
        <v>0</v>
      </c>
      <c r="CA202">
        <v>8</v>
      </c>
      <c r="CB202">
        <v>44</v>
      </c>
      <c r="CC202">
        <v>1</v>
      </c>
      <c r="CD202">
        <v>0</v>
      </c>
      <c r="CE202">
        <v>1</v>
      </c>
      <c r="CF202">
        <v>2</v>
      </c>
      <c r="CG202">
        <v>0</v>
      </c>
      <c r="CH202">
        <v>884</v>
      </c>
      <c r="CI202">
        <v>0</v>
      </c>
      <c r="CJ202">
        <v>1</v>
      </c>
      <c r="CK202">
        <v>1</v>
      </c>
      <c r="CL202">
        <v>2</v>
      </c>
      <c r="CM202">
        <v>8</v>
      </c>
      <c r="CN202">
        <v>0</v>
      </c>
      <c r="CO202">
        <v>4</v>
      </c>
      <c r="CP202">
        <v>0</v>
      </c>
      <c r="CQ202">
        <v>3</v>
      </c>
      <c r="CR202">
        <v>58</v>
      </c>
      <c r="CS202">
        <v>875</v>
      </c>
      <c r="CT202">
        <v>0</v>
      </c>
      <c r="CU202">
        <v>10</v>
      </c>
      <c r="CV202">
        <v>0</v>
      </c>
      <c r="CW202">
        <v>0</v>
      </c>
      <c r="CX202">
        <v>1</v>
      </c>
      <c r="CY202">
        <v>64</v>
      </c>
      <c r="CZ202">
        <v>0</v>
      </c>
      <c r="DA202">
        <v>0</v>
      </c>
      <c r="DB202">
        <v>2</v>
      </c>
      <c r="DC202">
        <v>0</v>
      </c>
      <c r="DD202">
        <v>929</v>
      </c>
      <c r="DE202">
        <v>7</v>
      </c>
      <c r="DF202">
        <v>25</v>
      </c>
      <c r="DG202">
        <v>2</v>
      </c>
      <c r="DH202">
        <v>0</v>
      </c>
      <c r="DI202">
        <v>10</v>
      </c>
      <c r="DJ202">
        <v>0</v>
      </c>
      <c r="DK202">
        <v>0</v>
      </c>
      <c r="DL202">
        <v>3</v>
      </c>
      <c r="DM202">
        <v>0</v>
      </c>
      <c r="DN202">
        <v>1</v>
      </c>
      <c r="DO202">
        <v>955</v>
      </c>
      <c r="DP202">
        <v>3</v>
      </c>
      <c r="DQ202">
        <v>1</v>
      </c>
      <c r="DR202">
        <v>0</v>
      </c>
      <c r="DS202">
        <v>3</v>
      </c>
      <c r="DT202">
        <v>1</v>
      </c>
      <c r="DU202">
        <v>1</v>
      </c>
      <c r="DV202">
        <v>2</v>
      </c>
      <c r="DW202">
        <v>0</v>
      </c>
      <c r="DX202">
        <v>4</v>
      </c>
      <c r="DY202">
        <v>2</v>
      </c>
      <c r="DZ202">
        <v>995</v>
      </c>
      <c r="EA202">
        <v>0.95120000000000005</v>
      </c>
      <c r="EB202">
        <v>0.95469139577234496</v>
      </c>
      <c r="EC202">
        <v>0.951693486464952</v>
      </c>
      <c r="ED202">
        <v>0.95133381872803002</v>
      </c>
      <c r="EE202">
        <f>SUM(Table1[[#This Row],[ratio_0]:[ratio_9]])</f>
        <v>550</v>
      </c>
      <c r="EF202" s="1">
        <f>(Table1[[#This Row],[predicted_0]]-Table1[[#This Row],[actual_0]])/Table1[[#This Row],[actual_0]]</f>
        <v>3.0612244897959182E-3</v>
      </c>
      <c r="EG202" s="1">
        <f>(Table1[[#This Row],[predicted_1]]-Table1[[#This Row],[actual_1]])/Table1[[#This Row],[actual_1]]</f>
        <v>-5.462555066079295E-2</v>
      </c>
      <c r="EH202" s="1">
        <f>(Table1[[#This Row],[predicted_2]]-Table1[[#This Row],[actual_2]])/Table1[[#This Row],[actual_2]]</f>
        <v>0.16860465116279069</v>
      </c>
      <c r="EI202" s="1">
        <f>(Table1[[#This Row],[predicted_3]]-Table1[[#This Row],[actual_3]])/Table1[[#This Row],[actual_3]]</f>
        <v>-0.11485148514851486</v>
      </c>
      <c r="EJ202" s="1">
        <f>(Table1[[#This Row],[predicted_4]]-Table1[[#This Row],[actual_4]])/Table1[[#This Row],[actual_4]]</f>
        <v>-6.8228105906313646E-2</v>
      </c>
      <c r="EK202" s="1">
        <f>(Table1[[#This Row],[predicted_5]]-Table1[[#This Row],[actual_5]])/Table1[[#This Row],[actual_5]]</f>
        <v>0.10089686098654709</v>
      </c>
      <c r="EL202" s="1">
        <f>(Table1[[#This Row],[predicted_6]]-Table1[[#This Row],[actual_6]])/Table1[[#This Row],[actual_6]]</f>
        <v>-8.0375782881002084E-2</v>
      </c>
      <c r="EM202" s="1">
        <f>(Table1[[#This Row],[predicted_7]]-Table1[[#This Row],[actual_7]])/Table1[[#This Row],[actual_7]]</f>
        <v>-7.8793774319066145E-2</v>
      </c>
      <c r="EN202" s="1">
        <f>(Table1[[#This Row],[predicted_8]]-Table1[[#This Row],[actual_8]])/Table1[[#This Row],[actual_8]]</f>
        <v>7.0841889117043116E-2</v>
      </c>
      <c r="EO202" s="1">
        <f>(Table1[[#This Row],[predicted_9]]-Table1[[#This Row],[actual_9]])/Table1[[#This Row],[actual_9]]</f>
        <v>6.6402378592666012E-2</v>
      </c>
      <c r="EP202" s="1">
        <f>1+(Table1[[#This Row],[error_ratio_0]]-EF$2)</f>
        <v>1.0010204081632652</v>
      </c>
      <c r="EQ202" s="1">
        <f>1+(Table1[[#This Row],[error_ratio_1]]-EG$2)</f>
        <v>0.9436123348017621</v>
      </c>
      <c r="ER202" s="1">
        <f>1+(Table1[[#This Row],[error_ratio_2]]-EH$2)</f>
        <v>1.1734496124031009</v>
      </c>
      <c r="ES202" s="1">
        <f>1+(Table1[[#This Row],[error_ratio_3]]-EI$2)</f>
        <v>0.87524752475247525</v>
      </c>
      <c r="ET202" s="1">
        <f>1+(Table1[[#This Row],[error_ratio_4]]-EJ$2)</f>
        <v>0.93075356415478616</v>
      </c>
      <c r="EU202" s="1">
        <f>1+(Table1[[#This Row],[error_ratio_5]]-EK$2)</f>
        <v>1.0997757847533631</v>
      </c>
      <c r="EV202" s="1">
        <f>1+(Table1[[#This Row],[error_ratio_6]]-EL$2)</f>
        <v>0.92588726513569941</v>
      </c>
      <c r="EW202" s="1">
        <f>1+(Table1[[#This Row],[error_ratio_7]]-EM$2)</f>
        <v>0.91926070038910512</v>
      </c>
      <c r="EX202" s="1">
        <f>1+(Table1[[#This Row],[error_ratio_8]]-EN$2)</f>
        <v>1.0739219712525667</v>
      </c>
      <c r="EY202" s="1">
        <f>1+(Table1[[#This Row],[error_ratio_9]]-EO$2)</f>
        <v>1.0703666997026759</v>
      </c>
    </row>
    <row r="203" spans="1:155" x14ac:dyDescent="0.75">
      <c r="A203">
        <v>10</v>
      </c>
      <c r="B203">
        <v>10</v>
      </c>
      <c r="C203">
        <v>100</v>
      </c>
      <c r="D203">
        <v>10</v>
      </c>
      <c r="E203">
        <v>10</v>
      </c>
      <c r="F203">
        <v>100</v>
      </c>
      <c r="G203">
        <v>10</v>
      </c>
      <c r="H203">
        <v>10</v>
      </c>
      <c r="I203">
        <v>100</v>
      </c>
      <c r="J203">
        <v>100</v>
      </c>
      <c r="K203">
        <v>793</v>
      </c>
      <c r="L203">
        <v>1124</v>
      </c>
      <c r="M203">
        <v>1106</v>
      </c>
      <c r="N203">
        <v>951</v>
      </c>
      <c r="O203">
        <v>930</v>
      </c>
      <c r="P203">
        <v>1097</v>
      </c>
      <c r="Q203">
        <v>910</v>
      </c>
      <c r="R203">
        <v>878</v>
      </c>
      <c r="S203">
        <v>958</v>
      </c>
      <c r="T203">
        <v>1253</v>
      </c>
      <c r="U203">
        <v>980</v>
      </c>
      <c r="V203">
        <v>1135</v>
      </c>
      <c r="W203">
        <v>1032</v>
      </c>
      <c r="X203">
        <v>1010</v>
      </c>
      <c r="Y203">
        <v>982</v>
      </c>
      <c r="Z203">
        <v>892</v>
      </c>
      <c r="AA203">
        <v>958</v>
      </c>
      <c r="AB203">
        <v>1028</v>
      </c>
      <c r="AC203">
        <v>974</v>
      </c>
      <c r="AD203">
        <v>1009</v>
      </c>
      <c r="AE203">
        <v>792</v>
      </c>
      <c r="AF203">
        <v>0</v>
      </c>
      <c r="AG203">
        <v>5</v>
      </c>
      <c r="AH203">
        <v>0</v>
      </c>
      <c r="AI203">
        <v>0</v>
      </c>
      <c r="AJ203">
        <v>48</v>
      </c>
      <c r="AK203">
        <v>41</v>
      </c>
      <c r="AL203">
        <v>3</v>
      </c>
      <c r="AM203">
        <v>6</v>
      </c>
      <c r="AN203">
        <v>85</v>
      </c>
      <c r="AO203">
        <v>0</v>
      </c>
      <c r="AP203">
        <v>1115</v>
      </c>
      <c r="AQ203">
        <v>4</v>
      </c>
      <c r="AR203">
        <v>6</v>
      </c>
      <c r="AS203">
        <v>3</v>
      </c>
      <c r="AT203">
        <v>4</v>
      </c>
      <c r="AU203">
        <v>0</v>
      </c>
      <c r="AV203">
        <v>0</v>
      </c>
      <c r="AW203">
        <v>1</v>
      </c>
      <c r="AX203">
        <v>2</v>
      </c>
      <c r="AY203">
        <v>0</v>
      </c>
      <c r="AZ203">
        <v>1</v>
      </c>
      <c r="BA203">
        <v>1022</v>
      </c>
      <c r="BB203">
        <v>1</v>
      </c>
      <c r="BC203">
        <v>0</v>
      </c>
      <c r="BD203">
        <v>1</v>
      </c>
      <c r="BE203">
        <v>1</v>
      </c>
      <c r="BF203">
        <v>4</v>
      </c>
      <c r="BG203">
        <v>1</v>
      </c>
      <c r="BH203">
        <v>1</v>
      </c>
      <c r="BI203">
        <v>0</v>
      </c>
      <c r="BJ203">
        <v>0</v>
      </c>
      <c r="BK203">
        <v>10</v>
      </c>
      <c r="BL203">
        <v>932</v>
      </c>
      <c r="BM203">
        <v>0</v>
      </c>
      <c r="BN203">
        <v>52</v>
      </c>
      <c r="BO203">
        <v>0</v>
      </c>
      <c r="BP203">
        <v>5</v>
      </c>
      <c r="BQ203">
        <v>4</v>
      </c>
      <c r="BR203">
        <v>7</v>
      </c>
      <c r="BS203">
        <v>0</v>
      </c>
      <c r="BT203">
        <v>1</v>
      </c>
      <c r="BU203">
        <v>3</v>
      </c>
      <c r="BV203">
        <v>0</v>
      </c>
      <c r="BW203">
        <v>922</v>
      </c>
      <c r="BX203">
        <v>0</v>
      </c>
      <c r="BY203">
        <v>5</v>
      </c>
      <c r="BZ203">
        <v>0</v>
      </c>
      <c r="CA203">
        <v>1</v>
      </c>
      <c r="CB203">
        <v>50</v>
      </c>
      <c r="CC203">
        <v>0</v>
      </c>
      <c r="CD203">
        <v>0</v>
      </c>
      <c r="CE203">
        <v>0</v>
      </c>
      <c r="CF203">
        <v>2</v>
      </c>
      <c r="CG203">
        <v>0</v>
      </c>
      <c r="CH203">
        <v>889</v>
      </c>
      <c r="CI203">
        <v>0</v>
      </c>
      <c r="CJ203">
        <v>1</v>
      </c>
      <c r="CK203">
        <v>0</v>
      </c>
      <c r="CL203">
        <v>0</v>
      </c>
      <c r="CM203">
        <v>0</v>
      </c>
      <c r="CN203">
        <v>3</v>
      </c>
      <c r="CO203">
        <v>1</v>
      </c>
      <c r="CP203">
        <v>0</v>
      </c>
      <c r="CQ203">
        <v>2</v>
      </c>
      <c r="CR203">
        <v>86</v>
      </c>
      <c r="CS203">
        <v>863</v>
      </c>
      <c r="CT203">
        <v>0</v>
      </c>
      <c r="CU203">
        <v>3</v>
      </c>
      <c r="CV203">
        <v>0</v>
      </c>
      <c r="CW203">
        <v>1</v>
      </c>
      <c r="CX203">
        <v>4</v>
      </c>
      <c r="CY203">
        <v>54</v>
      </c>
      <c r="CZ203">
        <v>5</v>
      </c>
      <c r="DA203">
        <v>0</v>
      </c>
      <c r="DB203">
        <v>0</v>
      </c>
      <c r="DC203">
        <v>0</v>
      </c>
      <c r="DD203">
        <v>863</v>
      </c>
      <c r="DE203">
        <v>2</v>
      </c>
      <c r="DF203">
        <v>99</v>
      </c>
      <c r="DG203">
        <v>0</v>
      </c>
      <c r="DH203">
        <v>0</v>
      </c>
      <c r="DI203">
        <v>7</v>
      </c>
      <c r="DJ203">
        <v>2</v>
      </c>
      <c r="DK203">
        <v>2</v>
      </c>
      <c r="DL203">
        <v>12</v>
      </c>
      <c r="DM203">
        <v>0</v>
      </c>
      <c r="DN203">
        <v>1</v>
      </c>
      <c r="DO203">
        <v>940</v>
      </c>
      <c r="DP203">
        <v>10</v>
      </c>
      <c r="DQ203">
        <v>0</v>
      </c>
      <c r="DR203">
        <v>0</v>
      </c>
      <c r="DS203">
        <v>0</v>
      </c>
      <c r="DT203">
        <v>3</v>
      </c>
      <c r="DU203">
        <v>1</v>
      </c>
      <c r="DV203">
        <v>5</v>
      </c>
      <c r="DW203">
        <v>0</v>
      </c>
      <c r="DX203">
        <v>1</v>
      </c>
      <c r="DY203">
        <v>0</v>
      </c>
      <c r="DZ203">
        <v>999</v>
      </c>
      <c r="EA203">
        <v>0.93369999999999997</v>
      </c>
      <c r="EB203">
        <v>0.94063580737162</v>
      </c>
      <c r="EC203">
        <v>0.93346722858272702</v>
      </c>
      <c r="ED203">
        <v>0.93314025466233497</v>
      </c>
      <c r="EE203">
        <f>SUM(Table1[[#This Row],[ratio_0]:[ratio_9]])</f>
        <v>460</v>
      </c>
      <c r="EF203" s="1">
        <f>(Table1[[#This Row],[predicted_0]]-Table1[[#This Row],[actual_0]])/Table1[[#This Row],[actual_0]]</f>
        <v>-0.19081632653061226</v>
      </c>
      <c r="EG203" s="1">
        <f>(Table1[[#This Row],[predicted_1]]-Table1[[#This Row],[actual_1]])/Table1[[#This Row],[actual_1]]</f>
        <v>-9.6916299559471359E-3</v>
      </c>
      <c r="EH203" s="1">
        <f>(Table1[[#This Row],[predicted_2]]-Table1[[#This Row],[actual_2]])/Table1[[#This Row],[actual_2]]</f>
        <v>7.170542635658915E-2</v>
      </c>
      <c r="EI203" s="1">
        <f>(Table1[[#This Row],[predicted_3]]-Table1[[#This Row],[actual_3]])/Table1[[#This Row],[actual_3]]</f>
        <v>-5.8415841584158419E-2</v>
      </c>
      <c r="EJ203" s="1">
        <f>(Table1[[#This Row],[predicted_4]]-Table1[[#This Row],[actual_4]])/Table1[[#This Row],[actual_4]]</f>
        <v>-5.2953156822810592E-2</v>
      </c>
      <c r="EK203" s="1">
        <f>(Table1[[#This Row],[predicted_5]]-Table1[[#This Row],[actual_5]])/Table1[[#This Row],[actual_5]]</f>
        <v>0.22982062780269058</v>
      </c>
      <c r="EL203" s="1">
        <f>(Table1[[#This Row],[predicted_6]]-Table1[[#This Row],[actual_6]])/Table1[[#This Row],[actual_6]]</f>
        <v>-5.0104384133611693E-2</v>
      </c>
      <c r="EM203" s="1">
        <f>(Table1[[#This Row],[predicted_7]]-Table1[[#This Row],[actual_7]])/Table1[[#This Row],[actual_7]]</f>
        <v>-0.14591439688715954</v>
      </c>
      <c r="EN203" s="1">
        <f>(Table1[[#This Row],[predicted_8]]-Table1[[#This Row],[actual_8]])/Table1[[#This Row],[actual_8]]</f>
        <v>-1.6427104722792608E-2</v>
      </c>
      <c r="EO203" s="1">
        <f>(Table1[[#This Row],[predicted_9]]-Table1[[#This Row],[actual_9]])/Table1[[#This Row],[actual_9]]</f>
        <v>0.24182358771060455</v>
      </c>
      <c r="EP203" s="1">
        <f>1+(Table1[[#This Row],[error_ratio_0]]-EF$2)</f>
        <v>0.80714285714285716</v>
      </c>
      <c r="EQ203" s="1">
        <f>1+(Table1[[#This Row],[error_ratio_1]]-EG$2)</f>
        <v>0.98854625550660791</v>
      </c>
      <c r="ER203" s="1">
        <f>1+(Table1[[#This Row],[error_ratio_2]]-EH$2)</f>
        <v>1.0765503875968991</v>
      </c>
      <c r="ES203" s="1">
        <f>1+(Table1[[#This Row],[error_ratio_3]]-EI$2)</f>
        <v>0.93168316831683162</v>
      </c>
      <c r="ET203" s="1">
        <f>1+(Table1[[#This Row],[error_ratio_4]]-EJ$2)</f>
        <v>0.94602851323828918</v>
      </c>
      <c r="EU203" s="1">
        <f>1+(Table1[[#This Row],[error_ratio_5]]-EK$2)</f>
        <v>1.2286995515695067</v>
      </c>
      <c r="EV203" s="1">
        <f>1+(Table1[[#This Row],[error_ratio_6]]-EL$2)</f>
        <v>0.95615866388308979</v>
      </c>
      <c r="EW203" s="1">
        <f>1+(Table1[[#This Row],[error_ratio_7]]-EM$2)</f>
        <v>0.85214007782101164</v>
      </c>
      <c r="EX203" s="1">
        <f>1+(Table1[[#This Row],[error_ratio_8]]-EN$2)</f>
        <v>0.98665297741273106</v>
      </c>
      <c r="EY203" s="1">
        <f>1+(Table1[[#This Row],[error_ratio_9]]-EO$2)</f>
        <v>1.2457879088206145</v>
      </c>
    </row>
    <row r="204" spans="1:155" x14ac:dyDescent="0.75">
      <c r="A204">
        <v>100</v>
      </c>
      <c r="B204">
        <v>100</v>
      </c>
      <c r="C204">
        <v>10</v>
      </c>
      <c r="D204">
        <v>10</v>
      </c>
      <c r="E204">
        <v>10</v>
      </c>
      <c r="F204">
        <v>100</v>
      </c>
      <c r="G204">
        <v>10</v>
      </c>
      <c r="H204">
        <v>10</v>
      </c>
      <c r="I204">
        <v>100</v>
      </c>
      <c r="J204">
        <v>100</v>
      </c>
      <c r="K204">
        <v>1041</v>
      </c>
      <c r="L204">
        <v>1174</v>
      </c>
      <c r="M204">
        <v>969</v>
      </c>
      <c r="N204">
        <v>921</v>
      </c>
      <c r="O204">
        <v>916</v>
      </c>
      <c r="P204">
        <v>966</v>
      </c>
      <c r="Q204">
        <v>911</v>
      </c>
      <c r="R204">
        <v>931</v>
      </c>
      <c r="S204">
        <v>1006</v>
      </c>
      <c r="T204">
        <v>1165</v>
      </c>
      <c r="U204">
        <v>980</v>
      </c>
      <c r="V204">
        <v>1135</v>
      </c>
      <c r="W204">
        <v>1032</v>
      </c>
      <c r="X204">
        <v>1010</v>
      </c>
      <c r="Y204">
        <v>982</v>
      </c>
      <c r="Z204">
        <v>892</v>
      </c>
      <c r="AA204">
        <v>958</v>
      </c>
      <c r="AB204">
        <v>1028</v>
      </c>
      <c r="AC204">
        <v>974</v>
      </c>
      <c r="AD204">
        <v>1009</v>
      </c>
      <c r="AE204">
        <v>975</v>
      </c>
      <c r="AF204">
        <v>1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2</v>
      </c>
      <c r="AN204">
        <v>2</v>
      </c>
      <c r="AO204">
        <v>0</v>
      </c>
      <c r="AP204">
        <v>1134</v>
      </c>
      <c r="AQ204">
        <v>0</v>
      </c>
      <c r="AR204">
        <v>0</v>
      </c>
      <c r="AS204">
        <v>0</v>
      </c>
      <c r="AT204">
        <v>1</v>
      </c>
      <c r="AU204">
        <v>0</v>
      </c>
      <c r="AV204">
        <v>0</v>
      </c>
      <c r="AW204">
        <v>0</v>
      </c>
      <c r="AX204">
        <v>0</v>
      </c>
      <c r="AY204">
        <v>33</v>
      </c>
      <c r="AZ204">
        <v>13</v>
      </c>
      <c r="BA204">
        <v>948</v>
      </c>
      <c r="BB204">
        <v>2</v>
      </c>
      <c r="BC204">
        <v>2</v>
      </c>
      <c r="BD204">
        <v>2</v>
      </c>
      <c r="BE204">
        <v>2</v>
      </c>
      <c r="BF204">
        <v>12</v>
      </c>
      <c r="BG204">
        <v>12</v>
      </c>
      <c r="BH204">
        <v>6</v>
      </c>
      <c r="BI204">
        <v>3</v>
      </c>
      <c r="BJ204">
        <v>1</v>
      </c>
      <c r="BK204">
        <v>1</v>
      </c>
      <c r="BL204">
        <v>915</v>
      </c>
      <c r="BM204">
        <v>0</v>
      </c>
      <c r="BN204">
        <v>39</v>
      </c>
      <c r="BO204">
        <v>0</v>
      </c>
      <c r="BP204">
        <v>5</v>
      </c>
      <c r="BQ204">
        <v>19</v>
      </c>
      <c r="BR204">
        <v>27</v>
      </c>
      <c r="BS204">
        <v>2</v>
      </c>
      <c r="BT204">
        <v>3</v>
      </c>
      <c r="BU204">
        <v>4</v>
      </c>
      <c r="BV204">
        <v>0</v>
      </c>
      <c r="BW204">
        <v>908</v>
      </c>
      <c r="BX204">
        <v>0</v>
      </c>
      <c r="BY204">
        <v>4</v>
      </c>
      <c r="BZ204">
        <v>0</v>
      </c>
      <c r="CA204">
        <v>4</v>
      </c>
      <c r="CB204">
        <v>57</v>
      </c>
      <c r="CC204">
        <v>2</v>
      </c>
      <c r="CD204">
        <v>0</v>
      </c>
      <c r="CE204">
        <v>0</v>
      </c>
      <c r="CF204">
        <v>3</v>
      </c>
      <c r="CG204">
        <v>0</v>
      </c>
      <c r="CH204">
        <v>885</v>
      </c>
      <c r="CI204">
        <v>1</v>
      </c>
      <c r="CJ204">
        <v>0</v>
      </c>
      <c r="CK204">
        <v>0</v>
      </c>
      <c r="CL204">
        <v>1</v>
      </c>
      <c r="CM204">
        <v>17</v>
      </c>
      <c r="CN204">
        <v>3</v>
      </c>
      <c r="CO204">
        <v>0</v>
      </c>
      <c r="CP204">
        <v>0</v>
      </c>
      <c r="CQ204">
        <v>2</v>
      </c>
      <c r="CR204">
        <v>28</v>
      </c>
      <c r="CS204">
        <v>904</v>
      </c>
      <c r="CT204">
        <v>0</v>
      </c>
      <c r="CU204">
        <v>4</v>
      </c>
      <c r="CV204">
        <v>0</v>
      </c>
      <c r="CW204">
        <v>2</v>
      </c>
      <c r="CX204">
        <v>16</v>
      </c>
      <c r="CY204">
        <v>14</v>
      </c>
      <c r="CZ204">
        <v>1</v>
      </c>
      <c r="DA204">
        <v>4</v>
      </c>
      <c r="DB204">
        <v>4</v>
      </c>
      <c r="DC204">
        <v>0</v>
      </c>
      <c r="DD204">
        <v>912</v>
      </c>
      <c r="DE204">
        <v>4</v>
      </c>
      <c r="DF204">
        <v>71</v>
      </c>
      <c r="DG204">
        <v>6</v>
      </c>
      <c r="DH204">
        <v>0</v>
      </c>
      <c r="DI204">
        <v>2</v>
      </c>
      <c r="DJ204">
        <v>0</v>
      </c>
      <c r="DK204">
        <v>0</v>
      </c>
      <c r="DL204">
        <v>4</v>
      </c>
      <c r="DM204">
        <v>0</v>
      </c>
      <c r="DN204">
        <v>2</v>
      </c>
      <c r="DO204">
        <v>958</v>
      </c>
      <c r="DP204">
        <v>2</v>
      </c>
      <c r="DQ204">
        <v>1</v>
      </c>
      <c r="DR204">
        <v>3</v>
      </c>
      <c r="DS204">
        <v>0</v>
      </c>
      <c r="DT204">
        <v>0</v>
      </c>
      <c r="DU204">
        <v>0</v>
      </c>
      <c r="DV204">
        <v>3</v>
      </c>
      <c r="DW204">
        <v>0</v>
      </c>
      <c r="DX204">
        <v>0</v>
      </c>
      <c r="DY204">
        <v>3</v>
      </c>
      <c r="DZ204">
        <v>999</v>
      </c>
      <c r="EA204">
        <v>0.95379999999999998</v>
      </c>
      <c r="EB204">
        <v>0.95634618174073205</v>
      </c>
      <c r="EC204">
        <v>0.95398123914520405</v>
      </c>
      <c r="ED204">
        <v>0.953693739719497</v>
      </c>
      <c r="EE204">
        <f>SUM(Table1[[#This Row],[ratio_0]:[ratio_9]])</f>
        <v>550</v>
      </c>
      <c r="EF204" s="1">
        <f>(Table1[[#This Row],[predicted_0]]-Table1[[#This Row],[actual_0]])/Table1[[#This Row],[actual_0]]</f>
        <v>6.224489795918367E-2</v>
      </c>
      <c r="EG204" s="1">
        <f>(Table1[[#This Row],[predicted_1]]-Table1[[#This Row],[actual_1]])/Table1[[#This Row],[actual_1]]</f>
        <v>3.4361233480176209E-2</v>
      </c>
      <c r="EH204" s="1">
        <f>(Table1[[#This Row],[predicted_2]]-Table1[[#This Row],[actual_2]])/Table1[[#This Row],[actual_2]]</f>
        <v>-6.1046511627906974E-2</v>
      </c>
      <c r="EI204" s="1">
        <f>(Table1[[#This Row],[predicted_3]]-Table1[[#This Row],[actual_3]])/Table1[[#This Row],[actual_3]]</f>
        <v>-8.8118811881188114E-2</v>
      </c>
      <c r="EJ204" s="1">
        <f>(Table1[[#This Row],[predicted_4]]-Table1[[#This Row],[actual_4]])/Table1[[#This Row],[actual_4]]</f>
        <v>-6.720977596741344E-2</v>
      </c>
      <c r="EK204" s="1">
        <f>(Table1[[#This Row],[predicted_5]]-Table1[[#This Row],[actual_5]])/Table1[[#This Row],[actual_5]]</f>
        <v>8.2959641255605385E-2</v>
      </c>
      <c r="EL204" s="1">
        <f>(Table1[[#This Row],[predicted_6]]-Table1[[#This Row],[actual_6]])/Table1[[#This Row],[actual_6]]</f>
        <v>-4.9060542797494784E-2</v>
      </c>
      <c r="EM204" s="1">
        <f>(Table1[[#This Row],[predicted_7]]-Table1[[#This Row],[actual_7]])/Table1[[#This Row],[actual_7]]</f>
        <v>-9.4357976653696496E-2</v>
      </c>
      <c r="EN204" s="1">
        <f>(Table1[[#This Row],[predicted_8]]-Table1[[#This Row],[actual_8]])/Table1[[#This Row],[actual_8]]</f>
        <v>3.2854209445585217E-2</v>
      </c>
      <c r="EO204" s="1">
        <f>(Table1[[#This Row],[predicted_9]]-Table1[[#This Row],[actual_9]])/Table1[[#This Row],[actual_9]]</f>
        <v>0.15460852329038652</v>
      </c>
      <c r="EP204" s="1">
        <f>1+(Table1[[#This Row],[error_ratio_0]]-EF$2)</f>
        <v>1.060204081632653</v>
      </c>
      <c r="EQ204" s="1">
        <f>1+(Table1[[#This Row],[error_ratio_1]]-EG$2)</f>
        <v>1.0325991189427313</v>
      </c>
      <c r="ER204" s="1">
        <f>1+(Table1[[#This Row],[error_ratio_2]]-EH$2)</f>
        <v>0.94379844961240311</v>
      </c>
      <c r="ES204" s="1">
        <f>1+(Table1[[#This Row],[error_ratio_3]]-EI$2)</f>
        <v>0.901980198019802</v>
      </c>
      <c r="ET204" s="1">
        <f>1+(Table1[[#This Row],[error_ratio_4]]-EJ$2)</f>
        <v>0.93177189409368633</v>
      </c>
      <c r="EU204" s="1">
        <f>1+(Table1[[#This Row],[error_ratio_5]]-EK$2)</f>
        <v>1.0818385650224216</v>
      </c>
      <c r="EV204" s="1">
        <f>1+(Table1[[#This Row],[error_ratio_6]]-EL$2)</f>
        <v>0.95720250521920669</v>
      </c>
      <c r="EW204" s="1">
        <f>1+(Table1[[#This Row],[error_ratio_7]]-EM$2)</f>
        <v>0.90369649805447472</v>
      </c>
      <c r="EX204" s="1">
        <f>1+(Table1[[#This Row],[error_ratio_8]]-EN$2)</f>
        <v>1.0359342915811087</v>
      </c>
      <c r="EY204" s="1">
        <f>1+(Table1[[#This Row],[error_ratio_9]]-EO$2)</f>
        <v>1.1585728444003964</v>
      </c>
    </row>
    <row r="205" spans="1:155" x14ac:dyDescent="0.75">
      <c r="A205">
        <v>10</v>
      </c>
      <c r="B205">
        <v>100</v>
      </c>
      <c r="C205">
        <v>10</v>
      </c>
      <c r="D205">
        <v>10</v>
      </c>
      <c r="E205">
        <v>10</v>
      </c>
      <c r="F205">
        <v>100</v>
      </c>
      <c r="G205">
        <v>10</v>
      </c>
      <c r="H205">
        <v>10</v>
      </c>
      <c r="I205">
        <v>100</v>
      </c>
      <c r="J205">
        <v>100</v>
      </c>
      <c r="K205">
        <v>985</v>
      </c>
      <c r="L205">
        <v>1146</v>
      </c>
      <c r="M205">
        <v>1007</v>
      </c>
      <c r="N205">
        <v>961</v>
      </c>
      <c r="O205">
        <v>876</v>
      </c>
      <c r="P205">
        <v>917</v>
      </c>
      <c r="Q205">
        <v>955</v>
      </c>
      <c r="R205">
        <v>766</v>
      </c>
      <c r="S205">
        <v>1030</v>
      </c>
      <c r="T205">
        <v>1357</v>
      </c>
      <c r="U205">
        <v>980</v>
      </c>
      <c r="V205">
        <v>1135</v>
      </c>
      <c r="W205">
        <v>1032</v>
      </c>
      <c r="X205">
        <v>1010</v>
      </c>
      <c r="Y205">
        <v>982</v>
      </c>
      <c r="Z205">
        <v>892</v>
      </c>
      <c r="AA205">
        <v>958</v>
      </c>
      <c r="AB205">
        <v>1028</v>
      </c>
      <c r="AC205">
        <v>974</v>
      </c>
      <c r="AD205">
        <v>1009</v>
      </c>
      <c r="AE205">
        <v>958</v>
      </c>
      <c r="AF205">
        <v>1</v>
      </c>
      <c r="AG205">
        <v>1</v>
      </c>
      <c r="AH205">
        <v>0</v>
      </c>
      <c r="AI205">
        <v>2</v>
      </c>
      <c r="AJ205">
        <v>2</v>
      </c>
      <c r="AK205">
        <v>5</v>
      </c>
      <c r="AL205">
        <v>1</v>
      </c>
      <c r="AM205">
        <v>7</v>
      </c>
      <c r="AN205">
        <v>3</v>
      </c>
      <c r="AO205">
        <v>0</v>
      </c>
      <c r="AP205">
        <v>1125</v>
      </c>
      <c r="AQ205">
        <v>1</v>
      </c>
      <c r="AR205">
        <v>1</v>
      </c>
      <c r="AS205">
        <v>0</v>
      </c>
      <c r="AT205">
        <v>1</v>
      </c>
      <c r="AU205">
        <v>3</v>
      </c>
      <c r="AV205">
        <v>0</v>
      </c>
      <c r="AW205">
        <v>1</v>
      </c>
      <c r="AX205">
        <v>3</v>
      </c>
      <c r="AY205">
        <v>11</v>
      </c>
      <c r="AZ205">
        <v>4</v>
      </c>
      <c r="BA205">
        <v>964</v>
      </c>
      <c r="BB205">
        <v>8</v>
      </c>
      <c r="BC205">
        <v>6</v>
      </c>
      <c r="BD205">
        <v>0</v>
      </c>
      <c r="BE205">
        <v>5</v>
      </c>
      <c r="BF205">
        <v>3</v>
      </c>
      <c r="BG205">
        <v>28</v>
      </c>
      <c r="BH205">
        <v>3</v>
      </c>
      <c r="BI205">
        <v>1</v>
      </c>
      <c r="BJ205">
        <v>0</v>
      </c>
      <c r="BK205">
        <v>2</v>
      </c>
      <c r="BL205">
        <v>948</v>
      </c>
      <c r="BM205">
        <v>0</v>
      </c>
      <c r="BN205">
        <v>19</v>
      </c>
      <c r="BO205">
        <v>0</v>
      </c>
      <c r="BP205">
        <v>1</v>
      </c>
      <c r="BQ205">
        <v>7</v>
      </c>
      <c r="BR205">
        <v>32</v>
      </c>
      <c r="BS205">
        <v>0</v>
      </c>
      <c r="BT205">
        <v>6</v>
      </c>
      <c r="BU205">
        <v>0</v>
      </c>
      <c r="BV205">
        <v>0</v>
      </c>
      <c r="BW205">
        <v>862</v>
      </c>
      <c r="BX205">
        <v>0</v>
      </c>
      <c r="BY205">
        <v>8</v>
      </c>
      <c r="BZ205">
        <v>0</v>
      </c>
      <c r="CA205">
        <v>1</v>
      </c>
      <c r="CB205">
        <v>105</v>
      </c>
      <c r="CC205">
        <v>1</v>
      </c>
      <c r="CD205">
        <v>0</v>
      </c>
      <c r="CE205">
        <v>0</v>
      </c>
      <c r="CF205">
        <v>2</v>
      </c>
      <c r="CG205">
        <v>0</v>
      </c>
      <c r="CH205">
        <v>874</v>
      </c>
      <c r="CI205">
        <v>2</v>
      </c>
      <c r="CJ205">
        <v>0</v>
      </c>
      <c r="CK205">
        <v>4</v>
      </c>
      <c r="CL205">
        <v>9</v>
      </c>
      <c r="CM205">
        <v>5</v>
      </c>
      <c r="CN205">
        <v>3</v>
      </c>
      <c r="CO205">
        <v>0</v>
      </c>
      <c r="CP205">
        <v>0</v>
      </c>
      <c r="CQ205">
        <v>4</v>
      </c>
      <c r="CR205">
        <v>9</v>
      </c>
      <c r="CS205">
        <v>931</v>
      </c>
      <c r="CT205">
        <v>0</v>
      </c>
      <c r="CU205">
        <v>5</v>
      </c>
      <c r="CV205">
        <v>1</v>
      </c>
      <c r="CW205">
        <v>6</v>
      </c>
      <c r="CX205">
        <v>6</v>
      </c>
      <c r="CY205">
        <v>38</v>
      </c>
      <c r="CZ205">
        <v>2</v>
      </c>
      <c r="DA205">
        <v>2</v>
      </c>
      <c r="DB205">
        <v>8</v>
      </c>
      <c r="DC205">
        <v>1</v>
      </c>
      <c r="DD205">
        <v>760</v>
      </c>
      <c r="DE205">
        <v>15</v>
      </c>
      <c r="DF205">
        <v>190</v>
      </c>
      <c r="DG205">
        <v>1</v>
      </c>
      <c r="DH205">
        <v>1</v>
      </c>
      <c r="DI205">
        <v>1</v>
      </c>
      <c r="DJ205">
        <v>0</v>
      </c>
      <c r="DK205">
        <v>0</v>
      </c>
      <c r="DL205">
        <v>2</v>
      </c>
      <c r="DM205">
        <v>0</v>
      </c>
      <c r="DN205">
        <v>1</v>
      </c>
      <c r="DO205">
        <v>961</v>
      </c>
      <c r="DP205">
        <v>7</v>
      </c>
      <c r="DQ205">
        <v>2</v>
      </c>
      <c r="DR205">
        <v>0</v>
      </c>
      <c r="DS205">
        <v>0</v>
      </c>
      <c r="DT205">
        <v>0</v>
      </c>
      <c r="DU205">
        <v>0</v>
      </c>
      <c r="DV205">
        <v>2</v>
      </c>
      <c r="DW205">
        <v>0</v>
      </c>
      <c r="DX205">
        <v>0</v>
      </c>
      <c r="DY205">
        <v>1</v>
      </c>
      <c r="DZ205">
        <v>1004</v>
      </c>
      <c r="EA205">
        <v>0.93869999999999998</v>
      </c>
      <c r="EB205">
        <v>0.94750750579149701</v>
      </c>
      <c r="EC205">
        <v>0.93918973422185204</v>
      </c>
      <c r="ED205">
        <v>0.93915226196063295</v>
      </c>
      <c r="EE205">
        <f>SUM(Table1[[#This Row],[ratio_0]:[ratio_9]])</f>
        <v>460</v>
      </c>
      <c r="EF205" s="1">
        <f>(Table1[[#This Row],[predicted_0]]-Table1[[#This Row],[actual_0]])/Table1[[#This Row],[actual_0]]</f>
        <v>5.1020408163265302E-3</v>
      </c>
      <c r="EG205" s="1">
        <f>(Table1[[#This Row],[predicted_1]]-Table1[[#This Row],[actual_1]])/Table1[[#This Row],[actual_1]]</f>
        <v>9.6916299559471359E-3</v>
      </c>
      <c r="EH205" s="1">
        <f>(Table1[[#This Row],[predicted_2]]-Table1[[#This Row],[actual_2]])/Table1[[#This Row],[actual_2]]</f>
        <v>-2.4224806201550389E-2</v>
      </c>
      <c r="EI205" s="1">
        <f>(Table1[[#This Row],[predicted_3]]-Table1[[#This Row],[actual_3]])/Table1[[#This Row],[actual_3]]</f>
        <v>-4.8514851485148516E-2</v>
      </c>
      <c r="EJ205" s="1">
        <f>(Table1[[#This Row],[predicted_4]]-Table1[[#This Row],[actual_4]])/Table1[[#This Row],[actual_4]]</f>
        <v>-0.1079429735234216</v>
      </c>
      <c r="EK205" s="1">
        <f>(Table1[[#This Row],[predicted_5]]-Table1[[#This Row],[actual_5]])/Table1[[#This Row],[actual_5]]</f>
        <v>2.8026905829596414E-2</v>
      </c>
      <c r="EL205" s="1">
        <f>(Table1[[#This Row],[predicted_6]]-Table1[[#This Row],[actual_6]])/Table1[[#This Row],[actual_6]]</f>
        <v>-3.1315240083507308E-3</v>
      </c>
      <c r="EM205" s="1">
        <f>(Table1[[#This Row],[predicted_7]]-Table1[[#This Row],[actual_7]])/Table1[[#This Row],[actual_7]]</f>
        <v>-0.25486381322957197</v>
      </c>
      <c r="EN205" s="1">
        <f>(Table1[[#This Row],[predicted_8]]-Table1[[#This Row],[actual_8]])/Table1[[#This Row],[actual_8]]</f>
        <v>5.7494866529774126E-2</v>
      </c>
      <c r="EO205" s="1">
        <f>(Table1[[#This Row],[predicted_9]]-Table1[[#This Row],[actual_9]])/Table1[[#This Row],[actual_9]]</f>
        <v>0.34489593657086226</v>
      </c>
      <c r="EP205" s="1">
        <f>1+(Table1[[#This Row],[error_ratio_0]]-EF$2)</f>
        <v>1.0030612244897958</v>
      </c>
      <c r="EQ205" s="1">
        <f>1+(Table1[[#This Row],[error_ratio_1]]-EG$2)</f>
        <v>1.0079295154185022</v>
      </c>
      <c r="ER205" s="1">
        <f>1+(Table1[[#This Row],[error_ratio_2]]-EH$2)</f>
        <v>0.98062015503875966</v>
      </c>
      <c r="ES205" s="1">
        <f>1+(Table1[[#This Row],[error_ratio_3]]-EI$2)</f>
        <v>0.94158415841584153</v>
      </c>
      <c r="ET205" s="1">
        <f>1+(Table1[[#This Row],[error_ratio_4]]-EJ$2)</f>
        <v>0.8910386965376782</v>
      </c>
      <c r="EU205" s="1">
        <f>1+(Table1[[#This Row],[error_ratio_5]]-EK$2)</f>
        <v>1.0269058295964126</v>
      </c>
      <c r="EV205" s="1">
        <f>1+(Table1[[#This Row],[error_ratio_6]]-EL$2)</f>
        <v>1.0031315240083507</v>
      </c>
      <c r="EW205" s="1">
        <f>1+(Table1[[#This Row],[error_ratio_7]]-EM$2)</f>
        <v>0.74319066147859925</v>
      </c>
      <c r="EX205" s="1">
        <f>1+(Table1[[#This Row],[error_ratio_8]]-EN$2)</f>
        <v>1.0605749486652978</v>
      </c>
      <c r="EY205" s="1">
        <f>1+(Table1[[#This Row],[error_ratio_9]]-EO$2)</f>
        <v>1.3488602576808721</v>
      </c>
    </row>
    <row r="206" spans="1:155" x14ac:dyDescent="0.75">
      <c r="A206">
        <v>100</v>
      </c>
      <c r="B206">
        <v>10</v>
      </c>
      <c r="C206">
        <v>10</v>
      </c>
      <c r="D206">
        <v>10</v>
      </c>
      <c r="E206">
        <v>10</v>
      </c>
      <c r="F206">
        <v>100</v>
      </c>
      <c r="G206">
        <v>10</v>
      </c>
      <c r="H206">
        <v>10</v>
      </c>
      <c r="I206">
        <v>100</v>
      </c>
      <c r="J206">
        <v>100</v>
      </c>
      <c r="K206">
        <v>1071</v>
      </c>
      <c r="L206">
        <v>1130</v>
      </c>
      <c r="M206">
        <v>983</v>
      </c>
      <c r="N206">
        <v>911</v>
      </c>
      <c r="O206">
        <v>964</v>
      </c>
      <c r="P206">
        <v>939</v>
      </c>
      <c r="Q206">
        <v>897</v>
      </c>
      <c r="R206">
        <v>1016</v>
      </c>
      <c r="S206">
        <v>1130</v>
      </c>
      <c r="T206">
        <v>959</v>
      </c>
      <c r="U206">
        <v>980</v>
      </c>
      <c r="V206">
        <v>1135</v>
      </c>
      <c r="W206">
        <v>1032</v>
      </c>
      <c r="X206">
        <v>1010</v>
      </c>
      <c r="Y206">
        <v>982</v>
      </c>
      <c r="Z206">
        <v>892</v>
      </c>
      <c r="AA206">
        <v>958</v>
      </c>
      <c r="AB206">
        <v>1028</v>
      </c>
      <c r="AC206">
        <v>974</v>
      </c>
      <c r="AD206">
        <v>1009</v>
      </c>
      <c r="AE206">
        <v>977</v>
      </c>
      <c r="AF206">
        <v>0</v>
      </c>
      <c r="AG206">
        <v>0</v>
      </c>
      <c r="AH206">
        <v>0</v>
      </c>
      <c r="AI206">
        <v>0</v>
      </c>
      <c r="AJ206">
        <v>1</v>
      </c>
      <c r="AK206">
        <v>1</v>
      </c>
      <c r="AL206">
        <v>1</v>
      </c>
      <c r="AM206">
        <v>0</v>
      </c>
      <c r="AN206">
        <v>0</v>
      </c>
      <c r="AO206">
        <v>0</v>
      </c>
      <c r="AP206">
        <v>1110</v>
      </c>
      <c r="AQ206">
        <v>3</v>
      </c>
      <c r="AR206">
        <v>2</v>
      </c>
      <c r="AS206">
        <v>0</v>
      </c>
      <c r="AT206">
        <v>0</v>
      </c>
      <c r="AU206">
        <v>3</v>
      </c>
      <c r="AV206">
        <v>0</v>
      </c>
      <c r="AW206">
        <v>17</v>
      </c>
      <c r="AX206">
        <v>0</v>
      </c>
      <c r="AY206">
        <v>29</v>
      </c>
      <c r="AZ206">
        <v>0</v>
      </c>
      <c r="BA206">
        <v>944</v>
      </c>
      <c r="BB206">
        <v>2</v>
      </c>
      <c r="BC206">
        <v>3</v>
      </c>
      <c r="BD206">
        <v>0</v>
      </c>
      <c r="BE206">
        <v>1</v>
      </c>
      <c r="BF206">
        <v>6</v>
      </c>
      <c r="BG206">
        <v>47</v>
      </c>
      <c r="BH206">
        <v>0</v>
      </c>
      <c r="BI206">
        <v>9</v>
      </c>
      <c r="BJ206">
        <v>0</v>
      </c>
      <c r="BK206">
        <v>4</v>
      </c>
      <c r="BL206">
        <v>904</v>
      </c>
      <c r="BM206">
        <v>0</v>
      </c>
      <c r="BN206">
        <v>34</v>
      </c>
      <c r="BO206">
        <v>0</v>
      </c>
      <c r="BP206">
        <v>12</v>
      </c>
      <c r="BQ206">
        <v>46</v>
      </c>
      <c r="BR206">
        <v>1</v>
      </c>
      <c r="BS206">
        <v>6</v>
      </c>
      <c r="BT206">
        <v>8</v>
      </c>
      <c r="BU206">
        <v>1</v>
      </c>
      <c r="BV206">
        <v>0</v>
      </c>
      <c r="BW206">
        <v>943</v>
      </c>
      <c r="BX206">
        <v>0</v>
      </c>
      <c r="BY206">
        <v>1</v>
      </c>
      <c r="BZ206">
        <v>4</v>
      </c>
      <c r="CA206">
        <v>4</v>
      </c>
      <c r="CB206">
        <v>15</v>
      </c>
      <c r="CC206">
        <v>5</v>
      </c>
      <c r="CD206">
        <v>0</v>
      </c>
      <c r="CE206">
        <v>0</v>
      </c>
      <c r="CF206">
        <v>0</v>
      </c>
      <c r="CG206">
        <v>0</v>
      </c>
      <c r="CH206">
        <v>882</v>
      </c>
      <c r="CI206">
        <v>2</v>
      </c>
      <c r="CJ206">
        <v>1</v>
      </c>
      <c r="CK206">
        <v>2</v>
      </c>
      <c r="CL206">
        <v>0</v>
      </c>
      <c r="CM206">
        <v>19</v>
      </c>
      <c r="CN206">
        <v>4</v>
      </c>
      <c r="CO206">
        <v>1</v>
      </c>
      <c r="CP206">
        <v>0</v>
      </c>
      <c r="CQ206">
        <v>13</v>
      </c>
      <c r="CR206">
        <v>10</v>
      </c>
      <c r="CS206">
        <v>889</v>
      </c>
      <c r="CT206">
        <v>0</v>
      </c>
      <c r="CU206">
        <v>22</v>
      </c>
      <c r="CV206">
        <v>0</v>
      </c>
      <c r="CW206">
        <v>6</v>
      </c>
      <c r="CX206">
        <v>5</v>
      </c>
      <c r="CY206">
        <v>30</v>
      </c>
      <c r="CZ206">
        <v>0</v>
      </c>
      <c r="DA206">
        <v>0</v>
      </c>
      <c r="DB206">
        <v>1</v>
      </c>
      <c r="DC206">
        <v>0</v>
      </c>
      <c r="DD206">
        <v>967</v>
      </c>
      <c r="DE206">
        <v>15</v>
      </c>
      <c r="DF206">
        <v>4</v>
      </c>
      <c r="DG206">
        <v>8</v>
      </c>
      <c r="DH206">
        <v>0</v>
      </c>
      <c r="DI206">
        <v>0</v>
      </c>
      <c r="DJ206">
        <v>0</v>
      </c>
      <c r="DK206">
        <v>0</v>
      </c>
      <c r="DL206">
        <v>7</v>
      </c>
      <c r="DM206">
        <v>0</v>
      </c>
      <c r="DN206">
        <v>2</v>
      </c>
      <c r="DO206">
        <v>957</v>
      </c>
      <c r="DP206">
        <v>0</v>
      </c>
      <c r="DQ206">
        <v>12</v>
      </c>
      <c r="DR206">
        <v>3</v>
      </c>
      <c r="DS206">
        <v>0</v>
      </c>
      <c r="DT206">
        <v>3</v>
      </c>
      <c r="DU206">
        <v>5</v>
      </c>
      <c r="DV206">
        <v>4</v>
      </c>
      <c r="DW206">
        <v>0</v>
      </c>
      <c r="DX206">
        <v>23</v>
      </c>
      <c r="DY206">
        <v>20</v>
      </c>
      <c r="DZ206">
        <v>939</v>
      </c>
      <c r="EA206">
        <v>0.95120000000000005</v>
      </c>
      <c r="EB206">
        <v>0.95335876401200204</v>
      </c>
      <c r="EC206">
        <v>0.95155719091782398</v>
      </c>
      <c r="ED206">
        <v>0.95122017488622002</v>
      </c>
      <c r="EE206">
        <f>SUM(Table1[[#This Row],[ratio_0]:[ratio_9]])</f>
        <v>460</v>
      </c>
      <c r="EF206" s="1">
        <f>(Table1[[#This Row],[predicted_0]]-Table1[[#This Row],[actual_0]])/Table1[[#This Row],[actual_0]]</f>
        <v>9.285714285714286E-2</v>
      </c>
      <c r="EG206" s="1">
        <f>(Table1[[#This Row],[predicted_1]]-Table1[[#This Row],[actual_1]])/Table1[[#This Row],[actual_1]]</f>
        <v>-4.4052863436123352E-3</v>
      </c>
      <c r="EH206" s="1">
        <f>(Table1[[#This Row],[predicted_2]]-Table1[[#This Row],[actual_2]])/Table1[[#This Row],[actual_2]]</f>
        <v>-4.7480620155038761E-2</v>
      </c>
      <c r="EI206" s="1">
        <f>(Table1[[#This Row],[predicted_3]]-Table1[[#This Row],[actual_3]])/Table1[[#This Row],[actual_3]]</f>
        <v>-9.8019801980198024E-2</v>
      </c>
      <c r="EJ206" s="1">
        <f>(Table1[[#This Row],[predicted_4]]-Table1[[#This Row],[actual_4]])/Table1[[#This Row],[actual_4]]</f>
        <v>-1.8329938900203666E-2</v>
      </c>
      <c r="EK206" s="1">
        <f>(Table1[[#This Row],[predicted_5]]-Table1[[#This Row],[actual_5]])/Table1[[#This Row],[actual_5]]</f>
        <v>5.2690582959641255E-2</v>
      </c>
      <c r="EL206" s="1">
        <f>(Table1[[#This Row],[predicted_6]]-Table1[[#This Row],[actual_6]])/Table1[[#This Row],[actual_6]]</f>
        <v>-6.3674321503131528E-2</v>
      </c>
      <c r="EM206" s="1">
        <f>(Table1[[#This Row],[predicted_7]]-Table1[[#This Row],[actual_7]])/Table1[[#This Row],[actual_7]]</f>
        <v>-1.1673151750972763E-2</v>
      </c>
      <c r="EN206" s="1">
        <f>(Table1[[#This Row],[predicted_8]]-Table1[[#This Row],[actual_8]])/Table1[[#This Row],[actual_8]]</f>
        <v>0.16016427104722791</v>
      </c>
      <c r="EO206" s="1">
        <f>(Table1[[#This Row],[predicted_9]]-Table1[[#This Row],[actual_9]])/Table1[[#This Row],[actual_9]]</f>
        <v>-4.9554013875123884E-2</v>
      </c>
      <c r="EP206" s="1">
        <f>1+(Table1[[#This Row],[error_ratio_0]]-EF$2)</f>
        <v>1.0908163265306123</v>
      </c>
      <c r="EQ206" s="1">
        <f>1+(Table1[[#This Row],[error_ratio_1]]-EG$2)</f>
        <v>0.99383259911894273</v>
      </c>
      <c r="ER206" s="1">
        <f>1+(Table1[[#This Row],[error_ratio_2]]-EH$2)</f>
        <v>0.95736434108527135</v>
      </c>
      <c r="ES206" s="1">
        <f>1+(Table1[[#This Row],[error_ratio_3]]-EI$2)</f>
        <v>0.89207920792079209</v>
      </c>
      <c r="ET206" s="1">
        <f>1+(Table1[[#This Row],[error_ratio_4]]-EJ$2)</f>
        <v>0.9806517311608961</v>
      </c>
      <c r="EU206" s="1">
        <f>1+(Table1[[#This Row],[error_ratio_5]]-EK$2)</f>
        <v>1.0515695067264574</v>
      </c>
      <c r="EV206" s="1">
        <f>1+(Table1[[#This Row],[error_ratio_6]]-EL$2)</f>
        <v>0.94258872651356995</v>
      </c>
      <c r="EW206" s="1">
        <f>1+(Table1[[#This Row],[error_ratio_7]]-EM$2)</f>
        <v>0.98638132295719849</v>
      </c>
      <c r="EX206" s="1">
        <f>1+(Table1[[#This Row],[error_ratio_8]]-EN$2)</f>
        <v>1.1632443531827514</v>
      </c>
      <c r="EY206" s="1">
        <f>1+(Table1[[#This Row],[error_ratio_9]]-EO$2)</f>
        <v>0.95441030723488607</v>
      </c>
    </row>
    <row r="207" spans="1:155" x14ac:dyDescent="0.75">
      <c r="A207">
        <v>10</v>
      </c>
      <c r="B207">
        <v>10</v>
      </c>
      <c r="C207">
        <v>10</v>
      </c>
      <c r="D207">
        <v>10</v>
      </c>
      <c r="E207">
        <v>10</v>
      </c>
      <c r="F207">
        <v>100</v>
      </c>
      <c r="G207">
        <v>10</v>
      </c>
      <c r="H207">
        <v>10</v>
      </c>
      <c r="I207">
        <v>100</v>
      </c>
      <c r="J207">
        <v>100</v>
      </c>
      <c r="K207">
        <v>872</v>
      </c>
      <c r="L207">
        <v>1136</v>
      </c>
      <c r="M207">
        <v>1057</v>
      </c>
      <c r="N207">
        <v>977</v>
      </c>
      <c r="O207">
        <v>981</v>
      </c>
      <c r="P207">
        <v>992</v>
      </c>
      <c r="Q207">
        <v>920</v>
      </c>
      <c r="R207">
        <v>975</v>
      </c>
      <c r="S207">
        <v>966</v>
      </c>
      <c r="T207">
        <v>1124</v>
      </c>
      <c r="U207">
        <v>980</v>
      </c>
      <c r="V207">
        <v>1135</v>
      </c>
      <c r="W207">
        <v>1032</v>
      </c>
      <c r="X207">
        <v>1010</v>
      </c>
      <c r="Y207">
        <v>982</v>
      </c>
      <c r="Z207">
        <v>892</v>
      </c>
      <c r="AA207">
        <v>958</v>
      </c>
      <c r="AB207">
        <v>1028</v>
      </c>
      <c r="AC207">
        <v>974</v>
      </c>
      <c r="AD207">
        <v>1009</v>
      </c>
      <c r="AE207">
        <v>868</v>
      </c>
      <c r="AF207">
        <v>0</v>
      </c>
      <c r="AG207">
        <v>2</v>
      </c>
      <c r="AH207">
        <v>0</v>
      </c>
      <c r="AI207">
        <v>4</v>
      </c>
      <c r="AJ207">
        <v>11</v>
      </c>
      <c r="AK207">
        <v>10</v>
      </c>
      <c r="AL207">
        <v>3</v>
      </c>
      <c r="AM207">
        <v>7</v>
      </c>
      <c r="AN207">
        <v>75</v>
      </c>
      <c r="AO207">
        <v>0</v>
      </c>
      <c r="AP207">
        <v>1122</v>
      </c>
      <c r="AQ207">
        <v>3</v>
      </c>
      <c r="AR207">
        <v>5</v>
      </c>
      <c r="AS207">
        <v>0</v>
      </c>
      <c r="AT207">
        <v>2</v>
      </c>
      <c r="AU207">
        <v>1</v>
      </c>
      <c r="AV207">
        <v>0</v>
      </c>
      <c r="AW207">
        <v>1</v>
      </c>
      <c r="AX207">
        <v>1</v>
      </c>
      <c r="AY207">
        <v>0</v>
      </c>
      <c r="AZ207">
        <v>1</v>
      </c>
      <c r="BA207">
        <v>994</v>
      </c>
      <c r="BB207">
        <v>12</v>
      </c>
      <c r="BC207">
        <v>4</v>
      </c>
      <c r="BD207">
        <v>0</v>
      </c>
      <c r="BE207">
        <v>4</v>
      </c>
      <c r="BF207">
        <v>7</v>
      </c>
      <c r="BG207">
        <v>3</v>
      </c>
      <c r="BH207">
        <v>7</v>
      </c>
      <c r="BI207">
        <v>0</v>
      </c>
      <c r="BJ207">
        <v>0</v>
      </c>
      <c r="BK207">
        <v>3</v>
      </c>
      <c r="BL207">
        <v>945</v>
      </c>
      <c r="BM207">
        <v>0</v>
      </c>
      <c r="BN207">
        <v>49</v>
      </c>
      <c r="BO207">
        <v>0</v>
      </c>
      <c r="BP207">
        <v>6</v>
      </c>
      <c r="BQ207">
        <v>3</v>
      </c>
      <c r="BR207">
        <v>4</v>
      </c>
      <c r="BS207">
        <v>0</v>
      </c>
      <c r="BT207">
        <v>1</v>
      </c>
      <c r="BU207">
        <v>3</v>
      </c>
      <c r="BV207">
        <v>0</v>
      </c>
      <c r="BW207">
        <v>957</v>
      </c>
      <c r="BX207">
        <v>0</v>
      </c>
      <c r="BY207">
        <v>3</v>
      </c>
      <c r="BZ207">
        <v>0</v>
      </c>
      <c r="CA207">
        <v>3</v>
      </c>
      <c r="CB207">
        <v>15</v>
      </c>
      <c r="CC207">
        <v>0</v>
      </c>
      <c r="CD207">
        <v>0</v>
      </c>
      <c r="CE207">
        <v>0</v>
      </c>
      <c r="CF207">
        <v>0</v>
      </c>
      <c r="CG207">
        <v>0</v>
      </c>
      <c r="CH207">
        <v>890</v>
      </c>
      <c r="CI207">
        <v>0</v>
      </c>
      <c r="CJ207">
        <v>1</v>
      </c>
      <c r="CK207">
        <v>1</v>
      </c>
      <c r="CL207">
        <v>0</v>
      </c>
      <c r="CM207">
        <v>2</v>
      </c>
      <c r="CN207">
        <v>5</v>
      </c>
      <c r="CO207">
        <v>2</v>
      </c>
      <c r="CP207">
        <v>0</v>
      </c>
      <c r="CQ207">
        <v>12</v>
      </c>
      <c r="CR207">
        <v>29</v>
      </c>
      <c r="CS207">
        <v>902</v>
      </c>
      <c r="CT207">
        <v>0</v>
      </c>
      <c r="CU207">
        <v>4</v>
      </c>
      <c r="CV207">
        <v>2</v>
      </c>
      <c r="CW207">
        <v>0</v>
      </c>
      <c r="CX207">
        <v>7</v>
      </c>
      <c r="CY207">
        <v>45</v>
      </c>
      <c r="CZ207">
        <v>9</v>
      </c>
      <c r="DA207">
        <v>1</v>
      </c>
      <c r="DB207">
        <v>1</v>
      </c>
      <c r="DC207">
        <v>0</v>
      </c>
      <c r="DD207">
        <v>947</v>
      </c>
      <c r="DE207">
        <v>0</v>
      </c>
      <c r="DF207">
        <v>18</v>
      </c>
      <c r="DG207">
        <v>2</v>
      </c>
      <c r="DH207">
        <v>0</v>
      </c>
      <c r="DI207">
        <v>5</v>
      </c>
      <c r="DJ207">
        <v>4</v>
      </c>
      <c r="DK207">
        <v>0</v>
      </c>
      <c r="DL207">
        <v>6</v>
      </c>
      <c r="DM207">
        <v>0</v>
      </c>
      <c r="DN207">
        <v>5</v>
      </c>
      <c r="DO207">
        <v>944</v>
      </c>
      <c r="DP207">
        <v>8</v>
      </c>
      <c r="DQ207">
        <v>0</v>
      </c>
      <c r="DR207">
        <v>0</v>
      </c>
      <c r="DS207">
        <v>0</v>
      </c>
      <c r="DT207">
        <v>2</v>
      </c>
      <c r="DU207">
        <v>3</v>
      </c>
      <c r="DV207">
        <v>4</v>
      </c>
      <c r="DW207">
        <v>0</v>
      </c>
      <c r="DX207">
        <v>6</v>
      </c>
      <c r="DY207">
        <v>0</v>
      </c>
      <c r="DZ207">
        <v>994</v>
      </c>
      <c r="EA207">
        <v>0.95630000000000004</v>
      </c>
      <c r="EB207">
        <v>0.95767296561881998</v>
      </c>
      <c r="EC207">
        <v>0.95624660845527099</v>
      </c>
      <c r="ED207">
        <v>0.95595411900087801</v>
      </c>
      <c r="EE207">
        <f>SUM(Table1[[#This Row],[ratio_0]:[ratio_9]])</f>
        <v>370</v>
      </c>
      <c r="EF207" s="1">
        <f>(Table1[[#This Row],[predicted_0]]-Table1[[#This Row],[actual_0]])/Table1[[#This Row],[actual_0]]</f>
        <v>-0.11020408163265306</v>
      </c>
      <c r="EG207" s="1">
        <f>(Table1[[#This Row],[predicted_1]]-Table1[[#This Row],[actual_1]])/Table1[[#This Row],[actual_1]]</f>
        <v>8.81057268722467E-4</v>
      </c>
      <c r="EH207" s="1">
        <f>(Table1[[#This Row],[predicted_2]]-Table1[[#This Row],[actual_2]])/Table1[[#This Row],[actual_2]]</f>
        <v>2.4224806201550389E-2</v>
      </c>
      <c r="EI207" s="1">
        <f>(Table1[[#This Row],[predicted_3]]-Table1[[#This Row],[actual_3]])/Table1[[#This Row],[actual_3]]</f>
        <v>-3.2673267326732675E-2</v>
      </c>
      <c r="EJ207" s="1">
        <f>(Table1[[#This Row],[predicted_4]]-Table1[[#This Row],[actual_4]])/Table1[[#This Row],[actual_4]]</f>
        <v>-1.0183299389002036E-3</v>
      </c>
      <c r="EK207" s="1">
        <f>(Table1[[#This Row],[predicted_5]]-Table1[[#This Row],[actual_5]])/Table1[[#This Row],[actual_5]]</f>
        <v>0.11210762331838565</v>
      </c>
      <c r="EL207" s="1">
        <f>(Table1[[#This Row],[predicted_6]]-Table1[[#This Row],[actual_6]])/Table1[[#This Row],[actual_6]]</f>
        <v>-3.9665970772442591E-2</v>
      </c>
      <c r="EM207" s="1">
        <f>(Table1[[#This Row],[predicted_7]]-Table1[[#This Row],[actual_7]])/Table1[[#This Row],[actual_7]]</f>
        <v>-5.1556420233463032E-2</v>
      </c>
      <c r="EN207" s="1">
        <f>(Table1[[#This Row],[predicted_8]]-Table1[[#This Row],[actual_8]])/Table1[[#This Row],[actual_8]]</f>
        <v>-8.2135523613963042E-3</v>
      </c>
      <c r="EO207" s="1">
        <f>(Table1[[#This Row],[predicted_9]]-Table1[[#This Row],[actual_9]])/Table1[[#This Row],[actual_9]]</f>
        <v>0.11397423191278494</v>
      </c>
      <c r="EP207" s="1">
        <f>1+(Table1[[#This Row],[error_ratio_0]]-EF$2)</f>
        <v>0.88775510204081631</v>
      </c>
      <c r="EQ207" s="1">
        <f>1+(Table1[[#This Row],[error_ratio_1]]-EG$2)</f>
        <v>0.99911894273127755</v>
      </c>
      <c r="ER207" s="1">
        <f>1+(Table1[[#This Row],[error_ratio_2]]-EH$2)</f>
        <v>1.0290697674418605</v>
      </c>
      <c r="ES207" s="1">
        <f>1+(Table1[[#This Row],[error_ratio_3]]-EI$2)</f>
        <v>0.95742574257425739</v>
      </c>
      <c r="ET207" s="1">
        <f>1+(Table1[[#This Row],[error_ratio_4]]-EJ$2)</f>
        <v>0.99796334012219956</v>
      </c>
      <c r="EU207" s="1">
        <f>1+(Table1[[#This Row],[error_ratio_5]]-EK$2)</f>
        <v>1.1109865470852018</v>
      </c>
      <c r="EV207" s="1">
        <f>1+(Table1[[#This Row],[error_ratio_6]]-EL$2)</f>
        <v>0.96659707724425892</v>
      </c>
      <c r="EW207" s="1">
        <f>1+(Table1[[#This Row],[error_ratio_7]]-EM$2)</f>
        <v>0.94649805447470814</v>
      </c>
      <c r="EX207" s="1">
        <f>1+(Table1[[#This Row],[error_ratio_8]]-EN$2)</f>
        <v>0.99486652977412726</v>
      </c>
      <c r="EY207" s="1">
        <f>1+(Table1[[#This Row],[error_ratio_9]]-EO$2)</f>
        <v>1.1179385530227948</v>
      </c>
    </row>
    <row r="208" spans="1:155" x14ac:dyDescent="0.75">
      <c r="A208">
        <v>100</v>
      </c>
      <c r="B208">
        <v>100</v>
      </c>
      <c r="C208">
        <v>100</v>
      </c>
      <c r="D208">
        <v>100</v>
      </c>
      <c r="E208">
        <v>100</v>
      </c>
      <c r="F208">
        <v>10</v>
      </c>
      <c r="G208">
        <v>10</v>
      </c>
      <c r="H208">
        <v>10</v>
      </c>
      <c r="I208">
        <v>100</v>
      </c>
      <c r="J208">
        <v>100</v>
      </c>
      <c r="K208">
        <v>994</v>
      </c>
      <c r="L208">
        <v>1163</v>
      </c>
      <c r="M208">
        <v>1043</v>
      </c>
      <c r="N208">
        <v>1037</v>
      </c>
      <c r="O208">
        <v>994</v>
      </c>
      <c r="P208">
        <v>835</v>
      </c>
      <c r="Q208">
        <v>916</v>
      </c>
      <c r="R208">
        <v>969</v>
      </c>
      <c r="S208">
        <v>1035</v>
      </c>
      <c r="T208">
        <v>1014</v>
      </c>
      <c r="U208">
        <v>980</v>
      </c>
      <c r="V208">
        <v>1135</v>
      </c>
      <c r="W208">
        <v>1032</v>
      </c>
      <c r="X208">
        <v>1010</v>
      </c>
      <c r="Y208">
        <v>982</v>
      </c>
      <c r="Z208">
        <v>892</v>
      </c>
      <c r="AA208">
        <v>958</v>
      </c>
      <c r="AB208">
        <v>1028</v>
      </c>
      <c r="AC208">
        <v>974</v>
      </c>
      <c r="AD208">
        <v>1009</v>
      </c>
      <c r="AE208">
        <v>972</v>
      </c>
      <c r="AF208">
        <v>0</v>
      </c>
      <c r="AG208">
        <v>0</v>
      </c>
      <c r="AH208">
        <v>0</v>
      </c>
      <c r="AI208">
        <v>2</v>
      </c>
      <c r="AJ208">
        <v>0</v>
      </c>
      <c r="AK208">
        <v>0</v>
      </c>
      <c r="AL208">
        <v>0</v>
      </c>
      <c r="AM208">
        <v>3</v>
      </c>
      <c r="AN208">
        <v>3</v>
      </c>
      <c r="AO208">
        <v>0</v>
      </c>
      <c r="AP208">
        <v>1134</v>
      </c>
      <c r="AQ208">
        <v>0</v>
      </c>
      <c r="AR208">
        <v>0</v>
      </c>
      <c r="AS208">
        <v>0</v>
      </c>
      <c r="AT208">
        <v>1</v>
      </c>
      <c r="AU208">
        <v>0</v>
      </c>
      <c r="AV208">
        <v>0</v>
      </c>
      <c r="AW208">
        <v>0</v>
      </c>
      <c r="AX208">
        <v>0</v>
      </c>
      <c r="AY208">
        <v>2</v>
      </c>
      <c r="AZ208">
        <v>2</v>
      </c>
      <c r="BA208">
        <v>1019</v>
      </c>
      <c r="BB208">
        <v>1</v>
      </c>
      <c r="BC208">
        <v>0</v>
      </c>
      <c r="BD208">
        <v>0</v>
      </c>
      <c r="BE208">
        <v>0</v>
      </c>
      <c r="BF208">
        <v>5</v>
      </c>
      <c r="BG208">
        <v>3</v>
      </c>
      <c r="BH208">
        <v>0</v>
      </c>
      <c r="BI208">
        <v>0</v>
      </c>
      <c r="BJ208">
        <v>0</v>
      </c>
      <c r="BK208">
        <v>1</v>
      </c>
      <c r="BL208">
        <v>1001</v>
      </c>
      <c r="BM208">
        <v>0</v>
      </c>
      <c r="BN208">
        <v>3</v>
      </c>
      <c r="BO208">
        <v>0</v>
      </c>
      <c r="BP208">
        <v>0</v>
      </c>
      <c r="BQ208">
        <v>4</v>
      </c>
      <c r="BR208">
        <v>1</v>
      </c>
      <c r="BS208">
        <v>0</v>
      </c>
      <c r="BT208">
        <v>2</v>
      </c>
      <c r="BU208">
        <v>2</v>
      </c>
      <c r="BV208">
        <v>0</v>
      </c>
      <c r="BW208">
        <v>974</v>
      </c>
      <c r="BX208">
        <v>0</v>
      </c>
      <c r="BY208">
        <v>1</v>
      </c>
      <c r="BZ208">
        <v>0</v>
      </c>
      <c r="CA208">
        <v>0</v>
      </c>
      <c r="CB208">
        <v>3</v>
      </c>
      <c r="CC208">
        <v>3</v>
      </c>
      <c r="CD208">
        <v>3</v>
      </c>
      <c r="CE208">
        <v>1</v>
      </c>
      <c r="CF208">
        <v>27</v>
      </c>
      <c r="CG208">
        <v>0</v>
      </c>
      <c r="CH208">
        <v>827</v>
      </c>
      <c r="CI208">
        <v>1</v>
      </c>
      <c r="CJ208">
        <v>1</v>
      </c>
      <c r="CK208">
        <v>29</v>
      </c>
      <c r="CL208">
        <v>0</v>
      </c>
      <c r="CM208">
        <v>15</v>
      </c>
      <c r="CN208">
        <v>5</v>
      </c>
      <c r="CO208">
        <v>0</v>
      </c>
      <c r="CP208">
        <v>0</v>
      </c>
      <c r="CQ208">
        <v>8</v>
      </c>
      <c r="CR208">
        <v>3</v>
      </c>
      <c r="CS208">
        <v>914</v>
      </c>
      <c r="CT208">
        <v>0</v>
      </c>
      <c r="CU208">
        <v>13</v>
      </c>
      <c r="CV208">
        <v>0</v>
      </c>
      <c r="CW208">
        <v>1</v>
      </c>
      <c r="CX208">
        <v>14</v>
      </c>
      <c r="CY208">
        <v>19</v>
      </c>
      <c r="CZ208">
        <v>7</v>
      </c>
      <c r="DA208">
        <v>2</v>
      </c>
      <c r="DB208">
        <v>0</v>
      </c>
      <c r="DC208">
        <v>0</v>
      </c>
      <c r="DD208">
        <v>961</v>
      </c>
      <c r="DE208">
        <v>6</v>
      </c>
      <c r="DF208">
        <v>18</v>
      </c>
      <c r="DG208">
        <v>1</v>
      </c>
      <c r="DH208">
        <v>0</v>
      </c>
      <c r="DI208">
        <v>1</v>
      </c>
      <c r="DJ208">
        <v>0</v>
      </c>
      <c r="DK208">
        <v>0</v>
      </c>
      <c r="DL208">
        <v>0</v>
      </c>
      <c r="DM208">
        <v>0</v>
      </c>
      <c r="DN208">
        <v>2</v>
      </c>
      <c r="DO208">
        <v>970</v>
      </c>
      <c r="DP208">
        <v>0</v>
      </c>
      <c r="DQ208">
        <v>0</v>
      </c>
      <c r="DR208">
        <v>3</v>
      </c>
      <c r="DS208">
        <v>0</v>
      </c>
      <c r="DT208">
        <v>1</v>
      </c>
      <c r="DU208">
        <v>8</v>
      </c>
      <c r="DV208">
        <v>1</v>
      </c>
      <c r="DW208">
        <v>0</v>
      </c>
      <c r="DX208">
        <v>0</v>
      </c>
      <c r="DY208">
        <v>7</v>
      </c>
      <c r="DZ208">
        <v>989</v>
      </c>
      <c r="EA208">
        <v>0.97609999999999997</v>
      </c>
      <c r="EB208">
        <v>0.97676079521066494</v>
      </c>
      <c r="EC208">
        <v>0.97533987946469303</v>
      </c>
      <c r="ED208">
        <v>0.97568006165793797</v>
      </c>
      <c r="EE208">
        <f>SUM(Table1[[#This Row],[ratio_0]:[ratio_9]])</f>
        <v>730</v>
      </c>
      <c r="EF208" s="1">
        <f>(Table1[[#This Row],[predicted_0]]-Table1[[#This Row],[actual_0]])/Table1[[#This Row],[actual_0]]</f>
        <v>1.4285714285714285E-2</v>
      </c>
      <c r="EG208" s="1">
        <f>(Table1[[#This Row],[predicted_1]]-Table1[[#This Row],[actual_1]])/Table1[[#This Row],[actual_1]]</f>
        <v>2.4669603524229075E-2</v>
      </c>
      <c r="EH208" s="1">
        <f>(Table1[[#This Row],[predicted_2]]-Table1[[#This Row],[actual_2]])/Table1[[#This Row],[actual_2]]</f>
        <v>1.065891472868217E-2</v>
      </c>
      <c r="EI208" s="1">
        <f>(Table1[[#This Row],[predicted_3]]-Table1[[#This Row],[actual_3]])/Table1[[#This Row],[actual_3]]</f>
        <v>2.6732673267326732E-2</v>
      </c>
      <c r="EJ208" s="1">
        <f>(Table1[[#This Row],[predicted_4]]-Table1[[#This Row],[actual_4]])/Table1[[#This Row],[actual_4]]</f>
        <v>1.2219959266802444E-2</v>
      </c>
      <c r="EK208" s="1">
        <f>(Table1[[#This Row],[predicted_5]]-Table1[[#This Row],[actual_5]])/Table1[[#This Row],[actual_5]]</f>
        <v>-6.3901345291479825E-2</v>
      </c>
      <c r="EL208" s="1">
        <f>(Table1[[#This Row],[predicted_6]]-Table1[[#This Row],[actual_6]])/Table1[[#This Row],[actual_6]]</f>
        <v>-4.3841336116910233E-2</v>
      </c>
      <c r="EM208" s="1">
        <f>(Table1[[#This Row],[predicted_7]]-Table1[[#This Row],[actual_7]])/Table1[[#This Row],[actual_7]]</f>
        <v>-5.7392996108949414E-2</v>
      </c>
      <c r="EN208" s="1">
        <f>(Table1[[#This Row],[predicted_8]]-Table1[[#This Row],[actual_8]])/Table1[[#This Row],[actual_8]]</f>
        <v>6.2628336755646816E-2</v>
      </c>
      <c r="EO208" s="1">
        <f>(Table1[[#This Row],[predicted_9]]-Table1[[#This Row],[actual_9]])/Table1[[#This Row],[actual_9]]</f>
        <v>4.9554013875123884E-3</v>
      </c>
      <c r="EP208" s="1">
        <f>1+(Table1[[#This Row],[error_ratio_0]]-EF$2)</f>
        <v>1.0122448979591836</v>
      </c>
      <c r="EQ208" s="1">
        <f>1+(Table1[[#This Row],[error_ratio_1]]-EG$2)</f>
        <v>1.0229074889867842</v>
      </c>
      <c r="ER208" s="1">
        <f>1+(Table1[[#This Row],[error_ratio_2]]-EH$2)</f>
        <v>1.0155038759689923</v>
      </c>
      <c r="ES208" s="1">
        <f>1+(Table1[[#This Row],[error_ratio_3]]-EI$2)</f>
        <v>1.0168316831683168</v>
      </c>
      <c r="ET208" s="1">
        <f>1+(Table1[[#This Row],[error_ratio_4]]-EJ$2)</f>
        <v>1.0112016293279023</v>
      </c>
      <c r="EU208" s="1">
        <f>1+(Table1[[#This Row],[error_ratio_5]]-EK$2)</f>
        <v>0.93497757847533636</v>
      </c>
      <c r="EV208" s="1">
        <f>1+(Table1[[#This Row],[error_ratio_6]]-EL$2)</f>
        <v>0.9624217118997912</v>
      </c>
      <c r="EW208" s="1">
        <f>1+(Table1[[#This Row],[error_ratio_7]]-EM$2)</f>
        <v>0.94066147859922178</v>
      </c>
      <c r="EX208" s="1">
        <f>1+(Table1[[#This Row],[error_ratio_8]]-EN$2)</f>
        <v>1.0657084188911705</v>
      </c>
      <c r="EY208" s="1">
        <f>1+(Table1[[#This Row],[error_ratio_9]]-EO$2)</f>
        <v>1.0089197224975224</v>
      </c>
    </row>
    <row r="209" spans="1:155" x14ac:dyDescent="0.75">
      <c r="A209">
        <v>10</v>
      </c>
      <c r="B209">
        <v>100</v>
      </c>
      <c r="C209">
        <v>100</v>
      </c>
      <c r="D209">
        <v>100</v>
      </c>
      <c r="E209">
        <v>100</v>
      </c>
      <c r="F209">
        <v>10</v>
      </c>
      <c r="G209">
        <v>10</v>
      </c>
      <c r="H209">
        <v>10</v>
      </c>
      <c r="I209">
        <v>100</v>
      </c>
      <c r="J209">
        <v>100</v>
      </c>
      <c r="K209">
        <v>941</v>
      </c>
      <c r="L209">
        <v>1143</v>
      </c>
      <c r="M209">
        <v>1088</v>
      </c>
      <c r="N209">
        <v>1015</v>
      </c>
      <c r="O209">
        <v>970</v>
      </c>
      <c r="P209">
        <v>792</v>
      </c>
      <c r="Q209">
        <v>922</v>
      </c>
      <c r="R209">
        <v>961</v>
      </c>
      <c r="S209">
        <v>1096</v>
      </c>
      <c r="T209">
        <v>1072</v>
      </c>
      <c r="U209">
        <v>980</v>
      </c>
      <c r="V209">
        <v>1135</v>
      </c>
      <c r="W209">
        <v>1032</v>
      </c>
      <c r="X209">
        <v>1010</v>
      </c>
      <c r="Y209">
        <v>982</v>
      </c>
      <c r="Z209">
        <v>892</v>
      </c>
      <c r="AA209">
        <v>958</v>
      </c>
      <c r="AB209">
        <v>1028</v>
      </c>
      <c r="AC209">
        <v>974</v>
      </c>
      <c r="AD209">
        <v>1009</v>
      </c>
      <c r="AE209">
        <v>932</v>
      </c>
      <c r="AF209">
        <v>0</v>
      </c>
      <c r="AG209">
        <v>7</v>
      </c>
      <c r="AH209">
        <v>0</v>
      </c>
      <c r="AI209">
        <v>0</v>
      </c>
      <c r="AJ209">
        <v>0</v>
      </c>
      <c r="AK209">
        <v>3</v>
      </c>
      <c r="AL209">
        <v>1</v>
      </c>
      <c r="AM209">
        <v>23</v>
      </c>
      <c r="AN209">
        <v>14</v>
      </c>
      <c r="AO209">
        <v>0</v>
      </c>
      <c r="AP209">
        <v>1131</v>
      </c>
      <c r="AQ209">
        <v>2</v>
      </c>
      <c r="AR209">
        <v>1</v>
      </c>
      <c r="AS209">
        <v>0</v>
      </c>
      <c r="AT209">
        <v>0</v>
      </c>
      <c r="AU209">
        <v>1</v>
      </c>
      <c r="AV209">
        <v>0</v>
      </c>
      <c r="AW209">
        <v>0</v>
      </c>
      <c r="AX209">
        <v>0</v>
      </c>
      <c r="AY209">
        <v>0</v>
      </c>
      <c r="AZ209">
        <v>1</v>
      </c>
      <c r="BA209">
        <v>1027</v>
      </c>
      <c r="BB209">
        <v>0</v>
      </c>
      <c r="BC209">
        <v>0</v>
      </c>
      <c r="BD209">
        <v>0</v>
      </c>
      <c r="BE209">
        <v>0</v>
      </c>
      <c r="BF209">
        <v>1</v>
      </c>
      <c r="BG209">
        <v>2</v>
      </c>
      <c r="BH209">
        <v>1</v>
      </c>
      <c r="BI209">
        <v>0</v>
      </c>
      <c r="BJ209">
        <v>0</v>
      </c>
      <c r="BK209">
        <v>3</v>
      </c>
      <c r="BL209">
        <v>995</v>
      </c>
      <c r="BM209">
        <v>0</v>
      </c>
      <c r="BN209">
        <v>2</v>
      </c>
      <c r="BO209">
        <v>0</v>
      </c>
      <c r="BP209">
        <v>1</v>
      </c>
      <c r="BQ209">
        <v>6</v>
      </c>
      <c r="BR209">
        <v>3</v>
      </c>
      <c r="BS209">
        <v>0</v>
      </c>
      <c r="BT209">
        <v>0</v>
      </c>
      <c r="BU209">
        <v>3</v>
      </c>
      <c r="BV209">
        <v>0</v>
      </c>
      <c r="BW209">
        <v>960</v>
      </c>
      <c r="BX209">
        <v>0</v>
      </c>
      <c r="BY209">
        <v>4</v>
      </c>
      <c r="BZ209">
        <v>0</v>
      </c>
      <c r="CA209">
        <v>5</v>
      </c>
      <c r="CB209">
        <v>10</v>
      </c>
      <c r="CC209">
        <v>2</v>
      </c>
      <c r="CD209">
        <v>1</v>
      </c>
      <c r="CE209">
        <v>1</v>
      </c>
      <c r="CF209">
        <v>15</v>
      </c>
      <c r="CG209">
        <v>0</v>
      </c>
      <c r="CH209">
        <v>788</v>
      </c>
      <c r="CI209">
        <v>5</v>
      </c>
      <c r="CJ209">
        <v>1</v>
      </c>
      <c r="CK209">
        <v>50</v>
      </c>
      <c r="CL209">
        <v>29</v>
      </c>
      <c r="CM209">
        <v>5</v>
      </c>
      <c r="CN209">
        <v>6</v>
      </c>
      <c r="CO209">
        <v>1</v>
      </c>
      <c r="CP209">
        <v>1</v>
      </c>
      <c r="CQ209">
        <v>8</v>
      </c>
      <c r="CR209">
        <v>2</v>
      </c>
      <c r="CS209">
        <v>909</v>
      </c>
      <c r="CT209">
        <v>0</v>
      </c>
      <c r="CU209">
        <v>26</v>
      </c>
      <c r="CV209">
        <v>0</v>
      </c>
      <c r="CW209">
        <v>1</v>
      </c>
      <c r="CX209">
        <v>4</v>
      </c>
      <c r="CY209">
        <v>43</v>
      </c>
      <c r="CZ209">
        <v>3</v>
      </c>
      <c r="DA209">
        <v>2</v>
      </c>
      <c r="DB209">
        <v>0</v>
      </c>
      <c r="DC209">
        <v>0</v>
      </c>
      <c r="DD209">
        <v>953</v>
      </c>
      <c r="DE209">
        <v>7</v>
      </c>
      <c r="DF209">
        <v>15</v>
      </c>
      <c r="DG209">
        <v>1</v>
      </c>
      <c r="DH209">
        <v>0</v>
      </c>
      <c r="DI209">
        <v>1</v>
      </c>
      <c r="DJ209">
        <v>0</v>
      </c>
      <c r="DK209">
        <v>0</v>
      </c>
      <c r="DL209">
        <v>0</v>
      </c>
      <c r="DM209">
        <v>0</v>
      </c>
      <c r="DN209">
        <v>2</v>
      </c>
      <c r="DO209">
        <v>969</v>
      </c>
      <c r="DP209">
        <v>1</v>
      </c>
      <c r="DQ209">
        <v>0</v>
      </c>
      <c r="DR209">
        <v>0</v>
      </c>
      <c r="DS209">
        <v>0</v>
      </c>
      <c r="DT209">
        <v>0</v>
      </c>
      <c r="DU209">
        <v>0</v>
      </c>
      <c r="DV209">
        <v>0</v>
      </c>
      <c r="DW209">
        <v>0</v>
      </c>
      <c r="DX209">
        <v>2</v>
      </c>
      <c r="DY209">
        <v>8</v>
      </c>
      <c r="DZ209">
        <v>999</v>
      </c>
      <c r="EA209">
        <v>0.96630000000000005</v>
      </c>
      <c r="EB209">
        <v>0.968240925343681</v>
      </c>
      <c r="EC209">
        <v>0.96496548488784195</v>
      </c>
      <c r="ED209">
        <v>0.96560007413517601</v>
      </c>
      <c r="EE209">
        <f>SUM(Table1[[#This Row],[ratio_0]:[ratio_9]])</f>
        <v>640</v>
      </c>
      <c r="EF209" s="1">
        <f>(Table1[[#This Row],[predicted_0]]-Table1[[#This Row],[actual_0]])/Table1[[#This Row],[actual_0]]</f>
        <v>-3.9795918367346937E-2</v>
      </c>
      <c r="EG209" s="1">
        <f>(Table1[[#This Row],[predicted_1]]-Table1[[#This Row],[actual_1]])/Table1[[#This Row],[actual_1]]</f>
        <v>7.048458149779736E-3</v>
      </c>
      <c r="EH209" s="1">
        <f>(Table1[[#This Row],[predicted_2]]-Table1[[#This Row],[actual_2]])/Table1[[#This Row],[actual_2]]</f>
        <v>5.4263565891472867E-2</v>
      </c>
      <c r="EI209" s="1">
        <f>(Table1[[#This Row],[predicted_3]]-Table1[[#This Row],[actual_3]])/Table1[[#This Row],[actual_3]]</f>
        <v>4.9504950495049506E-3</v>
      </c>
      <c r="EJ209" s="1">
        <f>(Table1[[#This Row],[predicted_4]]-Table1[[#This Row],[actual_4]])/Table1[[#This Row],[actual_4]]</f>
        <v>-1.2219959266802444E-2</v>
      </c>
      <c r="EK209" s="1">
        <f>(Table1[[#This Row],[predicted_5]]-Table1[[#This Row],[actual_5]])/Table1[[#This Row],[actual_5]]</f>
        <v>-0.11210762331838565</v>
      </c>
      <c r="EL209" s="1">
        <f>(Table1[[#This Row],[predicted_6]]-Table1[[#This Row],[actual_6]])/Table1[[#This Row],[actual_6]]</f>
        <v>-3.7578288100208766E-2</v>
      </c>
      <c r="EM209" s="1">
        <f>(Table1[[#This Row],[predicted_7]]-Table1[[#This Row],[actual_7]])/Table1[[#This Row],[actual_7]]</f>
        <v>-6.5175097276264596E-2</v>
      </c>
      <c r="EN209" s="1">
        <f>(Table1[[#This Row],[predicted_8]]-Table1[[#This Row],[actual_8]])/Table1[[#This Row],[actual_8]]</f>
        <v>0.12525667351129363</v>
      </c>
      <c r="EO209" s="1">
        <f>(Table1[[#This Row],[predicted_9]]-Table1[[#This Row],[actual_9]])/Table1[[#This Row],[actual_9]]</f>
        <v>6.2438057482656094E-2</v>
      </c>
      <c r="EP209" s="1">
        <f>1+(Table1[[#This Row],[error_ratio_0]]-EF$2)</f>
        <v>0.9581632653061225</v>
      </c>
      <c r="EQ209" s="1">
        <f>1+(Table1[[#This Row],[error_ratio_1]]-EG$2)</f>
        <v>1.0052863436123347</v>
      </c>
      <c r="ER209" s="1">
        <f>1+(Table1[[#This Row],[error_ratio_2]]-EH$2)</f>
        <v>1.0591085271317831</v>
      </c>
      <c r="ES209" s="1">
        <f>1+(Table1[[#This Row],[error_ratio_3]]-EI$2)</f>
        <v>0.99504950495049505</v>
      </c>
      <c r="ET209" s="1">
        <f>1+(Table1[[#This Row],[error_ratio_4]]-EJ$2)</f>
        <v>0.98676171079429731</v>
      </c>
      <c r="EU209" s="1">
        <f>1+(Table1[[#This Row],[error_ratio_5]]-EK$2)</f>
        <v>0.88677130044843044</v>
      </c>
      <c r="EV209" s="1">
        <f>1+(Table1[[#This Row],[error_ratio_6]]-EL$2)</f>
        <v>0.96868475991649272</v>
      </c>
      <c r="EW209" s="1">
        <f>1+(Table1[[#This Row],[error_ratio_7]]-EM$2)</f>
        <v>0.93287937743190663</v>
      </c>
      <c r="EX209" s="1">
        <f>1+(Table1[[#This Row],[error_ratio_8]]-EN$2)</f>
        <v>1.1283367556468171</v>
      </c>
      <c r="EY209" s="1">
        <f>1+(Table1[[#This Row],[error_ratio_9]]-EO$2)</f>
        <v>1.066402378592666</v>
      </c>
    </row>
    <row r="210" spans="1:155" x14ac:dyDescent="0.75">
      <c r="A210">
        <v>10</v>
      </c>
      <c r="B210">
        <v>10</v>
      </c>
      <c r="C210">
        <v>100</v>
      </c>
      <c r="D210">
        <v>100</v>
      </c>
      <c r="E210">
        <v>100</v>
      </c>
      <c r="F210">
        <v>10</v>
      </c>
      <c r="G210">
        <v>10</v>
      </c>
      <c r="H210">
        <v>10</v>
      </c>
      <c r="I210">
        <v>100</v>
      </c>
      <c r="J210">
        <v>100</v>
      </c>
      <c r="K210">
        <v>895</v>
      </c>
      <c r="L210">
        <v>1040</v>
      </c>
      <c r="M210">
        <v>1066</v>
      </c>
      <c r="N210">
        <v>1067</v>
      </c>
      <c r="O210">
        <v>1017</v>
      </c>
      <c r="P210">
        <v>859</v>
      </c>
      <c r="Q210">
        <v>942</v>
      </c>
      <c r="R210">
        <v>944</v>
      </c>
      <c r="S210">
        <v>1102</v>
      </c>
      <c r="T210">
        <v>1068</v>
      </c>
      <c r="U210">
        <v>980</v>
      </c>
      <c r="V210">
        <v>1135</v>
      </c>
      <c r="W210">
        <v>1032</v>
      </c>
      <c r="X210">
        <v>1010</v>
      </c>
      <c r="Y210">
        <v>982</v>
      </c>
      <c r="Z210">
        <v>892</v>
      </c>
      <c r="AA210">
        <v>958</v>
      </c>
      <c r="AB210">
        <v>1028</v>
      </c>
      <c r="AC210">
        <v>974</v>
      </c>
      <c r="AD210">
        <v>1009</v>
      </c>
      <c r="AE210">
        <v>891</v>
      </c>
      <c r="AF210">
        <v>0</v>
      </c>
      <c r="AG210">
        <v>5</v>
      </c>
      <c r="AH210">
        <v>0</v>
      </c>
      <c r="AI210">
        <v>3</v>
      </c>
      <c r="AJ210">
        <v>1</v>
      </c>
      <c r="AK210">
        <v>20</v>
      </c>
      <c r="AL210">
        <v>2</v>
      </c>
      <c r="AM210">
        <v>32</v>
      </c>
      <c r="AN210">
        <v>26</v>
      </c>
      <c r="AO210">
        <v>0</v>
      </c>
      <c r="AP210">
        <v>1038</v>
      </c>
      <c r="AQ210">
        <v>3</v>
      </c>
      <c r="AR210">
        <v>8</v>
      </c>
      <c r="AS210">
        <v>18</v>
      </c>
      <c r="AT210">
        <v>0</v>
      </c>
      <c r="AU210">
        <v>4</v>
      </c>
      <c r="AV210">
        <v>2</v>
      </c>
      <c r="AW210">
        <v>52</v>
      </c>
      <c r="AX210">
        <v>10</v>
      </c>
      <c r="AY210">
        <v>0</v>
      </c>
      <c r="AZ210">
        <v>0</v>
      </c>
      <c r="BA210">
        <v>1009</v>
      </c>
      <c r="BB210">
        <v>1</v>
      </c>
      <c r="BC210">
        <v>5</v>
      </c>
      <c r="BD210">
        <v>0</v>
      </c>
      <c r="BE210">
        <v>1</v>
      </c>
      <c r="BF210">
        <v>4</v>
      </c>
      <c r="BG210">
        <v>11</v>
      </c>
      <c r="BH210">
        <v>1</v>
      </c>
      <c r="BI210">
        <v>0</v>
      </c>
      <c r="BJ210">
        <v>0</v>
      </c>
      <c r="BK210">
        <v>4</v>
      </c>
      <c r="BL210">
        <v>1003</v>
      </c>
      <c r="BM210">
        <v>0</v>
      </c>
      <c r="BN210">
        <v>1</v>
      </c>
      <c r="BO210">
        <v>0</v>
      </c>
      <c r="BP210">
        <v>0</v>
      </c>
      <c r="BQ210">
        <v>2</v>
      </c>
      <c r="BR210">
        <v>0</v>
      </c>
      <c r="BS210">
        <v>0</v>
      </c>
      <c r="BT210">
        <v>0</v>
      </c>
      <c r="BU210">
        <v>0</v>
      </c>
      <c r="BV210">
        <v>1</v>
      </c>
      <c r="BW210">
        <v>962</v>
      </c>
      <c r="BX210">
        <v>0</v>
      </c>
      <c r="BY210">
        <v>0</v>
      </c>
      <c r="BZ210">
        <v>0</v>
      </c>
      <c r="CA210">
        <v>0</v>
      </c>
      <c r="CB210">
        <v>19</v>
      </c>
      <c r="CC210">
        <v>2</v>
      </c>
      <c r="CD210">
        <v>0</v>
      </c>
      <c r="CE210">
        <v>1</v>
      </c>
      <c r="CF210">
        <v>15</v>
      </c>
      <c r="CG210">
        <v>0</v>
      </c>
      <c r="CH210">
        <v>844</v>
      </c>
      <c r="CI210">
        <v>6</v>
      </c>
      <c r="CJ210">
        <v>1</v>
      </c>
      <c r="CK210">
        <v>19</v>
      </c>
      <c r="CL210">
        <v>4</v>
      </c>
      <c r="CM210">
        <v>2</v>
      </c>
      <c r="CN210">
        <v>2</v>
      </c>
      <c r="CO210">
        <v>0</v>
      </c>
      <c r="CP210">
        <v>0</v>
      </c>
      <c r="CQ210">
        <v>21</v>
      </c>
      <c r="CR210">
        <v>8</v>
      </c>
      <c r="CS210">
        <v>911</v>
      </c>
      <c r="CT210">
        <v>0</v>
      </c>
      <c r="CU210">
        <v>13</v>
      </c>
      <c r="CV210">
        <v>1</v>
      </c>
      <c r="CW210">
        <v>0</v>
      </c>
      <c r="CX210">
        <v>0</v>
      </c>
      <c r="CY210">
        <v>43</v>
      </c>
      <c r="CZ210">
        <v>33</v>
      </c>
      <c r="DA210">
        <v>4</v>
      </c>
      <c r="DB210">
        <v>0</v>
      </c>
      <c r="DC210">
        <v>0</v>
      </c>
      <c r="DD210">
        <v>932</v>
      </c>
      <c r="DE210">
        <v>5</v>
      </c>
      <c r="DF210">
        <v>11</v>
      </c>
      <c r="DG210">
        <v>0</v>
      </c>
      <c r="DH210">
        <v>0</v>
      </c>
      <c r="DI210">
        <v>0</v>
      </c>
      <c r="DJ210">
        <v>3</v>
      </c>
      <c r="DK210">
        <v>0</v>
      </c>
      <c r="DL210">
        <v>2</v>
      </c>
      <c r="DM210">
        <v>0</v>
      </c>
      <c r="DN210">
        <v>0</v>
      </c>
      <c r="DO210">
        <v>964</v>
      </c>
      <c r="DP210">
        <v>5</v>
      </c>
      <c r="DQ210">
        <v>0</v>
      </c>
      <c r="DR210">
        <v>0</v>
      </c>
      <c r="DS210">
        <v>1</v>
      </c>
      <c r="DT210">
        <v>3</v>
      </c>
      <c r="DU210">
        <v>4</v>
      </c>
      <c r="DV210">
        <v>3</v>
      </c>
      <c r="DW210">
        <v>0</v>
      </c>
      <c r="DX210">
        <v>3</v>
      </c>
      <c r="DY210">
        <v>4</v>
      </c>
      <c r="DZ210">
        <v>991</v>
      </c>
      <c r="EA210">
        <v>0.95450000000000002</v>
      </c>
      <c r="EB210">
        <v>0.95656678717201704</v>
      </c>
      <c r="EC210">
        <v>0.95497732034056804</v>
      </c>
      <c r="ED210">
        <v>0.95462197292620998</v>
      </c>
      <c r="EE210">
        <f>SUM(Table1[[#This Row],[ratio_0]:[ratio_9]])</f>
        <v>550</v>
      </c>
      <c r="EF210" s="1">
        <f>(Table1[[#This Row],[predicted_0]]-Table1[[#This Row],[actual_0]])/Table1[[#This Row],[actual_0]]</f>
        <v>-8.673469387755102E-2</v>
      </c>
      <c r="EG210" s="1">
        <f>(Table1[[#This Row],[predicted_1]]-Table1[[#This Row],[actual_1]])/Table1[[#This Row],[actual_1]]</f>
        <v>-8.3700440528634359E-2</v>
      </c>
      <c r="EH210" s="1">
        <f>(Table1[[#This Row],[predicted_2]]-Table1[[#This Row],[actual_2]])/Table1[[#This Row],[actual_2]]</f>
        <v>3.294573643410853E-2</v>
      </c>
      <c r="EI210" s="1">
        <f>(Table1[[#This Row],[predicted_3]]-Table1[[#This Row],[actual_3]])/Table1[[#This Row],[actual_3]]</f>
        <v>5.6435643564356437E-2</v>
      </c>
      <c r="EJ210" s="1">
        <f>(Table1[[#This Row],[predicted_4]]-Table1[[#This Row],[actual_4]])/Table1[[#This Row],[actual_4]]</f>
        <v>3.5641547861507125E-2</v>
      </c>
      <c r="EK210" s="1">
        <f>(Table1[[#This Row],[predicted_5]]-Table1[[#This Row],[actual_5]])/Table1[[#This Row],[actual_5]]</f>
        <v>-3.6995515695067267E-2</v>
      </c>
      <c r="EL210" s="1">
        <f>(Table1[[#This Row],[predicted_6]]-Table1[[#This Row],[actual_6]])/Table1[[#This Row],[actual_6]]</f>
        <v>-1.6701461377870562E-2</v>
      </c>
      <c r="EM210" s="1">
        <f>(Table1[[#This Row],[predicted_7]]-Table1[[#This Row],[actual_7]])/Table1[[#This Row],[actual_7]]</f>
        <v>-8.171206225680934E-2</v>
      </c>
      <c r="EN210" s="1">
        <f>(Table1[[#This Row],[predicted_8]]-Table1[[#This Row],[actual_8]])/Table1[[#This Row],[actual_8]]</f>
        <v>0.13141683778234087</v>
      </c>
      <c r="EO210" s="1">
        <f>(Table1[[#This Row],[predicted_9]]-Table1[[#This Row],[actual_9]])/Table1[[#This Row],[actual_9]]</f>
        <v>5.8473736372646183E-2</v>
      </c>
      <c r="EP210" s="1">
        <f>1+(Table1[[#This Row],[error_ratio_0]]-EF$2)</f>
        <v>0.91122448979591841</v>
      </c>
      <c r="EQ210" s="1">
        <f>1+(Table1[[#This Row],[error_ratio_1]]-EG$2)</f>
        <v>0.91453744493392075</v>
      </c>
      <c r="ER210" s="1">
        <f>1+(Table1[[#This Row],[error_ratio_2]]-EH$2)</f>
        <v>1.0377906976744187</v>
      </c>
      <c r="ES210" s="1">
        <f>1+(Table1[[#This Row],[error_ratio_3]]-EI$2)</f>
        <v>1.0465346534653466</v>
      </c>
      <c r="ET210" s="1">
        <f>1+(Table1[[#This Row],[error_ratio_4]]-EJ$2)</f>
        <v>1.0346232179226069</v>
      </c>
      <c r="EU210" s="1">
        <f>1+(Table1[[#This Row],[error_ratio_5]]-EK$2)</f>
        <v>0.96188340807174888</v>
      </c>
      <c r="EV210" s="1">
        <f>1+(Table1[[#This Row],[error_ratio_6]]-EL$2)</f>
        <v>0.98956158663883087</v>
      </c>
      <c r="EW210" s="1">
        <f>1+(Table1[[#This Row],[error_ratio_7]]-EM$2)</f>
        <v>0.91634241245136183</v>
      </c>
      <c r="EX210" s="1">
        <f>1+(Table1[[#This Row],[error_ratio_8]]-EN$2)</f>
        <v>1.1344969199178645</v>
      </c>
      <c r="EY210" s="1">
        <f>1+(Table1[[#This Row],[error_ratio_9]]-EO$2)</f>
        <v>1.0624380574826562</v>
      </c>
    </row>
    <row r="211" spans="1:155" x14ac:dyDescent="0.75">
      <c r="A211">
        <v>100</v>
      </c>
      <c r="B211">
        <v>100</v>
      </c>
      <c r="C211">
        <v>10</v>
      </c>
      <c r="D211">
        <v>100</v>
      </c>
      <c r="E211">
        <v>100</v>
      </c>
      <c r="F211">
        <v>10</v>
      </c>
      <c r="G211">
        <v>10</v>
      </c>
      <c r="H211">
        <v>10</v>
      </c>
      <c r="I211">
        <v>100</v>
      </c>
      <c r="J211">
        <v>100</v>
      </c>
      <c r="K211">
        <v>1015</v>
      </c>
      <c r="L211">
        <v>1140</v>
      </c>
      <c r="M211">
        <v>944</v>
      </c>
      <c r="N211">
        <v>1100</v>
      </c>
      <c r="O211">
        <v>988</v>
      </c>
      <c r="P211">
        <v>891</v>
      </c>
      <c r="Q211">
        <v>907</v>
      </c>
      <c r="R211">
        <v>956</v>
      </c>
      <c r="S211">
        <v>1019</v>
      </c>
      <c r="T211">
        <v>1040</v>
      </c>
      <c r="U211">
        <v>980</v>
      </c>
      <c r="V211">
        <v>1135</v>
      </c>
      <c r="W211">
        <v>1032</v>
      </c>
      <c r="X211">
        <v>1010</v>
      </c>
      <c r="Y211">
        <v>982</v>
      </c>
      <c r="Z211">
        <v>892</v>
      </c>
      <c r="AA211">
        <v>958</v>
      </c>
      <c r="AB211">
        <v>1028</v>
      </c>
      <c r="AC211">
        <v>974</v>
      </c>
      <c r="AD211">
        <v>1009</v>
      </c>
      <c r="AE211">
        <v>976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3</v>
      </c>
      <c r="AN211">
        <v>1</v>
      </c>
      <c r="AO211">
        <v>0</v>
      </c>
      <c r="AP211">
        <v>1114</v>
      </c>
      <c r="AQ211">
        <v>0</v>
      </c>
      <c r="AR211">
        <v>0</v>
      </c>
      <c r="AS211">
        <v>0</v>
      </c>
      <c r="AT211">
        <v>2</v>
      </c>
      <c r="AU211">
        <v>1</v>
      </c>
      <c r="AV211">
        <v>1</v>
      </c>
      <c r="AW211">
        <v>17</v>
      </c>
      <c r="AX211">
        <v>0</v>
      </c>
      <c r="AY211">
        <v>5</v>
      </c>
      <c r="AZ211">
        <v>14</v>
      </c>
      <c r="BA211">
        <v>939</v>
      </c>
      <c r="BB211">
        <v>42</v>
      </c>
      <c r="BC211">
        <v>10</v>
      </c>
      <c r="BD211">
        <v>0</v>
      </c>
      <c r="BE211">
        <v>0</v>
      </c>
      <c r="BF211">
        <v>8</v>
      </c>
      <c r="BG211">
        <v>14</v>
      </c>
      <c r="BH211">
        <v>0</v>
      </c>
      <c r="BI211">
        <v>0</v>
      </c>
      <c r="BJ211">
        <v>0</v>
      </c>
      <c r="BK211">
        <v>0</v>
      </c>
      <c r="BL211">
        <v>1004</v>
      </c>
      <c r="BM211">
        <v>0</v>
      </c>
      <c r="BN211">
        <v>3</v>
      </c>
      <c r="BO211">
        <v>0</v>
      </c>
      <c r="BP211">
        <v>1</v>
      </c>
      <c r="BQ211">
        <v>1</v>
      </c>
      <c r="BR211">
        <v>1</v>
      </c>
      <c r="BS211">
        <v>0</v>
      </c>
      <c r="BT211">
        <v>0</v>
      </c>
      <c r="BU211">
        <v>0</v>
      </c>
      <c r="BV211">
        <v>0</v>
      </c>
      <c r="BW211">
        <v>965</v>
      </c>
      <c r="BX211">
        <v>0</v>
      </c>
      <c r="BY211">
        <v>0</v>
      </c>
      <c r="BZ211">
        <v>0</v>
      </c>
      <c r="CA211">
        <v>1</v>
      </c>
      <c r="CB211">
        <v>16</v>
      </c>
      <c r="CC211">
        <v>3</v>
      </c>
      <c r="CD211">
        <v>0</v>
      </c>
      <c r="CE211">
        <v>0</v>
      </c>
      <c r="CF211">
        <v>13</v>
      </c>
      <c r="CG211">
        <v>0</v>
      </c>
      <c r="CH211">
        <v>867</v>
      </c>
      <c r="CI211">
        <v>1</v>
      </c>
      <c r="CJ211">
        <v>1</v>
      </c>
      <c r="CK211">
        <v>7</v>
      </c>
      <c r="CL211">
        <v>0</v>
      </c>
      <c r="CM211">
        <v>23</v>
      </c>
      <c r="CN211">
        <v>3</v>
      </c>
      <c r="CO211">
        <v>0</v>
      </c>
      <c r="CP211">
        <v>0</v>
      </c>
      <c r="CQ211">
        <v>9</v>
      </c>
      <c r="CR211">
        <v>11</v>
      </c>
      <c r="CS211">
        <v>905</v>
      </c>
      <c r="CT211">
        <v>0</v>
      </c>
      <c r="CU211">
        <v>7</v>
      </c>
      <c r="CV211">
        <v>0</v>
      </c>
      <c r="CW211">
        <v>5</v>
      </c>
      <c r="CX211">
        <v>8</v>
      </c>
      <c r="CY211">
        <v>5</v>
      </c>
      <c r="CZ211">
        <v>25</v>
      </c>
      <c r="DA211">
        <v>2</v>
      </c>
      <c r="DB211">
        <v>1</v>
      </c>
      <c r="DC211">
        <v>0</v>
      </c>
      <c r="DD211">
        <v>944</v>
      </c>
      <c r="DE211">
        <v>5</v>
      </c>
      <c r="DF211">
        <v>33</v>
      </c>
      <c r="DG211">
        <v>1</v>
      </c>
      <c r="DH211">
        <v>0</v>
      </c>
      <c r="DI211">
        <v>0</v>
      </c>
      <c r="DJ211">
        <v>10</v>
      </c>
      <c r="DK211">
        <v>0</v>
      </c>
      <c r="DL211">
        <v>0</v>
      </c>
      <c r="DM211">
        <v>0</v>
      </c>
      <c r="DN211">
        <v>0</v>
      </c>
      <c r="DO211">
        <v>962</v>
      </c>
      <c r="DP211">
        <v>1</v>
      </c>
      <c r="DQ211">
        <v>2</v>
      </c>
      <c r="DR211">
        <v>1</v>
      </c>
      <c r="DS211">
        <v>0</v>
      </c>
      <c r="DT211">
        <v>6</v>
      </c>
      <c r="DU211">
        <v>2</v>
      </c>
      <c r="DV211">
        <v>7</v>
      </c>
      <c r="DW211">
        <v>0</v>
      </c>
      <c r="DX211">
        <v>1</v>
      </c>
      <c r="DY211">
        <v>2</v>
      </c>
      <c r="DZ211">
        <v>988</v>
      </c>
      <c r="EA211">
        <v>0.96640000000000004</v>
      </c>
      <c r="EB211">
        <v>0.96752900542841203</v>
      </c>
      <c r="EC211">
        <v>0.96658521093430405</v>
      </c>
      <c r="ED211">
        <v>0.96639380371857198</v>
      </c>
      <c r="EE211">
        <f>SUM(Table1[[#This Row],[ratio_0]:[ratio_9]])</f>
        <v>640</v>
      </c>
      <c r="EF211" s="1">
        <f>(Table1[[#This Row],[predicted_0]]-Table1[[#This Row],[actual_0]])/Table1[[#This Row],[actual_0]]</f>
        <v>3.5714285714285712E-2</v>
      </c>
      <c r="EG211" s="1">
        <f>(Table1[[#This Row],[predicted_1]]-Table1[[#This Row],[actual_1]])/Table1[[#This Row],[actual_1]]</f>
        <v>4.4052863436123352E-3</v>
      </c>
      <c r="EH211" s="1">
        <f>(Table1[[#This Row],[predicted_2]]-Table1[[#This Row],[actual_2]])/Table1[[#This Row],[actual_2]]</f>
        <v>-8.5271317829457363E-2</v>
      </c>
      <c r="EI211" s="1">
        <f>(Table1[[#This Row],[predicted_3]]-Table1[[#This Row],[actual_3]])/Table1[[#This Row],[actual_3]]</f>
        <v>8.9108910891089105E-2</v>
      </c>
      <c r="EJ211" s="1">
        <f>(Table1[[#This Row],[predicted_4]]-Table1[[#This Row],[actual_4]])/Table1[[#This Row],[actual_4]]</f>
        <v>6.1099796334012219E-3</v>
      </c>
      <c r="EK211" s="1">
        <f>(Table1[[#This Row],[predicted_5]]-Table1[[#This Row],[actual_5]])/Table1[[#This Row],[actual_5]]</f>
        <v>-1.1210762331838565E-3</v>
      </c>
      <c r="EL211" s="1">
        <f>(Table1[[#This Row],[predicted_6]]-Table1[[#This Row],[actual_6]])/Table1[[#This Row],[actual_6]]</f>
        <v>-5.3235908141962419E-2</v>
      </c>
      <c r="EM211" s="1">
        <f>(Table1[[#This Row],[predicted_7]]-Table1[[#This Row],[actual_7]])/Table1[[#This Row],[actual_7]]</f>
        <v>-7.0038910505836577E-2</v>
      </c>
      <c r="EN211" s="1">
        <f>(Table1[[#This Row],[predicted_8]]-Table1[[#This Row],[actual_8]])/Table1[[#This Row],[actual_8]]</f>
        <v>4.6201232032854207E-2</v>
      </c>
      <c r="EO211" s="1">
        <f>(Table1[[#This Row],[predicted_9]]-Table1[[#This Row],[actual_9]])/Table1[[#This Row],[actual_9]]</f>
        <v>3.0723488602576808E-2</v>
      </c>
      <c r="EP211" s="1">
        <f>1+(Table1[[#This Row],[error_ratio_0]]-EF$2)</f>
        <v>1.0336734693877552</v>
      </c>
      <c r="EQ211" s="1">
        <f>1+(Table1[[#This Row],[error_ratio_1]]-EG$2)</f>
        <v>1.0026431718061675</v>
      </c>
      <c r="ER211" s="1">
        <f>1+(Table1[[#This Row],[error_ratio_2]]-EH$2)</f>
        <v>0.91957364341085268</v>
      </c>
      <c r="ES211" s="1">
        <f>1+(Table1[[#This Row],[error_ratio_3]]-EI$2)</f>
        <v>1.0792079207920793</v>
      </c>
      <c r="ET211" s="1">
        <f>1+(Table1[[#This Row],[error_ratio_4]]-EJ$2)</f>
        <v>1.005091649694501</v>
      </c>
      <c r="EU211" s="1">
        <f>1+(Table1[[#This Row],[error_ratio_5]]-EK$2)</f>
        <v>0.99775784753363228</v>
      </c>
      <c r="EV211" s="1">
        <f>1+(Table1[[#This Row],[error_ratio_6]]-EL$2)</f>
        <v>0.95302713987473908</v>
      </c>
      <c r="EW211" s="1">
        <f>1+(Table1[[#This Row],[error_ratio_7]]-EM$2)</f>
        <v>0.92801556420233466</v>
      </c>
      <c r="EX211" s="1">
        <f>1+(Table1[[#This Row],[error_ratio_8]]-EN$2)</f>
        <v>1.0492813141683779</v>
      </c>
      <c r="EY211" s="1">
        <f>1+(Table1[[#This Row],[error_ratio_9]]-EO$2)</f>
        <v>1.0346878097125867</v>
      </c>
    </row>
    <row r="212" spans="1:155" x14ac:dyDescent="0.75">
      <c r="A212">
        <v>100</v>
      </c>
      <c r="B212">
        <v>10</v>
      </c>
      <c r="C212">
        <v>10</v>
      </c>
      <c r="D212">
        <v>100</v>
      </c>
      <c r="E212">
        <v>100</v>
      </c>
      <c r="F212">
        <v>10</v>
      </c>
      <c r="G212">
        <v>10</v>
      </c>
      <c r="H212">
        <v>10</v>
      </c>
      <c r="I212">
        <v>100</v>
      </c>
      <c r="J212">
        <v>100</v>
      </c>
      <c r="K212">
        <v>996</v>
      </c>
      <c r="L212">
        <v>1119</v>
      </c>
      <c r="M212">
        <v>1005</v>
      </c>
      <c r="N212">
        <v>1044</v>
      </c>
      <c r="O212">
        <v>972</v>
      </c>
      <c r="P212">
        <v>849</v>
      </c>
      <c r="Q212">
        <v>932</v>
      </c>
      <c r="R212">
        <v>988</v>
      </c>
      <c r="S212">
        <v>1072</v>
      </c>
      <c r="T212">
        <v>1023</v>
      </c>
      <c r="U212">
        <v>980</v>
      </c>
      <c r="V212">
        <v>1135</v>
      </c>
      <c r="W212">
        <v>1032</v>
      </c>
      <c r="X212">
        <v>1010</v>
      </c>
      <c r="Y212">
        <v>982</v>
      </c>
      <c r="Z212">
        <v>892</v>
      </c>
      <c r="AA212">
        <v>958</v>
      </c>
      <c r="AB212">
        <v>1028</v>
      </c>
      <c r="AC212">
        <v>974</v>
      </c>
      <c r="AD212">
        <v>1009</v>
      </c>
      <c r="AE212">
        <v>970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2</v>
      </c>
      <c r="AL212">
        <v>2</v>
      </c>
      <c r="AM212">
        <v>6</v>
      </c>
      <c r="AN212">
        <v>0</v>
      </c>
      <c r="AO212">
        <v>0</v>
      </c>
      <c r="AP212">
        <v>1107</v>
      </c>
      <c r="AQ212">
        <v>2</v>
      </c>
      <c r="AR212">
        <v>2</v>
      </c>
      <c r="AS212">
        <v>2</v>
      </c>
      <c r="AT212">
        <v>1</v>
      </c>
      <c r="AU212">
        <v>1</v>
      </c>
      <c r="AV212">
        <v>4</v>
      </c>
      <c r="AW212">
        <v>15</v>
      </c>
      <c r="AX212">
        <v>1</v>
      </c>
      <c r="AY212">
        <v>7</v>
      </c>
      <c r="AZ212">
        <v>1</v>
      </c>
      <c r="BA212">
        <v>971</v>
      </c>
      <c r="BB212">
        <v>16</v>
      </c>
      <c r="BC212">
        <v>1</v>
      </c>
      <c r="BD212">
        <v>1</v>
      </c>
      <c r="BE212">
        <v>2</v>
      </c>
      <c r="BF212">
        <v>7</v>
      </c>
      <c r="BG212">
        <v>25</v>
      </c>
      <c r="BH212">
        <v>1</v>
      </c>
      <c r="BI212">
        <v>0</v>
      </c>
      <c r="BJ212">
        <v>0</v>
      </c>
      <c r="BK212">
        <v>2</v>
      </c>
      <c r="BL212">
        <v>999</v>
      </c>
      <c r="BM212">
        <v>0</v>
      </c>
      <c r="BN212">
        <v>2</v>
      </c>
      <c r="BO212">
        <v>0</v>
      </c>
      <c r="BP212">
        <v>1</v>
      </c>
      <c r="BQ212">
        <v>3</v>
      </c>
      <c r="BR212">
        <v>3</v>
      </c>
      <c r="BS212">
        <v>0</v>
      </c>
      <c r="BT212">
        <v>0</v>
      </c>
      <c r="BU212">
        <v>0</v>
      </c>
      <c r="BV212">
        <v>0</v>
      </c>
      <c r="BW212">
        <v>962</v>
      </c>
      <c r="BX212">
        <v>0</v>
      </c>
      <c r="BY212">
        <v>4</v>
      </c>
      <c r="BZ212">
        <v>0</v>
      </c>
      <c r="CA212">
        <v>4</v>
      </c>
      <c r="CB212">
        <v>12</v>
      </c>
      <c r="CC212">
        <v>5</v>
      </c>
      <c r="CD212">
        <v>0</v>
      </c>
      <c r="CE212">
        <v>0</v>
      </c>
      <c r="CF212">
        <v>21</v>
      </c>
      <c r="CG212">
        <v>0</v>
      </c>
      <c r="CH212">
        <v>837</v>
      </c>
      <c r="CI212">
        <v>4</v>
      </c>
      <c r="CJ212">
        <v>2</v>
      </c>
      <c r="CK212">
        <v>21</v>
      </c>
      <c r="CL212">
        <v>2</v>
      </c>
      <c r="CM212">
        <v>5</v>
      </c>
      <c r="CN212">
        <v>5</v>
      </c>
      <c r="CO212">
        <v>1</v>
      </c>
      <c r="CP212">
        <v>0</v>
      </c>
      <c r="CQ212">
        <v>3</v>
      </c>
      <c r="CR212">
        <v>2</v>
      </c>
      <c r="CS212">
        <v>919</v>
      </c>
      <c r="CT212">
        <v>0</v>
      </c>
      <c r="CU212">
        <v>23</v>
      </c>
      <c r="CV212">
        <v>0</v>
      </c>
      <c r="CW212">
        <v>1</v>
      </c>
      <c r="CX212">
        <v>6</v>
      </c>
      <c r="CY212">
        <v>27</v>
      </c>
      <c r="CZ212">
        <v>3</v>
      </c>
      <c r="DA212">
        <v>1</v>
      </c>
      <c r="DB212">
        <v>0</v>
      </c>
      <c r="DC212">
        <v>0</v>
      </c>
      <c r="DD212">
        <v>965</v>
      </c>
      <c r="DE212">
        <v>2</v>
      </c>
      <c r="DF212">
        <v>23</v>
      </c>
      <c r="DG212">
        <v>2</v>
      </c>
      <c r="DH212">
        <v>0</v>
      </c>
      <c r="DI212">
        <v>2</v>
      </c>
      <c r="DJ212">
        <v>1</v>
      </c>
      <c r="DK212">
        <v>0</v>
      </c>
      <c r="DL212">
        <v>1</v>
      </c>
      <c r="DM212">
        <v>0</v>
      </c>
      <c r="DN212">
        <v>3</v>
      </c>
      <c r="DO212">
        <v>963</v>
      </c>
      <c r="DP212">
        <v>2</v>
      </c>
      <c r="DQ212">
        <v>6</v>
      </c>
      <c r="DR212">
        <v>0</v>
      </c>
      <c r="DS212">
        <v>0</v>
      </c>
      <c r="DT212">
        <v>2</v>
      </c>
      <c r="DU212">
        <v>3</v>
      </c>
      <c r="DV212">
        <v>5</v>
      </c>
      <c r="DW212">
        <v>0</v>
      </c>
      <c r="DX212">
        <v>4</v>
      </c>
      <c r="DY212">
        <v>10</v>
      </c>
      <c r="DZ212">
        <v>979</v>
      </c>
      <c r="EA212">
        <v>0.96719999999999995</v>
      </c>
      <c r="EB212">
        <v>0.96798973789839204</v>
      </c>
      <c r="EC212">
        <v>0.96700810053761399</v>
      </c>
      <c r="ED212">
        <v>0.96710570018424102</v>
      </c>
      <c r="EE212">
        <f>SUM(Table1[[#This Row],[ratio_0]:[ratio_9]])</f>
        <v>550</v>
      </c>
      <c r="EF212" s="1">
        <f>(Table1[[#This Row],[predicted_0]]-Table1[[#This Row],[actual_0]])/Table1[[#This Row],[actual_0]]</f>
        <v>1.6326530612244899E-2</v>
      </c>
      <c r="EG212" s="1">
        <f>(Table1[[#This Row],[predicted_1]]-Table1[[#This Row],[actual_1]])/Table1[[#This Row],[actual_1]]</f>
        <v>-1.4096916299559472E-2</v>
      </c>
      <c r="EH212" s="1">
        <f>(Table1[[#This Row],[predicted_2]]-Table1[[#This Row],[actual_2]])/Table1[[#This Row],[actual_2]]</f>
        <v>-2.616279069767442E-2</v>
      </c>
      <c r="EI212" s="1">
        <f>(Table1[[#This Row],[predicted_3]]-Table1[[#This Row],[actual_3]])/Table1[[#This Row],[actual_3]]</f>
        <v>3.3663366336633666E-2</v>
      </c>
      <c r="EJ212" s="1">
        <f>(Table1[[#This Row],[predicted_4]]-Table1[[#This Row],[actual_4]])/Table1[[#This Row],[actual_4]]</f>
        <v>-1.0183299389002037E-2</v>
      </c>
      <c r="EK212" s="1">
        <f>(Table1[[#This Row],[predicted_5]]-Table1[[#This Row],[actual_5]])/Table1[[#This Row],[actual_5]]</f>
        <v>-4.820627802690583E-2</v>
      </c>
      <c r="EL212" s="1">
        <f>(Table1[[#This Row],[predicted_6]]-Table1[[#This Row],[actual_6]])/Table1[[#This Row],[actual_6]]</f>
        <v>-2.7139874739039668E-2</v>
      </c>
      <c r="EM212" s="1">
        <f>(Table1[[#This Row],[predicted_7]]-Table1[[#This Row],[actual_7]])/Table1[[#This Row],[actual_7]]</f>
        <v>-3.8910505836575876E-2</v>
      </c>
      <c r="EN212" s="1">
        <f>(Table1[[#This Row],[predicted_8]]-Table1[[#This Row],[actual_8]])/Table1[[#This Row],[actual_8]]</f>
        <v>0.10061601642710473</v>
      </c>
      <c r="EO212" s="1">
        <f>(Table1[[#This Row],[predicted_9]]-Table1[[#This Row],[actual_9]])/Table1[[#This Row],[actual_9]]</f>
        <v>1.3875123885034688E-2</v>
      </c>
      <c r="EP212" s="1">
        <f>1+(Table1[[#This Row],[error_ratio_0]]-EF$2)</f>
        <v>1.0142857142857142</v>
      </c>
      <c r="EQ212" s="1">
        <f>1+(Table1[[#This Row],[error_ratio_1]]-EG$2)</f>
        <v>0.98414096916299565</v>
      </c>
      <c r="ER212" s="1">
        <f>1+(Table1[[#This Row],[error_ratio_2]]-EH$2)</f>
        <v>0.97868217054263562</v>
      </c>
      <c r="ES212" s="1">
        <f>1+(Table1[[#This Row],[error_ratio_3]]-EI$2)</f>
        <v>1.0237623762376238</v>
      </c>
      <c r="ET212" s="1">
        <f>1+(Table1[[#This Row],[error_ratio_4]]-EJ$2)</f>
        <v>0.98879837067209775</v>
      </c>
      <c r="EU212" s="1">
        <f>1+(Table1[[#This Row],[error_ratio_5]]-EK$2)</f>
        <v>0.95067264573991028</v>
      </c>
      <c r="EV212" s="1">
        <f>1+(Table1[[#This Row],[error_ratio_6]]-EL$2)</f>
        <v>0.97912317327766174</v>
      </c>
      <c r="EW212" s="1">
        <f>1+(Table1[[#This Row],[error_ratio_7]]-EM$2)</f>
        <v>0.95914396887159536</v>
      </c>
      <c r="EX212" s="1">
        <f>1+(Table1[[#This Row],[error_ratio_8]]-EN$2)</f>
        <v>1.1036960985626283</v>
      </c>
      <c r="EY212" s="1">
        <f>1+(Table1[[#This Row],[error_ratio_9]]-EO$2)</f>
        <v>1.0178394449950445</v>
      </c>
    </row>
    <row r="213" spans="1:155" x14ac:dyDescent="0.75">
      <c r="A213">
        <v>10</v>
      </c>
      <c r="B213">
        <v>10</v>
      </c>
      <c r="C213">
        <v>10</v>
      </c>
      <c r="D213">
        <v>100</v>
      </c>
      <c r="E213">
        <v>100</v>
      </c>
      <c r="F213">
        <v>10</v>
      </c>
      <c r="G213">
        <v>10</v>
      </c>
      <c r="H213">
        <v>10</v>
      </c>
      <c r="I213">
        <v>100</v>
      </c>
      <c r="J213">
        <v>100</v>
      </c>
      <c r="K213">
        <v>1003</v>
      </c>
      <c r="L213">
        <v>1083</v>
      </c>
      <c r="M213">
        <v>1007</v>
      </c>
      <c r="N213">
        <v>1129</v>
      </c>
      <c r="O213">
        <v>1017</v>
      </c>
      <c r="P213">
        <v>817</v>
      </c>
      <c r="Q213">
        <v>948</v>
      </c>
      <c r="R213">
        <v>889</v>
      </c>
      <c r="S213">
        <v>1054</v>
      </c>
      <c r="T213">
        <v>1053</v>
      </c>
      <c r="U213">
        <v>980</v>
      </c>
      <c r="V213">
        <v>1135</v>
      </c>
      <c r="W213">
        <v>1032</v>
      </c>
      <c r="X213">
        <v>1010</v>
      </c>
      <c r="Y213">
        <v>982</v>
      </c>
      <c r="Z213">
        <v>892</v>
      </c>
      <c r="AA213">
        <v>958</v>
      </c>
      <c r="AB213">
        <v>1028</v>
      </c>
      <c r="AC213">
        <v>974</v>
      </c>
      <c r="AD213">
        <v>1009</v>
      </c>
      <c r="AE213">
        <v>971</v>
      </c>
      <c r="AF213">
        <v>0</v>
      </c>
      <c r="AG213">
        <v>1</v>
      </c>
      <c r="AH213">
        <v>1</v>
      </c>
      <c r="AI213">
        <v>1</v>
      </c>
      <c r="AJ213">
        <v>0</v>
      </c>
      <c r="AK213">
        <v>1</v>
      </c>
      <c r="AL213">
        <v>0</v>
      </c>
      <c r="AM213">
        <v>4</v>
      </c>
      <c r="AN213">
        <v>1</v>
      </c>
      <c r="AO213">
        <v>0</v>
      </c>
      <c r="AP213">
        <v>1078</v>
      </c>
      <c r="AQ213">
        <v>4</v>
      </c>
      <c r="AR213">
        <v>7</v>
      </c>
      <c r="AS213">
        <v>7</v>
      </c>
      <c r="AT213">
        <v>0</v>
      </c>
      <c r="AU213">
        <v>1</v>
      </c>
      <c r="AV213">
        <v>0</v>
      </c>
      <c r="AW213">
        <v>37</v>
      </c>
      <c r="AX213">
        <v>1</v>
      </c>
      <c r="AY213">
        <v>8</v>
      </c>
      <c r="AZ213">
        <v>0</v>
      </c>
      <c r="BA213">
        <v>966</v>
      </c>
      <c r="BB213">
        <v>34</v>
      </c>
      <c r="BC213">
        <v>4</v>
      </c>
      <c r="BD213">
        <v>1</v>
      </c>
      <c r="BE213">
        <v>2</v>
      </c>
      <c r="BF213">
        <v>3</v>
      </c>
      <c r="BG213">
        <v>14</v>
      </c>
      <c r="BH213">
        <v>0</v>
      </c>
      <c r="BI213">
        <v>0</v>
      </c>
      <c r="BJ213">
        <v>0</v>
      </c>
      <c r="BK213">
        <v>2</v>
      </c>
      <c r="BL213">
        <v>1002</v>
      </c>
      <c r="BM213">
        <v>0</v>
      </c>
      <c r="BN213">
        <v>1</v>
      </c>
      <c r="BO213">
        <v>0</v>
      </c>
      <c r="BP213">
        <v>1</v>
      </c>
      <c r="BQ213">
        <v>1</v>
      </c>
      <c r="BR213">
        <v>3</v>
      </c>
      <c r="BS213">
        <v>0</v>
      </c>
      <c r="BT213">
        <v>0</v>
      </c>
      <c r="BU213">
        <v>2</v>
      </c>
      <c r="BV213">
        <v>0</v>
      </c>
      <c r="BW213">
        <v>975</v>
      </c>
      <c r="BX213">
        <v>0</v>
      </c>
      <c r="BY213">
        <v>2</v>
      </c>
      <c r="BZ213">
        <v>0</v>
      </c>
      <c r="CA213">
        <v>0</v>
      </c>
      <c r="CB213">
        <v>3</v>
      </c>
      <c r="CC213">
        <v>4</v>
      </c>
      <c r="CD213">
        <v>0</v>
      </c>
      <c r="CE213">
        <v>0</v>
      </c>
      <c r="CF213">
        <v>40</v>
      </c>
      <c r="CG213">
        <v>2</v>
      </c>
      <c r="CH213">
        <v>811</v>
      </c>
      <c r="CI213">
        <v>9</v>
      </c>
      <c r="CJ213">
        <v>0</v>
      </c>
      <c r="CK213">
        <v>9</v>
      </c>
      <c r="CL213">
        <v>17</v>
      </c>
      <c r="CM213">
        <v>11</v>
      </c>
      <c r="CN213">
        <v>2</v>
      </c>
      <c r="CO213">
        <v>2</v>
      </c>
      <c r="CP213">
        <v>0</v>
      </c>
      <c r="CQ213">
        <v>3</v>
      </c>
      <c r="CR213">
        <v>4</v>
      </c>
      <c r="CS213">
        <v>932</v>
      </c>
      <c r="CT213">
        <v>0</v>
      </c>
      <c r="CU213">
        <v>4</v>
      </c>
      <c r="CV213">
        <v>0</v>
      </c>
      <c r="CW213">
        <v>3</v>
      </c>
      <c r="CX213">
        <v>3</v>
      </c>
      <c r="CY213">
        <v>29</v>
      </c>
      <c r="CZ213">
        <v>38</v>
      </c>
      <c r="DA213">
        <v>12</v>
      </c>
      <c r="DB213">
        <v>0</v>
      </c>
      <c r="DC213">
        <v>0</v>
      </c>
      <c r="DD213">
        <v>883</v>
      </c>
      <c r="DE213">
        <v>24</v>
      </c>
      <c r="DF213">
        <v>36</v>
      </c>
      <c r="DG213">
        <v>2</v>
      </c>
      <c r="DH213">
        <v>0</v>
      </c>
      <c r="DI213">
        <v>1</v>
      </c>
      <c r="DJ213">
        <v>2</v>
      </c>
      <c r="DK213">
        <v>3</v>
      </c>
      <c r="DL213">
        <v>0</v>
      </c>
      <c r="DM213">
        <v>0</v>
      </c>
      <c r="DN213">
        <v>1</v>
      </c>
      <c r="DO213">
        <v>961</v>
      </c>
      <c r="DP213">
        <v>4</v>
      </c>
      <c r="DQ213">
        <v>4</v>
      </c>
      <c r="DR213">
        <v>0</v>
      </c>
      <c r="DS213">
        <v>0</v>
      </c>
      <c r="DT213">
        <v>5</v>
      </c>
      <c r="DU213">
        <v>10</v>
      </c>
      <c r="DV213">
        <v>0</v>
      </c>
      <c r="DW213">
        <v>1</v>
      </c>
      <c r="DX213">
        <v>1</v>
      </c>
      <c r="DY213">
        <v>0</v>
      </c>
      <c r="DZ213">
        <v>988</v>
      </c>
      <c r="EA213">
        <v>0.95669999999999999</v>
      </c>
      <c r="EB213">
        <v>0.95880426253833895</v>
      </c>
      <c r="EC213">
        <v>0.95684361304904797</v>
      </c>
      <c r="ED213">
        <v>0.95655817056022996</v>
      </c>
      <c r="EE213">
        <f>SUM(Table1[[#This Row],[ratio_0]:[ratio_9]])</f>
        <v>460</v>
      </c>
      <c r="EF213" s="1">
        <f>(Table1[[#This Row],[predicted_0]]-Table1[[#This Row],[actual_0]])/Table1[[#This Row],[actual_0]]</f>
        <v>2.3469387755102041E-2</v>
      </c>
      <c r="EG213" s="1">
        <f>(Table1[[#This Row],[predicted_1]]-Table1[[#This Row],[actual_1]])/Table1[[#This Row],[actual_1]]</f>
        <v>-4.5814977973568281E-2</v>
      </c>
      <c r="EH213" s="1">
        <f>(Table1[[#This Row],[predicted_2]]-Table1[[#This Row],[actual_2]])/Table1[[#This Row],[actual_2]]</f>
        <v>-2.4224806201550389E-2</v>
      </c>
      <c r="EI213" s="1">
        <f>(Table1[[#This Row],[predicted_3]]-Table1[[#This Row],[actual_3]])/Table1[[#This Row],[actual_3]]</f>
        <v>0.11782178217821782</v>
      </c>
      <c r="EJ213" s="1">
        <f>(Table1[[#This Row],[predicted_4]]-Table1[[#This Row],[actual_4]])/Table1[[#This Row],[actual_4]]</f>
        <v>3.5641547861507125E-2</v>
      </c>
      <c r="EK213" s="1">
        <f>(Table1[[#This Row],[predicted_5]]-Table1[[#This Row],[actual_5]])/Table1[[#This Row],[actual_5]]</f>
        <v>-8.4080717488789244E-2</v>
      </c>
      <c r="EL213" s="1">
        <f>(Table1[[#This Row],[predicted_6]]-Table1[[#This Row],[actual_6]])/Table1[[#This Row],[actual_6]]</f>
        <v>-1.0438413361169102E-2</v>
      </c>
      <c r="EM213" s="1">
        <f>(Table1[[#This Row],[predicted_7]]-Table1[[#This Row],[actual_7]])/Table1[[#This Row],[actual_7]]</f>
        <v>-0.13521400778210116</v>
      </c>
      <c r="EN213" s="1">
        <f>(Table1[[#This Row],[predicted_8]]-Table1[[#This Row],[actual_8]])/Table1[[#This Row],[actual_8]]</f>
        <v>8.2135523613963035E-2</v>
      </c>
      <c r="EO213" s="1">
        <f>(Table1[[#This Row],[predicted_9]]-Table1[[#This Row],[actual_9]])/Table1[[#This Row],[actual_9]]</f>
        <v>4.3607532210109018E-2</v>
      </c>
      <c r="EP213" s="1">
        <f>1+(Table1[[#This Row],[error_ratio_0]]-EF$2)</f>
        <v>1.0214285714285714</v>
      </c>
      <c r="EQ213" s="1">
        <f>1+(Table1[[#This Row],[error_ratio_1]]-EG$2)</f>
        <v>0.95242290748898684</v>
      </c>
      <c r="ER213" s="1">
        <f>1+(Table1[[#This Row],[error_ratio_2]]-EH$2)</f>
        <v>0.98062015503875966</v>
      </c>
      <c r="ES213" s="1">
        <f>1+(Table1[[#This Row],[error_ratio_3]]-EI$2)</f>
        <v>1.107920792079208</v>
      </c>
      <c r="ET213" s="1">
        <f>1+(Table1[[#This Row],[error_ratio_4]]-EJ$2)</f>
        <v>1.0346232179226069</v>
      </c>
      <c r="EU213" s="1">
        <f>1+(Table1[[#This Row],[error_ratio_5]]-EK$2)</f>
        <v>0.91479820627802688</v>
      </c>
      <c r="EV213" s="1">
        <f>1+(Table1[[#This Row],[error_ratio_6]]-EL$2)</f>
        <v>0.99582463465553239</v>
      </c>
      <c r="EW213" s="1">
        <f>1+(Table1[[#This Row],[error_ratio_7]]-EM$2)</f>
        <v>0.86284046692607008</v>
      </c>
      <c r="EX213" s="1">
        <f>1+(Table1[[#This Row],[error_ratio_8]]-EN$2)</f>
        <v>1.0852156057494866</v>
      </c>
      <c r="EY213" s="1">
        <f>1+(Table1[[#This Row],[error_ratio_9]]-EO$2)</f>
        <v>1.047571853320119</v>
      </c>
    </row>
    <row r="214" spans="1:155" x14ac:dyDescent="0.75">
      <c r="A214">
        <v>100</v>
      </c>
      <c r="B214">
        <v>100</v>
      </c>
      <c r="C214">
        <v>100</v>
      </c>
      <c r="D214">
        <v>10</v>
      </c>
      <c r="E214">
        <v>100</v>
      </c>
      <c r="F214">
        <v>10</v>
      </c>
      <c r="G214">
        <v>10</v>
      </c>
      <c r="H214">
        <v>10</v>
      </c>
      <c r="I214">
        <v>100</v>
      </c>
      <c r="J214">
        <v>100</v>
      </c>
      <c r="K214">
        <v>993</v>
      </c>
      <c r="L214">
        <v>1158</v>
      </c>
      <c r="M214">
        <v>1052</v>
      </c>
      <c r="N214">
        <v>1022</v>
      </c>
      <c r="O214">
        <v>985</v>
      </c>
      <c r="P214">
        <v>821</v>
      </c>
      <c r="Q214">
        <v>935</v>
      </c>
      <c r="R214">
        <v>938</v>
      </c>
      <c r="S214">
        <v>1015</v>
      </c>
      <c r="T214">
        <v>1081</v>
      </c>
      <c r="U214">
        <v>980</v>
      </c>
      <c r="V214">
        <v>1135</v>
      </c>
      <c r="W214">
        <v>1032</v>
      </c>
      <c r="X214">
        <v>1010</v>
      </c>
      <c r="Y214">
        <v>982</v>
      </c>
      <c r="Z214">
        <v>892</v>
      </c>
      <c r="AA214">
        <v>958</v>
      </c>
      <c r="AB214">
        <v>1028</v>
      </c>
      <c r="AC214">
        <v>974</v>
      </c>
      <c r="AD214">
        <v>1009</v>
      </c>
      <c r="AE214">
        <v>974</v>
      </c>
      <c r="AF214">
        <v>1</v>
      </c>
      <c r="AG214">
        <v>0</v>
      </c>
      <c r="AH214">
        <v>0</v>
      </c>
      <c r="AI214">
        <v>0</v>
      </c>
      <c r="AJ214">
        <v>0</v>
      </c>
      <c r="AK214">
        <v>1</v>
      </c>
      <c r="AL214">
        <v>0</v>
      </c>
      <c r="AM214">
        <v>2</v>
      </c>
      <c r="AN214">
        <v>2</v>
      </c>
      <c r="AO214">
        <v>0</v>
      </c>
      <c r="AP214">
        <v>1134</v>
      </c>
      <c r="AQ214">
        <v>0</v>
      </c>
      <c r="AR214">
        <v>1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2</v>
      </c>
      <c r="AZ214">
        <v>2</v>
      </c>
      <c r="BA214">
        <v>1021</v>
      </c>
      <c r="BB214">
        <v>1</v>
      </c>
      <c r="BC214">
        <v>0</v>
      </c>
      <c r="BD214">
        <v>0</v>
      </c>
      <c r="BE214">
        <v>0</v>
      </c>
      <c r="BF214">
        <v>3</v>
      </c>
      <c r="BG214">
        <v>3</v>
      </c>
      <c r="BH214">
        <v>0</v>
      </c>
      <c r="BI214">
        <v>2</v>
      </c>
      <c r="BJ214">
        <v>1</v>
      </c>
      <c r="BK214">
        <v>6</v>
      </c>
      <c r="BL214">
        <v>984</v>
      </c>
      <c r="BM214">
        <v>0</v>
      </c>
      <c r="BN214">
        <v>3</v>
      </c>
      <c r="BO214">
        <v>0</v>
      </c>
      <c r="BP214">
        <v>4</v>
      </c>
      <c r="BQ214">
        <v>8</v>
      </c>
      <c r="BR214">
        <v>2</v>
      </c>
      <c r="BS214">
        <v>0</v>
      </c>
      <c r="BT214">
        <v>1</v>
      </c>
      <c r="BU214">
        <v>1</v>
      </c>
      <c r="BV214">
        <v>0</v>
      </c>
      <c r="BW214">
        <v>972</v>
      </c>
      <c r="BX214">
        <v>0</v>
      </c>
      <c r="BY214">
        <v>2</v>
      </c>
      <c r="BZ214">
        <v>0</v>
      </c>
      <c r="CA214">
        <v>0</v>
      </c>
      <c r="CB214">
        <v>6</v>
      </c>
      <c r="CC214">
        <v>3</v>
      </c>
      <c r="CD214">
        <v>1</v>
      </c>
      <c r="CE214">
        <v>3</v>
      </c>
      <c r="CF214">
        <v>30</v>
      </c>
      <c r="CG214">
        <v>0</v>
      </c>
      <c r="CH214">
        <v>817</v>
      </c>
      <c r="CI214">
        <v>6</v>
      </c>
      <c r="CJ214">
        <v>1</v>
      </c>
      <c r="CK214">
        <v>25</v>
      </c>
      <c r="CL214">
        <v>6</v>
      </c>
      <c r="CM214">
        <v>8</v>
      </c>
      <c r="CN214">
        <v>6</v>
      </c>
      <c r="CO214">
        <v>1</v>
      </c>
      <c r="CP214">
        <v>0</v>
      </c>
      <c r="CQ214">
        <v>8</v>
      </c>
      <c r="CR214">
        <v>1</v>
      </c>
      <c r="CS214">
        <v>925</v>
      </c>
      <c r="CT214">
        <v>0</v>
      </c>
      <c r="CU214">
        <v>7</v>
      </c>
      <c r="CV214">
        <v>2</v>
      </c>
      <c r="CW214">
        <v>2</v>
      </c>
      <c r="CX214">
        <v>10</v>
      </c>
      <c r="CY214">
        <v>17</v>
      </c>
      <c r="CZ214">
        <v>2</v>
      </c>
      <c r="DA214">
        <v>2</v>
      </c>
      <c r="DB214">
        <v>0</v>
      </c>
      <c r="DC214">
        <v>0</v>
      </c>
      <c r="DD214">
        <v>930</v>
      </c>
      <c r="DE214">
        <v>4</v>
      </c>
      <c r="DF214">
        <v>61</v>
      </c>
      <c r="DG214">
        <v>1</v>
      </c>
      <c r="DH214">
        <v>0</v>
      </c>
      <c r="DI214">
        <v>3</v>
      </c>
      <c r="DJ214">
        <v>1</v>
      </c>
      <c r="DK214">
        <v>0</v>
      </c>
      <c r="DL214">
        <v>0</v>
      </c>
      <c r="DM214">
        <v>1</v>
      </c>
      <c r="DN214">
        <v>0</v>
      </c>
      <c r="DO214">
        <v>965</v>
      </c>
      <c r="DP214">
        <v>3</v>
      </c>
      <c r="DQ214">
        <v>1</v>
      </c>
      <c r="DR214">
        <v>2</v>
      </c>
      <c r="DS214">
        <v>0</v>
      </c>
      <c r="DT214">
        <v>3</v>
      </c>
      <c r="DU214">
        <v>3</v>
      </c>
      <c r="DV214">
        <v>0</v>
      </c>
      <c r="DW214">
        <v>0</v>
      </c>
      <c r="DX214">
        <v>0</v>
      </c>
      <c r="DY214">
        <v>1</v>
      </c>
      <c r="DZ214">
        <v>999</v>
      </c>
      <c r="EA214">
        <v>0.97209999999999996</v>
      </c>
      <c r="EB214">
        <v>0.973108017567755</v>
      </c>
      <c r="EC214">
        <v>0.97134024353147197</v>
      </c>
      <c r="ED214">
        <v>0.97166515894447603</v>
      </c>
      <c r="EE214">
        <f>SUM(Table1[[#This Row],[ratio_0]:[ratio_9]])</f>
        <v>640</v>
      </c>
      <c r="EF214" s="1">
        <f>(Table1[[#This Row],[predicted_0]]-Table1[[#This Row],[actual_0]])/Table1[[#This Row],[actual_0]]</f>
        <v>1.3265306122448979E-2</v>
      </c>
      <c r="EG214" s="1">
        <f>(Table1[[#This Row],[predicted_1]]-Table1[[#This Row],[actual_1]])/Table1[[#This Row],[actual_1]]</f>
        <v>2.0264317180616741E-2</v>
      </c>
      <c r="EH214" s="1">
        <f>(Table1[[#This Row],[predicted_2]]-Table1[[#This Row],[actual_2]])/Table1[[#This Row],[actual_2]]</f>
        <v>1.937984496124031E-2</v>
      </c>
      <c r="EI214" s="1">
        <f>(Table1[[#This Row],[predicted_3]]-Table1[[#This Row],[actual_3]])/Table1[[#This Row],[actual_3]]</f>
        <v>1.1881188118811881E-2</v>
      </c>
      <c r="EJ214" s="1">
        <f>(Table1[[#This Row],[predicted_4]]-Table1[[#This Row],[actual_4]])/Table1[[#This Row],[actual_4]]</f>
        <v>3.0549898167006109E-3</v>
      </c>
      <c r="EK214" s="1">
        <f>(Table1[[#This Row],[predicted_5]]-Table1[[#This Row],[actual_5]])/Table1[[#This Row],[actual_5]]</f>
        <v>-7.9596412556053805E-2</v>
      </c>
      <c r="EL214" s="1">
        <f>(Table1[[#This Row],[predicted_6]]-Table1[[#This Row],[actual_6]])/Table1[[#This Row],[actual_6]]</f>
        <v>-2.4008350730688934E-2</v>
      </c>
      <c r="EM214" s="1">
        <f>(Table1[[#This Row],[predicted_7]]-Table1[[#This Row],[actual_7]])/Table1[[#This Row],[actual_7]]</f>
        <v>-8.7548638132295714E-2</v>
      </c>
      <c r="EN214" s="1">
        <f>(Table1[[#This Row],[predicted_8]]-Table1[[#This Row],[actual_8]])/Table1[[#This Row],[actual_8]]</f>
        <v>4.2094455852156057E-2</v>
      </c>
      <c r="EO214" s="1">
        <f>(Table1[[#This Row],[predicted_9]]-Table1[[#This Row],[actual_9]])/Table1[[#This Row],[actual_9]]</f>
        <v>7.1357779980178393E-2</v>
      </c>
      <c r="EP214" s="1">
        <f>1+(Table1[[#This Row],[error_ratio_0]]-EF$2)</f>
        <v>1.0112244897959184</v>
      </c>
      <c r="EQ214" s="1">
        <f>1+(Table1[[#This Row],[error_ratio_1]]-EG$2)</f>
        <v>1.0185022026431718</v>
      </c>
      <c r="ER214" s="1">
        <f>1+(Table1[[#This Row],[error_ratio_2]]-EH$2)</f>
        <v>1.0242248062015504</v>
      </c>
      <c r="ES214" s="1">
        <f>1+(Table1[[#This Row],[error_ratio_3]]-EI$2)</f>
        <v>1.001980198019802</v>
      </c>
      <c r="ET214" s="1">
        <f>1+(Table1[[#This Row],[error_ratio_4]]-EJ$2)</f>
        <v>1.0020366598778003</v>
      </c>
      <c r="EU214" s="1">
        <f>1+(Table1[[#This Row],[error_ratio_5]]-EK$2)</f>
        <v>0.91928251121076232</v>
      </c>
      <c r="EV214" s="1">
        <f>1+(Table1[[#This Row],[error_ratio_6]]-EL$2)</f>
        <v>0.98225469728601256</v>
      </c>
      <c r="EW214" s="1">
        <f>1+(Table1[[#This Row],[error_ratio_7]]-EM$2)</f>
        <v>0.91050583657587547</v>
      </c>
      <c r="EX214" s="1">
        <f>1+(Table1[[#This Row],[error_ratio_8]]-EN$2)</f>
        <v>1.0451745379876796</v>
      </c>
      <c r="EY214" s="1">
        <f>1+(Table1[[#This Row],[error_ratio_9]]-EO$2)</f>
        <v>1.0753221010901883</v>
      </c>
    </row>
    <row r="215" spans="1:155" x14ac:dyDescent="0.75">
      <c r="A215">
        <v>10</v>
      </c>
      <c r="B215">
        <v>100</v>
      </c>
      <c r="C215">
        <v>100</v>
      </c>
      <c r="D215">
        <v>10</v>
      </c>
      <c r="E215">
        <v>100</v>
      </c>
      <c r="F215">
        <v>10</v>
      </c>
      <c r="G215">
        <v>10</v>
      </c>
      <c r="H215">
        <v>10</v>
      </c>
      <c r="I215">
        <v>100</v>
      </c>
      <c r="J215">
        <v>100</v>
      </c>
      <c r="K215">
        <v>909</v>
      </c>
      <c r="L215">
        <v>1167</v>
      </c>
      <c r="M215">
        <v>1204</v>
      </c>
      <c r="N215">
        <v>1036</v>
      </c>
      <c r="O215">
        <v>997</v>
      </c>
      <c r="P215">
        <v>822</v>
      </c>
      <c r="Q215">
        <v>908</v>
      </c>
      <c r="R215">
        <v>732</v>
      </c>
      <c r="S215">
        <v>1073</v>
      </c>
      <c r="T215">
        <v>1152</v>
      </c>
      <c r="U215">
        <v>980</v>
      </c>
      <c r="V215">
        <v>1135</v>
      </c>
      <c r="W215">
        <v>1032</v>
      </c>
      <c r="X215">
        <v>1010</v>
      </c>
      <c r="Y215">
        <v>982</v>
      </c>
      <c r="Z215">
        <v>892</v>
      </c>
      <c r="AA215">
        <v>958</v>
      </c>
      <c r="AB215">
        <v>1028</v>
      </c>
      <c r="AC215">
        <v>974</v>
      </c>
      <c r="AD215">
        <v>1009</v>
      </c>
      <c r="AE215">
        <v>898</v>
      </c>
      <c r="AF215">
        <v>1</v>
      </c>
      <c r="AG215">
        <v>8</v>
      </c>
      <c r="AH215">
        <v>0</v>
      </c>
      <c r="AI215">
        <v>5</v>
      </c>
      <c r="AJ215">
        <v>4</v>
      </c>
      <c r="AK215">
        <v>7</v>
      </c>
      <c r="AL215">
        <v>1</v>
      </c>
      <c r="AM215">
        <v>8</v>
      </c>
      <c r="AN215">
        <v>48</v>
      </c>
      <c r="AO215">
        <v>0</v>
      </c>
      <c r="AP215">
        <v>1128</v>
      </c>
      <c r="AQ215">
        <v>0</v>
      </c>
      <c r="AR215">
        <v>5</v>
      </c>
      <c r="AS215">
        <v>0</v>
      </c>
      <c r="AT215">
        <v>0</v>
      </c>
      <c r="AU215">
        <v>0</v>
      </c>
      <c r="AV215">
        <v>0</v>
      </c>
      <c r="AW215">
        <v>2</v>
      </c>
      <c r="AX215">
        <v>0</v>
      </c>
      <c r="AY215">
        <v>0</v>
      </c>
      <c r="AZ215">
        <v>2</v>
      </c>
      <c r="BA215">
        <v>1023</v>
      </c>
      <c r="BB215">
        <v>0</v>
      </c>
      <c r="BC215">
        <v>1</v>
      </c>
      <c r="BD215">
        <v>1</v>
      </c>
      <c r="BE215">
        <v>1</v>
      </c>
      <c r="BF215">
        <v>1</v>
      </c>
      <c r="BG215">
        <v>3</v>
      </c>
      <c r="BH215">
        <v>0</v>
      </c>
      <c r="BI215">
        <v>0</v>
      </c>
      <c r="BJ215">
        <v>0</v>
      </c>
      <c r="BK215">
        <v>8</v>
      </c>
      <c r="BL215">
        <v>986</v>
      </c>
      <c r="BM215">
        <v>0</v>
      </c>
      <c r="BN215">
        <v>2</v>
      </c>
      <c r="BO215">
        <v>0</v>
      </c>
      <c r="BP215">
        <v>1</v>
      </c>
      <c r="BQ215">
        <v>8</v>
      </c>
      <c r="BR215">
        <v>5</v>
      </c>
      <c r="BS215">
        <v>0</v>
      </c>
      <c r="BT215">
        <v>0</v>
      </c>
      <c r="BU215">
        <v>1</v>
      </c>
      <c r="BV215">
        <v>0</v>
      </c>
      <c r="BW215">
        <v>970</v>
      </c>
      <c r="BX215">
        <v>0</v>
      </c>
      <c r="BY215">
        <v>1</v>
      </c>
      <c r="BZ215">
        <v>0</v>
      </c>
      <c r="CA215">
        <v>3</v>
      </c>
      <c r="CB215">
        <v>7</v>
      </c>
      <c r="CC215">
        <v>2</v>
      </c>
      <c r="CD215">
        <v>2</v>
      </c>
      <c r="CE215">
        <v>1</v>
      </c>
      <c r="CF215">
        <v>26</v>
      </c>
      <c r="CG215">
        <v>0</v>
      </c>
      <c r="CH215">
        <v>809</v>
      </c>
      <c r="CI215">
        <v>4</v>
      </c>
      <c r="CJ215">
        <v>1</v>
      </c>
      <c r="CK215">
        <v>38</v>
      </c>
      <c r="CL215">
        <v>9</v>
      </c>
      <c r="CM215">
        <v>5</v>
      </c>
      <c r="CN215">
        <v>8</v>
      </c>
      <c r="CO215">
        <v>0</v>
      </c>
      <c r="CP215">
        <v>0</v>
      </c>
      <c r="CQ215">
        <v>16</v>
      </c>
      <c r="CR215">
        <v>4</v>
      </c>
      <c r="CS215">
        <v>895</v>
      </c>
      <c r="CT215">
        <v>0</v>
      </c>
      <c r="CU215">
        <v>27</v>
      </c>
      <c r="CV215">
        <v>3</v>
      </c>
      <c r="CW215">
        <v>2</v>
      </c>
      <c r="CX215">
        <v>25</v>
      </c>
      <c r="CY215">
        <v>160</v>
      </c>
      <c r="CZ215">
        <v>13</v>
      </c>
      <c r="DA215">
        <v>2</v>
      </c>
      <c r="DB215">
        <v>0</v>
      </c>
      <c r="DC215">
        <v>0</v>
      </c>
      <c r="DD215">
        <v>728</v>
      </c>
      <c r="DE215">
        <v>19</v>
      </c>
      <c r="DF215">
        <v>79</v>
      </c>
      <c r="DG215">
        <v>2</v>
      </c>
      <c r="DH215">
        <v>0</v>
      </c>
      <c r="DI215">
        <v>3</v>
      </c>
      <c r="DJ215">
        <v>3</v>
      </c>
      <c r="DK215">
        <v>0</v>
      </c>
      <c r="DL215">
        <v>0</v>
      </c>
      <c r="DM215">
        <v>0</v>
      </c>
      <c r="DN215">
        <v>0</v>
      </c>
      <c r="DO215">
        <v>961</v>
      </c>
      <c r="DP215">
        <v>5</v>
      </c>
      <c r="DQ215">
        <v>0</v>
      </c>
      <c r="DR215">
        <v>1</v>
      </c>
      <c r="DS215">
        <v>0</v>
      </c>
      <c r="DT215">
        <v>3</v>
      </c>
      <c r="DU215">
        <v>3</v>
      </c>
      <c r="DV215">
        <v>2</v>
      </c>
      <c r="DW215">
        <v>0</v>
      </c>
      <c r="DX215">
        <v>0</v>
      </c>
      <c r="DY215">
        <v>4</v>
      </c>
      <c r="DZ215">
        <v>996</v>
      </c>
      <c r="EA215">
        <v>0.93940000000000001</v>
      </c>
      <c r="EB215">
        <v>0.94534100932082199</v>
      </c>
      <c r="EC215">
        <v>0.93885846724954503</v>
      </c>
      <c r="ED215">
        <v>0.93812018086903304</v>
      </c>
      <c r="EE215">
        <f>SUM(Table1[[#This Row],[ratio_0]:[ratio_9]])</f>
        <v>550</v>
      </c>
      <c r="EF215" s="1">
        <f>(Table1[[#This Row],[predicted_0]]-Table1[[#This Row],[actual_0]])/Table1[[#This Row],[actual_0]]</f>
        <v>-7.2448979591836729E-2</v>
      </c>
      <c r="EG215" s="1">
        <f>(Table1[[#This Row],[predicted_1]]-Table1[[#This Row],[actual_1]])/Table1[[#This Row],[actual_1]]</f>
        <v>2.8193832599118944E-2</v>
      </c>
      <c r="EH215" s="1">
        <f>(Table1[[#This Row],[predicted_2]]-Table1[[#This Row],[actual_2]])/Table1[[#This Row],[actual_2]]</f>
        <v>0.16666666666666666</v>
      </c>
      <c r="EI215" s="1">
        <f>(Table1[[#This Row],[predicted_3]]-Table1[[#This Row],[actual_3]])/Table1[[#This Row],[actual_3]]</f>
        <v>2.5742574257425741E-2</v>
      </c>
      <c r="EJ215" s="1">
        <f>(Table1[[#This Row],[predicted_4]]-Table1[[#This Row],[actual_4]])/Table1[[#This Row],[actual_4]]</f>
        <v>1.5274949083503055E-2</v>
      </c>
      <c r="EK215" s="1">
        <f>(Table1[[#This Row],[predicted_5]]-Table1[[#This Row],[actual_5]])/Table1[[#This Row],[actual_5]]</f>
        <v>-7.847533632286996E-2</v>
      </c>
      <c r="EL215" s="1">
        <f>(Table1[[#This Row],[predicted_6]]-Table1[[#This Row],[actual_6]])/Table1[[#This Row],[actual_6]]</f>
        <v>-5.2192066805845511E-2</v>
      </c>
      <c r="EM215" s="1">
        <f>(Table1[[#This Row],[predicted_7]]-Table1[[#This Row],[actual_7]])/Table1[[#This Row],[actual_7]]</f>
        <v>-0.28793774319066145</v>
      </c>
      <c r="EN215" s="1">
        <f>(Table1[[#This Row],[predicted_8]]-Table1[[#This Row],[actual_8]])/Table1[[#This Row],[actual_8]]</f>
        <v>0.10164271047227925</v>
      </c>
      <c r="EO215" s="1">
        <f>(Table1[[#This Row],[predicted_9]]-Table1[[#This Row],[actual_9]])/Table1[[#This Row],[actual_9]]</f>
        <v>0.14172447968285432</v>
      </c>
      <c r="EP215" s="1">
        <f>1+(Table1[[#This Row],[error_ratio_0]]-EF$2)</f>
        <v>0.92551020408163265</v>
      </c>
      <c r="EQ215" s="1">
        <f>1+(Table1[[#This Row],[error_ratio_1]]-EG$2)</f>
        <v>1.026431718061674</v>
      </c>
      <c r="ER215" s="1">
        <f>1+(Table1[[#This Row],[error_ratio_2]]-EH$2)</f>
        <v>1.1715116279069768</v>
      </c>
      <c r="ES215" s="1">
        <f>1+(Table1[[#This Row],[error_ratio_3]]-EI$2)</f>
        <v>1.0158415841584159</v>
      </c>
      <c r="ET215" s="1">
        <f>1+(Table1[[#This Row],[error_ratio_4]]-EJ$2)</f>
        <v>1.0142566191446027</v>
      </c>
      <c r="EU215" s="1">
        <f>1+(Table1[[#This Row],[error_ratio_5]]-EK$2)</f>
        <v>0.92040358744394624</v>
      </c>
      <c r="EV215" s="1">
        <f>1+(Table1[[#This Row],[error_ratio_6]]-EL$2)</f>
        <v>0.95407098121085598</v>
      </c>
      <c r="EW215" s="1">
        <f>1+(Table1[[#This Row],[error_ratio_7]]-EM$2)</f>
        <v>0.71011673151750976</v>
      </c>
      <c r="EX215" s="1">
        <f>1+(Table1[[#This Row],[error_ratio_8]]-EN$2)</f>
        <v>1.1047227926078029</v>
      </c>
      <c r="EY215" s="1">
        <f>1+(Table1[[#This Row],[error_ratio_9]]-EO$2)</f>
        <v>1.1456888007928643</v>
      </c>
    </row>
    <row r="216" spans="1:155" x14ac:dyDescent="0.75">
      <c r="A216">
        <v>100</v>
      </c>
      <c r="B216">
        <v>10</v>
      </c>
      <c r="C216">
        <v>100</v>
      </c>
      <c r="D216">
        <v>10</v>
      </c>
      <c r="E216">
        <v>100</v>
      </c>
      <c r="F216">
        <v>10</v>
      </c>
      <c r="G216">
        <v>10</v>
      </c>
      <c r="H216">
        <v>10</v>
      </c>
      <c r="I216">
        <v>100</v>
      </c>
      <c r="J216">
        <v>100</v>
      </c>
      <c r="K216">
        <v>1018</v>
      </c>
      <c r="L216">
        <v>1065</v>
      </c>
      <c r="M216">
        <v>1122</v>
      </c>
      <c r="N216">
        <v>924</v>
      </c>
      <c r="O216">
        <v>971</v>
      </c>
      <c r="P216">
        <v>886</v>
      </c>
      <c r="Q216">
        <v>926</v>
      </c>
      <c r="R216">
        <v>938</v>
      </c>
      <c r="S216">
        <v>1106</v>
      </c>
      <c r="T216">
        <v>1044</v>
      </c>
      <c r="U216">
        <v>980</v>
      </c>
      <c r="V216">
        <v>1135</v>
      </c>
      <c r="W216">
        <v>1032</v>
      </c>
      <c r="X216">
        <v>1010</v>
      </c>
      <c r="Y216">
        <v>982</v>
      </c>
      <c r="Z216">
        <v>892</v>
      </c>
      <c r="AA216">
        <v>958</v>
      </c>
      <c r="AB216">
        <v>1028</v>
      </c>
      <c r="AC216">
        <v>974</v>
      </c>
      <c r="AD216">
        <v>1009</v>
      </c>
      <c r="AE216">
        <v>978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1</v>
      </c>
      <c r="AN216">
        <v>1</v>
      </c>
      <c r="AO216">
        <v>0</v>
      </c>
      <c r="AP216">
        <v>1063</v>
      </c>
      <c r="AQ216">
        <v>11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61</v>
      </c>
      <c r="AX216">
        <v>0</v>
      </c>
      <c r="AY216">
        <v>1</v>
      </c>
      <c r="AZ216">
        <v>0</v>
      </c>
      <c r="BA216">
        <v>1024</v>
      </c>
      <c r="BB216">
        <v>0</v>
      </c>
      <c r="BC216">
        <v>1</v>
      </c>
      <c r="BD216">
        <v>0</v>
      </c>
      <c r="BE216">
        <v>0</v>
      </c>
      <c r="BF216">
        <v>2</v>
      </c>
      <c r="BG216">
        <v>4</v>
      </c>
      <c r="BH216">
        <v>0</v>
      </c>
      <c r="BI216">
        <v>8</v>
      </c>
      <c r="BJ216">
        <v>0</v>
      </c>
      <c r="BK216">
        <v>19</v>
      </c>
      <c r="BL216">
        <v>922</v>
      </c>
      <c r="BM216">
        <v>0</v>
      </c>
      <c r="BN216">
        <v>22</v>
      </c>
      <c r="BO216">
        <v>0</v>
      </c>
      <c r="BP216">
        <v>4</v>
      </c>
      <c r="BQ216">
        <v>29</v>
      </c>
      <c r="BR216">
        <v>6</v>
      </c>
      <c r="BS216">
        <v>0</v>
      </c>
      <c r="BT216">
        <v>0</v>
      </c>
      <c r="BU216">
        <v>1</v>
      </c>
      <c r="BV216">
        <v>0</v>
      </c>
      <c r="BW216">
        <v>961</v>
      </c>
      <c r="BX216">
        <v>0</v>
      </c>
      <c r="BY216">
        <v>1</v>
      </c>
      <c r="BZ216">
        <v>0</v>
      </c>
      <c r="CA216">
        <v>0</v>
      </c>
      <c r="CB216">
        <v>19</v>
      </c>
      <c r="CC216">
        <v>6</v>
      </c>
      <c r="CD216">
        <v>0</v>
      </c>
      <c r="CE216">
        <v>1</v>
      </c>
      <c r="CF216">
        <v>0</v>
      </c>
      <c r="CG216">
        <v>0</v>
      </c>
      <c r="CH216">
        <v>858</v>
      </c>
      <c r="CI216">
        <v>4</v>
      </c>
      <c r="CJ216">
        <v>1</v>
      </c>
      <c r="CK216">
        <v>17</v>
      </c>
      <c r="CL216">
        <v>5</v>
      </c>
      <c r="CM216">
        <v>17</v>
      </c>
      <c r="CN216">
        <v>1</v>
      </c>
      <c r="CO216">
        <v>2</v>
      </c>
      <c r="CP216">
        <v>0</v>
      </c>
      <c r="CQ216">
        <v>2</v>
      </c>
      <c r="CR216">
        <v>4</v>
      </c>
      <c r="CS216">
        <v>921</v>
      </c>
      <c r="CT216">
        <v>0</v>
      </c>
      <c r="CU216">
        <v>11</v>
      </c>
      <c r="CV216">
        <v>0</v>
      </c>
      <c r="CW216">
        <v>2</v>
      </c>
      <c r="CX216">
        <v>1</v>
      </c>
      <c r="CY216">
        <v>60</v>
      </c>
      <c r="CZ216">
        <v>2</v>
      </c>
      <c r="DA216">
        <v>3</v>
      </c>
      <c r="DB216">
        <v>0</v>
      </c>
      <c r="DC216">
        <v>0</v>
      </c>
      <c r="DD216">
        <v>929</v>
      </c>
      <c r="DE216">
        <v>9</v>
      </c>
      <c r="DF216">
        <v>22</v>
      </c>
      <c r="DG216">
        <v>4</v>
      </c>
      <c r="DH216">
        <v>0</v>
      </c>
      <c r="DI216">
        <v>2</v>
      </c>
      <c r="DJ216">
        <v>0</v>
      </c>
      <c r="DK216">
        <v>0</v>
      </c>
      <c r="DL216">
        <v>0</v>
      </c>
      <c r="DM216">
        <v>0</v>
      </c>
      <c r="DN216">
        <v>1</v>
      </c>
      <c r="DO216">
        <v>966</v>
      </c>
      <c r="DP216">
        <v>1</v>
      </c>
      <c r="DQ216">
        <v>2</v>
      </c>
      <c r="DR216">
        <v>0</v>
      </c>
      <c r="DS216">
        <v>2</v>
      </c>
      <c r="DT216">
        <v>0</v>
      </c>
      <c r="DU216">
        <v>4</v>
      </c>
      <c r="DV216">
        <v>2</v>
      </c>
      <c r="DW216">
        <v>0</v>
      </c>
      <c r="DX216">
        <v>1</v>
      </c>
      <c r="DY216">
        <v>8</v>
      </c>
      <c r="DZ216">
        <v>990</v>
      </c>
      <c r="EA216">
        <v>0.96120000000000005</v>
      </c>
      <c r="EB216">
        <v>0.96341185670444296</v>
      </c>
      <c r="EC216">
        <v>0.96181711798087099</v>
      </c>
      <c r="ED216">
        <v>0.96149140742041606</v>
      </c>
      <c r="EE216">
        <f>SUM(Table1[[#This Row],[ratio_0]:[ratio_9]])</f>
        <v>550</v>
      </c>
      <c r="EF216" s="1">
        <f>(Table1[[#This Row],[predicted_0]]-Table1[[#This Row],[actual_0]])/Table1[[#This Row],[actual_0]]</f>
        <v>3.8775510204081633E-2</v>
      </c>
      <c r="EG216" s="1">
        <f>(Table1[[#This Row],[predicted_1]]-Table1[[#This Row],[actual_1]])/Table1[[#This Row],[actual_1]]</f>
        <v>-6.1674008810572688E-2</v>
      </c>
      <c r="EH216" s="1">
        <f>(Table1[[#This Row],[predicted_2]]-Table1[[#This Row],[actual_2]])/Table1[[#This Row],[actual_2]]</f>
        <v>8.7209302325581398E-2</v>
      </c>
      <c r="EI216" s="1">
        <f>(Table1[[#This Row],[predicted_3]]-Table1[[#This Row],[actual_3]])/Table1[[#This Row],[actual_3]]</f>
        <v>-8.5148514851485155E-2</v>
      </c>
      <c r="EJ216" s="1">
        <f>(Table1[[#This Row],[predicted_4]]-Table1[[#This Row],[actual_4]])/Table1[[#This Row],[actual_4]]</f>
        <v>-1.1201629327902239E-2</v>
      </c>
      <c r="EK216" s="1">
        <f>(Table1[[#This Row],[predicted_5]]-Table1[[#This Row],[actual_5]])/Table1[[#This Row],[actual_5]]</f>
        <v>-6.7264573991031393E-3</v>
      </c>
      <c r="EL216" s="1">
        <f>(Table1[[#This Row],[predicted_6]]-Table1[[#This Row],[actual_6]])/Table1[[#This Row],[actual_6]]</f>
        <v>-3.3402922755741124E-2</v>
      </c>
      <c r="EM216" s="1">
        <f>(Table1[[#This Row],[predicted_7]]-Table1[[#This Row],[actual_7]])/Table1[[#This Row],[actual_7]]</f>
        <v>-8.7548638132295714E-2</v>
      </c>
      <c r="EN216" s="1">
        <f>(Table1[[#This Row],[predicted_8]]-Table1[[#This Row],[actual_8]])/Table1[[#This Row],[actual_8]]</f>
        <v>0.13552361396303902</v>
      </c>
      <c r="EO216" s="1">
        <f>(Table1[[#This Row],[predicted_9]]-Table1[[#This Row],[actual_9]])/Table1[[#This Row],[actual_9]]</f>
        <v>3.4687809712586719E-2</v>
      </c>
      <c r="EP216" s="1">
        <f>1+(Table1[[#This Row],[error_ratio_0]]-EF$2)</f>
        <v>1.036734693877551</v>
      </c>
      <c r="EQ216" s="1">
        <f>1+(Table1[[#This Row],[error_ratio_1]]-EG$2)</f>
        <v>0.93656387665198237</v>
      </c>
      <c r="ER216" s="1">
        <f>1+(Table1[[#This Row],[error_ratio_2]]-EH$2)</f>
        <v>1.0920542635658914</v>
      </c>
      <c r="ES216" s="1">
        <f>1+(Table1[[#This Row],[error_ratio_3]]-EI$2)</f>
        <v>0.90495049504950498</v>
      </c>
      <c r="ET216" s="1">
        <f>1+(Table1[[#This Row],[error_ratio_4]]-EJ$2)</f>
        <v>0.98778004073319758</v>
      </c>
      <c r="EU216" s="1">
        <f>1+(Table1[[#This Row],[error_ratio_5]]-EK$2)</f>
        <v>0.99215246636771304</v>
      </c>
      <c r="EV216" s="1">
        <f>1+(Table1[[#This Row],[error_ratio_6]]-EL$2)</f>
        <v>0.97286012526096033</v>
      </c>
      <c r="EW216" s="1">
        <f>1+(Table1[[#This Row],[error_ratio_7]]-EM$2)</f>
        <v>0.91050583657587547</v>
      </c>
      <c r="EX216" s="1">
        <f>1+(Table1[[#This Row],[error_ratio_8]]-EN$2)</f>
        <v>1.1386036960985626</v>
      </c>
      <c r="EY216" s="1">
        <f>1+(Table1[[#This Row],[error_ratio_9]]-EO$2)</f>
        <v>1.0386521308225967</v>
      </c>
    </row>
    <row r="217" spans="1:155" x14ac:dyDescent="0.75">
      <c r="A217">
        <v>10</v>
      </c>
      <c r="B217">
        <v>10</v>
      </c>
      <c r="C217">
        <v>100</v>
      </c>
      <c r="D217">
        <v>10</v>
      </c>
      <c r="E217">
        <v>100</v>
      </c>
      <c r="F217">
        <v>10</v>
      </c>
      <c r="G217">
        <v>10</v>
      </c>
      <c r="H217">
        <v>10</v>
      </c>
      <c r="I217">
        <v>100</v>
      </c>
      <c r="J217">
        <v>100</v>
      </c>
      <c r="K217">
        <v>918</v>
      </c>
      <c r="L217">
        <v>1104</v>
      </c>
      <c r="M217">
        <v>1140</v>
      </c>
      <c r="N217">
        <v>943</v>
      </c>
      <c r="O217">
        <v>1391</v>
      </c>
      <c r="P217">
        <v>854</v>
      </c>
      <c r="Q217">
        <v>853</v>
      </c>
      <c r="R217">
        <v>971</v>
      </c>
      <c r="S217">
        <v>913</v>
      </c>
      <c r="T217">
        <v>913</v>
      </c>
      <c r="U217">
        <v>980</v>
      </c>
      <c r="V217">
        <v>1135</v>
      </c>
      <c r="W217">
        <v>1032</v>
      </c>
      <c r="X217">
        <v>1010</v>
      </c>
      <c r="Y217">
        <v>982</v>
      </c>
      <c r="Z217">
        <v>892</v>
      </c>
      <c r="AA217">
        <v>958</v>
      </c>
      <c r="AB217">
        <v>1028</v>
      </c>
      <c r="AC217">
        <v>974</v>
      </c>
      <c r="AD217">
        <v>1009</v>
      </c>
      <c r="AE217">
        <v>905</v>
      </c>
      <c r="AF217">
        <v>1</v>
      </c>
      <c r="AG217">
        <v>5</v>
      </c>
      <c r="AH217">
        <v>0</v>
      </c>
      <c r="AI217">
        <v>20</v>
      </c>
      <c r="AJ217">
        <v>0</v>
      </c>
      <c r="AK217">
        <v>7</v>
      </c>
      <c r="AL217">
        <v>1</v>
      </c>
      <c r="AM217">
        <v>2</v>
      </c>
      <c r="AN217">
        <v>39</v>
      </c>
      <c r="AO217">
        <v>0</v>
      </c>
      <c r="AP217">
        <v>1090</v>
      </c>
      <c r="AQ217">
        <v>21</v>
      </c>
      <c r="AR217">
        <v>0</v>
      </c>
      <c r="AS217">
        <v>20</v>
      </c>
      <c r="AT217">
        <v>1</v>
      </c>
      <c r="AU217">
        <v>1</v>
      </c>
      <c r="AV217">
        <v>0</v>
      </c>
      <c r="AW217">
        <v>0</v>
      </c>
      <c r="AX217">
        <v>2</v>
      </c>
      <c r="AY217">
        <v>0</v>
      </c>
      <c r="AZ217">
        <v>0</v>
      </c>
      <c r="BA217">
        <v>1023</v>
      </c>
      <c r="BB217">
        <v>0</v>
      </c>
      <c r="BC217">
        <v>3</v>
      </c>
      <c r="BD217">
        <v>0</v>
      </c>
      <c r="BE217">
        <v>2</v>
      </c>
      <c r="BF217">
        <v>4</v>
      </c>
      <c r="BG217">
        <v>0</v>
      </c>
      <c r="BH217">
        <v>0</v>
      </c>
      <c r="BI217">
        <v>0</v>
      </c>
      <c r="BJ217">
        <v>0</v>
      </c>
      <c r="BK217">
        <v>22</v>
      </c>
      <c r="BL217">
        <v>934</v>
      </c>
      <c r="BM217">
        <v>5</v>
      </c>
      <c r="BN217">
        <v>13</v>
      </c>
      <c r="BO217">
        <v>0</v>
      </c>
      <c r="BP217">
        <v>9</v>
      </c>
      <c r="BQ217">
        <v>13</v>
      </c>
      <c r="BR217">
        <v>14</v>
      </c>
      <c r="BS217">
        <v>0</v>
      </c>
      <c r="BT217">
        <v>0</v>
      </c>
      <c r="BU217">
        <v>1</v>
      </c>
      <c r="BV217">
        <v>0</v>
      </c>
      <c r="BW217">
        <v>981</v>
      </c>
      <c r="BX217">
        <v>0</v>
      </c>
      <c r="BY217">
        <v>0</v>
      </c>
      <c r="BZ217">
        <v>0</v>
      </c>
      <c r="CA217">
        <v>0</v>
      </c>
      <c r="CB217">
        <v>0</v>
      </c>
      <c r="CC217">
        <v>6</v>
      </c>
      <c r="CD217">
        <v>1</v>
      </c>
      <c r="CE217">
        <v>1</v>
      </c>
      <c r="CF217">
        <v>8</v>
      </c>
      <c r="CG217">
        <v>12</v>
      </c>
      <c r="CH217">
        <v>835</v>
      </c>
      <c r="CI217">
        <v>6</v>
      </c>
      <c r="CJ217">
        <v>4</v>
      </c>
      <c r="CK217">
        <v>8</v>
      </c>
      <c r="CL217">
        <v>11</v>
      </c>
      <c r="CM217">
        <v>6</v>
      </c>
      <c r="CN217">
        <v>3</v>
      </c>
      <c r="CO217">
        <v>4</v>
      </c>
      <c r="CP217">
        <v>1</v>
      </c>
      <c r="CQ217">
        <v>99</v>
      </c>
      <c r="CR217">
        <v>5</v>
      </c>
      <c r="CS217">
        <v>837</v>
      </c>
      <c r="CT217">
        <v>0</v>
      </c>
      <c r="CU217">
        <v>3</v>
      </c>
      <c r="CV217">
        <v>0</v>
      </c>
      <c r="CW217">
        <v>0</v>
      </c>
      <c r="CX217">
        <v>5</v>
      </c>
      <c r="CY217">
        <v>48</v>
      </c>
      <c r="CZ217">
        <v>0</v>
      </c>
      <c r="DA217">
        <v>18</v>
      </c>
      <c r="DB217">
        <v>0</v>
      </c>
      <c r="DC217">
        <v>0</v>
      </c>
      <c r="DD217">
        <v>945</v>
      </c>
      <c r="DE217">
        <v>0</v>
      </c>
      <c r="DF217">
        <v>12</v>
      </c>
      <c r="DG217">
        <v>1</v>
      </c>
      <c r="DH217">
        <v>3</v>
      </c>
      <c r="DI217">
        <v>13</v>
      </c>
      <c r="DJ217">
        <v>0</v>
      </c>
      <c r="DK217">
        <v>54</v>
      </c>
      <c r="DL217">
        <v>0</v>
      </c>
      <c r="DM217">
        <v>0</v>
      </c>
      <c r="DN217">
        <v>7</v>
      </c>
      <c r="DO217">
        <v>887</v>
      </c>
      <c r="DP217">
        <v>9</v>
      </c>
      <c r="DQ217">
        <v>0</v>
      </c>
      <c r="DR217">
        <v>1</v>
      </c>
      <c r="DS217">
        <v>2</v>
      </c>
      <c r="DT217">
        <v>0</v>
      </c>
      <c r="DU217">
        <v>179</v>
      </c>
      <c r="DV217">
        <v>0</v>
      </c>
      <c r="DW217">
        <v>0</v>
      </c>
      <c r="DX217">
        <v>1</v>
      </c>
      <c r="DY217">
        <v>0</v>
      </c>
      <c r="DZ217">
        <v>826</v>
      </c>
      <c r="EA217">
        <v>0.92630000000000001</v>
      </c>
      <c r="EB217">
        <v>0.93746801679505098</v>
      </c>
      <c r="EC217">
        <v>0.92571995064529899</v>
      </c>
      <c r="ED217">
        <v>0.92784858165317297</v>
      </c>
      <c r="EE217">
        <f>SUM(Table1[[#This Row],[ratio_0]:[ratio_9]])</f>
        <v>460</v>
      </c>
      <c r="EF217" s="1">
        <f>(Table1[[#This Row],[predicted_0]]-Table1[[#This Row],[actual_0]])/Table1[[#This Row],[actual_0]]</f>
        <v>-6.3265306122448975E-2</v>
      </c>
      <c r="EG217" s="1">
        <f>(Table1[[#This Row],[predicted_1]]-Table1[[#This Row],[actual_1]])/Table1[[#This Row],[actual_1]]</f>
        <v>-2.7312775330396475E-2</v>
      </c>
      <c r="EH217" s="1">
        <f>(Table1[[#This Row],[predicted_2]]-Table1[[#This Row],[actual_2]])/Table1[[#This Row],[actual_2]]</f>
        <v>0.10465116279069768</v>
      </c>
      <c r="EI217" s="1">
        <f>(Table1[[#This Row],[predicted_3]]-Table1[[#This Row],[actual_3]])/Table1[[#This Row],[actual_3]]</f>
        <v>-6.633663366336634E-2</v>
      </c>
      <c r="EJ217" s="1">
        <f>(Table1[[#This Row],[predicted_4]]-Table1[[#This Row],[actual_4]])/Table1[[#This Row],[actual_4]]</f>
        <v>0.41649694501018331</v>
      </c>
      <c r="EK217" s="1">
        <f>(Table1[[#This Row],[predicted_5]]-Table1[[#This Row],[actual_5]])/Table1[[#This Row],[actual_5]]</f>
        <v>-4.2600896860986545E-2</v>
      </c>
      <c r="EL217" s="1">
        <f>(Table1[[#This Row],[predicted_6]]-Table1[[#This Row],[actual_6]])/Table1[[#This Row],[actual_6]]</f>
        <v>-0.10960334029227557</v>
      </c>
      <c r="EM217" s="1">
        <f>(Table1[[#This Row],[predicted_7]]-Table1[[#This Row],[actual_7]])/Table1[[#This Row],[actual_7]]</f>
        <v>-5.544747081712062E-2</v>
      </c>
      <c r="EN217" s="1">
        <f>(Table1[[#This Row],[predicted_8]]-Table1[[#This Row],[actual_8]])/Table1[[#This Row],[actual_8]]</f>
        <v>-6.2628336755646816E-2</v>
      </c>
      <c r="EO217" s="1">
        <f>(Table1[[#This Row],[predicted_9]]-Table1[[#This Row],[actual_9]])/Table1[[#This Row],[actual_9]]</f>
        <v>-9.5143706640237857E-2</v>
      </c>
      <c r="EP217" s="1">
        <f>1+(Table1[[#This Row],[error_ratio_0]]-EF$2)</f>
        <v>0.9346938775510204</v>
      </c>
      <c r="EQ217" s="1">
        <f>1+(Table1[[#This Row],[error_ratio_1]]-EG$2)</f>
        <v>0.97092511013215854</v>
      </c>
      <c r="ER217" s="1">
        <f>1+(Table1[[#This Row],[error_ratio_2]]-EH$2)</f>
        <v>1.1094961240310077</v>
      </c>
      <c r="ES217" s="1">
        <f>1+(Table1[[#This Row],[error_ratio_3]]-EI$2)</f>
        <v>0.92376237623762381</v>
      </c>
      <c r="ET217" s="1">
        <f>1+(Table1[[#This Row],[error_ratio_4]]-EJ$2)</f>
        <v>1.415478615071283</v>
      </c>
      <c r="EU217" s="1">
        <f>1+(Table1[[#This Row],[error_ratio_5]]-EK$2)</f>
        <v>0.95627802690582964</v>
      </c>
      <c r="EV217" s="1">
        <f>1+(Table1[[#This Row],[error_ratio_6]]-EL$2)</f>
        <v>0.89665970772442594</v>
      </c>
      <c r="EW217" s="1">
        <f>1+(Table1[[#This Row],[error_ratio_7]]-EM$2)</f>
        <v>0.94260700389105057</v>
      </c>
      <c r="EX217" s="1">
        <f>1+(Table1[[#This Row],[error_ratio_8]]-EN$2)</f>
        <v>0.94045174537987675</v>
      </c>
      <c r="EY217" s="1">
        <f>1+(Table1[[#This Row],[error_ratio_9]]-EO$2)</f>
        <v>0.90882061446977203</v>
      </c>
    </row>
    <row r="218" spans="1:155" x14ac:dyDescent="0.75">
      <c r="A218">
        <v>100</v>
      </c>
      <c r="B218">
        <v>100</v>
      </c>
      <c r="C218">
        <v>10</v>
      </c>
      <c r="D218">
        <v>10</v>
      </c>
      <c r="E218">
        <v>100</v>
      </c>
      <c r="F218">
        <v>10</v>
      </c>
      <c r="G218">
        <v>10</v>
      </c>
      <c r="H218">
        <v>10</v>
      </c>
      <c r="I218">
        <v>100</v>
      </c>
      <c r="J218">
        <v>100</v>
      </c>
      <c r="K218">
        <v>1036</v>
      </c>
      <c r="L218">
        <v>1194</v>
      </c>
      <c r="M218">
        <v>798</v>
      </c>
      <c r="N218">
        <v>1057</v>
      </c>
      <c r="O218">
        <v>1026</v>
      </c>
      <c r="P218">
        <v>848</v>
      </c>
      <c r="Q218">
        <v>936</v>
      </c>
      <c r="R218">
        <v>834</v>
      </c>
      <c r="S218">
        <v>1163</v>
      </c>
      <c r="T218">
        <v>1108</v>
      </c>
      <c r="U218">
        <v>980</v>
      </c>
      <c r="V218">
        <v>1135</v>
      </c>
      <c r="W218">
        <v>1032</v>
      </c>
      <c r="X218">
        <v>1010</v>
      </c>
      <c r="Y218">
        <v>982</v>
      </c>
      <c r="Z218">
        <v>892</v>
      </c>
      <c r="AA218">
        <v>958</v>
      </c>
      <c r="AB218">
        <v>1028</v>
      </c>
      <c r="AC218">
        <v>974</v>
      </c>
      <c r="AD218">
        <v>1009</v>
      </c>
      <c r="AE218">
        <v>975</v>
      </c>
      <c r="AF218">
        <v>2</v>
      </c>
      <c r="AG218">
        <v>0</v>
      </c>
      <c r="AH218">
        <v>0</v>
      </c>
      <c r="AI218">
        <v>0</v>
      </c>
      <c r="AJ218">
        <v>0</v>
      </c>
      <c r="AK218">
        <v>1</v>
      </c>
      <c r="AL218">
        <v>0</v>
      </c>
      <c r="AM218">
        <v>1</v>
      </c>
      <c r="AN218">
        <v>1</v>
      </c>
      <c r="AO218">
        <v>0</v>
      </c>
      <c r="AP218">
        <v>1128</v>
      </c>
      <c r="AQ218">
        <v>0</v>
      </c>
      <c r="AR218">
        <v>1</v>
      </c>
      <c r="AS218">
        <v>0</v>
      </c>
      <c r="AT218">
        <v>2</v>
      </c>
      <c r="AU218">
        <v>1</v>
      </c>
      <c r="AV218">
        <v>0</v>
      </c>
      <c r="AW218">
        <v>3</v>
      </c>
      <c r="AX218">
        <v>0</v>
      </c>
      <c r="AY218">
        <v>29</v>
      </c>
      <c r="AZ218">
        <v>31</v>
      </c>
      <c r="BA218">
        <v>790</v>
      </c>
      <c r="BB218">
        <v>26</v>
      </c>
      <c r="BC218">
        <v>12</v>
      </c>
      <c r="BD218">
        <v>0</v>
      </c>
      <c r="BE218">
        <v>5</v>
      </c>
      <c r="BF218">
        <v>7</v>
      </c>
      <c r="BG218">
        <v>128</v>
      </c>
      <c r="BH218">
        <v>4</v>
      </c>
      <c r="BI218">
        <v>1</v>
      </c>
      <c r="BJ218">
        <v>0</v>
      </c>
      <c r="BK218">
        <v>1</v>
      </c>
      <c r="BL218">
        <v>986</v>
      </c>
      <c r="BM218">
        <v>0</v>
      </c>
      <c r="BN218">
        <v>5</v>
      </c>
      <c r="BO218">
        <v>0</v>
      </c>
      <c r="BP218">
        <v>1</v>
      </c>
      <c r="BQ218">
        <v>10</v>
      </c>
      <c r="BR218">
        <v>6</v>
      </c>
      <c r="BS218">
        <v>0</v>
      </c>
      <c r="BT218">
        <v>3</v>
      </c>
      <c r="BU218">
        <v>0</v>
      </c>
      <c r="BV218">
        <v>0</v>
      </c>
      <c r="BW218">
        <v>976</v>
      </c>
      <c r="BX218">
        <v>0</v>
      </c>
      <c r="BY218">
        <v>3</v>
      </c>
      <c r="BZ218">
        <v>0</v>
      </c>
      <c r="CA218">
        <v>0</v>
      </c>
      <c r="CB218">
        <v>0</v>
      </c>
      <c r="CC218">
        <v>4</v>
      </c>
      <c r="CD218">
        <v>2</v>
      </c>
      <c r="CE218">
        <v>0</v>
      </c>
      <c r="CF218">
        <v>17</v>
      </c>
      <c r="CG218">
        <v>2</v>
      </c>
      <c r="CH218">
        <v>836</v>
      </c>
      <c r="CI218">
        <v>8</v>
      </c>
      <c r="CJ218">
        <v>1</v>
      </c>
      <c r="CK218">
        <v>13</v>
      </c>
      <c r="CL218">
        <v>9</v>
      </c>
      <c r="CM218">
        <v>14</v>
      </c>
      <c r="CN218">
        <v>5</v>
      </c>
      <c r="CO218">
        <v>0</v>
      </c>
      <c r="CP218">
        <v>0</v>
      </c>
      <c r="CQ218">
        <v>9</v>
      </c>
      <c r="CR218">
        <v>3</v>
      </c>
      <c r="CS218">
        <v>918</v>
      </c>
      <c r="CT218">
        <v>0</v>
      </c>
      <c r="CU218">
        <v>8</v>
      </c>
      <c r="CV218">
        <v>1</v>
      </c>
      <c r="CW218">
        <v>2</v>
      </c>
      <c r="CX218">
        <v>20</v>
      </c>
      <c r="CY218">
        <v>7</v>
      </c>
      <c r="CZ218">
        <v>18</v>
      </c>
      <c r="DA218">
        <v>12</v>
      </c>
      <c r="DB218">
        <v>2</v>
      </c>
      <c r="DC218">
        <v>0</v>
      </c>
      <c r="DD218">
        <v>823</v>
      </c>
      <c r="DE218">
        <v>37</v>
      </c>
      <c r="DF218">
        <v>107</v>
      </c>
      <c r="DG218">
        <v>4</v>
      </c>
      <c r="DH218">
        <v>0</v>
      </c>
      <c r="DI218">
        <v>0</v>
      </c>
      <c r="DJ218">
        <v>3</v>
      </c>
      <c r="DK218">
        <v>0</v>
      </c>
      <c r="DL218">
        <v>0</v>
      </c>
      <c r="DM218">
        <v>0</v>
      </c>
      <c r="DN218">
        <v>0</v>
      </c>
      <c r="DO218">
        <v>961</v>
      </c>
      <c r="DP218">
        <v>6</v>
      </c>
      <c r="DQ218">
        <v>7</v>
      </c>
      <c r="DR218">
        <v>3</v>
      </c>
      <c r="DS218">
        <v>0</v>
      </c>
      <c r="DT218">
        <v>6</v>
      </c>
      <c r="DU218">
        <v>15</v>
      </c>
      <c r="DV218">
        <v>0</v>
      </c>
      <c r="DW218">
        <v>0</v>
      </c>
      <c r="DX218">
        <v>2</v>
      </c>
      <c r="DY218">
        <v>2</v>
      </c>
      <c r="DZ218">
        <v>974</v>
      </c>
      <c r="EA218">
        <v>0.93669999999999998</v>
      </c>
      <c r="EB218">
        <v>0.94187155384724397</v>
      </c>
      <c r="EC218">
        <v>0.93723769811852997</v>
      </c>
      <c r="ED218">
        <v>0.93593111295161902</v>
      </c>
      <c r="EE218">
        <f>SUM(Table1[[#This Row],[ratio_0]:[ratio_9]])</f>
        <v>550</v>
      </c>
      <c r="EF218" s="1">
        <f>(Table1[[#This Row],[predicted_0]]-Table1[[#This Row],[actual_0]])/Table1[[#This Row],[actual_0]]</f>
        <v>5.7142857142857141E-2</v>
      </c>
      <c r="EG218" s="1">
        <f>(Table1[[#This Row],[predicted_1]]-Table1[[#This Row],[actual_1]])/Table1[[#This Row],[actual_1]]</f>
        <v>5.1982378854625554E-2</v>
      </c>
      <c r="EH218" s="1">
        <f>(Table1[[#This Row],[predicted_2]]-Table1[[#This Row],[actual_2]])/Table1[[#This Row],[actual_2]]</f>
        <v>-0.22674418604651161</v>
      </c>
      <c r="EI218" s="1">
        <f>(Table1[[#This Row],[predicted_3]]-Table1[[#This Row],[actual_3]])/Table1[[#This Row],[actual_3]]</f>
        <v>4.6534653465346534E-2</v>
      </c>
      <c r="EJ218" s="1">
        <f>(Table1[[#This Row],[predicted_4]]-Table1[[#This Row],[actual_4]])/Table1[[#This Row],[actual_4]]</f>
        <v>4.4806517311608958E-2</v>
      </c>
      <c r="EK218" s="1">
        <f>(Table1[[#This Row],[predicted_5]]-Table1[[#This Row],[actual_5]])/Table1[[#This Row],[actual_5]]</f>
        <v>-4.9327354260089683E-2</v>
      </c>
      <c r="EL218" s="1">
        <f>(Table1[[#This Row],[predicted_6]]-Table1[[#This Row],[actual_6]])/Table1[[#This Row],[actual_6]]</f>
        <v>-2.2964509394572025E-2</v>
      </c>
      <c r="EM218" s="1">
        <f>(Table1[[#This Row],[predicted_7]]-Table1[[#This Row],[actual_7]])/Table1[[#This Row],[actual_7]]</f>
        <v>-0.18871595330739299</v>
      </c>
      <c r="EN218" s="1">
        <f>(Table1[[#This Row],[predicted_8]]-Table1[[#This Row],[actual_8]])/Table1[[#This Row],[actual_8]]</f>
        <v>0.19404517453798767</v>
      </c>
      <c r="EO218" s="1">
        <f>(Table1[[#This Row],[predicted_9]]-Table1[[#This Row],[actual_9]])/Table1[[#This Row],[actual_9]]</f>
        <v>9.8116947472745297E-2</v>
      </c>
      <c r="EP218" s="1">
        <f>1+(Table1[[#This Row],[error_ratio_0]]-EF$2)</f>
        <v>1.0551020408163265</v>
      </c>
      <c r="EQ218" s="1">
        <f>1+(Table1[[#This Row],[error_ratio_1]]-EG$2)</f>
        <v>1.0502202643171805</v>
      </c>
      <c r="ER218" s="1">
        <f>1+(Table1[[#This Row],[error_ratio_2]]-EH$2)</f>
        <v>0.7781007751937985</v>
      </c>
      <c r="ES218" s="1">
        <f>1+(Table1[[#This Row],[error_ratio_3]]-EI$2)</f>
        <v>1.0366336633663367</v>
      </c>
      <c r="ET218" s="1">
        <f>1+(Table1[[#This Row],[error_ratio_4]]-EJ$2)</f>
        <v>1.0437881873727088</v>
      </c>
      <c r="EU218" s="1">
        <f>1+(Table1[[#This Row],[error_ratio_5]]-EK$2)</f>
        <v>0.94955156950672648</v>
      </c>
      <c r="EV218" s="1">
        <f>1+(Table1[[#This Row],[error_ratio_6]]-EL$2)</f>
        <v>0.98329853862212946</v>
      </c>
      <c r="EW218" s="1">
        <f>1+(Table1[[#This Row],[error_ratio_7]]-EM$2)</f>
        <v>0.80933852140077822</v>
      </c>
      <c r="EX218" s="1">
        <f>1+(Table1[[#This Row],[error_ratio_8]]-EN$2)</f>
        <v>1.1971252566735113</v>
      </c>
      <c r="EY218" s="1">
        <f>1+(Table1[[#This Row],[error_ratio_9]]-EO$2)</f>
        <v>1.1020812685827552</v>
      </c>
    </row>
    <row r="219" spans="1:155" x14ac:dyDescent="0.75">
      <c r="A219">
        <v>10</v>
      </c>
      <c r="B219">
        <v>100</v>
      </c>
      <c r="C219">
        <v>10</v>
      </c>
      <c r="D219">
        <v>10</v>
      </c>
      <c r="E219">
        <v>100</v>
      </c>
      <c r="F219">
        <v>10</v>
      </c>
      <c r="G219">
        <v>10</v>
      </c>
      <c r="H219">
        <v>10</v>
      </c>
      <c r="I219">
        <v>100</v>
      </c>
      <c r="J219">
        <v>100</v>
      </c>
      <c r="K219">
        <v>989</v>
      </c>
      <c r="L219">
        <v>1189</v>
      </c>
      <c r="M219">
        <v>1003</v>
      </c>
      <c r="N219">
        <v>914</v>
      </c>
      <c r="O219">
        <v>1031</v>
      </c>
      <c r="P219">
        <v>805</v>
      </c>
      <c r="Q219">
        <v>994</v>
      </c>
      <c r="R219">
        <v>993</v>
      </c>
      <c r="S219">
        <v>1035</v>
      </c>
      <c r="T219">
        <v>1047</v>
      </c>
      <c r="U219">
        <v>980</v>
      </c>
      <c r="V219">
        <v>1135</v>
      </c>
      <c r="W219">
        <v>1032</v>
      </c>
      <c r="X219">
        <v>1010</v>
      </c>
      <c r="Y219">
        <v>982</v>
      </c>
      <c r="Z219">
        <v>892</v>
      </c>
      <c r="AA219">
        <v>958</v>
      </c>
      <c r="AB219">
        <v>1028</v>
      </c>
      <c r="AC219">
        <v>974</v>
      </c>
      <c r="AD219">
        <v>1009</v>
      </c>
      <c r="AE219">
        <v>931</v>
      </c>
      <c r="AF219">
        <v>0</v>
      </c>
      <c r="AG219">
        <v>2</v>
      </c>
      <c r="AH219">
        <v>0</v>
      </c>
      <c r="AI219">
        <v>4</v>
      </c>
      <c r="AJ219">
        <v>0</v>
      </c>
      <c r="AK219">
        <v>32</v>
      </c>
      <c r="AL219">
        <v>1</v>
      </c>
      <c r="AM219">
        <v>2</v>
      </c>
      <c r="AN219">
        <v>8</v>
      </c>
      <c r="AO219">
        <v>0</v>
      </c>
      <c r="AP219">
        <v>1135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8</v>
      </c>
      <c r="AZ219">
        <v>18</v>
      </c>
      <c r="BA219">
        <v>965</v>
      </c>
      <c r="BB219">
        <v>0</v>
      </c>
      <c r="BC219">
        <v>9</v>
      </c>
      <c r="BD219">
        <v>0</v>
      </c>
      <c r="BE219">
        <v>3</v>
      </c>
      <c r="BF219">
        <v>11</v>
      </c>
      <c r="BG219">
        <v>17</v>
      </c>
      <c r="BH219">
        <v>1</v>
      </c>
      <c r="BI219">
        <v>14</v>
      </c>
      <c r="BJ219">
        <v>3</v>
      </c>
      <c r="BK219">
        <v>7</v>
      </c>
      <c r="BL219">
        <v>910</v>
      </c>
      <c r="BM219">
        <v>1</v>
      </c>
      <c r="BN219">
        <v>27</v>
      </c>
      <c r="BO219">
        <v>6</v>
      </c>
      <c r="BP219">
        <v>11</v>
      </c>
      <c r="BQ219">
        <v>18</v>
      </c>
      <c r="BR219">
        <v>13</v>
      </c>
      <c r="BS219">
        <v>0</v>
      </c>
      <c r="BT219">
        <v>0</v>
      </c>
      <c r="BU219">
        <v>0</v>
      </c>
      <c r="BV219">
        <v>0</v>
      </c>
      <c r="BW219">
        <v>975</v>
      </c>
      <c r="BX219">
        <v>0</v>
      </c>
      <c r="BY219">
        <v>0</v>
      </c>
      <c r="BZ219">
        <v>0</v>
      </c>
      <c r="CA219">
        <v>0</v>
      </c>
      <c r="CB219">
        <v>7</v>
      </c>
      <c r="CC219">
        <v>15</v>
      </c>
      <c r="CD219">
        <v>1</v>
      </c>
      <c r="CE219">
        <v>3</v>
      </c>
      <c r="CF219">
        <v>2</v>
      </c>
      <c r="CG219">
        <v>3</v>
      </c>
      <c r="CH219">
        <v>777</v>
      </c>
      <c r="CI219">
        <v>19</v>
      </c>
      <c r="CJ219">
        <v>4</v>
      </c>
      <c r="CK219">
        <v>45</v>
      </c>
      <c r="CL219">
        <v>23</v>
      </c>
      <c r="CM219">
        <v>4</v>
      </c>
      <c r="CN219">
        <v>4</v>
      </c>
      <c r="CO219">
        <v>1</v>
      </c>
      <c r="CP219">
        <v>0</v>
      </c>
      <c r="CQ219">
        <v>11</v>
      </c>
      <c r="CR219">
        <v>0</v>
      </c>
      <c r="CS219">
        <v>932</v>
      </c>
      <c r="CT219">
        <v>0</v>
      </c>
      <c r="CU219">
        <v>6</v>
      </c>
      <c r="CV219">
        <v>0</v>
      </c>
      <c r="CW219">
        <v>3</v>
      </c>
      <c r="CX219">
        <v>22</v>
      </c>
      <c r="CY219">
        <v>25</v>
      </c>
      <c r="CZ219">
        <v>2</v>
      </c>
      <c r="DA219">
        <v>7</v>
      </c>
      <c r="DB219">
        <v>1</v>
      </c>
      <c r="DC219">
        <v>0</v>
      </c>
      <c r="DD219">
        <v>958</v>
      </c>
      <c r="DE219">
        <v>2</v>
      </c>
      <c r="DF219">
        <v>8</v>
      </c>
      <c r="DG219">
        <v>11</v>
      </c>
      <c r="DH219">
        <v>1</v>
      </c>
      <c r="DI219">
        <v>0</v>
      </c>
      <c r="DJ219">
        <v>0</v>
      </c>
      <c r="DK219">
        <v>9</v>
      </c>
      <c r="DL219">
        <v>0</v>
      </c>
      <c r="DM219">
        <v>1</v>
      </c>
      <c r="DN219">
        <v>4</v>
      </c>
      <c r="DO219">
        <v>944</v>
      </c>
      <c r="DP219">
        <v>4</v>
      </c>
      <c r="DQ219">
        <v>3</v>
      </c>
      <c r="DR219">
        <v>5</v>
      </c>
      <c r="DS219">
        <v>0</v>
      </c>
      <c r="DT219">
        <v>0</v>
      </c>
      <c r="DU219">
        <v>12</v>
      </c>
      <c r="DV219">
        <v>0</v>
      </c>
      <c r="DW219">
        <v>1</v>
      </c>
      <c r="DX219">
        <v>4</v>
      </c>
      <c r="DY219">
        <v>1</v>
      </c>
      <c r="DZ219">
        <v>983</v>
      </c>
      <c r="EA219">
        <v>0.95099999999999996</v>
      </c>
      <c r="EB219">
        <v>0.95179063650726203</v>
      </c>
      <c r="EC219">
        <v>0.94982133734779495</v>
      </c>
      <c r="ED219">
        <v>0.95001681297018603</v>
      </c>
      <c r="EE219">
        <f>SUM(Table1[[#This Row],[ratio_0]:[ratio_9]])</f>
        <v>460</v>
      </c>
      <c r="EF219" s="1">
        <f>(Table1[[#This Row],[predicted_0]]-Table1[[#This Row],[actual_0]])/Table1[[#This Row],[actual_0]]</f>
        <v>9.1836734693877559E-3</v>
      </c>
      <c r="EG219" s="1">
        <f>(Table1[[#This Row],[predicted_1]]-Table1[[#This Row],[actual_1]])/Table1[[#This Row],[actual_1]]</f>
        <v>4.7577092511013219E-2</v>
      </c>
      <c r="EH219" s="1">
        <f>(Table1[[#This Row],[predicted_2]]-Table1[[#This Row],[actual_2]])/Table1[[#This Row],[actual_2]]</f>
        <v>-2.8100775193798451E-2</v>
      </c>
      <c r="EI219" s="1">
        <f>(Table1[[#This Row],[predicted_3]]-Table1[[#This Row],[actual_3]])/Table1[[#This Row],[actual_3]]</f>
        <v>-9.5049504950495051E-2</v>
      </c>
      <c r="EJ219" s="1">
        <f>(Table1[[#This Row],[predicted_4]]-Table1[[#This Row],[actual_4]])/Table1[[#This Row],[actual_4]]</f>
        <v>4.9898167006109981E-2</v>
      </c>
      <c r="EK219" s="1">
        <f>(Table1[[#This Row],[predicted_5]]-Table1[[#This Row],[actual_5]])/Table1[[#This Row],[actual_5]]</f>
        <v>-9.753363228699552E-2</v>
      </c>
      <c r="EL219" s="1">
        <f>(Table1[[#This Row],[predicted_6]]-Table1[[#This Row],[actual_6]])/Table1[[#This Row],[actual_6]]</f>
        <v>3.7578288100208766E-2</v>
      </c>
      <c r="EM219" s="1">
        <f>(Table1[[#This Row],[predicted_7]]-Table1[[#This Row],[actual_7]])/Table1[[#This Row],[actual_7]]</f>
        <v>-3.4046692607003888E-2</v>
      </c>
      <c r="EN219" s="1">
        <f>(Table1[[#This Row],[predicted_8]]-Table1[[#This Row],[actual_8]])/Table1[[#This Row],[actual_8]]</f>
        <v>6.2628336755646816E-2</v>
      </c>
      <c r="EO219" s="1">
        <f>(Table1[[#This Row],[predicted_9]]-Table1[[#This Row],[actual_9]])/Table1[[#This Row],[actual_9]]</f>
        <v>3.7661050545094152E-2</v>
      </c>
      <c r="EP219" s="1">
        <f>1+(Table1[[#This Row],[error_ratio_0]]-EF$2)</f>
        <v>1.0071428571428571</v>
      </c>
      <c r="EQ219" s="1">
        <f>1+(Table1[[#This Row],[error_ratio_1]]-EG$2)</f>
        <v>1.0458149779735684</v>
      </c>
      <c r="ER219" s="1">
        <f>1+(Table1[[#This Row],[error_ratio_2]]-EH$2)</f>
        <v>0.97674418604651159</v>
      </c>
      <c r="ES219" s="1">
        <f>1+(Table1[[#This Row],[error_ratio_3]]-EI$2)</f>
        <v>0.89504950495049507</v>
      </c>
      <c r="ET219" s="1">
        <f>1+(Table1[[#This Row],[error_ratio_4]]-EJ$2)</f>
        <v>1.0488798370672097</v>
      </c>
      <c r="EU219" s="1">
        <f>1+(Table1[[#This Row],[error_ratio_5]]-EK$2)</f>
        <v>0.90134529147982057</v>
      </c>
      <c r="EV219" s="1">
        <f>1+(Table1[[#This Row],[error_ratio_6]]-EL$2)</f>
        <v>1.0438413361169103</v>
      </c>
      <c r="EW219" s="1">
        <f>1+(Table1[[#This Row],[error_ratio_7]]-EM$2)</f>
        <v>0.96400778210116733</v>
      </c>
      <c r="EX219" s="1">
        <f>1+(Table1[[#This Row],[error_ratio_8]]-EN$2)</f>
        <v>1.0657084188911705</v>
      </c>
      <c r="EY219" s="1">
        <f>1+(Table1[[#This Row],[error_ratio_9]]-EO$2)</f>
        <v>1.041625371655104</v>
      </c>
    </row>
    <row r="220" spans="1:155" x14ac:dyDescent="0.75">
      <c r="A220">
        <v>100</v>
      </c>
      <c r="B220">
        <v>10</v>
      </c>
      <c r="C220">
        <v>10</v>
      </c>
      <c r="D220">
        <v>10</v>
      </c>
      <c r="E220">
        <v>100</v>
      </c>
      <c r="F220">
        <v>10</v>
      </c>
      <c r="G220">
        <v>10</v>
      </c>
      <c r="H220">
        <v>10</v>
      </c>
      <c r="I220">
        <v>100</v>
      </c>
      <c r="J220">
        <v>100</v>
      </c>
      <c r="K220">
        <v>1040</v>
      </c>
      <c r="L220">
        <v>1101</v>
      </c>
      <c r="M220">
        <v>1004</v>
      </c>
      <c r="N220">
        <v>1003</v>
      </c>
      <c r="O220">
        <v>1012</v>
      </c>
      <c r="P220">
        <v>891</v>
      </c>
      <c r="Q220">
        <v>910</v>
      </c>
      <c r="R220">
        <v>953</v>
      </c>
      <c r="S220">
        <v>1047</v>
      </c>
      <c r="T220">
        <v>1039</v>
      </c>
      <c r="U220">
        <v>980</v>
      </c>
      <c r="V220">
        <v>1135</v>
      </c>
      <c r="W220">
        <v>1032</v>
      </c>
      <c r="X220">
        <v>1010</v>
      </c>
      <c r="Y220">
        <v>982</v>
      </c>
      <c r="Z220">
        <v>892</v>
      </c>
      <c r="AA220">
        <v>958</v>
      </c>
      <c r="AB220">
        <v>1028</v>
      </c>
      <c r="AC220">
        <v>974</v>
      </c>
      <c r="AD220">
        <v>1009</v>
      </c>
      <c r="AE220">
        <v>976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1</v>
      </c>
      <c r="AL220">
        <v>0</v>
      </c>
      <c r="AM220">
        <v>2</v>
      </c>
      <c r="AN220">
        <v>1</v>
      </c>
      <c r="AO220">
        <v>0</v>
      </c>
      <c r="AP220">
        <v>1096</v>
      </c>
      <c r="AQ220">
        <v>3</v>
      </c>
      <c r="AR220">
        <v>5</v>
      </c>
      <c r="AS220">
        <v>4</v>
      </c>
      <c r="AT220">
        <v>3</v>
      </c>
      <c r="AU220">
        <v>3</v>
      </c>
      <c r="AV220">
        <v>4</v>
      </c>
      <c r="AW220">
        <v>15</v>
      </c>
      <c r="AX220">
        <v>2</v>
      </c>
      <c r="AY220">
        <v>16</v>
      </c>
      <c r="AZ220">
        <v>3</v>
      </c>
      <c r="BA220">
        <v>968</v>
      </c>
      <c r="BB220">
        <v>8</v>
      </c>
      <c r="BC220">
        <v>4</v>
      </c>
      <c r="BD220">
        <v>0</v>
      </c>
      <c r="BE220">
        <v>0</v>
      </c>
      <c r="BF220">
        <v>10</v>
      </c>
      <c r="BG220">
        <v>23</v>
      </c>
      <c r="BH220">
        <v>0</v>
      </c>
      <c r="BI220">
        <v>2</v>
      </c>
      <c r="BJ220">
        <v>0</v>
      </c>
      <c r="BK220">
        <v>6</v>
      </c>
      <c r="BL220">
        <v>970</v>
      </c>
      <c r="BM220">
        <v>0</v>
      </c>
      <c r="BN220">
        <v>14</v>
      </c>
      <c r="BO220">
        <v>0</v>
      </c>
      <c r="BP220">
        <v>3</v>
      </c>
      <c r="BQ220">
        <v>8</v>
      </c>
      <c r="BR220">
        <v>7</v>
      </c>
      <c r="BS220">
        <v>0</v>
      </c>
      <c r="BT220">
        <v>0</v>
      </c>
      <c r="BU220">
        <v>0</v>
      </c>
      <c r="BV220">
        <v>0</v>
      </c>
      <c r="BW220">
        <v>974</v>
      </c>
      <c r="BX220">
        <v>0</v>
      </c>
      <c r="BY220">
        <v>1</v>
      </c>
      <c r="BZ220">
        <v>0</v>
      </c>
      <c r="CA220">
        <v>5</v>
      </c>
      <c r="CB220">
        <v>2</v>
      </c>
      <c r="CC220">
        <v>4</v>
      </c>
      <c r="CD220">
        <v>0</v>
      </c>
      <c r="CE220">
        <v>0</v>
      </c>
      <c r="CF220">
        <v>7</v>
      </c>
      <c r="CG220">
        <v>1</v>
      </c>
      <c r="CH220">
        <v>866</v>
      </c>
      <c r="CI220">
        <v>4</v>
      </c>
      <c r="CJ220">
        <v>0</v>
      </c>
      <c r="CK220">
        <v>9</v>
      </c>
      <c r="CL220">
        <v>1</v>
      </c>
      <c r="CM220">
        <v>27</v>
      </c>
      <c r="CN220">
        <v>2</v>
      </c>
      <c r="CO220">
        <v>1</v>
      </c>
      <c r="CP220">
        <v>0</v>
      </c>
      <c r="CQ220">
        <v>15</v>
      </c>
      <c r="CR220">
        <v>4</v>
      </c>
      <c r="CS220">
        <v>901</v>
      </c>
      <c r="CT220">
        <v>0</v>
      </c>
      <c r="CU220">
        <v>8</v>
      </c>
      <c r="CV220">
        <v>0</v>
      </c>
      <c r="CW220">
        <v>6</v>
      </c>
      <c r="CX220">
        <v>0</v>
      </c>
      <c r="CY220">
        <v>25</v>
      </c>
      <c r="CZ220">
        <v>11</v>
      </c>
      <c r="DA220">
        <v>3</v>
      </c>
      <c r="DB220">
        <v>0</v>
      </c>
      <c r="DC220">
        <v>0</v>
      </c>
      <c r="DD220">
        <v>934</v>
      </c>
      <c r="DE220">
        <v>8</v>
      </c>
      <c r="DF220">
        <v>41</v>
      </c>
      <c r="DG220">
        <v>3</v>
      </c>
      <c r="DH220">
        <v>0</v>
      </c>
      <c r="DI220">
        <v>1</v>
      </c>
      <c r="DJ220">
        <v>1</v>
      </c>
      <c r="DK220">
        <v>0</v>
      </c>
      <c r="DL220">
        <v>3</v>
      </c>
      <c r="DM220">
        <v>0</v>
      </c>
      <c r="DN220">
        <v>2</v>
      </c>
      <c r="DO220">
        <v>961</v>
      </c>
      <c r="DP220">
        <v>3</v>
      </c>
      <c r="DQ220">
        <v>6</v>
      </c>
      <c r="DR220">
        <v>0</v>
      </c>
      <c r="DS220">
        <v>0</v>
      </c>
      <c r="DT220">
        <v>1</v>
      </c>
      <c r="DU220">
        <v>11</v>
      </c>
      <c r="DV220">
        <v>1</v>
      </c>
      <c r="DW220">
        <v>0</v>
      </c>
      <c r="DX220">
        <v>0</v>
      </c>
      <c r="DY220">
        <v>8</v>
      </c>
      <c r="DZ220">
        <v>982</v>
      </c>
      <c r="EA220">
        <v>0.96279999999999999</v>
      </c>
      <c r="EB220">
        <v>0.96327275344879604</v>
      </c>
      <c r="EC220">
        <v>0.96315982130663103</v>
      </c>
      <c r="ED220">
        <v>0.96272306771300598</v>
      </c>
      <c r="EE220">
        <f>SUM(Table1[[#This Row],[ratio_0]:[ratio_9]])</f>
        <v>460</v>
      </c>
      <c r="EF220" s="1">
        <f>(Table1[[#This Row],[predicted_0]]-Table1[[#This Row],[actual_0]])/Table1[[#This Row],[actual_0]]</f>
        <v>6.1224489795918366E-2</v>
      </c>
      <c r="EG220" s="1">
        <f>(Table1[[#This Row],[predicted_1]]-Table1[[#This Row],[actual_1]])/Table1[[#This Row],[actual_1]]</f>
        <v>-2.9955947136563875E-2</v>
      </c>
      <c r="EH220" s="1">
        <f>(Table1[[#This Row],[predicted_2]]-Table1[[#This Row],[actual_2]])/Table1[[#This Row],[actual_2]]</f>
        <v>-2.7131782945736434E-2</v>
      </c>
      <c r="EI220" s="1">
        <f>(Table1[[#This Row],[predicted_3]]-Table1[[#This Row],[actual_3]])/Table1[[#This Row],[actual_3]]</f>
        <v>-6.9306930693069308E-3</v>
      </c>
      <c r="EJ220" s="1">
        <f>(Table1[[#This Row],[predicted_4]]-Table1[[#This Row],[actual_4]])/Table1[[#This Row],[actual_4]]</f>
        <v>3.0549898167006109E-2</v>
      </c>
      <c r="EK220" s="1">
        <f>(Table1[[#This Row],[predicted_5]]-Table1[[#This Row],[actual_5]])/Table1[[#This Row],[actual_5]]</f>
        <v>-1.1210762331838565E-3</v>
      </c>
      <c r="EL220" s="1">
        <f>(Table1[[#This Row],[predicted_6]]-Table1[[#This Row],[actual_6]])/Table1[[#This Row],[actual_6]]</f>
        <v>-5.0104384133611693E-2</v>
      </c>
      <c r="EM220" s="1">
        <f>(Table1[[#This Row],[predicted_7]]-Table1[[#This Row],[actual_7]])/Table1[[#This Row],[actual_7]]</f>
        <v>-7.2957198443579771E-2</v>
      </c>
      <c r="EN220" s="1">
        <f>(Table1[[#This Row],[predicted_8]]-Table1[[#This Row],[actual_8]])/Table1[[#This Row],[actual_8]]</f>
        <v>7.4948665297741274E-2</v>
      </c>
      <c r="EO220" s="1">
        <f>(Table1[[#This Row],[predicted_9]]-Table1[[#This Row],[actual_9]])/Table1[[#This Row],[actual_9]]</f>
        <v>2.973240832507433E-2</v>
      </c>
      <c r="EP220" s="1">
        <f>1+(Table1[[#This Row],[error_ratio_0]]-EF$2)</f>
        <v>1.0591836734693878</v>
      </c>
      <c r="EQ220" s="1">
        <f>1+(Table1[[#This Row],[error_ratio_1]]-EG$2)</f>
        <v>0.96828193832599119</v>
      </c>
      <c r="ER220" s="1">
        <f>1+(Table1[[#This Row],[error_ratio_2]]-EH$2)</f>
        <v>0.9777131782945736</v>
      </c>
      <c r="ES220" s="1">
        <f>1+(Table1[[#This Row],[error_ratio_3]]-EI$2)</f>
        <v>0.98316831683168315</v>
      </c>
      <c r="ET220" s="1">
        <f>1+(Table1[[#This Row],[error_ratio_4]]-EJ$2)</f>
        <v>1.0295315682281059</v>
      </c>
      <c r="EU220" s="1">
        <f>1+(Table1[[#This Row],[error_ratio_5]]-EK$2)</f>
        <v>0.99775784753363228</v>
      </c>
      <c r="EV220" s="1">
        <f>1+(Table1[[#This Row],[error_ratio_6]]-EL$2)</f>
        <v>0.95615866388308979</v>
      </c>
      <c r="EW220" s="1">
        <f>1+(Table1[[#This Row],[error_ratio_7]]-EM$2)</f>
        <v>0.92509727626459148</v>
      </c>
      <c r="EX220" s="1">
        <f>1+(Table1[[#This Row],[error_ratio_8]]-EN$2)</f>
        <v>1.0780287474332648</v>
      </c>
      <c r="EY220" s="1">
        <f>1+(Table1[[#This Row],[error_ratio_9]]-EO$2)</f>
        <v>1.0336967294350843</v>
      </c>
    </row>
    <row r="221" spans="1:155" x14ac:dyDescent="0.75">
      <c r="A221">
        <v>100</v>
      </c>
      <c r="B221">
        <v>100</v>
      </c>
      <c r="C221">
        <v>100</v>
      </c>
      <c r="D221">
        <v>100</v>
      </c>
      <c r="E221">
        <v>10</v>
      </c>
      <c r="F221">
        <v>10</v>
      </c>
      <c r="G221">
        <v>10</v>
      </c>
      <c r="H221">
        <v>10</v>
      </c>
      <c r="I221">
        <v>100</v>
      </c>
      <c r="J221">
        <v>100</v>
      </c>
      <c r="K221">
        <v>998</v>
      </c>
      <c r="L221">
        <v>1154</v>
      </c>
      <c r="M221">
        <v>1052</v>
      </c>
      <c r="N221">
        <v>1061</v>
      </c>
      <c r="O221">
        <v>979</v>
      </c>
      <c r="P221">
        <v>822</v>
      </c>
      <c r="Q221">
        <v>926</v>
      </c>
      <c r="R221">
        <v>989</v>
      </c>
      <c r="S221">
        <v>995</v>
      </c>
      <c r="T221">
        <v>1024</v>
      </c>
      <c r="U221">
        <v>980</v>
      </c>
      <c r="V221">
        <v>1135</v>
      </c>
      <c r="W221">
        <v>1032</v>
      </c>
      <c r="X221">
        <v>1010</v>
      </c>
      <c r="Y221">
        <v>982</v>
      </c>
      <c r="Z221">
        <v>892</v>
      </c>
      <c r="AA221">
        <v>958</v>
      </c>
      <c r="AB221">
        <v>1028</v>
      </c>
      <c r="AC221">
        <v>974</v>
      </c>
      <c r="AD221">
        <v>1009</v>
      </c>
      <c r="AE221">
        <v>974</v>
      </c>
      <c r="AF221">
        <v>0</v>
      </c>
      <c r="AG221">
        <v>1</v>
      </c>
      <c r="AH221">
        <v>0</v>
      </c>
      <c r="AI221">
        <v>0</v>
      </c>
      <c r="AJ221">
        <v>0</v>
      </c>
      <c r="AK221">
        <v>0</v>
      </c>
      <c r="AL221">
        <v>1</v>
      </c>
      <c r="AM221">
        <v>1</v>
      </c>
      <c r="AN221">
        <v>3</v>
      </c>
      <c r="AO221">
        <v>0</v>
      </c>
      <c r="AP221">
        <v>1133</v>
      </c>
      <c r="AQ221">
        <v>1</v>
      </c>
      <c r="AR221">
        <v>1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1019</v>
      </c>
      <c r="BB221">
        <v>3</v>
      </c>
      <c r="BC221">
        <v>0</v>
      </c>
      <c r="BD221">
        <v>0</v>
      </c>
      <c r="BE221">
        <v>0</v>
      </c>
      <c r="BF221">
        <v>5</v>
      </c>
      <c r="BG221">
        <v>4</v>
      </c>
      <c r="BH221">
        <v>1</v>
      </c>
      <c r="BI221">
        <v>0</v>
      </c>
      <c r="BJ221">
        <v>0</v>
      </c>
      <c r="BK221">
        <v>2</v>
      </c>
      <c r="BL221">
        <v>1004</v>
      </c>
      <c r="BM221">
        <v>0</v>
      </c>
      <c r="BN221">
        <v>1</v>
      </c>
      <c r="BO221">
        <v>0</v>
      </c>
      <c r="BP221">
        <v>1</v>
      </c>
      <c r="BQ221">
        <v>1</v>
      </c>
      <c r="BR221">
        <v>1</v>
      </c>
      <c r="BS221">
        <v>0</v>
      </c>
      <c r="BT221">
        <v>2</v>
      </c>
      <c r="BU221">
        <v>2</v>
      </c>
      <c r="BV221">
        <v>0</v>
      </c>
      <c r="BW221">
        <v>965</v>
      </c>
      <c r="BX221">
        <v>0</v>
      </c>
      <c r="BY221">
        <v>6</v>
      </c>
      <c r="BZ221">
        <v>0</v>
      </c>
      <c r="CA221">
        <v>0</v>
      </c>
      <c r="CB221">
        <v>7</v>
      </c>
      <c r="CC221">
        <v>5</v>
      </c>
      <c r="CD221">
        <v>1</v>
      </c>
      <c r="CE221">
        <v>1</v>
      </c>
      <c r="CF221">
        <v>44</v>
      </c>
      <c r="CG221">
        <v>0</v>
      </c>
      <c r="CH221">
        <v>817</v>
      </c>
      <c r="CI221">
        <v>1</v>
      </c>
      <c r="CJ221">
        <v>1</v>
      </c>
      <c r="CK221">
        <v>16</v>
      </c>
      <c r="CL221">
        <v>6</v>
      </c>
      <c r="CM221">
        <v>14</v>
      </c>
      <c r="CN221">
        <v>6</v>
      </c>
      <c r="CO221">
        <v>0</v>
      </c>
      <c r="CP221">
        <v>1</v>
      </c>
      <c r="CQ221">
        <v>5</v>
      </c>
      <c r="CR221">
        <v>4</v>
      </c>
      <c r="CS221">
        <v>919</v>
      </c>
      <c r="CT221">
        <v>0</v>
      </c>
      <c r="CU221">
        <v>9</v>
      </c>
      <c r="CV221">
        <v>0</v>
      </c>
      <c r="CW221">
        <v>1</v>
      </c>
      <c r="CX221">
        <v>9</v>
      </c>
      <c r="CY221">
        <v>22</v>
      </c>
      <c r="CZ221">
        <v>6</v>
      </c>
      <c r="DA221">
        <v>2</v>
      </c>
      <c r="DB221">
        <v>0</v>
      </c>
      <c r="DC221">
        <v>0</v>
      </c>
      <c r="DD221">
        <v>976</v>
      </c>
      <c r="DE221">
        <v>1</v>
      </c>
      <c r="DF221">
        <v>11</v>
      </c>
      <c r="DG221">
        <v>2</v>
      </c>
      <c r="DH221">
        <v>0</v>
      </c>
      <c r="DI221">
        <v>3</v>
      </c>
      <c r="DJ221">
        <v>1</v>
      </c>
      <c r="DK221">
        <v>0</v>
      </c>
      <c r="DL221">
        <v>0</v>
      </c>
      <c r="DM221">
        <v>0</v>
      </c>
      <c r="DN221">
        <v>3</v>
      </c>
      <c r="DO221">
        <v>963</v>
      </c>
      <c r="DP221">
        <v>2</v>
      </c>
      <c r="DQ221">
        <v>2</v>
      </c>
      <c r="DR221">
        <v>3</v>
      </c>
      <c r="DS221">
        <v>1</v>
      </c>
      <c r="DT221">
        <v>1</v>
      </c>
      <c r="DU221">
        <v>7</v>
      </c>
      <c r="DV221">
        <v>0</v>
      </c>
      <c r="DW221">
        <v>0</v>
      </c>
      <c r="DX221">
        <v>2</v>
      </c>
      <c r="DY221">
        <v>0</v>
      </c>
      <c r="DZ221">
        <v>993</v>
      </c>
      <c r="EA221">
        <v>0.97629999999999995</v>
      </c>
      <c r="EB221">
        <v>0.976914134717632</v>
      </c>
      <c r="EC221">
        <v>0.975374122811559</v>
      </c>
      <c r="ED221">
        <v>0.97582101235485796</v>
      </c>
      <c r="EE221">
        <f>SUM(Table1[[#This Row],[ratio_0]:[ratio_9]])</f>
        <v>640</v>
      </c>
      <c r="EF221" s="1">
        <f>(Table1[[#This Row],[predicted_0]]-Table1[[#This Row],[actual_0]])/Table1[[#This Row],[actual_0]]</f>
        <v>1.8367346938775512E-2</v>
      </c>
      <c r="EG221" s="1">
        <f>(Table1[[#This Row],[predicted_1]]-Table1[[#This Row],[actual_1]])/Table1[[#This Row],[actual_1]]</f>
        <v>1.6740088105726872E-2</v>
      </c>
      <c r="EH221" s="1">
        <f>(Table1[[#This Row],[predicted_2]]-Table1[[#This Row],[actual_2]])/Table1[[#This Row],[actual_2]]</f>
        <v>1.937984496124031E-2</v>
      </c>
      <c r="EI221" s="1">
        <f>(Table1[[#This Row],[predicted_3]]-Table1[[#This Row],[actual_3]])/Table1[[#This Row],[actual_3]]</f>
        <v>5.0495049504950498E-2</v>
      </c>
      <c r="EJ221" s="1">
        <f>(Table1[[#This Row],[predicted_4]]-Table1[[#This Row],[actual_4]])/Table1[[#This Row],[actual_4]]</f>
        <v>-3.0549898167006109E-3</v>
      </c>
      <c r="EK221" s="1">
        <f>(Table1[[#This Row],[predicted_5]]-Table1[[#This Row],[actual_5]])/Table1[[#This Row],[actual_5]]</f>
        <v>-7.847533632286996E-2</v>
      </c>
      <c r="EL221" s="1">
        <f>(Table1[[#This Row],[predicted_6]]-Table1[[#This Row],[actual_6]])/Table1[[#This Row],[actual_6]]</f>
        <v>-3.3402922755741124E-2</v>
      </c>
      <c r="EM221" s="1">
        <f>(Table1[[#This Row],[predicted_7]]-Table1[[#This Row],[actual_7]])/Table1[[#This Row],[actual_7]]</f>
        <v>-3.7937743190661476E-2</v>
      </c>
      <c r="EN221" s="1">
        <f>(Table1[[#This Row],[predicted_8]]-Table1[[#This Row],[actual_8]])/Table1[[#This Row],[actual_8]]</f>
        <v>2.1560574948665298E-2</v>
      </c>
      <c r="EO221" s="1">
        <f>(Table1[[#This Row],[predicted_9]]-Table1[[#This Row],[actual_9]])/Table1[[#This Row],[actual_9]]</f>
        <v>1.4866204162537165E-2</v>
      </c>
      <c r="EP221" s="1">
        <f>1+(Table1[[#This Row],[error_ratio_0]]-EF$2)</f>
        <v>1.0163265306122449</v>
      </c>
      <c r="EQ221" s="1">
        <f>1+(Table1[[#This Row],[error_ratio_1]]-EG$2)</f>
        <v>1.014977973568282</v>
      </c>
      <c r="ER221" s="1">
        <f>1+(Table1[[#This Row],[error_ratio_2]]-EH$2)</f>
        <v>1.0242248062015504</v>
      </c>
      <c r="ES221" s="1">
        <f>1+(Table1[[#This Row],[error_ratio_3]]-EI$2)</f>
        <v>1.0405940594059406</v>
      </c>
      <c r="ET221" s="1">
        <f>1+(Table1[[#This Row],[error_ratio_4]]-EJ$2)</f>
        <v>0.99592668024439923</v>
      </c>
      <c r="EU221" s="1">
        <f>1+(Table1[[#This Row],[error_ratio_5]]-EK$2)</f>
        <v>0.92040358744394624</v>
      </c>
      <c r="EV221" s="1">
        <f>1+(Table1[[#This Row],[error_ratio_6]]-EL$2)</f>
        <v>0.97286012526096033</v>
      </c>
      <c r="EW221" s="1">
        <f>1+(Table1[[#This Row],[error_ratio_7]]-EM$2)</f>
        <v>0.96011673151750976</v>
      </c>
      <c r="EX221" s="1">
        <f>1+(Table1[[#This Row],[error_ratio_8]]-EN$2)</f>
        <v>1.0246406570841888</v>
      </c>
      <c r="EY221" s="1">
        <f>1+(Table1[[#This Row],[error_ratio_9]]-EO$2)</f>
        <v>1.0188305252725471</v>
      </c>
    </row>
    <row r="222" spans="1:155" x14ac:dyDescent="0.75">
      <c r="A222">
        <v>10</v>
      </c>
      <c r="B222">
        <v>100</v>
      </c>
      <c r="C222">
        <v>100</v>
      </c>
      <c r="D222">
        <v>100</v>
      </c>
      <c r="E222">
        <v>10</v>
      </c>
      <c r="F222">
        <v>10</v>
      </c>
      <c r="G222">
        <v>10</v>
      </c>
      <c r="H222">
        <v>10</v>
      </c>
      <c r="I222">
        <v>100</v>
      </c>
      <c r="J222">
        <v>100</v>
      </c>
      <c r="K222">
        <v>954</v>
      </c>
      <c r="L222">
        <v>1149</v>
      </c>
      <c r="M222">
        <v>1101</v>
      </c>
      <c r="N222">
        <v>1048</v>
      </c>
      <c r="O222">
        <v>940</v>
      </c>
      <c r="P222">
        <v>797</v>
      </c>
      <c r="Q222">
        <v>944</v>
      </c>
      <c r="R222">
        <v>932</v>
      </c>
      <c r="S222">
        <v>964</v>
      </c>
      <c r="T222">
        <v>1171</v>
      </c>
      <c r="U222">
        <v>980</v>
      </c>
      <c r="V222">
        <v>1135</v>
      </c>
      <c r="W222">
        <v>1032</v>
      </c>
      <c r="X222">
        <v>1010</v>
      </c>
      <c r="Y222">
        <v>982</v>
      </c>
      <c r="Z222">
        <v>892</v>
      </c>
      <c r="AA222">
        <v>958</v>
      </c>
      <c r="AB222">
        <v>1028</v>
      </c>
      <c r="AC222">
        <v>974</v>
      </c>
      <c r="AD222">
        <v>1009</v>
      </c>
      <c r="AE222">
        <v>945</v>
      </c>
      <c r="AF222">
        <v>1</v>
      </c>
      <c r="AG222">
        <v>6</v>
      </c>
      <c r="AH222">
        <v>0</v>
      </c>
      <c r="AI222">
        <v>0</v>
      </c>
      <c r="AJ222">
        <v>0</v>
      </c>
      <c r="AK222">
        <v>4</v>
      </c>
      <c r="AL222">
        <v>4</v>
      </c>
      <c r="AM222">
        <v>12</v>
      </c>
      <c r="AN222">
        <v>8</v>
      </c>
      <c r="AO222">
        <v>0</v>
      </c>
      <c r="AP222">
        <v>1126</v>
      </c>
      <c r="AQ222">
        <v>3</v>
      </c>
      <c r="AR222">
        <v>1</v>
      </c>
      <c r="AS222">
        <v>0</v>
      </c>
      <c r="AT222">
        <v>3</v>
      </c>
      <c r="AU222">
        <v>1</v>
      </c>
      <c r="AV222">
        <v>0</v>
      </c>
      <c r="AW222">
        <v>0</v>
      </c>
      <c r="AX222">
        <v>1</v>
      </c>
      <c r="AY222">
        <v>1</v>
      </c>
      <c r="AZ222">
        <v>2</v>
      </c>
      <c r="BA222">
        <v>1024</v>
      </c>
      <c r="BB222">
        <v>0</v>
      </c>
      <c r="BC222">
        <v>0</v>
      </c>
      <c r="BD222">
        <v>0</v>
      </c>
      <c r="BE222">
        <v>0</v>
      </c>
      <c r="BF222">
        <v>4</v>
      </c>
      <c r="BG222">
        <v>1</v>
      </c>
      <c r="BH222">
        <v>0</v>
      </c>
      <c r="BI222">
        <v>0</v>
      </c>
      <c r="BJ222">
        <v>0</v>
      </c>
      <c r="BK222">
        <v>4</v>
      </c>
      <c r="BL222">
        <v>1000</v>
      </c>
      <c r="BM222">
        <v>0</v>
      </c>
      <c r="BN222">
        <v>0</v>
      </c>
      <c r="BO222">
        <v>0</v>
      </c>
      <c r="BP222">
        <v>0</v>
      </c>
      <c r="BQ222">
        <v>0</v>
      </c>
      <c r="BR222">
        <v>6</v>
      </c>
      <c r="BS222">
        <v>1</v>
      </c>
      <c r="BT222">
        <v>2</v>
      </c>
      <c r="BU222">
        <v>13</v>
      </c>
      <c r="BV222">
        <v>0</v>
      </c>
      <c r="BW222">
        <v>931</v>
      </c>
      <c r="BX222">
        <v>0</v>
      </c>
      <c r="BY222">
        <v>4</v>
      </c>
      <c r="BZ222">
        <v>0</v>
      </c>
      <c r="CA222">
        <v>1</v>
      </c>
      <c r="CB222">
        <v>30</v>
      </c>
      <c r="CC222">
        <v>2</v>
      </c>
      <c r="CD222">
        <v>1</v>
      </c>
      <c r="CE222">
        <v>1</v>
      </c>
      <c r="CF222">
        <v>39</v>
      </c>
      <c r="CG222">
        <v>0</v>
      </c>
      <c r="CH222">
        <v>790</v>
      </c>
      <c r="CI222">
        <v>3</v>
      </c>
      <c r="CJ222">
        <v>1</v>
      </c>
      <c r="CK222">
        <v>8</v>
      </c>
      <c r="CL222">
        <v>47</v>
      </c>
      <c r="CM222">
        <v>5</v>
      </c>
      <c r="CN222">
        <v>3</v>
      </c>
      <c r="CO222">
        <v>6</v>
      </c>
      <c r="CP222">
        <v>1</v>
      </c>
      <c r="CQ222">
        <v>6</v>
      </c>
      <c r="CR222">
        <v>4</v>
      </c>
      <c r="CS222">
        <v>929</v>
      </c>
      <c r="CT222">
        <v>0</v>
      </c>
      <c r="CU222">
        <v>4</v>
      </c>
      <c r="CV222">
        <v>0</v>
      </c>
      <c r="CW222">
        <v>0</v>
      </c>
      <c r="CX222">
        <v>14</v>
      </c>
      <c r="CY222">
        <v>38</v>
      </c>
      <c r="CZ222">
        <v>4</v>
      </c>
      <c r="DA222">
        <v>2</v>
      </c>
      <c r="DB222">
        <v>0</v>
      </c>
      <c r="DC222">
        <v>1</v>
      </c>
      <c r="DD222">
        <v>919</v>
      </c>
      <c r="DE222">
        <v>0</v>
      </c>
      <c r="DF222">
        <v>50</v>
      </c>
      <c r="DG222">
        <v>0</v>
      </c>
      <c r="DH222">
        <v>0</v>
      </c>
      <c r="DI222">
        <v>6</v>
      </c>
      <c r="DJ222">
        <v>1</v>
      </c>
      <c r="DK222">
        <v>1</v>
      </c>
      <c r="DL222">
        <v>0</v>
      </c>
      <c r="DM222">
        <v>2</v>
      </c>
      <c r="DN222">
        <v>4</v>
      </c>
      <c r="DO222">
        <v>938</v>
      </c>
      <c r="DP222">
        <v>22</v>
      </c>
      <c r="DQ222">
        <v>0</v>
      </c>
      <c r="DR222">
        <v>0</v>
      </c>
      <c r="DS222">
        <v>0</v>
      </c>
      <c r="DT222">
        <v>2</v>
      </c>
      <c r="DU222">
        <v>0</v>
      </c>
      <c r="DV222">
        <v>0</v>
      </c>
      <c r="DW222">
        <v>0</v>
      </c>
      <c r="DX222">
        <v>0</v>
      </c>
      <c r="DY222">
        <v>0</v>
      </c>
      <c r="DZ222">
        <v>1007</v>
      </c>
      <c r="EA222">
        <v>0.96089999999999998</v>
      </c>
      <c r="EB222">
        <v>0.96395927580703999</v>
      </c>
      <c r="EC222">
        <v>0.95971729947816897</v>
      </c>
      <c r="ED222">
        <v>0.96059363539238696</v>
      </c>
      <c r="EE222">
        <f>SUM(Table1[[#This Row],[ratio_0]:[ratio_9]])</f>
        <v>550</v>
      </c>
      <c r="EF222" s="1">
        <f>(Table1[[#This Row],[predicted_0]]-Table1[[#This Row],[actual_0]])/Table1[[#This Row],[actual_0]]</f>
        <v>-2.6530612244897958E-2</v>
      </c>
      <c r="EG222" s="1">
        <f>(Table1[[#This Row],[predicted_1]]-Table1[[#This Row],[actual_1]])/Table1[[#This Row],[actual_1]]</f>
        <v>1.2334801762114538E-2</v>
      </c>
      <c r="EH222" s="1">
        <f>(Table1[[#This Row],[predicted_2]]-Table1[[#This Row],[actual_2]])/Table1[[#This Row],[actual_2]]</f>
        <v>6.6860465116279064E-2</v>
      </c>
      <c r="EI222" s="1">
        <f>(Table1[[#This Row],[predicted_3]]-Table1[[#This Row],[actual_3]])/Table1[[#This Row],[actual_3]]</f>
        <v>3.7623762376237622E-2</v>
      </c>
      <c r="EJ222" s="1">
        <f>(Table1[[#This Row],[predicted_4]]-Table1[[#This Row],[actual_4]])/Table1[[#This Row],[actual_4]]</f>
        <v>-4.2769857433808553E-2</v>
      </c>
      <c r="EK222" s="1">
        <f>(Table1[[#This Row],[predicted_5]]-Table1[[#This Row],[actual_5]])/Table1[[#This Row],[actual_5]]</f>
        <v>-0.10650224215246637</v>
      </c>
      <c r="EL222" s="1">
        <f>(Table1[[#This Row],[predicted_6]]-Table1[[#This Row],[actual_6]])/Table1[[#This Row],[actual_6]]</f>
        <v>-1.4613778705636743E-2</v>
      </c>
      <c r="EM222" s="1">
        <f>(Table1[[#This Row],[predicted_7]]-Table1[[#This Row],[actual_7]])/Table1[[#This Row],[actual_7]]</f>
        <v>-9.3385214007782102E-2</v>
      </c>
      <c r="EN222" s="1">
        <f>(Table1[[#This Row],[predicted_8]]-Table1[[#This Row],[actual_8]])/Table1[[#This Row],[actual_8]]</f>
        <v>-1.0266940451745379E-2</v>
      </c>
      <c r="EO222" s="1">
        <f>(Table1[[#This Row],[predicted_9]]-Table1[[#This Row],[actual_9]])/Table1[[#This Row],[actual_9]]</f>
        <v>0.1605550049554014</v>
      </c>
      <c r="EP222" s="1">
        <f>1+(Table1[[#This Row],[error_ratio_0]]-EF$2)</f>
        <v>0.97142857142857142</v>
      </c>
      <c r="EQ222" s="1">
        <f>1+(Table1[[#This Row],[error_ratio_1]]-EG$2)</f>
        <v>1.0105726872246696</v>
      </c>
      <c r="ER222" s="1">
        <f>1+(Table1[[#This Row],[error_ratio_2]]-EH$2)</f>
        <v>1.0717054263565891</v>
      </c>
      <c r="ES222" s="1">
        <f>1+(Table1[[#This Row],[error_ratio_3]]-EI$2)</f>
        <v>1.0277227722772277</v>
      </c>
      <c r="ET222" s="1">
        <f>1+(Table1[[#This Row],[error_ratio_4]]-EJ$2)</f>
        <v>0.95621181262729127</v>
      </c>
      <c r="EU222" s="1">
        <f>1+(Table1[[#This Row],[error_ratio_5]]-EK$2)</f>
        <v>0.8923766816143498</v>
      </c>
      <c r="EV222" s="1">
        <f>1+(Table1[[#This Row],[error_ratio_6]]-EL$2)</f>
        <v>0.99164926931106467</v>
      </c>
      <c r="EW222" s="1">
        <f>1+(Table1[[#This Row],[error_ratio_7]]-EM$2)</f>
        <v>0.90466926070038911</v>
      </c>
      <c r="EX222" s="1">
        <f>1+(Table1[[#This Row],[error_ratio_8]]-EN$2)</f>
        <v>0.99281314168377821</v>
      </c>
      <c r="EY222" s="1">
        <f>1+(Table1[[#This Row],[error_ratio_9]]-EO$2)</f>
        <v>1.1645193260654114</v>
      </c>
    </row>
    <row r="223" spans="1:155" x14ac:dyDescent="0.75">
      <c r="A223">
        <v>100</v>
      </c>
      <c r="B223">
        <v>10</v>
      </c>
      <c r="C223">
        <v>100</v>
      </c>
      <c r="D223">
        <v>100</v>
      </c>
      <c r="E223">
        <v>10</v>
      </c>
      <c r="F223">
        <v>10</v>
      </c>
      <c r="G223">
        <v>10</v>
      </c>
      <c r="H223">
        <v>10</v>
      </c>
      <c r="I223">
        <v>100</v>
      </c>
      <c r="J223">
        <v>100</v>
      </c>
      <c r="K223">
        <v>998</v>
      </c>
      <c r="L223">
        <v>772</v>
      </c>
      <c r="M223">
        <v>1111</v>
      </c>
      <c r="N223">
        <v>955</v>
      </c>
      <c r="O223">
        <v>627</v>
      </c>
      <c r="P223">
        <v>851</v>
      </c>
      <c r="Q223">
        <v>931</v>
      </c>
      <c r="R223">
        <v>801</v>
      </c>
      <c r="S223">
        <v>1603</v>
      </c>
      <c r="T223">
        <v>1351</v>
      </c>
      <c r="U223">
        <v>980</v>
      </c>
      <c r="V223">
        <v>1135</v>
      </c>
      <c r="W223">
        <v>1032</v>
      </c>
      <c r="X223">
        <v>1010</v>
      </c>
      <c r="Y223">
        <v>982</v>
      </c>
      <c r="Z223">
        <v>892</v>
      </c>
      <c r="AA223">
        <v>958</v>
      </c>
      <c r="AB223">
        <v>1028</v>
      </c>
      <c r="AC223">
        <v>974</v>
      </c>
      <c r="AD223">
        <v>1009</v>
      </c>
      <c r="AE223">
        <v>972</v>
      </c>
      <c r="AF223">
        <v>0</v>
      </c>
      <c r="AG223">
        <v>2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4</v>
      </c>
      <c r="AN223">
        <v>2</v>
      </c>
      <c r="AO223">
        <v>1</v>
      </c>
      <c r="AP223">
        <v>769</v>
      </c>
      <c r="AQ223">
        <v>5</v>
      </c>
      <c r="AR223">
        <v>2</v>
      </c>
      <c r="AS223">
        <v>0</v>
      </c>
      <c r="AT223">
        <v>2</v>
      </c>
      <c r="AU223">
        <v>0</v>
      </c>
      <c r="AV223">
        <v>0</v>
      </c>
      <c r="AW223">
        <v>356</v>
      </c>
      <c r="AX223">
        <v>0</v>
      </c>
      <c r="AY223">
        <v>0</v>
      </c>
      <c r="AZ223">
        <v>0</v>
      </c>
      <c r="BA223">
        <v>1019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13</v>
      </c>
      <c r="BH223">
        <v>0</v>
      </c>
      <c r="BI223">
        <v>0</v>
      </c>
      <c r="BJ223">
        <v>0</v>
      </c>
      <c r="BK223">
        <v>1</v>
      </c>
      <c r="BL223">
        <v>946</v>
      </c>
      <c r="BM223">
        <v>0</v>
      </c>
      <c r="BN223">
        <v>18</v>
      </c>
      <c r="BO223">
        <v>0</v>
      </c>
      <c r="BP223">
        <v>1</v>
      </c>
      <c r="BQ223">
        <v>14</v>
      </c>
      <c r="BR223">
        <v>30</v>
      </c>
      <c r="BS223">
        <v>2</v>
      </c>
      <c r="BT223">
        <v>1</v>
      </c>
      <c r="BU223">
        <v>30</v>
      </c>
      <c r="BV223">
        <v>0</v>
      </c>
      <c r="BW223">
        <v>626</v>
      </c>
      <c r="BX223">
        <v>0</v>
      </c>
      <c r="BY223">
        <v>16</v>
      </c>
      <c r="BZ223">
        <v>0</v>
      </c>
      <c r="CA223">
        <v>77</v>
      </c>
      <c r="CB223">
        <v>230</v>
      </c>
      <c r="CC223">
        <v>6</v>
      </c>
      <c r="CD223">
        <v>0</v>
      </c>
      <c r="CE223">
        <v>2</v>
      </c>
      <c r="CF223">
        <v>3</v>
      </c>
      <c r="CG223">
        <v>0</v>
      </c>
      <c r="CH223">
        <v>829</v>
      </c>
      <c r="CI223">
        <v>3</v>
      </c>
      <c r="CJ223">
        <v>1</v>
      </c>
      <c r="CK223">
        <v>32</v>
      </c>
      <c r="CL223">
        <v>16</v>
      </c>
      <c r="CM223">
        <v>14</v>
      </c>
      <c r="CN223">
        <v>0</v>
      </c>
      <c r="CO223">
        <v>9</v>
      </c>
      <c r="CP223">
        <v>0</v>
      </c>
      <c r="CQ223">
        <v>0</v>
      </c>
      <c r="CR223">
        <v>2</v>
      </c>
      <c r="CS223">
        <v>910</v>
      </c>
      <c r="CT223">
        <v>0</v>
      </c>
      <c r="CU223">
        <v>20</v>
      </c>
      <c r="CV223">
        <v>3</v>
      </c>
      <c r="CW223">
        <v>1</v>
      </c>
      <c r="CX223">
        <v>2</v>
      </c>
      <c r="CY223">
        <v>43</v>
      </c>
      <c r="CZ223">
        <v>4</v>
      </c>
      <c r="DA223">
        <v>1</v>
      </c>
      <c r="DB223">
        <v>0</v>
      </c>
      <c r="DC223">
        <v>1</v>
      </c>
      <c r="DD223">
        <v>799</v>
      </c>
      <c r="DE223">
        <v>80</v>
      </c>
      <c r="DF223">
        <v>97</v>
      </c>
      <c r="DG223">
        <v>2</v>
      </c>
      <c r="DH223">
        <v>0</v>
      </c>
      <c r="DI223">
        <v>0</v>
      </c>
      <c r="DJ223">
        <v>0</v>
      </c>
      <c r="DK223">
        <v>0</v>
      </c>
      <c r="DL223">
        <v>0</v>
      </c>
      <c r="DM223">
        <v>1</v>
      </c>
      <c r="DN223">
        <v>0</v>
      </c>
      <c r="DO223">
        <v>969</v>
      </c>
      <c r="DP223">
        <v>2</v>
      </c>
      <c r="DQ223">
        <v>0</v>
      </c>
      <c r="DR223">
        <v>0</v>
      </c>
      <c r="DS223">
        <v>0</v>
      </c>
      <c r="DT223">
        <v>0</v>
      </c>
      <c r="DU223">
        <v>0</v>
      </c>
      <c r="DV223">
        <v>0</v>
      </c>
      <c r="DW223">
        <v>0</v>
      </c>
      <c r="DX223">
        <v>0</v>
      </c>
      <c r="DY223">
        <v>38</v>
      </c>
      <c r="DZ223">
        <v>971</v>
      </c>
      <c r="EA223">
        <v>0.88100000000000001</v>
      </c>
      <c r="EB223">
        <v>0.91485478630018402</v>
      </c>
      <c r="EC223">
        <v>0.88445917267249496</v>
      </c>
      <c r="ED223">
        <v>0.88446158039872103</v>
      </c>
      <c r="EE223">
        <f>SUM(Table1[[#This Row],[ratio_0]:[ratio_9]])</f>
        <v>550</v>
      </c>
      <c r="EF223" s="1">
        <f>(Table1[[#This Row],[predicted_0]]-Table1[[#This Row],[actual_0]])/Table1[[#This Row],[actual_0]]</f>
        <v>1.8367346938775512E-2</v>
      </c>
      <c r="EG223" s="1">
        <f>(Table1[[#This Row],[predicted_1]]-Table1[[#This Row],[actual_1]])/Table1[[#This Row],[actual_1]]</f>
        <v>-0.31982378854625548</v>
      </c>
      <c r="EH223" s="1">
        <f>(Table1[[#This Row],[predicted_2]]-Table1[[#This Row],[actual_2]])/Table1[[#This Row],[actual_2]]</f>
        <v>7.6550387596899222E-2</v>
      </c>
      <c r="EI223" s="1">
        <f>(Table1[[#This Row],[predicted_3]]-Table1[[#This Row],[actual_3]])/Table1[[#This Row],[actual_3]]</f>
        <v>-5.4455445544554455E-2</v>
      </c>
      <c r="EJ223" s="1">
        <f>(Table1[[#This Row],[predicted_4]]-Table1[[#This Row],[actual_4]])/Table1[[#This Row],[actual_4]]</f>
        <v>-0.36150712830957232</v>
      </c>
      <c r="EK223" s="1">
        <f>(Table1[[#This Row],[predicted_5]]-Table1[[#This Row],[actual_5]])/Table1[[#This Row],[actual_5]]</f>
        <v>-4.5964125560538117E-2</v>
      </c>
      <c r="EL223" s="1">
        <f>(Table1[[#This Row],[predicted_6]]-Table1[[#This Row],[actual_6]])/Table1[[#This Row],[actual_6]]</f>
        <v>-2.8183716075156576E-2</v>
      </c>
      <c r="EM223" s="1">
        <f>(Table1[[#This Row],[predicted_7]]-Table1[[#This Row],[actual_7]])/Table1[[#This Row],[actual_7]]</f>
        <v>-0.22081712062256809</v>
      </c>
      <c r="EN223" s="1">
        <f>(Table1[[#This Row],[predicted_8]]-Table1[[#This Row],[actual_8]])/Table1[[#This Row],[actual_8]]</f>
        <v>0.64579055441478439</v>
      </c>
      <c r="EO223" s="1">
        <f>(Table1[[#This Row],[predicted_9]]-Table1[[#This Row],[actual_9]])/Table1[[#This Row],[actual_9]]</f>
        <v>0.33894945490584738</v>
      </c>
      <c r="EP223" s="1">
        <f>1+(Table1[[#This Row],[error_ratio_0]]-EF$2)</f>
        <v>1.0163265306122449</v>
      </c>
      <c r="EQ223" s="1">
        <f>1+(Table1[[#This Row],[error_ratio_1]]-EG$2)</f>
        <v>0.6784140969162995</v>
      </c>
      <c r="ER223" s="1">
        <f>1+(Table1[[#This Row],[error_ratio_2]]-EH$2)</f>
        <v>1.0813953488372092</v>
      </c>
      <c r="ES223" s="1">
        <f>1+(Table1[[#This Row],[error_ratio_3]]-EI$2)</f>
        <v>0.93564356435643559</v>
      </c>
      <c r="ET223" s="1">
        <f>1+(Table1[[#This Row],[error_ratio_4]]-EJ$2)</f>
        <v>0.63747454175152751</v>
      </c>
      <c r="EU223" s="1">
        <f>1+(Table1[[#This Row],[error_ratio_5]]-EK$2)</f>
        <v>0.952914798206278</v>
      </c>
      <c r="EV223" s="1">
        <f>1+(Table1[[#This Row],[error_ratio_6]]-EL$2)</f>
        <v>0.97807933194154484</v>
      </c>
      <c r="EW223" s="1">
        <f>1+(Table1[[#This Row],[error_ratio_7]]-EM$2)</f>
        <v>0.77723735408560313</v>
      </c>
      <c r="EX223" s="1">
        <f>1+(Table1[[#This Row],[error_ratio_8]]-EN$2)</f>
        <v>1.6488706365503081</v>
      </c>
      <c r="EY223" s="1">
        <f>1+(Table1[[#This Row],[error_ratio_9]]-EO$2)</f>
        <v>1.3429137760158572</v>
      </c>
    </row>
    <row r="224" spans="1:155" x14ac:dyDescent="0.75">
      <c r="A224">
        <v>10</v>
      </c>
      <c r="B224">
        <v>10</v>
      </c>
      <c r="C224">
        <v>100</v>
      </c>
      <c r="D224">
        <v>100</v>
      </c>
      <c r="E224">
        <v>10</v>
      </c>
      <c r="F224">
        <v>10</v>
      </c>
      <c r="G224">
        <v>10</v>
      </c>
      <c r="H224">
        <v>10</v>
      </c>
      <c r="I224">
        <v>100</v>
      </c>
      <c r="J224">
        <v>100</v>
      </c>
      <c r="K224">
        <v>975</v>
      </c>
      <c r="L224">
        <v>1120</v>
      </c>
      <c r="M224">
        <v>1098</v>
      </c>
      <c r="N224">
        <v>1067</v>
      </c>
      <c r="O224">
        <v>969</v>
      </c>
      <c r="P224">
        <v>885</v>
      </c>
      <c r="Q224">
        <v>947</v>
      </c>
      <c r="R224">
        <v>1005</v>
      </c>
      <c r="S224">
        <v>939</v>
      </c>
      <c r="T224">
        <v>995</v>
      </c>
      <c r="U224">
        <v>980</v>
      </c>
      <c r="V224">
        <v>1135</v>
      </c>
      <c r="W224">
        <v>1032</v>
      </c>
      <c r="X224">
        <v>1010</v>
      </c>
      <c r="Y224">
        <v>982</v>
      </c>
      <c r="Z224">
        <v>892</v>
      </c>
      <c r="AA224">
        <v>958</v>
      </c>
      <c r="AB224">
        <v>1028</v>
      </c>
      <c r="AC224">
        <v>974</v>
      </c>
      <c r="AD224">
        <v>1009</v>
      </c>
      <c r="AE224">
        <v>961</v>
      </c>
      <c r="AF224">
        <v>0</v>
      </c>
      <c r="AG224">
        <v>4</v>
      </c>
      <c r="AH224">
        <v>1</v>
      </c>
      <c r="AI224">
        <v>0</v>
      </c>
      <c r="AJ224">
        <v>4</v>
      </c>
      <c r="AK224">
        <v>2</v>
      </c>
      <c r="AL224">
        <v>2</v>
      </c>
      <c r="AM224">
        <v>4</v>
      </c>
      <c r="AN224">
        <v>2</v>
      </c>
      <c r="AO224">
        <v>0</v>
      </c>
      <c r="AP224">
        <v>1113</v>
      </c>
      <c r="AQ224">
        <v>3</v>
      </c>
      <c r="AR224">
        <v>8</v>
      </c>
      <c r="AS224">
        <v>0</v>
      </c>
      <c r="AT224">
        <v>0</v>
      </c>
      <c r="AU224">
        <v>4</v>
      </c>
      <c r="AV224">
        <v>4</v>
      </c>
      <c r="AW224">
        <v>3</v>
      </c>
      <c r="AX224">
        <v>0</v>
      </c>
      <c r="AY224">
        <v>0</v>
      </c>
      <c r="AZ224">
        <v>2</v>
      </c>
      <c r="BA224">
        <v>1018</v>
      </c>
      <c r="BB224">
        <v>6</v>
      </c>
      <c r="BC224">
        <v>0</v>
      </c>
      <c r="BD224">
        <v>0</v>
      </c>
      <c r="BE224">
        <v>1</v>
      </c>
      <c r="BF224">
        <v>4</v>
      </c>
      <c r="BG224">
        <v>1</v>
      </c>
      <c r="BH224">
        <v>0</v>
      </c>
      <c r="BI224">
        <v>0</v>
      </c>
      <c r="BJ224">
        <v>0</v>
      </c>
      <c r="BK224">
        <v>1</v>
      </c>
      <c r="BL224">
        <v>1002</v>
      </c>
      <c r="BM224">
        <v>0</v>
      </c>
      <c r="BN224">
        <v>3</v>
      </c>
      <c r="BO224">
        <v>0</v>
      </c>
      <c r="BP224">
        <v>3</v>
      </c>
      <c r="BQ224">
        <v>1</v>
      </c>
      <c r="BR224">
        <v>0</v>
      </c>
      <c r="BS224">
        <v>0</v>
      </c>
      <c r="BT224">
        <v>0</v>
      </c>
      <c r="BU224">
        <v>16</v>
      </c>
      <c r="BV224">
        <v>1</v>
      </c>
      <c r="BW224">
        <v>946</v>
      </c>
      <c r="BX224">
        <v>0</v>
      </c>
      <c r="BY224">
        <v>6</v>
      </c>
      <c r="BZ224">
        <v>0</v>
      </c>
      <c r="CA224">
        <v>2</v>
      </c>
      <c r="CB224">
        <v>11</v>
      </c>
      <c r="CC224">
        <v>2</v>
      </c>
      <c r="CD224">
        <v>0</v>
      </c>
      <c r="CE224">
        <v>2</v>
      </c>
      <c r="CF224">
        <v>19</v>
      </c>
      <c r="CG224">
        <v>0</v>
      </c>
      <c r="CH224">
        <v>861</v>
      </c>
      <c r="CI224">
        <v>3</v>
      </c>
      <c r="CJ224">
        <v>2</v>
      </c>
      <c r="CK224">
        <v>2</v>
      </c>
      <c r="CL224">
        <v>1</v>
      </c>
      <c r="CM224">
        <v>7</v>
      </c>
      <c r="CN224">
        <v>2</v>
      </c>
      <c r="CO224">
        <v>3</v>
      </c>
      <c r="CP224">
        <v>1</v>
      </c>
      <c r="CQ224">
        <v>4</v>
      </c>
      <c r="CR224">
        <v>8</v>
      </c>
      <c r="CS224">
        <v>931</v>
      </c>
      <c r="CT224">
        <v>0</v>
      </c>
      <c r="CU224">
        <v>2</v>
      </c>
      <c r="CV224">
        <v>0</v>
      </c>
      <c r="CW224">
        <v>2</v>
      </c>
      <c r="CX224">
        <v>1</v>
      </c>
      <c r="CY224">
        <v>38</v>
      </c>
      <c r="CZ224">
        <v>7</v>
      </c>
      <c r="DA224">
        <v>1</v>
      </c>
      <c r="DB224">
        <v>0</v>
      </c>
      <c r="DC224">
        <v>0</v>
      </c>
      <c r="DD224">
        <v>975</v>
      </c>
      <c r="DE224">
        <v>1</v>
      </c>
      <c r="DF224">
        <v>3</v>
      </c>
      <c r="DG224">
        <v>2</v>
      </c>
      <c r="DH224">
        <v>0</v>
      </c>
      <c r="DI224">
        <v>11</v>
      </c>
      <c r="DJ224">
        <v>18</v>
      </c>
      <c r="DK224">
        <v>2</v>
      </c>
      <c r="DL224">
        <v>8</v>
      </c>
      <c r="DM224">
        <v>0</v>
      </c>
      <c r="DN224">
        <v>7</v>
      </c>
      <c r="DO224">
        <v>923</v>
      </c>
      <c r="DP224">
        <v>3</v>
      </c>
      <c r="DQ224">
        <v>1</v>
      </c>
      <c r="DR224">
        <v>2</v>
      </c>
      <c r="DS224">
        <v>2</v>
      </c>
      <c r="DT224">
        <v>4</v>
      </c>
      <c r="DU224">
        <v>16</v>
      </c>
      <c r="DV224">
        <v>1</v>
      </c>
      <c r="DW224">
        <v>0</v>
      </c>
      <c r="DX224">
        <v>8</v>
      </c>
      <c r="DY224">
        <v>0</v>
      </c>
      <c r="DZ224">
        <v>975</v>
      </c>
      <c r="EA224">
        <v>0.97050000000000003</v>
      </c>
      <c r="EB224">
        <v>0.97108722517410995</v>
      </c>
      <c r="EC224">
        <v>0.97025307983572695</v>
      </c>
      <c r="ED224">
        <v>0.970442147468629</v>
      </c>
      <c r="EE224">
        <f>SUM(Table1[[#This Row],[ratio_0]:[ratio_9]])</f>
        <v>460</v>
      </c>
      <c r="EF224" s="1">
        <f>(Table1[[#This Row],[predicted_0]]-Table1[[#This Row],[actual_0]])/Table1[[#This Row],[actual_0]]</f>
        <v>-5.1020408163265302E-3</v>
      </c>
      <c r="EG224" s="1">
        <f>(Table1[[#This Row],[predicted_1]]-Table1[[#This Row],[actual_1]])/Table1[[#This Row],[actual_1]]</f>
        <v>-1.3215859030837005E-2</v>
      </c>
      <c r="EH224" s="1">
        <f>(Table1[[#This Row],[predicted_2]]-Table1[[#This Row],[actual_2]])/Table1[[#This Row],[actual_2]]</f>
        <v>6.3953488372093026E-2</v>
      </c>
      <c r="EI224" s="1">
        <f>(Table1[[#This Row],[predicted_3]]-Table1[[#This Row],[actual_3]])/Table1[[#This Row],[actual_3]]</f>
        <v>5.6435643564356437E-2</v>
      </c>
      <c r="EJ224" s="1">
        <f>(Table1[[#This Row],[predicted_4]]-Table1[[#This Row],[actual_4]])/Table1[[#This Row],[actual_4]]</f>
        <v>-1.3238289205702648E-2</v>
      </c>
      <c r="EK224" s="1">
        <f>(Table1[[#This Row],[predicted_5]]-Table1[[#This Row],[actual_5]])/Table1[[#This Row],[actual_5]]</f>
        <v>-7.8475336322869956E-3</v>
      </c>
      <c r="EL224" s="1">
        <f>(Table1[[#This Row],[predicted_6]]-Table1[[#This Row],[actual_6]])/Table1[[#This Row],[actual_6]]</f>
        <v>-1.1482254697286013E-2</v>
      </c>
      <c r="EM224" s="1">
        <f>(Table1[[#This Row],[predicted_7]]-Table1[[#This Row],[actual_7]])/Table1[[#This Row],[actual_7]]</f>
        <v>-2.2373540856031129E-2</v>
      </c>
      <c r="EN224" s="1">
        <f>(Table1[[#This Row],[predicted_8]]-Table1[[#This Row],[actual_8]])/Table1[[#This Row],[actual_8]]</f>
        <v>-3.5934291581108828E-2</v>
      </c>
      <c r="EO224" s="1">
        <f>(Table1[[#This Row],[predicted_9]]-Table1[[#This Row],[actual_9]])/Table1[[#This Row],[actual_9]]</f>
        <v>-1.3875123885034688E-2</v>
      </c>
      <c r="EP224" s="1">
        <f>1+(Table1[[#This Row],[error_ratio_0]]-EF$2)</f>
        <v>0.99285714285714288</v>
      </c>
      <c r="EQ224" s="1">
        <f>1+(Table1[[#This Row],[error_ratio_1]]-EG$2)</f>
        <v>0.9850220264317181</v>
      </c>
      <c r="ER224" s="1">
        <f>1+(Table1[[#This Row],[error_ratio_2]]-EH$2)</f>
        <v>1.068798449612403</v>
      </c>
      <c r="ES224" s="1">
        <f>1+(Table1[[#This Row],[error_ratio_3]]-EI$2)</f>
        <v>1.0465346534653466</v>
      </c>
      <c r="ET224" s="1">
        <f>1+(Table1[[#This Row],[error_ratio_4]]-EJ$2)</f>
        <v>0.98574338085539714</v>
      </c>
      <c r="EU224" s="1">
        <f>1+(Table1[[#This Row],[error_ratio_5]]-EK$2)</f>
        <v>0.99103139013452912</v>
      </c>
      <c r="EV224" s="1">
        <f>1+(Table1[[#This Row],[error_ratio_6]]-EL$2)</f>
        <v>0.99478079331941549</v>
      </c>
      <c r="EW224" s="1">
        <f>1+(Table1[[#This Row],[error_ratio_7]]-EM$2)</f>
        <v>0.97568093385214005</v>
      </c>
      <c r="EX224" s="1">
        <f>1+(Table1[[#This Row],[error_ratio_8]]-EN$2)</f>
        <v>0.96714579055441474</v>
      </c>
      <c r="EY224" s="1">
        <f>1+(Table1[[#This Row],[error_ratio_9]]-EO$2)</f>
        <v>0.99008919722497524</v>
      </c>
    </row>
    <row r="225" spans="1:155" x14ac:dyDescent="0.75">
      <c r="A225">
        <v>100</v>
      </c>
      <c r="B225">
        <v>100</v>
      </c>
      <c r="C225">
        <v>10</v>
      </c>
      <c r="D225">
        <v>100</v>
      </c>
      <c r="E225">
        <v>10</v>
      </c>
      <c r="F225">
        <v>10</v>
      </c>
      <c r="G225">
        <v>10</v>
      </c>
      <c r="H225">
        <v>10</v>
      </c>
      <c r="I225">
        <v>100</v>
      </c>
      <c r="J225">
        <v>100</v>
      </c>
      <c r="K225">
        <v>1009</v>
      </c>
      <c r="L225">
        <v>1163</v>
      </c>
      <c r="M225">
        <v>922</v>
      </c>
      <c r="N225">
        <v>1101</v>
      </c>
      <c r="O225">
        <v>897</v>
      </c>
      <c r="P225">
        <v>828</v>
      </c>
      <c r="Q225">
        <v>938</v>
      </c>
      <c r="R225">
        <v>961</v>
      </c>
      <c r="S225">
        <v>1042</v>
      </c>
      <c r="T225">
        <v>1139</v>
      </c>
      <c r="U225">
        <v>980</v>
      </c>
      <c r="V225">
        <v>1135</v>
      </c>
      <c r="W225">
        <v>1032</v>
      </c>
      <c r="X225">
        <v>1010</v>
      </c>
      <c r="Y225">
        <v>982</v>
      </c>
      <c r="Z225">
        <v>892</v>
      </c>
      <c r="AA225">
        <v>958</v>
      </c>
      <c r="AB225">
        <v>1028</v>
      </c>
      <c r="AC225">
        <v>974</v>
      </c>
      <c r="AD225">
        <v>1009</v>
      </c>
      <c r="AE225">
        <v>973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1</v>
      </c>
      <c r="AM225">
        <v>2</v>
      </c>
      <c r="AN225">
        <v>4</v>
      </c>
      <c r="AO225">
        <v>1</v>
      </c>
      <c r="AP225">
        <v>1130</v>
      </c>
      <c r="AQ225">
        <v>1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2</v>
      </c>
      <c r="AX225">
        <v>1</v>
      </c>
      <c r="AY225">
        <v>14</v>
      </c>
      <c r="AZ225">
        <v>17</v>
      </c>
      <c r="BA225">
        <v>910</v>
      </c>
      <c r="BB225">
        <v>49</v>
      </c>
      <c r="BC225">
        <v>4</v>
      </c>
      <c r="BD225">
        <v>0</v>
      </c>
      <c r="BE225">
        <v>5</v>
      </c>
      <c r="BF225">
        <v>6</v>
      </c>
      <c r="BG225">
        <v>20</v>
      </c>
      <c r="BH225">
        <v>7</v>
      </c>
      <c r="BI225">
        <v>0</v>
      </c>
      <c r="BJ225">
        <v>0</v>
      </c>
      <c r="BK225">
        <v>0</v>
      </c>
      <c r="BL225">
        <v>1002</v>
      </c>
      <c r="BM225">
        <v>0</v>
      </c>
      <c r="BN225">
        <v>0</v>
      </c>
      <c r="BO225">
        <v>0</v>
      </c>
      <c r="BP225">
        <v>0</v>
      </c>
      <c r="BQ225">
        <v>6</v>
      </c>
      <c r="BR225">
        <v>2</v>
      </c>
      <c r="BS225">
        <v>1</v>
      </c>
      <c r="BT225">
        <v>1</v>
      </c>
      <c r="BU225">
        <v>0</v>
      </c>
      <c r="BV225">
        <v>0</v>
      </c>
      <c r="BW225">
        <v>889</v>
      </c>
      <c r="BX225">
        <v>0</v>
      </c>
      <c r="BY225">
        <v>9</v>
      </c>
      <c r="BZ225">
        <v>0</v>
      </c>
      <c r="CA225">
        <v>3</v>
      </c>
      <c r="CB225">
        <v>79</v>
      </c>
      <c r="CC225">
        <v>2</v>
      </c>
      <c r="CD225">
        <v>2</v>
      </c>
      <c r="CE225">
        <v>0</v>
      </c>
      <c r="CF225">
        <v>27</v>
      </c>
      <c r="CG225">
        <v>0</v>
      </c>
      <c r="CH225">
        <v>822</v>
      </c>
      <c r="CI225">
        <v>3</v>
      </c>
      <c r="CJ225">
        <v>1</v>
      </c>
      <c r="CK225">
        <v>21</v>
      </c>
      <c r="CL225">
        <v>14</v>
      </c>
      <c r="CM225">
        <v>12</v>
      </c>
      <c r="CN225">
        <v>5</v>
      </c>
      <c r="CO225">
        <v>0</v>
      </c>
      <c r="CP225">
        <v>0</v>
      </c>
      <c r="CQ225">
        <v>1</v>
      </c>
      <c r="CR225">
        <v>6</v>
      </c>
      <c r="CS225">
        <v>920</v>
      </c>
      <c r="CT225">
        <v>0</v>
      </c>
      <c r="CU225">
        <v>13</v>
      </c>
      <c r="CV225">
        <v>1</v>
      </c>
      <c r="CW225">
        <v>2</v>
      </c>
      <c r="CX225">
        <v>6</v>
      </c>
      <c r="CY225">
        <v>11</v>
      </c>
      <c r="CZ225">
        <v>21</v>
      </c>
      <c r="DA225">
        <v>2</v>
      </c>
      <c r="DB225">
        <v>0</v>
      </c>
      <c r="DC225">
        <v>0</v>
      </c>
      <c r="DD225">
        <v>950</v>
      </c>
      <c r="DE225">
        <v>8</v>
      </c>
      <c r="DF225">
        <v>28</v>
      </c>
      <c r="DG225">
        <v>3</v>
      </c>
      <c r="DH225">
        <v>0</v>
      </c>
      <c r="DI225">
        <v>0</v>
      </c>
      <c r="DJ225">
        <v>0</v>
      </c>
      <c r="DK225">
        <v>0</v>
      </c>
      <c r="DL225">
        <v>0</v>
      </c>
      <c r="DM225">
        <v>1</v>
      </c>
      <c r="DN225">
        <v>2</v>
      </c>
      <c r="DO225">
        <v>966</v>
      </c>
      <c r="DP225">
        <v>2</v>
      </c>
      <c r="DQ225">
        <v>1</v>
      </c>
      <c r="DR225">
        <v>2</v>
      </c>
      <c r="DS225">
        <v>0</v>
      </c>
      <c r="DT225">
        <v>2</v>
      </c>
      <c r="DU225">
        <v>1</v>
      </c>
      <c r="DV225">
        <v>0</v>
      </c>
      <c r="DW225">
        <v>0</v>
      </c>
      <c r="DX225">
        <v>1</v>
      </c>
      <c r="DY225">
        <v>1</v>
      </c>
      <c r="DZ225">
        <v>1001</v>
      </c>
      <c r="EA225">
        <v>0.95630000000000004</v>
      </c>
      <c r="EB225">
        <v>0.95921160355096702</v>
      </c>
      <c r="EC225">
        <v>0.95574503377949804</v>
      </c>
      <c r="ED225">
        <v>0.95607239397169097</v>
      </c>
      <c r="EE225">
        <f>SUM(Table1[[#This Row],[ratio_0]:[ratio_9]])</f>
        <v>550</v>
      </c>
      <c r="EF225" s="1">
        <f>(Table1[[#This Row],[predicted_0]]-Table1[[#This Row],[actual_0]])/Table1[[#This Row],[actual_0]]</f>
        <v>2.9591836734693878E-2</v>
      </c>
      <c r="EG225" s="1">
        <f>(Table1[[#This Row],[predicted_1]]-Table1[[#This Row],[actual_1]])/Table1[[#This Row],[actual_1]]</f>
        <v>2.4669603524229075E-2</v>
      </c>
      <c r="EH225" s="1">
        <f>(Table1[[#This Row],[predicted_2]]-Table1[[#This Row],[actual_2]])/Table1[[#This Row],[actual_2]]</f>
        <v>-0.1065891472868217</v>
      </c>
      <c r="EI225" s="1">
        <f>(Table1[[#This Row],[predicted_3]]-Table1[[#This Row],[actual_3]])/Table1[[#This Row],[actual_3]]</f>
        <v>9.0099009900990096E-2</v>
      </c>
      <c r="EJ225" s="1">
        <f>(Table1[[#This Row],[predicted_4]]-Table1[[#This Row],[actual_4]])/Table1[[#This Row],[actual_4]]</f>
        <v>-8.6558044806517312E-2</v>
      </c>
      <c r="EK225" s="1">
        <f>(Table1[[#This Row],[predicted_5]]-Table1[[#This Row],[actual_5]])/Table1[[#This Row],[actual_5]]</f>
        <v>-7.1748878923766815E-2</v>
      </c>
      <c r="EL225" s="1">
        <f>(Table1[[#This Row],[predicted_6]]-Table1[[#This Row],[actual_6]])/Table1[[#This Row],[actual_6]]</f>
        <v>-2.0876826722338204E-2</v>
      </c>
      <c r="EM225" s="1">
        <f>(Table1[[#This Row],[predicted_7]]-Table1[[#This Row],[actual_7]])/Table1[[#This Row],[actual_7]]</f>
        <v>-6.5175097276264596E-2</v>
      </c>
      <c r="EN225" s="1">
        <f>(Table1[[#This Row],[predicted_8]]-Table1[[#This Row],[actual_8]])/Table1[[#This Row],[actual_8]]</f>
        <v>6.9815195071868577E-2</v>
      </c>
      <c r="EO225" s="1">
        <f>(Table1[[#This Row],[predicted_9]]-Table1[[#This Row],[actual_9]])/Table1[[#This Row],[actual_9]]</f>
        <v>0.12884043607532211</v>
      </c>
      <c r="EP225" s="1">
        <f>1+(Table1[[#This Row],[error_ratio_0]]-EF$2)</f>
        <v>1.0275510204081633</v>
      </c>
      <c r="EQ225" s="1">
        <f>1+(Table1[[#This Row],[error_ratio_1]]-EG$2)</f>
        <v>1.0229074889867842</v>
      </c>
      <c r="ER225" s="1">
        <f>1+(Table1[[#This Row],[error_ratio_2]]-EH$2)</f>
        <v>0.89825581395348841</v>
      </c>
      <c r="ES225" s="1">
        <f>1+(Table1[[#This Row],[error_ratio_3]]-EI$2)</f>
        <v>1.0801980198019803</v>
      </c>
      <c r="ET225" s="1">
        <f>1+(Table1[[#This Row],[error_ratio_4]]-EJ$2)</f>
        <v>0.91242362525458254</v>
      </c>
      <c r="EU225" s="1">
        <f>1+(Table1[[#This Row],[error_ratio_5]]-EK$2)</f>
        <v>0.92713004484304928</v>
      </c>
      <c r="EV225" s="1">
        <f>1+(Table1[[#This Row],[error_ratio_6]]-EL$2)</f>
        <v>0.98538622129436326</v>
      </c>
      <c r="EW225" s="1">
        <f>1+(Table1[[#This Row],[error_ratio_7]]-EM$2)</f>
        <v>0.93287937743190663</v>
      </c>
      <c r="EX225" s="1">
        <f>1+(Table1[[#This Row],[error_ratio_8]]-EN$2)</f>
        <v>1.0728952772073921</v>
      </c>
      <c r="EY225" s="1">
        <f>1+(Table1[[#This Row],[error_ratio_9]]-EO$2)</f>
        <v>1.1328047571853319</v>
      </c>
    </row>
    <row r="226" spans="1:155" x14ac:dyDescent="0.75">
      <c r="A226">
        <v>10</v>
      </c>
      <c r="B226">
        <v>100</v>
      </c>
      <c r="C226">
        <v>10</v>
      </c>
      <c r="D226">
        <v>100</v>
      </c>
      <c r="E226">
        <v>10</v>
      </c>
      <c r="F226">
        <v>10</v>
      </c>
      <c r="G226">
        <v>10</v>
      </c>
      <c r="H226">
        <v>10</v>
      </c>
      <c r="I226">
        <v>100</v>
      </c>
      <c r="J226">
        <v>100</v>
      </c>
      <c r="K226">
        <v>971</v>
      </c>
      <c r="L226">
        <v>1151</v>
      </c>
      <c r="M226">
        <v>954</v>
      </c>
      <c r="N226">
        <v>1088</v>
      </c>
      <c r="O226">
        <v>923</v>
      </c>
      <c r="P226">
        <v>846</v>
      </c>
      <c r="Q226">
        <v>920</v>
      </c>
      <c r="R226">
        <v>935</v>
      </c>
      <c r="S226">
        <v>1096</v>
      </c>
      <c r="T226">
        <v>1116</v>
      </c>
      <c r="U226">
        <v>980</v>
      </c>
      <c r="V226">
        <v>1135</v>
      </c>
      <c r="W226">
        <v>1032</v>
      </c>
      <c r="X226">
        <v>1010</v>
      </c>
      <c r="Y226">
        <v>982</v>
      </c>
      <c r="Z226">
        <v>892</v>
      </c>
      <c r="AA226">
        <v>958</v>
      </c>
      <c r="AB226">
        <v>1028</v>
      </c>
      <c r="AC226">
        <v>974</v>
      </c>
      <c r="AD226">
        <v>1009</v>
      </c>
      <c r="AE226">
        <v>952</v>
      </c>
      <c r="AF226">
        <v>0</v>
      </c>
      <c r="AG226">
        <v>0</v>
      </c>
      <c r="AH226">
        <v>2</v>
      </c>
      <c r="AI226">
        <v>2</v>
      </c>
      <c r="AJ226">
        <v>1</v>
      </c>
      <c r="AK226">
        <v>3</v>
      </c>
      <c r="AL226">
        <v>1</v>
      </c>
      <c r="AM226">
        <v>11</v>
      </c>
      <c r="AN226">
        <v>8</v>
      </c>
      <c r="AO226">
        <v>0</v>
      </c>
      <c r="AP226">
        <v>1130</v>
      </c>
      <c r="AQ226">
        <v>0</v>
      </c>
      <c r="AR226">
        <v>0</v>
      </c>
      <c r="AS226">
        <v>0</v>
      </c>
      <c r="AT226">
        <v>1</v>
      </c>
      <c r="AU226">
        <v>2</v>
      </c>
      <c r="AV226">
        <v>0</v>
      </c>
      <c r="AW226">
        <v>2</v>
      </c>
      <c r="AX226">
        <v>0</v>
      </c>
      <c r="AY226">
        <v>8</v>
      </c>
      <c r="AZ226">
        <v>7</v>
      </c>
      <c r="BA226">
        <v>929</v>
      </c>
      <c r="BB226">
        <v>23</v>
      </c>
      <c r="BC226">
        <v>9</v>
      </c>
      <c r="BD226">
        <v>1</v>
      </c>
      <c r="BE226">
        <v>2</v>
      </c>
      <c r="BF226">
        <v>6</v>
      </c>
      <c r="BG226">
        <v>47</v>
      </c>
      <c r="BH226">
        <v>0</v>
      </c>
      <c r="BI226">
        <v>0</v>
      </c>
      <c r="BJ226">
        <v>0</v>
      </c>
      <c r="BK226">
        <v>1</v>
      </c>
      <c r="BL226">
        <v>1002</v>
      </c>
      <c r="BM226">
        <v>0</v>
      </c>
      <c r="BN226">
        <v>4</v>
      </c>
      <c r="BO226">
        <v>0</v>
      </c>
      <c r="BP226">
        <v>0</v>
      </c>
      <c r="BQ226">
        <v>3</v>
      </c>
      <c r="BR226">
        <v>0</v>
      </c>
      <c r="BS226">
        <v>2</v>
      </c>
      <c r="BT226">
        <v>1</v>
      </c>
      <c r="BU226">
        <v>0</v>
      </c>
      <c r="BV226">
        <v>0</v>
      </c>
      <c r="BW226">
        <v>894</v>
      </c>
      <c r="BX226">
        <v>0</v>
      </c>
      <c r="BY226">
        <v>2</v>
      </c>
      <c r="BZ226">
        <v>0</v>
      </c>
      <c r="CA226">
        <v>11</v>
      </c>
      <c r="CB226">
        <v>72</v>
      </c>
      <c r="CC226">
        <v>2</v>
      </c>
      <c r="CD226">
        <v>0</v>
      </c>
      <c r="CE226">
        <v>0</v>
      </c>
      <c r="CF226">
        <v>36</v>
      </c>
      <c r="CG226">
        <v>0</v>
      </c>
      <c r="CH226">
        <v>831</v>
      </c>
      <c r="CI226">
        <v>1</v>
      </c>
      <c r="CJ226">
        <v>0</v>
      </c>
      <c r="CK226">
        <v>11</v>
      </c>
      <c r="CL226">
        <v>11</v>
      </c>
      <c r="CM226">
        <v>5</v>
      </c>
      <c r="CN226">
        <v>4</v>
      </c>
      <c r="CO226">
        <v>1</v>
      </c>
      <c r="CP226">
        <v>0</v>
      </c>
      <c r="CQ226">
        <v>12</v>
      </c>
      <c r="CR226">
        <v>7</v>
      </c>
      <c r="CS226">
        <v>910</v>
      </c>
      <c r="CT226">
        <v>0</v>
      </c>
      <c r="CU226">
        <v>19</v>
      </c>
      <c r="CV226">
        <v>0</v>
      </c>
      <c r="CW226">
        <v>2</v>
      </c>
      <c r="CX226">
        <v>7</v>
      </c>
      <c r="CY226">
        <v>23</v>
      </c>
      <c r="CZ226">
        <v>24</v>
      </c>
      <c r="DA226">
        <v>3</v>
      </c>
      <c r="DB226">
        <v>0</v>
      </c>
      <c r="DC226">
        <v>0</v>
      </c>
      <c r="DD226">
        <v>927</v>
      </c>
      <c r="DE226">
        <v>13</v>
      </c>
      <c r="DF226">
        <v>29</v>
      </c>
      <c r="DG226">
        <v>0</v>
      </c>
      <c r="DH226">
        <v>0</v>
      </c>
      <c r="DI226">
        <v>0</v>
      </c>
      <c r="DJ226">
        <v>1</v>
      </c>
      <c r="DK226">
        <v>2</v>
      </c>
      <c r="DL226">
        <v>1</v>
      </c>
      <c r="DM226">
        <v>0</v>
      </c>
      <c r="DN226">
        <v>1</v>
      </c>
      <c r="DO226">
        <v>969</v>
      </c>
      <c r="DP226">
        <v>0</v>
      </c>
      <c r="DQ226">
        <v>0</v>
      </c>
      <c r="DR226">
        <v>2</v>
      </c>
      <c r="DS226">
        <v>0</v>
      </c>
      <c r="DT226">
        <v>0</v>
      </c>
      <c r="DU226">
        <v>1</v>
      </c>
      <c r="DV226">
        <v>0</v>
      </c>
      <c r="DW226">
        <v>0</v>
      </c>
      <c r="DX226">
        <v>0</v>
      </c>
      <c r="DY226">
        <v>10</v>
      </c>
      <c r="DZ226">
        <v>996</v>
      </c>
      <c r="EA226">
        <v>0.95399999999999996</v>
      </c>
      <c r="EB226">
        <v>0.95649596805709303</v>
      </c>
      <c r="EC226">
        <v>0.95349266814035605</v>
      </c>
      <c r="ED226">
        <v>0.95373672068437898</v>
      </c>
      <c r="EE226">
        <f>SUM(Table1[[#This Row],[ratio_0]:[ratio_9]])</f>
        <v>460</v>
      </c>
      <c r="EF226" s="1">
        <f>(Table1[[#This Row],[predicted_0]]-Table1[[#This Row],[actual_0]])/Table1[[#This Row],[actual_0]]</f>
        <v>-9.1836734693877559E-3</v>
      </c>
      <c r="EG226" s="1">
        <f>(Table1[[#This Row],[predicted_1]]-Table1[[#This Row],[actual_1]])/Table1[[#This Row],[actual_1]]</f>
        <v>1.4096916299559472E-2</v>
      </c>
      <c r="EH226" s="1">
        <f>(Table1[[#This Row],[predicted_2]]-Table1[[#This Row],[actual_2]])/Table1[[#This Row],[actual_2]]</f>
        <v>-7.5581395348837205E-2</v>
      </c>
      <c r="EI226" s="1">
        <f>(Table1[[#This Row],[predicted_3]]-Table1[[#This Row],[actual_3]])/Table1[[#This Row],[actual_3]]</f>
        <v>7.7227722772277227E-2</v>
      </c>
      <c r="EJ226" s="1">
        <f>(Table1[[#This Row],[predicted_4]]-Table1[[#This Row],[actual_4]])/Table1[[#This Row],[actual_4]]</f>
        <v>-6.008146639511202E-2</v>
      </c>
      <c r="EK226" s="1">
        <f>(Table1[[#This Row],[predicted_5]]-Table1[[#This Row],[actual_5]])/Table1[[#This Row],[actual_5]]</f>
        <v>-5.1569506726457402E-2</v>
      </c>
      <c r="EL226" s="1">
        <f>(Table1[[#This Row],[predicted_6]]-Table1[[#This Row],[actual_6]])/Table1[[#This Row],[actual_6]]</f>
        <v>-3.9665970772442591E-2</v>
      </c>
      <c r="EM226" s="1">
        <f>(Table1[[#This Row],[predicted_7]]-Table1[[#This Row],[actual_7]])/Table1[[#This Row],[actual_7]]</f>
        <v>-9.0466926070038908E-2</v>
      </c>
      <c r="EN226" s="1">
        <f>(Table1[[#This Row],[predicted_8]]-Table1[[#This Row],[actual_8]])/Table1[[#This Row],[actual_8]]</f>
        <v>0.12525667351129363</v>
      </c>
      <c r="EO226" s="1">
        <f>(Table1[[#This Row],[predicted_9]]-Table1[[#This Row],[actual_9]])/Table1[[#This Row],[actual_9]]</f>
        <v>0.10604558969276512</v>
      </c>
      <c r="EP226" s="1">
        <f>1+(Table1[[#This Row],[error_ratio_0]]-EF$2)</f>
        <v>0.98877551020408161</v>
      </c>
      <c r="EQ226" s="1">
        <f>1+(Table1[[#This Row],[error_ratio_1]]-EG$2)</f>
        <v>1.0123348017621145</v>
      </c>
      <c r="ER226" s="1">
        <f>1+(Table1[[#This Row],[error_ratio_2]]-EH$2)</f>
        <v>0.92926356589147285</v>
      </c>
      <c r="ES226" s="1">
        <f>1+(Table1[[#This Row],[error_ratio_3]]-EI$2)</f>
        <v>1.0673267326732674</v>
      </c>
      <c r="ET226" s="1">
        <f>1+(Table1[[#This Row],[error_ratio_4]]-EJ$2)</f>
        <v>0.93890020366598781</v>
      </c>
      <c r="EU226" s="1">
        <f>1+(Table1[[#This Row],[error_ratio_5]]-EK$2)</f>
        <v>0.94730941704035876</v>
      </c>
      <c r="EV226" s="1">
        <f>1+(Table1[[#This Row],[error_ratio_6]]-EL$2)</f>
        <v>0.96659707724425892</v>
      </c>
      <c r="EW226" s="1">
        <f>1+(Table1[[#This Row],[error_ratio_7]]-EM$2)</f>
        <v>0.90758754863813229</v>
      </c>
      <c r="EX226" s="1">
        <f>1+(Table1[[#This Row],[error_ratio_8]]-EN$2)</f>
        <v>1.1283367556468171</v>
      </c>
      <c r="EY226" s="1">
        <f>1+(Table1[[#This Row],[error_ratio_9]]-EO$2)</f>
        <v>1.110009910802775</v>
      </c>
    </row>
    <row r="227" spans="1:155" x14ac:dyDescent="0.75">
      <c r="A227">
        <v>100</v>
      </c>
      <c r="B227">
        <v>10</v>
      </c>
      <c r="C227">
        <v>10</v>
      </c>
      <c r="D227">
        <v>100</v>
      </c>
      <c r="E227">
        <v>10</v>
      </c>
      <c r="F227">
        <v>10</v>
      </c>
      <c r="G227">
        <v>10</v>
      </c>
      <c r="H227">
        <v>10</v>
      </c>
      <c r="I227">
        <v>100</v>
      </c>
      <c r="J227">
        <v>100</v>
      </c>
      <c r="K227">
        <v>1069</v>
      </c>
      <c r="L227">
        <v>1093</v>
      </c>
      <c r="M227">
        <v>866</v>
      </c>
      <c r="N227">
        <v>1195</v>
      </c>
      <c r="O227">
        <v>943</v>
      </c>
      <c r="P227">
        <v>857</v>
      </c>
      <c r="Q227">
        <v>826</v>
      </c>
      <c r="R227">
        <v>989</v>
      </c>
      <c r="S227">
        <v>1098</v>
      </c>
      <c r="T227">
        <v>1064</v>
      </c>
      <c r="U227">
        <v>980</v>
      </c>
      <c r="V227">
        <v>1135</v>
      </c>
      <c r="W227">
        <v>1032</v>
      </c>
      <c r="X227">
        <v>1010</v>
      </c>
      <c r="Y227">
        <v>982</v>
      </c>
      <c r="Z227">
        <v>892</v>
      </c>
      <c r="AA227">
        <v>958</v>
      </c>
      <c r="AB227">
        <v>1028</v>
      </c>
      <c r="AC227">
        <v>974</v>
      </c>
      <c r="AD227">
        <v>1009</v>
      </c>
      <c r="AE227">
        <v>976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2</v>
      </c>
      <c r="AN227">
        <v>2</v>
      </c>
      <c r="AO227">
        <v>0</v>
      </c>
      <c r="AP227">
        <v>1088</v>
      </c>
      <c r="AQ227">
        <v>1</v>
      </c>
      <c r="AR227">
        <v>6</v>
      </c>
      <c r="AS227">
        <v>0</v>
      </c>
      <c r="AT227">
        <v>2</v>
      </c>
      <c r="AU227">
        <v>0</v>
      </c>
      <c r="AV227">
        <v>4</v>
      </c>
      <c r="AW227">
        <v>34</v>
      </c>
      <c r="AX227">
        <v>0</v>
      </c>
      <c r="AY227">
        <v>14</v>
      </c>
      <c r="AZ227">
        <v>1</v>
      </c>
      <c r="BA227">
        <v>857</v>
      </c>
      <c r="BB227">
        <v>102</v>
      </c>
      <c r="BC227">
        <v>3</v>
      </c>
      <c r="BD227">
        <v>1</v>
      </c>
      <c r="BE227">
        <v>0</v>
      </c>
      <c r="BF227">
        <v>9</v>
      </c>
      <c r="BG227">
        <v>43</v>
      </c>
      <c r="BH227">
        <v>2</v>
      </c>
      <c r="BI227">
        <v>1</v>
      </c>
      <c r="BJ227">
        <v>0</v>
      </c>
      <c r="BK227">
        <v>1</v>
      </c>
      <c r="BL227">
        <v>1007</v>
      </c>
      <c r="BM227">
        <v>0</v>
      </c>
      <c r="BN227">
        <v>0</v>
      </c>
      <c r="BO227">
        <v>0</v>
      </c>
      <c r="BP227">
        <v>0</v>
      </c>
      <c r="BQ227">
        <v>1</v>
      </c>
      <c r="BR227">
        <v>0</v>
      </c>
      <c r="BS227">
        <v>3</v>
      </c>
      <c r="BT227">
        <v>0</v>
      </c>
      <c r="BU227">
        <v>3</v>
      </c>
      <c r="BV227">
        <v>0</v>
      </c>
      <c r="BW227">
        <v>925</v>
      </c>
      <c r="BX227">
        <v>0</v>
      </c>
      <c r="BY227">
        <v>0</v>
      </c>
      <c r="BZ227">
        <v>1</v>
      </c>
      <c r="CA227">
        <v>3</v>
      </c>
      <c r="CB227">
        <v>47</v>
      </c>
      <c r="CC227">
        <v>5</v>
      </c>
      <c r="CD227">
        <v>0</v>
      </c>
      <c r="CE227">
        <v>0</v>
      </c>
      <c r="CF227">
        <v>44</v>
      </c>
      <c r="CG227">
        <v>0</v>
      </c>
      <c r="CH227">
        <v>835</v>
      </c>
      <c r="CI227">
        <v>0</v>
      </c>
      <c r="CJ227">
        <v>0</v>
      </c>
      <c r="CK227">
        <v>6</v>
      </c>
      <c r="CL227">
        <v>2</v>
      </c>
      <c r="CM227">
        <v>62</v>
      </c>
      <c r="CN227">
        <v>3</v>
      </c>
      <c r="CO227">
        <v>1</v>
      </c>
      <c r="CP227">
        <v>2</v>
      </c>
      <c r="CQ227">
        <v>15</v>
      </c>
      <c r="CR227">
        <v>18</v>
      </c>
      <c r="CS227">
        <v>826</v>
      </c>
      <c r="CT227">
        <v>0</v>
      </c>
      <c r="CU227">
        <v>30</v>
      </c>
      <c r="CV227">
        <v>1</v>
      </c>
      <c r="CW227">
        <v>5</v>
      </c>
      <c r="CX227">
        <v>1</v>
      </c>
      <c r="CY227">
        <v>3</v>
      </c>
      <c r="CZ227">
        <v>23</v>
      </c>
      <c r="DA227">
        <v>0</v>
      </c>
      <c r="DB227">
        <v>1</v>
      </c>
      <c r="DC227">
        <v>0</v>
      </c>
      <c r="DD227">
        <v>972</v>
      </c>
      <c r="DE227">
        <v>5</v>
      </c>
      <c r="DF227">
        <v>18</v>
      </c>
      <c r="DG227">
        <v>2</v>
      </c>
      <c r="DH227">
        <v>0</v>
      </c>
      <c r="DI227">
        <v>0</v>
      </c>
      <c r="DJ227">
        <v>5</v>
      </c>
      <c r="DK227">
        <v>0</v>
      </c>
      <c r="DL227">
        <v>0</v>
      </c>
      <c r="DM227">
        <v>0</v>
      </c>
      <c r="DN227">
        <v>0</v>
      </c>
      <c r="DO227">
        <v>966</v>
      </c>
      <c r="DP227">
        <v>1</v>
      </c>
      <c r="DQ227">
        <v>1</v>
      </c>
      <c r="DR227">
        <v>0</v>
      </c>
      <c r="DS227">
        <v>0</v>
      </c>
      <c r="DT227">
        <v>6</v>
      </c>
      <c r="DU227">
        <v>0</v>
      </c>
      <c r="DV227">
        <v>0</v>
      </c>
      <c r="DW227">
        <v>0</v>
      </c>
      <c r="DX227">
        <v>3</v>
      </c>
      <c r="DY227">
        <v>8</v>
      </c>
      <c r="DZ227">
        <v>991</v>
      </c>
      <c r="EA227">
        <v>0.94430000000000003</v>
      </c>
      <c r="EB227">
        <v>0.94899378117181299</v>
      </c>
      <c r="EC227">
        <v>0.94417038215725502</v>
      </c>
      <c r="ED227">
        <v>0.94399766459784396</v>
      </c>
      <c r="EE227">
        <f>SUM(Table1[[#This Row],[ratio_0]:[ratio_9]])</f>
        <v>460</v>
      </c>
      <c r="EF227" s="1">
        <f>(Table1[[#This Row],[predicted_0]]-Table1[[#This Row],[actual_0]])/Table1[[#This Row],[actual_0]]</f>
        <v>9.0816326530612251E-2</v>
      </c>
      <c r="EG227" s="1">
        <f>(Table1[[#This Row],[predicted_1]]-Table1[[#This Row],[actual_1]])/Table1[[#This Row],[actual_1]]</f>
        <v>-3.7004405286343613E-2</v>
      </c>
      <c r="EH227" s="1">
        <f>(Table1[[#This Row],[predicted_2]]-Table1[[#This Row],[actual_2]])/Table1[[#This Row],[actual_2]]</f>
        <v>-0.16085271317829458</v>
      </c>
      <c r="EI227" s="1">
        <f>(Table1[[#This Row],[predicted_3]]-Table1[[#This Row],[actual_3]])/Table1[[#This Row],[actual_3]]</f>
        <v>0.18316831683168316</v>
      </c>
      <c r="EJ227" s="1">
        <f>(Table1[[#This Row],[predicted_4]]-Table1[[#This Row],[actual_4]])/Table1[[#This Row],[actual_4]]</f>
        <v>-3.9714867617107942E-2</v>
      </c>
      <c r="EK227" s="1">
        <f>(Table1[[#This Row],[predicted_5]]-Table1[[#This Row],[actual_5]])/Table1[[#This Row],[actual_5]]</f>
        <v>-3.923766816143498E-2</v>
      </c>
      <c r="EL227" s="1">
        <f>(Table1[[#This Row],[predicted_6]]-Table1[[#This Row],[actual_6]])/Table1[[#This Row],[actual_6]]</f>
        <v>-0.13778705636743216</v>
      </c>
      <c r="EM227" s="1">
        <f>(Table1[[#This Row],[predicted_7]]-Table1[[#This Row],[actual_7]])/Table1[[#This Row],[actual_7]]</f>
        <v>-3.7937743190661476E-2</v>
      </c>
      <c r="EN227" s="1">
        <f>(Table1[[#This Row],[predicted_8]]-Table1[[#This Row],[actual_8]])/Table1[[#This Row],[actual_8]]</f>
        <v>0.12731006160164271</v>
      </c>
      <c r="EO227" s="1">
        <f>(Table1[[#This Row],[predicted_9]]-Table1[[#This Row],[actual_9]])/Table1[[#This Row],[actual_9]]</f>
        <v>5.4509415262636272E-2</v>
      </c>
      <c r="EP227" s="1">
        <f>1+(Table1[[#This Row],[error_ratio_0]]-EF$2)</f>
        <v>1.0887755102040817</v>
      </c>
      <c r="EQ227" s="1">
        <f>1+(Table1[[#This Row],[error_ratio_1]]-EG$2)</f>
        <v>0.96123348017621146</v>
      </c>
      <c r="ER227" s="1">
        <f>1+(Table1[[#This Row],[error_ratio_2]]-EH$2)</f>
        <v>0.84399224806201545</v>
      </c>
      <c r="ES227" s="1">
        <f>1+(Table1[[#This Row],[error_ratio_3]]-EI$2)</f>
        <v>1.1732673267326732</v>
      </c>
      <c r="ET227" s="1">
        <f>1+(Table1[[#This Row],[error_ratio_4]]-EJ$2)</f>
        <v>0.95926680244399187</v>
      </c>
      <c r="EU227" s="1">
        <f>1+(Table1[[#This Row],[error_ratio_5]]-EK$2)</f>
        <v>0.95964125560538116</v>
      </c>
      <c r="EV227" s="1">
        <f>1+(Table1[[#This Row],[error_ratio_6]]-EL$2)</f>
        <v>0.86847599164926925</v>
      </c>
      <c r="EW227" s="1">
        <f>1+(Table1[[#This Row],[error_ratio_7]]-EM$2)</f>
        <v>0.96011673151750976</v>
      </c>
      <c r="EX227" s="1">
        <f>1+(Table1[[#This Row],[error_ratio_8]]-EN$2)</f>
        <v>1.1303901437371664</v>
      </c>
      <c r="EY227" s="1">
        <f>1+(Table1[[#This Row],[error_ratio_9]]-EO$2)</f>
        <v>1.0584737363726462</v>
      </c>
    </row>
    <row r="228" spans="1:155" x14ac:dyDescent="0.75">
      <c r="A228">
        <v>10</v>
      </c>
      <c r="B228">
        <v>10</v>
      </c>
      <c r="C228">
        <v>10</v>
      </c>
      <c r="D228">
        <v>100</v>
      </c>
      <c r="E228">
        <v>10</v>
      </c>
      <c r="F228">
        <v>10</v>
      </c>
      <c r="G228">
        <v>10</v>
      </c>
      <c r="H228">
        <v>10</v>
      </c>
      <c r="I228">
        <v>100</v>
      </c>
      <c r="J228">
        <v>100</v>
      </c>
      <c r="K228">
        <v>962</v>
      </c>
      <c r="L228">
        <v>1126</v>
      </c>
      <c r="M228">
        <v>1029</v>
      </c>
      <c r="N228">
        <v>1024</v>
      </c>
      <c r="O228">
        <v>980</v>
      </c>
      <c r="P228">
        <v>921</v>
      </c>
      <c r="Q228">
        <v>941</v>
      </c>
      <c r="R228">
        <v>1018</v>
      </c>
      <c r="S228">
        <v>994</v>
      </c>
      <c r="T228">
        <v>1005</v>
      </c>
      <c r="U228">
        <v>980</v>
      </c>
      <c r="V228">
        <v>1135</v>
      </c>
      <c r="W228">
        <v>1032</v>
      </c>
      <c r="X228">
        <v>1010</v>
      </c>
      <c r="Y228">
        <v>982</v>
      </c>
      <c r="Z228">
        <v>892</v>
      </c>
      <c r="AA228">
        <v>958</v>
      </c>
      <c r="AB228">
        <v>1028</v>
      </c>
      <c r="AC228">
        <v>974</v>
      </c>
      <c r="AD228">
        <v>1009</v>
      </c>
      <c r="AE228">
        <v>949</v>
      </c>
      <c r="AF228">
        <v>0</v>
      </c>
      <c r="AG228">
        <v>3</v>
      </c>
      <c r="AH228">
        <v>3</v>
      </c>
      <c r="AI228">
        <v>0</v>
      </c>
      <c r="AJ228">
        <v>7</v>
      </c>
      <c r="AK228">
        <v>3</v>
      </c>
      <c r="AL228">
        <v>1</v>
      </c>
      <c r="AM228">
        <v>5</v>
      </c>
      <c r="AN228">
        <v>9</v>
      </c>
      <c r="AO228">
        <v>0</v>
      </c>
      <c r="AP228">
        <v>1119</v>
      </c>
      <c r="AQ228">
        <v>4</v>
      </c>
      <c r="AR228">
        <v>2</v>
      </c>
      <c r="AS228">
        <v>0</v>
      </c>
      <c r="AT228">
        <v>3</v>
      </c>
      <c r="AU228">
        <v>1</v>
      </c>
      <c r="AV228">
        <v>2</v>
      </c>
      <c r="AW228">
        <v>3</v>
      </c>
      <c r="AX228">
        <v>1</v>
      </c>
      <c r="AY228">
        <v>4</v>
      </c>
      <c r="AZ228">
        <v>0</v>
      </c>
      <c r="BA228">
        <v>990</v>
      </c>
      <c r="BB228">
        <v>5</v>
      </c>
      <c r="BC228">
        <v>1</v>
      </c>
      <c r="BD228">
        <v>0</v>
      </c>
      <c r="BE228">
        <v>3</v>
      </c>
      <c r="BF228">
        <v>18</v>
      </c>
      <c r="BG228">
        <v>10</v>
      </c>
      <c r="BH228">
        <v>1</v>
      </c>
      <c r="BI228">
        <v>0</v>
      </c>
      <c r="BJ228">
        <v>0</v>
      </c>
      <c r="BK228">
        <v>1</v>
      </c>
      <c r="BL228">
        <v>994</v>
      </c>
      <c r="BM228">
        <v>0</v>
      </c>
      <c r="BN228">
        <v>12</v>
      </c>
      <c r="BO228">
        <v>0</v>
      </c>
      <c r="BP228">
        <v>2</v>
      </c>
      <c r="BQ228">
        <v>1</v>
      </c>
      <c r="BR228">
        <v>0</v>
      </c>
      <c r="BS228">
        <v>1</v>
      </c>
      <c r="BT228">
        <v>1</v>
      </c>
      <c r="BU228">
        <v>7</v>
      </c>
      <c r="BV228">
        <v>1</v>
      </c>
      <c r="BW228">
        <v>957</v>
      </c>
      <c r="BX228">
        <v>0</v>
      </c>
      <c r="BY228">
        <v>3</v>
      </c>
      <c r="BZ228">
        <v>0</v>
      </c>
      <c r="CA228">
        <v>2</v>
      </c>
      <c r="CB228">
        <v>10</v>
      </c>
      <c r="CC228">
        <v>0</v>
      </c>
      <c r="CD228">
        <v>0</v>
      </c>
      <c r="CE228">
        <v>1</v>
      </c>
      <c r="CF228">
        <v>6</v>
      </c>
      <c r="CG228">
        <v>0</v>
      </c>
      <c r="CH228">
        <v>878</v>
      </c>
      <c r="CI228">
        <v>0</v>
      </c>
      <c r="CJ228">
        <v>0</v>
      </c>
      <c r="CK228">
        <v>6</v>
      </c>
      <c r="CL228">
        <v>1</v>
      </c>
      <c r="CM228">
        <v>5</v>
      </c>
      <c r="CN228">
        <v>3</v>
      </c>
      <c r="CO228">
        <v>2</v>
      </c>
      <c r="CP228">
        <v>1</v>
      </c>
      <c r="CQ228">
        <v>2</v>
      </c>
      <c r="CR228">
        <v>11</v>
      </c>
      <c r="CS228">
        <v>931</v>
      </c>
      <c r="CT228">
        <v>0</v>
      </c>
      <c r="CU228">
        <v>3</v>
      </c>
      <c r="CV228">
        <v>0</v>
      </c>
      <c r="CW228">
        <v>0</v>
      </c>
      <c r="CX228">
        <v>3</v>
      </c>
      <c r="CY228">
        <v>18</v>
      </c>
      <c r="CZ228">
        <v>8</v>
      </c>
      <c r="DA228">
        <v>3</v>
      </c>
      <c r="DB228">
        <v>1</v>
      </c>
      <c r="DC228">
        <v>0</v>
      </c>
      <c r="DD228">
        <v>983</v>
      </c>
      <c r="DE228">
        <v>2</v>
      </c>
      <c r="DF228">
        <v>10</v>
      </c>
      <c r="DG228">
        <v>2</v>
      </c>
      <c r="DH228">
        <v>0</v>
      </c>
      <c r="DI228">
        <v>2</v>
      </c>
      <c r="DJ228">
        <v>1</v>
      </c>
      <c r="DK228">
        <v>2</v>
      </c>
      <c r="DL228">
        <v>1</v>
      </c>
      <c r="DM228">
        <v>0</v>
      </c>
      <c r="DN228">
        <v>6</v>
      </c>
      <c r="DO228">
        <v>960</v>
      </c>
      <c r="DP228">
        <v>0</v>
      </c>
      <c r="DQ228">
        <v>1</v>
      </c>
      <c r="DR228">
        <v>0</v>
      </c>
      <c r="DS228">
        <v>1</v>
      </c>
      <c r="DT228">
        <v>3</v>
      </c>
      <c r="DU228">
        <v>15</v>
      </c>
      <c r="DV228">
        <v>8</v>
      </c>
      <c r="DW228">
        <v>0</v>
      </c>
      <c r="DX228">
        <v>6</v>
      </c>
      <c r="DY228">
        <v>2</v>
      </c>
      <c r="DZ228">
        <v>973</v>
      </c>
      <c r="EA228">
        <v>0.97340000000000004</v>
      </c>
      <c r="EB228">
        <v>0.97318601111740299</v>
      </c>
      <c r="EC228">
        <v>0.97345672145612705</v>
      </c>
      <c r="ED228">
        <v>0.97326106532637502</v>
      </c>
      <c r="EE228">
        <f>SUM(Table1[[#This Row],[ratio_0]:[ratio_9]])</f>
        <v>370</v>
      </c>
      <c r="EF228" s="1">
        <f>(Table1[[#This Row],[predicted_0]]-Table1[[#This Row],[actual_0]])/Table1[[#This Row],[actual_0]]</f>
        <v>-1.8367346938775512E-2</v>
      </c>
      <c r="EG228" s="1">
        <f>(Table1[[#This Row],[predicted_1]]-Table1[[#This Row],[actual_1]])/Table1[[#This Row],[actual_1]]</f>
        <v>-7.9295154185022032E-3</v>
      </c>
      <c r="EH228" s="1">
        <f>(Table1[[#This Row],[predicted_2]]-Table1[[#This Row],[actual_2]])/Table1[[#This Row],[actual_2]]</f>
        <v>-2.9069767441860465E-3</v>
      </c>
      <c r="EI228" s="1">
        <f>(Table1[[#This Row],[predicted_3]]-Table1[[#This Row],[actual_3]])/Table1[[#This Row],[actual_3]]</f>
        <v>1.3861386138613862E-2</v>
      </c>
      <c r="EJ228" s="1">
        <f>(Table1[[#This Row],[predicted_4]]-Table1[[#This Row],[actual_4]])/Table1[[#This Row],[actual_4]]</f>
        <v>-2.0366598778004071E-3</v>
      </c>
      <c r="EK228" s="1">
        <f>(Table1[[#This Row],[predicted_5]]-Table1[[#This Row],[actual_5]])/Table1[[#This Row],[actual_5]]</f>
        <v>3.2511210762331835E-2</v>
      </c>
      <c r="EL228" s="1">
        <f>(Table1[[#This Row],[predicted_6]]-Table1[[#This Row],[actual_6]])/Table1[[#This Row],[actual_6]]</f>
        <v>-1.7745302713987474E-2</v>
      </c>
      <c r="EM228" s="1">
        <f>(Table1[[#This Row],[predicted_7]]-Table1[[#This Row],[actual_7]])/Table1[[#This Row],[actual_7]]</f>
        <v>-9.727626459143969E-3</v>
      </c>
      <c r="EN228" s="1">
        <f>(Table1[[#This Row],[predicted_8]]-Table1[[#This Row],[actual_8]])/Table1[[#This Row],[actual_8]]</f>
        <v>2.0533880903490759E-2</v>
      </c>
      <c r="EO228" s="1">
        <f>(Table1[[#This Row],[predicted_9]]-Table1[[#This Row],[actual_9]])/Table1[[#This Row],[actual_9]]</f>
        <v>-3.9643211100099107E-3</v>
      </c>
      <c r="EP228" s="1">
        <f>1+(Table1[[#This Row],[error_ratio_0]]-EF$2)</f>
        <v>0.97959183673469385</v>
      </c>
      <c r="EQ228" s="1">
        <f>1+(Table1[[#This Row],[error_ratio_1]]-EG$2)</f>
        <v>0.99030837004405281</v>
      </c>
      <c r="ER228" s="1">
        <f>1+(Table1[[#This Row],[error_ratio_2]]-EH$2)</f>
        <v>1.001937984496124</v>
      </c>
      <c r="ES228" s="1">
        <f>1+(Table1[[#This Row],[error_ratio_3]]-EI$2)</f>
        <v>1.003960396039604</v>
      </c>
      <c r="ET228" s="1">
        <f>1+(Table1[[#This Row],[error_ratio_4]]-EJ$2)</f>
        <v>0.9969450101832994</v>
      </c>
      <c r="EU228" s="1">
        <f>1+(Table1[[#This Row],[error_ratio_5]]-EK$2)</f>
        <v>1.0313901345291481</v>
      </c>
      <c r="EV228" s="1">
        <f>1+(Table1[[#This Row],[error_ratio_6]]-EL$2)</f>
        <v>0.98851774530271397</v>
      </c>
      <c r="EW228" s="1">
        <f>1+(Table1[[#This Row],[error_ratio_7]]-EM$2)</f>
        <v>0.98832684824902728</v>
      </c>
      <c r="EX228" s="1">
        <f>1+(Table1[[#This Row],[error_ratio_8]]-EN$2)</f>
        <v>1.0236139630390144</v>
      </c>
      <c r="EY228" s="1">
        <f>1+(Table1[[#This Row],[error_ratio_9]]-EO$2)</f>
        <v>1</v>
      </c>
    </row>
    <row r="229" spans="1:155" x14ac:dyDescent="0.75">
      <c r="A229">
        <v>100</v>
      </c>
      <c r="B229">
        <v>100</v>
      </c>
      <c r="C229">
        <v>100</v>
      </c>
      <c r="D229">
        <v>10</v>
      </c>
      <c r="E229">
        <v>10</v>
      </c>
      <c r="F229">
        <v>10</v>
      </c>
      <c r="G229">
        <v>10</v>
      </c>
      <c r="H229">
        <v>10</v>
      </c>
      <c r="I229">
        <v>100</v>
      </c>
      <c r="J229">
        <v>100</v>
      </c>
      <c r="K229">
        <v>1011</v>
      </c>
      <c r="L229">
        <v>1200</v>
      </c>
      <c r="M229">
        <v>1057</v>
      </c>
      <c r="N229">
        <v>909</v>
      </c>
      <c r="O229">
        <v>921</v>
      </c>
      <c r="P229">
        <v>886</v>
      </c>
      <c r="Q229">
        <v>945</v>
      </c>
      <c r="R229">
        <v>1018</v>
      </c>
      <c r="S229">
        <v>990</v>
      </c>
      <c r="T229">
        <v>1063</v>
      </c>
      <c r="U229">
        <v>980</v>
      </c>
      <c r="V229">
        <v>1135</v>
      </c>
      <c r="W229">
        <v>1032</v>
      </c>
      <c r="X229">
        <v>1010</v>
      </c>
      <c r="Y229">
        <v>982</v>
      </c>
      <c r="Z229">
        <v>892</v>
      </c>
      <c r="AA229">
        <v>958</v>
      </c>
      <c r="AB229">
        <v>1028</v>
      </c>
      <c r="AC229">
        <v>974</v>
      </c>
      <c r="AD229">
        <v>1009</v>
      </c>
      <c r="AE229">
        <v>969</v>
      </c>
      <c r="AF229">
        <v>1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5</v>
      </c>
      <c r="AM229">
        <v>3</v>
      </c>
      <c r="AN229">
        <v>2</v>
      </c>
      <c r="AO229">
        <v>0</v>
      </c>
      <c r="AP229">
        <v>1135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2</v>
      </c>
      <c r="AZ229">
        <v>10</v>
      </c>
      <c r="BA229">
        <v>1008</v>
      </c>
      <c r="BB229">
        <v>0</v>
      </c>
      <c r="BC229">
        <v>0</v>
      </c>
      <c r="BD229">
        <v>0</v>
      </c>
      <c r="BE229">
        <v>0</v>
      </c>
      <c r="BF229">
        <v>8</v>
      </c>
      <c r="BG229">
        <v>3</v>
      </c>
      <c r="BH229">
        <v>1</v>
      </c>
      <c r="BI229">
        <v>13</v>
      </c>
      <c r="BJ229">
        <v>5</v>
      </c>
      <c r="BK229">
        <v>10</v>
      </c>
      <c r="BL229">
        <v>907</v>
      </c>
      <c r="BM229">
        <v>0</v>
      </c>
      <c r="BN229">
        <v>30</v>
      </c>
      <c r="BO229">
        <v>0</v>
      </c>
      <c r="BP229">
        <v>14</v>
      </c>
      <c r="BQ229">
        <v>14</v>
      </c>
      <c r="BR229">
        <v>17</v>
      </c>
      <c r="BS229">
        <v>0</v>
      </c>
      <c r="BT229">
        <v>13</v>
      </c>
      <c r="BU229">
        <v>12</v>
      </c>
      <c r="BV229">
        <v>0</v>
      </c>
      <c r="BW229">
        <v>912</v>
      </c>
      <c r="BX229">
        <v>0</v>
      </c>
      <c r="BY229">
        <v>8</v>
      </c>
      <c r="BZ229">
        <v>0</v>
      </c>
      <c r="CA229">
        <v>2</v>
      </c>
      <c r="CB229">
        <v>35</v>
      </c>
      <c r="CC229">
        <v>9</v>
      </c>
      <c r="CD229">
        <v>2</v>
      </c>
      <c r="CE229">
        <v>2</v>
      </c>
      <c r="CF229">
        <v>2</v>
      </c>
      <c r="CG229">
        <v>0</v>
      </c>
      <c r="CH229">
        <v>852</v>
      </c>
      <c r="CI229">
        <v>4</v>
      </c>
      <c r="CJ229">
        <v>3</v>
      </c>
      <c r="CK229">
        <v>9</v>
      </c>
      <c r="CL229">
        <v>9</v>
      </c>
      <c r="CM229">
        <v>13</v>
      </c>
      <c r="CN229">
        <v>5</v>
      </c>
      <c r="CO229">
        <v>1</v>
      </c>
      <c r="CP229">
        <v>0</v>
      </c>
      <c r="CQ229">
        <v>3</v>
      </c>
      <c r="CR229">
        <v>2</v>
      </c>
      <c r="CS229">
        <v>931</v>
      </c>
      <c r="CT229">
        <v>0</v>
      </c>
      <c r="CU229">
        <v>3</v>
      </c>
      <c r="CV229">
        <v>0</v>
      </c>
      <c r="CW229">
        <v>0</v>
      </c>
      <c r="CX229">
        <v>20</v>
      </c>
      <c r="CY229">
        <v>22</v>
      </c>
      <c r="CZ229">
        <v>0</v>
      </c>
      <c r="DA229">
        <v>0</v>
      </c>
      <c r="DB229">
        <v>0</v>
      </c>
      <c r="DC229">
        <v>0</v>
      </c>
      <c r="DD229">
        <v>976</v>
      </c>
      <c r="DE229">
        <v>0</v>
      </c>
      <c r="DF229">
        <v>10</v>
      </c>
      <c r="DG229">
        <v>4</v>
      </c>
      <c r="DH229">
        <v>2</v>
      </c>
      <c r="DI229">
        <v>2</v>
      </c>
      <c r="DJ229">
        <v>0</v>
      </c>
      <c r="DK229">
        <v>0</v>
      </c>
      <c r="DL229">
        <v>1</v>
      </c>
      <c r="DM229">
        <v>2</v>
      </c>
      <c r="DN229">
        <v>6</v>
      </c>
      <c r="DO229">
        <v>953</v>
      </c>
      <c r="DP229">
        <v>4</v>
      </c>
      <c r="DQ229">
        <v>1</v>
      </c>
      <c r="DR229">
        <v>7</v>
      </c>
      <c r="DS229">
        <v>0</v>
      </c>
      <c r="DT229">
        <v>0</v>
      </c>
      <c r="DU229">
        <v>6</v>
      </c>
      <c r="DV229">
        <v>1</v>
      </c>
      <c r="DW229">
        <v>0</v>
      </c>
      <c r="DX229">
        <v>6</v>
      </c>
      <c r="DY229">
        <v>3</v>
      </c>
      <c r="DZ229">
        <v>985</v>
      </c>
      <c r="EA229">
        <v>0.96279999999999999</v>
      </c>
      <c r="EB229">
        <v>0.96407626120891199</v>
      </c>
      <c r="EC229">
        <v>0.96232994779089898</v>
      </c>
      <c r="ED229">
        <v>0.96265012062530098</v>
      </c>
      <c r="EE229">
        <f>SUM(Table1[[#This Row],[ratio_0]:[ratio_9]])</f>
        <v>550</v>
      </c>
      <c r="EF229" s="1">
        <f>(Table1[[#This Row],[predicted_0]]-Table1[[#This Row],[actual_0]])/Table1[[#This Row],[actual_0]]</f>
        <v>3.1632653061224487E-2</v>
      </c>
      <c r="EG229" s="1">
        <f>(Table1[[#This Row],[predicted_1]]-Table1[[#This Row],[actual_1]])/Table1[[#This Row],[actual_1]]</f>
        <v>5.7268722466960353E-2</v>
      </c>
      <c r="EH229" s="1">
        <f>(Table1[[#This Row],[predicted_2]]-Table1[[#This Row],[actual_2]])/Table1[[#This Row],[actual_2]]</f>
        <v>2.4224806201550389E-2</v>
      </c>
      <c r="EI229" s="1">
        <f>(Table1[[#This Row],[predicted_3]]-Table1[[#This Row],[actual_3]])/Table1[[#This Row],[actual_3]]</f>
        <v>-0.1</v>
      </c>
      <c r="EJ229" s="1">
        <f>(Table1[[#This Row],[predicted_4]]-Table1[[#This Row],[actual_4]])/Table1[[#This Row],[actual_4]]</f>
        <v>-6.2118126272912425E-2</v>
      </c>
      <c r="EK229" s="1">
        <f>(Table1[[#This Row],[predicted_5]]-Table1[[#This Row],[actual_5]])/Table1[[#This Row],[actual_5]]</f>
        <v>-6.7264573991031393E-3</v>
      </c>
      <c r="EL229" s="1">
        <f>(Table1[[#This Row],[predicted_6]]-Table1[[#This Row],[actual_6]])/Table1[[#This Row],[actual_6]]</f>
        <v>-1.3569937369519834E-2</v>
      </c>
      <c r="EM229" s="1">
        <f>(Table1[[#This Row],[predicted_7]]-Table1[[#This Row],[actual_7]])/Table1[[#This Row],[actual_7]]</f>
        <v>-9.727626459143969E-3</v>
      </c>
      <c r="EN229" s="1">
        <f>(Table1[[#This Row],[predicted_8]]-Table1[[#This Row],[actual_8]])/Table1[[#This Row],[actual_8]]</f>
        <v>1.6427104722792608E-2</v>
      </c>
      <c r="EO229" s="1">
        <f>(Table1[[#This Row],[predicted_9]]-Table1[[#This Row],[actual_9]])/Table1[[#This Row],[actual_9]]</f>
        <v>5.3518334985133795E-2</v>
      </c>
      <c r="EP229" s="1">
        <f>1+(Table1[[#This Row],[error_ratio_0]]-EF$2)</f>
        <v>1.0295918367346939</v>
      </c>
      <c r="EQ229" s="1">
        <f>1+(Table1[[#This Row],[error_ratio_1]]-EG$2)</f>
        <v>1.0555066079295155</v>
      </c>
      <c r="ER229" s="1">
        <f>1+(Table1[[#This Row],[error_ratio_2]]-EH$2)</f>
        <v>1.0290697674418605</v>
      </c>
      <c r="ES229" s="1">
        <f>1+(Table1[[#This Row],[error_ratio_3]]-EI$2)</f>
        <v>0.89009900990099011</v>
      </c>
      <c r="ET229" s="1">
        <f>1+(Table1[[#This Row],[error_ratio_4]]-EJ$2)</f>
        <v>0.93686354378818737</v>
      </c>
      <c r="EU229" s="1">
        <f>1+(Table1[[#This Row],[error_ratio_5]]-EK$2)</f>
        <v>0.99215246636771304</v>
      </c>
      <c r="EV229" s="1">
        <f>1+(Table1[[#This Row],[error_ratio_6]]-EL$2)</f>
        <v>0.99269311064718158</v>
      </c>
      <c r="EW229" s="1">
        <f>1+(Table1[[#This Row],[error_ratio_7]]-EM$2)</f>
        <v>0.98832684824902728</v>
      </c>
      <c r="EX229" s="1">
        <f>1+(Table1[[#This Row],[error_ratio_8]]-EN$2)</f>
        <v>1.0195071868583163</v>
      </c>
      <c r="EY229" s="1">
        <f>1+(Table1[[#This Row],[error_ratio_9]]-EO$2)</f>
        <v>1.0574826560951438</v>
      </c>
    </row>
    <row r="230" spans="1:155" x14ac:dyDescent="0.75">
      <c r="A230">
        <v>10</v>
      </c>
      <c r="B230">
        <v>100</v>
      </c>
      <c r="C230">
        <v>100</v>
      </c>
      <c r="D230">
        <v>10</v>
      </c>
      <c r="E230">
        <v>10</v>
      </c>
      <c r="F230">
        <v>10</v>
      </c>
      <c r="G230">
        <v>10</v>
      </c>
      <c r="H230">
        <v>10</v>
      </c>
      <c r="I230">
        <v>100</v>
      </c>
      <c r="J230">
        <v>100</v>
      </c>
      <c r="K230">
        <v>913</v>
      </c>
      <c r="L230">
        <v>1143</v>
      </c>
      <c r="M230">
        <v>1117</v>
      </c>
      <c r="N230">
        <v>955</v>
      </c>
      <c r="O230">
        <v>855</v>
      </c>
      <c r="P230">
        <v>857</v>
      </c>
      <c r="Q230">
        <v>1016</v>
      </c>
      <c r="R230">
        <v>908</v>
      </c>
      <c r="S230">
        <v>1196</v>
      </c>
      <c r="T230">
        <v>1040</v>
      </c>
      <c r="U230">
        <v>980</v>
      </c>
      <c r="V230">
        <v>1135</v>
      </c>
      <c r="W230">
        <v>1032</v>
      </c>
      <c r="X230">
        <v>1010</v>
      </c>
      <c r="Y230">
        <v>982</v>
      </c>
      <c r="Z230">
        <v>892</v>
      </c>
      <c r="AA230">
        <v>958</v>
      </c>
      <c r="AB230">
        <v>1028</v>
      </c>
      <c r="AC230">
        <v>974</v>
      </c>
      <c r="AD230">
        <v>1009</v>
      </c>
      <c r="AE230">
        <v>901</v>
      </c>
      <c r="AF230">
        <v>0</v>
      </c>
      <c r="AG230">
        <v>2</v>
      </c>
      <c r="AH230">
        <v>0</v>
      </c>
      <c r="AI230">
        <v>0</v>
      </c>
      <c r="AJ230">
        <v>2</v>
      </c>
      <c r="AK230">
        <v>38</v>
      </c>
      <c r="AL230">
        <v>0</v>
      </c>
      <c r="AM230">
        <v>24</v>
      </c>
      <c r="AN230">
        <v>13</v>
      </c>
      <c r="AO230">
        <v>0</v>
      </c>
      <c r="AP230">
        <v>1124</v>
      </c>
      <c r="AQ230">
        <v>2</v>
      </c>
      <c r="AR230">
        <v>0</v>
      </c>
      <c r="AS230">
        <v>0</v>
      </c>
      <c r="AT230">
        <v>1</v>
      </c>
      <c r="AU230">
        <v>3</v>
      </c>
      <c r="AV230">
        <v>0</v>
      </c>
      <c r="AW230">
        <v>5</v>
      </c>
      <c r="AX230">
        <v>0</v>
      </c>
      <c r="AY230">
        <v>0</v>
      </c>
      <c r="AZ230">
        <v>1</v>
      </c>
      <c r="BA230">
        <v>1011</v>
      </c>
      <c r="BB230">
        <v>0</v>
      </c>
      <c r="BC230">
        <v>0</v>
      </c>
      <c r="BD230">
        <v>0</v>
      </c>
      <c r="BE230">
        <v>3</v>
      </c>
      <c r="BF230">
        <v>1</v>
      </c>
      <c r="BG230">
        <v>15</v>
      </c>
      <c r="BH230">
        <v>1</v>
      </c>
      <c r="BI230">
        <v>2</v>
      </c>
      <c r="BJ230">
        <v>0</v>
      </c>
      <c r="BK230">
        <v>26</v>
      </c>
      <c r="BL230">
        <v>946</v>
      </c>
      <c r="BM230">
        <v>0</v>
      </c>
      <c r="BN230">
        <v>16</v>
      </c>
      <c r="BO230">
        <v>5</v>
      </c>
      <c r="BP230">
        <v>1</v>
      </c>
      <c r="BQ230">
        <v>11</v>
      </c>
      <c r="BR230">
        <v>3</v>
      </c>
      <c r="BS230">
        <v>0</v>
      </c>
      <c r="BT230">
        <v>4</v>
      </c>
      <c r="BU230">
        <v>9</v>
      </c>
      <c r="BV230">
        <v>0</v>
      </c>
      <c r="BW230">
        <v>849</v>
      </c>
      <c r="BX230">
        <v>0</v>
      </c>
      <c r="BY230">
        <v>5</v>
      </c>
      <c r="BZ230">
        <v>0</v>
      </c>
      <c r="CA230">
        <v>61</v>
      </c>
      <c r="CB230">
        <v>54</v>
      </c>
      <c r="CC230">
        <v>4</v>
      </c>
      <c r="CD230">
        <v>0</v>
      </c>
      <c r="CE230">
        <v>3</v>
      </c>
      <c r="CF230">
        <v>5</v>
      </c>
      <c r="CG230">
        <v>0</v>
      </c>
      <c r="CH230">
        <v>832</v>
      </c>
      <c r="CI230">
        <v>22</v>
      </c>
      <c r="CJ230">
        <v>1</v>
      </c>
      <c r="CK230">
        <v>23</v>
      </c>
      <c r="CL230">
        <v>2</v>
      </c>
      <c r="CM230">
        <v>4</v>
      </c>
      <c r="CN230">
        <v>4</v>
      </c>
      <c r="CO230">
        <v>1</v>
      </c>
      <c r="CP230">
        <v>0</v>
      </c>
      <c r="CQ230">
        <v>3</v>
      </c>
      <c r="CR230">
        <v>1</v>
      </c>
      <c r="CS230">
        <v>938</v>
      </c>
      <c r="CT230">
        <v>0</v>
      </c>
      <c r="CU230">
        <v>7</v>
      </c>
      <c r="CV230">
        <v>0</v>
      </c>
      <c r="CW230">
        <v>2</v>
      </c>
      <c r="CX230">
        <v>8</v>
      </c>
      <c r="CY230">
        <v>59</v>
      </c>
      <c r="CZ230">
        <v>4</v>
      </c>
      <c r="DA230">
        <v>2</v>
      </c>
      <c r="DB230">
        <v>0</v>
      </c>
      <c r="DC230">
        <v>0</v>
      </c>
      <c r="DD230">
        <v>902</v>
      </c>
      <c r="DE230">
        <v>33</v>
      </c>
      <c r="DF230">
        <v>18</v>
      </c>
      <c r="DG230">
        <v>0</v>
      </c>
      <c r="DH230">
        <v>0</v>
      </c>
      <c r="DI230">
        <v>3</v>
      </c>
      <c r="DJ230">
        <v>0</v>
      </c>
      <c r="DK230">
        <v>0</v>
      </c>
      <c r="DL230">
        <v>1</v>
      </c>
      <c r="DM230">
        <v>2</v>
      </c>
      <c r="DN230">
        <v>2</v>
      </c>
      <c r="DO230">
        <v>965</v>
      </c>
      <c r="DP230">
        <v>1</v>
      </c>
      <c r="DQ230">
        <v>0</v>
      </c>
      <c r="DR230">
        <v>2</v>
      </c>
      <c r="DS230">
        <v>1</v>
      </c>
      <c r="DT230">
        <v>0</v>
      </c>
      <c r="DU230">
        <v>1</v>
      </c>
      <c r="DV230">
        <v>4</v>
      </c>
      <c r="DW230">
        <v>0</v>
      </c>
      <c r="DX230">
        <v>1</v>
      </c>
      <c r="DY230">
        <v>52</v>
      </c>
      <c r="DZ230">
        <v>948</v>
      </c>
      <c r="EA230">
        <v>0.94159999999999999</v>
      </c>
      <c r="EB230">
        <v>0.94647384587375705</v>
      </c>
      <c r="EC230">
        <v>0.94101374319965903</v>
      </c>
      <c r="ED230">
        <v>0.94151484224503301</v>
      </c>
      <c r="EE230">
        <f>SUM(Table1[[#This Row],[ratio_0]:[ratio_9]])</f>
        <v>460</v>
      </c>
      <c r="EF230" s="1">
        <f>(Table1[[#This Row],[predicted_0]]-Table1[[#This Row],[actual_0]])/Table1[[#This Row],[actual_0]]</f>
        <v>-6.8367346938775511E-2</v>
      </c>
      <c r="EG230" s="1">
        <f>(Table1[[#This Row],[predicted_1]]-Table1[[#This Row],[actual_1]])/Table1[[#This Row],[actual_1]]</f>
        <v>7.048458149779736E-3</v>
      </c>
      <c r="EH230" s="1">
        <f>(Table1[[#This Row],[predicted_2]]-Table1[[#This Row],[actual_2]])/Table1[[#This Row],[actual_2]]</f>
        <v>8.2364341085271311E-2</v>
      </c>
      <c r="EI230" s="1">
        <f>(Table1[[#This Row],[predicted_3]]-Table1[[#This Row],[actual_3]])/Table1[[#This Row],[actual_3]]</f>
        <v>-5.4455445544554455E-2</v>
      </c>
      <c r="EJ230" s="1">
        <f>(Table1[[#This Row],[predicted_4]]-Table1[[#This Row],[actual_4]])/Table1[[#This Row],[actual_4]]</f>
        <v>-0.12932790224032586</v>
      </c>
      <c r="EK230" s="1">
        <f>(Table1[[#This Row],[predicted_5]]-Table1[[#This Row],[actual_5]])/Table1[[#This Row],[actual_5]]</f>
        <v>-3.923766816143498E-2</v>
      </c>
      <c r="EL230" s="1">
        <f>(Table1[[#This Row],[predicted_6]]-Table1[[#This Row],[actual_6]])/Table1[[#This Row],[actual_6]]</f>
        <v>6.0542797494780795E-2</v>
      </c>
      <c r="EM230" s="1">
        <f>(Table1[[#This Row],[predicted_7]]-Table1[[#This Row],[actual_7]])/Table1[[#This Row],[actual_7]]</f>
        <v>-0.11673151750972763</v>
      </c>
      <c r="EN230" s="1">
        <f>(Table1[[#This Row],[predicted_8]]-Table1[[#This Row],[actual_8]])/Table1[[#This Row],[actual_8]]</f>
        <v>0.22792607802874743</v>
      </c>
      <c r="EO230" s="1">
        <f>(Table1[[#This Row],[predicted_9]]-Table1[[#This Row],[actual_9]])/Table1[[#This Row],[actual_9]]</f>
        <v>3.0723488602576808E-2</v>
      </c>
      <c r="EP230" s="1">
        <f>1+(Table1[[#This Row],[error_ratio_0]]-EF$2)</f>
        <v>0.92959183673469392</v>
      </c>
      <c r="EQ230" s="1">
        <f>1+(Table1[[#This Row],[error_ratio_1]]-EG$2)</f>
        <v>1.0052863436123347</v>
      </c>
      <c r="ER230" s="1">
        <f>1+(Table1[[#This Row],[error_ratio_2]]-EH$2)</f>
        <v>1.0872093023255813</v>
      </c>
      <c r="ES230" s="1">
        <f>1+(Table1[[#This Row],[error_ratio_3]]-EI$2)</f>
        <v>0.93564356435643559</v>
      </c>
      <c r="ET230" s="1">
        <f>1+(Table1[[#This Row],[error_ratio_4]]-EJ$2)</f>
        <v>0.86965376782077397</v>
      </c>
      <c r="EU230" s="1">
        <f>1+(Table1[[#This Row],[error_ratio_5]]-EK$2)</f>
        <v>0.95964125560538116</v>
      </c>
      <c r="EV230" s="1">
        <f>1+(Table1[[#This Row],[error_ratio_6]]-EL$2)</f>
        <v>1.0668058455114822</v>
      </c>
      <c r="EW230" s="1">
        <f>1+(Table1[[#This Row],[error_ratio_7]]-EM$2)</f>
        <v>0.88132295719844356</v>
      </c>
      <c r="EX230" s="1">
        <f>1+(Table1[[#This Row],[error_ratio_8]]-EN$2)</f>
        <v>1.231006160164271</v>
      </c>
      <c r="EY230" s="1">
        <f>1+(Table1[[#This Row],[error_ratio_9]]-EO$2)</f>
        <v>1.0346878097125867</v>
      </c>
    </row>
    <row r="231" spans="1:155" x14ac:dyDescent="0.75">
      <c r="A231">
        <v>100</v>
      </c>
      <c r="B231">
        <v>10</v>
      </c>
      <c r="C231">
        <v>100</v>
      </c>
      <c r="D231">
        <v>10</v>
      </c>
      <c r="E231">
        <v>10</v>
      </c>
      <c r="F231">
        <v>10</v>
      </c>
      <c r="G231">
        <v>10</v>
      </c>
      <c r="H231">
        <v>10</v>
      </c>
      <c r="I231">
        <v>100</v>
      </c>
      <c r="J231">
        <v>100</v>
      </c>
      <c r="K231">
        <v>987</v>
      </c>
      <c r="L231">
        <v>1137</v>
      </c>
      <c r="M231">
        <v>1089</v>
      </c>
      <c r="N231">
        <v>906</v>
      </c>
      <c r="O231">
        <v>907</v>
      </c>
      <c r="P231">
        <v>916</v>
      </c>
      <c r="Q231">
        <v>936</v>
      </c>
      <c r="R231">
        <v>1021</v>
      </c>
      <c r="S231">
        <v>1011</v>
      </c>
      <c r="T231">
        <v>1090</v>
      </c>
      <c r="U231">
        <v>980</v>
      </c>
      <c r="V231">
        <v>1135</v>
      </c>
      <c r="W231">
        <v>1032</v>
      </c>
      <c r="X231">
        <v>1010</v>
      </c>
      <c r="Y231">
        <v>982</v>
      </c>
      <c r="Z231">
        <v>892</v>
      </c>
      <c r="AA231">
        <v>958</v>
      </c>
      <c r="AB231">
        <v>1028</v>
      </c>
      <c r="AC231">
        <v>974</v>
      </c>
      <c r="AD231">
        <v>1009</v>
      </c>
      <c r="AE231">
        <v>967</v>
      </c>
      <c r="AF231">
        <v>0</v>
      </c>
      <c r="AG231">
        <v>5</v>
      </c>
      <c r="AH231">
        <v>0</v>
      </c>
      <c r="AI231">
        <v>0</v>
      </c>
      <c r="AJ231">
        <v>0</v>
      </c>
      <c r="AK231">
        <v>2</v>
      </c>
      <c r="AL231">
        <v>0</v>
      </c>
      <c r="AM231">
        <v>4</v>
      </c>
      <c r="AN231">
        <v>2</v>
      </c>
      <c r="AO231">
        <v>0</v>
      </c>
      <c r="AP231">
        <v>1123</v>
      </c>
      <c r="AQ231">
        <v>5</v>
      </c>
      <c r="AR231">
        <v>1</v>
      </c>
      <c r="AS231">
        <v>0</v>
      </c>
      <c r="AT231">
        <v>3</v>
      </c>
      <c r="AU231">
        <v>1</v>
      </c>
      <c r="AV231">
        <v>1</v>
      </c>
      <c r="AW231">
        <v>1</v>
      </c>
      <c r="AX231">
        <v>0</v>
      </c>
      <c r="AY231">
        <v>1</v>
      </c>
      <c r="AZ231">
        <v>2</v>
      </c>
      <c r="BA231">
        <v>1020</v>
      </c>
      <c r="BB231">
        <v>0</v>
      </c>
      <c r="BC231">
        <v>0</v>
      </c>
      <c r="BD231">
        <v>0</v>
      </c>
      <c r="BE231">
        <v>0</v>
      </c>
      <c r="BF231">
        <v>7</v>
      </c>
      <c r="BG231">
        <v>1</v>
      </c>
      <c r="BH231">
        <v>1</v>
      </c>
      <c r="BI231">
        <v>0</v>
      </c>
      <c r="BJ231">
        <v>0</v>
      </c>
      <c r="BK231">
        <v>26</v>
      </c>
      <c r="BL231">
        <v>902</v>
      </c>
      <c r="BM231">
        <v>0</v>
      </c>
      <c r="BN231">
        <v>38</v>
      </c>
      <c r="BO231">
        <v>0</v>
      </c>
      <c r="BP231">
        <v>16</v>
      </c>
      <c r="BQ231">
        <v>17</v>
      </c>
      <c r="BR231">
        <v>11</v>
      </c>
      <c r="BS231">
        <v>0</v>
      </c>
      <c r="BT231">
        <v>4</v>
      </c>
      <c r="BU231">
        <v>7</v>
      </c>
      <c r="BV231">
        <v>0</v>
      </c>
      <c r="BW231">
        <v>899</v>
      </c>
      <c r="BX231">
        <v>0</v>
      </c>
      <c r="BY231">
        <v>8</v>
      </c>
      <c r="BZ231">
        <v>3</v>
      </c>
      <c r="CA231">
        <v>1</v>
      </c>
      <c r="CB231">
        <v>60</v>
      </c>
      <c r="CC231">
        <v>4</v>
      </c>
      <c r="CD231">
        <v>0</v>
      </c>
      <c r="CE231">
        <v>2</v>
      </c>
      <c r="CF231">
        <v>3</v>
      </c>
      <c r="CG231">
        <v>0</v>
      </c>
      <c r="CH231">
        <v>857</v>
      </c>
      <c r="CI231">
        <v>3</v>
      </c>
      <c r="CJ231">
        <v>1</v>
      </c>
      <c r="CK231">
        <v>20</v>
      </c>
      <c r="CL231">
        <v>2</v>
      </c>
      <c r="CM231">
        <v>12</v>
      </c>
      <c r="CN231">
        <v>3</v>
      </c>
      <c r="CO231">
        <v>1</v>
      </c>
      <c r="CP231">
        <v>0</v>
      </c>
      <c r="CQ231">
        <v>2</v>
      </c>
      <c r="CR231">
        <v>11</v>
      </c>
      <c r="CS231">
        <v>921</v>
      </c>
      <c r="CT231">
        <v>0</v>
      </c>
      <c r="CU231">
        <v>8</v>
      </c>
      <c r="CV231">
        <v>0</v>
      </c>
      <c r="CW231">
        <v>1</v>
      </c>
      <c r="CX231">
        <v>3</v>
      </c>
      <c r="CY231">
        <v>16</v>
      </c>
      <c r="CZ231">
        <v>0</v>
      </c>
      <c r="DA231">
        <v>4</v>
      </c>
      <c r="DB231">
        <v>2</v>
      </c>
      <c r="DC231">
        <v>0</v>
      </c>
      <c r="DD231">
        <v>983</v>
      </c>
      <c r="DE231">
        <v>6</v>
      </c>
      <c r="DF231">
        <v>13</v>
      </c>
      <c r="DG231">
        <v>2</v>
      </c>
      <c r="DH231">
        <v>0</v>
      </c>
      <c r="DI231">
        <v>5</v>
      </c>
      <c r="DJ231">
        <v>0</v>
      </c>
      <c r="DK231">
        <v>0</v>
      </c>
      <c r="DL231">
        <v>0</v>
      </c>
      <c r="DM231">
        <v>1</v>
      </c>
      <c r="DN231">
        <v>5</v>
      </c>
      <c r="DO231">
        <v>952</v>
      </c>
      <c r="DP231">
        <v>9</v>
      </c>
      <c r="DQ231">
        <v>0</v>
      </c>
      <c r="DR231">
        <v>2</v>
      </c>
      <c r="DS231">
        <v>2</v>
      </c>
      <c r="DT231">
        <v>0</v>
      </c>
      <c r="DU231">
        <v>2</v>
      </c>
      <c r="DV231">
        <v>5</v>
      </c>
      <c r="DW231">
        <v>0</v>
      </c>
      <c r="DX231">
        <v>5</v>
      </c>
      <c r="DY231">
        <v>1</v>
      </c>
      <c r="DZ231">
        <v>992</v>
      </c>
      <c r="EA231">
        <v>0.96160000000000001</v>
      </c>
      <c r="EB231">
        <v>0.96249064386789096</v>
      </c>
      <c r="EC231">
        <v>0.961201227130282</v>
      </c>
      <c r="ED231">
        <v>0.96114133594658002</v>
      </c>
      <c r="EE231">
        <f>SUM(Table1[[#This Row],[ratio_0]:[ratio_9]])</f>
        <v>460</v>
      </c>
      <c r="EF231" s="1">
        <f>(Table1[[#This Row],[predicted_0]]-Table1[[#This Row],[actual_0]])/Table1[[#This Row],[actual_0]]</f>
        <v>7.1428571428571426E-3</v>
      </c>
      <c r="EG231" s="1">
        <f>(Table1[[#This Row],[predicted_1]]-Table1[[#This Row],[actual_1]])/Table1[[#This Row],[actual_1]]</f>
        <v>1.762114537444934E-3</v>
      </c>
      <c r="EH231" s="1">
        <f>(Table1[[#This Row],[predicted_2]]-Table1[[#This Row],[actual_2]])/Table1[[#This Row],[actual_2]]</f>
        <v>5.5232558139534885E-2</v>
      </c>
      <c r="EI231" s="1">
        <f>(Table1[[#This Row],[predicted_3]]-Table1[[#This Row],[actual_3]])/Table1[[#This Row],[actual_3]]</f>
        <v>-0.10297029702970296</v>
      </c>
      <c r="EJ231" s="1">
        <f>(Table1[[#This Row],[predicted_4]]-Table1[[#This Row],[actual_4]])/Table1[[#This Row],[actual_4]]</f>
        <v>-7.637474541751528E-2</v>
      </c>
      <c r="EK231" s="1">
        <f>(Table1[[#This Row],[predicted_5]]-Table1[[#This Row],[actual_5]])/Table1[[#This Row],[actual_5]]</f>
        <v>2.6905829596412557E-2</v>
      </c>
      <c r="EL231" s="1">
        <f>(Table1[[#This Row],[predicted_6]]-Table1[[#This Row],[actual_6]])/Table1[[#This Row],[actual_6]]</f>
        <v>-2.2964509394572025E-2</v>
      </c>
      <c r="EM231" s="1">
        <f>(Table1[[#This Row],[predicted_7]]-Table1[[#This Row],[actual_7]])/Table1[[#This Row],[actual_7]]</f>
        <v>-6.8093385214007783E-3</v>
      </c>
      <c r="EN231" s="1">
        <f>(Table1[[#This Row],[predicted_8]]-Table1[[#This Row],[actual_8]])/Table1[[#This Row],[actual_8]]</f>
        <v>3.7987679671457907E-2</v>
      </c>
      <c r="EO231" s="1">
        <f>(Table1[[#This Row],[predicted_9]]-Table1[[#This Row],[actual_9]])/Table1[[#This Row],[actual_9]]</f>
        <v>8.0277502477700699E-2</v>
      </c>
      <c r="EP231" s="1">
        <f>1+(Table1[[#This Row],[error_ratio_0]]-EF$2)</f>
        <v>1.0051020408163265</v>
      </c>
      <c r="EQ231" s="1">
        <f>1+(Table1[[#This Row],[error_ratio_1]]-EG$2)</f>
        <v>1</v>
      </c>
      <c r="ER231" s="1">
        <f>1+(Table1[[#This Row],[error_ratio_2]]-EH$2)</f>
        <v>1.0600775193798451</v>
      </c>
      <c r="ES231" s="1">
        <f>1+(Table1[[#This Row],[error_ratio_3]]-EI$2)</f>
        <v>0.88712871287128714</v>
      </c>
      <c r="ET231" s="1">
        <f>1+(Table1[[#This Row],[error_ratio_4]]-EJ$2)</f>
        <v>0.92260692464358451</v>
      </c>
      <c r="EU231" s="1">
        <f>1+(Table1[[#This Row],[error_ratio_5]]-EK$2)</f>
        <v>1.0257847533632287</v>
      </c>
      <c r="EV231" s="1">
        <f>1+(Table1[[#This Row],[error_ratio_6]]-EL$2)</f>
        <v>0.98329853862212946</v>
      </c>
      <c r="EW231" s="1">
        <f>1+(Table1[[#This Row],[error_ratio_7]]-EM$2)</f>
        <v>0.99124513618677046</v>
      </c>
      <c r="EX231" s="1">
        <f>1+(Table1[[#This Row],[error_ratio_8]]-EN$2)</f>
        <v>1.0410677618069815</v>
      </c>
      <c r="EY231" s="1">
        <f>1+(Table1[[#This Row],[error_ratio_9]]-EO$2)</f>
        <v>1.0842418235877107</v>
      </c>
    </row>
    <row r="232" spans="1:155" x14ac:dyDescent="0.75">
      <c r="A232">
        <v>10</v>
      </c>
      <c r="B232">
        <v>10</v>
      </c>
      <c r="C232">
        <v>100</v>
      </c>
      <c r="D232">
        <v>10</v>
      </c>
      <c r="E232">
        <v>10</v>
      </c>
      <c r="F232">
        <v>10</v>
      </c>
      <c r="G232">
        <v>10</v>
      </c>
      <c r="H232">
        <v>10</v>
      </c>
      <c r="I232">
        <v>100</v>
      </c>
      <c r="J232">
        <v>100</v>
      </c>
      <c r="K232">
        <v>949</v>
      </c>
      <c r="L232">
        <v>1145</v>
      </c>
      <c r="M232">
        <v>1080</v>
      </c>
      <c r="N232">
        <v>976</v>
      </c>
      <c r="O232">
        <v>907</v>
      </c>
      <c r="P232">
        <v>931</v>
      </c>
      <c r="Q232">
        <v>923</v>
      </c>
      <c r="R232">
        <v>987</v>
      </c>
      <c r="S232">
        <v>977</v>
      </c>
      <c r="T232">
        <v>1125</v>
      </c>
      <c r="U232">
        <v>980</v>
      </c>
      <c r="V232">
        <v>1135</v>
      </c>
      <c r="W232">
        <v>1032</v>
      </c>
      <c r="X232">
        <v>1010</v>
      </c>
      <c r="Y232">
        <v>982</v>
      </c>
      <c r="Z232">
        <v>892</v>
      </c>
      <c r="AA232">
        <v>958</v>
      </c>
      <c r="AB232">
        <v>1028</v>
      </c>
      <c r="AC232">
        <v>974</v>
      </c>
      <c r="AD232">
        <v>1009</v>
      </c>
      <c r="AE232">
        <v>932</v>
      </c>
      <c r="AF232">
        <v>1</v>
      </c>
      <c r="AG232">
        <v>5</v>
      </c>
      <c r="AH232">
        <v>1</v>
      </c>
      <c r="AI232">
        <v>0</v>
      </c>
      <c r="AJ232">
        <v>7</v>
      </c>
      <c r="AK232">
        <v>3</v>
      </c>
      <c r="AL232">
        <v>0</v>
      </c>
      <c r="AM232">
        <v>5</v>
      </c>
      <c r="AN232">
        <v>26</v>
      </c>
      <c r="AO232">
        <v>0</v>
      </c>
      <c r="AP232">
        <v>1124</v>
      </c>
      <c r="AQ232">
        <v>5</v>
      </c>
      <c r="AR232">
        <v>4</v>
      </c>
      <c r="AS232">
        <v>0</v>
      </c>
      <c r="AT232">
        <v>2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6</v>
      </c>
      <c r="BA232">
        <v>1009</v>
      </c>
      <c r="BB232">
        <v>6</v>
      </c>
      <c r="BC232">
        <v>0</v>
      </c>
      <c r="BD232">
        <v>0</v>
      </c>
      <c r="BE232">
        <v>1</v>
      </c>
      <c r="BF232">
        <v>7</v>
      </c>
      <c r="BG232">
        <v>3</v>
      </c>
      <c r="BH232">
        <v>0</v>
      </c>
      <c r="BI232">
        <v>0</v>
      </c>
      <c r="BJ232">
        <v>0</v>
      </c>
      <c r="BK232">
        <v>3</v>
      </c>
      <c r="BL232">
        <v>958</v>
      </c>
      <c r="BM232">
        <v>0</v>
      </c>
      <c r="BN232">
        <v>23</v>
      </c>
      <c r="BO232">
        <v>0</v>
      </c>
      <c r="BP232">
        <v>6</v>
      </c>
      <c r="BQ232">
        <v>3</v>
      </c>
      <c r="BR232">
        <v>17</v>
      </c>
      <c r="BS232">
        <v>1</v>
      </c>
      <c r="BT232">
        <v>3</v>
      </c>
      <c r="BU232">
        <v>28</v>
      </c>
      <c r="BV232">
        <v>0</v>
      </c>
      <c r="BW232">
        <v>896</v>
      </c>
      <c r="BX232">
        <v>0</v>
      </c>
      <c r="BY232">
        <v>2</v>
      </c>
      <c r="BZ232">
        <v>0</v>
      </c>
      <c r="CA232">
        <v>3</v>
      </c>
      <c r="CB232">
        <v>49</v>
      </c>
      <c r="CC232">
        <v>2</v>
      </c>
      <c r="CD232">
        <v>0</v>
      </c>
      <c r="CE232">
        <v>1</v>
      </c>
      <c r="CF232">
        <v>3</v>
      </c>
      <c r="CG232">
        <v>0</v>
      </c>
      <c r="CH232">
        <v>878</v>
      </c>
      <c r="CI232">
        <v>1</v>
      </c>
      <c r="CJ232">
        <v>1</v>
      </c>
      <c r="CK232">
        <v>5</v>
      </c>
      <c r="CL232">
        <v>1</v>
      </c>
      <c r="CM232">
        <v>11</v>
      </c>
      <c r="CN232">
        <v>3</v>
      </c>
      <c r="CO232">
        <v>3</v>
      </c>
      <c r="CP232">
        <v>0</v>
      </c>
      <c r="CQ232">
        <v>8</v>
      </c>
      <c r="CR232">
        <v>12</v>
      </c>
      <c r="CS232">
        <v>916</v>
      </c>
      <c r="CT232">
        <v>0</v>
      </c>
      <c r="CU232">
        <v>5</v>
      </c>
      <c r="CV232">
        <v>0</v>
      </c>
      <c r="CW232">
        <v>2</v>
      </c>
      <c r="CX232">
        <v>7</v>
      </c>
      <c r="CY232">
        <v>21</v>
      </c>
      <c r="CZ232">
        <v>1</v>
      </c>
      <c r="DA232">
        <v>1</v>
      </c>
      <c r="DB232">
        <v>0</v>
      </c>
      <c r="DC232">
        <v>0</v>
      </c>
      <c r="DD232">
        <v>967</v>
      </c>
      <c r="DE232">
        <v>1</v>
      </c>
      <c r="DF232">
        <v>28</v>
      </c>
      <c r="DG232">
        <v>1</v>
      </c>
      <c r="DH232">
        <v>0</v>
      </c>
      <c r="DI232">
        <v>4</v>
      </c>
      <c r="DJ232">
        <v>3</v>
      </c>
      <c r="DK232">
        <v>1</v>
      </c>
      <c r="DL232">
        <v>4</v>
      </c>
      <c r="DM232">
        <v>0</v>
      </c>
      <c r="DN232">
        <v>2</v>
      </c>
      <c r="DO232">
        <v>951</v>
      </c>
      <c r="DP232">
        <v>8</v>
      </c>
      <c r="DQ232">
        <v>0</v>
      </c>
      <c r="DR232">
        <v>1</v>
      </c>
      <c r="DS232">
        <v>1</v>
      </c>
      <c r="DT232">
        <v>0</v>
      </c>
      <c r="DU232">
        <v>1</v>
      </c>
      <c r="DV232">
        <v>5</v>
      </c>
      <c r="DW232">
        <v>0</v>
      </c>
      <c r="DX232">
        <v>4</v>
      </c>
      <c r="DY232">
        <v>1</v>
      </c>
      <c r="DZ232">
        <v>996</v>
      </c>
      <c r="EA232">
        <v>0.9627</v>
      </c>
      <c r="EB232">
        <v>0.96413803688654598</v>
      </c>
      <c r="EC232">
        <v>0.96246075018128097</v>
      </c>
      <c r="ED232">
        <v>0.96265063518139105</v>
      </c>
      <c r="EE232">
        <f>SUM(Table1[[#This Row],[ratio_0]:[ratio_9]])</f>
        <v>370</v>
      </c>
      <c r="EF232" s="1">
        <f>(Table1[[#This Row],[predicted_0]]-Table1[[#This Row],[actual_0]])/Table1[[#This Row],[actual_0]]</f>
        <v>-3.1632653061224487E-2</v>
      </c>
      <c r="EG232" s="1">
        <f>(Table1[[#This Row],[predicted_1]]-Table1[[#This Row],[actual_1]])/Table1[[#This Row],[actual_1]]</f>
        <v>8.8105726872246704E-3</v>
      </c>
      <c r="EH232" s="1">
        <f>(Table1[[#This Row],[predicted_2]]-Table1[[#This Row],[actual_2]])/Table1[[#This Row],[actual_2]]</f>
        <v>4.6511627906976744E-2</v>
      </c>
      <c r="EI232" s="1">
        <f>(Table1[[#This Row],[predicted_3]]-Table1[[#This Row],[actual_3]])/Table1[[#This Row],[actual_3]]</f>
        <v>-3.3663366336633666E-2</v>
      </c>
      <c r="EJ232" s="1">
        <f>(Table1[[#This Row],[predicted_4]]-Table1[[#This Row],[actual_4]])/Table1[[#This Row],[actual_4]]</f>
        <v>-7.637474541751528E-2</v>
      </c>
      <c r="EK232" s="1">
        <f>(Table1[[#This Row],[predicted_5]]-Table1[[#This Row],[actual_5]])/Table1[[#This Row],[actual_5]]</f>
        <v>4.3721973094170405E-2</v>
      </c>
      <c r="EL232" s="1">
        <f>(Table1[[#This Row],[predicted_6]]-Table1[[#This Row],[actual_6]])/Table1[[#This Row],[actual_6]]</f>
        <v>-3.6534446764091857E-2</v>
      </c>
      <c r="EM232" s="1">
        <f>(Table1[[#This Row],[predicted_7]]-Table1[[#This Row],[actual_7]])/Table1[[#This Row],[actual_7]]</f>
        <v>-3.9883268482490269E-2</v>
      </c>
      <c r="EN232" s="1">
        <f>(Table1[[#This Row],[predicted_8]]-Table1[[#This Row],[actual_8]])/Table1[[#This Row],[actual_8]]</f>
        <v>3.0800821355236141E-3</v>
      </c>
      <c r="EO232" s="1">
        <f>(Table1[[#This Row],[predicted_9]]-Table1[[#This Row],[actual_9]])/Table1[[#This Row],[actual_9]]</f>
        <v>0.11496531219028741</v>
      </c>
      <c r="EP232" s="1">
        <f>1+(Table1[[#This Row],[error_ratio_0]]-EF$2)</f>
        <v>0.96632653061224494</v>
      </c>
      <c r="EQ232" s="1">
        <f>1+(Table1[[#This Row],[error_ratio_1]]-EG$2)</f>
        <v>1.0070484581497798</v>
      </c>
      <c r="ER232" s="1">
        <f>1+(Table1[[#This Row],[error_ratio_2]]-EH$2)</f>
        <v>1.0513565891472869</v>
      </c>
      <c r="ES232" s="1">
        <f>1+(Table1[[#This Row],[error_ratio_3]]-EI$2)</f>
        <v>0.9564356435643564</v>
      </c>
      <c r="ET232" s="1">
        <f>1+(Table1[[#This Row],[error_ratio_4]]-EJ$2)</f>
        <v>0.92260692464358451</v>
      </c>
      <c r="EU232" s="1">
        <f>1+(Table1[[#This Row],[error_ratio_5]]-EK$2)</f>
        <v>1.0426008968609866</v>
      </c>
      <c r="EV232" s="1">
        <f>1+(Table1[[#This Row],[error_ratio_6]]-EL$2)</f>
        <v>0.96972860125260962</v>
      </c>
      <c r="EW232" s="1">
        <f>1+(Table1[[#This Row],[error_ratio_7]]-EM$2)</f>
        <v>0.95817120622568097</v>
      </c>
      <c r="EX232" s="1">
        <f>1+(Table1[[#This Row],[error_ratio_8]]-EN$2)</f>
        <v>1.0061601642710472</v>
      </c>
      <c r="EY232" s="1">
        <f>1+(Table1[[#This Row],[error_ratio_9]]-EO$2)</f>
        <v>1.1189296333002974</v>
      </c>
    </row>
    <row r="233" spans="1:155" x14ac:dyDescent="0.75">
      <c r="A233">
        <v>100</v>
      </c>
      <c r="B233">
        <v>100</v>
      </c>
      <c r="C233">
        <v>10</v>
      </c>
      <c r="D233">
        <v>10</v>
      </c>
      <c r="E233">
        <v>10</v>
      </c>
      <c r="F233">
        <v>10</v>
      </c>
      <c r="G233">
        <v>10</v>
      </c>
      <c r="H233">
        <v>10</v>
      </c>
      <c r="I233">
        <v>100</v>
      </c>
      <c r="J233">
        <v>100</v>
      </c>
      <c r="K233">
        <v>1034</v>
      </c>
      <c r="L233">
        <v>1188</v>
      </c>
      <c r="M233">
        <v>1004</v>
      </c>
      <c r="N233">
        <v>1049</v>
      </c>
      <c r="O233">
        <v>950</v>
      </c>
      <c r="P233">
        <v>834</v>
      </c>
      <c r="Q233">
        <v>860</v>
      </c>
      <c r="R233">
        <v>1054</v>
      </c>
      <c r="S233">
        <v>1002</v>
      </c>
      <c r="T233">
        <v>1025</v>
      </c>
      <c r="U233">
        <v>980</v>
      </c>
      <c r="V233">
        <v>1135</v>
      </c>
      <c r="W233">
        <v>1032</v>
      </c>
      <c r="X233">
        <v>1010</v>
      </c>
      <c r="Y233">
        <v>982</v>
      </c>
      <c r="Z233">
        <v>892</v>
      </c>
      <c r="AA233">
        <v>958</v>
      </c>
      <c r="AB233">
        <v>1028</v>
      </c>
      <c r="AC233">
        <v>974</v>
      </c>
      <c r="AD233">
        <v>1009</v>
      </c>
      <c r="AE233">
        <v>974</v>
      </c>
      <c r="AF233">
        <v>1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1</v>
      </c>
      <c r="AM233">
        <v>3</v>
      </c>
      <c r="AN233">
        <v>1</v>
      </c>
      <c r="AO233">
        <v>0</v>
      </c>
      <c r="AP233">
        <v>1133</v>
      </c>
      <c r="AQ233">
        <v>0</v>
      </c>
      <c r="AR233">
        <v>1</v>
      </c>
      <c r="AS233">
        <v>0</v>
      </c>
      <c r="AT233">
        <v>0</v>
      </c>
      <c r="AU233">
        <v>0</v>
      </c>
      <c r="AV233">
        <v>0</v>
      </c>
      <c r="AW233">
        <v>1</v>
      </c>
      <c r="AX233">
        <v>0</v>
      </c>
      <c r="AY233">
        <v>9</v>
      </c>
      <c r="AZ233">
        <v>28</v>
      </c>
      <c r="BA233">
        <v>976</v>
      </c>
      <c r="BB233">
        <v>1</v>
      </c>
      <c r="BC233">
        <v>0</v>
      </c>
      <c r="BD233">
        <v>0</v>
      </c>
      <c r="BE233">
        <v>0</v>
      </c>
      <c r="BF233">
        <v>15</v>
      </c>
      <c r="BG233">
        <v>3</v>
      </c>
      <c r="BH233">
        <v>0</v>
      </c>
      <c r="BI233">
        <v>9</v>
      </c>
      <c r="BJ233">
        <v>0</v>
      </c>
      <c r="BK233">
        <v>3</v>
      </c>
      <c r="BL233">
        <v>980</v>
      </c>
      <c r="BM233">
        <v>0</v>
      </c>
      <c r="BN233">
        <v>3</v>
      </c>
      <c r="BO233">
        <v>0</v>
      </c>
      <c r="BP233">
        <v>8</v>
      </c>
      <c r="BQ233">
        <v>4</v>
      </c>
      <c r="BR233">
        <v>3</v>
      </c>
      <c r="BS233">
        <v>1</v>
      </c>
      <c r="BT233">
        <v>7</v>
      </c>
      <c r="BU233">
        <v>9</v>
      </c>
      <c r="BV233">
        <v>1</v>
      </c>
      <c r="BW233">
        <v>926</v>
      </c>
      <c r="BX233">
        <v>0</v>
      </c>
      <c r="BY233">
        <v>1</v>
      </c>
      <c r="BZ233">
        <v>4</v>
      </c>
      <c r="CA233">
        <v>2</v>
      </c>
      <c r="CB233">
        <v>31</v>
      </c>
      <c r="CC233">
        <v>12</v>
      </c>
      <c r="CD233">
        <v>2</v>
      </c>
      <c r="CE233">
        <v>0</v>
      </c>
      <c r="CF233">
        <v>40</v>
      </c>
      <c r="CG233">
        <v>0</v>
      </c>
      <c r="CH233">
        <v>826</v>
      </c>
      <c r="CI233">
        <v>1</v>
      </c>
      <c r="CJ233">
        <v>1</v>
      </c>
      <c r="CK233">
        <v>9</v>
      </c>
      <c r="CL233">
        <v>1</v>
      </c>
      <c r="CM233">
        <v>23</v>
      </c>
      <c r="CN233">
        <v>6</v>
      </c>
      <c r="CO233">
        <v>7</v>
      </c>
      <c r="CP233">
        <v>0</v>
      </c>
      <c r="CQ233">
        <v>22</v>
      </c>
      <c r="CR233">
        <v>3</v>
      </c>
      <c r="CS233">
        <v>858</v>
      </c>
      <c r="CT233">
        <v>1</v>
      </c>
      <c r="CU233">
        <v>37</v>
      </c>
      <c r="CV233">
        <v>1</v>
      </c>
      <c r="CW233">
        <v>1</v>
      </c>
      <c r="CX233">
        <v>6</v>
      </c>
      <c r="CY233">
        <v>8</v>
      </c>
      <c r="CZ233">
        <v>1</v>
      </c>
      <c r="DA233">
        <v>0</v>
      </c>
      <c r="DB233">
        <v>0</v>
      </c>
      <c r="DC233">
        <v>0</v>
      </c>
      <c r="DD233">
        <v>1008</v>
      </c>
      <c r="DE233">
        <v>2</v>
      </c>
      <c r="DF233">
        <v>2</v>
      </c>
      <c r="DG233">
        <v>4</v>
      </c>
      <c r="DH233">
        <v>1</v>
      </c>
      <c r="DI233">
        <v>1</v>
      </c>
      <c r="DJ233">
        <v>19</v>
      </c>
      <c r="DK233">
        <v>1</v>
      </c>
      <c r="DL233">
        <v>0</v>
      </c>
      <c r="DM233">
        <v>0</v>
      </c>
      <c r="DN233">
        <v>7</v>
      </c>
      <c r="DO233">
        <v>939</v>
      </c>
      <c r="DP233">
        <v>2</v>
      </c>
      <c r="DQ233">
        <v>1</v>
      </c>
      <c r="DR233">
        <v>4</v>
      </c>
      <c r="DS233">
        <v>0</v>
      </c>
      <c r="DT233">
        <v>6</v>
      </c>
      <c r="DU233">
        <v>1</v>
      </c>
      <c r="DV233">
        <v>2</v>
      </c>
      <c r="DW233">
        <v>0</v>
      </c>
      <c r="DX233">
        <v>9</v>
      </c>
      <c r="DY233">
        <v>2</v>
      </c>
      <c r="DZ233">
        <v>984</v>
      </c>
      <c r="EA233">
        <v>0.96040000000000003</v>
      </c>
      <c r="EB233">
        <v>0.96183126670916796</v>
      </c>
      <c r="EC233">
        <v>0.95925807072772595</v>
      </c>
      <c r="ED233">
        <v>0.95992222155849105</v>
      </c>
      <c r="EE233">
        <f>SUM(Table1[[#This Row],[ratio_0]:[ratio_9]])</f>
        <v>460</v>
      </c>
      <c r="EF233" s="1">
        <f>(Table1[[#This Row],[predicted_0]]-Table1[[#This Row],[actual_0]])/Table1[[#This Row],[actual_0]]</f>
        <v>5.5102040816326532E-2</v>
      </c>
      <c r="EG233" s="1">
        <f>(Table1[[#This Row],[predicted_1]]-Table1[[#This Row],[actual_1]])/Table1[[#This Row],[actual_1]]</f>
        <v>4.6696035242290747E-2</v>
      </c>
      <c r="EH233" s="1">
        <f>(Table1[[#This Row],[predicted_2]]-Table1[[#This Row],[actual_2]])/Table1[[#This Row],[actual_2]]</f>
        <v>-2.7131782945736434E-2</v>
      </c>
      <c r="EI233" s="1">
        <f>(Table1[[#This Row],[predicted_3]]-Table1[[#This Row],[actual_3]])/Table1[[#This Row],[actual_3]]</f>
        <v>3.8613861386138613E-2</v>
      </c>
      <c r="EJ233" s="1">
        <f>(Table1[[#This Row],[predicted_4]]-Table1[[#This Row],[actual_4]])/Table1[[#This Row],[actual_4]]</f>
        <v>-3.2586558044806514E-2</v>
      </c>
      <c r="EK233" s="1">
        <f>(Table1[[#This Row],[predicted_5]]-Table1[[#This Row],[actual_5]])/Table1[[#This Row],[actual_5]]</f>
        <v>-6.5022421524663671E-2</v>
      </c>
      <c r="EL233" s="1">
        <f>(Table1[[#This Row],[predicted_6]]-Table1[[#This Row],[actual_6]])/Table1[[#This Row],[actual_6]]</f>
        <v>-0.1022964509394572</v>
      </c>
      <c r="EM233" s="1">
        <f>(Table1[[#This Row],[predicted_7]]-Table1[[#This Row],[actual_7]])/Table1[[#This Row],[actual_7]]</f>
        <v>2.5291828793774319E-2</v>
      </c>
      <c r="EN233" s="1">
        <f>(Table1[[#This Row],[predicted_8]]-Table1[[#This Row],[actual_8]])/Table1[[#This Row],[actual_8]]</f>
        <v>2.8747433264887063E-2</v>
      </c>
      <c r="EO233" s="1">
        <f>(Table1[[#This Row],[predicted_9]]-Table1[[#This Row],[actual_9]])/Table1[[#This Row],[actual_9]]</f>
        <v>1.5857284440039643E-2</v>
      </c>
      <c r="EP233" s="1">
        <f>1+(Table1[[#This Row],[error_ratio_0]]-EF$2)</f>
        <v>1.0530612244897959</v>
      </c>
      <c r="EQ233" s="1">
        <f>1+(Table1[[#This Row],[error_ratio_1]]-EG$2)</f>
        <v>1.0449339207048458</v>
      </c>
      <c r="ER233" s="1">
        <f>1+(Table1[[#This Row],[error_ratio_2]]-EH$2)</f>
        <v>0.9777131782945736</v>
      </c>
      <c r="ES233" s="1">
        <f>1+(Table1[[#This Row],[error_ratio_3]]-EI$2)</f>
        <v>1.0287128712871287</v>
      </c>
      <c r="ET233" s="1">
        <f>1+(Table1[[#This Row],[error_ratio_4]]-EJ$2)</f>
        <v>0.96639511201629325</v>
      </c>
      <c r="EU233" s="1">
        <f>1+(Table1[[#This Row],[error_ratio_5]]-EK$2)</f>
        <v>0.93385650224215244</v>
      </c>
      <c r="EV233" s="1">
        <f>1+(Table1[[#This Row],[error_ratio_6]]-EL$2)</f>
        <v>0.90396659707724425</v>
      </c>
      <c r="EW233" s="1">
        <f>1+(Table1[[#This Row],[error_ratio_7]]-EM$2)</f>
        <v>1.0233463035019454</v>
      </c>
      <c r="EX233" s="1">
        <f>1+(Table1[[#This Row],[error_ratio_8]]-EN$2)</f>
        <v>1.0318275154004106</v>
      </c>
      <c r="EY233" s="1">
        <f>1+(Table1[[#This Row],[error_ratio_9]]-EO$2)</f>
        <v>1.0198216055500495</v>
      </c>
    </row>
    <row r="234" spans="1:155" x14ac:dyDescent="0.75">
      <c r="A234">
        <v>10</v>
      </c>
      <c r="B234">
        <v>100</v>
      </c>
      <c r="C234">
        <v>10</v>
      </c>
      <c r="D234">
        <v>10</v>
      </c>
      <c r="E234">
        <v>10</v>
      </c>
      <c r="F234">
        <v>10</v>
      </c>
      <c r="G234">
        <v>10</v>
      </c>
      <c r="H234">
        <v>10</v>
      </c>
      <c r="I234">
        <v>100</v>
      </c>
      <c r="J234">
        <v>100</v>
      </c>
      <c r="K234">
        <v>991</v>
      </c>
      <c r="L234">
        <v>1156</v>
      </c>
      <c r="M234">
        <v>989</v>
      </c>
      <c r="N234">
        <v>1048</v>
      </c>
      <c r="O234">
        <v>894</v>
      </c>
      <c r="P234">
        <v>833</v>
      </c>
      <c r="Q234">
        <v>955</v>
      </c>
      <c r="R234">
        <v>1018</v>
      </c>
      <c r="S234">
        <v>1016</v>
      </c>
      <c r="T234">
        <v>1100</v>
      </c>
      <c r="U234">
        <v>980</v>
      </c>
      <c r="V234">
        <v>1135</v>
      </c>
      <c r="W234">
        <v>1032</v>
      </c>
      <c r="X234">
        <v>1010</v>
      </c>
      <c r="Y234">
        <v>982</v>
      </c>
      <c r="Z234">
        <v>892</v>
      </c>
      <c r="AA234">
        <v>958</v>
      </c>
      <c r="AB234">
        <v>1028</v>
      </c>
      <c r="AC234">
        <v>974</v>
      </c>
      <c r="AD234">
        <v>1009</v>
      </c>
      <c r="AE234">
        <v>964</v>
      </c>
      <c r="AF234">
        <v>1</v>
      </c>
      <c r="AG234">
        <v>1</v>
      </c>
      <c r="AH234">
        <v>1</v>
      </c>
      <c r="AI234">
        <v>0</v>
      </c>
      <c r="AJ234">
        <v>0</v>
      </c>
      <c r="AK234">
        <v>2</v>
      </c>
      <c r="AL234">
        <v>1</v>
      </c>
      <c r="AM234">
        <v>7</v>
      </c>
      <c r="AN234">
        <v>3</v>
      </c>
      <c r="AO234">
        <v>0</v>
      </c>
      <c r="AP234">
        <v>1132</v>
      </c>
      <c r="AQ234">
        <v>0</v>
      </c>
      <c r="AR234">
        <v>1</v>
      </c>
      <c r="AS234">
        <v>0</v>
      </c>
      <c r="AT234">
        <v>0</v>
      </c>
      <c r="AU234">
        <v>1</v>
      </c>
      <c r="AV234">
        <v>0</v>
      </c>
      <c r="AW234">
        <v>1</v>
      </c>
      <c r="AX234">
        <v>0</v>
      </c>
      <c r="AY234">
        <v>6</v>
      </c>
      <c r="AZ234">
        <v>12</v>
      </c>
      <c r="BA234">
        <v>966</v>
      </c>
      <c r="BB234">
        <v>11</v>
      </c>
      <c r="BC234">
        <v>0</v>
      </c>
      <c r="BD234">
        <v>0</v>
      </c>
      <c r="BE234">
        <v>3</v>
      </c>
      <c r="BF234">
        <v>14</v>
      </c>
      <c r="BG234">
        <v>20</v>
      </c>
      <c r="BH234">
        <v>0</v>
      </c>
      <c r="BI234">
        <v>2</v>
      </c>
      <c r="BJ234">
        <v>0</v>
      </c>
      <c r="BK234">
        <v>2</v>
      </c>
      <c r="BL234">
        <v>987</v>
      </c>
      <c r="BM234">
        <v>0</v>
      </c>
      <c r="BN234">
        <v>3</v>
      </c>
      <c r="BO234">
        <v>0</v>
      </c>
      <c r="BP234">
        <v>6</v>
      </c>
      <c r="BQ234">
        <v>2</v>
      </c>
      <c r="BR234">
        <v>8</v>
      </c>
      <c r="BS234">
        <v>1</v>
      </c>
      <c r="BT234">
        <v>1</v>
      </c>
      <c r="BU234">
        <v>4</v>
      </c>
      <c r="BV234">
        <v>0</v>
      </c>
      <c r="BW234">
        <v>888</v>
      </c>
      <c r="BX234">
        <v>0</v>
      </c>
      <c r="BY234">
        <v>24</v>
      </c>
      <c r="BZ234">
        <v>2</v>
      </c>
      <c r="CA234">
        <v>6</v>
      </c>
      <c r="CB234">
        <v>56</v>
      </c>
      <c r="CC234">
        <v>1</v>
      </c>
      <c r="CD234">
        <v>0</v>
      </c>
      <c r="CE234">
        <v>0</v>
      </c>
      <c r="CF234">
        <v>39</v>
      </c>
      <c r="CG234">
        <v>0</v>
      </c>
      <c r="CH234">
        <v>820</v>
      </c>
      <c r="CI234">
        <v>4</v>
      </c>
      <c r="CJ234">
        <v>1</v>
      </c>
      <c r="CK234">
        <v>6</v>
      </c>
      <c r="CL234">
        <v>21</v>
      </c>
      <c r="CM234">
        <v>11</v>
      </c>
      <c r="CN234">
        <v>3</v>
      </c>
      <c r="CO234">
        <v>1</v>
      </c>
      <c r="CP234">
        <v>1</v>
      </c>
      <c r="CQ234">
        <v>3</v>
      </c>
      <c r="CR234">
        <v>8</v>
      </c>
      <c r="CS234">
        <v>920</v>
      </c>
      <c r="CT234">
        <v>0</v>
      </c>
      <c r="CU234">
        <v>11</v>
      </c>
      <c r="CV234">
        <v>0</v>
      </c>
      <c r="CW234">
        <v>2</v>
      </c>
      <c r="CX234">
        <v>6</v>
      </c>
      <c r="CY234">
        <v>13</v>
      </c>
      <c r="CZ234">
        <v>0</v>
      </c>
      <c r="DA234">
        <v>0</v>
      </c>
      <c r="DB234">
        <v>0</v>
      </c>
      <c r="DC234">
        <v>0</v>
      </c>
      <c r="DD234">
        <v>988</v>
      </c>
      <c r="DE234">
        <v>2</v>
      </c>
      <c r="DF234">
        <v>17</v>
      </c>
      <c r="DG234">
        <v>2</v>
      </c>
      <c r="DH234">
        <v>0</v>
      </c>
      <c r="DI234">
        <v>1</v>
      </c>
      <c r="DJ234">
        <v>3</v>
      </c>
      <c r="DK234">
        <v>2</v>
      </c>
      <c r="DL234">
        <v>1</v>
      </c>
      <c r="DM234">
        <v>1</v>
      </c>
      <c r="DN234">
        <v>3</v>
      </c>
      <c r="DO234">
        <v>958</v>
      </c>
      <c r="DP234">
        <v>3</v>
      </c>
      <c r="DQ234">
        <v>2</v>
      </c>
      <c r="DR234">
        <v>1</v>
      </c>
      <c r="DS234">
        <v>1</v>
      </c>
      <c r="DT234">
        <v>5</v>
      </c>
      <c r="DU234">
        <v>1</v>
      </c>
      <c r="DV234">
        <v>1</v>
      </c>
      <c r="DW234">
        <v>0</v>
      </c>
      <c r="DX234">
        <v>3</v>
      </c>
      <c r="DY234">
        <v>3</v>
      </c>
      <c r="DZ234">
        <v>992</v>
      </c>
      <c r="EA234">
        <v>0.96150000000000002</v>
      </c>
      <c r="EB234">
        <v>0.96268267795984797</v>
      </c>
      <c r="EC234">
        <v>0.96060120828865603</v>
      </c>
      <c r="ED234">
        <v>0.96101354357811397</v>
      </c>
      <c r="EE234">
        <f>SUM(Table1[[#This Row],[ratio_0]:[ratio_9]])</f>
        <v>370</v>
      </c>
      <c r="EF234" s="1">
        <f>(Table1[[#This Row],[predicted_0]]-Table1[[#This Row],[actual_0]])/Table1[[#This Row],[actual_0]]</f>
        <v>1.1224489795918367E-2</v>
      </c>
      <c r="EG234" s="1">
        <f>(Table1[[#This Row],[predicted_1]]-Table1[[#This Row],[actual_1]])/Table1[[#This Row],[actual_1]]</f>
        <v>1.8502202643171806E-2</v>
      </c>
      <c r="EH234" s="1">
        <f>(Table1[[#This Row],[predicted_2]]-Table1[[#This Row],[actual_2]])/Table1[[#This Row],[actual_2]]</f>
        <v>-4.1666666666666664E-2</v>
      </c>
      <c r="EI234" s="1">
        <f>(Table1[[#This Row],[predicted_3]]-Table1[[#This Row],[actual_3]])/Table1[[#This Row],[actual_3]]</f>
        <v>3.7623762376237622E-2</v>
      </c>
      <c r="EJ234" s="1">
        <f>(Table1[[#This Row],[predicted_4]]-Table1[[#This Row],[actual_4]])/Table1[[#This Row],[actual_4]]</f>
        <v>-8.9613034623217916E-2</v>
      </c>
      <c r="EK234" s="1">
        <f>(Table1[[#This Row],[predicted_5]]-Table1[[#This Row],[actual_5]])/Table1[[#This Row],[actual_5]]</f>
        <v>-6.614349775784753E-2</v>
      </c>
      <c r="EL234" s="1">
        <f>(Table1[[#This Row],[predicted_6]]-Table1[[#This Row],[actual_6]])/Table1[[#This Row],[actual_6]]</f>
        <v>-3.1315240083507308E-3</v>
      </c>
      <c r="EM234" s="1">
        <f>(Table1[[#This Row],[predicted_7]]-Table1[[#This Row],[actual_7]])/Table1[[#This Row],[actual_7]]</f>
        <v>-9.727626459143969E-3</v>
      </c>
      <c r="EN234" s="1">
        <f>(Table1[[#This Row],[predicted_8]]-Table1[[#This Row],[actual_8]])/Table1[[#This Row],[actual_8]]</f>
        <v>4.3121149897330596E-2</v>
      </c>
      <c r="EO234" s="1">
        <f>(Table1[[#This Row],[predicted_9]]-Table1[[#This Row],[actual_9]])/Table1[[#This Row],[actual_9]]</f>
        <v>9.0188305252725476E-2</v>
      </c>
      <c r="EP234" s="1">
        <f>1+(Table1[[#This Row],[error_ratio_0]]-EF$2)</f>
        <v>1.0091836734693878</v>
      </c>
      <c r="EQ234" s="1">
        <f>1+(Table1[[#This Row],[error_ratio_1]]-EG$2)</f>
        <v>1.0167400881057269</v>
      </c>
      <c r="ER234" s="1">
        <f>1+(Table1[[#This Row],[error_ratio_2]]-EH$2)</f>
        <v>0.96317829457364346</v>
      </c>
      <c r="ES234" s="1">
        <f>1+(Table1[[#This Row],[error_ratio_3]]-EI$2)</f>
        <v>1.0277227722772277</v>
      </c>
      <c r="ET234" s="1">
        <f>1+(Table1[[#This Row],[error_ratio_4]]-EJ$2)</f>
        <v>0.90936863543788182</v>
      </c>
      <c r="EU234" s="1">
        <f>1+(Table1[[#This Row],[error_ratio_5]]-EK$2)</f>
        <v>0.93273542600896864</v>
      </c>
      <c r="EV234" s="1">
        <f>1+(Table1[[#This Row],[error_ratio_6]]-EL$2)</f>
        <v>1.0031315240083507</v>
      </c>
      <c r="EW234" s="1">
        <f>1+(Table1[[#This Row],[error_ratio_7]]-EM$2)</f>
        <v>0.98832684824902728</v>
      </c>
      <c r="EX234" s="1">
        <f>1+(Table1[[#This Row],[error_ratio_8]]-EN$2)</f>
        <v>1.0462012320328542</v>
      </c>
      <c r="EY234" s="1">
        <f>1+(Table1[[#This Row],[error_ratio_9]]-EO$2)</f>
        <v>1.0941526263627355</v>
      </c>
    </row>
    <row r="235" spans="1:155" x14ac:dyDescent="0.75">
      <c r="A235">
        <v>100</v>
      </c>
      <c r="B235">
        <v>10</v>
      </c>
      <c r="C235">
        <v>10</v>
      </c>
      <c r="D235">
        <v>10</v>
      </c>
      <c r="E235">
        <v>10</v>
      </c>
      <c r="F235">
        <v>10</v>
      </c>
      <c r="G235">
        <v>10</v>
      </c>
      <c r="H235">
        <v>10</v>
      </c>
      <c r="I235">
        <v>100</v>
      </c>
      <c r="J235">
        <v>100</v>
      </c>
      <c r="K235">
        <v>1063</v>
      </c>
      <c r="L235">
        <v>1131</v>
      </c>
      <c r="M235">
        <v>1056</v>
      </c>
      <c r="N235">
        <v>1040</v>
      </c>
      <c r="O235">
        <v>860</v>
      </c>
      <c r="P235">
        <v>865</v>
      </c>
      <c r="Q235">
        <v>910</v>
      </c>
      <c r="R235">
        <v>856</v>
      </c>
      <c r="S235">
        <v>1055</v>
      </c>
      <c r="T235">
        <v>1164</v>
      </c>
      <c r="U235">
        <v>980</v>
      </c>
      <c r="V235">
        <v>1135</v>
      </c>
      <c r="W235">
        <v>1032</v>
      </c>
      <c r="X235">
        <v>1010</v>
      </c>
      <c r="Y235">
        <v>982</v>
      </c>
      <c r="Z235">
        <v>892</v>
      </c>
      <c r="AA235">
        <v>958</v>
      </c>
      <c r="AB235">
        <v>1028</v>
      </c>
      <c r="AC235">
        <v>974</v>
      </c>
      <c r="AD235">
        <v>1009</v>
      </c>
      <c r="AE235">
        <v>979</v>
      </c>
      <c r="AF235">
        <v>0</v>
      </c>
      <c r="AG235">
        <v>1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1115</v>
      </c>
      <c r="AQ235">
        <v>4</v>
      </c>
      <c r="AR235">
        <v>7</v>
      </c>
      <c r="AS235">
        <v>0</v>
      </c>
      <c r="AT235">
        <v>0</v>
      </c>
      <c r="AU235">
        <v>1</v>
      </c>
      <c r="AV235">
        <v>0</v>
      </c>
      <c r="AW235">
        <v>7</v>
      </c>
      <c r="AX235">
        <v>1</v>
      </c>
      <c r="AY235">
        <v>10</v>
      </c>
      <c r="AZ235">
        <v>1</v>
      </c>
      <c r="BA235">
        <v>1004</v>
      </c>
      <c r="BB235">
        <v>3</v>
      </c>
      <c r="BC235">
        <v>5</v>
      </c>
      <c r="BD235">
        <v>0</v>
      </c>
      <c r="BE235">
        <v>1</v>
      </c>
      <c r="BF235">
        <v>1</v>
      </c>
      <c r="BG235">
        <v>7</v>
      </c>
      <c r="BH235">
        <v>0</v>
      </c>
      <c r="BI235">
        <v>5</v>
      </c>
      <c r="BJ235">
        <v>0</v>
      </c>
      <c r="BK235">
        <v>6</v>
      </c>
      <c r="BL235">
        <v>973</v>
      </c>
      <c r="BM235">
        <v>0</v>
      </c>
      <c r="BN235">
        <v>8</v>
      </c>
      <c r="BO235">
        <v>0</v>
      </c>
      <c r="BP235">
        <v>2</v>
      </c>
      <c r="BQ235">
        <v>13</v>
      </c>
      <c r="BR235">
        <v>3</v>
      </c>
      <c r="BS235">
        <v>2</v>
      </c>
      <c r="BT235">
        <v>0</v>
      </c>
      <c r="BU235">
        <v>2</v>
      </c>
      <c r="BV235">
        <v>0</v>
      </c>
      <c r="BW235">
        <v>846</v>
      </c>
      <c r="BX235">
        <v>0</v>
      </c>
      <c r="BY235">
        <v>3</v>
      </c>
      <c r="BZ235">
        <v>0</v>
      </c>
      <c r="CA235">
        <v>2</v>
      </c>
      <c r="CB235">
        <v>127</v>
      </c>
      <c r="CC235">
        <v>15</v>
      </c>
      <c r="CD235">
        <v>0</v>
      </c>
      <c r="CE235">
        <v>1</v>
      </c>
      <c r="CF235">
        <v>26</v>
      </c>
      <c r="CG235">
        <v>0</v>
      </c>
      <c r="CH235">
        <v>844</v>
      </c>
      <c r="CI235">
        <v>2</v>
      </c>
      <c r="CJ235">
        <v>0</v>
      </c>
      <c r="CK235">
        <v>4</v>
      </c>
      <c r="CL235">
        <v>0</v>
      </c>
      <c r="CM235">
        <v>33</v>
      </c>
      <c r="CN235">
        <v>3</v>
      </c>
      <c r="CO235">
        <v>4</v>
      </c>
      <c r="CP235">
        <v>0</v>
      </c>
      <c r="CQ235">
        <v>7</v>
      </c>
      <c r="CR235">
        <v>3</v>
      </c>
      <c r="CS235">
        <v>903</v>
      </c>
      <c r="CT235">
        <v>0</v>
      </c>
      <c r="CU235">
        <v>5</v>
      </c>
      <c r="CV235">
        <v>0</v>
      </c>
      <c r="CW235">
        <v>8</v>
      </c>
      <c r="CX235">
        <v>12</v>
      </c>
      <c r="CY235">
        <v>34</v>
      </c>
      <c r="CZ235">
        <v>25</v>
      </c>
      <c r="DA235">
        <v>1</v>
      </c>
      <c r="DB235">
        <v>5</v>
      </c>
      <c r="DC235">
        <v>0</v>
      </c>
      <c r="DD235">
        <v>853</v>
      </c>
      <c r="DE235">
        <v>50</v>
      </c>
      <c r="DF235">
        <v>40</v>
      </c>
      <c r="DG235">
        <v>8</v>
      </c>
      <c r="DH235">
        <v>0</v>
      </c>
      <c r="DI235">
        <v>0</v>
      </c>
      <c r="DJ235">
        <v>1</v>
      </c>
      <c r="DK235">
        <v>0</v>
      </c>
      <c r="DL235">
        <v>2</v>
      </c>
      <c r="DM235">
        <v>0</v>
      </c>
      <c r="DN235">
        <v>0</v>
      </c>
      <c r="DO235">
        <v>962</v>
      </c>
      <c r="DP235">
        <v>1</v>
      </c>
      <c r="DQ235">
        <v>3</v>
      </c>
      <c r="DR235">
        <v>0</v>
      </c>
      <c r="DS235">
        <v>0</v>
      </c>
      <c r="DT235">
        <v>5</v>
      </c>
      <c r="DU235">
        <v>1</v>
      </c>
      <c r="DV235">
        <v>3</v>
      </c>
      <c r="DW235">
        <v>0</v>
      </c>
      <c r="DX235">
        <v>0</v>
      </c>
      <c r="DY235">
        <v>5</v>
      </c>
      <c r="DZ235">
        <v>992</v>
      </c>
      <c r="EA235">
        <v>0.94710000000000005</v>
      </c>
      <c r="EB235">
        <v>0.95054946003940999</v>
      </c>
      <c r="EC235">
        <v>0.94684750394858697</v>
      </c>
      <c r="ED235">
        <v>0.94663603296559795</v>
      </c>
      <c r="EE235">
        <f>SUM(Table1[[#This Row],[ratio_0]:[ratio_9]])</f>
        <v>370</v>
      </c>
      <c r="EF235" s="1">
        <f>(Table1[[#This Row],[predicted_0]]-Table1[[#This Row],[actual_0]])/Table1[[#This Row],[actual_0]]</f>
        <v>8.4693877551020411E-2</v>
      </c>
      <c r="EG235" s="1">
        <f>(Table1[[#This Row],[predicted_1]]-Table1[[#This Row],[actual_1]])/Table1[[#This Row],[actual_1]]</f>
        <v>-3.524229074889868E-3</v>
      </c>
      <c r="EH235" s="1">
        <f>(Table1[[#This Row],[predicted_2]]-Table1[[#This Row],[actual_2]])/Table1[[#This Row],[actual_2]]</f>
        <v>2.3255813953488372E-2</v>
      </c>
      <c r="EI235" s="1">
        <f>(Table1[[#This Row],[predicted_3]]-Table1[[#This Row],[actual_3]])/Table1[[#This Row],[actual_3]]</f>
        <v>2.9702970297029702E-2</v>
      </c>
      <c r="EJ235" s="1">
        <f>(Table1[[#This Row],[predicted_4]]-Table1[[#This Row],[actual_4]])/Table1[[#This Row],[actual_4]]</f>
        <v>-0.12423625254582485</v>
      </c>
      <c r="EK235" s="1">
        <f>(Table1[[#This Row],[predicted_5]]-Table1[[#This Row],[actual_5]])/Table1[[#This Row],[actual_5]]</f>
        <v>-3.0269058295964126E-2</v>
      </c>
      <c r="EL235" s="1">
        <f>(Table1[[#This Row],[predicted_6]]-Table1[[#This Row],[actual_6]])/Table1[[#This Row],[actual_6]]</f>
        <v>-5.0104384133611693E-2</v>
      </c>
      <c r="EM235" s="1">
        <f>(Table1[[#This Row],[predicted_7]]-Table1[[#This Row],[actual_7]])/Table1[[#This Row],[actual_7]]</f>
        <v>-0.16731517509727625</v>
      </c>
      <c r="EN235" s="1">
        <f>(Table1[[#This Row],[predicted_8]]-Table1[[#This Row],[actual_8]])/Table1[[#This Row],[actual_8]]</f>
        <v>8.3162217659137574E-2</v>
      </c>
      <c r="EO235" s="1">
        <f>(Table1[[#This Row],[predicted_9]]-Table1[[#This Row],[actual_9]])/Table1[[#This Row],[actual_9]]</f>
        <v>0.15361744301288405</v>
      </c>
      <c r="EP235" s="1">
        <f>1+(Table1[[#This Row],[error_ratio_0]]-EF$2)</f>
        <v>1.0826530612244898</v>
      </c>
      <c r="EQ235" s="1">
        <f>1+(Table1[[#This Row],[error_ratio_1]]-EG$2)</f>
        <v>0.99471365638766518</v>
      </c>
      <c r="ER235" s="1">
        <f>1+(Table1[[#This Row],[error_ratio_2]]-EH$2)</f>
        <v>1.0281007751937985</v>
      </c>
      <c r="ES235" s="1">
        <f>1+(Table1[[#This Row],[error_ratio_3]]-EI$2)</f>
        <v>1.0198019801980198</v>
      </c>
      <c r="ET235" s="1">
        <f>1+(Table1[[#This Row],[error_ratio_4]]-EJ$2)</f>
        <v>0.8747454175152749</v>
      </c>
      <c r="EU235" s="1">
        <f>1+(Table1[[#This Row],[error_ratio_5]]-EK$2)</f>
        <v>0.96860986547085204</v>
      </c>
      <c r="EV235" s="1">
        <f>1+(Table1[[#This Row],[error_ratio_6]]-EL$2)</f>
        <v>0.95615866388308979</v>
      </c>
      <c r="EW235" s="1">
        <f>1+(Table1[[#This Row],[error_ratio_7]]-EM$2)</f>
        <v>0.83073929961089499</v>
      </c>
      <c r="EX235" s="1">
        <f>1+(Table1[[#This Row],[error_ratio_8]]-EN$2)</f>
        <v>1.0862422997946612</v>
      </c>
      <c r="EY235" s="1">
        <f>1+(Table1[[#This Row],[error_ratio_9]]-EO$2)</f>
        <v>1.157581764122894</v>
      </c>
    </row>
    <row r="236" spans="1:155" x14ac:dyDescent="0.75">
      <c r="A236">
        <v>10</v>
      </c>
      <c r="B236">
        <v>10</v>
      </c>
      <c r="C236">
        <v>10</v>
      </c>
      <c r="D236">
        <v>10</v>
      </c>
      <c r="E236">
        <v>10</v>
      </c>
      <c r="F236">
        <v>10</v>
      </c>
      <c r="G236">
        <v>10</v>
      </c>
      <c r="H236">
        <v>10</v>
      </c>
      <c r="I236">
        <v>100</v>
      </c>
      <c r="J236">
        <v>100</v>
      </c>
      <c r="K236">
        <v>914</v>
      </c>
      <c r="L236">
        <v>1133</v>
      </c>
      <c r="M236">
        <v>1037</v>
      </c>
      <c r="N236">
        <v>968</v>
      </c>
      <c r="O236">
        <v>872</v>
      </c>
      <c r="P236">
        <v>832</v>
      </c>
      <c r="Q236">
        <v>1015</v>
      </c>
      <c r="R236">
        <v>973</v>
      </c>
      <c r="S236">
        <v>1095</v>
      </c>
      <c r="T236">
        <v>1161</v>
      </c>
      <c r="U236">
        <v>980</v>
      </c>
      <c r="V236">
        <v>1135</v>
      </c>
      <c r="W236">
        <v>1032</v>
      </c>
      <c r="X236">
        <v>1010</v>
      </c>
      <c r="Y236">
        <v>982</v>
      </c>
      <c r="Z236">
        <v>892</v>
      </c>
      <c r="AA236">
        <v>958</v>
      </c>
      <c r="AB236">
        <v>1028</v>
      </c>
      <c r="AC236">
        <v>974</v>
      </c>
      <c r="AD236">
        <v>1009</v>
      </c>
      <c r="AE236">
        <v>903</v>
      </c>
      <c r="AF236">
        <v>0</v>
      </c>
      <c r="AG236">
        <v>2</v>
      </c>
      <c r="AH236">
        <v>0</v>
      </c>
      <c r="AI236">
        <v>0</v>
      </c>
      <c r="AJ236">
        <v>1</v>
      </c>
      <c r="AK236">
        <v>49</v>
      </c>
      <c r="AL236">
        <v>0</v>
      </c>
      <c r="AM236">
        <v>17</v>
      </c>
      <c r="AN236">
        <v>8</v>
      </c>
      <c r="AO236">
        <v>0</v>
      </c>
      <c r="AP236">
        <v>1119</v>
      </c>
      <c r="AQ236">
        <v>4</v>
      </c>
      <c r="AR236">
        <v>1</v>
      </c>
      <c r="AS236">
        <v>0</v>
      </c>
      <c r="AT236">
        <v>0</v>
      </c>
      <c r="AU236">
        <v>6</v>
      </c>
      <c r="AV236">
        <v>0</v>
      </c>
      <c r="AW236">
        <v>3</v>
      </c>
      <c r="AX236">
        <v>2</v>
      </c>
      <c r="AY236">
        <v>1</v>
      </c>
      <c r="AZ236">
        <v>1</v>
      </c>
      <c r="BA236">
        <v>993</v>
      </c>
      <c r="BB236">
        <v>1</v>
      </c>
      <c r="BC236">
        <v>3</v>
      </c>
      <c r="BD236">
        <v>1</v>
      </c>
      <c r="BE236">
        <v>6</v>
      </c>
      <c r="BF236">
        <v>10</v>
      </c>
      <c r="BG236">
        <v>15</v>
      </c>
      <c r="BH236">
        <v>1</v>
      </c>
      <c r="BI236">
        <v>3</v>
      </c>
      <c r="BJ236">
        <v>0</v>
      </c>
      <c r="BK236">
        <v>11</v>
      </c>
      <c r="BL236">
        <v>953</v>
      </c>
      <c r="BM236">
        <v>0</v>
      </c>
      <c r="BN236">
        <v>7</v>
      </c>
      <c r="BO236">
        <v>0</v>
      </c>
      <c r="BP236">
        <v>2</v>
      </c>
      <c r="BQ236">
        <v>21</v>
      </c>
      <c r="BR236">
        <v>13</v>
      </c>
      <c r="BS236">
        <v>0</v>
      </c>
      <c r="BT236">
        <v>6</v>
      </c>
      <c r="BU236">
        <v>4</v>
      </c>
      <c r="BV236">
        <v>1</v>
      </c>
      <c r="BW236">
        <v>863</v>
      </c>
      <c r="BX236">
        <v>0</v>
      </c>
      <c r="BY236">
        <v>8</v>
      </c>
      <c r="BZ236">
        <v>1</v>
      </c>
      <c r="CA236">
        <v>9</v>
      </c>
      <c r="CB236">
        <v>90</v>
      </c>
      <c r="CC236">
        <v>5</v>
      </c>
      <c r="CD236">
        <v>0</v>
      </c>
      <c r="CE236">
        <v>1</v>
      </c>
      <c r="CF236">
        <v>4</v>
      </c>
      <c r="CG236">
        <v>0</v>
      </c>
      <c r="CH236">
        <v>816</v>
      </c>
      <c r="CI236">
        <v>9</v>
      </c>
      <c r="CJ236">
        <v>1</v>
      </c>
      <c r="CK236">
        <v>50</v>
      </c>
      <c r="CL236">
        <v>6</v>
      </c>
      <c r="CM236">
        <v>0</v>
      </c>
      <c r="CN236">
        <v>3</v>
      </c>
      <c r="CO236">
        <v>0</v>
      </c>
      <c r="CP236">
        <v>0</v>
      </c>
      <c r="CQ236">
        <v>5</v>
      </c>
      <c r="CR236">
        <v>2</v>
      </c>
      <c r="CS236">
        <v>936</v>
      </c>
      <c r="CT236">
        <v>0</v>
      </c>
      <c r="CU236">
        <v>12</v>
      </c>
      <c r="CV236">
        <v>0</v>
      </c>
      <c r="CW236">
        <v>1</v>
      </c>
      <c r="CX236">
        <v>4</v>
      </c>
      <c r="CY236">
        <v>21</v>
      </c>
      <c r="CZ236">
        <v>7</v>
      </c>
      <c r="DA236">
        <v>0</v>
      </c>
      <c r="DB236">
        <v>0</v>
      </c>
      <c r="DC236">
        <v>0</v>
      </c>
      <c r="DD236">
        <v>955</v>
      </c>
      <c r="DE236">
        <v>3</v>
      </c>
      <c r="DF236">
        <v>37</v>
      </c>
      <c r="DG236">
        <v>0</v>
      </c>
      <c r="DH236">
        <v>0</v>
      </c>
      <c r="DI236">
        <v>1</v>
      </c>
      <c r="DJ236">
        <v>1</v>
      </c>
      <c r="DK236">
        <v>0</v>
      </c>
      <c r="DL236">
        <v>0</v>
      </c>
      <c r="DM236">
        <v>0</v>
      </c>
      <c r="DN236">
        <v>4</v>
      </c>
      <c r="DO236">
        <v>963</v>
      </c>
      <c r="DP236">
        <v>5</v>
      </c>
      <c r="DQ236">
        <v>1</v>
      </c>
      <c r="DR236">
        <v>0</v>
      </c>
      <c r="DS236">
        <v>0</v>
      </c>
      <c r="DT236">
        <v>0</v>
      </c>
      <c r="DU236">
        <v>1</v>
      </c>
      <c r="DV236">
        <v>5</v>
      </c>
      <c r="DW236">
        <v>1</v>
      </c>
      <c r="DX236">
        <v>0</v>
      </c>
      <c r="DY236">
        <v>2</v>
      </c>
      <c r="DZ236">
        <v>999</v>
      </c>
      <c r="EA236">
        <v>0.95</v>
      </c>
      <c r="EB236">
        <v>0.95317157615230297</v>
      </c>
      <c r="EC236">
        <v>0.94915416376208706</v>
      </c>
      <c r="ED236">
        <v>0.94963428597195798</v>
      </c>
      <c r="EE236">
        <f>SUM(Table1[[#This Row],[ratio_0]:[ratio_9]])</f>
        <v>280</v>
      </c>
      <c r="EF236" s="1">
        <f>(Table1[[#This Row],[predicted_0]]-Table1[[#This Row],[actual_0]])/Table1[[#This Row],[actual_0]]</f>
        <v>-6.7346938775510207E-2</v>
      </c>
      <c r="EG236" s="1">
        <f>(Table1[[#This Row],[predicted_1]]-Table1[[#This Row],[actual_1]])/Table1[[#This Row],[actual_1]]</f>
        <v>-1.762114537444934E-3</v>
      </c>
      <c r="EH236" s="1">
        <f>(Table1[[#This Row],[predicted_2]]-Table1[[#This Row],[actual_2]])/Table1[[#This Row],[actual_2]]</f>
        <v>4.8449612403100775E-3</v>
      </c>
      <c r="EI236" s="1">
        <f>(Table1[[#This Row],[predicted_3]]-Table1[[#This Row],[actual_3]])/Table1[[#This Row],[actual_3]]</f>
        <v>-4.1584158415841586E-2</v>
      </c>
      <c r="EJ236" s="1">
        <f>(Table1[[#This Row],[predicted_4]]-Table1[[#This Row],[actual_4]])/Table1[[#This Row],[actual_4]]</f>
        <v>-0.11201629327902241</v>
      </c>
      <c r="EK236" s="1">
        <f>(Table1[[#This Row],[predicted_5]]-Table1[[#This Row],[actual_5]])/Table1[[#This Row],[actual_5]]</f>
        <v>-6.726457399103139E-2</v>
      </c>
      <c r="EL236" s="1">
        <f>(Table1[[#This Row],[predicted_6]]-Table1[[#This Row],[actual_6]])/Table1[[#This Row],[actual_6]]</f>
        <v>5.9498956158663886E-2</v>
      </c>
      <c r="EM236" s="1">
        <f>(Table1[[#This Row],[predicted_7]]-Table1[[#This Row],[actual_7]])/Table1[[#This Row],[actual_7]]</f>
        <v>-5.3501945525291826E-2</v>
      </c>
      <c r="EN236" s="1">
        <f>(Table1[[#This Row],[predicted_8]]-Table1[[#This Row],[actual_8]])/Table1[[#This Row],[actual_8]]</f>
        <v>0.12422997946611909</v>
      </c>
      <c r="EO236" s="1">
        <f>(Table1[[#This Row],[predicted_9]]-Table1[[#This Row],[actual_9]])/Table1[[#This Row],[actual_9]]</f>
        <v>0.15064420218037661</v>
      </c>
      <c r="EP236" s="1">
        <f>1+(Table1[[#This Row],[error_ratio_0]]-EF$2)</f>
        <v>0.93061224489795924</v>
      </c>
      <c r="EQ236" s="1">
        <f>1+(Table1[[#This Row],[error_ratio_1]]-EG$2)</f>
        <v>0.99647577092511008</v>
      </c>
      <c r="ER236" s="1">
        <f>1+(Table1[[#This Row],[error_ratio_2]]-EH$2)</f>
        <v>1.0096899224806202</v>
      </c>
      <c r="ES236" s="1">
        <f>1+(Table1[[#This Row],[error_ratio_3]]-EI$2)</f>
        <v>0.94851485148514847</v>
      </c>
      <c r="ET236" s="1">
        <f>1+(Table1[[#This Row],[error_ratio_4]]-EJ$2)</f>
        <v>0.88696537678207743</v>
      </c>
      <c r="EU236" s="1">
        <f>1+(Table1[[#This Row],[error_ratio_5]]-EK$2)</f>
        <v>0.93161434977578472</v>
      </c>
      <c r="EV236" s="1">
        <f>1+(Table1[[#This Row],[error_ratio_6]]-EL$2)</f>
        <v>1.0657620041753653</v>
      </c>
      <c r="EW236" s="1">
        <f>1+(Table1[[#This Row],[error_ratio_7]]-EM$2)</f>
        <v>0.94455252918287935</v>
      </c>
      <c r="EX236" s="1">
        <f>1+(Table1[[#This Row],[error_ratio_8]]-EN$2)</f>
        <v>1.1273100616016427</v>
      </c>
      <c r="EY236" s="1">
        <f>1+(Table1[[#This Row],[error_ratio_9]]-EO$2)</f>
        <v>1.1546085232903864</v>
      </c>
    </row>
    <row r="237" spans="1:155" x14ac:dyDescent="0.75">
      <c r="A237">
        <v>100</v>
      </c>
      <c r="B237">
        <v>100</v>
      </c>
      <c r="C237">
        <v>100</v>
      </c>
      <c r="D237">
        <v>100</v>
      </c>
      <c r="E237">
        <v>100</v>
      </c>
      <c r="F237">
        <v>100</v>
      </c>
      <c r="G237">
        <v>100</v>
      </c>
      <c r="H237">
        <v>100</v>
      </c>
      <c r="I237">
        <v>10</v>
      </c>
      <c r="J237">
        <v>100</v>
      </c>
      <c r="K237">
        <v>986</v>
      </c>
      <c r="L237">
        <v>1143</v>
      </c>
      <c r="M237">
        <v>1056</v>
      </c>
      <c r="N237">
        <v>1020</v>
      </c>
      <c r="O237">
        <v>982</v>
      </c>
      <c r="P237">
        <v>918</v>
      </c>
      <c r="Q237">
        <v>954</v>
      </c>
      <c r="R237">
        <v>1031</v>
      </c>
      <c r="S237">
        <v>887</v>
      </c>
      <c r="T237">
        <v>1023</v>
      </c>
      <c r="U237">
        <v>980</v>
      </c>
      <c r="V237">
        <v>1135</v>
      </c>
      <c r="W237">
        <v>1032</v>
      </c>
      <c r="X237">
        <v>1010</v>
      </c>
      <c r="Y237">
        <v>982</v>
      </c>
      <c r="Z237">
        <v>892</v>
      </c>
      <c r="AA237">
        <v>958</v>
      </c>
      <c r="AB237">
        <v>1028</v>
      </c>
      <c r="AC237">
        <v>974</v>
      </c>
      <c r="AD237">
        <v>1009</v>
      </c>
      <c r="AE237">
        <v>974</v>
      </c>
      <c r="AF237">
        <v>1</v>
      </c>
      <c r="AG237">
        <v>0</v>
      </c>
      <c r="AH237">
        <v>0</v>
      </c>
      <c r="AI237">
        <v>0</v>
      </c>
      <c r="AJ237">
        <v>1</v>
      </c>
      <c r="AK237">
        <v>2</v>
      </c>
      <c r="AL237">
        <v>2</v>
      </c>
      <c r="AM237">
        <v>0</v>
      </c>
      <c r="AN237">
        <v>0</v>
      </c>
      <c r="AO237">
        <v>0</v>
      </c>
      <c r="AP237">
        <v>1133</v>
      </c>
      <c r="AQ237">
        <v>1</v>
      </c>
      <c r="AR237">
        <v>0</v>
      </c>
      <c r="AS237">
        <v>0</v>
      </c>
      <c r="AT237">
        <v>1</v>
      </c>
      <c r="AU237">
        <v>0</v>
      </c>
      <c r="AV237">
        <v>0</v>
      </c>
      <c r="AW237">
        <v>0</v>
      </c>
      <c r="AX237">
        <v>0</v>
      </c>
      <c r="AY237">
        <v>1</v>
      </c>
      <c r="AZ237">
        <v>2</v>
      </c>
      <c r="BA237">
        <v>1024</v>
      </c>
      <c r="BB237">
        <v>0</v>
      </c>
      <c r="BC237">
        <v>0</v>
      </c>
      <c r="BD237">
        <v>0</v>
      </c>
      <c r="BE237">
        <v>0</v>
      </c>
      <c r="BF237">
        <v>5</v>
      </c>
      <c r="BG237">
        <v>0</v>
      </c>
      <c r="BH237">
        <v>0</v>
      </c>
      <c r="BI237">
        <v>0</v>
      </c>
      <c r="BJ237">
        <v>0</v>
      </c>
      <c r="BK237">
        <v>2</v>
      </c>
      <c r="BL237">
        <v>1004</v>
      </c>
      <c r="BM237">
        <v>0</v>
      </c>
      <c r="BN237">
        <v>2</v>
      </c>
      <c r="BO237">
        <v>0</v>
      </c>
      <c r="BP237">
        <v>1</v>
      </c>
      <c r="BQ237">
        <v>0</v>
      </c>
      <c r="BR237">
        <v>1</v>
      </c>
      <c r="BS237">
        <v>0</v>
      </c>
      <c r="BT237">
        <v>0</v>
      </c>
      <c r="BU237">
        <v>1</v>
      </c>
      <c r="BV237">
        <v>0</v>
      </c>
      <c r="BW237">
        <v>973</v>
      </c>
      <c r="BX237">
        <v>0</v>
      </c>
      <c r="BY237">
        <v>2</v>
      </c>
      <c r="BZ237">
        <v>1</v>
      </c>
      <c r="CA237">
        <v>0</v>
      </c>
      <c r="CB237">
        <v>5</v>
      </c>
      <c r="CC237">
        <v>1</v>
      </c>
      <c r="CD237">
        <v>0</v>
      </c>
      <c r="CE237">
        <v>0</v>
      </c>
      <c r="CF237">
        <v>5</v>
      </c>
      <c r="CG237">
        <v>0</v>
      </c>
      <c r="CH237">
        <v>884</v>
      </c>
      <c r="CI237">
        <v>1</v>
      </c>
      <c r="CJ237">
        <v>1</v>
      </c>
      <c r="CK237">
        <v>0</v>
      </c>
      <c r="CL237">
        <v>0</v>
      </c>
      <c r="CM237">
        <v>4</v>
      </c>
      <c r="CN237">
        <v>3</v>
      </c>
      <c r="CO237">
        <v>1</v>
      </c>
      <c r="CP237">
        <v>1</v>
      </c>
      <c r="CQ237">
        <v>1</v>
      </c>
      <c r="CR237">
        <v>4</v>
      </c>
      <c r="CS237">
        <v>944</v>
      </c>
      <c r="CT237">
        <v>0</v>
      </c>
      <c r="CU237">
        <v>0</v>
      </c>
      <c r="CV237">
        <v>0</v>
      </c>
      <c r="CW237">
        <v>0</v>
      </c>
      <c r="CX237">
        <v>3</v>
      </c>
      <c r="CY237">
        <v>10</v>
      </c>
      <c r="CZ237">
        <v>1</v>
      </c>
      <c r="DA237">
        <v>0</v>
      </c>
      <c r="DB237">
        <v>1</v>
      </c>
      <c r="DC237">
        <v>0</v>
      </c>
      <c r="DD237">
        <v>1010</v>
      </c>
      <c r="DE237">
        <v>0</v>
      </c>
      <c r="DF237">
        <v>3</v>
      </c>
      <c r="DG237">
        <v>5</v>
      </c>
      <c r="DH237">
        <v>1</v>
      </c>
      <c r="DI237">
        <v>17</v>
      </c>
      <c r="DJ237">
        <v>7</v>
      </c>
      <c r="DK237">
        <v>6</v>
      </c>
      <c r="DL237">
        <v>21</v>
      </c>
      <c r="DM237">
        <v>5</v>
      </c>
      <c r="DN237">
        <v>9</v>
      </c>
      <c r="DO237">
        <v>887</v>
      </c>
      <c r="DP237">
        <v>16</v>
      </c>
      <c r="DQ237">
        <v>1</v>
      </c>
      <c r="DR237">
        <v>0</v>
      </c>
      <c r="DS237">
        <v>0</v>
      </c>
      <c r="DT237">
        <v>2</v>
      </c>
      <c r="DU237">
        <v>2</v>
      </c>
      <c r="DV237">
        <v>4</v>
      </c>
      <c r="DW237">
        <v>0</v>
      </c>
      <c r="DX237">
        <v>2</v>
      </c>
      <c r="DY237">
        <v>0</v>
      </c>
      <c r="DZ237">
        <v>998</v>
      </c>
      <c r="EA237">
        <v>0.98309999999999997</v>
      </c>
      <c r="EB237">
        <v>0.98316007147607398</v>
      </c>
      <c r="EC237">
        <v>0.98279415538086801</v>
      </c>
      <c r="ED237">
        <v>0.98272535294369601</v>
      </c>
      <c r="EE237">
        <f>SUM(Table1[[#This Row],[ratio_0]:[ratio_9]])</f>
        <v>910</v>
      </c>
      <c r="EF237" s="1">
        <f>(Table1[[#This Row],[predicted_0]]-Table1[[#This Row],[actual_0]])/Table1[[#This Row],[actual_0]]</f>
        <v>6.1224489795918364E-3</v>
      </c>
      <c r="EG237" s="1">
        <f>(Table1[[#This Row],[predicted_1]]-Table1[[#This Row],[actual_1]])/Table1[[#This Row],[actual_1]]</f>
        <v>7.048458149779736E-3</v>
      </c>
      <c r="EH237" s="1">
        <f>(Table1[[#This Row],[predicted_2]]-Table1[[#This Row],[actual_2]])/Table1[[#This Row],[actual_2]]</f>
        <v>2.3255813953488372E-2</v>
      </c>
      <c r="EI237" s="1">
        <f>(Table1[[#This Row],[predicted_3]]-Table1[[#This Row],[actual_3]])/Table1[[#This Row],[actual_3]]</f>
        <v>9.9009900990099011E-3</v>
      </c>
      <c r="EJ237" s="1">
        <f>(Table1[[#This Row],[predicted_4]]-Table1[[#This Row],[actual_4]])/Table1[[#This Row],[actual_4]]</f>
        <v>0</v>
      </c>
      <c r="EK237" s="1">
        <f>(Table1[[#This Row],[predicted_5]]-Table1[[#This Row],[actual_5]])/Table1[[#This Row],[actual_5]]</f>
        <v>2.914798206278027E-2</v>
      </c>
      <c r="EL237" s="1">
        <f>(Table1[[#This Row],[predicted_6]]-Table1[[#This Row],[actual_6]])/Table1[[#This Row],[actual_6]]</f>
        <v>-4.1753653444676405E-3</v>
      </c>
      <c r="EM237" s="1">
        <f>(Table1[[#This Row],[predicted_7]]-Table1[[#This Row],[actual_7]])/Table1[[#This Row],[actual_7]]</f>
        <v>2.9182879377431907E-3</v>
      </c>
      <c r="EN237" s="1">
        <f>(Table1[[#This Row],[predicted_8]]-Table1[[#This Row],[actual_8]])/Table1[[#This Row],[actual_8]]</f>
        <v>-8.932238193018481E-2</v>
      </c>
      <c r="EO237" s="1">
        <f>(Table1[[#This Row],[predicted_9]]-Table1[[#This Row],[actual_9]])/Table1[[#This Row],[actual_9]]</f>
        <v>1.3875123885034688E-2</v>
      </c>
      <c r="EP237" s="1">
        <f>1+(Table1[[#This Row],[error_ratio_0]]-EF$2)</f>
        <v>1.0040816326530613</v>
      </c>
      <c r="EQ237" s="1">
        <f>1+(Table1[[#This Row],[error_ratio_1]]-EG$2)</f>
        <v>1.0052863436123347</v>
      </c>
      <c r="ER237" s="1">
        <f>1+(Table1[[#This Row],[error_ratio_2]]-EH$2)</f>
        <v>1.0281007751937985</v>
      </c>
      <c r="ES237" s="1">
        <f>1+(Table1[[#This Row],[error_ratio_3]]-EI$2)</f>
        <v>1</v>
      </c>
      <c r="ET237" s="1">
        <f>1+(Table1[[#This Row],[error_ratio_4]]-EJ$2)</f>
        <v>0.99898167006109984</v>
      </c>
      <c r="EU237" s="1">
        <f>1+(Table1[[#This Row],[error_ratio_5]]-EK$2)</f>
        <v>1.0280269058295963</v>
      </c>
      <c r="EV237" s="1">
        <f>1+(Table1[[#This Row],[error_ratio_6]]-EL$2)</f>
        <v>1.0020876826722338</v>
      </c>
      <c r="EW237" s="1">
        <f>1+(Table1[[#This Row],[error_ratio_7]]-EM$2)</f>
        <v>1.0009727626459144</v>
      </c>
      <c r="EX237" s="1">
        <f>1+(Table1[[#This Row],[error_ratio_8]]-EN$2)</f>
        <v>0.91375770020533875</v>
      </c>
      <c r="EY237" s="1">
        <f>1+(Table1[[#This Row],[error_ratio_9]]-EO$2)</f>
        <v>1.0178394449950445</v>
      </c>
    </row>
    <row r="238" spans="1:155" x14ac:dyDescent="0.75">
      <c r="A238">
        <v>10</v>
      </c>
      <c r="B238">
        <v>100</v>
      </c>
      <c r="C238">
        <v>100</v>
      </c>
      <c r="D238">
        <v>100</v>
      </c>
      <c r="E238">
        <v>100</v>
      </c>
      <c r="F238">
        <v>100</v>
      </c>
      <c r="G238">
        <v>100</v>
      </c>
      <c r="H238">
        <v>100</v>
      </c>
      <c r="I238">
        <v>10</v>
      </c>
      <c r="J238">
        <v>100</v>
      </c>
      <c r="K238">
        <v>953</v>
      </c>
      <c r="L238">
        <v>1145</v>
      </c>
      <c r="M238">
        <v>1028</v>
      </c>
      <c r="N238">
        <v>1034</v>
      </c>
      <c r="O238">
        <v>982</v>
      </c>
      <c r="P238">
        <v>923</v>
      </c>
      <c r="Q238">
        <v>956</v>
      </c>
      <c r="R238">
        <v>1046</v>
      </c>
      <c r="S238">
        <v>911</v>
      </c>
      <c r="T238">
        <v>1022</v>
      </c>
      <c r="U238">
        <v>980</v>
      </c>
      <c r="V238">
        <v>1135</v>
      </c>
      <c r="W238">
        <v>1032</v>
      </c>
      <c r="X238">
        <v>1010</v>
      </c>
      <c r="Y238">
        <v>982</v>
      </c>
      <c r="Z238">
        <v>892</v>
      </c>
      <c r="AA238">
        <v>958</v>
      </c>
      <c r="AB238">
        <v>1028</v>
      </c>
      <c r="AC238">
        <v>974</v>
      </c>
      <c r="AD238">
        <v>1009</v>
      </c>
      <c r="AE238">
        <v>947</v>
      </c>
      <c r="AF238">
        <v>0</v>
      </c>
      <c r="AG238">
        <v>2</v>
      </c>
      <c r="AH238">
        <v>0</v>
      </c>
      <c r="AI238">
        <v>2</v>
      </c>
      <c r="AJ238">
        <v>13</v>
      </c>
      <c r="AK238">
        <v>8</v>
      </c>
      <c r="AL238">
        <v>2</v>
      </c>
      <c r="AM238">
        <v>2</v>
      </c>
      <c r="AN238">
        <v>4</v>
      </c>
      <c r="AO238">
        <v>0</v>
      </c>
      <c r="AP238">
        <v>1132</v>
      </c>
      <c r="AQ238">
        <v>0</v>
      </c>
      <c r="AR238">
        <v>1</v>
      </c>
      <c r="AS238">
        <v>0</v>
      </c>
      <c r="AT238">
        <v>1</v>
      </c>
      <c r="AU238">
        <v>1</v>
      </c>
      <c r="AV238">
        <v>0</v>
      </c>
      <c r="AW238">
        <v>0</v>
      </c>
      <c r="AX238">
        <v>0</v>
      </c>
      <c r="AY238">
        <v>1</v>
      </c>
      <c r="AZ238">
        <v>4</v>
      </c>
      <c r="BA238">
        <v>1015</v>
      </c>
      <c r="BB238">
        <v>0</v>
      </c>
      <c r="BC238">
        <v>3</v>
      </c>
      <c r="BD238">
        <v>0</v>
      </c>
      <c r="BE238">
        <v>0</v>
      </c>
      <c r="BF238">
        <v>8</v>
      </c>
      <c r="BG238">
        <v>0</v>
      </c>
      <c r="BH238">
        <v>1</v>
      </c>
      <c r="BI238">
        <v>0</v>
      </c>
      <c r="BJ238">
        <v>0</v>
      </c>
      <c r="BK238">
        <v>1</v>
      </c>
      <c r="BL238">
        <v>1004</v>
      </c>
      <c r="BM238">
        <v>0</v>
      </c>
      <c r="BN238">
        <v>3</v>
      </c>
      <c r="BO238">
        <v>0</v>
      </c>
      <c r="BP238">
        <v>2</v>
      </c>
      <c r="BQ238">
        <v>0</v>
      </c>
      <c r="BR238">
        <v>0</v>
      </c>
      <c r="BS238">
        <v>0</v>
      </c>
      <c r="BT238">
        <v>0</v>
      </c>
      <c r="BU238">
        <v>0</v>
      </c>
      <c r="BV238">
        <v>0</v>
      </c>
      <c r="BW238">
        <v>969</v>
      </c>
      <c r="BX238">
        <v>0</v>
      </c>
      <c r="BY238">
        <v>4</v>
      </c>
      <c r="BZ238">
        <v>0</v>
      </c>
      <c r="CA238">
        <v>0</v>
      </c>
      <c r="CB238">
        <v>9</v>
      </c>
      <c r="CC238">
        <v>0</v>
      </c>
      <c r="CD238">
        <v>0</v>
      </c>
      <c r="CE238">
        <v>0</v>
      </c>
      <c r="CF238">
        <v>7</v>
      </c>
      <c r="CG238">
        <v>0</v>
      </c>
      <c r="CH238">
        <v>883</v>
      </c>
      <c r="CI238">
        <v>1</v>
      </c>
      <c r="CJ238">
        <v>0</v>
      </c>
      <c r="CK238">
        <v>0</v>
      </c>
      <c r="CL238">
        <v>1</v>
      </c>
      <c r="CM238">
        <v>0</v>
      </c>
      <c r="CN238">
        <v>2</v>
      </c>
      <c r="CO238">
        <v>0</v>
      </c>
      <c r="CP238">
        <v>1</v>
      </c>
      <c r="CQ238">
        <v>6</v>
      </c>
      <c r="CR238">
        <v>8</v>
      </c>
      <c r="CS238">
        <v>941</v>
      </c>
      <c r="CT238">
        <v>0</v>
      </c>
      <c r="CU238">
        <v>0</v>
      </c>
      <c r="CV238">
        <v>0</v>
      </c>
      <c r="CW238">
        <v>1</v>
      </c>
      <c r="CX238">
        <v>3</v>
      </c>
      <c r="CY238">
        <v>4</v>
      </c>
      <c r="CZ238">
        <v>0</v>
      </c>
      <c r="DA238">
        <v>0</v>
      </c>
      <c r="DB238">
        <v>1</v>
      </c>
      <c r="DC238">
        <v>0</v>
      </c>
      <c r="DD238">
        <v>1015</v>
      </c>
      <c r="DE238">
        <v>0</v>
      </c>
      <c r="DF238">
        <v>4</v>
      </c>
      <c r="DG238">
        <v>3</v>
      </c>
      <c r="DH238">
        <v>1</v>
      </c>
      <c r="DI238">
        <v>6</v>
      </c>
      <c r="DJ238">
        <v>17</v>
      </c>
      <c r="DK238">
        <v>1</v>
      </c>
      <c r="DL238">
        <v>11</v>
      </c>
      <c r="DM238">
        <v>1</v>
      </c>
      <c r="DN238">
        <v>15</v>
      </c>
      <c r="DO238">
        <v>909</v>
      </c>
      <c r="DP238">
        <v>10</v>
      </c>
      <c r="DQ238">
        <v>1</v>
      </c>
      <c r="DR238">
        <v>3</v>
      </c>
      <c r="DS238">
        <v>0</v>
      </c>
      <c r="DT238">
        <v>4</v>
      </c>
      <c r="DU238">
        <v>1</v>
      </c>
      <c r="DV238">
        <v>3</v>
      </c>
      <c r="DW238">
        <v>0</v>
      </c>
      <c r="DX238">
        <v>4</v>
      </c>
      <c r="DY238">
        <v>0</v>
      </c>
      <c r="DZ238">
        <v>993</v>
      </c>
      <c r="EA238">
        <v>0.98080000000000001</v>
      </c>
      <c r="EB238">
        <v>0.98082174811627998</v>
      </c>
      <c r="EC238">
        <v>0.98049583067379997</v>
      </c>
      <c r="ED238">
        <v>0.98047611017423997</v>
      </c>
      <c r="EE238">
        <f>SUM(Table1[[#This Row],[ratio_0]:[ratio_9]])</f>
        <v>820</v>
      </c>
      <c r="EF238" s="1">
        <f>(Table1[[#This Row],[predicted_0]]-Table1[[#This Row],[actual_0]])/Table1[[#This Row],[actual_0]]</f>
        <v>-2.7551020408163266E-2</v>
      </c>
      <c r="EG238" s="1">
        <f>(Table1[[#This Row],[predicted_1]]-Table1[[#This Row],[actual_1]])/Table1[[#This Row],[actual_1]]</f>
        <v>8.8105726872246704E-3</v>
      </c>
      <c r="EH238" s="1">
        <f>(Table1[[#This Row],[predicted_2]]-Table1[[#This Row],[actual_2]])/Table1[[#This Row],[actual_2]]</f>
        <v>-3.875968992248062E-3</v>
      </c>
      <c r="EI238" s="1">
        <f>(Table1[[#This Row],[predicted_3]]-Table1[[#This Row],[actual_3]])/Table1[[#This Row],[actual_3]]</f>
        <v>2.3762376237623763E-2</v>
      </c>
      <c r="EJ238" s="1">
        <f>(Table1[[#This Row],[predicted_4]]-Table1[[#This Row],[actual_4]])/Table1[[#This Row],[actual_4]]</f>
        <v>0</v>
      </c>
      <c r="EK238" s="1">
        <f>(Table1[[#This Row],[predicted_5]]-Table1[[#This Row],[actual_5]])/Table1[[#This Row],[actual_5]]</f>
        <v>3.4753363228699555E-2</v>
      </c>
      <c r="EL238" s="1">
        <f>(Table1[[#This Row],[predicted_6]]-Table1[[#This Row],[actual_6]])/Table1[[#This Row],[actual_6]]</f>
        <v>-2.0876826722338203E-3</v>
      </c>
      <c r="EM238" s="1">
        <f>(Table1[[#This Row],[predicted_7]]-Table1[[#This Row],[actual_7]])/Table1[[#This Row],[actual_7]]</f>
        <v>1.7509727626459144E-2</v>
      </c>
      <c r="EN238" s="1">
        <f>(Table1[[#This Row],[predicted_8]]-Table1[[#This Row],[actual_8]])/Table1[[#This Row],[actual_8]]</f>
        <v>-6.4681724845995894E-2</v>
      </c>
      <c r="EO238" s="1">
        <f>(Table1[[#This Row],[predicted_9]]-Table1[[#This Row],[actual_9]])/Table1[[#This Row],[actual_9]]</f>
        <v>1.288404360753221E-2</v>
      </c>
      <c r="EP238" s="1">
        <f>1+(Table1[[#This Row],[error_ratio_0]]-EF$2)</f>
        <v>0.9704081632653061</v>
      </c>
      <c r="EQ238" s="1">
        <f>1+(Table1[[#This Row],[error_ratio_1]]-EG$2)</f>
        <v>1.0070484581497798</v>
      </c>
      <c r="ER238" s="1">
        <f>1+(Table1[[#This Row],[error_ratio_2]]-EH$2)</f>
        <v>1.000968992248062</v>
      </c>
      <c r="ES238" s="1">
        <f>1+(Table1[[#This Row],[error_ratio_3]]-EI$2)</f>
        <v>1.0138613861386139</v>
      </c>
      <c r="ET238" s="1">
        <f>1+(Table1[[#This Row],[error_ratio_4]]-EJ$2)</f>
        <v>0.99898167006109984</v>
      </c>
      <c r="EU238" s="1">
        <f>1+(Table1[[#This Row],[error_ratio_5]]-EK$2)</f>
        <v>1.0336322869955157</v>
      </c>
      <c r="EV238" s="1">
        <f>1+(Table1[[#This Row],[error_ratio_6]]-EL$2)</f>
        <v>1.0041753653444676</v>
      </c>
      <c r="EW238" s="1">
        <f>1+(Table1[[#This Row],[error_ratio_7]]-EM$2)</f>
        <v>1.0155642023346303</v>
      </c>
      <c r="EX238" s="1">
        <f>1+(Table1[[#This Row],[error_ratio_8]]-EN$2)</f>
        <v>0.9383983572895277</v>
      </c>
      <c r="EY238" s="1">
        <f>1+(Table1[[#This Row],[error_ratio_9]]-EO$2)</f>
        <v>1.0168483647175421</v>
      </c>
    </row>
    <row r="239" spans="1:155" x14ac:dyDescent="0.75">
      <c r="A239">
        <v>100</v>
      </c>
      <c r="B239">
        <v>10</v>
      </c>
      <c r="C239">
        <v>100</v>
      </c>
      <c r="D239">
        <v>100</v>
      </c>
      <c r="E239">
        <v>100</v>
      </c>
      <c r="F239">
        <v>100</v>
      </c>
      <c r="G239">
        <v>100</v>
      </c>
      <c r="H239">
        <v>100</v>
      </c>
      <c r="I239">
        <v>10</v>
      </c>
      <c r="J239">
        <v>100</v>
      </c>
      <c r="K239">
        <v>986</v>
      </c>
      <c r="L239">
        <v>1120</v>
      </c>
      <c r="M239">
        <v>1038</v>
      </c>
      <c r="N239">
        <v>1028</v>
      </c>
      <c r="O239">
        <v>980</v>
      </c>
      <c r="P239">
        <v>888</v>
      </c>
      <c r="Q239">
        <v>952</v>
      </c>
      <c r="R239">
        <v>1038</v>
      </c>
      <c r="S239">
        <v>939</v>
      </c>
      <c r="T239">
        <v>1031</v>
      </c>
      <c r="U239">
        <v>980</v>
      </c>
      <c r="V239">
        <v>1135</v>
      </c>
      <c r="W239">
        <v>1032</v>
      </c>
      <c r="X239">
        <v>1010</v>
      </c>
      <c r="Y239">
        <v>982</v>
      </c>
      <c r="Z239">
        <v>892</v>
      </c>
      <c r="AA239">
        <v>958</v>
      </c>
      <c r="AB239">
        <v>1028</v>
      </c>
      <c r="AC239">
        <v>974</v>
      </c>
      <c r="AD239">
        <v>1009</v>
      </c>
      <c r="AE239">
        <v>975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2</v>
      </c>
      <c r="AM239">
        <v>1</v>
      </c>
      <c r="AN239">
        <v>2</v>
      </c>
      <c r="AO239">
        <v>0</v>
      </c>
      <c r="AP239">
        <v>1116</v>
      </c>
      <c r="AQ239">
        <v>4</v>
      </c>
      <c r="AR239">
        <v>3</v>
      </c>
      <c r="AS239">
        <v>0</v>
      </c>
      <c r="AT239">
        <v>2</v>
      </c>
      <c r="AU239">
        <v>1</v>
      </c>
      <c r="AV239">
        <v>7</v>
      </c>
      <c r="AW239">
        <v>1</v>
      </c>
      <c r="AX239">
        <v>1</v>
      </c>
      <c r="AY239">
        <v>1</v>
      </c>
      <c r="AZ239">
        <v>0</v>
      </c>
      <c r="BA239">
        <v>1018</v>
      </c>
      <c r="BB239">
        <v>3</v>
      </c>
      <c r="BC239">
        <v>1</v>
      </c>
      <c r="BD239">
        <v>0</v>
      </c>
      <c r="BE239">
        <v>0</v>
      </c>
      <c r="BF239">
        <v>6</v>
      </c>
      <c r="BG239">
        <v>3</v>
      </c>
      <c r="BH239">
        <v>0</v>
      </c>
      <c r="BI239">
        <v>0</v>
      </c>
      <c r="BJ239">
        <v>0</v>
      </c>
      <c r="BK239">
        <v>1</v>
      </c>
      <c r="BL239">
        <v>1006</v>
      </c>
      <c r="BM239">
        <v>0</v>
      </c>
      <c r="BN239">
        <v>1</v>
      </c>
      <c r="BO239">
        <v>0</v>
      </c>
      <c r="BP239">
        <v>1</v>
      </c>
      <c r="BQ239">
        <v>0</v>
      </c>
      <c r="BR239">
        <v>1</v>
      </c>
      <c r="BS239">
        <v>0</v>
      </c>
      <c r="BT239">
        <v>0</v>
      </c>
      <c r="BU239">
        <v>1</v>
      </c>
      <c r="BV239">
        <v>0</v>
      </c>
      <c r="BW239">
        <v>970</v>
      </c>
      <c r="BX239">
        <v>0</v>
      </c>
      <c r="BY239">
        <v>3</v>
      </c>
      <c r="BZ239">
        <v>1</v>
      </c>
      <c r="CA239">
        <v>0</v>
      </c>
      <c r="CB239">
        <v>7</v>
      </c>
      <c r="CC239">
        <v>2</v>
      </c>
      <c r="CD239">
        <v>0</v>
      </c>
      <c r="CE239">
        <v>0</v>
      </c>
      <c r="CF239">
        <v>9</v>
      </c>
      <c r="CG239">
        <v>0</v>
      </c>
      <c r="CH239">
        <v>877</v>
      </c>
      <c r="CI239">
        <v>1</v>
      </c>
      <c r="CJ239">
        <v>1</v>
      </c>
      <c r="CK239">
        <v>0</v>
      </c>
      <c r="CL239">
        <v>2</v>
      </c>
      <c r="CM239">
        <v>4</v>
      </c>
      <c r="CN239">
        <v>2</v>
      </c>
      <c r="CO239">
        <v>0</v>
      </c>
      <c r="CP239">
        <v>0</v>
      </c>
      <c r="CQ239">
        <v>2</v>
      </c>
      <c r="CR239">
        <v>5</v>
      </c>
      <c r="CS239">
        <v>945</v>
      </c>
      <c r="CT239">
        <v>0</v>
      </c>
      <c r="CU239">
        <v>0</v>
      </c>
      <c r="CV239">
        <v>0</v>
      </c>
      <c r="CW239">
        <v>0</v>
      </c>
      <c r="CX239">
        <v>1</v>
      </c>
      <c r="CY239">
        <v>7</v>
      </c>
      <c r="CZ239">
        <v>0</v>
      </c>
      <c r="DA239">
        <v>0</v>
      </c>
      <c r="DB239">
        <v>0</v>
      </c>
      <c r="DC239">
        <v>0</v>
      </c>
      <c r="DD239">
        <v>1016</v>
      </c>
      <c r="DE239">
        <v>0</v>
      </c>
      <c r="DF239">
        <v>4</v>
      </c>
      <c r="DG239">
        <v>3</v>
      </c>
      <c r="DH239">
        <v>1</v>
      </c>
      <c r="DI239">
        <v>7</v>
      </c>
      <c r="DJ239">
        <v>7</v>
      </c>
      <c r="DK239">
        <v>5</v>
      </c>
      <c r="DL239">
        <v>2</v>
      </c>
      <c r="DM239">
        <v>2</v>
      </c>
      <c r="DN239">
        <v>3</v>
      </c>
      <c r="DO239">
        <v>933</v>
      </c>
      <c r="DP239">
        <v>11</v>
      </c>
      <c r="DQ239">
        <v>1</v>
      </c>
      <c r="DR239">
        <v>0</v>
      </c>
      <c r="DS239">
        <v>0</v>
      </c>
      <c r="DT239">
        <v>0</v>
      </c>
      <c r="DU239">
        <v>2</v>
      </c>
      <c r="DV239">
        <v>1</v>
      </c>
      <c r="DW239">
        <v>0</v>
      </c>
      <c r="DX239">
        <v>1</v>
      </c>
      <c r="DY239">
        <v>1</v>
      </c>
      <c r="DZ239">
        <v>1003</v>
      </c>
      <c r="EA239">
        <v>0.9859</v>
      </c>
      <c r="EB239">
        <v>0.98599168933727999</v>
      </c>
      <c r="EC239">
        <v>0.98583114541632499</v>
      </c>
      <c r="ED239">
        <v>0.98584960430819901</v>
      </c>
      <c r="EE239">
        <f>SUM(Table1[[#This Row],[ratio_0]:[ratio_9]])</f>
        <v>820</v>
      </c>
      <c r="EF239" s="1">
        <f>(Table1[[#This Row],[predicted_0]]-Table1[[#This Row],[actual_0]])/Table1[[#This Row],[actual_0]]</f>
        <v>6.1224489795918364E-3</v>
      </c>
      <c r="EG239" s="1">
        <f>(Table1[[#This Row],[predicted_1]]-Table1[[#This Row],[actual_1]])/Table1[[#This Row],[actual_1]]</f>
        <v>-1.3215859030837005E-2</v>
      </c>
      <c r="EH239" s="1">
        <f>(Table1[[#This Row],[predicted_2]]-Table1[[#This Row],[actual_2]])/Table1[[#This Row],[actual_2]]</f>
        <v>5.8139534883720929E-3</v>
      </c>
      <c r="EI239" s="1">
        <f>(Table1[[#This Row],[predicted_3]]-Table1[[#This Row],[actual_3]])/Table1[[#This Row],[actual_3]]</f>
        <v>1.782178217821782E-2</v>
      </c>
      <c r="EJ239" s="1">
        <f>(Table1[[#This Row],[predicted_4]]-Table1[[#This Row],[actual_4]])/Table1[[#This Row],[actual_4]]</f>
        <v>-2.0366598778004071E-3</v>
      </c>
      <c r="EK239" s="1">
        <f>(Table1[[#This Row],[predicted_5]]-Table1[[#This Row],[actual_5]])/Table1[[#This Row],[actual_5]]</f>
        <v>-4.4843049327354259E-3</v>
      </c>
      <c r="EL239" s="1">
        <f>(Table1[[#This Row],[predicted_6]]-Table1[[#This Row],[actual_6]])/Table1[[#This Row],[actual_6]]</f>
        <v>-6.2630480167014616E-3</v>
      </c>
      <c r="EM239" s="1">
        <f>(Table1[[#This Row],[predicted_7]]-Table1[[#This Row],[actual_7]])/Table1[[#This Row],[actual_7]]</f>
        <v>9.727626459143969E-3</v>
      </c>
      <c r="EN239" s="1">
        <f>(Table1[[#This Row],[predicted_8]]-Table1[[#This Row],[actual_8]])/Table1[[#This Row],[actual_8]]</f>
        <v>-3.5934291581108828E-2</v>
      </c>
      <c r="EO239" s="1">
        <f>(Table1[[#This Row],[predicted_9]]-Table1[[#This Row],[actual_9]])/Table1[[#This Row],[actual_9]]</f>
        <v>2.1803766105054509E-2</v>
      </c>
      <c r="EP239" s="1">
        <f>1+(Table1[[#This Row],[error_ratio_0]]-EF$2)</f>
        <v>1.0040816326530613</v>
      </c>
      <c r="EQ239" s="1">
        <f>1+(Table1[[#This Row],[error_ratio_1]]-EG$2)</f>
        <v>0.9850220264317181</v>
      </c>
      <c r="ER239" s="1">
        <f>1+(Table1[[#This Row],[error_ratio_2]]-EH$2)</f>
        <v>1.0106589147286822</v>
      </c>
      <c r="ES239" s="1">
        <f>1+(Table1[[#This Row],[error_ratio_3]]-EI$2)</f>
        <v>1.0079207920792079</v>
      </c>
      <c r="ET239" s="1">
        <f>1+(Table1[[#This Row],[error_ratio_4]]-EJ$2)</f>
        <v>0.9969450101832994</v>
      </c>
      <c r="EU239" s="1">
        <f>1+(Table1[[#This Row],[error_ratio_5]]-EK$2)</f>
        <v>0.99439461883408076</v>
      </c>
      <c r="EV239" s="1">
        <f>1+(Table1[[#This Row],[error_ratio_6]]-EL$2)</f>
        <v>1</v>
      </c>
      <c r="EW239" s="1">
        <f>1+(Table1[[#This Row],[error_ratio_7]]-EM$2)</f>
        <v>1.0077821011673151</v>
      </c>
      <c r="EX239" s="1">
        <f>1+(Table1[[#This Row],[error_ratio_8]]-EN$2)</f>
        <v>0.96714579055441474</v>
      </c>
      <c r="EY239" s="1">
        <f>1+(Table1[[#This Row],[error_ratio_9]]-EO$2)</f>
        <v>1.0257680872150645</v>
      </c>
    </row>
    <row r="240" spans="1:155" x14ac:dyDescent="0.75">
      <c r="A240">
        <v>10</v>
      </c>
      <c r="B240">
        <v>10</v>
      </c>
      <c r="C240">
        <v>100</v>
      </c>
      <c r="D240">
        <v>100</v>
      </c>
      <c r="E240">
        <v>100</v>
      </c>
      <c r="F240">
        <v>100</v>
      </c>
      <c r="G240">
        <v>100</v>
      </c>
      <c r="H240">
        <v>100</v>
      </c>
      <c r="I240">
        <v>10</v>
      </c>
      <c r="J240">
        <v>100</v>
      </c>
      <c r="K240">
        <v>883</v>
      </c>
      <c r="L240">
        <v>1120</v>
      </c>
      <c r="M240">
        <v>1063</v>
      </c>
      <c r="N240">
        <v>1047</v>
      </c>
      <c r="O240">
        <v>964</v>
      </c>
      <c r="P240">
        <v>879</v>
      </c>
      <c r="Q240">
        <v>1036</v>
      </c>
      <c r="R240">
        <v>1023</v>
      </c>
      <c r="S240">
        <v>836</v>
      </c>
      <c r="T240">
        <v>1149</v>
      </c>
      <c r="U240">
        <v>980</v>
      </c>
      <c r="V240">
        <v>1135</v>
      </c>
      <c r="W240">
        <v>1032</v>
      </c>
      <c r="X240">
        <v>1010</v>
      </c>
      <c r="Y240">
        <v>982</v>
      </c>
      <c r="Z240">
        <v>892</v>
      </c>
      <c r="AA240">
        <v>958</v>
      </c>
      <c r="AB240">
        <v>1028</v>
      </c>
      <c r="AC240">
        <v>974</v>
      </c>
      <c r="AD240">
        <v>1009</v>
      </c>
      <c r="AE240">
        <v>879</v>
      </c>
      <c r="AF240">
        <v>0</v>
      </c>
      <c r="AG240">
        <v>6</v>
      </c>
      <c r="AH240">
        <v>0</v>
      </c>
      <c r="AI240">
        <v>2</v>
      </c>
      <c r="AJ240">
        <v>3</v>
      </c>
      <c r="AK240">
        <v>35</v>
      </c>
      <c r="AL240">
        <v>5</v>
      </c>
      <c r="AM240">
        <v>0</v>
      </c>
      <c r="AN240">
        <v>50</v>
      </c>
      <c r="AO240">
        <v>0</v>
      </c>
      <c r="AP240">
        <v>1117</v>
      </c>
      <c r="AQ240">
        <v>8</v>
      </c>
      <c r="AR240">
        <v>5</v>
      </c>
      <c r="AS240">
        <v>1</v>
      </c>
      <c r="AT240">
        <v>0</v>
      </c>
      <c r="AU240">
        <v>2</v>
      </c>
      <c r="AV240">
        <v>1</v>
      </c>
      <c r="AW240">
        <v>0</v>
      </c>
      <c r="AX240">
        <v>1</v>
      </c>
      <c r="AY240">
        <v>0</v>
      </c>
      <c r="AZ240">
        <v>0</v>
      </c>
      <c r="BA240">
        <v>1027</v>
      </c>
      <c r="BB240">
        <v>1</v>
      </c>
      <c r="BC240">
        <v>1</v>
      </c>
      <c r="BD240">
        <v>0</v>
      </c>
      <c r="BE240">
        <v>0</v>
      </c>
      <c r="BF240">
        <v>2</v>
      </c>
      <c r="BG240">
        <v>0</v>
      </c>
      <c r="BH240">
        <v>1</v>
      </c>
      <c r="BI240">
        <v>0</v>
      </c>
      <c r="BJ240">
        <v>0</v>
      </c>
      <c r="BK240">
        <v>2</v>
      </c>
      <c r="BL240">
        <v>1002</v>
      </c>
      <c r="BM240">
        <v>0</v>
      </c>
      <c r="BN240">
        <v>1</v>
      </c>
      <c r="BO240">
        <v>0</v>
      </c>
      <c r="BP240">
        <v>1</v>
      </c>
      <c r="BQ240">
        <v>0</v>
      </c>
      <c r="BR240">
        <v>4</v>
      </c>
      <c r="BS240">
        <v>0</v>
      </c>
      <c r="BT240">
        <v>0</v>
      </c>
      <c r="BU240">
        <v>1</v>
      </c>
      <c r="BV240">
        <v>0</v>
      </c>
      <c r="BW240">
        <v>950</v>
      </c>
      <c r="BX240">
        <v>0</v>
      </c>
      <c r="BY240">
        <v>1</v>
      </c>
      <c r="BZ240">
        <v>0</v>
      </c>
      <c r="CA240">
        <v>0</v>
      </c>
      <c r="CB240">
        <v>30</v>
      </c>
      <c r="CC240">
        <v>0</v>
      </c>
      <c r="CD240">
        <v>0</v>
      </c>
      <c r="CE240">
        <v>0</v>
      </c>
      <c r="CF240">
        <v>17</v>
      </c>
      <c r="CG240">
        <v>0</v>
      </c>
      <c r="CH240">
        <v>865</v>
      </c>
      <c r="CI240">
        <v>9</v>
      </c>
      <c r="CJ240">
        <v>1</v>
      </c>
      <c r="CK240">
        <v>0</v>
      </c>
      <c r="CL240">
        <v>0</v>
      </c>
      <c r="CM240">
        <v>0</v>
      </c>
      <c r="CN240">
        <v>2</v>
      </c>
      <c r="CO240">
        <v>0</v>
      </c>
      <c r="CP240">
        <v>1</v>
      </c>
      <c r="CQ240">
        <v>1</v>
      </c>
      <c r="CR240">
        <v>1</v>
      </c>
      <c r="CS240">
        <v>953</v>
      </c>
      <c r="CT240">
        <v>0</v>
      </c>
      <c r="CU240">
        <v>0</v>
      </c>
      <c r="CV240">
        <v>0</v>
      </c>
      <c r="CW240">
        <v>0</v>
      </c>
      <c r="CX240">
        <v>1</v>
      </c>
      <c r="CY240">
        <v>7</v>
      </c>
      <c r="CZ240">
        <v>1</v>
      </c>
      <c r="DA240">
        <v>3</v>
      </c>
      <c r="DB240">
        <v>0</v>
      </c>
      <c r="DC240">
        <v>0</v>
      </c>
      <c r="DD240">
        <v>1007</v>
      </c>
      <c r="DE240">
        <v>0</v>
      </c>
      <c r="DF240">
        <v>9</v>
      </c>
      <c r="DG240">
        <v>4</v>
      </c>
      <c r="DH240">
        <v>0</v>
      </c>
      <c r="DI240">
        <v>12</v>
      </c>
      <c r="DJ240">
        <v>16</v>
      </c>
      <c r="DK240">
        <v>4</v>
      </c>
      <c r="DL240">
        <v>8</v>
      </c>
      <c r="DM240">
        <v>35</v>
      </c>
      <c r="DN240">
        <v>6</v>
      </c>
      <c r="DO240">
        <v>836</v>
      </c>
      <c r="DP240">
        <v>53</v>
      </c>
      <c r="DQ240">
        <v>0</v>
      </c>
      <c r="DR240">
        <v>0</v>
      </c>
      <c r="DS240">
        <v>0</v>
      </c>
      <c r="DT240">
        <v>4</v>
      </c>
      <c r="DU240">
        <v>2</v>
      </c>
      <c r="DV240">
        <v>1</v>
      </c>
      <c r="DW240">
        <v>1</v>
      </c>
      <c r="DX240">
        <v>0</v>
      </c>
      <c r="DY240">
        <v>0</v>
      </c>
      <c r="DZ240">
        <v>1001</v>
      </c>
      <c r="EA240">
        <v>0.9637</v>
      </c>
      <c r="EB240">
        <v>0.96609312845288797</v>
      </c>
      <c r="EC240">
        <v>0.96301987323140104</v>
      </c>
      <c r="ED240">
        <v>0.96314969461938504</v>
      </c>
      <c r="EE240">
        <f>SUM(Table1[[#This Row],[ratio_0]:[ratio_9]])</f>
        <v>730</v>
      </c>
      <c r="EF240" s="1">
        <f>(Table1[[#This Row],[predicted_0]]-Table1[[#This Row],[actual_0]])/Table1[[#This Row],[actual_0]]</f>
        <v>-9.8979591836734687E-2</v>
      </c>
      <c r="EG240" s="1">
        <f>(Table1[[#This Row],[predicted_1]]-Table1[[#This Row],[actual_1]])/Table1[[#This Row],[actual_1]]</f>
        <v>-1.3215859030837005E-2</v>
      </c>
      <c r="EH240" s="1">
        <f>(Table1[[#This Row],[predicted_2]]-Table1[[#This Row],[actual_2]])/Table1[[#This Row],[actual_2]]</f>
        <v>3.0038759689922482E-2</v>
      </c>
      <c r="EI240" s="1">
        <f>(Table1[[#This Row],[predicted_3]]-Table1[[#This Row],[actual_3]])/Table1[[#This Row],[actual_3]]</f>
        <v>3.6633663366336632E-2</v>
      </c>
      <c r="EJ240" s="1">
        <f>(Table1[[#This Row],[predicted_4]]-Table1[[#This Row],[actual_4]])/Table1[[#This Row],[actual_4]]</f>
        <v>-1.8329938900203666E-2</v>
      </c>
      <c r="EK240" s="1">
        <f>(Table1[[#This Row],[predicted_5]]-Table1[[#This Row],[actual_5]])/Table1[[#This Row],[actual_5]]</f>
        <v>-1.4573991031390135E-2</v>
      </c>
      <c r="EL240" s="1">
        <f>(Table1[[#This Row],[predicted_6]]-Table1[[#This Row],[actual_6]])/Table1[[#This Row],[actual_6]]</f>
        <v>8.1419624217118999E-2</v>
      </c>
      <c r="EM240" s="1">
        <f>(Table1[[#This Row],[predicted_7]]-Table1[[#This Row],[actual_7]])/Table1[[#This Row],[actual_7]]</f>
        <v>-4.8638132295719845E-3</v>
      </c>
      <c r="EN240" s="1">
        <f>(Table1[[#This Row],[predicted_8]]-Table1[[#This Row],[actual_8]])/Table1[[#This Row],[actual_8]]</f>
        <v>-0.14168377823408623</v>
      </c>
      <c r="EO240" s="1">
        <f>(Table1[[#This Row],[predicted_9]]-Table1[[#This Row],[actual_9]])/Table1[[#This Row],[actual_9]]</f>
        <v>0.13875123885034688</v>
      </c>
      <c r="EP240" s="1">
        <f>1+(Table1[[#This Row],[error_ratio_0]]-EF$2)</f>
        <v>0.8989795918367347</v>
      </c>
      <c r="EQ240" s="1">
        <f>1+(Table1[[#This Row],[error_ratio_1]]-EG$2)</f>
        <v>0.9850220264317181</v>
      </c>
      <c r="ER240" s="1">
        <f>1+(Table1[[#This Row],[error_ratio_2]]-EH$2)</f>
        <v>1.0348837209302326</v>
      </c>
      <c r="ES240" s="1">
        <f>1+(Table1[[#This Row],[error_ratio_3]]-EI$2)</f>
        <v>1.0267326732673268</v>
      </c>
      <c r="ET240" s="1">
        <f>1+(Table1[[#This Row],[error_ratio_4]]-EJ$2)</f>
        <v>0.9806517311608961</v>
      </c>
      <c r="EU240" s="1">
        <f>1+(Table1[[#This Row],[error_ratio_5]]-EK$2)</f>
        <v>0.98430493273542596</v>
      </c>
      <c r="EV240" s="1">
        <f>1+(Table1[[#This Row],[error_ratio_6]]-EL$2)</f>
        <v>1.0876826722338204</v>
      </c>
      <c r="EW240" s="1">
        <f>1+(Table1[[#This Row],[error_ratio_7]]-EM$2)</f>
        <v>0.99319066147859925</v>
      </c>
      <c r="EX240" s="1">
        <f>1+(Table1[[#This Row],[error_ratio_8]]-EN$2)</f>
        <v>0.8613963039014374</v>
      </c>
      <c r="EY240" s="1">
        <f>1+(Table1[[#This Row],[error_ratio_9]]-EO$2)</f>
        <v>1.1427155599603567</v>
      </c>
    </row>
    <row r="241" spans="1:155" x14ac:dyDescent="0.75">
      <c r="A241">
        <v>100</v>
      </c>
      <c r="B241">
        <v>100</v>
      </c>
      <c r="C241">
        <v>10</v>
      </c>
      <c r="D241">
        <v>100</v>
      </c>
      <c r="E241">
        <v>100</v>
      </c>
      <c r="F241">
        <v>100</v>
      </c>
      <c r="G241">
        <v>100</v>
      </c>
      <c r="H241">
        <v>100</v>
      </c>
      <c r="I241">
        <v>10</v>
      </c>
      <c r="J241">
        <v>100</v>
      </c>
      <c r="K241">
        <v>1004</v>
      </c>
      <c r="L241">
        <v>1145</v>
      </c>
      <c r="M241">
        <v>927</v>
      </c>
      <c r="N241">
        <v>1050</v>
      </c>
      <c r="O241">
        <v>994</v>
      </c>
      <c r="P241">
        <v>893</v>
      </c>
      <c r="Q241">
        <v>959</v>
      </c>
      <c r="R241">
        <v>1097</v>
      </c>
      <c r="S241">
        <v>931</v>
      </c>
      <c r="T241">
        <v>1000</v>
      </c>
      <c r="U241">
        <v>980</v>
      </c>
      <c r="V241">
        <v>1135</v>
      </c>
      <c r="W241">
        <v>1032</v>
      </c>
      <c r="X241">
        <v>1010</v>
      </c>
      <c r="Y241">
        <v>982</v>
      </c>
      <c r="Z241">
        <v>892</v>
      </c>
      <c r="AA241">
        <v>958</v>
      </c>
      <c r="AB241">
        <v>1028</v>
      </c>
      <c r="AC241">
        <v>974</v>
      </c>
      <c r="AD241">
        <v>1009</v>
      </c>
      <c r="AE241">
        <v>974</v>
      </c>
      <c r="AF241">
        <v>1</v>
      </c>
      <c r="AG241">
        <v>0</v>
      </c>
      <c r="AH241">
        <v>0</v>
      </c>
      <c r="AI241">
        <v>0</v>
      </c>
      <c r="AJ241">
        <v>0</v>
      </c>
      <c r="AK241">
        <v>2</v>
      </c>
      <c r="AL241">
        <v>3</v>
      </c>
      <c r="AM241">
        <v>0</v>
      </c>
      <c r="AN241">
        <v>0</v>
      </c>
      <c r="AO241">
        <v>0</v>
      </c>
      <c r="AP241">
        <v>1128</v>
      </c>
      <c r="AQ241">
        <v>0</v>
      </c>
      <c r="AR241">
        <v>2</v>
      </c>
      <c r="AS241">
        <v>0</v>
      </c>
      <c r="AT241">
        <v>1</v>
      </c>
      <c r="AU241">
        <v>2</v>
      </c>
      <c r="AV241">
        <v>2</v>
      </c>
      <c r="AW241">
        <v>0</v>
      </c>
      <c r="AX241">
        <v>0</v>
      </c>
      <c r="AY241">
        <v>17</v>
      </c>
      <c r="AZ241">
        <v>7</v>
      </c>
      <c r="BA241">
        <v>924</v>
      </c>
      <c r="BB241">
        <v>17</v>
      </c>
      <c r="BC241">
        <v>6</v>
      </c>
      <c r="BD241">
        <v>0</v>
      </c>
      <c r="BE241">
        <v>2</v>
      </c>
      <c r="BF241">
        <v>49</v>
      </c>
      <c r="BG241">
        <v>8</v>
      </c>
      <c r="BH241">
        <v>2</v>
      </c>
      <c r="BI241">
        <v>1</v>
      </c>
      <c r="BJ241">
        <v>0</v>
      </c>
      <c r="BK241">
        <v>1</v>
      </c>
      <c r="BL241">
        <v>1002</v>
      </c>
      <c r="BM241">
        <v>0</v>
      </c>
      <c r="BN241">
        <v>2</v>
      </c>
      <c r="BO241">
        <v>0</v>
      </c>
      <c r="BP241">
        <v>3</v>
      </c>
      <c r="BQ241">
        <v>0</v>
      </c>
      <c r="BR241">
        <v>1</v>
      </c>
      <c r="BS241">
        <v>0</v>
      </c>
      <c r="BT241">
        <v>0</v>
      </c>
      <c r="BU241">
        <v>0</v>
      </c>
      <c r="BV241">
        <v>0</v>
      </c>
      <c r="BW241">
        <v>977</v>
      </c>
      <c r="BX241">
        <v>0</v>
      </c>
      <c r="BY241">
        <v>2</v>
      </c>
      <c r="BZ241">
        <v>1</v>
      </c>
      <c r="CA241">
        <v>0</v>
      </c>
      <c r="CB241">
        <v>2</v>
      </c>
      <c r="CC241">
        <v>0</v>
      </c>
      <c r="CD241">
        <v>0</v>
      </c>
      <c r="CE241">
        <v>0</v>
      </c>
      <c r="CF241">
        <v>6</v>
      </c>
      <c r="CG241">
        <v>0</v>
      </c>
      <c r="CH241">
        <v>880</v>
      </c>
      <c r="CI241">
        <v>4</v>
      </c>
      <c r="CJ241">
        <v>1</v>
      </c>
      <c r="CK241">
        <v>1</v>
      </c>
      <c r="CL241">
        <v>0</v>
      </c>
      <c r="CM241">
        <v>5</v>
      </c>
      <c r="CN241">
        <v>2</v>
      </c>
      <c r="CO241">
        <v>0</v>
      </c>
      <c r="CP241">
        <v>0</v>
      </c>
      <c r="CQ241">
        <v>1</v>
      </c>
      <c r="CR241">
        <v>5</v>
      </c>
      <c r="CS241">
        <v>945</v>
      </c>
      <c r="CT241">
        <v>0</v>
      </c>
      <c r="CU241">
        <v>0</v>
      </c>
      <c r="CV241">
        <v>0</v>
      </c>
      <c r="CW241">
        <v>1</v>
      </c>
      <c r="CX241">
        <v>3</v>
      </c>
      <c r="CY241">
        <v>0</v>
      </c>
      <c r="CZ241">
        <v>0</v>
      </c>
      <c r="DA241">
        <v>0</v>
      </c>
      <c r="DB241">
        <v>0</v>
      </c>
      <c r="DC241">
        <v>0</v>
      </c>
      <c r="DD241">
        <v>1022</v>
      </c>
      <c r="DE241">
        <v>1</v>
      </c>
      <c r="DF241">
        <v>1</v>
      </c>
      <c r="DG241">
        <v>4</v>
      </c>
      <c r="DH241">
        <v>1</v>
      </c>
      <c r="DI241">
        <v>2</v>
      </c>
      <c r="DJ241">
        <v>18</v>
      </c>
      <c r="DK241">
        <v>4</v>
      </c>
      <c r="DL241">
        <v>3</v>
      </c>
      <c r="DM241">
        <v>2</v>
      </c>
      <c r="DN241">
        <v>9</v>
      </c>
      <c r="DO241">
        <v>921</v>
      </c>
      <c r="DP241">
        <v>10</v>
      </c>
      <c r="DQ241">
        <v>2</v>
      </c>
      <c r="DR241">
        <v>3</v>
      </c>
      <c r="DS241">
        <v>0</v>
      </c>
      <c r="DT241">
        <v>5</v>
      </c>
      <c r="DU241">
        <v>6</v>
      </c>
      <c r="DV241">
        <v>2</v>
      </c>
      <c r="DW241">
        <v>0</v>
      </c>
      <c r="DX241">
        <v>7</v>
      </c>
      <c r="DY241">
        <v>0</v>
      </c>
      <c r="DZ241">
        <v>984</v>
      </c>
      <c r="EA241">
        <v>0.97570000000000001</v>
      </c>
      <c r="EB241">
        <v>0.97649535863783898</v>
      </c>
      <c r="EC241">
        <v>0.97579953261999197</v>
      </c>
      <c r="ED241">
        <v>0.97566621058914604</v>
      </c>
      <c r="EE241">
        <f>SUM(Table1[[#This Row],[ratio_0]:[ratio_9]])</f>
        <v>820</v>
      </c>
      <c r="EF241" s="1">
        <f>(Table1[[#This Row],[predicted_0]]-Table1[[#This Row],[actual_0]])/Table1[[#This Row],[actual_0]]</f>
        <v>2.4489795918367346E-2</v>
      </c>
      <c r="EG241" s="1">
        <f>(Table1[[#This Row],[predicted_1]]-Table1[[#This Row],[actual_1]])/Table1[[#This Row],[actual_1]]</f>
        <v>8.8105726872246704E-3</v>
      </c>
      <c r="EH241" s="1">
        <f>(Table1[[#This Row],[predicted_2]]-Table1[[#This Row],[actual_2]])/Table1[[#This Row],[actual_2]]</f>
        <v>-0.10174418604651163</v>
      </c>
      <c r="EI241" s="1">
        <f>(Table1[[#This Row],[predicted_3]]-Table1[[#This Row],[actual_3]])/Table1[[#This Row],[actual_3]]</f>
        <v>3.9603960396039604E-2</v>
      </c>
      <c r="EJ241" s="1">
        <f>(Table1[[#This Row],[predicted_4]]-Table1[[#This Row],[actual_4]])/Table1[[#This Row],[actual_4]]</f>
        <v>1.2219959266802444E-2</v>
      </c>
      <c r="EK241" s="1">
        <f>(Table1[[#This Row],[predicted_5]]-Table1[[#This Row],[actual_5]])/Table1[[#This Row],[actual_5]]</f>
        <v>1.1210762331838565E-3</v>
      </c>
      <c r="EL241" s="1">
        <f>(Table1[[#This Row],[predicted_6]]-Table1[[#This Row],[actual_6]])/Table1[[#This Row],[actual_6]]</f>
        <v>1.0438413361169101E-3</v>
      </c>
      <c r="EM241" s="1">
        <f>(Table1[[#This Row],[predicted_7]]-Table1[[#This Row],[actual_7]])/Table1[[#This Row],[actual_7]]</f>
        <v>6.7120622568093383E-2</v>
      </c>
      <c r="EN241" s="1">
        <f>(Table1[[#This Row],[predicted_8]]-Table1[[#This Row],[actual_8]])/Table1[[#This Row],[actual_8]]</f>
        <v>-4.4147843942505136E-2</v>
      </c>
      <c r="EO241" s="1">
        <f>(Table1[[#This Row],[predicted_9]]-Table1[[#This Row],[actual_9]])/Table1[[#This Row],[actual_9]]</f>
        <v>-8.9197224975222991E-3</v>
      </c>
      <c r="EP241" s="1">
        <f>1+(Table1[[#This Row],[error_ratio_0]]-EF$2)</f>
        <v>1.0224489795918368</v>
      </c>
      <c r="EQ241" s="1">
        <f>1+(Table1[[#This Row],[error_ratio_1]]-EG$2)</f>
        <v>1.0070484581497798</v>
      </c>
      <c r="ER241" s="1">
        <f>1+(Table1[[#This Row],[error_ratio_2]]-EH$2)</f>
        <v>0.9031007751937985</v>
      </c>
      <c r="ES241" s="1">
        <f>1+(Table1[[#This Row],[error_ratio_3]]-EI$2)</f>
        <v>1.0297029702970297</v>
      </c>
      <c r="ET241" s="1">
        <f>1+(Table1[[#This Row],[error_ratio_4]]-EJ$2)</f>
        <v>1.0112016293279023</v>
      </c>
      <c r="EU241" s="1">
        <f>1+(Table1[[#This Row],[error_ratio_5]]-EK$2)</f>
        <v>1</v>
      </c>
      <c r="EV241" s="1">
        <f>1+(Table1[[#This Row],[error_ratio_6]]-EL$2)</f>
        <v>1.0073068893528183</v>
      </c>
      <c r="EW241" s="1">
        <f>1+(Table1[[#This Row],[error_ratio_7]]-EM$2)</f>
        <v>1.0651750972762646</v>
      </c>
      <c r="EX241" s="1">
        <f>1+(Table1[[#This Row],[error_ratio_8]]-EN$2)</f>
        <v>0.95893223819301843</v>
      </c>
      <c r="EY241" s="1">
        <f>1+(Table1[[#This Row],[error_ratio_9]]-EO$2)</f>
        <v>0.99504459861248762</v>
      </c>
    </row>
    <row r="242" spans="1:155" x14ac:dyDescent="0.75">
      <c r="A242">
        <v>10</v>
      </c>
      <c r="B242">
        <v>100</v>
      </c>
      <c r="C242">
        <v>10</v>
      </c>
      <c r="D242">
        <v>100</v>
      </c>
      <c r="E242">
        <v>100</v>
      </c>
      <c r="F242">
        <v>100</v>
      </c>
      <c r="G242">
        <v>100</v>
      </c>
      <c r="H242">
        <v>100</v>
      </c>
      <c r="I242">
        <v>10</v>
      </c>
      <c r="J242">
        <v>100</v>
      </c>
      <c r="K242">
        <v>997</v>
      </c>
      <c r="L242">
        <v>1155</v>
      </c>
      <c r="M242">
        <v>988</v>
      </c>
      <c r="N242">
        <v>962</v>
      </c>
      <c r="O242">
        <v>990</v>
      </c>
      <c r="P242">
        <v>956</v>
      </c>
      <c r="Q242">
        <v>963</v>
      </c>
      <c r="R242">
        <v>1070</v>
      </c>
      <c r="S242">
        <v>888</v>
      </c>
      <c r="T242">
        <v>1031</v>
      </c>
      <c r="U242">
        <v>980</v>
      </c>
      <c r="V242">
        <v>1135</v>
      </c>
      <c r="W242">
        <v>1032</v>
      </c>
      <c r="X242">
        <v>1010</v>
      </c>
      <c r="Y242">
        <v>982</v>
      </c>
      <c r="Z242">
        <v>892</v>
      </c>
      <c r="AA242">
        <v>958</v>
      </c>
      <c r="AB242">
        <v>1028</v>
      </c>
      <c r="AC242">
        <v>974</v>
      </c>
      <c r="AD242">
        <v>1009</v>
      </c>
      <c r="AE242">
        <v>966</v>
      </c>
      <c r="AF242">
        <v>0</v>
      </c>
      <c r="AG242">
        <v>1</v>
      </c>
      <c r="AH242">
        <v>1</v>
      </c>
      <c r="AI242">
        <v>0</v>
      </c>
      <c r="AJ242">
        <v>0</v>
      </c>
      <c r="AK242">
        <v>4</v>
      </c>
      <c r="AL242">
        <v>5</v>
      </c>
      <c r="AM242">
        <v>0</v>
      </c>
      <c r="AN242">
        <v>3</v>
      </c>
      <c r="AO242">
        <v>0</v>
      </c>
      <c r="AP242">
        <v>1130</v>
      </c>
      <c r="AQ242">
        <v>1</v>
      </c>
      <c r="AR242">
        <v>0</v>
      </c>
      <c r="AS242">
        <v>0</v>
      </c>
      <c r="AT242">
        <v>2</v>
      </c>
      <c r="AU242">
        <v>2</v>
      </c>
      <c r="AV242">
        <v>0</v>
      </c>
      <c r="AW242">
        <v>0</v>
      </c>
      <c r="AX242">
        <v>0</v>
      </c>
      <c r="AY242">
        <v>6</v>
      </c>
      <c r="AZ242">
        <v>10</v>
      </c>
      <c r="BA242">
        <v>974</v>
      </c>
      <c r="BB242">
        <v>8</v>
      </c>
      <c r="BC242">
        <v>4</v>
      </c>
      <c r="BD242">
        <v>2</v>
      </c>
      <c r="BE242">
        <v>2</v>
      </c>
      <c r="BF242">
        <v>25</v>
      </c>
      <c r="BG242">
        <v>0</v>
      </c>
      <c r="BH242">
        <v>1</v>
      </c>
      <c r="BI242">
        <v>0</v>
      </c>
      <c r="BJ242">
        <v>0</v>
      </c>
      <c r="BK242">
        <v>2</v>
      </c>
      <c r="BL242">
        <v>949</v>
      </c>
      <c r="BM242">
        <v>1</v>
      </c>
      <c r="BN242">
        <v>39</v>
      </c>
      <c r="BO242">
        <v>0</v>
      </c>
      <c r="BP242">
        <v>8</v>
      </c>
      <c r="BQ242">
        <v>0</v>
      </c>
      <c r="BR242">
        <v>11</v>
      </c>
      <c r="BS242">
        <v>0</v>
      </c>
      <c r="BT242">
        <v>0</v>
      </c>
      <c r="BU242">
        <v>1</v>
      </c>
      <c r="BV242">
        <v>0</v>
      </c>
      <c r="BW242">
        <v>974</v>
      </c>
      <c r="BX242">
        <v>0</v>
      </c>
      <c r="BY242">
        <v>4</v>
      </c>
      <c r="BZ242">
        <v>0</v>
      </c>
      <c r="CA242">
        <v>0</v>
      </c>
      <c r="CB242">
        <v>3</v>
      </c>
      <c r="CC242">
        <v>2</v>
      </c>
      <c r="CD242">
        <v>0</v>
      </c>
      <c r="CE242">
        <v>0</v>
      </c>
      <c r="CF242">
        <v>1</v>
      </c>
      <c r="CG242">
        <v>0</v>
      </c>
      <c r="CH242">
        <v>886</v>
      </c>
      <c r="CI242">
        <v>2</v>
      </c>
      <c r="CJ242">
        <v>1</v>
      </c>
      <c r="CK242">
        <v>0</v>
      </c>
      <c r="CL242">
        <v>0</v>
      </c>
      <c r="CM242">
        <v>10</v>
      </c>
      <c r="CN242">
        <v>2</v>
      </c>
      <c r="CO242">
        <v>0</v>
      </c>
      <c r="CP242">
        <v>0</v>
      </c>
      <c r="CQ242">
        <v>2</v>
      </c>
      <c r="CR242">
        <v>6</v>
      </c>
      <c r="CS242">
        <v>938</v>
      </c>
      <c r="CT242">
        <v>0</v>
      </c>
      <c r="CU242">
        <v>0</v>
      </c>
      <c r="CV242">
        <v>0</v>
      </c>
      <c r="CW242">
        <v>1</v>
      </c>
      <c r="CX242">
        <v>4</v>
      </c>
      <c r="CY242">
        <v>4</v>
      </c>
      <c r="CZ242">
        <v>0</v>
      </c>
      <c r="DA242">
        <v>0</v>
      </c>
      <c r="DB242">
        <v>0</v>
      </c>
      <c r="DC242">
        <v>0</v>
      </c>
      <c r="DD242">
        <v>1014</v>
      </c>
      <c r="DE242">
        <v>0</v>
      </c>
      <c r="DF242">
        <v>5</v>
      </c>
      <c r="DG242">
        <v>11</v>
      </c>
      <c r="DH242">
        <v>5</v>
      </c>
      <c r="DI242">
        <v>5</v>
      </c>
      <c r="DJ242">
        <v>3</v>
      </c>
      <c r="DK242">
        <v>4</v>
      </c>
      <c r="DL242">
        <v>13</v>
      </c>
      <c r="DM242">
        <v>11</v>
      </c>
      <c r="DN242">
        <v>12</v>
      </c>
      <c r="DO242">
        <v>888</v>
      </c>
      <c r="DP242">
        <v>22</v>
      </c>
      <c r="DQ242">
        <v>1</v>
      </c>
      <c r="DR242">
        <v>4</v>
      </c>
      <c r="DS242">
        <v>0</v>
      </c>
      <c r="DT242">
        <v>0</v>
      </c>
      <c r="DU242">
        <v>5</v>
      </c>
      <c r="DV242">
        <v>8</v>
      </c>
      <c r="DW242">
        <v>0</v>
      </c>
      <c r="DX242">
        <v>5</v>
      </c>
      <c r="DY242">
        <v>0</v>
      </c>
      <c r="DZ242">
        <v>986</v>
      </c>
      <c r="EA242">
        <v>0.97050000000000003</v>
      </c>
      <c r="EB242">
        <v>0.97082508377410903</v>
      </c>
      <c r="EC242">
        <v>0.97042522744361004</v>
      </c>
      <c r="ED242">
        <v>0.970136231913312</v>
      </c>
      <c r="EE242">
        <f>SUM(Table1[[#This Row],[ratio_0]:[ratio_9]])</f>
        <v>730</v>
      </c>
      <c r="EF242" s="1">
        <f>(Table1[[#This Row],[predicted_0]]-Table1[[#This Row],[actual_0]])/Table1[[#This Row],[actual_0]]</f>
        <v>1.7346938775510204E-2</v>
      </c>
      <c r="EG242" s="1">
        <f>(Table1[[#This Row],[predicted_1]]-Table1[[#This Row],[actual_1]])/Table1[[#This Row],[actual_1]]</f>
        <v>1.7621145374449341E-2</v>
      </c>
      <c r="EH242" s="1">
        <f>(Table1[[#This Row],[predicted_2]]-Table1[[#This Row],[actual_2]])/Table1[[#This Row],[actual_2]]</f>
        <v>-4.2635658914728682E-2</v>
      </c>
      <c r="EI242" s="1">
        <f>(Table1[[#This Row],[predicted_3]]-Table1[[#This Row],[actual_3]])/Table1[[#This Row],[actual_3]]</f>
        <v>-4.7524752475247525E-2</v>
      </c>
      <c r="EJ242" s="1">
        <f>(Table1[[#This Row],[predicted_4]]-Table1[[#This Row],[actual_4]])/Table1[[#This Row],[actual_4]]</f>
        <v>8.1466395112016286E-3</v>
      </c>
      <c r="EK242" s="1">
        <f>(Table1[[#This Row],[predicted_5]]-Table1[[#This Row],[actual_5]])/Table1[[#This Row],[actual_5]]</f>
        <v>7.1748878923766815E-2</v>
      </c>
      <c r="EL242" s="1">
        <f>(Table1[[#This Row],[predicted_6]]-Table1[[#This Row],[actual_6]])/Table1[[#This Row],[actual_6]]</f>
        <v>5.2192066805845511E-3</v>
      </c>
      <c r="EM242" s="1">
        <f>(Table1[[#This Row],[predicted_7]]-Table1[[#This Row],[actual_7]])/Table1[[#This Row],[actual_7]]</f>
        <v>4.085603112840467E-2</v>
      </c>
      <c r="EN242" s="1">
        <f>(Table1[[#This Row],[predicted_8]]-Table1[[#This Row],[actual_8]])/Table1[[#This Row],[actual_8]]</f>
        <v>-8.8295687885010271E-2</v>
      </c>
      <c r="EO242" s="1">
        <f>(Table1[[#This Row],[predicted_9]]-Table1[[#This Row],[actual_9]])/Table1[[#This Row],[actual_9]]</f>
        <v>2.1803766105054509E-2</v>
      </c>
      <c r="EP242" s="1">
        <f>1+(Table1[[#This Row],[error_ratio_0]]-EF$2)</f>
        <v>1.0153061224489797</v>
      </c>
      <c r="EQ242" s="1">
        <f>1+(Table1[[#This Row],[error_ratio_1]]-EG$2)</f>
        <v>1.0158590308370044</v>
      </c>
      <c r="ER242" s="1">
        <f>1+(Table1[[#This Row],[error_ratio_2]]-EH$2)</f>
        <v>0.96220930232558144</v>
      </c>
      <c r="ES242" s="1">
        <f>1+(Table1[[#This Row],[error_ratio_3]]-EI$2)</f>
        <v>0.94257425742574252</v>
      </c>
      <c r="ET242" s="1">
        <f>1+(Table1[[#This Row],[error_ratio_4]]-EJ$2)</f>
        <v>1.0071283095723014</v>
      </c>
      <c r="EU242" s="1">
        <f>1+(Table1[[#This Row],[error_ratio_5]]-EK$2)</f>
        <v>1.0706278026905829</v>
      </c>
      <c r="EV242" s="1">
        <f>1+(Table1[[#This Row],[error_ratio_6]]-EL$2)</f>
        <v>1.0114822546972859</v>
      </c>
      <c r="EW242" s="1">
        <f>1+(Table1[[#This Row],[error_ratio_7]]-EM$2)</f>
        <v>1.038910505836576</v>
      </c>
      <c r="EX242" s="1">
        <f>1+(Table1[[#This Row],[error_ratio_8]]-EN$2)</f>
        <v>0.91478439425051339</v>
      </c>
      <c r="EY242" s="1">
        <f>1+(Table1[[#This Row],[error_ratio_9]]-EO$2)</f>
        <v>1.0257680872150645</v>
      </c>
    </row>
    <row r="243" spans="1:155" x14ac:dyDescent="0.75">
      <c r="A243">
        <v>10</v>
      </c>
      <c r="B243">
        <v>10</v>
      </c>
      <c r="C243">
        <v>10</v>
      </c>
      <c r="D243">
        <v>100</v>
      </c>
      <c r="E243">
        <v>100</v>
      </c>
      <c r="F243">
        <v>100</v>
      </c>
      <c r="G243">
        <v>100</v>
      </c>
      <c r="H243">
        <v>100</v>
      </c>
      <c r="I243">
        <v>10</v>
      </c>
      <c r="J243">
        <v>100</v>
      </c>
      <c r="K243">
        <v>947</v>
      </c>
      <c r="L243">
        <v>1119</v>
      </c>
      <c r="M243">
        <v>1015</v>
      </c>
      <c r="N243">
        <v>1046</v>
      </c>
      <c r="O243">
        <v>1001</v>
      </c>
      <c r="P243">
        <v>901</v>
      </c>
      <c r="Q243">
        <v>975</v>
      </c>
      <c r="R243">
        <v>1035</v>
      </c>
      <c r="S243">
        <v>959</v>
      </c>
      <c r="T243">
        <v>1002</v>
      </c>
      <c r="U243">
        <v>980</v>
      </c>
      <c r="V243">
        <v>1135</v>
      </c>
      <c r="W243">
        <v>1032</v>
      </c>
      <c r="X243">
        <v>1010</v>
      </c>
      <c r="Y243">
        <v>982</v>
      </c>
      <c r="Z243">
        <v>892</v>
      </c>
      <c r="AA243">
        <v>958</v>
      </c>
      <c r="AB243">
        <v>1028</v>
      </c>
      <c r="AC243">
        <v>974</v>
      </c>
      <c r="AD243">
        <v>1009</v>
      </c>
      <c r="AE243">
        <v>942</v>
      </c>
      <c r="AF243">
        <v>0</v>
      </c>
      <c r="AG243">
        <v>3</v>
      </c>
      <c r="AH243">
        <v>0</v>
      </c>
      <c r="AI243">
        <v>4</v>
      </c>
      <c r="AJ243">
        <v>1</v>
      </c>
      <c r="AK243">
        <v>19</v>
      </c>
      <c r="AL243">
        <v>2</v>
      </c>
      <c r="AM243">
        <v>5</v>
      </c>
      <c r="AN243">
        <v>4</v>
      </c>
      <c r="AO243">
        <v>0</v>
      </c>
      <c r="AP243">
        <v>1115</v>
      </c>
      <c r="AQ243">
        <v>1</v>
      </c>
      <c r="AR243">
        <v>9</v>
      </c>
      <c r="AS243">
        <v>0</v>
      </c>
      <c r="AT243">
        <v>2</v>
      </c>
      <c r="AU243">
        <v>4</v>
      </c>
      <c r="AV243">
        <v>2</v>
      </c>
      <c r="AW243">
        <v>1</v>
      </c>
      <c r="AX243">
        <v>1</v>
      </c>
      <c r="AY243">
        <v>1</v>
      </c>
      <c r="AZ243">
        <v>0</v>
      </c>
      <c r="BA243">
        <v>997</v>
      </c>
      <c r="BB243">
        <v>12</v>
      </c>
      <c r="BC243">
        <v>3</v>
      </c>
      <c r="BD243">
        <v>0</v>
      </c>
      <c r="BE243">
        <v>2</v>
      </c>
      <c r="BF243">
        <v>10</v>
      </c>
      <c r="BG243">
        <v>6</v>
      </c>
      <c r="BH243">
        <v>1</v>
      </c>
      <c r="BI243">
        <v>0</v>
      </c>
      <c r="BJ243">
        <v>0</v>
      </c>
      <c r="BK243">
        <v>1</v>
      </c>
      <c r="BL243">
        <v>1006</v>
      </c>
      <c r="BM243">
        <v>0</v>
      </c>
      <c r="BN243">
        <v>0</v>
      </c>
      <c r="BO243">
        <v>0</v>
      </c>
      <c r="BP243">
        <v>1</v>
      </c>
      <c r="BQ243">
        <v>2</v>
      </c>
      <c r="BR243">
        <v>0</v>
      </c>
      <c r="BS243">
        <v>0</v>
      </c>
      <c r="BT243">
        <v>0</v>
      </c>
      <c r="BU243">
        <v>1</v>
      </c>
      <c r="BV243">
        <v>0</v>
      </c>
      <c r="BW243">
        <v>976</v>
      </c>
      <c r="BX243">
        <v>0</v>
      </c>
      <c r="BY243">
        <v>2</v>
      </c>
      <c r="BZ243">
        <v>0</v>
      </c>
      <c r="CA243">
        <v>1</v>
      </c>
      <c r="CB243">
        <v>2</v>
      </c>
      <c r="CC243">
        <v>1</v>
      </c>
      <c r="CD243">
        <v>0</v>
      </c>
      <c r="CE243">
        <v>1</v>
      </c>
      <c r="CF243">
        <v>9</v>
      </c>
      <c r="CG243">
        <v>0</v>
      </c>
      <c r="CH243">
        <v>879</v>
      </c>
      <c r="CI243">
        <v>1</v>
      </c>
      <c r="CJ243">
        <v>1</v>
      </c>
      <c r="CK243">
        <v>0</v>
      </c>
      <c r="CL243">
        <v>0</v>
      </c>
      <c r="CM243">
        <v>3</v>
      </c>
      <c r="CN243">
        <v>2</v>
      </c>
      <c r="CO243">
        <v>0</v>
      </c>
      <c r="CP243">
        <v>0</v>
      </c>
      <c r="CQ243">
        <v>4</v>
      </c>
      <c r="CR243">
        <v>3</v>
      </c>
      <c r="CS243">
        <v>945</v>
      </c>
      <c r="CT243">
        <v>0</v>
      </c>
      <c r="CU243">
        <v>1</v>
      </c>
      <c r="CV243">
        <v>0</v>
      </c>
      <c r="CW243">
        <v>0</v>
      </c>
      <c r="CX243">
        <v>2</v>
      </c>
      <c r="CY243">
        <v>8</v>
      </c>
      <c r="CZ243">
        <v>3</v>
      </c>
      <c r="DA243">
        <v>0</v>
      </c>
      <c r="DB243">
        <v>0</v>
      </c>
      <c r="DC243">
        <v>0</v>
      </c>
      <c r="DD243">
        <v>1011</v>
      </c>
      <c r="DE243">
        <v>1</v>
      </c>
      <c r="DF243">
        <v>3</v>
      </c>
      <c r="DG243">
        <v>0</v>
      </c>
      <c r="DH243">
        <v>0</v>
      </c>
      <c r="DI243">
        <v>3</v>
      </c>
      <c r="DJ243">
        <v>5</v>
      </c>
      <c r="DK243">
        <v>3</v>
      </c>
      <c r="DL243">
        <v>8</v>
      </c>
      <c r="DM243">
        <v>2</v>
      </c>
      <c r="DN243">
        <v>5</v>
      </c>
      <c r="DO243">
        <v>942</v>
      </c>
      <c r="DP243">
        <v>6</v>
      </c>
      <c r="DQ243">
        <v>0</v>
      </c>
      <c r="DR243">
        <v>0</v>
      </c>
      <c r="DS243">
        <v>0</v>
      </c>
      <c r="DT243">
        <v>2</v>
      </c>
      <c r="DU243">
        <v>11</v>
      </c>
      <c r="DV243">
        <v>8</v>
      </c>
      <c r="DW243">
        <v>0</v>
      </c>
      <c r="DX243">
        <v>3</v>
      </c>
      <c r="DY243">
        <v>0</v>
      </c>
      <c r="DZ243">
        <v>985</v>
      </c>
      <c r="EA243">
        <v>0.9798</v>
      </c>
      <c r="EB243">
        <v>0.97971277985784</v>
      </c>
      <c r="EC243">
        <v>0.97982972105791899</v>
      </c>
      <c r="ED243">
        <v>0.97967359714337598</v>
      </c>
      <c r="EE243">
        <f>SUM(Table1[[#This Row],[ratio_0]:[ratio_9]])</f>
        <v>640</v>
      </c>
      <c r="EF243" s="1">
        <f>(Table1[[#This Row],[predicted_0]]-Table1[[#This Row],[actual_0]])/Table1[[#This Row],[actual_0]]</f>
        <v>-3.3673469387755103E-2</v>
      </c>
      <c r="EG243" s="1">
        <f>(Table1[[#This Row],[predicted_1]]-Table1[[#This Row],[actual_1]])/Table1[[#This Row],[actual_1]]</f>
        <v>-1.4096916299559472E-2</v>
      </c>
      <c r="EH243" s="1">
        <f>(Table1[[#This Row],[predicted_2]]-Table1[[#This Row],[actual_2]])/Table1[[#This Row],[actual_2]]</f>
        <v>-1.6472868217054265E-2</v>
      </c>
      <c r="EI243" s="1">
        <f>(Table1[[#This Row],[predicted_3]]-Table1[[#This Row],[actual_3]])/Table1[[#This Row],[actual_3]]</f>
        <v>3.5643564356435641E-2</v>
      </c>
      <c r="EJ243" s="1">
        <f>(Table1[[#This Row],[predicted_4]]-Table1[[#This Row],[actual_4]])/Table1[[#This Row],[actual_4]]</f>
        <v>1.9348268839103868E-2</v>
      </c>
      <c r="EK243" s="1">
        <f>(Table1[[#This Row],[predicted_5]]-Table1[[#This Row],[actual_5]])/Table1[[#This Row],[actual_5]]</f>
        <v>1.0089686098654708E-2</v>
      </c>
      <c r="EL243" s="1">
        <f>(Table1[[#This Row],[predicted_6]]-Table1[[#This Row],[actual_6]])/Table1[[#This Row],[actual_6]]</f>
        <v>1.7745302713987474E-2</v>
      </c>
      <c r="EM243" s="1">
        <f>(Table1[[#This Row],[predicted_7]]-Table1[[#This Row],[actual_7]])/Table1[[#This Row],[actual_7]]</f>
        <v>6.8093385214007783E-3</v>
      </c>
      <c r="EN243" s="1">
        <f>(Table1[[#This Row],[predicted_8]]-Table1[[#This Row],[actual_8]])/Table1[[#This Row],[actual_8]]</f>
        <v>-1.5400410677618069E-2</v>
      </c>
      <c r="EO243" s="1">
        <f>(Table1[[#This Row],[predicted_9]]-Table1[[#This Row],[actual_9]])/Table1[[#This Row],[actual_9]]</f>
        <v>-6.9375619425173438E-3</v>
      </c>
      <c r="EP243" s="1">
        <f>1+(Table1[[#This Row],[error_ratio_0]]-EF$2)</f>
        <v>0.9642857142857143</v>
      </c>
      <c r="EQ243" s="1">
        <f>1+(Table1[[#This Row],[error_ratio_1]]-EG$2)</f>
        <v>0.98414096916299565</v>
      </c>
      <c r="ER243" s="1">
        <f>1+(Table1[[#This Row],[error_ratio_2]]-EH$2)</f>
        <v>0.98837209302325579</v>
      </c>
      <c r="ES243" s="1">
        <f>1+(Table1[[#This Row],[error_ratio_3]]-EI$2)</f>
        <v>1.0257425742574258</v>
      </c>
      <c r="ET243" s="1">
        <f>1+(Table1[[#This Row],[error_ratio_4]]-EJ$2)</f>
        <v>1.0183299389002036</v>
      </c>
      <c r="EU243" s="1">
        <f>1+(Table1[[#This Row],[error_ratio_5]]-EK$2)</f>
        <v>1.0089686098654709</v>
      </c>
      <c r="EV243" s="1">
        <f>1+(Table1[[#This Row],[error_ratio_6]]-EL$2)</f>
        <v>1.024008350730689</v>
      </c>
      <c r="EW243" s="1">
        <f>1+(Table1[[#This Row],[error_ratio_7]]-EM$2)</f>
        <v>1.004863813229572</v>
      </c>
      <c r="EX243" s="1">
        <f>1+(Table1[[#This Row],[error_ratio_8]]-EN$2)</f>
        <v>0.98767967145790558</v>
      </c>
      <c r="EY243" s="1">
        <f>1+(Table1[[#This Row],[error_ratio_9]]-EO$2)</f>
        <v>0.99702675916749262</v>
      </c>
    </row>
    <row r="244" spans="1:155" x14ac:dyDescent="0.75">
      <c r="A244">
        <v>10</v>
      </c>
      <c r="B244">
        <v>100</v>
      </c>
      <c r="C244">
        <v>100</v>
      </c>
      <c r="D244">
        <v>10</v>
      </c>
      <c r="E244">
        <v>100</v>
      </c>
      <c r="F244">
        <v>100</v>
      </c>
      <c r="G244">
        <v>100</v>
      </c>
      <c r="H244">
        <v>100</v>
      </c>
      <c r="I244">
        <v>10</v>
      </c>
      <c r="J244">
        <v>100</v>
      </c>
      <c r="K244">
        <v>943</v>
      </c>
      <c r="L244">
        <v>1144</v>
      </c>
      <c r="M244">
        <v>1092</v>
      </c>
      <c r="N244">
        <v>925</v>
      </c>
      <c r="O244">
        <v>995</v>
      </c>
      <c r="P244">
        <v>977</v>
      </c>
      <c r="Q244">
        <v>976</v>
      </c>
      <c r="R244">
        <v>1020</v>
      </c>
      <c r="S244">
        <v>885</v>
      </c>
      <c r="T244">
        <v>1043</v>
      </c>
      <c r="U244">
        <v>980</v>
      </c>
      <c r="V244">
        <v>1135</v>
      </c>
      <c r="W244">
        <v>1032</v>
      </c>
      <c r="X244">
        <v>1010</v>
      </c>
      <c r="Y244">
        <v>982</v>
      </c>
      <c r="Z244">
        <v>892</v>
      </c>
      <c r="AA244">
        <v>958</v>
      </c>
      <c r="AB244">
        <v>1028</v>
      </c>
      <c r="AC244">
        <v>974</v>
      </c>
      <c r="AD244">
        <v>1009</v>
      </c>
      <c r="AE244">
        <v>937</v>
      </c>
      <c r="AF244">
        <v>0</v>
      </c>
      <c r="AG244">
        <v>7</v>
      </c>
      <c r="AH244">
        <v>0</v>
      </c>
      <c r="AI244">
        <v>2</v>
      </c>
      <c r="AJ244">
        <v>2</v>
      </c>
      <c r="AK244">
        <v>23</v>
      </c>
      <c r="AL244">
        <v>4</v>
      </c>
      <c r="AM244">
        <v>0</v>
      </c>
      <c r="AN244">
        <v>5</v>
      </c>
      <c r="AO244">
        <v>0</v>
      </c>
      <c r="AP244">
        <v>1130</v>
      </c>
      <c r="AQ244">
        <v>2</v>
      </c>
      <c r="AR244">
        <v>1</v>
      </c>
      <c r="AS244">
        <v>0</v>
      </c>
      <c r="AT244">
        <v>1</v>
      </c>
      <c r="AU244">
        <v>1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1030</v>
      </c>
      <c r="BB244">
        <v>0</v>
      </c>
      <c r="BC244">
        <v>0</v>
      </c>
      <c r="BD244">
        <v>0</v>
      </c>
      <c r="BE244">
        <v>1</v>
      </c>
      <c r="BF244">
        <v>1</v>
      </c>
      <c r="BG244">
        <v>0</v>
      </c>
      <c r="BH244">
        <v>0</v>
      </c>
      <c r="BI244">
        <v>0</v>
      </c>
      <c r="BJ244">
        <v>0</v>
      </c>
      <c r="BK244">
        <v>15</v>
      </c>
      <c r="BL244">
        <v>923</v>
      </c>
      <c r="BM244">
        <v>0</v>
      </c>
      <c r="BN244">
        <v>54</v>
      </c>
      <c r="BO244">
        <v>0</v>
      </c>
      <c r="BP244">
        <v>4</v>
      </c>
      <c r="BQ244">
        <v>2</v>
      </c>
      <c r="BR244">
        <v>12</v>
      </c>
      <c r="BS244">
        <v>0</v>
      </c>
      <c r="BT244">
        <v>0</v>
      </c>
      <c r="BU244">
        <v>1</v>
      </c>
      <c r="BV244">
        <v>0</v>
      </c>
      <c r="BW244">
        <v>976</v>
      </c>
      <c r="BX244">
        <v>0</v>
      </c>
      <c r="BY244">
        <v>0</v>
      </c>
      <c r="BZ244">
        <v>1</v>
      </c>
      <c r="CA244">
        <v>0</v>
      </c>
      <c r="CB244">
        <v>4</v>
      </c>
      <c r="CC244">
        <v>0</v>
      </c>
      <c r="CD244">
        <v>0</v>
      </c>
      <c r="CE244">
        <v>1</v>
      </c>
      <c r="CF244">
        <v>0</v>
      </c>
      <c r="CG244">
        <v>0</v>
      </c>
      <c r="CH244">
        <v>889</v>
      </c>
      <c r="CI244">
        <v>2</v>
      </c>
      <c r="CJ244">
        <v>0</v>
      </c>
      <c r="CK244">
        <v>0</v>
      </c>
      <c r="CL244">
        <v>0</v>
      </c>
      <c r="CM244">
        <v>0</v>
      </c>
      <c r="CN244">
        <v>3</v>
      </c>
      <c r="CO244">
        <v>2</v>
      </c>
      <c r="CP244">
        <v>0</v>
      </c>
      <c r="CQ244">
        <v>2</v>
      </c>
      <c r="CR244">
        <v>5</v>
      </c>
      <c r="CS244">
        <v>946</v>
      </c>
      <c r="CT244">
        <v>0</v>
      </c>
      <c r="CU244">
        <v>0</v>
      </c>
      <c r="CV244">
        <v>0</v>
      </c>
      <c r="CW244">
        <v>0</v>
      </c>
      <c r="CX244">
        <v>4</v>
      </c>
      <c r="CY244">
        <v>15</v>
      </c>
      <c r="CZ244">
        <v>0</v>
      </c>
      <c r="DA244">
        <v>0</v>
      </c>
      <c r="DB244">
        <v>1</v>
      </c>
      <c r="DC244">
        <v>0</v>
      </c>
      <c r="DD244">
        <v>1002</v>
      </c>
      <c r="DE244">
        <v>0</v>
      </c>
      <c r="DF244">
        <v>6</v>
      </c>
      <c r="DG244">
        <v>6</v>
      </c>
      <c r="DH244">
        <v>6</v>
      </c>
      <c r="DI244">
        <v>18</v>
      </c>
      <c r="DJ244">
        <v>1</v>
      </c>
      <c r="DK244">
        <v>8</v>
      </c>
      <c r="DL244">
        <v>20</v>
      </c>
      <c r="DM244">
        <v>2</v>
      </c>
      <c r="DN244">
        <v>6</v>
      </c>
      <c r="DO244">
        <v>883</v>
      </c>
      <c r="DP244">
        <v>24</v>
      </c>
      <c r="DQ244">
        <v>0</v>
      </c>
      <c r="DR244">
        <v>1</v>
      </c>
      <c r="DS244">
        <v>1</v>
      </c>
      <c r="DT244">
        <v>0</v>
      </c>
      <c r="DU244">
        <v>7</v>
      </c>
      <c r="DV244">
        <v>5</v>
      </c>
      <c r="DW244">
        <v>1</v>
      </c>
      <c r="DX244">
        <v>2</v>
      </c>
      <c r="DY244">
        <v>0</v>
      </c>
      <c r="DZ244">
        <v>992</v>
      </c>
      <c r="EA244">
        <v>0.9708</v>
      </c>
      <c r="EB244">
        <v>0.97137516591517303</v>
      </c>
      <c r="EC244">
        <v>0.97060719082899105</v>
      </c>
      <c r="ED244">
        <v>0.970235444896272</v>
      </c>
      <c r="EE244">
        <f>SUM(Table1[[#This Row],[ratio_0]:[ratio_9]])</f>
        <v>730</v>
      </c>
      <c r="EF244" s="1">
        <f>(Table1[[#This Row],[predicted_0]]-Table1[[#This Row],[actual_0]])/Table1[[#This Row],[actual_0]]</f>
        <v>-3.7755102040816328E-2</v>
      </c>
      <c r="EG244" s="1">
        <f>(Table1[[#This Row],[predicted_1]]-Table1[[#This Row],[actual_1]])/Table1[[#This Row],[actual_1]]</f>
        <v>7.9295154185022032E-3</v>
      </c>
      <c r="EH244" s="1">
        <f>(Table1[[#This Row],[predicted_2]]-Table1[[#This Row],[actual_2]])/Table1[[#This Row],[actual_2]]</f>
        <v>5.8139534883720929E-2</v>
      </c>
      <c r="EI244" s="1">
        <f>(Table1[[#This Row],[predicted_3]]-Table1[[#This Row],[actual_3]])/Table1[[#This Row],[actual_3]]</f>
        <v>-8.4158415841584164E-2</v>
      </c>
      <c r="EJ244" s="1">
        <f>(Table1[[#This Row],[predicted_4]]-Table1[[#This Row],[actual_4]])/Table1[[#This Row],[actual_4]]</f>
        <v>1.3238289205702648E-2</v>
      </c>
      <c r="EK244" s="1">
        <f>(Table1[[#This Row],[predicted_5]]-Table1[[#This Row],[actual_5]])/Table1[[#This Row],[actual_5]]</f>
        <v>9.52914798206278E-2</v>
      </c>
      <c r="EL244" s="1">
        <f>(Table1[[#This Row],[predicted_6]]-Table1[[#This Row],[actual_6]])/Table1[[#This Row],[actual_6]]</f>
        <v>1.8789144050104383E-2</v>
      </c>
      <c r="EM244" s="1">
        <f>(Table1[[#This Row],[predicted_7]]-Table1[[#This Row],[actual_7]])/Table1[[#This Row],[actual_7]]</f>
        <v>-7.7821011673151752E-3</v>
      </c>
      <c r="EN244" s="1">
        <f>(Table1[[#This Row],[predicted_8]]-Table1[[#This Row],[actual_8]])/Table1[[#This Row],[actual_8]]</f>
        <v>-9.1375770020533875E-2</v>
      </c>
      <c r="EO244" s="1">
        <f>(Table1[[#This Row],[predicted_9]]-Table1[[#This Row],[actual_9]])/Table1[[#This Row],[actual_9]]</f>
        <v>3.3696729435084241E-2</v>
      </c>
      <c r="EP244" s="1">
        <f>1+(Table1[[#This Row],[error_ratio_0]]-EF$2)</f>
        <v>0.96020408163265303</v>
      </c>
      <c r="EQ244" s="1">
        <f>1+(Table1[[#This Row],[error_ratio_1]]-EG$2)</f>
        <v>1.0061674008810573</v>
      </c>
      <c r="ER244" s="1">
        <f>1+(Table1[[#This Row],[error_ratio_2]]-EH$2)</f>
        <v>1.0629844961240309</v>
      </c>
      <c r="ES244" s="1">
        <f>1+(Table1[[#This Row],[error_ratio_3]]-EI$2)</f>
        <v>0.90594059405940597</v>
      </c>
      <c r="ET244" s="1">
        <f>1+(Table1[[#This Row],[error_ratio_4]]-EJ$2)</f>
        <v>1.0122199592668024</v>
      </c>
      <c r="EU244" s="1">
        <f>1+(Table1[[#This Row],[error_ratio_5]]-EK$2)</f>
        <v>1.094170403587444</v>
      </c>
      <c r="EV244" s="1">
        <f>1+(Table1[[#This Row],[error_ratio_6]]-EL$2)</f>
        <v>1.0250521920668059</v>
      </c>
      <c r="EW244" s="1">
        <f>1+(Table1[[#This Row],[error_ratio_7]]-EM$2)</f>
        <v>0.99027237354085607</v>
      </c>
      <c r="EX244" s="1">
        <f>1+(Table1[[#This Row],[error_ratio_8]]-EN$2)</f>
        <v>0.9117043121149897</v>
      </c>
      <c r="EY244" s="1">
        <f>1+(Table1[[#This Row],[error_ratio_9]]-EO$2)</f>
        <v>1.0376610505450941</v>
      </c>
    </row>
    <row r="245" spans="1:155" x14ac:dyDescent="0.75">
      <c r="A245">
        <v>100</v>
      </c>
      <c r="B245">
        <v>10</v>
      </c>
      <c r="C245">
        <v>100</v>
      </c>
      <c r="D245">
        <v>10</v>
      </c>
      <c r="E245">
        <v>100</v>
      </c>
      <c r="F245">
        <v>100</v>
      </c>
      <c r="G245">
        <v>100</v>
      </c>
      <c r="H245">
        <v>100</v>
      </c>
      <c r="I245">
        <v>10</v>
      </c>
      <c r="J245">
        <v>100</v>
      </c>
      <c r="K245">
        <v>992</v>
      </c>
      <c r="L245">
        <v>1123</v>
      </c>
      <c r="M245">
        <v>1056</v>
      </c>
      <c r="N245">
        <v>970</v>
      </c>
      <c r="O245">
        <v>979</v>
      </c>
      <c r="P245">
        <v>910</v>
      </c>
      <c r="Q245">
        <v>969</v>
      </c>
      <c r="R245">
        <v>1052</v>
      </c>
      <c r="S245">
        <v>906</v>
      </c>
      <c r="T245">
        <v>1043</v>
      </c>
      <c r="U245">
        <v>980</v>
      </c>
      <c r="V245">
        <v>1135</v>
      </c>
      <c r="W245">
        <v>1032</v>
      </c>
      <c r="X245">
        <v>1010</v>
      </c>
      <c r="Y245">
        <v>982</v>
      </c>
      <c r="Z245">
        <v>892</v>
      </c>
      <c r="AA245">
        <v>958</v>
      </c>
      <c r="AB245">
        <v>1028</v>
      </c>
      <c r="AC245">
        <v>974</v>
      </c>
      <c r="AD245">
        <v>1009</v>
      </c>
      <c r="AE245">
        <v>976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1</v>
      </c>
      <c r="AL245">
        <v>2</v>
      </c>
      <c r="AM245">
        <v>0</v>
      </c>
      <c r="AN245">
        <v>1</v>
      </c>
      <c r="AO245">
        <v>0</v>
      </c>
      <c r="AP245">
        <v>1118</v>
      </c>
      <c r="AQ245">
        <v>5</v>
      </c>
      <c r="AR245">
        <v>0</v>
      </c>
      <c r="AS245">
        <v>0</v>
      </c>
      <c r="AT245">
        <v>1</v>
      </c>
      <c r="AU245">
        <v>6</v>
      </c>
      <c r="AV245">
        <v>5</v>
      </c>
      <c r="AW245">
        <v>0</v>
      </c>
      <c r="AX245">
        <v>0</v>
      </c>
      <c r="AY245">
        <v>2</v>
      </c>
      <c r="AZ245">
        <v>0</v>
      </c>
      <c r="BA245">
        <v>1021</v>
      </c>
      <c r="BB245">
        <v>0</v>
      </c>
      <c r="BC245">
        <v>2</v>
      </c>
      <c r="BD245">
        <v>0</v>
      </c>
      <c r="BE245">
        <v>1</v>
      </c>
      <c r="BF245">
        <v>6</v>
      </c>
      <c r="BG245">
        <v>0</v>
      </c>
      <c r="BH245">
        <v>0</v>
      </c>
      <c r="BI245">
        <v>0</v>
      </c>
      <c r="BJ245">
        <v>0</v>
      </c>
      <c r="BK245">
        <v>14</v>
      </c>
      <c r="BL245">
        <v>964</v>
      </c>
      <c r="BM245">
        <v>0</v>
      </c>
      <c r="BN245">
        <v>14</v>
      </c>
      <c r="BO245">
        <v>0</v>
      </c>
      <c r="BP245">
        <v>10</v>
      </c>
      <c r="BQ245">
        <v>0</v>
      </c>
      <c r="BR245">
        <v>8</v>
      </c>
      <c r="BS245">
        <v>0</v>
      </c>
      <c r="BT245">
        <v>0</v>
      </c>
      <c r="BU245">
        <v>0</v>
      </c>
      <c r="BV245">
        <v>0</v>
      </c>
      <c r="BW245">
        <v>967</v>
      </c>
      <c r="BX245">
        <v>0</v>
      </c>
      <c r="BY245">
        <v>3</v>
      </c>
      <c r="BZ245">
        <v>0</v>
      </c>
      <c r="CA245">
        <v>0</v>
      </c>
      <c r="CB245">
        <v>12</v>
      </c>
      <c r="CC245">
        <v>2</v>
      </c>
      <c r="CD245">
        <v>0</v>
      </c>
      <c r="CE245">
        <v>0</v>
      </c>
      <c r="CF245">
        <v>2</v>
      </c>
      <c r="CG245">
        <v>0</v>
      </c>
      <c r="CH245">
        <v>883</v>
      </c>
      <c r="CI245">
        <v>2</v>
      </c>
      <c r="CJ245">
        <v>1</v>
      </c>
      <c r="CK245">
        <v>0</v>
      </c>
      <c r="CL245">
        <v>2</v>
      </c>
      <c r="CM245">
        <v>3</v>
      </c>
      <c r="CN245">
        <v>1</v>
      </c>
      <c r="CO245">
        <v>0</v>
      </c>
      <c r="CP245">
        <v>0</v>
      </c>
      <c r="CQ245">
        <v>1</v>
      </c>
      <c r="CR245">
        <v>1</v>
      </c>
      <c r="CS245">
        <v>952</v>
      </c>
      <c r="CT245">
        <v>0</v>
      </c>
      <c r="CU245">
        <v>0</v>
      </c>
      <c r="CV245">
        <v>0</v>
      </c>
      <c r="CW245">
        <v>0</v>
      </c>
      <c r="CX245">
        <v>1</v>
      </c>
      <c r="CY245">
        <v>5</v>
      </c>
      <c r="CZ245">
        <v>0</v>
      </c>
      <c r="DA245">
        <v>0</v>
      </c>
      <c r="DB245">
        <v>0</v>
      </c>
      <c r="DC245">
        <v>0</v>
      </c>
      <c r="DD245">
        <v>1019</v>
      </c>
      <c r="DE245">
        <v>0</v>
      </c>
      <c r="DF245">
        <v>3</v>
      </c>
      <c r="DG245">
        <v>9</v>
      </c>
      <c r="DH245">
        <v>3</v>
      </c>
      <c r="DI245">
        <v>10</v>
      </c>
      <c r="DJ245">
        <v>2</v>
      </c>
      <c r="DK245">
        <v>7</v>
      </c>
      <c r="DL245">
        <v>9</v>
      </c>
      <c r="DM245">
        <v>3</v>
      </c>
      <c r="DN245">
        <v>7</v>
      </c>
      <c r="DO245">
        <v>906</v>
      </c>
      <c r="DP245">
        <v>18</v>
      </c>
      <c r="DQ245">
        <v>0</v>
      </c>
      <c r="DR245">
        <v>0</v>
      </c>
      <c r="DS245">
        <v>1</v>
      </c>
      <c r="DT245">
        <v>2</v>
      </c>
      <c r="DU245">
        <v>2</v>
      </c>
      <c r="DV245">
        <v>2</v>
      </c>
      <c r="DW245">
        <v>1</v>
      </c>
      <c r="DX245">
        <v>2</v>
      </c>
      <c r="DY245">
        <v>0</v>
      </c>
      <c r="DZ245">
        <v>999</v>
      </c>
      <c r="EA245">
        <v>0.98050000000000004</v>
      </c>
      <c r="EB245">
        <v>0.98070626835414099</v>
      </c>
      <c r="EC245">
        <v>0.98046283797355405</v>
      </c>
      <c r="ED245">
        <v>0.98034613499369105</v>
      </c>
      <c r="EE245">
        <f>SUM(Table1[[#This Row],[ratio_0]:[ratio_9]])</f>
        <v>730</v>
      </c>
      <c r="EF245" s="1">
        <f>(Table1[[#This Row],[predicted_0]]-Table1[[#This Row],[actual_0]])/Table1[[#This Row],[actual_0]]</f>
        <v>1.2244897959183673E-2</v>
      </c>
      <c r="EG245" s="1">
        <f>(Table1[[#This Row],[predicted_1]]-Table1[[#This Row],[actual_1]])/Table1[[#This Row],[actual_1]]</f>
        <v>-1.0572687224669603E-2</v>
      </c>
      <c r="EH245" s="1">
        <f>(Table1[[#This Row],[predicted_2]]-Table1[[#This Row],[actual_2]])/Table1[[#This Row],[actual_2]]</f>
        <v>2.3255813953488372E-2</v>
      </c>
      <c r="EI245" s="1">
        <f>(Table1[[#This Row],[predicted_3]]-Table1[[#This Row],[actual_3]])/Table1[[#This Row],[actual_3]]</f>
        <v>-3.9603960396039604E-2</v>
      </c>
      <c r="EJ245" s="1">
        <f>(Table1[[#This Row],[predicted_4]]-Table1[[#This Row],[actual_4]])/Table1[[#This Row],[actual_4]]</f>
        <v>-3.0549898167006109E-3</v>
      </c>
      <c r="EK245" s="1">
        <f>(Table1[[#This Row],[predicted_5]]-Table1[[#This Row],[actual_5]])/Table1[[#This Row],[actual_5]]</f>
        <v>2.0179372197309416E-2</v>
      </c>
      <c r="EL245" s="1">
        <f>(Table1[[#This Row],[predicted_6]]-Table1[[#This Row],[actual_6]])/Table1[[#This Row],[actual_6]]</f>
        <v>1.1482254697286013E-2</v>
      </c>
      <c r="EM245" s="1">
        <f>(Table1[[#This Row],[predicted_7]]-Table1[[#This Row],[actual_7]])/Table1[[#This Row],[actual_7]]</f>
        <v>2.3346303501945526E-2</v>
      </c>
      <c r="EN245" s="1">
        <f>(Table1[[#This Row],[predicted_8]]-Table1[[#This Row],[actual_8]])/Table1[[#This Row],[actual_8]]</f>
        <v>-6.9815195071868577E-2</v>
      </c>
      <c r="EO245" s="1">
        <f>(Table1[[#This Row],[predicted_9]]-Table1[[#This Row],[actual_9]])/Table1[[#This Row],[actual_9]]</f>
        <v>3.3696729435084241E-2</v>
      </c>
      <c r="EP245" s="1">
        <f>1+(Table1[[#This Row],[error_ratio_0]]-EF$2)</f>
        <v>1.010204081632653</v>
      </c>
      <c r="EQ245" s="1">
        <f>1+(Table1[[#This Row],[error_ratio_1]]-EG$2)</f>
        <v>0.98766519823788546</v>
      </c>
      <c r="ER245" s="1">
        <f>1+(Table1[[#This Row],[error_ratio_2]]-EH$2)</f>
        <v>1.0281007751937985</v>
      </c>
      <c r="ES245" s="1">
        <f>1+(Table1[[#This Row],[error_ratio_3]]-EI$2)</f>
        <v>0.95049504950495045</v>
      </c>
      <c r="ET245" s="1">
        <f>1+(Table1[[#This Row],[error_ratio_4]]-EJ$2)</f>
        <v>0.99592668024439923</v>
      </c>
      <c r="EU245" s="1">
        <f>1+(Table1[[#This Row],[error_ratio_5]]-EK$2)</f>
        <v>1.0190582959641254</v>
      </c>
      <c r="EV245" s="1">
        <f>1+(Table1[[#This Row],[error_ratio_6]]-EL$2)</f>
        <v>1.0177453027139876</v>
      </c>
      <c r="EW245" s="1">
        <f>1+(Table1[[#This Row],[error_ratio_7]]-EM$2)</f>
        <v>1.0214007782101167</v>
      </c>
      <c r="EX245" s="1">
        <f>1+(Table1[[#This Row],[error_ratio_8]]-EN$2)</f>
        <v>0.93326488706365507</v>
      </c>
      <c r="EY245" s="1">
        <f>1+(Table1[[#This Row],[error_ratio_9]]-EO$2)</f>
        <v>1.0376610505450941</v>
      </c>
    </row>
    <row r="246" spans="1:155" x14ac:dyDescent="0.75">
      <c r="A246">
        <v>10</v>
      </c>
      <c r="B246">
        <v>10</v>
      </c>
      <c r="C246">
        <v>100</v>
      </c>
      <c r="D246">
        <v>10</v>
      </c>
      <c r="E246">
        <v>100</v>
      </c>
      <c r="F246">
        <v>100</v>
      </c>
      <c r="G246">
        <v>100</v>
      </c>
      <c r="H246">
        <v>100</v>
      </c>
      <c r="I246">
        <v>10</v>
      </c>
      <c r="J246">
        <v>100</v>
      </c>
      <c r="K246">
        <v>934</v>
      </c>
      <c r="L246">
        <v>1112</v>
      </c>
      <c r="M246">
        <v>1101</v>
      </c>
      <c r="N246">
        <v>941</v>
      </c>
      <c r="O246">
        <v>990</v>
      </c>
      <c r="P246">
        <v>1007</v>
      </c>
      <c r="Q246">
        <v>969</v>
      </c>
      <c r="R246">
        <v>1034</v>
      </c>
      <c r="S246">
        <v>881</v>
      </c>
      <c r="T246">
        <v>1031</v>
      </c>
      <c r="U246">
        <v>980</v>
      </c>
      <c r="V246">
        <v>1135</v>
      </c>
      <c r="W246">
        <v>1032</v>
      </c>
      <c r="X246">
        <v>1010</v>
      </c>
      <c r="Y246">
        <v>982</v>
      </c>
      <c r="Z246">
        <v>892</v>
      </c>
      <c r="AA246">
        <v>958</v>
      </c>
      <c r="AB246">
        <v>1028</v>
      </c>
      <c r="AC246">
        <v>974</v>
      </c>
      <c r="AD246">
        <v>1009</v>
      </c>
      <c r="AE246">
        <v>927</v>
      </c>
      <c r="AF246">
        <v>0</v>
      </c>
      <c r="AG246">
        <v>23</v>
      </c>
      <c r="AH246">
        <v>0</v>
      </c>
      <c r="AI246">
        <v>0</v>
      </c>
      <c r="AJ246">
        <v>6</v>
      </c>
      <c r="AK246">
        <v>7</v>
      </c>
      <c r="AL246">
        <v>2</v>
      </c>
      <c r="AM246">
        <v>1</v>
      </c>
      <c r="AN246">
        <v>14</v>
      </c>
      <c r="AO246">
        <v>0</v>
      </c>
      <c r="AP246">
        <v>1110</v>
      </c>
      <c r="AQ246">
        <v>11</v>
      </c>
      <c r="AR246">
        <v>0</v>
      </c>
      <c r="AS246">
        <v>1</v>
      </c>
      <c r="AT246">
        <v>3</v>
      </c>
      <c r="AU246">
        <v>7</v>
      </c>
      <c r="AV246">
        <v>2</v>
      </c>
      <c r="AW246">
        <v>0</v>
      </c>
      <c r="AX246">
        <v>1</v>
      </c>
      <c r="AY246">
        <v>0</v>
      </c>
      <c r="AZ246">
        <v>0</v>
      </c>
      <c r="BA246">
        <v>1025</v>
      </c>
      <c r="BB246">
        <v>2</v>
      </c>
      <c r="BC246">
        <v>0</v>
      </c>
      <c r="BD246">
        <v>0</v>
      </c>
      <c r="BE246">
        <v>0</v>
      </c>
      <c r="BF246">
        <v>5</v>
      </c>
      <c r="BG246">
        <v>0</v>
      </c>
      <c r="BH246">
        <v>0</v>
      </c>
      <c r="BI246">
        <v>0</v>
      </c>
      <c r="BJ246">
        <v>0</v>
      </c>
      <c r="BK246">
        <v>12</v>
      </c>
      <c r="BL246">
        <v>929</v>
      </c>
      <c r="BM246">
        <v>0</v>
      </c>
      <c r="BN246">
        <v>55</v>
      </c>
      <c r="BO246">
        <v>0</v>
      </c>
      <c r="BP246">
        <v>6</v>
      </c>
      <c r="BQ246">
        <v>0</v>
      </c>
      <c r="BR246">
        <v>8</v>
      </c>
      <c r="BS246">
        <v>0</v>
      </c>
      <c r="BT246">
        <v>0</v>
      </c>
      <c r="BU246">
        <v>1</v>
      </c>
      <c r="BV246">
        <v>0</v>
      </c>
      <c r="BW246">
        <v>976</v>
      </c>
      <c r="BX246">
        <v>0</v>
      </c>
      <c r="BY246">
        <v>2</v>
      </c>
      <c r="BZ246">
        <v>0</v>
      </c>
      <c r="CA246">
        <v>0</v>
      </c>
      <c r="CB246">
        <v>3</v>
      </c>
      <c r="CC246">
        <v>0</v>
      </c>
      <c r="CD246">
        <v>0</v>
      </c>
      <c r="CE246">
        <v>0</v>
      </c>
      <c r="CF246">
        <v>1</v>
      </c>
      <c r="CG246">
        <v>0</v>
      </c>
      <c r="CH246">
        <v>890</v>
      </c>
      <c r="CI246">
        <v>1</v>
      </c>
      <c r="CJ246">
        <v>0</v>
      </c>
      <c r="CK246">
        <v>0</v>
      </c>
      <c r="CL246">
        <v>0</v>
      </c>
      <c r="CM246">
        <v>1</v>
      </c>
      <c r="CN246">
        <v>0</v>
      </c>
      <c r="CO246">
        <v>1</v>
      </c>
      <c r="CP246">
        <v>0</v>
      </c>
      <c r="CQ246">
        <v>2</v>
      </c>
      <c r="CR246">
        <v>6</v>
      </c>
      <c r="CS246">
        <v>948</v>
      </c>
      <c r="CT246">
        <v>0</v>
      </c>
      <c r="CU246">
        <v>0</v>
      </c>
      <c r="CV246">
        <v>0</v>
      </c>
      <c r="CW246">
        <v>1</v>
      </c>
      <c r="CX246">
        <v>2</v>
      </c>
      <c r="CY246">
        <v>6</v>
      </c>
      <c r="CZ246">
        <v>0</v>
      </c>
      <c r="DA246">
        <v>0</v>
      </c>
      <c r="DB246">
        <v>1</v>
      </c>
      <c r="DC246">
        <v>0</v>
      </c>
      <c r="DD246">
        <v>1011</v>
      </c>
      <c r="DE246">
        <v>1</v>
      </c>
      <c r="DF246">
        <v>6</v>
      </c>
      <c r="DG246">
        <v>5</v>
      </c>
      <c r="DH246">
        <v>0</v>
      </c>
      <c r="DI246">
        <v>20</v>
      </c>
      <c r="DJ246">
        <v>8</v>
      </c>
      <c r="DK246">
        <v>4</v>
      </c>
      <c r="DL246">
        <v>33</v>
      </c>
      <c r="DM246">
        <v>4</v>
      </c>
      <c r="DN246">
        <v>8</v>
      </c>
      <c r="DO246">
        <v>879</v>
      </c>
      <c r="DP246">
        <v>13</v>
      </c>
      <c r="DQ246">
        <v>0</v>
      </c>
      <c r="DR246">
        <v>0</v>
      </c>
      <c r="DS246">
        <v>2</v>
      </c>
      <c r="DT246">
        <v>1</v>
      </c>
      <c r="DU246">
        <v>7</v>
      </c>
      <c r="DV246">
        <v>13</v>
      </c>
      <c r="DW246">
        <v>0</v>
      </c>
      <c r="DX246">
        <v>0</v>
      </c>
      <c r="DY246">
        <v>0</v>
      </c>
      <c r="DZ246">
        <v>986</v>
      </c>
      <c r="EA246">
        <v>0.96809999999999996</v>
      </c>
      <c r="EB246">
        <v>0.96887655049517296</v>
      </c>
      <c r="EC246">
        <v>0.96812526789748399</v>
      </c>
      <c r="ED246">
        <v>0.96761390127470104</v>
      </c>
      <c r="EE246">
        <f>SUM(Table1[[#This Row],[ratio_0]:[ratio_9]])</f>
        <v>640</v>
      </c>
      <c r="EF246" s="1">
        <f>(Table1[[#This Row],[predicted_0]]-Table1[[#This Row],[actual_0]])/Table1[[#This Row],[actual_0]]</f>
        <v>-4.6938775510204082E-2</v>
      </c>
      <c r="EG246" s="1">
        <f>(Table1[[#This Row],[predicted_1]]-Table1[[#This Row],[actual_1]])/Table1[[#This Row],[actual_1]]</f>
        <v>-2.0264317180616741E-2</v>
      </c>
      <c r="EH246" s="1">
        <f>(Table1[[#This Row],[predicted_2]]-Table1[[#This Row],[actual_2]])/Table1[[#This Row],[actual_2]]</f>
        <v>6.6860465116279064E-2</v>
      </c>
      <c r="EI246" s="1">
        <f>(Table1[[#This Row],[predicted_3]]-Table1[[#This Row],[actual_3]])/Table1[[#This Row],[actual_3]]</f>
        <v>-6.8316831683168322E-2</v>
      </c>
      <c r="EJ246" s="1">
        <f>(Table1[[#This Row],[predicted_4]]-Table1[[#This Row],[actual_4]])/Table1[[#This Row],[actual_4]]</f>
        <v>8.1466395112016286E-3</v>
      </c>
      <c r="EK246" s="1">
        <f>(Table1[[#This Row],[predicted_5]]-Table1[[#This Row],[actual_5]])/Table1[[#This Row],[actual_5]]</f>
        <v>0.12892376681614351</v>
      </c>
      <c r="EL246" s="1">
        <f>(Table1[[#This Row],[predicted_6]]-Table1[[#This Row],[actual_6]])/Table1[[#This Row],[actual_6]]</f>
        <v>1.1482254697286013E-2</v>
      </c>
      <c r="EM246" s="1">
        <f>(Table1[[#This Row],[predicted_7]]-Table1[[#This Row],[actual_7]])/Table1[[#This Row],[actual_7]]</f>
        <v>5.8365758754863814E-3</v>
      </c>
      <c r="EN246" s="1">
        <f>(Table1[[#This Row],[predicted_8]]-Table1[[#This Row],[actual_8]])/Table1[[#This Row],[actual_8]]</f>
        <v>-9.5482546201232033E-2</v>
      </c>
      <c r="EO246" s="1">
        <f>(Table1[[#This Row],[predicted_9]]-Table1[[#This Row],[actual_9]])/Table1[[#This Row],[actual_9]]</f>
        <v>2.1803766105054509E-2</v>
      </c>
      <c r="EP246" s="1">
        <f>1+(Table1[[#This Row],[error_ratio_0]]-EF$2)</f>
        <v>0.95102040816326527</v>
      </c>
      <c r="EQ246" s="1">
        <f>1+(Table1[[#This Row],[error_ratio_1]]-EG$2)</f>
        <v>0.97797356828193838</v>
      </c>
      <c r="ER246" s="1">
        <f>1+(Table1[[#This Row],[error_ratio_2]]-EH$2)</f>
        <v>1.0717054263565891</v>
      </c>
      <c r="ES246" s="1">
        <f>1+(Table1[[#This Row],[error_ratio_3]]-EI$2)</f>
        <v>0.92178217821782182</v>
      </c>
      <c r="ET246" s="1">
        <f>1+(Table1[[#This Row],[error_ratio_4]]-EJ$2)</f>
        <v>1.0071283095723014</v>
      </c>
      <c r="EU246" s="1">
        <f>1+(Table1[[#This Row],[error_ratio_5]]-EK$2)</f>
        <v>1.1278026905829597</v>
      </c>
      <c r="EV246" s="1">
        <f>1+(Table1[[#This Row],[error_ratio_6]]-EL$2)</f>
        <v>1.0177453027139876</v>
      </c>
      <c r="EW246" s="1">
        <f>1+(Table1[[#This Row],[error_ratio_7]]-EM$2)</f>
        <v>1.0038910505836576</v>
      </c>
      <c r="EX246" s="1">
        <f>1+(Table1[[#This Row],[error_ratio_8]]-EN$2)</f>
        <v>0.9075975359342916</v>
      </c>
      <c r="EY246" s="1">
        <f>1+(Table1[[#This Row],[error_ratio_9]]-EO$2)</f>
        <v>1.0257680872150645</v>
      </c>
    </row>
    <row r="247" spans="1:155" x14ac:dyDescent="0.75">
      <c r="A247">
        <v>100</v>
      </c>
      <c r="B247">
        <v>100</v>
      </c>
      <c r="C247">
        <v>10</v>
      </c>
      <c r="D247">
        <v>10</v>
      </c>
      <c r="E247">
        <v>100</v>
      </c>
      <c r="F247">
        <v>100</v>
      </c>
      <c r="G247">
        <v>100</v>
      </c>
      <c r="H247">
        <v>100</v>
      </c>
      <c r="I247">
        <v>10</v>
      </c>
      <c r="J247">
        <v>100</v>
      </c>
      <c r="K247">
        <v>997</v>
      </c>
      <c r="L247">
        <v>1136</v>
      </c>
      <c r="M247">
        <v>1025</v>
      </c>
      <c r="N247">
        <v>943</v>
      </c>
      <c r="O247">
        <v>982</v>
      </c>
      <c r="P247">
        <v>936</v>
      </c>
      <c r="Q247">
        <v>977</v>
      </c>
      <c r="R247">
        <v>1060</v>
      </c>
      <c r="S247">
        <v>924</v>
      </c>
      <c r="T247">
        <v>1020</v>
      </c>
      <c r="U247">
        <v>980</v>
      </c>
      <c r="V247">
        <v>1135</v>
      </c>
      <c r="W247">
        <v>1032</v>
      </c>
      <c r="X247">
        <v>1010</v>
      </c>
      <c r="Y247">
        <v>982</v>
      </c>
      <c r="Z247">
        <v>892</v>
      </c>
      <c r="AA247">
        <v>958</v>
      </c>
      <c r="AB247">
        <v>1028</v>
      </c>
      <c r="AC247">
        <v>974</v>
      </c>
      <c r="AD247">
        <v>1009</v>
      </c>
      <c r="AE247">
        <v>973</v>
      </c>
      <c r="AF247">
        <v>2</v>
      </c>
      <c r="AG247">
        <v>1</v>
      </c>
      <c r="AH247">
        <v>0</v>
      </c>
      <c r="AI247">
        <v>0</v>
      </c>
      <c r="AJ247">
        <v>0</v>
      </c>
      <c r="AK247">
        <v>1</v>
      </c>
      <c r="AL247">
        <v>2</v>
      </c>
      <c r="AM247">
        <v>1</v>
      </c>
      <c r="AN247">
        <v>0</v>
      </c>
      <c r="AO247">
        <v>0</v>
      </c>
      <c r="AP247">
        <v>1122</v>
      </c>
      <c r="AQ247">
        <v>1</v>
      </c>
      <c r="AR247">
        <v>1</v>
      </c>
      <c r="AS247">
        <v>0</v>
      </c>
      <c r="AT247">
        <v>1</v>
      </c>
      <c r="AU247">
        <v>5</v>
      </c>
      <c r="AV247">
        <v>4</v>
      </c>
      <c r="AW247">
        <v>1</v>
      </c>
      <c r="AX247">
        <v>0</v>
      </c>
      <c r="AY247">
        <v>5</v>
      </c>
      <c r="AZ247">
        <v>3</v>
      </c>
      <c r="BA247">
        <v>1003</v>
      </c>
      <c r="BB247">
        <v>0</v>
      </c>
      <c r="BC247">
        <v>5</v>
      </c>
      <c r="BD247">
        <v>1</v>
      </c>
      <c r="BE247">
        <v>6</v>
      </c>
      <c r="BF247">
        <v>7</v>
      </c>
      <c r="BG247">
        <v>1</v>
      </c>
      <c r="BH247">
        <v>1</v>
      </c>
      <c r="BI247">
        <v>1</v>
      </c>
      <c r="BJ247">
        <v>0</v>
      </c>
      <c r="BK247">
        <v>5</v>
      </c>
      <c r="BL247">
        <v>937</v>
      </c>
      <c r="BM247">
        <v>0</v>
      </c>
      <c r="BN247">
        <v>43</v>
      </c>
      <c r="BO247">
        <v>0</v>
      </c>
      <c r="BP247">
        <v>12</v>
      </c>
      <c r="BQ247">
        <v>1</v>
      </c>
      <c r="BR247">
        <v>11</v>
      </c>
      <c r="BS247">
        <v>0</v>
      </c>
      <c r="BT247">
        <v>0</v>
      </c>
      <c r="BU247">
        <v>0</v>
      </c>
      <c r="BV247">
        <v>0</v>
      </c>
      <c r="BW247">
        <v>968</v>
      </c>
      <c r="BX247">
        <v>0</v>
      </c>
      <c r="BY247">
        <v>6</v>
      </c>
      <c r="BZ247">
        <v>1</v>
      </c>
      <c r="CA247">
        <v>0</v>
      </c>
      <c r="CB247">
        <v>7</v>
      </c>
      <c r="CC247">
        <v>1</v>
      </c>
      <c r="CD247">
        <v>0</v>
      </c>
      <c r="CE247">
        <v>0</v>
      </c>
      <c r="CF247">
        <v>2</v>
      </c>
      <c r="CG247">
        <v>0</v>
      </c>
      <c r="CH247">
        <v>881</v>
      </c>
      <c r="CI247">
        <v>5</v>
      </c>
      <c r="CJ247">
        <v>0</v>
      </c>
      <c r="CK247">
        <v>3</v>
      </c>
      <c r="CL247">
        <v>0</v>
      </c>
      <c r="CM247">
        <v>5</v>
      </c>
      <c r="CN247">
        <v>2</v>
      </c>
      <c r="CO247">
        <v>1</v>
      </c>
      <c r="CP247">
        <v>0</v>
      </c>
      <c r="CQ247">
        <v>1</v>
      </c>
      <c r="CR247">
        <v>1</v>
      </c>
      <c r="CS247">
        <v>947</v>
      </c>
      <c r="CT247">
        <v>0</v>
      </c>
      <c r="CU247">
        <v>1</v>
      </c>
      <c r="CV247">
        <v>0</v>
      </c>
      <c r="CW247">
        <v>0</v>
      </c>
      <c r="CX247">
        <v>2</v>
      </c>
      <c r="CY247">
        <v>6</v>
      </c>
      <c r="CZ247">
        <v>0</v>
      </c>
      <c r="DA247">
        <v>0</v>
      </c>
      <c r="DB247">
        <v>1</v>
      </c>
      <c r="DC247">
        <v>0</v>
      </c>
      <c r="DD247">
        <v>1018</v>
      </c>
      <c r="DE247">
        <v>0</v>
      </c>
      <c r="DF247">
        <v>1</v>
      </c>
      <c r="DG247">
        <v>8</v>
      </c>
      <c r="DH247">
        <v>4</v>
      </c>
      <c r="DI247">
        <v>8</v>
      </c>
      <c r="DJ247">
        <v>2</v>
      </c>
      <c r="DK247">
        <v>6</v>
      </c>
      <c r="DL247">
        <v>5</v>
      </c>
      <c r="DM247">
        <v>7</v>
      </c>
      <c r="DN247">
        <v>10</v>
      </c>
      <c r="DO247">
        <v>916</v>
      </c>
      <c r="DP247">
        <v>8</v>
      </c>
      <c r="DQ247">
        <v>4</v>
      </c>
      <c r="DR247">
        <v>1</v>
      </c>
      <c r="DS247">
        <v>0</v>
      </c>
      <c r="DT247">
        <v>1</v>
      </c>
      <c r="DU247">
        <v>2</v>
      </c>
      <c r="DV247">
        <v>3</v>
      </c>
      <c r="DW247">
        <v>0</v>
      </c>
      <c r="DX247">
        <v>6</v>
      </c>
      <c r="DY247">
        <v>0</v>
      </c>
      <c r="DZ247">
        <v>992</v>
      </c>
      <c r="EA247">
        <v>0.97570000000000001</v>
      </c>
      <c r="EB247">
        <v>0.97563225756637995</v>
      </c>
      <c r="EC247">
        <v>0.975683043724345</v>
      </c>
      <c r="ED247">
        <v>0.97537803075812501</v>
      </c>
      <c r="EE247">
        <f>SUM(Table1[[#This Row],[ratio_0]:[ratio_9]])</f>
        <v>730</v>
      </c>
      <c r="EF247" s="1">
        <f>(Table1[[#This Row],[predicted_0]]-Table1[[#This Row],[actual_0]])/Table1[[#This Row],[actual_0]]</f>
        <v>1.7346938775510204E-2</v>
      </c>
      <c r="EG247" s="1">
        <f>(Table1[[#This Row],[predicted_1]]-Table1[[#This Row],[actual_1]])/Table1[[#This Row],[actual_1]]</f>
        <v>8.81057268722467E-4</v>
      </c>
      <c r="EH247" s="1">
        <f>(Table1[[#This Row],[predicted_2]]-Table1[[#This Row],[actual_2]])/Table1[[#This Row],[actual_2]]</f>
        <v>-6.7829457364341084E-3</v>
      </c>
      <c r="EI247" s="1">
        <f>(Table1[[#This Row],[predicted_3]]-Table1[[#This Row],[actual_3]])/Table1[[#This Row],[actual_3]]</f>
        <v>-6.633663366336634E-2</v>
      </c>
      <c r="EJ247" s="1">
        <f>(Table1[[#This Row],[predicted_4]]-Table1[[#This Row],[actual_4]])/Table1[[#This Row],[actual_4]]</f>
        <v>0</v>
      </c>
      <c r="EK247" s="1">
        <f>(Table1[[#This Row],[predicted_5]]-Table1[[#This Row],[actual_5]])/Table1[[#This Row],[actual_5]]</f>
        <v>4.9327354260089683E-2</v>
      </c>
      <c r="EL247" s="1">
        <f>(Table1[[#This Row],[predicted_6]]-Table1[[#This Row],[actual_6]])/Table1[[#This Row],[actual_6]]</f>
        <v>1.9832985386221295E-2</v>
      </c>
      <c r="EM247" s="1">
        <f>(Table1[[#This Row],[predicted_7]]-Table1[[#This Row],[actual_7]])/Table1[[#This Row],[actual_7]]</f>
        <v>3.1128404669260701E-2</v>
      </c>
      <c r="EN247" s="1">
        <f>(Table1[[#This Row],[predicted_8]]-Table1[[#This Row],[actual_8]])/Table1[[#This Row],[actual_8]]</f>
        <v>-5.1334702258726897E-2</v>
      </c>
      <c r="EO247" s="1">
        <f>(Table1[[#This Row],[predicted_9]]-Table1[[#This Row],[actual_9]])/Table1[[#This Row],[actual_9]]</f>
        <v>1.0901883052527254E-2</v>
      </c>
      <c r="EP247" s="1">
        <f>1+(Table1[[#This Row],[error_ratio_0]]-EF$2)</f>
        <v>1.0153061224489797</v>
      </c>
      <c r="EQ247" s="1">
        <f>1+(Table1[[#This Row],[error_ratio_1]]-EG$2)</f>
        <v>0.99911894273127755</v>
      </c>
      <c r="ER247" s="1">
        <f>1+(Table1[[#This Row],[error_ratio_2]]-EH$2)</f>
        <v>0.99806201550387597</v>
      </c>
      <c r="ES247" s="1">
        <f>1+(Table1[[#This Row],[error_ratio_3]]-EI$2)</f>
        <v>0.92376237623762381</v>
      </c>
      <c r="ET247" s="1">
        <f>1+(Table1[[#This Row],[error_ratio_4]]-EJ$2)</f>
        <v>0.99898167006109984</v>
      </c>
      <c r="EU247" s="1">
        <f>1+(Table1[[#This Row],[error_ratio_5]]-EK$2)</f>
        <v>1.0482062780269059</v>
      </c>
      <c r="EV247" s="1">
        <f>1+(Table1[[#This Row],[error_ratio_6]]-EL$2)</f>
        <v>1.0260960334029228</v>
      </c>
      <c r="EW247" s="1">
        <f>1+(Table1[[#This Row],[error_ratio_7]]-EM$2)</f>
        <v>1.0291828793774318</v>
      </c>
      <c r="EX247" s="1">
        <f>1+(Table1[[#This Row],[error_ratio_8]]-EN$2)</f>
        <v>0.95174537987679675</v>
      </c>
      <c r="EY247" s="1">
        <f>1+(Table1[[#This Row],[error_ratio_9]]-EO$2)</f>
        <v>1.0148662041625371</v>
      </c>
    </row>
    <row r="248" spans="1:155" x14ac:dyDescent="0.75">
      <c r="A248">
        <v>10</v>
      </c>
      <c r="B248">
        <v>100</v>
      </c>
      <c r="C248">
        <v>10</v>
      </c>
      <c r="D248">
        <v>10</v>
      </c>
      <c r="E248">
        <v>100</v>
      </c>
      <c r="F248">
        <v>100</v>
      </c>
      <c r="G248">
        <v>100</v>
      </c>
      <c r="H248">
        <v>100</v>
      </c>
      <c r="I248">
        <v>10</v>
      </c>
      <c r="J248">
        <v>100</v>
      </c>
      <c r="K248">
        <v>977</v>
      </c>
      <c r="L248">
        <v>1151</v>
      </c>
      <c r="M248">
        <v>981</v>
      </c>
      <c r="N248">
        <v>955</v>
      </c>
      <c r="O248">
        <v>999</v>
      </c>
      <c r="P248">
        <v>963</v>
      </c>
      <c r="Q248">
        <v>1013</v>
      </c>
      <c r="R248">
        <v>1062</v>
      </c>
      <c r="S248">
        <v>867</v>
      </c>
      <c r="T248">
        <v>1032</v>
      </c>
      <c r="U248">
        <v>980</v>
      </c>
      <c r="V248">
        <v>1135</v>
      </c>
      <c r="W248">
        <v>1032</v>
      </c>
      <c r="X248">
        <v>1010</v>
      </c>
      <c r="Y248">
        <v>982</v>
      </c>
      <c r="Z248">
        <v>892</v>
      </c>
      <c r="AA248">
        <v>958</v>
      </c>
      <c r="AB248">
        <v>1028</v>
      </c>
      <c r="AC248">
        <v>974</v>
      </c>
      <c r="AD248">
        <v>1009</v>
      </c>
      <c r="AE248">
        <v>950</v>
      </c>
      <c r="AF248">
        <v>1</v>
      </c>
      <c r="AG248">
        <v>0</v>
      </c>
      <c r="AH248">
        <v>1</v>
      </c>
      <c r="AI248">
        <v>1</v>
      </c>
      <c r="AJ248">
        <v>2</v>
      </c>
      <c r="AK248">
        <v>23</v>
      </c>
      <c r="AL248">
        <v>2</v>
      </c>
      <c r="AM248">
        <v>0</v>
      </c>
      <c r="AN248">
        <v>0</v>
      </c>
      <c r="AO248">
        <v>0</v>
      </c>
      <c r="AP248">
        <v>1133</v>
      </c>
      <c r="AQ248">
        <v>0</v>
      </c>
      <c r="AR248">
        <v>1</v>
      </c>
      <c r="AS248">
        <v>0</v>
      </c>
      <c r="AT248">
        <v>1</v>
      </c>
      <c r="AU248">
        <v>0</v>
      </c>
      <c r="AV248">
        <v>0</v>
      </c>
      <c r="AW248">
        <v>0</v>
      </c>
      <c r="AX248">
        <v>0</v>
      </c>
      <c r="AY248">
        <v>12</v>
      </c>
      <c r="AZ248">
        <v>7</v>
      </c>
      <c r="BA248">
        <v>976</v>
      </c>
      <c r="BB248">
        <v>4</v>
      </c>
      <c r="BC248">
        <v>5</v>
      </c>
      <c r="BD248">
        <v>1</v>
      </c>
      <c r="BE248">
        <v>6</v>
      </c>
      <c r="BF248">
        <v>19</v>
      </c>
      <c r="BG248">
        <v>1</v>
      </c>
      <c r="BH248">
        <v>1</v>
      </c>
      <c r="BI248">
        <v>2</v>
      </c>
      <c r="BJ248">
        <v>0</v>
      </c>
      <c r="BK248">
        <v>0</v>
      </c>
      <c r="BL248">
        <v>943</v>
      </c>
      <c r="BM248">
        <v>0</v>
      </c>
      <c r="BN248">
        <v>40</v>
      </c>
      <c r="BO248">
        <v>0</v>
      </c>
      <c r="BP248">
        <v>10</v>
      </c>
      <c r="BQ248">
        <v>3</v>
      </c>
      <c r="BR248">
        <v>12</v>
      </c>
      <c r="BS248">
        <v>0</v>
      </c>
      <c r="BT248">
        <v>0</v>
      </c>
      <c r="BU248">
        <v>0</v>
      </c>
      <c r="BV248">
        <v>0</v>
      </c>
      <c r="BW248">
        <v>979</v>
      </c>
      <c r="BX248">
        <v>0</v>
      </c>
      <c r="BY248">
        <v>1</v>
      </c>
      <c r="BZ248">
        <v>0</v>
      </c>
      <c r="CA248">
        <v>0</v>
      </c>
      <c r="CB248">
        <v>2</v>
      </c>
      <c r="CC248">
        <v>0</v>
      </c>
      <c r="CD248">
        <v>0</v>
      </c>
      <c r="CE248">
        <v>0</v>
      </c>
      <c r="CF248">
        <v>1</v>
      </c>
      <c r="CG248">
        <v>0</v>
      </c>
      <c r="CH248">
        <v>888</v>
      </c>
      <c r="CI248">
        <v>3</v>
      </c>
      <c r="CJ248">
        <v>0</v>
      </c>
      <c r="CK248">
        <v>0</v>
      </c>
      <c r="CL248">
        <v>0</v>
      </c>
      <c r="CM248">
        <v>3</v>
      </c>
      <c r="CN248">
        <v>2</v>
      </c>
      <c r="CO248">
        <v>0</v>
      </c>
      <c r="CP248">
        <v>0</v>
      </c>
      <c r="CQ248">
        <v>1</v>
      </c>
      <c r="CR248">
        <v>1</v>
      </c>
      <c r="CS248">
        <v>951</v>
      </c>
      <c r="CT248">
        <v>0</v>
      </c>
      <c r="CU248">
        <v>0</v>
      </c>
      <c r="CV248">
        <v>0</v>
      </c>
      <c r="CW248">
        <v>0</v>
      </c>
      <c r="CX248">
        <v>3</v>
      </c>
      <c r="CY248">
        <v>4</v>
      </c>
      <c r="CZ248">
        <v>0</v>
      </c>
      <c r="DA248">
        <v>0</v>
      </c>
      <c r="DB248">
        <v>0</v>
      </c>
      <c r="DC248">
        <v>0</v>
      </c>
      <c r="DD248">
        <v>1016</v>
      </c>
      <c r="DE248">
        <v>0</v>
      </c>
      <c r="DF248">
        <v>5</v>
      </c>
      <c r="DG248">
        <v>9</v>
      </c>
      <c r="DH248">
        <v>4</v>
      </c>
      <c r="DI248">
        <v>1</v>
      </c>
      <c r="DJ248">
        <v>4</v>
      </c>
      <c r="DK248">
        <v>7</v>
      </c>
      <c r="DL248">
        <v>24</v>
      </c>
      <c r="DM248">
        <v>27</v>
      </c>
      <c r="DN248">
        <v>13</v>
      </c>
      <c r="DO248">
        <v>863</v>
      </c>
      <c r="DP248">
        <v>22</v>
      </c>
      <c r="DQ248">
        <v>1</v>
      </c>
      <c r="DR248">
        <v>1</v>
      </c>
      <c r="DS248">
        <v>0</v>
      </c>
      <c r="DT248">
        <v>1</v>
      </c>
      <c r="DU248">
        <v>6</v>
      </c>
      <c r="DV248">
        <v>6</v>
      </c>
      <c r="DW248">
        <v>2</v>
      </c>
      <c r="DX248">
        <v>2</v>
      </c>
      <c r="DY248">
        <v>0</v>
      </c>
      <c r="DZ248">
        <v>990</v>
      </c>
      <c r="EA248">
        <v>0.96889999999999998</v>
      </c>
      <c r="EB248">
        <v>0.96913317516180297</v>
      </c>
      <c r="EC248">
        <v>0.96877125408695997</v>
      </c>
      <c r="ED248">
        <v>0.96823082207458999</v>
      </c>
      <c r="EE248">
        <f>SUM(Table1[[#This Row],[ratio_0]:[ratio_9]])</f>
        <v>640</v>
      </c>
      <c r="EF248" s="1">
        <f>(Table1[[#This Row],[predicted_0]]-Table1[[#This Row],[actual_0]])/Table1[[#This Row],[actual_0]]</f>
        <v>-3.0612244897959182E-3</v>
      </c>
      <c r="EG248" s="1">
        <f>(Table1[[#This Row],[predicted_1]]-Table1[[#This Row],[actual_1]])/Table1[[#This Row],[actual_1]]</f>
        <v>1.4096916299559472E-2</v>
      </c>
      <c r="EH248" s="1">
        <f>(Table1[[#This Row],[predicted_2]]-Table1[[#This Row],[actual_2]])/Table1[[#This Row],[actual_2]]</f>
        <v>-4.9418604651162788E-2</v>
      </c>
      <c r="EI248" s="1">
        <f>(Table1[[#This Row],[predicted_3]]-Table1[[#This Row],[actual_3]])/Table1[[#This Row],[actual_3]]</f>
        <v>-5.4455445544554455E-2</v>
      </c>
      <c r="EJ248" s="1">
        <f>(Table1[[#This Row],[predicted_4]]-Table1[[#This Row],[actual_4]])/Table1[[#This Row],[actual_4]]</f>
        <v>1.7311608961303463E-2</v>
      </c>
      <c r="EK248" s="1">
        <f>(Table1[[#This Row],[predicted_5]]-Table1[[#This Row],[actual_5]])/Table1[[#This Row],[actual_5]]</f>
        <v>7.9596412556053805E-2</v>
      </c>
      <c r="EL248" s="1">
        <f>(Table1[[#This Row],[predicted_6]]-Table1[[#This Row],[actual_6]])/Table1[[#This Row],[actual_6]]</f>
        <v>5.7411273486430062E-2</v>
      </c>
      <c r="EM248" s="1">
        <f>(Table1[[#This Row],[predicted_7]]-Table1[[#This Row],[actual_7]])/Table1[[#This Row],[actual_7]]</f>
        <v>3.3073929961089495E-2</v>
      </c>
      <c r="EN248" s="1">
        <f>(Table1[[#This Row],[predicted_8]]-Table1[[#This Row],[actual_8]])/Table1[[#This Row],[actual_8]]</f>
        <v>-0.10985626283367557</v>
      </c>
      <c r="EO248" s="1">
        <f>(Table1[[#This Row],[predicted_9]]-Table1[[#This Row],[actual_9]])/Table1[[#This Row],[actual_9]]</f>
        <v>2.2794846382556987E-2</v>
      </c>
      <c r="EP248" s="1">
        <f>1+(Table1[[#This Row],[error_ratio_0]]-EF$2)</f>
        <v>0.99489795918367352</v>
      </c>
      <c r="EQ248" s="1">
        <f>1+(Table1[[#This Row],[error_ratio_1]]-EG$2)</f>
        <v>1.0123348017621145</v>
      </c>
      <c r="ER248" s="1">
        <f>1+(Table1[[#This Row],[error_ratio_2]]-EH$2)</f>
        <v>0.95542635658914732</v>
      </c>
      <c r="ES248" s="1">
        <f>1+(Table1[[#This Row],[error_ratio_3]]-EI$2)</f>
        <v>0.93564356435643559</v>
      </c>
      <c r="ET248" s="1">
        <f>1+(Table1[[#This Row],[error_ratio_4]]-EJ$2)</f>
        <v>1.0162932790224033</v>
      </c>
      <c r="EU248" s="1">
        <f>1+(Table1[[#This Row],[error_ratio_5]]-EK$2)</f>
        <v>1.0784753363228698</v>
      </c>
      <c r="EV248" s="1">
        <f>1+(Table1[[#This Row],[error_ratio_6]]-EL$2)</f>
        <v>1.0636743215031315</v>
      </c>
      <c r="EW248" s="1">
        <f>1+(Table1[[#This Row],[error_ratio_7]]-EM$2)</f>
        <v>1.0311284046692606</v>
      </c>
      <c r="EX248" s="1">
        <f>1+(Table1[[#This Row],[error_ratio_8]]-EN$2)</f>
        <v>0.89322381930184802</v>
      </c>
      <c r="EY248" s="1">
        <f>1+(Table1[[#This Row],[error_ratio_9]]-EO$2)</f>
        <v>1.0267591674925669</v>
      </c>
    </row>
    <row r="249" spans="1:155" x14ac:dyDescent="0.75">
      <c r="A249">
        <v>100</v>
      </c>
      <c r="B249">
        <v>10</v>
      </c>
      <c r="C249">
        <v>10</v>
      </c>
      <c r="D249">
        <v>10</v>
      </c>
      <c r="E249">
        <v>100</v>
      </c>
      <c r="F249">
        <v>100</v>
      </c>
      <c r="G249">
        <v>100</v>
      </c>
      <c r="H249">
        <v>100</v>
      </c>
      <c r="I249">
        <v>10</v>
      </c>
      <c r="J249">
        <v>100</v>
      </c>
      <c r="K249">
        <v>988</v>
      </c>
      <c r="L249">
        <v>1123</v>
      </c>
      <c r="M249">
        <v>978</v>
      </c>
      <c r="N249">
        <v>955</v>
      </c>
      <c r="O249">
        <v>1017</v>
      </c>
      <c r="P249">
        <v>962</v>
      </c>
      <c r="Q249">
        <v>965</v>
      </c>
      <c r="R249">
        <v>1098</v>
      </c>
      <c r="S249">
        <v>901</v>
      </c>
      <c r="T249">
        <v>1013</v>
      </c>
      <c r="U249">
        <v>980</v>
      </c>
      <c r="V249">
        <v>1135</v>
      </c>
      <c r="W249">
        <v>1032</v>
      </c>
      <c r="X249">
        <v>1010</v>
      </c>
      <c r="Y249">
        <v>982</v>
      </c>
      <c r="Z249">
        <v>892</v>
      </c>
      <c r="AA249">
        <v>958</v>
      </c>
      <c r="AB249">
        <v>1028</v>
      </c>
      <c r="AC249">
        <v>974</v>
      </c>
      <c r="AD249">
        <v>1009</v>
      </c>
      <c r="AE249">
        <v>970</v>
      </c>
      <c r="AF249">
        <v>0</v>
      </c>
      <c r="AG249">
        <v>0</v>
      </c>
      <c r="AH249">
        <v>0</v>
      </c>
      <c r="AI249">
        <v>1</v>
      </c>
      <c r="AJ249">
        <v>2</v>
      </c>
      <c r="AK249">
        <v>4</v>
      </c>
      <c r="AL249">
        <v>2</v>
      </c>
      <c r="AM249">
        <v>1</v>
      </c>
      <c r="AN249">
        <v>0</v>
      </c>
      <c r="AO249">
        <v>0</v>
      </c>
      <c r="AP249">
        <v>1118</v>
      </c>
      <c r="AQ249">
        <v>3</v>
      </c>
      <c r="AR249">
        <v>2</v>
      </c>
      <c r="AS249">
        <v>0</v>
      </c>
      <c r="AT249">
        <v>3</v>
      </c>
      <c r="AU249">
        <v>2</v>
      </c>
      <c r="AV249">
        <v>7</v>
      </c>
      <c r="AW249">
        <v>0</v>
      </c>
      <c r="AX249">
        <v>0</v>
      </c>
      <c r="AY249">
        <v>5</v>
      </c>
      <c r="AZ249">
        <v>1</v>
      </c>
      <c r="BA249">
        <v>961</v>
      </c>
      <c r="BB249">
        <v>9</v>
      </c>
      <c r="BC249">
        <v>11</v>
      </c>
      <c r="BD249">
        <v>4</v>
      </c>
      <c r="BE249">
        <v>1</v>
      </c>
      <c r="BF249">
        <v>40</v>
      </c>
      <c r="BG249">
        <v>0</v>
      </c>
      <c r="BH249">
        <v>0</v>
      </c>
      <c r="BI249">
        <v>0</v>
      </c>
      <c r="BJ249">
        <v>0</v>
      </c>
      <c r="BK249">
        <v>5</v>
      </c>
      <c r="BL249">
        <v>939</v>
      </c>
      <c r="BM249">
        <v>1</v>
      </c>
      <c r="BN249">
        <v>47</v>
      </c>
      <c r="BO249">
        <v>0</v>
      </c>
      <c r="BP249">
        <v>8</v>
      </c>
      <c r="BQ249">
        <v>0</v>
      </c>
      <c r="BR249">
        <v>10</v>
      </c>
      <c r="BS249">
        <v>0</v>
      </c>
      <c r="BT249">
        <v>0</v>
      </c>
      <c r="BU249">
        <v>0</v>
      </c>
      <c r="BV249">
        <v>0</v>
      </c>
      <c r="BW249">
        <v>977</v>
      </c>
      <c r="BX249">
        <v>0</v>
      </c>
      <c r="BY249">
        <v>0</v>
      </c>
      <c r="BZ249">
        <v>1</v>
      </c>
      <c r="CA249">
        <v>0</v>
      </c>
      <c r="CB249">
        <v>4</v>
      </c>
      <c r="CC249">
        <v>2</v>
      </c>
      <c r="CD249">
        <v>0</v>
      </c>
      <c r="CE249">
        <v>0</v>
      </c>
      <c r="CF249">
        <v>1</v>
      </c>
      <c r="CG249">
        <v>0</v>
      </c>
      <c r="CH249">
        <v>884</v>
      </c>
      <c r="CI249">
        <v>1</v>
      </c>
      <c r="CJ249">
        <v>2</v>
      </c>
      <c r="CK249">
        <v>0</v>
      </c>
      <c r="CL249">
        <v>2</v>
      </c>
      <c r="CM249">
        <v>3</v>
      </c>
      <c r="CN249">
        <v>1</v>
      </c>
      <c r="CO249">
        <v>0</v>
      </c>
      <c r="CP249">
        <v>0</v>
      </c>
      <c r="CQ249">
        <v>9</v>
      </c>
      <c r="CR249">
        <v>1</v>
      </c>
      <c r="CS249">
        <v>944</v>
      </c>
      <c r="CT249">
        <v>0</v>
      </c>
      <c r="CU249">
        <v>0</v>
      </c>
      <c r="CV249">
        <v>0</v>
      </c>
      <c r="CW249">
        <v>0</v>
      </c>
      <c r="CX249">
        <v>0</v>
      </c>
      <c r="CY249">
        <v>2</v>
      </c>
      <c r="CZ249">
        <v>0</v>
      </c>
      <c r="DA249">
        <v>0</v>
      </c>
      <c r="DB249">
        <v>0</v>
      </c>
      <c r="DC249">
        <v>0</v>
      </c>
      <c r="DD249">
        <v>1024</v>
      </c>
      <c r="DE249">
        <v>0</v>
      </c>
      <c r="DF249">
        <v>2</v>
      </c>
      <c r="DG249">
        <v>8</v>
      </c>
      <c r="DH249">
        <v>3</v>
      </c>
      <c r="DI249">
        <v>7</v>
      </c>
      <c r="DJ249">
        <v>4</v>
      </c>
      <c r="DK249">
        <v>5</v>
      </c>
      <c r="DL249">
        <v>13</v>
      </c>
      <c r="DM249">
        <v>12</v>
      </c>
      <c r="DN249">
        <v>9</v>
      </c>
      <c r="DO249">
        <v>900</v>
      </c>
      <c r="DP249">
        <v>13</v>
      </c>
      <c r="DQ249">
        <v>0</v>
      </c>
      <c r="DR249">
        <v>0</v>
      </c>
      <c r="DS249">
        <v>0</v>
      </c>
      <c r="DT249">
        <v>0</v>
      </c>
      <c r="DU249">
        <v>13</v>
      </c>
      <c r="DV249">
        <v>8</v>
      </c>
      <c r="DW249">
        <v>1</v>
      </c>
      <c r="DX249">
        <v>5</v>
      </c>
      <c r="DY249">
        <v>0</v>
      </c>
      <c r="DZ249">
        <v>982</v>
      </c>
      <c r="EA249">
        <v>0.96989999999999998</v>
      </c>
      <c r="EB249">
        <v>0.97019112573038402</v>
      </c>
      <c r="EC249">
        <v>0.97004228497989398</v>
      </c>
      <c r="ED249">
        <v>0.96955020549012205</v>
      </c>
      <c r="EE249">
        <f>SUM(Table1[[#This Row],[ratio_0]:[ratio_9]])</f>
        <v>640</v>
      </c>
      <c r="EF249" s="1">
        <f>(Table1[[#This Row],[predicted_0]]-Table1[[#This Row],[actual_0]])/Table1[[#This Row],[actual_0]]</f>
        <v>8.1632653061224497E-3</v>
      </c>
      <c r="EG249" s="1">
        <f>(Table1[[#This Row],[predicted_1]]-Table1[[#This Row],[actual_1]])/Table1[[#This Row],[actual_1]]</f>
        <v>-1.0572687224669603E-2</v>
      </c>
      <c r="EH249" s="1">
        <f>(Table1[[#This Row],[predicted_2]]-Table1[[#This Row],[actual_2]])/Table1[[#This Row],[actual_2]]</f>
        <v>-5.232558139534884E-2</v>
      </c>
      <c r="EI249" s="1">
        <f>(Table1[[#This Row],[predicted_3]]-Table1[[#This Row],[actual_3]])/Table1[[#This Row],[actual_3]]</f>
        <v>-5.4455445544554455E-2</v>
      </c>
      <c r="EJ249" s="1">
        <f>(Table1[[#This Row],[predicted_4]]-Table1[[#This Row],[actual_4]])/Table1[[#This Row],[actual_4]]</f>
        <v>3.5641547861507125E-2</v>
      </c>
      <c r="EK249" s="1">
        <f>(Table1[[#This Row],[predicted_5]]-Table1[[#This Row],[actual_5]])/Table1[[#This Row],[actual_5]]</f>
        <v>7.847533632286996E-2</v>
      </c>
      <c r="EL249" s="1">
        <f>(Table1[[#This Row],[predicted_6]]-Table1[[#This Row],[actual_6]])/Table1[[#This Row],[actual_6]]</f>
        <v>7.3068893528183713E-3</v>
      </c>
      <c r="EM249" s="1">
        <f>(Table1[[#This Row],[predicted_7]]-Table1[[#This Row],[actual_7]])/Table1[[#This Row],[actual_7]]</f>
        <v>6.8093385214007776E-2</v>
      </c>
      <c r="EN249" s="1">
        <f>(Table1[[#This Row],[predicted_8]]-Table1[[#This Row],[actual_8]])/Table1[[#This Row],[actual_8]]</f>
        <v>-7.4948665297741274E-2</v>
      </c>
      <c r="EO249" s="1">
        <f>(Table1[[#This Row],[predicted_9]]-Table1[[#This Row],[actual_9]])/Table1[[#This Row],[actual_9]]</f>
        <v>3.9643211100099107E-3</v>
      </c>
      <c r="EP249" s="1">
        <f>1+(Table1[[#This Row],[error_ratio_0]]-EF$2)</f>
        <v>1.0061224489795919</v>
      </c>
      <c r="EQ249" s="1">
        <f>1+(Table1[[#This Row],[error_ratio_1]]-EG$2)</f>
        <v>0.98766519823788546</v>
      </c>
      <c r="ER249" s="1">
        <f>1+(Table1[[#This Row],[error_ratio_2]]-EH$2)</f>
        <v>0.95251937984496127</v>
      </c>
      <c r="ES249" s="1">
        <f>1+(Table1[[#This Row],[error_ratio_3]]-EI$2)</f>
        <v>0.93564356435643559</v>
      </c>
      <c r="ET249" s="1">
        <f>1+(Table1[[#This Row],[error_ratio_4]]-EJ$2)</f>
        <v>1.0346232179226069</v>
      </c>
      <c r="EU249" s="1">
        <f>1+(Table1[[#This Row],[error_ratio_5]]-EK$2)</f>
        <v>1.0773542600896862</v>
      </c>
      <c r="EV249" s="1">
        <f>1+(Table1[[#This Row],[error_ratio_6]]-EL$2)</f>
        <v>1.0135699373695197</v>
      </c>
      <c r="EW249" s="1">
        <f>1+(Table1[[#This Row],[error_ratio_7]]-EM$2)</f>
        <v>1.066147859922179</v>
      </c>
      <c r="EX249" s="1">
        <f>1+(Table1[[#This Row],[error_ratio_8]]-EN$2)</f>
        <v>0.92813141683778233</v>
      </c>
      <c r="EY249" s="1">
        <f>1+(Table1[[#This Row],[error_ratio_9]]-EO$2)</f>
        <v>1.0079286422200198</v>
      </c>
    </row>
    <row r="250" spans="1:155" x14ac:dyDescent="0.75">
      <c r="A250">
        <v>10</v>
      </c>
      <c r="B250">
        <v>10</v>
      </c>
      <c r="C250">
        <v>10</v>
      </c>
      <c r="D250">
        <v>10</v>
      </c>
      <c r="E250">
        <v>100</v>
      </c>
      <c r="F250">
        <v>100</v>
      </c>
      <c r="G250">
        <v>100</v>
      </c>
      <c r="H250">
        <v>100</v>
      </c>
      <c r="I250">
        <v>10</v>
      </c>
      <c r="J250">
        <v>100</v>
      </c>
      <c r="K250">
        <v>1005</v>
      </c>
      <c r="L250">
        <v>1114</v>
      </c>
      <c r="M250">
        <v>959</v>
      </c>
      <c r="N250">
        <v>968</v>
      </c>
      <c r="O250">
        <v>994</v>
      </c>
      <c r="P250">
        <v>864</v>
      </c>
      <c r="Q250">
        <v>1007</v>
      </c>
      <c r="R250">
        <v>1189</v>
      </c>
      <c r="S250">
        <v>878</v>
      </c>
      <c r="T250">
        <v>1022</v>
      </c>
      <c r="U250">
        <v>980</v>
      </c>
      <c r="V250">
        <v>1135</v>
      </c>
      <c r="W250">
        <v>1032</v>
      </c>
      <c r="X250">
        <v>1010</v>
      </c>
      <c r="Y250">
        <v>982</v>
      </c>
      <c r="Z250">
        <v>892</v>
      </c>
      <c r="AA250">
        <v>958</v>
      </c>
      <c r="AB250">
        <v>1028</v>
      </c>
      <c r="AC250">
        <v>974</v>
      </c>
      <c r="AD250">
        <v>1009</v>
      </c>
      <c r="AE250">
        <v>968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4</v>
      </c>
      <c r="AL250">
        <v>5</v>
      </c>
      <c r="AM250">
        <v>1</v>
      </c>
      <c r="AN250">
        <v>2</v>
      </c>
      <c r="AO250">
        <v>0</v>
      </c>
      <c r="AP250">
        <v>1110</v>
      </c>
      <c r="AQ250">
        <v>0</v>
      </c>
      <c r="AR250">
        <v>5</v>
      </c>
      <c r="AS250">
        <v>1</v>
      </c>
      <c r="AT250">
        <v>0</v>
      </c>
      <c r="AU250">
        <v>3</v>
      </c>
      <c r="AV250">
        <v>16</v>
      </c>
      <c r="AW250">
        <v>0</v>
      </c>
      <c r="AX250">
        <v>0</v>
      </c>
      <c r="AY250">
        <v>8</v>
      </c>
      <c r="AZ250">
        <v>2</v>
      </c>
      <c r="BA250">
        <v>946</v>
      </c>
      <c r="BB250">
        <v>0</v>
      </c>
      <c r="BC250">
        <v>3</v>
      </c>
      <c r="BD250">
        <v>0</v>
      </c>
      <c r="BE250">
        <v>9</v>
      </c>
      <c r="BF250">
        <v>61</v>
      </c>
      <c r="BG250">
        <v>1</v>
      </c>
      <c r="BH250">
        <v>2</v>
      </c>
      <c r="BI250">
        <v>1</v>
      </c>
      <c r="BJ250">
        <v>0</v>
      </c>
      <c r="BK250">
        <v>5</v>
      </c>
      <c r="BL250">
        <v>959</v>
      </c>
      <c r="BM250">
        <v>1</v>
      </c>
      <c r="BN250">
        <v>8</v>
      </c>
      <c r="BO250">
        <v>0</v>
      </c>
      <c r="BP250">
        <v>18</v>
      </c>
      <c r="BQ250">
        <v>2</v>
      </c>
      <c r="BR250">
        <v>16</v>
      </c>
      <c r="BS250">
        <v>1</v>
      </c>
      <c r="BT250">
        <v>0</v>
      </c>
      <c r="BU250">
        <v>1</v>
      </c>
      <c r="BV250">
        <v>0</v>
      </c>
      <c r="BW250">
        <v>968</v>
      </c>
      <c r="BX250">
        <v>0</v>
      </c>
      <c r="BY250">
        <v>9</v>
      </c>
      <c r="BZ250">
        <v>3</v>
      </c>
      <c r="CA250">
        <v>0</v>
      </c>
      <c r="CB250">
        <v>0</v>
      </c>
      <c r="CC250">
        <v>2</v>
      </c>
      <c r="CD250">
        <v>0</v>
      </c>
      <c r="CE250">
        <v>0</v>
      </c>
      <c r="CF250">
        <v>3</v>
      </c>
      <c r="CG250">
        <v>1</v>
      </c>
      <c r="CH250">
        <v>850</v>
      </c>
      <c r="CI250">
        <v>15</v>
      </c>
      <c r="CJ250">
        <v>6</v>
      </c>
      <c r="CK250">
        <v>0</v>
      </c>
      <c r="CL250">
        <v>15</v>
      </c>
      <c r="CM250">
        <v>5</v>
      </c>
      <c r="CN250">
        <v>1</v>
      </c>
      <c r="CO250">
        <v>0</v>
      </c>
      <c r="CP250">
        <v>0</v>
      </c>
      <c r="CQ250">
        <v>1</v>
      </c>
      <c r="CR250">
        <v>1</v>
      </c>
      <c r="CS250">
        <v>950</v>
      </c>
      <c r="CT250">
        <v>0</v>
      </c>
      <c r="CU250">
        <v>0</v>
      </c>
      <c r="CV250">
        <v>0</v>
      </c>
      <c r="CW250">
        <v>1</v>
      </c>
      <c r="CX250">
        <v>0</v>
      </c>
      <c r="CY250">
        <v>2</v>
      </c>
      <c r="CZ250">
        <v>0</v>
      </c>
      <c r="DA250">
        <v>0</v>
      </c>
      <c r="DB250">
        <v>0</v>
      </c>
      <c r="DC250">
        <v>0</v>
      </c>
      <c r="DD250">
        <v>1024</v>
      </c>
      <c r="DE250">
        <v>0</v>
      </c>
      <c r="DF250">
        <v>1</v>
      </c>
      <c r="DG250">
        <v>18</v>
      </c>
      <c r="DH250">
        <v>1</v>
      </c>
      <c r="DI250">
        <v>5</v>
      </c>
      <c r="DJ250">
        <v>1</v>
      </c>
      <c r="DK250">
        <v>4</v>
      </c>
      <c r="DL250">
        <v>4</v>
      </c>
      <c r="DM250">
        <v>16</v>
      </c>
      <c r="DN250">
        <v>39</v>
      </c>
      <c r="DO250">
        <v>873</v>
      </c>
      <c r="DP250">
        <v>13</v>
      </c>
      <c r="DQ250">
        <v>1</v>
      </c>
      <c r="DR250">
        <v>0</v>
      </c>
      <c r="DS250">
        <v>0</v>
      </c>
      <c r="DT250">
        <v>0</v>
      </c>
      <c r="DU250">
        <v>15</v>
      </c>
      <c r="DV250">
        <v>1</v>
      </c>
      <c r="DW250">
        <v>1</v>
      </c>
      <c r="DX250">
        <v>17</v>
      </c>
      <c r="DY250">
        <v>1</v>
      </c>
      <c r="DZ250">
        <v>973</v>
      </c>
      <c r="EA250">
        <v>0.96209999999999996</v>
      </c>
      <c r="EB250">
        <v>0.96453636447755697</v>
      </c>
      <c r="EC250">
        <v>0.96189416967208297</v>
      </c>
      <c r="ED250">
        <v>0.96218344939528899</v>
      </c>
      <c r="EE250">
        <f>SUM(Table1[[#This Row],[ratio_0]:[ratio_9]])</f>
        <v>550</v>
      </c>
      <c r="EF250" s="1">
        <f>(Table1[[#This Row],[predicted_0]]-Table1[[#This Row],[actual_0]])/Table1[[#This Row],[actual_0]]</f>
        <v>2.5510204081632654E-2</v>
      </c>
      <c r="EG250" s="1">
        <f>(Table1[[#This Row],[predicted_1]]-Table1[[#This Row],[actual_1]])/Table1[[#This Row],[actual_1]]</f>
        <v>-1.8502202643171806E-2</v>
      </c>
      <c r="EH250" s="1">
        <f>(Table1[[#This Row],[predicted_2]]-Table1[[#This Row],[actual_2]])/Table1[[#This Row],[actual_2]]</f>
        <v>-7.0736434108527133E-2</v>
      </c>
      <c r="EI250" s="1">
        <f>(Table1[[#This Row],[predicted_3]]-Table1[[#This Row],[actual_3]])/Table1[[#This Row],[actual_3]]</f>
        <v>-4.1584158415841586E-2</v>
      </c>
      <c r="EJ250" s="1">
        <f>(Table1[[#This Row],[predicted_4]]-Table1[[#This Row],[actual_4]])/Table1[[#This Row],[actual_4]]</f>
        <v>1.2219959266802444E-2</v>
      </c>
      <c r="EK250" s="1">
        <f>(Table1[[#This Row],[predicted_5]]-Table1[[#This Row],[actual_5]])/Table1[[#This Row],[actual_5]]</f>
        <v>-3.1390134529147982E-2</v>
      </c>
      <c r="EL250" s="1">
        <f>(Table1[[#This Row],[predicted_6]]-Table1[[#This Row],[actual_6]])/Table1[[#This Row],[actual_6]]</f>
        <v>5.1148225469728602E-2</v>
      </c>
      <c r="EM250" s="1">
        <f>(Table1[[#This Row],[predicted_7]]-Table1[[#This Row],[actual_7]])/Table1[[#This Row],[actual_7]]</f>
        <v>0.1566147859922179</v>
      </c>
      <c r="EN250" s="1">
        <f>(Table1[[#This Row],[predicted_8]]-Table1[[#This Row],[actual_8]])/Table1[[#This Row],[actual_8]]</f>
        <v>-9.856262833675565E-2</v>
      </c>
      <c r="EO250" s="1">
        <f>(Table1[[#This Row],[predicted_9]]-Table1[[#This Row],[actual_9]])/Table1[[#This Row],[actual_9]]</f>
        <v>1.288404360753221E-2</v>
      </c>
      <c r="EP250" s="1">
        <f>1+(Table1[[#This Row],[error_ratio_0]]-EF$2)</f>
        <v>1.023469387755102</v>
      </c>
      <c r="EQ250" s="1">
        <f>1+(Table1[[#This Row],[error_ratio_1]]-EG$2)</f>
        <v>0.97973568281938328</v>
      </c>
      <c r="ER250" s="1">
        <f>1+(Table1[[#This Row],[error_ratio_2]]-EH$2)</f>
        <v>0.93410852713178294</v>
      </c>
      <c r="ES250" s="1">
        <f>1+(Table1[[#This Row],[error_ratio_3]]-EI$2)</f>
        <v>0.94851485148514847</v>
      </c>
      <c r="ET250" s="1">
        <f>1+(Table1[[#This Row],[error_ratio_4]]-EJ$2)</f>
        <v>1.0112016293279023</v>
      </c>
      <c r="EU250" s="1">
        <f>1+(Table1[[#This Row],[error_ratio_5]]-EK$2)</f>
        <v>0.96748878923766812</v>
      </c>
      <c r="EV250" s="1">
        <f>1+(Table1[[#This Row],[error_ratio_6]]-EL$2)</f>
        <v>1.05741127348643</v>
      </c>
      <c r="EW250" s="1">
        <f>1+(Table1[[#This Row],[error_ratio_7]]-EM$2)</f>
        <v>1.154669260700389</v>
      </c>
      <c r="EX250" s="1">
        <f>1+(Table1[[#This Row],[error_ratio_8]]-EN$2)</f>
        <v>0.90451745379876791</v>
      </c>
      <c r="EY250" s="1">
        <f>1+(Table1[[#This Row],[error_ratio_9]]-EO$2)</f>
        <v>1.0168483647175421</v>
      </c>
    </row>
    <row r="251" spans="1:155" x14ac:dyDescent="0.75">
      <c r="A251">
        <v>100</v>
      </c>
      <c r="B251">
        <v>100</v>
      </c>
      <c r="C251">
        <v>100</v>
      </c>
      <c r="D251">
        <v>100</v>
      </c>
      <c r="E251">
        <v>10</v>
      </c>
      <c r="F251">
        <v>100</v>
      </c>
      <c r="G251">
        <v>100</v>
      </c>
      <c r="H251">
        <v>100</v>
      </c>
      <c r="I251">
        <v>10</v>
      </c>
      <c r="J251">
        <v>100</v>
      </c>
      <c r="K251">
        <v>985</v>
      </c>
      <c r="L251">
        <v>1136</v>
      </c>
      <c r="M251">
        <v>1050</v>
      </c>
      <c r="N251">
        <v>1013</v>
      </c>
      <c r="O251">
        <v>923</v>
      </c>
      <c r="P251">
        <v>905</v>
      </c>
      <c r="Q251">
        <v>961</v>
      </c>
      <c r="R251">
        <v>1049</v>
      </c>
      <c r="S251">
        <v>924</v>
      </c>
      <c r="T251">
        <v>1054</v>
      </c>
      <c r="U251">
        <v>980</v>
      </c>
      <c r="V251">
        <v>1135</v>
      </c>
      <c r="W251">
        <v>1032</v>
      </c>
      <c r="X251">
        <v>1010</v>
      </c>
      <c r="Y251">
        <v>982</v>
      </c>
      <c r="Z251">
        <v>892</v>
      </c>
      <c r="AA251">
        <v>958</v>
      </c>
      <c r="AB251">
        <v>1028</v>
      </c>
      <c r="AC251">
        <v>974</v>
      </c>
      <c r="AD251">
        <v>1009</v>
      </c>
      <c r="AE251">
        <v>973</v>
      </c>
      <c r="AF251">
        <v>0</v>
      </c>
      <c r="AG251">
        <v>0</v>
      </c>
      <c r="AH251">
        <v>0</v>
      </c>
      <c r="AI251">
        <v>0</v>
      </c>
      <c r="AJ251">
        <v>1</v>
      </c>
      <c r="AK251">
        <v>0</v>
      </c>
      <c r="AL251">
        <v>2</v>
      </c>
      <c r="AM251">
        <v>1</v>
      </c>
      <c r="AN251">
        <v>3</v>
      </c>
      <c r="AO251">
        <v>0</v>
      </c>
      <c r="AP251">
        <v>1129</v>
      </c>
      <c r="AQ251">
        <v>2</v>
      </c>
      <c r="AR251">
        <v>1</v>
      </c>
      <c r="AS251">
        <v>0</v>
      </c>
      <c r="AT251">
        <v>1</v>
      </c>
      <c r="AU251">
        <v>1</v>
      </c>
      <c r="AV251">
        <v>1</v>
      </c>
      <c r="AW251">
        <v>0</v>
      </c>
      <c r="AX251">
        <v>0</v>
      </c>
      <c r="AY251">
        <v>0</v>
      </c>
      <c r="AZ251">
        <v>2</v>
      </c>
      <c r="BA251">
        <v>1026</v>
      </c>
      <c r="BB251">
        <v>0</v>
      </c>
      <c r="BC251">
        <v>0</v>
      </c>
      <c r="BD251">
        <v>0</v>
      </c>
      <c r="BE251">
        <v>0</v>
      </c>
      <c r="BF251">
        <v>4</v>
      </c>
      <c r="BG251">
        <v>0</v>
      </c>
      <c r="BH251">
        <v>0</v>
      </c>
      <c r="BI251">
        <v>0</v>
      </c>
      <c r="BJ251">
        <v>0</v>
      </c>
      <c r="BK251">
        <v>1</v>
      </c>
      <c r="BL251">
        <v>1000</v>
      </c>
      <c r="BM251">
        <v>0</v>
      </c>
      <c r="BN251">
        <v>3</v>
      </c>
      <c r="BO251">
        <v>0</v>
      </c>
      <c r="BP251">
        <v>5</v>
      </c>
      <c r="BQ251">
        <v>1</v>
      </c>
      <c r="BR251">
        <v>0</v>
      </c>
      <c r="BS251">
        <v>2</v>
      </c>
      <c r="BT251">
        <v>1</v>
      </c>
      <c r="BU251">
        <v>6</v>
      </c>
      <c r="BV251">
        <v>0</v>
      </c>
      <c r="BW251">
        <v>920</v>
      </c>
      <c r="BX251">
        <v>0</v>
      </c>
      <c r="BY251">
        <v>11</v>
      </c>
      <c r="BZ251">
        <v>6</v>
      </c>
      <c r="CA251">
        <v>1</v>
      </c>
      <c r="CB251">
        <v>35</v>
      </c>
      <c r="CC251">
        <v>1</v>
      </c>
      <c r="CD251">
        <v>0</v>
      </c>
      <c r="CE251">
        <v>0</v>
      </c>
      <c r="CF251">
        <v>5</v>
      </c>
      <c r="CG251">
        <v>0</v>
      </c>
      <c r="CH251">
        <v>883</v>
      </c>
      <c r="CI251">
        <v>2</v>
      </c>
      <c r="CJ251">
        <v>1</v>
      </c>
      <c r="CK251">
        <v>0</v>
      </c>
      <c r="CL251">
        <v>0</v>
      </c>
      <c r="CM251">
        <v>7</v>
      </c>
      <c r="CN251">
        <v>2</v>
      </c>
      <c r="CO251">
        <v>1</v>
      </c>
      <c r="CP251">
        <v>0</v>
      </c>
      <c r="CQ251">
        <v>1</v>
      </c>
      <c r="CR251">
        <v>3</v>
      </c>
      <c r="CS251">
        <v>944</v>
      </c>
      <c r="CT251">
        <v>0</v>
      </c>
      <c r="CU251">
        <v>0</v>
      </c>
      <c r="CV251">
        <v>0</v>
      </c>
      <c r="CW251">
        <v>0</v>
      </c>
      <c r="CX251">
        <v>1</v>
      </c>
      <c r="CY251">
        <v>5</v>
      </c>
      <c r="CZ251">
        <v>1</v>
      </c>
      <c r="DA251">
        <v>0</v>
      </c>
      <c r="DB251">
        <v>0</v>
      </c>
      <c r="DC251">
        <v>0</v>
      </c>
      <c r="DD251">
        <v>1018</v>
      </c>
      <c r="DE251">
        <v>0</v>
      </c>
      <c r="DF251">
        <v>3</v>
      </c>
      <c r="DG251">
        <v>2</v>
      </c>
      <c r="DH251">
        <v>1</v>
      </c>
      <c r="DI251">
        <v>9</v>
      </c>
      <c r="DJ251">
        <v>3</v>
      </c>
      <c r="DK251">
        <v>1</v>
      </c>
      <c r="DL251">
        <v>11</v>
      </c>
      <c r="DM251">
        <v>3</v>
      </c>
      <c r="DN251">
        <v>8</v>
      </c>
      <c r="DO251">
        <v>921</v>
      </c>
      <c r="DP251">
        <v>15</v>
      </c>
      <c r="DQ251">
        <v>0</v>
      </c>
      <c r="DR251">
        <v>0</v>
      </c>
      <c r="DS251">
        <v>0</v>
      </c>
      <c r="DT251">
        <v>3</v>
      </c>
      <c r="DU251">
        <v>1</v>
      </c>
      <c r="DV251">
        <v>3</v>
      </c>
      <c r="DW251">
        <v>0</v>
      </c>
      <c r="DX251">
        <v>4</v>
      </c>
      <c r="DY251">
        <v>0</v>
      </c>
      <c r="DZ251">
        <v>998</v>
      </c>
      <c r="EA251">
        <v>0.98119999999999996</v>
      </c>
      <c r="EB251">
        <v>0.98147857686407802</v>
      </c>
      <c r="EC251">
        <v>0.980897164073539</v>
      </c>
      <c r="ED251">
        <v>0.98095802803132903</v>
      </c>
      <c r="EE251">
        <f>SUM(Table1[[#This Row],[ratio_0]:[ratio_9]])</f>
        <v>820</v>
      </c>
      <c r="EF251" s="1">
        <f>(Table1[[#This Row],[predicted_0]]-Table1[[#This Row],[actual_0]])/Table1[[#This Row],[actual_0]]</f>
        <v>5.1020408163265302E-3</v>
      </c>
      <c r="EG251" s="1">
        <f>(Table1[[#This Row],[predicted_1]]-Table1[[#This Row],[actual_1]])/Table1[[#This Row],[actual_1]]</f>
        <v>8.81057268722467E-4</v>
      </c>
      <c r="EH251" s="1">
        <f>(Table1[[#This Row],[predicted_2]]-Table1[[#This Row],[actual_2]])/Table1[[#This Row],[actual_2]]</f>
        <v>1.7441860465116279E-2</v>
      </c>
      <c r="EI251" s="1">
        <f>(Table1[[#This Row],[predicted_3]]-Table1[[#This Row],[actual_3]])/Table1[[#This Row],[actual_3]]</f>
        <v>2.9702970297029703E-3</v>
      </c>
      <c r="EJ251" s="1">
        <f>(Table1[[#This Row],[predicted_4]]-Table1[[#This Row],[actual_4]])/Table1[[#This Row],[actual_4]]</f>
        <v>-6.008146639511202E-2</v>
      </c>
      <c r="EK251" s="1">
        <f>(Table1[[#This Row],[predicted_5]]-Table1[[#This Row],[actual_5]])/Table1[[#This Row],[actual_5]]</f>
        <v>1.4573991031390135E-2</v>
      </c>
      <c r="EL251" s="1">
        <f>(Table1[[#This Row],[predicted_6]]-Table1[[#This Row],[actual_6]])/Table1[[#This Row],[actual_6]]</f>
        <v>3.1315240083507308E-3</v>
      </c>
      <c r="EM251" s="1">
        <f>(Table1[[#This Row],[predicted_7]]-Table1[[#This Row],[actual_7]])/Table1[[#This Row],[actual_7]]</f>
        <v>2.0428015564202335E-2</v>
      </c>
      <c r="EN251" s="1">
        <f>(Table1[[#This Row],[predicted_8]]-Table1[[#This Row],[actual_8]])/Table1[[#This Row],[actual_8]]</f>
        <v>-5.1334702258726897E-2</v>
      </c>
      <c r="EO251" s="1">
        <f>(Table1[[#This Row],[predicted_9]]-Table1[[#This Row],[actual_9]])/Table1[[#This Row],[actual_9]]</f>
        <v>4.4598612487611496E-2</v>
      </c>
      <c r="EP251" s="1">
        <f>1+(Table1[[#This Row],[error_ratio_0]]-EF$2)</f>
        <v>1.0030612244897958</v>
      </c>
      <c r="EQ251" s="1">
        <f>1+(Table1[[#This Row],[error_ratio_1]]-EG$2)</f>
        <v>0.99911894273127755</v>
      </c>
      <c r="ER251" s="1">
        <f>1+(Table1[[#This Row],[error_ratio_2]]-EH$2)</f>
        <v>1.0222868217054264</v>
      </c>
      <c r="ES251" s="1">
        <f>1+(Table1[[#This Row],[error_ratio_3]]-EI$2)</f>
        <v>0.99306930693069306</v>
      </c>
      <c r="ET251" s="1">
        <f>1+(Table1[[#This Row],[error_ratio_4]]-EJ$2)</f>
        <v>0.93890020366598781</v>
      </c>
      <c r="EU251" s="1">
        <f>1+(Table1[[#This Row],[error_ratio_5]]-EK$2)</f>
        <v>1.0134529147982063</v>
      </c>
      <c r="EV251" s="1">
        <f>1+(Table1[[#This Row],[error_ratio_6]]-EL$2)</f>
        <v>1.0093945720250521</v>
      </c>
      <c r="EW251" s="1">
        <f>1+(Table1[[#This Row],[error_ratio_7]]-EM$2)</f>
        <v>1.0184824902723735</v>
      </c>
      <c r="EX251" s="1">
        <f>1+(Table1[[#This Row],[error_ratio_8]]-EN$2)</f>
        <v>0.95174537987679675</v>
      </c>
      <c r="EY251" s="1">
        <f>1+(Table1[[#This Row],[error_ratio_9]]-EO$2)</f>
        <v>1.0485629335976214</v>
      </c>
    </row>
    <row r="252" spans="1:155" x14ac:dyDescent="0.75">
      <c r="A252">
        <v>10</v>
      </c>
      <c r="B252">
        <v>100</v>
      </c>
      <c r="C252">
        <v>100</v>
      </c>
      <c r="D252">
        <v>100</v>
      </c>
      <c r="E252">
        <v>10</v>
      </c>
      <c r="F252">
        <v>100</v>
      </c>
      <c r="G252">
        <v>100</v>
      </c>
      <c r="H252">
        <v>100</v>
      </c>
      <c r="I252">
        <v>10</v>
      </c>
      <c r="J252">
        <v>100</v>
      </c>
      <c r="K252">
        <v>965</v>
      </c>
      <c r="L252">
        <v>1151</v>
      </c>
      <c r="M252">
        <v>1038</v>
      </c>
      <c r="N252">
        <v>971</v>
      </c>
      <c r="O252">
        <v>928</v>
      </c>
      <c r="P252">
        <v>922</v>
      </c>
      <c r="Q252">
        <v>957</v>
      </c>
      <c r="R252">
        <v>1045</v>
      </c>
      <c r="S252">
        <v>986</v>
      </c>
      <c r="T252">
        <v>1037</v>
      </c>
      <c r="U252">
        <v>980</v>
      </c>
      <c r="V252">
        <v>1135</v>
      </c>
      <c r="W252">
        <v>1032</v>
      </c>
      <c r="X252">
        <v>1010</v>
      </c>
      <c r="Y252">
        <v>982</v>
      </c>
      <c r="Z252">
        <v>892</v>
      </c>
      <c r="AA252">
        <v>958</v>
      </c>
      <c r="AB252">
        <v>1028</v>
      </c>
      <c r="AC252">
        <v>974</v>
      </c>
      <c r="AD252">
        <v>1009</v>
      </c>
      <c r="AE252">
        <v>957</v>
      </c>
      <c r="AF252">
        <v>0</v>
      </c>
      <c r="AG252">
        <v>5</v>
      </c>
      <c r="AH252">
        <v>0</v>
      </c>
      <c r="AI252">
        <v>0</v>
      </c>
      <c r="AJ252">
        <v>3</v>
      </c>
      <c r="AK252">
        <v>6</v>
      </c>
      <c r="AL252">
        <v>2</v>
      </c>
      <c r="AM252">
        <v>2</v>
      </c>
      <c r="AN252">
        <v>5</v>
      </c>
      <c r="AO252">
        <v>0</v>
      </c>
      <c r="AP252">
        <v>1130</v>
      </c>
      <c r="AQ252">
        <v>2</v>
      </c>
      <c r="AR252">
        <v>1</v>
      </c>
      <c r="AS252">
        <v>0</v>
      </c>
      <c r="AT252">
        <v>1</v>
      </c>
      <c r="AU252">
        <v>0</v>
      </c>
      <c r="AV252">
        <v>0</v>
      </c>
      <c r="AW252">
        <v>1</v>
      </c>
      <c r="AX252">
        <v>0</v>
      </c>
      <c r="AY252">
        <v>0</v>
      </c>
      <c r="AZ252">
        <v>2</v>
      </c>
      <c r="BA252">
        <v>1018</v>
      </c>
      <c r="BB252">
        <v>1</v>
      </c>
      <c r="BC252">
        <v>0</v>
      </c>
      <c r="BD252">
        <v>0</v>
      </c>
      <c r="BE252">
        <v>1</v>
      </c>
      <c r="BF252">
        <v>7</v>
      </c>
      <c r="BG252">
        <v>2</v>
      </c>
      <c r="BH252">
        <v>1</v>
      </c>
      <c r="BI252">
        <v>1</v>
      </c>
      <c r="BJ252">
        <v>0</v>
      </c>
      <c r="BK252">
        <v>1</v>
      </c>
      <c r="BL252">
        <v>968</v>
      </c>
      <c r="BM252">
        <v>0</v>
      </c>
      <c r="BN252">
        <v>17</v>
      </c>
      <c r="BO252">
        <v>0</v>
      </c>
      <c r="BP252">
        <v>5</v>
      </c>
      <c r="BQ252">
        <v>12</v>
      </c>
      <c r="BR252">
        <v>6</v>
      </c>
      <c r="BS252">
        <v>0</v>
      </c>
      <c r="BT252">
        <v>6</v>
      </c>
      <c r="BU252">
        <v>7</v>
      </c>
      <c r="BV252">
        <v>0</v>
      </c>
      <c r="BW252">
        <v>925</v>
      </c>
      <c r="BX252">
        <v>0</v>
      </c>
      <c r="BY252">
        <v>3</v>
      </c>
      <c r="BZ252">
        <v>3</v>
      </c>
      <c r="CA252">
        <v>3</v>
      </c>
      <c r="CB252">
        <v>35</v>
      </c>
      <c r="CC252">
        <v>1</v>
      </c>
      <c r="CD252">
        <v>0</v>
      </c>
      <c r="CE252">
        <v>1</v>
      </c>
      <c r="CF252">
        <v>1</v>
      </c>
      <c r="CG252">
        <v>0</v>
      </c>
      <c r="CH252">
        <v>886</v>
      </c>
      <c r="CI252">
        <v>1</v>
      </c>
      <c r="CJ252">
        <v>1</v>
      </c>
      <c r="CK252">
        <v>1</v>
      </c>
      <c r="CL252">
        <v>0</v>
      </c>
      <c r="CM252">
        <v>1</v>
      </c>
      <c r="CN252">
        <v>4</v>
      </c>
      <c r="CO252">
        <v>1</v>
      </c>
      <c r="CP252">
        <v>0</v>
      </c>
      <c r="CQ252">
        <v>1</v>
      </c>
      <c r="CR252">
        <v>2</v>
      </c>
      <c r="CS252">
        <v>946</v>
      </c>
      <c r="CT252">
        <v>0</v>
      </c>
      <c r="CU252">
        <v>3</v>
      </c>
      <c r="CV252">
        <v>0</v>
      </c>
      <c r="CW252">
        <v>0</v>
      </c>
      <c r="CX252">
        <v>5</v>
      </c>
      <c r="CY252">
        <v>3</v>
      </c>
      <c r="CZ252">
        <v>0</v>
      </c>
      <c r="DA252">
        <v>0</v>
      </c>
      <c r="DB252">
        <v>1</v>
      </c>
      <c r="DC252">
        <v>0</v>
      </c>
      <c r="DD252">
        <v>1017</v>
      </c>
      <c r="DE252">
        <v>1</v>
      </c>
      <c r="DF252">
        <v>1</v>
      </c>
      <c r="DG252">
        <v>4</v>
      </c>
      <c r="DH252">
        <v>2</v>
      </c>
      <c r="DI252">
        <v>0</v>
      </c>
      <c r="DJ252">
        <v>0</v>
      </c>
      <c r="DK252">
        <v>1</v>
      </c>
      <c r="DL252">
        <v>3</v>
      </c>
      <c r="DM252">
        <v>0</v>
      </c>
      <c r="DN252">
        <v>2</v>
      </c>
      <c r="DO252">
        <v>959</v>
      </c>
      <c r="DP252">
        <v>3</v>
      </c>
      <c r="DQ252">
        <v>1</v>
      </c>
      <c r="DR252">
        <v>2</v>
      </c>
      <c r="DS252">
        <v>0</v>
      </c>
      <c r="DT252">
        <v>0</v>
      </c>
      <c r="DU252">
        <v>1</v>
      </c>
      <c r="DV252">
        <v>9</v>
      </c>
      <c r="DW252">
        <v>0</v>
      </c>
      <c r="DX252">
        <v>8</v>
      </c>
      <c r="DY252">
        <v>2</v>
      </c>
      <c r="DZ252">
        <v>986</v>
      </c>
      <c r="EA252">
        <v>0.97919999999999996</v>
      </c>
      <c r="EB252">
        <v>0.97939769011056799</v>
      </c>
      <c r="EC252">
        <v>0.979078226989752</v>
      </c>
      <c r="ED252">
        <v>0.97905598701625696</v>
      </c>
      <c r="EE252">
        <f>SUM(Table1[[#This Row],[ratio_0]:[ratio_9]])</f>
        <v>730</v>
      </c>
      <c r="EF252" s="1">
        <f>(Table1[[#This Row],[predicted_0]]-Table1[[#This Row],[actual_0]])/Table1[[#This Row],[actual_0]]</f>
        <v>-1.5306122448979591E-2</v>
      </c>
      <c r="EG252" s="1">
        <f>(Table1[[#This Row],[predicted_1]]-Table1[[#This Row],[actual_1]])/Table1[[#This Row],[actual_1]]</f>
        <v>1.4096916299559472E-2</v>
      </c>
      <c r="EH252" s="1">
        <f>(Table1[[#This Row],[predicted_2]]-Table1[[#This Row],[actual_2]])/Table1[[#This Row],[actual_2]]</f>
        <v>5.8139534883720929E-3</v>
      </c>
      <c r="EI252" s="1">
        <f>(Table1[[#This Row],[predicted_3]]-Table1[[#This Row],[actual_3]])/Table1[[#This Row],[actual_3]]</f>
        <v>-3.8613861386138613E-2</v>
      </c>
      <c r="EJ252" s="1">
        <f>(Table1[[#This Row],[predicted_4]]-Table1[[#This Row],[actual_4]])/Table1[[#This Row],[actual_4]]</f>
        <v>-5.4989816700610997E-2</v>
      </c>
      <c r="EK252" s="1">
        <f>(Table1[[#This Row],[predicted_5]]-Table1[[#This Row],[actual_5]])/Table1[[#This Row],[actual_5]]</f>
        <v>3.3632286995515695E-2</v>
      </c>
      <c r="EL252" s="1">
        <f>(Table1[[#This Row],[predicted_6]]-Table1[[#This Row],[actual_6]])/Table1[[#This Row],[actual_6]]</f>
        <v>-1.0438413361169101E-3</v>
      </c>
      <c r="EM252" s="1">
        <f>(Table1[[#This Row],[predicted_7]]-Table1[[#This Row],[actual_7]])/Table1[[#This Row],[actual_7]]</f>
        <v>1.6536964980544747E-2</v>
      </c>
      <c r="EN252" s="1">
        <f>(Table1[[#This Row],[predicted_8]]-Table1[[#This Row],[actual_8]])/Table1[[#This Row],[actual_8]]</f>
        <v>1.2320328542094456E-2</v>
      </c>
      <c r="EO252" s="1">
        <f>(Table1[[#This Row],[predicted_9]]-Table1[[#This Row],[actual_9]])/Table1[[#This Row],[actual_9]]</f>
        <v>2.7750247770069375E-2</v>
      </c>
      <c r="EP252" s="1">
        <f>1+(Table1[[#This Row],[error_ratio_0]]-EF$2)</f>
        <v>0.98265306122448981</v>
      </c>
      <c r="EQ252" s="1">
        <f>1+(Table1[[#This Row],[error_ratio_1]]-EG$2)</f>
        <v>1.0123348017621145</v>
      </c>
      <c r="ER252" s="1">
        <f>1+(Table1[[#This Row],[error_ratio_2]]-EH$2)</f>
        <v>1.0106589147286822</v>
      </c>
      <c r="ES252" s="1">
        <f>1+(Table1[[#This Row],[error_ratio_3]]-EI$2)</f>
        <v>0.95148514851485144</v>
      </c>
      <c r="ET252" s="1">
        <f>1+(Table1[[#This Row],[error_ratio_4]]-EJ$2)</f>
        <v>0.94399185336048874</v>
      </c>
      <c r="EU252" s="1">
        <f>1+(Table1[[#This Row],[error_ratio_5]]-EK$2)</f>
        <v>1.0325112107623318</v>
      </c>
      <c r="EV252" s="1">
        <f>1+(Table1[[#This Row],[error_ratio_6]]-EL$2)</f>
        <v>1.0052192066805845</v>
      </c>
      <c r="EW252" s="1">
        <f>1+(Table1[[#This Row],[error_ratio_7]]-EM$2)</f>
        <v>1.0145914396887159</v>
      </c>
      <c r="EX252" s="1">
        <f>1+(Table1[[#This Row],[error_ratio_8]]-EN$2)</f>
        <v>1.015400410677618</v>
      </c>
      <c r="EY252" s="1">
        <f>1+(Table1[[#This Row],[error_ratio_9]]-EO$2)</f>
        <v>1.0317145688800793</v>
      </c>
    </row>
    <row r="253" spans="1:155" x14ac:dyDescent="0.75">
      <c r="A253">
        <v>100</v>
      </c>
      <c r="B253">
        <v>10</v>
      </c>
      <c r="C253">
        <v>100</v>
      </c>
      <c r="D253">
        <v>100</v>
      </c>
      <c r="E253">
        <v>10</v>
      </c>
      <c r="F253">
        <v>100</v>
      </c>
      <c r="G253">
        <v>100</v>
      </c>
      <c r="H253">
        <v>100</v>
      </c>
      <c r="I253">
        <v>10</v>
      </c>
      <c r="J253">
        <v>100</v>
      </c>
      <c r="K253">
        <v>984</v>
      </c>
      <c r="L253">
        <v>1085</v>
      </c>
      <c r="M253">
        <v>991</v>
      </c>
      <c r="N253">
        <v>1156</v>
      </c>
      <c r="O253">
        <v>940</v>
      </c>
      <c r="P253">
        <v>892</v>
      </c>
      <c r="Q253">
        <v>970</v>
      </c>
      <c r="R253">
        <v>1070</v>
      </c>
      <c r="S253">
        <v>839</v>
      </c>
      <c r="T253">
        <v>1073</v>
      </c>
      <c r="U253">
        <v>980</v>
      </c>
      <c r="V253">
        <v>1135</v>
      </c>
      <c r="W253">
        <v>1032</v>
      </c>
      <c r="X253">
        <v>1010</v>
      </c>
      <c r="Y253">
        <v>982</v>
      </c>
      <c r="Z253">
        <v>892</v>
      </c>
      <c r="AA253">
        <v>958</v>
      </c>
      <c r="AB253">
        <v>1028</v>
      </c>
      <c r="AC253">
        <v>974</v>
      </c>
      <c r="AD253">
        <v>1009</v>
      </c>
      <c r="AE253">
        <v>973</v>
      </c>
      <c r="AF253">
        <v>0</v>
      </c>
      <c r="AG253">
        <v>0</v>
      </c>
      <c r="AH253">
        <v>0</v>
      </c>
      <c r="AI253">
        <v>0</v>
      </c>
      <c r="AJ253">
        <v>1</v>
      </c>
      <c r="AK253">
        <v>1</v>
      </c>
      <c r="AL253">
        <v>2</v>
      </c>
      <c r="AM253">
        <v>3</v>
      </c>
      <c r="AN253">
        <v>0</v>
      </c>
      <c r="AO253">
        <v>0</v>
      </c>
      <c r="AP253">
        <v>1084</v>
      </c>
      <c r="AQ253">
        <v>1</v>
      </c>
      <c r="AR253">
        <v>24</v>
      </c>
      <c r="AS253">
        <v>0</v>
      </c>
      <c r="AT253">
        <v>2</v>
      </c>
      <c r="AU253">
        <v>4</v>
      </c>
      <c r="AV253">
        <v>14</v>
      </c>
      <c r="AW253">
        <v>4</v>
      </c>
      <c r="AX253">
        <v>2</v>
      </c>
      <c r="AY253">
        <v>1</v>
      </c>
      <c r="AZ253">
        <v>0</v>
      </c>
      <c r="BA253">
        <v>985</v>
      </c>
      <c r="BB253">
        <v>27</v>
      </c>
      <c r="BC253">
        <v>0</v>
      </c>
      <c r="BD253">
        <v>1</v>
      </c>
      <c r="BE253">
        <v>1</v>
      </c>
      <c r="BF253">
        <v>17</v>
      </c>
      <c r="BG253">
        <v>0</v>
      </c>
      <c r="BH253">
        <v>0</v>
      </c>
      <c r="BI253">
        <v>0</v>
      </c>
      <c r="BJ253">
        <v>0</v>
      </c>
      <c r="BK253">
        <v>0</v>
      </c>
      <c r="BL253">
        <v>1004</v>
      </c>
      <c r="BM253">
        <v>0</v>
      </c>
      <c r="BN253">
        <v>1</v>
      </c>
      <c r="BO253">
        <v>0</v>
      </c>
      <c r="BP253">
        <v>4</v>
      </c>
      <c r="BQ253">
        <v>0</v>
      </c>
      <c r="BR253">
        <v>1</v>
      </c>
      <c r="BS253">
        <v>1</v>
      </c>
      <c r="BT253">
        <v>0</v>
      </c>
      <c r="BU253">
        <v>1</v>
      </c>
      <c r="BV253">
        <v>1</v>
      </c>
      <c r="BW253">
        <v>936</v>
      </c>
      <c r="BX253">
        <v>0</v>
      </c>
      <c r="BY253">
        <v>7</v>
      </c>
      <c r="BZ253">
        <v>5</v>
      </c>
      <c r="CA253">
        <v>0</v>
      </c>
      <c r="CB253">
        <v>31</v>
      </c>
      <c r="CC253">
        <v>1</v>
      </c>
      <c r="CD253">
        <v>0</v>
      </c>
      <c r="CE253">
        <v>1</v>
      </c>
      <c r="CF253">
        <v>14</v>
      </c>
      <c r="CG253">
        <v>0</v>
      </c>
      <c r="CH253">
        <v>872</v>
      </c>
      <c r="CI253">
        <v>1</v>
      </c>
      <c r="CJ253">
        <v>1</v>
      </c>
      <c r="CK253">
        <v>0</v>
      </c>
      <c r="CL253">
        <v>2</v>
      </c>
      <c r="CM253">
        <v>2</v>
      </c>
      <c r="CN253">
        <v>1</v>
      </c>
      <c r="CO253">
        <v>0</v>
      </c>
      <c r="CP253">
        <v>1</v>
      </c>
      <c r="CQ253">
        <v>1</v>
      </c>
      <c r="CR253">
        <v>1</v>
      </c>
      <c r="CS253">
        <v>952</v>
      </c>
      <c r="CT253">
        <v>0</v>
      </c>
      <c r="CU253">
        <v>0</v>
      </c>
      <c r="CV253">
        <v>0</v>
      </c>
      <c r="CW253">
        <v>0</v>
      </c>
      <c r="CX253">
        <v>0</v>
      </c>
      <c r="CY253">
        <v>1</v>
      </c>
      <c r="CZ253">
        <v>3</v>
      </c>
      <c r="DA253">
        <v>0</v>
      </c>
      <c r="DB253">
        <v>0</v>
      </c>
      <c r="DC253">
        <v>0</v>
      </c>
      <c r="DD253">
        <v>1019</v>
      </c>
      <c r="DE253">
        <v>1</v>
      </c>
      <c r="DF253">
        <v>4</v>
      </c>
      <c r="DG253">
        <v>5</v>
      </c>
      <c r="DH253">
        <v>0</v>
      </c>
      <c r="DI253">
        <v>2</v>
      </c>
      <c r="DJ253">
        <v>79</v>
      </c>
      <c r="DK253">
        <v>1</v>
      </c>
      <c r="DL253">
        <v>13</v>
      </c>
      <c r="DM253">
        <v>4</v>
      </c>
      <c r="DN253">
        <v>6</v>
      </c>
      <c r="DO253">
        <v>831</v>
      </c>
      <c r="DP253">
        <v>33</v>
      </c>
      <c r="DQ253">
        <v>1</v>
      </c>
      <c r="DR253">
        <v>0</v>
      </c>
      <c r="DS253">
        <v>0</v>
      </c>
      <c r="DT253">
        <v>3</v>
      </c>
      <c r="DU253">
        <v>2</v>
      </c>
      <c r="DV253">
        <v>1</v>
      </c>
      <c r="DW253">
        <v>0</v>
      </c>
      <c r="DX253">
        <v>2</v>
      </c>
      <c r="DY253">
        <v>0</v>
      </c>
      <c r="DZ253">
        <v>1000</v>
      </c>
      <c r="EA253">
        <v>0.96560000000000001</v>
      </c>
      <c r="EB253">
        <v>0.96798912915947</v>
      </c>
      <c r="EC253">
        <v>0.96564204077934701</v>
      </c>
      <c r="ED253">
        <v>0.96561119041160803</v>
      </c>
      <c r="EE253">
        <f>SUM(Table1[[#This Row],[ratio_0]:[ratio_9]])</f>
        <v>730</v>
      </c>
      <c r="EF253" s="1">
        <f>(Table1[[#This Row],[predicted_0]]-Table1[[#This Row],[actual_0]])/Table1[[#This Row],[actual_0]]</f>
        <v>4.0816326530612249E-3</v>
      </c>
      <c r="EG253" s="1">
        <f>(Table1[[#This Row],[predicted_1]]-Table1[[#This Row],[actual_1]])/Table1[[#This Row],[actual_1]]</f>
        <v>-4.405286343612335E-2</v>
      </c>
      <c r="EH253" s="1">
        <f>(Table1[[#This Row],[predicted_2]]-Table1[[#This Row],[actual_2]])/Table1[[#This Row],[actual_2]]</f>
        <v>-3.9728682170542637E-2</v>
      </c>
      <c r="EI253" s="1">
        <f>(Table1[[#This Row],[predicted_3]]-Table1[[#This Row],[actual_3]])/Table1[[#This Row],[actual_3]]</f>
        <v>0.14455445544554454</v>
      </c>
      <c r="EJ253" s="1">
        <f>(Table1[[#This Row],[predicted_4]]-Table1[[#This Row],[actual_4]])/Table1[[#This Row],[actual_4]]</f>
        <v>-4.2769857433808553E-2</v>
      </c>
      <c r="EK253" s="1">
        <f>(Table1[[#This Row],[predicted_5]]-Table1[[#This Row],[actual_5]])/Table1[[#This Row],[actual_5]]</f>
        <v>0</v>
      </c>
      <c r="EL253" s="1">
        <f>(Table1[[#This Row],[predicted_6]]-Table1[[#This Row],[actual_6]])/Table1[[#This Row],[actual_6]]</f>
        <v>1.2526096033402923E-2</v>
      </c>
      <c r="EM253" s="1">
        <f>(Table1[[#This Row],[predicted_7]]-Table1[[#This Row],[actual_7]])/Table1[[#This Row],[actual_7]]</f>
        <v>4.085603112840467E-2</v>
      </c>
      <c r="EN253" s="1">
        <f>(Table1[[#This Row],[predicted_8]]-Table1[[#This Row],[actual_8]])/Table1[[#This Row],[actual_8]]</f>
        <v>-0.13860369609856263</v>
      </c>
      <c r="EO253" s="1">
        <f>(Table1[[#This Row],[predicted_9]]-Table1[[#This Row],[actual_9]])/Table1[[#This Row],[actual_9]]</f>
        <v>6.3429137760158572E-2</v>
      </c>
      <c r="EP253" s="1">
        <f>1+(Table1[[#This Row],[error_ratio_0]]-EF$2)</f>
        <v>1.0020408163265306</v>
      </c>
      <c r="EQ253" s="1">
        <f>1+(Table1[[#This Row],[error_ratio_1]]-EG$2)</f>
        <v>0.95418502202643174</v>
      </c>
      <c r="ER253" s="1">
        <f>1+(Table1[[#This Row],[error_ratio_2]]-EH$2)</f>
        <v>0.96511627906976749</v>
      </c>
      <c r="ES253" s="1">
        <f>1+(Table1[[#This Row],[error_ratio_3]]-EI$2)</f>
        <v>1.1346534653465346</v>
      </c>
      <c r="ET253" s="1">
        <f>1+(Table1[[#This Row],[error_ratio_4]]-EJ$2)</f>
        <v>0.95621181262729127</v>
      </c>
      <c r="EU253" s="1">
        <f>1+(Table1[[#This Row],[error_ratio_5]]-EK$2)</f>
        <v>0.9988789237668162</v>
      </c>
      <c r="EV253" s="1">
        <f>1+(Table1[[#This Row],[error_ratio_6]]-EL$2)</f>
        <v>1.0187891440501045</v>
      </c>
      <c r="EW253" s="1">
        <f>1+(Table1[[#This Row],[error_ratio_7]]-EM$2)</f>
        <v>1.038910505836576</v>
      </c>
      <c r="EX253" s="1">
        <f>1+(Table1[[#This Row],[error_ratio_8]]-EN$2)</f>
        <v>0.86447638603696098</v>
      </c>
      <c r="EY253" s="1">
        <f>1+(Table1[[#This Row],[error_ratio_9]]-EO$2)</f>
        <v>1.0673934588701686</v>
      </c>
    </row>
    <row r="254" spans="1:155" x14ac:dyDescent="0.75">
      <c r="A254">
        <v>10</v>
      </c>
      <c r="B254">
        <v>10</v>
      </c>
      <c r="C254">
        <v>100</v>
      </c>
      <c r="D254">
        <v>100</v>
      </c>
      <c r="E254">
        <v>10</v>
      </c>
      <c r="F254">
        <v>100</v>
      </c>
      <c r="G254">
        <v>100</v>
      </c>
      <c r="H254">
        <v>100</v>
      </c>
      <c r="I254">
        <v>10</v>
      </c>
      <c r="J254">
        <v>100</v>
      </c>
      <c r="K254">
        <v>913</v>
      </c>
      <c r="L254">
        <v>1109</v>
      </c>
      <c r="M254">
        <v>1025</v>
      </c>
      <c r="N254">
        <v>1038</v>
      </c>
      <c r="O254">
        <v>831</v>
      </c>
      <c r="P254">
        <v>929</v>
      </c>
      <c r="Q254">
        <v>986</v>
      </c>
      <c r="R254">
        <v>1085</v>
      </c>
      <c r="S254">
        <v>942</v>
      </c>
      <c r="T254">
        <v>1142</v>
      </c>
      <c r="U254">
        <v>980</v>
      </c>
      <c r="V254">
        <v>1135</v>
      </c>
      <c r="W254">
        <v>1032</v>
      </c>
      <c r="X254">
        <v>1010</v>
      </c>
      <c r="Y254">
        <v>982</v>
      </c>
      <c r="Z254">
        <v>892</v>
      </c>
      <c r="AA254">
        <v>958</v>
      </c>
      <c r="AB254">
        <v>1028</v>
      </c>
      <c r="AC254">
        <v>974</v>
      </c>
      <c r="AD254">
        <v>1009</v>
      </c>
      <c r="AE254">
        <v>910</v>
      </c>
      <c r="AF254">
        <v>0</v>
      </c>
      <c r="AG254">
        <v>9</v>
      </c>
      <c r="AH254">
        <v>2</v>
      </c>
      <c r="AI254">
        <v>0</v>
      </c>
      <c r="AJ254">
        <v>7</v>
      </c>
      <c r="AK254">
        <v>22</v>
      </c>
      <c r="AL254">
        <v>4</v>
      </c>
      <c r="AM254">
        <v>9</v>
      </c>
      <c r="AN254">
        <v>17</v>
      </c>
      <c r="AO254">
        <v>0</v>
      </c>
      <c r="AP254">
        <v>1106</v>
      </c>
      <c r="AQ254">
        <v>2</v>
      </c>
      <c r="AR254">
        <v>7</v>
      </c>
      <c r="AS254">
        <v>0</v>
      </c>
      <c r="AT254">
        <v>2</v>
      </c>
      <c r="AU254">
        <v>3</v>
      </c>
      <c r="AV254">
        <v>14</v>
      </c>
      <c r="AW254">
        <v>1</v>
      </c>
      <c r="AX254">
        <v>0</v>
      </c>
      <c r="AY254">
        <v>1</v>
      </c>
      <c r="AZ254">
        <v>0</v>
      </c>
      <c r="BA254">
        <v>1002</v>
      </c>
      <c r="BB254">
        <v>4</v>
      </c>
      <c r="BC254">
        <v>0</v>
      </c>
      <c r="BD254">
        <v>0</v>
      </c>
      <c r="BE254">
        <v>0</v>
      </c>
      <c r="BF254">
        <v>25</v>
      </c>
      <c r="BG254">
        <v>0</v>
      </c>
      <c r="BH254">
        <v>0</v>
      </c>
      <c r="BI254">
        <v>0</v>
      </c>
      <c r="BJ254">
        <v>0</v>
      </c>
      <c r="BK254">
        <v>3</v>
      </c>
      <c r="BL254">
        <v>1002</v>
      </c>
      <c r="BM254">
        <v>0</v>
      </c>
      <c r="BN254">
        <v>4</v>
      </c>
      <c r="BO254">
        <v>0</v>
      </c>
      <c r="BP254">
        <v>1</v>
      </c>
      <c r="BQ254">
        <v>0</v>
      </c>
      <c r="BR254">
        <v>0</v>
      </c>
      <c r="BS254">
        <v>1</v>
      </c>
      <c r="BT254">
        <v>1</v>
      </c>
      <c r="BU254">
        <v>3</v>
      </c>
      <c r="BV254">
        <v>1</v>
      </c>
      <c r="BW254">
        <v>828</v>
      </c>
      <c r="BX254">
        <v>0</v>
      </c>
      <c r="BY254">
        <v>6</v>
      </c>
      <c r="BZ254">
        <v>10</v>
      </c>
      <c r="CA254">
        <v>1</v>
      </c>
      <c r="CB254">
        <v>131</v>
      </c>
      <c r="CC254">
        <v>0</v>
      </c>
      <c r="CD254">
        <v>0</v>
      </c>
      <c r="CE254">
        <v>0</v>
      </c>
      <c r="CF254">
        <v>7</v>
      </c>
      <c r="CG254">
        <v>0</v>
      </c>
      <c r="CH254">
        <v>883</v>
      </c>
      <c r="CI254">
        <v>2</v>
      </c>
      <c r="CJ254">
        <v>0</v>
      </c>
      <c r="CK254">
        <v>0</v>
      </c>
      <c r="CL254">
        <v>0</v>
      </c>
      <c r="CM254">
        <v>0</v>
      </c>
      <c r="CN254">
        <v>1</v>
      </c>
      <c r="CO254">
        <v>0</v>
      </c>
      <c r="CP254">
        <v>0</v>
      </c>
      <c r="CQ254">
        <v>2</v>
      </c>
      <c r="CR254">
        <v>4</v>
      </c>
      <c r="CS254">
        <v>951</v>
      </c>
      <c r="CT254">
        <v>0</v>
      </c>
      <c r="CU254">
        <v>0</v>
      </c>
      <c r="CV254">
        <v>0</v>
      </c>
      <c r="CW254">
        <v>0</v>
      </c>
      <c r="CX254">
        <v>0</v>
      </c>
      <c r="CY254">
        <v>1</v>
      </c>
      <c r="CZ254">
        <v>2</v>
      </c>
      <c r="DA254">
        <v>0</v>
      </c>
      <c r="DB254">
        <v>1</v>
      </c>
      <c r="DC254">
        <v>0</v>
      </c>
      <c r="DD254">
        <v>1020</v>
      </c>
      <c r="DE254">
        <v>1</v>
      </c>
      <c r="DF254">
        <v>3</v>
      </c>
      <c r="DG254">
        <v>0</v>
      </c>
      <c r="DH254">
        <v>1</v>
      </c>
      <c r="DI254">
        <v>5</v>
      </c>
      <c r="DJ254">
        <v>9</v>
      </c>
      <c r="DK254">
        <v>0</v>
      </c>
      <c r="DL254">
        <v>17</v>
      </c>
      <c r="DM254">
        <v>2</v>
      </c>
      <c r="DN254">
        <v>7</v>
      </c>
      <c r="DO254">
        <v>929</v>
      </c>
      <c r="DP254">
        <v>4</v>
      </c>
      <c r="DQ254">
        <v>1</v>
      </c>
      <c r="DR254">
        <v>0</v>
      </c>
      <c r="DS254">
        <v>0</v>
      </c>
      <c r="DT254">
        <v>4</v>
      </c>
      <c r="DU254">
        <v>1</v>
      </c>
      <c r="DV254">
        <v>11</v>
      </c>
      <c r="DW254">
        <v>0</v>
      </c>
      <c r="DX254">
        <v>4</v>
      </c>
      <c r="DY254">
        <v>1</v>
      </c>
      <c r="DZ254">
        <v>987</v>
      </c>
      <c r="EA254">
        <v>0.96179999999999999</v>
      </c>
      <c r="EB254">
        <v>0.96388301564497003</v>
      </c>
      <c r="EC254">
        <v>0.96160237229100698</v>
      </c>
      <c r="ED254">
        <v>0.96144149028011705</v>
      </c>
      <c r="EE254">
        <f>SUM(Table1[[#This Row],[ratio_0]:[ratio_9]])</f>
        <v>640</v>
      </c>
      <c r="EF254" s="1">
        <f>(Table1[[#This Row],[predicted_0]]-Table1[[#This Row],[actual_0]])/Table1[[#This Row],[actual_0]]</f>
        <v>-6.8367346938775511E-2</v>
      </c>
      <c r="EG254" s="1">
        <f>(Table1[[#This Row],[predicted_1]]-Table1[[#This Row],[actual_1]])/Table1[[#This Row],[actual_1]]</f>
        <v>-2.2907488986784141E-2</v>
      </c>
      <c r="EH254" s="1">
        <f>(Table1[[#This Row],[predicted_2]]-Table1[[#This Row],[actual_2]])/Table1[[#This Row],[actual_2]]</f>
        <v>-6.7829457364341084E-3</v>
      </c>
      <c r="EI254" s="1">
        <f>(Table1[[#This Row],[predicted_3]]-Table1[[#This Row],[actual_3]])/Table1[[#This Row],[actual_3]]</f>
        <v>2.7722772277227723E-2</v>
      </c>
      <c r="EJ254" s="1">
        <f>(Table1[[#This Row],[predicted_4]]-Table1[[#This Row],[actual_4]])/Table1[[#This Row],[actual_4]]</f>
        <v>-0.15376782077393075</v>
      </c>
      <c r="EK254" s="1">
        <f>(Table1[[#This Row],[predicted_5]]-Table1[[#This Row],[actual_5]])/Table1[[#This Row],[actual_5]]</f>
        <v>4.1479820627802692E-2</v>
      </c>
      <c r="EL254" s="1">
        <f>(Table1[[#This Row],[predicted_6]]-Table1[[#This Row],[actual_6]])/Table1[[#This Row],[actual_6]]</f>
        <v>2.9227557411273485E-2</v>
      </c>
      <c r="EM254" s="1">
        <f>(Table1[[#This Row],[predicted_7]]-Table1[[#This Row],[actual_7]])/Table1[[#This Row],[actual_7]]</f>
        <v>5.544747081712062E-2</v>
      </c>
      <c r="EN254" s="1">
        <f>(Table1[[#This Row],[predicted_8]]-Table1[[#This Row],[actual_8]])/Table1[[#This Row],[actual_8]]</f>
        <v>-3.2854209445585217E-2</v>
      </c>
      <c r="EO254" s="1">
        <f>(Table1[[#This Row],[predicted_9]]-Table1[[#This Row],[actual_9]])/Table1[[#This Row],[actual_9]]</f>
        <v>0.13181367690782952</v>
      </c>
      <c r="EP254" s="1">
        <f>1+(Table1[[#This Row],[error_ratio_0]]-EF$2)</f>
        <v>0.92959183673469392</v>
      </c>
      <c r="EQ254" s="1">
        <f>1+(Table1[[#This Row],[error_ratio_1]]-EG$2)</f>
        <v>0.97533039647577091</v>
      </c>
      <c r="ER254" s="1">
        <f>1+(Table1[[#This Row],[error_ratio_2]]-EH$2)</f>
        <v>0.99806201550387597</v>
      </c>
      <c r="ES254" s="1">
        <f>1+(Table1[[#This Row],[error_ratio_3]]-EI$2)</f>
        <v>1.0178217821782178</v>
      </c>
      <c r="ET254" s="1">
        <f>1+(Table1[[#This Row],[error_ratio_4]]-EJ$2)</f>
        <v>0.84521384928716903</v>
      </c>
      <c r="EU254" s="1">
        <f>1+(Table1[[#This Row],[error_ratio_5]]-EK$2)</f>
        <v>1.0403587443946187</v>
      </c>
      <c r="EV254" s="1">
        <f>1+(Table1[[#This Row],[error_ratio_6]]-EL$2)</f>
        <v>1.0354906054279749</v>
      </c>
      <c r="EW254" s="1">
        <f>1+(Table1[[#This Row],[error_ratio_7]]-EM$2)</f>
        <v>1.0535019455252919</v>
      </c>
      <c r="EX254" s="1">
        <f>1+(Table1[[#This Row],[error_ratio_8]]-EN$2)</f>
        <v>0.97022587268993843</v>
      </c>
      <c r="EY254" s="1">
        <f>1+(Table1[[#This Row],[error_ratio_9]]-EO$2)</f>
        <v>1.1357779980178395</v>
      </c>
    </row>
    <row r="255" spans="1:155" x14ac:dyDescent="0.75">
      <c r="A255">
        <v>100</v>
      </c>
      <c r="B255">
        <v>100</v>
      </c>
      <c r="C255">
        <v>10</v>
      </c>
      <c r="D255">
        <v>100</v>
      </c>
      <c r="E255">
        <v>10</v>
      </c>
      <c r="F255">
        <v>100</v>
      </c>
      <c r="G255">
        <v>100</v>
      </c>
      <c r="H255">
        <v>100</v>
      </c>
      <c r="I255">
        <v>10</v>
      </c>
      <c r="J255">
        <v>100</v>
      </c>
      <c r="K255">
        <v>1021</v>
      </c>
      <c r="L255">
        <v>1139</v>
      </c>
      <c r="M255">
        <v>990</v>
      </c>
      <c r="N255">
        <v>1085</v>
      </c>
      <c r="O255">
        <v>909</v>
      </c>
      <c r="P255">
        <v>890</v>
      </c>
      <c r="Q255">
        <v>962</v>
      </c>
      <c r="R255">
        <v>1034</v>
      </c>
      <c r="S255">
        <v>891</v>
      </c>
      <c r="T255">
        <v>1079</v>
      </c>
      <c r="U255">
        <v>980</v>
      </c>
      <c r="V255">
        <v>1135</v>
      </c>
      <c r="W255">
        <v>1032</v>
      </c>
      <c r="X255">
        <v>1010</v>
      </c>
      <c r="Y255">
        <v>982</v>
      </c>
      <c r="Z255">
        <v>892</v>
      </c>
      <c r="AA255">
        <v>958</v>
      </c>
      <c r="AB255">
        <v>1028</v>
      </c>
      <c r="AC255">
        <v>974</v>
      </c>
      <c r="AD255">
        <v>1009</v>
      </c>
      <c r="AE255">
        <v>978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2</v>
      </c>
      <c r="AM255">
        <v>0</v>
      </c>
      <c r="AN255">
        <v>0</v>
      </c>
      <c r="AO255">
        <v>0</v>
      </c>
      <c r="AP255">
        <v>1129</v>
      </c>
      <c r="AQ255">
        <v>0</v>
      </c>
      <c r="AR255">
        <v>2</v>
      </c>
      <c r="AS255">
        <v>0</v>
      </c>
      <c r="AT255">
        <v>1</v>
      </c>
      <c r="AU255">
        <v>2</v>
      </c>
      <c r="AV255">
        <v>0</v>
      </c>
      <c r="AW255">
        <v>0</v>
      </c>
      <c r="AX255">
        <v>1</v>
      </c>
      <c r="AY255">
        <v>8</v>
      </c>
      <c r="AZ255">
        <v>5</v>
      </c>
      <c r="BA255">
        <v>984</v>
      </c>
      <c r="BB255">
        <v>19</v>
      </c>
      <c r="BC255">
        <v>0</v>
      </c>
      <c r="BD255">
        <v>0</v>
      </c>
      <c r="BE255">
        <v>5</v>
      </c>
      <c r="BF255">
        <v>11</v>
      </c>
      <c r="BG255">
        <v>0</v>
      </c>
      <c r="BH255">
        <v>0</v>
      </c>
      <c r="BI255">
        <v>0</v>
      </c>
      <c r="BJ255">
        <v>0</v>
      </c>
      <c r="BK255">
        <v>0</v>
      </c>
      <c r="BL255">
        <v>1004</v>
      </c>
      <c r="BM255">
        <v>0</v>
      </c>
      <c r="BN255">
        <v>2</v>
      </c>
      <c r="BO255">
        <v>0</v>
      </c>
      <c r="BP255">
        <v>3</v>
      </c>
      <c r="BQ255">
        <v>0</v>
      </c>
      <c r="BR255">
        <v>1</v>
      </c>
      <c r="BS255">
        <v>1</v>
      </c>
      <c r="BT255">
        <v>0</v>
      </c>
      <c r="BU255">
        <v>1</v>
      </c>
      <c r="BV255">
        <v>0</v>
      </c>
      <c r="BW255">
        <v>904</v>
      </c>
      <c r="BX255">
        <v>0</v>
      </c>
      <c r="BY255">
        <v>8</v>
      </c>
      <c r="BZ255">
        <v>2</v>
      </c>
      <c r="CA255">
        <v>1</v>
      </c>
      <c r="CB255">
        <v>65</v>
      </c>
      <c r="CC255">
        <v>1</v>
      </c>
      <c r="CD255">
        <v>0</v>
      </c>
      <c r="CE255">
        <v>0</v>
      </c>
      <c r="CF255">
        <v>13</v>
      </c>
      <c r="CG255">
        <v>0</v>
      </c>
      <c r="CH255">
        <v>875</v>
      </c>
      <c r="CI255">
        <v>2</v>
      </c>
      <c r="CJ255">
        <v>0</v>
      </c>
      <c r="CK255">
        <v>0</v>
      </c>
      <c r="CL255">
        <v>1</v>
      </c>
      <c r="CM255">
        <v>8</v>
      </c>
      <c r="CN255">
        <v>2</v>
      </c>
      <c r="CO255">
        <v>0</v>
      </c>
      <c r="CP255">
        <v>1</v>
      </c>
      <c r="CQ255">
        <v>2</v>
      </c>
      <c r="CR255">
        <v>3</v>
      </c>
      <c r="CS255">
        <v>942</v>
      </c>
      <c r="CT255">
        <v>0</v>
      </c>
      <c r="CU255">
        <v>0</v>
      </c>
      <c r="CV255">
        <v>0</v>
      </c>
      <c r="CW255">
        <v>1</v>
      </c>
      <c r="CX255">
        <v>2</v>
      </c>
      <c r="CY255">
        <v>3</v>
      </c>
      <c r="CZ255">
        <v>5</v>
      </c>
      <c r="DA255">
        <v>0</v>
      </c>
      <c r="DB255">
        <v>0</v>
      </c>
      <c r="DC255">
        <v>0</v>
      </c>
      <c r="DD255">
        <v>1009</v>
      </c>
      <c r="DE255">
        <v>0</v>
      </c>
      <c r="DF255">
        <v>8</v>
      </c>
      <c r="DG255">
        <v>21</v>
      </c>
      <c r="DH255">
        <v>1</v>
      </c>
      <c r="DI255">
        <v>2</v>
      </c>
      <c r="DJ255">
        <v>33</v>
      </c>
      <c r="DK255">
        <v>2</v>
      </c>
      <c r="DL255">
        <v>5</v>
      </c>
      <c r="DM255">
        <v>3</v>
      </c>
      <c r="DN255">
        <v>5</v>
      </c>
      <c r="DO255">
        <v>890</v>
      </c>
      <c r="DP255">
        <v>12</v>
      </c>
      <c r="DQ255">
        <v>3</v>
      </c>
      <c r="DR255">
        <v>0</v>
      </c>
      <c r="DS255">
        <v>0</v>
      </c>
      <c r="DT255">
        <v>8</v>
      </c>
      <c r="DU255">
        <v>1</v>
      </c>
      <c r="DV255">
        <v>4</v>
      </c>
      <c r="DW255">
        <v>0</v>
      </c>
      <c r="DX255">
        <v>2</v>
      </c>
      <c r="DY255">
        <v>0</v>
      </c>
      <c r="DZ255">
        <v>991</v>
      </c>
      <c r="EA255">
        <v>0.97060000000000002</v>
      </c>
      <c r="EB255">
        <v>0.97183880270215595</v>
      </c>
      <c r="EC255">
        <v>0.97024668904564604</v>
      </c>
      <c r="ED255">
        <v>0.97039608376186004</v>
      </c>
      <c r="EE255">
        <f>SUM(Table1[[#This Row],[ratio_0]:[ratio_9]])</f>
        <v>730</v>
      </c>
      <c r="EF255" s="1">
        <f>(Table1[[#This Row],[predicted_0]]-Table1[[#This Row],[actual_0]])/Table1[[#This Row],[actual_0]]</f>
        <v>4.1836734693877553E-2</v>
      </c>
      <c r="EG255" s="1">
        <f>(Table1[[#This Row],[predicted_1]]-Table1[[#This Row],[actual_1]])/Table1[[#This Row],[actual_1]]</f>
        <v>3.524229074889868E-3</v>
      </c>
      <c r="EH255" s="1">
        <f>(Table1[[#This Row],[predicted_2]]-Table1[[#This Row],[actual_2]])/Table1[[#This Row],[actual_2]]</f>
        <v>-4.0697674418604654E-2</v>
      </c>
      <c r="EI255" s="1">
        <f>(Table1[[#This Row],[predicted_3]]-Table1[[#This Row],[actual_3]])/Table1[[#This Row],[actual_3]]</f>
        <v>7.4257425742574254E-2</v>
      </c>
      <c r="EJ255" s="1">
        <f>(Table1[[#This Row],[predicted_4]]-Table1[[#This Row],[actual_4]])/Table1[[#This Row],[actual_4]]</f>
        <v>-7.4338085539714868E-2</v>
      </c>
      <c r="EK255" s="1">
        <f>(Table1[[#This Row],[predicted_5]]-Table1[[#This Row],[actual_5]])/Table1[[#This Row],[actual_5]]</f>
        <v>-2.242152466367713E-3</v>
      </c>
      <c r="EL255" s="1">
        <f>(Table1[[#This Row],[predicted_6]]-Table1[[#This Row],[actual_6]])/Table1[[#This Row],[actual_6]]</f>
        <v>4.1753653444676405E-3</v>
      </c>
      <c r="EM255" s="1">
        <f>(Table1[[#This Row],[predicted_7]]-Table1[[#This Row],[actual_7]])/Table1[[#This Row],[actual_7]]</f>
        <v>5.8365758754863814E-3</v>
      </c>
      <c r="EN255" s="1">
        <f>(Table1[[#This Row],[predicted_8]]-Table1[[#This Row],[actual_8]])/Table1[[#This Row],[actual_8]]</f>
        <v>-8.5215605749486653E-2</v>
      </c>
      <c r="EO255" s="1">
        <f>(Table1[[#This Row],[predicted_9]]-Table1[[#This Row],[actual_9]])/Table1[[#This Row],[actual_9]]</f>
        <v>6.9375619425173438E-2</v>
      </c>
      <c r="EP255" s="1">
        <f>1+(Table1[[#This Row],[error_ratio_0]]-EF$2)</f>
        <v>1.0397959183673469</v>
      </c>
      <c r="EQ255" s="1">
        <f>1+(Table1[[#This Row],[error_ratio_1]]-EG$2)</f>
        <v>1.0017621145374449</v>
      </c>
      <c r="ER255" s="1">
        <f>1+(Table1[[#This Row],[error_ratio_2]]-EH$2)</f>
        <v>0.96414728682170547</v>
      </c>
      <c r="ES255" s="1">
        <f>1+(Table1[[#This Row],[error_ratio_3]]-EI$2)</f>
        <v>1.0643564356435644</v>
      </c>
      <c r="ET255" s="1">
        <f>1+(Table1[[#This Row],[error_ratio_4]]-EJ$2)</f>
        <v>0.92464358452138495</v>
      </c>
      <c r="EU255" s="1">
        <f>1+(Table1[[#This Row],[error_ratio_5]]-EK$2)</f>
        <v>0.99663677130044848</v>
      </c>
      <c r="EV255" s="1">
        <f>1+(Table1[[#This Row],[error_ratio_6]]-EL$2)</f>
        <v>1.010438413361169</v>
      </c>
      <c r="EW255" s="1">
        <f>1+(Table1[[#This Row],[error_ratio_7]]-EM$2)</f>
        <v>1.0038910505836576</v>
      </c>
      <c r="EX255" s="1">
        <f>1+(Table1[[#This Row],[error_ratio_8]]-EN$2)</f>
        <v>0.91786447638603696</v>
      </c>
      <c r="EY255" s="1">
        <f>1+(Table1[[#This Row],[error_ratio_9]]-EO$2)</f>
        <v>1.0733399405351833</v>
      </c>
    </row>
    <row r="256" spans="1:155" x14ac:dyDescent="0.75">
      <c r="A256">
        <v>10</v>
      </c>
      <c r="B256">
        <v>100</v>
      </c>
      <c r="C256">
        <v>10</v>
      </c>
      <c r="D256">
        <v>100</v>
      </c>
      <c r="E256">
        <v>10</v>
      </c>
      <c r="F256">
        <v>100</v>
      </c>
      <c r="G256">
        <v>100</v>
      </c>
      <c r="H256">
        <v>100</v>
      </c>
      <c r="I256">
        <v>10</v>
      </c>
      <c r="J256">
        <v>100</v>
      </c>
      <c r="K256">
        <v>960</v>
      </c>
      <c r="L256">
        <v>1154</v>
      </c>
      <c r="M256">
        <v>962</v>
      </c>
      <c r="N256">
        <v>1051</v>
      </c>
      <c r="O256">
        <v>973</v>
      </c>
      <c r="P256">
        <v>917</v>
      </c>
      <c r="Q256">
        <v>974</v>
      </c>
      <c r="R256">
        <v>1148</v>
      </c>
      <c r="S256">
        <v>830</v>
      </c>
      <c r="T256">
        <v>1031</v>
      </c>
      <c r="U256">
        <v>980</v>
      </c>
      <c r="V256">
        <v>1135</v>
      </c>
      <c r="W256">
        <v>1032</v>
      </c>
      <c r="X256">
        <v>1010</v>
      </c>
      <c r="Y256">
        <v>982</v>
      </c>
      <c r="Z256">
        <v>892</v>
      </c>
      <c r="AA256">
        <v>958</v>
      </c>
      <c r="AB256">
        <v>1028</v>
      </c>
      <c r="AC256">
        <v>974</v>
      </c>
      <c r="AD256">
        <v>1009</v>
      </c>
      <c r="AE256">
        <v>943</v>
      </c>
      <c r="AF256">
        <v>1</v>
      </c>
      <c r="AG256">
        <v>1</v>
      </c>
      <c r="AH256">
        <v>1</v>
      </c>
      <c r="AI256">
        <v>1</v>
      </c>
      <c r="AJ256">
        <v>8</v>
      </c>
      <c r="AK256">
        <v>7</v>
      </c>
      <c r="AL256">
        <v>16</v>
      </c>
      <c r="AM256">
        <v>0</v>
      </c>
      <c r="AN256">
        <v>2</v>
      </c>
      <c r="AO256">
        <v>0</v>
      </c>
      <c r="AP256">
        <v>1130</v>
      </c>
      <c r="AQ256">
        <v>0</v>
      </c>
      <c r="AR256">
        <v>1</v>
      </c>
      <c r="AS256">
        <v>0</v>
      </c>
      <c r="AT256">
        <v>3</v>
      </c>
      <c r="AU256">
        <v>0</v>
      </c>
      <c r="AV256">
        <v>1</v>
      </c>
      <c r="AW256">
        <v>0</v>
      </c>
      <c r="AX256">
        <v>0</v>
      </c>
      <c r="AY256">
        <v>7</v>
      </c>
      <c r="AZ256">
        <v>8</v>
      </c>
      <c r="BA256">
        <v>947</v>
      </c>
      <c r="BB256">
        <v>14</v>
      </c>
      <c r="BC256">
        <v>5</v>
      </c>
      <c r="BD256">
        <v>0</v>
      </c>
      <c r="BE256">
        <v>5</v>
      </c>
      <c r="BF256">
        <v>43</v>
      </c>
      <c r="BG256">
        <v>1</v>
      </c>
      <c r="BH256">
        <v>2</v>
      </c>
      <c r="BI256">
        <v>0</v>
      </c>
      <c r="BJ256">
        <v>0</v>
      </c>
      <c r="BK256">
        <v>0</v>
      </c>
      <c r="BL256">
        <v>1000</v>
      </c>
      <c r="BM256">
        <v>0</v>
      </c>
      <c r="BN256">
        <v>1</v>
      </c>
      <c r="BO256">
        <v>0</v>
      </c>
      <c r="BP256">
        <v>7</v>
      </c>
      <c r="BQ256">
        <v>0</v>
      </c>
      <c r="BR256">
        <v>2</v>
      </c>
      <c r="BS256">
        <v>0</v>
      </c>
      <c r="BT256">
        <v>1</v>
      </c>
      <c r="BU256">
        <v>0</v>
      </c>
      <c r="BV256">
        <v>0</v>
      </c>
      <c r="BW256">
        <v>958</v>
      </c>
      <c r="BX256">
        <v>0</v>
      </c>
      <c r="BY256">
        <v>6</v>
      </c>
      <c r="BZ256">
        <v>5</v>
      </c>
      <c r="CA256">
        <v>0</v>
      </c>
      <c r="CB256">
        <v>12</v>
      </c>
      <c r="CC256">
        <v>0</v>
      </c>
      <c r="CD256">
        <v>0</v>
      </c>
      <c r="CE256">
        <v>0</v>
      </c>
      <c r="CF256">
        <v>8</v>
      </c>
      <c r="CG256">
        <v>0</v>
      </c>
      <c r="CH256">
        <v>879</v>
      </c>
      <c r="CI256">
        <v>2</v>
      </c>
      <c r="CJ256">
        <v>2</v>
      </c>
      <c r="CK256">
        <v>0</v>
      </c>
      <c r="CL256">
        <v>1</v>
      </c>
      <c r="CM256">
        <v>2</v>
      </c>
      <c r="CN256">
        <v>2</v>
      </c>
      <c r="CO256">
        <v>0</v>
      </c>
      <c r="CP256">
        <v>1</v>
      </c>
      <c r="CQ256">
        <v>1</v>
      </c>
      <c r="CR256">
        <v>7</v>
      </c>
      <c r="CS256">
        <v>945</v>
      </c>
      <c r="CT256">
        <v>0</v>
      </c>
      <c r="CU256">
        <v>0</v>
      </c>
      <c r="CV256">
        <v>0</v>
      </c>
      <c r="CW256">
        <v>0</v>
      </c>
      <c r="CX256">
        <v>3</v>
      </c>
      <c r="CY256">
        <v>1</v>
      </c>
      <c r="CZ256">
        <v>2</v>
      </c>
      <c r="DA256">
        <v>0</v>
      </c>
      <c r="DB256">
        <v>0</v>
      </c>
      <c r="DC256">
        <v>0</v>
      </c>
      <c r="DD256">
        <v>1021</v>
      </c>
      <c r="DE256">
        <v>0</v>
      </c>
      <c r="DF256">
        <v>1</v>
      </c>
      <c r="DG256">
        <v>6</v>
      </c>
      <c r="DH256">
        <v>8</v>
      </c>
      <c r="DI256">
        <v>13</v>
      </c>
      <c r="DJ256">
        <v>20</v>
      </c>
      <c r="DK256">
        <v>5</v>
      </c>
      <c r="DL256">
        <v>17</v>
      </c>
      <c r="DM256">
        <v>8</v>
      </c>
      <c r="DN256">
        <v>43</v>
      </c>
      <c r="DO256">
        <v>829</v>
      </c>
      <c r="DP256">
        <v>25</v>
      </c>
      <c r="DQ256">
        <v>2</v>
      </c>
      <c r="DR256">
        <v>1</v>
      </c>
      <c r="DS256">
        <v>0</v>
      </c>
      <c r="DT256">
        <v>4</v>
      </c>
      <c r="DU256">
        <v>3</v>
      </c>
      <c r="DV256">
        <v>2</v>
      </c>
      <c r="DW256">
        <v>1</v>
      </c>
      <c r="DX256">
        <v>10</v>
      </c>
      <c r="DY256">
        <v>0</v>
      </c>
      <c r="DZ256">
        <v>986</v>
      </c>
      <c r="EA256">
        <v>0.96379999999999999</v>
      </c>
      <c r="EB256">
        <v>0.96552679259627305</v>
      </c>
      <c r="EC256">
        <v>0.96345156120425102</v>
      </c>
      <c r="ED256">
        <v>0.96340220957685396</v>
      </c>
      <c r="EE256">
        <f>SUM(Table1[[#This Row],[ratio_0]:[ratio_9]])</f>
        <v>640</v>
      </c>
      <c r="EF256" s="1">
        <f>(Table1[[#This Row],[predicted_0]]-Table1[[#This Row],[actual_0]])/Table1[[#This Row],[actual_0]]</f>
        <v>-2.0408163265306121E-2</v>
      </c>
      <c r="EG256" s="1">
        <f>(Table1[[#This Row],[predicted_1]]-Table1[[#This Row],[actual_1]])/Table1[[#This Row],[actual_1]]</f>
        <v>1.6740088105726872E-2</v>
      </c>
      <c r="EH256" s="1">
        <f>(Table1[[#This Row],[predicted_2]]-Table1[[#This Row],[actual_2]])/Table1[[#This Row],[actual_2]]</f>
        <v>-6.7829457364341081E-2</v>
      </c>
      <c r="EI256" s="1">
        <f>(Table1[[#This Row],[predicted_3]]-Table1[[#This Row],[actual_3]])/Table1[[#This Row],[actual_3]]</f>
        <v>4.0594059405940595E-2</v>
      </c>
      <c r="EJ256" s="1">
        <f>(Table1[[#This Row],[predicted_4]]-Table1[[#This Row],[actual_4]])/Table1[[#This Row],[actual_4]]</f>
        <v>-9.1649694501018328E-3</v>
      </c>
      <c r="EK256" s="1">
        <f>(Table1[[#This Row],[predicted_5]]-Table1[[#This Row],[actual_5]])/Table1[[#This Row],[actual_5]]</f>
        <v>2.8026905829596414E-2</v>
      </c>
      <c r="EL256" s="1">
        <f>(Table1[[#This Row],[predicted_6]]-Table1[[#This Row],[actual_6]])/Table1[[#This Row],[actual_6]]</f>
        <v>1.6701461377870562E-2</v>
      </c>
      <c r="EM256" s="1">
        <f>(Table1[[#This Row],[predicted_7]]-Table1[[#This Row],[actual_7]])/Table1[[#This Row],[actual_7]]</f>
        <v>0.11673151750972763</v>
      </c>
      <c r="EN256" s="1">
        <f>(Table1[[#This Row],[predicted_8]]-Table1[[#This Row],[actual_8]])/Table1[[#This Row],[actual_8]]</f>
        <v>-0.14784394250513347</v>
      </c>
      <c r="EO256" s="1">
        <f>(Table1[[#This Row],[predicted_9]]-Table1[[#This Row],[actual_9]])/Table1[[#This Row],[actual_9]]</f>
        <v>2.1803766105054509E-2</v>
      </c>
      <c r="EP256" s="1">
        <f>1+(Table1[[#This Row],[error_ratio_0]]-EF$2)</f>
        <v>0.97755102040816322</v>
      </c>
      <c r="EQ256" s="1">
        <f>1+(Table1[[#This Row],[error_ratio_1]]-EG$2)</f>
        <v>1.014977973568282</v>
      </c>
      <c r="ER256" s="1">
        <f>1+(Table1[[#This Row],[error_ratio_2]]-EH$2)</f>
        <v>0.93701550387596899</v>
      </c>
      <c r="ES256" s="1">
        <f>1+(Table1[[#This Row],[error_ratio_3]]-EI$2)</f>
        <v>1.0306930693069307</v>
      </c>
      <c r="ET256" s="1">
        <f>1+(Table1[[#This Row],[error_ratio_4]]-EJ$2)</f>
        <v>0.98981670061099791</v>
      </c>
      <c r="EU256" s="1">
        <f>1+(Table1[[#This Row],[error_ratio_5]]-EK$2)</f>
        <v>1.0269058295964126</v>
      </c>
      <c r="EV256" s="1">
        <f>1+(Table1[[#This Row],[error_ratio_6]]-EL$2)</f>
        <v>1.0229645093945721</v>
      </c>
      <c r="EW256" s="1">
        <f>1+(Table1[[#This Row],[error_ratio_7]]-EM$2)</f>
        <v>1.1147859922178989</v>
      </c>
      <c r="EX256" s="1">
        <f>1+(Table1[[#This Row],[error_ratio_8]]-EN$2)</f>
        <v>0.85523613963039014</v>
      </c>
      <c r="EY256" s="1">
        <f>1+(Table1[[#This Row],[error_ratio_9]]-EO$2)</f>
        <v>1.0257680872150645</v>
      </c>
    </row>
    <row r="257" spans="1:155" x14ac:dyDescent="0.75">
      <c r="A257">
        <v>100</v>
      </c>
      <c r="B257">
        <v>10</v>
      </c>
      <c r="C257">
        <v>10</v>
      </c>
      <c r="D257">
        <v>100</v>
      </c>
      <c r="E257">
        <v>10</v>
      </c>
      <c r="F257">
        <v>100</v>
      </c>
      <c r="G257">
        <v>100</v>
      </c>
      <c r="H257">
        <v>100</v>
      </c>
      <c r="I257">
        <v>10</v>
      </c>
      <c r="J257">
        <v>100</v>
      </c>
      <c r="K257">
        <v>1011</v>
      </c>
      <c r="L257">
        <v>1128</v>
      </c>
      <c r="M257">
        <v>1005</v>
      </c>
      <c r="N257">
        <v>1041</v>
      </c>
      <c r="O257">
        <v>887</v>
      </c>
      <c r="P257">
        <v>916</v>
      </c>
      <c r="Q257">
        <v>1005</v>
      </c>
      <c r="R257">
        <v>1054</v>
      </c>
      <c r="S257">
        <v>932</v>
      </c>
      <c r="T257">
        <v>1021</v>
      </c>
      <c r="U257">
        <v>980</v>
      </c>
      <c r="V257">
        <v>1135</v>
      </c>
      <c r="W257">
        <v>1032</v>
      </c>
      <c r="X257">
        <v>1010</v>
      </c>
      <c r="Y257">
        <v>982</v>
      </c>
      <c r="Z257">
        <v>892</v>
      </c>
      <c r="AA257">
        <v>958</v>
      </c>
      <c r="AB257">
        <v>1028</v>
      </c>
      <c r="AC257">
        <v>974</v>
      </c>
      <c r="AD257">
        <v>1009</v>
      </c>
      <c r="AE257">
        <v>974</v>
      </c>
      <c r="AF257">
        <v>0</v>
      </c>
      <c r="AG257">
        <v>0</v>
      </c>
      <c r="AH257">
        <v>1</v>
      </c>
      <c r="AI257">
        <v>0</v>
      </c>
      <c r="AJ257">
        <v>0</v>
      </c>
      <c r="AK257">
        <v>4</v>
      </c>
      <c r="AL257">
        <v>1</v>
      </c>
      <c r="AM257">
        <v>0</v>
      </c>
      <c r="AN257">
        <v>0</v>
      </c>
      <c r="AO257">
        <v>0</v>
      </c>
      <c r="AP257">
        <v>1118</v>
      </c>
      <c r="AQ257">
        <v>1</v>
      </c>
      <c r="AR257">
        <v>4</v>
      </c>
      <c r="AS257">
        <v>0</v>
      </c>
      <c r="AT257">
        <v>2</v>
      </c>
      <c r="AU257">
        <v>7</v>
      </c>
      <c r="AV257">
        <v>3</v>
      </c>
      <c r="AW257">
        <v>0</v>
      </c>
      <c r="AX257">
        <v>0</v>
      </c>
      <c r="AY257">
        <v>10</v>
      </c>
      <c r="AZ257">
        <v>4</v>
      </c>
      <c r="BA257">
        <v>975</v>
      </c>
      <c r="BB257">
        <v>21</v>
      </c>
      <c r="BC257">
        <v>0</v>
      </c>
      <c r="BD257">
        <v>0</v>
      </c>
      <c r="BE257">
        <v>3</v>
      </c>
      <c r="BF257">
        <v>13</v>
      </c>
      <c r="BG257">
        <v>5</v>
      </c>
      <c r="BH257">
        <v>1</v>
      </c>
      <c r="BI257">
        <v>0</v>
      </c>
      <c r="BJ257">
        <v>0</v>
      </c>
      <c r="BK257">
        <v>1</v>
      </c>
      <c r="BL257">
        <v>1000</v>
      </c>
      <c r="BM257">
        <v>0</v>
      </c>
      <c r="BN257">
        <v>8</v>
      </c>
      <c r="BO257">
        <v>0</v>
      </c>
      <c r="BP257">
        <v>1</v>
      </c>
      <c r="BQ257">
        <v>0</v>
      </c>
      <c r="BR257">
        <v>0</v>
      </c>
      <c r="BS257">
        <v>5</v>
      </c>
      <c r="BT257">
        <v>2</v>
      </c>
      <c r="BU257">
        <v>16</v>
      </c>
      <c r="BV257">
        <v>0</v>
      </c>
      <c r="BW257">
        <v>885</v>
      </c>
      <c r="BX257">
        <v>2</v>
      </c>
      <c r="BY257">
        <v>27</v>
      </c>
      <c r="BZ257">
        <v>8</v>
      </c>
      <c r="CA257">
        <v>4</v>
      </c>
      <c r="CB257">
        <v>33</v>
      </c>
      <c r="CC257">
        <v>2</v>
      </c>
      <c r="CD257">
        <v>0</v>
      </c>
      <c r="CE257">
        <v>0</v>
      </c>
      <c r="CF257">
        <v>4</v>
      </c>
      <c r="CG257">
        <v>0</v>
      </c>
      <c r="CH257">
        <v>881</v>
      </c>
      <c r="CI257">
        <v>4</v>
      </c>
      <c r="CJ257">
        <v>1</v>
      </c>
      <c r="CK257">
        <v>0</v>
      </c>
      <c r="CL257">
        <v>0</v>
      </c>
      <c r="CM257">
        <v>6</v>
      </c>
      <c r="CN257">
        <v>1</v>
      </c>
      <c r="CO257">
        <v>1</v>
      </c>
      <c r="CP257">
        <v>1</v>
      </c>
      <c r="CQ257">
        <v>1</v>
      </c>
      <c r="CR257">
        <v>2</v>
      </c>
      <c r="CS257">
        <v>946</v>
      </c>
      <c r="CT257">
        <v>0</v>
      </c>
      <c r="CU257">
        <v>0</v>
      </c>
      <c r="CV257">
        <v>0</v>
      </c>
      <c r="CW257">
        <v>0</v>
      </c>
      <c r="CX257">
        <v>1</v>
      </c>
      <c r="CY257">
        <v>5</v>
      </c>
      <c r="CZ257">
        <v>1</v>
      </c>
      <c r="DA257">
        <v>0</v>
      </c>
      <c r="DB257">
        <v>1</v>
      </c>
      <c r="DC257">
        <v>0</v>
      </c>
      <c r="DD257">
        <v>1018</v>
      </c>
      <c r="DE257">
        <v>0</v>
      </c>
      <c r="DF257">
        <v>2</v>
      </c>
      <c r="DG257">
        <v>13</v>
      </c>
      <c r="DH257">
        <v>1</v>
      </c>
      <c r="DI257">
        <v>6</v>
      </c>
      <c r="DJ257">
        <v>4</v>
      </c>
      <c r="DK257">
        <v>1</v>
      </c>
      <c r="DL257">
        <v>10</v>
      </c>
      <c r="DM257">
        <v>13</v>
      </c>
      <c r="DN257">
        <v>4</v>
      </c>
      <c r="DO257">
        <v>920</v>
      </c>
      <c r="DP257">
        <v>2</v>
      </c>
      <c r="DQ257">
        <v>1</v>
      </c>
      <c r="DR257">
        <v>1</v>
      </c>
      <c r="DS257">
        <v>0</v>
      </c>
      <c r="DT257">
        <v>5</v>
      </c>
      <c r="DU257">
        <v>0</v>
      </c>
      <c r="DV257">
        <v>10</v>
      </c>
      <c r="DW257">
        <v>1</v>
      </c>
      <c r="DX257">
        <v>5</v>
      </c>
      <c r="DY257">
        <v>3</v>
      </c>
      <c r="DZ257">
        <v>983</v>
      </c>
      <c r="EA257">
        <v>0.97</v>
      </c>
      <c r="EB257">
        <v>0.97018809570790798</v>
      </c>
      <c r="EC257">
        <v>0.96991928984282005</v>
      </c>
      <c r="ED257">
        <v>0.96960661260388203</v>
      </c>
      <c r="EE257">
        <f>SUM(Table1[[#This Row],[ratio_0]:[ratio_9]])</f>
        <v>640</v>
      </c>
      <c r="EF257" s="1">
        <f>(Table1[[#This Row],[predicted_0]]-Table1[[#This Row],[actual_0]])/Table1[[#This Row],[actual_0]]</f>
        <v>3.1632653061224487E-2</v>
      </c>
      <c r="EG257" s="1">
        <f>(Table1[[#This Row],[predicted_1]]-Table1[[#This Row],[actual_1]])/Table1[[#This Row],[actual_1]]</f>
        <v>-6.1674008810572688E-3</v>
      </c>
      <c r="EH257" s="1">
        <f>(Table1[[#This Row],[predicted_2]]-Table1[[#This Row],[actual_2]])/Table1[[#This Row],[actual_2]]</f>
        <v>-2.616279069767442E-2</v>
      </c>
      <c r="EI257" s="1">
        <f>(Table1[[#This Row],[predicted_3]]-Table1[[#This Row],[actual_3]])/Table1[[#This Row],[actual_3]]</f>
        <v>3.0693069306930693E-2</v>
      </c>
      <c r="EJ257" s="1">
        <f>(Table1[[#This Row],[predicted_4]]-Table1[[#This Row],[actual_4]])/Table1[[#This Row],[actual_4]]</f>
        <v>-9.6741344195519344E-2</v>
      </c>
      <c r="EK257" s="1">
        <f>(Table1[[#This Row],[predicted_5]]-Table1[[#This Row],[actual_5]])/Table1[[#This Row],[actual_5]]</f>
        <v>2.6905829596412557E-2</v>
      </c>
      <c r="EL257" s="1">
        <f>(Table1[[#This Row],[predicted_6]]-Table1[[#This Row],[actual_6]])/Table1[[#This Row],[actual_6]]</f>
        <v>4.9060542797494784E-2</v>
      </c>
      <c r="EM257" s="1">
        <f>(Table1[[#This Row],[predicted_7]]-Table1[[#This Row],[actual_7]])/Table1[[#This Row],[actual_7]]</f>
        <v>2.5291828793774319E-2</v>
      </c>
      <c r="EN257" s="1">
        <f>(Table1[[#This Row],[predicted_8]]-Table1[[#This Row],[actual_8]])/Table1[[#This Row],[actual_8]]</f>
        <v>-4.3121149897330596E-2</v>
      </c>
      <c r="EO257" s="1">
        <f>(Table1[[#This Row],[predicted_9]]-Table1[[#This Row],[actual_9]])/Table1[[#This Row],[actual_9]]</f>
        <v>1.1892963330029732E-2</v>
      </c>
      <c r="EP257" s="1">
        <f>1+(Table1[[#This Row],[error_ratio_0]]-EF$2)</f>
        <v>1.0295918367346939</v>
      </c>
      <c r="EQ257" s="1">
        <f>1+(Table1[[#This Row],[error_ratio_1]]-EG$2)</f>
        <v>0.99207048458149782</v>
      </c>
      <c r="ER257" s="1">
        <f>1+(Table1[[#This Row],[error_ratio_2]]-EH$2)</f>
        <v>0.97868217054263562</v>
      </c>
      <c r="ES257" s="1">
        <f>1+(Table1[[#This Row],[error_ratio_3]]-EI$2)</f>
        <v>1.0207920792079208</v>
      </c>
      <c r="ET257" s="1">
        <f>1+(Table1[[#This Row],[error_ratio_4]]-EJ$2)</f>
        <v>0.90224032586558045</v>
      </c>
      <c r="EU257" s="1">
        <f>1+(Table1[[#This Row],[error_ratio_5]]-EK$2)</f>
        <v>1.0257847533632287</v>
      </c>
      <c r="EV257" s="1">
        <f>1+(Table1[[#This Row],[error_ratio_6]]-EL$2)</f>
        <v>1.0553235908141962</v>
      </c>
      <c r="EW257" s="1">
        <f>1+(Table1[[#This Row],[error_ratio_7]]-EM$2)</f>
        <v>1.0233463035019454</v>
      </c>
      <c r="EX257" s="1">
        <f>1+(Table1[[#This Row],[error_ratio_8]]-EN$2)</f>
        <v>0.95995893223819306</v>
      </c>
      <c r="EY257" s="1">
        <f>1+(Table1[[#This Row],[error_ratio_9]]-EO$2)</f>
        <v>1.0158572844400395</v>
      </c>
    </row>
    <row r="258" spans="1:155" x14ac:dyDescent="0.75">
      <c r="A258">
        <v>10</v>
      </c>
      <c r="B258">
        <v>10</v>
      </c>
      <c r="C258">
        <v>10</v>
      </c>
      <c r="D258">
        <v>100</v>
      </c>
      <c r="E258">
        <v>10</v>
      </c>
      <c r="F258">
        <v>100</v>
      </c>
      <c r="G258">
        <v>100</v>
      </c>
      <c r="H258">
        <v>100</v>
      </c>
      <c r="I258">
        <v>10</v>
      </c>
      <c r="J258">
        <v>100</v>
      </c>
      <c r="K258">
        <v>836</v>
      </c>
      <c r="L258">
        <v>1045</v>
      </c>
      <c r="M258">
        <v>871</v>
      </c>
      <c r="N258">
        <v>1228</v>
      </c>
      <c r="O258">
        <v>727</v>
      </c>
      <c r="P258">
        <v>941</v>
      </c>
      <c r="Q258">
        <v>1109</v>
      </c>
      <c r="R258">
        <v>1109</v>
      </c>
      <c r="S258">
        <v>1032</v>
      </c>
      <c r="T258">
        <v>1102</v>
      </c>
      <c r="U258">
        <v>980</v>
      </c>
      <c r="V258">
        <v>1135</v>
      </c>
      <c r="W258">
        <v>1032</v>
      </c>
      <c r="X258">
        <v>1010</v>
      </c>
      <c r="Y258">
        <v>982</v>
      </c>
      <c r="Z258">
        <v>892</v>
      </c>
      <c r="AA258">
        <v>958</v>
      </c>
      <c r="AB258">
        <v>1028</v>
      </c>
      <c r="AC258">
        <v>974</v>
      </c>
      <c r="AD258">
        <v>1009</v>
      </c>
      <c r="AE258">
        <v>827</v>
      </c>
      <c r="AF258">
        <v>0</v>
      </c>
      <c r="AG258">
        <v>1</v>
      </c>
      <c r="AH258">
        <v>1</v>
      </c>
      <c r="AI258">
        <v>0</v>
      </c>
      <c r="AJ258">
        <v>17</v>
      </c>
      <c r="AK258">
        <v>117</v>
      </c>
      <c r="AL258">
        <v>2</v>
      </c>
      <c r="AM258">
        <v>3</v>
      </c>
      <c r="AN258">
        <v>12</v>
      </c>
      <c r="AO258">
        <v>0</v>
      </c>
      <c r="AP258">
        <v>1043</v>
      </c>
      <c r="AQ258">
        <v>5</v>
      </c>
      <c r="AR258">
        <v>13</v>
      </c>
      <c r="AS258">
        <v>0</v>
      </c>
      <c r="AT258">
        <v>4</v>
      </c>
      <c r="AU258">
        <v>2</v>
      </c>
      <c r="AV258">
        <v>10</v>
      </c>
      <c r="AW258">
        <v>58</v>
      </c>
      <c r="AX258">
        <v>0</v>
      </c>
      <c r="AY258">
        <v>1</v>
      </c>
      <c r="AZ258">
        <v>1</v>
      </c>
      <c r="BA258">
        <v>804</v>
      </c>
      <c r="BB258">
        <v>169</v>
      </c>
      <c r="BC258">
        <v>1</v>
      </c>
      <c r="BD258">
        <v>3</v>
      </c>
      <c r="BE258">
        <v>4</v>
      </c>
      <c r="BF258">
        <v>38</v>
      </c>
      <c r="BG258">
        <v>11</v>
      </c>
      <c r="BH258">
        <v>0</v>
      </c>
      <c r="BI258">
        <v>0</v>
      </c>
      <c r="BJ258">
        <v>0</v>
      </c>
      <c r="BK258">
        <v>1</v>
      </c>
      <c r="BL258">
        <v>1001</v>
      </c>
      <c r="BM258">
        <v>0</v>
      </c>
      <c r="BN258">
        <v>5</v>
      </c>
      <c r="BO258">
        <v>0</v>
      </c>
      <c r="BP258">
        <v>3</v>
      </c>
      <c r="BQ258">
        <v>0</v>
      </c>
      <c r="BR258">
        <v>0</v>
      </c>
      <c r="BS258">
        <v>7</v>
      </c>
      <c r="BT258">
        <v>0</v>
      </c>
      <c r="BU258">
        <v>54</v>
      </c>
      <c r="BV258">
        <v>6</v>
      </c>
      <c r="BW258">
        <v>724</v>
      </c>
      <c r="BX258">
        <v>2</v>
      </c>
      <c r="BY258">
        <v>30</v>
      </c>
      <c r="BZ258">
        <v>20</v>
      </c>
      <c r="CA258">
        <v>29</v>
      </c>
      <c r="CB258">
        <v>110</v>
      </c>
      <c r="CC258">
        <v>0</v>
      </c>
      <c r="CD258">
        <v>0</v>
      </c>
      <c r="CE258">
        <v>0</v>
      </c>
      <c r="CF258">
        <v>6</v>
      </c>
      <c r="CG258">
        <v>0</v>
      </c>
      <c r="CH258">
        <v>882</v>
      </c>
      <c r="CI258">
        <v>3</v>
      </c>
      <c r="CJ258">
        <v>0</v>
      </c>
      <c r="CK258">
        <v>0</v>
      </c>
      <c r="CL258">
        <v>1</v>
      </c>
      <c r="CM258">
        <v>1</v>
      </c>
      <c r="CN258">
        <v>1</v>
      </c>
      <c r="CO258">
        <v>1</v>
      </c>
      <c r="CP258">
        <v>1</v>
      </c>
      <c r="CQ258">
        <v>0</v>
      </c>
      <c r="CR258">
        <v>6</v>
      </c>
      <c r="CS258">
        <v>947</v>
      </c>
      <c r="CT258">
        <v>0</v>
      </c>
      <c r="CU258">
        <v>0</v>
      </c>
      <c r="CV258">
        <v>1</v>
      </c>
      <c r="CW258">
        <v>0</v>
      </c>
      <c r="CX258">
        <v>0</v>
      </c>
      <c r="CY258">
        <v>2</v>
      </c>
      <c r="CZ258">
        <v>3</v>
      </c>
      <c r="DA258">
        <v>0</v>
      </c>
      <c r="DB258">
        <v>0</v>
      </c>
      <c r="DC258">
        <v>0</v>
      </c>
      <c r="DD258">
        <v>1021</v>
      </c>
      <c r="DE258">
        <v>1</v>
      </c>
      <c r="DF258">
        <v>1</v>
      </c>
      <c r="DG258">
        <v>0</v>
      </c>
      <c r="DH258">
        <v>0</v>
      </c>
      <c r="DI258">
        <v>3</v>
      </c>
      <c r="DJ258">
        <v>22</v>
      </c>
      <c r="DK258">
        <v>0</v>
      </c>
      <c r="DL258">
        <v>10</v>
      </c>
      <c r="DM258">
        <v>4</v>
      </c>
      <c r="DN258">
        <v>8</v>
      </c>
      <c r="DO258">
        <v>926</v>
      </c>
      <c r="DP258">
        <v>1</v>
      </c>
      <c r="DQ258">
        <v>0</v>
      </c>
      <c r="DR258">
        <v>0</v>
      </c>
      <c r="DS258">
        <v>0</v>
      </c>
      <c r="DT258">
        <v>6</v>
      </c>
      <c r="DU258">
        <v>2</v>
      </c>
      <c r="DV258">
        <v>12</v>
      </c>
      <c r="DW258">
        <v>2</v>
      </c>
      <c r="DX258">
        <v>7</v>
      </c>
      <c r="DY258">
        <v>4</v>
      </c>
      <c r="DZ258">
        <v>976</v>
      </c>
      <c r="EA258">
        <v>0.91510000000000002</v>
      </c>
      <c r="EB258">
        <v>0.92162392133294802</v>
      </c>
      <c r="EC258">
        <v>0.91587607155379502</v>
      </c>
      <c r="ED258">
        <v>0.91365994345369295</v>
      </c>
      <c r="EE258">
        <f>SUM(Table1[[#This Row],[ratio_0]:[ratio_9]])</f>
        <v>550</v>
      </c>
      <c r="EF258" s="1">
        <f>(Table1[[#This Row],[predicted_0]]-Table1[[#This Row],[actual_0]])/Table1[[#This Row],[actual_0]]</f>
        <v>-0.14693877551020409</v>
      </c>
      <c r="EG258" s="1">
        <f>(Table1[[#This Row],[predicted_1]]-Table1[[#This Row],[actual_1]])/Table1[[#This Row],[actual_1]]</f>
        <v>-7.9295154185022032E-2</v>
      </c>
      <c r="EH258" s="1">
        <f>(Table1[[#This Row],[predicted_2]]-Table1[[#This Row],[actual_2]])/Table1[[#This Row],[actual_2]]</f>
        <v>-0.1560077519379845</v>
      </c>
      <c r="EI258" s="1">
        <f>(Table1[[#This Row],[predicted_3]]-Table1[[#This Row],[actual_3]])/Table1[[#This Row],[actual_3]]</f>
        <v>0.21584158415841584</v>
      </c>
      <c r="EJ258" s="1">
        <f>(Table1[[#This Row],[predicted_4]]-Table1[[#This Row],[actual_4]])/Table1[[#This Row],[actual_4]]</f>
        <v>-0.25967413441955195</v>
      </c>
      <c r="EK258" s="1">
        <f>(Table1[[#This Row],[predicted_5]]-Table1[[#This Row],[actual_5]])/Table1[[#This Row],[actual_5]]</f>
        <v>5.4932735426008968E-2</v>
      </c>
      <c r="EL258" s="1">
        <f>(Table1[[#This Row],[predicted_6]]-Table1[[#This Row],[actual_6]])/Table1[[#This Row],[actual_6]]</f>
        <v>0.15762004175365343</v>
      </c>
      <c r="EM258" s="1">
        <f>(Table1[[#This Row],[predicted_7]]-Table1[[#This Row],[actual_7]])/Table1[[#This Row],[actual_7]]</f>
        <v>7.8793774319066145E-2</v>
      </c>
      <c r="EN258" s="1">
        <f>(Table1[[#This Row],[predicted_8]]-Table1[[#This Row],[actual_8]])/Table1[[#This Row],[actual_8]]</f>
        <v>5.9548254620123205E-2</v>
      </c>
      <c r="EO258" s="1">
        <f>(Table1[[#This Row],[predicted_9]]-Table1[[#This Row],[actual_9]])/Table1[[#This Row],[actual_9]]</f>
        <v>9.2170465807730431E-2</v>
      </c>
      <c r="EP258" s="1">
        <f>1+(Table1[[#This Row],[error_ratio_0]]-EF$2)</f>
        <v>0.8510204081632653</v>
      </c>
      <c r="EQ258" s="1">
        <f>1+(Table1[[#This Row],[error_ratio_1]]-EG$2)</f>
        <v>0.91894273127753301</v>
      </c>
      <c r="ER258" s="1">
        <f>1+(Table1[[#This Row],[error_ratio_2]]-EH$2)</f>
        <v>0.84883720930232553</v>
      </c>
      <c r="ES258" s="1">
        <f>1+(Table1[[#This Row],[error_ratio_3]]-EI$2)</f>
        <v>1.2059405940594059</v>
      </c>
      <c r="ET258" s="1">
        <f>1+(Table1[[#This Row],[error_ratio_4]]-EJ$2)</f>
        <v>0.73930753564154783</v>
      </c>
      <c r="EU258" s="1">
        <f>1+(Table1[[#This Row],[error_ratio_5]]-EK$2)</f>
        <v>1.053811659192825</v>
      </c>
      <c r="EV258" s="1">
        <f>1+(Table1[[#This Row],[error_ratio_6]]-EL$2)</f>
        <v>1.1638830897703549</v>
      </c>
      <c r="EW258" s="1">
        <f>1+(Table1[[#This Row],[error_ratio_7]]-EM$2)</f>
        <v>1.0768482490272373</v>
      </c>
      <c r="EX258" s="1">
        <f>1+(Table1[[#This Row],[error_ratio_8]]-EN$2)</f>
        <v>1.0626283367556468</v>
      </c>
      <c r="EY258" s="1">
        <f>1+(Table1[[#This Row],[error_ratio_9]]-EO$2)</f>
        <v>1.0961347869177402</v>
      </c>
    </row>
    <row r="259" spans="1:155" x14ac:dyDescent="0.75">
      <c r="A259">
        <v>10</v>
      </c>
      <c r="B259">
        <v>100</v>
      </c>
      <c r="C259">
        <v>100</v>
      </c>
      <c r="D259">
        <v>10</v>
      </c>
      <c r="E259">
        <v>10</v>
      </c>
      <c r="F259">
        <v>100</v>
      </c>
      <c r="G259">
        <v>100</v>
      </c>
      <c r="H259">
        <v>100</v>
      </c>
      <c r="I259">
        <v>10</v>
      </c>
      <c r="J259">
        <v>100</v>
      </c>
      <c r="K259">
        <v>961</v>
      </c>
      <c r="L259">
        <v>1145</v>
      </c>
      <c r="M259">
        <v>1057</v>
      </c>
      <c r="N259">
        <v>951</v>
      </c>
      <c r="O259">
        <v>914</v>
      </c>
      <c r="P259">
        <v>931</v>
      </c>
      <c r="Q259">
        <v>980</v>
      </c>
      <c r="R259">
        <v>1089</v>
      </c>
      <c r="S259">
        <v>894</v>
      </c>
      <c r="T259">
        <v>1078</v>
      </c>
      <c r="U259">
        <v>980</v>
      </c>
      <c r="V259">
        <v>1135</v>
      </c>
      <c r="W259">
        <v>1032</v>
      </c>
      <c r="X259">
        <v>1010</v>
      </c>
      <c r="Y259">
        <v>982</v>
      </c>
      <c r="Z259">
        <v>892</v>
      </c>
      <c r="AA259">
        <v>958</v>
      </c>
      <c r="AB259">
        <v>1028</v>
      </c>
      <c r="AC259">
        <v>974</v>
      </c>
      <c r="AD259">
        <v>1009</v>
      </c>
      <c r="AE259">
        <v>944</v>
      </c>
      <c r="AF259">
        <v>0</v>
      </c>
      <c r="AG259">
        <v>3</v>
      </c>
      <c r="AH259">
        <v>0</v>
      </c>
      <c r="AI259">
        <v>0</v>
      </c>
      <c r="AJ259">
        <v>5</v>
      </c>
      <c r="AK259">
        <v>7</v>
      </c>
      <c r="AL259">
        <v>7</v>
      </c>
      <c r="AM259">
        <v>1</v>
      </c>
      <c r="AN259">
        <v>13</v>
      </c>
      <c r="AO259">
        <v>0</v>
      </c>
      <c r="AP259">
        <v>1127</v>
      </c>
      <c r="AQ259">
        <v>2</v>
      </c>
      <c r="AR259">
        <v>0</v>
      </c>
      <c r="AS259">
        <v>0</v>
      </c>
      <c r="AT259">
        <v>1</v>
      </c>
      <c r="AU259">
        <v>4</v>
      </c>
      <c r="AV259">
        <v>0</v>
      </c>
      <c r="AW259">
        <v>1</v>
      </c>
      <c r="AX259">
        <v>0</v>
      </c>
      <c r="AY259">
        <v>1</v>
      </c>
      <c r="AZ259">
        <v>0</v>
      </c>
      <c r="BA259">
        <v>1021</v>
      </c>
      <c r="BB259">
        <v>0</v>
      </c>
      <c r="BC259">
        <v>0</v>
      </c>
      <c r="BD259">
        <v>0</v>
      </c>
      <c r="BE259">
        <v>0</v>
      </c>
      <c r="BF259">
        <v>9</v>
      </c>
      <c r="BG259">
        <v>0</v>
      </c>
      <c r="BH259">
        <v>1</v>
      </c>
      <c r="BI259">
        <v>0</v>
      </c>
      <c r="BJ259">
        <v>0</v>
      </c>
      <c r="BK259">
        <v>9</v>
      </c>
      <c r="BL259">
        <v>947</v>
      </c>
      <c r="BM259">
        <v>0</v>
      </c>
      <c r="BN259">
        <v>24</v>
      </c>
      <c r="BO259">
        <v>0</v>
      </c>
      <c r="BP259">
        <v>19</v>
      </c>
      <c r="BQ259">
        <v>5</v>
      </c>
      <c r="BR259">
        <v>6</v>
      </c>
      <c r="BS259">
        <v>4</v>
      </c>
      <c r="BT259">
        <v>6</v>
      </c>
      <c r="BU259">
        <v>6</v>
      </c>
      <c r="BV259">
        <v>0</v>
      </c>
      <c r="BW259">
        <v>904</v>
      </c>
      <c r="BX259">
        <v>0</v>
      </c>
      <c r="BY259">
        <v>9</v>
      </c>
      <c r="BZ259">
        <v>6</v>
      </c>
      <c r="CA259">
        <v>0</v>
      </c>
      <c r="CB259">
        <v>47</v>
      </c>
      <c r="CC259">
        <v>0</v>
      </c>
      <c r="CD259">
        <v>0</v>
      </c>
      <c r="CE259">
        <v>1</v>
      </c>
      <c r="CF259">
        <v>1</v>
      </c>
      <c r="CG259">
        <v>0</v>
      </c>
      <c r="CH259">
        <v>887</v>
      </c>
      <c r="CI259">
        <v>1</v>
      </c>
      <c r="CJ259">
        <v>2</v>
      </c>
      <c r="CK259">
        <v>0</v>
      </c>
      <c r="CL259">
        <v>0</v>
      </c>
      <c r="CM259">
        <v>1</v>
      </c>
      <c r="CN259">
        <v>2</v>
      </c>
      <c r="CO259">
        <v>0</v>
      </c>
      <c r="CP259">
        <v>0</v>
      </c>
      <c r="CQ259">
        <v>4</v>
      </c>
      <c r="CR259">
        <v>5</v>
      </c>
      <c r="CS259">
        <v>946</v>
      </c>
      <c r="CT259">
        <v>0</v>
      </c>
      <c r="CU259">
        <v>0</v>
      </c>
      <c r="CV259">
        <v>0</v>
      </c>
      <c r="CW259">
        <v>0</v>
      </c>
      <c r="CX259">
        <v>4</v>
      </c>
      <c r="CY259">
        <v>3</v>
      </c>
      <c r="CZ259">
        <v>0</v>
      </c>
      <c r="DA259">
        <v>0</v>
      </c>
      <c r="DB259">
        <v>0</v>
      </c>
      <c r="DC259">
        <v>0</v>
      </c>
      <c r="DD259">
        <v>1020</v>
      </c>
      <c r="DE259">
        <v>0</v>
      </c>
      <c r="DF259">
        <v>1</v>
      </c>
      <c r="DG259">
        <v>11</v>
      </c>
      <c r="DH259">
        <v>3</v>
      </c>
      <c r="DI259">
        <v>11</v>
      </c>
      <c r="DJ259">
        <v>2</v>
      </c>
      <c r="DK259">
        <v>4</v>
      </c>
      <c r="DL259">
        <v>7</v>
      </c>
      <c r="DM259">
        <v>12</v>
      </c>
      <c r="DN259">
        <v>17</v>
      </c>
      <c r="DO259">
        <v>887</v>
      </c>
      <c r="DP259">
        <v>20</v>
      </c>
      <c r="DQ259">
        <v>0</v>
      </c>
      <c r="DR259">
        <v>3</v>
      </c>
      <c r="DS259">
        <v>1</v>
      </c>
      <c r="DT259">
        <v>1</v>
      </c>
      <c r="DU259">
        <v>2</v>
      </c>
      <c r="DV259">
        <v>2</v>
      </c>
      <c r="DW259">
        <v>1</v>
      </c>
      <c r="DX259">
        <v>9</v>
      </c>
      <c r="DY259">
        <v>0</v>
      </c>
      <c r="DZ259">
        <v>990</v>
      </c>
      <c r="EA259">
        <v>0.96730000000000005</v>
      </c>
      <c r="EB259">
        <v>0.96826054957286301</v>
      </c>
      <c r="EC259">
        <v>0.96696854748166405</v>
      </c>
      <c r="ED259">
        <v>0.96696346609545802</v>
      </c>
      <c r="EE259">
        <f>SUM(Table1[[#This Row],[ratio_0]:[ratio_9]])</f>
        <v>640</v>
      </c>
      <c r="EF259" s="1">
        <f>(Table1[[#This Row],[predicted_0]]-Table1[[#This Row],[actual_0]])/Table1[[#This Row],[actual_0]]</f>
        <v>-1.9387755102040816E-2</v>
      </c>
      <c r="EG259" s="1">
        <f>(Table1[[#This Row],[predicted_1]]-Table1[[#This Row],[actual_1]])/Table1[[#This Row],[actual_1]]</f>
        <v>8.8105726872246704E-3</v>
      </c>
      <c r="EH259" s="1">
        <f>(Table1[[#This Row],[predicted_2]]-Table1[[#This Row],[actual_2]])/Table1[[#This Row],[actual_2]]</f>
        <v>2.4224806201550389E-2</v>
      </c>
      <c r="EI259" s="1">
        <f>(Table1[[#This Row],[predicted_3]]-Table1[[#This Row],[actual_3]])/Table1[[#This Row],[actual_3]]</f>
        <v>-5.8415841584158419E-2</v>
      </c>
      <c r="EJ259" s="1">
        <f>(Table1[[#This Row],[predicted_4]]-Table1[[#This Row],[actual_4]])/Table1[[#This Row],[actual_4]]</f>
        <v>-6.9246435845213852E-2</v>
      </c>
      <c r="EK259" s="1">
        <f>(Table1[[#This Row],[predicted_5]]-Table1[[#This Row],[actual_5]])/Table1[[#This Row],[actual_5]]</f>
        <v>4.3721973094170405E-2</v>
      </c>
      <c r="EL259" s="1">
        <f>(Table1[[#This Row],[predicted_6]]-Table1[[#This Row],[actual_6]])/Table1[[#This Row],[actual_6]]</f>
        <v>2.2964509394572025E-2</v>
      </c>
      <c r="EM259" s="1">
        <f>(Table1[[#This Row],[predicted_7]]-Table1[[#This Row],[actual_7]])/Table1[[#This Row],[actual_7]]</f>
        <v>5.9338521400778207E-2</v>
      </c>
      <c r="EN259" s="1">
        <f>(Table1[[#This Row],[predicted_8]]-Table1[[#This Row],[actual_8]])/Table1[[#This Row],[actual_8]]</f>
        <v>-8.2135523613963035E-2</v>
      </c>
      <c r="EO259" s="1">
        <f>(Table1[[#This Row],[predicted_9]]-Table1[[#This Row],[actual_9]])/Table1[[#This Row],[actual_9]]</f>
        <v>6.8384539147670967E-2</v>
      </c>
      <c r="EP259" s="1">
        <f>1+(Table1[[#This Row],[error_ratio_0]]-EF$2)</f>
        <v>0.97857142857142854</v>
      </c>
      <c r="EQ259" s="1">
        <f>1+(Table1[[#This Row],[error_ratio_1]]-EG$2)</f>
        <v>1.0070484581497798</v>
      </c>
      <c r="ER259" s="1">
        <f>1+(Table1[[#This Row],[error_ratio_2]]-EH$2)</f>
        <v>1.0290697674418605</v>
      </c>
      <c r="ES259" s="1">
        <f>1+(Table1[[#This Row],[error_ratio_3]]-EI$2)</f>
        <v>0.93168316831683162</v>
      </c>
      <c r="ET259" s="1">
        <f>1+(Table1[[#This Row],[error_ratio_4]]-EJ$2)</f>
        <v>0.929735234215886</v>
      </c>
      <c r="EU259" s="1">
        <f>1+(Table1[[#This Row],[error_ratio_5]]-EK$2)</f>
        <v>1.0426008968609866</v>
      </c>
      <c r="EV259" s="1">
        <f>1+(Table1[[#This Row],[error_ratio_6]]-EL$2)</f>
        <v>1.0292275574112735</v>
      </c>
      <c r="EW259" s="1">
        <f>1+(Table1[[#This Row],[error_ratio_7]]-EM$2)</f>
        <v>1.0573929961089494</v>
      </c>
      <c r="EX259" s="1">
        <f>1+(Table1[[#This Row],[error_ratio_8]]-EN$2)</f>
        <v>0.92094455852156054</v>
      </c>
      <c r="EY259" s="1">
        <f>1+(Table1[[#This Row],[error_ratio_9]]-EO$2)</f>
        <v>1.0723488602576809</v>
      </c>
    </row>
    <row r="260" spans="1:155" x14ac:dyDescent="0.75">
      <c r="A260">
        <v>100</v>
      </c>
      <c r="B260">
        <v>10</v>
      </c>
      <c r="C260">
        <v>100</v>
      </c>
      <c r="D260">
        <v>10</v>
      </c>
      <c r="E260">
        <v>10</v>
      </c>
      <c r="F260">
        <v>100</v>
      </c>
      <c r="G260">
        <v>100</v>
      </c>
      <c r="H260">
        <v>100</v>
      </c>
      <c r="I260">
        <v>10</v>
      </c>
      <c r="J260">
        <v>100</v>
      </c>
      <c r="K260">
        <v>983</v>
      </c>
      <c r="L260">
        <v>1099</v>
      </c>
      <c r="M260">
        <v>1051</v>
      </c>
      <c r="N260">
        <v>948</v>
      </c>
      <c r="O260">
        <v>911</v>
      </c>
      <c r="P260">
        <v>927</v>
      </c>
      <c r="Q260">
        <v>972</v>
      </c>
      <c r="R260">
        <v>1057</v>
      </c>
      <c r="S260">
        <v>968</v>
      </c>
      <c r="T260">
        <v>1084</v>
      </c>
      <c r="U260">
        <v>980</v>
      </c>
      <c r="V260">
        <v>1135</v>
      </c>
      <c r="W260">
        <v>1032</v>
      </c>
      <c r="X260">
        <v>1010</v>
      </c>
      <c r="Y260">
        <v>982</v>
      </c>
      <c r="Z260">
        <v>892</v>
      </c>
      <c r="AA260">
        <v>958</v>
      </c>
      <c r="AB260">
        <v>1028</v>
      </c>
      <c r="AC260">
        <v>974</v>
      </c>
      <c r="AD260">
        <v>1009</v>
      </c>
      <c r="AE260">
        <v>974</v>
      </c>
      <c r="AF260">
        <v>0</v>
      </c>
      <c r="AG260">
        <v>1</v>
      </c>
      <c r="AH260">
        <v>0</v>
      </c>
      <c r="AI260">
        <v>0</v>
      </c>
      <c r="AJ260">
        <v>0</v>
      </c>
      <c r="AK260">
        <v>1</v>
      </c>
      <c r="AL260">
        <v>1</v>
      </c>
      <c r="AM260">
        <v>3</v>
      </c>
      <c r="AN260">
        <v>0</v>
      </c>
      <c r="AO260">
        <v>0</v>
      </c>
      <c r="AP260">
        <v>1098</v>
      </c>
      <c r="AQ260">
        <v>6</v>
      </c>
      <c r="AR260">
        <v>1</v>
      </c>
      <c r="AS260">
        <v>0</v>
      </c>
      <c r="AT260">
        <v>1</v>
      </c>
      <c r="AU260">
        <v>6</v>
      </c>
      <c r="AV260">
        <v>16</v>
      </c>
      <c r="AW260">
        <v>7</v>
      </c>
      <c r="AX260">
        <v>0</v>
      </c>
      <c r="AY260">
        <v>1</v>
      </c>
      <c r="AZ260">
        <v>0</v>
      </c>
      <c r="BA260">
        <v>1024</v>
      </c>
      <c r="BB260">
        <v>0</v>
      </c>
      <c r="BC260">
        <v>0</v>
      </c>
      <c r="BD260">
        <v>0</v>
      </c>
      <c r="BE260">
        <v>0</v>
      </c>
      <c r="BF260">
        <v>6</v>
      </c>
      <c r="BG260">
        <v>1</v>
      </c>
      <c r="BH260">
        <v>0</v>
      </c>
      <c r="BI260">
        <v>0</v>
      </c>
      <c r="BJ260">
        <v>0</v>
      </c>
      <c r="BK260">
        <v>5</v>
      </c>
      <c r="BL260">
        <v>945</v>
      </c>
      <c r="BM260">
        <v>0</v>
      </c>
      <c r="BN260">
        <v>36</v>
      </c>
      <c r="BO260">
        <v>0</v>
      </c>
      <c r="BP260">
        <v>9</v>
      </c>
      <c r="BQ260">
        <v>9</v>
      </c>
      <c r="BR260">
        <v>6</v>
      </c>
      <c r="BS260">
        <v>0</v>
      </c>
      <c r="BT260">
        <v>1</v>
      </c>
      <c r="BU260">
        <v>2</v>
      </c>
      <c r="BV260">
        <v>0</v>
      </c>
      <c r="BW260">
        <v>905</v>
      </c>
      <c r="BX260">
        <v>0</v>
      </c>
      <c r="BY260">
        <v>8</v>
      </c>
      <c r="BZ260">
        <v>4</v>
      </c>
      <c r="CA260">
        <v>1</v>
      </c>
      <c r="CB260">
        <v>61</v>
      </c>
      <c r="CC260">
        <v>0</v>
      </c>
      <c r="CD260">
        <v>0</v>
      </c>
      <c r="CE260">
        <v>0</v>
      </c>
      <c r="CF260">
        <v>2</v>
      </c>
      <c r="CG260">
        <v>0</v>
      </c>
      <c r="CH260">
        <v>883</v>
      </c>
      <c r="CI260">
        <v>2</v>
      </c>
      <c r="CJ260">
        <v>0</v>
      </c>
      <c r="CK260">
        <v>4</v>
      </c>
      <c r="CL260">
        <v>1</v>
      </c>
      <c r="CM260">
        <v>3</v>
      </c>
      <c r="CN260">
        <v>0</v>
      </c>
      <c r="CO260">
        <v>0</v>
      </c>
      <c r="CP260">
        <v>0</v>
      </c>
      <c r="CQ260">
        <v>3</v>
      </c>
      <c r="CR260">
        <v>1</v>
      </c>
      <c r="CS260">
        <v>950</v>
      </c>
      <c r="CT260">
        <v>0</v>
      </c>
      <c r="CU260">
        <v>1</v>
      </c>
      <c r="CV260">
        <v>0</v>
      </c>
      <c r="CW260">
        <v>0</v>
      </c>
      <c r="CX260">
        <v>0</v>
      </c>
      <c r="CY260">
        <v>10</v>
      </c>
      <c r="CZ260">
        <v>0</v>
      </c>
      <c r="DA260">
        <v>0</v>
      </c>
      <c r="DB260">
        <v>0</v>
      </c>
      <c r="DC260">
        <v>0</v>
      </c>
      <c r="DD260">
        <v>1014</v>
      </c>
      <c r="DE260">
        <v>1</v>
      </c>
      <c r="DF260">
        <v>3</v>
      </c>
      <c r="DG260">
        <v>4</v>
      </c>
      <c r="DH260">
        <v>0</v>
      </c>
      <c r="DI260">
        <v>3</v>
      </c>
      <c r="DJ260">
        <v>0</v>
      </c>
      <c r="DK260">
        <v>1</v>
      </c>
      <c r="DL260">
        <v>3</v>
      </c>
      <c r="DM260">
        <v>5</v>
      </c>
      <c r="DN260">
        <v>5</v>
      </c>
      <c r="DO260">
        <v>941</v>
      </c>
      <c r="DP260">
        <v>12</v>
      </c>
      <c r="DQ260">
        <v>1</v>
      </c>
      <c r="DR260">
        <v>0</v>
      </c>
      <c r="DS260">
        <v>0</v>
      </c>
      <c r="DT260">
        <v>0</v>
      </c>
      <c r="DU260">
        <v>2</v>
      </c>
      <c r="DV260">
        <v>3</v>
      </c>
      <c r="DW260">
        <v>0</v>
      </c>
      <c r="DX260">
        <v>2</v>
      </c>
      <c r="DY260">
        <v>0</v>
      </c>
      <c r="DZ260">
        <v>1001</v>
      </c>
      <c r="EA260">
        <v>0.97350000000000003</v>
      </c>
      <c r="EB260">
        <v>0.97392532043616897</v>
      </c>
      <c r="EC260">
        <v>0.97368900136131198</v>
      </c>
      <c r="ED260">
        <v>0.973357773164791</v>
      </c>
      <c r="EE260">
        <f>SUM(Table1[[#This Row],[ratio_0]:[ratio_9]])</f>
        <v>640</v>
      </c>
      <c r="EF260" s="1">
        <f>(Table1[[#This Row],[predicted_0]]-Table1[[#This Row],[actual_0]])/Table1[[#This Row],[actual_0]]</f>
        <v>3.0612244897959182E-3</v>
      </c>
      <c r="EG260" s="1">
        <f>(Table1[[#This Row],[predicted_1]]-Table1[[#This Row],[actual_1]])/Table1[[#This Row],[actual_1]]</f>
        <v>-3.1718061674008813E-2</v>
      </c>
      <c r="EH260" s="1">
        <f>(Table1[[#This Row],[predicted_2]]-Table1[[#This Row],[actual_2]])/Table1[[#This Row],[actual_2]]</f>
        <v>1.8410852713178296E-2</v>
      </c>
      <c r="EI260" s="1">
        <f>(Table1[[#This Row],[predicted_3]]-Table1[[#This Row],[actual_3]])/Table1[[#This Row],[actual_3]]</f>
        <v>-6.1386138613861385E-2</v>
      </c>
      <c r="EJ260" s="1">
        <f>(Table1[[#This Row],[predicted_4]]-Table1[[#This Row],[actual_4]])/Table1[[#This Row],[actual_4]]</f>
        <v>-7.2301425661914456E-2</v>
      </c>
      <c r="EK260" s="1">
        <f>(Table1[[#This Row],[predicted_5]]-Table1[[#This Row],[actual_5]])/Table1[[#This Row],[actual_5]]</f>
        <v>3.923766816143498E-2</v>
      </c>
      <c r="EL260" s="1">
        <f>(Table1[[#This Row],[predicted_6]]-Table1[[#This Row],[actual_6]])/Table1[[#This Row],[actual_6]]</f>
        <v>1.4613778705636743E-2</v>
      </c>
      <c r="EM260" s="1">
        <f>(Table1[[#This Row],[predicted_7]]-Table1[[#This Row],[actual_7]])/Table1[[#This Row],[actual_7]]</f>
        <v>2.821011673151751E-2</v>
      </c>
      <c r="EN260" s="1">
        <f>(Table1[[#This Row],[predicted_8]]-Table1[[#This Row],[actual_8]])/Table1[[#This Row],[actual_8]]</f>
        <v>-6.1601642710472282E-3</v>
      </c>
      <c r="EO260" s="1">
        <f>(Table1[[#This Row],[predicted_9]]-Table1[[#This Row],[actual_9]])/Table1[[#This Row],[actual_9]]</f>
        <v>7.4331020812685833E-2</v>
      </c>
      <c r="EP260" s="1">
        <f>1+(Table1[[#This Row],[error_ratio_0]]-EF$2)</f>
        <v>1.0010204081632652</v>
      </c>
      <c r="EQ260" s="1">
        <f>1+(Table1[[#This Row],[error_ratio_1]]-EG$2)</f>
        <v>0.96651982378854628</v>
      </c>
      <c r="ER260" s="1">
        <f>1+(Table1[[#This Row],[error_ratio_2]]-EH$2)</f>
        <v>1.0232558139534884</v>
      </c>
      <c r="ES260" s="1">
        <f>1+(Table1[[#This Row],[error_ratio_3]]-EI$2)</f>
        <v>0.92871287128712876</v>
      </c>
      <c r="ET260" s="1">
        <f>1+(Table1[[#This Row],[error_ratio_4]]-EJ$2)</f>
        <v>0.92668024439918528</v>
      </c>
      <c r="EU260" s="1">
        <f>1+(Table1[[#This Row],[error_ratio_5]]-EK$2)</f>
        <v>1.0381165919282511</v>
      </c>
      <c r="EV260" s="1">
        <f>1+(Table1[[#This Row],[error_ratio_6]]-EL$2)</f>
        <v>1.0208768267223383</v>
      </c>
      <c r="EW260" s="1">
        <f>1+(Table1[[#This Row],[error_ratio_7]]-EM$2)</f>
        <v>1.0262645914396886</v>
      </c>
      <c r="EX260" s="1">
        <f>1+(Table1[[#This Row],[error_ratio_8]]-EN$2)</f>
        <v>0.99691991786447642</v>
      </c>
      <c r="EY260" s="1">
        <f>1+(Table1[[#This Row],[error_ratio_9]]-EO$2)</f>
        <v>1.0782953419226957</v>
      </c>
    </row>
    <row r="261" spans="1:155" x14ac:dyDescent="0.75">
      <c r="A261">
        <v>10</v>
      </c>
      <c r="B261">
        <v>10</v>
      </c>
      <c r="C261">
        <v>100</v>
      </c>
      <c r="D261">
        <v>10</v>
      </c>
      <c r="E261">
        <v>10</v>
      </c>
      <c r="F261">
        <v>100</v>
      </c>
      <c r="G261">
        <v>100</v>
      </c>
      <c r="H261">
        <v>100</v>
      </c>
      <c r="I261">
        <v>10</v>
      </c>
      <c r="J261">
        <v>100</v>
      </c>
      <c r="K261">
        <v>936</v>
      </c>
      <c r="L261">
        <v>1101</v>
      </c>
      <c r="M261">
        <v>1100</v>
      </c>
      <c r="N261">
        <v>988</v>
      </c>
      <c r="O261">
        <v>923</v>
      </c>
      <c r="P261">
        <v>935</v>
      </c>
      <c r="Q261">
        <v>974</v>
      </c>
      <c r="R261">
        <v>1094</v>
      </c>
      <c r="S261">
        <v>880</v>
      </c>
      <c r="T261">
        <v>1069</v>
      </c>
      <c r="U261">
        <v>980</v>
      </c>
      <c r="V261">
        <v>1135</v>
      </c>
      <c r="W261">
        <v>1032</v>
      </c>
      <c r="X261">
        <v>1010</v>
      </c>
      <c r="Y261">
        <v>982</v>
      </c>
      <c r="Z261">
        <v>892</v>
      </c>
      <c r="AA261">
        <v>958</v>
      </c>
      <c r="AB261">
        <v>1028</v>
      </c>
      <c r="AC261">
        <v>974</v>
      </c>
      <c r="AD261">
        <v>1009</v>
      </c>
      <c r="AE261">
        <v>930</v>
      </c>
      <c r="AF261">
        <v>0</v>
      </c>
      <c r="AG261">
        <v>26</v>
      </c>
      <c r="AH261">
        <v>0</v>
      </c>
      <c r="AI261">
        <v>0</v>
      </c>
      <c r="AJ261">
        <v>3</v>
      </c>
      <c r="AK261">
        <v>17</v>
      </c>
      <c r="AL261">
        <v>2</v>
      </c>
      <c r="AM261">
        <v>0</v>
      </c>
      <c r="AN261">
        <v>2</v>
      </c>
      <c r="AO261">
        <v>0</v>
      </c>
      <c r="AP261">
        <v>1098</v>
      </c>
      <c r="AQ261">
        <v>7</v>
      </c>
      <c r="AR261">
        <v>5</v>
      </c>
      <c r="AS261">
        <v>0</v>
      </c>
      <c r="AT261">
        <v>3</v>
      </c>
      <c r="AU261">
        <v>0</v>
      </c>
      <c r="AV261">
        <v>20</v>
      </c>
      <c r="AW261">
        <v>1</v>
      </c>
      <c r="AX261">
        <v>1</v>
      </c>
      <c r="AY261">
        <v>0</v>
      </c>
      <c r="AZ261">
        <v>0</v>
      </c>
      <c r="BA261">
        <v>1018</v>
      </c>
      <c r="BB261">
        <v>1</v>
      </c>
      <c r="BC261">
        <v>0</v>
      </c>
      <c r="BD261">
        <v>0</v>
      </c>
      <c r="BE261">
        <v>0</v>
      </c>
      <c r="BF261">
        <v>13</v>
      </c>
      <c r="BG261">
        <v>0</v>
      </c>
      <c r="BH261">
        <v>0</v>
      </c>
      <c r="BI261">
        <v>0</v>
      </c>
      <c r="BJ261">
        <v>0</v>
      </c>
      <c r="BK261">
        <v>5</v>
      </c>
      <c r="BL261">
        <v>970</v>
      </c>
      <c r="BM261">
        <v>0</v>
      </c>
      <c r="BN261">
        <v>19</v>
      </c>
      <c r="BO261">
        <v>0</v>
      </c>
      <c r="BP261">
        <v>8</v>
      </c>
      <c r="BQ261">
        <v>1</v>
      </c>
      <c r="BR261">
        <v>7</v>
      </c>
      <c r="BS261">
        <v>0</v>
      </c>
      <c r="BT261">
        <v>1</v>
      </c>
      <c r="BU261">
        <v>7</v>
      </c>
      <c r="BV261">
        <v>0</v>
      </c>
      <c r="BW261">
        <v>918</v>
      </c>
      <c r="BX261">
        <v>0</v>
      </c>
      <c r="BY261">
        <v>9</v>
      </c>
      <c r="BZ261">
        <v>13</v>
      </c>
      <c r="CA261">
        <v>0</v>
      </c>
      <c r="CB261">
        <v>34</v>
      </c>
      <c r="CC261">
        <v>0</v>
      </c>
      <c r="CD261">
        <v>0</v>
      </c>
      <c r="CE261">
        <v>0</v>
      </c>
      <c r="CF261">
        <v>3</v>
      </c>
      <c r="CG261">
        <v>0</v>
      </c>
      <c r="CH261">
        <v>887</v>
      </c>
      <c r="CI261">
        <v>1</v>
      </c>
      <c r="CJ261">
        <v>0</v>
      </c>
      <c r="CK261">
        <v>0</v>
      </c>
      <c r="CL261">
        <v>1</v>
      </c>
      <c r="CM261">
        <v>3</v>
      </c>
      <c r="CN261">
        <v>2</v>
      </c>
      <c r="CO261">
        <v>4</v>
      </c>
      <c r="CP261">
        <v>0</v>
      </c>
      <c r="CQ261">
        <v>3</v>
      </c>
      <c r="CR261">
        <v>6</v>
      </c>
      <c r="CS261">
        <v>940</v>
      </c>
      <c r="CT261">
        <v>0</v>
      </c>
      <c r="CU261">
        <v>0</v>
      </c>
      <c r="CV261">
        <v>0</v>
      </c>
      <c r="CW261">
        <v>0</v>
      </c>
      <c r="CX261">
        <v>0</v>
      </c>
      <c r="CY261">
        <v>3</v>
      </c>
      <c r="CZ261">
        <v>0</v>
      </c>
      <c r="DA261">
        <v>0</v>
      </c>
      <c r="DB261">
        <v>1</v>
      </c>
      <c r="DC261">
        <v>0</v>
      </c>
      <c r="DD261">
        <v>1023</v>
      </c>
      <c r="DE261">
        <v>0</v>
      </c>
      <c r="DF261">
        <v>1</v>
      </c>
      <c r="DG261">
        <v>3</v>
      </c>
      <c r="DH261">
        <v>0</v>
      </c>
      <c r="DI261">
        <v>28</v>
      </c>
      <c r="DJ261">
        <v>4</v>
      </c>
      <c r="DK261">
        <v>1</v>
      </c>
      <c r="DL261">
        <v>16</v>
      </c>
      <c r="DM261">
        <v>6</v>
      </c>
      <c r="DN261">
        <v>8</v>
      </c>
      <c r="DO261">
        <v>878</v>
      </c>
      <c r="DP261">
        <v>30</v>
      </c>
      <c r="DQ261">
        <v>0</v>
      </c>
      <c r="DR261">
        <v>0</v>
      </c>
      <c r="DS261">
        <v>2</v>
      </c>
      <c r="DT261">
        <v>5</v>
      </c>
      <c r="DU261">
        <v>1</v>
      </c>
      <c r="DV261">
        <v>0</v>
      </c>
      <c r="DW261">
        <v>1</v>
      </c>
      <c r="DX261">
        <v>7</v>
      </c>
      <c r="DY261">
        <v>0</v>
      </c>
      <c r="DZ261">
        <v>993</v>
      </c>
      <c r="EA261">
        <v>0.96550000000000002</v>
      </c>
      <c r="EB261">
        <v>0.96681725962474896</v>
      </c>
      <c r="EC261">
        <v>0.96543592537130896</v>
      </c>
      <c r="ED261">
        <v>0.96537339998391702</v>
      </c>
      <c r="EE261">
        <f>SUM(Table1[[#This Row],[ratio_0]:[ratio_9]])</f>
        <v>550</v>
      </c>
      <c r="EF261" s="1">
        <f>(Table1[[#This Row],[predicted_0]]-Table1[[#This Row],[actual_0]])/Table1[[#This Row],[actual_0]]</f>
        <v>-4.4897959183673466E-2</v>
      </c>
      <c r="EG261" s="1">
        <f>(Table1[[#This Row],[predicted_1]]-Table1[[#This Row],[actual_1]])/Table1[[#This Row],[actual_1]]</f>
        <v>-2.9955947136563875E-2</v>
      </c>
      <c r="EH261" s="1">
        <f>(Table1[[#This Row],[predicted_2]]-Table1[[#This Row],[actual_2]])/Table1[[#This Row],[actual_2]]</f>
        <v>6.589147286821706E-2</v>
      </c>
      <c r="EI261" s="1">
        <f>(Table1[[#This Row],[predicted_3]]-Table1[[#This Row],[actual_3]])/Table1[[#This Row],[actual_3]]</f>
        <v>-2.1782178217821781E-2</v>
      </c>
      <c r="EJ261" s="1">
        <f>(Table1[[#This Row],[predicted_4]]-Table1[[#This Row],[actual_4]])/Table1[[#This Row],[actual_4]]</f>
        <v>-6.008146639511202E-2</v>
      </c>
      <c r="EK261" s="1">
        <f>(Table1[[#This Row],[predicted_5]]-Table1[[#This Row],[actual_5]])/Table1[[#This Row],[actual_5]]</f>
        <v>4.820627802690583E-2</v>
      </c>
      <c r="EL261" s="1">
        <f>(Table1[[#This Row],[predicted_6]]-Table1[[#This Row],[actual_6]])/Table1[[#This Row],[actual_6]]</f>
        <v>1.6701461377870562E-2</v>
      </c>
      <c r="EM261" s="1">
        <f>(Table1[[#This Row],[predicted_7]]-Table1[[#This Row],[actual_7]])/Table1[[#This Row],[actual_7]]</f>
        <v>6.4202334630350189E-2</v>
      </c>
      <c r="EN261" s="1">
        <f>(Table1[[#This Row],[predicted_8]]-Table1[[#This Row],[actual_8]])/Table1[[#This Row],[actual_8]]</f>
        <v>-9.6509240246406572E-2</v>
      </c>
      <c r="EO261" s="1">
        <f>(Table1[[#This Row],[predicted_9]]-Table1[[#This Row],[actual_9]])/Table1[[#This Row],[actual_9]]</f>
        <v>5.9464816650148661E-2</v>
      </c>
      <c r="EP261" s="1">
        <f>1+(Table1[[#This Row],[error_ratio_0]]-EF$2)</f>
        <v>0.95306122448979591</v>
      </c>
      <c r="EQ261" s="1">
        <f>1+(Table1[[#This Row],[error_ratio_1]]-EG$2)</f>
        <v>0.96828193832599119</v>
      </c>
      <c r="ER261" s="1">
        <f>1+(Table1[[#This Row],[error_ratio_2]]-EH$2)</f>
        <v>1.070736434108527</v>
      </c>
      <c r="ES261" s="1">
        <f>1+(Table1[[#This Row],[error_ratio_3]]-EI$2)</f>
        <v>0.96831683168316829</v>
      </c>
      <c r="ET261" s="1">
        <f>1+(Table1[[#This Row],[error_ratio_4]]-EJ$2)</f>
        <v>0.93890020366598781</v>
      </c>
      <c r="EU261" s="1">
        <f>1+(Table1[[#This Row],[error_ratio_5]]-EK$2)</f>
        <v>1.047085201793722</v>
      </c>
      <c r="EV261" s="1">
        <f>1+(Table1[[#This Row],[error_ratio_6]]-EL$2)</f>
        <v>1.0229645093945721</v>
      </c>
      <c r="EW261" s="1">
        <f>1+(Table1[[#This Row],[error_ratio_7]]-EM$2)</f>
        <v>1.0622568093385214</v>
      </c>
      <c r="EX261" s="1">
        <f>1+(Table1[[#This Row],[error_ratio_8]]-EN$2)</f>
        <v>0.90657084188911707</v>
      </c>
      <c r="EY261" s="1">
        <f>1+(Table1[[#This Row],[error_ratio_9]]-EO$2)</f>
        <v>1.0634291377601586</v>
      </c>
    </row>
    <row r="262" spans="1:155" x14ac:dyDescent="0.75">
      <c r="A262">
        <v>100</v>
      </c>
      <c r="B262">
        <v>100</v>
      </c>
      <c r="C262">
        <v>10</v>
      </c>
      <c r="D262">
        <v>10</v>
      </c>
      <c r="E262">
        <v>10</v>
      </c>
      <c r="F262">
        <v>100</v>
      </c>
      <c r="G262">
        <v>100</v>
      </c>
      <c r="H262">
        <v>100</v>
      </c>
      <c r="I262">
        <v>10</v>
      </c>
      <c r="J262">
        <v>100</v>
      </c>
      <c r="K262">
        <v>1023</v>
      </c>
      <c r="L262">
        <v>1195</v>
      </c>
      <c r="M262">
        <v>893</v>
      </c>
      <c r="N262">
        <v>900</v>
      </c>
      <c r="O262">
        <v>944</v>
      </c>
      <c r="P262">
        <v>999</v>
      </c>
      <c r="Q262">
        <v>967</v>
      </c>
      <c r="R262">
        <v>1152</v>
      </c>
      <c r="S262">
        <v>863</v>
      </c>
      <c r="T262">
        <v>1064</v>
      </c>
      <c r="U262">
        <v>980</v>
      </c>
      <c r="V262">
        <v>1135</v>
      </c>
      <c r="W262">
        <v>1032</v>
      </c>
      <c r="X262">
        <v>1010</v>
      </c>
      <c r="Y262">
        <v>982</v>
      </c>
      <c r="Z262">
        <v>892</v>
      </c>
      <c r="AA262">
        <v>958</v>
      </c>
      <c r="AB262">
        <v>1028</v>
      </c>
      <c r="AC262">
        <v>974</v>
      </c>
      <c r="AD262">
        <v>1009</v>
      </c>
      <c r="AE262">
        <v>974</v>
      </c>
      <c r="AF262">
        <v>1</v>
      </c>
      <c r="AG262">
        <v>0</v>
      </c>
      <c r="AH262">
        <v>0</v>
      </c>
      <c r="AI262">
        <v>0</v>
      </c>
      <c r="AJ262">
        <v>0</v>
      </c>
      <c r="AK262">
        <v>3</v>
      </c>
      <c r="AL262">
        <v>2</v>
      </c>
      <c r="AM262">
        <v>0</v>
      </c>
      <c r="AN262">
        <v>0</v>
      </c>
      <c r="AO262">
        <v>0</v>
      </c>
      <c r="AP262">
        <v>1134</v>
      </c>
      <c r="AQ262">
        <v>0</v>
      </c>
      <c r="AR262">
        <v>0</v>
      </c>
      <c r="AS262">
        <v>0</v>
      </c>
      <c r="AT262">
        <v>1</v>
      </c>
      <c r="AU262">
        <v>0</v>
      </c>
      <c r="AV262">
        <v>0</v>
      </c>
      <c r="AW262">
        <v>0</v>
      </c>
      <c r="AX262">
        <v>0</v>
      </c>
      <c r="AY262">
        <v>19</v>
      </c>
      <c r="AZ262">
        <v>19</v>
      </c>
      <c r="BA262">
        <v>889</v>
      </c>
      <c r="BB262">
        <v>6</v>
      </c>
      <c r="BC262">
        <v>2</v>
      </c>
      <c r="BD262">
        <v>1</v>
      </c>
      <c r="BE262">
        <v>6</v>
      </c>
      <c r="BF262">
        <v>86</v>
      </c>
      <c r="BG262">
        <v>1</v>
      </c>
      <c r="BH262">
        <v>3</v>
      </c>
      <c r="BI262">
        <v>2</v>
      </c>
      <c r="BJ262">
        <v>3</v>
      </c>
      <c r="BK262">
        <v>1</v>
      </c>
      <c r="BL262">
        <v>891</v>
      </c>
      <c r="BM262">
        <v>0</v>
      </c>
      <c r="BN262">
        <v>81</v>
      </c>
      <c r="BO262">
        <v>0</v>
      </c>
      <c r="BP262">
        <v>17</v>
      </c>
      <c r="BQ262">
        <v>3</v>
      </c>
      <c r="BR262">
        <v>12</v>
      </c>
      <c r="BS262">
        <v>1</v>
      </c>
      <c r="BT262">
        <v>5</v>
      </c>
      <c r="BU262">
        <v>0</v>
      </c>
      <c r="BV262">
        <v>0</v>
      </c>
      <c r="BW262">
        <v>933</v>
      </c>
      <c r="BX262">
        <v>0</v>
      </c>
      <c r="BY262">
        <v>3</v>
      </c>
      <c r="BZ262">
        <v>6</v>
      </c>
      <c r="CA262">
        <v>0</v>
      </c>
      <c r="CB262">
        <v>34</v>
      </c>
      <c r="CC262">
        <v>1</v>
      </c>
      <c r="CD262">
        <v>0</v>
      </c>
      <c r="CE262">
        <v>0</v>
      </c>
      <c r="CF262">
        <v>1</v>
      </c>
      <c r="CG262">
        <v>0</v>
      </c>
      <c r="CH262">
        <v>888</v>
      </c>
      <c r="CI262">
        <v>1</v>
      </c>
      <c r="CJ262">
        <v>1</v>
      </c>
      <c r="CK262">
        <v>0</v>
      </c>
      <c r="CL262">
        <v>0</v>
      </c>
      <c r="CM262">
        <v>6</v>
      </c>
      <c r="CN262">
        <v>3</v>
      </c>
      <c r="CO262">
        <v>0</v>
      </c>
      <c r="CP262">
        <v>0</v>
      </c>
      <c r="CQ262">
        <v>2</v>
      </c>
      <c r="CR262">
        <v>3</v>
      </c>
      <c r="CS262">
        <v>944</v>
      </c>
      <c r="CT262">
        <v>0</v>
      </c>
      <c r="CU262">
        <v>0</v>
      </c>
      <c r="CV262">
        <v>0</v>
      </c>
      <c r="CW262">
        <v>0</v>
      </c>
      <c r="CX262">
        <v>7</v>
      </c>
      <c r="CY262">
        <v>0</v>
      </c>
      <c r="CZ262">
        <v>0</v>
      </c>
      <c r="DA262">
        <v>0</v>
      </c>
      <c r="DB262">
        <v>1</v>
      </c>
      <c r="DC262">
        <v>0</v>
      </c>
      <c r="DD262">
        <v>1019</v>
      </c>
      <c r="DE262">
        <v>0</v>
      </c>
      <c r="DF262">
        <v>1</v>
      </c>
      <c r="DG262">
        <v>16</v>
      </c>
      <c r="DH262">
        <v>17</v>
      </c>
      <c r="DI262">
        <v>3</v>
      </c>
      <c r="DJ262">
        <v>2</v>
      </c>
      <c r="DK262">
        <v>4</v>
      </c>
      <c r="DL262">
        <v>21</v>
      </c>
      <c r="DM262">
        <v>10</v>
      </c>
      <c r="DN262">
        <v>15</v>
      </c>
      <c r="DO262">
        <v>859</v>
      </c>
      <c r="DP262">
        <v>27</v>
      </c>
      <c r="DQ262">
        <v>4</v>
      </c>
      <c r="DR262">
        <v>6</v>
      </c>
      <c r="DS262">
        <v>0</v>
      </c>
      <c r="DT262">
        <v>0</v>
      </c>
      <c r="DU262">
        <v>3</v>
      </c>
      <c r="DV262">
        <v>3</v>
      </c>
      <c r="DW262">
        <v>0</v>
      </c>
      <c r="DX262">
        <v>6</v>
      </c>
      <c r="DY262">
        <v>0</v>
      </c>
      <c r="DZ262">
        <v>987</v>
      </c>
      <c r="EA262">
        <v>0.95179999999999998</v>
      </c>
      <c r="EB262">
        <v>0.95475729939700205</v>
      </c>
      <c r="EC262">
        <v>0.95189841243427598</v>
      </c>
      <c r="ED262">
        <v>0.95136905712481401</v>
      </c>
      <c r="EE262">
        <f>SUM(Table1[[#This Row],[ratio_0]:[ratio_9]])</f>
        <v>640</v>
      </c>
      <c r="EF262" s="1">
        <f>(Table1[[#This Row],[predicted_0]]-Table1[[#This Row],[actual_0]])/Table1[[#This Row],[actual_0]]</f>
        <v>4.3877551020408162E-2</v>
      </c>
      <c r="EG262" s="1">
        <f>(Table1[[#This Row],[predicted_1]]-Table1[[#This Row],[actual_1]])/Table1[[#This Row],[actual_1]]</f>
        <v>5.2863436123348019E-2</v>
      </c>
      <c r="EH262" s="1">
        <f>(Table1[[#This Row],[predicted_2]]-Table1[[#This Row],[actual_2]])/Table1[[#This Row],[actual_2]]</f>
        <v>-0.13468992248062014</v>
      </c>
      <c r="EI262" s="1">
        <f>(Table1[[#This Row],[predicted_3]]-Table1[[#This Row],[actual_3]])/Table1[[#This Row],[actual_3]]</f>
        <v>-0.10891089108910891</v>
      </c>
      <c r="EJ262" s="1">
        <f>(Table1[[#This Row],[predicted_4]]-Table1[[#This Row],[actual_4]])/Table1[[#This Row],[actual_4]]</f>
        <v>-3.8696537678207736E-2</v>
      </c>
      <c r="EK262" s="1">
        <f>(Table1[[#This Row],[predicted_5]]-Table1[[#This Row],[actual_5]])/Table1[[#This Row],[actual_5]]</f>
        <v>0.11995515695067265</v>
      </c>
      <c r="EL262" s="1">
        <f>(Table1[[#This Row],[predicted_6]]-Table1[[#This Row],[actual_6]])/Table1[[#This Row],[actual_6]]</f>
        <v>9.3945720250521916E-3</v>
      </c>
      <c r="EM262" s="1">
        <f>(Table1[[#This Row],[predicted_7]]-Table1[[#This Row],[actual_7]])/Table1[[#This Row],[actual_7]]</f>
        <v>0.12062256809338522</v>
      </c>
      <c r="EN262" s="1">
        <f>(Table1[[#This Row],[predicted_8]]-Table1[[#This Row],[actual_8]])/Table1[[#This Row],[actual_8]]</f>
        <v>-0.11396303901437371</v>
      </c>
      <c r="EO262" s="1">
        <f>(Table1[[#This Row],[predicted_9]]-Table1[[#This Row],[actual_9]])/Table1[[#This Row],[actual_9]]</f>
        <v>5.4509415262636272E-2</v>
      </c>
      <c r="EP262" s="1">
        <f>1+(Table1[[#This Row],[error_ratio_0]]-EF$2)</f>
        <v>1.0418367346938775</v>
      </c>
      <c r="EQ262" s="1">
        <f>1+(Table1[[#This Row],[error_ratio_1]]-EG$2)</f>
        <v>1.0511013215859031</v>
      </c>
      <c r="ER262" s="1">
        <f>1+(Table1[[#This Row],[error_ratio_2]]-EH$2)</f>
        <v>0.87015503875968991</v>
      </c>
      <c r="ES262" s="1">
        <f>1+(Table1[[#This Row],[error_ratio_3]]-EI$2)</f>
        <v>0.88118811881188119</v>
      </c>
      <c r="ET262" s="1">
        <f>1+(Table1[[#This Row],[error_ratio_4]]-EJ$2)</f>
        <v>0.96028513238289204</v>
      </c>
      <c r="EU262" s="1">
        <f>1+(Table1[[#This Row],[error_ratio_5]]-EK$2)</f>
        <v>1.1188340807174888</v>
      </c>
      <c r="EV262" s="1">
        <f>1+(Table1[[#This Row],[error_ratio_6]]-EL$2)</f>
        <v>1.0156576200417538</v>
      </c>
      <c r="EW262" s="1">
        <f>1+(Table1[[#This Row],[error_ratio_7]]-EM$2)</f>
        <v>1.1186770428015564</v>
      </c>
      <c r="EX262" s="1">
        <f>1+(Table1[[#This Row],[error_ratio_8]]-EN$2)</f>
        <v>0.88911704312114992</v>
      </c>
      <c r="EY262" s="1">
        <f>1+(Table1[[#This Row],[error_ratio_9]]-EO$2)</f>
        <v>1.0584737363726462</v>
      </c>
    </row>
    <row r="263" spans="1:155" x14ac:dyDescent="0.75">
      <c r="A263">
        <v>10</v>
      </c>
      <c r="B263">
        <v>100</v>
      </c>
      <c r="C263">
        <v>10</v>
      </c>
      <c r="D263">
        <v>10</v>
      </c>
      <c r="E263">
        <v>10</v>
      </c>
      <c r="F263">
        <v>100</v>
      </c>
      <c r="G263">
        <v>100</v>
      </c>
      <c r="H263">
        <v>100</v>
      </c>
      <c r="I263">
        <v>10</v>
      </c>
      <c r="J263">
        <v>100</v>
      </c>
      <c r="K263">
        <v>980</v>
      </c>
      <c r="L263">
        <v>1155</v>
      </c>
      <c r="M263">
        <v>979</v>
      </c>
      <c r="N263">
        <v>986</v>
      </c>
      <c r="O263">
        <v>986</v>
      </c>
      <c r="P263">
        <v>911</v>
      </c>
      <c r="Q263">
        <v>981</v>
      </c>
      <c r="R263">
        <v>1052</v>
      </c>
      <c r="S263">
        <v>922</v>
      </c>
      <c r="T263">
        <v>1048</v>
      </c>
      <c r="U263">
        <v>980</v>
      </c>
      <c r="V263">
        <v>1135</v>
      </c>
      <c r="W263">
        <v>1032</v>
      </c>
      <c r="X263">
        <v>1010</v>
      </c>
      <c r="Y263">
        <v>982</v>
      </c>
      <c r="Z263">
        <v>892</v>
      </c>
      <c r="AA263">
        <v>958</v>
      </c>
      <c r="AB263">
        <v>1028</v>
      </c>
      <c r="AC263">
        <v>974</v>
      </c>
      <c r="AD263">
        <v>1009</v>
      </c>
      <c r="AE263">
        <v>964</v>
      </c>
      <c r="AF263">
        <v>1</v>
      </c>
      <c r="AG263">
        <v>0</v>
      </c>
      <c r="AH263">
        <v>0</v>
      </c>
      <c r="AI263">
        <v>0</v>
      </c>
      <c r="AJ263">
        <v>0</v>
      </c>
      <c r="AK263">
        <v>7</v>
      </c>
      <c r="AL263">
        <v>1</v>
      </c>
      <c r="AM263">
        <v>2</v>
      </c>
      <c r="AN263">
        <v>5</v>
      </c>
      <c r="AO263">
        <v>0</v>
      </c>
      <c r="AP263">
        <v>1129</v>
      </c>
      <c r="AQ263">
        <v>0</v>
      </c>
      <c r="AR263">
        <v>1</v>
      </c>
      <c r="AS263">
        <v>0</v>
      </c>
      <c r="AT263">
        <v>0</v>
      </c>
      <c r="AU263">
        <v>3</v>
      </c>
      <c r="AV263">
        <v>1</v>
      </c>
      <c r="AW263">
        <v>1</v>
      </c>
      <c r="AX263">
        <v>0</v>
      </c>
      <c r="AY263">
        <v>3</v>
      </c>
      <c r="AZ263">
        <v>17</v>
      </c>
      <c r="BA263">
        <v>972</v>
      </c>
      <c r="BB263">
        <v>3</v>
      </c>
      <c r="BC263">
        <v>3</v>
      </c>
      <c r="BD263">
        <v>1</v>
      </c>
      <c r="BE263">
        <v>8</v>
      </c>
      <c r="BF263">
        <v>18</v>
      </c>
      <c r="BG263">
        <v>2</v>
      </c>
      <c r="BH263">
        <v>5</v>
      </c>
      <c r="BI263">
        <v>0</v>
      </c>
      <c r="BJ263">
        <v>0</v>
      </c>
      <c r="BK263">
        <v>1</v>
      </c>
      <c r="BL263">
        <v>969</v>
      </c>
      <c r="BM263">
        <v>0</v>
      </c>
      <c r="BN263">
        <v>16</v>
      </c>
      <c r="BO263">
        <v>0</v>
      </c>
      <c r="BP263">
        <v>8</v>
      </c>
      <c r="BQ263">
        <v>5</v>
      </c>
      <c r="BR263">
        <v>11</v>
      </c>
      <c r="BS263">
        <v>0</v>
      </c>
      <c r="BT263">
        <v>0</v>
      </c>
      <c r="BU263">
        <v>0</v>
      </c>
      <c r="BV263">
        <v>0</v>
      </c>
      <c r="BW263">
        <v>966</v>
      </c>
      <c r="BX263">
        <v>0</v>
      </c>
      <c r="BY263">
        <v>8</v>
      </c>
      <c r="BZ263">
        <v>2</v>
      </c>
      <c r="CA263">
        <v>1</v>
      </c>
      <c r="CB263">
        <v>5</v>
      </c>
      <c r="CC263">
        <v>2</v>
      </c>
      <c r="CD263">
        <v>0</v>
      </c>
      <c r="CE263">
        <v>0</v>
      </c>
      <c r="CF263">
        <v>6</v>
      </c>
      <c r="CG263">
        <v>0</v>
      </c>
      <c r="CH263">
        <v>880</v>
      </c>
      <c r="CI263">
        <v>2</v>
      </c>
      <c r="CJ263">
        <v>0</v>
      </c>
      <c r="CK263">
        <v>2</v>
      </c>
      <c r="CL263">
        <v>0</v>
      </c>
      <c r="CM263">
        <v>4</v>
      </c>
      <c r="CN263">
        <v>2</v>
      </c>
      <c r="CO263">
        <v>1</v>
      </c>
      <c r="CP263">
        <v>0</v>
      </c>
      <c r="CQ263">
        <v>2</v>
      </c>
      <c r="CR263">
        <v>5</v>
      </c>
      <c r="CS263">
        <v>944</v>
      </c>
      <c r="CT263">
        <v>0</v>
      </c>
      <c r="CU263">
        <v>0</v>
      </c>
      <c r="CV263">
        <v>0</v>
      </c>
      <c r="CW263">
        <v>1</v>
      </c>
      <c r="CX263">
        <v>2</v>
      </c>
      <c r="CY263">
        <v>3</v>
      </c>
      <c r="CZ263">
        <v>0</v>
      </c>
      <c r="DA263">
        <v>0</v>
      </c>
      <c r="DB263">
        <v>0</v>
      </c>
      <c r="DC263">
        <v>0</v>
      </c>
      <c r="DD263">
        <v>1012</v>
      </c>
      <c r="DE263">
        <v>1</v>
      </c>
      <c r="DF263">
        <v>9</v>
      </c>
      <c r="DG263">
        <v>5</v>
      </c>
      <c r="DH263">
        <v>2</v>
      </c>
      <c r="DI263">
        <v>2</v>
      </c>
      <c r="DJ263">
        <v>7</v>
      </c>
      <c r="DK263">
        <v>7</v>
      </c>
      <c r="DL263">
        <v>5</v>
      </c>
      <c r="DM263">
        <v>9</v>
      </c>
      <c r="DN263">
        <v>5</v>
      </c>
      <c r="DO263">
        <v>908</v>
      </c>
      <c r="DP263">
        <v>24</v>
      </c>
      <c r="DQ263">
        <v>1</v>
      </c>
      <c r="DR263">
        <v>2</v>
      </c>
      <c r="DS263">
        <v>0</v>
      </c>
      <c r="DT263">
        <v>0</v>
      </c>
      <c r="DU263">
        <v>8</v>
      </c>
      <c r="DV263">
        <v>4</v>
      </c>
      <c r="DW263">
        <v>0</v>
      </c>
      <c r="DX263">
        <v>5</v>
      </c>
      <c r="DY263">
        <v>0</v>
      </c>
      <c r="DZ263">
        <v>989</v>
      </c>
      <c r="EA263">
        <v>0.97330000000000005</v>
      </c>
      <c r="EB263">
        <v>0.97352370775350405</v>
      </c>
      <c r="EC263">
        <v>0.973214594409331</v>
      </c>
      <c r="ED263">
        <v>0.97313581407376104</v>
      </c>
      <c r="EE263">
        <f>SUM(Table1[[#This Row],[ratio_0]:[ratio_9]])</f>
        <v>550</v>
      </c>
      <c r="EF263" s="1">
        <f>(Table1[[#This Row],[predicted_0]]-Table1[[#This Row],[actual_0]])/Table1[[#This Row],[actual_0]]</f>
        <v>0</v>
      </c>
      <c r="EG263" s="1">
        <f>(Table1[[#This Row],[predicted_1]]-Table1[[#This Row],[actual_1]])/Table1[[#This Row],[actual_1]]</f>
        <v>1.7621145374449341E-2</v>
      </c>
      <c r="EH263" s="1">
        <f>(Table1[[#This Row],[predicted_2]]-Table1[[#This Row],[actual_2]])/Table1[[#This Row],[actual_2]]</f>
        <v>-5.1356589147286823E-2</v>
      </c>
      <c r="EI263" s="1">
        <f>(Table1[[#This Row],[predicted_3]]-Table1[[#This Row],[actual_3]])/Table1[[#This Row],[actual_3]]</f>
        <v>-2.3762376237623763E-2</v>
      </c>
      <c r="EJ263" s="1">
        <f>(Table1[[#This Row],[predicted_4]]-Table1[[#This Row],[actual_4]])/Table1[[#This Row],[actual_4]]</f>
        <v>4.0733197556008143E-3</v>
      </c>
      <c r="EK263" s="1">
        <f>(Table1[[#This Row],[predicted_5]]-Table1[[#This Row],[actual_5]])/Table1[[#This Row],[actual_5]]</f>
        <v>2.1300448430493273E-2</v>
      </c>
      <c r="EL263" s="1">
        <f>(Table1[[#This Row],[predicted_6]]-Table1[[#This Row],[actual_6]])/Table1[[#This Row],[actual_6]]</f>
        <v>2.4008350730688934E-2</v>
      </c>
      <c r="EM263" s="1">
        <f>(Table1[[#This Row],[predicted_7]]-Table1[[#This Row],[actual_7]])/Table1[[#This Row],[actual_7]]</f>
        <v>2.3346303501945526E-2</v>
      </c>
      <c r="EN263" s="1">
        <f>(Table1[[#This Row],[predicted_8]]-Table1[[#This Row],[actual_8]])/Table1[[#This Row],[actual_8]]</f>
        <v>-5.3388090349075976E-2</v>
      </c>
      <c r="EO263" s="1">
        <f>(Table1[[#This Row],[predicted_9]]-Table1[[#This Row],[actual_9]])/Table1[[#This Row],[actual_9]]</f>
        <v>3.865213082259663E-2</v>
      </c>
      <c r="EP263" s="1">
        <f>1+(Table1[[#This Row],[error_ratio_0]]-EF$2)</f>
        <v>0.99795918367346936</v>
      </c>
      <c r="EQ263" s="1">
        <f>1+(Table1[[#This Row],[error_ratio_1]]-EG$2)</f>
        <v>1.0158590308370044</v>
      </c>
      <c r="ER263" s="1">
        <f>1+(Table1[[#This Row],[error_ratio_2]]-EH$2)</f>
        <v>0.95348837209302328</v>
      </c>
      <c r="ES263" s="1">
        <f>1+(Table1[[#This Row],[error_ratio_3]]-EI$2)</f>
        <v>0.96633663366336631</v>
      </c>
      <c r="ET263" s="1">
        <f>1+(Table1[[#This Row],[error_ratio_4]]-EJ$2)</f>
        <v>1.0030549898167007</v>
      </c>
      <c r="EU263" s="1">
        <f>1+(Table1[[#This Row],[error_ratio_5]]-EK$2)</f>
        <v>1.0201793721973094</v>
      </c>
      <c r="EV263" s="1">
        <f>1+(Table1[[#This Row],[error_ratio_6]]-EL$2)</f>
        <v>1.0302713987473904</v>
      </c>
      <c r="EW263" s="1">
        <f>1+(Table1[[#This Row],[error_ratio_7]]-EM$2)</f>
        <v>1.0214007782101167</v>
      </c>
      <c r="EX263" s="1">
        <f>1+(Table1[[#This Row],[error_ratio_8]]-EN$2)</f>
        <v>0.94969199178644759</v>
      </c>
      <c r="EY263" s="1">
        <f>1+(Table1[[#This Row],[error_ratio_9]]-EO$2)</f>
        <v>1.0426164519326064</v>
      </c>
    </row>
    <row r="264" spans="1:155" x14ac:dyDescent="0.75">
      <c r="A264">
        <v>100</v>
      </c>
      <c r="B264">
        <v>10</v>
      </c>
      <c r="C264">
        <v>10</v>
      </c>
      <c r="D264">
        <v>10</v>
      </c>
      <c r="E264">
        <v>10</v>
      </c>
      <c r="F264">
        <v>100</v>
      </c>
      <c r="G264">
        <v>100</v>
      </c>
      <c r="H264">
        <v>100</v>
      </c>
      <c r="I264">
        <v>10</v>
      </c>
      <c r="J264">
        <v>100</v>
      </c>
      <c r="K264">
        <v>994</v>
      </c>
      <c r="L264">
        <v>1125</v>
      </c>
      <c r="M264">
        <v>961</v>
      </c>
      <c r="N264">
        <v>955</v>
      </c>
      <c r="O264">
        <v>951</v>
      </c>
      <c r="P264">
        <v>940</v>
      </c>
      <c r="Q264">
        <v>1029</v>
      </c>
      <c r="R264">
        <v>1079</v>
      </c>
      <c r="S264">
        <v>943</v>
      </c>
      <c r="T264">
        <v>1023</v>
      </c>
      <c r="U264">
        <v>980</v>
      </c>
      <c r="V264">
        <v>1135</v>
      </c>
      <c r="W264">
        <v>1032</v>
      </c>
      <c r="X264">
        <v>1010</v>
      </c>
      <c r="Y264">
        <v>982</v>
      </c>
      <c r="Z264">
        <v>892</v>
      </c>
      <c r="AA264">
        <v>958</v>
      </c>
      <c r="AB264">
        <v>1028</v>
      </c>
      <c r="AC264">
        <v>974</v>
      </c>
      <c r="AD264">
        <v>1009</v>
      </c>
      <c r="AE264">
        <v>969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5</v>
      </c>
      <c r="AL264">
        <v>2</v>
      </c>
      <c r="AM264">
        <v>1</v>
      </c>
      <c r="AN264">
        <v>3</v>
      </c>
      <c r="AO264">
        <v>0</v>
      </c>
      <c r="AP264">
        <v>1097</v>
      </c>
      <c r="AQ264">
        <v>3</v>
      </c>
      <c r="AR264">
        <v>1</v>
      </c>
      <c r="AS264">
        <v>0</v>
      </c>
      <c r="AT264">
        <v>3</v>
      </c>
      <c r="AU264">
        <v>25</v>
      </c>
      <c r="AV264">
        <v>0</v>
      </c>
      <c r="AW264">
        <v>6</v>
      </c>
      <c r="AX264">
        <v>0</v>
      </c>
      <c r="AY264">
        <v>12</v>
      </c>
      <c r="AZ264">
        <v>18</v>
      </c>
      <c r="BA264">
        <v>946</v>
      </c>
      <c r="BB264">
        <v>3</v>
      </c>
      <c r="BC264">
        <v>0</v>
      </c>
      <c r="BD264">
        <v>0</v>
      </c>
      <c r="BE264">
        <v>12</v>
      </c>
      <c r="BF264">
        <v>33</v>
      </c>
      <c r="BG264">
        <v>5</v>
      </c>
      <c r="BH264">
        <v>3</v>
      </c>
      <c r="BI264">
        <v>0</v>
      </c>
      <c r="BJ264">
        <v>1</v>
      </c>
      <c r="BK264">
        <v>5</v>
      </c>
      <c r="BL264">
        <v>948</v>
      </c>
      <c r="BM264">
        <v>0</v>
      </c>
      <c r="BN264">
        <v>31</v>
      </c>
      <c r="BO264">
        <v>1</v>
      </c>
      <c r="BP264">
        <v>13</v>
      </c>
      <c r="BQ264">
        <v>8</v>
      </c>
      <c r="BR264">
        <v>3</v>
      </c>
      <c r="BS264">
        <v>0</v>
      </c>
      <c r="BT264">
        <v>0</v>
      </c>
      <c r="BU264">
        <v>1</v>
      </c>
      <c r="BV264">
        <v>0</v>
      </c>
      <c r="BW264">
        <v>943</v>
      </c>
      <c r="BX264">
        <v>0</v>
      </c>
      <c r="BY264">
        <v>19</v>
      </c>
      <c r="BZ264">
        <v>3</v>
      </c>
      <c r="CA264">
        <v>2</v>
      </c>
      <c r="CB264">
        <v>14</v>
      </c>
      <c r="CC264">
        <v>3</v>
      </c>
      <c r="CD264">
        <v>0</v>
      </c>
      <c r="CE264">
        <v>0</v>
      </c>
      <c r="CF264">
        <v>2</v>
      </c>
      <c r="CG264">
        <v>0</v>
      </c>
      <c r="CH264">
        <v>880</v>
      </c>
      <c r="CI264">
        <v>5</v>
      </c>
      <c r="CJ264">
        <v>1</v>
      </c>
      <c r="CK264">
        <v>0</v>
      </c>
      <c r="CL264">
        <v>1</v>
      </c>
      <c r="CM264">
        <v>4</v>
      </c>
      <c r="CN264">
        <v>0</v>
      </c>
      <c r="CO264">
        <v>0</v>
      </c>
      <c r="CP264">
        <v>0</v>
      </c>
      <c r="CQ264">
        <v>1</v>
      </c>
      <c r="CR264">
        <v>4</v>
      </c>
      <c r="CS264">
        <v>949</v>
      </c>
      <c r="CT264">
        <v>0</v>
      </c>
      <c r="CU264">
        <v>0</v>
      </c>
      <c r="CV264">
        <v>0</v>
      </c>
      <c r="CW264">
        <v>0</v>
      </c>
      <c r="CX264">
        <v>7</v>
      </c>
      <c r="CY264">
        <v>2</v>
      </c>
      <c r="CZ264">
        <v>0</v>
      </c>
      <c r="DA264">
        <v>0</v>
      </c>
      <c r="DB264">
        <v>1</v>
      </c>
      <c r="DC264">
        <v>0</v>
      </c>
      <c r="DD264">
        <v>1010</v>
      </c>
      <c r="DE264">
        <v>2</v>
      </c>
      <c r="DF264">
        <v>6</v>
      </c>
      <c r="DG264">
        <v>6</v>
      </c>
      <c r="DH264">
        <v>0</v>
      </c>
      <c r="DI264">
        <v>4</v>
      </c>
      <c r="DJ264">
        <v>1</v>
      </c>
      <c r="DK264">
        <v>0</v>
      </c>
      <c r="DL264">
        <v>14</v>
      </c>
      <c r="DM264">
        <v>11</v>
      </c>
      <c r="DN264">
        <v>13</v>
      </c>
      <c r="DO264">
        <v>917</v>
      </c>
      <c r="DP264">
        <v>8</v>
      </c>
      <c r="DQ264">
        <v>0</v>
      </c>
      <c r="DR264">
        <v>2</v>
      </c>
      <c r="DS264">
        <v>0</v>
      </c>
      <c r="DT264">
        <v>0</v>
      </c>
      <c r="DU264">
        <v>7</v>
      </c>
      <c r="DV264">
        <v>7</v>
      </c>
      <c r="DW264">
        <v>2</v>
      </c>
      <c r="DX264">
        <v>4</v>
      </c>
      <c r="DY264">
        <v>2</v>
      </c>
      <c r="DZ264">
        <v>985</v>
      </c>
      <c r="EA264">
        <v>0.96440000000000003</v>
      </c>
      <c r="EB264">
        <v>0.96483689228579705</v>
      </c>
      <c r="EC264">
        <v>0.96481962927436005</v>
      </c>
      <c r="ED264">
        <v>0.96432609500899902</v>
      </c>
      <c r="EE264">
        <f>SUM(Table1[[#This Row],[ratio_0]:[ratio_9]])</f>
        <v>550</v>
      </c>
      <c r="EF264" s="1">
        <f>(Table1[[#This Row],[predicted_0]]-Table1[[#This Row],[actual_0]])/Table1[[#This Row],[actual_0]]</f>
        <v>1.4285714285714285E-2</v>
      </c>
      <c r="EG264" s="1">
        <f>(Table1[[#This Row],[predicted_1]]-Table1[[#This Row],[actual_1]])/Table1[[#This Row],[actual_1]]</f>
        <v>-8.8105726872246704E-3</v>
      </c>
      <c r="EH264" s="1">
        <f>(Table1[[#This Row],[predicted_2]]-Table1[[#This Row],[actual_2]])/Table1[[#This Row],[actual_2]]</f>
        <v>-6.8798449612403098E-2</v>
      </c>
      <c r="EI264" s="1">
        <f>(Table1[[#This Row],[predicted_3]]-Table1[[#This Row],[actual_3]])/Table1[[#This Row],[actual_3]]</f>
        <v>-5.4455445544554455E-2</v>
      </c>
      <c r="EJ264" s="1">
        <f>(Table1[[#This Row],[predicted_4]]-Table1[[#This Row],[actual_4]])/Table1[[#This Row],[actual_4]]</f>
        <v>-3.1568228105906315E-2</v>
      </c>
      <c r="EK264" s="1">
        <f>(Table1[[#This Row],[predicted_5]]-Table1[[#This Row],[actual_5]])/Table1[[#This Row],[actual_5]]</f>
        <v>5.3811659192825115E-2</v>
      </c>
      <c r="EL264" s="1">
        <f>(Table1[[#This Row],[predicted_6]]-Table1[[#This Row],[actual_6]])/Table1[[#This Row],[actual_6]]</f>
        <v>7.4112734864300631E-2</v>
      </c>
      <c r="EM264" s="1">
        <f>(Table1[[#This Row],[predicted_7]]-Table1[[#This Row],[actual_7]])/Table1[[#This Row],[actual_7]]</f>
        <v>4.9610894941634238E-2</v>
      </c>
      <c r="EN264" s="1">
        <f>(Table1[[#This Row],[predicted_8]]-Table1[[#This Row],[actual_8]])/Table1[[#This Row],[actual_8]]</f>
        <v>-3.1827515400410678E-2</v>
      </c>
      <c r="EO264" s="1">
        <f>(Table1[[#This Row],[predicted_9]]-Table1[[#This Row],[actual_9]])/Table1[[#This Row],[actual_9]]</f>
        <v>1.3875123885034688E-2</v>
      </c>
      <c r="EP264" s="1">
        <f>1+(Table1[[#This Row],[error_ratio_0]]-EF$2)</f>
        <v>1.0122448979591836</v>
      </c>
      <c r="EQ264" s="1">
        <f>1+(Table1[[#This Row],[error_ratio_1]]-EG$2)</f>
        <v>0.98942731277533036</v>
      </c>
      <c r="ER264" s="1">
        <f>1+(Table1[[#This Row],[error_ratio_2]]-EH$2)</f>
        <v>0.93604651162790697</v>
      </c>
      <c r="ES264" s="1">
        <f>1+(Table1[[#This Row],[error_ratio_3]]-EI$2)</f>
        <v>0.93564356435643559</v>
      </c>
      <c r="ET264" s="1">
        <f>1+(Table1[[#This Row],[error_ratio_4]]-EJ$2)</f>
        <v>0.96741344195519352</v>
      </c>
      <c r="EU264" s="1">
        <f>1+(Table1[[#This Row],[error_ratio_5]]-EK$2)</f>
        <v>1.0526905829596414</v>
      </c>
      <c r="EV264" s="1">
        <f>1+(Table1[[#This Row],[error_ratio_6]]-EL$2)</f>
        <v>1.0803757828810021</v>
      </c>
      <c r="EW264" s="1">
        <f>1+(Table1[[#This Row],[error_ratio_7]]-EM$2)</f>
        <v>1.0476653696498055</v>
      </c>
      <c r="EX264" s="1">
        <f>1+(Table1[[#This Row],[error_ratio_8]]-EN$2)</f>
        <v>0.97125256673511295</v>
      </c>
      <c r="EY264" s="1">
        <f>1+(Table1[[#This Row],[error_ratio_9]]-EO$2)</f>
        <v>1.0178394449950445</v>
      </c>
    </row>
    <row r="265" spans="1:155" x14ac:dyDescent="0.75">
      <c r="A265">
        <v>100</v>
      </c>
      <c r="B265">
        <v>100</v>
      </c>
      <c r="C265">
        <v>100</v>
      </c>
      <c r="D265">
        <v>100</v>
      </c>
      <c r="E265">
        <v>100</v>
      </c>
      <c r="F265">
        <v>10</v>
      </c>
      <c r="G265">
        <v>100</v>
      </c>
      <c r="H265">
        <v>100</v>
      </c>
      <c r="I265">
        <v>10</v>
      </c>
      <c r="J265">
        <v>100</v>
      </c>
      <c r="K265">
        <v>983</v>
      </c>
      <c r="L265">
        <v>1149</v>
      </c>
      <c r="M265">
        <v>1039</v>
      </c>
      <c r="N265">
        <v>1064</v>
      </c>
      <c r="O265">
        <v>984</v>
      </c>
      <c r="P265">
        <v>813</v>
      </c>
      <c r="Q265">
        <v>982</v>
      </c>
      <c r="R265">
        <v>1033</v>
      </c>
      <c r="S265">
        <v>935</v>
      </c>
      <c r="T265">
        <v>1018</v>
      </c>
      <c r="U265">
        <v>980</v>
      </c>
      <c r="V265">
        <v>1135</v>
      </c>
      <c r="W265">
        <v>1032</v>
      </c>
      <c r="X265">
        <v>1010</v>
      </c>
      <c r="Y265">
        <v>982</v>
      </c>
      <c r="Z265">
        <v>892</v>
      </c>
      <c r="AA265">
        <v>958</v>
      </c>
      <c r="AB265">
        <v>1028</v>
      </c>
      <c r="AC265">
        <v>974</v>
      </c>
      <c r="AD265">
        <v>1009</v>
      </c>
      <c r="AE265">
        <v>973</v>
      </c>
      <c r="AF265">
        <v>1</v>
      </c>
      <c r="AG265">
        <v>1</v>
      </c>
      <c r="AH265">
        <v>1</v>
      </c>
      <c r="AI265">
        <v>0</v>
      </c>
      <c r="AJ265">
        <v>0</v>
      </c>
      <c r="AK265">
        <v>1</v>
      </c>
      <c r="AL265">
        <v>3</v>
      </c>
      <c r="AM265">
        <v>0</v>
      </c>
      <c r="AN265">
        <v>0</v>
      </c>
      <c r="AO265">
        <v>0</v>
      </c>
      <c r="AP265">
        <v>1133</v>
      </c>
      <c r="AQ265">
        <v>0</v>
      </c>
      <c r="AR265">
        <v>1</v>
      </c>
      <c r="AS265">
        <v>0</v>
      </c>
      <c r="AT265">
        <v>0</v>
      </c>
      <c r="AU265">
        <v>1</v>
      </c>
      <c r="AV265">
        <v>0</v>
      </c>
      <c r="AW265">
        <v>0</v>
      </c>
      <c r="AX265">
        <v>0</v>
      </c>
      <c r="AY265">
        <v>0</v>
      </c>
      <c r="AZ265">
        <v>1</v>
      </c>
      <c r="BA265">
        <v>1022</v>
      </c>
      <c r="BB265">
        <v>0</v>
      </c>
      <c r="BC265">
        <v>1</v>
      </c>
      <c r="BD265">
        <v>0</v>
      </c>
      <c r="BE265">
        <v>2</v>
      </c>
      <c r="BF265">
        <v>5</v>
      </c>
      <c r="BG265">
        <v>1</v>
      </c>
      <c r="BH265">
        <v>0</v>
      </c>
      <c r="BI265">
        <v>0</v>
      </c>
      <c r="BJ265">
        <v>0</v>
      </c>
      <c r="BK265">
        <v>2</v>
      </c>
      <c r="BL265">
        <v>1005</v>
      </c>
      <c r="BM265">
        <v>0</v>
      </c>
      <c r="BN265">
        <v>1</v>
      </c>
      <c r="BO265">
        <v>0</v>
      </c>
      <c r="BP265">
        <v>2</v>
      </c>
      <c r="BQ265">
        <v>0</v>
      </c>
      <c r="BR265">
        <v>0</v>
      </c>
      <c r="BS265">
        <v>0</v>
      </c>
      <c r="BT265">
        <v>0</v>
      </c>
      <c r="BU265">
        <v>1</v>
      </c>
      <c r="BV265">
        <v>0</v>
      </c>
      <c r="BW265">
        <v>973</v>
      </c>
      <c r="BX265">
        <v>0</v>
      </c>
      <c r="BY265">
        <v>3</v>
      </c>
      <c r="BZ265">
        <v>0</v>
      </c>
      <c r="CA265">
        <v>0</v>
      </c>
      <c r="CB265">
        <v>5</v>
      </c>
      <c r="CC265">
        <v>2</v>
      </c>
      <c r="CD265">
        <v>0</v>
      </c>
      <c r="CE265">
        <v>0</v>
      </c>
      <c r="CF265">
        <v>43</v>
      </c>
      <c r="CG265">
        <v>0</v>
      </c>
      <c r="CH265">
        <v>811</v>
      </c>
      <c r="CI265">
        <v>18</v>
      </c>
      <c r="CJ265">
        <v>3</v>
      </c>
      <c r="CK265">
        <v>7</v>
      </c>
      <c r="CL265">
        <v>8</v>
      </c>
      <c r="CM265">
        <v>3</v>
      </c>
      <c r="CN265">
        <v>2</v>
      </c>
      <c r="CO265">
        <v>0</v>
      </c>
      <c r="CP265">
        <v>0</v>
      </c>
      <c r="CQ265">
        <v>2</v>
      </c>
      <c r="CR265">
        <v>1</v>
      </c>
      <c r="CS265">
        <v>950</v>
      </c>
      <c r="CT265">
        <v>0</v>
      </c>
      <c r="CU265">
        <v>0</v>
      </c>
      <c r="CV265">
        <v>0</v>
      </c>
      <c r="CW265">
        <v>1</v>
      </c>
      <c r="CX265">
        <v>7</v>
      </c>
      <c r="CY265">
        <v>6</v>
      </c>
      <c r="CZ265">
        <v>1</v>
      </c>
      <c r="DA265">
        <v>0</v>
      </c>
      <c r="DB265">
        <v>0</v>
      </c>
      <c r="DC265">
        <v>0</v>
      </c>
      <c r="DD265">
        <v>1009</v>
      </c>
      <c r="DE265">
        <v>0</v>
      </c>
      <c r="DF265">
        <v>4</v>
      </c>
      <c r="DG265">
        <v>3</v>
      </c>
      <c r="DH265">
        <v>1</v>
      </c>
      <c r="DI265">
        <v>7</v>
      </c>
      <c r="DJ265">
        <v>7</v>
      </c>
      <c r="DK265">
        <v>4</v>
      </c>
      <c r="DL265">
        <v>0</v>
      </c>
      <c r="DM265">
        <v>7</v>
      </c>
      <c r="DN265">
        <v>8</v>
      </c>
      <c r="DO265">
        <v>927</v>
      </c>
      <c r="DP265">
        <v>10</v>
      </c>
      <c r="DQ265">
        <v>1</v>
      </c>
      <c r="DR265">
        <v>4</v>
      </c>
      <c r="DS265">
        <v>0</v>
      </c>
      <c r="DT265">
        <v>6</v>
      </c>
      <c r="DU265">
        <v>4</v>
      </c>
      <c r="DV265">
        <v>0</v>
      </c>
      <c r="DW265">
        <v>0</v>
      </c>
      <c r="DX265">
        <v>3</v>
      </c>
      <c r="DY265">
        <v>0</v>
      </c>
      <c r="DZ265">
        <v>991</v>
      </c>
      <c r="EA265">
        <v>0.97940000000000005</v>
      </c>
      <c r="EB265">
        <v>0.97995514049137999</v>
      </c>
      <c r="EC265">
        <v>0.978355518037202</v>
      </c>
      <c r="ED265">
        <v>0.97882167515492302</v>
      </c>
      <c r="EE265">
        <f>SUM(Table1[[#This Row],[ratio_0]:[ratio_9]])</f>
        <v>820</v>
      </c>
      <c r="EF265" s="1">
        <f>(Table1[[#This Row],[predicted_0]]-Table1[[#This Row],[actual_0]])/Table1[[#This Row],[actual_0]]</f>
        <v>3.0612244897959182E-3</v>
      </c>
      <c r="EG265" s="1">
        <f>(Table1[[#This Row],[predicted_1]]-Table1[[#This Row],[actual_1]])/Table1[[#This Row],[actual_1]]</f>
        <v>1.2334801762114538E-2</v>
      </c>
      <c r="EH265" s="1">
        <f>(Table1[[#This Row],[predicted_2]]-Table1[[#This Row],[actual_2]])/Table1[[#This Row],[actual_2]]</f>
        <v>6.7829457364341084E-3</v>
      </c>
      <c r="EI265" s="1">
        <f>(Table1[[#This Row],[predicted_3]]-Table1[[#This Row],[actual_3]])/Table1[[#This Row],[actual_3]]</f>
        <v>5.3465346534653464E-2</v>
      </c>
      <c r="EJ265" s="1">
        <f>(Table1[[#This Row],[predicted_4]]-Table1[[#This Row],[actual_4]])/Table1[[#This Row],[actual_4]]</f>
        <v>2.0366598778004071E-3</v>
      </c>
      <c r="EK265" s="1">
        <f>(Table1[[#This Row],[predicted_5]]-Table1[[#This Row],[actual_5]])/Table1[[#This Row],[actual_5]]</f>
        <v>-8.856502242152467E-2</v>
      </c>
      <c r="EL265" s="1">
        <f>(Table1[[#This Row],[predicted_6]]-Table1[[#This Row],[actual_6]])/Table1[[#This Row],[actual_6]]</f>
        <v>2.5052192066805846E-2</v>
      </c>
      <c r="EM265" s="1">
        <f>(Table1[[#This Row],[predicted_7]]-Table1[[#This Row],[actual_7]])/Table1[[#This Row],[actual_7]]</f>
        <v>4.8638132295719845E-3</v>
      </c>
      <c r="EN265" s="1">
        <f>(Table1[[#This Row],[predicted_8]]-Table1[[#This Row],[actual_8]])/Table1[[#This Row],[actual_8]]</f>
        <v>-4.0041067761806978E-2</v>
      </c>
      <c r="EO265" s="1">
        <f>(Table1[[#This Row],[predicted_9]]-Table1[[#This Row],[actual_9]])/Table1[[#This Row],[actual_9]]</f>
        <v>8.9197224975222991E-3</v>
      </c>
      <c r="EP265" s="1">
        <f>1+(Table1[[#This Row],[error_ratio_0]]-EF$2)</f>
        <v>1.0010204081632652</v>
      </c>
      <c r="EQ265" s="1">
        <f>1+(Table1[[#This Row],[error_ratio_1]]-EG$2)</f>
        <v>1.0105726872246696</v>
      </c>
      <c r="ER265" s="1">
        <f>1+(Table1[[#This Row],[error_ratio_2]]-EH$2)</f>
        <v>1.0116279069767442</v>
      </c>
      <c r="ES265" s="1">
        <f>1+(Table1[[#This Row],[error_ratio_3]]-EI$2)</f>
        <v>1.0435643564356436</v>
      </c>
      <c r="ET265" s="1">
        <f>1+(Table1[[#This Row],[error_ratio_4]]-EJ$2)</f>
        <v>1.0010183299389002</v>
      </c>
      <c r="EU265" s="1">
        <f>1+(Table1[[#This Row],[error_ratio_5]]-EK$2)</f>
        <v>0.91031390134529144</v>
      </c>
      <c r="EV265" s="1">
        <f>1+(Table1[[#This Row],[error_ratio_6]]-EL$2)</f>
        <v>1.0313152400835073</v>
      </c>
      <c r="EW265" s="1">
        <f>1+(Table1[[#This Row],[error_ratio_7]]-EM$2)</f>
        <v>1.0029182879377432</v>
      </c>
      <c r="EX265" s="1">
        <f>1+(Table1[[#This Row],[error_ratio_8]]-EN$2)</f>
        <v>0.96303901437371664</v>
      </c>
      <c r="EY265" s="1">
        <f>1+(Table1[[#This Row],[error_ratio_9]]-EO$2)</f>
        <v>1.0128840436075321</v>
      </c>
    </row>
    <row r="266" spans="1:155" x14ac:dyDescent="0.75">
      <c r="A266">
        <v>10</v>
      </c>
      <c r="B266">
        <v>100</v>
      </c>
      <c r="C266">
        <v>100</v>
      </c>
      <c r="D266">
        <v>100</v>
      </c>
      <c r="E266">
        <v>100</v>
      </c>
      <c r="F266">
        <v>10</v>
      </c>
      <c r="G266">
        <v>100</v>
      </c>
      <c r="H266">
        <v>100</v>
      </c>
      <c r="I266">
        <v>10</v>
      </c>
      <c r="J266">
        <v>100</v>
      </c>
      <c r="K266">
        <v>962</v>
      </c>
      <c r="L266">
        <v>1130</v>
      </c>
      <c r="M266">
        <v>1042</v>
      </c>
      <c r="N266">
        <v>1083</v>
      </c>
      <c r="O266">
        <v>988</v>
      </c>
      <c r="P266">
        <v>865</v>
      </c>
      <c r="Q266">
        <v>1010</v>
      </c>
      <c r="R266">
        <v>1017</v>
      </c>
      <c r="S266">
        <v>889</v>
      </c>
      <c r="T266">
        <v>1014</v>
      </c>
      <c r="U266">
        <v>980</v>
      </c>
      <c r="V266">
        <v>1135</v>
      </c>
      <c r="W266">
        <v>1032</v>
      </c>
      <c r="X266">
        <v>1010</v>
      </c>
      <c r="Y266">
        <v>982</v>
      </c>
      <c r="Z266">
        <v>892</v>
      </c>
      <c r="AA266">
        <v>958</v>
      </c>
      <c r="AB266">
        <v>1028</v>
      </c>
      <c r="AC266">
        <v>974</v>
      </c>
      <c r="AD266">
        <v>1009</v>
      </c>
      <c r="AE266">
        <v>955</v>
      </c>
      <c r="AF266">
        <v>1</v>
      </c>
      <c r="AG266">
        <v>2</v>
      </c>
      <c r="AH266">
        <v>0</v>
      </c>
      <c r="AI266">
        <v>1</v>
      </c>
      <c r="AJ266">
        <v>1</v>
      </c>
      <c r="AK266">
        <v>15</v>
      </c>
      <c r="AL266">
        <v>2</v>
      </c>
      <c r="AM266">
        <v>0</v>
      </c>
      <c r="AN266">
        <v>3</v>
      </c>
      <c r="AO266">
        <v>0</v>
      </c>
      <c r="AP266">
        <v>1123</v>
      </c>
      <c r="AQ266">
        <v>1</v>
      </c>
      <c r="AR266">
        <v>7</v>
      </c>
      <c r="AS266">
        <v>0</v>
      </c>
      <c r="AT266">
        <v>1</v>
      </c>
      <c r="AU266">
        <v>2</v>
      </c>
      <c r="AV266">
        <v>1</v>
      </c>
      <c r="AW266">
        <v>0</v>
      </c>
      <c r="AX266">
        <v>0</v>
      </c>
      <c r="AY266">
        <v>0</v>
      </c>
      <c r="AZ266">
        <v>1</v>
      </c>
      <c r="BA266">
        <v>1019</v>
      </c>
      <c r="BB266">
        <v>8</v>
      </c>
      <c r="BC266">
        <v>0</v>
      </c>
      <c r="BD266">
        <v>0</v>
      </c>
      <c r="BE266">
        <v>2</v>
      </c>
      <c r="BF266">
        <v>1</v>
      </c>
      <c r="BG266">
        <v>1</v>
      </c>
      <c r="BH266">
        <v>0</v>
      </c>
      <c r="BI266">
        <v>0</v>
      </c>
      <c r="BJ266">
        <v>0</v>
      </c>
      <c r="BK266">
        <v>1</v>
      </c>
      <c r="BL266">
        <v>1005</v>
      </c>
      <c r="BM266">
        <v>0</v>
      </c>
      <c r="BN266">
        <v>2</v>
      </c>
      <c r="BO266">
        <v>0</v>
      </c>
      <c r="BP266">
        <v>1</v>
      </c>
      <c r="BQ266">
        <v>1</v>
      </c>
      <c r="BR266">
        <v>0</v>
      </c>
      <c r="BS266">
        <v>0</v>
      </c>
      <c r="BT266">
        <v>0</v>
      </c>
      <c r="BU266">
        <v>1</v>
      </c>
      <c r="BV266">
        <v>0</v>
      </c>
      <c r="BW266">
        <v>969</v>
      </c>
      <c r="BX266">
        <v>0</v>
      </c>
      <c r="BY266">
        <v>4</v>
      </c>
      <c r="BZ266">
        <v>0</v>
      </c>
      <c r="CA266">
        <v>0</v>
      </c>
      <c r="CB266">
        <v>8</v>
      </c>
      <c r="CC266">
        <v>3</v>
      </c>
      <c r="CD266">
        <v>0</v>
      </c>
      <c r="CE266">
        <v>1</v>
      </c>
      <c r="CF266">
        <v>24</v>
      </c>
      <c r="CG266">
        <v>0</v>
      </c>
      <c r="CH266">
        <v>847</v>
      </c>
      <c r="CI266">
        <v>15</v>
      </c>
      <c r="CJ266">
        <v>1</v>
      </c>
      <c r="CK266">
        <v>0</v>
      </c>
      <c r="CL266">
        <v>1</v>
      </c>
      <c r="CM266">
        <v>1</v>
      </c>
      <c r="CN266">
        <v>2</v>
      </c>
      <c r="CO266">
        <v>0</v>
      </c>
      <c r="CP266">
        <v>1</v>
      </c>
      <c r="CQ266">
        <v>1</v>
      </c>
      <c r="CR266">
        <v>1</v>
      </c>
      <c r="CS266">
        <v>952</v>
      </c>
      <c r="CT266">
        <v>0</v>
      </c>
      <c r="CU266">
        <v>0</v>
      </c>
      <c r="CV266">
        <v>0</v>
      </c>
      <c r="CW266">
        <v>0</v>
      </c>
      <c r="CX266">
        <v>2</v>
      </c>
      <c r="CY266">
        <v>12</v>
      </c>
      <c r="CZ266">
        <v>5</v>
      </c>
      <c r="DA266">
        <v>0</v>
      </c>
      <c r="DB266">
        <v>0</v>
      </c>
      <c r="DC266">
        <v>0</v>
      </c>
      <c r="DD266">
        <v>1005</v>
      </c>
      <c r="DE266">
        <v>0</v>
      </c>
      <c r="DF266">
        <v>4</v>
      </c>
      <c r="DG266">
        <v>3</v>
      </c>
      <c r="DH266">
        <v>1</v>
      </c>
      <c r="DI266">
        <v>5</v>
      </c>
      <c r="DJ266">
        <v>29</v>
      </c>
      <c r="DK266">
        <v>8</v>
      </c>
      <c r="DL266">
        <v>8</v>
      </c>
      <c r="DM266">
        <v>20</v>
      </c>
      <c r="DN266">
        <v>4</v>
      </c>
      <c r="DO266">
        <v>887</v>
      </c>
      <c r="DP266">
        <v>9</v>
      </c>
      <c r="DQ266">
        <v>0</v>
      </c>
      <c r="DR266">
        <v>0</v>
      </c>
      <c r="DS266">
        <v>0</v>
      </c>
      <c r="DT266">
        <v>4</v>
      </c>
      <c r="DU266">
        <v>9</v>
      </c>
      <c r="DV266">
        <v>5</v>
      </c>
      <c r="DW266">
        <v>0</v>
      </c>
      <c r="DX266">
        <v>2</v>
      </c>
      <c r="DY266">
        <v>0</v>
      </c>
      <c r="DZ266">
        <v>989</v>
      </c>
      <c r="EA266">
        <v>0.97509999999999997</v>
      </c>
      <c r="EB266">
        <v>0.97562639836111797</v>
      </c>
      <c r="EC266">
        <v>0.97449024183674404</v>
      </c>
      <c r="ED266">
        <v>0.97463677921534297</v>
      </c>
      <c r="EE266">
        <f>SUM(Table1[[#This Row],[ratio_0]:[ratio_9]])</f>
        <v>730</v>
      </c>
      <c r="EF266" s="1">
        <f>(Table1[[#This Row],[predicted_0]]-Table1[[#This Row],[actual_0]])/Table1[[#This Row],[actual_0]]</f>
        <v>-1.8367346938775512E-2</v>
      </c>
      <c r="EG266" s="1">
        <f>(Table1[[#This Row],[predicted_1]]-Table1[[#This Row],[actual_1]])/Table1[[#This Row],[actual_1]]</f>
        <v>-4.4052863436123352E-3</v>
      </c>
      <c r="EH266" s="1">
        <f>(Table1[[#This Row],[predicted_2]]-Table1[[#This Row],[actual_2]])/Table1[[#This Row],[actual_2]]</f>
        <v>9.6899224806201549E-3</v>
      </c>
      <c r="EI266" s="1">
        <f>(Table1[[#This Row],[predicted_3]]-Table1[[#This Row],[actual_3]])/Table1[[#This Row],[actual_3]]</f>
        <v>7.2277227722772272E-2</v>
      </c>
      <c r="EJ266" s="1">
        <f>(Table1[[#This Row],[predicted_4]]-Table1[[#This Row],[actual_4]])/Table1[[#This Row],[actual_4]]</f>
        <v>6.1099796334012219E-3</v>
      </c>
      <c r="EK266" s="1">
        <f>(Table1[[#This Row],[predicted_5]]-Table1[[#This Row],[actual_5]])/Table1[[#This Row],[actual_5]]</f>
        <v>-3.0269058295964126E-2</v>
      </c>
      <c r="EL266" s="1">
        <f>(Table1[[#This Row],[predicted_6]]-Table1[[#This Row],[actual_6]])/Table1[[#This Row],[actual_6]]</f>
        <v>5.4279749478079335E-2</v>
      </c>
      <c r="EM266" s="1">
        <f>(Table1[[#This Row],[predicted_7]]-Table1[[#This Row],[actual_7]])/Table1[[#This Row],[actual_7]]</f>
        <v>-1.0700389105058366E-2</v>
      </c>
      <c r="EN266" s="1">
        <f>(Table1[[#This Row],[predicted_8]]-Table1[[#This Row],[actual_8]])/Table1[[#This Row],[actual_8]]</f>
        <v>-8.7268993839835732E-2</v>
      </c>
      <c r="EO266" s="1">
        <f>(Table1[[#This Row],[predicted_9]]-Table1[[#This Row],[actual_9]])/Table1[[#This Row],[actual_9]]</f>
        <v>4.9554013875123884E-3</v>
      </c>
      <c r="EP266" s="1">
        <f>1+(Table1[[#This Row],[error_ratio_0]]-EF$2)</f>
        <v>0.97959183673469385</v>
      </c>
      <c r="EQ266" s="1">
        <f>1+(Table1[[#This Row],[error_ratio_1]]-EG$2)</f>
        <v>0.99383259911894273</v>
      </c>
      <c r="ER266" s="1">
        <f>1+(Table1[[#This Row],[error_ratio_2]]-EH$2)</f>
        <v>1.0145348837209303</v>
      </c>
      <c r="ES266" s="1">
        <f>1+(Table1[[#This Row],[error_ratio_3]]-EI$2)</f>
        <v>1.0623762376237624</v>
      </c>
      <c r="ET266" s="1">
        <f>1+(Table1[[#This Row],[error_ratio_4]]-EJ$2)</f>
        <v>1.005091649694501</v>
      </c>
      <c r="EU266" s="1">
        <f>1+(Table1[[#This Row],[error_ratio_5]]-EK$2)</f>
        <v>0.96860986547085204</v>
      </c>
      <c r="EV266" s="1">
        <f>1+(Table1[[#This Row],[error_ratio_6]]-EL$2)</f>
        <v>1.0605427974947808</v>
      </c>
      <c r="EW266" s="1">
        <f>1+(Table1[[#This Row],[error_ratio_7]]-EM$2)</f>
        <v>0.98735408560311289</v>
      </c>
      <c r="EX266" s="1">
        <f>1+(Table1[[#This Row],[error_ratio_8]]-EN$2)</f>
        <v>0.91581108829568791</v>
      </c>
      <c r="EY266" s="1">
        <f>1+(Table1[[#This Row],[error_ratio_9]]-EO$2)</f>
        <v>1.0089197224975224</v>
      </c>
    </row>
    <row r="267" spans="1:155" x14ac:dyDescent="0.75">
      <c r="A267">
        <v>100</v>
      </c>
      <c r="B267">
        <v>10</v>
      </c>
      <c r="C267">
        <v>100</v>
      </c>
      <c r="D267">
        <v>100</v>
      </c>
      <c r="E267">
        <v>100</v>
      </c>
      <c r="F267">
        <v>10</v>
      </c>
      <c r="G267">
        <v>100</v>
      </c>
      <c r="H267">
        <v>100</v>
      </c>
      <c r="I267">
        <v>10</v>
      </c>
      <c r="J267">
        <v>100</v>
      </c>
      <c r="K267">
        <v>989</v>
      </c>
      <c r="L267">
        <v>1129</v>
      </c>
      <c r="M267">
        <v>1052</v>
      </c>
      <c r="N267">
        <v>1029</v>
      </c>
      <c r="O267">
        <v>966</v>
      </c>
      <c r="P267">
        <v>880</v>
      </c>
      <c r="Q267">
        <v>970</v>
      </c>
      <c r="R267">
        <v>994</v>
      </c>
      <c r="S267">
        <v>937</v>
      </c>
      <c r="T267">
        <v>1054</v>
      </c>
      <c r="U267">
        <v>980</v>
      </c>
      <c r="V267">
        <v>1135</v>
      </c>
      <c r="W267">
        <v>1032</v>
      </c>
      <c r="X267">
        <v>1010</v>
      </c>
      <c r="Y267">
        <v>982</v>
      </c>
      <c r="Z267">
        <v>892</v>
      </c>
      <c r="AA267">
        <v>958</v>
      </c>
      <c r="AB267">
        <v>1028</v>
      </c>
      <c r="AC267">
        <v>974</v>
      </c>
      <c r="AD267">
        <v>1009</v>
      </c>
      <c r="AE267">
        <v>974</v>
      </c>
      <c r="AF267">
        <v>0</v>
      </c>
      <c r="AG267">
        <v>0</v>
      </c>
      <c r="AH267">
        <v>1</v>
      </c>
      <c r="AI267">
        <v>0</v>
      </c>
      <c r="AJ267">
        <v>0</v>
      </c>
      <c r="AK267">
        <v>1</v>
      </c>
      <c r="AL267">
        <v>1</v>
      </c>
      <c r="AM267">
        <v>2</v>
      </c>
      <c r="AN267">
        <v>1</v>
      </c>
      <c r="AO267">
        <v>0</v>
      </c>
      <c r="AP267">
        <v>1123</v>
      </c>
      <c r="AQ267">
        <v>3</v>
      </c>
      <c r="AR267">
        <v>2</v>
      </c>
      <c r="AS267">
        <v>0</v>
      </c>
      <c r="AT267">
        <v>2</v>
      </c>
      <c r="AU267">
        <v>4</v>
      </c>
      <c r="AV267">
        <v>0</v>
      </c>
      <c r="AW267">
        <v>0</v>
      </c>
      <c r="AX267">
        <v>1</v>
      </c>
      <c r="AY267">
        <v>2</v>
      </c>
      <c r="AZ267">
        <v>1</v>
      </c>
      <c r="BA267">
        <v>1022</v>
      </c>
      <c r="BB267">
        <v>2</v>
      </c>
      <c r="BC267">
        <v>1</v>
      </c>
      <c r="BD267">
        <v>0</v>
      </c>
      <c r="BE267">
        <v>0</v>
      </c>
      <c r="BF267">
        <v>2</v>
      </c>
      <c r="BG267">
        <v>1</v>
      </c>
      <c r="BH267">
        <v>1</v>
      </c>
      <c r="BI267">
        <v>0</v>
      </c>
      <c r="BJ267">
        <v>0</v>
      </c>
      <c r="BK267">
        <v>2</v>
      </c>
      <c r="BL267">
        <v>998</v>
      </c>
      <c r="BM267">
        <v>0</v>
      </c>
      <c r="BN267">
        <v>7</v>
      </c>
      <c r="BO267">
        <v>0</v>
      </c>
      <c r="BP267">
        <v>0</v>
      </c>
      <c r="BQ267">
        <v>2</v>
      </c>
      <c r="BR267">
        <v>1</v>
      </c>
      <c r="BS267">
        <v>0</v>
      </c>
      <c r="BT267">
        <v>0</v>
      </c>
      <c r="BU267">
        <v>1</v>
      </c>
      <c r="BV267">
        <v>0</v>
      </c>
      <c r="BW267">
        <v>961</v>
      </c>
      <c r="BX267">
        <v>0</v>
      </c>
      <c r="BY267">
        <v>4</v>
      </c>
      <c r="BZ267">
        <v>1</v>
      </c>
      <c r="CA267">
        <v>0</v>
      </c>
      <c r="CB267">
        <v>15</v>
      </c>
      <c r="CC267">
        <v>2</v>
      </c>
      <c r="CD267">
        <v>0</v>
      </c>
      <c r="CE267">
        <v>0</v>
      </c>
      <c r="CF267">
        <v>11</v>
      </c>
      <c r="CG267">
        <v>0</v>
      </c>
      <c r="CH267">
        <v>863</v>
      </c>
      <c r="CI267">
        <v>8</v>
      </c>
      <c r="CJ267">
        <v>0</v>
      </c>
      <c r="CK267">
        <v>3</v>
      </c>
      <c r="CL267">
        <v>5</v>
      </c>
      <c r="CM267">
        <v>5</v>
      </c>
      <c r="CN267">
        <v>2</v>
      </c>
      <c r="CO267">
        <v>0</v>
      </c>
      <c r="CP267">
        <v>1</v>
      </c>
      <c r="CQ267">
        <v>1</v>
      </c>
      <c r="CR267">
        <v>1</v>
      </c>
      <c r="CS267">
        <v>948</v>
      </c>
      <c r="CT267">
        <v>0</v>
      </c>
      <c r="CU267">
        <v>0</v>
      </c>
      <c r="CV267">
        <v>0</v>
      </c>
      <c r="CW267">
        <v>1</v>
      </c>
      <c r="CX267">
        <v>3</v>
      </c>
      <c r="CY267">
        <v>18</v>
      </c>
      <c r="CZ267">
        <v>7</v>
      </c>
      <c r="DA267">
        <v>0</v>
      </c>
      <c r="DB267">
        <v>1</v>
      </c>
      <c r="DC267">
        <v>0</v>
      </c>
      <c r="DD267">
        <v>988</v>
      </c>
      <c r="DE267">
        <v>1</v>
      </c>
      <c r="DF267">
        <v>9</v>
      </c>
      <c r="DG267">
        <v>3</v>
      </c>
      <c r="DH267">
        <v>0</v>
      </c>
      <c r="DI267">
        <v>6</v>
      </c>
      <c r="DJ267">
        <v>7</v>
      </c>
      <c r="DK267">
        <v>2</v>
      </c>
      <c r="DL267">
        <v>3</v>
      </c>
      <c r="DM267">
        <v>5</v>
      </c>
      <c r="DN267">
        <v>2</v>
      </c>
      <c r="DO267">
        <v>928</v>
      </c>
      <c r="DP267">
        <v>18</v>
      </c>
      <c r="DQ267">
        <v>2</v>
      </c>
      <c r="DR267">
        <v>0</v>
      </c>
      <c r="DS267">
        <v>0</v>
      </c>
      <c r="DT267">
        <v>0</v>
      </c>
      <c r="DU267">
        <v>1</v>
      </c>
      <c r="DV267">
        <v>3</v>
      </c>
      <c r="DW267">
        <v>0</v>
      </c>
      <c r="DX267">
        <v>0</v>
      </c>
      <c r="DY267">
        <v>0</v>
      </c>
      <c r="DZ267">
        <v>1003</v>
      </c>
      <c r="EA267">
        <v>0.98080000000000001</v>
      </c>
      <c r="EB267">
        <v>0.98096722663063196</v>
      </c>
      <c r="EC267">
        <v>0.98053142867762799</v>
      </c>
      <c r="ED267">
        <v>0.98060374684247997</v>
      </c>
      <c r="EE267">
        <f>SUM(Table1[[#This Row],[ratio_0]:[ratio_9]])</f>
        <v>730</v>
      </c>
      <c r="EF267" s="1">
        <f>(Table1[[#This Row],[predicted_0]]-Table1[[#This Row],[actual_0]])/Table1[[#This Row],[actual_0]]</f>
        <v>9.1836734693877559E-3</v>
      </c>
      <c r="EG267" s="1">
        <f>(Table1[[#This Row],[predicted_1]]-Table1[[#This Row],[actual_1]])/Table1[[#This Row],[actual_1]]</f>
        <v>-5.2863436123348016E-3</v>
      </c>
      <c r="EH267" s="1">
        <f>(Table1[[#This Row],[predicted_2]]-Table1[[#This Row],[actual_2]])/Table1[[#This Row],[actual_2]]</f>
        <v>1.937984496124031E-2</v>
      </c>
      <c r="EI267" s="1">
        <f>(Table1[[#This Row],[predicted_3]]-Table1[[#This Row],[actual_3]])/Table1[[#This Row],[actual_3]]</f>
        <v>1.8811881188118811E-2</v>
      </c>
      <c r="EJ267" s="1">
        <f>(Table1[[#This Row],[predicted_4]]-Table1[[#This Row],[actual_4]])/Table1[[#This Row],[actual_4]]</f>
        <v>-1.6293279022403257E-2</v>
      </c>
      <c r="EK267" s="1">
        <f>(Table1[[#This Row],[predicted_5]]-Table1[[#This Row],[actual_5]])/Table1[[#This Row],[actual_5]]</f>
        <v>-1.3452914798206279E-2</v>
      </c>
      <c r="EL267" s="1">
        <f>(Table1[[#This Row],[predicted_6]]-Table1[[#This Row],[actual_6]])/Table1[[#This Row],[actual_6]]</f>
        <v>1.2526096033402923E-2</v>
      </c>
      <c r="EM267" s="1">
        <f>(Table1[[#This Row],[predicted_7]]-Table1[[#This Row],[actual_7]])/Table1[[#This Row],[actual_7]]</f>
        <v>-3.3073929961089495E-2</v>
      </c>
      <c r="EN267" s="1">
        <f>(Table1[[#This Row],[predicted_8]]-Table1[[#This Row],[actual_8]])/Table1[[#This Row],[actual_8]]</f>
        <v>-3.7987679671457907E-2</v>
      </c>
      <c r="EO267" s="1">
        <f>(Table1[[#This Row],[predicted_9]]-Table1[[#This Row],[actual_9]])/Table1[[#This Row],[actual_9]]</f>
        <v>4.4598612487611496E-2</v>
      </c>
      <c r="EP267" s="1">
        <f>1+(Table1[[#This Row],[error_ratio_0]]-EF$2)</f>
        <v>1.0071428571428571</v>
      </c>
      <c r="EQ267" s="1">
        <f>1+(Table1[[#This Row],[error_ratio_1]]-EG$2)</f>
        <v>0.99295154185022028</v>
      </c>
      <c r="ER267" s="1">
        <f>1+(Table1[[#This Row],[error_ratio_2]]-EH$2)</f>
        <v>1.0242248062015504</v>
      </c>
      <c r="ES267" s="1">
        <f>1+(Table1[[#This Row],[error_ratio_3]]-EI$2)</f>
        <v>1.0089108910891089</v>
      </c>
      <c r="ET267" s="1">
        <f>1+(Table1[[#This Row],[error_ratio_4]]-EJ$2)</f>
        <v>0.98268839103869654</v>
      </c>
      <c r="EU267" s="1">
        <f>1+(Table1[[#This Row],[error_ratio_5]]-EK$2)</f>
        <v>0.98542600896860988</v>
      </c>
      <c r="EV267" s="1">
        <f>1+(Table1[[#This Row],[error_ratio_6]]-EL$2)</f>
        <v>1.0187891440501045</v>
      </c>
      <c r="EW267" s="1">
        <f>1+(Table1[[#This Row],[error_ratio_7]]-EM$2)</f>
        <v>0.96498054474708173</v>
      </c>
      <c r="EX267" s="1">
        <f>1+(Table1[[#This Row],[error_ratio_8]]-EN$2)</f>
        <v>0.96509240246406569</v>
      </c>
      <c r="EY267" s="1">
        <f>1+(Table1[[#This Row],[error_ratio_9]]-EO$2)</f>
        <v>1.0485629335976214</v>
      </c>
    </row>
    <row r="268" spans="1:155" x14ac:dyDescent="0.75">
      <c r="A268">
        <v>10</v>
      </c>
      <c r="B268">
        <v>10</v>
      </c>
      <c r="C268">
        <v>100</v>
      </c>
      <c r="D268">
        <v>100</v>
      </c>
      <c r="E268">
        <v>100</v>
      </c>
      <c r="F268">
        <v>10</v>
      </c>
      <c r="G268">
        <v>100</v>
      </c>
      <c r="H268">
        <v>100</v>
      </c>
      <c r="I268">
        <v>10</v>
      </c>
      <c r="J268">
        <v>100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10000</v>
      </c>
      <c r="S268">
        <v>0</v>
      </c>
      <c r="T268">
        <v>0</v>
      </c>
      <c r="U268">
        <v>980</v>
      </c>
      <c r="V268">
        <v>1135</v>
      </c>
      <c r="W268">
        <v>1032</v>
      </c>
      <c r="X268">
        <v>1010</v>
      </c>
      <c r="Y268">
        <v>982</v>
      </c>
      <c r="Z268">
        <v>892</v>
      </c>
      <c r="AA268">
        <v>958</v>
      </c>
      <c r="AB268">
        <v>1028</v>
      </c>
      <c r="AC268">
        <v>974</v>
      </c>
      <c r="AD268">
        <v>1009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980</v>
      </c>
      <c r="AM268">
        <v>0</v>
      </c>
      <c r="AN268">
        <v>0</v>
      </c>
      <c r="AO268">
        <v>0</v>
      </c>
      <c r="AP268">
        <v>0</v>
      </c>
      <c r="AQ268">
        <v>0</v>
      </c>
      <c r="AR268">
        <v>0</v>
      </c>
      <c r="AS268">
        <v>0</v>
      </c>
      <c r="AT268">
        <v>0</v>
      </c>
      <c r="AU268">
        <v>0</v>
      </c>
      <c r="AV268">
        <v>1135</v>
      </c>
      <c r="AW268">
        <v>0</v>
      </c>
      <c r="AX268">
        <v>0</v>
      </c>
      <c r="AY268">
        <v>0</v>
      </c>
      <c r="AZ268">
        <v>0</v>
      </c>
      <c r="BA268">
        <v>0</v>
      </c>
      <c r="BB268">
        <v>0</v>
      </c>
      <c r="BC268">
        <v>0</v>
      </c>
      <c r="BD268">
        <v>0</v>
      </c>
      <c r="BE268">
        <v>0</v>
      </c>
      <c r="BF268">
        <v>1032</v>
      </c>
      <c r="BG268">
        <v>0</v>
      </c>
      <c r="BH268">
        <v>0</v>
      </c>
      <c r="BI268">
        <v>0</v>
      </c>
      <c r="BJ268">
        <v>0</v>
      </c>
      <c r="BK268">
        <v>0</v>
      </c>
      <c r="BL268">
        <v>0</v>
      </c>
      <c r="BM268">
        <v>0</v>
      </c>
      <c r="BN268">
        <v>0</v>
      </c>
      <c r="BO268">
        <v>0</v>
      </c>
      <c r="BP268">
        <v>1010</v>
      </c>
      <c r="BQ268">
        <v>0</v>
      </c>
      <c r="BR268">
        <v>0</v>
      </c>
      <c r="BS268">
        <v>0</v>
      </c>
      <c r="BT268">
        <v>0</v>
      </c>
      <c r="BU268">
        <v>0</v>
      </c>
      <c r="BV268">
        <v>0</v>
      </c>
      <c r="BW268">
        <v>0</v>
      </c>
      <c r="BX268">
        <v>0</v>
      </c>
      <c r="BY268">
        <v>0</v>
      </c>
      <c r="BZ268">
        <v>982</v>
      </c>
      <c r="CA268">
        <v>0</v>
      </c>
      <c r="CB268">
        <v>0</v>
      </c>
      <c r="CC268">
        <v>0</v>
      </c>
      <c r="CD268">
        <v>0</v>
      </c>
      <c r="CE268">
        <v>0</v>
      </c>
      <c r="CF268">
        <v>0</v>
      </c>
      <c r="CG268">
        <v>0</v>
      </c>
      <c r="CH268">
        <v>0</v>
      </c>
      <c r="CI268">
        <v>0</v>
      </c>
      <c r="CJ268">
        <v>892</v>
      </c>
      <c r="CK268">
        <v>0</v>
      </c>
      <c r="CL268">
        <v>0</v>
      </c>
      <c r="CM268">
        <v>0</v>
      </c>
      <c r="CN268">
        <v>0</v>
      </c>
      <c r="CO268">
        <v>0</v>
      </c>
      <c r="CP268">
        <v>0</v>
      </c>
      <c r="CQ268">
        <v>0</v>
      </c>
      <c r="CR268">
        <v>0</v>
      </c>
      <c r="CS268">
        <v>0</v>
      </c>
      <c r="CT268">
        <v>958</v>
      </c>
      <c r="CU268">
        <v>0</v>
      </c>
      <c r="CV268">
        <v>0</v>
      </c>
      <c r="CW268">
        <v>0</v>
      </c>
      <c r="CX268">
        <v>0</v>
      </c>
      <c r="CY268">
        <v>0</v>
      </c>
      <c r="CZ268">
        <v>0</v>
      </c>
      <c r="DA268">
        <v>0</v>
      </c>
      <c r="DB268">
        <v>0</v>
      </c>
      <c r="DC268">
        <v>0</v>
      </c>
      <c r="DD268">
        <v>1028</v>
      </c>
      <c r="DE268">
        <v>0</v>
      </c>
      <c r="DF268">
        <v>0</v>
      </c>
      <c r="DG268">
        <v>0</v>
      </c>
      <c r="DH268">
        <v>0</v>
      </c>
      <c r="DI268">
        <v>0</v>
      </c>
      <c r="DJ268">
        <v>0</v>
      </c>
      <c r="DK268">
        <v>0</v>
      </c>
      <c r="DL268">
        <v>0</v>
      </c>
      <c r="DM268">
        <v>0</v>
      </c>
      <c r="DN268">
        <v>974</v>
      </c>
      <c r="DO268">
        <v>0</v>
      </c>
      <c r="DP268">
        <v>0</v>
      </c>
      <c r="DQ268">
        <v>0</v>
      </c>
      <c r="DR268">
        <v>0</v>
      </c>
      <c r="DS268">
        <v>0</v>
      </c>
      <c r="DT268">
        <v>0</v>
      </c>
      <c r="DU268">
        <v>0</v>
      </c>
      <c r="DV268">
        <v>0</v>
      </c>
      <c r="DW268">
        <v>0</v>
      </c>
      <c r="DX268">
        <v>1009</v>
      </c>
      <c r="DY268">
        <v>0</v>
      </c>
      <c r="DZ268">
        <v>0</v>
      </c>
      <c r="EA268">
        <v>0.1028</v>
      </c>
      <c r="EB268">
        <v>0.1028</v>
      </c>
      <c r="EC268">
        <v>0.1</v>
      </c>
      <c r="ED268">
        <v>0.186434530286543</v>
      </c>
      <c r="EE268">
        <f>SUM(Table1[[#This Row],[ratio_0]:[ratio_9]])</f>
        <v>640</v>
      </c>
      <c r="EF268" s="1">
        <f>(Table1[[#This Row],[predicted_0]]-Table1[[#This Row],[actual_0]])/Table1[[#This Row],[actual_0]]</f>
        <v>-1</v>
      </c>
      <c r="EG268" s="1">
        <f>(Table1[[#This Row],[predicted_1]]-Table1[[#This Row],[actual_1]])/Table1[[#This Row],[actual_1]]</f>
        <v>-1</v>
      </c>
      <c r="EH268" s="1">
        <f>(Table1[[#This Row],[predicted_2]]-Table1[[#This Row],[actual_2]])/Table1[[#This Row],[actual_2]]</f>
        <v>-1</v>
      </c>
      <c r="EI268" s="1">
        <f>(Table1[[#This Row],[predicted_3]]-Table1[[#This Row],[actual_3]])/Table1[[#This Row],[actual_3]]</f>
        <v>-1</v>
      </c>
      <c r="EJ268" s="1">
        <f>(Table1[[#This Row],[predicted_4]]-Table1[[#This Row],[actual_4]])/Table1[[#This Row],[actual_4]]</f>
        <v>-1</v>
      </c>
      <c r="EK268" s="1">
        <f>(Table1[[#This Row],[predicted_5]]-Table1[[#This Row],[actual_5]])/Table1[[#This Row],[actual_5]]</f>
        <v>-1</v>
      </c>
      <c r="EL268" s="1">
        <f>(Table1[[#This Row],[predicted_6]]-Table1[[#This Row],[actual_6]])/Table1[[#This Row],[actual_6]]</f>
        <v>-1</v>
      </c>
      <c r="EM268" s="1">
        <f>(Table1[[#This Row],[predicted_7]]-Table1[[#This Row],[actual_7]])/Table1[[#This Row],[actual_7]]</f>
        <v>8.7276264591439681</v>
      </c>
      <c r="EN268" s="1">
        <f>(Table1[[#This Row],[predicted_8]]-Table1[[#This Row],[actual_8]])/Table1[[#This Row],[actual_8]]</f>
        <v>-1</v>
      </c>
      <c r="EO268" s="1">
        <f>(Table1[[#This Row],[predicted_9]]-Table1[[#This Row],[actual_9]])/Table1[[#This Row],[actual_9]]</f>
        <v>-1</v>
      </c>
      <c r="EP268" s="1">
        <f>1+(Table1[[#This Row],[error_ratio_0]]-EF$2)</f>
        <v>-2.0408163265306367E-3</v>
      </c>
      <c r="EQ268" s="1">
        <f>1+(Table1[[#This Row],[error_ratio_1]]-EG$2)</f>
        <v>-1.7621145374449032E-3</v>
      </c>
      <c r="ER268" s="1">
        <f>1+(Table1[[#This Row],[error_ratio_2]]-EH$2)</f>
        <v>4.8449612403100861E-3</v>
      </c>
      <c r="ES268" s="1">
        <f>1+(Table1[[#This Row],[error_ratio_3]]-EI$2)</f>
        <v>-9.9009900990099098E-3</v>
      </c>
      <c r="ET268" s="1">
        <f>1+(Table1[[#This Row],[error_ratio_4]]-EJ$2)</f>
        <v>-1.0183299389001643E-3</v>
      </c>
      <c r="EU268" s="1">
        <f>1+(Table1[[#This Row],[error_ratio_5]]-EK$2)</f>
        <v>-1.1210762331839152E-3</v>
      </c>
      <c r="EV268" s="1">
        <f>1+(Table1[[#This Row],[error_ratio_6]]-EL$2)</f>
        <v>6.2630480167014113E-3</v>
      </c>
      <c r="EW268" s="1">
        <f>1+(Table1[[#This Row],[error_ratio_7]]-EM$2)</f>
        <v>9.7256809338521393</v>
      </c>
      <c r="EX268" s="1">
        <f>1+(Table1[[#This Row],[error_ratio_8]]-EN$2)</f>
        <v>3.0800821355235763E-3</v>
      </c>
      <c r="EY268" s="1">
        <f>1+(Table1[[#This Row],[error_ratio_9]]-EO$2)</f>
        <v>3.964321110009883E-3</v>
      </c>
    </row>
    <row r="269" spans="1:155" x14ac:dyDescent="0.75">
      <c r="A269">
        <v>100</v>
      </c>
      <c r="B269">
        <v>100</v>
      </c>
      <c r="C269">
        <v>10</v>
      </c>
      <c r="D269">
        <v>100</v>
      </c>
      <c r="E269">
        <v>100</v>
      </c>
      <c r="F269">
        <v>10</v>
      </c>
      <c r="G269">
        <v>100</v>
      </c>
      <c r="H269">
        <v>100</v>
      </c>
      <c r="I269">
        <v>10</v>
      </c>
      <c r="J269">
        <v>100</v>
      </c>
      <c r="K269">
        <v>985</v>
      </c>
      <c r="L269">
        <v>1140</v>
      </c>
      <c r="M269">
        <v>973</v>
      </c>
      <c r="N269">
        <v>1116</v>
      </c>
      <c r="O269">
        <v>971</v>
      </c>
      <c r="P269">
        <v>818</v>
      </c>
      <c r="Q269">
        <v>981</v>
      </c>
      <c r="R269">
        <v>1070</v>
      </c>
      <c r="S269">
        <v>912</v>
      </c>
      <c r="T269">
        <v>1034</v>
      </c>
      <c r="U269">
        <v>980</v>
      </c>
      <c r="V269">
        <v>1135</v>
      </c>
      <c r="W269">
        <v>1032</v>
      </c>
      <c r="X269">
        <v>1010</v>
      </c>
      <c r="Y269">
        <v>982</v>
      </c>
      <c r="Z269">
        <v>892</v>
      </c>
      <c r="AA269">
        <v>958</v>
      </c>
      <c r="AB269">
        <v>1028</v>
      </c>
      <c r="AC269">
        <v>974</v>
      </c>
      <c r="AD269">
        <v>1009</v>
      </c>
      <c r="AE269">
        <v>972</v>
      </c>
      <c r="AF269">
        <v>0</v>
      </c>
      <c r="AG269">
        <v>0</v>
      </c>
      <c r="AH269">
        <v>1</v>
      </c>
      <c r="AI269">
        <v>0</v>
      </c>
      <c r="AJ269">
        <v>0</v>
      </c>
      <c r="AK269">
        <v>3</v>
      </c>
      <c r="AL269">
        <v>3</v>
      </c>
      <c r="AM269">
        <v>1</v>
      </c>
      <c r="AN269">
        <v>0</v>
      </c>
      <c r="AO269">
        <v>0</v>
      </c>
      <c r="AP269">
        <v>1128</v>
      </c>
      <c r="AQ269">
        <v>0</v>
      </c>
      <c r="AR269">
        <v>1</v>
      </c>
      <c r="AS269">
        <v>0</v>
      </c>
      <c r="AT269">
        <v>1</v>
      </c>
      <c r="AU269">
        <v>3</v>
      </c>
      <c r="AV269">
        <v>2</v>
      </c>
      <c r="AW269">
        <v>0</v>
      </c>
      <c r="AX269">
        <v>0</v>
      </c>
      <c r="AY269">
        <v>1</v>
      </c>
      <c r="AZ269">
        <v>7</v>
      </c>
      <c r="BA269">
        <v>961</v>
      </c>
      <c r="BB269">
        <v>37</v>
      </c>
      <c r="BC269">
        <v>3</v>
      </c>
      <c r="BD269">
        <v>0</v>
      </c>
      <c r="BE269">
        <v>4</v>
      </c>
      <c r="BF269">
        <v>19</v>
      </c>
      <c r="BG269">
        <v>0</v>
      </c>
      <c r="BH269">
        <v>0</v>
      </c>
      <c r="BI269">
        <v>0</v>
      </c>
      <c r="BJ269">
        <v>0</v>
      </c>
      <c r="BK269">
        <v>1</v>
      </c>
      <c r="BL269">
        <v>1005</v>
      </c>
      <c r="BM269">
        <v>0</v>
      </c>
      <c r="BN269">
        <v>0</v>
      </c>
      <c r="BO269">
        <v>0</v>
      </c>
      <c r="BP269">
        <v>3</v>
      </c>
      <c r="BQ269">
        <v>1</v>
      </c>
      <c r="BR269">
        <v>0</v>
      </c>
      <c r="BS269">
        <v>1</v>
      </c>
      <c r="BT269">
        <v>0</v>
      </c>
      <c r="BU269">
        <v>1</v>
      </c>
      <c r="BV269">
        <v>0</v>
      </c>
      <c r="BW269">
        <v>963</v>
      </c>
      <c r="BX269">
        <v>0</v>
      </c>
      <c r="BY269">
        <v>6</v>
      </c>
      <c r="BZ269">
        <v>3</v>
      </c>
      <c r="CA269">
        <v>0</v>
      </c>
      <c r="CB269">
        <v>8</v>
      </c>
      <c r="CC269">
        <v>4</v>
      </c>
      <c r="CD269">
        <v>0</v>
      </c>
      <c r="CE269">
        <v>0</v>
      </c>
      <c r="CF269">
        <v>42</v>
      </c>
      <c r="CG269">
        <v>0</v>
      </c>
      <c r="CH269">
        <v>815</v>
      </c>
      <c r="CI269">
        <v>8</v>
      </c>
      <c r="CJ269">
        <v>3</v>
      </c>
      <c r="CK269">
        <v>8</v>
      </c>
      <c r="CL269">
        <v>12</v>
      </c>
      <c r="CM269">
        <v>4</v>
      </c>
      <c r="CN269">
        <v>2</v>
      </c>
      <c r="CO269">
        <v>0</v>
      </c>
      <c r="CP269">
        <v>1</v>
      </c>
      <c r="CQ269">
        <v>1</v>
      </c>
      <c r="CR269">
        <v>0</v>
      </c>
      <c r="CS269">
        <v>950</v>
      </c>
      <c r="CT269">
        <v>0</v>
      </c>
      <c r="CU269">
        <v>0</v>
      </c>
      <c r="CV269">
        <v>0</v>
      </c>
      <c r="CW269">
        <v>0</v>
      </c>
      <c r="CX269">
        <v>2</v>
      </c>
      <c r="CY269">
        <v>3</v>
      </c>
      <c r="CZ269">
        <v>0</v>
      </c>
      <c r="DA269">
        <v>0</v>
      </c>
      <c r="DB269">
        <v>0</v>
      </c>
      <c r="DC269">
        <v>0</v>
      </c>
      <c r="DD269">
        <v>1019</v>
      </c>
      <c r="DE269">
        <v>0</v>
      </c>
      <c r="DF269">
        <v>4</v>
      </c>
      <c r="DG269">
        <v>2</v>
      </c>
      <c r="DH269">
        <v>1</v>
      </c>
      <c r="DI269">
        <v>7</v>
      </c>
      <c r="DJ269">
        <v>23</v>
      </c>
      <c r="DK269">
        <v>3</v>
      </c>
      <c r="DL269">
        <v>0</v>
      </c>
      <c r="DM269">
        <v>7</v>
      </c>
      <c r="DN269">
        <v>12</v>
      </c>
      <c r="DO269">
        <v>902</v>
      </c>
      <c r="DP269">
        <v>17</v>
      </c>
      <c r="DQ269">
        <v>1</v>
      </c>
      <c r="DR269">
        <v>0</v>
      </c>
      <c r="DS269">
        <v>0</v>
      </c>
      <c r="DT269">
        <v>6</v>
      </c>
      <c r="DU269">
        <v>1</v>
      </c>
      <c r="DV269">
        <v>2</v>
      </c>
      <c r="DW269">
        <v>0</v>
      </c>
      <c r="DX269">
        <v>6</v>
      </c>
      <c r="DY269">
        <v>0</v>
      </c>
      <c r="DZ269">
        <v>993</v>
      </c>
      <c r="EA269">
        <v>0.9708</v>
      </c>
      <c r="EB269">
        <v>0.97226932387699405</v>
      </c>
      <c r="EC269">
        <v>0.96993644001618795</v>
      </c>
      <c r="ED269">
        <v>0.97043032170451904</v>
      </c>
      <c r="EE269">
        <f>SUM(Table1[[#This Row],[ratio_0]:[ratio_9]])</f>
        <v>730</v>
      </c>
      <c r="EF269" s="1">
        <f>(Table1[[#This Row],[predicted_0]]-Table1[[#This Row],[actual_0]])/Table1[[#This Row],[actual_0]]</f>
        <v>5.1020408163265302E-3</v>
      </c>
      <c r="EG269" s="1">
        <f>(Table1[[#This Row],[predicted_1]]-Table1[[#This Row],[actual_1]])/Table1[[#This Row],[actual_1]]</f>
        <v>4.4052863436123352E-3</v>
      </c>
      <c r="EH269" s="1">
        <f>(Table1[[#This Row],[predicted_2]]-Table1[[#This Row],[actual_2]])/Table1[[#This Row],[actual_2]]</f>
        <v>-5.7170542635658912E-2</v>
      </c>
      <c r="EI269" s="1">
        <f>(Table1[[#This Row],[predicted_3]]-Table1[[#This Row],[actual_3]])/Table1[[#This Row],[actual_3]]</f>
        <v>0.10495049504950495</v>
      </c>
      <c r="EJ269" s="1">
        <f>(Table1[[#This Row],[predicted_4]]-Table1[[#This Row],[actual_4]])/Table1[[#This Row],[actual_4]]</f>
        <v>-1.1201629327902239E-2</v>
      </c>
      <c r="EK269" s="1">
        <f>(Table1[[#This Row],[predicted_5]]-Table1[[#This Row],[actual_5]])/Table1[[#This Row],[actual_5]]</f>
        <v>-8.2959641255605385E-2</v>
      </c>
      <c r="EL269" s="1">
        <f>(Table1[[#This Row],[predicted_6]]-Table1[[#This Row],[actual_6]])/Table1[[#This Row],[actual_6]]</f>
        <v>2.4008350730688934E-2</v>
      </c>
      <c r="EM269" s="1">
        <f>(Table1[[#This Row],[predicted_7]]-Table1[[#This Row],[actual_7]])/Table1[[#This Row],[actual_7]]</f>
        <v>4.085603112840467E-2</v>
      </c>
      <c r="EN269" s="1">
        <f>(Table1[[#This Row],[predicted_8]]-Table1[[#This Row],[actual_8]])/Table1[[#This Row],[actual_8]]</f>
        <v>-6.3655030800821355E-2</v>
      </c>
      <c r="EO269" s="1">
        <f>(Table1[[#This Row],[predicted_9]]-Table1[[#This Row],[actual_9]])/Table1[[#This Row],[actual_9]]</f>
        <v>2.4777006937561942E-2</v>
      </c>
      <c r="EP269" s="1">
        <f>1+(Table1[[#This Row],[error_ratio_0]]-EF$2)</f>
        <v>1.0030612244897958</v>
      </c>
      <c r="EQ269" s="1">
        <f>1+(Table1[[#This Row],[error_ratio_1]]-EG$2)</f>
        <v>1.0026431718061675</v>
      </c>
      <c r="ER269" s="1">
        <f>1+(Table1[[#This Row],[error_ratio_2]]-EH$2)</f>
        <v>0.94767441860465118</v>
      </c>
      <c r="ES269" s="1">
        <f>1+(Table1[[#This Row],[error_ratio_3]]-EI$2)</f>
        <v>1.0950495049504951</v>
      </c>
      <c r="ET269" s="1">
        <f>1+(Table1[[#This Row],[error_ratio_4]]-EJ$2)</f>
        <v>0.98778004073319758</v>
      </c>
      <c r="EU269" s="1">
        <f>1+(Table1[[#This Row],[error_ratio_5]]-EK$2)</f>
        <v>0.9159192825112108</v>
      </c>
      <c r="EV269" s="1">
        <f>1+(Table1[[#This Row],[error_ratio_6]]-EL$2)</f>
        <v>1.0302713987473904</v>
      </c>
      <c r="EW269" s="1">
        <f>1+(Table1[[#This Row],[error_ratio_7]]-EM$2)</f>
        <v>1.038910505836576</v>
      </c>
      <c r="EX269" s="1">
        <f>1+(Table1[[#This Row],[error_ratio_8]]-EN$2)</f>
        <v>0.93942505133470222</v>
      </c>
      <c r="EY269" s="1">
        <f>1+(Table1[[#This Row],[error_ratio_9]]-EO$2)</f>
        <v>1.0287413280475719</v>
      </c>
    </row>
    <row r="270" spans="1:155" x14ac:dyDescent="0.75">
      <c r="A270">
        <v>10</v>
      </c>
      <c r="B270">
        <v>100</v>
      </c>
      <c r="C270">
        <v>10</v>
      </c>
      <c r="D270">
        <v>100</v>
      </c>
      <c r="E270">
        <v>100</v>
      </c>
      <c r="F270">
        <v>10</v>
      </c>
      <c r="G270">
        <v>100</v>
      </c>
      <c r="H270">
        <v>100</v>
      </c>
      <c r="I270">
        <v>10</v>
      </c>
      <c r="J270">
        <v>100</v>
      </c>
      <c r="K270">
        <v>953</v>
      </c>
      <c r="L270">
        <v>1161</v>
      </c>
      <c r="M270">
        <v>960</v>
      </c>
      <c r="N270">
        <v>1028</v>
      </c>
      <c r="O270">
        <v>1017</v>
      </c>
      <c r="P270">
        <v>894</v>
      </c>
      <c r="Q270">
        <v>989</v>
      </c>
      <c r="R270">
        <v>1075</v>
      </c>
      <c r="S270">
        <v>907</v>
      </c>
      <c r="T270">
        <v>1016</v>
      </c>
      <c r="U270">
        <v>980</v>
      </c>
      <c r="V270">
        <v>1135</v>
      </c>
      <c r="W270">
        <v>1032</v>
      </c>
      <c r="X270">
        <v>1010</v>
      </c>
      <c r="Y270">
        <v>982</v>
      </c>
      <c r="Z270">
        <v>892</v>
      </c>
      <c r="AA270">
        <v>958</v>
      </c>
      <c r="AB270">
        <v>1028</v>
      </c>
      <c r="AC270">
        <v>974</v>
      </c>
      <c r="AD270">
        <v>1009</v>
      </c>
      <c r="AE270">
        <v>945</v>
      </c>
      <c r="AF270">
        <v>2</v>
      </c>
      <c r="AG270">
        <v>0</v>
      </c>
      <c r="AH270">
        <v>0</v>
      </c>
      <c r="AI270">
        <v>3</v>
      </c>
      <c r="AJ270">
        <v>6</v>
      </c>
      <c r="AK270">
        <v>13</v>
      </c>
      <c r="AL270">
        <v>4</v>
      </c>
      <c r="AM270">
        <v>1</v>
      </c>
      <c r="AN270">
        <v>6</v>
      </c>
      <c r="AO270">
        <v>0</v>
      </c>
      <c r="AP270">
        <v>1129</v>
      </c>
      <c r="AQ270">
        <v>0</v>
      </c>
      <c r="AR270">
        <v>1</v>
      </c>
      <c r="AS270">
        <v>0</v>
      </c>
      <c r="AT270">
        <v>3</v>
      </c>
      <c r="AU270">
        <v>2</v>
      </c>
      <c r="AV270">
        <v>0</v>
      </c>
      <c r="AW270">
        <v>0</v>
      </c>
      <c r="AX270">
        <v>0</v>
      </c>
      <c r="AY270">
        <v>0</v>
      </c>
      <c r="AZ270">
        <v>10</v>
      </c>
      <c r="BA270">
        <v>955</v>
      </c>
      <c r="BB270">
        <v>16</v>
      </c>
      <c r="BC270">
        <v>7</v>
      </c>
      <c r="BD270">
        <v>2</v>
      </c>
      <c r="BE270">
        <v>6</v>
      </c>
      <c r="BF270">
        <v>31</v>
      </c>
      <c r="BG270">
        <v>1</v>
      </c>
      <c r="BH270">
        <v>4</v>
      </c>
      <c r="BI270">
        <v>0</v>
      </c>
      <c r="BJ270">
        <v>0</v>
      </c>
      <c r="BK270">
        <v>0</v>
      </c>
      <c r="BL270">
        <v>996</v>
      </c>
      <c r="BM270">
        <v>0</v>
      </c>
      <c r="BN270">
        <v>3</v>
      </c>
      <c r="BO270">
        <v>0</v>
      </c>
      <c r="BP270">
        <v>6</v>
      </c>
      <c r="BQ270">
        <v>0</v>
      </c>
      <c r="BR270">
        <v>5</v>
      </c>
      <c r="BS270">
        <v>0</v>
      </c>
      <c r="BT270">
        <v>0</v>
      </c>
      <c r="BU270">
        <v>0</v>
      </c>
      <c r="BV270">
        <v>0</v>
      </c>
      <c r="BW270">
        <v>981</v>
      </c>
      <c r="BX270">
        <v>0</v>
      </c>
      <c r="BY270">
        <v>1</v>
      </c>
      <c r="BZ270">
        <v>0</v>
      </c>
      <c r="CA270">
        <v>0</v>
      </c>
      <c r="CB270">
        <v>0</v>
      </c>
      <c r="CC270">
        <v>2</v>
      </c>
      <c r="CD270">
        <v>1</v>
      </c>
      <c r="CE270">
        <v>0</v>
      </c>
      <c r="CF270">
        <v>8</v>
      </c>
      <c r="CG270">
        <v>0</v>
      </c>
      <c r="CH270">
        <v>867</v>
      </c>
      <c r="CI270">
        <v>7</v>
      </c>
      <c r="CJ270">
        <v>1</v>
      </c>
      <c r="CK270">
        <v>0</v>
      </c>
      <c r="CL270">
        <v>6</v>
      </c>
      <c r="CM270">
        <v>1</v>
      </c>
      <c r="CN270">
        <v>4</v>
      </c>
      <c r="CO270">
        <v>0</v>
      </c>
      <c r="CP270">
        <v>0</v>
      </c>
      <c r="CQ270">
        <v>1</v>
      </c>
      <c r="CR270">
        <v>2</v>
      </c>
      <c r="CS270">
        <v>950</v>
      </c>
      <c r="CT270">
        <v>0</v>
      </c>
      <c r="CU270">
        <v>0</v>
      </c>
      <c r="CV270">
        <v>0</v>
      </c>
      <c r="CW270">
        <v>0</v>
      </c>
      <c r="CX270">
        <v>4</v>
      </c>
      <c r="CY270">
        <v>4</v>
      </c>
      <c r="CZ270">
        <v>0</v>
      </c>
      <c r="DA270">
        <v>0</v>
      </c>
      <c r="DB270">
        <v>0</v>
      </c>
      <c r="DC270">
        <v>0</v>
      </c>
      <c r="DD270">
        <v>1017</v>
      </c>
      <c r="DE270">
        <v>0</v>
      </c>
      <c r="DF270">
        <v>3</v>
      </c>
      <c r="DG270">
        <v>4</v>
      </c>
      <c r="DH270">
        <v>7</v>
      </c>
      <c r="DI270">
        <v>1</v>
      </c>
      <c r="DJ270">
        <v>6</v>
      </c>
      <c r="DK270">
        <v>9</v>
      </c>
      <c r="DL270">
        <v>8</v>
      </c>
      <c r="DM270">
        <v>10</v>
      </c>
      <c r="DN270">
        <v>8</v>
      </c>
      <c r="DO270">
        <v>905</v>
      </c>
      <c r="DP270">
        <v>16</v>
      </c>
      <c r="DQ270">
        <v>1</v>
      </c>
      <c r="DR270">
        <v>4</v>
      </c>
      <c r="DS270">
        <v>0</v>
      </c>
      <c r="DT270">
        <v>1</v>
      </c>
      <c r="DU270">
        <v>16</v>
      </c>
      <c r="DV270">
        <v>3</v>
      </c>
      <c r="DW270">
        <v>0</v>
      </c>
      <c r="DX270">
        <v>8</v>
      </c>
      <c r="DY270">
        <v>0</v>
      </c>
      <c r="DZ270">
        <v>976</v>
      </c>
      <c r="EA270">
        <v>0.97209999999999996</v>
      </c>
      <c r="EB270">
        <v>0.97271442896498095</v>
      </c>
      <c r="EC270">
        <v>0.97188816875968698</v>
      </c>
      <c r="ED270">
        <v>0.97190986239536603</v>
      </c>
      <c r="EE270">
        <f>SUM(Table1[[#This Row],[ratio_0]:[ratio_9]])</f>
        <v>640</v>
      </c>
      <c r="EF270" s="1">
        <f>(Table1[[#This Row],[predicted_0]]-Table1[[#This Row],[actual_0]])/Table1[[#This Row],[actual_0]]</f>
        <v>-2.7551020408163266E-2</v>
      </c>
      <c r="EG270" s="1">
        <f>(Table1[[#This Row],[predicted_1]]-Table1[[#This Row],[actual_1]])/Table1[[#This Row],[actual_1]]</f>
        <v>2.2907488986784141E-2</v>
      </c>
      <c r="EH270" s="1">
        <f>(Table1[[#This Row],[predicted_2]]-Table1[[#This Row],[actual_2]])/Table1[[#This Row],[actual_2]]</f>
        <v>-6.9767441860465115E-2</v>
      </c>
      <c r="EI270" s="1">
        <f>(Table1[[#This Row],[predicted_3]]-Table1[[#This Row],[actual_3]])/Table1[[#This Row],[actual_3]]</f>
        <v>1.782178217821782E-2</v>
      </c>
      <c r="EJ270" s="1">
        <f>(Table1[[#This Row],[predicted_4]]-Table1[[#This Row],[actual_4]])/Table1[[#This Row],[actual_4]]</f>
        <v>3.5641547861507125E-2</v>
      </c>
      <c r="EK270" s="1">
        <f>(Table1[[#This Row],[predicted_5]]-Table1[[#This Row],[actual_5]])/Table1[[#This Row],[actual_5]]</f>
        <v>2.242152466367713E-3</v>
      </c>
      <c r="EL270" s="1">
        <f>(Table1[[#This Row],[predicted_6]]-Table1[[#This Row],[actual_6]])/Table1[[#This Row],[actual_6]]</f>
        <v>3.2359081419624215E-2</v>
      </c>
      <c r="EM270" s="1">
        <f>(Table1[[#This Row],[predicted_7]]-Table1[[#This Row],[actual_7]])/Table1[[#This Row],[actual_7]]</f>
        <v>4.5719844357976651E-2</v>
      </c>
      <c r="EN270" s="1">
        <f>(Table1[[#This Row],[predicted_8]]-Table1[[#This Row],[actual_8]])/Table1[[#This Row],[actual_8]]</f>
        <v>-6.8788501026694052E-2</v>
      </c>
      <c r="EO270" s="1">
        <f>(Table1[[#This Row],[predicted_9]]-Table1[[#This Row],[actual_9]])/Table1[[#This Row],[actual_9]]</f>
        <v>6.9375619425173438E-3</v>
      </c>
      <c r="EP270" s="1">
        <f>1+(Table1[[#This Row],[error_ratio_0]]-EF$2)</f>
        <v>0.9704081632653061</v>
      </c>
      <c r="EQ270" s="1">
        <f>1+(Table1[[#This Row],[error_ratio_1]]-EG$2)</f>
        <v>1.0211453744493393</v>
      </c>
      <c r="ER270" s="1">
        <f>1+(Table1[[#This Row],[error_ratio_2]]-EH$2)</f>
        <v>0.93507751937984496</v>
      </c>
      <c r="ES270" s="1">
        <f>1+(Table1[[#This Row],[error_ratio_3]]-EI$2)</f>
        <v>1.0079207920792079</v>
      </c>
      <c r="ET270" s="1">
        <f>1+(Table1[[#This Row],[error_ratio_4]]-EJ$2)</f>
        <v>1.0346232179226069</v>
      </c>
      <c r="EU270" s="1">
        <f>1+(Table1[[#This Row],[error_ratio_5]]-EK$2)</f>
        <v>1.0011210762331839</v>
      </c>
      <c r="EV270" s="1">
        <f>1+(Table1[[#This Row],[error_ratio_6]]-EL$2)</f>
        <v>1.0386221294363256</v>
      </c>
      <c r="EW270" s="1">
        <f>1+(Table1[[#This Row],[error_ratio_7]]-EM$2)</f>
        <v>1.0437743190661479</v>
      </c>
      <c r="EX270" s="1">
        <f>1+(Table1[[#This Row],[error_ratio_8]]-EN$2)</f>
        <v>0.93429158110882959</v>
      </c>
      <c r="EY270" s="1">
        <f>1+(Table1[[#This Row],[error_ratio_9]]-EO$2)</f>
        <v>1.0109018830525272</v>
      </c>
    </row>
    <row r="271" spans="1:155" x14ac:dyDescent="0.75">
      <c r="A271">
        <v>100</v>
      </c>
      <c r="B271">
        <v>10</v>
      </c>
      <c r="C271">
        <v>10</v>
      </c>
      <c r="D271">
        <v>100</v>
      </c>
      <c r="E271">
        <v>100</v>
      </c>
      <c r="F271">
        <v>10</v>
      </c>
      <c r="G271">
        <v>100</v>
      </c>
      <c r="H271">
        <v>100</v>
      </c>
      <c r="I271">
        <v>10</v>
      </c>
      <c r="J271">
        <v>100</v>
      </c>
      <c r="K271">
        <v>1008</v>
      </c>
      <c r="L271">
        <v>1110</v>
      </c>
      <c r="M271">
        <v>993</v>
      </c>
      <c r="N271">
        <v>1136</v>
      </c>
      <c r="O271">
        <v>984</v>
      </c>
      <c r="P271">
        <v>815</v>
      </c>
      <c r="Q271">
        <v>958</v>
      </c>
      <c r="R271">
        <v>1038</v>
      </c>
      <c r="S271">
        <v>912</v>
      </c>
      <c r="T271">
        <v>1046</v>
      </c>
      <c r="U271">
        <v>980</v>
      </c>
      <c r="V271">
        <v>1135</v>
      </c>
      <c r="W271">
        <v>1032</v>
      </c>
      <c r="X271">
        <v>1010</v>
      </c>
      <c r="Y271">
        <v>982</v>
      </c>
      <c r="Z271">
        <v>892</v>
      </c>
      <c r="AA271">
        <v>958</v>
      </c>
      <c r="AB271">
        <v>1028</v>
      </c>
      <c r="AC271">
        <v>974</v>
      </c>
      <c r="AD271">
        <v>1009</v>
      </c>
      <c r="AE271">
        <v>976</v>
      </c>
      <c r="AF271">
        <v>0</v>
      </c>
      <c r="AG271">
        <v>0</v>
      </c>
      <c r="AH271">
        <v>0</v>
      </c>
      <c r="AI271">
        <v>1</v>
      </c>
      <c r="AJ271">
        <v>0</v>
      </c>
      <c r="AK271">
        <v>0</v>
      </c>
      <c r="AL271">
        <v>2</v>
      </c>
      <c r="AM271">
        <v>0</v>
      </c>
      <c r="AN271">
        <v>1</v>
      </c>
      <c r="AO271">
        <v>0</v>
      </c>
      <c r="AP271">
        <v>1107</v>
      </c>
      <c r="AQ271">
        <v>2</v>
      </c>
      <c r="AR271">
        <v>10</v>
      </c>
      <c r="AS271">
        <v>1</v>
      </c>
      <c r="AT271">
        <v>0</v>
      </c>
      <c r="AU271">
        <v>4</v>
      </c>
      <c r="AV271">
        <v>7</v>
      </c>
      <c r="AW271">
        <v>0</v>
      </c>
      <c r="AX271">
        <v>4</v>
      </c>
      <c r="AY271">
        <v>5</v>
      </c>
      <c r="AZ271">
        <v>1</v>
      </c>
      <c r="BA271">
        <v>983</v>
      </c>
      <c r="BB271">
        <v>23</v>
      </c>
      <c r="BC271">
        <v>7</v>
      </c>
      <c r="BD271">
        <v>0</v>
      </c>
      <c r="BE271">
        <v>1</v>
      </c>
      <c r="BF271">
        <v>10</v>
      </c>
      <c r="BG271">
        <v>1</v>
      </c>
      <c r="BH271">
        <v>1</v>
      </c>
      <c r="BI271">
        <v>0</v>
      </c>
      <c r="BJ271">
        <v>0</v>
      </c>
      <c r="BK271">
        <v>1</v>
      </c>
      <c r="BL271">
        <v>1008</v>
      </c>
      <c r="BM271">
        <v>0</v>
      </c>
      <c r="BN271">
        <v>1</v>
      </c>
      <c r="BO271">
        <v>0</v>
      </c>
      <c r="BP271">
        <v>0</v>
      </c>
      <c r="BQ271">
        <v>0</v>
      </c>
      <c r="BR271">
        <v>0</v>
      </c>
      <c r="BS271">
        <v>0</v>
      </c>
      <c r="BT271">
        <v>0</v>
      </c>
      <c r="BU271">
        <v>0</v>
      </c>
      <c r="BV271">
        <v>0</v>
      </c>
      <c r="BW271">
        <v>968</v>
      </c>
      <c r="BX271">
        <v>0</v>
      </c>
      <c r="BY271">
        <v>0</v>
      </c>
      <c r="BZ271">
        <v>0</v>
      </c>
      <c r="CA271">
        <v>0</v>
      </c>
      <c r="CB271">
        <v>14</v>
      </c>
      <c r="CC271">
        <v>7</v>
      </c>
      <c r="CD271">
        <v>0</v>
      </c>
      <c r="CE271">
        <v>1</v>
      </c>
      <c r="CF271">
        <v>59</v>
      </c>
      <c r="CG271">
        <v>0</v>
      </c>
      <c r="CH271">
        <v>808</v>
      </c>
      <c r="CI271">
        <v>8</v>
      </c>
      <c r="CJ271">
        <v>1</v>
      </c>
      <c r="CK271">
        <v>4</v>
      </c>
      <c r="CL271">
        <v>4</v>
      </c>
      <c r="CM271">
        <v>9</v>
      </c>
      <c r="CN271">
        <v>1</v>
      </c>
      <c r="CO271">
        <v>1</v>
      </c>
      <c r="CP271">
        <v>0</v>
      </c>
      <c r="CQ271">
        <v>5</v>
      </c>
      <c r="CR271">
        <v>1</v>
      </c>
      <c r="CS271">
        <v>941</v>
      </c>
      <c r="CT271">
        <v>0</v>
      </c>
      <c r="CU271">
        <v>0</v>
      </c>
      <c r="CV271">
        <v>0</v>
      </c>
      <c r="CW271">
        <v>1</v>
      </c>
      <c r="CX271">
        <v>1</v>
      </c>
      <c r="CY271">
        <v>2</v>
      </c>
      <c r="CZ271">
        <v>3</v>
      </c>
      <c r="DA271">
        <v>0</v>
      </c>
      <c r="DB271">
        <v>0</v>
      </c>
      <c r="DC271">
        <v>0</v>
      </c>
      <c r="DD271">
        <v>1011</v>
      </c>
      <c r="DE271">
        <v>0</v>
      </c>
      <c r="DF271">
        <v>10</v>
      </c>
      <c r="DG271">
        <v>9</v>
      </c>
      <c r="DH271">
        <v>0</v>
      </c>
      <c r="DI271">
        <v>3</v>
      </c>
      <c r="DJ271">
        <v>29</v>
      </c>
      <c r="DK271">
        <v>1</v>
      </c>
      <c r="DL271">
        <v>1</v>
      </c>
      <c r="DM271">
        <v>4</v>
      </c>
      <c r="DN271">
        <v>7</v>
      </c>
      <c r="DO271">
        <v>907</v>
      </c>
      <c r="DP271">
        <v>13</v>
      </c>
      <c r="DQ271">
        <v>1</v>
      </c>
      <c r="DR271">
        <v>0</v>
      </c>
      <c r="DS271">
        <v>0</v>
      </c>
      <c r="DT271">
        <v>4</v>
      </c>
      <c r="DU271">
        <v>1</v>
      </c>
      <c r="DV271">
        <v>4</v>
      </c>
      <c r="DW271">
        <v>0</v>
      </c>
      <c r="DX271">
        <v>0</v>
      </c>
      <c r="DY271">
        <v>0</v>
      </c>
      <c r="DZ271">
        <v>999</v>
      </c>
      <c r="EA271">
        <v>0.9708</v>
      </c>
      <c r="EB271">
        <v>0.97237831981603495</v>
      </c>
      <c r="EC271">
        <v>0.97003793514195702</v>
      </c>
      <c r="ED271">
        <v>0.97048441972212596</v>
      </c>
      <c r="EE271">
        <f>SUM(Table1[[#This Row],[ratio_0]:[ratio_9]])</f>
        <v>640</v>
      </c>
      <c r="EF271" s="1">
        <f>(Table1[[#This Row],[predicted_0]]-Table1[[#This Row],[actual_0]])/Table1[[#This Row],[actual_0]]</f>
        <v>2.8571428571428571E-2</v>
      </c>
      <c r="EG271" s="1">
        <f>(Table1[[#This Row],[predicted_1]]-Table1[[#This Row],[actual_1]])/Table1[[#This Row],[actual_1]]</f>
        <v>-2.2026431718061675E-2</v>
      </c>
      <c r="EH271" s="1">
        <f>(Table1[[#This Row],[predicted_2]]-Table1[[#This Row],[actual_2]])/Table1[[#This Row],[actual_2]]</f>
        <v>-3.7790697674418602E-2</v>
      </c>
      <c r="EI271" s="1">
        <f>(Table1[[#This Row],[predicted_3]]-Table1[[#This Row],[actual_3]])/Table1[[#This Row],[actual_3]]</f>
        <v>0.12475247524752475</v>
      </c>
      <c r="EJ271" s="1">
        <f>(Table1[[#This Row],[predicted_4]]-Table1[[#This Row],[actual_4]])/Table1[[#This Row],[actual_4]]</f>
        <v>2.0366598778004071E-3</v>
      </c>
      <c r="EK271" s="1">
        <f>(Table1[[#This Row],[predicted_5]]-Table1[[#This Row],[actual_5]])/Table1[[#This Row],[actual_5]]</f>
        <v>-8.632286995515695E-2</v>
      </c>
      <c r="EL271" s="1">
        <f>(Table1[[#This Row],[predicted_6]]-Table1[[#This Row],[actual_6]])/Table1[[#This Row],[actual_6]]</f>
        <v>0</v>
      </c>
      <c r="EM271" s="1">
        <f>(Table1[[#This Row],[predicted_7]]-Table1[[#This Row],[actual_7]])/Table1[[#This Row],[actual_7]]</f>
        <v>9.727626459143969E-3</v>
      </c>
      <c r="EN271" s="1">
        <f>(Table1[[#This Row],[predicted_8]]-Table1[[#This Row],[actual_8]])/Table1[[#This Row],[actual_8]]</f>
        <v>-6.3655030800821355E-2</v>
      </c>
      <c r="EO271" s="1">
        <f>(Table1[[#This Row],[predicted_9]]-Table1[[#This Row],[actual_9]])/Table1[[#This Row],[actual_9]]</f>
        <v>3.6669970267591674E-2</v>
      </c>
      <c r="EP271" s="1">
        <f>1+(Table1[[#This Row],[error_ratio_0]]-EF$2)</f>
        <v>1.0265306122448981</v>
      </c>
      <c r="EQ271" s="1">
        <f>1+(Table1[[#This Row],[error_ratio_1]]-EG$2)</f>
        <v>0.97621145374449336</v>
      </c>
      <c r="ER271" s="1">
        <f>1+(Table1[[#This Row],[error_ratio_2]]-EH$2)</f>
        <v>0.96705426356589153</v>
      </c>
      <c r="ES271" s="1">
        <f>1+(Table1[[#This Row],[error_ratio_3]]-EI$2)</f>
        <v>1.114851485148515</v>
      </c>
      <c r="ET271" s="1">
        <f>1+(Table1[[#This Row],[error_ratio_4]]-EJ$2)</f>
        <v>1.0010183299389002</v>
      </c>
      <c r="EU271" s="1">
        <f>1+(Table1[[#This Row],[error_ratio_5]]-EK$2)</f>
        <v>0.91255605381165916</v>
      </c>
      <c r="EV271" s="1">
        <f>1+(Table1[[#This Row],[error_ratio_6]]-EL$2)</f>
        <v>1.0062630480167014</v>
      </c>
      <c r="EW271" s="1">
        <f>1+(Table1[[#This Row],[error_ratio_7]]-EM$2)</f>
        <v>1.0077821011673151</v>
      </c>
      <c r="EX271" s="1">
        <f>1+(Table1[[#This Row],[error_ratio_8]]-EN$2)</f>
        <v>0.93942505133470222</v>
      </c>
      <c r="EY271" s="1">
        <f>1+(Table1[[#This Row],[error_ratio_9]]-EO$2)</f>
        <v>1.0406342913776017</v>
      </c>
    </row>
    <row r="272" spans="1:155" x14ac:dyDescent="0.75">
      <c r="A272">
        <v>10</v>
      </c>
      <c r="B272">
        <v>10</v>
      </c>
      <c r="C272">
        <v>10</v>
      </c>
      <c r="D272">
        <v>100</v>
      </c>
      <c r="E272">
        <v>100</v>
      </c>
      <c r="F272">
        <v>10</v>
      </c>
      <c r="G272">
        <v>100</v>
      </c>
      <c r="H272">
        <v>100</v>
      </c>
      <c r="I272">
        <v>10</v>
      </c>
      <c r="J272">
        <v>100</v>
      </c>
      <c r="K272">
        <v>991</v>
      </c>
      <c r="L272">
        <v>1137</v>
      </c>
      <c r="M272">
        <v>1009</v>
      </c>
      <c r="N272">
        <v>1015</v>
      </c>
      <c r="O272">
        <v>1017</v>
      </c>
      <c r="P272">
        <v>741</v>
      </c>
      <c r="Q272">
        <v>1022</v>
      </c>
      <c r="R272">
        <v>1067</v>
      </c>
      <c r="S272">
        <v>952</v>
      </c>
      <c r="T272">
        <v>1049</v>
      </c>
      <c r="U272">
        <v>980</v>
      </c>
      <c r="V272">
        <v>1135</v>
      </c>
      <c r="W272">
        <v>1032</v>
      </c>
      <c r="X272">
        <v>1010</v>
      </c>
      <c r="Y272">
        <v>982</v>
      </c>
      <c r="Z272">
        <v>892</v>
      </c>
      <c r="AA272">
        <v>958</v>
      </c>
      <c r="AB272">
        <v>1028</v>
      </c>
      <c r="AC272">
        <v>974</v>
      </c>
      <c r="AD272">
        <v>1009</v>
      </c>
      <c r="AE272">
        <v>960</v>
      </c>
      <c r="AF272">
        <v>0</v>
      </c>
      <c r="AG272">
        <v>1</v>
      </c>
      <c r="AH272">
        <v>0</v>
      </c>
      <c r="AI272">
        <v>3</v>
      </c>
      <c r="AJ272">
        <v>0</v>
      </c>
      <c r="AK272">
        <v>9</v>
      </c>
      <c r="AL272">
        <v>2</v>
      </c>
      <c r="AM272">
        <v>4</v>
      </c>
      <c r="AN272">
        <v>1</v>
      </c>
      <c r="AO272">
        <v>0</v>
      </c>
      <c r="AP272">
        <v>1124</v>
      </c>
      <c r="AQ272">
        <v>4</v>
      </c>
      <c r="AR272">
        <v>0</v>
      </c>
      <c r="AS272">
        <v>0</v>
      </c>
      <c r="AT272">
        <v>0</v>
      </c>
      <c r="AU272">
        <v>2</v>
      </c>
      <c r="AV272">
        <v>0</v>
      </c>
      <c r="AW272">
        <v>3</v>
      </c>
      <c r="AX272">
        <v>2</v>
      </c>
      <c r="AY272">
        <v>4</v>
      </c>
      <c r="AZ272">
        <v>6</v>
      </c>
      <c r="BA272">
        <v>989</v>
      </c>
      <c r="BB272">
        <v>4</v>
      </c>
      <c r="BC272">
        <v>4</v>
      </c>
      <c r="BD272">
        <v>0</v>
      </c>
      <c r="BE272">
        <v>2</v>
      </c>
      <c r="BF272">
        <v>15</v>
      </c>
      <c r="BG272">
        <v>7</v>
      </c>
      <c r="BH272">
        <v>1</v>
      </c>
      <c r="BI272">
        <v>2</v>
      </c>
      <c r="BJ272">
        <v>1</v>
      </c>
      <c r="BK272">
        <v>4</v>
      </c>
      <c r="BL272">
        <v>988</v>
      </c>
      <c r="BM272">
        <v>0</v>
      </c>
      <c r="BN272">
        <v>2</v>
      </c>
      <c r="BO272">
        <v>1</v>
      </c>
      <c r="BP272">
        <v>7</v>
      </c>
      <c r="BQ272">
        <v>4</v>
      </c>
      <c r="BR272">
        <v>1</v>
      </c>
      <c r="BS272">
        <v>0</v>
      </c>
      <c r="BT272">
        <v>0</v>
      </c>
      <c r="BU272">
        <v>0</v>
      </c>
      <c r="BV272">
        <v>0</v>
      </c>
      <c r="BW272">
        <v>978</v>
      </c>
      <c r="BX272">
        <v>0</v>
      </c>
      <c r="BY272">
        <v>1</v>
      </c>
      <c r="BZ272">
        <v>0</v>
      </c>
      <c r="CA272">
        <v>0</v>
      </c>
      <c r="CB272">
        <v>3</v>
      </c>
      <c r="CC272">
        <v>12</v>
      </c>
      <c r="CD272">
        <v>0</v>
      </c>
      <c r="CE272">
        <v>1</v>
      </c>
      <c r="CF272">
        <v>17</v>
      </c>
      <c r="CG272">
        <v>8</v>
      </c>
      <c r="CH272">
        <v>737</v>
      </c>
      <c r="CI272">
        <v>46</v>
      </c>
      <c r="CJ272">
        <v>14</v>
      </c>
      <c r="CK272">
        <v>29</v>
      </c>
      <c r="CL272">
        <v>28</v>
      </c>
      <c r="CM272">
        <v>2</v>
      </c>
      <c r="CN272">
        <v>3</v>
      </c>
      <c r="CO272">
        <v>0</v>
      </c>
      <c r="CP272">
        <v>0</v>
      </c>
      <c r="CQ272">
        <v>3</v>
      </c>
      <c r="CR272">
        <v>1</v>
      </c>
      <c r="CS272">
        <v>949</v>
      </c>
      <c r="CT272">
        <v>0</v>
      </c>
      <c r="CU272">
        <v>0</v>
      </c>
      <c r="CV272">
        <v>0</v>
      </c>
      <c r="CW272">
        <v>1</v>
      </c>
      <c r="CX272">
        <v>2</v>
      </c>
      <c r="CY272">
        <v>5</v>
      </c>
      <c r="CZ272">
        <v>3</v>
      </c>
      <c r="DA272">
        <v>1</v>
      </c>
      <c r="DB272">
        <v>0</v>
      </c>
      <c r="DC272">
        <v>0</v>
      </c>
      <c r="DD272">
        <v>1012</v>
      </c>
      <c r="DE272">
        <v>0</v>
      </c>
      <c r="DF272">
        <v>4</v>
      </c>
      <c r="DG272">
        <v>5</v>
      </c>
      <c r="DH272">
        <v>1</v>
      </c>
      <c r="DI272">
        <v>5</v>
      </c>
      <c r="DJ272">
        <v>3</v>
      </c>
      <c r="DK272">
        <v>11</v>
      </c>
      <c r="DL272">
        <v>1</v>
      </c>
      <c r="DM272">
        <v>12</v>
      </c>
      <c r="DN272">
        <v>11</v>
      </c>
      <c r="DO272">
        <v>904</v>
      </c>
      <c r="DP272">
        <v>21</v>
      </c>
      <c r="DQ272">
        <v>5</v>
      </c>
      <c r="DR272">
        <v>0</v>
      </c>
      <c r="DS272">
        <v>0</v>
      </c>
      <c r="DT272">
        <v>0</v>
      </c>
      <c r="DU272">
        <v>9</v>
      </c>
      <c r="DV272">
        <v>0</v>
      </c>
      <c r="DW272">
        <v>0</v>
      </c>
      <c r="DX272">
        <v>6</v>
      </c>
      <c r="DY272">
        <v>1</v>
      </c>
      <c r="DZ272">
        <v>988</v>
      </c>
      <c r="EA272">
        <v>0.96289999999999998</v>
      </c>
      <c r="EB272">
        <v>0.96355703340951904</v>
      </c>
      <c r="EC272">
        <v>0.96109711826457001</v>
      </c>
      <c r="ED272">
        <v>0.96132033719201404</v>
      </c>
      <c r="EE272">
        <f>SUM(Table1[[#This Row],[ratio_0]:[ratio_9]])</f>
        <v>550</v>
      </c>
      <c r="EF272" s="1">
        <f>(Table1[[#This Row],[predicted_0]]-Table1[[#This Row],[actual_0]])/Table1[[#This Row],[actual_0]]</f>
        <v>1.1224489795918367E-2</v>
      </c>
      <c r="EG272" s="1">
        <f>(Table1[[#This Row],[predicted_1]]-Table1[[#This Row],[actual_1]])/Table1[[#This Row],[actual_1]]</f>
        <v>1.762114537444934E-3</v>
      </c>
      <c r="EH272" s="1">
        <f>(Table1[[#This Row],[predicted_2]]-Table1[[#This Row],[actual_2]])/Table1[[#This Row],[actual_2]]</f>
        <v>-2.2286821705426358E-2</v>
      </c>
      <c r="EI272" s="1">
        <f>(Table1[[#This Row],[predicted_3]]-Table1[[#This Row],[actual_3]])/Table1[[#This Row],[actual_3]]</f>
        <v>4.9504950495049506E-3</v>
      </c>
      <c r="EJ272" s="1">
        <f>(Table1[[#This Row],[predicted_4]]-Table1[[#This Row],[actual_4]])/Table1[[#This Row],[actual_4]]</f>
        <v>3.5641547861507125E-2</v>
      </c>
      <c r="EK272" s="1">
        <f>(Table1[[#This Row],[predicted_5]]-Table1[[#This Row],[actual_5]])/Table1[[#This Row],[actual_5]]</f>
        <v>-0.16928251121076232</v>
      </c>
      <c r="EL272" s="1">
        <f>(Table1[[#This Row],[predicted_6]]-Table1[[#This Row],[actual_6]])/Table1[[#This Row],[actual_6]]</f>
        <v>6.6805845511482248E-2</v>
      </c>
      <c r="EM272" s="1">
        <f>(Table1[[#This Row],[predicted_7]]-Table1[[#This Row],[actual_7]])/Table1[[#This Row],[actual_7]]</f>
        <v>3.7937743190661476E-2</v>
      </c>
      <c r="EN272" s="1">
        <f>(Table1[[#This Row],[predicted_8]]-Table1[[#This Row],[actual_8]])/Table1[[#This Row],[actual_8]]</f>
        <v>-2.2587268993839837E-2</v>
      </c>
      <c r="EO272" s="1">
        <f>(Table1[[#This Row],[predicted_9]]-Table1[[#This Row],[actual_9]])/Table1[[#This Row],[actual_9]]</f>
        <v>3.9643211100099107E-2</v>
      </c>
      <c r="EP272" s="1">
        <f>1+(Table1[[#This Row],[error_ratio_0]]-EF$2)</f>
        <v>1.0091836734693878</v>
      </c>
      <c r="EQ272" s="1">
        <f>1+(Table1[[#This Row],[error_ratio_1]]-EG$2)</f>
        <v>1</v>
      </c>
      <c r="ER272" s="1">
        <f>1+(Table1[[#This Row],[error_ratio_2]]-EH$2)</f>
        <v>0.98255813953488369</v>
      </c>
      <c r="ES272" s="1">
        <f>1+(Table1[[#This Row],[error_ratio_3]]-EI$2)</f>
        <v>0.99504950495049505</v>
      </c>
      <c r="ET272" s="1">
        <f>1+(Table1[[#This Row],[error_ratio_4]]-EJ$2)</f>
        <v>1.0346232179226069</v>
      </c>
      <c r="EU272" s="1">
        <f>1+(Table1[[#This Row],[error_ratio_5]]-EK$2)</f>
        <v>0.82959641255605376</v>
      </c>
      <c r="EV272" s="1">
        <f>1+(Table1[[#This Row],[error_ratio_6]]-EL$2)</f>
        <v>1.0730688935281838</v>
      </c>
      <c r="EW272" s="1">
        <f>1+(Table1[[#This Row],[error_ratio_7]]-EM$2)</f>
        <v>1.0359922178988328</v>
      </c>
      <c r="EX272" s="1">
        <f>1+(Table1[[#This Row],[error_ratio_8]]-EN$2)</f>
        <v>0.98049281314168379</v>
      </c>
      <c r="EY272" s="1">
        <f>1+(Table1[[#This Row],[error_ratio_9]]-EO$2)</f>
        <v>1.043607532210109</v>
      </c>
    </row>
    <row r="273" spans="1:155" x14ac:dyDescent="0.75">
      <c r="A273">
        <v>100</v>
      </c>
      <c r="B273">
        <v>100</v>
      </c>
      <c r="C273">
        <v>100</v>
      </c>
      <c r="D273">
        <v>10</v>
      </c>
      <c r="E273">
        <v>100</v>
      </c>
      <c r="F273">
        <v>10</v>
      </c>
      <c r="G273">
        <v>100</v>
      </c>
      <c r="H273">
        <v>100</v>
      </c>
      <c r="I273">
        <v>10</v>
      </c>
      <c r="J273">
        <v>100</v>
      </c>
      <c r="K273">
        <v>976</v>
      </c>
      <c r="L273">
        <v>1134</v>
      </c>
      <c r="M273">
        <v>1080</v>
      </c>
      <c r="N273">
        <v>929</v>
      </c>
      <c r="O273">
        <v>978</v>
      </c>
      <c r="P273">
        <v>913</v>
      </c>
      <c r="Q273">
        <v>948</v>
      </c>
      <c r="R273">
        <v>1044</v>
      </c>
      <c r="S273">
        <v>976</v>
      </c>
      <c r="T273">
        <v>1022</v>
      </c>
      <c r="U273">
        <v>980</v>
      </c>
      <c r="V273">
        <v>1135</v>
      </c>
      <c r="W273">
        <v>1032</v>
      </c>
      <c r="X273">
        <v>1010</v>
      </c>
      <c r="Y273">
        <v>982</v>
      </c>
      <c r="Z273">
        <v>892</v>
      </c>
      <c r="AA273">
        <v>958</v>
      </c>
      <c r="AB273">
        <v>1028</v>
      </c>
      <c r="AC273">
        <v>974</v>
      </c>
      <c r="AD273">
        <v>1009</v>
      </c>
      <c r="AE273">
        <v>968</v>
      </c>
      <c r="AF273">
        <v>0</v>
      </c>
      <c r="AG273">
        <v>2</v>
      </c>
      <c r="AH273">
        <v>0</v>
      </c>
      <c r="AI273">
        <v>0</v>
      </c>
      <c r="AJ273">
        <v>1</v>
      </c>
      <c r="AK273">
        <v>1</v>
      </c>
      <c r="AL273">
        <v>3</v>
      </c>
      <c r="AM273">
        <v>2</v>
      </c>
      <c r="AN273">
        <v>3</v>
      </c>
      <c r="AO273">
        <v>0</v>
      </c>
      <c r="AP273">
        <v>1128</v>
      </c>
      <c r="AQ273">
        <v>1</v>
      </c>
      <c r="AR273">
        <v>0</v>
      </c>
      <c r="AS273">
        <v>0</v>
      </c>
      <c r="AT273">
        <v>2</v>
      </c>
      <c r="AU273">
        <v>0</v>
      </c>
      <c r="AV273">
        <v>2</v>
      </c>
      <c r="AW273">
        <v>2</v>
      </c>
      <c r="AX273">
        <v>0</v>
      </c>
      <c r="AY273">
        <v>0</v>
      </c>
      <c r="AZ273">
        <v>1</v>
      </c>
      <c r="BA273">
        <v>1026</v>
      </c>
      <c r="BB273">
        <v>0</v>
      </c>
      <c r="BC273">
        <v>0</v>
      </c>
      <c r="BD273">
        <v>0</v>
      </c>
      <c r="BE273">
        <v>0</v>
      </c>
      <c r="BF273">
        <v>5</v>
      </c>
      <c r="BG273">
        <v>0</v>
      </c>
      <c r="BH273">
        <v>0</v>
      </c>
      <c r="BI273">
        <v>0</v>
      </c>
      <c r="BJ273">
        <v>0</v>
      </c>
      <c r="BK273">
        <v>23</v>
      </c>
      <c r="BL273">
        <v>926</v>
      </c>
      <c r="BM273">
        <v>0</v>
      </c>
      <c r="BN273">
        <v>30</v>
      </c>
      <c r="BO273">
        <v>0</v>
      </c>
      <c r="BP273">
        <v>8</v>
      </c>
      <c r="BQ273">
        <v>14</v>
      </c>
      <c r="BR273">
        <v>9</v>
      </c>
      <c r="BS273">
        <v>0</v>
      </c>
      <c r="BT273">
        <v>0</v>
      </c>
      <c r="BU273">
        <v>2</v>
      </c>
      <c r="BV273">
        <v>0</v>
      </c>
      <c r="BW273">
        <v>969</v>
      </c>
      <c r="BX273">
        <v>0</v>
      </c>
      <c r="BY273">
        <v>1</v>
      </c>
      <c r="BZ273">
        <v>0</v>
      </c>
      <c r="CA273">
        <v>0</v>
      </c>
      <c r="CB273">
        <v>10</v>
      </c>
      <c r="CC273">
        <v>2</v>
      </c>
      <c r="CD273">
        <v>0</v>
      </c>
      <c r="CE273">
        <v>1</v>
      </c>
      <c r="CF273">
        <v>1</v>
      </c>
      <c r="CG273">
        <v>0</v>
      </c>
      <c r="CH273">
        <v>871</v>
      </c>
      <c r="CI273">
        <v>4</v>
      </c>
      <c r="CJ273">
        <v>3</v>
      </c>
      <c r="CK273">
        <v>6</v>
      </c>
      <c r="CL273">
        <v>4</v>
      </c>
      <c r="CM273">
        <v>4</v>
      </c>
      <c r="CN273">
        <v>2</v>
      </c>
      <c r="CO273">
        <v>6</v>
      </c>
      <c r="CP273">
        <v>0</v>
      </c>
      <c r="CQ273">
        <v>3</v>
      </c>
      <c r="CR273">
        <v>2</v>
      </c>
      <c r="CS273">
        <v>939</v>
      </c>
      <c r="CT273">
        <v>0</v>
      </c>
      <c r="CU273">
        <v>2</v>
      </c>
      <c r="CV273">
        <v>0</v>
      </c>
      <c r="CW273">
        <v>0</v>
      </c>
      <c r="CX273">
        <v>1</v>
      </c>
      <c r="CY273">
        <v>10</v>
      </c>
      <c r="CZ273">
        <v>0</v>
      </c>
      <c r="DA273">
        <v>0</v>
      </c>
      <c r="DB273">
        <v>0</v>
      </c>
      <c r="DC273">
        <v>0</v>
      </c>
      <c r="DD273">
        <v>1016</v>
      </c>
      <c r="DE273">
        <v>1</v>
      </c>
      <c r="DF273">
        <v>0</v>
      </c>
      <c r="DG273">
        <v>2</v>
      </c>
      <c r="DH273">
        <v>0</v>
      </c>
      <c r="DI273">
        <v>8</v>
      </c>
      <c r="DJ273">
        <v>1</v>
      </c>
      <c r="DK273">
        <v>3</v>
      </c>
      <c r="DL273">
        <v>3</v>
      </c>
      <c r="DM273">
        <v>2</v>
      </c>
      <c r="DN273">
        <v>5</v>
      </c>
      <c r="DO273">
        <v>946</v>
      </c>
      <c r="DP273">
        <v>4</v>
      </c>
      <c r="DQ273">
        <v>0</v>
      </c>
      <c r="DR273">
        <v>2</v>
      </c>
      <c r="DS273">
        <v>1</v>
      </c>
      <c r="DT273">
        <v>1</v>
      </c>
      <c r="DU273">
        <v>3</v>
      </c>
      <c r="DV273">
        <v>4</v>
      </c>
      <c r="DW273">
        <v>1</v>
      </c>
      <c r="DX273">
        <v>2</v>
      </c>
      <c r="DY273">
        <v>3</v>
      </c>
      <c r="DZ273">
        <v>992</v>
      </c>
      <c r="EA273">
        <v>0.97809999999999997</v>
      </c>
      <c r="EB273">
        <v>0.97816728434227196</v>
      </c>
      <c r="EC273">
        <v>0.97787226056175103</v>
      </c>
      <c r="ED273">
        <v>0.97777601682517401</v>
      </c>
      <c r="EE273">
        <f>SUM(Table1[[#This Row],[ratio_0]:[ratio_9]])</f>
        <v>730</v>
      </c>
      <c r="EF273" s="1">
        <f>(Table1[[#This Row],[predicted_0]]-Table1[[#This Row],[actual_0]])/Table1[[#This Row],[actual_0]]</f>
        <v>-4.0816326530612249E-3</v>
      </c>
      <c r="EG273" s="1">
        <f>(Table1[[#This Row],[predicted_1]]-Table1[[#This Row],[actual_1]])/Table1[[#This Row],[actual_1]]</f>
        <v>-8.81057268722467E-4</v>
      </c>
      <c r="EH273" s="1">
        <f>(Table1[[#This Row],[predicted_2]]-Table1[[#This Row],[actual_2]])/Table1[[#This Row],[actual_2]]</f>
        <v>4.6511627906976744E-2</v>
      </c>
      <c r="EI273" s="1">
        <f>(Table1[[#This Row],[predicted_3]]-Table1[[#This Row],[actual_3]])/Table1[[#This Row],[actual_3]]</f>
        <v>-8.01980198019802E-2</v>
      </c>
      <c r="EJ273" s="1">
        <f>(Table1[[#This Row],[predicted_4]]-Table1[[#This Row],[actual_4]])/Table1[[#This Row],[actual_4]]</f>
        <v>-4.0733197556008143E-3</v>
      </c>
      <c r="EK273" s="1">
        <f>(Table1[[#This Row],[predicted_5]]-Table1[[#This Row],[actual_5]])/Table1[[#This Row],[actual_5]]</f>
        <v>2.3542600896860985E-2</v>
      </c>
      <c r="EL273" s="1">
        <f>(Table1[[#This Row],[predicted_6]]-Table1[[#This Row],[actual_6]])/Table1[[#This Row],[actual_6]]</f>
        <v>-1.0438413361169102E-2</v>
      </c>
      <c r="EM273" s="1">
        <f>(Table1[[#This Row],[predicted_7]]-Table1[[#This Row],[actual_7]])/Table1[[#This Row],[actual_7]]</f>
        <v>1.556420233463035E-2</v>
      </c>
      <c r="EN273" s="1">
        <f>(Table1[[#This Row],[predicted_8]]-Table1[[#This Row],[actual_8]])/Table1[[#This Row],[actual_8]]</f>
        <v>2.0533880903490761E-3</v>
      </c>
      <c r="EO273" s="1">
        <f>(Table1[[#This Row],[predicted_9]]-Table1[[#This Row],[actual_9]])/Table1[[#This Row],[actual_9]]</f>
        <v>1.288404360753221E-2</v>
      </c>
      <c r="EP273" s="1">
        <f>1+(Table1[[#This Row],[error_ratio_0]]-EF$2)</f>
        <v>0.9938775510204082</v>
      </c>
      <c r="EQ273" s="1">
        <f>1+(Table1[[#This Row],[error_ratio_1]]-EG$2)</f>
        <v>0.99735682819383265</v>
      </c>
      <c r="ER273" s="1">
        <f>1+(Table1[[#This Row],[error_ratio_2]]-EH$2)</f>
        <v>1.0513565891472869</v>
      </c>
      <c r="ES273" s="1">
        <f>1+(Table1[[#This Row],[error_ratio_3]]-EI$2)</f>
        <v>0.90990099009900993</v>
      </c>
      <c r="ET273" s="1">
        <f>1+(Table1[[#This Row],[error_ratio_4]]-EJ$2)</f>
        <v>0.99490835030549896</v>
      </c>
      <c r="EU273" s="1">
        <f>1+(Table1[[#This Row],[error_ratio_5]]-EK$2)</f>
        <v>1.0224215246636772</v>
      </c>
      <c r="EV273" s="1">
        <f>1+(Table1[[#This Row],[error_ratio_6]]-EL$2)</f>
        <v>0.99582463465553239</v>
      </c>
      <c r="EW273" s="1">
        <f>1+(Table1[[#This Row],[error_ratio_7]]-EM$2)</f>
        <v>1.0136186770428015</v>
      </c>
      <c r="EX273" s="1">
        <f>1+(Table1[[#This Row],[error_ratio_8]]-EN$2)</f>
        <v>1.0051334702258727</v>
      </c>
      <c r="EY273" s="1">
        <f>1+(Table1[[#This Row],[error_ratio_9]]-EO$2)</f>
        <v>1.0168483647175421</v>
      </c>
    </row>
    <row r="274" spans="1:155" x14ac:dyDescent="0.75">
      <c r="A274">
        <v>10</v>
      </c>
      <c r="B274">
        <v>100</v>
      </c>
      <c r="C274">
        <v>100</v>
      </c>
      <c r="D274">
        <v>10</v>
      </c>
      <c r="E274">
        <v>100</v>
      </c>
      <c r="F274">
        <v>10</v>
      </c>
      <c r="G274">
        <v>100</v>
      </c>
      <c r="H274">
        <v>100</v>
      </c>
      <c r="I274">
        <v>10</v>
      </c>
      <c r="J274">
        <v>100</v>
      </c>
      <c r="K274">
        <v>969</v>
      </c>
      <c r="L274">
        <v>1146</v>
      </c>
      <c r="M274">
        <v>1020</v>
      </c>
      <c r="N274">
        <v>889</v>
      </c>
      <c r="O274">
        <v>936</v>
      </c>
      <c r="P274">
        <v>900</v>
      </c>
      <c r="Q274">
        <v>984</v>
      </c>
      <c r="R274">
        <v>1068</v>
      </c>
      <c r="S274">
        <v>907</v>
      </c>
      <c r="T274">
        <v>1181</v>
      </c>
      <c r="U274">
        <v>980</v>
      </c>
      <c r="V274">
        <v>1135</v>
      </c>
      <c r="W274">
        <v>1032</v>
      </c>
      <c r="X274">
        <v>1010</v>
      </c>
      <c r="Y274">
        <v>982</v>
      </c>
      <c r="Z274">
        <v>892</v>
      </c>
      <c r="AA274">
        <v>958</v>
      </c>
      <c r="AB274">
        <v>1028</v>
      </c>
      <c r="AC274">
        <v>974</v>
      </c>
      <c r="AD274">
        <v>1009</v>
      </c>
      <c r="AE274">
        <v>957</v>
      </c>
      <c r="AF274">
        <v>1</v>
      </c>
      <c r="AG274">
        <v>1</v>
      </c>
      <c r="AH274">
        <v>0</v>
      </c>
      <c r="AI274">
        <v>0</v>
      </c>
      <c r="AJ274">
        <v>4</v>
      </c>
      <c r="AK274">
        <v>7</v>
      </c>
      <c r="AL274">
        <v>3</v>
      </c>
      <c r="AM274">
        <v>1</v>
      </c>
      <c r="AN274">
        <v>6</v>
      </c>
      <c r="AO274">
        <v>0</v>
      </c>
      <c r="AP274">
        <v>1131</v>
      </c>
      <c r="AQ274">
        <v>0</v>
      </c>
      <c r="AR274">
        <v>0</v>
      </c>
      <c r="AS274">
        <v>0</v>
      </c>
      <c r="AT274">
        <v>1</v>
      </c>
      <c r="AU274">
        <v>1</v>
      </c>
      <c r="AV274">
        <v>1</v>
      </c>
      <c r="AW274">
        <v>0</v>
      </c>
      <c r="AX274">
        <v>1</v>
      </c>
      <c r="AY274">
        <v>1</v>
      </c>
      <c r="AZ274">
        <v>4</v>
      </c>
      <c r="BA274">
        <v>1003</v>
      </c>
      <c r="BB274">
        <v>0</v>
      </c>
      <c r="BC274">
        <v>0</v>
      </c>
      <c r="BD274">
        <v>0</v>
      </c>
      <c r="BE274">
        <v>0</v>
      </c>
      <c r="BF274">
        <v>23</v>
      </c>
      <c r="BG274">
        <v>0</v>
      </c>
      <c r="BH274">
        <v>1</v>
      </c>
      <c r="BI274">
        <v>1</v>
      </c>
      <c r="BJ274">
        <v>1</v>
      </c>
      <c r="BK274">
        <v>8</v>
      </c>
      <c r="BL274">
        <v>886</v>
      </c>
      <c r="BM274">
        <v>0</v>
      </c>
      <c r="BN274">
        <v>47</v>
      </c>
      <c r="BO274">
        <v>0</v>
      </c>
      <c r="BP274">
        <v>11</v>
      </c>
      <c r="BQ274">
        <v>5</v>
      </c>
      <c r="BR274">
        <v>51</v>
      </c>
      <c r="BS274">
        <v>0</v>
      </c>
      <c r="BT274">
        <v>0</v>
      </c>
      <c r="BU274">
        <v>0</v>
      </c>
      <c r="BV274">
        <v>0</v>
      </c>
      <c r="BW274">
        <v>933</v>
      </c>
      <c r="BX274">
        <v>0</v>
      </c>
      <c r="BY274">
        <v>10</v>
      </c>
      <c r="BZ274">
        <v>5</v>
      </c>
      <c r="CA274">
        <v>0</v>
      </c>
      <c r="CB274">
        <v>34</v>
      </c>
      <c r="CC274">
        <v>1</v>
      </c>
      <c r="CD274">
        <v>0</v>
      </c>
      <c r="CE274">
        <v>0</v>
      </c>
      <c r="CF274">
        <v>2</v>
      </c>
      <c r="CG274">
        <v>0</v>
      </c>
      <c r="CH274">
        <v>842</v>
      </c>
      <c r="CI274">
        <v>8</v>
      </c>
      <c r="CJ274">
        <v>1</v>
      </c>
      <c r="CK274">
        <v>2</v>
      </c>
      <c r="CL274">
        <v>36</v>
      </c>
      <c r="CM274">
        <v>3</v>
      </c>
      <c r="CN274">
        <v>4</v>
      </c>
      <c r="CO274">
        <v>0</v>
      </c>
      <c r="CP274">
        <v>0</v>
      </c>
      <c r="CQ274">
        <v>0</v>
      </c>
      <c r="CR274">
        <v>1</v>
      </c>
      <c r="CS274">
        <v>950</v>
      </c>
      <c r="CT274">
        <v>0</v>
      </c>
      <c r="CU274">
        <v>0</v>
      </c>
      <c r="CV274">
        <v>0</v>
      </c>
      <c r="CW274">
        <v>1</v>
      </c>
      <c r="CX274">
        <v>2</v>
      </c>
      <c r="CY274">
        <v>2</v>
      </c>
      <c r="CZ274">
        <v>0</v>
      </c>
      <c r="DA274">
        <v>0</v>
      </c>
      <c r="DB274">
        <v>0</v>
      </c>
      <c r="DC274">
        <v>0</v>
      </c>
      <c r="DD274">
        <v>1012</v>
      </c>
      <c r="DE274">
        <v>1</v>
      </c>
      <c r="DF274">
        <v>10</v>
      </c>
      <c r="DG274">
        <v>5</v>
      </c>
      <c r="DH274">
        <v>3</v>
      </c>
      <c r="DI274">
        <v>6</v>
      </c>
      <c r="DJ274">
        <v>1</v>
      </c>
      <c r="DK274">
        <v>1</v>
      </c>
      <c r="DL274">
        <v>5</v>
      </c>
      <c r="DM274">
        <v>8</v>
      </c>
      <c r="DN274">
        <v>11</v>
      </c>
      <c r="DO274">
        <v>898</v>
      </c>
      <c r="DP274">
        <v>36</v>
      </c>
      <c r="DQ274">
        <v>0</v>
      </c>
      <c r="DR274">
        <v>0</v>
      </c>
      <c r="DS274">
        <v>0</v>
      </c>
      <c r="DT274">
        <v>0</v>
      </c>
      <c r="DU274">
        <v>2</v>
      </c>
      <c r="DV274">
        <v>0</v>
      </c>
      <c r="DW274">
        <v>0</v>
      </c>
      <c r="DX274">
        <v>1</v>
      </c>
      <c r="DY274">
        <v>0</v>
      </c>
      <c r="DZ274">
        <v>1006</v>
      </c>
      <c r="EA274">
        <v>0.96179999999999999</v>
      </c>
      <c r="EB274">
        <v>0.96417466425018405</v>
      </c>
      <c r="EC274">
        <v>0.961126443079384</v>
      </c>
      <c r="ED274">
        <v>0.96145929016373199</v>
      </c>
      <c r="EE274">
        <f>SUM(Table1[[#This Row],[ratio_0]:[ratio_9]])</f>
        <v>640</v>
      </c>
      <c r="EF274" s="1">
        <f>(Table1[[#This Row],[predicted_0]]-Table1[[#This Row],[actual_0]])/Table1[[#This Row],[actual_0]]</f>
        <v>-1.1224489795918367E-2</v>
      </c>
      <c r="EG274" s="1">
        <f>(Table1[[#This Row],[predicted_1]]-Table1[[#This Row],[actual_1]])/Table1[[#This Row],[actual_1]]</f>
        <v>9.6916299559471359E-3</v>
      </c>
      <c r="EH274" s="1">
        <f>(Table1[[#This Row],[predicted_2]]-Table1[[#This Row],[actual_2]])/Table1[[#This Row],[actual_2]]</f>
        <v>-1.1627906976744186E-2</v>
      </c>
      <c r="EI274" s="1">
        <f>(Table1[[#This Row],[predicted_3]]-Table1[[#This Row],[actual_3]])/Table1[[#This Row],[actual_3]]</f>
        <v>-0.1198019801980198</v>
      </c>
      <c r="EJ274" s="1">
        <f>(Table1[[#This Row],[predicted_4]]-Table1[[#This Row],[actual_4]])/Table1[[#This Row],[actual_4]]</f>
        <v>-4.684317718940937E-2</v>
      </c>
      <c r="EK274" s="1">
        <f>(Table1[[#This Row],[predicted_5]]-Table1[[#This Row],[actual_5]])/Table1[[#This Row],[actual_5]]</f>
        <v>8.9686098654708519E-3</v>
      </c>
      <c r="EL274" s="1">
        <f>(Table1[[#This Row],[predicted_6]]-Table1[[#This Row],[actual_6]])/Table1[[#This Row],[actual_6]]</f>
        <v>2.7139874739039668E-2</v>
      </c>
      <c r="EM274" s="1">
        <f>(Table1[[#This Row],[predicted_7]]-Table1[[#This Row],[actual_7]])/Table1[[#This Row],[actual_7]]</f>
        <v>3.8910505836575876E-2</v>
      </c>
      <c r="EN274" s="1">
        <f>(Table1[[#This Row],[predicted_8]]-Table1[[#This Row],[actual_8]])/Table1[[#This Row],[actual_8]]</f>
        <v>-6.8788501026694052E-2</v>
      </c>
      <c r="EO274" s="1">
        <f>(Table1[[#This Row],[predicted_9]]-Table1[[#This Row],[actual_9]])/Table1[[#This Row],[actual_9]]</f>
        <v>0.17046580773042616</v>
      </c>
      <c r="EP274" s="1">
        <f>1+(Table1[[#This Row],[error_ratio_0]]-EF$2)</f>
        <v>0.98673469387755097</v>
      </c>
      <c r="EQ274" s="1">
        <f>1+(Table1[[#This Row],[error_ratio_1]]-EG$2)</f>
        <v>1.0079295154185022</v>
      </c>
      <c r="ER274" s="1">
        <f>1+(Table1[[#This Row],[error_ratio_2]]-EH$2)</f>
        <v>0.99321705426356588</v>
      </c>
      <c r="ES274" s="1">
        <f>1+(Table1[[#This Row],[error_ratio_3]]-EI$2)</f>
        <v>0.87029702970297029</v>
      </c>
      <c r="ET274" s="1">
        <f>1+(Table1[[#This Row],[error_ratio_4]]-EJ$2)</f>
        <v>0.95213849287169039</v>
      </c>
      <c r="EU274" s="1">
        <f>1+(Table1[[#This Row],[error_ratio_5]]-EK$2)</f>
        <v>1.007847533632287</v>
      </c>
      <c r="EV274" s="1">
        <f>1+(Table1[[#This Row],[error_ratio_6]]-EL$2)</f>
        <v>1.0334029227557411</v>
      </c>
      <c r="EW274" s="1">
        <f>1+(Table1[[#This Row],[error_ratio_7]]-EM$2)</f>
        <v>1.0369649805447472</v>
      </c>
      <c r="EX274" s="1">
        <f>1+(Table1[[#This Row],[error_ratio_8]]-EN$2)</f>
        <v>0.93429158110882959</v>
      </c>
      <c r="EY274" s="1">
        <f>1+(Table1[[#This Row],[error_ratio_9]]-EO$2)</f>
        <v>1.1744301288404362</v>
      </c>
    </row>
    <row r="275" spans="1:155" x14ac:dyDescent="0.75">
      <c r="A275">
        <v>10</v>
      </c>
      <c r="B275">
        <v>10</v>
      </c>
      <c r="C275">
        <v>100</v>
      </c>
      <c r="D275">
        <v>10</v>
      </c>
      <c r="E275">
        <v>100</v>
      </c>
      <c r="F275">
        <v>10</v>
      </c>
      <c r="G275">
        <v>100</v>
      </c>
      <c r="H275">
        <v>100</v>
      </c>
      <c r="I275">
        <v>10</v>
      </c>
      <c r="J275">
        <v>100</v>
      </c>
      <c r="K275">
        <v>940</v>
      </c>
      <c r="L275">
        <v>1124</v>
      </c>
      <c r="M275">
        <v>1059</v>
      </c>
      <c r="N275">
        <v>1016</v>
      </c>
      <c r="O275">
        <v>1004</v>
      </c>
      <c r="P275">
        <v>768</v>
      </c>
      <c r="Q275">
        <v>984</v>
      </c>
      <c r="R275">
        <v>1084</v>
      </c>
      <c r="S275">
        <v>893</v>
      </c>
      <c r="T275">
        <v>1128</v>
      </c>
      <c r="U275">
        <v>980</v>
      </c>
      <c r="V275">
        <v>1135</v>
      </c>
      <c r="W275">
        <v>1032</v>
      </c>
      <c r="X275">
        <v>1010</v>
      </c>
      <c r="Y275">
        <v>982</v>
      </c>
      <c r="Z275">
        <v>892</v>
      </c>
      <c r="AA275">
        <v>958</v>
      </c>
      <c r="AB275">
        <v>1028</v>
      </c>
      <c r="AC275">
        <v>974</v>
      </c>
      <c r="AD275">
        <v>1009</v>
      </c>
      <c r="AE275">
        <v>920</v>
      </c>
      <c r="AF275">
        <v>1</v>
      </c>
      <c r="AG275">
        <v>5</v>
      </c>
      <c r="AH275">
        <v>3</v>
      </c>
      <c r="AI275">
        <v>1</v>
      </c>
      <c r="AJ275">
        <v>0</v>
      </c>
      <c r="AK275">
        <v>4</v>
      </c>
      <c r="AL275">
        <v>16</v>
      </c>
      <c r="AM275">
        <v>2</v>
      </c>
      <c r="AN275">
        <v>28</v>
      </c>
      <c r="AO275">
        <v>0</v>
      </c>
      <c r="AP275">
        <v>1117</v>
      </c>
      <c r="AQ275">
        <v>6</v>
      </c>
      <c r="AR275">
        <v>1</v>
      </c>
      <c r="AS275">
        <v>1</v>
      </c>
      <c r="AT275">
        <v>1</v>
      </c>
      <c r="AU275">
        <v>5</v>
      </c>
      <c r="AV275">
        <v>3</v>
      </c>
      <c r="AW275">
        <v>1</v>
      </c>
      <c r="AX275">
        <v>0</v>
      </c>
      <c r="AY275">
        <v>2</v>
      </c>
      <c r="AZ275">
        <v>2</v>
      </c>
      <c r="BA275">
        <v>1010</v>
      </c>
      <c r="BB275">
        <v>4</v>
      </c>
      <c r="BC275">
        <v>2</v>
      </c>
      <c r="BD275">
        <v>0</v>
      </c>
      <c r="BE275">
        <v>4</v>
      </c>
      <c r="BF275">
        <v>6</v>
      </c>
      <c r="BG275">
        <v>1</v>
      </c>
      <c r="BH275">
        <v>1</v>
      </c>
      <c r="BI275">
        <v>4</v>
      </c>
      <c r="BJ275">
        <v>0</v>
      </c>
      <c r="BK275">
        <v>7</v>
      </c>
      <c r="BL275">
        <v>965</v>
      </c>
      <c r="BM275">
        <v>3</v>
      </c>
      <c r="BN275">
        <v>1</v>
      </c>
      <c r="BO275">
        <v>2</v>
      </c>
      <c r="BP275">
        <v>15</v>
      </c>
      <c r="BQ275">
        <v>1</v>
      </c>
      <c r="BR275">
        <v>12</v>
      </c>
      <c r="BS275">
        <v>0</v>
      </c>
      <c r="BT275">
        <v>0</v>
      </c>
      <c r="BU275">
        <v>4</v>
      </c>
      <c r="BV275">
        <v>0</v>
      </c>
      <c r="BW275">
        <v>962</v>
      </c>
      <c r="BX275">
        <v>0</v>
      </c>
      <c r="BY275">
        <v>1</v>
      </c>
      <c r="BZ275">
        <v>0</v>
      </c>
      <c r="CA275">
        <v>0</v>
      </c>
      <c r="CB275">
        <v>15</v>
      </c>
      <c r="CC275">
        <v>6</v>
      </c>
      <c r="CD275">
        <v>0</v>
      </c>
      <c r="CE275">
        <v>2</v>
      </c>
      <c r="CF275">
        <v>37</v>
      </c>
      <c r="CG275">
        <v>2</v>
      </c>
      <c r="CH275">
        <v>764</v>
      </c>
      <c r="CI275">
        <v>11</v>
      </c>
      <c r="CJ275">
        <v>8</v>
      </c>
      <c r="CK275">
        <v>14</v>
      </c>
      <c r="CL275">
        <v>48</v>
      </c>
      <c r="CM275">
        <v>3</v>
      </c>
      <c r="CN275">
        <v>2</v>
      </c>
      <c r="CO275">
        <v>0</v>
      </c>
      <c r="CP275">
        <v>0</v>
      </c>
      <c r="CQ275">
        <v>2</v>
      </c>
      <c r="CR275">
        <v>1</v>
      </c>
      <c r="CS275">
        <v>949</v>
      </c>
      <c r="CT275">
        <v>0</v>
      </c>
      <c r="CU275">
        <v>1</v>
      </c>
      <c r="CV275">
        <v>0</v>
      </c>
      <c r="CW275">
        <v>0</v>
      </c>
      <c r="CX275">
        <v>1</v>
      </c>
      <c r="CY275">
        <v>8</v>
      </c>
      <c r="CZ275">
        <v>0</v>
      </c>
      <c r="DA275">
        <v>3</v>
      </c>
      <c r="DB275">
        <v>0</v>
      </c>
      <c r="DC275">
        <v>0</v>
      </c>
      <c r="DD275">
        <v>1015</v>
      </c>
      <c r="DE275">
        <v>0</v>
      </c>
      <c r="DF275">
        <v>1</v>
      </c>
      <c r="DG275">
        <v>4</v>
      </c>
      <c r="DH275">
        <v>1</v>
      </c>
      <c r="DI275">
        <v>16</v>
      </c>
      <c r="DJ275">
        <v>6</v>
      </c>
      <c r="DK275">
        <v>9</v>
      </c>
      <c r="DL275">
        <v>1</v>
      </c>
      <c r="DM275">
        <v>8</v>
      </c>
      <c r="DN275">
        <v>15</v>
      </c>
      <c r="DO275">
        <v>873</v>
      </c>
      <c r="DP275">
        <v>41</v>
      </c>
      <c r="DQ275">
        <v>1</v>
      </c>
      <c r="DR275">
        <v>0</v>
      </c>
      <c r="DS275">
        <v>1</v>
      </c>
      <c r="DT275">
        <v>0</v>
      </c>
      <c r="DU275">
        <v>19</v>
      </c>
      <c r="DV275">
        <v>0</v>
      </c>
      <c r="DW275">
        <v>0</v>
      </c>
      <c r="DX275">
        <v>6</v>
      </c>
      <c r="DY275">
        <v>0</v>
      </c>
      <c r="DZ275">
        <v>982</v>
      </c>
      <c r="EA275">
        <v>0.95569999999999999</v>
      </c>
      <c r="EB275">
        <v>0.95779364441891102</v>
      </c>
      <c r="EC275">
        <v>0.95406840853614905</v>
      </c>
      <c r="ED275">
        <v>0.95479435574629501</v>
      </c>
      <c r="EE275">
        <f>SUM(Table1[[#This Row],[ratio_0]:[ratio_9]])</f>
        <v>550</v>
      </c>
      <c r="EF275" s="1">
        <f>(Table1[[#This Row],[predicted_0]]-Table1[[#This Row],[actual_0]])/Table1[[#This Row],[actual_0]]</f>
        <v>-4.0816326530612242E-2</v>
      </c>
      <c r="EG275" s="1">
        <f>(Table1[[#This Row],[predicted_1]]-Table1[[#This Row],[actual_1]])/Table1[[#This Row],[actual_1]]</f>
        <v>-9.6916299559471359E-3</v>
      </c>
      <c r="EH275" s="1">
        <f>(Table1[[#This Row],[predicted_2]]-Table1[[#This Row],[actual_2]])/Table1[[#This Row],[actual_2]]</f>
        <v>2.616279069767442E-2</v>
      </c>
      <c r="EI275" s="1">
        <f>(Table1[[#This Row],[predicted_3]]-Table1[[#This Row],[actual_3]])/Table1[[#This Row],[actual_3]]</f>
        <v>5.9405940594059407E-3</v>
      </c>
      <c r="EJ275" s="1">
        <f>(Table1[[#This Row],[predicted_4]]-Table1[[#This Row],[actual_4]])/Table1[[#This Row],[actual_4]]</f>
        <v>2.2403258655804479E-2</v>
      </c>
      <c r="EK275" s="1">
        <f>(Table1[[#This Row],[predicted_5]]-Table1[[#This Row],[actual_5]])/Table1[[#This Row],[actual_5]]</f>
        <v>-0.13901345291479822</v>
      </c>
      <c r="EL275" s="1">
        <f>(Table1[[#This Row],[predicted_6]]-Table1[[#This Row],[actual_6]])/Table1[[#This Row],[actual_6]]</f>
        <v>2.7139874739039668E-2</v>
      </c>
      <c r="EM275" s="1">
        <f>(Table1[[#This Row],[predicted_7]]-Table1[[#This Row],[actual_7]])/Table1[[#This Row],[actual_7]]</f>
        <v>5.4474708171206226E-2</v>
      </c>
      <c r="EN275" s="1">
        <f>(Table1[[#This Row],[predicted_8]]-Table1[[#This Row],[actual_8]])/Table1[[#This Row],[actual_8]]</f>
        <v>-8.3162217659137574E-2</v>
      </c>
      <c r="EO275" s="1">
        <f>(Table1[[#This Row],[predicted_9]]-Table1[[#This Row],[actual_9]])/Table1[[#This Row],[actual_9]]</f>
        <v>0.11793855302279485</v>
      </c>
      <c r="EP275" s="1">
        <f>1+(Table1[[#This Row],[error_ratio_0]]-EF$2)</f>
        <v>0.95714285714285718</v>
      </c>
      <c r="EQ275" s="1">
        <f>1+(Table1[[#This Row],[error_ratio_1]]-EG$2)</f>
        <v>0.98854625550660791</v>
      </c>
      <c r="ER275" s="1">
        <f>1+(Table1[[#This Row],[error_ratio_2]]-EH$2)</f>
        <v>1.0310077519379846</v>
      </c>
      <c r="ES275" s="1">
        <f>1+(Table1[[#This Row],[error_ratio_3]]-EI$2)</f>
        <v>0.99603960396039604</v>
      </c>
      <c r="ET275" s="1">
        <f>1+(Table1[[#This Row],[error_ratio_4]]-EJ$2)</f>
        <v>1.0213849287169043</v>
      </c>
      <c r="EU275" s="1">
        <f>1+(Table1[[#This Row],[error_ratio_5]]-EK$2)</f>
        <v>0.85986547085201792</v>
      </c>
      <c r="EV275" s="1">
        <f>1+(Table1[[#This Row],[error_ratio_6]]-EL$2)</f>
        <v>1.0334029227557411</v>
      </c>
      <c r="EW275" s="1">
        <f>1+(Table1[[#This Row],[error_ratio_7]]-EM$2)</f>
        <v>1.0525291828793775</v>
      </c>
      <c r="EX275" s="1">
        <f>1+(Table1[[#This Row],[error_ratio_8]]-EN$2)</f>
        <v>0.91991786447638602</v>
      </c>
      <c r="EY275" s="1">
        <f>1+(Table1[[#This Row],[error_ratio_9]]-EO$2)</f>
        <v>1.1219028741328048</v>
      </c>
    </row>
    <row r="276" spans="1:155" x14ac:dyDescent="0.75">
      <c r="A276">
        <v>100</v>
      </c>
      <c r="B276">
        <v>100</v>
      </c>
      <c r="C276">
        <v>10</v>
      </c>
      <c r="D276">
        <v>10</v>
      </c>
      <c r="E276">
        <v>100</v>
      </c>
      <c r="F276">
        <v>10</v>
      </c>
      <c r="G276">
        <v>100</v>
      </c>
      <c r="H276">
        <v>100</v>
      </c>
      <c r="I276">
        <v>10</v>
      </c>
      <c r="J276">
        <v>100</v>
      </c>
      <c r="K276">
        <v>1010</v>
      </c>
      <c r="L276">
        <v>1150</v>
      </c>
      <c r="M276">
        <v>977</v>
      </c>
      <c r="N276">
        <v>977</v>
      </c>
      <c r="O276">
        <v>990</v>
      </c>
      <c r="P276">
        <v>903</v>
      </c>
      <c r="Q276">
        <v>972</v>
      </c>
      <c r="R276">
        <v>1106</v>
      </c>
      <c r="S276">
        <v>887</v>
      </c>
      <c r="T276">
        <v>1028</v>
      </c>
      <c r="U276">
        <v>980</v>
      </c>
      <c r="V276">
        <v>1135</v>
      </c>
      <c r="W276">
        <v>1032</v>
      </c>
      <c r="X276">
        <v>1010</v>
      </c>
      <c r="Y276">
        <v>982</v>
      </c>
      <c r="Z276">
        <v>892</v>
      </c>
      <c r="AA276">
        <v>958</v>
      </c>
      <c r="AB276">
        <v>1028</v>
      </c>
      <c r="AC276">
        <v>974</v>
      </c>
      <c r="AD276">
        <v>1009</v>
      </c>
      <c r="AE276">
        <v>975</v>
      </c>
      <c r="AF276">
        <v>1</v>
      </c>
      <c r="AG276">
        <v>1</v>
      </c>
      <c r="AH276">
        <v>0</v>
      </c>
      <c r="AI276">
        <v>0</v>
      </c>
      <c r="AJ276">
        <v>0</v>
      </c>
      <c r="AK276">
        <v>1</v>
      </c>
      <c r="AL276">
        <v>2</v>
      </c>
      <c r="AM276">
        <v>0</v>
      </c>
      <c r="AN276">
        <v>0</v>
      </c>
      <c r="AO276">
        <v>0</v>
      </c>
      <c r="AP276">
        <v>1133</v>
      </c>
      <c r="AQ276">
        <v>0</v>
      </c>
      <c r="AR276">
        <v>0</v>
      </c>
      <c r="AS276">
        <v>0</v>
      </c>
      <c r="AT276">
        <v>1</v>
      </c>
      <c r="AU276">
        <v>0</v>
      </c>
      <c r="AV276">
        <v>1</v>
      </c>
      <c r="AW276">
        <v>0</v>
      </c>
      <c r="AX276">
        <v>0</v>
      </c>
      <c r="AY276">
        <v>9</v>
      </c>
      <c r="AZ276">
        <v>5</v>
      </c>
      <c r="BA276">
        <v>962</v>
      </c>
      <c r="BB276">
        <v>5</v>
      </c>
      <c r="BC276">
        <v>3</v>
      </c>
      <c r="BD276">
        <v>3</v>
      </c>
      <c r="BE276">
        <v>0</v>
      </c>
      <c r="BF276">
        <v>44</v>
      </c>
      <c r="BG276">
        <v>1</v>
      </c>
      <c r="BH276">
        <v>0</v>
      </c>
      <c r="BI276">
        <v>3</v>
      </c>
      <c r="BJ276">
        <v>0</v>
      </c>
      <c r="BK276">
        <v>3</v>
      </c>
      <c r="BL276">
        <v>963</v>
      </c>
      <c r="BM276">
        <v>0</v>
      </c>
      <c r="BN276">
        <v>22</v>
      </c>
      <c r="BO276">
        <v>0</v>
      </c>
      <c r="BP276">
        <v>12</v>
      </c>
      <c r="BQ276">
        <v>1</v>
      </c>
      <c r="BR276">
        <v>6</v>
      </c>
      <c r="BS276">
        <v>0</v>
      </c>
      <c r="BT276">
        <v>0</v>
      </c>
      <c r="BU276">
        <v>0</v>
      </c>
      <c r="BV276">
        <v>0</v>
      </c>
      <c r="BW276">
        <v>975</v>
      </c>
      <c r="BX276">
        <v>0</v>
      </c>
      <c r="BY276">
        <v>2</v>
      </c>
      <c r="BZ276">
        <v>0</v>
      </c>
      <c r="CA276">
        <v>0</v>
      </c>
      <c r="CB276">
        <v>5</v>
      </c>
      <c r="CC276">
        <v>4</v>
      </c>
      <c r="CD276">
        <v>1</v>
      </c>
      <c r="CE276">
        <v>1</v>
      </c>
      <c r="CF276">
        <v>3</v>
      </c>
      <c r="CG276">
        <v>0</v>
      </c>
      <c r="CH276">
        <v>863</v>
      </c>
      <c r="CI276">
        <v>13</v>
      </c>
      <c r="CJ276">
        <v>3</v>
      </c>
      <c r="CK276">
        <v>0</v>
      </c>
      <c r="CL276">
        <v>4</v>
      </c>
      <c r="CM276">
        <v>5</v>
      </c>
      <c r="CN276">
        <v>3</v>
      </c>
      <c r="CO276">
        <v>1</v>
      </c>
      <c r="CP276">
        <v>0</v>
      </c>
      <c r="CQ276">
        <v>2</v>
      </c>
      <c r="CR276">
        <v>1</v>
      </c>
      <c r="CS276">
        <v>946</v>
      </c>
      <c r="CT276">
        <v>0</v>
      </c>
      <c r="CU276">
        <v>0</v>
      </c>
      <c r="CV276">
        <v>0</v>
      </c>
      <c r="CW276">
        <v>0</v>
      </c>
      <c r="CX276">
        <v>3</v>
      </c>
      <c r="CY276">
        <v>2</v>
      </c>
      <c r="CZ276">
        <v>1</v>
      </c>
      <c r="DA276">
        <v>0</v>
      </c>
      <c r="DB276">
        <v>0</v>
      </c>
      <c r="DC276">
        <v>0</v>
      </c>
      <c r="DD276">
        <v>1022</v>
      </c>
      <c r="DE276">
        <v>0</v>
      </c>
      <c r="DF276">
        <v>0</v>
      </c>
      <c r="DG276">
        <v>10</v>
      </c>
      <c r="DH276">
        <v>4</v>
      </c>
      <c r="DI276">
        <v>7</v>
      </c>
      <c r="DJ276">
        <v>5</v>
      </c>
      <c r="DK276">
        <v>6</v>
      </c>
      <c r="DL276">
        <v>7</v>
      </c>
      <c r="DM276">
        <v>10</v>
      </c>
      <c r="DN276">
        <v>15</v>
      </c>
      <c r="DO276">
        <v>885</v>
      </c>
      <c r="DP276">
        <v>25</v>
      </c>
      <c r="DQ276">
        <v>4</v>
      </c>
      <c r="DR276">
        <v>0</v>
      </c>
      <c r="DS276">
        <v>0</v>
      </c>
      <c r="DT276">
        <v>0</v>
      </c>
      <c r="DU276">
        <v>4</v>
      </c>
      <c r="DV276">
        <v>6</v>
      </c>
      <c r="DW276">
        <v>0</v>
      </c>
      <c r="DX276">
        <v>7</v>
      </c>
      <c r="DY276">
        <v>0</v>
      </c>
      <c r="DZ276">
        <v>988</v>
      </c>
      <c r="EA276">
        <v>0.97119999999999995</v>
      </c>
      <c r="EB276">
        <v>0.97175692846236295</v>
      </c>
      <c r="EC276">
        <v>0.97085810857249299</v>
      </c>
      <c r="ED276">
        <v>0.97082710667485705</v>
      </c>
      <c r="EE276">
        <f>SUM(Table1[[#This Row],[ratio_0]:[ratio_9]])</f>
        <v>640</v>
      </c>
      <c r="EF276" s="1">
        <f>(Table1[[#This Row],[predicted_0]]-Table1[[#This Row],[actual_0]])/Table1[[#This Row],[actual_0]]</f>
        <v>3.0612244897959183E-2</v>
      </c>
      <c r="EG276" s="1">
        <f>(Table1[[#This Row],[predicted_1]]-Table1[[#This Row],[actual_1]])/Table1[[#This Row],[actual_1]]</f>
        <v>1.3215859030837005E-2</v>
      </c>
      <c r="EH276" s="1">
        <f>(Table1[[#This Row],[predicted_2]]-Table1[[#This Row],[actual_2]])/Table1[[#This Row],[actual_2]]</f>
        <v>-5.329457364341085E-2</v>
      </c>
      <c r="EI276" s="1">
        <f>(Table1[[#This Row],[predicted_3]]-Table1[[#This Row],[actual_3]])/Table1[[#This Row],[actual_3]]</f>
        <v>-3.2673267326732675E-2</v>
      </c>
      <c r="EJ276" s="1">
        <f>(Table1[[#This Row],[predicted_4]]-Table1[[#This Row],[actual_4]])/Table1[[#This Row],[actual_4]]</f>
        <v>8.1466395112016286E-3</v>
      </c>
      <c r="EK276" s="1">
        <f>(Table1[[#This Row],[predicted_5]]-Table1[[#This Row],[actual_5]])/Table1[[#This Row],[actual_5]]</f>
        <v>1.2331838565022421E-2</v>
      </c>
      <c r="EL276" s="1">
        <f>(Table1[[#This Row],[predicted_6]]-Table1[[#This Row],[actual_6]])/Table1[[#This Row],[actual_6]]</f>
        <v>1.4613778705636743E-2</v>
      </c>
      <c r="EM276" s="1">
        <f>(Table1[[#This Row],[predicted_7]]-Table1[[#This Row],[actual_7]])/Table1[[#This Row],[actual_7]]</f>
        <v>7.5875486381322951E-2</v>
      </c>
      <c r="EN276" s="1">
        <f>(Table1[[#This Row],[predicted_8]]-Table1[[#This Row],[actual_8]])/Table1[[#This Row],[actual_8]]</f>
        <v>-8.932238193018481E-2</v>
      </c>
      <c r="EO276" s="1">
        <f>(Table1[[#This Row],[predicted_9]]-Table1[[#This Row],[actual_9]])/Table1[[#This Row],[actual_9]]</f>
        <v>1.8830525272547076E-2</v>
      </c>
      <c r="EP276" s="1">
        <f>1+(Table1[[#This Row],[error_ratio_0]]-EF$2)</f>
        <v>1.0285714285714285</v>
      </c>
      <c r="EQ276" s="1">
        <f>1+(Table1[[#This Row],[error_ratio_1]]-EG$2)</f>
        <v>1.011453744493392</v>
      </c>
      <c r="ER276" s="1">
        <f>1+(Table1[[#This Row],[error_ratio_2]]-EH$2)</f>
        <v>0.95155038759689925</v>
      </c>
      <c r="ES276" s="1">
        <f>1+(Table1[[#This Row],[error_ratio_3]]-EI$2)</f>
        <v>0.95742574257425739</v>
      </c>
      <c r="ET276" s="1">
        <f>1+(Table1[[#This Row],[error_ratio_4]]-EJ$2)</f>
        <v>1.0071283095723014</v>
      </c>
      <c r="EU276" s="1">
        <f>1+(Table1[[#This Row],[error_ratio_5]]-EK$2)</f>
        <v>1.0112107623318385</v>
      </c>
      <c r="EV276" s="1">
        <f>1+(Table1[[#This Row],[error_ratio_6]]-EL$2)</f>
        <v>1.0208768267223383</v>
      </c>
      <c r="EW276" s="1">
        <f>1+(Table1[[#This Row],[error_ratio_7]]-EM$2)</f>
        <v>1.0739299610894941</v>
      </c>
      <c r="EX276" s="1">
        <f>1+(Table1[[#This Row],[error_ratio_8]]-EN$2)</f>
        <v>0.91375770020533875</v>
      </c>
      <c r="EY276" s="1">
        <f>1+(Table1[[#This Row],[error_ratio_9]]-EO$2)</f>
        <v>1.0227948463825569</v>
      </c>
    </row>
    <row r="277" spans="1:155" x14ac:dyDescent="0.75">
      <c r="A277">
        <v>10</v>
      </c>
      <c r="B277">
        <v>100</v>
      </c>
      <c r="C277">
        <v>10</v>
      </c>
      <c r="D277">
        <v>10</v>
      </c>
      <c r="E277">
        <v>100</v>
      </c>
      <c r="F277">
        <v>10</v>
      </c>
      <c r="G277">
        <v>100</v>
      </c>
      <c r="H277">
        <v>100</v>
      </c>
      <c r="I277">
        <v>10</v>
      </c>
      <c r="J277">
        <v>100</v>
      </c>
      <c r="K277">
        <v>955</v>
      </c>
      <c r="L277">
        <v>1191</v>
      </c>
      <c r="M277">
        <v>850</v>
      </c>
      <c r="N277">
        <v>997</v>
      </c>
      <c r="O277">
        <v>1016</v>
      </c>
      <c r="P277">
        <v>909</v>
      </c>
      <c r="Q277">
        <v>974</v>
      </c>
      <c r="R277">
        <v>1141</v>
      </c>
      <c r="S277">
        <v>820</v>
      </c>
      <c r="T277">
        <v>1147</v>
      </c>
      <c r="U277">
        <v>980</v>
      </c>
      <c r="V277">
        <v>1135</v>
      </c>
      <c r="W277">
        <v>1032</v>
      </c>
      <c r="X277">
        <v>1010</v>
      </c>
      <c r="Y277">
        <v>982</v>
      </c>
      <c r="Z277">
        <v>892</v>
      </c>
      <c r="AA277">
        <v>958</v>
      </c>
      <c r="AB277">
        <v>1028</v>
      </c>
      <c r="AC277">
        <v>974</v>
      </c>
      <c r="AD277">
        <v>1009</v>
      </c>
      <c r="AE277">
        <v>936</v>
      </c>
      <c r="AF277">
        <v>0</v>
      </c>
      <c r="AG277">
        <v>1</v>
      </c>
      <c r="AH277">
        <v>0</v>
      </c>
      <c r="AI277">
        <v>3</v>
      </c>
      <c r="AJ277">
        <v>4</v>
      </c>
      <c r="AK277">
        <v>14</v>
      </c>
      <c r="AL277">
        <v>6</v>
      </c>
      <c r="AM277">
        <v>2</v>
      </c>
      <c r="AN277">
        <v>14</v>
      </c>
      <c r="AO277">
        <v>0</v>
      </c>
      <c r="AP277">
        <v>1116</v>
      </c>
      <c r="AQ277">
        <v>0</v>
      </c>
      <c r="AR277">
        <v>1</v>
      </c>
      <c r="AS277">
        <v>2</v>
      </c>
      <c r="AT277">
        <v>0</v>
      </c>
      <c r="AU277">
        <v>3</v>
      </c>
      <c r="AV277">
        <v>3</v>
      </c>
      <c r="AW277">
        <v>9</v>
      </c>
      <c r="AX277">
        <v>1</v>
      </c>
      <c r="AY277">
        <v>2</v>
      </c>
      <c r="AZ277">
        <v>65</v>
      </c>
      <c r="BA277">
        <v>837</v>
      </c>
      <c r="BB277">
        <v>22</v>
      </c>
      <c r="BC277">
        <v>21</v>
      </c>
      <c r="BD277">
        <v>3</v>
      </c>
      <c r="BE277">
        <v>4</v>
      </c>
      <c r="BF277">
        <v>67</v>
      </c>
      <c r="BG277">
        <v>0</v>
      </c>
      <c r="BH277">
        <v>11</v>
      </c>
      <c r="BI277">
        <v>5</v>
      </c>
      <c r="BJ277">
        <v>0</v>
      </c>
      <c r="BK277">
        <v>1</v>
      </c>
      <c r="BL277">
        <v>945</v>
      </c>
      <c r="BM277">
        <v>0</v>
      </c>
      <c r="BN277">
        <v>27</v>
      </c>
      <c r="BO277">
        <v>0</v>
      </c>
      <c r="BP277">
        <v>15</v>
      </c>
      <c r="BQ277">
        <v>6</v>
      </c>
      <c r="BR277">
        <v>11</v>
      </c>
      <c r="BS277">
        <v>0</v>
      </c>
      <c r="BT277">
        <v>0</v>
      </c>
      <c r="BU277">
        <v>0</v>
      </c>
      <c r="BV277">
        <v>0</v>
      </c>
      <c r="BW277">
        <v>970</v>
      </c>
      <c r="BX277">
        <v>0</v>
      </c>
      <c r="BY277">
        <v>1</v>
      </c>
      <c r="BZ277">
        <v>1</v>
      </c>
      <c r="CA277">
        <v>0</v>
      </c>
      <c r="CB277">
        <v>10</v>
      </c>
      <c r="CC277">
        <v>2</v>
      </c>
      <c r="CD277">
        <v>2</v>
      </c>
      <c r="CE277">
        <v>0</v>
      </c>
      <c r="CF277">
        <v>11</v>
      </c>
      <c r="CG277">
        <v>0</v>
      </c>
      <c r="CH277">
        <v>841</v>
      </c>
      <c r="CI277">
        <v>4</v>
      </c>
      <c r="CJ277">
        <v>5</v>
      </c>
      <c r="CK277">
        <v>6</v>
      </c>
      <c r="CL277">
        <v>21</v>
      </c>
      <c r="CM277">
        <v>3</v>
      </c>
      <c r="CN277">
        <v>2</v>
      </c>
      <c r="CO277">
        <v>1</v>
      </c>
      <c r="CP277">
        <v>0</v>
      </c>
      <c r="CQ277">
        <v>6</v>
      </c>
      <c r="CR277">
        <v>3</v>
      </c>
      <c r="CS277">
        <v>942</v>
      </c>
      <c r="CT277">
        <v>0</v>
      </c>
      <c r="CU277">
        <v>1</v>
      </c>
      <c r="CV277">
        <v>0</v>
      </c>
      <c r="CW277">
        <v>0</v>
      </c>
      <c r="CX277">
        <v>4</v>
      </c>
      <c r="CY277">
        <v>0</v>
      </c>
      <c r="CZ277">
        <v>1</v>
      </c>
      <c r="DA277">
        <v>0</v>
      </c>
      <c r="DB277">
        <v>0</v>
      </c>
      <c r="DC277">
        <v>0</v>
      </c>
      <c r="DD277">
        <v>1023</v>
      </c>
      <c r="DE277">
        <v>0</v>
      </c>
      <c r="DF277">
        <v>0</v>
      </c>
      <c r="DG277">
        <v>5</v>
      </c>
      <c r="DH277">
        <v>0</v>
      </c>
      <c r="DI277">
        <v>9</v>
      </c>
      <c r="DJ277">
        <v>15</v>
      </c>
      <c r="DK277">
        <v>8</v>
      </c>
      <c r="DL277">
        <v>31</v>
      </c>
      <c r="DM277">
        <v>6</v>
      </c>
      <c r="DN277">
        <v>16</v>
      </c>
      <c r="DO277">
        <v>796</v>
      </c>
      <c r="DP277">
        <v>88</v>
      </c>
      <c r="DQ277">
        <v>2</v>
      </c>
      <c r="DR277">
        <v>2</v>
      </c>
      <c r="DS277">
        <v>1</v>
      </c>
      <c r="DT277">
        <v>2</v>
      </c>
      <c r="DU277">
        <v>6</v>
      </c>
      <c r="DV277">
        <v>0</v>
      </c>
      <c r="DW277">
        <v>0</v>
      </c>
      <c r="DX277">
        <v>5</v>
      </c>
      <c r="DY277">
        <v>0</v>
      </c>
      <c r="DZ277">
        <v>991</v>
      </c>
      <c r="EA277">
        <v>0.93969999999999998</v>
      </c>
      <c r="EB277">
        <v>0.94280512303124397</v>
      </c>
      <c r="EC277">
        <v>0.93935009218922005</v>
      </c>
      <c r="ED277">
        <v>0.93882535782601795</v>
      </c>
      <c r="EE277">
        <f>SUM(Table1[[#This Row],[ratio_0]:[ratio_9]])</f>
        <v>550</v>
      </c>
      <c r="EF277" s="1">
        <f>(Table1[[#This Row],[predicted_0]]-Table1[[#This Row],[actual_0]])/Table1[[#This Row],[actual_0]]</f>
        <v>-2.5510204081632654E-2</v>
      </c>
      <c r="EG277" s="1">
        <f>(Table1[[#This Row],[predicted_1]]-Table1[[#This Row],[actual_1]])/Table1[[#This Row],[actual_1]]</f>
        <v>4.933920704845815E-2</v>
      </c>
      <c r="EH277" s="1">
        <f>(Table1[[#This Row],[predicted_2]]-Table1[[#This Row],[actual_2]])/Table1[[#This Row],[actual_2]]</f>
        <v>-0.17635658914728683</v>
      </c>
      <c r="EI277" s="1">
        <f>(Table1[[#This Row],[predicted_3]]-Table1[[#This Row],[actual_3]])/Table1[[#This Row],[actual_3]]</f>
        <v>-1.2871287128712871E-2</v>
      </c>
      <c r="EJ277" s="1">
        <f>(Table1[[#This Row],[predicted_4]]-Table1[[#This Row],[actual_4]])/Table1[[#This Row],[actual_4]]</f>
        <v>3.4623217922606926E-2</v>
      </c>
      <c r="EK277" s="1">
        <f>(Table1[[#This Row],[predicted_5]]-Table1[[#This Row],[actual_5]])/Table1[[#This Row],[actual_5]]</f>
        <v>1.905829596412556E-2</v>
      </c>
      <c r="EL277" s="1">
        <f>(Table1[[#This Row],[predicted_6]]-Table1[[#This Row],[actual_6]])/Table1[[#This Row],[actual_6]]</f>
        <v>1.6701461377870562E-2</v>
      </c>
      <c r="EM277" s="1">
        <f>(Table1[[#This Row],[predicted_7]]-Table1[[#This Row],[actual_7]])/Table1[[#This Row],[actual_7]]</f>
        <v>0.10992217898832685</v>
      </c>
      <c r="EN277" s="1">
        <f>(Table1[[#This Row],[predicted_8]]-Table1[[#This Row],[actual_8]])/Table1[[#This Row],[actual_8]]</f>
        <v>-0.15811088295687886</v>
      </c>
      <c r="EO277" s="1">
        <f>(Table1[[#This Row],[predicted_9]]-Table1[[#This Row],[actual_9]])/Table1[[#This Row],[actual_9]]</f>
        <v>0.13676907829534193</v>
      </c>
      <c r="EP277" s="1">
        <f>1+(Table1[[#This Row],[error_ratio_0]]-EF$2)</f>
        <v>0.97244897959183674</v>
      </c>
      <c r="EQ277" s="1">
        <f>1+(Table1[[#This Row],[error_ratio_1]]-EG$2)</f>
        <v>1.0475770925110133</v>
      </c>
      <c r="ER277" s="1">
        <f>1+(Table1[[#This Row],[error_ratio_2]]-EH$2)</f>
        <v>0.82848837209302328</v>
      </c>
      <c r="ES277" s="1">
        <f>1+(Table1[[#This Row],[error_ratio_3]]-EI$2)</f>
        <v>0.97722772277227721</v>
      </c>
      <c r="ET277" s="1">
        <f>1+(Table1[[#This Row],[error_ratio_4]]-EJ$2)</f>
        <v>1.0336048879837068</v>
      </c>
      <c r="EU277" s="1">
        <f>1+(Table1[[#This Row],[error_ratio_5]]-EK$2)</f>
        <v>1.0179372197309418</v>
      </c>
      <c r="EV277" s="1">
        <f>1+(Table1[[#This Row],[error_ratio_6]]-EL$2)</f>
        <v>1.0229645093945721</v>
      </c>
      <c r="EW277" s="1">
        <f>1+(Table1[[#This Row],[error_ratio_7]]-EM$2)</f>
        <v>1.1079766536964981</v>
      </c>
      <c r="EX277" s="1">
        <f>1+(Table1[[#This Row],[error_ratio_8]]-EN$2)</f>
        <v>0.84496919917864477</v>
      </c>
      <c r="EY277" s="1">
        <f>1+(Table1[[#This Row],[error_ratio_9]]-EO$2)</f>
        <v>1.1407333994053519</v>
      </c>
    </row>
    <row r="278" spans="1:155" x14ac:dyDescent="0.75">
      <c r="A278">
        <v>100</v>
      </c>
      <c r="B278">
        <v>10</v>
      </c>
      <c r="C278">
        <v>10</v>
      </c>
      <c r="D278">
        <v>10</v>
      </c>
      <c r="E278">
        <v>100</v>
      </c>
      <c r="F278">
        <v>10</v>
      </c>
      <c r="G278">
        <v>100</v>
      </c>
      <c r="H278">
        <v>100</v>
      </c>
      <c r="I278">
        <v>10</v>
      </c>
      <c r="J278">
        <v>100</v>
      </c>
      <c r="K278">
        <v>994</v>
      </c>
      <c r="L278">
        <v>1100</v>
      </c>
      <c r="M278">
        <v>929</v>
      </c>
      <c r="N278">
        <v>1029</v>
      </c>
      <c r="O278">
        <v>1032</v>
      </c>
      <c r="P278">
        <v>893</v>
      </c>
      <c r="Q278">
        <v>962</v>
      </c>
      <c r="R278">
        <v>1094</v>
      </c>
      <c r="S278">
        <v>934</v>
      </c>
      <c r="T278">
        <v>1033</v>
      </c>
      <c r="U278">
        <v>980</v>
      </c>
      <c r="V278">
        <v>1135</v>
      </c>
      <c r="W278">
        <v>1032</v>
      </c>
      <c r="X278">
        <v>1010</v>
      </c>
      <c r="Y278">
        <v>982</v>
      </c>
      <c r="Z278">
        <v>892</v>
      </c>
      <c r="AA278">
        <v>958</v>
      </c>
      <c r="AB278">
        <v>1028</v>
      </c>
      <c r="AC278">
        <v>974</v>
      </c>
      <c r="AD278">
        <v>1009</v>
      </c>
      <c r="AE278">
        <v>973</v>
      </c>
      <c r="AF278">
        <v>1</v>
      </c>
      <c r="AG278">
        <v>0</v>
      </c>
      <c r="AH278">
        <v>0</v>
      </c>
      <c r="AI278">
        <v>0</v>
      </c>
      <c r="AJ278">
        <v>0</v>
      </c>
      <c r="AK278">
        <v>1</v>
      </c>
      <c r="AL278">
        <v>2</v>
      </c>
      <c r="AM278">
        <v>2</v>
      </c>
      <c r="AN278">
        <v>1</v>
      </c>
      <c r="AO278">
        <v>0</v>
      </c>
      <c r="AP278">
        <v>1095</v>
      </c>
      <c r="AQ278">
        <v>2</v>
      </c>
      <c r="AR278">
        <v>3</v>
      </c>
      <c r="AS278">
        <v>16</v>
      </c>
      <c r="AT278">
        <v>3</v>
      </c>
      <c r="AU278">
        <v>6</v>
      </c>
      <c r="AV278">
        <v>5</v>
      </c>
      <c r="AW278">
        <v>4</v>
      </c>
      <c r="AX278">
        <v>1</v>
      </c>
      <c r="AY278">
        <v>4</v>
      </c>
      <c r="AZ278">
        <v>0</v>
      </c>
      <c r="BA278">
        <v>924</v>
      </c>
      <c r="BB278">
        <v>23</v>
      </c>
      <c r="BC278">
        <v>9</v>
      </c>
      <c r="BD278">
        <v>2</v>
      </c>
      <c r="BE278">
        <v>5</v>
      </c>
      <c r="BF278">
        <v>55</v>
      </c>
      <c r="BG278">
        <v>8</v>
      </c>
      <c r="BH278">
        <v>2</v>
      </c>
      <c r="BI278">
        <v>1</v>
      </c>
      <c r="BJ278">
        <v>0</v>
      </c>
      <c r="BK278">
        <v>0</v>
      </c>
      <c r="BL278">
        <v>982</v>
      </c>
      <c r="BM278">
        <v>1</v>
      </c>
      <c r="BN278">
        <v>9</v>
      </c>
      <c r="BO278">
        <v>0</v>
      </c>
      <c r="BP278">
        <v>6</v>
      </c>
      <c r="BQ278">
        <v>4</v>
      </c>
      <c r="BR278">
        <v>7</v>
      </c>
      <c r="BS278">
        <v>0</v>
      </c>
      <c r="BT278">
        <v>0</v>
      </c>
      <c r="BU278">
        <v>0</v>
      </c>
      <c r="BV278">
        <v>0</v>
      </c>
      <c r="BW278">
        <v>976</v>
      </c>
      <c r="BX278">
        <v>0</v>
      </c>
      <c r="BY278">
        <v>0</v>
      </c>
      <c r="BZ278">
        <v>0</v>
      </c>
      <c r="CA278">
        <v>0</v>
      </c>
      <c r="CB278">
        <v>6</v>
      </c>
      <c r="CC278">
        <v>4</v>
      </c>
      <c r="CD278">
        <v>0</v>
      </c>
      <c r="CE278">
        <v>0</v>
      </c>
      <c r="CF278">
        <v>10</v>
      </c>
      <c r="CG278">
        <v>1</v>
      </c>
      <c r="CH278">
        <v>858</v>
      </c>
      <c r="CI278">
        <v>5</v>
      </c>
      <c r="CJ278">
        <v>4</v>
      </c>
      <c r="CK278">
        <v>5</v>
      </c>
      <c r="CL278">
        <v>5</v>
      </c>
      <c r="CM278">
        <v>7</v>
      </c>
      <c r="CN278">
        <v>0</v>
      </c>
      <c r="CO278">
        <v>0</v>
      </c>
      <c r="CP278">
        <v>0</v>
      </c>
      <c r="CQ278">
        <v>7</v>
      </c>
      <c r="CR278">
        <v>6</v>
      </c>
      <c r="CS278">
        <v>938</v>
      </c>
      <c r="CT278">
        <v>0</v>
      </c>
      <c r="CU278">
        <v>0</v>
      </c>
      <c r="CV278">
        <v>0</v>
      </c>
      <c r="CW278">
        <v>0</v>
      </c>
      <c r="CX278">
        <v>2</v>
      </c>
      <c r="CY278">
        <v>1</v>
      </c>
      <c r="CZ278">
        <v>3</v>
      </c>
      <c r="DA278">
        <v>2</v>
      </c>
      <c r="DB278">
        <v>0</v>
      </c>
      <c r="DC278">
        <v>0</v>
      </c>
      <c r="DD278">
        <v>1011</v>
      </c>
      <c r="DE278">
        <v>0</v>
      </c>
      <c r="DF278">
        <v>9</v>
      </c>
      <c r="DG278">
        <v>3</v>
      </c>
      <c r="DH278">
        <v>1</v>
      </c>
      <c r="DI278">
        <v>2</v>
      </c>
      <c r="DJ278">
        <v>5</v>
      </c>
      <c r="DK278">
        <v>9</v>
      </c>
      <c r="DL278">
        <v>12</v>
      </c>
      <c r="DM278">
        <v>7</v>
      </c>
      <c r="DN278">
        <v>6</v>
      </c>
      <c r="DO278">
        <v>911</v>
      </c>
      <c r="DP278">
        <v>18</v>
      </c>
      <c r="DQ278">
        <v>2</v>
      </c>
      <c r="DR278">
        <v>1</v>
      </c>
      <c r="DS278">
        <v>0</v>
      </c>
      <c r="DT278">
        <v>3</v>
      </c>
      <c r="DU278">
        <v>11</v>
      </c>
      <c r="DV278">
        <v>3</v>
      </c>
      <c r="DW278">
        <v>0</v>
      </c>
      <c r="DX278">
        <v>5</v>
      </c>
      <c r="DY278">
        <v>0</v>
      </c>
      <c r="DZ278">
        <v>984</v>
      </c>
      <c r="EA278">
        <v>0.96519999999999995</v>
      </c>
      <c r="EB278">
        <v>0.96569366237519105</v>
      </c>
      <c r="EC278">
        <v>0.96541418219922204</v>
      </c>
      <c r="ED278">
        <v>0.965048062923065</v>
      </c>
      <c r="EE278">
        <f>SUM(Table1[[#This Row],[ratio_0]:[ratio_9]])</f>
        <v>550</v>
      </c>
      <c r="EF278" s="1">
        <f>(Table1[[#This Row],[predicted_0]]-Table1[[#This Row],[actual_0]])/Table1[[#This Row],[actual_0]]</f>
        <v>1.4285714285714285E-2</v>
      </c>
      <c r="EG278" s="1">
        <f>(Table1[[#This Row],[predicted_1]]-Table1[[#This Row],[actual_1]])/Table1[[#This Row],[actual_1]]</f>
        <v>-3.0837004405286344E-2</v>
      </c>
      <c r="EH278" s="1">
        <f>(Table1[[#This Row],[predicted_2]]-Table1[[#This Row],[actual_2]])/Table1[[#This Row],[actual_2]]</f>
        <v>-9.9806201550387594E-2</v>
      </c>
      <c r="EI278" s="1">
        <f>(Table1[[#This Row],[predicted_3]]-Table1[[#This Row],[actual_3]])/Table1[[#This Row],[actual_3]]</f>
        <v>1.8811881188118811E-2</v>
      </c>
      <c r="EJ278" s="1">
        <f>(Table1[[#This Row],[predicted_4]]-Table1[[#This Row],[actual_4]])/Table1[[#This Row],[actual_4]]</f>
        <v>5.0916496945010187E-2</v>
      </c>
      <c r="EK278" s="1">
        <f>(Table1[[#This Row],[predicted_5]]-Table1[[#This Row],[actual_5]])/Table1[[#This Row],[actual_5]]</f>
        <v>1.1210762331838565E-3</v>
      </c>
      <c r="EL278" s="1">
        <f>(Table1[[#This Row],[predicted_6]]-Table1[[#This Row],[actual_6]])/Table1[[#This Row],[actual_6]]</f>
        <v>4.1753653444676405E-3</v>
      </c>
      <c r="EM278" s="1">
        <f>(Table1[[#This Row],[predicted_7]]-Table1[[#This Row],[actual_7]])/Table1[[#This Row],[actual_7]]</f>
        <v>6.4202334630350189E-2</v>
      </c>
      <c r="EN278" s="1">
        <f>(Table1[[#This Row],[predicted_8]]-Table1[[#This Row],[actual_8]])/Table1[[#This Row],[actual_8]]</f>
        <v>-4.1067761806981518E-2</v>
      </c>
      <c r="EO278" s="1">
        <f>(Table1[[#This Row],[predicted_9]]-Table1[[#This Row],[actual_9]])/Table1[[#This Row],[actual_9]]</f>
        <v>2.3785926660059464E-2</v>
      </c>
      <c r="EP278" s="1">
        <f>1+(Table1[[#This Row],[error_ratio_0]]-EF$2)</f>
        <v>1.0122448979591836</v>
      </c>
      <c r="EQ278" s="1">
        <f>1+(Table1[[#This Row],[error_ratio_1]]-EG$2)</f>
        <v>0.96740088105726874</v>
      </c>
      <c r="ER278" s="1">
        <f>1+(Table1[[#This Row],[error_ratio_2]]-EH$2)</f>
        <v>0.90503875968992253</v>
      </c>
      <c r="ES278" s="1">
        <f>1+(Table1[[#This Row],[error_ratio_3]]-EI$2)</f>
        <v>1.0089108910891089</v>
      </c>
      <c r="ET278" s="1">
        <f>1+(Table1[[#This Row],[error_ratio_4]]-EJ$2)</f>
        <v>1.0498981670061101</v>
      </c>
      <c r="EU278" s="1">
        <f>1+(Table1[[#This Row],[error_ratio_5]]-EK$2)</f>
        <v>1</v>
      </c>
      <c r="EV278" s="1">
        <f>1+(Table1[[#This Row],[error_ratio_6]]-EL$2)</f>
        <v>1.010438413361169</v>
      </c>
      <c r="EW278" s="1">
        <f>1+(Table1[[#This Row],[error_ratio_7]]-EM$2)</f>
        <v>1.0622568093385214</v>
      </c>
      <c r="EX278" s="1">
        <f>1+(Table1[[#This Row],[error_ratio_8]]-EN$2)</f>
        <v>0.96201232032854211</v>
      </c>
      <c r="EY278" s="1">
        <f>1+(Table1[[#This Row],[error_ratio_9]]-EO$2)</f>
        <v>1.0277502477700693</v>
      </c>
    </row>
    <row r="279" spans="1:155" x14ac:dyDescent="0.75">
      <c r="A279">
        <v>100</v>
      </c>
      <c r="B279">
        <v>100</v>
      </c>
      <c r="C279">
        <v>100</v>
      </c>
      <c r="D279">
        <v>100</v>
      </c>
      <c r="E279">
        <v>10</v>
      </c>
      <c r="F279">
        <v>10</v>
      </c>
      <c r="G279">
        <v>100</v>
      </c>
      <c r="H279">
        <v>100</v>
      </c>
      <c r="I279">
        <v>10</v>
      </c>
      <c r="J279">
        <v>100</v>
      </c>
      <c r="K279">
        <v>991</v>
      </c>
      <c r="L279">
        <v>1156</v>
      </c>
      <c r="M279">
        <v>1020</v>
      </c>
      <c r="N279">
        <v>1067</v>
      </c>
      <c r="O279">
        <v>914</v>
      </c>
      <c r="P279">
        <v>847</v>
      </c>
      <c r="Q279">
        <v>964</v>
      </c>
      <c r="R279">
        <v>1054</v>
      </c>
      <c r="S279">
        <v>902</v>
      </c>
      <c r="T279">
        <v>1085</v>
      </c>
      <c r="U279">
        <v>980</v>
      </c>
      <c r="V279">
        <v>1135</v>
      </c>
      <c r="W279">
        <v>1032</v>
      </c>
      <c r="X279">
        <v>1010</v>
      </c>
      <c r="Y279">
        <v>982</v>
      </c>
      <c r="Z279">
        <v>892</v>
      </c>
      <c r="AA279">
        <v>958</v>
      </c>
      <c r="AB279">
        <v>1028</v>
      </c>
      <c r="AC279">
        <v>974</v>
      </c>
      <c r="AD279">
        <v>1009</v>
      </c>
      <c r="AE279">
        <v>974</v>
      </c>
      <c r="AF279">
        <v>1</v>
      </c>
      <c r="AG279">
        <v>0</v>
      </c>
      <c r="AH279">
        <v>1</v>
      </c>
      <c r="AI279">
        <v>0</v>
      </c>
      <c r="AJ279">
        <v>0</v>
      </c>
      <c r="AK279">
        <v>0</v>
      </c>
      <c r="AL279">
        <v>2</v>
      </c>
      <c r="AM279">
        <v>1</v>
      </c>
      <c r="AN279">
        <v>1</v>
      </c>
      <c r="AO279">
        <v>0</v>
      </c>
      <c r="AP279">
        <v>1135</v>
      </c>
      <c r="AQ279">
        <v>0</v>
      </c>
      <c r="AR279">
        <v>0</v>
      </c>
      <c r="AS279">
        <v>0</v>
      </c>
      <c r="AT279">
        <v>0</v>
      </c>
      <c r="AU279">
        <v>0</v>
      </c>
      <c r="AV279">
        <v>0</v>
      </c>
      <c r="AW279">
        <v>0</v>
      </c>
      <c r="AX279">
        <v>0</v>
      </c>
      <c r="AY279">
        <v>1</v>
      </c>
      <c r="AZ279">
        <v>5</v>
      </c>
      <c r="BA279">
        <v>1004</v>
      </c>
      <c r="BB279">
        <v>7</v>
      </c>
      <c r="BC279">
        <v>0</v>
      </c>
      <c r="BD279">
        <v>0</v>
      </c>
      <c r="BE279">
        <v>0</v>
      </c>
      <c r="BF279">
        <v>15</v>
      </c>
      <c r="BG279">
        <v>0</v>
      </c>
      <c r="BH279">
        <v>0</v>
      </c>
      <c r="BI279">
        <v>0</v>
      </c>
      <c r="BJ279">
        <v>0</v>
      </c>
      <c r="BK279">
        <v>2</v>
      </c>
      <c r="BL279">
        <v>1007</v>
      </c>
      <c r="BM279">
        <v>0</v>
      </c>
      <c r="BN279">
        <v>1</v>
      </c>
      <c r="BO279">
        <v>0</v>
      </c>
      <c r="BP279">
        <v>0</v>
      </c>
      <c r="BQ279">
        <v>0</v>
      </c>
      <c r="BR279">
        <v>0</v>
      </c>
      <c r="BS279">
        <v>1</v>
      </c>
      <c r="BT279">
        <v>4</v>
      </c>
      <c r="BU279">
        <v>0</v>
      </c>
      <c r="BV279">
        <v>0</v>
      </c>
      <c r="BW279">
        <v>910</v>
      </c>
      <c r="BX279">
        <v>0</v>
      </c>
      <c r="BY279">
        <v>6</v>
      </c>
      <c r="BZ279">
        <v>8</v>
      </c>
      <c r="CA279">
        <v>0</v>
      </c>
      <c r="CB279">
        <v>53</v>
      </c>
      <c r="CC279">
        <v>2</v>
      </c>
      <c r="CD279">
        <v>0</v>
      </c>
      <c r="CE279">
        <v>1</v>
      </c>
      <c r="CF279">
        <v>27</v>
      </c>
      <c r="CG279">
        <v>0</v>
      </c>
      <c r="CH279">
        <v>841</v>
      </c>
      <c r="CI279">
        <v>9</v>
      </c>
      <c r="CJ279">
        <v>3</v>
      </c>
      <c r="CK279">
        <v>2</v>
      </c>
      <c r="CL279">
        <v>7</v>
      </c>
      <c r="CM279">
        <v>8</v>
      </c>
      <c r="CN279">
        <v>5</v>
      </c>
      <c r="CO279">
        <v>1</v>
      </c>
      <c r="CP279">
        <v>0</v>
      </c>
      <c r="CQ279">
        <v>1</v>
      </c>
      <c r="CR279">
        <v>2</v>
      </c>
      <c r="CS279">
        <v>941</v>
      </c>
      <c r="CT279">
        <v>0</v>
      </c>
      <c r="CU279">
        <v>0</v>
      </c>
      <c r="CV279">
        <v>0</v>
      </c>
      <c r="CW279">
        <v>0</v>
      </c>
      <c r="CX279">
        <v>3</v>
      </c>
      <c r="CY279">
        <v>1</v>
      </c>
      <c r="CZ279">
        <v>3</v>
      </c>
      <c r="DA279">
        <v>0</v>
      </c>
      <c r="DB279">
        <v>0</v>
      </c>
      <c r="DC279">
        <v>0</v>
      </c>
      <c r="DD279">
        <v>1016</v>
      </c>
      <c r="DE279">
        <v>0</v>
      </c>
      <c r="DF279">
        <v>5</v>
      </c>
      <c r="DG279">
        <v>3</v>
      </c>
      <c r="DH279">
        <v>2</v>
      </c>
      <c r="DI279">
        <v>11</v>
      </c>
      <c r="DJ279">
        <v>22</v>
      </c>
      <c r="DK279">
        <v>2</v>
      </c>
      <c r="DL279">
        <v>1</v>
      </c>
      <c r="DM279">
        <v>7</v>
      </c>
      <c r="DN279">
        <v>6</v>
      </c>
      <c r="DO279">
        <v>899</v>
      </c>
      <c r="DP279">
        <v>21</v>
      </c>
      <c r="DQ279">
        <v>2</v>
      </c>
      <c r="DR279">
        <v>1</v>
      </c>
      <c r="DS279">
        <v>0</v>
      </c>
      <c r="DT279">
        <v>0</v>
      </c>
      <c r="DU279">
        <v>1</v>
      </c>
      <c r="DV279">
        <v>2</v>
      </c>
      <c r="DW279">
        <v>1</v>
      </c>
      <c r="DX279">
        <v>4</v>
      </c>
      <c r="DY279">
        <v>0</v>
      </c>
      <c r="DZ279">
        <v>998</v>
      </c>
      <c r="EA279">
        <v>0.97250000000000003</v>
      </c>
      <c r="EB279">
        <v>0.97378782995330904</v>
      </c>
      <c r="EC279">
        <v>0.97159584366461904</v>
      </c>
      <c r="ED279">
        <v>0.97213227105185196</v>
      </c>
      <c r="EE279">
        <f>SUM(Table1[[#This Row],[ratio_0]:[ratio_9]])</f>
        <v>730</v>
      </c>
      <c r="EF279" s="1">
        <f>(Table1[[#This Row],[predicted_0]]-Table1[[#This Row],[actual_0]])/Table1[[#This Row],[actual_0]]</f>
        <v>1.1224489795918367E-2</v>
      </c>
      <c r="EG279" s="1">
        <f>(Table1[[#This Row],[predicted_1]]-Table1[[#This Row],[actual_1]])/Table1[[#This Row],[actual_1]]</f>
        <v>1.8502202643171806E-2</v>
      </c>
      <c r="EH279" s="1">
        <f>(Table1[[#This Row],[predicted_2]]-Table1[[#This Row],[actual_2]])/Table1[[#This Row],[actual_2]]</f>
        <v>-1.1627906976744186E-2</v>
      </c>
      <c r="EI279" s="1">
        <f>(Table1[[#This Row],[predicted_3]]-Table1[[#This Row],[actual_3]])/Table1[[#This Row],[actual_3]]</f>
        <v>5.6435643564356437E-2</v>
      </c>
      <c r="EJ279" s="1">
        <f>(Table1[[#This Row],[predicted_4]]-Table1[[#This Row],[actual_4]])/Table1[[#This Row],[actual_4]]</f>
        <v>-6.9246435845213852E-2</v>
      </c>
      <c r="EK279" s="1">
        <f>(Table1[[#This Row],[predicted_5]]-Table1[[#This Row],[actual_5]])/Table1[[#This Row],[actual_5]]</f>
        <v>-5.0448430493273543E-2</v>
      </c>
      <c r="EL279" s="1">
        <f>(Table1[[#This Row],[predicted_6]]-Table1[[#This Row],[actual_6]])/Table1[[#This Row],[actual_6]]</f>
        <v>6.2630480167014616E-3</v>
      </c>
      <c r="EM279" s="1">
        <f>(Table1[[#This Row],[predicted_7]]-Table1[[#This Row],[actual_7]])/Table1[[#This Row],[actual_7]]</f>
        <v>2.5291828793774319E-2</v>
      </c>
      <c r="EN279" s="1">
        <f>(Table1[[#This Row],[predicted_8]]-Table1[[#This Row],[actual_8]])/Table1[[#This Row],[actual_8]]</f>
        <v>-7.3921971252566734E-2</v>
      </c>
      <c r="EO279" s="1">
        <f>(Table1[[#This Row],[predicted_9]]-Table1[[#This Row],[actual_9]])/Table1[[#This Row],[actual_9]]</f>
        <v>7.5322101090188304E-2</v>
      </c>
      <c r="EP279" s="1">
        <f>1+(Table1[[#This Row],[error_ratio_0]]-EF$2)</f>
        <v>1.0091836734693878</v>
      </c>
      <c r="EQ279" s="1">
        <f>1+(Table1[[#This Row],[error_ratio_1]]-EG$2)</f>
        <v>1.0167400881057269</v>
      </c>
      <c r="ER279" s="1">
        <f>1+(Table1[[#This Row],[error_ratio_2]]-EH$2)</f>
        <v>0.99321705426356588</v>
      </c>
      <c r="ES279" s="1">
        <f>1+(Table1[[#This Row],[error_ratio_3]]-EI$2)</f>
        <v>1.0465346534653466</v>
      </c>
      <c r="ET279" s="1">
        <f>1+(Table1[[#This Row],[error_ratio_4]]-EJ$2)</f>
        <v>0.929735234215886</v>
      </c>
      <c r="EU279" s="1">
        <f>1+(Table1[[#This Row],[error_ratio_5]]-EK$2)</f>
        <v>0.94843049327354256</v>
      </c>
      <c r="EV279" s="1">
        <f>1+(Table1[[#This Row],[error_ratio_6]]-EL$2)</f>
        <v>1.0125260960334028</v>
      </c>
      <c r="EW279" s="1">
        <f>1+(Table1[[#This Row],[error_ratio_7]]-EM$2)</f>
        <v>1.0233463035019454</v>
      </c>
      <c r="EX279" s="1">
        <f>1+(Table1[[#This Row],[error_ratio_8]]-EN$2)</f>
        <v>0.92915811088295686</v>
      </c>
      <c r="EY279" s="1">
        <f>1+(Table1[[#This Row],[error_ratio_9]]-EO$2)</f>
        <v>1.0792864222001981</v>
      </c>
    </row>
    <row r="280" spans="1:155" x14ac:dyDescent="0.75">
      <c r="A280">
        <v>10</v>
      </c>
      <c r="B280">
        <v>100</v>
      </c>
      <c r="C280">
        <v>100</v>
      </c>
      <c r="D280">
        <v>100</v>
      </c>
      <c r="E280">
        <v>10</v>
      </c>
      <c r="F280">
        <v>10</v>
      </c>
      <c r="G280">
        <v>100</v>
      </c>
      <c r="H280">
        <v>100</v>
      </c>
      <c r="I280">
        <v>10</v>
      </c>
      <c r="J280">
        <v>100</v>
      </c>
      <c r="K280">
        <v>980</v>
      </c>
      <c r="L280">
        <v>1164</v>
      </c>
      <c r="M280">
        <v>1047</v>
      </c>
      <c r="N280">
        <v>1012</v>
      </c>
      <c r="O280">
        <v>948</v>
      </c>
      <c r="P280">
        <v>881</v>
      </c>
      <c r="Q280">
        <v>980</v>
      </c>
      <c r="R280">
        <v>1057</v>
      </c>
      <c r="S280">
        <v>915</v>
      </c>
      <c r="T280">
        <v>1016</v>
      </c>
      <c r="U280">
        <v>980</v>
      </c>
      <c r="V280">
        <v>1135</v>
      </c>
      <c r="W280">
        <v>1032</v>
      </c>
      <c r="X280">
        <v>1010</v>
      </c>
      <c r="Y280">
        <v>982</v>
      </c>
      <c r="Z280">
        <v>892</v>
      </c>
      <c r="AA280">
        <v>958</v>
      </c>
      <c r="AB280">
        <v>1028</v>
      </c>
      <c r="AC280">
        <v>974</v>
      </c>
      <c r="AD280">
        <v>1009</v>
      </c>
      <c r="AE280">
        <v>960</v>
      </c>
      <c r="AF280">
        <v>2</v>
      </c>
      <c r="AG280">
        <v>3</v>
      </c>
      <c r="AH280">
        <v>0</v>
      </c>
      <c r="AI280">
        <v>0</v>
      </c>
      <c r="AJ280">
        <v>0</v>
      </c>
      <c r="AK280">
        <v>5</v>
      </c>
      <c r="AL280">
        <v>2</v>
      </c>
      <c r="AM280">
        <v>5</v>
      </c>
      <c r="AN280">
        <v>3</v>
      </c>
      <c r="AO280">
        <v>0</v>
      </c>
      <c r="AP280">
        <v>1133</v>
      </c>
      <c r="AQ280">
        <v>0</v>
      </c>
      <c r="AR280">
        <v>0</v>
      </c>
      <c r="AS280">
        <v>0</v>
      </c>
      <c r="AT280">
        <v>0</v>
      </c>
      <c r="AU280">
        <v>2</v>
      </c>
      <c r="AV280">
        <v>0</v>
      </c>
      <c r="AW280">
        <v>0</v>
      </c>
      <c r="AX280">
        <v>0</v>
      </c>
      <c r="AY280">
        <v>0</v>
      </c>
      <c r="AZ280">
        <v>6</v>
      </c>
      <c r="BA280">
        <v>1018</v>
      </c>
      <c r="BB280">
        <v>2</v>
      </c>
      <c r="BC280">
        <v>0</v>
      </c>
      <c r="BD280">
        <v>0</v>
      </c>
      <c r="BE280">
        <v>0</v>
      </c>
      <c r="BF280">
        <v>6</v>
      </c>
      <c r="BG280">
        <v>0</v>
      </c>
      <c r="BH280">
        <v>0</v>
      </c>
      <c r="BI280">
        <v>0</v>
      </c>
      <c r="BJ280">
        <v>1</v>
      </c>
      <c r="BK280">
        <v>6</v>
      </c>
      <c r="BL280">
        <v>993</v>
      </c>
      <c r="BM280">
        <v>0</v>
      </c>
      <c r="BN280">
        <v>4</v>
      </c>
      <c r="BO280">
        <v>0</v>
      </c>
      <c r="BP280">
        <v>4</v>
      </c>
      <c r="BQ280">
        <v>1</v>
      </c>
      <c r="BR280">
        <v>1</v>
      </c>
      <c r="BS280">
        <v>2</v>
      </c>
      <c r="BT280">
        <v>2</v>
      </c>
      <c r="BU280">
        <v>3</v>
      </c>
      <c r="BV280">
        <v>0</v>
      </c>
      <c r="BW280">
        <v>938</v>
      </c>
      <c r="BX280">
        <v>0</v>
      </c>
      <c r="BY280">
        <v>10</v>
      </c>
      <c r="BZ280">
        <v>8</v>
      </c>
      <c r="CA280">
        <v>1</v>
      </c>
      <c r="CB280">
        <v>18</v>
      </c>
      <c r="CC280">
        <v>6</v>
      </c>
      <c r="CD280">
        <v>1</v>
      </c>
      <c r="CE280">
        <v>0</v>
      </c>
      <c r="CF280">
        <v>10</v>
      </c>
      <c r="CG280">
        <v>0</v>
      </c>
      <c r="CH280">
        <v>869</v>
      </c>
      <c r="CI280">
        <v>4</v>
      </c>
      <c r="CJ280">
        <v>1</v>
      </c>
      <c r="CK280">
        <v>1</v>
      </c>
      <c r="CL280">
        <v>0</v>
      </c>
      <c r="CM280">
        <v>4</v>
      </c>
      <c r="CN280">
        <v>2</v>
      </c>
      <c r="CO280">
        <v>1</v>
      </c>
      <c r="CP280">
        <v>0</v>
      </c>
      <c r="CQ280">
        <v>2</v>
      </c>
      <c r="CR280">
        <v>1</v>
      </c>
      <c r="CS280">
        <v>948</v>
      </c>
      <c r="CT280">
        <v>0</v>
      </c>
      <c r="CU280">
        <v>0</v>
      </c>
      <c r="CV280">
        <v>0</v>
      </c>
      <c r="CW280">
        <v>0</v>
      </c>
      <c r="CX280">
        <v>5</v>
      </c>
      <c r="CY280">
        <v>3</v>
      </c>
      <c r="CZ280">
        <v>0</v>
      </c>
      <c r="DA280">
        <v>0</v>
      </c>
      <c r="DB280">
        <v>0</v>
      </c>
      <c r="DC280">
        <v>0</v>
      </c>
      <c r="DD280">
        <v>1020</v>
      </c>
      <c r="DE280">
        <v>0</v>
      </c>
      <c r="DF280">
        <v>0</v>
      </c>
      <c r="DG280">
        <v>7</v>
      </c>
      <c r="DH280">
        <v>7</v>
      </c>
      <c r="DI280">
        <v>11</v>
      </c>
      <c r="DJ280">
        <v>4</v>
      </c>
      <c r="DK280">
        <v>5</v>
      </c>
      <c r="DL280">
        <v>5</v>
      </c>
      <c r="DM280">
        <v>11</v>
      </c>
      <c r="DN280">
        <v>11</v>
      </c>
      <c r="DO280">
        <v>907</v>
      </c>
      <c r="DP280">
        <v>6</v>
      </c>
      <c r="DQ280">
        <v>1</v>
      </c>
      <c r="DR280">
        <v>5</v>
      </c>
      <c r="DS280">
        <v>2</v>
      </c>
      <c r="DT280">
        <v>3</v>
      </c>
      <c r="DU280">
        <v>3</v>
      </c>
      <c r="DV280">
        <v>2</v>
      </c>
      <c r="DW280">
        <v>0</v>
      </c>
      <c r="DX280">
        <v>5</v>
      </c>
      <c r="DY280">
        <v>0</v>
      </c>
      <c r="DZ280">
        <v>988</v>
      </c>
      <c r="EA280">
        <v>0.97740000000000005</v>
      </c>
      <c r="EB280">
        <v>0.97783572208057901</v>
      </c>
      <c r="EC280">
        <v>0.97690191754984901</v>
      </c>
      <c r="ED280">
        <v>0.97718751292637596</v>
      </c>
      <c r="EE280">
        <f>SUM(Table1[[#This Row],[ratio_0]:[ratio_9]])</f>
        <v>640</v>
      </c>
      <c r="EF280" s="1">
        <f>(Table1[[#This Row],[predicted_0]]-Table1[[#This Row],[actual_0]])/Table1[[#This Row],[actual_0]]</f>
        <v>0</v>
      </c>
      <c r="EG280" s="1">
        <f>(Table1[[#This Row],[predicted_1]]-Table1[[#This Row],[actual_1]])/Table1[[#This Row],[actual_1]]</f>
        <v>2.5550660792951541E-2</v>
      </c>
      <c r="EH280" s="1">
        <f>(Table1[[#This Row],[predicted_2]]-Table1[[#This Row],[actual_2]])/Table1[[#This Row],[actual_2]]</f>
        <v>1.4534883720930232E-2</v>
      </c>
      <c r="EI280" s="1">
        <f>(Table1[[#This Row],[predicted_3]]-Table1[[#This Row],[actual_3]])/Table1[[#This Row],[actual_3]]</f>
        <v>1.9801980198019802E-3</v>
      </c>
      <c r="EJ280" s="1">
        <f>(Table1[[#This Row],[predicted_4]]-Table1[[#This Row],[actual_4]])/Table1[[#This Row],[actual_4]]</f>
        <v>-3.4623217922606926E-2</v>
      </c>
      <c r="EK280" s="1">
        <f>(Table1[[#This Row],[predicted_5]]-Table1[[#This Row],[actual_5]])/Table1[[#This Row],[actual_5]]</f>
        <v>-1.2331838565022421E-2</v>
      </c>
      <c r="EL280" s="1">
        <f>(Table1[[#This Row],[predicted_6]]-Table1[[#This Row],[actual_6]])/Table1[[#This Row],[actual_6]]</f>
        <v>2.2964509394572025E-2</v>
      </c>
      <c r="EM280" s="1">
        <f>(Table1[[#This Row],[predicted_7]]-Table1[[#This Row],[actual_7]])/Table1[[#This Row],[actual_7]]</f>
        <v>2.821011673151751E-2</v>
      </c>
      <c r="EN280" s="1">
        <f>(Table1[[#This Row],[predicted_8]]-Table1[[#This Row],[actual_8]])/Table1[[#This Row],[actual_8]]</f>
        <v>-6.0574948665297744E-2</v>
      </c>
      <c r="EO280" s="1">
        <f>(Table1[[#This Row],[predicted_9]]-Table1[[#This Row],[actual_9]])/Table1[[#This Row],[actual_9]]</f>
        <v>6.9375619425173438E-3</v>
      </c>
      <c r="EP280" s="1">
        <f>1+(Table1[[#This Row],[error_ratio_0]]-EF$2)</f>
        <v>0.99795918367346936</v>
      </c>
      <c r="EQ280" s="1">
        <f>1+(Table1[[#This Row],[error_ratio_1]]-EG$2)</f>
        <v>1.0237885462555065</v>
      </c>
      <c r="ER280" s="1">
        <f>1+(Table1[[#This Row],[error_ratio_2]]-EH$2)</f>
        <v>1.0193798449612403</v>
      </c>
      <c r="ES280" s="1">
        <f>1+(Table1[[#This Row],[error_ratio_3]]-EI$2)</f>
        <v>0.99207920792079207</v>
      </c>
      <c r="ET280" s="1">
        <f>1+(Table1[[#This Row],[error_ratio_4]]-EJ$2)</f>
        <v>0.96435845213849292</v>
      </c>
      <c r="EU280" s="1">
        <f>1+(Table1[[#This Row],[error_ratio_5]]-EK$2)</f>
        <v>0.98654708520179368</v>
      </c>
      <c r="EV280" s="1">
        <f>1+(Table1[[#This Row],[error_ratio_6]]-EL$2)</f>
        <v>1.0292275574112735</v>
      </c>
      <c r="EW280" s="1">
        <f>1+(Table1[[#This Row],[error_ratio_7]]-EM$2)</f>
        <v>1.0262645914396886</v>
      </c>
      <c r="EX280" s="1">
        <f>1+(Table1[[#This Row],[error_ratio_8]]-EN$2)</f>
        <v>0.94250513347022591</v>
      </c>
      <c r="EY280" s="1">
        <f>1+(Table1[[#This Row],[error_ratio_9]]-EO$2)</f>
        <v>1.0109018830525272</v>
      </c>
    </row>
    <row r="281" spans="1:155" x14ac:dyDescent="0.75">
      <c r="A281">
        <v>100</v>
      </c>
      <c r="B281">
        <v>10</v>
      </c>
      <c r="C281">
        <v>100</v>
      </c>
      <c r="D281">
        <v>100</v>
      </c>
      <c r="E281">
        <v>10</v>
      </c>
      <c r="F281">
        <v>10</v>
      </c>
      <c r="G281">
        <v>100</v>
      </c>
      <c r="H281">
        <v>100</v>
      </c>
      <c r="I281">
        <v>10</v>
      </c>
      <c r="J281">
        <v>100</v>
      </c>
      <c r="K281">
        <v>977</v>
      </c>
      <c r="L281">
        <v>1118</v>
      </c>
      <c r="M281">
        <v>1101</v>
      </c>
      <c r="N281">
        <v>1021</v>
      </c>
      <c r="O281">
        <v>907</v>
      </c>
      <c r="P281">
        <v>877</v>
      </c>
      <c r="Q281">
        <v>972</v>
      </c>
      <c r="R281">
        <v>1051</v>
      </c>
      <c r="S281">
        <v>916</v>
      </c>
      <c r="T281">
        <v>1060</v>
      </c>
      <c r="U281">
        <v>980</v>
      </c>
      <c r="V281">
        <v>1135</v>
      </c>
      <c r="W281">
        <v>1032</v>
      </c>
      <c r="X281">
        <v>1010</v>
      </c>
      <c r="Y281">
        <v>982</v>
      </c>
      <c r="Z281">
        <v>892</v>
      </c>
      <c r="AA281">
        <v>958</v>
      </c>
      <c r="AB281">
        <v>1028</v>
      </c>
      <c r="AC281">
        <v>974</v>
      </c>
      <c r="AD281">
        <v>1009</v>
      </c>
      <c r="AE281">
        <v>967</v>
      </c>
      <c r="AF281">
        <v>1</v>
      </c>
      <c r="AG281">
        <v>3</v>
      </c>
      <c r="AH281">
        <v>0</v>
      </c>
      <c r="AI281">
        <v>0</v>
      </c>
      <c r="AJ281">
        <v>0</v>
      </c>
      <c r="AK281">
        <v>5</v>
      </c>
      <c r="AL281">
        <v>2</v>
      </c>
      <c r="AM281">
        <v>1</v>
      </c>
      <c r="AN281">
        <v>1</v>
      </c>
      <c r="AO281">
        <v>0</v>
      </c>
      <c r="AP281">
        <v>1114</v>
      </c>
      <c r="AQ281">
        <v>6</v>
      </c>
      <c r="AR281">
        <v>5</v>
      </c>
      <c r="AS281">
        <v>0</v>
      </c>
      <c r="AT281">
        <v>0</v>
      </c>
      <c r="AU281">
        <v>1</v>
      </c>
      <c r="AV281">
        <v>9</v>
      </c>
      <c r="AW281">
        <v>0</v>
      </c>
      <c r="AX281">
        <v>0</v>
      </c>
      <c r="AY281">
        <v>0</v>
      </c>
      <c r="AZ281">
        <v>0</v>
      </c>
      <c r="BA281">
        <v>1029</v>
      </c>
      <c r="BB281">
        <v>0</v>
      </c>
      <c r="BC281">
        <v>0</v>
      </c>
      <c r="BD281">
        <v>0</v>
      </c>
      <c r="BE281">
        <v>0</v>
      </c>
      <c r="BF281">
        <v>3</v>
      </c>
      <c r="BG281">
        <v>0</v>
      </c>
      <c r="BH281">
        <v>0</v>
      </c>
      <c r="BI281">
        <v>0</v>
      </c>
      <c r="BJ281">
        <v>0</v>
      </c>
      <c r="BK281">
        <v>5</v>
      </c>
      <c r="BL281">
        <v>999</v>
      </c>
      <c r="BM281">
        <v>0</v>
      </c>
      <c r="BN281">
        <v>4</v>
      </c>
      <c r="BO281">
        <v>0</v>
      </c>
      <c r="BP281">
        <v>2</v>
      </c>
      <c r="BQ281">
        <v>0</v>
      </c>
      <c r="BR281">
        <v>0</v>
      </c>
      <c r="BS281">
        <v>0</v>
      </c>
      <c r="BT281">
        <v>0</v>
      </c>
      <c r="BU281">
        <v>15</v>
      </c>
      <c r="BV281">
        <v>0</v>
      </c>
      <c r="BW281">
        <v>905</v>
      </c>
      <c r="BX281">
        <v>0</v>
      </c>
      <c r="BY281">
        <v>2</v>
      </c>
      <c r="BZ281">
        <v>8</v>
      </c>
      <c r="CA281">
        <v>1</v>
      </c>
      <c r="CB281">
        <v>51</v>
      </c>
      <c r="CC281">
        <v>3</v>
      </c>
      <c r="CD281">
        <v>0</v>
      </c>
      <c r="CE281">
        <v>1</v>
      </c>
      <c r="CF281">
        <v>12</v>
      </c>
      <c r="CG281">
        <v>0</v>
      </c>
      <c r="CH281">
        <v>862</v>
      </c>
      <c r="CI281">
        <v>7</v>
      </c>
      <c r="CJ281">
        <v>3</v>
      </c>
      <c r="CK281">
        <v>2</v>
      </c>
      <c r="CL281">
        <v>2</v>
      </c>
      <c r="CM281">
        <v>4</v>
      </c>
      <c r="CN281">
        <v>2</v>
      </c>
      <c r="CO281">
        <v>1</v>
      </c>
      <c r="CP281">
        <v>1</v>
      </c>
      <c r="CQ281">
        <v>1</v>
      </c>
      <c r="CR281">
        <v>1</v>
      </c>
      <c r="CS281">
        <v>948</v>
      </c>
      <c r="CT281">
        <v>0</v>
      </c>
      <c r="CU281">
        <v>0</v>
      </c>
      <c r="CV281">
        <v>0</v>
      </c>
      <c r="CW281">
        <v>0</v>
      </c>
      <c r="CX281">
        <v>0</v>
      </c>
      <c r="CY281">
        <v>14</v>
      </c>
      <c r="CZ281">
        <v>0</v>
      </c>
      <c r="DA281">
        <v>0</v>
      </c>
      <c r="DB281">
        <v>0</v>
      </c>
      <c r="DC281">
        <v>0</v>
      </c>
      <c r="DD281">
        <v>1013</v>
      </c>
      <c r="DE281">
        <v>0</v>
      </c>
      <c r="DF281">
        <v>1</v>
      </c>
      <c r="DG281">
        <v>3</v>
      </c>
      <c r="DH281">
        <v>1</v>
      </c>
      <c r="DI281">
        <v>25</v>
      </c>
      <c r="DJ281">
        <v>3</v>
      </c>
      <c r="DK281">
        <v>0</v>
      </c>
      <c r="DL281">
        <v>6</v>
      </c>
      <c r="DM281">
        <v>9</v>
      </c>
      <c r="DN281">
        <v>5</v>
      </c>
      <c r="DO281">
        <v>911</v>
      </c>
      <c r="DP281">
        <v>11</v>
      </c>
      <c r="DQ281">
        <v>0</v>
      </c>
      <c r="DR281">
        <v>0</v>
      </c>
      <c r="DS281">
        <v>2</v>
      </c>
      <c r="DT281">
        <v>1</v>
      </c>
      <c r="DU281">
        <v>1</v>
      </c>
      <c r="DV281">
        <v>4</v>
      </c>
      <c r="DW281">
        <v>0</v>
      </c>
      <c r="DX281">
        <v>6</v>
      </c>
      <c r="DY281">
        <v>1</v>
      </c>
      <c r="DZ281">
        <v>994</v>
      </c>
      <c r="EA281">
        <v>0.97419999999999995</v>
      </c>
      <c r="EB281">
        <v>0.97513652695084996</v>
      </c>
      <c r="EC281">
        <v>0.97378129510320299</v>
      </c>
      <c r="ED281">
        <v>0.97402441443936405</v>
      </c>
      <c r="EE281">
        <f>SUM(Table1[[#This Row],[ratio_0]:[ratio_9]])</f>
        <v>640</v>
      </c>
      <c r="EF281" s="1">
        <f>(Table1[[#This Row],[predicted_0]]-Table1[[#This Row],[actual_0]])/Table1[[#This Row],[actual_0]]</f>
        <v>-3.0612244897959182E-3</v>
      </c>
      <c r="EG281" s="1">
        <f>(Table1[[#This Row],[predicted_1]]-Table1[[#This Row],[actual_1]])/Table1[[#This Row],[actual_1]]</f>
        <v>-1.4977973568281937E-2</v>
      </c>
      <c r="EH281" s="1">
        <f>(Table1[[#This Row],[predicted_2]]-Table1[[#This Row],[actual_2]])/Table1[[#This Row],[actual_2]]</f>
        <v>6.6860465116279064E-2</v>
      </c>
      <c r="EI281" s="1">
        <f>(Table1[[#This Row],[predicted_3]]-Table1[[#This Row],[actual_3]])/Table1[[#This Row],[actual_3]]</f>
        <v>1.089108910891089E-2</v>
      </c>
      <c r="EJ281" s="1">
        <f>(Table1[[#This Row],[predicted_4]]-Table1[[#This Row],[actual_4]])/Table1[[#This Row],[actual_4]]</f>
        <v>-7.637474541751528E-2</v>
      </c>
      <c r="EK281" s="1">
        <f>(Table1[[#This Row],[predicted_5]]-Table1[[#This Row],[actual_5]])/Table1[[#This Row],[actual_5]]</f>
        <v>-1.6816143497757848E-2</v>
      </c>
      <c r="EL281" s="1">
        <f>(Table1[[#This Row],[predicted_6]]-Table1[[#This Row],[actual_6]])/Table1[[#This Row],[actual_6]]</f>
        <v>1.4613778705636743E-2</v>
      </c>
      <c r="EM281" s="1">
        <f>(Table1[[#This Row],[predicted_7]]-Table1[[#This Row],[actual_7]])/Table1[[#This Row],[actual_7]]</f>
        <v>2.2373540856031129E-2</v>
      </c>
      <c r="EN281" s="1">
        <f>(Table1[[#This Row],[predicted_8]]-Table1[[#This Row],[actual_8]])/Table1[[#This Row],[actual_8]]</f>
        <v>-5.9548254620123205E-2</v>
      </c>
      <c r="EO281" s="1">
        <f>(Table1[[#This Row],[predicted_9]]-Table1[[#This Row],[actual_9]])/Table1[[#This Row],[actual_9]]</f>
        <v>5.0545094152626362E-2</v>
      </c>
      <c r="EP281" s="1">
        <f>1+(Table1[[#This Row],[error_ratio_0]]-EF$2)</f>
        <v>0.99489795918367352</v>
      </c>
      <c r="EQ281" s="1">
        <f>1+(Table1[[#This Row],[error_ratio_1]]-EG$2)</f>
        <v>0.98325991189427309</v>
      </c>
      <c r="ER281" s="1">
        <f>1+(Table1[[#This Row],[error_ratio_2]]-EH$2)</f>
        <v>1.0717054263565891</v>
      </c>
      <c r="ES281" s="1">
        <f>1+(Table1[[#This Row],[error_ratio_3]]-EI$2)</f>
        <v>1.000990099009901</v>
      </c>
      <c r="ET281" s="1">
        <f>1+(Table1[[#This Row],[error_ratio_4]]-EJ$2)</f>
        <v>0.92260692464358451</v>
      </c>
      <c r="EU281" s="1">
        <f>1+(Table1[[#This Row],[error_ratio_5]]-EK$2)</f>
        <v>0.98206278026905824</v>
      </c>
      <c r="EV281" s="1">
        <f>1+(Table1[[#This Row],[error_ratio_6]]-EL$2)</f>
        <v>1.0208768267223383</v>
      </c>
      <c r="EW281" s="1">
        <f>1+(Table1[[#This Row],[error_ratio_7]]-EM$2)</f>
        <v>1.0204280155642023</v>
      </c>
      <c r="EX281" s="1">
        <f>1+(Table1[[#This Row],[error_ratio_8]]-EN$2)</f>
        <v>0.94353182751540043</v>
      </c>
      <c r="EY281" s="1">
        <f>1+(Table1[[#This Row],[error_ratio_9]]-EO$2)</f>
        <v>1.0545094152626362</v>
      </c>
    </row>
    <row r="282" spans="1:155" x14ac:dyDescent="0.75">
      <c r="A282">
        <v>10</v>
      </c>
      <c r="B282">
        <v>10</v>
      </c>
      <c r="C282">
        <v>100</v>
      </c>
      <c r="D282">
        <v>100</v>
      </c>
      <c r="E282">
        <v>10</v>
      </c>
      <c r="F282">
        <v>10</v>
      </c>
      <c r="G282">
        <v>100</v>
      </c>
      <c r="H282">
        <v>100</v>
      </c>
      <c r="I282">
        <v>10</v>
      </c>
      <c r="J282">
        <v>100</v>
      </c>
      <c r="K282">
        <v>866</v>
      </c>
      <c r="L282">
        <v>1129</v>
      </c>
      <c r="M282">
        <v>1042</v>
      </c>
      <c r="N282">
        <v>1110</v>
      </c>
      <c r="O282">
        <v>958</v>
      </c>
      <c r="P282">
        <v>798</v>
      </c>
      <c r="Q282">
        <v>1064</v>
      </c>
      <c r="R282">
        <v>1048</v>
      </c>
      <c r="S282">
        <v>882</v>
      </c>
      <c r="T282">
        <v>1103</v>
      </c>
      <c r="U282">
        <v>980</v>
      </c>
      <c r="V282">
        <v>1135</v>
      </c>
      <c r="W282">
        <v>1032</v>
      </c>
      <c r="X282">
        <v>1010</v>
      </c>
      <c r="Y282">
        <v>982</v>
      </c>
      <c r="Z282">
        <v>892</v>
      </c>
      <c r="AA282">
        <v>958</v>
      </c>
      <c r="AB282">
        <v>1028</v>
      </c>
      <c r="AC282">
        <v>974</v>
      </c>
      <c r="AD282">
        <v>1009</v>
      </c>
      <c r="AE282">
        <v>864</v>
      </c>
      <c r="AF282">
        <v>0</v>
      </c>
      <c r="AG282">
        <v>2</v>
      </c>
      <c r="AH282">
        <v>2</v>
      </c>
      <c r="AI282">
        <v>1</v>
      </c>
      <c r="AJ282">
        <v>1</v>
      </c>
      <c r="AK282">
        <v>79</v>
      </c>
      <c r="AL282">
        <v>1</v>
      </c>
      <c r="AM282">
        <v>10</v>
      </c>
      <c r="AN282">
        <v>20</v>
      </c>
      <c r="AO282">
        <v>0</v>
      </c>
      <c r="AP282">
        <v>1119</v>
      </c>
      <c r="AQ282">
        <v>2</v>
      </c>
      <c r="AR282">
        <v>6</v>
      </c>
      <c r="AS282">
        <v>0</v>
      </c>
      <c r="AT282">
        <v>0</v>
      </c>
      <c r="AU282">
        <v>1</v>
      </c>
      <c r="AV282">
        <v>7</v>
      </c>
      <c r="AW282">
        <v>0</v>
      </c>
      <c r="AX282">
        <v>0</v>
      </c>
      <c r="AY282">
        <v>0</v>
      </c>
      <c r="AZ282">
        <v>1</v>
      </c>
      <c r="BA282">
        <v>1016</v>
      </c>
      <c r="BB282">
        <v>6</v>
      </c>
      <c r="BC282">
        <v>1</v>
      </c>
      <c r="BD282">
        <v>0</v>
      </c>
      <c r="BE282">
        <v>1</v>
      </c>
      <c r="BF282">
        <v>6</v>
      </c>
      <c r="BG282">
        <v>0</v>
      </c>
      <c r="BH282">
        <v>1</v>
      </c>
      <c r="BI282">
        <v>0</v>
      </c>
      <c r="BJ282">
        <v>0</v>
      </c>
      <c r="BK282">
        <v>2</v>
      </c>
      <c r="BL282">
        <v>999</v>
      </c>
      <c r="BM282">
        <v>0</v>
      </c>
      <c r="BN282">
        <v>2</v>
      </c>
      <c r="BO282">
        <v>0</v>
      </c>
      <c r="BP282">
        <v>5</v>
      </c>
      <c r="BQ282">
        <v>0</v>
      </c>
      <c r="BR282">
        <v>2</v>
      </c>
      <c r="BS282">
        <v>0</v>
      </c>
      <c r="BT282">
        <v>5</v>
      </c>
      <c r="BU282">
        <v>2</v>
      </c>
      <c r="BV282">
        <v>0</v>
      </c>
      <c r="BW282">
        <v>950</v>
      </c>
      <c r="BX282">
        <v>0</v>
      </c>
      <c r="BY282">
        <v>5</v>
      </c>
      <c r="BZ282">
        <v>4</v>
      </c>
      <c r="CA282">
        <v>1</v>
      </c>
      <c r="CB282">
        <v>15</v>
      </c>
      <c r="CC282">
        <v>1</v>
      </c>
      <c r="CD282">
        <v>0</v>
      </c>
      <c r="CE282">
        <v>0</v>
      </c>
      <c r="CF282">
        <v>58</v>
      </c>
      <c r="CG282">
        <v>0</v>
      </c>
      <c r="CH282">
        <v>789</v>
      </c>
      <c r="CI282">
        <v>16</v>
      </c>
      <c r="CJ282">
        <v>3</v>
      </c>
      <c r="CK282">
        <v>1</v>
      </c>
      <c r="CL282">
        <v>24</v>
      </c>
      <c r="CM282">
        <v>0</v>
      </c>
      <c r="CN282">
        <v>2</v>
      </c>
      <c r="CO282">
        <v>0</v>
      </c>
      <c r="CP282">
        <v>0</v>
      </c>
      <c r="CQ282">
        <v>2</v>
      </c>
      <c r="CR282">
        <v>1</v>
      </c>
      <c r="CS282">
        <v>953</v>
      </c>
      <c r="CT282">
        <v>0</v>
      </c>
      <c r="CU282">
        <v>0</v>
      </c>
      <c r="CV282">
        <v>0</v>
      </c>
      <c r="CW282">
        <v>0</v>
      </c>
      <c r="CX282">
        <v>0</v>
      </c>
      <c r="CY282">
        <v>7</v>
      </c>
      <c r="CZ282">
        <v>0</v>
      </c>
      <c r="DA282">
        <v>0</v>
      </c>
      <c r="DB282">
        <v>0</v>
      </c>
      <c r="DC282">
        <v>0</v>
      </c>
      <c r="DD282">
        <v>1009</v>
      </c>
      <c r="DE282">
        <v>0</v>
      </c>
      <c r="DF282">
        <v>12</v>
      </c>
      <c r="DG282">
        <v>1</v>
      </c>
      <c r="DH282">
        <v>2</v>
      </c>
      <c r="DI282">
        <v>11</v>
      </c>
      <c r="DJ282">
        <v>37</v>
      </c>
      <c r="DK282">
        <v>2</v>
      </c>
      <c r="DL282">
        <v>5</v>
      </c>
      <c r="DM282">
        <v>9</v>
      </c>
      <c r="DN282">
        <v>12</v>
      </c>
      <c r="DO282">
        <v>870</v>
      </c>
      <c r="DP282">
        <v>25</v>
      </c>
      <c r="DQ282">
        <v>0</v>
      </c>
      <c r="DR282">
        <v>0</v>
      </c>
      <c r="DS282">
        <v>0</v>
      </c>
      <c r="DT282">
        <v>2</v>
      </c>
      <c r="DU282">
        <v>2</v>
      </c>
      <c r="DV282">
        <v>0</v>
      </c>
      <c r="DW282">
        <v>0</v>
      </c>
      <c r="DX282">
        <v>1</v>
      </c>
      <c r="DY282">
        <v>0</v>
      </c>
      <c r="DZ282">
        <v>1004</v>
      </c>
      <c r="EA282">
        <v>0.95730000000000004</v>
      </c>
      <c r="EB282">
        <v>0.95993544897586203</v>
      </c>
      <c r="EC282">
        <v>0.95576500825823896</v>
      </c>
      <c r="ED282">
        <v>0.95628555596074205</v>
      </c>
      <c r="EE282">
        <f>SUM(Table1[[#This Row],[ratio_0]:[ratio_9]])</f>
        <v>550</v>
      </c>
      <c r="EF282" s="1">
        <f>(Table1[[#This Row],[predicted_0]]-Table1[[#This Row],[actual_0]])/Table1[[#This Row],[actual_0]]</f>
        <v>-0.11632653061224489</v>
      </c>
      <c r="EG282" s="1">
        <f>(Table1[[#This Row],[predicted_1]]-Table1[[#This Row],[actual_1]])/Table1[[#This Row],[actual_1]]</f>
        <v>-5.2863436123348016E-3</v>
      </c>
      <c r="EH282" s="1">
        <f>(Table1[[#This Row],[predicted_2]]-Table1[[#This Row],[actual_2]])/Table1[[#This Row],[actual_2]]</f>
        <v>9.6899224806201549E-3</v>
      </c>
      <c r="EI282" s="1">
        <f>(Table1[[#This Row],[predicted_3]]-Table1[[#This Row],[actual_3]])/Table1[[#This Row],[actual_3]]</f>
        <v>9.9009900990099015E-2</v>
      </c>
      <c r="EJ282" s="1">
        <f>(Table1[[#This Row],[predicted_4]]-Table1[[#This Row],[actual_4]])/Table1[[#This Row],[actual_4]]</f>
        <v>-2.4439918533604887E-2</v>
      </c>
      <c r="EK282" s="1">
        <f>(Table1[[#This Row],[predicted_5]]-Table1[[#This Row],[actual_5]])/Table1[[#This Row],[actual_5]]</f>
        <v>-0.10538116591928251</v>
      </c>
      <c r="EL282" s="1">
        <f>(Table1[[#This Row],[predicted_6]]-Table1[[#This Row],[actual_6]])/Table1[[#This Row],[actual_6]]</f>
        <v>0.11064718162839249</v>
      </c>
      <c r="EM282" s="1">
        <f>(Table1[[#This Row],[predicted_7]]-Table1[[#This Row],[actual_7]])/Table1[[#This Row],[actual_7]]</f>
        <v>1.9455252918287938E-2</v>
      </c>
      <c r="EN282" s="1">
        <f>(Table1[[#This Row],[predicted_8]]-Table1[[#This Row],[actual_8]])/Table1[[#This Row],[actual_8]]</f>
        <v>-9.4455852156057493E-2</v>
      </c>
      <c r="EO282" s="1">
        <f>(Table1[[#This Row],[predicted_9]]-Table1[[#This Row],[actual_9]])/Table1[[#This Row],[actual_9]]</f>
        <v>9.3161546085232902E-2</v>
      </c>
      <c r="EP282" s="1">
        <f>1+(Table1[[#This Row],[error_ratio_0]]-EF$2)</f>
        <v>0.88163265306122451</v>
      </c>
      <c r="EQ282" s="1">
        <f>1+(Table1[[#This Row],[error_ratio_1]]-EG$2)</f>
        <v>0.99295154185022028</v>
      </c>
      <c r="ER282" s="1">
        <f>1+(Table1[[#This Row],[error_ratio_2]]-EH$2)</f>
        <v>1.0145348837209303</v>
      </c>
      <c r="ES282" s="1">
        <f>1+(Table1[[#This Row],[error_ratio_3]]-EI$2)</f>
        <v>1.0891089108910892</v>
      </c>
      <c r="ET282" s="1">
        <f>1+(Table1[[#This Row],[error_ratio_4]]-EJ$2)</f>
        <v>0.97454175152749489</v>
      </c>
      <c r="EU282" s="1">
        <f>1+(Table1[[#This Row],[error_ratio_5]]-EK$2)</f>
        <v>0.8934977578475336</v>
      </c>
      <c r="EV282" s="1">
        <f>1+(Table1[[#This Row],[error_ratio_6]]-EL$2)</f>
        <v>1.1169102296450939</v>
      </c>
      <c r="EW282" s="1">
        <f>1+(Table1[[#This Row],[error_ratio_7]]-EM$2)</f>
        <v>1.0175097276264591</v>
      </c>
      <c r="EX282" s="1">
        <f>1+(Table1[[#This Row],[error_ratio_8]]-EN$2)</f>
        <v>0.90862422997946612</v>
      </c>
      <c r="EY282" s="1">
        <f>1+(Table1[[#This Row],[error_ratio_9]]-EO$2)</f>
        <v>1.0971258671952429</v>
      </c>
    </row>
    <row r="283" spans="1:155" x14ac:dyDescent="0.75">
      <c r="A283">
        <v>100</v>
      </c>
      <c r="B283">
        <v>100</v>
      </c>
      <c r="C283">
        <v>10</v>
      </c>
      <c r="D283">
        <v>100</v>
      </c>
      <c r="E283">
        <v>10</v>
      </c>
      <c r="F283">
        <v>10</v>
      </c>
      <c r="G283">
        <v>100</v>
      </c>
      <c r="H283">
        <v>100</v>
      </c>
      <c r="I283">
        <v>10</v>
      </c>
      <c r="J283">
        <v>100</v>
      </c>
      <c r="K283">
        <v>1000</v>
      </c>
      <c r="L283">
        <v>1154</v>
      </c>
      <c r="M283">
        <v>975</v>
      </c>
      <c r="N283">
        <v>1026</v>
      </c>
      <c r="O283">
        <v>887</v>
      </c>
      <c r="P283">
        <v>836</v>
      </c>
      <c r="Q283">
        <v>969</v>
      </c>
      <c r="R283">
        <v>1080</v>
      </c>
      <c r="S283">
        <v>995</v>
      </c>
      <c r="T283">
        <v>1078</v>
      </c>
      <c r="U283">
        <v>980</v>
      </c>
      <c r="V283">
        <v>1135</v>
      </c>
      <c r="W283">
        <v>1032</v>
      </c>
      <c r="X283">
        <v>1010</v>
      </c>
      <c r="Y283">
        <v>982</v>
      </c>
      <c r="Z283">
        <v>892</v>
      </c>
      <c r="AA283">
        <v>958</v>
      </c>
      <c r="AB283">
        <v>1028</v>
      </c>
      <c r="AC283">
        <v>974</v>
      </c>
      <c r="AD283">
        <v>1009</v>
      </c>
      <c r="AE283">
        <v>973</v>
      </c>
      <c r="AF283">
        <v>0</v>
      </c>
      <c r="AG283">
        <v>0</v>
      </c>
      <c r="AH283">
        <v>0</v>
      </c>
      <c r="AI283">
        <v>0</v>
      </c>
      <c r="AJ283">
        <v>0</v>
      </c>
      <c r="AK283">
        <v>2</v>
      </c>
      <c r="AL283">
        <v>3</v>
      </c>
      <c r="AM283">
        <v>2</v>
      </c>
      <c r="AN283">
        <v>0</v>
      </c>
      <c r="AO283">
        <v>0</v>
      </c>
      <c r="AP283">
        <v>1133</v>
      </c>
      <c r="AQ283">
        <v>0</v>
      </c>
      <c r="AR283">
        <v>1</v>
      </c>
      <c r="AS283">
        <v>0</v>
      </c>
      <c r="AT283">
        <v>1</v>
      </c>
      <c r="AU283">
        <v>0</v>
      </c>
      <c r="AV283">
        <v>0</v>
      </c>
      <c r="AW283">
        <v>0</v>
      </c>
      <c r="AX283">
        <v>0</v>
      </c>
      <c r="AY283">
        <v>3</v>
      </c>
      <c r="AZ283">
        <v>9</v>
      </c>
      <c r="BA283">
        <v>971</v>
      </c>
      <c r="BB283">
        <v>8</v>
      </c>
      <c r="BC283">
        <v>0</v>
      </c>
      <c r="BD283">
        <v>1</v>
      </c>
      <c r="BE283">
        <v>4</v>
      </c>
      <c r="BF283">
        <v>32</v>
      </c>
      <c r="BG283">
        <v>4</v>
      </c>
      <c r="BH283">
        <v>0</v>
      </c>
      <c r="BI283">
        <v>0</v>
      </c>
      <c r="BJ283">
        <v>0</v>
      </c>
      <c r="BK283">
        <v>0</v>
      </c>
      <c r="BL283">
        <v>1002</v>
      </c>
      <c r="BM283">
        <v>0</v>
      </c>
      <c r="BN283">
        <v>3</v>
      </c>
      <c r="BO283">
        <v>0</v>
      </c>
      <c r="BP283">
        <v>4</v>
      </c>
      <c r="BQ283">
        <v>1</v>
      </c>
      <c r="BR283">
        <v>0</v>
      </c>
      <c r="BS283">
        <v>3</v>
      </c>
      <c r="BT283">
        <v>1</v>
      </c>
      <c r="BU283">
        <v>1</v>
      </c>
      <c r="BV283">
        <v>0</v>
      </c>
      <c r="BW283">
        <v>886</v>
      </c>
      <c r="BX283">
        <v>0</v>
      </c>
      <c r="BY283">
        <v>8</v>
      </c>
      <c r="BZ283">
        <v>11</v>
      </c>
      <c r="CA283">
        <v>3</v>
      </c>
      <c r="CB283">
        <v>69</v>
      </c>
      <c r="CC283">
        <v>5</v>
      </c>
      <c r="CD283">
        <v>0</v>
      </c>
      <c r="CE283">
        <v>0</v>
      </c>
      <c r="CF283">
        <v>13</v>
      </c>
      <c r="CG283">
        <v>0</v>
      </c>
      <c r="CH283">
        <v>826</v>
      </c>
      <c r="CI283">
        <v>6</v>
      </c>
      <c r="CJ283">
        <v>1</v>
      </c>
      <c r="CK283">
        <v>34</v>
      </c>
      <c r="CL283">
        <v>7</v>
      </c>
      <c r="CM283">
        <v>7</v>
      </c>
      <c r="CN283">
        <v>2</v>
      </c>
      <c r="CO283">
        <v>0</v>
      </c>
      <c r="CP283">
        <v>0</v>
      </c>
      <c r="CQ283">
        <v>1</v>
      </c>
      <c r="CR283">
        <v>1</v>
      </c>
      <c r="CS283">
        <v>947</v>
      </c>
      <c r="CT283">
        <v>0</v>
      </c>
      <c r="CU283">
        <v>0</v>
      </c>
      <c r="CV283">
        <v>0</v>
      </c>
      <c r="CW283">
        <v>0</v>
      </c>
      <c r="CX283">
        <v>5</v>
      </c>
      <c r="CY283">
        <v>2</v>
      </c>
      <c r="CZ283">
        <v>0</v>
      </c>
      <c r="DA283">
        <v>0</v>
      </c>
      <c r="DB283">
        <v>0</v>
      </c>
      <c r="DC283">
        <v>0</v>
      </c>
      <c r="DD283">
        <v>1018</v>
      </c>
      <c r="DE283">
        <v>1</v>
      </c>
      <c r="DF283">
        <v>2</v>
      </c>
      <c r="DG283">
        <v>6</v>
      </c>
      <c r="DH283">
        <v>2</v>
      </c>
      <c r="DI283">
        <v>1</v>
      </c>
      <c r="DJ283">
        <v>2</v>
      </c>
      <c r="DK283">
        <v>0</v>
      </c>
      <c r="DL283">
        <v>0</v>
      </c>
      <c r="DM283">
        <v>2</v>
      </c>
      <c r="DN283">
        <v>6</v>
      </c>
      <c r="DO283">
        <v>950</v>
      </c>
      <c r="DP283">
        <v>5</v>
      </c>
      <c r="DQ283">
        <v>3</v>
      </c>
      <c r="DR283">
        <v>2</v>
      </c>
      <c r="DS283">
        <v>0</v>
      </c>
      <c r="DT283">
        <v>0</v>
      </c>
      <c r="DU283">
        <v>0</v>
      </c>
      <c r="DV283">
        <v>4</v>
      </c>
      <c r="DW283">
        <v>0</v>
      </c>
      <c r="DX283">
        <v>5</v>
      </c>
      <c r="DY283">
        <v>0</v>
      </c>
      <c r="DZ283">
        <v>995</v>
      </c>
      <c r="EA283">
        <v>0.97009999999999996</v>
      </c>
      <c r="EB283">
        <v>0.97118871406037399</v>
      </c>
      <c r="EC283">
        <v>0.96925893414584896</v>
      </c>
      <c r="ED283">
        <v>0.96959935648199902</v>
      </c>
      <c r="EE283">
        <f>SUM(Table1[[#This Row],[ratio_0]:[ratio_9]])</f>
        <v>640</v>
      </c>
      <c r="EF283" s="1">
        <f>(Table1[[#This Row],[predicted_0]]-Table1[[#This Row],[actual_0]])/Table1[[#This Row],[actual_0]]</f>
        <v>2.0408163265306121E-2</v>
      </c>
      <c r="EG283" s="1">
        <f>(Table1[[#This Row],[predicted_1]]-Table1[[#This Row],[actual_1]])/Table1[[#This Row],[actual_1]]</f>
        <v>1.6740088105726872E-2</v>
      </c>
      <c r="EH283" s="1">
        <f>(Table1[[#This Row],[predicted_2]]-Table1[[#This Row],[actual_2]])/Table1[[#This Row],[actual_2]]</f>
        <v>-5.5232558139534885E-2</v>
      </c>
      <c r="EI283" s="1">
        <f>(Table1[[#This Row],[predicted_3]]-Table1[[#This Row],[actual_3]])/Table1[[#This Row],[actual_3]]</f>
        <v>1.5841584158415842E-2</v>
      </c>
      <c r="EJ283" s="1">
        <f>(Table1[[#This Row],[predicted_4]]-Table1[[#This Row],[actual_4]])/Table1[[#This Row],[actual_4]]</f>
        <v>-9.6741344195519344E-2</v>
      </c>
      <c r="EK283" s="1">
        <f>(Table1[[#This Row],[predicted_5]]-Table1[[#This Row],[actual_5]])/Table1[[#This Row],[actual_5]]</f>
        <v>-6.2780269058295965E-2</v>
      </c>
      <c r="EL283" s="1">
        <f>(Table1[[#This Row],[predicted_6]]-Table1[[#This Row],[actual_6]])/Table1[[#This Row],[actual_6]]</f>
        <v>1.1482254697286013E-2</v>
      </c>
      <c r="EM283" s="1">
        <f>(Table1[[#This Row],[predicted_7]]-Table1[[#This Row],[actual_7]])/Table1[[#This Row],[actual_7]]</f>
        <v>5.0583657587548639E-2</v>
      </c>
      <c r="EN283" s="1">
        <f>(Table1[[#This Row],[predicted_8]]-Table1[[#This Row],[actual_8]])/Table1[[#This Row],[actual_8]]</f>
        <v>2.1560574948665298E-2</v>
      </c>
      <c r="EO283" s="1">
        <f>(Table1[[#This Row],[predicted_9]]-Table1[[#This Row],[actual_9]])/Table1[[#This Row],[actual_9]]</f>
        <v>6.8384539147670967E-2</v>
      </c>
      <c r="EP283" s="1">
        <f>1+(Table1[[#This Row],[error_ratio_0]]-EF$2)</f>
        <v>1.0183673469387755</v>
      </c>
      <c r="EQ283" s="1">
        <f>1+(Table1[[#This Row],[error_ratio_1]]-EG$2)</f>
        <v>1.014977973568282</v>
      </c>
      <c r="ER283" s="1">
        <f>1+(Table1[[#This Row],[error_ratio_2]]-EH$2)</f>
        <v>0.94961240310077522</v>
      </c>
      <c r="ES283" s="1">
        <f>1+(Table1[[#This Row],[error_ratio_3]]-EI$2)</f>
        <v>1.0059405940594059</v>
      </c>
      <c r="ET283" s="1">
        <f>1+(Table1[[#This Row],[error_ratio_4]]-EJ$2)</f>
        <v>0.90224032586558045</v>
      </c>
      <c r="EU283" s="1">
        <f>1+(Table1[[#This Row],[error_ratio_5]]-EK$2)</f>
        <v>0.93609865470852016</v>
      </c>
      <c r="EV283" s="1">
        <f>1+(Table1[[#This Row],[error_ratio_6]]-EL$2)</f>
        <v>1.0177453027139876</v>
      </c>
      <c r="EW283" s="1">
        <f>1+(Table1[[#This Row],[error_ratio_7]]-EM$2)</f>
        <v>1.0486381322957199</v>
      </c>
      <c r="EX283" s="1">
        <f>1+(Table1[[#This Row],[error_ratio_8]]-EN$2)</f>
        <v>1.0246406570841888</v>
      </c>
      <c r="EY283" s="1">
        <f>1+(Table1[[#This Row],[error_ratio_9]]-EO$2)</f>
        <v>1.0723488602576809</v>
      </c>
    </row>
    <row r="284" spans="1:155" x14ac:dyDescent="0.75">
      <c r="A284">
        <v>10</v>
      </c>
      <c r="B284">
        <v>100</v>
      </c>
      <c r="C284">
        <v>10</v>
      </c>
      <c r="D284">
        <v>100</v>
      </c>
      <c r="E284">
        <v>10</v>
      </c>
      <c r="F284">
        <v>10</v>
      </c>
      <c r="G284">
        <v>100</v>
      </c>
      <c r="H284">
        <v>100</v>
      </c>
      <c r="I284">
        <v>10</v>
      </c>
      <c r="J284">
        <v>100</v>
      </c>
      <c r="K284">
        <v>899</v>
      </c>
      <c r="L284">
        <v>1176</v>
      </c>
      <c r="M284">
        <v>805</v>
      </c>
      <c r="N284">
        <v>1205</v>
      </c>
      <c r="O284">
        <v>882</v>
      </c>
      <c r="P284">
        <v>806</v>
      </c>
      <c r="Q284">
        <v>1047</v>
      </c>
      <c r="R284">
        <v>1107</v>
      </c>
      <c r="S284">
        <v>915</v>
      </c>
      <c r="T284">
        <v>1158</v>
      </c>
      <c r="U284">
        <v>980</v>
      </c>
      <c r="V284">
        <v>1135</v>
      </c>
      <c r="W284">
        <v>1032</v>
      </c>
      <c r="X284">
        <v>1010</v>
      </c>
      <c r="Y284">
        <v>982</v>
      </c>
      <c r="Z284">
        <v>892</v>
      </c>
      <c r="AA284">
        <v>958</v>
      </c>
      <c r="AB284">
        <v>1028</v>
      </c>
      <c r="AC284">
        <v>974</v>
      </c>
      <c r="AD284">
        <v>1009</v>
      </c>
      <c r="AE284">
        <v>899</v>
      </c>
      <c r="AF284">
        <v>1</v>
      </c>
      <c r="AG284">
        <v>0</v>
      </c>
      <c r="AH284">
        <v>4</v>
      </c>
      <c r="AI284">
        <v>0</v>
      </c>
      <c r="AJ284">
        <v>0</v>
      </c>
      <c r="AK284">
        <v>40</v>
      </c>
      <c r="AL284">
        <v>9</v>
      </c>
      <c r="AM284">
        <v>5</v>
      </c>
      <c r="AN284">
        <v>22</v>
      </c>
      <c r="AO284">
        <v>0</v>
      </c>
      <c r="AP284">
        <v>1132</v>
      </c>
      <c r="AQ284">
        <v>0</v>
      </c>
      <c r="AR284">
        <v>0</v>
      </c>
      <c r="AS284">
        <v>0</v>
      </c>
      <c r="AT284">
        <v>0</v>
      </c>
      <c r="AU284">
        <v>3</v>
      </c>
      <c r="AV284">
        <v>0</v>
      </c>
      <c r="AW284">
        <v>0</v>
      </c>
      <c r="AX284">
        <v>0</v>
      </c>
      <c r="AY284">
        <v>0</v>
      </c>
      <c r="AZ284">
        <v>26</v>
      </c>
      <c r="BA284">
        <v>802</v>
      </c>
      <c r="BB284">
        <v>115</v>
      </c>
      <c r="BC284">
        <v>1</v>
      </c>
      <c r="BD284">
        <v>0</v>
      </c>
      <c r="BE284">
        <v>8</v>
      </c>
      <c r="BF284">
        <v>51</v>
      </c>
      <c r="BG284">
        <v>25</v>
      </c>
      <c r="BH284">
        <v>4</v>
      </c>
      <c r="BI284">
        <v>0</v>
      </c>
      <c r="BJ284">
        <v>0</v>
      </c>
      <c r="BK284">
        <v>0</v>
      </c>
      <c r="BL284">
        <v>1008</v>
      </c>
      <c r="BM284">
        <v>0</v>
      </c>
      <c r="BN284">
        <v>0</v>
      </c>
      <c r="BO284">
        <v>0</v>
      </c>
      <c r="BP284">
        <v>2</v>
      </c>
      <c r="BQ284">
        <v>0</v>
      </c>
      <c r="BR284">
        <v>0</v>
      </c>
      <c r="BS284">
        <v>0</v>
      </c>
      <c r="BT284">
        <v>2</v>
      </c>
      <c r="BU284">
        <v>1</v>
      </c>
      <c r="BV284">
        <v>1</v>
      </c>
      <c r="BW284">
        <v>878</v>
      </c>
      <c r="BX284">
        <v>0</v>
      </c>
      <c r="BY284">
        <v>8</v>
      </c>
      <c r="BZ284">
        <v>10</v>
      </c>
      <c r="CA284">
        <v>2</v>
      </c>
      <c r="CB284">
        <v>80</v>
      </c>
      <c r="CC284">
        <v>0</v>
      </c>
      <c r="CD284">
        <v>0</v>
      </c>
      <c r="CE284">
        <v>1</v>
      </c>
      <c r="CF284">
        <v>35</v>
      </c>
      <c r="CG284">
        <v>0</v>
      </c>
      <c r="CH284">
        <v>803</v>
      </c>
      <c r="CI284">
        <v>18</v>
      </c>
      <c r="CJ284">
        <v>4</v>
      </c>
      <c r="CK284">
        <v>3</v>
      </c>
      <c r="CL284">
        <v>28</v>
      </c>
      <c r="CM284">
        <v>0</v>
      </c>
      <c r="CN284">
        <v>3</v>
      </c>
      <c r="CO284">
        <v>0</v>
      </c>
      <c r="CP284">
        <v>1</v>
      </c>
      <c r="CQ284">
        <v>3</v>
      </c>
      <c r="CR284">
        <v>1</v>
      </c>
      <c r="CS284">
        <v>950</v>
      </c>
      <c r="CT284">
        <v>0</v>
      </c>
      <c r="CU284">
        <v>0</v>
      </c>
      <c r="CV284">
        <v>0</v>
      </c>
      <c r="CW284">
        <v>0</v>
      </c>
      <c r="CX284">
        <v>7</v>
      </c>
      <c r="CY284">
        <v>0</v>
      </c>
      <c r="CZ284">
        <v>9</v>
      </c>
      <c r="DA284">
        <v>0</v>
      </c>
      <c r="DB284">
        <v>0</v>
      </c>
      <c r="DC284">
        <v>0</v>
      </c>
      <c r="DD284">
        <v>1009</v>
      </c>
      <c r="DE284">
        <v>0</v>
      </c>
      <c r="DF284">
        <v>3</v>
      </c>
      <c r="DG284">
        <v>0</v>
      </c>
      <c r="DH284">
        <v>2</v>
      </c>
      <c r="DI284">
        <v>1</v>
      </c>
      <c r="DJ284">
        <v>29</v>
      </c>
      <c r="DK284">
        <v>0</v>
      </c>
      <c r="DL284">
        <v>2</v>
      </c>
      <c r="DM284">
        <v>20</v>
      </c>
      <c r="DN284">
        <v>13</v>
      </c>
      <c r="DO284">
        <v>880</v>
      </c>
      <c r="DP284">
        <v>27</v>
      </c>
      <c r="DQ284">
        <v>0</v>
      </c>
      <c r="DR284">
        <v>3</v>
      </c>
      <c r="DS284">
        <v>0</v>
      </c>
      <c r="DT284">
        <v>3</v>
      </c>
      <c r="DU284">
        <v>0</v>
      </c>
      <c r="DV284">
        <v>0</v>
      </c>
      <c r="DW284">
        <v>0</v>
      </c>
      <c r="DX284">
        <v>9</v>
      </c>
      <c r="DY284">
        <v>0</v>
      </c>
      <c r="DZ284">
        <v>994</v>
      </c>
      <c r="EA284">
        <v>0.9355</v>
      </c>
      <c r="EB284">
        <v>0.942606755591472</v>
      </c>
      <c r="EC284">
        <v>0.934596458812604</v>
      </c>
      <c r="ED284">
        <v>0.93496911313041098</v>
      </c>
      <c r="EE284">
        <f>SUM(Table1[[#This Row],[ratio_0]:[ratio_9]])</f>
        <v>550</v>
      </c>
      <c r="EF284" s="1">
        <f>(Table1[[#This Row],[predicted_0]]-Table1[[#This Row],[actual_0]])/Table1[[#This Row],[actual_0]]</f>
        <v>-8.2653061224489802E-2</v>
      </c>
      <c r="EG284" s="1">
        <f>(Table1[[#This Row],[predicted_1]]-Table1[[#This Row],[actual_1]])/Table1[[#This Row],[actual_1]]</f>
        <v>3.6123348017621147E-2</v>
      </c>
      <c r="EH284" s="1">
        <f>(Table1[[#This Row],[predicted_2]]-Table1[[#This Row],[actual_2]])/Table1[[#This Row],[actual_2]]</f>
        <v>-0.21996124031007752</v>
      </c>
      <c r="EI284" s="1">
        <f>(Table1[[#This Row],[predicted_3]]-Table1[[#This Row],[actual_3]])/Table1[[#This Row],[actual_3]]</f>
        <v>0.19306930693069307</v>
      </c>
      <c r="EJ284" s="1">
        <f>(Table1[[#This Row],[predicted_4]]-Table1[[#This Row],[actual_4]])/Table1[[#This Row],[actual_4]]</f>
        <v>-0.10183299389002037</v>
      </c>
      <c r="EK284" s="1">
        <f>(Table1[[#This Row],[predicted_5]]-Table1[[#This Row],[actual_5]])/Table1[[#This Row],[actual_5]]</f>
        <v>-9.641255605381166E-2</v>
      </c>
      <c r="EL284" s="1">
        <f>(Table1[[#This Row],[predicted_6]]-Table1[[#This Row],[actual_6]])/Table1[[#This Row],[actual_6]]</f>
        <v>9.2901878914405017E-2</v>
      </c>
      <c r="EM284" s="1">
        <f>(Table1[[#This Row],[predicted_7]]-Table1[[#This Row],[actual_7]])/Table1[[#This Row],[actual_7]]</f>
        <v>7.6848249027237359E-2</v>
      </c>
      <c r="EN284" s="1">
        <f>(Table1[[#This Row],[predicted_8]]-Table1[[#This Row],[actual_8]])/Table1[[#This Row],[actual_8]]</f>
        <v>-6.0574948665297744E-2</v>
      </c>
      <c r="EO284" s="1">
        <f>(Table1[[#This Row],[predicted_9]]-Table1[[#This Row],[actual_9]])/Table1[[#This Row],[actual_9]]</f>
        <v>0.14767096134786917</v>
      </c>
      <c r="EP284" s="1">
        <f>1+(Table1[[#This Row],[error_ratio_0]]-EF$2)</f>
        <v>0.91530612244897958</v>
      </c>
      <c r="EQ284" s="1">
        <f>1+(Table1[[#This Row],[error_ratio_1]]-EG$2)</f>
        <v>1.0343612334801762</v>
      </c>
      <c r="ER284" s="1">
        <f>1+(Table1[[#This Row],[error_ratio_2]]-EH$2)</f>
        <v>0.78488372093023262</v>
      </c>
      <c r="ES284" s="1">
        <f>1+(Table1[[#This Row],[error_ratio_3]]-EI$2)</f>
        <v>1.1831683168316831</v>
      </c>
      <c r="ET284" s="1">
        <f>1+(Table1[[#This Row],[error_ratio_4]]-EJ$2)</f>
        <v>0.89714867617107941</v>
      </c>
      <c r="EU284" s="1">
        <f>1+(Table1[[#This Row],[error_ratio_5]]-EK$2)</f>
        <v>0.90246636771300448</v>
      </c>
      <c r="EV284" s="1">
        <f>1+(Table1[[#This Row],[error_ratio_6]]-EL$2)</f>
        <v>1.0991649269311066</v>
      </c>
      <c r="EW284" s="1">
        <f>1+(Table1[[#This Row],[error_ratio_7]]-EM$2)</f>
        <v>1.0749027237354085</v>
      </c>
      <c r="EX284" s="1">
        <f>1+(Table1[[#This Row],[error_ratio_8]]-EN$2)</f>
        <v>0.94250513347022591</v>
      </c>
      <c r="EY284" s="1">
        <f>1+(Table1[[#This Row],[error_ratio_9]]-EO$2)</f>
        <v>1.1516352824578791</v>
      </c>
    </row>
    <row r="285" spans="1:155" x14ac:dyDescent="0.75">
      <c r="A285">
        <v>100</v>
      </c>
      <c r="B285">
        <v>10</v>
      </c>
      <c r="C285">
        <v>10</v>
      </c>
      <c r="D285">
        <v>100</v>
      </c>
      <c r="E285">
        <v>10</v>
      </c>
      <c r="F285">
        <v>10</v>
      </c>
      <c r="G285">
        <v>100</v>
      </c>
      <c r="H285">
        <v>100</v>
      </c>
      <c r="I285">
        <v>10</v>
      </c>
      <c r="J285">
        <v>100</v>
      </c>
      <c r="K285">
        <v>1053</v>
      </c>
      <c r="L285">
        <v>1133</v>
      </c>
      <c r="M285">
        <v>998</v>
      </c>
      <c r="N285">
        <v>1034</v>
      </c>
      <c r="O285">
        <v>912</v>
      </c>
      <c r="P285">
        <v>856</v>
      </c>
      <c r="Q285">
        <v>1013</v>
      </c>
      <c r="R285">
        <v>1086</v>
      </c>
      <c r="S285">
        <v>800</v>
      </c>
      <c r="T285">
        <v>1115</v>
      </c>
      <c r="U285">
        <v>980</v>
      </c>
      <c r="V285">
        <v>1135</v>
      </c>
      <c r="W285">
        <v>1032</v>
      </c>
      <c r="X285">
        <v>1010</v>
      </c>
      <c r="Y285">
        <v>982</v>
      </c>
      <c r="Z285">
        <v>892</v>
      </c>
      <c r="AA285">
        <v>958</v>
      </c>
      <c r="AB285">
        <v>1028</v>
      </c>
      <c r="AC285">
        <v>974</v>
      </c>
      <c r="AD285">
        <v>1009</v>
      </c>
      <c r="AE285">
        <v>971</v>
      </c>
      <c r="AF285">
        <v>0</v>
      </c>
      <c r="AG285">
        <v>1</v>
      </c>
      <c r="AH285">
        <v>0</v>
      </c>
      <c r="AI285">
        <v>0</v>
      </c>
      <c r="AJ285">
        <v>0</v>
      </c>
      <c r="AK285">
        <v>4</v>
      </c>
      <c r="AL285">
        <v>0</v>
      </c>
      <c r="AM285">
        <v>0</v>
      </c>
      <c r="AN285">
        <v>4</v>
      </c>
      <c r="AO285">
        <v>0</v>
      </c>
      <c r="AP285">
        <v>1116</v>
      </c>
      <c r="AQ285">
        <v>3</v>
      </c>
      <c r="AR285">
        <v>2</v>
      </c>
      <c r="AS285">
        <v>0</v>
      </c>
      <c r="AT285">
        <v>1</v>
      </c>
      <c r="AU285">
        <v>6</v>
      </c>
      <c r="AV285">
        <v>6</v>
      </c>
      <c r="AW285">
        <v>0</v>
      </c>
      <c r="AX285">
        <v>1</v>
      </c>
      <c r="AY285">
        <v>7</v>
      </c>
      <c r="AZ285">
        <v>1</v>
      </c>
      <c r="BA285">
        <v>978</v>
      </c>
      <c r="BB285">
        <v>12</v>
      </c>
      <c r="BC285">
        <v>2</v>
      </c>
      <c r="BD285">
        <v>0</v>
      </c>
      <c r="BE285">
        <v>4</v>
      </c>
      <c r="BF285">
        <v>27</v>
      </c>
      <c r="BG285">
        <v>0</v>
      </c>
      <c r="BH285">
        <v>1</v>
      </c>
      <c r="BI285">
        <v>2</v>
      </c>
      <c r="BJ285">
        <v>0</v>
      </c>
      <c r="BK285">
        <v>3</v>
      </c>
      <c r="BL285">
        <v>991</v>
      </c>
      <c r="BM285">
        <v>0</v>
      </c>
      <c r="BN285">
        <v>3</v>
      </c>
      <c r="BO285">
        <v>2</v>
      </c>
      <c r="BP285">
        <v>7</v>
      </c>
      <c r="BQ285">
        <v>0</v>
      </c>
      <c r="BR285">
        <v>2</v>
      </c>
      <c r="BS285">
        <v>8</v>
      </c>
      <c r="BT285">
        <v>4</v>
      </c>
      <c r="BU285">
        <v>2</v>
      </c>
      <c r="BV285">
        <v>0</v>
      </c>
      <c r="BW285">
        <v>897</v>
      </c>
      <c r="BX285">
        <v>0</v>
      </c>
      <c r="BY285">
        <v>6</v>
      </c>
      <c r="BZ285">
        <v>3</v>
      </c>
      <c r="CA285">
        <v>1</v>
      </c>
      <c r="CB285">
        <v>61</v>
      </c>
      <c r="CC285">
        <v>8</v>
      </c>
      <c r="CD285">
        <v>0</v>
      </c>
      <c r="CE285">
        <v>0</v>
      </c>
      <c r="CF285">
        <v>14</v>
      </c>
      <c r="CG285">
        <v>0</v>
      </c>
      <c r="CH285">
        <v>847</v>
      </c>
      <c r="CI285">
        <v>16</v>
      </c>
      <c r="CJ285">
        <v>2</v>
      </c>
      <c r="CK285">
        <v>0</v>
      </c>
      <c r="CL285">
        <v>5</v>
      </c>
      <c r="CM285">
        <v>8</v>
      </c>
      <c r="CN285">
        <v>2</v>
      </c>
      <c r="CO285">
        <v>0</v>
      </c>
      <c r="CP285">
        <v>1</v>
      </c>
      <c r="CQ285">
        <v>1</v>
      </c>
      <c r="CR285">
        <v>1</v>
      </c>
      <c r="CS285">
        <v>945</v>
      </c>
      <c r="CT285">
        <v>0</v>
      </c>
      <c r="CU285">
        <v>0</v>
      </c>
      <c r="CV285">
        <v>0</v>
      </c>
      <c r="CW285">
        <v>0</v>
      </c>
      <c r="CX285">
        <v>1</v>
      </c>
      <c r="CY285">
        <v>6</v>
      </c>
      <c r="CZ285">
        <v>0</v>
      </c>
      <c r="DA285">
        <v>1</v>
      </c>
      <c r="DB285">
        <v>0</v>
      </c>
      <c r="DC285">
        <v>0</v>
      </c>
      <c r="DD285">
        <v>1016</v>
      </c>
      <c r="DE285">
        <v>0</v>
      </c>
      <c r="DF285">
        <v>4</v>
      </c>
      <c r="DG285">
        <v>47</v>
      </c>
      <c r="DH285">
        <v>9</v>
      </c>
      <c r="DI285">
        <v>5</v>
      </c>
      <c r="DJ285">
        <v>12</v>
      </c>
      <c r="DK285">
        <v>9</v>
      </c>
      <c r="DL285">
        <v>3</v>
      </c>
      <c r="DM285">
        <v>29</v>
      </c>
      <c r="DN285">
        <v>21</v>
      </c>
      <c r="DO285">
        <v>799</v>
      </c>
      <c r="DP285">
        <v>40</v>
      </c>
      <c r="DQ285">
        <v>2</v>
      </c>
      <c r="DR285">
        <v>0</v>
      </c>
      <c r="DS285">
        <v>0</v>
      </c>
      <c r="DT285">
        <v>2</v>
      </c>
      <c r="DU285">
        <v>2</v>
      </c>
      <c r="DV285">
        <v>1</v>
      </c>
      <c r="DW285">
        <v>1</v>
      </c>
      <c r="DX285">
        <v>4</v>
      </c>
      <c r="DY285">
        <v>0</v>
      </c>
      <c r="DZ285">
        <v>997</v>
      </c>
      <c r="EA285">
        <v>0.95569999999999999</v>
      </c>
      <c r="EB285">
        <v>0.95798716387749205</v>
      </c>
      <c r="EC285">
        <v>0.95491247901855603</v>
      </c>
      <c r="ED285">
        <v>0.95485878938477398</v>
      </c>
      <c r="EE285">
        <f>SUM(Table1[[#This Row],[ratio_0]:[ratio_9]])</f>
        <v>550</v>
      </c>
      <c r="EF285" s="1">
        <f>(Table1[[#This Row],[predicted_0]]-Table1[[#This Row],[actual_0]])/Table1[[#This Row],[actual_0]]</f>
        <v>7.4489795918367352E-2</v>
      </c>
      <c r="EG285" s="1">
        <f>(Table1[[#This Row],[predicted_1]]-Table1[[#This Row],[actual_1]])/Table1[[#This Row],[actual_1]]</f>
        <v>-1.762114537444934E-3</v>
      </c>
      <c r="EH285" s="1">
        <f>(Table1[[#This Row],[predicted_2]]-Table1[[#This Row],[actual_2]])/Table1[[#This Row],[actual_2]]</f>
        <v>-3.294573643410853E-2</v>
      </c>
      <c r="EI285" s="1">
        <f>(Table1[[#This Row],[predicted_3]]-Table1[[#This Row],[actual_3]])/Table1[[#This Row],[actual_3]]</f>
        <v>2.3762376237623763E-2</v>
      </c>
      <c r="EJ285" s="1">
        <f>(Table1[[#This Row],[predicted_4]]-Table1[[#This Row],[actual_4]])/Table1[[#This Row],[actual_4]]</f>
        <v>-7.128309572301425E-2</v>
      </c>
      <c r="EK285" s="1">
        <f>(Table1[[#This Row],[predicted_5]]-Table1[[#This Row],[actual_5]])/Table1[[#This Row],[actual_5]]</f>
        <v>-4.0358744394618833E-2</v>
      </c>
      <c r="EL285" s="1">
        <f>(Table1[[#This Row],[predicted_6]]-Table1[[#This Row],[actual_6]])/Table1[[#This Row],[actual_6]]</f>
        <v>5.7411273486430062E-2</v>
      </c>
      <c r="EM285" s="1">
        <f>(Table1[[#This Row],[predicted_7]]-Table1[[#This Row],[actual_7]])/Table1[[#This Row],[actual_7]]</f>
        <v>5.642023346303502E-2</v>
      </c>
      <c r="EN285" s="1">
        <f>(Table1[[#This Row],[predicted_8]]-Table1[[#This Row],[actual_8]])/Table1[[#This Row],[actual_8]]</f>
        <v>-0.17864476386036962</v>
      </c>
      <c r="EO285" s="1">
        <f>(Table1[[#This Row],[predicted_9]]-Table1[[#This Row],[actual_9]])/Table1[[#This Row],[actual_9]]</f>
        <v>0.10505450941526263</v>
      </c>
      <c r="EP285" s="1">
        <f>1+(Table1[[#This Row],[error_ratio_0]]-EF$2)</f>
        <v>1.0724489795918368</v>
      </c>
      <c r="EQ285" s="1">
        <f>1+(Table1[[#This Row],[error_ratio_1]]-EG$2)</f>
        <v>0.99647577092511008</v>
      </c>
      <c r="ER285" s="1">
        <f>1+(Table1[[#This Row],[error_ratio_2]]-EH$2)</f>
        <v>0.9718992248062015</v>
      </c>
      <c r="ES285" s="1">
        <f>1+(Table1[[#This Row],[error_ratio_3]]-EI$2)</f>
        <v>1.0138613861386139</v>
      </c>
      <c r="ET285" s="1">
        <f>1+(Table1[[#This Row],[error_ratio_4]]-EJ$2)</f>
        <v>0.92769857433808556</v>
      </c>
      <c r="EU285" s="1">
        <f>1+(Table1[[#This Row],[error_ratio_5]]-EK$2)</f>
        <v>0.95852017937219736</v>
      </c>
      <c r="EV285" s="1">
        <f>1+(Table1[[#This Row],[error_ratio_6]]-EL$2)</f>
        <v>1.0636743215031315</v>
      </c>
      <c r="EW285" s="1">
        <f>1+(Table1[[#This Row],[error_ratio_7]]-EM$2)</f>
        <v>1.0544747081712063</v>
      </c>
      <c r="EX285" s="1">
        <f>1+(Table1[[#This Row],[error_ratio_8]]-EN$2)</f>
        <v>0.82443531827515404</v>
      </c>
      <c r="EY285" s="1">
        <f>1+(Table1[[#This Row],[error_ratio_9]]-EO$2)</f>
        <v>1.1090188305252726</v>
      </c>
    </row>
    <row r="286" spans="1:155" x14ac:dyDescent="0.75">
      <c r="A286">
        <v>10</v>
      </c>
      <c r="B286">
        <v>10</v>
      </c>
      <c r="C286">
        <v>10</v>
      </c>
      <c r="D286">
        <v>100</v>
      </c>
      <c r="E286">
        <v>10</v>
      </c>
      <c r="F286">
        <v>10</v>
      </c>
      <c r="G286">
        <v>100</v>
      </c>
      <c r="H286">
        <v>100</v>
      </c>
      <c r="I286">
        <v>10</v>
      </c>
      <c r="J286">
        <v>100</v>
      </c>
      <c r="K286">
        <v>988</v>
      </c>
      <c r="L286">
        <v>1142</v>
      </c>
      <c r="M286">
        <v>917</v>
      </c>
      <c r="N286">
        <v>1032</v>
      </c>
      <c r="O286">
        <v>952</v>
      </c>
      <c r="P286">
        <v>873</v>
      </c>
      <c r="Q286">
        <v>968</v>
      </c>
      <c r="R286">
        <v>1143</v>
      </c>
      <c r="S286">
        <v>924</v>
      </c>
      <c r="T286">
        <v>1061</v>
      </c>
      <c r="U286">
        <v>980</v>
      </c>
      <c r="V286">
        <v>1135</v>
      </c>
      <c r="W286">
        <v>1032</v>
      </c>
      <c r="X286">
        <v>1010</v>
      </c>
      <c r="Y286">
        <v>982</v>
      </c>
      <c r="Z286">
        <v>892</v>
      </c>
      <c r="AA286">
        <v>958</v>
      </c>
      <c r="AB286">
        <v>1028</v>
      </c>
      <c r="AC286">
        <v>974</v>
      </c>
      <c r="AD286">
        <v>1009</v>
      </c>
      <c r="AE286">
        <v>961</v>
      </c>
      <c r="AF286">
        <v>0</v>
      </c>
      <c r="AG286">
        <v>0</v>
      </c>
      <c r="AH286">
        <v>1</v>
      </c>
      <c r="AI286">
        <v>0</v>
      </c>
      <c r="AJ286">
        <v>1</v>
      </c>
      <c r="AK286">
        <v>6</v>
      </c>
      <c r="AL286">
        <v>4</v>
      </c>
      <c r="AM286">
        <v>5</v>
      </c>
      <c r="AN286">
        <v>2</v>
      </c>
      <c r="AO286">
        <v>0</v>
      </c>
      <c r="AP286">
        <v>1121</v>
      </c>
      <c r="AQ286">
        <v>1</v>
      </c>
      <c r="AR286">
        <v>2</v>
      </c>
      <c r="AS286">
        <v>0</v>
      </c>
      <c r="AT286">
        <v>2</v>
      </c>
      <c r="AU286">
        <v>1</v>
      </c>
      <c r="AV286">
        <v>7</v>
      </c>
      <c r="AW286">
        <v>1</v>
      </c>
      <c r="AX286">
        <v>0</v>
      </c>
      <c r="AY286">
        <v>8</v>
      </c>
      <c r="AZ286">
        <v>14</v>
      </c>
      <c r="BA286">
        <v>910</v>
      </c>
      <c r="BB286">
        <v>15</v>
      </c>
      <c r="BC286">
        <v>4</v>
      </c>
      <c r="BD286">
        <v>0</v>
      </c>
      <c r="BE286">
        <v>5</v>
      </c>
      <c r="BF286">
        <v>67</v>
      </c>
      <c r="BG286">
        <v>7</v>
      </c>
      <c r="BH286">
        <v>2</v>
      </c>
      <c r="BI286">
        <v>0</v>
      </c>
      <c r="BJ286">
        <v>0</v>
      </c>
      <c r="BK286">
        <v>1</v>
      </c>
      <c r="BL286">
        <v>989</v>
      </c>
      <c r="BM286">
        <v>0</v>
      </c>
      <c r="BN286">
        <v>6</v>
      </c>
      <c r="BO286">
        <v>0</v>
      </c>
      <c r="BP286">
        <v>8</v>
      </c>
      <c r="BQ286">
        <v>0</v>
      </c>
      <c r="BR286">
        <v>6</v>
      </c>
      <c r="BS286">
        <v>1</v>
      </c>
      <c r="BT286">
        <v>2</v>
      </c>
      <c r="BU286">
        <v>1</v>
      </c>
      <c r="BV286">
        <v>0</v>
      </c>
      <c r="BW286">
        <v>937</v>
      </c>
      <c r="BX286">
        <v>0</v>
      </c>
      <c r="BY286">
        <v>5</v>
      </c>
      <c r="BZ286">
        <v>5</v>
      </c>
      <c r="CA286">
        <v>2</v>
      </c>
      <c r="CB286">
        <v>29</v>
      </c>
      <c r="CC286">
        <v>6</v>
      </c>
      <c r="CD286">
        <v>0</v>
      </c>
      <c r="CE286">
        <v>0</v>
      </c>
      <c r="CF286">
        <v>14</v>
      </c>
      <c r="CG286">
        <v>0</v>
      </c>
      <c r="CH286">
        <v>856</v>
      </c>
      <c r="CI286">
        <v>3</v>
      </c>
      <c r="CJ286">
        <v>4</v>
      </c>
      <c r="CK286">
        <v>4</v>
      </c>
      <c r="CL286">
        <v>5</v>
      </c>
      <c r="CM286">
        <v>3</v>
      </c>
      <c r="CN286">
        <v>2</v>
      </c>
      <c r="CO286">
        <v>0</v>
      </c>
      <c r="CP286">
        <v>1</v>
      </c>
      <c r="CQ286">
        <v>2</v>
      </c>
      <c r="CR286">
        <v>2</v>
      </c>
      <c r="CS286">
        <v>946</v>
      </c>
      <c r="CT286">
        <v>0</v>
      </c>
      <c r="CU286">
        <v>2</v>
      </c>
      <c r="CV286">
        <v>0</v>
      </c>
      <c r="CW286">
        <v>0</v>
      </c>
      <c r="CX286">
        <v>1</v>
      </c>
      <c r="CY286">
        <v>3</v>
      </c>
      <c r="CZ286">
        <v>0</v>
      </c>
      <c r="DA286">
        <v>0</v>
      </c>
      <c r="DB286">
        <v>0</v>
      </c>
      <c r="DC286">
        <v>0</v>
      </c>
      <c r="DD286">
        <v>1022</v>
      </c>
      <c r="DE286">
        <v>0</v>
      </c>
      <c r="DF286">
        <v>2</v>
      </c>
      <c r="DG286">
        <v>8</v>
      </c>
      <c r="DH286">
        <v>2</v>
      </c>
      <c r="DI286">
        <v>1</v>
      </c>
      <c r="DJ286">
        <v>9</v>
      </c>
      <c r="DK286">
        <v>3</v>
      </c>
      <c r="DL286">
        <v>2</v>
      </c>
      <c r="DM286">
        <v>2</v>
      </c>
      <c r="DN286">
        <v>19</v>
      </c>
      <c r="DO286">
        <v>903</v>
      </c>
      <c r="DP286">
        <v>25</v>
      </c>
      <c r="DQ286">
        <v>1</v>
      </c>
      <c r="DR286">
        <v>0</v>
      </c>
      <c r="DS286">
        <v>0</v>
      </c>
      <c r="DT286">
        <v>1</v>
      </c>
      <c r="DU286">
        <v>6</v>
      </c>
      <c r="DV286">
        <v>4</v>
      </c>
      <c r="DW286">
        <v>0</v>
      </c>
      <c r="DX286">
        <v>7</v>
      </c>
      <c r="DY286">
        <v>0</v>
      </c>
      <c r="DZ286">
        <v>990</v>
      </c>
      <c r="EA286">
        <v>0.96350000000000002</v>
      </c>
      <c r="EB286">
        <v>0.96515193202622895</v>
      </c>
      <c r="EC286">
        <v>0.96329962436303995</v>
      </c>
      <c r="ED286">
        <v>0.96345712983014598</v>
      </c>
      <c r="EE286">
        <f>SUM(Table1[[#This Row],[ratio_0]:[ratio_9]])</f>
        <v>460</v>
      </c>
      <c r="EF286" s="1">
        <f>(Table1[[#This Row],[predicted_0]]-Table1[[#This Row],[actual_0]])/Table1[[#This Row],[actual_0]]</f>
        <v>8.1632653061224497E-3</v>
      </c>
      <c r="EG286" s="1">
        <f>(Table1[[#This Row],[predicted_1]]-Table1[[#This Row],[actual_1]])/Table1[[#This Row],[actual_1]]</f>
        <v>6.1674008810572688E-3</v>
      </c>
      <c r="EH286" s="1">
        <f>(Table1[[#This Row],[predicted_2]]-Table1[[#This Row],[actual_2]])/Table1[[#This Row],[actual_2]]</f>
        <v>-0.11143410852713179</v>
      </c>
      <c r="EI286" s="1">
        <f>(Table1[[#This Row],[predicted_3]]-Table1[[#This Row],[actual_3]])/Table1[[#This Row],[actual_3]]</f>
        <v>2.1782178217821781E-2</v>
      </c>
      <c r="EJ286" s="1">
        <f>(Table1[[#This Row],[predicted_4]]-Table1[[#This Row],[actual_4]])/Table1[[#This Row],[actual_4]]</f>
        <v>-3.0549898167006109E-2</v>
      </c>
      <c r="EK286" s="1">
        <f>(Table1[[#This Row],[predicted_5]]-Table1[[#This Row],[actual_5]])/Table1[[#This Row],[actual_5]]</f>
        <v>-2.1300448430493273E-2</v>
      </c>
      <c r="EL286" s="1">
        <f>(Table1[[#This Row],[predicted_6]]-Table1[[#This Row],[actual_6]])/Table1[[#This Row],[actual_6]]</f>
        <v>1.0438413361169102E-2</v>
      </c>
      <c r="EM286" s="1">
        <f>(Table1[[#This Row],[predicted_7]]-Table1[[#This Row],[actual_7]])/Table1[[#This Row],[actual_7]]</f>
        <v>0.11186770428015565</v>
      </c>
      <c r="EN286" s="1">
        <f>(Table1[[#This Row],[predicted_8]]-Table1[[#This Row],[actual_8]])/Table1[[#This Row],[actual_8]]</f>
        <v>-5.1334702258726897E-2</v>
      </c>
      <c r="EO286" s="1">
        <f>(Table1[[#This Row],[predicted_9]]-Table1[[#This Row],[actual_9]])/Table1[[#This Row],[actual_9]]</f>
        <v>5.1536174430128839E-2</v>
      </c>
      <c r="EP286" s="1">
        <f>1+(Table1[[#This Row],[error_ratio_0]]-EF$2)</f>
        <v>1.0061224489795919</v>
      </c>
      <c r="EQ286" s="1">
        <f>1+(Table1[[#This Row],[error_ratio_1]]-EG$2)</f>
        <v>1.0044052863436124</v>
      </c>
      <c r="ER286" s="1">
        <f>1+(Table1[[#This Row],[error_ratio_2]]-EH$2)</f>
        <v>0.89341085271317833</v>
      </c>
      <c r="ES286" s="1">
        <f>1+(Table1[[#This Row],[error_ratio_3]]-EI$2)</f>
        <v>1.0118811881188119</v>
      </c>
      <c r="ET286" s="1">
        <f>1+(Table1[[#This Row],[error_ratio_4]]-EJ$2)</f>
        <v>0.96843177189409368</v>
      </c>
      <c r="EU286" s="1">
        <f>1+(Table1[[#This Row],[error_ratio_5]]-EK$2)</f>
        <v>0.97757847533632292</v>
      </c>
      <c r="EV286" s="1">
        <f>1+(Table1[[#This Row],[error_ratio_6]]-EL$2)</f>
        <v>1.0167014613778707</v>
      </c>
      <c r="EW286" s="1">
        <f>1+(Table1[[#This Row],[error_ratio_7]]-EM$2)</f>
        <v>1.1099221789883269</v>
      </c>
      <c r="EX286" s="1">
        <f>1+(Table1[[#This Row],[error_ratio_8]]-EN$2)</f>
        <v>0.95174537987679675</v>
      </c>
      <c r="EY286" s="1">
        <f>1+(Table1[[#This Row],[error_ratio_9]]-EO$2)</f>
        <v>1.0555004955401388</v>
      </c>
    </row>
    <row r="287" spans="1:155" x14ac:dyDescent="0.75">
      <c r="A287">
        <v>100</v>
      </c>
      <c r="B287">
        <v>100</v>
      </c>
      <c r="C287">
        <v>100</v>
      </c>
      <c r="D287">
        <v>10</v>
      </c>
      <c r="E287">
        <v>10</v>
      </c>
      <c r="F287">
        <v>10</v>
      </c>
      <c r="G287">
        <v>100</v>
      </c>
      <c r="H287">
        <v>100</v>
      </c>
      <c r="I287">
        <v>10</v>
      </c>
      <c r="J287">
        <v>100</v>
      </c>
      <c r="K287">
        <v>1030</v>
      </c>
      <c r="L287">
        <v>1197</v>
      </c>
      <c r="M287">
        <v>1045</v>
      </c>
      <c r="N287">
        <v>928</v>
      </c>
      <c r="O287">
        <v>887</v>
      </c>
      <c r="P287">
        <v>882</v>
      </c>
      <c r="Q287">
        <v>1062</v>
      </c>
      <c r="R287">
        <v>1049</v>
      </c>
      <c r="S287">
        <v>802</v>
      </c>
      <c r="T287">
        <v>1118</v>
      </c>
      <c r="U287">
        <v>980</v>
      </c>
      <c r="V287">
        <v>1135</v>
      </c>
      <c r="W287">
        <v>1032</v>
      </c>
      <c r="X287">
        <v>1010</v>
      </c>
      <c r="Y287">
        <v>982</v>
      </c>
      <c r="Z287">
        <v>892</v>
      </c>
      <c r="AA287">
        <v>958</v>
      </c>
      <c r="AB287">
        <v>1028</v>
      </c>
      <c r="AC287">
        <v>974</v>
      </c>
      <c r="AD287">
        <v>1009</v>
      </c>
      <c r="AE287">
        <v>972</v>
      </c>
      <c r="AF287">
        <v>1</v>
      </c>
      <c r="AG287">
        <v>0</v>
      </c>
      <c r="AH287">
        <v>0</v>
      </c>
      <c r="AI287">
        <v>0</v>
      </c>
      <c r="AJ287">
        <v>0</v>
      </c>
      <c r="AK287">
        <v>1</v>
      </c>
      <c r="AL287">
        <v>3</v>
      </c>
      <c r="AM287">
        <v>1</v>
      </c>
      <c r="AN287">
        <v>2</v>
      </c>
      <c r="AO287">
        <v>0</v>
      </c>
      <c r="AP287">
        <v>1135</v>
      </c>
      <c r="AQ287">
        <v>0</v>
      </c>
      <c r="AR287">
        <v>0</v>
      </c>
      <c r="AS287">
        <v>0</v>
      </c>
      <c r="AT287">
        <v>0</v>
      </c>
      <c r="AU287">
        <v>0</v>
      </c>
      <c r="AV287">
        <v>0</v>
      </c>
      <c r="AW287">
        <v>0</v>
      </c>
      <c r="AX287">
        <v>0</v>
      </c>
      <c r="AY287">
        <v>2</v>
      </c>
      <c r="AZ287">
        <v>15</v>
      </c>
      <c r="BA287">
        <v>1004</v>
      </c>
      <c r="BB287">
        <v>0</v>
      </c>
      <c r="BC287">
        <v>0</v>
      </c>
      <c r="BD287">
        <v>0</v>
      </c>
      <c r="BE287">
        <v>1</v>
      </c>
      <c r="BF287">
        <v>9</v>
      </c>
      <c r="BG287">
        <v>0</v>
      </c>
      <c r="BH287">
        <v>1</v>
      </c>
      <c r="BI287">
        <v>2</v>
      </c>
      <c r="BJ287">
        <v>2</v>
      </c>
      <c r="BK287">
        <v>7</v>
      </c>
      <c r="BL287">
        <v>922</v>
      </c>
      <c r="BM287">
        <v>0</v>
      </c>
      <c r="BN287">
        <v>35</v>
      </c>
      <c r="BO287">
        <v>1</v>
      </c>
      <c r="BP287">
        <v>11</v>
      </c>
      <c r="BQ287">
        <v>5</v>
      </c>
      <c r="BR287">
        <v>25</v>
      </c>
      <c r="BS287">
        <v>6</v>
      </c>
      <c r="BT287">
        <v>10</v>
      </c>
      <c r="BU287">
        <v>5</v>
      </c>
      <c r="BV287">
        <v>0</v>
      </c>
      <c r="BW287">
        <v>885</v>
      </c>
      <c r="BX287">
        <v>0</v>
      </c>
      <c r="BY287">
        <v>27</v>
      </c>
      <c r="BZ287">
        <v>3</v>
      </c>
      <c r="CA287">
        <v>1</v>
      </c>
      <c r="CB287">
        <v>45</v>
      </c>
      <c r="CC287">
        <v>6</v>
      </c>
      <c r="CD287">
        <v>2</v>
      </c>
      <c r="CE287">
        <v>0</v>
      </c>
      <c r="CF287">
        <v>3</v>
      </c>
      <c r="CG287">
        <v>0</v>
      </c>
      <c r="CH287">
        <v>844</v>
      </c>
      <c r="CI287">
        <v>19</v>
      </c>
      <c r="CJ287">
        <v>1</v>
      </c>
      <c r="CK287">
        <v>1</v>
      </c>
      <c r="CL287">
        <v>16</v>
      </c>
      <c r="CM287">
        <v>7</v>
      </c>
      <c r="CN287">
        <v>3</v>
      </c>
      <c r="CO287">
        <v>1</v>
      </c>
      <c r="CP287">
        <v>0</v>
      </c>
      <c r="CQ287">
        <v>1</v>
      </c>
      <c r="CR287">
        <v>0</v>
      </c>
      <c r="CS287">
        <v>946</v>
      </c>
      <c r="CT287">
        <v>0</v>
      </c>
      <c r="CU287">
        <v>0</v>
      </c>
      <c r="CV287">
        <v>0</v>
      </c>
      <c r="CW287">
        <v>1</v>
      </c>
      <c r="CX287">
        <v>7</v>
      </c>
      <c r="CY287">
        <v>4</v>
      </c>
      <c r="CZ287">
        <v>0</v>
      </c>
      <c r="DA287">
        <v>0</v>
      </c>
      <c r="DB287">
        <v>0</v>
      </c>
      <c r="DC287">
        <v>0</v>
      </c>
      <c r="DD287">
        <v>1010</v>
      </c>
      <c r="DE287">
        <v>0</v>
      </c>
      <c r="DF287">
        <v>6</v>
      </c>
      <c r="DG287">
        <v>33</v>
      </c>
      <c r="DH287">
        <v>18</v>
      </c>
      <c r="DI287">
        <v>24</v>
      </c>
      <c r="DJ287">
        <v>3</v>
      </c>
      <c r="DK287">
        <v>0</v>
      </c>
      <c r="DL287">
        <v>2</v>
      </c>
      <c r="DM287">
        <v>66</v>
      </c>
      <c r="DN287">
        <v>11</v>
      </c>
      <c r="DO287">
        <v>794</v>
      </c>
      <c r="DP287">
        <v>23</v>
      </c>
      <c r="DQ287">
        <v>1</v>
      </c>
      <c r="DR287">
        <v>4</v>
      </c>
      <c r="DS287">
        <v>0</v>
      </c>
      <c r="DT287">
        <v>0</v>
      </c>
      <c r="DU287">
        <v>1</v>
      </c>
      <c r="DV287">
        <v>1</v>
      </c>
      <c r="DW287">
        <v>1</v>
      </c>
      <c r="DX287">
        <v>1</v>
      </c>
      <c r="DY287">
        <v>0</v>
      </c>
      <c r="DZ287">
        <v>1000</v>
      </c>
      <c r="EA287">
        <v>0.95120000000000005</v>
      </c>
      <c r="EB287">
        <v>0.95389276881966401</v>
      </c>
      <c r="EC287">
        <v>0.95012261013219002</v>
      </c>
      <c r="ED287">
        <v>0.95010313060520701</v>
      </c>
      <c r="EE287">
        <f>SUM(Table1[[#This Row],[ratio_0]:[ratio_9]])</f>
        <v>640</v>
      </c>
      <c r="EF287" s="1">
        <f>(Table1[[#This Row],[predicted_0]]-Table1[[#This Row],[actual_0]])/Table1[[#This Row],[actual_0]]</f>
        <v>5.1020408163265307E-2</v>
      </c>
      <c r="EG287" s="1">
        <f>(Table1[[#This Row],[predicted_1]]-Table1[[#This Row],[actual_1]])/Table1[[#This Row],[actual_1]]</f>
        <v>5.462555066079295E-2</v>
      </c>
      <c r="EH287" s="1">
        <f>(Table1[[#This Row],[predicted_2]]-Table1[[#This Row],[actual_2]])/Table1[[#This Row],[actual_2]]</f>
        <v>1.2596899224806201E-2</v>
      </c>
      <c r="EI287" s="1">
        <f>(Table1[[#This Row],[predicted_3]]-Table1[[#This Row],[actual_3]])/Table1[[#This Row],[actual_3]]</f>
        <v>-8.1188118811881191E-2</v>
      </c>
      <c r="EJ287" s="1">
        <f>(Table1[[#This Row],[predicted_4]]-Table1[[#This Row],[actual_4]])/Table1[[#This Row],[actual_4]]</f>
        <v>-9.6741344195519344E-2</v>
      </c>
      <c r="EK287" s="1">
        <f>(Table1[[#This Row],[predicted_5]]-Table1[[#This Row],[actual_5]])/Table1[[#This Row],[actual_5]]</f>
        <v>-1.1210762331838564E-2</v>
      </c>
      <c r="EL287" s="1">
        <f>(Table1[[#This Row],[predicted_6]]-Table1[[#This Row],[actual_6]])/Table1[[#This Row],[actual_6]]</f>
        <v>0.10855949895615867</v>
      </c>
      <c r="EM287" s="1">
        <f>(Table1[[#This Row],[predicted_7]]-Table1[[#This Row],[actual_7]])/Table1[[#This Row],[actual_7]]</f>
        <v>2.0428015564202335E-2</v>
      </c>
      <c r="EN287" s="1">
        <f>(Table1[[#This Row],[predicted_8]]-Table1[[#This Row],[actual_8]])/Table1[[#This Row],[actual_8]]</f>
        <v>-0.17659137577002054</v>
      </c>
      <c r="EO287" s="1">
        <f>(Table1[[#This Row],[predicted_9]]-Table1[[#This Row],[actual_9]])/Table1[[#This Row],[actual_9]]</f>
        <v>0.10802775024777007</v>
      </c>
      <c r="EP287" s="1">
        <f>1+(Table1[[#This Row],[error_ratio_0]]-EF$2)</f>
        <v>1.0489795918367346</v>
      </c>
      <c r="EQ287" s="1">
        <f>1+(Table1[[#This Row],[error_ratio_1]]-EG$2)</f>
        <v>1.052863436123348</v>
      </c>
      <c r="ER287" s="1">
        <f>1+(Table1[[#This Row],[error_ratio_2]]-EH$2)</f>
        <v>1.0174418604651163</v>
      </c>
      <c r="ES287" s="1">
        <f>1+(Table1[[#This Row],[error_ratio_3]]-EI$2)</f>
        <v>0.90891089108910894</v>
      </c>
      <c r="ET287" s="1">
        <f>1+(Table1[[#This Row],[error_ratio_4]]-EJ$2)</f>
        <v>0.90224032586558045</v>
      </c>
      <c r="EU287" s="1">
        <f>1+(Table1[[#This Row],[error_ratio_5]]-EK$2)</f>
        <v>0.9876681614349776</v>
      </c>
      <c r="EV287" s="1">
        <f>1+(Table1[[#This Row],[error_ratio_6]]-EL$2)</f>
        <v>1.1148225469728601</v>
      </c>
      <c r="EW287" s="1">
        <f>1+(Table1[[#This Row],[error_ratio_7]]-EM$2)</f>
        <v>1.0184824902723735</v>
      </c>
      <c r="EX287" s="1">
        <f>1+(Table1[[#This Row],[error_ratio_8]]-EN$2)</f>
        <v>0.82648870636550309</v>
      </c>
      <c r="EY287" s="1">
        <f>1+(Table1[[#This Row],[error_ratio_9]]-EO$2)</f>
        <v>1.11199207135778</v>
      </c>
    </row>
    <row r="288" spans="1:155" x14ac:dyDescent="0.75">
      <c r="A288">
        <v>10</v>
      </c>
      <c r="B288">
        <v>100</v>
      </c>
      <c r="C288">
        <v>100</v>
      </c>
      <c r="D288">
        <v>10</v>
      </c>
      <c r="E288">
        <v>10</v>
      </c>
      <c r="F288">
        <v>10</v>
      </c>
      <c r="G288">
        <v>100</v>
      </c>
      <c r="H288">
        <v>100</v>
      </c>
      <c r="I288">
        <v>10</v>
      </c>
      <c r="J288">
        <v>100</v>
      </c>
      <c r="K288">
        <v>912</v>
      </c>
      <c r="L288">
        <v>1138</v>
      </c>
      <c r="M288">
        <v>1098</v>
      </c>
      <c r="N288">
        <v>945</v>
      </c>
      <c r="O288">
        <v>859</v>
      </c>
      <c r="P288">
        <v>901</v>
      </c>
      <c r="Q288">
        <v>1037</v>
      </c>
      <c r="R288">
        <v>1037</v>
      </c>
      <c r="S288">
        <v>910</v>
      </c>
      <c r="T288">
        <v>1163</v>
      </c>
      <c r="U288">
        <v>980</v>
      </c>
      <c r="V288">
        <v>1135</v>
      </c>
      <c r="W288">
        <v>1032</v>
      </c>
      <c r="X288">
        <v>1010</v>
      </c>
      <c r="Y288">
        <v>982</v>
      </c>
      <c r="Z288">
        <v>892</v>
      </c>
      <c r="AA288">
        <v>958</v>
      </c>
      <c r="AB288">
        <v>1028</v>
      </c>
      <c r="AC288">
        <v>974</v>
      </c>
      <c r="AD288">
        <v>1009</v>
      </c>
      <c r="AE288">
        <v>908</v>
      </c>
      <c r="AF288">
        <v>1</v>
      </c>
      <c r="AG288">
        <v>10</v>
      </c>
      <c r="AH288">
        <v>0</v>
      </c>
      <c r="AI288">
        <v>0</v>
      </c>
      <c r="AJ288">
        <v>6</v>
      </c>
      <c r="AK288">
        <v>39</v>
      </c>
      <c r="AL288">
        <v>2</v>
      </c>
      <c r="AM288">
        <v>2</v>
      </c>
      <c r="AN288">
        <v>12</v>
      </c>
      <c r="AO288">
        <v>0</v>
      </c>
      <c r="AP288">
        <v>1130</v>
      </c>
      <c r="AQ288">
        <v>1</v>
      </c>
      <c r="AR288">
        <v>0</v>
      </c>
      <c r="AS288">
        <v>0</v>
      </c>
      <c r="AT288">
        <v>0</v>
      </c>
      <c r="AU288">
        <v>1</v>
      </c>
      <c r="AV288">
        <v>2</v>
      </c>
      <c r="AW288">
        <v>1</v>
      </c>
      <c r="AX288">
        <v>0</v>
      </c>
      <c r="AY288">
        <v>0</v>
      </c>
      <c r="AZ288">
        <v>1</v>
      </c>
      <c r="BA288">
        <v>1026</v>
      </c>
      <c r="BB288">
        <v>0</v>
      </c>
      <c r="BC288">
        <v>0</v>
      </c>
      <c r="BD288">
        <v>0</v>
      </c>
      <c r="BE288">
        <v>1</v>
      </c>
      <c r="BF288">
        <v>3</v>
      </c>
      <c r="BG288">
        <v>0</v>
      </c>
      <c r="BH288">
        <v>1</v>
      </c>
      <c r="BI288">
        <v>0</v>
      </c>
      <c r="BJ288">
        <v>0</v>
      </c>
      <c r="BK288">
        <v>21</v>
      </c>
      <c r="BL288">
        <v>940</v>
      </c>
      <c r="BM288">
        <v>0</v>
      </c>
      <c r="BN288">
        <v>22</v>
      </c>
      <c r="BO288">
        <v>1</v>
      </c>
      <c r="BP288">
        <v>6</v>
      </c>
      <c r="BQ288">
        <v>10</v>
      </c>
      <c r="BR288">
        <v>10</v>
      </c>
      <c r="BS288">
        <v>0</v>
      </c>
      <c r="BT288">
        <v>3</v>
      </c>
      <c r="BU288">
        <v>3</v>
      </c>
      <c r="BV288">
        <v>0</v>
      </c>
      <c r="BW288">
        <v>857</v>
      </c>
      <c r="BX288">
        <v>0</v>
      </c>
      <c r="BY288">
        <v>14</v>
      </c>
      <c r="BZ288">
        <v>12</v>
      </c>
      <c r="CA288">
        <v>8</v>
      </c>
      <c r="CB288">
        <v>85</v>
      </c>
      <c r="CC288">
        <v>1</v>
      </c>
      <c r="CD288">
        <v>0</v>
      </c>
      <c r="CE288">
        <v>1</v>
      </c>
      <c r="CF288">
        <v>3</v>
      </c>
      <c r="CG288">
        <v>0</v>
      </c>
      <c r="CH288">
        <v>861</v>
      </c>
      <c r="CI288">
        <v>15</v>
      </c>
      <c r="CJ288">
        <v>3</v>
      </c>
      <c r="CK288">
        <v>2</v>
      </c>
      <c r="CL288">
        <v>6</v>
      </c>
      <c r="CM288">
        <v>0</v>
      </c>
      <c r="CN288">
        <v>2</v>
      </c>
      <c r="CO288">
        <v>1</v>
      </c>
      <c r="CP288">
        <v>0</v>
      </c>
      <c r="CQ288">
        <v>1</v>
      </c>
      <c r="CR288">
        <v>1</v>
      </c>
      <c r="CS288">
        <v>953</v>
      </c>
      <c r="CT288">
        <v>0</v>
      </c>
      <c r="CU288">
        <v>0</v>
      </c>
      <c r="CV288">
        <v>0</v>
      </c>
      <c r="CW288">
        <v>1</v>
      </c>
      <c r="CX288">
        <v>1</v>
      </c>
      <c r="CY288">
        <v>19</v>
      </c>
      <c r="CZ288">
        <v>0</v>
      </c>
      <c r="DA288">
        <v>0</v>
      </c>
      <c r="DB288">
        <v>0</v>
      </c>
      <c r="DC288">
        <v>0</v>
      </c>
      <c r="DD288">
        <v>1001</v>
      </c>
      <c r="DE288">
        <v>0</v>
      </c>
      <c r="DF288">
        <v>6</v>
      </c>
      <c r="DG288">
        <v>2</v>
      </c>
      <c r="DH288">
        <v>0</v>
      </c>
      <c r="DI288">
        <v>15</v>
      </c>
      <c r="DJ288">
        <v>1</v>
      </c>
      <c r="DK288">
        <v>0</v>
      </c>
      <c r="DL288">
        <v>8</v>
      </c>
      <c r="DM288">
        <v>12</v>
      </c>
      <c r="DN288">
        <v>5</v>
      </c>
      <c r="DO288">
        <v>887</v>
      </c>
      <c r="DP288">
        <v>44</v>
      </c>
      <c r="DQ288">
        <v>0</v>
      </c>
      <c r="DR288">
        <v>0</v>
      </c>
      <c r="DS288">
        <v>1</v>
      </c>
      <c r="DT288">
        <v>1</v>
      </c>
      <c r="DU288">
        <v>1</v>
      </c>
      <c r="DV288">
        <v>3</v>
      </c>
      <c r="DW288">
        <v>1</v>
      </c>
      <c r="DX288">
        <v>3</v>
      </c>
      <c r="DY288">
        <v>0</v>
      </c>
      <c r="DZ288">
        <v>999</v>
      </c>
      <c r="EA288">
        <v>0.95620000000000005</v>
      </c>
      <c r="EB288">
        <v>0.95889882159242301</v>
      </c>
      <c r="EC288">
        <v>0.95542428533031298</v>
      </c>
      <c r="ED288">
        <v>0.955692906487148</v>
      </c>
      <c r="EE288">
        <f>SUM(Table1[[#This Row],[ratio_0]:[ratio_9]])</f>
        <v>550</v>
      </c>
      <c r="EF288" s="1">
        <f>(Table1[[#This Row],[predicted_0]]-Table1[[#This Row],[actual_0]])/Table1[[#This Row],[actual_0]]</f>
        <v>-6.9387755102040816E-2</v>
      </c>
      <c r="EG288" s="1">
        <f>(Table1[[#This Row],[predicted_1]]-Table1[[#This Row],[actual_1]])/Table1[[#This Row],[actual_1]]</f>
        <v>2.6431718061674008E-3</v>
      </c>
      <c r="EH288" s="1">
        <f>(Table1[[#This Row],[predicted_2]]-Table1[[#This Row],[actual_2]])/Table1[[#This Row],[actual_2]]</f>
        <v>6.3953488372093026E-2</v>
      </c>
      <c r="EI288" s="1">
        <f>(Table1[[#This Row],[predicted_3]]-Table1[[#This Row],[actual_3]])/Table1[[#This Row],[actual_3]]</f>
        <v>-6.4356435643564358E-2</v>
      </c>
      <c r="EJ288" s="1">
        <f>(Table1[[#This Row],[predicted_4]]-Table1[[#This Row],[actual_4]])/Table1[[#This Row],[actual_4]]</f>
        <v>-0.12525458248472504</v>
      </c>
      <c r="EK288" s="1">
        <f>(Table1[[#This Row],[predicted_5]]-Table1[[#This Row],[actual_5]])/Table1[[#This Row],[actual_5]]</f>
        <v>1.0089686098654708E-2</v>
      </c>
      <c r="EL288" s="1">
        <f>(Table1[[#This Row],[predicted_6]]-Table1[[#This Row],[actual_6]])/Table1[[#This Row],[actual_6]]</f>
        <v>8.2463465553235901E-2</v>
      </c>
      <c r="EM288" s="1">
        <f>(Table1[[#This Row],[predicted_7]]-Table1[[#This Row],[actual_7]])/Table1[[#This Row],[actual_7]]</f>
        <v>8.7548638132295721E-3</v>
      </c>
      <c r="EN288" s="1">
        <f>(Table1[[#This Row],[predicted_8]]-Table1[[#This Row],[actual_8]])/Table1[[#This Row],[actual_8]]</f>
        <v>-6.5708418891170434E-2</v>
      </c>
      <c r="EO288" s="1">
        <f>(Table1[[#This Row],[predicted_9]]-Table1[[#This Row],[actual_9]])/Table1[[#This Row],[actual_9]]</f>
        <v>0.15262636273538158</v>
      </c>
      <c r="EP288" s="1">
        <f>1+(Table1[[#This Row],[error_ratio_0]]-EF$2)</f>
        <v>0.9285714285714286</v>
      </c>
      <c r="EQ288" s="1">
        <f>1+(Table1[[#This Row],[error_ratio_1]]-EG$2)</f>
        <v>1.0008810572687226</v>
      </c>
      <c r="ER288" s="1">
        <f>1+(Table1[[#This Row],[error_ratio_2]]-EH$2)</f>
        <v>1.068798449612403</v>
      </c>
      <c r="ES288" s="1">
        <f>1+(Table1[[#This Row],[error_ratio_3]]-EI$2)</f>
        <v>0.92574257425742579</v>
      </c>
      <c r="ET288" s="1">
        <f>1+(Table1[[#This Row],[error_ratio_4]]-EJ$2)</f>
        <v>0.87372708757637474</v>
      </c>
      <c r="EU288" s="1">
        <f>1+(Table1[[#This Row],[error_ratio_5]]-EK$2)</f>
        <v>1.0089686098654709</v>
      </c>
      <c r="EV288" s="1">
        <f>1+(Table1[[#This Row],[error_ratio_6]]-EL$2)</f>
        <v>1.0887265135699373</v>
      </c>
      <c r="EW288" s="1">
        <f>1+(Table1[[#This Row],[error_ratio_7]]-EM$2)</f>
        <v>1.0068093385214008</v>
      </c>
      <c r="EX288" s="1">
        <f>1+(Table1[[#This Row],[error_ratio_8]]-EN$2)</f>
        <v>0.93737166324435317</v>
      </c>
      <c r="EY288" s="1">
        <f>1+(Table1[[#This Row],[error_ratio_9]]-EO$2)</f>
        <v>1.1565906838453914</v>
      </c>
    </row>
    <row r="289" spans="1:155" x14ac:dyDescent="0.75">
      <c r="A289">
        <v>100</v>
      </c>
      <c r="B289">
        <v>10</v>
      </c>
      <c r="C289">
        <v>100</v>
      </c>
      <c r="D289">
        <v>10</v>
      </c>
      <c r="E289">
        <v>10</v>
      </c>
      <c r="F289">
        <v>10</v>
      </c>
      <c r="G289">
        <v>100</v>
      </c>
      <c r="H289">
        <v>100</v>
      </c>
      <c r="I289">
        <v>10</v>
      </c>
      <c r="J289">
        <v>100</v>
      </c>
      <c r="K289">
        <v>992</v>
      </c>
      <c r="L289">
        <v>1141</v>
      </c>
      <c r="M289">
        <v>1062</v>
      </c>
      <c r="N289">
        <v>850</v>
      </c>
      <c r="O289">
        <v>962</v>
      </c>
      <c r="P289">
        <v>969</v>
      </c>
      <c r="Q289">
        <v>953</v>
      </c>
      <c r="R289">
        <v>1109</v>
      </c>
      <c r="S289">
        <v>895</v>
      </c>
      <c r="T289">
        <v>1067</v>
      </c>
      <c r="U289">
        <v>980</v>
      </c>
      <c r="V289">
        <v>1135</v>
      </c>
      <c r="W289">
        <v>1032</v>
      </c>
      <c r="X289">
        <v>1010</v>
      </c>
      <c r="Y289">
        <v>982</v>
      </c>
      <c r="Z289">
        <v>892</v>
      </c>
      <c r="AA289">
        <v>958</v>
      </c>
      <c r="AB289">
        <v>1028</v>
      </c>
      <c r="AC289">
        <v>974</v>
      </c>
      <c r="AD289">
        <v>1009</v>
      </c>
      <c r="AE289">
        <v>969</v>
      </c>
      <c r="AF289">
        <v>1</v>
      </c>
      <c r="AG289">
        <v>0</v>
      </c>
      <c r="AH289">
        <v>0</v>
      </c>
      <c r="AI289">
        <v>0</v>
      </c>
      <c r="AJ289">
        <v>1</v>
      </c>
      <c r="AK289">
        <v>3</v>
      </c>
      <c r="AL289">
        <v>2</v>
      </c>
      <c r="AM289">
        <v>0</v>
      </c>
      <c r="AN289">
        <v>4</v>
      </c>
      <c r="AO289">
        <v>0</v>
      </c>
      <c r="AP289">
        <v>1120</v>
      </c>
      <c r="AQ289">
        <v>4</v>
      </c>
      <c r="AR289">
        <v>1</v>
      </c>
      <c r="AS289">
        <v>0</v>
      </c>
      <c r="AT289">
        <v>2</v>
      </c>
      <c r="AU289">
        <v>3</v>
      </c>
      <c r="AV289">
        <v>5</v>
      </c>
      <c r="AW289">
        <v>0</v>
      </c>
      <c r="AX289">
        <v>0</v>
      </c>
      <c r="AY289">
        <v>1</v>
      </c>
      <c r="AZ289">
        <v>1</v>
      </c>
      <c r="BA289">
        <v>1025</v>
      </c>
      <c r="BB289">
        <v>0</v>
      </c>
      <c r="BC289">
        <v>0</v>
      </c>
      <c r="BD289">
        <v>0</v>
      </c>
      <c r="BE289">
        <v>0</v>
      </c>
      <c r="BF289">
        <v>5</v>
      </c>
      <c r="BG289">
        <v>0</v>
      </c>
      <c r="BH289">
        <v>0</v>
      </c>
      <c r="BI289">
        <v>4</v>
      </c>
      <c r="BJ289">
        <v>0</v>
      </c>
      <c r="BK289">
        <v>9</v>
      </c>
      <c r="BL289">
        <v>842</v>
      </c>
      <c r="BM289">
        <v>0</v>
      </c>
      <c r="BN289">
        <v>117</v>
      </c>
      <c r="BO289">
        <v>0</v>
      </c>
      <c r="BP289">
        <v>29</v>
      </c>
      <c r="BQ289">
        <v>4</v>
      </c>
      <c r="BR289">
        <v>5</v>
      </c>
      <c r="BS289">
        <v>0</v>
      </c>
      <c r="BT289">
        <v>2</v>
      </c>
      <c r="BU289">
        <v>4</v>
      </c>
      <c r="BV289">
        <v>0</v>
      </c>
      <c r="BW289">
        <v>938</v>
      </c>
      <c r="BX289">
        <v>0</v>
      </c>
      <c r="BY289">
        <v>5</v>
      </c>
      <c r="BZ289">
        <v>8</v>
      </c>
      <c r="CA289">
        <v>1</v>
      </c>
      <c r="CB289">
        <v>24</v>
      </c>
      <c r="CC289">
        <v>3</v>
      </c>
      <c r="CD289">
        <v>1</v>
      </c>
      <c r="CE289">
        <v>1</v>
      </c>
      <c r="CF289">
        <v>2</v>
      </c>
      <c r="CG289">
        <v>1</v>
      </c>
      <c r="CH289">
        <v>843</v>
      </c>
      <c r="CI289">
        <v>6</v>
      </c>
      <c r="CJ289">
        <v>6</v>
      </c>
      <c r="CK289">
        <v>5</v>
      </c>
      <c r="CL289">
        <v>24</v>
      </c>
      <c r="CM289">
        <v>11</v>
      </c>
      <c r="CN289">
        <v>3</v>
      </c>
      <c r="CO289">
        <v>1</v>
      </c>
      <c r="CP289">
        <v>0</v>
      </c>
      <c r="CQ289">
        <v>15</v>
      </c>
      <c r="CR289">
        <v>0</v>
      </c>
      <c r="CS289">
        <v>928</v>
      </c>
      <c r="CT289">
        <v>0</v>
      </c>
      <c r="CU289">
        <v>0</v>
      </c>
      <c r="CV289">
        <v>0</v>
      </c>
      <c r="CW289">
        <v>0</v>
      </c>
      <c r="CX289">
        <v>1</v>
      </c>
      <c r="CY289">
        <v>9</v>
      </c>
      <c r="CZ289">
        <v>0</v>
      </c>
      <c r="DA289">
        <v>0</v>
      </c>
      <c r="DB289">
        <v>0</v>
      </c>
      <c r="DC289">
        <v>0</v>
      </c>
      <c r="DD289">
        <v>1017</v>
      </c>
      <c r="DE289">
        <v>0</v>
      </c>
      <c r="DF289">
        <v>1</v>
      </c>
      <c r="DG289">
        <v>4</v>
      </c>
      <c r="DH289">
        <v>11</v>
      </c>
      <c r="DI289">
        <v>7</v>
      </c>
      <c r="DJ289">
        <v>4</v>
      </c>
      <c r="DK289">
        <v>5</v>
      </c>
      <c r="DL289">
        <v>5</v>
      </c>
      <c r="DM289">
        <v>8</v>
      </c>
      <c r="DN289">
        <v>28</v>
      </c>
      <c r="DO289">
        <v>885</v>
      </c>
      <c r="DP289">
        <v>17</v>
      </c>
      <c r="DQ289">
        <v>0</v>
      </c>
      <c r="DR289">
        <v>1</v>
      </c>
      <c r="DS289">
        <v>2</v>
      </c>
      <c r="DT289">
        <v>1</v>
      </c>
      <c r="DU289">
        <v>3</v>
      </c>
      <c r="DV289">
        <v>1</v>
      </c>
      <c r="DW289">
        <v>0</v>
      </c>
      <c r="DX289">
        <v>9</v>
      </c>
      <c r="DY289">
        <v>0</v>
      </c>
      <c r="DZ289">
        <v>992</v>
      </c>
      <c r="EA289">
        <v>0.95589999999999997</v>
      </c>
      <c r="EB289">
        <v>0.956852464745088</v>
      </c>
      <c r="EC289">
        <v>0.95524610551091804</v>
      </c>
      <c r="ED289">
        <v>0.95480257897254195</v>
      </c>
      <c r="EE289">
        <f>SUM(Table1[[#This Row],[ratio_0]:[ratio_9]])</f>
        <v>550</v>
      </c>
      <c r="EF289" s="1">
        <f>(Table1[[#This Row],[predicted_0]]-Table1[[#This Row],[actual_0]])/Table1[[#This Row],[actual_0]]</f>
        <v>1.2244897959183673E-2</v>
      </c>
      <c r="EG289" s="1">
        <f>(Table1[[#This Row],[predicted_1]]-Table1[[#This Row],[actual_1]])/Table1[[#This Row],[actual_1]]</f>
        <v>5.2863436123348016E-3</v>
      </c>
      <c r="EH289" s="1">
        <f>(Table1[[#This Row],[predicted_2]]-Table1[[#This Row],[actual_2]])/Table1[[#This Row],[actual_2]]</f>
        <v>2.9069767441860465E-2</v>
      </c>
      <c r="EI289" s="1">
        <f>(Table1[[#This Row],[predicted_3]]-Table1[[#This Row],[actual_3]])/Table1[[#This Row],[actual_3]]</f>
        <v>-0.15841584158415842</v>
      </c>
      <c r="EJ289" s="1">
        <f>(Table1[[#This Row],[predicted_4]]-Table1[[#This Row],[actual_4]])/Table1[[#This Row],[actual_4]]</f>
        <v>-2.0366598778004074E-2</v>
      </c>
      <c r="EK289" s="1">
        <f>(Table1[[#This Row],[predicted_5]]-Table1[[#This Row],[actual_5]])/Table1[[#This Row],[actual_5]]</f>
        <v>8.632286995515695E-2</v>
      </c>
      <c r="EL289" s="1">
        <f>(Table1[[#This Row],[predicted_6]]-Table1[[#This Row],[actual_6]])/Table1[[#This Row],[actual_6]]</f>
        <v>-5.2192066805845511E-3</v>
      </c>
      <c r="EM289" s="1">
        <f>(Table1[[#This Row],[predicted_7]]-Table1[[#This Row],[actual_7]])/Table1[[#This Row],[actual_7]]</f>
        <v>7.8793774319066145E-2</v>
      </c>
      <c r="EN289" s="1">
        <f>(Table1[[#This Row],[predicted_8]]-Table1[[#This Row],[actual_8]])/Table1[[#This Row],[actual_8]]</f>
        <v>-8.1108829568788496E-2</v>
      </c>
      <c r="EO289" s="1">
        <f>(Table1[[#This Row],[predicted_9]]-Table1[[#This Row],[actual_9]])/Table1[[#This Row],[actual_9]]</f>
        <v>5.7482656095143705E-2</v>
      </c>
      <c r="EP289" s="1">
        <f>1+(Table1[[#This Row],[error_ratio_0]]-EF$2)</f>
        <v>1.010204081632653</v>
      </c>
      <c r="EQ289" s="1">
        <f>1+(Table1[[#This Row],[error_ratio_1]]-EG$2)</f>
        <v>1.0035242290748898</v>
      </c>
      <c r="ER289" s="1">
        <f>1+(Table1[[#This Row],[error_ratio_2]]-EH$2)</f>
        <v>1.0339147286821706</v>
      </c>
      <c r="ES289" s="1">
        <f>1+(Table1[[#This Row],[error_ratio_3]]-EI$2)</f>
        <v>0.83168316831683164</v>
      </c>
      <c r="ET289" s="1">
        <f>1+(Table1[[#This Row],[error_ratio_4]]-EJ$2)</f>
        <v>0.97861507128309577</v>
      </c>
      <c r="EU289" s="1">
        <f>1+(Table1[[#This Row],[error_ratio_5]]-EK$2)</f>
        <v>1.0852017937219731</v>
      </c>
      <c r="EV289" s="1">
        <f>1+(Table1[[#This Row],[error_ratio_6]]-EL$2)</f>
        <v>1.0010438413361169</v>
      </c>
      <c r="EW289" s="1">
        <f>1+(Table1[[#This Row],[error_ratio_7]]-EM$2)</f>
        <v>1.0768482490272373</v>
      </c>
      <c r="EX289" s="1">
        <f>1+(Table1[[#This Row],[error_ratio_8]]-EN$2)</f>
        <v>0.92197125256673518</v>
      </c>
      <c r="EY289" s="1">
        <f>1+(Table1[[#This Row],[error_ratio_9]]-EO$2)</f>
        <v>1.0614469772051536</v>
      </c>
    </row>
    <row r="290" spans="1:155" x14ac:dyDescent="0.75">
      <c r="A290">
        <v>10</v>
      </c>
      <c r="B290">
        <v>10</v>
      </c>
      <c r="C290">
        <v>100</v>
      </c>
      <c r="D290">
        <v>10</v>
      </c>
      <c r="E290">
        <v>10</v>
      </c>
      <c r="F290">
        <v>10</v>
      </c>
      <c r="G290">
        <v>100</v>
      </c>
      <c r="H290">
        <v>100</v>
      </c>
      <c r="I290">
        <v>10</v>
      </c>
      <c r="J290">
        <v>100</v>
      </c>
      <c r="K290">
        <v>946</v>
      </c>
      <c r="L290">
        <v>1115</v>
      </c>
      <c r="M290">
        <v>1044</v>
      </c>
      <c r="N290">
        <v>943</v>
      </c>
      <c r="O290">
        <v>940</v>
      </c>
      <c r="P290">
        <v>817</v>
      </c>
      <c r="Q290">
        <v>1044</v>
      </c>
      <c r="R290">
        <v>1089</v>
      </c>
      <c r="S290">
        <v>920</v>
      </c>
      <c r="T290">
        <v>1142</v>
      </c>
      <c r="U290">
        <v>980</v>
      </c>
      <c r="V290">
        <v>1135</v>
      </c>
      <c r="W290">
        <v>1032</v>
      </c>
      <c r="X290">
        <v>1010</v>
      </c>
      <c r="Y290">
        <v>982</v>
      </c>
      <c r="Z290">
        <v>892</v>
      </c>
      <c r="AA290">
        <v>958</v>
      </c>
      <c r="AB290">
        <v>1028</v>
      </c>
      <c r="AC290">
        <v>974</v>
      </c>
      <c r="AD290">
        <v>1009</v>
      </c>
      <c r="AE290">
        <v>936</v>
      </c>
      <c r="AF290">
        <v>0</v>
      </c>
      <c r="AG290">
        <v>3</v>
      </c>
      <c r="AH290">
        <v>1</v>
      </c>
      <c r="AI290">
        <v>0</v>
      </c>
      <c r="AJ290">
        <v>0</v>
      </c>
      <c r="AK290">
        <v>34</v>
      </c>
      <c r="AL290">
        <v>1</v>
      </c>
      <c r="AM290">
        <v>2</v>
      </c>
      <c r="AN290">
        <v>3</v>
      </c>
      <c r="AO290">
        <v>0</v>
      </c>
      <c r="AP290">
        <v>1113</v>
      </c>
      <c r="AQ290">
        <v>4</v>
      </c>
      <c r="AR290">
        <v>1</v>
      </c>
      <c r="AS290">
        <v>0</v>
      </c>
      <c r="AT290">
        <v>1</v>
      </c>
      <c r="AU290">
        <v>6</v>
      </c>
      <c r="AV290">
        <v>8</v>
      </c>
      <c r="AW290">
        <v>1</v>
      </c>
      <c r="AX290">
        <v>1</v>
      </c>
      <c r="AY290">
        <v>0</v>
      </c>
      <c r="AZ290">
        <v>0</v>
      </c>
      <c r="BA290">
        <v>1002</v>
      </c>
      <c r="BB290">
        <v>0</v>
      </c>
      <c r="BC290">
        <v>4</v>
      </c>
      <c r="BD290">
        <v>0</v>
      </c>
      <c r="BE290">
        <v>5</v>
      </c>
      <c r="BF290">
        <v>21</v>
      </c>
      <c r="BG290">
        <v>0</v>
      </c>
      <c r="BH290">
        <v>0</v>
      </c>
      <c r="BI290">
        <v>0</v>
      </c>
      <c r="BJ290">
        <v>0</v>
      </c>
      <c r="BK290">
        <v>18</v>
      </c>
      <c r="BL290">
        <v>929</v>
      </c>
      <c r="BM290">
        <v>0</v>
      </c>
      <c r="BN290">
        <v>10</v>
      </c>
      <c r="BO290">
        <v>1</v>
      </c>
      <c r="BP290">
        <v>20</v>
      </c>
      <c r="BQ290">
        <v>1</v>
      </c>
      <c r="BR290">
        <v>31</v>
      </c>
      <c r="BS290">
        <v>0</v>
      </c>
      <c r="BT290">
        <v>0</v>
      </c>
      <c r="BU290">
        <v>1</v>
      </c>
      <c r="BV290">
        <v>0</v>
      </c>
      <c r="BW290">
        <v>931</v>
      </c>
      <c r="BX290">
        <v>0</v>
      </c>
      <c r="BY290">
        <v>7</v>
      </c>
      <c r="BZ290">
        <v>3</v>
      </c>
      <c r="CA290">
        <v>1</v>
      </c>
      <c r="CB290">
        <v>39</v>
      </c>
      <c r="CC290">
        <v>5</v>
      </c>
      <c r="CD290">
        <v>0</v>
      </c>
      <c r="CE290">
        <v>1</v>
      </c>
      <c r="CF290">
        <v>11</v>
      </c>
      <c r="CG290">
        <v>0</v>
      </c>
      <c r="CH290">
        <v>804</v>
      </c>
      <c r="CI290">
        <v>22</v>
      </c>
      <c r="CJ290">
        <v>3</v>
      </c>
      <c r="CK290">
        <v>11</v>
      </c>
      <c r="CL290">
        <v>35</v>
      </c>
      <c r="CM290">
        <v>0</v>
      </c>
      <c r="CN290">
        <v>1</v>
      </c>
      <c r="CO290">
        <v>0</v>
      </c>
      <c r="CP290">
        <v>0</v>
      </c>
      <c r="CQ290">
        <v>1</v>
      </c>
      <c r="CR290">
        <v>1</v>
      </c>
      <c r="CS290">
        <v>955</v>
      </c>
      <c r="CT290">
        <v>0</v>
      </c>
      <c r="CU290">
        <v>0</v>
      </c>
      <c r="CV290">
        <v>0</v>
      </c>
      <c r="CW290">
        <v>0</v>
      </c>
      <c r="CX290">
        <v>1</v>
      </c>
      <c r="CY290">
        <v>5</v>
      </c>
      <c r="CZ290">
        <v>0</v>
      </c>
      <c r="DA290">
        <v>0</v>
      </c>
      <c r="DB290">
        <v>0</v>
      </c>
      <c r="DC290">
        <v>0</v>
      </c>
      <c r="DD290">
        <v>1013</v>
      </c>
      <c r="DE290">
        <v>0</v>
      </c>
      <c r="DF290">
        <v>9</v>
      </c>
      <c r="DG290">
        <v>4</v>
      </c>
      <c r="DH290">
        <v>0</v>
      </c>
      <c r="DI290">
        <v>9</v>
      </c>
      <c r="DJ290">
        <v>1</v>
      </c>
      <c r="DK290">
        <v>1</v>
      </c>
      <c r="DL290">
        <v>0</v>
      </c>
      <c r="DM290">
        <v>13</v>
      </c>
      <c r="DN290">
        <v>16</v>
      </c>
      <c r="DO290">
        <v>904</v>
      </c>
      <c r="DP290">
        <v>26</v>
      </c>
      <c r="DQ290">
        <v>1</v>
      </c>
      <c r="DR290">
        <v>0</v>
      </c>
      <c r="DS290">
        <v>1</v>
      </c>
      <c r="DT290">
        <v>0</v>
      </c>
      <c r="DU290">
        <v>3</v>
      </c>
      <c r="DV290">
        <v>1</v>
      </c>
      <c r="DW290">
        <v>1</v>
      </c>
      <c r="DX290">
        <v>4</v>
      </c>
      <c r="DY290">
        <v>0</v>
      </c>
      <c r="DZ290">
        <v>998</v>
      </c>
      <c r="EA290">
        <v>0.95850000000000002</v>
      </c>
      <c r="EB290">
        <v>0.96085492777529802</v>
      </c>
      <c r="EC290">
        <v>0.95753680283446896</v>
      </c>
      <c r="ED290">
        <v>0.958124892925588</v>
      </c>
      <c r="EE290">
        <f>SUM(Table1[[#This Row],[ratio_0]:[ratio_9]])</f>
        <v>460</v>
      </c>
      <c r="EF290" s="1">
        <f>(Table1[[#This Row],[predicted_0]]-Table1[[#This Row],[actual_0]])/Table1[[#This Row],[actual_0]]</f>
        <v>-3.4693877551020408E-2</v>
      </c>
      <c r="EG290" s="1">
        <f>(Table1[[#This Row],[predicted_1]]-Table1[[#This Row],[actual_1]])/Table1[[#This Row],[actual_1]]</f>
        <v>-1.7621145374449341E-2</v>
      </c>
      <c r="EH290" s="1">
        <f>(Table1[[#This Row],[predicted_2]]-Table1[[#This Row],[actual_2]])/Table1[[#This Row],[actual_2]]</f>
        <v>1.1627906976744186E-2</v>
      </c>
      <c r="EI290" s="1">
        <f>(Table1[[#This Row],[predicted_3]]-Table1[[#This Row],[actual_3]])/Table1[[#This Row],[actual_3]]</f>
        <v>-6.633663366336634E-2</v>
      </c>
      <c r="EJ290" s="1">
        <f>(Table1[[#This Row],[predicted_4]]-Table1[[#This Row],[actual_4]])/Table1[[#This Row],[actual_4]]</f>
        <v>-4.2769857433808553E-2</v>
      </c>
      <c r="EK290" s="1">
        <f>(Table1[[#This Row],[predicted_5]]-Table1[[#This Row],[actual_5]])/Table1[[#This Row],[actual_5]]</f>
        <v>-8.4080717488789244E-2</v>
      </c>
      <c r="EL290" s="1">
        <f>(Table1[[#This Row],[predicted_6]]-Table1[[#This Row],[actual_6]])/Table1[[#This Row],[actual_6]]</f>
        <v>8.9770354906054284E-2</v>
      </c>
      <c r="EM290" s="1">
        <f>(Table1[[#This Row],[predicted_7]]-Table1[[#This Row],[actual_7]])/Table1[[#This Row],[actual_7]]</f>
        <v>5.9338521400778207E-2</v>
      </c>
      <c r="EN290" s="1">
        <f>(Table1[[#This Row],[predicted_8]]-Table1[[#This Row],[actual_8]])/Table1[[#This Row],[actual_8]]</f>
        <v>-5.5441478439425054E-2</v>
      </c>
      <c r="EO290" s="1">
        <f>(Table1[[#This Row],[predicted_9]]-Table1[[#This Row],[actual_9]])/Table1[[#This Row],[actual_9]]</f>
        <v>0.13181367690782952</v>
      </c>
      <c r="EP290" s="1">
        <f>1+(Table1[[#This Row],[error_ratio_0]]-EF$2)</f>
        <v>0.96326530612244898</v>
      </c>
      <c r="EQ290" s="1">
        <f>1+(Table1[[#This Row],[error_ratio_1]]-EG$2)</f>
        <v>0.98061674008810573</v>
      </c>
      <c r="ER290" s="1">
        <f>1+(Table1[[#This Row],[error_ratio_2]]-EH$2)</f>
        <v>1.0164728682170543</v>
      </c>
      <c r="ES290" s="1">
        <f>1+(Table1[[#This Row],[error_ratio_3]]-EI$2)</f>
        <v>0.92376237623762381</v>
      </c>
      <c r="ET290" s="1">
        <f>1+(Table1[[#This Row],[error_ratio_4]]-EJ$2)</f>
        <v>0.95621181262729127</v>
      </c>
      <c r="EU290" s="1">
        <f>1+(Table1[[#This Row],[error_ratio_5]]-EK$2)</f>
        <v>0.91479820627802688</v>
      </c>
      <c r="EV290" s="1">
        <f>1+(Table1[[#This Row],[error_ratio_6]]-EL$2)</f>
        <v>1.0960334029227559</v>
      </c>
      <c r="EW290" s="1">
        <f>1+(Table1[[#This Row],[error_ratio_7]]-EM$2)</f>
        <v>1.0573929961089494</v>
      </c>
      <c r="EX290" s="1">
        <f>1+(Table1[[#This Row],[error_ratio_8]]-EN$2)</f>
        <v>0.94763860369609854</v>
      </c>
      <c r="EY290" s="1">
        <f>1+(Table1[[#This Row],[error_ratio_9]]-EO$2)</f>
        <v>1.1357779980178395</v>
      </c>
    </row>
    <row r="291" spans="1:155" x14ac:dyDescent="0.75">
      <c r="A291">
        <v>100</v>
      </c>
      <c r="B291">
        <v>100</v>
      </c>
      <c r="C291">
        <v>10</v>
      </c>
      <c r="D291">
        <v>10</v>
      </c>
      <c r="E291">
        <v>10</v>
      </c>
      <c r="F291">
        <v>10</v>
      </c>
      <c r="G291">
        <v>100</v>
      </c>
      <c r="H291">
        <v>100</v>
      </c>
      <c r="I291">
        <v>10</v>
      </c>
      <c r="J291">
        <v>100</v>
      </c>
      <c r="K291">
        <v>1032</v>
      </c>
      <c r="L291">
        <v>1130</v>
      </c>
      <c r="M291">
        <v>984</v>
      </c>
      <c r="N291">
        <v>948</v>
      </c>
      <c r="O291">
        <v>915</v>
      </c>
      <c r="P291">
        <v>792</v>
      </c>
      <c r="Q291">
        <v>956</v>
      </c>
      <c r="R291">
        <v>1073</v>
      </c>
      <c r="S291">
        <v>988</v>
      </c>
      <c r="T291">
        <v>1182</v>
      </c>
      <c r="U291">
        <v>980</v>
      </c>
      <c r="V291">
        <v>1135</v>
      </c>
      <c r="W291">
        <v>1032</v>
      </c>
      <c r="X291">
        <v>1010</v>
      </c>
      <c r="Y291">
        <v>982</v>
      </c>
      <c r="Z291">
        <v>892</v>
      </c>
      <c r="AA291">
        <v>958</v>
      </c>
      <c r="AB291">
        <v>1028</v>
      </c>
      <c r="AC291">
        <v>974</v>
      </c>
      <c r="AD291">
        <v>1009</v>
      </c>
      <c r="AE291">
        <v>974</v>
      </c>
      <c r="AF291">
        <v>0</v>
      </c>
      <c r="AG291">
        <v>1</v>
      </c>
      <c r="AH291">
        <v>0</v>
      </c>
      <c r="AI291">
        <v>0</v>
      </c>
      <c r="AJ291">
        <v>1</v>
      </c>
      <c r="AK291">
        <v>1</v>
      </c>
      <c r="AL291">
        <v>1</v>
      </c>
      <c r="AM291">
        <v>2</v>
      </c>
      <c r="AN291">
        <v>0</v>
      </c>
      <c r="AO291">
        <v>0</v>
      </c>
      <c r="AP291">
        <v>1125</v>
      </c>
      <c r="AQ291">
        <v>1</v>
      </c>
      <c r="AR291">
        <v>1</v>
      </c>
      <c r="AS291">
        <v>0</v>
      </c>
      <c r="AT291">
        <v>0</v>
      </c>
      <c r="AU291">
        <v>3</v>
      </c>
      <c r="AV291">
        <v>3</v>
      </c>
      <c r="AW291">
        <v>1</v>
      </c>
      <c r="AX291">
        <v>1</v>
      </c>
      <c r="AY291">
        <v>13</v>
      </c>
      <c r="AZ291">
        <v>1</v>
      </c>
      <c r="BA291">
        <v>966</v>
      </c>
      <c r="BB291">
        <v>12</v>
      </c>
      <c r="BC291">
        <v>0</v>
      </c>
      <c r="BD291">
        <v>1</v>
      </c>
      <c r="BE291">
        <v>0</v>
      </c>
      <c r="BF291">
        <v>22</v>
      </c>
      <c r="BG291">
        <v>15</v>
      </c>
      <c r="BH291">
        <v>2</v>
      </c>
      <c r="BI291">
        <v>11</v>
      </c>
      <c r="BJ291">
        <v>0</v>
      </c>
      <c r="BK291">
        <v>4</v>
      </c>
      <c r="BL291">
        <v>927</v>
      </c>
      <c r="BM291">
        <v>0</v>
      </c>
      <c r="BN291">
        <v>21</v>
      </c>
      <c r="BO291">
        <v>0</v>
      </c>
      <c r="BP291">
        <v>13</v>
      </c>
      <c r="BQ291">
        <v>4</v>
      </c>
      <c r="BR291">
        <v>30</v>
      </c>
      <c r="BS291">
        <v>2</v>
      </c>
      <c r="BT291">
        <v>0</v>
      </c>
      <c r="BU291">
        <v>4</v>
      </c>
      <c r="BV291">
        <v>0</v>
      </c>
      <c r="BW291">
        <v>911</v>
      </c>
      <c r="BX291">
        <v>0</v>
      </c>
      <c r="BY291">
        <v>1</v>
      </c>
      <c r="BZ291">
        <v>3</v>
      </c>
      <c r="CA291">
        <v>1</v>
      </c>
      <c r="CB291">
        <v>60</v>
      </c>
      <c r="CC291">
        <v>11</v>
      </c>
      <c r="CD291">
        <v>0</v>
      </c>
      <c r="CE291">
        <v>0</v>
      </c>
      <c r="CF291">
        <v>4</v>
      </c>
      <c r="CG291">
        <v>0</v>
      </c>
      <c r="CH291">
        <v>765</v>
      </c>
      <c r="CI291">
        <v>7</v>
      </c>
      <c r="CJ291">
        <v>5</v>
      </c>
      <c r="CK291">
        <v>31</v>
      </c>
      <c r="CL291">
        <v>69</v>
      </c>
      <c r="CM291">
        <v>9</v>
      </c>
      <c r="CN291">
        <v>2</v>
      </c>
      <c r="CO291">
        <v>1</v>
      </c>
      <c r="CP291">
        <v>0</v>
      </c>
      <c r="CQ291">
        <v>3</v>
      </c>
      <c r="CR291">
        <v>0</v>
      </c>
      <c r="CS291">
        <v>942</v>
      </c>
      <c r="CT291">
        <v>0</v>
      </c>
      <c r="CU291">
        <v>1</v>
      </c>
      <c r="CV291">
        <v>0</v>
      </c>
      <c r="CW291">
        <v>1</v>
      </c>
      <c r="CX291">
        <v>2</v>
      </c>
      <c r="CY291">
        <v>5</v>
      </c>
      <c r="CZ291">
        <v>0</v>
      </c>
      <c r="DA291">
        <v>0</v>
      </c>
      <c r="DB291">
        <v>0</v>
      </c>
      <c r="DC291">
        <v>0</v>
      </c>
      <c r="DD291">
        <v>1013</v>
      </c>
      <c r="DE291">
        <v>3</v>
      </c>
      <c r="DF291">
        <v>4</v>
      </c>
      <c r="DG291">
        <v>6</v>
      </c>
      <c r="DH291">
        <v>0</v>
      </c>
      <c r="DI291">
        <v>1</v>
      </c>
      <c r="DJ291">
        <v>4</v>
      </c>
      <c r="DK291">
        <v>1</v>
      </c>
      <c r="DL291">
        <v>3</v>
      </c>
      <c r="DM291">
        <v>2</v>
      </c>
      <c r="DN291">
        <v>7</v>
      </c>
      <c r="DO291">
        <v>930</v>
      </c>
      <c r="DP291">
        <v>20</v>
      </c>
      <c r="DQ291">
        <v>5</v>
      </c>
      <c r="DR291">
        <v>0</v>
      </c>
      <c r="DS291">
        <v>1</v>
      </c>
      <c r="DT291">
        <v>0</v>
      </c>
      <c r="DU291">
        <v>0</v>
      </c>
      <c r="DV291">
        <v>1</v>
      </c>
      <c r="DW291">
        <v>0</v>
      </c>
      <c r="DX291">
        <v>6</v>
      </c>
      <c r="DY291">
        <v>0</v>
      </c>
      <c r="DZ291">
        <v>996</v>
      </c>
      <c r="EA291">
        <v>0.95489999999999997</v>
      </c>
      <c r="EB291">
        <v>0.95738393974503999</v>
      </c>
      <c r="EC291">
        <v>0.95349056822012401</v>
      </c>
      <c r="ED291">
        <v>0.95416160644006198</v>
      </c>
      <c r="EE291">
        <f>SUM(Table1[[#This Row],[ratio_0]:[ratio_9]])</f>
        <v>550</v>
      </c>
      <c r="EF291" s="1">
        <f>(Table1[[#This Row],[predicted_0]]-Table1[[#This Row],[actual_0]])/Table1[[#This Row],[actual_0]]</f>
        <v>5.3061224489795916E-2</v>
      </c>
      <c r="EG291" s="1">
        <f>(Table1[[#This Row],[predicted_1]]-Table1[[#This Row],[actual_1]])/Table1[[#This Row],[actual_1]]</f>
        <v>-4.4052863436123352E-3</v>
      </c>
      <c r="EH291" s="1">
        <f>(Table1[[#This Row],[predicted_2]]-Table1[[#This Row],[actual_2]])/Table1[[#This Row],[actual_2]]</f>
        <v>-4.6511627906976744E-2</v>
      </c>
      <c r="EI291" s="1">
        <f>(Table1[[#This Row],[predicted_3]]-Table1[[#This Row],[actual_3]])/Table1[[#This Row],[actual_3]]</f>
        <v>-6.1386138613861385E-2</v>
      </c>
      <c r="EJ291" s="1">
        <f>(Table1[[#This Row],[predicted_4]]-Table1[[#This Row],[actual_4]])/Table1[[#This Row],[actual_4]]</f>
        <v>-6.8228105906313646E-2</v>
      </c>
      <c r="EK291" s="1">
        <f>(Table1[[#This Row],[predicted_5]]-Table1[[#This Row],[actual_5]])/Table1[[#This Row],[actual_5]]</f>
        <v>-0.11210762331838565</v>
      </c>
      <c r="EL291" s="1">
        <f>(Table1[[#This Row],[predicted_6]]-Table1[[#This Row],[actual_6]])/Table1[[#This Row],[actual_6]]</f>
        <v>-2.0876826722338203E-3</v>
      </c>
      <c r="EM291" s="1">
        <f>(Table1[[#This Row],[predicted_7]]-Table1[[#This Row],[actual_7]])/Table1[[#This Row],[actual_7]]</f>
        <v>4.3774319066147857E-2</v>
      </c>
      <c r="EN291" s="1">
        <f>(Table1[[#This Row],[predicted_8]]-Table1[[#This Row],[actual_8]])/Table1[[#This Row],[actual_8]]</f>
        <v>1.4373716632443531E-2</v>
      </c>
      <c r="EO291" s="1">
        <f>(Table1[[#This Row],[predicted_9]]-Table1[[#This Row],[actual_9]])/Table1[[#This Row],[actual_9]]</f>
        <v>0.17145688800792863</v>
      </c>
      <c r="EP291" s="1">
        <f>1+(Table1[[#This Row],[error_ratio_0]]-EF$2)</f>
        <v>1.0510204081632653</v>
      </c>
      <c r="EQ291" s="1">
        <f>1+(Table1[[#This Row],[error_ratio_1]]-EG$2)</f>
        <v>0.99383259911894273</v>
      </c>
      <c r="ER291" s="1">
        <f>1+(Table1[[#This Row],[error_ratio_2]]-EH$2)</f>
        <v>0.95833333333333337</v>
      </c>
      <c r="ES291" s="1">
        <f>1+(Table1[[#This Row],[error_ratio_3]]-EI$2)</f>
        <v>0.92871287128712876</v>
      </c>
      <c r="ET291" s="1">
        <f>1+(Table1[[#This Row],[error_ratio_4]]-EJ$2)</f>
        <v>0.93075356415478616</v>
      </c>
      <c r="EU291" s="1">
        <f>1+(Table1[[#This Row],[error_ratio_5]]-EK$2)</f>
        <v>0.88677130044843044</v>
      </c>
      <c r="EV291" s="1">
        <f>1+(Table1[[#This Row],[error_ratio_6]]-EL$2)</f>
        <v>1.0041753653444676</v>
      </c>
      <c r="EW291" s="1">
        <f>1+(Table1[[#This Row],[error_ratio_7]]-EM$2)</f>
        <v>1.0418287937743191</v>
      </c>
      <c r="EX291" s="1">
        <f>1+(Table1[[#This Row],[error_ratio_8]]-EN$2)</f>
        <v>1.017453798767967</v>
      </c>
      <c r="EY291" s="1">
        <f>1+(Table1[[#This Row],[error_ratio_9]]-EO$2)</f>
        <v>1.1754212091179386</v>
      </c>
    </row>
    <row r="292" spans="1:155" x14ac:dyDescent="0.75">
      <c r="A292">
        <v>10</v>
      </c>
      <c r="B292">
        <v>100</v>
      </c>
      <c r="C292">
        <v>10</v>
      </c>
      <c r="D292">
        <v>10</v>
      </c>
      <c r="E292">
        <v>10</v>
      </c>
      <c r="F292">
        <v>10</v>
      </c>
      <c r="G292">
        <v>100</v>
      </c>
      <c r="H292">
        <v>100</v>
      </c>
      <c r="I292">
        <v>10</v>
      </c>
      <c r="J292">
        <v>100</v>
      </c>
      <c r="K292">
        <v>970</v>
      </c>
      <c r="L292">
        <v>1134</v>
      </c>
      <c r="M292">
        <v>1000</v>
      </c>
      <c r="N292">
        <v>892</v>
      </c>
      <c r="O292">
        <v>970</v>
      </c>
      <c r="P292">
        <v>907</v>
      </c>
      <c r="Q292">
        <v>1000</v>
      </c>
      <c r="R292">
        <v>1153</v>
      </c>
      <c r="S292">
        <v>989</v>
      </c>
      <c r="T292">
        <v>985</v>
      </c>
      <c r="U292">
        <v>980</v>
      </c>
      <c r="V292">
        <v>1135</v>
      </c>
      <c r="W292">
        <v>1032</v>
      </c>
      <c r="X292">
        <v>1010</v>
      </c>
      <c r="Y292">
        <v>982</v>
      </c>
      <c r="Z292">
        <v>892</v>
      </c>
      <c r="AA292">
        <v>958</v>
      </c>
      <c r="AB292">
        <v>1028</v>
      </c>
      <c r="AC292">
        <v>974</v>
      </c>
      <c r="AD292">
        <v>1009</v>
      </c>
      <c r="AE292">
        <v>949</v>
      </c>
      <c r="AF292">
        <v>1</v>
      </c>
      <c r="AG292">
        <v>0</v>
      </c>
      <c r="AH292">
        <v>0</v>
      </c>
      <c r="AI292">
        <v>0</v>
      </c>
      <c r="AJ292">
        <v>0</v>
      </c>
      <c r="AK292">
        <v>18</v>
      </c>
      <c r="AL292">
        <v>7</v>
      </c>
      <c r="AM292">
        <v>5</v>
      </c>
      <c r="AN292">
        <v>0</v>
      </c>
      <c r="AO292">
        <v>0</v>
      </c>
      <c r="AP292">
        <v>1125</v>
      </c>
      <c r="AQ292">
        <v>2</v>
      </c>
      <c r="AR292">
        <v>1</v>
      </c>
      <c r="AS292">
        <v>0</v>
      </c>
      <c r="AT292">
        <v>1</v>
      </c>
      <c r="AU292">
        <v>2</v>
      </c>
      <c r="AV292">
        <v>4</v>
      </c>
      <c r="AW292">
        <v>0</v>
      </c>
      <c r="AX292">
        <v>0</v>
      </c>
      <c r="AY292">
        <v>5</v>
      </c>
      <c r="AZ292">
        <v>1</v>
      </c>
      <c r="BA292">
        <v>962</v>
      </c>
      <c r="BB292">
        <v>3</v>
      </c>
      <c r="BC292">
        <v>1</v>
      </c>
      <c r="BD292">
        <v>3</v>
      </c>
      <c r="BE292">
        <v>2</v>
      </c>
      <c r="BF292">
        <v>44</v>
      </c>
      <c r="BG292">
        <v>11</v>
      </c>
      <c r="BH292">
        <v>0</v>
      </c>
      <c r="BI292">
        <v>5</v>
      </c>
      <c r="BJ292">
        <v>1</v>
      </c>
      <c r="BK292">
        <v>16</v>
      </c>
      <c r="BL292">
        <v>884</v>
      </c>
      <c r="BM292">
        <v>0</v>
      </c>
      <c r="BN292">
        <v>53</v>
      </c>
      <c r="BO292">
        <v>3</v>
      </c>
      <c r="BP292">
        <v>21</v>
      </c>
      <c r="BQ292">
        <v>27</v>
      </c>
      <c r="BR292">
        <v>0</v>
      </c>
      <c r="BS292">
        <v>1</v>
      </c>
      <c r="BT292">
        <v>0</v>
      </c>
      <c r="BU292">
        <v>9</v>
      </c>
      <c r="BV292">
        <v>0</v>
      </c>
      <c r="BW292">
        <v>958</v>
      </c>
      <c r="BX292">
        <v>0</v>
      </c>
      <c r="BY292">
        <v>8</v>
      </c>
      <c r="BZ292">
        <v>2</v>
      </c>
      <c r="CA292">
        <v>1</v>
      </c>
      <c r="CB292">
        <v>3</v>
      </c>
      <c r="CC292">
        <v>3</v>
      </c>
      <c r="CD292">
        <v>0</v>
      </c>
      <c r="CE292">
        <v>0</v>
      </c>
      <c r="CF292">
        <v>2</v>
      </c>
      <c r="CG292">
        <v>0</v>
      </c>
      <c r="CH292">
        <v>848</v>
      </c>
      <c r="CI292">
        <v>8</v>
      </c>
      <c r="CJ292">
        <v>11</v>
      </c>
      <c r="CK292">
        <v>11</v>
      </c>
      <c r="CL292">
        <v>9</v>
      </c>
      <c r="CM292">
        <v>1</v>
      </c>
      <c r="CN292">
        <v>3</v>
      </c>
      <c r="CO292">
        <v>1</v>
      </c>
      <c r="CP292">
        <v>0</v>
      </c>
      <c r="CQ292">
        <v>1</v>
      </c>
      <c r="CR292">
        <v>1</v>
      </c>
      <c r="CS292">
        <v>951</v>
      </c>
      <c r="CT292">
        <v>0</v>
      </c>
      <c r="CU292">
        <v>0</v>
      </c>
      <c r="CV292">
        <v>0</v>
      </c>
      <c r="CW292">
        <v>0</v>
      </c>
      <c r="CX292">
        <v>1</v>
      </c>
      <c r="CY292">
        <v>6</v>
      </c>
      <c r="CZ292">
        <v>0</v>
      </c>
      <c r="DA292">
        <v>0</v>
      </c>
      <c r="DB292">
        <v>0</v>
      </c>
      <c r="DC292">
        <v>1</v>
      </c>
      <c r="DD292">
        <v>1020</v>
      </c>
      <c r="DE292">
        <v>0</v>
      </c>
      <c r="DF292">
        <v>0</v>
      </c>
      <c r="DG292">
        <v>2</v>
      </c>
      <c r="DH292">
        <v>0</v>
      </c>
      <c r="DI292">
        <v>3</v>
      </c>
      <c r="DJ292">
        <v>0</v>
      </c>
      <c r="DK292">
        <v>3</v>
      </c>
      <c r="DL292">
        <v>1</v>
      </c>
      <c r="DM292">
        <v>7</v>
      </c>
      <c r="DN292">
        <v>26</v>
      </c>
      <c r="DO292">
        <v>930</v>
      </c>
      <c r="DP292">
        <v>2</v>
      </c>
      <c r="DQ292">
        <v>4</v>
      </c>
      <c r="DR292">
        <v>2</v>
      </c>
      <c r="DS292">
        <v>1</v>
      </c>
      <c r="DT292">
        <v>2</v>
      </c>
      <c r="DU292">
        <v>7</v>
      </c>
      <c r="DV292">
        <v>0</v>
      </c>
      <c r="DW292">
        <v>0</v>
      </c>
      <c r="DX292">
        <v>18</v>
      </c>
      <c r="DY292">
        <v>4</v>
      </c>
      <c r="DZ292">
        <v>971</v>
      </c>
      <c r="EA292">
        <v>0.95979999999999999</v>
      </c>
      <c r="EB292">
        <v>0.960780397556799</v>
      </c>
      <c r="EC292">
        <v>0.95952829897930803</v>
      </c>
      <c r="ED292">
        <v>0.959386238637844</v>
      </c>
      <c r="EE292">
        <f>SUM(Table1[[#This Row],[ratio_0]:[ratio_9]])</f>
        <v>460</v>
      </c>
      <c r="EF292" s="1">
        <f>(Table1[[#This Row],[predicted_0]]-Table1[[#This Row],[actual_0]])/Table1[[#This Row],[actual_0]]</f>
        <v>-1.020408163265306E-2</v>
      </c>
      <c r="EG292" s="1">
        <f>(Table1[[#This Row],[predicted_1]]-Table1[[#This Row],[actual_1]])/Table1[[#This Row],[actual_1]]</f>
        <v>-8.81057268722467E-4</v>
      </c>
      <c r="EH292" s="1">
        <f>(Table1[[#This Row],[predicted_2]]-Table1[[#This Row],[actual_2]])/Table1[[#This Row],[actual_2]]</f>
        <v>-3.1007751937984496E-2</v>
      </c>
      <c r="EI292" s="1">
        <f>(Table1[[#This Row],[predicted_3]]-Table1[[#This Row],[actual_3]])/Table1[[#This Row],[actual_3]]</f>
        <v>-0.11683168316831684</v>
      </c>
      <c r="EJ292" s="1">
        <f>(Table1[[#This Row],[predicted_4]]-Table1[[#This Row],[actual_4]])/Table1[[#This Row],[actual_4]]</f>
        <v>-1.2219959266802444E-2</v>
      </c>
      <c r="EK292" s="1">
        <f>(Table1[[#This Row],[predicted_5]]-Table1[[#This Row],[actual_5]])/Table1[[#This Row],[actual_5]]</f>
        <v>1.6816143497757848E-2</v>
      </c>
      <c r="EL292" s="1">
        <f>(Table1[[#This Row],[predicted_6]]-Table1[[#This Row],[actual_6]])/Table1[[#This Row],[actual_6]]</f>
        <v>4.3841336116910233E-2</v>
      </c>
      <c r="EM292" s="1">
        <f>(Table1[[#This Row],[predicted_7]]-Table1[[#This Row],[actual_7]])/Table1[[#This Row],[actual_7]]</f>
        <v>0.12159533073929961</v>
      </c>
      <c r="EN292" s="1">
        <f>(Table1[[#This Row],[predicted_8]]-Table1[[#This Row],[actual_8]])/Table1[[#This Row],[actual_8]]</f>
        <v>1.5400410677618069E-2</v>
      </c>
      <c r="EO292" s="1">
        <f>(Table1[[#This Row],[predicted_9]]-Table1[[#This Row],[actual_9]])/Table1[[#This Row],[actual_9]]</f>
        <v>-2.3785926660059464E-2</v>
      </c>
      <c r="EP292" s="1">
        <f>1+(Table1[[#This Row],[error_ratio_0]]-EF$2)</f>
        <v>0.98775510204081629</v>
      </c>
      <c r="EQ292" s="1">
        <f>1+(Table1[[#This Row],[error_ratio_1]]-EG$2)</f>
        <v>0.99735682819383265</v>
      </c>
      <c r="ER292" s="1">
        <f>1+(Table1[[#This Row],[error_ratio_2]]-EH$2)</f>
        <v>0.97383720930232553</v>
      </c>
      <c r="ES292" s="1">
        <f>1+(Table1[[#This Row],[error_ratio_3]]-EI$2)</f>
        <v>0.87326732673267327</v>
      </c>
      <c r="ET292" s="1">
        <f>1+(Table1[[#This Row],[error_ratio_4]]-EJ$2)</f>
        <v>0.98676171079429731</v>
      </c>
      <c r="EU292" s="1">
        <f>1+(Table1[[#This Row],[error_ratio_5]]-EK$2)</f>
        <v>1.0156950672645739</v>
      </c>
      <c r="EV292" s="1">
        <f>1+(Table1[[#This Row],[error_ratio_6]]-EL$2)</f>
        <v>1.0501043841336117</v>
      </c>
      <c r="EW292" s="1">
        <f>1+(Table1[[#This Row],[error_ratio_7]]-EM$2)</f>
        <v>1.1196498054474708</v>
      </c>
      <c r="EX292" s="1">
        <f>1+(Table1[[#This Row],[error_ratio_8]]-EN$2)</f>
        <v>1.0184804928131417</v>
      </c>
      <c r="EY292" s="1">
        <f>1+(Table1[[#This Row],[error_ratio_9]]-EO$2)</f>
        <v>0.98017839444995047</v>
      </c>
    </row>
    <row r="293" spans="1:155" x14ac:dyDescent="0.75">
      <c r="A293">
        <v>100</v>
      </c>
      <c r="B293">
        <v>10</v>
      </c>
      <c r="C293">
        <v>10</v>
      </c>
      <c r="D293">
        <v>10</v>
      </c>
      <c r="E293">
        <v>10</v>
      </c>
      <c r="F293">
        <v>10</v>
      </c>
      <c r="G293">
        <v>100</v>
      </c>
      <c r="H293">
        <v>100</v>
      </c>
      <c r="I293">
        <v>10</v>
      </c>
      <c r="J293">
        <v>100</v>
      </c>
      <c r="K293">
        <v>1039</v>
      </c>
      <c r="L293">
        <v>1131</v>
      </c>
      <c r="M293">
        <v>1006</v>
      </c>
      <c r="N293">
        <v>915</v>
      </c>
      <c r="O293">
        <v>905</v>
      </c>
      <c r="P293">
        <v>791</v>
      </c>
      <c r="Q293">
        <v>1004</v>
      </c>
      <c r="R293">
        <v>1060</v>
      </c>
      <c r="S293">
        <v>931</v>
      </c>
      <c r="T293">
        <v>1218</v>
      </c>
      <c r="U293">
        <v>980</v>
      </c>
      <c r="V293">
        <v>1135</v>
      </c>
      <c r="W293">
        <v>1032</v>
      </c>
      <c r="X293">
        <v>1010</v>
      </c>
      <c r="Y293">
        <v>982</v>
      </c>
      <c r="Z293">
        <v>892</v>
      </c>
      <c r="AA293">
        <v>958</v>
      </c>
      <c r="AB293">
        <v>1028</v>
      </c>
      <c r="AC293">
        <v>974</v>
      </c>
      <c r="AD293">
        <v>1009</v>
      </c>
      <c r="AE293">
        <v>974</v>
      </c>
      <c r="AF293">
        <v>0</v>
      </c>
      <c r="AG293">
        <v>1</v>
      </c>
      <c r="AH293">
        <v>0</v>
      </c>
      <c r="AI293">
        <v>0</v>
      </c>
      <c r="AJ293">
        <v>0</v>
      </c>
      <c r="AK293">
        <v>1</v>
      </c>
      <c r="AL293">
        <v>2</v>
      </c>
      <c r="AM293">
        <v>1</v>
      </c>
      <c r="AN293">
        <v>1</v>
      </c>
      <c r="AO293">
        <v>0</v>
      </c>
      <c r="AP293">
        <v>1120</v>
      </c>
      <c r="AQ293">
        <v>0</v>
      </c>
      <c r="AR293">
        <v>1</v>
      </c>
      <c r="AS293">
        <v>0</v>
      </c>
      <c r="AT293">
        <v>0</v>
      </c>
      <c r="AU293">
        <v>6</v>
      </c>
      <c r="AV293">
        <v>5</v>
      </c>
      <c r="AW293">
        <v>1</v>
      </c>
      <c r="AX293">
        <v>2</v>
      </c>
      <c r="AY293">
        <v>14</v>
      </c>
      <c r="AZ293">
        <v>8</v>
      </c>
      <c r="BA293">
        <v>971</v>
      </c>
      <c r="BB293">
        <v>8</v>
      </c>
      <c r="BC293">
        <v>0</v>
      </c>
      <c r="BD293">
        <v>0</v>
      </c>
      <c r="BE293">
        <v>7</v>
      </c>
      <c r="BF293">
        <v>19</v>
      </c>
      <c r="BG293">
        <v>5</v>
      </c>
      <c r="BH293">
        <v>0</v>
      </c>
      <c r="BI293">
        <v>4</v>
      </c>
      <c r="BJ293">
        <v>0</v>
      </c>
      <c r="BK293">
        <v>19</v>
      </c>
      <c r="BL293">
        <v>903</v>
      </c>
      <c r="BM293">
        <v>0</v>
      </c>
      <c r="BN293">
        <v>6</v>
      </c>
      <c r="BO293">
        <v>2</v>
      </c>
      <c r="BP293">
        <v>13</v>
      </c>
      <c r="BQ293">
        <v>8</v>
      </c>
      <c r="BR293">
        <v>55</v>
      </c>
      <c r="BS293">
        <v>7</v>
      </c>
      <c r="BT293">
        <v>0</v>
      </c>
      <c r="BU293">
        <v>2</v>
      </c>
      <c r="BV293">
        <v>0</v>
      </c>
      <c r="BW293">
        <v>899</v>
      </c>
      <c r="BX293">
        <v>0</v>
      </c>
      <c r="BY293">
        <v>12</v>
      </c>
      <c r="BZ293">
        <v>1</v>
      </c>
      <c r="CA293">
        <v>2</v>
      </c>
      <c r="CB293">
        <v>59</v>
      </c>
      <c r="CC293">
        <v>14</v>
      </c>
      <c r="CD293">
        <v>0</v>
      </c>
      <c r="CE293">
        <v>0</v>
      </c>
      <c r="CF293">
        <v>2</v>
      </c>
      <c r="CG293">
        <v>0</v>
      </c>
      <c r="CH293">
        <v>785</v>
      </c>
      <c r="CI293">
        <v>18</v>
      </c>
      <c r="CJ293">
        <v>6</v>
      </c>
      <c r="CK293">
        <v>9</v>
      </c>
      <c r="CL293">
        <v>58</v>
      </c>
      <c r="CM293">
        <v>9</v>
      </c>
      <c r="CN293">
        <v>2</v>
      </c>
      <c r="CO293">
        <v>0</v>
      </c>
      <c r="CP293">
        <v>0</v>
      </c>
      <c r="CQ293">
        <v>1</v>
      </c>
      <c r="CR293">
        <v>0</v>
      </c>
      <c r="CS293">
        <v>946</v>
      </c>
      <c r="CT293">
        <v>0</v>
      </c>
      <c r="CU293">
        <v>0</v>
      </c>
      <c r="CV293">
        <v>0</v>
      </c>
      <c r="CW293">
        <v>0</v>
      </c>
      <c r="CX293">
        <v>1</v>
      </c>
      <c r="CY293">
        <v>11</v>
      </c>
      <c r="CZ293">
        <v>0</v>
      </c>
      <c r="DA293">
        <v>0</v>
      </c>
      <c r="DB293">
        <v>0</v>
      </c>
      <c r="DC293">
        <v>0</v>
      </c>
      <c r="DD293">
        <v>1002</v>
      </c>
      <c r="DE293">
        <v>1</v>
      </c>
      <c r="DF293">
        <v>13</v>
      </c>
      <c r="DG293">
        <v>14</v>
      </c>
      <c r="DH293">
        <v>0</v>
      </c>
      <c r="DI293">
        <v>2</v>
      </c>
      <c r="DJ293">
        <v>1</v>
      </c>
      <c r="DK293">
        <v>4</v>
      </c>
      <c r="DL293">
        <v>0</v>
      </c>
      <c r="DM293">
        <v>12</v>
      </c>
      <c r="DN293">
        <v>12</v>
      </c>
      <c r="DO293">
        <v>904</v>
      </c>
      <c r="DP293">
        <v>25</v>
      </c>
      <c r="DQ293">
        <v>3</v>
      </c>
      <c r="DR293">
        <v>0</v>
      </c>
      <c r="DS293">
        <v>0</v>
      </c>
      <c r="DT293">
        <v>0</v>
      </c>
      <c r="DU293">
        <v>1</v>
      </c>
      <c r="DV293">
        <v>0</v>
      </c>
      <c r="DW293">
        <v>0</v>
      </c>
      <c r="DX293">
        <v>0</v>
      </c>
      <c r="DY293">
        <v>0</v>
      </c>
      <c r="DZ293">
        <v>1005</v>
      </c>
      <c r="EA293">
        <v>0.95089999999999997</v>
      </c>
      <c r="EB293">
        <v>0.95492289370322203</v>
      </c>
      <c r="EC293">
        <v>0.94974851998195797</v>
      </c>
      <c r="ED293">
        <v>0.95058632035696</v>
      </c>
      <c r="EE293">
        <f>SUM(Table1[[#This Row],[ratio_0]:[ratio_9]])</f>
        <v>460</v>
      </c>
      <c r="EF293" s="1">
        <f>(Table1[[#This Row],[predicted_0]]-Table1[[#This Row],[actual_0]])/Table1[[#This Row],[actual_0]]</f>
        <v>6.0204081632653061E-2</v>
      </c>
      <c r="EG293" s="1">
        <f>(Table1[[#This Row],[predicted_1]]-Table1[[#This Row],[actual_1]])/Table1[[#This Row],[actual_1]]</f>
        <v>-3.524229074889868E-3</v>
      </c>
      <c r="EH293" s="1">
        <f>(Table1[[#This Row],[predicted_2]]-Table1[[#This Row],[actual_2]])/Table1[[#This Row],[actual_2]]</f>
        <v>-2.5193798449612403E-2</v>
      </c>
      <c r="EI293" s="1">
        <f>(Table1[[#This Row],[predicted_3]]-Table1[[#This Row],[actual_3]])/Table1[[#This Row],[actual_3]]</f>
        <v>-9.405940594059406E-2</v>
      </c>
      <c r="EJ293" s="1">
        <f>(Table1[[#This Row],[predicted_4]]-Table1[[#This Row],[actual_4]])/Table1[[#This Row],[actual_4]]</f>
        <v>-7.8411405295315678E-2</v>
      </c>
      <c r="EK293" s="1">
        <f>(Table1[[#This Row],[predicted_5]]-Table1[[#This Row],[actual_5]])/Table1[[#This Row],[actual_5]]</f>
        <v>-0.1132286995515695</v>
      </c>
      <c r="EL293" s="1">
        <f>(Table1[[#This Row],[predicted_6]]-Table1[[#This Row],[actual_6]])/Table1[[#This Row],[actual_6]]</f>
        <v>4.8016701461377868E-2</v>
      </c>
      <c r="EM293" s="1">
        <f>(Table1[[#This Row],[predicted_7]]-Table1[[#This Row],[actual_7]])/Table1[[#This Row],[actual_7]]</f>
        <v>3.1128404669260701E-2</v>
      </c>
      <c r="EN293" s="1">
        <f>(Table1[[#This Row],[predicted_8]]-Table1[[#This Row],[actual_8]])/Table1[[#This Row],[actual_8]]</f>
        <v>-4.4147843942505136E-2</v>
      </c>
      <c r="EO293" s="1">
        <f>(Table1[[#This Row],[predicted_9]]-Table1[[#This Row],[actual_9]])/Table1[[#This Row],[actual_9]]</f>
        <v>0.20713577799801783</v>
      </c>
      <c r="EP293" s="1">
        <f>1+(Table1[[#This Row],[error_ratio_0]]-EF$2)</f>
        <v>1.0581632653061224</v>
      </c>
      <c r="EQ293" s="1">
        <f>1+(Table1[[#This Row],[error_ratio_1]]-EG$2)</f>
        <v>0.99471365638766518</v>
      </c>
      <c r="ER293" s="1">
        <f>1+(Table1[[#This Row],[error_ratio_2]]-EH$2)</f>
        <v>0.97965116279069764</v>
      </c>
      <c r="ES293" s="1">
        <f>1+(Table1[[#This Row],[error_ratio_3]]-EI$2)</f>
        <v>0.89603960396039606</v>
      </c>
      <c r="ET293" s="1">
        <f>1+(Table1[[#This Row],[error_ratio_4]]-EJ$2)</f>
        <v>0.92057026476578407</v>
      </c>
      <c r="EU293" s="1">
        <f>1+(Table1[[#This Row],[error_ratio_5]]-EK$2)</f>
        <v>0.88565022421524664</v>
      </c>
      <c r="EV293" s="1">
        <f>1+(Table1[[#This Row],[error_ratio_6]]-EL$2)</f>
        <v>1.0542797494780793</v>
      </c>
      <c r="EW293" s="1">
        <f>1+(Table1[[#This Row],[error_ratio_7]]-EM$2)</f>
        <v>1.0291828793774318</v>
      </c>
      <c r="EX293" s="1">
        <f>1+(Table1[[#This Row],[error_ratio_8]]-EN$2)</f>
        <v>0.95893223819301843</v>
      </c>
      <c r="EY293" s="1">
        <f>1+(Table1[[#This Row],[error_ratio_9]]-EO$2)</f>
        <v>1.2111000991080276</v>
      </c>
    </row>
    <row r="294" spans="1:155" x14ac:dyDescent="0.75">
      <c r="A294">
        <v>10</v>
      </c>
      <c r="B294">
        <v>10</v>
      </c>
      <c r="C294">
        <v>10</v>
      </c>
      <c r="D294">
        <v>10</v>
      </c>
      <c r="E294">
        <v>10</v>
      </c>
      <c r="F294">
        <v>10</v>
      </c>
      <c r="G294">
        <v>100</v>
      </c>
      <c r="H294">
        <v>100</v>
      </c>
      <c r="I294">
        <v>10</v>
      </c>
      <c r="J294">
        <v>100</v>
      </c>
      <c r="K294">
        <v>931</v>
      </c>
      <c r="L294">
        <v>1147</v>
      </c>
      <c r="M294">
        <v>1015</v>
      </c>
      <c r="N294">
        <v>1012</v>
      </c>
      <c r="O294">
        <v>687</v>
      </c>
      <c r="P294">
        <v>829</v>
      </c>
      <c r="Q294">
        <v>1063</v>
      </c>
      <c r="R294">
        <v>1016</v>
      </c>
      <c r="S294">
        <v>806</v>
      </c>
      <c r="T294">
        <v>1494</v>
      </c>
      <c r="U294">
        <v>980</v>
      </c>
      <c r="V294">
        <v>1135</v>
      </c>
      <c r="W294">
        <v>1032</v>
      </c>
      <c r="X294">
        <v>1010</v>
      </c>
      <c r="Y294">
        <v>982</v>
      </c>
      <c r="Z294">
        <v>892</v>
      </c>
      <c r="AA294">
        <v>958</v>
      </c>
      <c r="AB294">
        <v>1028</v>
      </c>
      <c r="AC294">
        <v>974</v>
      </c>
      <c r="AD294">
        <v>1009</v>
      </c>
      <c r="AE294">
        <v>923</v>
      </c>
      <c r="AF294">
        <v>1</v>
      </c>
      <c r="AG294">
        <v>4</v>
      </c>
      <c r="AH294">
        <v>1</v>
      </c>
      <c r="AI294">
        <v>0</v>
      </c>
      <c r="AJ294">
        <v>0</v>
      </c>
      <c r="AK294">
        <v>10</v>
      </c>
      <c r="AL294">
        <v>3</v>
      </c>
      <c r="AM294">
        <v>2</v>
      </c>
      <c r="AN294">
        <v>36</v>
      </c>
      <c r="AO294">
        <v>0</v>
      </c>
      <c r="AP294">
        <v>1124</v>
      </c>
      <c r="AQ294">
        <v>1</v>
      </c>
      <c r="AR294">
        <v>3</v>
      </c>
      <c r="AS294">
        <v>0</v>
      </c>
      <c r="AT294">
        <v>0</v>
      </c>
      <c r="AU294">
        <v>6</v>
      </c>
      <c r="AV294">
        <v>1</v>
      </c>
      <c r="AW294">
        <v>0</v>
      </c>
      <c r="AX294">
        <v>0</v>
      </c>
      <c r="AY294">
        <v>3</v>
      </c>
      <c r="AZ294">
        <v>6</v>
      </c>
      <c r="BA294">
        <v>985</v>
      </c>
      <c r="BB294">
        <v>8</v>
      </c>
      <c r="BC294">
        <v>1</v>
      </c>
      <c r="BD294">
        <v>0</v>
      </c>
      <c r="BE294">
        <v>14</v>
      </c>
      <c r="BF294">
        <v>8</v>
      </c>
      <c r="BG294">
        <v>0</v>
      </c>
      <c r="BH294">
        <v>7</v>
      </c>
      <c r="BI294">
        <v>0</v>
      </c>
      <c r="BJ294">
        <v>0</v>
      </c>
      <c r="BK294">
        <v>8</v>
      </c>
      <c r="BL294">
        <v>970</v>
      </c>
      <c r="BM294">
        <v>0</v>
      </c>
      <c r="BN294">
        <v>8</v>
      </c>
      <c r="BO294">
        <v>0</v>
      </c>
      <c r="BP294">
        <v>3</v>
      </c>
      <c r="BQ294">
        <v>0</v>
      </c>
      <c r="BR294">
        <v>21</v>
      </c>
      <c r="BS294">
        <v>0</v>
      </c>
      <c r="BT294">
        <v>1</v>
      </c>
      <c r="BU294">
        <v>0</v>
      </c>
      <c r="BV294">
        <v>0</v>
      </c>
      <c r="BW294">
        <v>685</v>
      </c>
      <c r="BX294">
        <v>0</v>
      </c>
      <c r="BY294">
        <v>18</v>
      </c>
      <c r="BZ294">
        <v>4</v>
      </c>
      <c r="CA294">
        <v>0</v>
      </c>
      <c r="CB294">
        <v>274</v>
      </c>
      <c r="CC294">
        <v>2</v>
      </c>
      <c r="CD294">
        <v>0</v>
      </c>
      <c r="CE294">
        <v>0</v>
      </c>
      <c r="CF294">
        <v>15</v>
      </c>
      <c r="CG294">
        <v>0</v>
      </c>
      <c r="CH294">
        <v>818</v>
      </c>
      <c r="CI294">
        <v>23</v>
      </c>
      <c r="CJ294">
        <v>2</v>
      </c>
      <c r="CK294">
        <v>0</v>
      </c>
      <c r="CL294">
        <v>32</v>
      </c>
      <c r="CM294">
        <v>1</v>
      </c>
      <c r="CN294">
        <v>2</v>
      </c>
      <c r="CO294">
        <v>1</v>
      </c>
      <c r="CP294">
        <v>0</v>
      </c>
      <c r="CQ294">
        <v>1</v>
      </c>
      <c r="CR294">
        <v>1</v>
      </c>
      <c r="CS294">
        <v>949</v>
      </c>
      <c r="CT294">
        <v>0</v>
      </c>
      <c r="CU294">
        <v>0</v>
      </c>
      <c r="CV294">
        <v>3</v>
      </c>
      <c r="CW294">
        <v>0</v>
      </c>
      <c r="CX294">
        <v>2</v>
      </c>
      <c r="CY294">
        <v>9</v>
      </c>
      <c r="CZ294">
        <v>4</v>
      </c>
      <c r="DA294">
        <v>0</v>
      </c>
      <c r="DB294">
        <v>0</v>
      </c>
      <c r="DC294">
        <v>0</v>
      </c>
      <c r="DD294">
        <v>990</v>
      </c>
      <c r="DE294">
        <v>1</v>
      </c>
      <c r="DF294">
        <v>22</v>
      </c>
      <c r="DG294">
        <v>2</v>
      </c>
      <c r="DH294">
        <v>11</v>
      </c>
      <c r="DI294">
        <v>6</v>
      </c>
      <c r="DJ294">
        <v>10</v>
      </c>
      <c r="DK294">
        <v>0</v>
      </c>
      <c r="DL294">
        <v>2</v>
      </c>
      <c r="DM294">
        <v>43</v>
      </c>
      <c r="DN294">
        <v>4</v>
      </c>
      <c r="DO294">
        <v>803</v>
      </c>
      <c r="DP294">
        <v>93</v>
      </c>
      <c r="DQ294">
        <v>0</v>
      </c>
      <c r="DR294">
        <v>0</v>
      </c>
      <c r="DS294">
        <v>1</v>
      </c>
      <c r="DT294">
        <v>1</v>
      </c>
      <c r="DU294">
        <v>0</v>
      </c>
      <c r="DV294">
        <v>0</v>
      </c>
      <c r="DW294">
        <v>0</v>
      </c>
      <c r="DX294">
        <v>1</v>
      </c>
      <c r="DY294">
        <v>0</v>
      </c>
      <c r="DZ294">
        <v>1006</v>
      </c>
      <c r="EA294">
        <v>0.92530000000000001</v>
      </c>
      <c r="EB294">
        <v>0.94209197668002198</v>
      </c>
      <c r="EC294">
        <v>0.92366974004468505</v>
      </c>
      <c r="ED294">
        <v>0.92582886461509495</v>
      </c>
      <c r="EE294">
        <f>SUM(Table1[[#This Row],[ratio_0]:[ratio_9]])</f>
        <v>370</v>
      </c>
      <c r="EF294" s="1">
        <f>(Table1[[#This Row],[predicted_0]]-Table1[[#This Row],[actual_0]])/Table1[[#This Row],[actual_0]]</f>
        <v>-0.05</v>
      </c>
      <c r="EG294" s="1">
        <f>(Table1[[#This Row],[predicted_1]]-Table1[[#This Row],[actual_1]])/Table1[[#This Row],[actual_1]]</f>
        <v>1.0572687224669603E-2</v>
      </c>
      <c r="EH294" s="1">
        <f>(Table1[[#This Row],[predicted_2]]-Table1[[#This Row],[actual_2]])/Table1[[#This Row],[actual_2]]</f>
        <v>-1.6472868217054265E-2</v>
      </c>
      <c r="EI294" s="1">
        <f>(Table1[[#This Row],[predicted_3]]-Table1[[#This Row],[actual_3]])/Table1[[#This Row],[actual_3]]</f>
        <v>1.9801980198019802E-3</v>
      </c>
      <c r="EJ294" s="1">
        <f>(Table1[[#This Row],[predicted_4]]-Table1[[#This Row],[actual_4]])/Table1[[#This Row],[actual_4]]</f>
        <v>-0.30040733197556008</v>
      </c>
      <c r="EK294" s="1">
        <f>(Table1[[#This Row],[predicted_5]]-Table1[[#This Row],[actual_5]])/Table1[[#This Row],[actual_5]]</f>
        <v>-7.0627802690582955E-2</v>
      </c>
      <c r="EL294" s="1">
        <f>(Table1[[#This Row],[predicted_6]]-Table1[[#This Row],[actual_6]])/Table1[[#This Row],[actual_6]]</f>
        <v>0.10960334029227557</v>
      </c>
      <c r="EM294" s="1">
        <f>(Table1[[#This Row],[predicted_7]]-Table1[[#This Row],[actual_7]])/Table1[[#This Row],[actual_7]]</f>
        <v>-1.1673151750972763E-2</v>
      </c>
      <c r="EN294" s="1">
        <f>(Table1[[#This Row],[predicted_8]]-Table1[[#This Row],[actual_8]])/Table1[[#This Row],[actual_8]]</f>
        <v>-0.17248459958932238</v>
      </c>
      <c r="EO294" s="1">
        <f>(Table1[[#This Row],[predicted_9]]-Table1[[#This Row],[actual_9]])/Table1[[#This Row],[actual_9]]</f>
        <v>0.48067393458870167</v>
      </c>
      <c r="EP294" s="1">
        <f>1+(Table1[[#This Row],[error_ratio_0]]-EF$2)</f>
        <v>0.94795918367346943</v>
      </c>
      <c r="EQ294" s="1">
        <f>1+(Table1[[#This Row],[error_ratio_1]]-EG$2)</f>
        <v>1.0088105726872247</v>
      </c>
      <c r="ER294" s="1">
        <f>1+(Table1[[#This Row],[error_ratio_2]]-EH$2)</f>
        <v>0.98837209302325579</v>
      </c>
      <c r="ES294" s="1">
        <f>1+(Table1[[#This Row],[error_ratio_3]]-EI$2)</f>
        <v>0.99207920792079207</v>
      </c>
      <c r="ET294" s="1">
        <f>1+(Table1[[#This Row],[error_ratio_4]]-EJ$2)</f>
        <v>0.6985743380855397</v>
      </c>
      <c r="EU294" s="1">
        <f>1+(Table1[[#This Row],[error_ratio_5]]-EK$2)</f>
        <v>0.9282511210762332</v>
      </c>
      <c r="EV294" s="1">
        <f>1+(Table1[[#This Row],[error_ratio_6]]-EL$2)</f>
        <v>1.115866388308977</v>
      </c>
      <c r="EW294" s="1">
        <f>1+(Table1[[#This Row],[error_ratio_7]]-EM$2)</f>
        <v>0.98638132295719849</v>
      </c>
      <c r="EX294" s="1">
        <f>1+(Table1[[#This Row],[error_ratio_8]]-EN$2)</f>
        <v>0.83059548254620119</v>
      </c>
      <c r="EY294" s="1">
        <f>1+(Table1[[#This Row],[error_ratio_9]]-EO$2)</f>
        <v>1.4846382556987114</v>
      </c>
    </row>
    <row r="295" spans="1:155" x14ac:dyDescent="0.75">
      <c r="A295">
        <v>100</v>
      </c>
      <c r="B295">
        <v>100</v>
      </c>
      <c r="C295">
        <v>100</v>
      </c>
      <c r="D295">
        <v>100</v>
      </c>
      <c r="E295">
        <v>100</v>
      </c>
      <c r="F295">
        <v>100</v>
      </c>
      <c r="G295">
        <v>10</v>
      </c>
      <c r="H295">
        <v>100</v>
      </c>
      <c r="I295">
        <v>10</v>
      </c>
      <c r="J295">
        <v>100</v>
      </c>
      <c r="K295">
        <v>998</v>
      </c>
      <c r="L295">
        <v>1138</v>
      </c>
      <c r="M295">
        <v>1041</v>
      </c>
      <c r="N295">
        <v>1021</v>
      </c>
      <c r="O295">
        <v>977</v>
      </c>
      <c r="P295">
        <v>924</v>
      </c>
      <c r="Q295">
        <v>923</v>
      </c>
      <c r="R295">
        <v>1035</v>
      </c>
      <c r="S295">
        <v>925</v>
      </c>
      <c r="T295">
        <v>1018</v>
      </c>
      <c r="U295">
        <v>980</v>
      </c>
      <c r="V295">
        <v>1135</v>
      </c>
      <c r="W295">
        <v>1032</v>
      </c>
      <c r="X295">
        <v>1010</v>
      </c>
      <c r="Y295">
        <v>982</v>
      </c>
      <c r="Z295">
        <v>892</v>
      </c>
      <c r="AA295">
        <v>958</v>
      </c>
      <c r="AB295">
        <v>1028</v>
      </c>
      <c r="AC295">
        <v>974</v>
      </c>
      <c r="AD295">
        <v>1009</v>
      </c>
      <c r="AE295">
        <v>974</v>
      </c>
      <c r="AF295">
        <v>0</v>
      </c>
      <c r="AG295">
        <v>0</v>
      </c>
      <c r="AH295">
        <v>0</v>
      </c>
      <c r="AI295">
        <v>0</v>
      </c>
      <c r="AJ295">
        <v>1</v>
      </c>
      <c r="AK295">
        <v>1</v>
      </c>
      <c r="AL295">
        <v>2</v>
      </c>
      <c r="AM295">
        <v>1</v>
      </c>
      <c r="AN295">
        <v>1</v>
      </c>
      <c r="AO295">
        <v>0</v>
      </c>
      <c r="AP295">
        <v>1128</v>
      </c>
      <c r="AQ295">
        <v>1</v>
      </c>
      <c r="AR295">
        <v>1</v>
      </c>
      <c r="AS295">
        <v>0</v>
      </c>
      <c r="AT295">
        <v>1</v>
      </c>
      <c r="AU295">
        <v>1</v>
      </c>
      <c r="AV295">
        <v>3</v>
      </c>
      <c r="AW295">
        <v>0</v>
      </c>
      <c r="AX295">
        <v>0</v>
      </c>
      <c r="AY295">
        <v>2</v>
      </c>
      <c r="AZ295">
        <v>2</v>
      </c>
      <c r="BA295">
        <v>1023</v>
      </c>
      <c r="BB295">
        <v>0</v>
      </c>
      <c r="BC295">
        <v>0</v>
      </c>
      <c r="BD295">
        <v>0</v>
      </c>
      <c r="BE295">
        <v>0</v>
      </c>
      <c r="BF295">
        <v>5</v>
      </c>
      <c r="BG295">
        <v>0</v>
      </c>
      <c r="BH295">
        <v>0</v>
      </c>
      <c r="BI295">
        <v>0</v>
      </c>
      <c r="BJ295">
        <v>0</v>
      </c>
      <c r="BK295">
        <v>3</v>
      </c>
      <c r="BL295">
        <v>1002</v>
      </c>
      <c r="BM295">
        <v>0</v>
      </c>
      <c r="BN295">
        <v>4</v>
      </c>
      <c r="BO295">
        <v>0</v>
      </c>
      <c r="BP295">
        <v>0</v>
      </c>
      <c r="BQ295">
        <v>0</v>
      </c>
      <c r="BR295">
        <v>1</v>
      </c>
      <c r="BS295">
        <v>0</v>
      </c>
      <c r="BT295">
        <v>0</v>
      </c>
      <c r="BU295">
        <v>2</v>
      </c>
      <c r="BV295">
        <v>0</v>
      </c>
      <c r="BW295">
        <v>971</v>
      </c>
      <c r="BX295">
        <v>0</v>
      </c>
      <c r="BY295">
        <v>1</v>
      </c>
      <c r="BZ295">
        <v>1</v>
      </c>
      <c r="CA295">
        <v>0</v>
      </c>
      <c r="CB295">
        <v>7</v>
      </c>
      <c r="CC295">
        <v>2</v>
      </c>
      <c r="CD295">
        <v>0</v>
      </c>
      <c r="CE295">
        <v>0</v>
      </c>
      <c r="CF295">
        <v>5</v>
      </c>
      <c r="CG295">
        <v>0</v>
      </c>
      <c r="CH295">
        <v>882</v>
      </c>
      <c r="CI295">
        <v>1</v>
      </c>
      <c r="CJ295">
        <v>0</v>
      </c>
      <c r="CK295">
        <v>0</v>
      </c>
      <c r="CL295">
        <v>2</v>
      </c>
      <c r="CM295">
        <v>12</v>
      </c>
      <c r="CN295">
        <v>5</v>
      </c>
      <c r="CO295">
        <v>0</v>
      </c>
      <c r="CP295">
        <v>1</v>
      </c>
      <c r="CQ295">
        <v>2</v>
      </c>
      <c r="CR295">
        <v>19</v>
      </c>
      <c r="CS295">
        <v>919</v>
      </c>
      <c r="CT295">
        <v>0</v>
      </c>
      <c r="CU295">
        <v>0</v>
      </c>
      <c r="CV295">
        <v>0</v>
      </c>
      <c r="CW295">
        <v>0</v>
      </c>
      <c r="CX295">
        <v>2</v>
      </c>
      <c r="CY295">
        <v>6</v>
      </c>
      <c r="CZ295">
        <v>0</v>
      </c>
      <c r="DA295">
        <v>0</v>
      </c>
      <c r="DB295">
        <v>0</v>
      </c>
      <c r="DC295">
        <v>0</v>
      </c>
      <c r="DD295">
        <v>1018</v>
      </c>
      <c r="DE295">
        <v>0</v>
      </c>
      <c r="DF295">
        <v>2</v>
      </c>
      <c r="DG295">
        <v>8</v>
      </c>
      <c r="DH295">
        <v>1</v>
      </c>
      <c r="DI295">
        <v>6</v>
      </c>
      <c r="DJ295">
        <v>8</v>
      </c>
      <c r="DK295">
        <v>2</v>
      </c>
      <c r="DL295">
        <v>15</v>
      </c>
      <c r="DM295">
        <v>0</v>
      </c>
      <c r="DN295">
        <v>3</v>
      </c>
      <c r="DO295">
        <v>924</v>
      </c>
      <c r="DP295">
        <v>7</v>
      </c>
      <c r="DQ295">
        <v>0</v>
      </c>
      <c r="DR295">
        <v>0</v>
      </c>
      <c r="DS295">
        <v>0</v>
      </c>
      <c r="DT295">
        <v>4</v>
      </c>
      <c r="DU295">
        <v>2</v>
      </c>
      <c r="DV295">
        <v>2</v>
      </c>
      <c r="DW295">
        <v>0</v>
      </c>
      <c r="DX295">
        <v>3</v>
      </c>
      <c r="DY295">
        <v>0</v>
      </c>
      <c r="DZ295">
        <v>998</v>
      </c>
      <c r="EA295">
        <v>0.9839</v>
      </c>
      <c r="EB295">
        <v>0.98381822287175302</v>
      </c>
      <c r="EC295">
        <v>0.98359820122888797</v>
      </c>
      <c r="ED295">
        <v>0.98356255638547196</v>
      </c>
      <c r="EE295">
        <f>SUM(Table1[[#This Row],[ratio_0]:[ratio_9]])</f>
        <v>820</v>
      </c>
      <c r="EF295" s="1">
        <f>(Table1[[#This Row],[predicted_0]]-Table1[[#This Row],[actual_0]])/Table1[[#This Row],[actual_0]]</f>
        <v>1.8367346938775512E-2</v>
      </c>
      <c r="EG295" s="1">
        <f>(Table1[[#This Row],[predicted_1]]-Table1[[#This Row],[actual_1]])/Table1[[#This Row],[actual_1]]</f>
        <v>2.6431718061674008E-3</v>
      </c>
      <c r="EH295" s="1">
        <f>(Table1[[#This Row],[predicted_2]]-Table1[[#This Row],[actual_2]])/Table1[[#This Row],[actual_2]]</f>
        <v>8.7209302325581394E-3</v>
      </c>
      <c r="EI295" s="1">
        <f>(Table1[[#This Row],[predicted_3]]-Table1[[#This Row],[actual_3]])/Table1[[#This Row],[actual_3]]</f>
        <v>1.089108910891089E-2</v>
      </c>
      <c r="EJ295" s="1">
        <f>(Table1[[#This Row],[predicted_4]]-Table1[[#This Row],[actual_4]])/Table1[[#This Row],[actual_4]]</f>
        <v>-5.0916496945010185E-3</v>
      </c>
      <c r="EK295" s="1">
        <f>(Table1[[#This Row],[predicted_5]]-Table1[[#This Row],[actual_5]])/Table1[[#This Row],[actual_5]]</f>
        <v>3.5874439461883408E-2</v>
      </c>
      <c r="EL295" s="1">
        <f>(Table1[[#This Row],[predicted_6]]-Table1[[#This Row],[actual_6]])/Table1[[#This Row],[actual_6]]</f>
        <v>-3.6534446764091857E-2</v>
      </c>
      <c r="EM295" s="1">
        <f>(Table1[[#This Row],[predicted_7]]-Table1[[#This Row],[actual_7]])/Table1[[#This Row],[actual_7]]</f>
        <v>6.8093385214007783E-3</v>
      </c>
      <c r="EN295" s="1">
        <f>(Table1[[#This Row],[predicted_8]]-Table1[[#This Row],[actual_8]])/Table1[[#This Row],[actual_8]]</f>
        <v>-5.0308008213552365E-2</v>
      </c>
      <c r="EO295" s="1">
        <f>(Table1[[#This Row],[predicted_9]]-Table1[[#This Row],[actual_9]])/Table1[[#This Row],[actual_9]]</f>
        <v>8.9197224975222991E-3</v>
      </c>
      <c r="EP295" s="1">
        <f>1+(Table1[[#This Row],[error_ratio_0]]-EF$2)</f>
        <v>1.0163265306122449</v>
      </c>
      <c r="EQ295" s="1">
        <f>1+(Table1[[#This Row],[error_ratio_1]]-EG$2)</f>
        <v>1.0008810572687226</v>
      </c>
      <c r="ER295" s="1">
        <f>1+(Table1[[#This Row],[error_ratio_2]]-EH$2)</f>
        <v>1.0135658914728682</v>
      </c>
      <c r="ES295" s="1">
        <f>1+(Table1[[#This Row],[error_ratio_3]]-EI$2)</f>
        <v>1.000990099009901</v>
      </c>
      <c r="ET295" s="1">
        <f>1+(Table1[[#This Row],[error_ratio_4]]-EJ$2)</f>
        <v>0.99389002036659879</v>
      </c>
      <c r="EU295" s="1">
        <f>1+(Table1[[#This Row],[error_ratio_5]]-EK$2)</f>
        <v>1.0347533632286996</v>
      </c>
      <c r="EV295" s="1">
        <f>1+(Table1[[#This Row],[error_ratio_6]]-EL$2)</f>
        <v>0.96972860125260962</v>
      </c>
      <c r="EW295" s="1">
        <f>1+(Table1[[#This Row],[error_ratio_7]]-EM$2)</f>
        <v>1.004863813229572</v>
      </c>
      <c r="EX295" s="1">
        <f>1+(Table1[[#This Row],[error_ratio_8]]-EN$2)</f>
        <v>0.95277207392197127</v>
      </c>
      <c r="EY295" s="1">
        <f>1+(Table1[[#This Row],[error_ratio_9]]-EO$2)</f>
        <v>1.0128840436075321</v>
      </c>
    </row>
    <row r="296" spans="1:155" x14ac:dyDescent="0.75">
      <c r="A296">
        <v>10</v>
      </c>
      <c r="B296">
        <v>100</v>
      </c>
      <c r="C296">
        <v>100</v>
      </c>
      <c r="D296">
        <v>100</v>
      </c>
      <c r="E296">
        <v>100</v>
      </c>
      <c r="F296">
        <v>100</v>
      </c>
      <c r="G296">
        <v>10</v>
      </c>
      <c r="H296">
        <v>100</v>
      </c>
      <c r="I296">
        <v>10</v>
      </c>
      <c r="J296">
        <v>100</v>
      </c>
      <c r="K296">
        <v>956</v>
      </c>
      <c r="L296">
        <v>1143</v>
      </c>
      <c r="M296">
        <v>1077</v>
      </c>
      <c r="N296">
        <v>1011</v>
      </c>
      <c r="O296">
        <v>993</v>
      </c>
      <c r="P296">
        <v>1026</v>
      </c>
      <c r="Q296">
        <v>870</v>
      </c>
      <c r="R296">
        <v>1006</v>
      </c>
      <c r="S296">
        <v>908</v>
      </c>
      <c r="T296">
        <v>1010</v>
      </c>
      <c r="U296">
        <v>980</v>
      </c>
      <c r="V296">
        <v>1135</v>
      </c>
      <c r="W296">
        <v>1032</v>
      </c>
      <c r="X296">
        <v>1010</v>
      </c>
      <c r="Y296">
        <v>982</v>
      </c>
      <c r="Z296">
        <v>892</v>
      </c>
      <c r="AA296">
        <v>958</v>
      </c>
      <c r="AB296">
        <v>1028</v>
      </c>
      <c r="AC296">
        <v>974</v>
      </c>
      <c r="AD296">
        <v>1009</v>
      </c>
      <c r="AE296">
        <v>941</v>
      </c>
      <c r="AF296">
        <v>0</v>
      </c>
      <c r="AG296">
        <v>12</v>
      </c>
      <c r="AH296">
        <v>0</v>
      </c>
      <c r="AI296">
        <v>1</v>
      </c>
      <c r="AJ296">
        <v>14</v>
      </c>
      <c r="AK296">
        <v>6</v>
      </c>
      <c r="AL296">
        <v>1</v>
      </c>
      <c r="AM296">
        <v>1</v>
      </c>
      <c r="AN296">
        <v>4</v>
      </c>
      <c r="AO296">
        <v>0</v>
      </c>
      <c r="AP296">
        <v>1131</v>
      </c>
      <c r="AQ296">
        <v>1</v>
      </c>
      <c r="AR296">
        <v>1</v>
      </c>
      <c r="AS296">
        <v>0</v>
      </c>
      <c r="AT296">
        <v>1</v>
      </c>
      <c r="AU296">
        <v>0</v>
      </c>
      <c r="AV296">
        <v>0</v>
      </c>
      <c r="AW296">
        <v>0</v>
      </c>
      <c r="AX296">
        <v>1</v>
      </c>
      <c r="AY296">
        <v>0</v>
      </c>
      <c r="AZ296">
        <v>2</v>
      </c>
      <c r="BA296">
        <v>1025</v>
      </c>
      <c r="BB296">
        <v>1</v>
      </c>
      <c r="BC296">
        <v>0</v>
      </c>
      <c r="BD296">
        <v>1</v>
      </c>
      <c r="BE296">
        <v>0</v>
      </c>
      <c r="BF296">
        <v>1</v>
      </c>
      <c r="BG296">
        <v>2</v>
      </c>
      <c r="BH296">
        <v>0</v>
      </c>
      <c r="BI296">
        <v>0</v>
      </c>
      <c r="BJ296">
        <v>0</v>
      </c>
      <c r="BK296">
        <v>2</v>
      </c>
      <c r="BL296">
        <v>995</v>
      </c>
      <c r="BM296">
        <v>0</v>
      </c>
      <c r="BN296">
        <v>10</v>
      </c>
      <c r="BO296">
        <v>0</v>
      </c>
      <c r="BP296">
        <v>0</v>
      </c>
      <c r="BQ296">
        <v>0</v>
      </c>
      <c r="BR296">
        <v>3</v>
      </c>
      <c r="BS296">
        <v>0</v>
      </c>
      <c r="BT296">
        <v>1</v>
      </c>
      <c r="BU296">
        <v>4</v>
      </c>
      <c r="BV296">
        <v>0</v>
      </c>
      <c r="BW296">
        <v>973</v>
      </c>
      <c r="BX296">
        <v>0</v>
      </c>
      <c r="BY296">
        <v>1</v>
      </c>
      <c r="BZ296">
        <v>1</v>
      </c>
      <c r="CA296">
        <v>0</v>
      </c>
      <c r="CB296">
        <v>2</v>
      </c>
      <c r="CC296">
        <v>0</v>
      </c>
      <c r="CD296">
        <v>0</v>
      </c>
      <c r="CE296">
        <v>0</v>
      </c>
      <c r="CF296">
        <v>3</v>
      </c>
      <c r="CG296">
        <v>0</v>
      </c>
      <c r="CH296">
        <v>888</v>
      </c>
      <c r="CI296">
        <v>0</v>
      </c>
      <c r="CJ296">
        <v>0</v>
      </c>
      <c r="CK296">
        <v>1</v>
      </c>
      <c r="CL296">
        <v>0</v>
      </c>
      <c r="CM296">
        <v>8</v>
      </c>
      <c r="CN296">
        <v>7</v>
      </c>
      <c r="CO296">
        <v>2</v>
      </c>
      <c r="CP296">
        <v>2</v>
      </c>
      <c r="CQ296">
        <v>7</v>
      </c>
      <c r="CR296">
        <v>68</v>
      </c>
      <c r="CS296">
        <v>863</v>
      </c>
      <c r="CT296">
        <v>0</v>
      </c>
      <c r="CU296">
        <v>1</v>
      </c>
      <c r="CV296">
        <v>0</v>
      </c>
      <c r="CW296">
        <v>1</v>
      </c>
      <c r="CX296">
        <v>2</v>
      </c>
      <c r="CY296">
        <v>19</v>
      </c>
      <c r="CZ296">
        <v>1</v>
      </c>
      <c r="DA296">
        <v>0</v>
      </c>
      <c r="DB296">
        <v>1</v>
      </c>
      <c r="DC296">
        <v>0</v>
      </c>
      <c r="DD296">
        <v>998</v>
      </c>
      <c r="DE296">
        <v>1</v>
      </c>
      <c r="DF296">
        <v>5</v>
      </c>
      <c r="DG296">
        <v>6</v>
      </c>
      <c r="DH296">
        <v>0</v>
      </c>
      <c r="DI296">
        <v>9</v>
      </c>
      <c r="DJ296">
        <v>7</v>
      </c>
      <c r="DK296">
        <v>5</v>
      </c>
      <c r="DL296">
        <v>29</v>
      </c>
      <c r="DM296">
        <v>0</v>
      </c>
      <c r="DN296">
        <v>4</v>
      </c>
      <c r="DO296">
        <v>901</v>
      </c>
      <c r="DP296">
        <v>13</v>
      </c>
      <c r="DQ296">
        <v>0</v>
      </c>
      <c r="DR296">
        <v>0</v>
      </c>
      <c r="DS296">
        <v>3</v>
      </c>
      <c r="DT296">
        <v>1</v>
      </c>
      <c r="DU296">
        <v>7</v>
      </c>
      <c r="DV296">
        <v>14</v>
      </c>
      <c r="DW296">
        <v>0</v>
      </c>
      <c r="DX296">
        <v>1</v>
      </c>
      <c r="DY296">
        <v>1</v>
      </c>
      <c r="DZ296">
        <v>982</v>
      </c>
      <c r="EA296">
        <v>0.96970000000000001</v>
      </c>
      <c r="EB296">
        <v>0.97036285577214298</v>
      </c>
      <c r="EC296">
        <v>0.96913405081911297</v>
      </c>
      <c r="ED296">
        <v>0.96888201851611799</v>
      </c>
      <c r="EE296">
        <f>SUM(Table1[[#This Row],[ratio_0]:[ratio_9]])</f>
        <v>730</v>
      </c>
      <c r="EF296" s="1">
        <f>(Table1[[#This Row],[predicted_0]]-Table1[[#This Row],[actual_0]])/Table1[[#This Row],[actual_0]]</f>
        <v>-2.4489795918367346E-2</v>
      </c>
      <c r="EG296" s="1">
        <f>(Table1[[#This Row],[predicted_1]]-Table1[[#This Row],[actual_1]])/Table1[[#This Row],[actual_1]]</f>
        <v>7.048458149779736E-3</v>
      </c>
      <c r="EH296" s="1">
        <f>(Table1[[#This Row],[predicted_2]]-Table1[[#This Row],[actual_2]])/Table1[[#This Row],[actual_2]]</f>
        <v>4.3604651162790699E-2</v>
      </c>
      <c r="EI296" s="1">
        <f>(Table1[[#This Row],[predicted_3]]-Table1[[#This Row],[actual_3]])/Table1[[#This Row],[actual_3]]</f>
        <v>9.9009900990099011E-4</v>
      </c>
      <c r="EJ296" s="1">
        <f>(Table1[[#This Row],[predicted_4]]-Table1[[#This Row],[actual_4]])/Table1[[#This Row],[actual_4]]</f>
        <v>1.1201629327902239E-2</v>
      </c>
      <c r="EK296" s="1">
        <f>(Table1[[#This Row],[predicted_5]]-Table1[[#This Row],[actual_5]])/Table1[[#This Row],[actual_5]]</f>
        <v>0.15022421524663676</v>
      </c>
      <c r="EL296" s="1">
        <f>(Table1[[#This Row],[predicted_6]]-Table1[[#This Row],[actual_6]])/Table1[[#This Row],[actual_6]]</f>
        <v>-9.1858037578288101E-2</v>
      </c>
      <c r="EM296" s="1">
        <f>(Table1[[#This Row],[predicted_7]]-Table1[[#This Row],[actual_7]])/Table1[[#This Row],[actual_7]]</f>
        <v>-2.1400778210116732E-2</v>
      </c>
      <c r="EN296" s="1">
        <f>(Table1[[#This Row],[predicted_8]]-Table1[[#This Row],[actual_8]])/Table1[[#This Row],[actual_8]]</f>
        <v>-6.7761806981519512E-2</v>
      </c>
      <c r="EO296" s="1">
        <f>(Table1[[#This Row],[predicted_9]]-Table1[[#This Row],[actual_9]])/Table1[[#This Row],[actual_9]]</f>
        <v>9.9108027750247768E-4</v>
      </c>
      <c r="EP296" s="1">
        <f>1+(Table1[[#This Row],[error_ratio_0]]-EF$2)</f>
        <v>0.97346938775510206</v>
      </c>
      <c r="EQ296" s="1">
        <f>1+(Table1[[#This Row],[error_ratio_1]]-EG$2)</f>
        <v>1.0052863436123347</v>
      </c>
      <c r="ER296" s="1">
        <f>1+(Table1[[#This Row],[error_ratio_2]]-EH$2)</f>
        <v>1.0484496124031009</v>
      </c>
      <c r="ES296" s="1">
        <f>1+(Table1[[#This Row],[error_ratio_3]]-EI$2)</f>
        <v>0.99108910891089108</v>
      </c>
      <c r="ET296" s="1">
        <f>1+(Table1[[#This Row],[error_ratio_4]]-EJ$2)</f>
        <v>1.0101832993890021</v>
      </c>
      <c r="EU296" s="1">
        <f>1+(Table1[[#This Row],[error_ratio_5]]-EK$2)</f>
        <v>1.149103139013453</v>
      </c>
      <c r="EV296" s="1">
        <f>1+(Table1[[#This Row],[error_ratio_6]]-EL$2)</f>
        <v>0.91440501043841338</v>
      </c>
      <c r="EW296" s="1">
        <f>1+(Table1[[#This Row],[error_ratio_7]]-EM$2)</f>
        <v>0.97665369649805445</v>
      </c>
      <c r="EX296" s="1">
        <f>1+(Table1[[#This Row],[error_ratio_8]]-EN$2)</f>
        <v>0.93531827515400412</v>
      </c>
      <c r="EY296" s="1">
        <f>1+(Table1[[#This Row],[error_ratio_9]]-EO$2)</f>
        <v>1.0049554013875124</v>
      </c>
    </row>
    <row r="297" spans="1:155" x14ac:dyDescent="0.75">
      <c r="A297">
        <v>100</v>
      </c>
      <c r="B297">
        <v>10</v>
      </c>
      <c r="C297">
        <v>100</v>
      </c>
      <c r="D297">
        <v>100</v>
      </c>
      <c r="E297">
        <v>100</v>
      </c>
      <c r="F297">
        <v>100</v>
      </c>
      <c r="G297">
        <v>10</v>
      </c>
      <c r="H297">
        <v>100</v>
      </c>
      <c r="I297">
        <v>10</v>
      </c>
      <c r="J297">
        <v>100</v>
      </c>
      <c r="K297">
        <v>995</v>
      </c>
      <c r="L297">
        <v>1117</v>
      </c>
      <c r="M297">
        <v>1041</v>
      </c>
      <c r="N297">
        <v>1009</v>
      </c>
      <c r="O297">
        <v>966</v>
      </c>
      <c r="P297">
        <v>937</v>
      </c>
      <c r="Q297">
        <v>929</v>
      </c>
      <c r="R297">
        <v>1069</v>
      </c>
      <c r="S297">
        <v>938</v>
      </c>
      <c r="T297">
        <v>999</v>
      </c>
      <c r="U297">
        <v>980</v>
      </c>
      <c r="V297">
        <v>1135</v>
      </c>
      <c r="W297">
        <v>1032</v>
      </c>
      <c r="X297">
        <v>1010</v>
      </c>
      <c r="Y297">
        <v>982</v>
      </c>
      <c r="Z297">
        <v>892</v>
      </c>
      <c r="AA297">
        <v>958</v>
      </c>
      <c r="AB297">
        <v>1028</v>
      </c>
      <c r="AC297">
        <v>974</v>
      </c>
      <c r="AD297">
        <v>1009</v>
      </c>
      <c r="AE297">
        <v>975</v>
      </c>
      <c r="AF297">
        <v>0</v>
      </c>
      <c r="AG297">
        <v>0</v>
      </c>
      <c r="AH297">
        <v>0</v>
      </c>
      <c r="AI297">
        <v>0</v>
      </c>
      <c r="AJ297">
        <v>1</v>
      </c>
      <c r="AK297">
        <v>1</v>
      </c>
      <c r="AL297">
        <v>2</v>
      </c>
      <c r="AM297">
        <v>0</v>
      </c>
      <c r="AN297">
        <v>1</v>
      </c>
      <c r="AO297">
        <v>0</v>
      </c>
      <c r="AP297">
        <v>1111</v>
      </c>
      <c r="AQ297">
        <v>6</v>
      </c>
      <c r="AR297">
        <v>2</v>
      </c>
      <c r="AS297">
        <v>0</v>
      </c>
      <c r="AT297">
        <v>3</v>
      </c>
      <c r="AU297">
        <v>0</v>
      </c>
      <c r="AV297">
        <v>13</v>
      </c>
      <c r="AW297">
        <v>0</v>
      </c>
      <c r="AX297">
        <v>0</v>
      </c>
      <c r="AY297">
        <v>0</v>
      </c>
      <c r="AZ297">
        <v>0</v>
      </c>
      <c r="BA297">
        <v>1015</v>
      </c>
      <c r="BB297">
        <v>1</v>
      </c>
      <c r="BC297">
        <v>0</v>
      </c>
      <c r="BD297">
        <v>2</v>
      </c>
      <c r="BE297">
        <v>1</v>
      </c>
      <c r="BF297">
        <v>8</v>
      </c>
      <c r="BG297">
        <v>5</v>
      </c>
      <c r="BH297">
        <v>0</v>
      </c>
      <c r="BI297">
        <v>0</v>
      </c>
      <c r="BJ297">
        <v>0</v>
      </c>
      <c r="BK297">
        <v>2</v>
      </c>
      <c r="BL297">
        <v>997</v>
      </c>
      <c r="BM297">
        <v>0</v>
      </c>
      <c r="BN297">
        <v>9</v>
      </c>
      <c r="BO297">
        <v>0</v>
      </c>
      <c r="BP297">
        <v>0</v>
      </c>
      <c r="BQ297">
        <v>2</v>
      </c>
      <c r="BR297">
        <v>0</v>
      </c>
      <c r="BS297">
        <v>0</v>
      </c>
      <c r="BT297">
        <v>0</v>
      </c>
      <c r="BU297">
        <v>5</v>
      </c>
      <c r="BV297">
        <v>0</v>
      </c>
      <c r="BW297">
        <v>960</v>
      </c>
      <c r="BX297">
        <v>0</v>
      </c>
      <c r="BY297">
        <v>2</v>
      </c>
      <c r="BZ297">
        <v>5</v>
      </c>
      <c r="CA297">
        <v>1</v>
      </c>
      <c r="CB297">
        <v>9</v>
      </c>
      <c r="CC297">
        <v>2</v>
      </c>
      <c r="CD297">
        <v>0</v>
      </c>
      <c r="CE297">
        <v>0</v>
      </c>
      <c r="CF297">
        <v>4</v>
      </c>
      <c r="CG297">
        <v>0</v>
      </c>
      <c r="CH297">
        <v>880</v>
      </c>
      <c r="CI297">
        <v>4</v>
      </c>
      <c r="CJ297">
        <v>1</v>
      </c>
      <c r="CK297">
        <v>1</v>
      </c>
      <c r="CL297">
        <v>0</v>
      </c>
      <c r="CM297">
        <v>11</v>
      </c>
      <c r="CN297">
        <v>5</v>
      </c>
      <c r="CO297">
        <v>1</v>
      </c>
      <c r="CP297">
        <v>1</v>
      </c>
      <c r="CQ297">
        <v>3</v>
      </c>
      <c r="CR297">
        <v>17</v>
      </c>
      <c r="CS297">
        <v>920</v>
      </c>
      <c r="CT297">
        <v>0</v>
      </c>
      <c r="CU297">
        <v>0</v>
      </c>
      <c r="CV297">
        <v>0</v>
      </c>
      <c r="CW297">
        <v>0</v>
      </c>
      <c r="CX297">
        <v>0</v>
      </c>
      <c r="CY297">
        <v>4</v>
      </c>
      <c r="CZ297">
        <v>1</v>
      </c>
      <c r="DA297">
        <v>0</v>
      </c>
      <c r="DB297">
        <v>0</v>
      </c>
      <c r="DC297">
        <v>0</v>
      </c>
      <c r="DD297">
        <v>1022</v>
      </c>
      <c r="DE297">
        <v>1</v>
      </c>
      <c r="DF297">
        <v>0</v>
      </c>
      <c r="DG297">
        <v>7</v>
      </c>
      <c r="DH297">
        <v>1</v>
      </c>
      <c r="DI297">
        <v>8</v>
      </c>
      <c r="DJ297">
        <v>1</v>
      </c>
      <c r="DK297">
        <v>2</v>
      </c>
      <c r="DL297">
        <v>12</v>
      </c>
      <c r="DM297">
        <v>1</v>
      </c>
      <c r="DN297">
        <v>10</v>
      </c>
      <c r="DO297">
        <v>928</v>
      </c>
      <c r="DP297">
        <v>4</v>
      </c>
      <c r="DQ297">
        <v>0</v>
      </c>
      <c r="DR297">
        <v>0</v>
      </c>
      <c r="DS297">
        <v>0</v>
      </c>
      <c r="DT297">
        <v>2</v>
      </c>
      <c r="DU297">
        <v>1</v>
      </c>
      <c r="DV297">
        <v>13</v>
      </c>
      <c r="DW297">
        <v>0</v>
      </c>
      <c r="DX297">
        <v>8</v>
      </c>
      <c r="DY297">
        <v>0</v>
      </c>
      <c r="DZ297">
        <v>985</v>
      </c>
      <c r="EA297">
        <v>0.97929999999999995</v>
      </c>
      <c r="EB297">
        <v>0.97922862396721599</v>
      </c>
      <c r="EC297">
        <v>0.97920358565485399</v>
      </c>
      <c r="ED297">
        <v>0.97904013110583799</v>
      </c>
      <c r="EE297">
        <f>SUM(Table1[[#This Row],[ratio_0]:[ratio_9]])</f>
        <v>730</v>
      </c>
      <c r="EF297" s="1">
        <f>(Table1[[#This Row],[predicted_0]]-Table1[[#This Row],[actual_0]])/Table1[[#This Row],[actual_0]]</f>
        <v>1.5306122448979591E-2</v>
      </c>
      <c r="EG297" s="1">
        <f>(Table1[[#This Row],[predicted_1]]-Table1[[#This Row],[actual_1]])/Table1[[#This Row],[actual_1]]</f>
        <v>-1.5859030837004406E-2</v>
      </c>
      <c r="EH297" s="1">
        <f>(Table1[[#This Row],[predicted_2]]-Table1[[#This Row],[actual_2]])/Table1[[#This Row],[actual_2]]</f>
        <v>8.7209302325581394E-3</v>
      </c>
      <c r="EI297" s="1">
        <f>(Table1[[#This Row],[predicted_3]]-Table1[[#This Row],[actual_3]])/Table1[[#This Row],[actual_3]]</f>
        <v>-9.9009900990099011E-4</v>
      </c>
      <c r="EJ297" s="1">
        <f>(Table1[[#This Row],[predicted_4]]-Table1[[#This Row],[actual_4]])/Table1[[#This Row],[actual_4]]</f>
        <v>-1.6293279022403257E-2</v>
      </c>
      <c r="EK297" s="1">
        <f>(Table1[[#This Row],[predicted_5]]-Table1[[#This Row],[actual_5]])/Table1[[#This Row],[actual_5]]</f>
        <v>5.0448430493273543E-2</v>
      </c>
      <c r="EL297" s="1">
        <f>(Table1[[#This Row],[predicted_6]]-Table1[[#This Row],[actual_6]])/Table1[[#This Row],[actual_6]]</f>
        <v>-3.0271398747390398E-2</v>
      </c>
      <c r="EM297" s="1">
        <f>(Table1[[#This Row],[predicted_7]]-Table1[[#This Row],[actual_7]])/Table1[[#This Row],[actual_7]]</f>
        <v>3.9883268482490269E-2</v>
      </c>
      <c r="EN297" s="1">
        <f>(Table1[[#This Row],[predicted_8]]-Table1[[#This Row],[actual_8]])/Table1[[#This Row],[actual_8]]</f>
        <v>-3.6960985626283367E-2</v>
      </c>
      <c r="EO297" s="1">
        <f>(Table1[[#This Row],[predicted_9]]-Table1[[#This Row],[actual_9]])/Table1[[#This Row],[actual_9]]</f>
        <v>-9.9108027750247768E-3</v>
      </c>
      <c r="EP297" s="1">
        <f>1+(Table1[[#This Row],[error_ratio_0]]-EF$2)</f>
        <v>1.013265306122449</v>
      </c>
      <c r="EQ297" s="1">
        <f>1+(Table1[[#This Row],[error_ratio_1]]-EG$2)</f>
        <v>0.98237885462555063</v>
      </c>
      <c r="ER297" s="1">
        <f>1+(Table1[[#This Row],[error_ratio_2]]-EH$2)</f>
        <v>1.0135658914728682</v>
      </c>
      <c r="ES297" s="1">
        <f>1+(Table1[[#This Row],[error_ratio_3]]-EI$2)</f>
        <v>0.9891089108910891</v>
      </c>
      <c r="ET297" s="1">
        <f>1+(Table1[[#This Row],[error_ratio_4]]-EJ$2)</f>
        <v>0.98268839103869654</v>
      </c>
      <c r="EU297" s="1">
        <f>1+(Table1[[#This Row],[error_ratio_5]]-EK$2)</f>
        <v>1.0493273542600896</v>
      </c>
      <c r="EV297" s="1">
        <f>1+(Table1[[#This Row],[error_ratio_6]]-EL$2)</f>
        <v>0.97599164926931103</v>
      </c>
      <c r="EW297" s="1">
        <f>1+(Table1[[#This Row],[error_ratio_7]]-EM$2)</f>
        <v>1.0379377431906616</v>
      </c>
      <c r="EX297" s="1">
        <f>1+(Table1[[#This Row],[error_ratio_8]]-EN$2)</f>
        <v>0.96611909650924022</v>
      </c>
      <c r="EY297" s="1">
        <f>1+(Table1[[#This Row],[error_ratio_9]]-EO$2)</f>
        <v>0.99405351833498512</v>
      </c>
    </row>
    <row r="298" spans="1:155" x14ac:dyDescent="0.75">
      <c r="A298">
        <v>10</v>
      </c>
      <c r="B298">
        <v>10</v>
      </c>
      <c r="C298">
        <v>100</v>
      </c>
      <c r="D298">
        <v>100</v>
      </c>
      <c r="E298">
        <v>100</v>
      </c>
      <c r="F298">
        <v>100</v>
      </c>
      <c r="G298">
        <v>10</v>
      </c>
      <c r="H298">
        <v>100</v>
      </c>
      <c r="I298">
        <v>10</v>
      </c>
      <c r="J298">
        <v>100</v>
      </c>
      <c r="K298">
        <v>962</v>
      </c>
      <c r="L298">
        <v>1091</v>
      </c>
      <c r="M298">
        <v>1074</v>
      </c>
      <c r="N298">
        <v>1033</v>
      </c>
      <c r="O298">
        <v>978</v>
      </c>
      <c r="P298">
        <v>1001</v>
      </c>
      <c r="Q298">
        <v>880</v>
      </c>
      <c r="R298">
        <v>1070</v>
      </c>
      <c r="S298">
        <v>900</v>
      </c>
      <c r="T298">
        <v>1011</v>
      </c>
      <c r="U298">
        <v>980</v>
      </c>
      <c r="V298">
        <v>1135</v>
      </c>
      <c r="W298">
        <v>1032</v>
      </c>
      <c r="X298">
        <v>1010</v>
      </c>
      <c r="Y298">
        <v>982</v>
      </c>
      <c r="Z298">
        <v>892</v>
      </c>
      <c r="AA298">
        <v>958</v>
      </c>
      <c r="AB298">
        <v>1028</v>
      </c>
      <c r="AC298">
        <v>974</v>
      </c>
      <c r="AD298">
        <v>1009</v>
      </c>
      <c r="AE298">
        <v>950</v>
      </c>
      <c r="AF298">
        <v>0</v>
      </c>
      <c r="AG298">
        <v>5</v>
      </c>
      <c r="AH298">
        <v>0</v>
      </c>
      <c r="AI298">
        <v>2</v>
      </c>
      <c r="AJ298">
        <v>7</v>
      </c>
      <c r="AK298">
        <v>3</v>
      </c>
      <c r="AL298">
        <v>6</v>
      </c>
      <c r="AM298">
        <v>0</v>
      </c>
      <c r="AN298">
        <v>7</v>
      </c>
      <c r="AO298">
        <v>0</v>
      </c>
      <c r="AP298">
        <v>1090</v>
      </c>
      <c r="AQ298">
        <v>4</v>
      </c>
      <c r="AR298">
        <v>8</v>
      </c>
      <c r="AS298">
        <v>3</v>
      </c>
      <c r="AT298">
        <v>5</v>
      </c>
      <c r="AU298">
        <v>4</v>
      </c>
      <c r="AV298">
        <v>19</v>
      </c>
      <c r="AW298">
        <v>2</v>
      </c>
      <c r="AX298">
        <v>0</v>
      </c>
      <c r="AY298">
        <v>0</v>
      </c>
      <c r="AZ298">
        <v>0</v>
      </c>
      <c r="BA298">
        <v>1025</v>
      </c>
      <c r="BB298">
        <v>1</v>
      </c>
      <c r="BC298">
        <v>0</v>
      </c>
      <c r="BD298">
        <v>0</v>
      </c>
      <c r="BE298">
        <v>0</v>
      </c>
      <c r="BF298">
        <v>6</v>
      </c>
      <c r="BG298">
        <v>0</v>
      </c>
      <c r="BH298">
        <v>0</v>
      </c>
      <c r="BI298">
        <v>0</v>
      </c>
      <c r="BJ298">
        <v>0</v>
      </c>
      <c r="BK298">
        <v>2</v>
      </c>
      <c r="BL298">
        <v>1000</v>
      </c>
      <c r="BM298">
        <v>0</v>
      </c>
      <c r="BN298">
        <v>6</v>
      </c>
      <c r="BO298">
        <v>0</v>
      </c>
      <c r="BP298">
        <v>1</v>
      </c>
      <c r="BQ298">
        <v>0</v>
      </c>
      <c r="BR298">
        <v>1</v>
      </c>
      <c r="BS298">
        <v>0</v>
      </c>
      <c r="BT298">
        <v>0</v>
      </c>
      <c r="BU298">
        <v>3</v>
      </c>
      <c r="BV298">
        <v>0</v>
      </c>
      <c r="BW298">
        <v>956</v>
      </c>
      <c r="BX298">
        <v>0</v>
      </c>
      <c r="BY298">
        <v>1</v>
      </c>
      <c r="BZ298">
        <v>2</v>
      </c>
      <c r="CA298">
        <v>1</v>
      </c>
      <c r="CB298">
        <v>19</v>
      </c>
      <c r="CC298">
        <v>0</v>
      </c>
      <c r="CD298">
        <v>0</v>
      </c>
      <c r="CE298">
        <v>1</v>
      </c>
      <c r="CF298">
        <v>5</v>
      </c>
      <c r="CG298">
        <v>0</v>
      </c>
      <c r="CH298">
        <v>885</v>
      </c>
      <c r="CI298">
        <v>1</v>
      </c>
      <c r="CJ298">
        <v>0</v>
      </c>
      <c r="CK298">
        <v>0</v>
      </c>
      <c r="CL298">
        <v>0</v>
      </c>
      <c r="CM298">
        <v>7</v>
      </c>
      <c r="CN298">
        <v>1</v>
      </c>
      <c r="CO298">
        <v>5</v>
      </c>
      <c r="CP298">
        <v>0</v>
      </c>
      <c r="CQ298">
        <v>13</v>
      </c>
      <c r="CR298">
        <v>60</v>
      </c>
      <c r="CS298">
        <v>871</v>
      </c>
      <c r="CT298">
        <v>0</v>
      </c>
      <c r="CU298">
        <v>1</v>
      </c>
      <c r="CV298">
        <v>0</v>
      </c>
      <c r="CW298">
        <v>0</v>
      </c>
      <c r="CX298">
        <v>0</v>
      </c>
      <c r="CY298">
        <v>6</v>
      </c>
      <c r="CZ298">
        <v>2</v>
      </c>
      <c r="DA298">
        <v>0</v>
      </c>
      <c r="DB298">
        <v>0</v>
      </c>
      <c r="DC298">
        <v>0</v>
      </c>
      <c r="DD298">
        <v>1019</v>
      </c>
      <c r="DE298">
        <v>1</v>
      </c>
      <c r="DF298">
        <v>0</v>
      </c>
      <c r="DG298">
        <v>4</v>
      </c>
      <c r="DH298">
        <v>0</v>
      </c>
      <c r="DI298">
        <v>22</v>
      </c>
      <c r="DJ298">
        <v>13</v>
      </c>
      <c r="DK298">
        <v>1</v>
      </c>
      <c r="DL298">
        <v>26</v>
      </c>
      <c r="DM298">
        <v>0</v>
      </c>
      <c r="DN298">
        <v>8</v>
      </c>
      <c r="DO298">
        <v>895</v>
      </c>
      <c r="DP298">
        <v>5</v>
      </c>
      <c r="DQ298">
        <v>1</v>
      </c>
      <c r="DR298">
        <v>0</v>
      </c>
      <c r="DS298">
        <v>1</v>
      </c>
      <c r="DT298">
        <v>4</v>
      </c>
      <c r="DU298">
        <v>3</v>
      </c>
      <c r="DV298">
        <v>12</v>
      </c>
      <c r="DW298">
        <v>0</v>
      </c>
      <c r="DX298">
        <v>9</v>
      </c>
      <c r="DY298">
        <v>0</v>
      </c>
      <c r="DZ298">
        <v>979</v>
      </c>
      <c r="EA298">
        <v>0.96699999999999997</v>
      </c>
      <c r="EB298">
        <v>0.96755625591852401</v>
      </c>
      <c r="EC298">
        <v>0.96683218321811304</v>
      </c>
      <c r="ED298">
        <v>0.96642574189173103</v>
      </c>
      <c r="EE298">
        <f>SUM(Table1[[#This Row],[ratio_0]:[ratio_9]])</f>
        <v>640</v>
      </c>
      <c r="EF298" s="1">
        <f>(Table1[[#This Row],[predicted_0]]-Table1[[#This Row],[actual_0]])/Table1[[#This Row],[actual_0]]</f>
        <v>-1.8367346938775512E-2</v>
      </c>
      <c r="EG298" s="1">
        <f>(Table1[[#This Row],[predicted_1]]-Table1[[#This Row],[actual_1]])/Table1[[#This Row],[actual_1]]</f>
        <v>-3.8766519823788544E-2</v>
      </c>
      <c r="EH298" s="1">
        <f>(Table1[[#This Row],[predicted_2]]-Table1[[#This Row],[actual_2]])/Table1[[#This Row],[actual_2]]</f>
        <v>4.0697674418604654E-2</v>
      </c>
      <c r="EI298" s="1">
        <f>(Table1[[#This Row],[predicted_3]]-Table1[[#This Row],[actual_3]])/Table1[[#This Row],[actual_3]]</f>
        <v>2.2772277227722772E-2</v>
      </c>
      <c r="EJ298" s="1">
        <f>(Table1[[#This Row],[predicted_4]]-Table1[[#This Row],[actual_4]])/Table1[[#This Row],[actual_4]]</f>
        <v>-4.0733197556008143E-3</v>
      </c>
      <c r="EK298" s="1">
        <f>(Table1[[#This Row],[predicted_5]]-Table1[[#This Row],[actual_5]])/Table1[[#This Row],[actual_5]]</f>
        <v>0.12219730941704036</v>
      </c>
      <c r="EL298" s="1">
        <f>(Table1[[#This Row],[predicted_6]]-Table1[[#This Row],[actual_6]])/Table1[[#This Row],[actual_6]]</f>
        <v>-8.1419624217118999E-2</v>
      </c>
      <c r="EM298" s="1">
        <f>(Table1[[#This Row],[predicted_7]]-Table1[[#This Row],[actual_7]])/Table1[[#This Row],[actual_7]]</f>
        <v>4.085603112840467E-2</v>
      </c>
      <c r="EN298" s="1">
        <f>(Table1[[#This Row],[predicted_8]]-Table1[[#This Row],[actual_8]])/Table1[[#This Row],[actual_8]]</f>
        <v>-7.5975359342915813E-2</v>
      </c>
      <c r="EO298" s="1">
        <f>(Table1[[#This Row],[predicted_9]]-Table1[[#This Row],[actual_9]])/Table1[[#This Row],[actual_9]]</f>
        <v>1.9821605550049554E-3</v>
      </c>
      <c r="EP298" s="1">
        <f>1+(Table1[[#This Row],[error_ratio_0]]-EF$2)</f>
        <v>0.97959183673469385</v>
      </c>
      <c r="EQ298" s="1">
        <f>1+(Table1[[#This Row],[error_ratio_1]]-EG$2)</f>
        <v>0.95947136563876656</v>
      </c>
      <c r="ER298" s="1">
        <f>1+(Table1[[#This Row],[error_ratio_2]]-EH$2)</f>
        <v>1.0455426356589148</v>
      </c>
      <c r="ES298" s="1">
        <f>1+(Table1[[#This Row],[error_ratio_3]]-EI$2)</f>
        <v>1.0128712871287129</v>
      </c>
      <c r="ET298" s="1">
        <f>1+(Table1[[#This Row],[error_ratio_4]]-EJ$2)</f>
        <v>0.99490835030549896</v>
      </c>
      <c r="EU298" s="1">
        <f>1+(Table1[[#This Row],[error_ratio_5]]-EK$2)</f>
        <v>1.1210762331838564</v>
      </c>
      <c r="EV298" s="1">
        <f>1+(Table1[[#This Row],[error_ratio_6]]-EL$2)</f>
        <v>0.92484342379958251</v>
      </c>
      <c r="EW298" s="1">
        <f>1+(Table1[[#This Row],[error_ratio_7]]-EM$2)</f>
        <v>1.038910505836576</v>
      </c>
      <c r="EX298" s="1">
        <f>1+(Table1[[#This Row],[error_ratio_8]]-EN$2)</f>
        <v>0.9271047227926078</v>
      </c>
      <c r="EY298" s="1">
        <f>1+(Table1[[#This Row],[error_ratio_9]]-EO$2)</f>
        <v>1.0059464816650148</v>
      </c>
    </row>
    <row r="299" spans="1:155" x14ac:dyDescent="0.75">
      <c r="A299">
        <v>100</v>
      </c>
      <c r="B299">
        <v>100</v>
      </c>
      <c r="C299">
        <v>10</v>
      </c>
      <c r="D299">
        <v>100</v>
      </c>
      <c r="E299">
        <v>100</v>
      </c>
      <c r="F299">
        <v>100</v>
      </c>
      <c r="G299">
        <v>10</v>
      </c>
      <c r="H299">
        <v>100</v>
      </c>
      <c r="I299">
        <v>10</v>
      </c>
      <c r="J299">
        <v>100</v>
      </c>
      <c r="K299">
        <v>1024</v>
      </c>
      <c r="L299">
        <v>1142</v>
      </c>
      <c r="M299">
        <v>944</v>
      </c>
      <c r="N299">
        <v>1030</v>
      </c>
      <c r="O299">
        <v>1006</v>
      </c>
      <c r="P299">
        <v>916</v>
      </c>
      <c r="Q299">
        <v>895</v>
      </c>
      <c r="R299">
        <v>1053</v>
      </c>
      <c r="S299">
        <v>919</v>
      </c>
      <c r="T299">
        <v>1071</v>
      </c>
      <c r="U299">
        <v>980</v>
      </c>
      <c r="V299">
        <v>1135</v>
      </c>
      <c r="W299">
        <v>1032</v>
      </c>
      <c r="X299">
        <v>1010</v>
      </c>
      <c r="Y299">
        <v>982</v>
      </c>
      <c r="Z299">
        <v>892</v>
      </c>
      <c r="AA299">
        <v>958</v>
      </c>
      <c r="AB299">
        <v>1028</v>
      </c>
      <c r="AC299">
        <v>974</v>
      </c>
      <c r="AD299">
        <v>1009</v>
      </c>
      <c r="AE299">
        <v>974</v>
      </c>
      <c r="AF299">
        <v>1</v>
      </c>
      <c r="AG299">
        <v>0</v>
      </c>
      <c r="AH299">
        <v>0</v>
      </c>
      <c r="AI299">
        <v>0</v>
      </c>
      <c r="AJ299">
        <v>1</v>
      </c>
      <c r="AK299">
        <v>1</v>
      </c>
      <c r="AL299">
        <v>1</v>
      </c>
      <c r="AM299">
        <v>1</v>
      </c>
      <c r="AN299">
        <v>1</v>
      </c>
      <c r="AO299">
        <v>0</v>
      </c>
      <c r="AP299">
        <v>1131</v>
      </c>
      <c r="AQ299">
        <v>0</v>
      </c>
      <c r="AR299">
        <v>1</v>
      </c>
      <c r="AS299">
        <v>1</v>
      </c>
      <c r="AT299">
        <v>1</v>
      </c>
      <c r="AU299">
        <v>1</v>
      </c>
      <c r="AV299">
        <v>0</v>
      </c>
      <c r="AW299">
        <v>0</v>
      </c>
      <c r="AX299">
        <v>0</v>
      </c>
      <c r="AY299">
        <v>15</v>
      </c>
      <c r="AZ299">
        <v>4</v>
      </c>
      <c r="BA299">
        <v>939</v>
      </c>
      <c r="BB299">
        <v>11</v>
      </c>
      <c r="BC299">
        <v>20</v>
      </c>
      <c r="BD299">
        <v>1</v>
      </c>
      <c r="BE299">
        <v>0</v>
      </c>
      <c r="BF299">
        <v>24</v>
      </c>
      <c r="BG299">
        <v>15</v>
      </c>
      <c r="BH299">
        <v>3</v>
      </c>
      <c r="BI299">
        <v>2</v>
      </c>
      <c r="BJ299">
        <v>0</v>
      </c>
      <c r="BK299">
        <v>1</v>
      </c>
      <c r="BL299">
        <v>999</v>
      </c>
      <c r="BM299">
        <v>0</v>
      </c>
      <c r="BN299">
        <v>2</v>
      </c>
      <c r="BO299">
        <v>0</v>
      </c>
      <c r="BP299">
        <v>2</v>
      </c>
      <c r="BQ299">
        <v>0</v>
      </c>
      <c r="BR299">
        <v>4</v>
      </c>
      <c r="BS299">
        <v>0</v>
      </c>
      <c r="BT299">
        <v>0</v>
      </c>
      <c r="BU299">
        <v>0</v>
      </c>
      <c r="BV299">
        <v>0</v>
      </c>
      <c r="BW299">
        <v>962</v>
      </c>
      <c r="BX299">
        <v>0</v>
      </c>
      <c r="BY299">
        <v>0</v>
      </c>
      <c r="BZ299">
        <v>0</v>
      </c>
      <c r="CA299">
        <v>0</v>
      </c>
      <c r="CB299">
        <v>20</v>
      </c>
      <c r="CC299">
        <v>3</v>
      </c>
      <c r="CD299">
        <v>0</v>
      </c>
      <c r="CE299">
        <v>0</v>
      </c>
      <c r="CF299">
        <v>7</v>
      </c>
      <c r="CG299">
        <v>0</v>
      </c>
      <c r="CH299">
        <v>876</v>
      </c>
      <c r="CI299">
        <v>1</v>
      </c>
      <c r="CJ299">
        <v>1</v>
      </c>
      <c r="CK299">
        <v>0</v>
      </c>
      <c r="CL299">
        <v>4</v>
      </c>
      <c r="CM299">
        <v>22</v>
      </c>
      <c r="CN299">
        <v>3</v>
      </c>
      <c r="CO299">
        <v>1</v>
      </c>
      <c r="CP299">
        <v>0</v>
      </c>
      <c r="CQ299">
        <v>19</v>
      </c>
      <c r="CR299">
        <v>21</v>
      </c>
      <c r="CS299">
        <v>892</v>
      </c>
      <c r="CT299">
        <v>0</v>
      </c>
      <c r="CU299">
        <v>0</v>
      </c>
      <c r="CV299">
        <v>0</v>
      </c>
      <c r="CW299">
        <v>0</v>
      </c>
      <c r="CX299">
        <v>3</v>
      </c>
      <c r="CY299">
        <v>1</v>
      </c>
      <c r="CZ299">
        <v>2</v>
      </c>
      <c r="DA299">
        <v>0</v>
      </c>
      <c r="DB299">
        <v>0</v>
      </c>
      <c r="DC299">
        <v>0</v>
      </c>
      <c r="DD299">
        <v>1012</v>
      </c>
      <c r="DE299">
        <v>1</v>
      </c>
      <c r="DF299">
        <v>9</v>
      </c>
      <c r="DG299">
        <v>7</v>
      </c>
      <c r="DH299">
        <v>0</v>
      </c>
      <c r="DI299">
        <v>2</v>
      </c>
      <c r="DJ299">
        <v>9</v>
      </c>
      <c r="DK299">
        <v>3</v>
      </c>
      <c r="DL299">
        <v>12</v>
      </c>
      <c r="DM299">
        <v>0</v>
      </c>
      <c r="DN299">
        <v>9</v>
      </c>
      <c r="DO299">
        <v>902</v>
      </c>
      <c r="DP299">
        <v>30</v>
      </c>
      <c r="DQ299">
        <v>1</v>
      </c>
      <c r="DR299">
        <v>0</v>
      </c>
      <c r="DS299">
        <v>0</v>
      </c>
      <c r="DT299">
        <v>1</v>
      </c>
      <c r="DU299">
        <v>1</v>
      </c>
      <c r="DV299">
        <v>2</v>
      </c>
      <c r="DW299">
        <v>0</v>
      </c>
      <c r="DX299">
        <v>4</v>
      </c>
      <c r="DY299">
        <v>0</v>
      </c>
      <c r="DZ299">
        <v>1000</v>
      </c>
      <c r="EA299">
        <v>0.96870000000000001</v>
      </c>
      <c r="EB299">
        <v>0.96916603771520204</v>
      </c>
      <c r="EC299">
        <v>0.96837427109894503</v>
      </c>
      <c r="ED299">
        <v>0.96820138369318098</v>
      </c>
      <c r="EE299">
        <f>SUM(Table1[[#This Row],[ratio_0]:[ratio_9]])</f>
        <v>730</v>
      </c>
      <c r="EF299" s="1">
        <f>(Table1[[#This Row],[predicted_0]]-Table1[[#This Row],[actual_0]])/Table1[[#This Row],[actual_0]]</f>
        <v>4.4897959183673466E-2</v>
      </c>
      <c r="EG299" s="1">
        <f>(Table1[[#This Row],[predicted_1]]-Table1[[#This Row],[actual_1]])/Table1[[#This Row],[actual_1]]</f>
        <v>6.1674008810572688E-3</v>
      </c>
      <c r="EH299" s="1">
        <f>(Table1[[#This Row],[predicted_2]]-Table1[[#This Row],[actual_2]])/Table1[[#This Row],[actual_2]]</f>
        <v>-8.5271317829457363E-2</v>
      </c>
      <c r="EI299" s="1">
        <f>(Table1[[#This Row],[predicted_3]]-Table1[[#This Row],[actual_3]])/Table1[[#This Row],[actual_3]]</f>
        <v>1.9801980198019802E-2</v>
      </c>
      <c r="EJ299" s="1">
        <f>(Table1[[#This Row],[predicted_4]]-Table1[[#This Row],[actual_4]])/Table1[[#This Row],[actual_4]]</f>
        <v>2.4439918533604887E-2</v>
      </c>
      <c r="EK299" s="1">
        <f>(Table1[[#This Row],[predicted_5]]-Table1[[#This Row],[actual_5]])/Table1[[#This Row],[actual_5]]</f>
        <v>2.6905829596412557E-2</v>
      </c>
      <c r="EL299" s="1">
        <f>(Table1[[#This Row],[predicted_6]]-Table1[[#This Row],[actual_6]])/Table1[[#This Row],[actual_6]]</f>
        <v>-6.5762004175365346E-2</v>
      </c>
      <c r="EM299" s="1">
        <f>(Table1[[#This Row],[predicted_7]]-Table1[[#This Row],[actual_7]])/Table1[[#This Row],[actual_7]]</f>
        <v>2.4319066147859923E-2</v>
      </c>
      <c r="EN299" s="1">
        <f>(Table1[[#This Row],[predicted_8]]-Table1[[#This Row],[actual_8]])/Table1[[#This Row],[actual_8]]</f>
        <v>-5.6468172484599587E-2</v>
      </c>
      <c r="EO299" s="1">
        <f>(Table1[[#This Row],[predicted_9]]-Table1[[#This Row],[actual_9]])/Table1[[#This Row],[actual_9]]</f>
        <v>6.1446977205153616E-2</v>
      </c>
      <c r="EP299" s="1">
        <f>1+(Table1[[#This Row],[error_ratio_0]]-EF$2)</f>
        <v>1.0428571428571429</v>
      </c>
      <c r="EQ299" s="1">
        <f>1+(Table1[[#This Row],[error_ratio_1]]-EG$2)</f>
        <v>1.0044052863436124</v>
      </c>
      <c r="ER299" s="1">
        <f>1+(Table1[[#This Row],[error_ratio_2]]-EH$2)</f>
        <v>0.91957364341085268</v>
      </c>
      <c r="ES299" s="1">
        <f>1+(Table1[[#This Row],[error_ratio_3]]-EI$2)</f>
        <v>1.0099009900990099</v>
      </c>
      <c r="ET299" s="1">
        <f>1+(Table1[[#This Row],[error_ratio_4]]-EJ$2)</f>
        <v>1.0234215885947047</v>
      </c>
      <c r="EU299" s="1">
        <f>1+(Table1[[#This Row],[error_ratio_5]]-EK$2)</f>
        <v>1.0257847533632287</v>
      </c>
      <c r="EV299" s="1">
        <f>1+(Table1[[#This Row],[error_ratio_6]]-EL$2)</f>
        <v>0.94050104384133615</v>
      </c>
      <c r="EW299" s="1">
        <f>1+(Table1[[#This Row],[error_ratio_7]]-EM$2)</f>
        <v>1.022373540856031</v>
      </c>
      <c r="EX299" s="1">
        <f>1+(Table1[[#This Row],[error_ratio_8]]-EN$2)</f>
        <v>0.94661190965092401</v>
      </c>
      <c r="EY299" s="1">
        <f>1+(Table1[[#This Row],[error_ratio_9]]-EO$2)</f>
        <v>1.0654112983151636</v>
      </c>
    </row>
    <row r="300" spans="1:155" x14ac:dyDescent="0.75">
      <c r="A300">
        <v>10</v>
      </c>
      <c r="B300">
        <v>100</v>
      </c>
      <c r="C300">
        <v>10</v>
      </c>
      <c r="D300">
        <v>100</v>
      </c>
      <c r="E300">
        <v>100</v>
      </c>
      <c r="F300">
        <v>100</v>
      </c>
      <c r="G300">
        <v>10</v>
      </c>
      <c r="H300">
        <v>100</v>
      </c>
      <c r="I300">
        <v>10</v>
      </c>
      <c r="J300">
        <v>100</v>
      </c>
      <c r="K300">
        <v>1005</v>
      </c>
      <c r="L300">
        <v>1150</v>
      </c>
      <c r="M300">
        <v>985</v>
      </c>
      <c r="N300">
        <v>1077</v>
      </c>
      <c r="O300">
        <v>987</v>
      </c>
      <c r="P300">
        <v>914</v>
      </c>
      <c r="Q300">
        <v>923</v>
      </c>
      <c r="R300">
        <v>1065</v>
      </c>
      <c r="S300">
        <v>896</v>
      </c>
      <c r="T300">
        <v>998</v>
      </c>
      <c r="U300">
        <v>980</v>
      </c>
      <c r="V300">
        <v>1135</v>
      </c>
      <c r="W300">
        <v>1032</v>
      </c>
      <c r="X300">
        <v>1010</v>
      </c>
      <c r="Y300">
        <v>982</v>
      </c>
      <c r="Z300">
        <v>892</v>
      </c>
      <c r="AA300">
        <v>958</v>
      </c>
      <c r="AB300">
        <v>1028</v>
      </c>
      <c r="AC300">
        <v>974</v>
      </c>
      <c r="AD300">
        <v>1009</v>
      </c>
      <c r="AE300">
        <v>971</v>
      </c>
      <c r="AF300">
        <v>1</v>
      </c>
      <c r="AG300">
        <v>0</v>
      </c>
      <c r="AH300">
        <v>1</v>
      </c>
      <c r="AI300">
        <v>0</v>
      </c>
      <c r="AJ300">
        <v>4</v>
      </c>
      <c r="AK300">
        <v>1</v>
      </c>
      <c r="AL300">
        <v>1</v>
      </c>
      <c r="AM300">
        <v>1</v>
      </c>
      <c r="AN300">
        <v>0</v>
      </c>
      <c r="AO300">
        <v>0</v>
      </c>
      <c r="AP300">
        <v>1131</v>
      </c>
      <c r="AQ300">
        <v>0</v>
      </c>
      <c r="AR300">
        <v>1</v>
      </c>
      <c r="AS300">
        <v>0</v>
      </c>
      <c r="AT300">
        <v>0</v>
      </c>
      <c r="AU300">
        <v>0</v>
      </c>
      <c r="AV300">
        <v>3</v>
      </c>
      <c r="AW300">
        <v>0</v>
      </c>
      <c r="AX300">
        <v>0</v>
      </c>
      <c r="AY300">
        <v>7</v>
      </c>
      <c r="AZ300">
        <v>6</v>
      </c>
      <c r="BA300">
        <v>972</v>
      </c>
      <c r="BB300">
        <v>19</v>
      </c>
      <c r="BC300">
        <v>3</v>
      </c>
      <c r="BD300">
        <v>1</v>
      </c>
      <c r="BE300">
        <v>1</v>
      </c>
      <c r="BF300">
        <v>18</v>
      </c>
      <c r="BG300">
        <v>5</v>
      </c>
      <c r="BH300">
        <v>0</v>
      </c>
      <c r="BI300">
        <v>0</v>
      </c>
      <c r="BJ300">
        <v>0</v>
      </c>
      <c r="BK300">
        <v>1</v>
      </c>
      <c r="BL300">
        <v>1005</v>
      </c>
      <c r="BM300">
        <v>0</v>
      </c>
      <c r="BN300">
        <v>2</v>
      </c>
      <c r="BO300">
        <v>0</v>
      </c>
      <c r="BP300">
        <v>2</v>
      </c>
      <c r="BQ300">
        <v>0</v>
      </c>
      <c r="BR300">
        <v>0</v>
      </c>
      <c r="BS300">
        <v>0</v>
      </c>
      <c r="BT300">
        <v>0</v>
      </c>
      <c r="BU300">
        <v>2</v>
      </c>
      <c r="BV300">
        <v>0</v>
      </c>
      <c r="BW300">
        <v>970</v>
      </c>
      <c r="BX300">
        <v>0</v>
      </c>
      <c r="BY300">
        <v>3</v>
      </c>
      <c r="BZ300">
        <v>2</v>
      </c>
      <c r="CA300">
        <v>0</v>
      </c>
      <c r="CB300">
        <v>5</v>
      </c>
      <c r="CC300">
        <v>3</v>
      </c>
      <c r="CD300">
        <v>0</v>
      </c>
      <c r="CE300">
        <v>0</v>
      </c>
      <c r="CF300">
        <v>8</v>
      </c>
      <c r="CG300">
        <v>0</v>
      </c>
      <c r="CH300">
        <v>878</v>
      </c>
      <c r="CI300">
        <v>1</v>
      </c>
      <c r="CJ300">
        <v>1</v>
      </c>
      <c r="CK300">
        <v>0</v>
      </c>
      <c r="CL300">
        <v>1</v>
      </c>
      <c r="CM300">
        <v>13</v>
      </c>
      <c r="CN300">
        <v>6</v>
      </c>
      <c r="CO300">
        <v>1</v>
      </c>
      <c r="CP300">
        <v>2</v>
      </c>
      <c r="CQ300">
        <v>6</v>
      </c>
      <c r="CR300">
        <v>15</v>
      </c>
      <c r="CS300">
        <v>915</v>
      </c>
      <c r="CT300">
        <v>0</v>
      </c>
      <c r="CU300">
        <v>0</v>
      </c>
      <c r="CV300">
        <v>0</v>
      </c>
      <c r="CW300">
        <v>0</v>
      </c>
      <c r="CX300">
        <v>2</v>
      </c>
      <c r="CY300">
        <v>4</v>
      </c>
      <c r="CZ300">
        <v>0</v>
      </c>
      <c r="DA300">
        <v>0</v>
      </c>
      <c r="DB300">
        <v>0</v>
      </c>
      <c r="DC300">
        <v>0</v>
      </c>
      <c r="DD300">
        <v>1022</v>
      </c>
      <c r="DE300">
        <v>0</v>
      </c>
      <c r="DF300">
        <v>0</v>
      </c>
      <c r="DG300">
        <v>8</v>
      </c>
      <c r="DH300">
        <v>1</v>
      </c>
      <c r="DI300">
        <v>5</v>
      </c>
      <c r="DJ300">
        <v>38</v>
      </c>
      <c r="DK300">
        <v>4</v>
      </c>
      <c r="DL300">
        <v>9</v>
      </c>
      <c r="DM300">
        <v>2</v>
      </c>
      <c r="DN300">
        <v>9</v>
      </c>
      <c r="DO300">
        <v>890</v>
      </c>
      <c r="DP300">
        <v>8</v>
      </c>
      <c r="DQ300">
        <v>3</v>
      </c>
      <c r="DR300">
        <v>3</v>
      </c>
      <c r="DS300">
        <v>0</v>
      </c>
      <c r="DT300">
        <v>3</v>
      </c>
      <c r="DU300">
        <v>4</v>
      </c>
      <c r="DV300">
        <v>5</v>
      </c>
      <c r="DW300">
        <v>0</v>
      </c>
      <c r="DX300">
        <v>7</v>
      </c>
      <c r="DY300">
        <v>0</v>
      </c>
      <c r="DZ300">
        <v>984</v>
      </c>
      <c r="EA300">
        <v>0.9738</v>
      </c>
      <c r="EB300">
        <v>0.97432183980052101</v>
      </c>
      <c r="EC300">
        <v>0.97345459809303803</v>
      </c>
      <c r="ED300">
        <v>0.97346857359494698</v>
      </c>
      <c r="EE300">
        <f>SUM(Table1[[#This Row],[ratio_0]:[ratio_9]])</f>
        <v>640</v>
      </c>
      <c r="EF300" s="1">
        <f>(Table1[[#This Row],[predicted_0]]-Table1[[#This Row],[actual_0]])/Table1[[#This Row],[actual_0]]</f>
        <v>2.5510204081632654E-2</v>
      </c>
      <c r="EG300" s="1">
        <f>(Table1[[#This Row],[predicted_1]]-Table1[[#This Row],[actual_1]])/Table1[[#This Row],[actual_1]]</f>
        <v>1.3215859030837005E-2</v>
      </c>
      <c r="EH300" s="1">
        <f>(Table1[[#This Row],[predicted_2]]-Table1[[#This Row],[actual_2]])/Table1[[#This Row],[actual_2]]</f>
        <v>-4.5542635658914726E-2</v>
      </c>
      <c r="EI300" s="1">
        <f>(Table1[[#This Row],[predicted_3]]-Table1[[#This Row],[actual_3]])/Table1[[#This Row],[actual_3]]</f>
        <v>6.633663366336634E-2</v>
      </c>
      <c r="EJ300" s="1">
        <f>(Table1[[#This Row],[predicted_4]]-Table1[[#This Row],[actual_4]])/Table1[[#This Row],[actual_4]]</f>
        <v>5.0916496945010185E-3</v>
      </c>
      <c r="EK300" s="1">
        <f>(Table1[[#This Row],[predicted_5]]-Table1[[#This Row],[actual_5]])/Table1[[#This Row],[actual_5]]</f>
        <v>2.4663677130044841E-2</v>
      </c>
      <c r="EL300" s="1">
        <f>(Table1[[#This Row],[predicted_6]]-Table1[[#This Row],[actual_6]])/Table1[[#This Row],[actual_6]]</f>
        <v>-3.6534446764091857E-2</v>
      </c>
      <c r="EM300" s="1">
        <f>(Table1[[#This Row],[predicted_7]]-Table1[[#This Row],[actual_7]])/Table1[[#This Row],[actual_7]]</f>
        <v>3.5992217898832682E-2</v>
      </c>
      <c r="EN300" s="1">
        <f>(Table1[[#This Row],[predicted_8]]-Table1[[#This Row],[actual_8]])/Table1[[#This Row],[actual_8]]</f>
        <v>-8.0082135523613956E-2</v>
      </c>
      <c r="EO300" s="1">
        <f>(Table1[[#This Row],[predicted_9]]-Table1[[#This Row],[actual_9]])/Table1[[#This Row],[actual_9]]</f>
        <v>-1.0901883052527254E-2</v>
      </c>
      <c r="EP300" s="1">
        <f>1+(Table1[[#This Row],[error_ratio_0]]-EF$2)</f>
        <v>1.023469387755102</v>
      </c>
      <c r="EQ300" s="1">
        <f>1+(Table1[[#This Row],[error_ratio_1]]-EG$2)</f>
        <v>1.011453744493392</v>
      </c>
      <c r="ER300" s="1">
        <f>1+(Table1[[#This Row],[error_ratio_2]]-EH$2)</f>
        <v>0.95930232558139539</v>
      </c>
      <c r="ES300" s="1">
        <f>1+(Table1[[#This Row],[error_ratio_3]]-EI$2)</f>
        <v>1.0564356435643565</v>
      </c>
      <c r="ET300" s="1">
        <f>1+(Table1[[#This Row],[error_ratio_4]]-EJ$2)</f>
        <v>1.0040733197556009</v>
      </c>
      <c r="EU300" s="1">
        <f>1+(Table1[[#This Row],[error_ratio_5]]-EK$2)</f>
        <v>1.0235426008968609</v>
      </c>
      <c r="EV300" s="1">
        <f>1+(Table1[[#This Row],[error_ratio_6]]-EL$2)</f>
        <v>0.96972860125260962</v>
      </c>
      <c r="EW300" s="1">
        <f>1+(Table1[[#This Row],[error_ratio_7]]-EM$2)</f>
        <v>1.034046692607004</v>
      </c>
      <c r="EX300" s="1">
        <f>1+(Table1[[#This Row],[error_ratio_8]]-EN$2)</f>
        <v>0.9229979466119097</v>
      </c>
      <c r="EY300" s="1">
        <f>1+(Table1[[#This Row],[error_ratio_9]]-EO$2)</f>
        <v>0.99306243805748262</v>
      </c>
    </row>
    <row r="301" spans="1:155" x14ac:dyDescent="0.75">
      <c r="A301">
        <v>100</v>
      </c>
      <c r="B301">
        <v>10</v>
      </c>
      <c r="C301">
        <v>10</v>
      </c>
      <c r="D301">
        <v>100</v>
      </c>
      <c r="E301">
        <v>100</v>
      </c>
      <c r="F301">
        <v>100</v>
      </c>
      <c r="G301">
        <v>10</v>
      </c>
      <c r="H301">
        <v>100</v>
      </c>
      <c r="I301">
        <v>10</v>
      </c>
      <c r="J301">
        <v>100</v>
      </c>
      <c r="K301">
        <v>1008</v>
      </c>
      <c r="L301">
        <v>1117</v>
      </c>
      <c r="M301">
        <v>927</v>
      </c>
      <c r="N301">
        <v>1057</v>
      </c>
      <c r="O301">
        <v>1016</v>
      </c>
      <c r="P301">
        <v>935</v>
      </c>
      <c r="Q301">
        <v>883</v>
      </c>
      <c r="R301">
        <v>1117</v>
      </c>
      <c r="S301">
        <v>890</v>
      </c>
      <c r="T301">
        <v>1050</v>
      </c>
      <c r="U301">
        <v>980</v>
      </c>
      <c r="V301">
        <v>1135</v>
      </c>
      <c r="W301">
        <v>1032</v>
      </c>
      <c r="X301">
        <v>1010</v>
      </c>
      <c r="Y301">
        <v>982</v>
      </c>
      <c r="Z301">
        <v>892</v>
      </c>
      <c r="AA301">
        <v>958</v>
      </c>
      <c r="AB301">
        <v>1028</v>
      </c>
      <c r="AC301">
        <v>974</v>
      </c>
      <c r="AD301">
        <v>1009</v>
      </c>
      <c r="AE301">
        <v>970</v>
      </c>
      <c r="AF301">
        <v>0</v>
      </c>
      <c r="AG301">
        <v>0</v>
      </c>
      <c r="AH301">
        <v>1</v>
      </c>
      <c r="AI301">
        <v>0</v>
      </c>
      <c r="AJ301">
        <v>1</v>
      </c>
      <c r="AK301">
        <v>0</v>
      </c>
      <c r="AL301">
        <v>7</v>
      </c>
      <c r="AM301">
        <v>0</v>
      </c>
      <c r="AN301">
        <v>1</v>
      </c>
      <c r="AO301">
        <v>0</v>
      </c>
      <c r="AP301">
        <v>1113</v>
      </c>
      <c r="AQ301">
        <v>1</v>
      </c>
      <c r="AR301">
        <v>4</v>
      </c>
      <c r="AS301">
        <v>3</v>
      </c>
      <c r="AT301">
        <v>3</v>
      </c>
      <c r="AU301">
        <v>3</v>
      </c>
      <c r="AV301">
        <v>5</v>
      </c>
      <c r="AW301">
        <v>0</v>
      </c>
      <c r="AX301">
        <v>3</v>
      </c>
      <c r="AY301">
        <v>10</v>
      </c>
      <c r="AZ301">
        <v>0</v>
      </c>
      <c r="BA301">
        <v>920</v>
      </c>
      <c r="BB301">
        <v>13</v>
      </c>
      <c r="BC301">
        <v>14</v>
      </c>
      <c r="BD301">
        <v>2</v>
      </c>
      <c r="BE301">
        <v>0</v>
      </c>
      <c r="BF301">
        <v>65</v>
      </c>
      <c r="BG301">
        <v>5</v>
      </c>
      <c r="BH301">
        <v>3</v>
      </c>
      <c r="BI301">
        <v>0</v>
      </c>
      <c r="BJ301">
        <v>0</v>
      </c>
      <c r="BK301">
        <v>0</v>
      </c>
      <c r="BL301">
        <v>1003</v>
      </c>
      <c r="BM301">
        <v>0</v>
      </c>
      <c r="BN301">
        <v>3</v>
      </c>
      <c r="BO301">
        <v>0</v>
      </c>
      <c r="BP301">
        <v>3</v>
      </c>
      <c r="BQ301">
        <v>0</v>
      </c>
      <c r="BR301">
        <v>1</v>
      </c>
      <c r="BS301">
        <v>0</v>
      </c>
      <c r="BT301">
        <v>0</v>
      </c>
      <c r="BU301">
        <v>0</v>
      </c>
      <c r="BV301">
        <v>0</v>
      </c>
      <c r="BW301">
        <v>971</v>
      </c>
      <c r="BX301">
        <v>0</v>
      </c>
      <c r="BY301">
        <v>0</v>
      </c>
      <c r="BZ301">
        <v>1</v>
      </c>
      <c r="CA301">
        <v>0</v>
      </c>
      <c r="CB301">
        <v>10</v>
      </c>
      <c r="CC301">
        <v>2</v>
      </c>
      <c r="CD301">
        <v>0</v>
      </c>
      <c r="CE301">
        <v>0</v>
      </c>
      <c r="CF301">
        <v>12</v>
      </c>
      <c r="CG301">
        <v>0</v>
      </c>
      <c r="CH301">
        <v>875</v>
      </c>
      <c r="CI301">
        <v>1</v>
      </c>
      <c r="CJ301">
        <v>1</v>
      </c>
      <c r="CK301">
        <v>0</v>
      </c>
      <c r="CL301">
        <v>1</v>
      </c>
      <c r="CM301">
        <v>19</v>
      </c>
      <c r="CN301">
        <v>3</v>
      </c>
      <c r="CO301">
        <v>1</v>
      </c>
      <c r="CP301">
        <v>1</v>
      </c>
      <c r="CQ301">
        <v>20</v>
      </c>
      <c r="CR301">
        <v>36</v>
      </c>
      <c r="CS301">
        <v>878</v>
      </c>
      <c r="CT301">
        <v>0</v>
      </c>
      <c r="CU301">
        <v>0</v>
      </c>
      <c r="CV301">
        <v>0</v>
      </c>
      <c r="CW301">
        <v>0</v>
      </c>
      <c r="CX301">
        <v>0</v>
      </c>
      <c r="CY301">
        <v>1</v>
      </c>
      <c r="CZ301">
        <v>1</v>
      </c>
      <c r="DA301">
        <v>1</v>
      </c>
      <c r="DB301">
        <v>0</v>
      </c>
      <c r="DC301">
        <v>0</v>
      </c>
      <c r="DD301">
        <v>1023</v>
      </c>
      <c r="DE301">
        <v>1</v>
      </c>
      <c r="DF301">
        <v>1</v>
      </c>
      <c r="DG301">
        <v>5</v>
      </c>
      <c r="DH301">
        <v>1</v>
      </c>
      <c r="DI301">
        <v>4</v>
      </c>
      <c r="DJ301">
        <v>19</v>
      </c>
      <c r="DK301">
        <v>5</v>
      </c>
      <c r="DL301">
        <v>13</v>
      </c>
      <c r="DM301">
        <v>1</v>
      </c>
      <c r="DN301">
        <v>5</v>
      </c>
      <c r="DO301">
        <v>884</v>
      </c>
      <c r="DP301">
        <v>37</v>
      </c>
      <c r="DQ301">
        <v>2</v>
      </c>
      <c r="DR301">
        <v>0</v>
      </c>
      <c r="DS301">
        <v>0</v>
      </c>
      <c r="DT301">
        <v>3</v>
      </c>
      <c r="DU301">
        <v>2</v>
      </c>
      <c r="DV301">
        <v>2</v>
      </c>
      <c r="DW301">
        <v>0</v>
      </c>
      <c r="DX301">
        <v>7</v>
      </c>
      <c r="DY301">
        <v>0</v>
      </c>
      <c r="DZ301">
        <v>993</v>
      </c>
      <c r="EA301">
        <v>0.96299999999999997</v>
      </c>
      <c r="EB301">
        <v>0.96407750943485004</v>
      </c>
      <c r="EC301">
        <v>0.96280640396864903</v>
      </c>
      <c r="ED301">
        <v>0.96245989129878595</v>
      </c>
      <c r="EE301">
        <f>SUM(Table1[[#This Row],[ratio_0]:[ratio_9]])</f>
        <v>640</v>
      </c>
      <c r="EF301" s="1">
        <f>(Table1[[#This Row],[predicted_0]]-Table1[[#This Row],[actual_0]])/Table1[[#This Row],[actual_0]]</f>
        <v>2.8571428571428571E-2</v>
      </c>
      <c r="EG301" s="1">
        <f>(Table1[[#This Row],[predicted_1]]-Table1[[#This Row],[actual_1]])/Table1[[#This Row],[actual_1]]</f>
        <v>-1.5859030837004406E-2</v>
      </c>
      <c r="EH301" s="1">
        <f>(Table1[[#This Row],[predicted_2]]-Table1[[#This Row],[actual_2]])/Table1[[#This Row],[actual_2]]</f>
        <v>-0.10174418604651163</v>
      </c>
      <c r="EI301" s="1">
        <f>(Table1[[#This Row],[predicted_3]]-Table1[[#This Row],[actual_3]])/Table1[[#This Row],[actual_3]]</f>
        <v>4.6534653465346534E-2</v>
      </c>
      <c r="EJ301" s="1">
        <f>(Table1[[#This Row],[predicted_4]]-Table1[[#This Row],[actual_4]])/Table1[[#This Row],[actual_4]]</f>
        <v>3.4623217922606926E-2</v>
      </c>
      <c r="EK301" s="1">
        <f>(Table1[[#This Row],[predicted_5]]-Table1[[#This Row],[actual_5]])/Table1[[#This Row],[actual_5]]</f>
        <v>4.820627802690583E-2</v>
      </c>
      <c r="EL301" s="1">
        <f>(Table1[[#This Row],[predicted_6]]-Table1[[#This Row],[actual_6]])/Table1[[#This Row],[actual_6]]</f>
        <v>-7.8288100208768266E-2</v>
      </c>
      <c r="EM301" s="1">
        <f>(Table1[[#This Row],[predicted_7]]-Table1[[#This Row],[actual_7]])/Table1[[#This Row],[actual_7]]</f>
        <v>8.6575875486381321E-2</v>
      </c>
      <c r="EN301" s="1">
        <f>(Table1[[#This Row],[predicted_8]]-Table1[[#This Row],[actual_8]])/Table1[[#This Row],[actual_8]]</f>
        <v>-8.6242299794661192E-2</v>
      </c>
      <c r="EO301" s="1">
        <f>(Table1[[#This Row],[predicted_9]]-Table1[[#This Row],[actual_9]])/Table1[[#This Row],[actual_9]]</f>
        <v>4.0634291377601585E-2</v>
      </c>
      <c r="EP301" s="1">
        <f>1+(Table1[[#This Row],[error_ratio_0]]-EF$2)</f>
        <v>1.0265306122448981</v>
      </c>
      <c r="EQ301" s="1">
        <f>1+(Table1[[#This Row],[error_ratio_1]]-EG$2)</f>
        <v>0.98237885462555063</v>
      </c>
      <c r="ER301" s="1">
        <f>1+(Table1[[#This Row],[error_ratio_2]]-EH$2)</f>
        <v>0.9031007751937985</v>
      </c>
      <c r="ES301" s="1">
        <f>1+(Table1[[#This Row],[error_ratio_3]]-EI$2)</f>
        <v>1.0366336633663367</v>
      </c>
      <c r="ET301" s="1">
        <f>1+(Table1[[#This Row],[error_ratio_4]]-EJ$2)</f>
        <v>1.0336048879837068</v>
      </c>
      <c r="EU301" s="1">
        <f>1+(Table1[[#This Row],[error_ratio_5]]-EK$2)</f>
        <v>1.047085201793722</v>
      </c>
      <c r="EV301" s="1">
        <f>1+(Table1[[#This Row],[error_ratio_6]]-EL$2)</f>
        <v>0.92797494780793321</v>
      </c>
      <c r="EW301" s="1">
        <f>1+(Table1[[#This Row],[error_ratio_7]]-EM$2)</f>
        <v>1.0846303501945525</v>
      </c>
      <c r="EX301" s="1">
        <f>1+(Table1[[#This Row],[error_ratio_8]]-EN$2)</f>
        <v>0.91683778234086244</v>
      </c>
      <c r="EY301" s="1">
        <f>1+(Table1[[#This Row],[error_ratio_9]]-EO$2)</f>
        <v>1.0445986124876114</v>
      </c>
    </row>
    <row r="302" spans="1:155" x14ac:dyDescent="0.75">
      <c r="A302">
        <v>10</v>
      </c>
      <c r="B302">
        <v>10</v>
      </c>
      <c r="C302">
        <v>10</v>
      </c>
      <c r="D302">
        <v>100</v>
      </c>
      <c r="E302">
        <v>100</v>
      </c>
      <c r="F302">
        <v>100</v>
      </c>
      <c r="G302">
        <v>10</v>
      </c>
      <c r="H302">
        <v>100</v>
      </c>
      <c r="I302">
        <v>10</v>
      </c>
      <c r="J302">
        <v>100</v>
      </c>
      <c r="K302">
        <v>989</v>
      </c>
      <c r="L302">
        <v>1114</v>
      </c>
      <c r="M302">
        <v>1022</v>
      </c>
      <c r="N302">
        <v>1051</v>
      </c>
      <c r="O302">
        <v>994</v>
      </c>
      <c r="P302">
        <v>949</v>
      </c>
      <c r="Q302">
        <v>916</v>
      </c>
      <c r="R302">
        <v>1089</v>
      </c>
      <c r="S302">
        <v>883</v>
      </c>
      <c r="T302">
        <v>993</v>
      </c>
      <c r="U302">
        <v>980</v>
      </c>
      <c r="V302">
        <v>1135</v>
      </c>
      <c r="W302">
        <v>1032</v>
      </c>
      <c r="X302">
        <v>1010</v>
      </c>
      <c r="Y302">
        <v>982</v>
      </c>
      <c r="Z302">
        <v>892</v>
      </c>
      <c r="AA302">
        <v>958</v>
      </c>
      <c r="AB302">
        <v>1028</v>
      </c>
      <c r="AC302">
        <v>974</v>
      </c>
      <c r="AD302">
        <v>1009</v>
      </c>
      <c r="AE302">
        <v>965</v>
      </c>
      <c r="AF302">
        <v>1</v>
      </c>
      <c r="AG302">
        <v>1</v>
      </c>
      <c r="AH302">
        <v>0</v>
      </c>
      <c r="AI302">
        <v>0</v>
      </c>
      <c r="AJ302">
        <v>3</v>
      </c>
      <c r="AK302">
        <v>4</v>
      </c>
      <c r="AL302">
        <v>3</v>
      </c>
      <c r="AM302">
        <v>1</v>
      </c>
      <c r="AN302">
        <v>2</v>
      </c>
      <c r="AO302">
        <v>0</v>
      </c>
      <c r="AP302">
        <v>1105</v>
      </c>
      <c r="AQ302">
        <v>6</v>
      </c>
      <c r="AR302">
        <v>7</v>
      </c>
      <c r="AS302">
        <v>1</v>
      </c>
      <c r="AT302">
        <v>1</v>
      </c>
      <c r="AU302">
        <v>1</v>
      </c>
      <c r="AV302">
        <v>10</v>
      </c>
      <c r="AW302">
        <v>1</v>
      </c>
      <c r="AX302">
        <v>3</v>
      </c>
      <c r="AY302">
        <v>9</v>
      </c>
      <c r="AZ302">
        <v>0</v>
      </c>
      <c r="BA302">
        <v>988</v>
      </c>
      <c r="BB302">
        <v>8</v>
      </c>
      <c r="BC302">
        <v>3</v>
      </c>
      <c r="BD302">
        <v>1</v>
      </c>
      <c r="BE302">
        <v>0</v>
      </c>
      <c r="BF302">
        <v>19</v>
      </c>
      <c r="BG302">
        <v>2</v>
      </c>
      <c r="BH302">
        <v>2</v>
      </c>
      <c r="BI302">
        <v>0</v>
      </c>
      <c r="BJ302">
        <v>0</v>
      </c>
      <c r="BK302">
        <v>2</v>
      </c>
      <c r="BL302">
        <v>1000</v>
      </c>
      <c r="BM302">
        <v>0</v>
      </c>
      <c r="BN302">
        <v>3</v>
      </c>
      <c r="BO302">
        <v>0</v>
      </c>
      <c r="BP302">
        <v>5</v>
      </c>
      <c r="BQ302">
        <v>0</v>
      </c>
      <c r="BR302">
        <v>0</v>
      </c>
      <c r="BS302">
        <v>1</v>
      </c>
      <c r="BT302">
        <v>0</v>
      </c>
      <c r="BU302">
        <v>6</v>
      </c>
      <c r="BV302">
        <v>0</v>
      </c>
      <c r="BW302">
        <v>968</v>
      </c>
      <c r="BX302">
        <v>0</v>
      </c>
      <c r="BY302">
        <v>1</v>
      </c>
      <c r="BZ302">
        <v>1</v>
      </c>
      <c r="CA302">
        <v>0</v>
      </c>
      <c r="CB302">
        <v>5</v>
      </c>
      <c r="CC302">
        <v>1</v>
      </c>
      <c r="CD302">
        <v>0</v>
      </c>
      <c r="CE302">
        <v>0</v>
      </c>
      <c r="CF302">
        <v>8</v>
      </c>
      <c r="CG302">
        <v>0</v>
      </c>
      <c r="CH302">
        <v>883</v>
      </c>
      <c r="CI302">
        <v>0</v>
      </c>
      <c r="CJ302">
        <v>0</v>
      </c>
      <c r="CK302">
        <v>0</v>
      </c>
      <c r="CL302">
        <v>0</v>
      </c>
      <c r="CM302">
        <v>7</v>
      </c>
      <c r="CN302">
        <v>6</v>
      </c>
      <c r="CO302">
        <v>3</v>
      </c>
      <c r="CP302">
        <v>0</v>
      </c>
      <c r="CQ302">
        <v>1</v>
      </c>
      <c r="CR302">
        <v>29</v>
      </c>
      <c r="CS302">
        <v>910</v>
      </c>
      <c r="CT302">
        <v>0</v>
      </c>
      <c r="CU302">
        <v>2</v>
      </c>
      <c r="CV302">
        <v>0</v>
      </c>
      <c r="CW302">
        <v>0</v>
      </c>
      <c r="CX302">
        <v>1</v>
      </c>
      <c r="CY302">
        <v>7</v>
      </c>
      <c r="CZ302">
        <v>0</v>
      </c>
      <c r="DA302">
        <v>0</v>
      </c>
      <c r="DB302">
        <v>0</v>
      </c>
      <c r="DC302">
        <v>0</v>
      </c>
      <c r="DD302">
        <v>1020</v>
      </c>
      <c r="DE302">
        <v>0</v>
      </c>
      <c r="DF302">
        <v>0</v>
      </c>
      <c r="DG302">
        <v>5</v>
      </c>
      <c r="DH302">
        <v>1</v>
      </c>
      <c r="DI302">
        <v>9</v>
      </c>
      <c r="DJ302">
        <v>26</v>
      </c>
      <c r="DK302">
        <v>9</v>
      </c>
      <c r="DL302">
        <v>20</v>
      </c>
      <c r="DM302">
        <v>0</v>
      </c>
      <c r="DN302">
        <v>22</v>
      </c>
      <c r="DO302">
        <v>875</v>
      </c>
      <c r="DP302">
        <v>7</v>
      </c>
      <c r="DQ302">
        <v>1</v>
      </c>
      <c r="DR302">
        <v>0</v>
      </c>
      <c r="DS302">
        <v>0</v>
      </c>
      <c r="DT302">
        <v>2</v>
      </c>
      <c r="DU302">
        <v>12</v>
      </c>
      <c r="DV302">
        <v>9</v>
      </c>
      <c r="DW302">
        <v>0</v>
      </c>
      <c r="DX302">
        <v>9</v>
      </c>
      <c r="DY302">
        <v>2</v>
      </c>
      <c r="DZ302">
        <v>974</v>
      </c>
      <c r="EA302">
        <v>0.96879999999999999</v>
      </c>
      <c r="EB302">
        <v>0.96920518600327099</v>
      </c>
      <c r="EC302">
        <v>0.96871621997465496</v>
      </c>
      <c r="ED302">
        <v>0.96845179036307605</v>
      </c>
      <c r="EE302">
        <f>SUM(Table1[[#This Row],[ratio_0]:[ratio_9]])</f>
        <v>550</v>
      </c>
      <c r="EF302" s="1">
        <f>(Table1[[#This Row],[predicted_0]]-Table1[[#This Row],[actual_0]])/Table1[[#This Row],[actual_0]]</f>
        <v>9.1836734693877559E-3</v>
      </c>
      <c r="EG302" s="1">
        <f>(Table1[[#This Row],[predicted_1]]-Table1[[#This Row],[actual_1]])/Table1[[#This Row],[actual_1]]</f>
        <v>-1.8502202643171806E-2</v>
      </c>
      <c r="EH302" s="1">
        <f>(Table1[[#This Row],[predicted_2]]-Table1[[#This Row],[actual_2]])/Table1[[#This Row],[actual_2]]</f>
        <v>-9.6899224806201549E-3</v>
      </c>
      <c r="EI302" s="1">
        <f>(Table1[[#This Row],[predicted_3]]-Table1[[#This Row],[actual_3]])/Table1[[#This Row],[actual_3]]</f>
        <v>4.0594059405940595E-2</v>
      </c>
      <c r="EJ302" s="1">
        <f>(Table1[[#This Row],[predicted_4]]-Table1[[#This Row],[actual_4]])/Table1[[#This Row],[actual_4]]</f>
        <v>1.2219959266802444E-2</v>
      </c>
      <c r="EK302" s="1">
        <f>(Table1[[#This Row],[predicted_5]]-Table1[[#This Row],[actual_5]])/Table1[[#This Row],[actual_5]]</f>
        <v>6.3901345291479825E-2</v>
      </c>
      <c r="EL302" s="1">
        <f>(Table1[[#This Row],[predicted_6]]-Table1[[#This Row],[actual_6]])/Table1[[#This Row],[actual_6]]</f>
        <v>-4.3841336116910233E-2</v>
      </c>
      <c r="EM302" s="1">
        <f>(Table1[[#This Row],[predicted_7]]-Table1[[#This Row],[actual_7]])/Table1[[#This Row],[actual_7]]</f>
        <v>5.9338521400778207E-2</v>
      </c>
      <c r="EN302" s="1">
        <f>(Table1[[#This Row],[predicted_8]]-Table1[[#This Row],[actual_8]])/Table1[[#This Row],[actual_8]]</f>
        <v>-9.3429158110882954E-2</v>
      </c>
      <c r="EO302" s="1">
        <f>(Table1[[#This Row],[predicted_9]]-Table1[[#This Row],[actual_9]])/Table1[[#This Row],[actual_9]]</f>
        <v>-1.5857284440039643E-2</v>
      </c>
      <c r="EP302" s="1">
        <f>1+(Table1[[#This Row],[error_ratio_0]]-EF$2)</f>
        <v>1.0071428571428571</v>
      </c>
      <c r="EQ302" s="1">
        <f>1+(Table1[[#This Row],[error_ratio_1]]-EG$2)</f>
        <v>0.97973568281938328</v>
      </c>
      <c r="ER302" s="1">
        <f>1+(Table1[[#This Row],[error_ratio_2]]-EH$2)</f>
        <v>0.99515503875968991</v>
      </c>
      <c r="ES302" s="1">
        <f>1+(Table1[[#This Row],[error_ratio_3]]-EI$2)</f>
        <v>1.0306930693069307</v>
      </c>
      <c r="ET302" s="1">
        <f>1+(Table1[[#This Row],[error_ratio_4]]-EJ$2)</f>
        <v>1.0112016293279023</v>
      </c>
      <c r="EU302" s="1">
        <f>1+(Table1[[#This Row],[error_ratio_5]]-EK$2)</f>
        <v>1.0627802690582959</v>
      </c>
      <c r="EV302" s="1">
        <f>1+(Table1[[#This Row],[error_ratio_6]]-EL$2)</f>
        <v>0.9624217118997912</v>
      </c>
      <c r="EW302" s="1">
        <f>1+(Table1[[#This Row],[error_ratio_7]]-EM$2)</f>
        <v>1.0573929961089494</v>
      </c>
      <c r="EX302" s="1">
        <f>1+(Table1[[#This Row],[error_ratio_8]]-EN$2)</f>
        <v>0.90965092402464065</v>
      </c>
      <c r="EY302" s="1">
        <f>1+(Table1[[#This Row],[error_ratio_9]]-EO$2)</f>
        <v>0.98810703666997024</v>
      </c>
    </row>
    <row r="303" spans="1:155" x14ac:dyDescent="0.75">
      <c r="A303">
        <v>100</v>
      </c>
      <c r="B303">
        <v>100</v>
      </c>
      <c r="C303">
        <v>100</v>
      </c>
      <c r="D303">
        <v>10</v>
      </c>
      <c r="E303">
        <v>100</v>
      </c>
      <c r="F303">
        <v>100</v>
      </c>
      <c r="G303">
        <v>10</v>
      </c>
      <c r="H303">
        <v>100</v>
      </c>
      <c r="I303">
        <v>10</v>
      </c>
      <c r="J303">
        <v>100</v>
      </c>
      <c r="K303">
        <v>1021</v>
      </c>
      <c r="L303">
        <v>1160</v>
      </c>
      <c r="M303">
        <v>1066</v>
      </c>
      <c r="N303">
        <v>947</v>
      </c>
      <c r="O303">
        <v>995</v>
      </c>
      <c r="P303">
        <v>979</v>
      </c>
      <c r="Q303">
        <v>880</v>
      </c>
      <c r="R303">
        <v>1039</v>
      </c>
      <c r="S303">
        <v>863</v>
      </c>
      <c r="T303">
        <v>1050</v>
      </c>
      <c r="U303">
        <v>980</v>
      </c>
      <c r="V303">
        <v>1135</v>
      </c>
      <c r="W303">
        <v>1032</v>
      </c>
      <c r="X303">
        <v>1010</v>
      </c>
      <c r="Y303">
        <v>982</v>
      </c>
      <c r="Z303">
        <v>892</v>
      </c>
      <c r="AA303">
        <v>958</v>
      </c>
      <c r="AB303">
        <v>1028</v>
      </c>
      <c r="AC303">
        <v>974</v>
      </c>
      <c r="AD303">
        <v>1009</v>
      </c>
      <c r="AE303">
        <v>974</v>
      </c>
      <c r="AF303">
        <v>2</v>
      </c>
      <c r="AG303">
        <v>1</v>
      </c>
      <c r="AH303">
        <v>0</v>
      </c>
      <c r="AI303">
        <v>0</v>
      </c>
      <c r="AJ303">
        <v>1</v>
      </c>
      <c r="AK303">
        <v>0</v>
      </c>
      <c r="AL303">
        <v>1</v>
      </c>
      <c r="AM303">
        <v>1</v>
      </c>
      <c r="AN303">
        <v>0</v>
      </c>
      <c r="AO303">
        <v>0</v>
      </c>
      <c r="AP303">
        <v>1132</v>
      </c>
      <c r="AQ303">
        <v>0</v>
      </c>
      <c r="AR303">
        <v>0</v>
      </c>
      <c r="AS303">
        <v>0</v>
      </c>
      <c r="AT303">
        <v>1</v>
      </c>
      <c r="AU303">
        <v>0</v>
      </c>
      <c r="AV303">
        <v>2</v>
      </c>
      <c r="AW303">
        <v>0</v>
      </c>
      <c r="AX303">
        <v>0</v>
      </c>
      <c r="AY303">
        <v>3</v>
      </c>
      <c r="AZ303">
        <v>7</v>
      </c>
      <c r="BA303">
        <v>1016</v>
      </c>
      <c r="BB303">
        <v>0</v>
      </c>
      <c r="BC303">
        <v>1</v>
      </c>
      <c r="BD303">
        <v>0</v>
      </c>
      <c r="BE303">
        <v>0</v>
      </c>
      <c r="BF303">
        <v>4</v>
      </c>
      <c r="BG303">
        <v>0</v>
      </c>
      <c r="BH303">
        <v>1</v>
      </c>
      <c r="BI303">
        <v>2</v>
      </c>
      <c r="BJ303">
        <v>0</v>
      </c>
      <c r="BK303">
        <v>10</v>
      </c>
      <c r="BL303">
        <v>941</v>
      </c>
      <c r="BM303">
        <v>0</v>
      </c>
      <c r="BN303">
        <v>35</v>
      </c>
      <c r="BO303">
        <v>0</v>
      </c>
      <c r="BP303">
        <v>10</v>
      </c>
      <c r="BQ303">
        <v>1</v>
      </c>
      <c r="BR303">
        <v>11</v>
      </c>
      <c r="BS303">
        <v>0</v>
      </c>
      <c r="BT303">
        <v>2</v>
      </c>
      <c r="BU303">
        <v>1</v>
      </c>
      <c r="BV303">
        <v>0</v>
      </c>
      <c r="BW303">
        <v>972</v>
      </c>
      <c r="BX303">
        <v>0</v>
      </c>
      <c r="BY303">
        <v>0</v>
      </c>
      <c r="BZ303">
        <v>1</v>
      </c>
      <c r="CA303">
        <v>0</v>
      </c>
      <c r="CB303">
        <v>6</v>
      </c>
      <c r="CC303">
        <v>2</v>
      </c>
      <c r="CD303">
        <v>0</v>
      </c>
      <c r="CE303">
        <v>0</v>
      </c>
      <c r="CF303">
        <v>2</v>
      </c>
      <c r="CG303">
        <v>0</v>
      </c>
      <c r="CH303">
        <v>887</v>
      </c>
      <c r="CI303">
        <v>0</v>
      </c>
      <c r="CJ303">
        <v>1</v>
      </c>
      <c r="CK303">
        <v>0</v>
      </c>
      <c r="CL303">
        <v>0</v>
      </c>
      <c r="CM303">
        <v>26</v>
      </c>
      <c r="CN303">
        <v>10</v>
      </c>
      <c r="CO303">
        <v>2</v>
      </c>
      <c r="CP303">
        <v>0</v>
      </c>
      <c r="CQ303">
        <v>13</v>
      </c>
      <c r="CR303">
        <v>28</v>
      </c>
      <c r="CS303">
        <v>879</v>
      </c>
      <c r="CT303">
        <v>0</v>
      </c>
      <c r="CU303">
        <v>0</v>
      </c>
      <c r="CV303">
        <v>0</v>
      </c>
      <c r="CW303">
        <v>2</v>
      </c>
      <c r="CX303">
        <v>2</v>
      </c>
      <c r="CY303">
        <v>11</v>
      </c>
      <c r="CZ303">
        <v>0</v>
      </c>
      <c r="DA303">
        <v>0</v>
      </c>
      <c r="DB303">
        <v>0</v>
      </c>
      <c r="DC303">
        <v>0</v>
      </c>
      <c r="DD303">
        <v>1008</v>
      </c>
      <c r="DE303">
        <v>0</v>
      </c>
      <c r="DF303">
        <v>5</v>
      </c>
      <c r="DG303">
        <v>8</v>
      </c>
      <c r="DH303">
        <v>3</v>
      </c>
      <c r="DI303">
        <v>25</v>
      </c>
      <c r="DJ303">
        <v>4</v>
      </c>
      <c r="DK303">
        <v>6</v>
      </c>
      <c r="DL303">
        <v>24</v>
      </c>
      <c r="DM303">
        <v>1</v>
      </c>
      <c r="DN303">
        <v>8</v>
      </c>
      <c r="DO303">
        <v>861</v>
      </c>
      <c r="DP303">
        <v>34</v>
      </c>
      <c r="DQ303">
        <v>4</v>
      </c>
      <c r="DR303">
        <v>2</v>
      </c>
      <c r="DS303">
        <v>0</v>
      </c>
      <c r="DT303">
        <v>0</v>
      </c>
      <c r="DU303">
        <v>3</v>
      </c>
      <c r="DV303">
        <v>3</v>
      </c>
      <c r="DW303">
        <v>0</v>
      </c>
      <c r="DX303">
        <v>4</v>
      </c>
      <c r="DY303">
        <v>0</v>
      </c>
      <c r="DZ303">
        <v>993</v>
      </c>
      <c r="EA303">
        <v>0.96630000000000005</v>
      </c>
      <c r="EB303">
        <v>0.96719236794900199</v>
      </c>
      <c r="EC303">
        <v>0.965783256099087</v>
      </c>
      <c r="ED303">
        <v>0.96554320461162602</v>
      </c>
      <c r="EE303">
        <f>SUM(Table1[[#This Row],[ratio_0]:[ratio_9]])</f>
        <v>730</v>
      </c>
      <c r="EF303" s="1">
        <f>(Table1[[#This Row],[predicted_0]]-Table1[[#This Row],[actual_0]])/Table1[[#This Row],[actual_0]]</f>
        <v>4.1836734693877553E-2</v>
      </c>
      <c r="EG303" s="1">
        <f>(Table1[[#This Row],[predicted_1]]-Table1[[#This Row],[actual_1]])/Table1[[#This Row],[actual_1]]</f>
        <v>2.2026431718061675E-2</v>
      </c>
      <c r="EH303" s="1">
        <f>(Table1[[#This Row],[predicted_2]]-Table1[[#This Row],[actual_2]])/Table1[[#This Row],[actual_2]]</f>
        <v>3.294573643410853E-2</v>
      </c>
      <c r="EI303" s="1">
        <f>(Table1[[#This Row],[predicted_3]]-Table1[[#This Row],[actual_3]])/Table1[[#This Row],[actual_3]]</f>
        <v>-6.2376237623762376E-2</v>
      </c>
      <c r="EJ303" s="1">
        <f>(Table1[[#This Row],[predicted_4]]-Table1[[#This Row],[actual_4]])/Table1[[#This Row],[actual_4]]</f>
        <v>1.3238289205702648E-2</v>
      </c>
      <c r="EK303" s="1">
        <f>(Table1[[#This Row],[predicted_5]]-Table1[[#This Row],[actual_5]])/Table1[[#This Row],[actual_5]]</f>
        <v>9.753363228699552E-2</v>
      </c>
      <c r="EL303" s="1">
        <f>(Table1[[#This Row],[predicted_6]]-Table1[[#This Row],[actual_6]])/Table1[[#This Row],[actual_6]]</f>
        <v>-8.1419624217118999E-2</v>
      </c>
      <c r="EM303" s="1">
        <f>(Table1[[#This Row],[predicted_7]]-Table1[[#This Row],[actual_7]])/Table1[[#This Row],[actual_7]]</f>
        <v>1.0700389105058366E-2</v>
      </c>
      <c r="EN303" s="1">
        <f>(Table1[[#This Row],[predicted_8]]-Table1[[#This Row],[actual_8]])/Table1[[#This Row],[actual_8]]</f>
        <v>-0.11396303901437371</v>
      </c>
      <c r="EO303" s="1">
        <f>(Table1[[#This Row],[predicted_9]]-Table1[[#This Row],[actual_9]])/Table1[[#This Row],[actual_9]]</f>
        <v>4.0634291377601585E-2</v>
      </c>
      <c r="EP303" s="1">
        <f>1+(Table1[[#This Row],[error_ratio_0]]-EF$2)</f>
        <v>1.0397959183673469</v>
      </c>
      <c r="EQ303" s="1">
        <f>1+(Table1[[#This Row],[error_ratio_1]]-EG$2)</f>
        <v>1.0202643171806167</v>
      </c>
      <c r="ER303" s="1">
        <f>1+(Table1[[#This Row],[error_ratio_2]]-EH$2)</f>
        <v>1.0377906976744187</v>
      </c>
      <c r="ES303" s="1">
        <f>1+(Table1[[#This Row],[error_ratio_3]]-EI$2)</f>
        <v>0.92772277227722777</v>
      </c>
      <c r="ET303" s="1">
        <f>1+(Table1[[#This Row],[error_ratio_4]]-EJ$2)</f>
        <v>1.0122199592668024</v>
      </c>
      <c r="EU303" s="1">
        <f>1+(Table1[[#This Row],[error_ratio_5]]-EK$2)</f>
        <v>1.0964125560538116</v>
      </c>
      <c r="EV303" s="1">
        <f>1+(Table1[[#This Row],[error_ratio_6]]-EL$2)</f>
        <v>0.92484342379958251</v>
      </c>
      <c r="EW303" s="1">
        <f>1+(Table1[[#This Row],[error_ratio_7]]-EM$2)</f>
        <v>1.0087548638132295</v>
      </c>
      <c r="EX303" s="1">
        <f>1+(Table1[[#This Row],[error_ratio_8]]-EN$2)</f>
        <v>0.88911704312114992</v>
      </c>
      <c r="EY303" s="1">
        <f>1+(Table1[[#This Row],[error_ratio_9]]-EO$2)</f>
        <v>1.0445986124876114</v>
      </c>
    </row>
    <row r="304" spans="1:155" x14ac:dyDescent="0.75">
      <c r="A304">
        <v>10</v>
      </c>
      <c r="B304">
        <v>100</v>
      </c>
      <c r="C304">
        <v>100</v>
      </c>
      <c r="D304">
        <v>10</v>
      </c>
      <c r="E304">
        <v>100</v>
      </c>
      <c r="F304">
        <v>100</v>
      </c>
      <c r="G304">
        <v>10</v>
      </c>
      <c r="H304">
        <v>100</v>
      </c>
      <c r="I304">
        <v>10</v>
      </c>
      <c r="J304">
        <v>100</v>
      </c>
      <c r="K304">
        <v>981</v>
      </c>
      <c r="L304">
        <v>1142</v>
      </c>
      <c r="M304">
        <v>1051</v>
      </c>
      <c r="N304">
        <v>973</v>
      </c>
      <c r="O304">
        <v>1001</v>
      </c>
      <c r="P304">
        <v>917</v>
      </c>
      <c r="Q304">
        <v>905</v>
      </c>
      <c r="R304">
        <v>1037</v>
      </c>
      <c r="S304">
        <v>958</v>
      </c>
      <c r="T304">
        <v>1035</v>
      </c>
      <c r="U304">
        <v>980</v>
      </c>
      <c r="V304">
        <v>1135</v>
      </c>
      <c r="W304">
        <v>1032</v>
      </c>
      <c r="X304">
        <v>1010</v>
      </c>
      <c r="Y304">
        <v>982</v>
      </c>
      <c r="Z304">
        <v>892</v>
      </c>
      <c r="AA304">
        <v>958</v>
      </c>
      <c r="AB304">
        <v>1028</v>
      </c>
      <c r="AC304">
        <v>974</v>
      </c>
      <c r="AD304">
        <v>1009</v>
      </c>
      <c r="AE304">
        <v>962</v>
      </c>
      <c r="AF304">
        <v>0</v>
      </c>
      <c r="AG304">
        <v>3</v>
      </c>
      <c r="AH304">
        <v>0</v>
      </c>
      <c r="AI304">
        <v>2</v>
      </c>
      <c r="AJ304">
        <v>5</v>
      </c>
      <c r="AK304">
        <v>0</v>
      </c>
      <c r="AL304">
        <v>2</v>
      </c>
      <c r="AM304">
        <v>4</v>
      </c>
      <c r="AN304">
        <v>2</v>
      </c>
      <c r="AO304">
        <v>0</v>
      </c>
      <c r="AP304">
        <v>1132</v>
      </c>
      <c r="AQ304">
        <v>1</v>
      </c>
      <c r="AR304">
        <v>0</v>
      </c>
      <c r="AS304">
        <v>0</v>
      </c>
      <c r="AT304">
        <v>0</v>
      </c>
      <c r="AU304">
        <v>0</v>
      </c>
      <c r="AV304">
        <v>0</v>
      </c>
      <c r="AW304">
        <v>2</v>
      </c>
      <c r="AX304">
        <v>0</v>
      </c>
      <c r="AY304">
        <v>1</v>
      </c>
      <c r="AZ304">
        <v>1</v>
      </c>
      <c r="BA304">
        <v>1021</v>
      </c>
      <c r="BB304">
        <v>0</v>
      </c>
      <c r="BC304">
        <v>0</v>
      </c>
      <c r="BD304">
        <v>0</v>
      </c>
      <c r="BE304">
        <v>0</v>
      </c>
      <c r="BF304">
        <v>4</v>
      </c>
      <c r="BG304">
        <v>3</v>
      </c>
      <c r="BH304">
        <v>2</v>
      </c>
      <c r="BI304">
        <v>0</v>
      </c>
      <c r="BJ304">
        <v>0</v>
      </c>
      <c r="BK304">
        <v>7</v>
      </c>
      <c r="BL304">
        <v>969</v>
      </c>
      <c r="BM304">
        <v>0</v>
      </c>
      <c r="BN304">
        <v>9</v>
      </c>
      <c r="BO304">
        <v>0</v>
      </c>
      <c r="BP304">
        <v>9</v>
      </c>
      <c r="BQ304">
        <v>5</v>
      </c>
      <c r="BR304">
        <v>11</v>
      </c>
      <c r="BS304">
        <v>0</v>
      </c>
      <c r="BT304">
        <v>0</v>
      </c>
      <c r="BU304">
        <v>1</v>
      </c>
      <c r="BV304">
        <v>0</v>
      </c>
      <c r="BW304">
        <v>973</v>
      </c>
      <c r="BX304">
        <v>0</v>
      </c>
      <c r="BY304">
        <v>0</v>
      </c>
      <c r="BZ304">
        <v>1</v>
      </c>
      <c r="CA304">
        <v>0</v>
      </c>
      <c r="CB304">
        <v>7</v>
      </c>
      <c r="CC304">
        <v>2</v>
      </c>
      <c r="CD304">
        <v>0</v>
      </c>
      <c r="CE304">
        <v>1</v>
      </c>
      <c r="CF304">
        <v>2</v>
      </c>
      <c r="CG304">
        <v>0</v>
      </c>
      <c r="CH304">
        <v>879</v>
      </c>
      <c r="CI304">
        <v>0</v>
      </c>
      <c r="CJ304">
        <v>1</v>
      </c>
      <c r="CK304">
        <v>5</v>
      </c>
      <c r="CL304">
        <v>2</v>
      </c>
      <c r="CM304">
        <v>12</v>
      </c>
      <c r="CN304">
        <v>3</v>
      </c>
      <c r="CO304">
        <v>3</v>
      </c>
      <c r="CP304">
        <v>0</v>
      </c>
      <c r="CQ304">
        <v>18</v>
      </c>
      <c r="CR304">
        <v>11</v>
      </c>
      <c r="CS304">
        <v>905</v>
      </c>
      <c r="CT304">
        <v>0</v>
      </c>
      <c r="CU304">
        <v>6</v>
      </c>
      <c r="CV304">
        <v>0</v>
      </c>
      <c r="CW304">
        <v>1</v>
      </c>
      <c r="CX304">
        <v>6</v>
      </c>
      <c r="CY304">
        <v>7</v>
      </c>
      <c r="CZ304">
        <v>0</v>
      </c>
      <c r="DA304">
        <v>0</v>
      </c>
      <c r="DB304">
        <v>0</v>
      </c>
      <c r="DC304">
        <v>0</v>
      </c>
      <c r="DD304">
        <v>1012</v>
      </c>
      <c r="DE304">
        <v>0</v>
      </c>
      <c r="DF304">
        <v>2</v>
      </c>
      <c r="DG304">
        <v>2</v>
      </c>
      <c r="DH304">
        <v>0</v>
      </c>
      <c r="DI304">
        <v>7</v>
      </c>
      <c r="DJ304">
        <v>1</v>
      </c>
      <c r="DK304">
        <v>3</v>
      </c>
      <c r="DL304">
        <v>10</v>
      </c>
      <c r="DM304">
        <v>0</v>
      </c>
      <c r="DN304">
        <v>5</v>
      </c>
      <c r="DO304">
        <v>933</v>
      </c>
      <c r="DP304">
        <v>13</v>
      </c>
      <c r="DQ304">
        <v>1</v>
      </c>
      <c r="DR304">
        <v>0</v>
      </c>
      <c r="DS304">
        <v>0</v>
      </c>
      <c r="DT304">
        <v>1</v>
      </c>
      <c r="DU304">
        <v>5</v>
      </c>
      <c r="DV304">
        <v>3</v>
      </c>
      <c r="DW304">
        <v>0</v>
      </c>
      <c r="DX304">
        <v>3</v>
      </c>
      <c r="DY304">
        <v>0</v>
      </c>
      <c r="DZ304">
        <v>996</v>
      </c>
      <c r="EA304">
        <v>0.97819999999999996</v>
      </c>
      <c r="EB304">
        <v>0.97819234990285697</v>
      </c>
      <c r="EC304">
        <v>0.97781312540304199</v>
      </c>
      <c r="ED304">
        <v>0.97782905365299599</v>
      </c>
      <c r="EE304">
        <f>SUM(Table1[[#This Row],[ratio_0]:[ratio_9]])</f>
        <v>640</v>
      </c>
      <c r="EF304" s="1">
        <f>(Table1[[#This Row],[predicted_0]]-Table1[[#This Row],[actual_0]])/Table1[[#This Row],[actual_0]]</f>
        <v>1.0204081632653062E-3</v>
      </c>
      <c r="EG304" s="1">
        <f>(Table1[[#This Row],[predicted_1]]-Table1[[#This Row],[actual_1]])/Table1[[#This Row],[actual_1]]</f>
        <v>6.1674008810572688E-3</v>
      </c>
      <c r="EH304" s="1">
        <f>(Table1[[#This Row],[predicted_2]]-Table1[[#This Row],[actual_2]])/Table1[[#This Row],[actual_2]]</f>
        <v>1.8410852713178296E-2</v>
      </c>
      <c r="EI304" s="1">
        <f>(Table1[[#This Row],[predicted_3]]-Table1[[#This Row],[actual_3]])/Table1[[#This Row],[actual_3]]</f>
        <v>-3.6633663366336632E-2</v>
      </c>
      <c r="EJ304" s="1">
        <f>(Table1[[#This Row],[predicted_4]]-Table1[[#This Row],[actual_4]])/Table1[[#This Row],[actual_4]]</f>
        <v>1.9348268839103868E-2</v>
      </c>
      <c r="EK304" s="1">
        <f>(Table1[[#This Row],[predicted_5]]-Table1[[#This Row],[actual_5]])/Table1[[#This Row],[actual_5]]</f>
        <v>2.8026905829596414E-2</v>
      </c>
      <c r="EL304" s="1">
        <f>(Table1[[#This Row],[predicted_6]]-Table1[[#This Row],[actual_6]])/Table1[[#This Row],[actual_6]]</f>
        <v>-5.5323590814196244E-2</v>
      </c>
      <c r="EM304" s="1">
        <f>(Table1[[#This Row],[predicted_7]]-Table1[[#This Row],[actual_7]])/Table1[[#This Row],[actual_7]]</f>
        <v>8.7548638132295721E-3</v>
      </c>
      <c r="EN304" s="1">
        <f>(Table1[[#This Row],[predicted_8]]-Table1[[#This Row],[actual_8]])/Table1[[#This Row],[actual_8]]</f>
        <v>-1.6427104722792608E-2</v>
      </c>
      <c r="EO304" s="1">
        <f>(Table1[[#This Row],[predicted_9]]-Table1[[#This Row],[actual_9]])/Table1[[#This Row],[actual_9]]</f>
        <v>2.576808721506442E-2</v>
      </c>
      <c r="EP304" s="1">
        <f>1+(Table1[[#This Row],[error_ratio_0]]-EF$2)</f>
        <v>0.99897959183673468</v>
      </c>
      <c r="EQ304" s="1">
        <f>1+(Table1[[#This Row],[error_ratio_1]]-EG$2)</f>
        <v>1.0044052863436124</v>
      </c>
      <c r="ER304" s="1">
        <f>1+(Table1[[#This Row],[error_ratio_2]]-EH$2)</f>
        <v>1.0232558139534884</v>
      </c>
      <c r="ES304" s="1">
        <f>1+(Table1[[#This Row],[error_ratio_3]]-EI$2)</f>
        <v>0.95346534653465342</v>
      </c>
      <c r="ET304" s="1">
        <f>1+(Table1[[#This Row],[error_ratio_4]]-EJ$2)</f>
        <v>1.0183299389002036</v>
      </c>
      <c r="EU304" s="1">
        <f>1+(Table1[[#This Row],[error_ratio_5]]-EK$2)</f>
        <v>1.0269058295964126</v>
      </c>
      <c r="EV304" s="1">
        <f>1+(Table1[[#This Row],[error_ratio_6]]-EL$2)</f>
        <v>0.95093945720250517</v>
      </c>
      <c r="EW304" s="1">
        <f>1+(Table1[[#This Row],[error_ratio_7]]-EM$2)</f>
        <v>1.0068093385214008</v>
      </c>
      <c r="EX304" s="1">
        <f>1+(Table1[[#This Row],[error_ratio_8]]-EN$2)</f>
        <v>0.98665297741273106</v>
      </c>
      <c r="EY304" s="1">
        <f>1+(Table1[[#This Row],[error_ratio_9]]-EO$2)</f>
        <v>1.0297324083250743</v>
      </c>
    </row>
    <row r="305" spans="1:155" x14ac:dyDescent="0.75">
      <c r="A305">
        <v>100</v>
      </c>
      <c r="B305">
        <v>10</v>
      </c>
      <c r="C305">
        <v>100</v>
      </c>
      <c r="D305">
        <v>10</v>
      </c>
      <c r="E305">
        <v>100</v>
      </c>
      <c r="F305">
        <v>100</v>
      </c>
      <c r="G305">
        <v>10</v>
      </c>
      <c r="H305">
        <v>100</v>
      </c>
      <c r="I305">
        <v>10</v>
      </c>
      <c r="J305">
        <v>100</v>
      </c>
      <c r="K305">
        <v>1005</v>
      </c>
      <c r="L305">
        <v>1125</v>
      </c>
      <c r="M305">
        <v>1079</v>
      </c>
      <c r="N305">
        <v>945</v>
      </c>
      <c r="O305">
        <v>989</v>
      </c>
      <c r="P305">
        <v>996</v>
      </c>
      <c r="Q305">
        <v>910</v>
      </c>
      <c r="R305">
        <v>1037</v>
      </c>
      <c r="S305">
        <v>894</v>
      </c>
      <c r="T305">
        <v>1020</v>
      </c>
      <c r="U305">
        <v>980</v>
      </c>
      <c r="V305">
        <v>1135</v>
      </c>
      <c r="W305">
        <v>1032</v>
      </c>
      <c r="X305">
        <v>1010</v>
      </c>
      <c r="Y305">
        <v>982</v>
      </c>
      <c r="Z305">
        <v>892</v>
      </c>
      <c r="AA305">
        <v>958</v>
      </c>
      <c r="AB305">
        <v>1028</v>
      </c>
      <c r="AC305">
        <v>974</v>
      </c>
      <c r="AD305">
        <v>1009</v>
      </c>
      <c r="AE305">
        <v>977</v>
      </c>
      <c r="AF305">
        <v>0</v>
      </c>
      <c r="AG305">
        <v>0</v>
      </c>
      <c r="AH305">
        <v>0</v>
      </c>
      <c r="AI305">
        <v>0</v>
      </c>
      <c r="AJ305">
        <v>1</v>
      </c>
      <c r="AK305">
        <v>0</v>
      </c>
      <c r="AL305">
        <v>2</v>
      </c>
      <c r="AM305">
        <v>0</v>
      </c>
      <c r="AN305">
        <v>0</v>
      </c>
      <c r="AO305">
        <v>0</v>
      </c>
      <c r="AP305">
        <v>1120</v>
      </c>
      <c r="AQ305">
        <v>6</v>
      </c>
      <c r="AR305">
        <v>2</v>
      </c>
      <c r="AS305">
        <v>0</v>
      </c>
      <c r="AT305">
        <v>2</v>
      </c>
      <c r="AU305">
        <v>2</v>
      </c>
      <c r="AV305">
        <v>0</v>
      </c>
      <c r="AW305">
        <v>1</v>
      </c>
      <c r="AX305">
        <v>2</v>
      </c>
      <c r="AY305">
        <v>0</v>
      </c>
      <c r="AZ305">
        <v>0</v>
      </c>
      <c r="BA305">
        <v>1028</v>
      </c>
      <c r="BB305">
        <v>0</v>
      </c>
      <c r="BC305">
        <v>0</v>
      </c>
      <c r="BD305">
        <v>0</v>
      </c>
      <c r="BE305">
        <v>0</v>
      </c>
      <c r="BF305">
        <v>4</v>
      </c>
      <c r="BG305">
        <v>0</v>
      </c>
      <c r="BH305">
        <v>0</v>
      </c>
      <c r="BI305">
        <v>0</v>
      </c>
      <c r="BJ305">
        <v>0</v>
      </c>
      <c r="BK305">
        <v>11</v>
      </c>
      <c r="BL305">
        <v>938</v>
      </c>
      <c r="BM305">
        <v>0</v>
      </c>
      <c r="BN305">
        <v>40</v>
      </c>
      <c r="BO305">
        <v>0</v>
      </c>
      <c r="BP305">
        <v>9</v>
      </c>
      <c r="BQ305">
        <v>1</v>
      </c>
      <c r="BR305">
        <v>11</v>
      </c>
      <c r="BS305">
        <v>0</v>
      </c>
      <c r="BT305">
        <v>0</v>
      </c>
      <c r="BU305">
        <v>2</v>
      </c>
      <c r="BV305">
        <v>0</v>
      </c>
      <c r="BW305">
        <v>969</v>
      </c>
      <c r="BX305">
        <v>0</v>
      </c>
      <c r="BY305">
        <v>2</v>
      </c>
      <c r="BZ305">
        <v>0</v>
      </c>
      <c r="CA305">
        <v>0</v>
      </c>
      <c r="CB305">
        <v>9</v>
      </c>
      <c r="CC305">
        <v>2</v>
      </c>
      <c r="CD305">
        <v>0</v>
      </c>
      <c r="CE305">
        <v>0</v>
      </c>
      <c r="CF305">
        <v>1</v>
      </c>
      <c r="CG305">
        <v>0</v>
      </c>
      <c r="CH305">
        <v>887</v>
      </c>
      <c r="CI305">
        <v>1</v>
      </c>
      <c r="CJ305">
        <v>1</v>
      </c>
      <c r="CK305">
        <v>0</v>
      </c>
      <c r="CL305">
        <v>0</v>
      </c>
      <c r="CM305">
        <v>13</v>
      </c>
      <c r="CN305">
        <v>2</v>
      </c>
      <c r="CO305">
        <v>2</v>
      </c>
      <c r="CP305">
        <v>1</v>
      </c>
      <c r="CQ305">
        <v>2</v>
      </c>
      <c r="CR305">
        <v>34</v>
      </c>
      <c r="CS305">
        <v>904</v>
      </c>
      <c r="CT305">
        <v>0</v>
      </c>
      <c r="CU305">
        <v>0</v>
      </c>
      <c r="CV305">
        <v>0</v>
      </c>
      <c r="CW305">
        <v>1</v>
      </c>
      <c r="CX305">
        <v>3</v>
      </c>
      <c r="CY305">
        <v>13</v>
      </c>
      <c r="CZ305">
        <v>0</v>
      </c>
      <c r="DA305">
        <v>1</v>
      </c>
      <c r="DB305">
        <v>0</v>
      </c>
      <c r="DC305">
        <v>0</v>
      </c>
      <c r="DD305">
        <v>1004</v>
      </c>
      <c r="DE305">
        <v>0</v>
      </c>
      <c r="DF305">
        <v>6</v>
      </c>
      <c r="DG305">
        <v>10</v>
      </c>
      <c r="DH305">
        <v>0</v>
      </c>
      <c r="DI305">
        <v>16</v>
      </c>
      <c r="DJ305">
        <v>1</v>
      </c>
      <c r="DK305">
        <v>9</v>
      </c>
      <c r="DL305">
        <v>22</v>
      </c>
      <c r="DM305">
        <v>1</v>
      </c>
      <c r="DN305">
        <v>10</v>
      </c>
      <c r="DO305">
        <v>891</v>
      </c>
      <c r="DP305">
        <v>14</v>
      </c>
      <c r="DQ305">
        <v>2</v>
      </c>
      <c r="DR305">
        <v>0</v>
      </c>
      <c r="DS305">
        <v>1</v>
      </c>
      <c r="DT305">
        <v>2</v>
      </c>
      <c r="DU305">
        <v>8</v>
      </c>
      <c r="DV305">
        <v>10</v>
      </c>
      <c r="DW305">
        <v>0</v>
      </c>
      <c r="DX305">
        <v>7</v>
      </c>
      <c r="DY305">
        <v>1</v>
      </c>
      <c r="DZ305">
        <v>978</v>
      </c>
      <c r="EA305">
        <v>0.96960000000000002</v>
      </c>
      <c r="EB305">
        <v>0.97004131197143795</v>
      </c>
      <c r="EC305">
        <v>0.96940633183983005</v>
      </c>
      <c r="ED305">
        <v>0.96902062996576599</v>
      </c>
      <c r="EE305">
        <f>SUM(Table1[[#This Row],[ratio_0]:[ratio_9]])</f>
        <v>640</v>
      </c>
      <c r="EF305" s="1">
        <f>(Table1[[#This Row],[predicted_0]]-Table1[[#This Row],[actual_0]])/Table1[[#This Row],[actual_0]]</f>
        <v>2.5510204081632654E-2</v>
      </c>
      <c r="EG305" s="1">
        <f>(Table1[[#This Row],[predicted_1]]-Table1[[#This Row],[actual_1]])/Table1[[#This Row],[actual_1]]</f>
        <v>-8.8105726872246704E-3</v>
      </c>
      <c r="EH305" s="1">
        <f>(Table1[[#This Row],[predicted_2]]-Table1[[#This Row],[actual_2]])/Table1[[#This Row],[actual_2]]</f>
        <v>4.5542635658914726E-2</v>
      </c>
      <c r="EI305" s="1">
        <f>(Table1[[#This Row],[predicted_3]]-Table1[[#This Row],[actual_3]])/Table1[[#This Row],[actual_3]]</f>
        <v>-6.4356435643564358E-2</v>
      </c>
      <c r="EJ305" s="1">
        <f>(Table1[[#This Row],[predicted_4]]-Table1[[#This Row],[actual_4]])/Table1[[#This Row],[actual_4]]</f>
        <v>7.1283095723014261E-3</v>
      </c>
      <c r="EK305" s="1">
        <f>(Table1[[#This Row],[predicted_5]]-Table1[[#This Row],[actual_5]])/Table1[[#This Row],[actual_5]]</f>
        <v>0.11659192825112108</v>
      </c>
      <c r="EL305" s="1">
        <f>(Table1[[#This Row],[predicted_6]]-Table1[[#This Row],[actual_6]])/Table1[[#This Row],[actual_6]]</f>
        <v>-5.0104384133611693E-2</v>
      </c>
      <c r="EM305" s="1">
        <f>(Table1[[#This Row],[predicted_7]]-Table1[[#This Row],[actual_7]])/Table1[[#This Row],[actual_7]]</f>
        <v>8.7548638132295721E-3</v>
      </c>
      <c r="EN305" s="1">
        <f>(Table1[[#This Row],[predicted_8]]-Table1[[#This Row],[actual_8]])/Table1[[#This Row],[actual_8]]</f>
        <v>-8.2135523613963035E-2</v>
      </c>
      <c r="EO305" s="1">
        <f>(Table1[[#This Row],[predicted_9]]-Table1[[#This Row],[actual_9]])/Table1[[#This Row],[actual_9]]</f>
        <v>1.0901883052527254E-2</v>
      </c>
      <c r="EP305" s="1">
        <f>1+(Table1[[#This Row],[error_ratio_0]]-EF$2)</f>
        <v>1.023469387755102</v>
      </c>
      <c r="EQ305" s="1">
        <f>1+(Table1[[#This Row],[error_ratio_1]]-EG$2)</f>
        <v>0.98942731277533036</v>
      </c>
      <c r="ER305" s="1">
        <f>1+(Table1[[#This Row],[error_ratio_2]]-EH$2)</f>
        <v>1.0503875968992249</v>
      </c>
      <c r="ES305" s="1">
        <f>1+(Table1[[#This Row],[error_ratio_3]]-EI$2)</f>
        <v>0.92574257425742579</v>
      </c>
      <c r="ET305" s="1">
        <f>1+(Table1[[#This Row],[error_ratio_4]]-EJ$2)</f>
        <v>1.0061099796334012</v>
      </c>
      <c r="EU305" s="1">
        <f>1+(Table1[[#This Row],[error_ratio_5]]-EK$2)</f>
        <v>1.1154708520179373</v>
      </c>
      <c r="EV305" s="1">
        <f>1+(Table1[[#This Row],[error_ratio_6]]-EL$2)</f>
        <v>0.95615866388308979</v>
      </c>
      <c r="EW305" s="1">
        <f>1+(Table1[[#This Row],[error_ratio_7]]-EM$2)</f>
        <v>1.0068093385214008</v>
      </c>
      <c r="EX305" s="1">
        <f>1+(Table1[[#This Row],[error_ratio_8]]-EN$2)</f>
        <v>0.92094455852156054</v>
      </c>
      <c r="EY305" s="1">
        <f>1+(Table1[[#This Row],[error_ratio_9]]-EO$2)</f>
        <v>1.0148662041625371</v>
      </c>
    </row>
    <row r="306" spans="1:155" x14ac:dyDescent="0.75">
      <c r="A306">
        <v>10</v>
      </c>
      <c r="B306">
        <v>10</v>
      </c>
      <c r="C306">
        <v>100</v>
      </c>
      <c r="D306">
        <v>10</v>
      </c>
      <c r="E306">
        <v>100</v>
      </c>
      <c r="F306">
        <v>100</v>
      </c>
      <c r="G306">
        <v>10</v>
      </c>
      <c r="H306">
        <v>100</v>
      </c>
      <c r="I306">
        <v>10</v>
      </c>
      <c r="J306">
        <v>100</v>
      </c>
      <c r="K306">
        <v>944</v>
      </c>
      <c r="L306">
        <v>1163</v>
      </c>
      <c r="M306">
        <v>1057</v>
      </c>
      <c r="N306">
        <v>945</v>
      </c>
      <c r="O306">
        <v>1019</v>
      </c>
      <c r="P306">
        <v>1002</v>
      </c>
      <c r="Q306">
        <v>880</v>
      </c>
      <c r="R306">
        <v>1050</v>
      </c>
      <c r="S306">
        <v>883</v>
      </c>
      <c r="T306">
        <v>1057</v>
      </c>
      <c r="U306">
        <v>980</v>
      </c>
      <c r="V306">
        <v>1135</v>
      </c>
      <c r="W306">
        <v>1032</v>
      </c>
      <c r="X306">
        <v>1010</v>
      </c>
      <c r="Y306">
        <v>982</v>
      </c>
      <c r="Z306">
        <v>892</v>
      </c>
      <c r="AA306">
        <v>958</v>
      </c>
      <c r="AB306">
        <v>1028</v>
      </c>
      <c r="AC306">
        <v>974</v>
      </c>
      <c r="AD306">
        <v>1009</v>
      </c>
      <c r="AE306">
        <v>933</v>
      </c>
      <c r="AF306">
        <v>1</v>
      </c>
      <c r="AG306">
        <v>4</v>
      </c>
      <c r="AH306">
        <v>1</v>
      </c>
      <c r="AI306">
        <v>3</v>
      </c>
      <c r="AJ306">
        <v>11</v>
      </c>
      <c r="AK306">
        <v>1</v>
      </c>
      <c r="AL306">
        <v>5</v>
      </c>
      <c r="AM306">
        <v>1</v>
      </c>
      <c r="AN306">
        <v>20</v>
      </c>
      <c r="AO306">
        <v>0</v>
      </c>
      <c r="AP306">
        <v>1124</v>
      </c>
      <c r="AQ306">
        <v>0</v>
      </c>
      <c r="AR306">
        <v>5</v>
      </c>
      <c r="AS306">
        <v>2</v>
      </c>
      <c r="AT306">
        <v>2</v>
      </c>
      <c r="AU306">
        <v>0</v>
      </c>
      <c r="AV306">
        <v>2</v>
      </c>
      <c r="AW306">
        <v>0</v>
      </c>
      <c r="AX306">
        <v>0</v>
      </c>
      <c r="AY306">
        <v>0</v>
      </c>
      <c r="AZ306">
        <v>3</v>
      </c>
      <c r="BA306">
        <v>1022</v>
      </c>
      <c r="BB306">
        <v>2</v>
      </c>
      <c r="BC306">
        <v>0</v>
      </c>
      <c r="BD306">
        <v>0</v>
      </c>
      <c r="BE306">
        <v>0</v>
      </c>
      <c r="BF306">
        <v>4</v>
      </c>
      <c r="BG306">
        <v>0</v>
      </c>
      <c r="BH306">
        <v>1</v>
      </c>
      <c r="BI306">
        <v>0</v>
      </c>
      <c r="BJ306">
        <v>0</v>
      </c>
      <c r="BK306">
        <v>5</v>
      </c>
      <c r="BL306">
        <v>925</v>
      </c>
      <c r="BM306">
        <v>0</v>
      </c>
      <c r="BN306">
        <v>47</v>
      </c>
      <c r="BO306">
        <v>0</v>
      </c>
      <c r="BP306">
        <v>15</v>
      </c>
      <c r="BQ306">
        <v>1</v>
      </c>
      <c r="BR306">
        <v>17</v>
      </c>
      <c r="BS306">
        <v>0</v>
      </c>
      <c r="BT306">
        <v>1</v>
      </c>
      <c r="BU306">
        <v>1</v>
      </c>
      <c r="BV306">
        <v>0</v>
      </c>
      <c r="BW306">
        <v>975</v>
      </c>
      <c r="BX306">
        <v>0</v>
      </c>
      <c r="BY306">
        <v>1</v>
      </c>
      <c r="BZ306">
        <v>0</v>
      </c>
      <c r="CA306">
        <v>0</v>
      </c>
      <c r="CB306">
        <v>4</v>
      </c>
      <c r="CC306">
        <v>0</v>
      </c>
      <c r="CD306">
        <v>0</v>
      </c>
      <c r="CE306">
        <v>0</v>
      </c>
      <c r="CF306">
        <v>1</v>
      </c>
      <c r="CG306">
        <v>1</v>
      </c>
      <c r="CH306">
        <v>887</v>
      </c>
      <c r="CI306">
        <v>0</v>
      </c>
      <c r="CJ306">
        <v>1</v>
      </c>
      <c r="CK306">
        <v>0</v>
      </c>
      <c r="CL306">
        <v>2</v>
      </c>
      <c r="CM306">
        <v>8</v>
      </c>
      <c r="CN306">
        <v>12</v>
      </c>
      <c r="CO306">
        <v>0</v>
      </c>
      <c r="CP306">
        <v>1</v>
      </c>
      <c r="CQ306">
        <v>16</v>
      </c>
      <c r="CR306">
        <v>35</v>
      </c>
      <c r="CS306">
        <v>878</v>
      </c>
      <c r="CT306">
        <v>0</v>
      </c>
      <c r="CU306">
        <v>8</v>
      </c>
      <c r="CV306">
        <v>0</v>
      </c>
      <c r="CW306">
        <v>1</v>
      </c>
      <c r="CX306">
        <v>2</v>
      </c>
      <c r="CY306">
        <v>10</v>
      </c>
      <c r="CZ306">
        <v>0</v>
      </c>
      <c r="DA306">
        <v>2</v>
      </c>
      <c r="DB306">
        <v>1</v>
      </c>
      <c r="DC306">
        <v>0</v>
      </c>
      <c r="DD306">
        <v>1010</v>
      </c>
      <c r="DE306">
        <v>0</v>
      </c>
      <c r="DF306">
        <v>2</v>
      </c>
      <c r="DG306">
        <v>1</v>
      </c>
      <c r="DH306">
        <v>17</v>
      </c>
      <c r="DI306">
        <v>15</v>
      </c>
      <c r="DJ306">
        <v>10</v>
      </c>
      <c r="DK306">
        <v>9</v>
      </c>
      <c r="DL306">
        <v>13</v>
      </c>
      <c r="DM306">
        <v>0</v>
      </c>
      <c r="DN306">
        <v>10</v>
      </c>
      <c r="DO306">
        <v>873</v>
      </c>
      <c r="DP306">
        <v>26</v>
      </c>
      <c r="DQ306">
        <v>1</v>
      </c>
      <c r="DR306">
        <v>3</v>
      </c>
      <c r="DS306">
        <v>0</v>
      </c>
      <c r="DT306">
        <v>0</v>
      </c>
      <c r="DU306">
        <v>11</v>
      </c>
      <c r="DV306">
        <v>6</v>
      </c>
      <c r="DW306">
        <v>0</v>
      </c>
      <c r="DX306">
        <v>3</v>
      </c>
      <c r="DY306">
        <v>0</v>
      </c>
      <c r="DZ306">
        <v>985</v>
      </c>
      <c r="EA306">
        <v>0.96120000000000005</v>
      </c>
      <c r="EB306">
        <v>0.96227765360511297</v>
      </c>
      <c r="EC306">
        <v>0.96072680975716496</v>
      </c>
      <c r="ED306">
        <v>0.96052357484282203</v>
      </c>
      <c r="EE306">
        <f>SUM(Table1[[#This Row],[ratio_0]:[ratio_9]])</f>
        <v>550</v>
      </c>
      <c r="EF306" s="1">
        <f>(Table1[[#This Row],[predicted_0]]-Table1[[#This Row],[actual_0]])/Table1[[#This Row],[actual_0]]</f>
        <v>-3.6734693877551024E-2</v>
      </c>
      <c r="EG306" s="1">
        <f>(Table1[[#This Row],[predicted_1]]-Table1[[#This Row],[actual_1]])/Table1[[#This Row],[actual_1]]</f>
        <v>2.4669603524229075E-2</v>
      </c>
      <c r="EH306" s="1">
        <f>(Table1[[#This Row],[predicted_2]]-Table1[[#This Row],[actual_2]])/Table1[[#This Row],[actual_2]]</f>
        <v>2.4224806201550389E-2</v>
      </c>
      <c r="EI306" s="1">
        <f>(Table1[[#This Row],[predicted_3]]-Table1[[#This Row],[actual_3]])/Table1[[#This Row],[actual_3]]</f>
        <v>-6.4356435643564358E-2</v>
      </c>
      <c r="EJ306" s="1">
        <f>(Table1[[#This Row],[predicted_4]]-Table1[[#This Row],[actual_4]])/Table1[[#This Row],[actual_4]]</f>
        <v>3.7678207739307537E-2</v>
      </c>
      <c r="EK306" s="1">
        <f>(Table1[[#This Row],[predicted_5]]-Table1[[#This Row],[actual_5]])/Table1[[#This Row],[actual_5]]</f>
        <v>0.12331838565022421</v>
      </c>
      <c r="EL306" s="1">
        <f>(Table1[[#This Row],[predicted_6]]-Table1[[#This Row],[actual_6]])/Table1[[#This Row],[actual_6]]</f>
        <v>-8.1419624217118999E-2</v>
      </c>
      <c r="EM306" s="1">
        <f>(Table1[[#This Row],[predicted_7]]-Table1[[#This Row],[actual_7]])/Table1[[#This Row],[actual_7]]</f>
        <v>2.1400778210116732E-2</v>
      </c>
      <c r="EN306" s="1">
        <f>(Table1[[#This Row],[predicted_8]]-Table1[[#This Row],[actual_8]])/Table1[[#This Row],[actual_8]]</f>
        <v>-9.3429158110882954E-2</v>
      </c>
      <c r="EO306" s="1">
        <f>(Table1[[#This Row],[predicted_9]]-Table1[[#This Row],[actual_9]])/Table1[[#This Row],[actual_9]]</f>
        <v>4.7571853320118929E-2</v>
      </c>
      <c r="EP306" s="1">
        <f>1+(Table1[[#This Row],[error_ratio_0]]-EF$2)</f>
        <v>0.96122448979591835</v>
      </c>
      <c r="EQ306" s="1">
        <f>1+(Table1[[#This Row],[error_ratio_1]]-EG$2)</f>
        <v>1.0229074889867842</v>
      </c>
      <c r="ER306" s="1">
        <f>1+(Table1[[#This Row],[error_ratio_2]]-EH$2)</f>
        <v>1.0290697674418605</v>
      </c>
      <c r="ES306" s="1">
        <f>1+(Table1[[#This Row],[error_ratio_3]]-EI$2)</f>
        <v>0.92574257425742579</v>
      </c>
      <c r="ET306" s="1">
        <f>1+(Table1[[#This Row],[error_ratio_4]]-EJ$2)</f>
        <v>1.0366598778004072</v>
      </c>
      <c r="EU306" s="1">
        <f>1+(Table1[[#This Row],[error_ratio_5]]-EK$2)</f>
        <v>1.1221973094170403</v>
      </c>
      <c r="EV306" s="1">
        <f>1+(Table1[[#This Row],[error_ratio_6]]-EL$2)</f>
        <v>0.92484342379958251</v>
      </c>
      <c r="EW306" s="1">
        <f>1+(Table1[[#This Row],[error_ratio_7]]-EM$2)</f>
        <v>1.0194552529182879</v>
      </c>
      <c r="EX306" s="1">
        <f>1+(Table1[[#This Row],[error_ratio_8]]-EN$2)</f>
        <v>0.90965092402464065</v>
      </c>
      <c r="EY306" s="1">
        <f>1+(Table1[[#This Row],[error_ratio_9]]-EO$2)</f>
        <v>1.0515361744301288</v>
      </c>
    </row>
    <row r="307" spans="1:155" x14ac:dyDescent="0.75">
      <c r="A307">
        <v>100</v>
      </c>
      <c r="B307">
        <v>100</v>
      </c>
      <c r="C307">
        <v>10</v>
      </c>
      <c r="D307">
        <v>10</v>
      </c>
      <c r="E307">
        <v>100</v>
      </c>
      <c r="F307">
        <v>100</v>
      </c>
      <c r="G307">
        <v>10</v>
      </c>
      <c r="H307">
        <v>100</v>
      </c>
      <c r="I307">
        <v>10</v>
      </c>
      <c r="J307">
        <v>100</v>
      </c>
      <c r="K307">
        <v>1025</v>
      </c>
      <c r="L307">
        <v>1135</v>
      </c>
      <c r="M307">
        <v>990</v>
      </c>
      <c r="N307">
        <v>963</v>
      </c>
      <c r="O307">
        <v>991</v>
      </c>
      <c r="P307">
        <v>971</v>
      </c>
      <c r="Q307">
        <v>895</v>
      </c>
      <c r="R307">
        <v>1088</v>
      </c>
      <c r="S307">
        <v>927</v>
      </c>
      <c r="T307">
        <v>1015</v>
      </c>
      <c r="U307">
        <v>980</v>
      </c>
      <c r="V307">
        <v>1135</v>
      </c>
      <c r="W307">
        <v>1032</v>
      </c>
      <c r="X307">
        <v>1010</v>
      </c>
      <c r="Y307">
        <v>982</v>
      </c>
      <c r="Z307">
        <v>892</v>
      </c>
      <c r="AA307">
        <v>958</v>
      </c>
      <c r="AB307">
        <v>1028</v>
      </c>
      <c r="AC307">
        <v>974</v>
      </c>
      <c r="AD307">
        <v>1009</v>
      </c>
      <c r="AE307">
        <v>976</v>
      </c>
      <c r="AF307">
        <v>0</v>
      </c>
      <c r="AG307">
        <v>0</v>
      </c>
      <c r="AH307">
        <v>0</v>
      </c>
      <c r="AI307">
        <v>0</v>
      </c>
      <c r="AJ307">
        <v>1</v>
      </c>
      <c r="AK307">
        <v>0</v>
      </c>
      <c r="AL307">
        <v>1</v>
      </c>
      <c r="AM307">
        <v>1</v>
      </c>
      <c r="AN307">
        <v>1</v>
      </c>
      <c r="AO307">
        <v>0</v>
      </c>
      <c r="AP307">
        <v>1128</v>
      </c>
      <c r="AQ307">
        <v>0</v>
      </c>
      <c r="AR307">
        <v>1</v>
      </c>
      <c r="AS307">
        <v>0</v>
      </c>
      <c r="AT307">
        <v>2</v>
      </c>
      <c r="AU307">
        <v>2</v>
      </c>
      <c r="AV307">
        <v>2</v>
      </c>
      <c r="AW307">
        <v>0</v>
      </c>
      <c r="AX307">
        <v>0</v>
      </c>
      <c r="AY307">
        <v>4</v>
      </c>
      <c r="AZ307">
        <v>2</v>
      </c>
      <c r="BA307">
        <v>980</v>
      </c>
      <c r="BB307">
        <v>1</v>
      </c>
      <c r="BC307">
        <v>6</v>
      </c>
      <c r="BD307">
        <v>0</v>
      </c>
      <c r="BE307">
        <v>0</v>
      </c>
      <c r="BF307">
        <v>30</v>
      </c>
      <c r="BG307">
        <v>6</v>
      </c>
      <c r="BH307">
        <v>3</v>
      </c>
      <c r="BI307">
        <v>4</v>
      </c>
      <c r="BJ307">
        <v>0</v>
      </c>
      <c r="BK307">
        <v>1</v>
      </c>
      <c r="BL307">
        <v>954</v>
      </c>
      <c r="BM307">
        <v>0</v>
      </c>
      <c r="BN307">
        <v>35</v>
      </c>
      <c r="BO307">
        <v>0</v>
      </c>
      <c r="BP307">
        <v>8</v>
      </c>
      <c r="BQ307">
        <v>2</v>
      </c>
      <c r="BR307">
        <v>6</v>
      </c>
      <c r="BS307">
        <v>0</v>
      </c>
      <c r="BT307">
        <v>0</v>
      </c>
      <c r="BU307">
        <v>1</v>
      </c>
      <c r="BV307">
        <v>0</v>
      </c>
      <c r="BW307">
        <v>965</v>
      </c>
      <c r="BX307">
        <v>0</v>
      </c>
      <c r="BY307">
        <v>1</v>
      </c>
      <c r="BZ307">
        <v>5</v>
      </c>
      <c r="CA307">
        <v>0</v>
      </c>
      <c r="CB307">
        <v>10</v>
      </c>
      <c r="CC307">
        <v>2</v>
      </c>
      <c r="CD307">
        <v>0</v>
      </c>
      <c r="CE307">
        <v>0</v>
      </c>
      <c r="CF307">
        <v>0</v>
      </c>
      <c r="CG307">
        <v>0</v>
      </c>
      <c r="CH307">
        <v>889</v>
      </c>
      <c r="CI307">
        <v>0</v>
      </c>
      <c r="CJ307">
        <v>1</v>
      </c>
      <c r="CK307">
        <v>0</v>
      </c>
      <c r="CL307">
        <v>0</v>
      </c>
      <c r="CM307">
        <v>24</v>
      </c>
      <c r="CN307">
        <v>3</v>
      </c>
      <c r="CO307">
        <v>1</v>
      </c>
      <c r="CP307">
        <v>1</v>
      </c>
      <c r="CQ307">
        <v>15</v>
      </c>
      <c r="CR307">
        <v>21</v>
      </c>
      <c r="CS307">
        <v>892</v>
      </c>
      <c r="CT307">
        <v>0</v>
      </c>
      <c r="CU307">
        <v>1</v>
      </c>
      <c r="CV307">
        <v>0</v>
      </c>
      <c r="CW307">
        <v>1</v>
      </c>
      <c r="CX307">
        <v>1</v>
      </c>
      <c r="CY307">
        <v>3</v>
      </c>
      <c r="CZ307">
        <v>2</v>
      </c>
      <c r="DA307">
        <v>0</v>
      </c>
      <c r="DB307">
        <v>0</v>
      </c>
      <c r="DC307">
        <v>0</v>
      </c>
      <c r="DD307">
        <v>1021</v>
      </c>
      <c r="DE307">
        <v>0</v>
      </c>
      <c r="DF307">
        <v>0</v>
      </c>
      <c r="DG307">
        <v>13</v>
      </c>
      <c r="DH307">
        <v>1</v>
      </c>
      <c r="DI307">
        <v>4</v>
      </c>
      <c r="DJ307">
        <v>3</v>
      </c>
      <c r="DK307">
        <v>4</v>
      </c>
      <c r="DL307">
        <v>14</v>
      </c>
      <c r="DM307">
        <v>0</v>
      </c>
      <c r="DN307">
        <v>10</v>
      </c>
      <c r="DO307">
        <v>916</v>
      </c>
      <c r="DP307">
        <v>9</v>
      </c>
      <c r="DQ307">
        <v>1</v>
      </c>
      <c r="DR307">
        <v>0</v>
      </c>
      <c r="DS307">
        <v>0</v>
      </c>
      <c r="DT307">
        <v>1</v>
      </c>
      <c r="DU307">
        <v>1</v>
      </c>
      <c r="DV307">
        <v>9</v>
      </c>
      <c r="DW307">
        <v>0</v>
      </c>
      <c r="DX307">
        <v>10</v>
      </c>
      <c r="DY307">
        <v>1</v>
      </c>
      <c r="DZ307">
        <v>986</v>
      </c>
      <c r="EA307">
        <v>0.97070000000000001</v>
      </c>
      <c r="EB307">
        <v>0.97105252684244603</v>
      </c>
      <c r="EC307">
        <v>0.970519701964354</v>
      </c>
      <c r="ED307">
        <v>0.97021747187743701</v>
      </c>
      <c r="EE307">
        <f>SUM(Table1[[#This Row],[ratio_0]:[ratio_9]])</f>
        <v>640</v>
      </c>
      <c r="EF307" s="1">
        <f>(Table1[[#This Row],[predicted_0]]-Table1[[#This Row],[actual_0]])/Table1[[#This Row],[actual_0]]</f>
        <v>4.5918367346938778E-2</v>
      </c>
      <c r="EG307" s="1">
        <f>(Table1[[#This Row],[predicted_1]]-Table1[[#This Row],[actual_1]])/Table1[[#This Row],[actual_1]]</f>
        <v>0</v>
      </c>
      <c r="EH307" s="1">
        <f>(Table1[[#This Row],[predicted_2]]-Table1[[#This Row],[actual_2]])/Table1[[#This Row],[actual_2]]</f>
        <v>-4.0697674418604654E-2</v>
      </c>
      <c r="EI307" s="1">
        <f>(Table1[[#This Row],[predicted_3]]-Table1[[#This Row],[actual_3]])/Table1[[#This Row],[actual_3]]</f>
        <v>-4.6534653465346534E-2</v>
      </c>
      <c r="EJ307" s="1">
        <f>(Table1[[#This Row],[predicted_4]]-Table1[[#This Row],[actual_4]])/Table1[[#This Row],[actual_4]]</f>
        <v>9.1649694501018328E-3</v>
      </c>
      <c r="EK307" s="1">
        <f>(Table1[[#This Row],[predicted_5]]-Table1[[#This Row],[actual_5]])/Table1[[#This Row],[actual_5]]</f>
        <v>8.856502242152467E-2</v>
      </c>
      <c r="EL307" s="1">
        <f>(Table1[[#This Row],[predicted_6]]-Table1[[#This Row],[actual_6]])/Table1[[#This Row],[actual_6]]</f>
        <v>-6.5762004175365346E-2</v>
      </c>
      <c r="EM307" s="1">
        <f>(Table1[[#This Row],[predicted_7]]-Table1[[#This Row],[actual_7]])/Table1[[#This Row],[actual_7]]</f>
        <v>5.8365758754863814E-2</v>
      </c>
      <c r="EN307" s="1">
        <f>(Table1[[#This Row],[predicted_8]]-Table1[[#This Row],[actual_8]])/Table1[[#This Row],[actual_8]]</f>
        <v>-4.8254620123203286E-2</v>
      </c>
      <c r="EO307" s="1">
        <f>(Table1[[#This Row],[predicted_9]]-Table1[[#This Row],[actual_9]])/Table1[[#This Row],[actual_9]]</f>
        <v>5.9464816650148661E-3</v>
      </c>
      <c r="EP307" s="1">
        <f>1+(Table1[[#This Row],[error_ratio_0]]-EF$2)</f>
        <v>1.0438775510204081</v>
      </c>
      <c r="EQ307" s="1">
        <f>1+(Table1[[#This Row],[error_ratio_1]]-EG$2)</f>
        <v>0.9982378854625551</v>
      </c>
      <c r="ER307" s="1">
        <f>1+(Table1[[#This Row],[error_ratio_2]]-EH$2)</f>
        <v>0.96414728682170547</v>
      </c>
      <c r="ES307" s="1">
        <f>1+(Table1[[#This Row],[error_ratio_3]]-EI$2)</f>
        <v>0.94356435643564351</v>
      </c>
      <c r="ET307" s="1">
        <f>1+(Table1[[#This Row],[error_ratio_4]]-EJ$2)</f>
        <v>1.0081466395112015</v>
      </c>
      <c r="EU307" s="1">
        <f>1+(Table1[[#This Row],[error_ratio_5]]-EK$2)</f>
        <v>1.0874439461883407</v>
      </c>
      <c r="EV307" s="1">
        <f>1+(Table1[[#This Row],[error_ratio_6]]-EL$2)</f>
        <v>0.94050104384133615</v>
      </c>
      <c r="EW307" s="1">
        <f>1+(Table1[[#This Row],[error_ratio_7]]-EM$2)</f>
        <v>1.056420233463035</v>
      </c>
      <c r="EX307" s="1">
        <f>1+(Table1[[#This Row],[error_ratio_8]]-EN$2)</f>
        <v>0.95482546201232033</v>
      </c>
      <c r="EY307" s="1">
        <f>1+(Table1[[#This Row],[error_ratio_9]]-EO$2)</f>
        <v>1.0099108027750248</v>
      </c>
    </row>
    <row r="308" spans="1:155" x14ac:dyDescent="0.75">
      <c r="A308">
        <v>10</v>
      </c>
      <c r="B308">
        <v>100</v>
      </c>
      <c r="C308">
        <v>10</v>
      </c>
      <c r="D308">
        <v>10</v>
      </c>
      <c r="E308">
        <v>100</v>
      </c>
      <c r="F308">
        <v>100</v>
      </c>
      <c r="G308">
        <v>10</v>
      </c>
      <c r="H308">
        <v>100</v>
      </c>
      <c r="I308">
        <v>10</v>
      </c>
      <c r="J308">
        <v>100</v>
      </c>
      <c r="K308">
        <v>887</v>
      </c>
      <c r="L308">
        <v>1136</v>
      </c>
      <c r="M308">
        <v>1039</v>
      </c>
      <c r="N308">
        <v>989</v>
      </c>
      <c r="O308">
        <v>954</v>
      </c>
      <c r="P308">
        <v>908</v>
      </c>
      <c r="Q308">
        <v>950</v>
      </c>
      <c r="R308">
        <v>1047</v>
      </c>
      <c r="S308">
        <v>1004</v>
      </c>
      <c r="T308">
        <v>1086</v>
      </c>
      <c r="U308">
        <v>980</v>
      </c>
      <c r="V308">
        <v>1135</v>
      </c>
      <c r="W308">
        <v>1032</v>
      </c>
      <c r="X308">
        <v>1010</v>
      </c>
      <c r="Y308">
        <v>982</v>
      </c>
      <c r="Z308">
        <v>892</v>
      </c>
      <c r="AA308">
        <v>958</v>
      </c>
      <c r="AB308">
        <v>1028</v>
      </c>
      <c r="AC308">
        <v>974</v>
      </c>
      <c r="AD308">
        <v>1009</v>
      </c>
      <c r="AE308">
        <v>884</v>
      </c>
      <c r="AF308">
        <v>0</v>
      </c>
      <c r="AG308">
        <v>6</v>
      </c>
      <c r="AH308">
        <v>0</v>
      </c>
      <c r="AI308">
        <v>4</v>
      </c>
      <c r="AJ308">
        <v>16</v>
      </c>
      <c r="AK308">
        <v>17</v>
      </c>
      <c r="AL308">
        <v>3</v>
      </c>
      <c r="AM308">
        <v>22</v>
      </c>
      <c r="AN308">
        <v>28</v>
      </c>
      <c r="AO308">
        <v>0</v>
      </c>
      <c r="AP308">
        <v>1126</v>
      </c>
      <c r="AQ308">
        <v>1</v>
      </c>
      <c r="AR308">
        <v>2</v>
      </c>
      <c r="AS308">
        <v>0</v>
      </c>
      <c r="AT308">
        <v>1</v>
      </c>
      <c r="AU308">
        <v>2</v>
      </c>
      <c r="AV308">
        <v>2</v>
      </c>
      <c r="AW308">
        <v>0</v>
      </c>
      <c r="AX308">
        <v>1</v>
      </c>
      <c r="AY308">
        <v>1</v>
      </c>
      <c r="AZ308">
        <v>4</v>
      </c>
      <c r="BA308">
        <v>1001</v>
      </c>
      <c r="BB308">
        <v>4</v>
      </c>
      <c r="BC308">
        <v>0</v>
      </c>
      <c r="BD308">
        <v>1</v>
      </c>
      <c r="BE308">
        <v>1</v>
      </c>
      <c r="BF308">
        <v>15</v>
      </c>
      <c r="BG308">
        <v>5</v>
      </c>
      <c r="BH308">
        <v>0</v>
      </c>
      <c r="BI308">
        <v>0</v>
      </c>
      <c r="BJ308">
        <v>0</v>
      </c>
      <c r="BK308">
        <v>12</v>
      </c>
      <c r="BL308">
        <v>966</v>
      </c>
      <c r="BM308">
        <v>0</v>
      </c>
      <c r="BN308">
        <v>5</v>
      </c>
      <c r="BO308">
        <v>0</v>
      </c>
      <c r="BP308">
        <v>4</v>
      </c>
      <c r="BQ308">
        <v>18</v>
      </c>
      <c r="BR308">
        <v>5</v>
      </c>
      <c r="BS308">
        <v>0</v>
      </c>
      <c r="BT308">
        <v>0</v>
      </c>
      <c r="BU308">
        <v>6</v>
      </c>
      <c r="BV308">
        <v>0</v>
      </c>
      <c r="BW308">
        <v>942</v>
      </c>
      <c r="BX308">
        <v>0</v>
      </c>
      <c r="BY308">
        <v>1</v>
      </c>
      <c r="BZ308">
        <v>3</v>
      </c>
      <c r="CA308">
        <v>0</v>
      </c>
      <c r="CB308">
        <v>30</v>
      </c>
      <c r="CC308">
        <v>0</v>
      </c>
      <c r="CD308">
        <v>0</v>
      </c>
      <c r="CE308">
        <v>0</v>
      </c>
      <c r="CF308">
        <v>7</v>
      </c>
      <c r="CG308">
        <v>0</v>
      </c>
      <c r="CH308">
        <v>860</v>
      </c>
      <c r="CI308">
        <v>1</v>
      </c>
      <c r="CJ308">
        <v>0</v>
      </c>
      <c r="CK308">
        <v>4</v>
      </c>
      <c r="CL308">
        <v>20</v>
      </c>
      <c r="CM308">
        <v>2</v>
      </c>
      <c r="CN308">
        <v>4</v>
      </c>
      <c r="CO308">
        <v>1</v>
      </c>
      <c r="CP308">
        <v>0</v>
      </c>
      <c r="CQ308">
        <v>4</v>
      </c>
      <c r="CR308">
        <v>16</v>
      </c>
      <c r="CS308">
        <v>927</v>
      </c>
      <c r="CT308">
        <v>0</v>
      </c>
      <c r="CU308">
        <v>4</v>
      </c>
      <c r="CV308">
        <v>0</v>
      </c>
      <c r="CW308">
        <v>0</v>
      </c>
      <c r="CX308">
        <v>2</v>
      </c>
      <c r="CY308">
        <v>9</v>
      </c>
      <c r="CZ308">
        <v>0</v>
      </c>
      <c r="DA308">
        <v>0</v>
      </c>
      <c r="DB308">
        <v>0</v>
      </c>
      <c r="DC308">
        <v>0</v>
      </c>
      <c r="DD308">
        <v>1014</v>
      </c>
      <c r="DE308">
        <v>1</v>
      </c>
      <c r="DF308">
        <v>2</v>
      </c>
      <c r="DG308">
        <v>0</v>
      </c>
      <c r="DH308">
        <v>0</v>
      </c>
      <c r="DI308">
        <v>2</v>
      </c>
      <c r="DJ308">
        <v>6</v>
      </c>
      <c r="DK308">
        <v>1</v>
      </c>
      <c r="DL308">
        <v>4</v>
      </c>
      <c r="DM308">
        <v>0</v>
      </c>
      <c r="DN308">
        <v>4</v>
      </c>
      <c r="DO308">
        <v>947</v>
      </c>
      <c r="DP308">
        <v>10</v>
      </c>
      <c r="DQ308">
        <v>0</v>
      </c>
      <c r="DR308">
        <v>0</v>
      </c>
      <c r="DS308">
        <v>1</v>
      </c>
      <c r="DT308">
        <v>4</v>
      </c>
      <c r="DU308">
        <v>3</v>
      </c>
      <c r="DV308">
        <v>5</v>
      </c>
      <c r="DW308">
        <v>1</v>
      </c>
      <c r="DX308">
        <v>2</v>
      </c>
      <c r="DY308">
        <v>3</v>
      </c>
      <c r="DZ308">
        <v>990</v>
      </c>
      <c r="EA308">
        <v>0.9657</v>
      </c>
      <c r="EB308">
        <v>0.96616436516535198</v>
      </c>
      <c r="EC308">
        <v>0.96513715248098797</v>
      </c>
      <c r="ED308">
        <v>0.96521572220912999</v>
      </c>
      <c r="EE308">
        <f>SUM(Table1[[#This Row],[ratio_0]:[ratio_9]])</f>
        <v>550</v>
      </c>
      <c r="EF308" s="1">
        <f>(Table1[[#This Row],[predicted_0]]-Table1[[#This Row],[actual_0]])/Table1[[#This Row],[actual_0]]</f>
        <v>-9.4897959183673469E-2</v>
      </c>
      <c r="EG308" s="1">
        <f>(Table1[[#This Row],[predicted_1]]-Table1[[#This Row],[actual_1]])/Table1[[#This Row],[actual_1]]</f>
        <v>8.81057268722467E-4</v>
      </c>
      <c r="EH308" s="1">
        <f>(Table1[[#This Row],[predicted_2]]-Table1[[#This Row],[actual_2]])/Table1[[#This Row],[actual_2]]</f>
        <v>6.7829457364341084E-3</v>
      </c>
      <c r="EI308" s="1">
        <f>(Table1[[#This Row],[predicted_3]]-Table1[[#This Row],[actual_3]])/Table1[[#This Row],[actual_3]]</f>
        <v>-2.0792079207920793E-2</v>
      </c>
      <c r="EJ308" s="1">
        <f>(Table1[[#This Row],[predicted_4]]-Table1[[#This Row],[actual_4]])/Table1[[#This Row],[actual_4]]</f>
        <v>-2.8513238289205704E-2</v>
      </c>
      <c r="EK308" s="1">
        <f>(Table1[[#This Row],[predicted_5]]-Table1[[#This Row],[actual_5]])/Table1[[#This Row],[actual_5]]</f>
        <v>1.7937219730941704E-2</v>
      </c>
      <c r="EL308" s="1">
        <f>(Table1[[#This Row],[predicted_6]]-Table1[[#This Row],[actual_6]])/Table1[[#This Row],[actual_6]]</f>
        <v>-8.350730688935281E-3</v>
      </c>
      <c r="EM308" s="1">
        <f>(Table1[[#This Row],[predicted_7]]-Table1[[#This Row],[actual_7]])/Table1[[#This Row],[actual_7]]</f>
        <v>1.8482490272373541E-2</v>
      </c>
      <c r="EN308" s="1">
        <f>(Table1[[#This Row],[predicted_8]]-Table1[[#This Row],[actual_8]])/Table1[[#This Row],[actual_8]]</f>
        <v>3.0800821355236138E-2</v>
      </c>
      <c r="EO308" s="1">
        <f>(Table1[[#This Row],[predicted_9]]-Table1[[#This Row],[actual_9]])/Table1[[#This Row],[actual_9]]</f>
        <v>7.6313181367690788E-2</v>
      </c>
      <c r="EP308" s="1">
        <f>1+(Table1[[#This Row],[error_ratio_0]]-EF$2)</f>
        <v>0.90306122448979598</v>
      </c>
      <c r="EQ308" s="1">
        <f>1+(Table1[[#This Row],[error_ratio_1]]-EG$2)</f>
        <v>0.99911894273127755</v>
      </c>
      <c r="ER308" s="1">
        <f>1+(Table1[[#This Row],[error_ratio_2]]-EH$2)</f>
        <v>1.0116279069767442</v>
      </c>
      <c r="ES308" s="1">
        <f>1+(Table1[[#This Row],[error_ratio_3]]-EI$2)</f>
        <v>0.96930693069306928</v>
      </c>
      <c r="ET308" s="1">
        <f>1+(Table1[[#This Row],[error_ratio_4]]-EJ$2)</f>
        <v>0.97046843177189412</v>
      </c>
      <c r="EU308" s="1">
        <f>1+(Table1[[#This Row],[error_ratio_5]]-EK$2)</f>
        <v>1.0168161434977578</v>
      </c>
      <c r="EV308" s="1">
        <f>1+(Table1[[#This Row],[error_ratio_6]]-EL$2)</f>
        <v>0.9979123173277662</v>
      </c>
      <c r="EW308" s="1">
        <f>1+(Table1[[#This Row],[error_ratio_7]]-EM$2)</f>
        <v>1.0165369649805447</v>
      </c>
      <c r="EX308" s="1">
        <f>1+(Table1[[#This Row],[error_ratio_8]]-EN$2)</f>
        <v>1.0338809034907597</v>
      </c>
      <c r="EY308" s="1">
        <f>1+(Table1[[#This Row],[error_ratio_9]]-EO$2)</f>
        <v>1.0802775024777007</v>
      </c>
    </row>
    <row r="309" spans="1:155" x14ac:dyDescent="0.75">
      <c r="A309">
        <v>100</v>
      </c>
      <c r="B309">
        <v>10</v>
      </c>
      <c r="C309">
        <v>10</v>
      </c>
      <c r="D309">
        <v>10</v>
      </c>
      <c r="E309">
        <v>100</v>
      </c>
      <c r="F309">
        <v>100</v>
      </c>
      <c r="G309">
        <v>10</v>
      </c>
      <c r="H309">
        <v>100</v>
      </c>
      <c r="I309">
        <v>10</v>
      </c>
      <c r="J309">
        <v>100</v>
      </c>
      <c r="K309">
        <v>982</v>
      </c>
      <c r="L309">
        <v>1155</v>
      </c>
      <c r="M309">
        <v>932</v>
      </c>
      <c r="N309">
        <v>925</v>
      </c>
      <c r="O309">
        <v>973</v>
      </c>
      <c r="P309">
        <v>1094</v>
      </c>
      <c r="Q309">
        <v>926</v>
      </c>
      <c r="R309">
        <v>1132</v>
      </c>
      <c r="S309">
        <v>888</v>
      </c>
      <c r="T309">
        <v>993</v>
      </c>
      <c r="U309">
        <v>980</v>
      </c>
      <c r="V309">
        <v>1135</v>
      </c>
      <c r="W309">
        <v>1032</v>
      </c>
      <c r="X309">
        <v>1010</v>
      </c>
      <c r="Y309">
        <v>982</v>
      </c>
      <c r="Z309">
        <v>892</v>
      </c>
      <c r="AA309">
        <v>958</v>
      </c>
      <c r="AB309">
        <v>1028</v>
      </c>
      <c r="AC309">
        <v>974</v>
      </c>
      <c r="AD309">
        <v>1009</v>
      </c>
      <c r="AE309">
        <v>966</v>
      </c>
      <c r="AF309">
        <v>1</v>
      </c>
      <c r="AG309">
        <v>0</v>
      </c>
      <c r="AH309">
        <v>0</v>
      </c>
      <c r="AI309">
        <v>0</v>
      </c>
      <c r="AJ309">
        <v>4</v>
      </c>
      <c r="AK309">
        <v>2</v>
      </c>
      <c r="AL309">
        <v>5</v>
      </c>
      <c r="AM309">
        <v>1</v>
      </c>
      <c r="AN309">
        <v>1</v>
      </c>
      <c r="AO309">
        <v>0</v>
      </c>
      <c r="AP309">
        <v>1122</v>
      </c>
      <c r="AQ309">
        <v>0</v>
      </c>
      <c r="AR309">
        <v>3</v>
      </c>
      <c r="AS309">
        <v>0</v>
      </c>
      <c r="AT309">
        <v>4</v>
      </c>
      <c r="AU309">
        <v>1</v>
      </c>
      <c r="AV309">
        <v>5</v>
      </c>
      <c r="AW309">
        <v>0</v>
      </c>
      <c r="AX309">
        <v>0</v>
      </c>
      <c r="AY309">
        <v>8</v>
      </c>
      <c r="AZ309">
        <v>17</v>
      </c>
      <c r="BA309">
        <v>925</v>
      </c>
      <c r="BB309">
        <v>12</v>
      </c>
      <c r="BC309">
        <v>2</v>
      </c>
      <c r="BD309">
        <v>4</v>
      </c>
      <c r="BE309">
        <v>6</v>
      </c>
      <c r="BF309">
        <v>50</v>
      </c>
      <c r="BG309">
        <v>5</v>
      </c>
      <c r="BH309">
        <v>3</v>
      </c>
      <c r="BI309">
        <v>0</v>
      </c>
      <c r="BJ309">
        <v>0</v>
      </c>
      <c r="BK309">
        <v>1</v>
      </c>
      <c r="BL309">
        <v>906</v>
      </c>
      <c r="BM309">
        <v>0</v>
      </c>
      <c r="BN309">
        <v>88</v>
      </c>
      <c r="BO309">
        <v>0</v>
      </c>
      <c r="BP309">
        <v>12</v>
      </c>
      <c r="BQ309">
        <v>1</v>
      </c>
      <c r="BR309">
        <v>2</v>
      </c>
      <c r="BS309">
        <v>0</v>
      </c>
      <c r="BT309">
        <v>5</v>
      </c>
      <c r="BU309">
        <v>2</v>
      </c>
      <c r="BV309">
        <v>0</v>
      </c>
      <c r="BW309">
        <v>958</v>
      </c>
      <c r="BX309">
        <v>0</v>
      </c>
      <c r="BY309">
        <v>3</v>
      </c>
      <c r="BZ309">
        <v>4</v>
      </c>
      <c r="CA309">
        <v>1</v>
      </c>
      <c r="CB309">
        <v>9</v>
      </c>
      <c r="CC309">
        <v>0</v>
      </c>
      <c r="CD309">
        <v>0</v>
      </c>
      <c r="CE309">
        <v>0</v>
      </c>
      <c r="CF309">
        <v>0</v>
      </c>
      <c r="CG309">
        <v>0</v>
      </c>
      <c r="CH309">
        <v>892</v>
      </c>
      <c r="CI309">
        <v>0</v>
      </c>
      <c r="CJ309">
        <v>0</v>
      </c>
      <c r="CK309">
        <v>0</v>
      </c>
      <c r="CL309">
        <v>0</v>
      </c>
      <c r="CM309">
        <v>5</v>
      </c>
      <c r="CN309">
        <v>3</v>
      </c>
      <c r="CO309">
        <v>1</v>
      </c>
      <c r="CP309">
        <v>0</v>
      </c>
      <c r="CQ309">
        <v>9</v>
      </c>
      <c r="CR309">
        <v>36</v>
      </c>
      <c r="CS309">
        <v>904</v>
      </c>
      <c r="CT309">
        <v>0</v>
      </c>
      <c r="CU309">
        <v>0</v>
      </c>
      <c r="CV309">
        <v>0</v>
      </c>
      <c r="CW309">
        <v>0</v>
      </c>
      <c r="CX309">
        <v>1</v>
      </c>
      <c r="CY309">
        <v>1</v>
      </c>
      <c r="CZ309">
        <v>0</v>
      </c>
      <c r="DA309">
        <v>0</v>
      </c>
      <c r="DB309">
        <v>1</v>
      </c>
      <c r="DC309">
        <v>0</v>
      </c>
      <c r="DD309">
        <v>1024</v>
      </c>
      <c r="DE309">
        <v>0</v>
      </c>
      <c r="DF309">
        <v>1</v>
      </c>
      <c r="DG309">
        <v>3</v>
      </c>
      <c r="DH309">
        <v>2</v>
      </c>
      <c r="DI309">
        <v>2</v>
      </c>
      <c r="DJ309">
        <v>3</v>
      </c>
      <c r="DK309">
        <v>1</v>
      </c>
      <c r="DL309">
        <v>47</v>
      </c>
      <c r="DM309">
        <v>10</v>
      </c>
      <c r="DN309">
        <v>19</v>
      </c>
      <c r="DO309">
        <v>880</v>
      </c>
      <c r="DP309">
        <v>7</v>
      </c>
      <c r="DQ309">
        <v>0</v>
      </c>
      <c r="DR309">
        <v>4</v>
      </c>
      <c r="DS309">
        <v>0</v>
      </c>
      <c r="DT309">
        <v>1</v>
      </c>
      <c r="DU309">
        <v>3</v>
      </c>
      <c r="DV309">
        <v>18</v>
      </c>
      <c r="DW309">
        <v>0</v>
      </c>
      <c r="DX309">
        <v>13</v>
      </c>
      <c r="DY309">
        <v>0</v>
      </c>
      <c r="DZ309">
        <v>970</v>
      </c>
      <c r="EA309">
        <v>0.95469999999999999</v>
      </c>
      <c r="EB309">
        <v>0.95756886700295196</v>
      </c>
      <c r="EC309">
        <v>0.95477483013119702</v>
      </c>
      <c r="ED309">
        <v>0.95434102206550597</v>
      </c>
      <c r="EE309">
        <f>SUM(Table1[[#This Row],[ratio_0]:[ratio_9]])</f>
        <v>550</v>
      </c>
      <c r="EF309" s="1">
        <f>(Table1[[#This Row],[predicted_0]]-Table1[[#This Row],[actual_0]])/Table1[[#This Row],[actual_0]]</f>
        <v>2.0408163265306124E-3</v>
      </c>
      <c r="EG309" s="1">
        <f>(Table1[[#This Row],[predicted_1]]-Table1[[#This Row],[actual_1]])/Table1[[#This Row],[actual_1]]</f>
        <v>1.7621145374449341E-2</v>
      </c>
      <c r="EH309" s="1">
        <f>(Table1[[#This Row],[predicted_2]]-Table1[[#This Row],[actual_2]])/Table1[[#This Row],[actual_2]]</f>
        <v>-9.6899224806201556E-2</v>
      </c>
      <c r="EI309" s="1">
        <f>(Table1[[#This Row],[predicted_3]]-Table1[[#This Row],[actual_3]])/Table1[[#This Row],[actual_3]]</f>
        <v>-8.4158415841584164E-2</v>
      </c>
      <c r="EJ309" s="1">
        <f>(Table1[[#This Row],[predicted_4]]-Table1[[#This Row],[actual_4]])/Table1[[#This Row],[actual_4]]</f>
        <v>-9.1649694501018328E-3</v>
      </c>
      <c r="EK309" s="1">
        <f>(Table1[[#This Row],[predicted_5]]-Table1[[#This Row],[actual_5]])/Table1[[#This Row],[actual_5]]</f>
        <v>0.226457399103139</v>
      </c>
      <c r="EL309" s="1">
        <f>(Table1[[#This Row],[predicted_6]]-Table1[[#This Row],[actual_6]])/Table1[[#This Row],[actual_6]]</f>
        <v>-3.3402922755741124E-2</v>
      </c>
      <c r="EM309" s="1">
        <f>(Table1[[#This Row],[predicted_7]]-Table1[[#This Row],[actual_7]])/Table1[[#This Row],[actual_7]]</f>
        <v>0.10116731517509728</v>
      </c>
      <c r="EN309" s="1">
        <f>(Table1[[#This Row],[predicted_8]]-Table1[[#This Row],[actual_8]])/Table1[[#This Row],[actual_8]]</f>
        <v>-8.8295687885010271E-2</v>
      </c>
      <c r="EO309" s="1">
        <f>(Table1[[#This Row],[predicted_9]]-Table1[[#This Row],[actual_9]])/Table1[[#This Row],[actual_9]]</f>
        <v>-1.5857284440039643E-2</v>
      </c>
      <c r="EP309" s="1">
        <f>1+(Table1[[#This Row],[error_ratio_0]]-EF$2)</f>
        <v>1</v>
      </c>
      <c r="EQ309" s="1">
        <f>1+(Table1[[#This Row],[error_ratio_1]]-EG$2)</f>
        <v>1.0158590308370044</v>
      </c>
      <c r="ER309" s="1">
        <f>1+(Table1[[#This Row],[error_ratio_2]]-EH$2)</f>
        <v>0.90794573643410847</v>
      </c>
      <c r="ES309" s="1">
        <f>1+(Table1[[#This Row],[error_ratio_3]]-EI$2)</f>
        <v>0.90594059405940597</v>
      </c>
      <c r="ET309" s="1">
        <f>1+(Table1[[#This Row],[error_ratio_4]]-EJ$2)</f>
        <v>0.98981670061099791</v>
      </c>
      <c r="EU309" s="1">
        <f>1+(Table1[[#This Row],[error_ratio_5]]-EK$2)</f>
        <v>1.2253363228699552</v>
      </c>
      <c r="EV309" s="1">
        <f>1+(Table1[[#This Row],[error_ratio_6]]-EL$2)</f>
        <v>0.97286012526096033</v>
      </c>
      <c r="EW309" s="1">
        <f>1+(Table1[[#This Row],[error_ratio_7]]-EM$2)</f>
        <v>1.0992217898832686</v>
      </c>
      <c r="EX309" s="1">
        <f>1+(Table1[[#This Row],[error_ratio_8]]-EN$2)</f>
        <v>0.91478439425051339</v>
      </c>
      <c r="EY309" s="1">
        <f>1+(Table1[[#This Row],[error_ratio_9]]-EO$2)</f>
        <v>0.98810703666997024</v>
      </c>
    </row>
    <row r="310" spans="1:155" x14ac:dyDescent="0.75">
      <c r="A310">
        <v>10</v>
      </c>
      <c r="B310">
        <v>10</v>
      </c>
      <c r="C310">
        <v>10</v>
      </c>
      <c r="D310">
        <v>10</v>
      </c>
      <c r="E310">
        <v>100</v>
      </c>
      <c r="F310">
        <v>100</v>
      </c>
      <c r="G310">
        <v>10</v>
      </c>
      <c r="H310">
        <v>100</v>
      </c>
      <c r="I310">
        <v>10</v>
      </c>
      <c r="J310">
        <v>100</v>
      </c>
      <c r="K310">
        <v>933</v>
      </c>
      <c r="L310">
        <v>1096</v>
      </c>
      <c r="M310">
        <v>929</v>
      </c>
      <c r="N310">
        <v>956</v>
      </c>
      <c r="O310">
        <v>1035</v>
      </c>
      <c r="P310">
        <v>1237</v>
      </c>
      <c r="Q310">
        <v>883</v>
      </c>
      <c r="R310">
        <v>1111</v>
      </c>
      <c r="S310">
        <v>814</v>
      </c>
      <c r="T310">
        <v>1006</v>
      </c>
      <c r="U310">
        <v>980</v>
      </c>
      <c r="V310">
        <v>1135</v>
      </c>
      <c r="W310">
        <v>1032</v>
      </c>
      <c r="X310">
        <v>1010</v>
      </c>
      <c r="Y310">
        <v>982</v>
      </c>
      <c r="Z310">
        <v>892</v>
      </c>
      <c r="AA310">
        <v>958</v>
      </c>
      <c r="AB310">
        <v>1028</v>
      </c>
      <c r="AC310">
        <v>974</v>
      </c>
      <c r="AD310">
        <v>1009</v>
      </c>
      <c r="AE310">
        <v>922</v>
      </c>
      <c r="AF310">
        <v>0</v>
      </c>
      <c r="AG310">
        <v>1</v>
      </c>
      <c r="AH310">
        <v>2</v>
      </c>
      <c r="AI310">
        <v>12</v>
      </c>
      <c r="AJ310">
        <v>14</v>
      </c>
      <c r="AK310">
        <v>2</v>
      </c>
      <c r="AL310">
        <v>3</v>
      </c>
      <c r="AM310">
        <v>1</v>
      </c>
      <c r="AN310">
        <v>23</v>
      </c>
      <c r="AO310">
        <v>0</v>
      </c>
      <c r="AP310">
        <v>1094</v>
      </c>
      <c r="AQ310">
        <v>6</v>
      </c>
      <c r="AR310">
        <v>5</v>
      </c>
      <c r="AS310">
        <v>8</v>
      </c>
      <c r="AT310">
        <v>4</v>
      </c>
      <c r="AU310">
        <v>2</v>
      </c>
      <c r="AV310">
        <v>9</v>
      </c>
      <c r="AW310">
        <v>7</v>
      </c>
      <c r="AX310">
        <v>0</v>
      </c>
      <c r="AY310">
        <v>5</v>
      </c>
      <c r="AZ310">
        <v>1</v>
      </c>
      <c r="BA310">
        <v>913</v>
      </c>
      <c r="BB310">
        <v>16</v>
      </c>
      <c r="BC310">
        <v>20</v>
      </c>
      <c r="BD310">
        <v>9</v>
      </c>
      <c r="BE310">
        <v>1</v>
      </c>
      <c r="BF310">
        <v>52</v>
      </c>
      <c r="BG310">
        <v>12</v>
      </c>
      <c r="BH310">
        <v>3</v>
      </c>
      <c r="BI310">
        <v>0</v>
      </c>
      <c r="BJ310">
        <v>0</v>
      </c>
      <c r="BK310">
        <v>2</v>
      </c>
      <c r="BL310">
        <v>917</v>
      </c>
      <c r="BM310">
        <v>0</v>
      </c>
      <c r="BN310">
        <v>82</v>
      </c>
      <c r="BO310">
        <v>0</v>
      </c>
      <c r="BP310">
        <v>6</v>
      </c>
      <c r="BQ310">
        <v>2</v>
      </c>
      <c r="BR310">
        <v>1</v>
      </c>
      <c r="BS310">
        <v>0</v>
      </c>
      <c r="BT310">
        <v>0</v>
      </c>
      <c r="BU310">
        <v>0</v>
      </c>
      <c r="BV310">
        <v>0</v>
      </c>
      <c r="BW310">
        <v>975</v>
      </c>
      <c r="BX310">
        <v>0</v>
      </c>
      <c r="BY310">
        <v>1</v>
      </c>
      <c r="BZ310">
        <v>1</v>
      </c>
      <c r="CA310">
        <v>0</v>
      </c>
      <c r="CB310">
        <v>5</v>
      </c>
      <c r="CC310">
        <v>0</v>
      </c>
      <c r="CD310">
        <v>0</v>
      </c>
      <c r="CE310">
        <v>0</v>
      </c>
      <c r="CF310">
        <v>0</v>
      </c>
      <c r="CG310">
        <v>0</v>
      </c>
      <c r="CH310">
        <v>889</v>
      </c>
      <c r="CI310">
        <v>0</v>
      </c>
      <c r="CJ310">
        <v>2</v>
      </c>
      <c r="CK310">
        <v>0</v>
      </c>
      <c r="CL310">
        <v>1</v>
      </c>
      <c r="CM310">
        <v>5</v>
      </c>
      <c r="CN310">
        <v>1</v>
      </c>
      <c r="CO310">
        <v>2</v>
      </c>
      <c r="CP310">
        <v>0</v>
      </c>
      <c r="CQ310">
        <v>8</v>
      </c>
      <c r="CR310">
        <v>65</v>
      </c>
      <c r="CS310">
        <v>877</v>
      </c>
      <c r="CT310">
        <v>0</v>
      </c>
      <c r="CU310">
        <v>0</v>
      </c>
      <c r="CV310">
        <v>0</v>
      </c>
      <c r="CW310">
        <v>0</v>
      </c>
      <c r="CX310">
        <v>0</v>
      </c>
      <c r="CY310">
        <v>2</v>
      </c>
      <c r="CZ310">
        <v>1</v>
      </c>
      <c r="DA310">
        <v>0</v>
      </c>
      <c r="DB310">
        <v>1</v>
      </c>
      <c r="DC310">
        <v>0</v>
      </c>
      <c r="DD310">
        <v>1023</v>
      </c>
      <c r="DE310">
        <v>0</v>
      </c>
      <c r="DF310">
        <v>1</v>
      </c>
      <c r="DG310">
        <v>1</v>
      </c>
      <c r="DH310">
        <v>0</v>
      </c>
      <c r="DI310">
        <v>2</v>
      </c>
      <c r="DJ310">
        <v>12</v>
      </c>
      <c r="DK310">
        <v>6</v>
      </c>
      <c r="DL310">
        <v>152</v>
      </c>
      <c r="DM310">
        <v>0</v>
      </c>
      <c r="DN310">
        <v>7</v>
      </c>
      <c r="DO310">
        <v>789</v>
      </c>
      <c r="DP310">
        <v>5</v>
      </c>
      <c r="DQ310">
        <v>0</v>
      </c>
      <c r="DR310">
        <v>0</v>
      </c>
      <c r="DS310">
        <v>1</v>
      </c>
      <c r="DT310">
        <v>3</v>
      </c>
      <c r="DU310">
        <v>6</v>
      </c>
      <c r="DV310">
        <v>21</v>
      </c>
      <c r="DW310">
        <v>0</v>
      </c>
      <c r="DX310">
        <v>8</v>
      </c>
      <c r="DY310">
        <v>3</v>
      </c>
      <c r="DZ310">
        <v>967</v>
      </c>
      <c r="EA310">
        <v>0.93659999999999999</v>
      </c>
      <c r="EB310">
        <v>0.94335877913838295</v>
      </c>
      <c r="EC310">
        <v>0.93658334233335305</v>
      </c>
      <c r="ED310">
        <v>0.93622061526526901</v>
      </c>
      <c r="EE310">
        <f>SUM(Table1[[#This Row],[ratio_0]:[ratio_9]])</f>
        <v>460</v>
      </c>
      <c r="EF310" s="1">
        <f>(Table1[[#This Row],[predicted_0]]-Table1[[#This Row],[actual_0]])/Table1[[#This Row],[actual_0]]</f>
        <v>-4.7959183673469387E-2</v>
      </c>
      <c r="EG310" s="1">
        <f>(Table1[[#This Row],[predicted_1]]-Table1[[#This Row],[actual_1]])/Table1[[#This Row],[actual_1]]</f>
        <v>-3.4361233480176209E-2</v>
      </c>
      <c r="EH310" s="1">
        <f>(Table1[[#This Row],[predicted_2]]-Table1[[#This Row],[actual_2]])/Table1[[#This Row],[actual_2]]</f>
        <v>-9.9806201550387594E-2</v>
      </c>
      <c r="EI310" s="1">
        <f>(Table1[[#This Row],[predicted_3]]-Table1[[#This Row],[actual_3]])/Table1[[#This Row],[actual_3]]</f>
        <v>-5.3465346534653464E-2</v>
      </c>
      <c r="EJ310" s="1">
        <f>(Table1[[#This Row],[predicted_4]]-Table1[[#This Row],[actual_4]])/Table1[[#This Row],[actual_4]]</f>
        <v>5.3971486761710798E-2</v>
      </c>
      <c r="EK310" s="1">
        <f>(Table1[[#This Row],[predicted_5]]-Table1[[#This Row],[actual_5]])/Table1[[#This Row],[actual_5]]</f>
        <v>0.3867713004484305</v>
      </c>
      <c r="EL310" s="1">
        <f>(Table1[[#This Row],[predicted_6]]-Table1[[#This Row],[actual_6]])/Table1[[#This Row],[actual_6]]</f>
        <v>-7.8288100208768266E-2</v>
      </c>
      <c r="EM310" s="1">
        <f>(Table1[[#This Row],[predicted_7]]-Table1[[#This Row],[actual_7]])/Table1[[#This Row],[actual_7]]</f>
        <v>8.0739299610894946E-2</v>
      </c>
      <c r="EN310" s="1">
        <f>(Table1[[#This Row],[predicted_8]]-Table1[[#This Row],[actual_8]])/Table1[[#This Row],[actual_8]]</f>
        <v>-0.16427104722792607</v>
      </c>
      <c r="EO310" s="1">
        <f>(Table1[[#This Row],[predicted_9]]-Table1[[#This Row],[actual_9]])/Table1[[#This Row],[actual_9]]</f>
        <v>-2.973240832507433E-3</v>
      </c>
      <c r="EP310" s="1">
        <f>1+(Table1[[#This Row],[error_ratio_0]]-EF$2)</f>
        <v>0.95</v>
      </c>
      <c r="EQ310" s="1">
        <f>1+(Table1[[#This Row],[error_ratio_1]]-EG$2)</f>
        <v>0.96387665198237882</v>
      </c>
      <c r="ER310" s="1">
        <f>1+(Table1[[#This Row],[error_ratio_2]]-EH$2)</f>
        <v>0.90503875968992253</v>
      </c>
      <c r="ES310" s="1">
        <f>1+(Table1[[#This Row],[error_ratio_3]]-EI$2)</f>
        <v>0.93663366336633658</v>
      </c>
      <c r="ET310" s="1">
        <f>1+(Table1[[#This Row],[error_ratio_4]]-EJ$2)</f>
        <v>1.0529531568228105</v>
      </c>
      <c r="EU310" s="1">
        <f>1+(Table1[[#This Row],[error_ratio_5]]-EK$2)</f>
        <v>1.3856502242152466</v>
      </c>
      <c r="EV310" s="1">
        <f>1+(Table1[[#This Row],[error_ratio_6]]-EL$2)</f>
        <v>0.92797494780793321</v>
      </c>
      <c r="EW310" s="1">
        <f>1+(Table1[[#This Row],[error_ratio_7]]-EM$2)</f>
        <v>1.0787937743190661</v>
      </c>
      <c r="EX310" s="1">
        <f>1+(Table1[[#This Row],[error_ratio_8]]-EN$2)</f>
        <v>0.83880903490759751</v>
      </c>
      <c r="EY310" s="1">
        <f>1+(Table1[[#This Row],[error_ratio_9]]-EO$2)</f>
        <v>1.0009910802775024</v>
      </c>
    </row>
    <row r="311" spans="1:155" x14ac:dyDescent="0.75">
      <c r="A311">
        <v>100</v>
      </c>
      <c r="B311">
        <v>100</v>
      </c>
      <c r="C311">
        <v>100</v>
      </c>
      <c r="D311">
        <v>100</v>
      </c>
      <c r="E311">
        <v>10</v>
      </c>
      <c r="F311">
        <v>100</v>
      </c>
      <c r="G311">
        <v>10</v>
      </c>
      <c r="H311">
        <v>100</v>
      </c>
      <c r="I311">
        <v>10</v>
      </c>
      <c r="J311">
        <v>100</v>
      </c>
      <c r="K311">
        <v>1009</v>
      </c>
      <c r="L311">
        <v>1152</v>
      </c>
      <c r="M311">
        <v>1055</v>
      </c>
      <c r="N311">
        <v>994</v>
      </c>
      <c r="O311">
        <v>939</v>
      </c>
      <c r="P311">
        <v>897</v>
      </c>
      <c r="Q311">
        <v>937</v>
      </c>
      <c r="R311">
        <v>1037</v>
      </c>
      <c r="S311">
        <v>926</v>
      </c>
      <c r="T311">
        <v>1054</v>
      </c>
      <c r="U311">
        <v>980</v>
      </c>
      <c r="V311">
        <v>1135</v>
      </c>
      <c r="W311">
        <v>1032</v>
      </c>
      <c r="X311">
        <v>1010</v>
      </c>
      <c r="Y311">
        <v>982</v>
      </c>
      <c r="Z311">
        <v>892</v>
      </c>
      <c r="AA311">
        <v>958</v>
      </c>
      <c r="AB311">
        <v>1028</v>
      </c>
      <c r="AC311">
        <v>974</v>
      </c>
      <c r="AD311">
        <v>1009</v>
      </c>
      <c r="AE311">
        <v>975</v>
      </c>
      <c r="AF311">
        <v>1</v>
      </c>
      <c r="AG311">
        <v>1</v>
      </c>
      <c r="AH311">
        <v>0</v>
      </c>
      <c r="AI311">
        <v>0</v>
      </c>
      <c r="AJ311">
        <v>0</v>
      </c>
      <c r="AK311">
        <v>0</v>
      </c>
      <c r="AL311">
        <v>2</v>
      </c>
      <c r="AM311">
        <v>0</v>
      </c>
      <c r="AN311">
        <v>1</v>
      </c>
      <c r="AO311">
        <v>0</v>
      </c>
      <c r="AP311">
        <v>1134</v>
      </c>
      <c r="AQ311">
        <v>0</v>
      </c>
      <c r="AR311">
        <v>0</v>
      </c>
      <c r="AS311">
        <v>0</v>
      </c>
      <c r="AT311">
        <v>0</v>
      </c>
      <c r="AU311">
        <v>0</v>
      </c>
      <c r="AV311">
        <v>1</v>
      </c>
      <c r="AW311">
        <v>0</v>
      </c>
      <c r="AX311">
        <v>0</v>
      </c>
      <c r="AY311">
        <v>0</v>
      </c>
      <c r="AZ311">
        <v>4</v>
      </c>
      <c r="BA311">
        <v>1022</v>
      </c>
      <c r="BB311">
        <v>0</v>
      </c>
      <c r="BC311">
        <v>0</v>
      </c>
      <c r="BD311">
        <v>0</v>
      </c>
      <c r="BE311">
        <v>0</v>
      </c>
      <c r="BF311">
        <v>6</v>
      </c>
      <c r="BG311">
        <v>0</v>
      </c>
      <c r="BH311">
        <v>0</v>
      </c>
      <c r="BI311">
        <v>1</v>
      </c>
      <c r="BJ311">
        <v>0</v>
      </c>
      <c r="BK311">
        <v>2</v>
      </c>
      <c r="BL311">
        <v>989</v>
      </c>
      <c r="BM311">
        <v>0</v>
      </c>
      <c r="BN311">
        <v>7</v>
      </c>
      <c r="BO311">
        <v>0</v>
      </c>
      <c r="BP311">
        <v>4</v>
      </c>
      <c r="BQ311">
        <v>2</v>
      </c>
      <c r="BR311">
        <v>5</v>
      </c>
      <c r="BS311">
        <v>0</v>
      </c>
      <c r="BT311">
        <v>2</v>
      </c>
      <c r="BU311">
        <v>7</v>
      </c>
      <c r="BV311">
        <v>1</v>
      </c>
      <c r="BW311">
        <v>932</v>
      </c>
      <c r="BX311">
        <v>0</v>
      </c>
      <c r="BY311">
        <v>4</v>
      </c>
      <c r="BZ311">
        <v>0</v>
      </c>
      <c r="CA311">
        <v>2</v>
      </c>
      <c r="CB311">
        <v>34</v>
      </c>
      <c r="CC311">
        <v>3</v>
      </c>
      <c r="CD311">
        <v>1</v>
      </c>
      <c r="CE311">
        <v>0</v>
      </c>
      <c r="CF311">
        <v>2</v>
      </c>
      <c r="CG311">
        <v>0</v>
      </c>
      <c r="CH311">
        <v>883</v>
      </c>
      <c r="CI311">
        <v>1</v>
      </c>
      <c r="CJ311">
        <v>1</v>
      </c>
      <c r="CK311">
        <v>0</v>
      </c>
      <c r="CL311">
        <v>1</v>
      </c>
      <c r="CM311">
        <v>14</v>
      </c>
      <c r="CN311">
        <v>5</v>
      </c>
      <c r="CO311">
        <v>1</v>
      </c>
      <c r="CP311">
        <v>0</v>
      </c>
      <c r="CQ311">
        <v>3</v>
      </c>
      <c r="CR311">
        <v>5</v>
      </c>
      <c r="CS311">
        <v>929</v>
      </c>
      <c r="CT311">
        <v>0</v>
      </c>
      <c r="CU311">
        <v>1</v>
      </c>
      <c r="CV311">
        <v>0</v>
      </c>
      <c r="CW311">
        <v>0</v>
      </c>
      <c r="CX311">
        <v>3</v>
      </c>
      <c r="CY311">
        <v>6</v>
      </c>
      <c r="CZ311">
        <v>0</v>
      </c>
      <c r="DA311">
        <v>0</v>
      </c>
      <c r="DB311">
        <v>0</v>
      </c>
      <c r="DC311">
        <v>0</v>
      </c>
      <c r="DD311">
        <v>1014</v>
      </c>
      <c r="DE311">
        <v>0</v>
      </c>
      <c r="DF311">
        <v>5</v>
      </c>
      <c r="DG311">
        <v>14</v>
      </c>
      <c r="DH311">
        <v>1</v>
      </c>
      <c r="DI311">
        <v>14</v>
      </c>
      <c r="DJ311">
        <v>2</v>
      </c>
      <c r="DK311">
        <v>3</v>
      </c>
      <c r="DL311">
        <v>1</v>
      </c>
      <c r="DM311">
        <v>3</v>
      </c>
      <c r="DN311">
        <v>5</v>
      </c>
      <c r="DO311">
        <v>921</v>
      </c>
      <c r="DP311">
        <v>10</v>
      </c>
      <c r="DQ311">
        <v>2</v>
      </c>
      <c r="DR311">
        <v>1</v>
      </c>
      <c r="DS311">
        <v>2</v>
      </c>
      <c r="DT311">
        <v>0</v>
      </c>
      <c r="DU311">
        <v>1</v>
      </c>
      <c r="DV311">
        <v>1</v>
      </c>
      <c r="DW311">
        <v>0</v>
      </c>
      <c r="DX311">
        <v>4</v>
      </c>
      <c r="DY311">
        <v>0</v>
      </c>
      <c r="DZ311">
        <v>998</v>
      </c>
      <c r="EA311">
        <v>0.97970000000000002</v>
      </c>
      <c r="EB311">
        <v>0.98020584004686795</v>
      </c>
      <c r="EC311">
        <v>0.979332197394577</v>
      </c>
      <c r="ED311">
        <v>0.97955321179850297</v>
      </c>
      <c r="EE311">
        <f>SUM(Table1[[#This Row],[ratio_0]:[ratio_9]])</f>
        <v>730</v>
      </c>
      <c r="EF311" s="1">
        <f>(Table1[[#This Row],[predicted_0]]-Table1[[#This Row],[actual_0]])/Table1[[#This Row],[actual_0]]</f>
        <v>2.9591836734693878E-2</v>
      </c>
      <c r="EG311" s="1">
        <f>(Table1[[#This Row],[predicted_1]]-Table1[[#This Row],[actual_1]])/Table1[[#This Row],[actual_1]]</f>
        <v>1.4977973568281937E-2</v>
      </c>
      <c r="EH311" s="1">
        <f>(Table1[[#This Row],[predicted_2]]-Table1[[#This Row],[actual_2]])/Table1[[#This Row],[actual_2]]</f>
        <v>2.2286821705426358E-2</v>
      </c>
      <c r="EI311" s="1">
        <f>(Table1[[#This Row],[predicted_3]]-Table1[[#This Row],[actual_3]])/Table1[[#This Row],[actual_3]]</f>
        <v>-1.5841584158415842E-2</v>
      </c>
      <c r="EJ311" s="1">
        <f>(Table1[[#This Row],[predicted_4]]-Table1[[#This Row],[actual_4]])/Table1[[#This Row],[actual_4]]</f>
        <v>-4.3788187372708759E-2</v>
      </c>
      <c r="EK311" s="1">
        <f>(Table1[[#This Row],[predicted_5]]-Table1[[#This Row],[actual_5]])/Table1[[#This Row],[actual_5]]</f>
        <v>5.6053811659192822E-3</v>
      </c>
      <c r="EL311" s="1">
        <f>(Table1[[#This Row],[predicted_6]]-Table1[[#This Row],[actual_6]])/Table1[[#This Row],[actual_6]]</f>
        <v>-2.1920668058455117E-2</v>
      </c>
      <c r="EM311" s="1">
        <f>(Table1[[#This Row],[predicted_7]]-Table1[[#This Row],[actual_7]])/Table1[[#This Row],[actual_7]]</f>
        <v>8.7548638132295721E-3</v>
      </c>
      <c r="EN311" s="1">
        <f>(Table1[[#This Row],[predicted_8]]-Table1[[#This Row],[actual_8]])/Table1[[#This Row],[actual_8]]</f>
        <v>-4.9281314168377825E-2</v>
      </c>
      <c r="EO311" s="1">
        <f>(Table1[[#This Row],[predicted_9]]-Table1[[#This Row],[actual_9]])/Table1[[#This Row],[actual_9]]</f>
        <v>4.4598612487611496E-2</v>
      </c>
      <c r="EP311" s="1">
        <f>1+(Table1[[#This Row],[error_ratio_0]]-EF$2)</f>
        <v>1.0275510204081633</v>
      </c>
      <c r="EQ311" s="1">
        <f>1+(Table1[[#This Row],[error_ratio_1]]-EG$2)</f>
        <v>1.0132158590308371</v>
      </c>
      <c r="ER311" s="1">
        <f>1+(Table1[[#This Row],[error_ratio_2]]-EH$2)</f>
        <v>1.0271317829457365</v>
      </c>
      <c r="ES311" s="1">
        <f>1+(Table1[[#This Row],[error_ratio_3]]-EI$2)</f>
        <v>0.97425742574257423</v>
      </c>
      <c r="ET311" s="1">
        <f>1+(Table1[[#This Row],[error_ratio_4]]-EJ$2)</f>
        <v>0.95519348268839099</v>
      </c>
      <c r="EU311" s="1">
        <f>1+(Table1[[#This Row],[error_ratio_5]]-EK$2)</f>
        <v>1.0044843049327354</v>
      </c>
      <c r="EV311" s="1">
        <f>1+(Table1[[#This Row],[error_ratio_6]]-EL$2)</f>
        <v>0.98434237995824636</v>
      </c>
      <c r="EW311" s="1">
        <f>1+(Table1[[#This Row],[error_ratio_7]]-EM$2)</f>
        <v>1.0068093385214008</v>
      </c>
      <c r="EX311" s="1">
        <f>1+(Table1[[#This Row],[error_ratio_8]]-EN$2)</f>
        <v>0.9537987679671458</v>
      </c>
      <c r="EY311" s="1">
        <f>1+(Table1[[#This Row],[error_ratio_9]]-EO$2)</f>
        <v>1.0485629335976214</v>
      </c>
    </row>
    <row r="312" spans="1:155" x14ac:dyDescent="0.75">
      <c r="A312">
        <v>10</v>
      </c>
      <c r="B312">
        <v>100</v>
      </c>
      <c r="C312">
        <v>100</v>
      </c>
      <c r="D312">
        <v>100</v>
      </c>
      <c r="E312">
        <v>10</v>
      </c>
      <c r="F312">
        <v>100</v>
      </c>
      <c r="G312">
        <v>10</v>
      </c>
      <c r="H312">
        <v>100</v>
      </c>
      <c r="I312">
        <v>10</v>
      </c>
      <c r="J312">
        <v>100</v>
      </c>
      <c r="K312">
        <v>959</v>
      </c>
      <c r="L312">
        <v>1148</v>
      </c>
      <c r="M312">
        <v>1036</v>
      </c>
      <c r="N312">
        <v>1014</v>
      </c>
      <c r="O312">
        <v>882</v>
      </c>
      <c r="P312">
        <v>953</v>
      </c>
      <c r="Q312">
        <v>924</v>
      </c>
      <c r="R312">
        <v>1060</v>
      </c>
      <c r="S312">
        <v>919</v>
      </c>
      <c r="T312">
        <v>1105</v>
      </c>
      <c r="U312">
        <v>980</v>
      </c>
      <c r="V312">
        <v>1135</v>
      </c>
      <c r="W312">
        <v>1032</v>
      </c>
      <c r="X312">
        <v>1010</v>
      </c>
      <c r="Y312">
        <v>982</v>
      </c>
      <c r="Z312">
        <v>892</v>
      </c>
      <c r="AA312">
        <v>958</v>
      </c>
      <c r="AB312">
        <v>1028</v>
      </c>
      <c r="AC312">
        <v>974</v>
      </c>
      <c r="AD312">
        <v>1009</v>
      </c>
      <c r="AE312">
        <v>947</v>
      </c>
      <c r="AF312">
        <v>1</v>
      </c>
      <c r="AG312">
        <v>5</v>
      </c>
      <c r="AH312">
        <v>1</v>
      </c>
      <c r="AI312">
        <v>0</v>
      </c>
      <c r="AJ312">
        <v>10</v>
      </c>
      <c r="AK312">
        <v>4</v>
      </c>
      <c r="AL312">
        <v>5</v>
      </c>
      <c r="AM312">
        <v>2</v>
      </c>
      <c r="AN312">
        <v>5</v>
      </c>
      <c r="AO312">
        <v>0</v>
      </c>
      <c r="AP312">
        <v>1130</v>
      </c>
      <c r="AQ312">
        <v>0</v>
      </c>
      <c r="AR312">
        <v>2</v>
      </c>
      <c r="AS312">
        <v>0</v>
      </c>
      <c r="AT312">
        <v>1</v>
      </c>
      <c r="AU312">
        <v>0</v>
      </c>
      <c r="AV312">
        <v>2</v>
      </c>
      <c r="AW312">
        <v>0</v>
      </c>
      <c r="AX312">
        <v>0</v>
      </c>
      <c r="AY312">
        <v>1</v>
      </c>
      <c r="AZ312">
        <v>1</v>
      </c>
      <c r="BA312">
        <v>1015</v>
      </c>
      <c r="BB312">
        <v>1</v>
      </c>
      <c r="BC312">
        <v>0</v>
      </c>
      <c r="BD312">
        <v>0</v>
      </c>
      <c r="BE312">
        <v>0</v>
      </c>
      <c r="BF312">
        <v>14</v>
      </c>
      <c r="BG312">
        <v>0</v>
      </c>
      <c r="BH312">
        <v>0</v>
      </c>
      <c r="BI312">
        <v>0</v>
      </c>
      <c r="BJ312">
        <v>0</v>
      </c>
      <c r="BK312">
        <v>2</v>
      </c>
      <c r="BL312">
        <v>995</v>
      </c>
      <c r="BM312">
        <v>0</v>
      </c>
      <c r="BN312">
        <v>9</v>
      </c>
      <c r="BO312">
        <v>0</v>
      </c>
      <c r="BP312">
        <v>2</v>
      </c>
      <c r="BQ312">
        <v>2</v>
      </c>
      <c r="BR312">
        <v>0</v>
      </c>
      <c r="BS312">
        <v>0</v>
      </c>
      <c r="BT312">
        <v>7</v>
      </c>
      <c r="BU312">
        <v>3</v>
      </c>
      <c r="BV312">
        <v>0</v>
      </c>
      <c r="BW312">
        <v>878</v>
      </c>
      <c r="BX312">
        <v>1</v>
      </c>
      <c r="BY312">
        <v>4</v>
      </c>
      <c r="BZ312">
        <v>8</v>
      </c>
      <c r="CA312">
        <v>4</v>
      </c>
      <c r="CB312">
        <v>77</v>
      </c>
      <c r="CC312">
        <v>0</v>
      </c>
      <c r="CD312">
        <v>0</v>
      </c>
      <c r="CE312">
        <v>0</v>
      </c>
      <c r="CF312">
        <v>5</v>
      </c>
      <c r="CG312">
        <v>0</v>
      </c>
      <c r="CH312">
        <v>886</v>
      </c>
      <c r="CI312">
        <v>0</v>
      </c>
      <c r="CJ312">
        <v>0</v>
      </c>
      <c r="CK312">
        <v>0</v>
      </c>
      <c r="CL312">
        <v>1</v>
      </c>
      <c r="CM312">
        <v>7</v>
      </c>
      <c r="CN312">
        <v>4</v>
      </c>
      <c r="CO312">
        <v>1</v>
      </c>
      <c r="CP312">
        <v>0</v>
      </c>
      <c r="CQ312">
        <v>4</v>
      </c>
      <c r="CR312">
        <v>27</v>
      </c>
      <c r="CS312">
        <v>913</v>
      </c>
      <c r="CT312">
        <v>0</v>
      </c>
      <c r="CU312">
        <v>0</v>
      </c>
      <c r="CV312">
        <v>2</v>
      </c>
      <c r="CW312">
        <v>0</v>
      </c>
      <c r="CX312">
        <v>2</v>
      </c>
      <c r="CY312">
        <v>2</v>
      </c>
      <c r="CZ312">
        <v>0</v>
      </c>
      <c r="DA312">
        <v>0</v>
      </c>
      <c r="DB312">
        <v>0</v>
      </c>
      <c r="DC312">
        <v>0</v>
      </c>
      <c r="DD312">
        <v>1018</v>
      </c>
      <c r="DE312">
        <v>0</v>
      </c>
      <c r="DF312">
        <v>6</v>
      </c>
      <c r="DG312">
        <v>3</v>
      </c>
      <c r="DH312">
        <v>3</v>
      </c>
      <c r="DI312">
        <v>8</v>
      </c>
      <c r="DJ312">
        <v>9</v>
      </c>
      <c r="DK312">
        <v>0</v>
      </c>
      <c r="DL312">
        <v>15</v>
      </c>
      <c r="DM312">
        <v>2</v>
      </c>
      <c r="DN312">
        <v>11</v>
      </c>
      <c r="DO312">
        <v>911</v>
      </c>
      <c r="DP312">
        <v>12</v>
      </c>
      <c r="DQ312">
        <v>1</v>
      </c>
      <c r="DR312">
        <v>0</v>
      </c>
      <c r="DS312">
        <v>0</v>
      </c>
      <c r="DT312">
        <v>1</v>
      </c>
      <c r="DU312">
        <v>0</v>
      </c>
      <c r="DV312">
        <v>4</v>
      </c>
      <c r="DW312">
        <v>1</v>
      </c>
      <c r="DX312">
        <v>0</v>
      </c>
      <c r="DY312">
        <v>0</v>
      </c>
      <c r="DZ312">
        <v>1002</v>
      </c>
      <c r="EA312">
        <v>0.96950000000000003</v>
      </c>
      <c r="EB312">
        <v>0.97045149432784095</v>
      </c>
      <c r="EC312">
        <v>0.96896443464854198</v>
      </c>
      <c r="ED312">
        <v>0.96898372712412095</v>
      </c>
      <c r="EE312">
        <f>SUM(Table1[[#This Row],[ratio_0]:[ratio_9]])</f>
        <v>640</v>
      </c>
      <c r="EF312" s="1">
        <f>(Table1[[#This Row],[predicted_0]]-Table1[[#This Row],[actual_0]])/Table1[[#This Row],[actual_0]]</f>
        <v>-2.1428571428571429E-2</v>
      </c>
      <c r="EG312" s="1">
        <f>(Table1[[#This Row],[predicted_1]]-Table1[[#This Row],[actual_1]])/Table1[[#This Row],[actual_1]]</f>
        <v>1.145374449339207E-2</v>
      </c>
      <c r="EH312" s="1">
        <f>(Table1[[#This Row],[predicted_2]]-Table1[[#This Row],[actual_2]])/Table1[[#This Row],[actual_2]]</f>
        <v>3.875968992248062E-3</v>
      </c>
      <c r="EI312" s="1">
        <f>(Table1[[#This Row],[predicted_3]]-Table1[[#This Row],[actual_3]])/Table1[[#This Row],[actual_3]]</f>
        <v>3.9603960396039604E-3</v>
      </c>
      <c r="EJ312" s="1">
        <f>(Table1[[#This Row],[predicted_4]]-Table1[[#This Row],[actual_4]])/Table1[[#This Row],[actual_4]]</f>
        <v>-0.10183299389002037</v>
      </c>
      <c r="EK312" s="1">
        <f>(Table1[[#This Row],[predicted_5]]-Table1[[#This Row],[actual_5]])/Table1[[#This Row],[actual_5]]</f>
        <v>6.838565022421525E-2</v>
      </c>
      <c r="EL312" s="1">
        <f>(Table1[[#This Row],[predicted_6]]-Table1[[#This Row],[actual_6]])/Table1[[#This Row],[actual_6]]</f>
        <v>-3.5490605427974949E-2</v>
      </c>
      <c r="EM312" s="1">
        <f>(Table1[[#This Row],[predicted_7]]-Table1[[#This Row],[actual_7]])/Table1[[#This Row],[actual_7]]</f>
        <v>3.1128404669260701E-2</v>
      </c>
      <c r="EN312" s="1">
        <f>(Table1[[#This Row],[predicted_8]]-Table1[[#This Row],[actual_8]])/Table1[[#This Row],[actual_8]]</f>
        <v>-5.6468172484599587E-2</v>
      </c>
      <c r="EO312" s="1">
        <f>(Table1[[#This Row],[predicted_9]]-Table1[[#This Row],[actual_9]])/Table1[[#This Row],[actual_9]]</f>
        <v>9.5143706640237857E-2</v>
      </c>
      <c r="EP312" s="1">
        <f>1+(Table1[[#This Row],[error_ratio_0]]-EF$2)</f>
        <v>0.97653061224489801</v>
      </c>
      <c r="EQ312" s="1">
        <f>1+(Table1[[#This Row],[error_ratio_1]]-EG$2)</f>
        <v>1.0096916299559471</v>
      </c>
      <c r="ER312" s="1">
        <f>1+(Table1[[#This Row],[error_ratio_2]]-EH$2)</f>
        <v>1.0087209302325582</v>
      </c>
      <c r="ES312" s="1">
        <f>1+(Table1[[#This Row],[error_ratio_3]]-EI$2)</f>
        <v>0.99405940594059405</v>
      </c>
      <c r="ET312" s="1">
        <f>1+(Table1[[#This Row],[error_ratio_4]]-EJ$2)</f>
        <v>0.89714867617107941</v>
      </c>
      <c r="EU312" s="1">
        <f>1+(Table1[[#This Row],[error_ratio_5]]-EK$2)</f>
        <v>1.0672645739910314</v>
      </c>
      <c r="EV312" s="1">
        <f>1+(Table1[[#This Row],[error_ratio_6]]-EL$2)</f>
        <v>0.97077244258872653</v>
      </c>
      <c r="EW312" s="1">
        <f>1+(Table1[[#This Row],[error_ratio_7]]-EM$2)</f>
        <v>1.0291828793774318</v>
      </c>
      <c r="EX312" s="1">
        <f>1+(Table1[[#This Row],[error_ratio_8]]-EN$2)</f>
        <v>0.94661190965092401</v>
      </c>
      <c r="EY312" s="1">
        <f>1+(Table1[[#This Row],[error_ratio_9]]-EO$2)</f>
        <v>1.0991080277502479</v>
      </c>
    </row>
    <row r="313" spans="1:155" x14ac:dyDescent="0.75">
      <c r="A313">
        <v>10</v>
      </c>
      <c r="B313">
        <v>10</v>
      </c>
      <c r="C313">
        <v>100</v>
      </c>
      <c r="D313">
        <v>100</v>
      </c>
      <c r="E313">
        <v>10</v>
      </c>
      <c r="F313">
        <v>100</v>
      </c>
      <c r="G313">
        <v>10</v>
      </c>
      <c r="H313">
        <v>100</v>
      </c>
      <c r="I313">
        <v>10</v>
      </c>
      <c r="J313">
        <v>100</v>
      </c>
      <c r="K313">
        <v>972</v>
      </c>
      <c r="L313">
        <v>1165</v>
      </c>
      <c r="M313">
        <v>1016</v>
      </c>
      <c r="N313">
        <v>1004</v>
      </c>
      <c r="O313">
        <v>872</v>
      </c>
      <c r="P313">
        <v>983</v>
      </c>
      <c r="Q313">
        <v>902</v>
      </c>
      <c r="R313">
        <v>1097</v>
      </c>
      <c r="S313">
        <v>899</v>
      </c>
      <c r="T313">
        <v>1090</v>
      </c>
      <c r="U313">
        <v>980</v>
      </c>
      <c r="V313">
        <v>1135</v>
      </c>
      <c r="W313">
        <v>1032</v>
      </c>
      <c r="X313">
        <v>1010</v>
      </c>
      <c r="Y313">
        <v>982</v>
      </c>
      <c r="Z313">
        <v>892</v>
      </c>
      <c r="AA313">
        <v>958</v>
      </c>
      <c r="AB313">
        <v>1028</v>
      </c>
      <c r="AC313">
        <v>974</v>
      </c>
      <c r="AD313">
        <v>1009</v>
      </c>
      <c r="AE313">
        <v>952</v>
      </c>
      <c r="AF313">
        <v>0</v>
      </c>
      <c r="AG313">
        <v>1</v>
      </c>
      <c r="AH313">
        <v>0</v>
      </c>
      <c r="AI313">
        <v>0</v>
      </c>
      <c r="AJ313">
        <v>3</v>
      </c>
      <c r="AK313">
        <v>10</v>
      </c>
      <c r="AL313">
        <v>3</v>
      </c>
      <c r="AM313">
        <v>1</v>
      </c>
      <c r="AN313">
        <v>10</v>
      </c>
      <c r="AO313">
        <v>0</v>
      </c>
      <c r="AP313">
        <v>1126</v>
      </c>
      <c r="AQ313">
        <v>0</v>
      </c>
      <c r="AR313">
        <v>4</v>
      </c>
      <c r="AS313">
        <v>0</v>
      </c>
      <c r="AT313">
        <v>4</v>
      </c>
      <c r="AU313">
        <v>0</v>
      </c>
      <c r="AV313">
        <v>1</v>
      </c>
      <c r="AW313">
        <v>0</v>
      </c>
      <c r="AX313">
        <v>0</v>
      </c>
      <c r="AY313">
        <v>1</v>
      </c>
      <c r="AZ313">
        <v>9</v>
      </c>
      <c r="BA313">
        <v>996</v>
      </c>
      <c r="BB313">
        <v>4</v>
      </c>
      <c r="BC313">
        <v>0</v>
      </c>
      <c r="BD313">
        <v>1</v>
      </c>
      <c r="BE313">
        <v>0</v>
      </c>
      <c r="BF313">
        <v>20</v>
      </c>
      <c r="BG313">
        <v>0</v>
      </c>
      <c r="BH313">
        <v>1</v>
      </c>
      <c r="BI313">
        <v>0</v>
      </c>
      <c r="BJ313">
        <v>0</v>
      </c>
      <c r="BK313">
        <v>2</v>
      </c>
      <c r="BL313">
        <v>989</v>
      </c>
      <c r="BM313">
        <v>0</v>
      </c>
      <c r="BN313">
        <v>10</v>
      </c>
      <c r="BO313">
        <v>0</v>
      </c>
      <c r="BP313">
        <v>7</v>
      </c>
      <c r="BQ313">
        <v>2</v>
      </c>
      <c r="BR313">
        <v>0</v>
      </c>
      <c r="BS313">
        <v>1</v>
      </c>
      <c r="BT313">
        <v>12</v>
      </c>
      <c r="BU313">
        <v>4</v>
      </c>
      <c r="BV313">
        <v>0</v>
      </c>
      <c r="BW313">
        <v>866</v>
      </c>
      <c r="BX313">
        <v>3</v>
      </c>
      <c r="BY313">
        <v>4</v>
      </c>
      <c r="BZ313">
        <v>12</v>
      </c>
      <c r="CA313">
        <v>1</v>
      </c>
      <c r="CB313">
        <v>79</v>
      </c>
      <c r="CC313">
        <v>3</v>
      </c>
      <c r="CD313">
        <v>1</v>
      </c>
      <c r="CE313">
        <v>0</v>
      </c>
      <c r="CF313">
        <v>4</v>
      </c>
      <c r="CG313">
        <v>0</v>
      </c>
      <c r="CH313">
        <v>883</v>
      </c>
      <c r="CI313">
        <v>0</v>
      </c>
      <c r="CJ313">
        <v>1</v>
      </c>
      <c r="CK313">
        <v>0</v>
      </c>
      <c r="CL313">
        <v>0</v>
      </c>
      <c r="CM313">
        <v>5</v>
      </c>
      <c r="CN313">
        <v>6</v>
      </c>
      <c r="CO313">
        <v>1</v>
      </c>
      <c r="CP313">
        <v>1</v>
      </c>
      <c r="CQ313">
        <v>3</v>
      </c>
      <c r="CR313">
        <v>53</v>
      </c>
      <c r="CS313">
        <v>887</v>
      </c>
      <c r="CT313">
        <v>0</v>
      </c>
      <c r="CU313">
        <v>2</v>
      </c>
      <c r="CV313">
        <v>0</v>
      </c>
      <c r="CW313">
        <v>0</v>
      </c>
      <c r="CX313">
        <v>3</v>
      </c>
      <c r="CY313">
        <v>2</v>
      </c>
      <c r="CZ313">
        <v>0</v>
      </c>
      <c r="DA313">
        <v>0</v>
      </c>
      <c r="DB313">
        <v>0</v>
      </c>
      <c r="DC313">
        <v>0</v>
      </c>
      <c r="DD313">
        <v>1022</v>
      </c>
      <c r="DE313">
        <v>0</v>
      </c>
      <c r="DF313">
        <v>1</v>
      </c>
      <c r="DG313">
        <v>10</v>
      </c>
      <c r="DH313">
        <v>7</v>
      </c>
      <c r="DI313">
        <v>10</v>
      </c>
      <c r="DJ313">
        <v>2</v>
      </c>
      <c r="DK313">
        <v>1</v>
      </c>
      <c r="DL313">
        <v>21</v>
      </c>
      <c r="DM313">
        <v>1</v>
      </c>
      <c r="DN313">
        <v>17</v>
      </c>
      <c r="DO313">
        <v>892</v>
      </c>
      <c r="DP313">
        <v>13</v>
      </c>
      <c r="DQ313">
        <v>0</v>
      </c>
      <c r="DR313">
        <v>1</v>
      </c>
      <c r="DS313">
        <v>0</v>
      </c>
      <c r="DT313">
        <v>0</v>
      </c>
      <c r="DU313">
        <v>2</v>
      </c>
      <c r="DV313">
        <v>5</v>
      </c>
      <c r="DW313">
        <v>0</v>
      </c>
      <c r="DX313">
        <v>14</v>
      </c>
      <c r="DY313">
        <v>1</v>
      </c>
      <c r="DZ313">
        <v>986</v>
      </c>
      <c r="EA313">
        <v>0.95989999999999998</v>
      </c>
      <c r="EB313">
        <v>0.96145147990338298</v>
      </c>
      <c r="EC313">
        <v>0.95926742280341804</v>
      </c>
      <c r="ED313">
        <v>0.95930080834778497</v>
      </c>
      <c r="EE313">
        <f>SUM(Table1[[#This Row],[ratio_0]:[ratio_9]])</f>
        <v>550</v>
      </c>
      <c r="EF313" s="1">
        <f>(Table1[[#This Row],[predicted_0]]-Table1[[#This Row],[actual_0]])/Table1[[#This Row],[actual_0]]</f>
        <v>-8.1632653061224497E-3</v>
      </c>
      <c r="EG313" s="1">
        <f>(Table1[[#This Row],[predicted_1]]-Table1[[#This Row],[actual_1]])/Table1[[#This Row],[actual_1]]</f>
        <v>2.643171806167401E-2</v>
      </c>
      <c r="EH313" s="1">
        <f>(Table1[[#This Row],[predicted_2]]-Table1[[#This Row],[actual_2]])/Table1[[#This Row],[actual_2]]</f>
        <v>-1.5503875968992248E-2</v>
      </c>
      <c r="EI313" s="1">
        <f>(Table1[[#This Row],[predicted_3]]-Table1[[#This Row],[actual_3]])/Table1[[#This Row],[actual_3]]</f>
        <v>-5.9405940594059407E-3</v>
      </c>
      <c r="EJ313" s="1">
        <f>(Table1[[#This Row],[predicted_4]]-Table1[[#This Row],[actual_4]])/Table1[[#This Row],[actual_4]]</f>
        <v>-0.11201629327902241</v>
      </c>
      <c r="EK313" s="1">
        <f>(Table1[[#This Row],[predicted_5]]-Table1[[#This Row],[actual_5]])/Table1[[#This Row],[actual_5]]</f>
        <v>0.10201793721973094</v>
      </c>
      <c r="EL313" s="1">
        <f>(Table1[[#This Row],[predicted_6]]-Table1[[#This Row],[actual_6]])/Table1[[#This Row],[actual_6]]</f>
        <v>-5.845511482254697E-2</v>
      </c>
      <c r="EM313" s="1">
        <f>(Table1[[#This Row],[predicted_7]]-Table1[[#This Row],[actual_7]])/Table1[[#This Row],[actual_7]]</f>
        <v>6.7120622568093383E-2</v>
      </c>
      <c r="EN313" s="1">
        <f>(Table1[[#This Row],[predicted_8]]-Table1[[#This Row],[actual_8]])/Table1[[#This Row],[actual_8]]</f>
        <v>-7.7002053388090352E-2</v>
      </c>
      <c r="EO313" s="1">
        <f>(Table1[[#This Row],[predicted_9]]-Table1[[#This Row],[actual_9]])/Table1[[#This Row],[actual_9]]</f>
        <v>8.0277502477700699E-2</v>
      </c>
      <c r="EP313" s="1">
        <f>1+(Table1[[#This Row],[error_ratio_0]]-EF$2)</f>
        <v>0.98979591836734693</v>
      </c>
      <c r="EQ313" s="1">
        <f>1+(Table1[[#This Row],[error_ratio_1]]-EG$2)</f>
        <v>1.0246696035242291</v>
      </c>
      <c r="ER313" s="1">
        <f>1+(Table1[[#This Row],[error_ratio_2]]-EH$2)</f>
        <v>0.98934108527131781</v>
      </c>
      <c r="ES313" s="1">
        <f>1+(Table1[[#This Row],[error_ratio_3]]-EI$2)</f>
        <v>0.98415841584158414</v>
      </c>
      <c r="ET313" s="1">
        <f>1+(Table1[[#This Row],[error_ratio_4]]-EJ$2)</f>
        <v>0.88696537678207743</v>
      </c>
      <c r="EU313" s="1">
        <f>1+(Table1[[#This Row],[error_ratio_5]]-EK$2)</f>
        <v>1.100896860986547</v>
      </c>
      <c r="EV313" s="1">
        <f>1+(Table1[[#This Row],[error_ratio_6]]-EL$2)</f>
        <v>0.94780793319415446</v>
      </c>
      <c r="EW313" s="1">
        <f>1+(Table1[[#This Row],[error_ratio_7]]-EM$2)</f>
        <v>1.0651750972762646</v>
      </c>
      <c r="EX313" s="1">
        <f>1+(Table1[[#This Row],[error_ratio_8]]-EN$2)</f>
        <v>0.92607802874743328</v>
      </c>
      <c r="EY313" s="1">
        <f>1+(Table1[[#This Row],[error_ratio_9]]-EO$2)</f>
        <v>1.0842418235877107</v>
      </c>
    </row>
    <row r="314" spans="1:155" x14ac:dyDescent="0.75">
      <c r="A314">
        <v>10</v>
      </c>
      <c r="B314">
        <v>100</v>
      </c>
      <c r="C314">
        <v>10</v>
      </c>
      <c r="D314">
        <v>100</v>
      </c>
      <c r="E314">
        <v>10</v>
      </c>
      <c r="F314">
        <v>100</v>
      </c>
      <c r="G314">
        <v>10</v>
      </c>
      <c r="H314">
        <v>100</v>
      </c>
      <c r="I314">
        <v>10</v>
      </c>
      <c r="J314">
        <v>100</v>
      </c>
      <c r="K314">
        <v>1016</v>
      </c>
      <c r="L314">
        <v>1155</v>
      </c>
      <c r="M314">
        <v>980</v>
      </c>
      <c r="N314">
        <v>1055</v>
      </c>
      <c r="O314">
        <v>945</v>
      </c>
      <c r="P314">
        <v>961</v>
      </c>
      <c r="Q314">
        <v>905</v>
      </c>
      <c r="R314">
        <v>1045</v>
      </c>
      <c r="S314">
        <v>811</v>
      </c>
      <c r="T314">
        <v>1127</v>
      </c>
      <c r="U314">
        <v>980</v>
      </c>
      <c r="V314">
        <v>1135</v>
      </c>
      <c r="W314">
        <v>1032</v>
      </c>
      <c r="X314">
        <v>1010</v>
      </c>
      <c r="Y314">
        <v>982</v>
      </c>
      <c r="Z314">
        <v>892</v>
      </c>
      <c r="AA314">
        <v>958</v>
      </c>
      <c r="AB314">
        <v>1028</v>
      </c>
      <c r="AC314">
        <v>974</v>
      </c>
      <c r="AD314">
        <v>1009</v>
      </c>
      <c r="AE314">
        <v>969</v>
      </c>
      <c r="AF314">
        <v>0</v>
      </c>
      <c r="AG314">
        <v>2</v>
      </c>
      <c r="AH314">
        <v>0</v>
      </c>
      <c r="AI314">
        <v>0</v>
      </c>
      <c r="AJ314">
        <v>4</v>
      </c>
      <c r="AK314">
        <v>1</v>
      </c>
      <c r="AL314">
        <v>2</v>
      </c>
      <c r="AM314">
        <v>0</v>
      </c>
      <c r="AN314">
        <v>2</v>
      </c>
      <c r="AO314">
        <v>0</v>
      </c>
      <c r="AP314">
        <v>1128</v>
      </c>
      <c r="AQ314">
        <v>0</v>
      </c>
      <c r="AR314">
        <v>2</v>
      </c>
      <c r="AS314">
        <v>0</v>
      </c>
      <c r="AT314">
        <v>2</v>
      </c>
      <c r="AU314">
        <v>2</v>
      </c>
      <c r="AV314">
        <v>1</v>
      </c>
      <c r="AW314">
        <v>0</v>
      </c>
      <c r="AX314">
        <v>0</v>
      </c>
      <c r="AY314">
        <v>8</v>
      </c>
      <c r="AZ314">
        <v>16</v>
      </c>
      <c r="BA314">
        <v>964</v>
      </c>
      <c r="BB314">
        <v>14</v>
      </c>
      <c r="BC314">
        <v>2</v>
      </c>
      <c r="BD314">
        <v>0</v>
      </c>
      <c r="BE314">
        <v>1</v>
      </c>
      <c r="BF314">
        <v>22</v>
      </c>
      <c r="BG314">
        <v>2</v>
      </c>
      <c r="BH314">
        <v>3</v>
      </c>
      <c r="BI314">
        <v>0</v>
      </c>
      <c r="BJ314">
        <v>0</v>
      </c>
      <c r="BK314">
        <v>2</v>
      </c>
      <c r="BL314">
        <v>1000</v>
      </c>
      <c r="BM314">
        <v>0</v>
      </c>
      <c r="BN314">
        <v>3</v>
      </c>
      <c r="BO314">
        <v>0</v>
      </c>
      <c r="BP314">
        <v>2</v>
      </c>
      <c r="BQ314">
        <v>1</v>
      </c>
      <c r="BR314">
        <v>2</v>
      </c>
      <c r="BS314">
        <v>0</v>
      </c>
      <c r="BT314">
        <v>0</v>
      </c>
      <c r="BU314">
        <v>4</v>
      </c>
      <c r="BV314">
        <v>0</v>
      </c>
      <c r="BW314">
        <v>930</v>
      </c>
      <c r="BX314">
        <v>0</v>
      </c>
      <c r="BY314">
        <v>1</v>
      </c>
      <c r="BZ314">
        <v>2</v>
      </c>
      <c r="CA314">
        <v>2</v>
      </c>
      <c r="CB314">
        <v>43</v>
      </c>
      <c r="CC314">
        <v>2</v>
      </c>
      <c r="CD314">
        <v>0</v>
      </c>
      <c r="CE314">
        <v>0</v>
      </c>
      <c r="CF314">
        <v>8</v>
      </c>
      <c r="CG314">
        <v>0</v>
      </c>
      <c r="CH314">
        <v>877</v>
      </c>
      <c r="CI314">
        <v>0</v>
      </c>
      <c r="CJ314">
        <v>1</v>
      </c>
      <c r="CK314">
        <v>0</v>
      </c>
      <c r="CL314">
        <v>4</v>
      </c>
      <c r="CM314">
        <v>9</v>
      </c>
      <c r="CN314">
        <v>5</v>
      </c>
      <c r="CO314">
        <v>1</v>
      </c>
      <c r="CP314">
        <v>0</v>
      </c>
      <c r="CQ314">
        <v>4</v>
      </c>
      <c r="CR314">
        <v>42</v>
      </c>
      <c r="CS314">
        <v>896</v>
      </c>
      <c r="CT314">
        <v>0</v>
      </c>
      <c r="CU314">
        <v>0</v>
      </c>
      <c r="CV314">
        <v>1</v>
      </c>
      <c r="CW314">
        <v>2</v>
      </c>
      <c r="CX314">
        <v>1</v>
      </c>
      <c r="CY314">
        <v>3</v>
      </c>
      <c r="CZ314">
        <v>1</v>
      </c>
      <c r="DA314">
        <v>0</v>
      </c>
      <c r="DB314">
        <v>0</v>
      </c>
      <c r="DC314">
        <v>0</v>
      </c>
      <c r="DD314">
        <v>1008</v>
      </c>
      <c r="DE314">
        <v>0</v>
      </c>
      <c r="DF314">
        <v>13</v>
      </c>
      <c r="DG314">
        <v>25</v>
      </c>
      <c r="DH314">
        <v>4</v>
      </c>
      <c r="DI314">
        <v>4</v>
      </c>
      <c r="DJ314">
        <v>29</v>
      </c>
      <c r="DK314">
        <v>8</v>
      </c>
      <c r="DL314">
        <v>32</v>
      </c>
      <c r="DM314">
        <v>4</v>
      </c>
      <c r="DN314">
        <v>6</v>
      </c>
      <c r="DO314">
        <v>806</v>
      </c>
      <c r="DP314">
        <v>56</v>
      </c>
      <c r="DQ314">
        <v>1</v>
      </c>
      <c r="DR314">
        <v>1</v>
      </c>
      <c r="DS314">
        <v>0</v>
      </c>
      <c r="DT314">
        <v>1</v>
      </c>
      <c r="DU314">
        <v>1</v>
      </c>
      <c r="DV314">
        <v>1</v>
      </c>
      <c r="DW314">
        <v>0</v>
      </c>
      <c r="DX314">
        <v>1</v>
      </c>
      <c r="DY314">
        <v>0</v>
      </c>
      <c r="DZ314">
        <v>1003</v>
      </c>
      <c r="EA314">
        <v>0.95809999999999995</v>
      </c>
      <c r="EB314">
        <v>0.95970790397825401</v>
      </c>
      <c r="EC314">
        <v>0.95744418490233496</v>
      </c>
      <c r="ED314">
        <v>0.95712851280769895</v>
      </c>
      <c r="EE314">
        <f>SUM(Table1[[#This Row],[ratio_0]:[ratio_9]])</f>
        <v>550</v>
      </c>
      <c r="EF314" s="1">
        <f>(Table1[[#This Row],[predicted_0]]-Table1[[#This Row],[actual_0]])/Table1[[#This Row],[actual_0]]</f>
        <v>3.6734693877551024E-2</v>
      </c>
      <c r="EG314" s="1">
        <f>(Table1[[#This Row],[predicted_1]]-Table1[[#This Row],[actual_1]])/Table1[[#This Row],[actual_1]]</f>
        <v>1.7621145374449341E-2</v>
      </c>
      <c r="EH314" s="1">
        <f>(Table1[[#This Row],[predicted_2]]-Table1[[#This Row],[actual_2]])/Table1[[#This Row],[actual_2]]</f>
        <v>-5.0387596899224806E-2</v>
      </c>
      <c r="EI314" s="1">
        <f>(Table1[[#This Row],[predicted_3]]-Table1[[#This Row],[actual_3]])/Table1[[#This Row],[actual_3]]</f>
        <v>4.4554455445544552E-2</v>
      </c>
      <c r="EJ314" s="1">
        <f>(Table1[[#This Row],[predicted_4]]-Table1[[#This Row],[actual_4]])/Table1[[#This Row],[actual_4]]</f>
        <v>-3.7678207739307537E-2</v>
      </c>
      <c r="EK314" s="1">
        <f>(Table1[[#This Row],[predicted_5]]-Table1[[#This Row],[actual_5]])/Table1[[#This Row],[actual_5]]</f>
        <v>7.73542600896861E-2</v>
      </c>
      <c r="EL314" s="1">
        <f>(Table1[[#This Row],[predicted_6]]-Table1[[#This Row],[actual_6]])/Table1[[#This Row],[actual_6]]</f>
        <v>-5.5323590814196244E-2</v>
      </c>
      <c r="EM314" s="1">
        <f>(Table1[[#This Row],[predicted_7]]-Table1[[#This Row],[actual_7]])/Table1[[#This Row],[actual_7]]</f>
        <v>1.6536964980544747E-2</v>
      </c>
      <c r="EN314" s="1">
        <f>(Table1[[#This Row],[predicted_8]]-Table1[[#This Row],[actual_8]])/Table1[[#This Row],[actual_8]]</f>
        <v>-0.1673511293634497</v>
      </c>
      <c r="EO314" s="1">
        <f>(Table1[[#This Row],[predicted_9]]-Table1[[#This Row],[actual_9]])/Table1[[#This Row],[actual_9]]</f>
        <v>0.11694747274529237</v>
      </c>
      <c r="EP314" s="1">
        <f>1+(Table1[[#This Row],[error_ratio_0]]-EF$2)</f>
        <v>1.0346938775510204</v>
      </c>
      <c r="EQ314" s="1">
        <f>1+(Table1[[#This Row],[error_ratio_1]]-EG$2)</f>
        <v>1.0158590308370044</v>
      </c>
      <c r="ER314" s="1">
        <f>1+(Table1[[#This Row],[error_ratio_2]]-EH$2)</f>
        <v>0.9544573643410853</v>
      </c>
      <c r="ES314" s="1">
        <f>1+(Table1[[#This Row],[error_ratio_3]]-EI$2)</f>
        <v>1.0346534653465347</v>
      </c>
      <c r="ET314" s="1">
        <f>1+(Table1[[#This Row],[error_ratio_4]]-EJ$2)</f>
        <v>0.9613034623217922</v>
      </c>
      <c r="EU314" s="1">
        <f>1+(Table1[[#This Row],[error_ratio_5]]-EK$2)</f>
        <v>1.0762331838565022</v>
      </c>
      <c r="EV314" s="1">
        <f>1+(Table1[[#This Row],[error_ratio_6]]-EL$2)</f>
        <v>0.95093945720250517</v>
      </c>
      <c r="EW314" s="1">
        <f>1+(Table1[[#This Row],[error_ratio_7]]-EM$2)</f>
        <v>1.0145914396887159</v>
      </c>
      <c r="EX314" s="1">
        <f>1+(Table1[[#This Row],[error_ratio_8]]-EN$2)</f>
        <v>0.83572895277207393</v>
      </c>
      <c r="EY314" s="1">
        <f>1+(Table1[[#This Row],[error_ratio_9]]-EO$2)</f>
        <v>1.1209117938553024</v>
      </c>
    </row>
    <row r="315" spans="1:155" x14ac:dyDescent="0.75">
      <c r="A315">
        <v>100</v>
      </c>
      <c r="B315">
        <v>10</v>
      </c>
      <c r="C315">
        <v>10</v>
      </c>
      <c r="D315">
        <v>100</v>
      </c>
      <c r="E315">
        <v>10</v>
      </c>
      <c r="F315">
        <v>100</v>
      </c>
      <c r="G315">
        <v>10</v>
      </c>
      <c r="H315">
        <v>100</v>
      </c>
      <c r="I315">
        <v>10</v>
      </c>
      <c r="J315">
        <v>100</v>
      </c>
      <c r="K315">
        <v>1082</v>
      </c>
      <c r="L315">
        <v>1059</v>
      </c>
      <c r="M315">
        <v>930</v>
      </c>
      <c r="N315">
        <v>1103</v>
      </c>
      <c r="O315">
        <v>899</v>
      </c>
      <c r="P315">
        <v>1130</v>
      </c>
      <c r="Q315">
        <v>686</v>
      </c>
      <c r="R315">
        <v>1061</v>
      </c>
      <c r="S315">
        <v>960</v>
      </c>
      <c r="T315">
        <v>1090</v>
      </c>
      <c r="U315">
        <v>980</v>
      </c>
      <c r="V315">
        <v>1135</v>
      </c>
      <c r="W315">
        <v>1032</v>
      </c>
      <c r="X315">
        <v>1010</v>
      </c>
      <c r="Y315">
        <v>982</v>
      </c>
      <c r="Z315">
        <v>892</v>
      </c>
      <c r="AA315">
        <v>958</v>
      </c>
      <c r="AB315">
        <v>1028</v>
      </c>
      <c r="AC315">
        <v>974</v>
      </c>
      <c r="AD315">
        <v>1009</v>
      </c>
      <c r="AE315">
        <v>962</v>
      </c>
      <c r="AF315">
        <v>0</v>
      </c>
      <c r="AG315">
        <v>0</v>
      </c>
      <c r="AH315">
        <v>1</v>
      </c>
      <c r="AI315">
        <v>0</v>
      </c>
      <c r="AJ315">
        <v>5</v>
      </c>
      <c r="AK315">
        <v>0</v>
      </c>
      <c r="AL315">
        <v>3</v>
      </c>
      <c r="AM315">
        <v>1</v>
      </c>
      <c r="AN315">
        <v>8</v>
      </c>
      <c r="AO315">
        <v>2</v>
      </c>
      <c r="AP315">
        <v>1059</v>
      </c>
      <c r="AQ315">
        <v>5</v>
      </c>
      <c r="AR315">
        <v>6</v>
      </c>
      <c r="AS315">
        <v>0</v>
      </c>
      <c r="AT315">
        <v>4</v>
      </c>
      <c r="AU315">
        <v>1</v>
      </c>
      <c r="AV315">
        <v>13</v>
      </c>
      <c r="AW315">
        <v>45</v>
      </c>
      <c r="AX315">
        <v>0</v>
      </c>
      <c r="AY315">
        <v>5</v>
      </c>
      <c r="AZ315">
        <v>0</v>
      </c>
      <c r="BA315">
        <v>907</v>
      </c>
      <c r="BB315">
        <v>90</v>
      </c>
      <c r="BC315">
        <v>0</v>
      </c>
      <c r="BD315">
        <v>1</v>
      </c>
      <c r="BE315">
        <v>0</v>
      </c>
      <c r="BF315">
        <v>16</v>
      </c>
      <c r="BG315">
        <v>8</v>
      </c>
      <c r="BH315">
        <v>5</v>
      </c>
      <c r="BI315">
        <v>0</v>
      </c>
      <c r="BJ315">
        <v>0</v>
      </c>
      <c r="BK315">
        <v>0</v>
      </c>
      <c r="BL315">
        <v>966</v>
      </c>
      <c r="BM315">
        <v>0</v>
      </c>
      <c r="BN315">
        <v>39</v>
      </c>
      <c r="BO315">
        <v>0</v>
      </c>
      <c r="BP315">
        <v>1</v>
      </c>
      <c r="BQ315">
        <v>2</v>
      </c>
      <c r="BR315">
        <v>2</v>
      </c>
      <c r="BS315">
        <v>6</v>
      </c>
      <c r="BT315">
        <v>0</v>
      </c>
      <c r="BU315">
        <v>7</v>
      </c>
      <c r="BV315">
        <v>2</v>
      </c>
      <c r="BW315">
        <v>887</v>
      </c>
      <c r="BX315">
        <v>1</v>
      </c>
      <c r="BY315">
        <v>0</v>
      </c>
      <c r="BZ315">
        <v>14</v>
      </c>
      <c r="CA315">
        <v>11</v>
      </c>
      <c r="CB315">
        <v>54</v>
      </c>
      <c r="CC315">
        <v>0</v>
      </c>
      <c r="CD315">
        <v>0</v>
      </c>
      <c r="CE315">
        <v>0</v>
      </c>
      <c r="CF315">
        <v>0</v>
      </c>
      <c r="CG315">
        <v>0</v>
      </c>
      <c r="CH315">
        <v>891</v>
      </c>
      <c r="CI315">
        <v>0</v>
      </c>
      <c r="CJ315">
        <v>0</v>
      </c>
      <c r="CK315">
        <v>0</v>
      </c>
      <c r="CL315">
        <v>1</v>
      </c>
      <c r="CM315">
        <v>105</v>
      </c>
      <c r="CN315">
        <v>0</v>
      </c>
      <c r="CO315">
        <v>8</v>
      </c>
      <c r="CP315">
        <v>6</v>
      </c>
      <c r="CQ315">
        <v>12</v>
      </c>
      <c r="CR315">
        <v>133</v>
      </c>
      <c r="CS315">
        <v>685</v>
      </c>
      <c r="CT315">
        <v>0</v>
      </c>
      <c r="CU315">
        <v>8</v>
      </c>
      <c r="CV315">
        <v>1</v>
      </c>
      <c r="CW315">
        <v>1</v>
      </c>
      <c r="CX315">
        <v>0</v>
      </c>
      <c r="CY315">
        <v>3</v>
      </c>
      <c r="CZ315">
        <v>8</v>
      </c>
      <c r="DA315">
        <v>0</v>
      </c>
      <c r="DB315">
        <v>1</v>
      </c>
      <c r="DC315">
        <v>0</v>
      </c>
      <c r="DD315">
        <v>1011</v>
      </c>
      <c r="DE315">
        <v>0</v>
      </c>
      <c r="DF315">
        <v>4</v>
      </c>
      <c r="DG315">
        <v>1</v>
      </c>
      <c r="DH315">
        <v>0</v>
      </c>
      <c r="DI315">
        <v>0</v>
      </c>
      <c r="DJ315">
        <v>20</v>
      </c>
      <c r="DK315">
        <v>0</v>
      </c>
      <c r="DL315">
        <v>44</v>
      </c>
      <c r="DM315">
        <v>0</v>
      </c>
      <c r="DN315">
        <v>2</v>
      </c>
      <c r="DO315">
        <v>884</v>
      </c>
      <c r="DP315">
        <v>23</v>
      </c>
      <c r="DQ315">
        <v>0</v>
      </c>
      <c r="DR315">
        <v>0</v>
      </c>
      <c r="DS315">
        <v>0</v>
      </c>
      <c r="DT315">
        <v>4</v>
      </c>
      <c r="DU315">
        <v>0</v>
      </c>
      <c r="DV315">
        <v>11</v>
      </c>
      <c r="DW315">
        <v>0</v>
      </c>
      <c r="DX315">
        <v>1</v>
      </c>
      <c r="DY315">
        <v>1</v>
      </c>
      <c r="DZ315">
        <v>992</v>
      </c>
      <c r="EA315">
        <v>0.9244</v>
      </c>
      <c r="EB315">
        <v>0.92976457857581896</v>
      </c>
      <c r="EC315">
        <v>0.92413650142424997</v>
      </c>
      <c r="ED315">
        <v>0.92224024350840506</v>
      </c>
      <c r="EE315">
        <f>SUM(Table1[[#This Row],[ratio_0]:[ratio_9]])</f>
        <v>550</v>
      </c>
      <c r="EF315" s="1">
        <f>(Table1[[#This Row],[predicted_0]]-Table1[[#This Row],[actual_0]])/Table1[[#This Row],[actual_0]]</f>
        <v>0.10408163265306122</v>
      </c>
      <c r="EG315" s="1">
        <f>(Table1[[#This Row],[predicted_1]]-Table1[[#This Row],[actual_1]])/Table1[[#This Row],[actual_1]]</f>
        <v>-6.6960352422907488E-2</v>
      </c>
      <c r="EH315" s="1">
        <f>(Table1[[#This Row],[predicted_2]]-Table1[[#This Row],[actual_2]])/Table1[[#This Row],[actual_2]]</f>
        <v>-9.8837209302325577E-2</v>
      </c>
      <c r="EI315" s="1">
        <f>(Table1[[#This Row],[predicted_3]]-Table1[[#This Row],[actual_3]])/Table1[[#This Row],[actual_3]]</f>
        <v>9.2079207920792078E-2</v>
      </c>
      <c r="EJ315" s="1">
        <f>(Table1[[#This Row],[predicted_4]]-Table1[[#This Row],[actual_4]])/Table1[[#This Row],[actual_4]]</f>
        <v>-8.45213849287169E-2</v>
      </c>
      <c r="EK315" s="1">
        <f>(Table1[[#This Row],[predicted_5]]-Table1[[#This Row],[actual_5]])/Table1[[#This Row],[actual_5]]</f>
        <v>0.26681614349775784</v>
      </c>
      <c r="EL315" s="1">
        <f>(Table1[[#This Row],[predicted_6]]-Table1[[#This Row],[actual_6]])/Table1[[#This Row],[actual_6]]</f>
        <v>-0.28392484342379959</v>
      </c>
      <c r="EM315" s="1">
        <f>(Table1[[#This Row],[predicted_7]]-Table1[[#This Row],[actual_7]])/Table1[[#This Row],[actual_7]]</f>
        <v>3.2101167315175094E-2</v>
      </c>
      <c r="EN315" s="1">
        <f>(Table1[[#This Row],[predicted_8]]-Table1[[#This Row],[actual_8]])/Table1[[#This Row],[actual_8]]</f>
        <v>-1.4373716632443531E-2</v>
      </c>
      <c r="EO315" s="1">
        <f>(Table1[[#This Row],[predicted_9]]-Table1[[#This Row],[actual_9]])/Table1[[#This Row],[actual_9]]</f>
        <v>8.0277502477700699E-2</v>
      </c>
      <c r="EP315" s="1">
        <f>1+(Table1[[#This Row],[error_ratio_0]]-EF$2)</f>
        <v>1.1020408163265305</v>
      </c>
      <c r="EQ315" s="1">
        <f>1+(Table1[[#This Row],[error_ratio_1]]-EG$2)</f>
        <v>0.93127753303964755</v>
      </c>
      <c r="ER315" s="1">
        <f>1+(Table1[[#This Row],[error_ratio_2]]-EH$2)</f>
        <v>0.90600775193798455</v>
      </c>
      <c r="ES315" s="1">
        <f>1+(Table1[[#This Row],[error_ratio_3]]-EI$2)</f>
        <v>1.0821782178217823</v>
      </c>
      <c r="ET315" s="1">
        <f>1+(Table1[[#This Row],[error_ratio_4]]-EJ$2)</f>
        <v>0.91446028513238287</v>
      </c>
      <c r="EU315" s="1">
        <f>1+(Table1[[#This Row],[error_ratio_5]]-EK$2)</f>
        <v>1.2656950672645739</v>
      </c>
      <c r="EV315" s="1">
        <f>1+(Table1[[#This Row],[error_ratio_6]]-EL$2)</f>
        <v>0.72233820459290188</v>
      </c>
      <c r="EW315" s="1">
        <f>1+(Table1[[#This Row],[error_ratio_7]]-EM$2)</f>
        <v>1.0301556420233462</v>
      </c>
      <c r="EX315" s="1">
        <f>1+(Table1[[#This Row],[error_ratio_8]]-EN$2)</f>
        <v>0.98870636550308011</v>
      </c>
      <c r="EY315" s="1">
        <f>1+(Table1[[#This Row],[error_ratio_9]]-EO$2)</f>
        <v>1.0842418235877107</v>
      </c>
    </row>
    <row r="316" spans="1:155" x14ac:dyDescent="0.75">
      <c r="A316">
        <v>10</v>
      </c>
      <c r="B316">
        <v>10</v>
      </c>
      <c r="C316">
        <v>10</v>
      </c>
      <c r="D316">
        <v>100</v>
      </c>
      <c r="E316">
        <v>10</v>
      </c>
      <c r="F316">
        <v>100</v>
      </c>
      <c r="G316">
        <v>10</v>
      </c>
      <c r="H316">
        <v>100</v>
      </c>
      <c r="I316">
        <v>10</v>
      </c>
      <c r="J316">
        <v>100</v>
      </c>
      <c r="K316">
        <v>1012</v>
      </c>
      <c r="L316">
        <v>1138</v>
      </c>
      <c r="M316">
        <v>946</v>
      </c>
      <c r="N316">
        <v>1035</v>
      </c>
      <c r="O316">
        <v>930</v>
      </c>
      <c r="P316">
        <v>913</v>
      </c>
      <c r="Q316">
        <v>965</v>
      </c>
      <c r="R316">
        <v>1114</v>
      </c>
      <c r="S316">
        <v>894</v>
      </c>
      <c r="T316">
        <v>1053</v>
      </c>
      <c r="U316">
        <v>980</v>
      </c>
      <c r="V316">
        <v>1135</v>
      </c>
      <c r="W316">
        <v>1032</v>
      </c>
      <c r="X316">
        <v>1010</v>
      </c>
      <c r="Y316">
        <v>982</v>
      </c>
      <c r="Z316">
        <v>892</v>
      </c>
      <c r="AA316">
        <v>958</v>
      </c>
      <c r="AB316">
        <v>1028</v>
      </c>
      <c r="AC316">
        <v>974</v>
      </c>
      <c r="AD316">
        <v>1009</v>
      </c>
      <c r="AE316">
        <v>967</v>
      </c>
      <c r="AF316">
        <v>0</v>
      </c>
      <c r="AG316">
        <v>0</v>
      </c>
      <c r="AH316">
        <v>0</v>
      </c>
      <c r="AI316">
        <v>0</v>
      </c>
      <c r="AJ316">
        <v>4</v>
      </c>
      <c r="AK316">
        <v>4</v>
      </c>
      <c r="AL316">
        <v>2</v>
      </c>
      <c r="AM316">
        <v>1</v>
      </c>
      <c r="AN316">
        <v>2</v>
      </c>
      <c r="AO316">
        <v>0</v>
      </c>
      <c r="AP316">
        <v>1121</v>
      </c>
      <c r="AQ316">
        <v>2</v>
      </c>
      <c r="AR316">
        <v>3</v>
      </c>
      <c r="AS316">
        <v>0</v>
      </c>
      <c r="AT316">
        <v>2</v>
      </c>
      <c r="AU316">
        <v>3</v>
      </c>
      <c r="AV316">
        <v>4</v>
      </c>
      <c r="AW316">
        <v>0</v>
      </c>
      <c r="AX316">
        <v>0</v>
      </c>
      <c r="AY316">
        <v>9</v>
      </c>
      <c r="AZ316">
        <v>2</v>
      </c>
      <c r="BA316">
        <v>935</v>
      </c>
      <c r="BB316">
        <v>19</v>
      </c>
      <c r="BC316">
        <v>2</v>
      </c>
      <c r="BD316">
        <v>0</v>
      </c>
      <c r="BE316">
        <v>5</v>
      </c>
      <c r="BF316">
        <v>56</v>
      </c>
      <c r="BG316">
        <v>0</v>
      </c>
      <c r="BH316">
        <v>4</v>
      </c>
      <c r="BI316">
        <v>0</v>
      </c>
      <c r="BJ316">
        <v>0</v>
      </c>
      <c r="BK316">
        <v>1</v>
      </c>
      <c r="BL316">
        <v>995</v>
      </c>
      <c r="BM316">
        <v>0</v>
      </c>
      <c r="BN316">
        <v>4</v>
      </c>
      <c r="BO316">
        <v>0</v>
      </c>
      <c r="BP316">
        <v>1</v>
      </c>
      <c r="BQ316">
        <v>0</v>
      </c>
      <c r="BR316">
        <v>9</v>
      </c>
      <c r="BS316">
        <v>1</v>
      </c>
      <c r="BT316">
        <v>8</v>
      </c>
      <c r="BU316">
        <v>1</v>
      </c>
      <c r="BV316">
        <v>0</v>
      </c>
      <c r="BW316">
        <v>924</v>
      </c>
      <c r="BX316">
        <v>0</v>
      </c>
      <c r="BY316">
        <v>9</v>
      </c>
      <c r="BZ316">
        <v>8</v>
      </c>
      <c r="CA316">
        <v>2</v>
      </c>
      <c r="CB316">
        <v>29</v>
      </c>
      <c r="CC316">
        <v>2</v>
      </c>
      <c r="CD316">
        <v>0</v>
      </c>
      <c r="CE316">
        <v>0</v>
      </c>
      <c r="CF316">
        <v>5</v>
      </c>
      <c r="CG316">
        <v>0</v>
      </c>
      <c r="CH316">
        <v>881</v>
      </c>
      <c r="CI316">
        <v>2</v>
      </c>
      <c r="CJ316">
        <v>0</v>
      </c>
      <c r="CK316">
        <v>0</v>
      </c>
      <c r="CL316">
        <v>2</v>
      </c>
      <c r="CM316">
        <v>9</v>
      </c>
      <c r="CN316">
        <v>2</v>
      </c>
      <c r="CO316">
        <v>1</v>
      </c>
      <c r="CP316">
        <v>0</v>
      </c>
      <c r="CQ316">
        <v>1</v>
      </c>
      <c r="CR316">
        <v>9</v>
      </c>
      <c r="CS316">
        <v>935</v>
      </c>
      <c r="CT316">
        <v>0</v>
      </c>
      <c r="CU316">
        <v>1</v>
      </c>
      <c r="CV316">
        <v>0</v>
      </c>
      <c r="CW316">
        <v>0</v>
      </c>
      <c r="CX316">
        <v>1</v>
      </c>
      <c r="CY316">
        <v>0</v>
      </c>
      <c r="CZ316">
        <v>1</v>
      </c>
      <c r="DA316">
        <v>0</v>
      </c>
      <c r="DB316">
        <v>0</v>
      </c>
      <c r="DC316">
        <v>0</v>
      </c>
      <c r="DD316">
        <v>1022</v>
      </c>
      <c r="DE316">
        <v>0</v>
      </c>
      <c r="DF316">
        <v>4</v>
      </c>
      <c r="DG316">
        <v>20</v>
      </c>
      <c r="DH316">
        <v>2</v>
      </c>
      <c r="DI316">
        <v>6</v>
      </c>
      <c r="DJ316">
        <v>11</v>
      </c>
      <c r="DK316">
        <v>0</v>
      </c>
      <c r="DL316">
        <v>8</v>
      </c>
      <c r="DM316">
        <v>7</v>
      </c>
      <c r="DN316">
        <v>13</v>
      </c>
      <c r="DO316">
        <v>890</v>
      </c>
      <c r="DP316">
        <v>17</v>
      </c>
      <c r="DQ316">
        <v>4</v>
      </c>
      <c r="DR316">
        <v>2</v>
      </c>
      <c r="DS316">
        <v>0</v>
      </c>
      <c r="DT316">
        <v>1</v>
      </c>
      <c r="DU316">
        <v>3</v>
      </c>
      <c r="DV316">
        <v>5</v>
      </c>
      <c r="DW316">
        <v>0</v>
      </c>
      <c r="DX316">
        <v>8</v>
      </c>
      <c r="DY316">
        <v>0</v>
      </c>
      <c r="DZ316">
        <v>986</v>
      </c>
      <c r="EA316">
        <v>0.96560000000000001</v>
      </c>
      <c r="EB316">
        <v>0.96670435929219301</v>
      </c>
      <c r="EC316">
        <v>0.965527911110027</v>
      </c>
      <c r="ED316">
        <v>0.96543852916586703</v>
      </c>
      <c r="EE316">
        <f>SUM(Table1[[#This Row],[ratio_0]:[ratio_9]])</f>
        <v>460</v>
      </c>
      <c r="EF316" s="1">
        <f>(Table1[[#This Row],[predicted_0]]-Table1[[#This Row],[actual_0]])/Table1[[#This Row],[actual_0]]</f>
        <v>3.2653061224489799E-2</v>
      </c>
      <c r="EG316" s="1">
        <f>(Table1[[#This Row],[predicted_1]]-Table1[[#This Row],[actual_1]])/Table1[[#This Row],[actual_1]]</f>
        <v>2.6431718061674008E-3</v>
      </c>
      <c r="EH316" s="1">
        <f>(Table1[[#This Row],[predicted_2]]-Table1[[#This Row],[actual_2]])/Table1[[#This Row],[actual_2]]</f>
        <v>-8.3333333333333329E-2</v>
      </c>
      <c r="EI316" s="1">
        <f>(Table1[[#This Row],[predicted_3]]-Table1[[#This Row],[actual_3]])/Table1[[#This Row],[actual_3]]</f>
        <v>2.4752475247524754E-2</v>
      </c>
      <c r="EJ316" s="1">
        <f>(Table1[[#This Row],[predicted_4]]-Table1[[#This Row],[actual_4]])/Table1[[#This Row],[actual_4]]</f>
        <v>-5.2953156822810592E-2</v>
      </c>
      <c r="EK316" s="1">
        <f>(Table1[[#This Row],[predicted_5]]-Table1[[#This Row],[actual_5]])/Table1[[#This Row],[actual_5]]</f>
        <v>2.3542600896860985E-2</v>
      </c>
      <c r="EL316" s="1">
        <f>(Table1[[#This Row],[predicted_6]]-Table1[[#This Row],[actual_6]])/Table1[[#This Row],[actual_6]]</f>
        <v>7.3068893528183713E-3</v>
      </c>
      <c r="EM316" s="1">
        <f>(Table1[[#This Row],[predicted_7]]-Table1[[#This Row],[actual_7]])/Table1[[#This Row],[actual_7]]</f>
        <v>8.3657587548638127E-2</v>
      </c>
      <c r="EN316" s="1">
        <f>(Table1[[#This Row],[predicted_8]]-Table1[[#This Row],[actual_8]])/Table1[[#This Row],[actual_8]]</f>
        <v>-8.2135523613963035E-2</v>
      </c>
      <c r="EO316" s="1">
        <f>(Table1[[#This Row],[predicted_9]]-Table1[[#This Row],[actual_9]])/Table1[[#This Row],[actual_9]]</f>
        <v>4.3607532210109018E-2</v>
      </c>
      <c r="EP316" s="1">
        <f>1+(Table1[[#This Row],[error_ratio_0]]-EF$2)</f>
        <v>1.0306122448979591</v>
      </c>
      <c r="EQ316" s="1">
        <f>1+(Table1[[#This Row],[error_ratio_1]]-EG$2)</f>
        <v>1.0008810572687226</v>
      </c>
      <c r="ER316" s="1">
        <f>1+(Table1[[#This Row],[error_ratio_2]]-EH$2)</f>
        <v>0.92151162790697672</v>
      </c>
      <c r="ES316" s="1">
        <f>1+(Table1[[#This Row],[error_ratio_3]]-EI$2)</f>
        <v>1.0148514851485149</v>
      </c>
      <c r="ET316" s="1">
        <f>1+(Table1[[#This Row],[error_ratio_4]]-EJ$2)</f>
        <v>0.94602851323828918</v>
      </c>
      <c r="EU316" s="1">
        <f>1+(Table1[[#This Row],[error_ratio_5]]-EK$2)</f>
        <v>1.0224215246636772</v>
      </c>
      <c r="EV316" s="1">
        <f>1+(Table1[[#This Row],[error_ratio_6]]-EL$2)</f>
        <v>1.0135699373695197</v>
      </c>
      <c r="EW316" s="1">
        <f>1+(Table1[[#This Row],[error_ratio_7]]-EM$2)</f>
        <v>1.0817120622568093</v>
      </c>
      <c r="EX316" s="1">
        <f>1+(Table1[[#This Row],[error_ratio_8]]-EN$2)</f>
        <v>0.92094455852156054</v>
      </c>
      <c r="EY316" s="1">
        <f>1+(Table1[[#This Row],[error_ratio_9]]-EO$2)</f>
        <v>1.047571853320119</v>
      </c>
    </row>
    <row r="317" spans="1:155" x14ac:dyDescent="0.75">
      <c r="A317">
        <v>100</v>
      </c>
      <c r="B317">
        <v>100</v>
      </c>
      <c r="C317">
        <v>100</v>
      </c>
      <c r="D317">
        <v>10</v>
      </c>
      <c r="E317">
        <v>10</v>
      </c>
      <c r="F317">
        <v>100</v>
      </c>
      <c r="G317">
        <v>10</v>
      </c>
      <c r="H317">
        <v>100</v>
      </c>
      <c r="I317">
        <v>10</v>
      </c>
      <c r="J317">
        <v>100</v>
      </c>
      <c r="K317">
        <v>1006</v>
      </c>
      <c r="L317">
        <v>1160</v>
      </c>
      <c r="M317">
        <v>1071</v>
      </c>
      <c r="N317">
        <v>951</v>
      </c>
      <c r="O317">
        <v>915</v>
      </c>
      <c r="P317">
        <v>949</v>
      </c>
      <c r="Q317">
        <v>921</v>
      </c>
      <c r="R317">
        <v>1061</v>
      </c>
      <c r="S317">
        <v>937</v>
      </c>
      <c r="T317">
        <v>1029</v>
      </c>
      <c r="U317">
        <v>980</v>
      </c>
      <c r="V317">
        <v>1135</v>
      </c>
      <c r="W317">
        <v>1032</v>
      </c>
      <c r="X317">
        <v>1010</v>
      </c>
      <c r="Y317">
        <v>982</v>
      </c>
      <c r="Z317">
        <v>892</v>
      </c>
      <c r="AA317">
        <v>958</v>
      </c>
      <c r="AB317">
        <v>1028</v>
      </c>
      <c r="AC317">
        <v>974</v>
      </c>
      <c r="AD317">
        <v>1009</v>
      </c>
      <c r="AE317">
        <v>973</v>
      </c>
      <c r="AF317">
        <v>1</v>
      </c>
      <c r="AG317">
        <v>2</v>
      </c>
      <c r="AH317">
        <v>0</v>
      </c>
      <c r="AI317">
        <v>0</v>
      </c>
      <c r="AJ317">
        <v>0</v>
      </c>
      <c r="AK317">
        <v>0</v>
      </c>
      <c r="AL317">
        <v>3</v>
      </c>
      <c r="AM317">
        <v>1</v>
      </c>
      <c r="AN317">
        <v>0</v>
      </c>
      <c r="AO317">
        <v>0</v>
      </c>
      <c r="AP317">
        <v>1134</v>
      </c>
      <c r="AQ317">
        <v>0</v>
      </c>
      <c r="AR317">
        <v>1</v>
      </c>
      <c r="AS317">
        <v>0</v>
      </c>
      <c r="AT317">
        <v>0</v>
      </c>
      <c r="AU317">
        <v>0</v>
      </c>
      <c r="AV317">
        <v>0</v>
      </c>
      <c r="AW317">
        <v>0</v>
      </c>
      <c r="AX317">
        <v>0</v>
      </c>
      <c r="AY317">
        <v>1</v>
      </c>
      <c r="AZ317">
        <v>2</v>
      </c>
      <c r="BA317">
        <v>1023</v>
      </c>
      <c r="BB317">
        <v>0</v>
      </c>
      <c r="BC317">
        <v>0</v>
      </c>
      <c r="BD317">
        <v>0</v>
      </c>
      <c r="BE317">
        <v>0</v>
      </c>
      <c r="BF317">
        <v>6</v>
      </c>
      <c r="BG317">
        <v>0</v>
      </c>
      <c r="BH317">
        <v>0</v>
      </c>
      <c r="BI317">
        <v>2</v>
      </c>
      <c r="BJ317">
        <v>0</v>
      </c>
      <c r="BK317">
        <v>9</v>
      </c>
      <c r="BL317">
        <v>944</v>
      </c>
      <c r="BM317">
        <v>0</v>
      </c>
      <c r="BN317">
        <v>31</v>
      </c>
      <c r="BO317">
        <v>0</v>
      </c>
      <c r="BP317">
        <v>13</v>
      </c>
      <c r="BQ317">
        <v>4</v>
      </c>
      <c r="BR317">
        <v>7</v>
      </c>
      <c r="BS317">
        <v>3</v>
      </c>
      <c r="BT317">
        <v>9</v>
      </c>
      <c r="BU317">
        <v>11</v>
      </c>
      <c r="BV317">
        <v>0</v>
      </c>
      <c r="BW317">
        <v>911</v>
      </c>
      <c r="BX317">
        <v>0</v>
      </c>
      <c r="BY317">
        <v>5</v>
      </c>
      <c r="BZ317">
        <v>5</v>
      </c>
      <c r="CA317">
        <v>1</v>
      </c>
      <c r="CB317">
        <v>37</v>
      </c>
      <c r="CC317">
        <v>1</v>
      </c>
      <c r="CD317">
        <v>0</v>
      </c>
      <c r="CE317">
        <v>0</v>
      </c>
      <c r="CF317">
        <v>1</v>
      </c>
      <c r="CG317">
        <v>0</v>
      </c>
      <c r="CH317">
        <v>887</v>
      </c>
      <c r="CI317">
        <v>0</v>
      </c>
      <c r="CJ317">
        <v>1</v>
      </c>
      <c r="CK317">
        <v>2</v>
      </c>
      <c r="CL317">
        <v>0</v>
      </c>
      <c r="CM317">
        <v>15</v>
      </c>
      <c r="CN317">
        <v>3</v>
      </c>
      <c r="CO317">
        <v>1</v>
      </c>
      <c r="CP317">
        <v>0</v>
      </c>
      <c r="CQ317">
        <v>2</v>
      </c>
      <c r="CR317">
        <v>18</v>
      </c>
      <c r="CS317">
        <v>916</v>
      </c>
      <c r="CT317">
        <v>0</v>
      </c>
      <c r="CU317">
        <v>3</v>
      </c>
      <c r="CV317">
        <v>0</v>
      </c>
      <c r="CW317">
        <v>0</v>
      </c>
      <c r="CX317">
        <v>3</v>
      </c>
      <c r="CY317">
        <v>9</v>
      </c>
      <c r="CZ317">
        <v>0</v>
      </c>
      <c r="DA317">
        <v>0</v>
      </c>
      <c r="DB317">
        <v>1</v>
      </c>
      <c r="DC317">
        <v>0</v>
      </c>
      <c r="DD317">
        <v>1014</v>
      </c>
      <c r="DE317">
        <v>0</v>
      </c>
      <c r="DF317">
        <v>1</v>
      </c>
      <c r="DG317">
        <v>8</v>
      </c>
      <c r="DH317">
        <v>3</v>
      </c>
      <c r="DI317">
        <v>15</v>
      </c>
      <c r="DJ317">
        <v>4</v>
      </c>
      <c r="DK317">
        <v>0</v>
      </c>
      <c r="DL317">
        <v>7</v>
      </c>
      <c r="DM317">
        <v>0</v>
      </c>
      <c r="DN317">
        <v>10</v>
      </c>
      <c r="DO317">
        <v>924</v>
      </c>
      <c r="DP317">
        <v>3</v>
      </c>
      <c r="DQ317">
        <v>3</v>
      </c>
      <c r="DR317">
        <v>5</v>
      </c>
      <c r="DS317">
        <v>1</v>
      </c>
      <c r="DT317">
        <v>1</v>
      </c>
      <c r="DU317">
        <v>2</v>
      </c>
      <c r="DV317">
        <v>5</v>
      </c>
      <c r="DW317">
        <v>0</v>
      </c>
      <c r="DX317">
        <v>9</v>
      </c>
      <c r="DY317">
        <v>2</v>
      </c>
      <c r="DZ317">
        <v>981</v>
      </c>
      <c r="EA317">
        <v>0.97070000000000001</v>
      </c>
      <c r="EB317">
        <v>0.97126529024168295</v>
      </c>
      <c r="EC317">
        <v>0.97034568506860497</v>
      </c>
      <c r="ED317">
        <v>0.97033625163628101</v>
      </c>
      <c r="EE317">
        <f>SUM(Table1[[#This Row],[ratio_0]:[ratio_9]])</f>
        <v>640</v>
      </c>
      <c r="EF317" s="1">
        <f>(Table1[[#This Row],[predicted_0]]-Table1[[#This Row],[actual_0]])/Table1[[#This Row],[actual_0]]</f>
        <v>2.6530612244897958E-2</v>
      </c>
      <c r="EG317" s="1">
        <f>(Table1[[#This Row],[predicted_1]]-Table1[[#This Row],[actual_1]])/Table1[[#This Row],[actual_1]]</f>
        <v>2.2026431718061675E-2</v>
      </c>
      <c r="EH317" s="1">
        <f>(Table1[[#This Row],[predicted_2]]-Table1[[#This Row],[actual_2]])/Table1[[#This Row],[actual_2]]</f>
        <v>3.7790697674418602E-2</v>
      </c>
      <c r="EI317" s="1">
        <f>(Table1[[#This Row],[predicted_3]]-Table1[[#This Row],[actual_3]])/Table1[[#This Row],[actual_3]]</f>
        <v>-5.8415841584158419E-2</v>
      </c>
      <c r="EJ317" s="1">
        <f>(Table1[[#This Row],[predicted_4]]-Table1[[#This Row],[actual_4]])/Table1[[#This Row],[actual_4]]</f>
        <v>-6.8228105906313646E-2</v>
      </c>
      <c r="EK317" s="1">
        <f>(Table1[[#This Row],[predicted_5]]-Table1[[#This Row],[actual_5]])/Table1[[#This Row],[actual_5]]</f>
        <v>6.3901345291479825E-2</v>
      </c>
      <c r="EL317" s="1">
        <f>(Table1[[#This Row],[predicted_6]]-Table1[[#This Row],[actual_6]])/Table1[[#This Row],[actual_6]]</f>
        <v>-3.8622129436325675E-2</v>
      </c>
      <c r="EM317" s="1">
        <f>(Table1[[#This Row],[predicted_7]]-Table1[[#This Row],[actual_7]])/Table1[[#This Row],[actual_7]]</f>
        <v>3.2101167315175094E-2</v>
      </c>
      <c r="EN317" s="1">
        <f>(Table1[[#This Row],[predicted_8]]-Table1[[#This Row],[actual_8]])/Table1[[#This Row],[actual_8]]</f>
        <v>-3.7987679671457907E-2</v>
      </c>
      <c r="EO317" s="1">
        <f>(Table1[[#This Row],[predicted_9]]-Table1[[#This Row],[actual_9]])/Table1[[#This Row],[actual_9]]</f>
        <v>1.9821605550049554E-2</v>
      </c>
      <c r="EP317" s="1">
        <f>1+(Table1[[#This Row],[error_ratio_0]]-EF$2)</f>
        <v>1.0244897959183674</v>
      </c>
      <c r="EQ317" s="1">
        <f>1+(Table1[[#This Row],[error_ratio_1]]-EG$2)</f>
        <v>1.0202643171806167</v>
      </c>
      <c r="ER317" s="1">
        <f>1+(Table1[[#This Row],[error_ratio_2]]-EH$2)</f>
        <v>1.0426356589147288</v>
      </c>
      <c r="ES317" s="1">
        <f>1+(Table1[[#This Row],[error_ratio_3]]-EI$2)</f>
        <v>0.93168316831683162</v>
      </c>
      <c r="ET317" s="1">
        <f>1+(Table1[[#This Row],[error_ratio_4]]-EJ$2)</f>
        <v>0.93075356415478616</v>
      </c>
      <c r="EU317" s="1">
        <f>1+(Table1[[#This Row],[error_ratio_5]]-EK$2)</f>
        <v>1.0627802690582959</v>
      </c>
      <c r="EV317" s="1">
        <f>1+(Table1[[#This Row],[error_ratio_6]]-EL$2)</f>
        <v>0.96764091858037582</v>
      </c>
      <c r="EW317" s="1">
        <f>1+(Table1[[#This Row],[error_ratio_7]]-EM$2)</f>
        <v>1.0301556420233462</v>
      </c>
      <c r="EX317" s="1">
        <f>1+(Table1[[#This Row],[error_ratio_8]]-EN$2)</f>
        <v>0.96509240246406569</v>
      </c>
      <c r="EY317" s="1">
        <f>1+(Table1[[#This Row],[error_ratio_9]]-EO$2)</f>
        <v>1.0237859266600595</v>
      </c>
    </row>
    <row r="318" spans="1:155" x14ac:dyDescent="0.75">
      <c r="A318">
        <v>10</v>
      </c>
      <c r="B318">
        <v>100</v>
      </c>
      <c r="C318">
        <v>100</v>
      </c>
      <c r="D318">
        <v>10</v>
      </c>
      <c r="E318">
        <v>10</v>
      </c>
      <c r="F318">
        <v>100</v>
      </c>
      <c r="G318">
        <v>10</v>
      </c>
      <c r="H318">
        <v>100</v>
      </c>
      <c r="I318">
        <v>10</v>
      </c>
      <c r="J318">
        <v>100</v>
      </c>
      <c r="K318">
        <v>948</v>
      </c>
      <c r="L318">
        <v>1145</v>
      </c>
      <c r="M318">
        <v>1014</v>
      </c>
      <c r="N318">
        <v>915</v>
      </c>
      <c r="O318">
        <v>907</v>
      </c>
      <c r="P318">
        <v>1042</v>
      </c>
      <c r="Q318">
        <v>915</v>
      </c>
      <c r="R318">
        <v>1104</v>
      </c>
      <c r="S318">
        <v>937</v>
      </c>
      <c r="T318">
        <v>1073</v>
      </c>
      <c r="U318">
        <v>980</v>
      </c>
      <c r="V318">
        <v>1135</v>
      </c>
      <c r="W318">
        <v>1032</v>
      </c>
      <c r="X318">
        <v>1010</v>
      </c>
      <c r="Y318">
        <v>982</v>
      </c>
      <c r="Z318">
        <v>892</v>
      </c>
      <c r="AA318">
        <v>958</v>
      </c>
      <c r="AB318">
        <v>1028</v>
      </c>
      <c r="AC318">
        <v>974</v>
      </c>
      <c r="AD318">
        <v>1009</v>
      </c>
      <c r="AE318">
        <v>935</v>
      </c>
      <c r="AF318">
        <v>0</v>
      </c>
      <c r="AG318">
        <v>6</v>
      </c>
      <c r="AH318">
        <v>0</v>
      </c>
      <c r="AI318">
        <v>2</v>
      </c>
      <c r="AJ318">
        <v>8</v>
      </c>
      <c r="AK318">
        <v>4</v>
      </c>
      <c r="AL318">
        <v>4</v>
      </c>
      <c r="AM318">
        <v>1</v>
      </c>
      <c r="AN318">
        <v>20</v>
      </c>
      <c r="AO318">
        <v>0</v>
      </c>
      <c r="AP318">
        <v>1132</v>
      </c>
      <c r="AQ318">
        <v>0</v>
      </c>
      <c r="AR318">
        <v>3</v>
      </c>
      <c r="AS318">
        <v>0</v>
      </c>
      <c r="AT318">
        <v>0</v>
      </c>
      <c r="AU318">
        <v>0</v>
      </c>
      <c r="AV318">
        <v>0</v>
      </c>
      <c r="AW318">
        <v>0</v>
      </c>
      <c r="AX318">
        <v>0</v>
      </c>
      <c r="AY318">
        <v>1</v>
      </c>
      <c r="AZ318">
        <v>1</v>
      </c>
      <c r="BA318">
        <v>985</v>
      </c>
      <c r="BB318">
        <v>11</v>
      </c>
      <c r="BC318">
        <v>0</v>
      </c>
      <c r="BD318">
        <v>3</v>
      </c>
      <c r="BE318">
        <v>0</v>
      </c>
      <c r="BF318">
        <v>31</v>
      </c>
      <c r="BG318">
        <v>0</v>
      </c>
      <c r="BH318">
        <v>0</v>
      </c>
      <c r="BI318">
        <v>0</v>
      </c>
      <c r="BJ318">
        <v>0</v>
      </c>
      <c r="BK318">
        <v>10</v>
      </c>
      <c r="BL318">
        <v>894</v>
      </c>
      <c r="BM318">
        <v>0</v>
      </c>
      <c r="BN318">
        <v>69</v>
      </c>
      <c r="BO318">
        <v>1</v>
      </c>
      <c r="BP318">
        <v>15</v>
      </c>
      <c r="BQ318">
        <v>20</v>
      </c>
      <c r="BR318">
        <v>1</v>
      </c>
      <c r="BS318">
        <v>0</v>
      </c>
      <c r="BT318">
        <v>1</v>
      </c>
      <c r="BU318">
        <v>3</v>
      </c>
      <c r="BV318">
        <v>0</v>
      </c>
      <c r="BW318">
        <v>901</v>
      </c>
      <c r="BX318">
        <v>0</v>
      </c>
      <c r="BY318">
        <v>4</v>
      </c>
      <c r="BZ318">
        <v>12</v>
      </c>
      <c r="CA318">
        <v>1</v>
      </c>
      <c r="CB318">
        <v>60</v>
      </c>
      <c r="CC318">
        <v>0</v>
      </c>
      <c r="CD318">
        <v>0</v>
      </c>
      <c r="CE318">
        <v>0</v>
      </c>
      <c r="CF318">
        <v>1</v>
      </c>
      <c r="CG318">
        <v>0</v>
      </c>
      <c r="CH318">
        <v>889</v>
      </c>
      <c r="CI318">
        <v>1</v>
      </c>
      <c r="CJ318">
        <v>1</v>
      </c>
      <c r="CK318">
        <v>0</v>
      </c>
      <c r="CL318">
        <v>0</v>
      </c>
      <c r="CM318">
        <v>7</v>
      </c>
      <c r="CN318">
        <v>6</v>
      </c>
      <c r="CO318">
        <v>1</v>
      </c>
      <c r="CP318">
        <v>1</v>
      </c>
      <c r="CQ318">
        <v>2</v>
      </c>
      <c r="CR318">
        <v>36</v>
      </c>
      <c r="CS318">
        <v>905</v>
      </c>
      <c r="CT318">
        <v>0</v>
      </c>
      <c r="CU318">
        <v>0</v>
      </c>
      <c r="CV318">
        <v>0</v>
      </c>
      <c r="CW318">
        <v>0</v>
      </c>
      <c r="CX318">
        <v>1</v>
      </c>
      <c r="CY318">
        <v>2</v>
      </c>
      <c r="CZ318">
        <v>1</v>
      </c>
      <c r="DA318">
        <v>0</v>
      </c>
      <c r="DB318">
        <v>0</v>
      </c>
      <c r="DC318">
        <v>0</v>
      </c>
      <c r="DD318">
        <v>1024</v>
      </c>
      <c r="DE318">
        <v>0</v>
      </c>
      <c r="DF318">
        <v>0</v>
      </c>
      <c r="DG318">
        <v>5</v>
      </c>
      <c r="DH318">
        <v>1</v>
      </c>
      <c r="DI318">
        <v>6</v>
      </c>
      <c r="DJ318">
        <v>2</v>
      </c>
      <c r="DK318">
        <v>1</v>
      </c>
      <c r="DL318">
        <v>27</v>
      </c>
      <c r="DM318">
        <v>0</v>
      </c>
      <c r="DN318">
        <v>9</v>
      </c>
      <c r="DO318">
        <v>913</v>
      </c>
      <c r="DP318">
        <v>10</v>
      </c>
      <c r="DQ318">
        <v>0</v>
      </c>
      <c r="DR318">
        <v>3</v>
      </c>
      <c r="DS318">
        <v>1</v>
      </c>
      <c r="DT318">
        <v>2</v>
      </c>
      <c r="DU318">
        <v>1</v>
      </c>
      <c r="DV318">
        <v>10</v>
      </c>
      <c r="DW318">
        <v>0</v>
      </c>
      <c r="DX318">
        <v>8</v>
      </c>
      <c r="DY318">
        <v>2</v>
      </c>
      <c r="DZ318">
        <v>982</v>
      </c>
      <c r="EA318">
        <v>0.95599999999999996</v>
      </c>
      <c r="EB318">
        <v>0.95761192170543397</v>
      </c>
      <c r="EC318">
        <v>0.95565942406429205</v>
      </c>
      <c r="ED318">
        <v>0.95536759262361404</v>
      </c>
      <c r="EE318">
        <f>SUM(Table1[[#This Row],[ratio_0]:[ratio_9]])</f>
        <v>550</v>
      </c>
      <c r="EF318" s="1">
        <f>(Table1[[#This Row],[predicted_0]]-Table1[[#This Row],[actual_0]])/Table1[[#This Row],[actual_0]]</f>
        <v>-3.2653061224489799E-2</v>
      </c>
      <c r="EG318" s="1">
        <f>(Table1[[#This Row],[predicted_1]]-Table1[[#This Row],[actual_1]])/Table1[[#This Row],[actual_1]]</f>
        <v>8.8105726872246704E-3</v>
      </c>
      <c r="EH318" s="1">
        <f>(Table1[[#This Row],[predicted_2]]-Table1[[#This Row],[actual_2]])/Table1[[#This Row],[actual_2]]</f>
        <v>-1.7441860465116279E-2</v>
      </c>
      <c r="EI318" s="1">
        <f>(Table1[[#This Row],[predicted_3]]-Table1[[#This Row],[actual_3]])/Table1[[#This Row],[actual_3]]</f>
        <v>-9.405940594059406E-2</v>
      </c>
      <c r="EJ318" s="1">
        <f>(Table1[[#This Row],[predicted_4]]-Table1[[#This Row],[actual_4]])/Table1[[#This Row],[actual_4]]</f>
        <v>-7.637474541751528E-2</v>
      </c>
      <c r="EK318" s="1">
        <f>(Table1[[#This Row],[predicted_5]]-Table1[[#This Row],[actual_5]])/Table1[[#This Row],[actual_5]]</f>
        <v>0.16816143497757849</v>
      </c>
      <c r="EL318" s="1">
        <f>(Table1[[#This Row],[predicted_6]]-Table1[[#This Row],[actual_6]])/Table1[[#This Row],[actual_6]]</f>
        <v>-4.4885177453027142E-2</v>
      </c>
      <c r="EM318" s="1">
        <f>(Table1[[#This Row],[predicted_7]]-Table1[[#This Row],[actual_7]])/Table1[[#This Row],[actual_7]]</f>
        <v>7.3929961089494164E-2</v>
      </c>
      <c r="EN318" s="1">
        <f>(Table1[[#This Row],[predicted_8]]-Table1[[#This Row],[actual_8]])/Table1[[#This Row],[actual_8]]</f>
        <v>-3.7987679671457907E-2</v>
      </c>
      <c r="EO318" s="1">
        <f>(Table1[[#This Row],[predicted_9]]-Table1[[#This Row],[actual_9]])/Table1[[#This Row],[actual_9]]</f>
        <v>6.3429137760158572E-2</v>
      </c>
      <c r="EP318" s="1">
        <f>1+(Table1[[#This Row],[error_ratio_0]]-EF$2)</f>
        <v>0.96530612244897962</v>
      </c>
      <c r="EQ318" s="1">
        <f>1+(Table1[[#This Row],[error_ratio_1]]-EG$2)</f>
        <v>1.0070484581497798</v>
      </c>
      <c r="ER318" s="1">
        <f>1+(Table1[[#This Row],[error_ratio_2]]-EH$2)</f>
        <v>0.98740310077519378</v>
      </c>
      <c r="ES318" s="1">
        <f>1+(Table1[[#This Row],[error_ratio_3]]-EI$2)</f>
        <v>0.89603960396039606</v>
      </c>
      <c r="ET318" s="1">
        <f>1+(Table1[[#This Row],[error_ratio_4]]-EJ$2)</f>
        <v>0.92260692464358451</v>
      </c>
      <c r="EU318" s="1">
        <f>1+(Table1[[#This Row],[error_ratio_5]]-EK$2)</f>
        <v>1.1670403587443947</v>
      </c>
      <c r="EV318" s="1">
        <f>1+(Table1[[#This Row],[error_ratio_6]]-EL$2)</f>
        <v>0.9613778705636743</v>
      </c>
      <c r="EW318" s="1">
        <f>1+(Table1[[#This Row],[error_ratio_7]]-EM$2)</f>
        <v>1.0719844357976653</v>
      </c>
      <c r="EX318" s="1">
        <f>1+(Table1[[#This Row],[error_ratio_8]]-EN$2)</f>
        <v>0.96509240246406569</v>
      </c>
      <c r="EY318" s="1">
        <f>1+(Table1[[#This Row],[error_ratio_9]]-EO$2)</f>
        <v>1.0673934588701686</v>
      </c>
    </row>
    <row r="319" spans="1:155" x14ac:dyDescent="0.75">
      <c r="A319">
        <v>100</v>
      </c>
      <c r="B319">
        <v>10</v>
      </c>
      <c r="C319">
        <v>100</v>
      </c>
      <c r="D319">
        <v>10</v>
      </c>
      <c r="E319">
        <v>10</v>
      </c>
      <c r="F319">
        <v>100</v>
      </c>
      <c r="G319">
        <v>10</v>
      </c>
      <c r="H319">
        <v>100</v>
      </c>
      <c r="I319">
        <v>10</v>
      </c>
      <c r="J319">
        <v>100</v>
      </c>
      <c r="K319">
        <v>1010</v>
      </c>
      <c r="L319">
        <v>1128</v>
      </c>
      <c r="M319">
        <v>1059</v>
      </c>
      <c r="N319">
        <v>952</v>
      </c>
      <c r="O319">
        <v>859</v>
      </c>
      <c r="P319">
        <v>1218</v>
      </c>
      <c r="Q319">
        <v>821</v>
      </c>
      <c r="R319">
        <v>1147</v>
      </c>
      <c r="S319">
        <v>700</v>
      </c>
      <c r="T319">
        <v>1106</v>
      </c>
      <c r="U319">
        <v>980</v>
      </c>
      <c r="V319">
        <v>1135</v>
      </c>
      <c r="W319">
        <v>1032</v>
      </c>
      <c r="X319">
        <v>1010</v>
      </c>
      <c r="Y319">
        <v>982</v>
      </c>
      <c r="Z319">
        <v>892</v>
      </c>
      <c r="AA319">
        <v>958</v>
      </c>
      <c r="AB319">
        <v>1028</v>
      </c>
      <c r="AC319">
        <v>974</v>
      </c>
      <c r="AD319">
        <v>1009</v>
      </c>
      <c r="AE319">
        <v>972</v>
      </c>
      <c r="AF319">
        <v>0</v>
      </c>
      <c r="AG319">
        <v>1</v>
      </c>
      <c r="AH319">
        <v>0</v>
      </c>
      <c r="AI319">
        <v>0</v>
      </c>
      <c r="AJ319">
        <v>2</v>
      </c>
      <c r="AK319">
        <v>0</v>
      </c>
      <c r="AL319">
        <v>4</v>
      </c>
      <c r="AM319">
        <v>0</v>
      </c>
      <c r="AN319">
        <v>1</v>
      </c>
      <c r="AO319">
        <v>0</v>
      </c>
      <c r="AP319">
        <v>1115</v>
      </c>
      <c r="AQ319">
        <v>7</v>
      </c>
      <c r="AR319">
        <v>3</v>
      </c>
      <c r="AS319">
        <v>0</v>
      </c>
      <c r="AT319">
        <v>3</v>
      </c>
      <c r="AU319">
        <v>0</v>
      </c>
      <c r="AV319">
        <v>7</v>
      </c>
      <c r="AW319">
        <v>0</v>
      </c>
      <c r="AX319">
        <v>0</v>
      </c>
      <c r="AY319">
        <v>1</v>
      </c>
      <c r="AZ319">
        <v>0</v>
      </c>
      <c r="BA319">
        <v>1005</v>
      </c>
      <c r="BB319">
        <v>1</v>
      </c>
      <c r="BC319">
        <v>0</v>
      </c>
      <c r="BD319">
        <v>3</v>
      </c>
      <c r="BE319">
        <v>0</v>
      </c>
      <c r="BF319">
        <v>22</v>
      </c>
      <c r="BG319">
        <v>0</v>
      </c>
      <c r="BH319">
        <v>0</v>
      </c>
      <c r="BI319">
        <v>2</v>
      </c>
      <c r="BJ319">
        <v>0</v>
      </c>
      <c r="BK319">
        <v>5</v>
      </c>
      <c r="BL319">
        <v>925</v>
      </c>
      <c r="BM319">
        <v>0</v>
      </c>
      <c r="BN319">
        <v>57</v>
      </c>
      <c r="BO319">
        <v>0</v>
      </c>
      <c r="BP319">
        <v>13</v>
      </c>
      <c r="BQ319">
        <v>0</v>
      </c>
      <c r="BR319">
        <v>8</v>
      </c>
      <c r="BS319">
        <v>1</v>
      </c>
      <c r="BT319">
        <v>3</v>
      </c>
      <c r="BU319">
        <v>3</v>
      </c>
      <c r="BV319">
        <v>0</v>
      </c>
      <c r="BW319">
        <v>846</v>
      </c>
      <c r="BX319">
        <v>6</v>
      </c>
      <c r="BY319">
        <v>0</v>
      </c>
      <c r="BZ319">
        <v>19</v>
      </c>
      <c r="CA319">
        <v>1</v>
      </c>
      <c r="CB319">
        <v>103</v>
      </c>
      <c r="CC319">
        <v>1</v>
      </c>
      <c r="CD319">
        <v>0</v>
      </c>
      <c r="CE319">
        <v>1</v>
      </c>
      <c r="CF319">
        <v>1</v>
      </c>
      <c r="CG319">
        <v>0</v>
      </c>
      <c r="CH319">
        <v>888</v>
      </c>
      <c r="CI319">
        <v>0</v>
      </c>
      <c r="CJ319">
        <v>1</v>
      </c>
      <c r="CK319">
        <v>0</v>
      </c>
      <c r="CL319">
        <v>0</v>
      </c>
      <c r="CM319">
        <v>22</v>
      </c>
      <c r="CN319">
        <v>4</v>
      </c>
      <c r="CO319">
        <v>6</v>
      </c>
      <c r="CP319">
        <v>0</v>
      </c>
      <c r="CQ319">
        <v>11</v>
      </c>
      <c r="CR319">
        <v>91</v>
      </c>
      <c r="CS319">
        <v>821</v>
      </c>
      <c r="CT319">
        <v>0</v>
      </c>
      <c r="CU319">
        <v>0</v>
      </c>
      <c r="CV319">
        <v>3</v>
      </c>
      <c r="CW319">
        <v>0</v>
      </c>
      <c r="CX319">
        <v>1</v>
      </c>
      <c r="CY319">
        <v>3</v>
      </c>
      <c r="CZ319">
        <v>0</v>
      </c>
      <c r="DA319">
        <v>0</v>
      </c>
      <c r="DB319">
        <v>0</v>
      </c>
      <c r="DC319">
        <v>0</v>
      </c>
      <c r="DD319">
        <v>1024</v>
      </c>
      <c r="DE319">
        <v>0</v>
      </c>
      <c r="DF319">
        <v>0</v>
      </c>
      <c r="DG319">
        <v>10</v>
      </c>
      <c r="DH319">
        <v>3</v>
      </c>
      <c r="DI319">
        <v>28</v>
      </c>
      <c r="DJ319">
        <v>22</v>
      </c>
      <c r="DK319">
        <v>1</v>
      </c>
      <c r="DL319">
        <v>160</v>
      </c>
      <c r="DM319">
        <v>0</v>
      </c>
      <c r="DN319">
        <v>31</v>
      </c>
      <c r="DO319">
        <v>698</v>
      </c>
      <c r="DP319">
        <v>21</v>
      </c>
      <c r="DQ319">
        <v>1</v>
      </c>
      <c r="DR319">
        <v>2</v>
      </c>
      <c r="DS319">
        <v>0</v>
      </c>
      <c r="DT319">
        <v>0</v>
      </c>
      <c r="DU319">
        <v>1</v>
      </c>
      <c r="DV319">
        <v>8</v>
      </c>
      <c r="DW319">
        <v>0</v>
      </c>
      <c r="DX319">
        <v>26</v>
      </c>
      <c r="DY319">
        <v>1</v>
      </c>
      <c r="DZ319">
        <v>970</v>
      </c>
      <c r="EA319">
        <v>0.9264</v>
      </c>
      <c r="EB319">
        <v>0.93523696784459298</v>
      </c>
      <c r="EC319">
        <v>0.92520002052345596</v>
      </c>
      <c r="ED319">
        <v>0.92430398695151605</v>
      </c>
      <c r="EE319">
        <f>SUM(Table1[[#This Row],[ratio_0]:[ratio_9]])</f>
        <v>550</v>
      </c>
      <c r="EF319" s="1">
        <f>(Table1[[#This Row],[predicted_0]]-Table1[[#This Row],[actual_0]])/Table1[[#This Row],[actual_0]]</f>
        <v>3.0612244897959183E-2</v>
      </c>
      <c r="EG319" s="1">
        <f>(Table1[[#This Row],[predicted_1]]-Table1[[#This Row],[actual_1]])/Table1[[#This Row],[actual_1]]</f>
        <v>-6.1674008810572688E-3</v>
      </c>
      <c r="EH319" s="1">
        <f>(Table1[[#This Row],[predicted_2]]-Table1[[#This Row],[actual_2]])/Table1[[#This Row],[actual_2]]</f>
        <v>2.616279069767442E-2</v>
      </c>
      <c r="EI319" s="1">
        <f>(Table1[[#This Row],[predicted_3]]-Table1[[#This Row],[actual_3]])/Table1[[#This Row],[actual_3]]</f>
        <v>-5.7425742574257428E-2</v>
      </c>
      <c r="EJ319" s="1">
        <f>(Table1[[#This Row],[predicted_4]]-Table1[[#This Row],[actual_4]])/Table1[[#This Row],[actual_4]]</f>
        <v>-0.12525458248472504</v>
      </c>
      <c r="EK319" s="1">
        <f>(Table1[[#This Row],[predicted_5]]-Table1[[#This Row],[actual_5]])/Table1[[#This Row],[actual_5]]</f>
        <v>0.36547085201793722</v>
      </c>
      <c r="EL319" s="1">
        <f>(Table1[[#This Row],[predicted_6]]-Table1[[#This Row],[actual_6]])/Table1[[#This Row],[actual_6]]</f>
        <v>-0.1430062630480167</v>
      </c>
      <c r="EM319" s="1">
        <f>(Table1[[#This Row],[predicted_7]]-Table1[[#This Row],[actual_7]])/Table1[[#This Row],[actual_7]]</f>
        <v>0.11575875486381323</v>
      </c>
      <c r="EN319" s="1">
        <f>(Table1[[#This Row],[predicted_8]]-Table1[[#This Row],[actual_8]])/Table1[[#This Row],[actual_8]]</f>
        <v>-0.28131416837782341</v>
      </c>
      <c r="EO319" s="1">
        <f>(Table1[[#This Row],[predicted_9]]-Table1[[#This Row],[actual_9]])/Table1[[#This Row],[actual_9]]</f>
        <v>9.6134786917740342E-2</v>
      </c>
      <c r="EP319" s="1">
        <f>1+(Table1[[#This Row],[error_ratio_0]]-EF$2)</f>
        <v>1.0285714285714285</v>
      </c>
      <c r="EQ319" s="1">
        <f>1+(Table1[[#This Row],[error_ratio_1]]-EG$2)</f>
        <v>0.99207048458149782</v>
      </c>
      <c r="ER319" s="1">
        <f>1+(Table1[[#This Row],[error_ratio_2]]-EH$2)</f>
        <v>1.0310077519379846</v>
      </c>
      <c r="ES319" s="1">
        <f>1+(Table1[[#This Row],[error_ratio_3]]-EI$2)</f>
        <v>0.93267326732673261</v>
      </c>
      <c r="ET319" s="1">
        <f>1+(Table1[[#This Row],[error_ratio_4]]-EJ$2)</f>
        <v>0.87372708757637474</v>
      </c>
      <c r="EU319" s="1">
        <f>1+(Table1[[#This Row],[error_ratio_5]]-EK$2)</f>
        <v>1.3643497757847534</v>
      </c>
      <c r="EV319" s="1">
        <f>1+(Table1[[#This Row],[error_ratio_6]]-EL$2)</f>
        <v>0.86325678496868474</v>
      </c>
      <c r="EW319" s="1">
        <f>1+(Table1[[#This Row],[error_ratio_7]]-EM$2)</f>
        <v>1.1138132295719845</v>
      </c>
      <c r="EX319" s="1">
        <f>1+(Table1[[#This Row],[error_ratio_8]]-EN$2)</f>
        <v>0.72176591375770016</v>
      </c>
      <c r="EY319" s="1">
        <f>1+(Table1[[#This Row],[error_ratio_9]]-EO$2)</f>
        <v>1.1000991080277502</v>
      </c>
    </row>
    <row r="320" spans="1:155" x14ac:dyDescent="0.75">
      <c r="A320">
        <v>10</v>
      </c>
      <c r="B320">
        <v>10</v>
      </c>
      <c r="C320">
        <v>100</v>
      </c>
      <c r="D320">
        <v>10</v>
      </c>
      <c r="E320">
        <v>10</v>
      </c>
      <c r="F320">
        <v>100</v>
      </c>
      <c r="G320">
        <v>10</v>
      </c>
      <c r="H320">
        <v>100</v>
      </c>
      <c r="I320">
        <v>10</v>
      </c>
      <c r="J320">
        <v>100</v>
      </c>
      <c r="K320">
        <v>1004</v>
      </c>
      <c r="L320">
        <v>1171</v>
      </c>
      <c r="M320">
        <v>1039</v>
      </c>
      <c r="N320">
        <v>936</v>
      </c>
      <c r="O320">
        <v>891</v>
      </c>
      <c r="P320">
        <v>927</v>
      </c>
      <c r="Q320">
        <v>931</v>
      </c>
      <c r="R320">
        <v>1184</v>
      </c>
      <c r="S320">
        <v>788</v>
      </c>
      <c r="T320">
        <v>1129</v>
      </c>
      <c r="U320">
        <v>980</v>
      </c>
      <c r="V320">
        <v>1135</v>
      </c>
      <c r="W320">
        <v>1032</v>
      </c>
      <c r="X320">
        <v>1010</v>
      </c>
      <c r="Y320">
        <v>982</v>
      </c>
      <c r="Z320">
        <v>892</v>
      </c>
      <c r="AA320">
        <v>958</v>
      </c>
      <c r="AB320">
        <v>1028</v>
      </c>
      <c r="AC320">
        <v>974</v>
      </c>
      <c r="AD320">
        <v>1009</v>
      </c>
      <c r="AE320">
        <v>948</v>
      </c>
      <c r="AF320">
        <v>2</v>
      </c>
      <c r="AG320">
        <v>1</v>
      </c>
      <c r="AH320">
        <v>1</v>
      </c>
      <c r="AI320">
        <v>0</v>
      </c>
      <c r="AJ320">
        <v>7</v>
      </c>
      <c r="AK320">
        <v>3</v>
      </c>
      <c r="AL320">
        <v>7</v>
      </c>
      <c r="AM320">
        <v>1</v>
      </c>
      <c r="AN320">
        <v>10</v>
      </c>
      <c r="AO320">
        <v>0</v>
      </c>
      <c r="AP320">
        <v>1118</v>
      </c>
      <c r="AQ320">
        <v>1</v>
      </c>
      <c r="AR320">
        <v>5</v>
      </c>
      <c r="AS320">
        <v>0</v>
      </c>
      <c r="AT320">
        <v>1</v>
      </c>
      <c r="AU320">
        <v>0</v>
      </c>
      <c r="AV320">
        <v>10</v>
      </c>
      <c r="AW320">
        <v>0</v>
      </c>
      <c r="AX320">
        <v>0</v>
      </c>
      <c r="AY320">
        <v>2</v>
      </c>
      <c r="AZ320">
        <v>3</v>
      </c>
      <c r="BA320">
        <v>989</v>
      </c>
      <c r="BB320">
        <v>0</v>
      </c>
      <c r="BC320">
        <v>0</v>
      </c>
      <c r="BD320">
        <v>0</v>
      </c>
      <c r="BE320">
        <v>1</v>
      </c>
      <c r="BF320">
        <v>36</v>
      </c>
      <c r="BG320">
        <v>0</v>
      </c>
      <c r="BH320">
        <v>1</v>
      </c>
      <c r="BI320">
        <v>3</v>
      </c>
      <c r="BJ320">
        <v>0</v>
      </c>
      <c r="BK320">
        <v>4</v>
      </c>
      <c r="BL320">
        <v>924</v>
      </c>
      <c r="BM320">
        <v>0</v>
      </c>
      <c r="BN320">
        <v>22</v>
      </c>
      <c r="BO320">
        <v>0</v>
      </c>
      <c r="BP320">
        <v>16</v>
      </c>
      <c r="BQ320">
        <v>0</v>
      </c>
      <c r="BR320">
        <v>41</v>
      </c>
      <c r="BS320">
        <v>2</v>
      </c>
      <c r="BT320">
        <v>21</v>
      </c>
      <c r="BU320">
        <v>0</v>
      </c>
      <c r="BV320">
        <v>0</v>
      </c>
      <c r="BW320">
        <v>887</v>
      </c>
      <c r="BX320">
        <v>0</v>
      </c>
      <c r="BY320">
        <v>11</v>
      </c>
      <c r="BZ320">
        <v>8</v>
      </c>
      <c r="CA320">
        <v>0</v>
      </c>
      <c r="CB320">
        <v>53</v>
      </c>
      <c r="CC320">
        <v>3</v>
      </c>
      <c r="CD320">
        <v>0</v>
      </c>
      <c r="CE320">
        <v>0</v>
      </c>
      <c r="CF320">
        <v>3</v>
      </c>
      <c r="CG320">
        <v>0</v>
      </c>
      <c r="CH320">
        <v>870</v>
      </c>
      <c r="CI320">
        <v>1</v>
      </c>
      <c r="CJ320">
        <v>4</v>
      </c>
      <c r="CK320">
        <v>0</v>
      </c>
      <c r="CL320">
        <v>11</v>
      </c>
      <c r="CM320">
        <v>19</v>
      </c>
      <c r="CN320">
        <v>5</v>
      </c>
      <c r="CO320">
        <v>0</v>
      </c>
      <c r="CP320">
        <v>0</v>
      </c>
      <c r="CQ320">
        <v>2</v>
      </c>
      <c r="CR320">
        <v>20</v>
      </c>
      <c r="CS320">
        <v>908</v>
      </c>
      <c r="CT320">
        <v>0</v>
      </c>
      <c r="CU320">
        <v>2</v>
      </c>
      <c r="CV320">
        <v>2</v>
      </c>
      <c r="CW320">
        <v>0</v>
      </c>
      <c r="CX320">
        <v>0</v>
      </c>
      <c r="CY320">
        <v>6</v>
      </c>
      <c r="CZ320">
        <v>0</v>
      </c>
      <c r="DA320">
        <v>0</v>
      </c>
      <c r="DB320">
        <v>0</v>
      </c>
      <c r="DC320">
        <v>0</v>
      </c>
      <c r="DD320">
        <v>1020</v>
      </c>
      <c r="DE320">
        <v>0</v>
      </c>
      <c r="DF320">
        <v>2</v>
      </c>
      <c r="DG320">
        <v>24</v>
      </c>
      <c r="DH320">
        <v>20</v>
      </c>
      <c r="DI320">
        <v>38</v>
      </c>
      <c r="DJ320">
        <v>3</v>
      </c>
      <c r="DK320">
        <v>2</v>
      </c>
      <c r="DL320">
        <v>7</v>
      </c>
      <c r="DM320">
        <v>7</v>
      </c>
      <c r="DN320">
        <v>54</v>
      </c>
      <c r="DO320">
        <v>785</v>
      </c>
      <c r="DP320">
        <v>34</v>
      </c>
      <c r="DQ320">
        <v>3</v>
      </c>
      <c r="DR320">
        <v>2</v>
      </c>
      <c r="DS320">
        <v>0</v>
      </c>
      <c r="DT320">
        <v>0</v>
      </c>
      <c r="DU320">
        <v>0</v>
      </c>
      <c r="DV320">
        <v>0</v>
      </c>
      <c r="DW320">
        <v>0</v>
      </c>
      <c r="DX320">
        <v>29</v>
      </c>
      <c r="DY320">
        <v>0</v>
      </c>
      <c r="DZ320">
        <v>975</v>
      </c>
      <c r="EA320">
        <v>0.94240000000000002</v>
      </c>
      <c r="EB320">
        <v>0.94686117912066003</v>
      </c>
      <c r="EC320">
        <v>0.94164326904172702</v>
      </c>
      <c r="ED320">
        <v>0.94204349747883398</v>
      </c>
      <c r="EE320">
        <f>SUM(Table1[[#This Row],[ratio_0]:[ratio_9]])</f>
        <v>460</v>
      </c>
      <c r="EF320" s="1">
        <f>(Table1[[#This Row],[predicted_0]]-Table1[[#This Row],[actual_0]])/Table1[[#This Row],[actual_0]]</f>
        <v>2.4489795918367346E-2</v>
      </c>
      <c r="EG320" s="1">
        <f>(Table1[[#This Row],[predicted_1]]-Table1[[#This Row],[actual_1]])/Table1[[#This Row],[actual_1]]</f>
        <v>3.1718061674008813E-2</v>
      </c>
      <c r="EH320" s="1">
        <f>(Table1[[#This Row],[predicted_2]]-Table1[[#This Row],[actual_2]])/Table1[[#This Row],[actual_2]]</f>
        <v>6.7829457364341084E-3</v>
      </c>
      <c r="EI320" s="1">
        <f>(Table1[[#This Row],[predicted_3]]-Table1[[#This Row],[actual_3]])/Table1[[#This Row],[actual_3]]</f>
        <v>-7.3267326732673263E-2</v>
      </c>
      <c r="EJ320" s="1">
        <f>(Table1[[#This Row],[predicted_4]]-Table1[[#This Row],[actual_4]])/Table1[[#This Row],[actual_4]]</f>
        <v>-9.2668024439918534E-2</v>
      </c>
      <c r="EK320" s="1">
        <f>(Table1[[#This Row],[predicted_5]]-Table1[[#This Row],[actual_5]])/Table1[[#This Row],[actual_5]]</f>
        <v>3.923766816143498E-2</v>
      </c>
      <c r="EL320" s="1">
        <f>(Table1[[#This Row],[predicted_6]]-Table1[[#This Row],[actual_6]])/Table1[[#This Row],[actual_6]]</f>
        <v>-2.8183716075156576E-2</v>
      </c>
      <c r="EM320" s="1">
        <f>(Table1[[#This Row],[predicted_7]]-Table1[[#This Row],[actual_7]])/Table1[[#This Row],[actual_7]]</f>
        <v>0.1517509727626459</v>
      </c>
      <c r="EN320" s="1">
        <f>(Table1[[#This Row],[predicted_8]]-Table1[[#This Row],[actual_8]])/Table1[[#This Row],[actual_8]]</f>
        <v>-0.19096509240246407</v>
      </c>
      <c r="EO320" s="1">
        <f>(Table1[[#This Row],[predicted_9]]-Table1[[#This Row],[actual_9]])/Table1[[#This Row],[actual_9]]</f>
        <v>0.11892963330029732</v>
      </c>
      <c r="EP320" s="1">
        <f>1+(Table1[[#This Row],[error_ratio_0]]-EF$2)</f>
        <v>1.0224489795918368</v>
      </c>
      <c r="EQ320" s="1">
        <f>1+(Table1[[#This Row],[error_ratio_1]]-EG$2)</f>
        <v>1.0299559471365638</v>
      </c>
      <c r="ER320" s="1">
        <f>1+(Table1[[#This Row],[error_ratio_2]]-EH$2)</f>
        <v>1.0116279069767442</v>
      </c>
      <c r="ES320" s="1">
        <f>1+(Table1[[#This Row],[error_ratio_3]]-EI$2)</f>
        <v>0.91683168316831687</v>
      </c>
      <c r="ET320" s="1">
        <f>1+(Table1[[#This Row],[error_ratio_4]]-EJ$2)</f>
        <v>0.90631364562118122</v>
      </c>
      <c r="EU320" s="1">
        <f>1+(Table1[[#This Row],[error_ratio_5]]-EK$2)</f>
        <v>1.0381165919282511</v>
      </c>
      <c r="EV320" s="1">
        <f>1+(Table1[[#This Row],[error_ratio_6]]-EL$2)</f>
        <v>0.97807933194154484</v>
      </c>
      <c r="EW320" s="1">
        <f>1+(Table1[[#This Row],[error_ratio_7]]-EM$2)</f>
        <v>1.149805447470817</v>
      </c>
      <c r="EX320" s="1">
        <f>1+(Table1[[#This Row],[error_ratio_8]]-EN$2)</f>
        <v>0.81211498973305951</v>
      </c>
      <c r="EY320" s="1">
        <f>1+(Table1[[#This Row],[error_ratio_9]]-EO$2)</f>
        <v>1.1228939544103071</v>
      </c>
    </row>
    <row r="321" spans="1:155" x14ac:dyDescent="0.75">
      <c r="A321">
        <v>100</v>
      </c>
      <c r="B321">
        <v>100</v>
      </c>
      <c r="C321">
        <v>10</v>
      </c>
      <c r="D321">
        <v>10</v>
      </c>
      <c r="E321">
        <v>10</v>
      </c>
      <c r="F321">
        <v>100</v>
      </c>
      <c r="G321">
        <v>10</v>
      </c>
      <c r="H321">
        <v>100</v>
      </c>
      <c r="I321">
        <v>10</v>
      </c>
      <c r="J321">
        <v>100</v>
      </c>
      <c r="K321">
        <v>1045</v>
      </c>
      <c r="L321">
        <v>1176</v>
      </c>
      <c r="M321">
        <v>971</v>
      </c>
      <c r="N321">
        <v>1004</v>
      </c>
      <c r="O321">
        <v>978</v>
      </c>
      <c r="P321">
        <v>942</v>
      </c>
      <c r="Q321">
        <v>905</v>
      </c>
      <c r="R321">
        <v>1066</v>
      </c>
      <c r="S321">
        <v>905</v>
      </c>
      <c r="T321">
        <v>1008</v>
      </c>
      <c r="U321">
        <v>980</v>
      </c>
      <c r="V321">
        <v>1135</v>
      </c>
      <c r="W321">
        <v>1032</v>
      </c>
      <c r="X321">
        <v>1010</v>
      </c>
      <c r="Y321">
        <v>982</v>
      </c>
      <c r="Z321">
        <v>892</v>
      </c>
      <c r="AA321">
        <v>958</v>
      </c>
      <c r="AB321">
        <v>1028</v>
      </c>
      <c r="AC321">
        <v>974</v>
      </c>
      <c r="AD321">
        <v>1009</v>
      </c>
      <c r="AE321">
        <v>974</v>
      </c>
      <c r="AF321">
        <v>1</v>
      </c>
      <c r="AG321">
        <v>1</v>
      </c>
      <c r="AH321">
        <v>0</v>
      </c>
      <c r="AI321">
        <v>0</v>
      </c>
      <c r="AJ321">
        <v>0</v>
      </c>
      <c r="AK321">
        <v>0</v>
      </c>
      <c r="AL321">
        <v>3</v>
      </c>
      <c r="AM321">
        <v>1</v>
      </c>
      <c r="AN321">
        <v>0</v>
      </c>
      <c r="AO321">
        <v>0</v>
      </c>
      <c r="AP321">
        <v>1135</v>
      </c>
      <c r="AQ321">
        <v>0</v>
      </c>
      <c r="AR321">
        <v>0</v>
      </c>
      <c r="AS321">
        <v>0</v>
      </c>
      <c r="AT321">
        <v>0</v>
      </c>
      <c r="AU321">
        <v>0</v>
      </c>
      <c r="AV321">
        <v>0</v>
      </c>
      <c r="AW321">
        <v>0</v>
      </c>
      <c r="AX321">
        <v>0</v>
      </c>
      <c r="AY321">
        <v>19</v>
      </c>
      <c r="AZ321">
        <v>15</v>
      </c>
      <c r="BA321">
        <v>959</v>
      </c>
      <c r="BB321">
        <v>7</v>
      </c>
      <c r="BC321">
        <v>7</v>
      </c>
      <c r="BD321">
        <v>0</v>
      </c>
      <c r="BE321">
        <v>1</v>
      </c>
      <c r="BF321">
        <v>20</v>
      </c>
      <c r="BG321">
        <v>4</v>
      </c>
      <c r="BH321">
        <v>0</v>
      </c>
      <c r="BI321">
        <v>2</v>
      </c>
      <c r="BJ321">
        <v>1</v>
      </c>
      <c r="BK321">
        <v>3</v>
      </c>
      <c r="BL321">
        <v>974</v>
      </c>
      <c r="BM321">
        <v>0</v>
      </c>
      <c r="BN321">
        <v>19</v>
      </c>
      <c r="BO321">
        <v>0</v>
      </c>
      <c r="BP321">
        <v>10</v>
      </c>
      <c r="BQ321">
        <v>0</v>
      </c>
      <c r="BR321">
        <v>1</v>
      </c>
      <c r="BS321">
        <v>4</v>
      </c>
      <c r="BT321">
        <v>2</v>
      </c>
      <c r="BU321">
        <v>1</v>
      </c>
      <c r="BV321">
        <v>1</v>
      </c>
      <c r="BW321">
        <v>955</v>
      </c>
      <c r="BX321">
        <v>0</v>
      </c>
      <c r="BY321">
        <v>3</v>
      </c>
      <c r="BZ321">
        <v>1</v>
      </c>
      <c r="CA321">
        <v>1</v>
      </c>
      <c r="CB321">
        <v>14</v>
      </c>
      <c r="CC321">
        <v>2</v>
      </c>
      <c r="CD321">
        <v>1</v>
      </c>
      <c r="CE321">
        <v>0</v>
      </c>
      <c r="CF321">
        <v>3</v>
      </c>
      <c r="CG321">
        <v>0</v>
      </c>
      <c r="CH321">
        <v>883</v>
      </c>
      <c r="CI321">
        <v>1</v>
      </c>
      <c r="CJ321">
        <v>2</v>
      </c>
      <c r="CK321">
        <v>0</v>
      </c>
      <c r="CL321">
        <v>0</v>
      </c>
      <c r="CM321">
        <v>32</v>
      </c>
      <c r="CN321">
        <v>8</v>
      </c>
      <c r="CO321">
        <v>0</v>
      </c>
      <c r="CP321">
        <v>0</v>
      </c>
      <c r="CQ321">
        <v>3</v>
      </c>
      <c r="CR321">
        <v>15</v>
      </c>
      <c r="CS321">
        <v>898</v>
      </c>
      <c r="CT321">
        <v>0</v>
      </c>
      <c r="CU321">
        <v>2</v>
      </c>
      <c r="CV321">
        <v>0</v>
      </c>
      <c r="CW321">
        <v>0</v>
      </c>
      <c r="CX321">
        <v>6</v>
      </c>
      <c r="CY321">
        <v>4</v>
      </c>
      <c r="CZ321">
        <v>2</v>
      </c>
      <c r="DA321">
        <v>0</v>
      </c>
      <c r="DB321">
        <v>0</v>
      </c>
      <c r="DC321">
        <v>0</v>
      </c>
      <c r="DD321">
        <v>1014</v>
      </c>
      <c r="DE321">
        <v>0</v>
      </c>
      <c r="DF321">
        <v>2</v>
      </c>
      <c r="DG321">
        <v>8</v>
      </c>
      <c r="DH321">
        <v>1</v>
      </c>
      <c r="DI321">
        <v>3</v>
      </c>
      <c r="DJ321">
        <v>13</v>
      </c>
      <c r="DK321">
        <v>7</v>
      </c>
      <c r="DL321">
        <v>20</v>
      </c>
      <c r="DM321">
        <v>2</v>
      </c>
      <c r="DN321">
        <v>9</v>
      </c>
      <c r="DO321">
        <v>897</v>
      </c>
      <c r="DP321">
        <v>14</v>
      </c>
      <c r="DQ321">
        <v>4</v>
      </c>
      <c r="DR321">
        <v>6</v>
      </c>
      <c r="DS321">
        <v>0</v>
      </c>
      <c r="DT321">
        <v>4</v>
      </c>
      <c r="DU321">
        <v>6</v>
      </c>
      <c r="DV321">
        <v>5</v>
      </c>
      <c r="DW321">
        <v>0</v>
      </c>
      <c r="DX321">
        <v>7</v>
      </c>
      <c r="DY321">
        <v>0</v>
      </c>
      <c r="DZ321">
        <v>977</v>
      </c>
      <c r="EA321">
        <v>0.96660000000000001</v>
      </c>
      <c r="EB321">
        <v>0.96726954786952501</v>
      </c>
      <c r="EC321">
        <v>0.96628937905381496</v>
      </c>
      <c r="ED321">
        <v>0.96624860302023696</v>
      </c>
      <c r="EE321">
        <f>SUM(Table1[[#This Row],[ratio_0]:[ratio_9]])</f>
        <v>550</v>
      </c>
      <c r="EF321" s="1">
        <f>(Table1[[#This Row],[predicted_0]]-Table1[[#This Row],[actual_0]])/Table1[[#This Row],[actual_0]]</f>
        <v>6.6326530612244902E-2</v>
      </c>
      <c r="EG321" s="1">
        <f>(Table1[[#This Row],[predicted_1]]-Table1[[#This Row],[actual_1]])/Table1[[#This Row],[actual_1]]</f>
        <v>3.6123348017621147E-2</v>
      </c>
      <c r="EH321" s="1">
        <f>(Table1[[#This Row],[predicted_2]]-Table1[[#This Row],[actual_2]])/Table1[[#This Row],[actual_2]]</f>
        <v>-5.9108527131782947E-2</v>
      </c>
      <c r="EI321" s="1">
        <f>(Table1[[#This Row],[predicted_3]]-Table1[[#This Row],[actual_3]])/Table1[[#This Row],[actual_3]]</f>
        <v>-5.9405940594059407E-3</v>
      </c>
      <c r="EJ321" s="1">
        <f>(Table1[[#This Row],[predicted_4]]-Table1[[#This Row],[actual_4]])/Table1[[#This Row],[actual_4]]</f>
        <v>-4.0733197556008143E-3</v>
      </c>
      <c r="EK321" s="1">
        <f>(Table1[[#This Row],[predicted_5]]-Table1[[#This Row],[actual_5]])/Table1[[#This Row],[actual_5]]</f>
        <v>5.6053811659192827E-2</v>
      </c>
      <c r="EL321" s="1">
        <f>(Table1[[#This Row],[predicted_6]]-Table1[[#This Row],[actual_6]])/Table1[[#This Row],[actual_6]]</f>
        <v>-5.5323590814196244E-2</v>
      </c>
      <c r="EM321" s="1">
        <f>(Table1[[#This Row],[predicted_7]]-Table1[[#This Row],[actual_7]])/Table1[[#This Row],[actual_7]]</f>
        <v>3.6964980544747082E-2</v>
      </c>
      <c r="EN321" s="1">
        <f>(Table1[[#This Row],[predicted_8]]-Table1[[#This Row],[actual_8]])/Table1[[#This Row],[actual_8]]</f>
        <v>-7.0841889117043116E-2</v>
      </c>
      <c r="EO321" s="1">
        <f>(Table1[[#This Row],[predicted_9]]-Table1[[#This Row],[actual_9]])/Table1[[#This Row],[actual_9]]</f>
        <v>-9.9108027750247768E-4</v>
      </c>
      <c r="EP321" s="1">
        <f>1+(Table1[[#This Row],[error_ratio_0]]-EF$2)</f>
        <v>1.0642857142857143</v>
      </c>
      <c r="EQ321" s="1">
        <f>1+(Table1[[#This Row],[error_ratio_1]]-EG$2)</f>
        <v>1.0343612334801762</v>
      </c>
      <c r="ER321" s="1">
        <f>1+(Table1[[#This Row],[error_ratio_2]]-EH$2)</f>
        <v>0.94573643410852715</v>
      </c>
      <c r="ES321" s="1">
        <f>1+(Table1[[#This Row],[error_ratio_3]]-EI$2)</f>
        <v>0.98415841584158414</v>
      </c>
      <c r="ET321" s="1">
        <f>1+(Table1[[#This Row],[error_ratio_4]]-EJ$2)</f>
        <v>0.99490835030549896</v>
      </c>
      <c r="EU321" s="1">
        <f>1+(Table1[[#This Row],[error_ratio_5]]-EK$2)</f>
        <v>1.054932735426009</v>
      </c>
      <c r="EV321" s="1">
        <f>1+(Table1[[#This Row],[error_ratio_6]]-EL$2)</f>
        <v>0.95093945720250517</v>
      </c>
      <c r="EW321" s="1">
        <f>1+(Table1[[#This Row],[error_ratio_7]]-EM$2)</f>
        <v>1.0350194552529184</v>
      </c>
      <c r="EX321" s="1">
        <f>1+(Table1[[#This Row],[error_ratio_8]]-EN$2)</f>
        <v>0.93223819301848054</v>
      </c>
      <c r="EY321" s="1">
        <f>1+(Table1[[#This Row],[error_ratio_9]]-EO$2)</f>
        <v>1.0029732408325074</v>
      </c>
    </row>
    <row r="322" spans="1:155" x14ac:dyDescent="0.75">
      <c r="A322">
        <v>10</v>
      </c>
      <c r="B322">
        <v>100</v>
      </c>
      <c r="C322">
        <v>10</v>
      </c>
      <c r="D322">
        <v>10</v>
      </c>
      <c r="E322">
        <v>10</v>
      </c>
      <c r="F322">
        <v>100</v>
      </c>
      <c r="G322">
        <v>10</v>
      </c>
      <c r="H322">
        <v>100</v>
      </c>
      <c r="I322">
        <v>10</v>
      </c>
      <c r="J322">
        <v>100</v>
      </c>
      <c r="K322">
        <v>1002</v>
      </c>
      <c r="L322">
        <v>1317</v>
      </c>
      <c r="M322">
        <v>887</v>
      </c>
      <c r="N322">
        <v>958</v>
      </c>
      <c r="O322">
        <v>915</v>
      </c>
      <c r="P322">
        <v>915</v>
      </c>
      <c r="Q322">
        <v>932</v>
      </c>
      <c r="R322">
        <v>1115</v>
      </c>
      <c r="S322">
        <v>789</v>
      </c>
      <c r="T322">
        <v>1170</v>
      </c>
      <c r="U322">
        <v>980</v>
      </c>
      <c r="V322">
        <v>1135</v>
      </c>
      <c r="W322">
        <v>1032</v>
      </c>
      <c r="X322">
        <v>1010</v>
      </c>
      <c r="Y322">
        <v>982</v>
      </c>
      <c r="Z322">
        <v>892</v>
      </c>
      <c r="AA322">
        <v>958</v>
      </c>
      <c r="AB322">
        <v>1028</v>
      </c>
      <c r="AC322">
        <v>974</v>
      </c>
      <c r="AD322">
        <v>1009</v>
      </c>
      <c r="AE322">
        <v>944</v>
      </c>
      <c r="AF322">
        <v>12</v>
      </c>
      <c r="AG322">
        <v>0</v>
      </c>
      <c r="AH322">
        <v>1</v>
      </c>
      <c r="AI322">
        <v>1</v>
      </c>
      <c r="AJ322">
        <v>0</v>
      </c>
      <c r="AK322">
        <v>11</v>
      </c>
      <c r="AL322">
        <v>4</v>
      </c>
      <c r="AM322">
        <v>0</v>
      </c>
      <c r="AN322">
        <v>7</v>
      </c>
      <c r="AO322">
        <v>0</v>
      </c>
      <c r="AP322">
        <v>1135</v>
      </c>
      <c r="AQ322">
        <v>0</v>
      </c>
      <c r="AR322">
        <v>0</v>
      </c>
      <c r="AS322">
        <v>0</v>
      </c>
      <c r="AT322">
        <v>0</v>
      </c>
      <c r="AU322">
        <v>0</v>
      </c>
      <c r="AV322">
        <v>0</v>
      </c>
      <c r="AW322">
        <v>0</v>
      </c>
      <c r="AX322">
        <v>0</v>
      </c>
      <c r="AY322">
        <v>8</v>
      </c>
      <c r="AZ322">
        <v>72</v>
      </c>
      <c r="BA322">
        <v>860</v>
      </c>
      <c r="BB322">
        <v>1</v>
      </c>
      <c r="BC322">
        <v>3</v>
      </c>
      <c r="BD322">
        <v>0</v>
      </c>
      <c r="BE322">
        <v>3</v>
      </c>
      <c r="BF322">
        <v>80</v>
      </c>
      <c r="BG322">
        <v>0</v>
      </c>
      <c r="BH322">
        <v>5</v>
      </c>
      <c r="BI322">
        <v>5</v>
      </c>
      <c r="BJ322">
        <v>2</v>
      </c>
      <c r="BK322">
        <v>3</v>
      </c>
      <c r="BL322">
        <v>949</v>
      </c>
      <c r="BM322">
        <v>0</v>
      </c>
      <c r="BN322">
        <v>27</v>
      </c>
      <c r="BO322">
        <v>0</v>
      </c>
      <c r="BP322">
        <v>7</v>
      </c>
      <c r="BQ322">
        <v>0</v>
      </c>
      <c r="BR322">
        <v>17</v>
      </c>
      <c r="BS322">
        <v>0</v>
      </c>
      <c r="BT322">
        <v>14</v>
      </c>
      <c r="BU322">
        <v>1</v>
      </c>
      <c r="BV322">
        <v>0</v>
      </c>
      <c r="BW322">
        <v>901</v>
      </c>
      <c r="BX322">
        <v>0</v>
      </c>
      <c r="BY322">
        <v>4</v>
      </c>
      <c r="BZ322">
        <v>2</v>
      </c>
      <c r="CA322">
        <v>0</v>
      </c>
      <c r="CB322">
        <v>60</v>
      </c>
      <c r="CC322">
        <v>4</v>
      </c>
      <c r="CD322">
        <v>5</v>
      </c>
      <c r="CE322">
        <v>0</v>
      </c>
      <c r="CF322">
        <v>2</v>
      </c>
      <c r="CG322">
        <v>0</v>
      </c>
      <c r="CH322">
        <v>871</v>
      </c>
      <c r="CI322">
        <v>1</v>
      </c>
      <c r="CJ322">
        <v>2</v>
      </c>
      <c r="CK322">
        <v>2</v>
      </c>
      <c r="CL322">
        <v>5</v>
      </c>
      <c r="CM322">
        <v>13</v>
      </c>
      <c r="CN322">
        <v>18</v>
      </c>
      <c r="CO322">
        <v>2</v>
      </c>
      <c r="CP322">
        <v>0</v>
      </c>
      <c r="CQ322">
        <v>5</v>
      </c>
      <c r="CR322">
        <v>7</v>
      </c>
      <c r="CS322">
        <v>911</v>
      </c>
      <c r="CT322">
        <v>0</v>
      </c>
      <c r="CU322">
        <v>0</v>
      </c>
      <c r="CV322">
        <v>2</v>
      </c>
      <c r="CW322">
        <v>0</v>
      </c>
      <c r="CX322">
        <v>16</v>
      </c>
      <c r="CY322">
        <v>0</v>
      </c>
      <c r="CZ322">
        <v>0</v>
      </c>
      <c r="DA322">
        <v>0</v>
      </c>
      <c r="DB322">
        <v>0</v>
      </c>
      <c r="DC322">
        <v>0</v>
      </c>
      <c r="DD322">
        <v>1002</v>
      </c>
      <c r="DE322">
        <v>0</v>
      </c>
      <c r="DF322">
        <v>10</v>
      </c>
      <c r="DG322">
        <v>24</v>
      </c>
      <c r="DH322">
        <v>40</v>
      </c>
      <c r="DI322">
        <v>21</v>
      </c>
      <c r="DJ322">
        <v>5</v>
      </c>
      <c r="DK322">
        <v>4</v>
      </c>
      <c r="DL322">
        <v>8</v>
      </c>
      <c r="DM322">
        <v>2</v>
      </c>
      <c r="DN322">
        <v>15</v>
      </c>
      <c r="DO322">
        <v>787</v>
      </c>
      <c r="DP322">
        <v>68</v>
      </c>
      <c r="DQ322">
        <v>4</v>
      </c>
      <c r="DR322">
        <v>3</v>
      </c>
      <c r="DS322">
        <v>0</v>
      </c>
      <c r="DT322">
        <v>0</v>
      </c>
      <c r="DU322">
        <v>1</v>
      </c>
      <c r="DV322">
        <v>2</v>
      </c>
      <c r="DW322">
        <v>0</v>
      </c>
      <c r="DX322">
        <v>3</v>
      </c>
      <c r="DY322">
        <v>0</v>
      </c>
      <c r="DZ322">
        <v>996</v>
      </c>
      <c r="EA322">
        <v>0.93559999999999999</v>
      </c>
      <c r="EB322">
        <v>0.94255703881154496</v>
      </c>
      <c r="EC322">
        <v>0.93509470722576005</v>
      </c>
      <c r="ED322">
        <v>0.93591647996995198</v>
      </c>
      <c r="EE322">
        <f>SUM(Table1[[#This Row],[ratio_0]:[ratio_9]])</f>
        <v>460</v>
      </c>
      <c r="EF322" s="1">
        <f>(Table1[[#This Row],[predicted_0]]-Table1[[#This Row],[actual_0]])/Table1[[#This Row],[actual_0]]</f>
        <v>2.2448979591836733E-2</v>
      </c>
      <c r="EG322" s="1">
        <f>(Table1[[#This Row],[predicted_1]]-Table1[[#This Row],[actual_1]])/Table1[[#This Row],[actual_1]]</f>
        <v>0.160352422907489</v>
      </c>
      <c r="EH322" s="1">
        <f>(Table1[[#This Row],[predicted_2]]-Table1[[#This Row],[actual_2]])/Table1[[#This Row],[actual_2]]</f>
        <v>-0.14050387596899225</v>
      </c>
      <c r="EI322" s="1">
        <f>(Table1[[#This Row],[predicted_3]]-Table1[[#This Row],[actual_3]])/Table1[[#This Row],[actual_3]]</f>
        <v>-5.1485148514851482E-2</v>
      </c>
      <c r="EJ322" s="1">
        <f>(Table1[[#This Row],[predicted_4]]-Table1[[#This Row],[actual_4]])/Table1[[#This Row],[actual_4]]</f>
        <v>-6.8228105906313646E-2</v>
      </c>
      <c r="EK322" s="1">
        <f>(Table1[[#This Row],[predicted_5]]-Table1[[#This Row],[actual_5]])/Table1[[#This Row],[actual_5]]</f>
        <v>2.5784753363228701E-2</v>
      </c>
      <c r="EL322" s="1">
        <f>(Table1[[#This Row],[predicted_6]]-Table1[[#This Row],[actual_6]])/Table1[[#This Row],[actual_6]]</f>
        <v>-2.7139874739039668E-2</v>
      </c>
      <c r="EM322" s="1">
        <f>(Table1[[#This Row],[predicted_7]]-Table1[[#This Row],[actual_7]])/Table1[[#This Row],[actual_7]]</f>
        <v>8.4630350194552534E-2</v>
      </c>
      <c r="EN322" s="1">
        <f>(Table1[[#This Row],[predicted_8]]-Table1[[#This Row],[actual_8]])/Table1[[#This Row],[actual_8]]</f>
        <v>-0.18993839835728954</v>
      </c>
      <c r="EO322" s="1">
        <f>(Table1[[#This Row],[predicted_9]]-Table1[[#This Row],[actual_9]])/Table1[[#This Row],[actual_9]]</f>
        <v>0.1595639246778989</v>
      </c>
      <c r="EP322" s="1">
        <f>1+(Table1[[#This Row],[error_ratio_0]]-EF$2)</f>
        <v>1.0204081632653061</v>
      </c>
      <c r="EQ322" s="1">
        <f>1+(Table1[[#This Row],[error_ratio_1]]-EG$2)</f>
        <v>1.158590308370044</v>
      </c>
      <c r="ER322" s="1">
        <f>1+(Table1[[#This Row],[error_ratio_2]]-EH$2)</f>
        <v>0.86434108527131781</v>
      </c>
      <c r="ES322" s="1">
        <f>1+(Table1[[#This Row],[error_ratio_3]]-EI$2)</f>
        <v>0.93861386138613856</v>
      </c>
      <c r="ET322" s="1">
        <f>1+(Table1[[#This Row],[error_ratio_4]]-EJ$2)</f>
        <v>0.93075356415478616</v>
      </c>
      <c r="EU322" s="1">
        <f>1+(Table1[[#This Row],[error_ratio_5]]-EK$2)</f>
        <v>1.0246636771300448</v>
      </c>
      <c r="EV322" s="1">
        <f>1+(Table1[[#This Row],[error_ratio_6]]-EL$2)</f>
        <v>0.97912317327766174</v>
      </c>
      <c r="EW322" s="1">
        <f>1+(Table1[[#This Row],[error_ratio_7]]-EM$2)</f>
        <v>1.0826848249027237</v>
      </c>
      <c r="EX322" s="1">
        <f>1+(Table1[[#This Row],[error_ratio_8]]-EN$2)</f>
        <v>0.81314168377823404</v>
      </c>
      <c r="EY322" s="1">
        <f>1+(Table1[[#This Row],[error_ratio_9]]-EO$2)</f>
        <v>1.1635282457879088</v>
      </c>
    </row>
    <row r="323" spans="1:155" x14ac:dyDescent="0.75">
      <c r="A323">
        <v>100</v>
      </c>
      <c r="B323">
        <v>10</v>
      </c>
      <c r="C323">
        <v>10</v>
      </c>
      <c r="D323">
        <v>10</v>
      </c>
      <c r="E323">
        <v>10</v>
      </c>
      <c r="F323">
        <v>100</v>
      </c>
      <c r="G323">
        <v>10</v>
      </c>
      <c r="H323">
        <v>100</v>
      </c>
      <c r="I323">
        <v>10</v>
      </c>
      <c r="J323">
        <v>100</v>
      </c>
      <c r="K323">
        <v>1014</v>
      </c>
      <c r="L323">
        <v>1122</v>
      </c>
      <c r="M323">
        <v>942</v>
      </c>
      <c r="N323">
        <v>968</v>
      </c>
      <c r="O323">
        <v>868</v>
      </c>
      <c r="P323">
        <v>1073</v>
      </c>
      <c r="Q323">
        <v>899</v>
      </c>
      <c r="R323">
        <v>1123</v>
      </c>
      <c r="S323">
        <v>876</v>
      </c>
      <c r="T323">
        <v>1115</v>
      </c>
      <c r="U323">
        <v>980</v>
      </c>
      <c r="V323">
        <v>1135</v>
      </c>
      <c r="W323">
        <v>1032</v>
      </c>
      <c r="X323">
        <v>1010</v>
      </c>
      <c r="Y323">
        <v>982</v>
      </c>
      <c r="Z323">
        <v>892</v>
      </c>
      <c r="AA323">
        <v>958</v>
      </c>
      <c r="AB323">
        <v>1028</v>
      </c>
      <c r="AC323">
        <v>974</v>
      </c>
      <c r="AD323">
        <v>1009</v>
      </c>
      <c r="AE323">
        <v>964</v>
      </c>
      <c r="AF323">
        <v>0</v>
      </c>
      <c r="AG323">
        <v>0</v>
      </c>
      <c r="AH323">
        <v>0</v>
      </c>
      <c r="AI323">
        <v>0</v>
      </c>
      <c r="AJ323">
        <v>5</v>
      </c>
      <c r="AK323">
        <v>1</v>
      </c>
      <c r="AL323">
        <v>2</v>
      </c>
      <c r="AM323">
        <v>1</v>
      </c>
      <c r="AN323">
        <v>7</v>
      </c>
      <c r="AO323">
        <v>3</v>
      </c>
      <c r="AP323">
        <v>1115</v>
      </c>
      <c r="AQ323">
        <v>3</v>
      </c>
      <c r="AR323">
        <v>3</v>
      </c>
      <c r="AS323">
        <v>0</v>
      </c>
      <c r="AT323">
        <v>4</v>
      </c>
      <c r="AU323">
        <v>1</v>
      </c>
      <c r="AV323">
        <v>6</v>
      </c>
      <c r="AW323">
        <v>0</v>
      </c>
      <c r="AX323">
        <v>0</v>
      </c>
      <c r="AY323">
        <v>7</v>
      </c>
      <c r="AZ323">
        <v>1</v>
      </c>
      <c r="BA323">
        <v>918</v>
      </c>
      <c r="BB323">
        <v>21</v>
      </c>
      <c r="BC323">
        <v>1</v>
      </c>
      <c r="BD323">
        <v>3</v>
      </c>
      <c r="BE323">
        <v>2</v>
      </c>
      <c r="BF323">
        <v>69</v>
      </c>
      <c r="BG323">
        <v>3</v>
      </c>
      <c r="BH323">
        <v>7</v>
      </c>
      <c r="BI323">
        <v>1</v>
      </c>
      <c r="BJ323">
        <v>0</v>
      </c>
      <c r="BK323">
        <v>1</v>
      </c>
      <c r="BL323">
        <v>934</v>
      </c>
      <c r="BM323">
        <v>0</v>
      </c>
      <c r="BN323">
        <v>57</v>
      </c>
      <c r="BO323">
        <v>0</v>
      </c>
      <c r="BP323">
        <v>8</v>
      </c>
      <c r="BQ323">
        <v>2</v>
      </c>
      <c r="BR323">
        <v>7</v>
      </c>
      <c r="BS323">
        <v>3</v>
      </c>
      <c r="BT323">
        <v>1</v>
      </c>
      <c r="BU323">
        <v>3</v>
      </c>
      <c r="BV323">
        <v>0</v>
      </c>
      <c r="BW323">
        <v>859</v>
      </c>
      <c r="BX323">
        <v>1</v>
      </c>
      <c r="BY323">
        <v>4</v>
      </c>
      <c r="BZ323">
        <v>1</v>
      </c>
      <c r="CA323">
        <v>2</v>
      </c>
      <c r="CB323">
        <v>108</v>
      </c>
      <c r="CC323">
        <v>1</v>
      </c>
      <c r="CD323">
        <v>0</v>
      </c>
      <c r="CE323">
        <v>0</v>
      </c>
      <c r="CF323">
        <v>1</v>
      </c>
      <c r="CG323">
        <v>0</v>
      </c>
      <c r="CH323">
        <v>890</v>
      </c>
      <c r="CI323">
        <v>0</v>
      </c>
      <c r="CJ323">
        <v>0</v>
      </c>
      <c r="CK323">
        <v>0</v>
      </c>
      <c r="CL323">
        <v>0</v>
      </c>
      <c r="CM323">
        <v>16</v>
      </c>
      <c r="CN323">
        <v>3</v>
      </c>
      <c r="CO323">
        <v>1</v>
      </c>
      <c r="CP323">
        <v>0</v>
      </c>
      <c r="CQ323">
        <v>3</v>
      </c>
      <c r="CR323">
        <v>41</v>
      </c>
      <c r="CS323">
        <v>891</v>
      </c>
      <c r="CT323">
        <v>0</v>
      </c>
      <c r="CU323">
        <v>1</v>
      </c>
      <c r="CV323">
        <v>2</v>
      </c>
      <c r="CW323">
        <v>0</v>
      </c>
      <c r="CX323">
        <v>1</v>
      </c>
      <c r="CY323">
        <v>0</v>
      </c>
      <c r="CZ323">
        <v>1</v>
      </c>
      <c r="DA323">
        <v>0</v>
      </c>
      <c r="DB323">
        <v>1</v>
      </c>
      <c r="DC323">
        <v>0</v>
      </c>
      <c r="DD323">
        <v>1020</v>
      </c>
      <c r="DE323">
        <v>0</v>
      </c>
      <c r="DF323">
        <v>5</v>
      </c>
      <c r="DG323">
        <v>18</v>
      </c>
      <c r="DH323">
        <v>0</v>
      </c>
      <c r="DI323">
        <v>16</v>
      </c>
      <c r="DJ323">
        <v>7</v>
      </c>
      <c r="DK323">
        <v>2</v>
      </c>
      <c r="DL323">
        <v>43</v>
      </c>
      <c r="DM323">
        <v>0</v>
      </c>
      <c r="DN323">
        <v>14</v>
      </c>
      <c r="DO323">
        <v>866</v>
      </c>
      <c r="DP323">
        <v>8</v>
      </c>
      <c r="DQ323">
        <v>1</v>
      </c>
      <c r="DR323">
        <v>1</v>
      </c>
      <c r="DS323">
        <v>0</v>
      </c>
      <c r="DT323">
        <v>1</v>
      </c>
      <c r="DU323">
        <v>3</v>
      </c>
      <c r="DV323">
        <v>28</v>
      </c>
      <c r="DW323">
        <v>0</v>
      </c>
      <c r="DX323">
        <v>3</v>
      </c>
      <c r="DY323">
        <v>1</v>
      </c>
      <c r="DZ323">
        <v>971</v>
      </c>
      <c r="EA323">
        <v>0.94279999999999997</v>
      </c>
      <c r="EB323">
        <v>0.946175038391872</v>
      </c>
      <c r="EC323">
        <v>0.94265794699195704</v>
      </c>
      <c r="ED323">
        <v>0.94224556486201005</v>
      </c>
      <c r="EE323">
        <f>SUM(Table1[[#This Row],[ratio_0]:[ratio_9]])</f>
        <v>460</v>
      </c>
      <c r="EF323" s="1">
        <f>(Table1[[#This Row],[predicted_0]]-Table1[[#This Row],[actual_0]])/Table1[[#This Row],[actual_0]]</f>
        <v>3.4693877551020408E-2</v>
      </c>
      <c r="EG323" s="1">
        <f>(Table1[[#This Row],[predicted_1]]-Table1[[#This Row],[actual_1]])/Table1[[#This Row],[actual_1]]</f>
        <v>-1.145374449339207E-2</v>
      </c>
      <c r="EH323" s="1">
        <f>(Table1[[#This Row],[predicted_2]]-Table1[[#This Row],[actual_2]])/Table1[[#This Row],[actual_2]]</f>
        <v>-8.7209302325581398E-2</v>
      </c>
      <c r="EI323" s="1">
        <f>(Table1[[#This Row],[predicted_3]]-Table1[[#This Row],[actual_3]])/Table1[[#This Row],[actual_3]]</f>
        <v>-4.1584158415841586E-2</v>
      </c>
      <c r="EJ323" s="1">
        <f>(Table1[[#This Row],[predicted_4]]-Table1[[#This Row],[actual_4]])/Table1[[#This Row],[actual_4]]</f>
        <v>-0.11608961303462322</v>
      </c>
      <c r="EK323" s="1">
        <f>(Table1[[#This Row],[predicted_5]]-Table1[[#This Row],[actual_5]])/Table1[[#This Row],[actual_5]]</f>
        <v>0.20291479820627803</v>
      </c>
      <c r="EL323" s="1">
        <f>(Table1[[#This Row],[predicted_6]]-Table1[[#This Row],[actual_6]])/Table1[[#This Row],[actual_6]]</f>
        <v>-6.1586638830897704E-2</v>
      </c>
      <c r="EM323" s="1">
        <f>(Table1[[#This Row],[predicted_7]]-Table1[[#This Row],[actual_7]])/Table1[[#This Row],[actual_7]]</f>
        <v>9.2412451361867709E-2</v>
      </c>
      <c r="EN323" s="1">
        <f>(Table1[[#This Row],[predicted_8]]-Table1[[#This Row],[actual_8]])/Table1[[#This Row],[actual_8]]</f>
        <v>-0.10061601642710473</v>
      </c>
      <c r="EO323" s="1">
        <f>(Table1[[#This Row],[predicted_9]]-Table1[[#This Row],[actual_9]])/Table1[[#This Row],[actual_9]]</f>
        <v>0.10505450941526263</v>
      </c>
      <c r="EP323" s="1">
        <f>1+(Table1[[#This Row],[error_ratio_0]]-EF$2)</f>
        <v>1.0326530612244897</v>
      </c>
      <c r="EQ323" s="1">
        <f>1+(Table1[[#This Row],[error_ratio_1]]-EG$2)</f>
        <v>0.986784140969163</v>
      </c>
      <c r="ER323" s="1">
        <f>1+(Table1[[#This Row],[error_ratio_2]]-EH$2)</f>
        <v>0.91763565891472865</v>
      </c>
      <c r="ES323" s="1">
        <f>1+(Table1[[#This Row],[error_ratio_3]]-EI$2)</f>
        <v>0.94851485148514847</v>
      </c>
      <c r="ET323" s="1">
        <f>1+(Table1[[#This Row],[error_ratio_4]]-EJ$2)</f>
        <v>0.88289205702647655</v>
      </c>
      <c r="EU323" s="1">
        <f>1+(Table1[[#This Row],[error_ratio_5]]-EK$2)</f>
        <v>1.2017937219730941</v>
      </c>
      <c r="EV323" s="1">
        <f>1+(Table1[[#This Row],[error_ratio_6]]-EL$2)</f>
        <v>0.94467640918580376</v>
      </c>
      <c r="EW323" s="1">
        <f>1+(Table1[[#This Row],[error_ratio_7]]-EM$2)</f>
        <v>1.090466926070039</v>
      </c>
      <c r="EX323" s="1">
        <f>1+(Table1[[#This Row],[error_ratio_8]]-EN$2)</f>
        <v>0.90246406570841886</v>
      </c>
      <c r="EY323" s="1">
        <f>1+(Table1[[#This Row],[error_ratio_9]]-EO$2)</f>
        <v>1.1090188305252726</v>
      </c>
    </row>
    <row r="324" spans="1:155" x14ac:dyDescent="0.75">
      <c r="A324">
        <v>10</v>
      </c>
      <c r="B324">
        <v>10</v>
      </c>
      <c r="C324">
        <v>10</v>
      </c>
      <c r="D324">
        <v>10</v>
      </c>
      <c r="E324">
        <v>10</v>
      </c>
      <c r="F324">
        <v>100</v>
      </c>
      <c r="G324">
        <v>10</v>
      </c>
      <c r="H324">
        <v>100</v>
      </c>
      <c r="I324">
        <v>10</v>
      </c>
      <c r="J324">
        <v>100</v>
      </c>
      <c r="K324">
        <v>1001</v>
      </c>
      <c r="L324">
        <v>1153</v>
      </c>
      <c r="M324">
        <v>945</v>
      </c>
      <c r="N324">
        <v>983</v>
      </c>
      <c r="O324">
        <v>971</v>
      </c>
      <c r="P324">
        <v>909</v>
      </c>
      <c r="Q324">
        <v>972</v>
      </c>
      <c r="R324">
        <v>1123</v>
      </c>
      <c r="S324">
        <v>905</v>
      </c>
      <c r="T324">
        <v>1038</v>
      </c>
      <c r="U324">
        <v>980</v>
      </c>
      <c r="V324">
        <v>1135</v>
      </c>
      <c r="W324">
        <v>1032</v>
      </c>
      <c r="X324">
        <v>1010</v>
      </c>
      <c r="Y324">
        <v>982</v>
      </c>
      <c r="Z324">
        <v>892</v>
      </c>
      <c r="AA324">
        <v>958</v>
      </c>
      <c r="AB324">
        <v>1028</v>
      </c>
      <c r="AC324">
        <v>974</v>
      </c>
      <c r="AD324">
        <v>1009</v>
      </c>
      <c r="AE324">
        <v>961</v>
      </c>
      <c r="AF324">
        <v>1</v>
      </c>
      <c r="AG324">
        <v>0</v>
      </c>
      <c r="AH324">
        <v>0</v>
      </c>
      <c r="AI324">
        <v>0</v>
      </c>
      <c r="AJ324">
        <v>3</v>
      </c>
      <c r="AK324">
        <v>4</v>
      </c>
      <c r="AL324">
        <v>0</v>
      </c>
      <c r="AM324">
        <v>1</v>
      </c>
      <c r="AN324">
        <v>10</v>
      </c>
      <c r="AO324">
        <v>0</v>
      </c>
      <c r="AP324">
        <v>1126</v>
      </c>
      <c r="AQ324">
        <v>1</v>
      </c>
      <c r="AR324">
        <v>2</v>
      </c>
      <c r="AS324">
        <v>0</v>
      </c>
      <c r="AT324">
        <v>1</v>
      </c>
      <c r="AU324">
        <v>3</v>
      </c>
      <c r="AV324">
        <v>2</v>
      </c>
      <c r="AW324">
        <v>0</v>
      </c>
      <c r="AX324">
        <v>0</v>
      </c>
      <c r="AY324">
        <v>9</v>
      </c>
      <c r="AZ324">
        <v>7</v>
      </c>
      <c r="BA324">
        <v>936</v>
      </c>
      <c r="BB324">
        <v>6</v>
      </c>
      <c r="BC324">
        <v>2</v>
      </c>
      <c r="BD324">
        <v>0</v>
      </c>
      <c r="BE324">
        <v>5</v>
      </c>
      <c r="BF324">
        <v>66</v>
      </c>
      <c r="BG324">
        <v>0</v>
      </c>
      <c r="BH324">
        <v>1</v>
      </c>
      <c r="BI324">
        <v>2</v>
      </c>
      <c r="BJ324">
        <v>0</v>
      </c>
      <c r="BK324">
        <v>1</v>
      </c>
      <c r="BL324">
        <v>965</v>
      </c>
      <c r="BM324">
        <v>0</v>
      </c>
      <c r="BN324">
        <v>12</v>
      </c>
      <c r="BO324">
        <v>1</v>
      </c>
      <c r="BP324">
        <v>15</v>
      </c>
      <c r="BQ324">
        <v>4</v>
      </c>
      <c r="BR324">
        <v>10</v>
      </c>
      <c r="BS324">
        <v>1</v>
      </c>
      <c r="BT324">
        <v>2</v>
      </c>
      <c r="BU324">
        <v>1</v>
      </c>
      <c r="BV324">
        <v>0</v>
      </c>
      <c r="BW324">
        <v>951</v>
      </c>
      <c r="BX324">
        <v>0</v>
      </c>
      <c r="BY324">
        <v>13</v>
      </c>
      <c r="BZ324">
        <v>4</v>
      </c>
      <c r="CA324">
        <v>0</v>
      </c>
      <c r="CB324">
        <v>10</v>
      </c>
      <c r="CC324">
        <v>1</v>
      </c>
      <c r="CD324">
        <v>0</v>
      </c>
      <c r="CE324">
        <v>0</v>
      </c>
      <c r="CF324">
        <v>5</v>
      </c>
      <c r="CG324">
        <v>0</v>
      </c>
      <c r="CH324">
        <v>875</v>
      </c>
      <c r="CI324">
        <v>4</v>
      </c>
      <c r="CJ324">
        <v>1</v>
      </c>
      <c r="CK324">
        <v>1</v>
      </c>
      <c r="CL324">
        <v>5</v>
      </c>
      <c r="CM324">
        <v>9</v>
      </c>
      <c r="CN324">
        <v>3</v>
      </c>
      <c r="CO324">
        <v>0</v>
      </c>
      <c r="CP324">
        <v>0</v>
      </c>
      <c r="CQ324">
        <v>2</v>
      </c>
      <c r="CR324">
        <v>10</v>
      </c>
      <c r="CS324">
        <v>934</v>
      </c>
      <c r="CT324">
        <v>0</v>
      </c>
      <c r="CU324">
        <v>0</v>
      </c>
      <c r="CV324">
        <v>0</v>
      </c>
      <c r="CW324">
        <v>1</v>
      </c>
      <c r="CX324">
        <v>3</v>
      </c>
      <c r="CY324">
        <v>0</v>
      </c>
      <c r="CZ324">
        <v>0</v>
      </c>
      <c r="DA324">
        <v>0</v>
      </c>
      <c r="DB324">
        <v>1</v>
      </c>
      <c r="DC324">
        <v>0</v>
      </c>
      <c r="DD324">
        <v>1018</v>
      </c>
      <c r="DE324">
        <v>0</v>
      </c>
      <c r="DF324">
        <v>5</v>
      </c>
      <c r="DG324">
        <v>12</v>
      </c>
      <c r="DH324">
        <v>8</v>
      </c>
      <c r="DI324">
        <v>6</v>
      </c>
      <c r="DJ324">
        <v>4</v>
      </c>
      <c r="DK324">
        <v>2</v>
      </c>
      <c r="DL324">
        <v>6</v>
      </c>
      <c r="DM324">
        <v>7</v>
      </c>
      <c r="DN324">
        <v>15</v>
      </c>
      <c r="DO324">
        <v>899</v>
      </c>
      <c r="DP324">
        <v>15</v>
      </c>
      <c r="DQ324">
        <v>5</v>
      </c>
      <c r="DR324">
        <v>3</v>
      </c>
      <c r="DS324">
        <v>0</v>
      </c>
      <c r="DT324">
        <v>1</v>
      </c>
      <c r="DU324">
        <v>14</v>
      </c>
      <c r="DV324">
        <v>1</v>
      </c>
      <c r="DW324">
        <v>1</v>
      </c>
      <c r="DX324">
        <v>2</v>
      </c>
      <c r="DY324">
        <v>0</v>
      </c>
      <c r="DZ324">
        <v>982</v>
      </c>
      <c r="EA324">
        <v>0.9647</v>
      </c>
      <c r="EB324">
        <v>0.96576126803525897</v>
      </c>
      <c r="EC324">
        <v>0.96459374547433197</v>
      </c>
      <c r="ED324">
        <v>0.96460870765911999</v>
      </c>
      <c r="EE324">
        <f>SUM(Table1[[#This Row],[ratio_0]:[ratio_9]])</f>
        <v>370</v>
      </c>
      <c r="EF324" s="1">
        <f>(Table1[[#This Row],[predicted_0]]-Table1[[#This Row],[actual_0]])/Table1[[#This Row],[actual_0]]</f>
        <v>2.1428571428571429E-2</v>
      </c>
      <c r="EG324" s="1">
        <f>(Table1[[#This Row],[predicted_1]]-Table1[[#This Row],[actual_1]])/Table1[[#This Row],[actual_1]]</f>
        <v>1.5859030837004406E-2</v>
      </c>
      <c r="EH324" s="1">
        <f>(Table1[[#This Row],[predicted_2]]-Table1[[#This Row],[actual_2]])/Table1[[#This Row],[actual_2]]</f>
        <v>-8.4302325581395346E-2</v>
      </c>
      <c r="EI324" s="1">
        <f>(Table1[[#This Row],[predicted_3]]-Table1[[#This Row],[actual_3]])/Table1[[#This Row],[actual_3]]</f>
        <v>-2.6732673267326732E-2</v>
      </c>
      <c r="EJ324" s="1">
        <f>(Table1[[#This Row],[predicted_4]]-Table1[[#This Row],[actual_4]])/Table1[[#This Row],[actual_4]]</f>
        <v>-1.1201629327902239E-2</v>
      </c>
      <c r="EK324" s="1">
        <f>(Table1[[#This Row],[predicted_5]]-Table1[[#This Row],[actual_5]])/Table1[[#This Row],[actual_5]]</f>
        <v>1.905829596412556E-2</v>
      </c>
      <c r="EL324" s="1">
        <f>(Table1[[#This Row],[predicted_6]]-Table1[[#This Row],[actual_6]])/Table1[[#This Row],[actual_6]]</f>
        <v>1.4613778705636743E-2</v>
      </c>
      <c r="EM324" s="1">
        <f>(Table1[[#This Row],[predicted_7]]-Table1[[#This Row],[actual_7]])/Table1[[#This Row],[actual_7]]</f>
        <v>9.2412451361867709E-2</v>
      </c>
      <c r="EN324" s="1">
        <f>(Table1[[#This Row],[predicted_8]]-Table1[[#This Row],[actual_8]])/Table1[[#This Row],[actual_8]]</f>
        <v>-7.0841889117043116E-2</v>
      </c>
      <c r="EO324" s="1">
        <f>(Table1[[#This Row],[predicted_9]]-Table1[[#This Row],[actual_9]])/Table1[[#This Row],[actual_9]]</f>
        <v>2.8741328047571853E-2</v>
      </c>
      <c r="EP324" s="1">
        <f>1+(Table1[[#This Row],[error_ratio_0]]-EF$2)</f>
        <v>1.0193877551020407</v>
      </c>
      <c r="EQ324" s="1">
        <f>1+(Table1[[#This Row],[error_ratio_1]]-EG$2)</f>
        <v>1.0140969162995594</v>
      </c>
      <c r="ER324" s="1">
        <f>1+(Table1[[#This Row],[error_ratio_2]]-EH$2)</f>
        <v>0.9205426356589147</v>
      </c>
      <c r="ES324" s="1">
        <f>1+(Table1[[#This Row],[error_ratio_3]]-EI$2)</f>
        <v>0.96336633663366333</v>
      </c>
      <c r="ET324" s="1">
        <f>1+(Table1[[#This Row],[error_ratio_4]]-EJ$2)</f>
        <v>0.98778004073319758</v>
      </c>
      <c r="EU324" s="1">
        <f>1+(Table1[[#This Row],[error_ratio_5]]-EK$2)</f>
        <v>1.0179372197309418</v>
      </c>
      <c r="EV324" s="1">
        <f>1+(Table1[[#This Row],[error_ratio_6]]-EL$2)</f>
        <v>1.0208768267223383</v>
      </c>
      <c r="EW324" s="1">
        <f>1+(Table1[[#This Row],[error_ratio_7]]-EM$2)</f>
        <v>1.090466926070039</v>
      </c>
      <c r="EX324" s="1">
        <f>1+(Table1[[#This Row],[error_ratio_8]]-EN$2)</f>
        <v>0.93223819301848054</v>
      </c>
      <c r="EY324" s="1">
        <f>1+(Table1[[#This Row],[error_ratio_9]]-EO$2)</f>
        <v>1.0327056491575817</v>
      </c>
    </row>
    <row r="325" spans="1:155" x14ac:dyDescent="0.75">
      <c r="A325">
        <v>100</v>
      </c>
      <c r="B325">
        <v>100</v>
      </c>
      <c r="C325">
        <v>100</v>
      </c>
      <c r="D325">
        <v>100</v>
      </c>
      <c r="E325">
        <v>100</v>
      </c>
      <c r="F325">
        <v>10</v>
      </c>
      <c r="G325">
        <v>10</v>
      </c>
      <c r="H325">
        <v>100</v>
      </c>
      <c r="I325">
        <v>10</v>
      </c>
      <c r="J325">
        <v>100</v>
      </c>
      <c r="K325">
        <v>971</v>
      </c>
      <c r="L325">
        <v>1153</v>
      </c>
      <c r="M325">
        <v>1063</v>
      </c>
      <c r="N325">
        <v>1060</v>
      </c>
      <c r="O325">
        <v>1005</v>
      </c>
      <c r="P325">
        <v>869</v>
      </c>
      <c r="Q325">
        <v>912</v>
      </c>
      <c r="R325">
        <v>1027</v>
      </c>
      <c r="S325">
        <v>863</v>
      </c>
      <c r="T325">
        <v>1077</v>
      </c>
      <c r="U325">
        <v>980</v>
      </c>
      <c r="V325">
        <v>1135</v>
      </c>
      <c r="W325">
        <v>1032</v>
      </c>
      <c r="X325">
        <v>1010</v>
      </c>
      <c r="Y325">
        <v>982</v>
      </c>
      <c r="Z325">
        <v>892</v>
      </c>
      <c r="AA325">
        <v>958</v>
      </c>
      <c r="AB325">
        <v>1028</v>
      </c>
      <c r="AC325">
        <v>974</v>
      </c>
      <c r="AD325">
        <v>1009</v>
      </c>
      <c r="AE325">
        <v>955</v>
      </c>
      <c r="AF325">
        <v>1</v>
      </c>
      <c r="AG325">
        <v>1</v>
      </c>
      <c r="AH325">
        <v>0</v>
      </c>
      <c r="AI325">
        <v>3</v>
      </c>
      <c r="AJ325">
        <v>2</v>
      </c>
      <c r="AK325">
        <v>2</v>
      </c>
      <c r="AL325">
        <v>2</v>
      </c>
      <c r="AM325">
        <v>0</v>
      </c>
      <c r="AN325">
        <v>14</v>
      </c>
      <c r="AO325">
        <v>0</v>
      </c>
      <c r="AP325">
        <v>1133</v>
      </c>
      <c r="AQ325">
        <v>1</v>
      </c>
      <c r="AR325">
        <v>1</v>
      </c>
      <c r="AS325">
        <v>0</v>
      </c>
      <c r="AT325">
        <v>0</v>
      </c>
      <c r="AU325">
        <v>0</v>
      </c>
      <c r="AV325">
        <v>0</v>
      </c>
      <c r="AW325">
        <v>0</v>
      </c>
      <c r="AX325">
        <v>0</v>
      </c>
      <c r="AY325">
        <v>0</v>
      </c>
      <c r="AZ325">
        <v>2</v>
      </c>
      <c r="BA325">
        <v>1020</v>
      </c>
      <c r="BB325">
        <v>1</v>
      </c>
      <c r="BC325">
        <v>0</v>
      </c>
      <c r="BD325">
        <v>0</v>
      </c>
      <c r="BE325">
        <v>0</v>
      </c>
      <c r="BF325">
        <v>8</v>
      </c>
      <c r="BG325">
        <v>0</v>
      </c>
      <c r="BH325">
        <v>1</v>
      </c>
      <c r="BI325">
        <v>1</v>
      </c>
      <c r="BJ325">
        <v>0</v>
      </c>
      <c r="BK325">
        <v>2</v>
      </c>
      <c r="BL325">
        <v>1005</v>
      </c>
      <c r="BM325">
        <v>0</v>
      </c>
      <c r="BN325">
        <v>0</v>
      </c>
      <c r="BO325">
        <v>0</v>
      </c>
      <c r="BP325">
        <v>1</v>
      </c>
      <c r="BQ325">
        <v>0</v>
      </c>
      <c r="BR325">
        <v>1</v>
      </c>
      <c r="BS325">
        <v>0</v>
      </c>
      <c r="BT325">
        <v>0</v>
      </c>
      <c r="BU325">
        <v>2</v>
      </c>
      <c r="BV325">
        <v>0</v>
      </c>
      <c r="BW325">
        <v>976</v>
      </c>
      <c r="BX325">
        <v>0</v>
      </c>
      <c r="BY325">
        <v>0</v>
      </c>
      <c r="BZ325">
        <v>1</v>
      </c>
      <c r="CA325">
        <v>0</v>
      </c>
      <c r="CB325">
        <v>3</v>
      </c>
      <c r="CC325">
        <v>2</v>
      </c>
      <c r="CD325">
        <v>0</v>
      </c>
      <c r="CE325">
        <v>1</v>
      </c>
      <c r="CF325">
        <v>27</v>
      </c>
      <c r="CG325">
        <v>1</v>
      </c>
      <c r="CH325">
        <v>845</v>
      </c>
      <c r="CI325">
        <v>2</v>
      </c>
      <c r="CJ325">
        <v>1</v>
      </c>
      <c r="CK325">
        <v>2</v>
      </c>
      <c r="CL325">
        <v>11</v>
      </c>
      <c r="CM325">
        <v>9</v>
      </c>
      <c r="CN325">
        <v>7</v>
      </c>
      <c r="CO325">
        <v>2</v>
      </c>
      <c r="CP325">
        <v>1</v>
      </c>
      <c r="CQ325">
        <v>14</v>
      </c>
      <c r="CR325">
        <v>17</v>
      </c>
      <c r="CS325">
        <v>907</v>
      </c>
      <c r="CT325">
        <v>0</v>
      </c>
      <c r="CU325">
        <v>1</v>
      </c>
      <c r="CV325">
        <v>0</v>
      </c>
      <c r="CW325">
        <v>0</v>
      </c>
      <c r="CX325">
        <v>6</v>
      </c>
      <c r="CY325">
        <v>6</v>
      </c>
      <c r="CZ325">
        <v>2</v>
      </c>
      <c r="DA325">
        <v>0</v>
      </c>
      <c r="DB325">
        <v>0</v>
      </c>
      <c r="DC325">
        <v>0</v>
      </c>
      <c r="DD325">
        <v>1004</v>
      </c>
      <c r="DE325">
        <v>0</v>
      </c>
      <c r="DF325">
        <v>10</v>
      </c>
      <c r="DG325">
        <v>4</v>
      </c>
      <c r="DH325">
        <v>2</v>
      </c>
      <c r="DI325">
        <v>28</v>
      </c>
      <c r="DJ325">
        <v>20</v>
      </c>
      <c r="DK325">
        <v>7</v>
      </c>
      <c r="DL325">
        <v>4</v>
      </c>
      <c r="DM325">
        <v>0</v>
      </c>
      <c r="DN325">
        <v>9</v>
      </c>
      <c r="DO325">
        <v>860</v>
      </c>
      <c r="DP325">
        <v>40</v>
      </c>
      <c r="DQ325">
        <v>0</v>
      </c>
      <c r="DR325">
        <v>2</v>
      </c>
      <c r="DS325">
        <v>0</v>
      </c>
      <c r="DT325">
        <v>3</v>
      </c>
      <c r="DU325">
        <v>4</v>
      </c>
      <c r="DV325">
        <v>1</v>
      </c>
      <c r="DW325">
        <v>1</v>
      </c>
      <c r="DX325">
        <v>1</v>
      </c>
      <c r="DY325">
        <v>0</v>
      </c>
      <c r="DZ325">
        <v>997</v>
      </c>
      <c r="EA325">
        <v>0.97019999999999995</v>
      </c>
      <c r="EB325">
        <v>0.971172963409349</v>
      </c>
      <c r="EC325">
        <v>0.96918304206377903</v>
      </c>
      <c r="ED325">
        <v>0.96955868473544804</v>
      </c>
      <c r="EE325">
        <f>SUM(Table1[[#This Row],[ratio_0]:[ratio_9]])</f>
        <v>730</v>
      </c>
      <c r="EF325" s="1">
        <f>(Table1[[#This Row],[predicted_0]]-Table1[[#This Row],[actual_0]])/Table1[[#This Row],[actual_0]]</f>
        <v>-9.1836734693877559E-3</v>
      </c>
      <c r="EG325" s="1">
        <f>(Table1[[#This Row],[predicted_1]]-Table1[[#This Row],[actual_1]])/Table1[[#This Row],[actual_1]]</f>
        <v>1.5859030837004406E-2</v>
      </c>
      <c r="EH325" s="1">
        <f>(Table1[[#This Row],[predicted_2]]-Table1[[#This Row],[actual_2]])/Table1[[#This Row],[actual_2]]</f>
        <v>3.0038759689922482E-2</v>
      </c>
      <c r="EI325" s="1">
        <f>(Table1[[#This Row],[predicted_3]]-Table1[[#This Row],[actual_3]])/Table1[[#This Row],[actual_3]]</f>
        <v>4.9504950495049507E-2</v>
      </c>
      <c r="EJ325" s="1">
        <f>(Table1[[#This Row],[predicted_4]]-Table1[[#This Row],[actual_4]])/Table1[[#This Row],[actual_4]]</f>
        <v>2.3421588594704685E-2</v>
      </c>
      <c r="EK325" s="1">
        <f>(Table1[[#This Row],[predicted_5]]-Table1[[#This Row],[actual_5]])/Table1[[#This Row],[actual_5]]</f>
        <v>-2.5784753363228701E-2</v>
      </c>
      <c r="EL325" s="1">
        <f>(Table1[[#This Row],[predicted_6]]-Table1[[#This Row],[actual_6]])/Table1[[#This Row],[actual_6]]</f>
        <v>-4.8016701461377868E-2</v>
      </c>
      <c r="EM325" s="1">
        <f>(Table1[[#This Row],[predicted_7]]-Table1[[#This Row],[actual_7]])/Table1[[#This Row],[actual_7]]</f>
        <v>-9.727626459143969E-4</v>
      </c>
      <c r="EN325" s="1">
        <f>(Table1[[#This Row],[predicted_8]]-Table1[[#This Row],[actual_8]])/Table1[[#This Row],[actual_8]]</f>
        <v>-0.11396303901437371</v>
      </c>
      <c r="EO325" s="1">
        <f>(Table1[[#This Row],[predicted_9]]-Table1[[#This Row],[actual_9]])/Table1[[#This Row],[actual_9]]</f>
        <v>6.7393458870168482E-2</v>
      </c>
      <c r="EP325" s="1">
        <f>1+(Table1[[#This Row],[error_ratio_0]]-EF$2)</f>
        <v>0.98877551020408161</v>
      </c>
      <c r="EQ325" s="1">
        <f>1+(Table1[[#This Row],[error_ratio_1]]-EG$2)</f>
        <v>1.0140969162995594</v>
      </c>
      <c r="ER325" s="1">
        <f>1+(Table1[[#This Row],[error_ratio_2]]-EH$2)</f>
        <v>1.0348837209302326</v>
      </c>
      <c r="ES325" s="1">
        <f>1+(Table1[[#This Row],[error_ratio_3]]-EI$2)</f>
        <v>1.0396039603960396</v>
      </c>
      <c r="ET325" s="1">
        <f>1+(Table1[[#This Row],[error_ratio_4]]-EJ$2)</f>
        <v>1.0224032586558045</v>
      </c>
      <c r="EU325" s="1">
        <f>1+(Table1[[#This Row],[error_ratio_5]]-EK$2)</f>
        <v>0.97309417040358748</v>
      </c>
      <c r="EV325" s="1">
        <f>1+(Table1[[#This Row],[error_ratio_6]]-EL$2)</f>
        <v>0.95824634655532359</v>
      </c>
      <c r="EW325" s="1">
        <f>1+(Table1[[#This Row],[error_ratio_7]]-EM$2)</f>
        <v>0.99708171206225682</v>
      </c>
      <c r="EX325" s="1">
        <f>1+(Table1[[#This Row],[error_ratio_8]]-EN$2)</f>
        <v>0.88911704312114992</v>
      </c>
      <c r="EY325" s="1">
        <f>1+(Table1[[#This Row],[error_ratio_9]]-EO$2)</f>
        <v>1.0713577799801783</v>
      </c>
    </row>
    <row r="326" spans="1:155" x14ac:dyDescent="0.75">
      <c r="A326">
        <v>10</v>
      </c>
      <c r="B326">
        <v>100</v>
      </c>
      <c r="C326">
        <v>100</v>
      </c>
      <c r="D326">
        <v>100</v>
      </c>
      <c r="E326">
        <v>100</v>
      </c>
      <c r="F326">
        <v>10</v>
      </c>
      <c r="G326">
        <v>10</v>
      </c>
      <c r="H326">
        <v>100</v>
      </c>
      <c r="I326">
        <v>10</v>
      </c>
      <c r="J326">
        <v>100</v>
      </c>
      <c r="K326">
        <v>1007</v>
      </c>
      <c r="L326">
        <v>1159</v>
      </c>
      <c r="M326">
        <v>1011</v>
      </c>
      <c r="N326">
        <v>1052</v>
      </c>
      <c r="O326">
        <v>999</v>
      </c>
      <c r="P326">
        <v>874</v>
      </c>
      <c r="Q326">
        <v>919</v>
      </c>
      <c r="R326">
        <v>1056</v>
      </c>
      <c r="S326">
        <v>928</v>
      </c>
      <c r="T326">
        <v>995</v>
      </c>
      <c r="U326">
        <v>980</v>
      </c>
      <c r="V326">
        <v>1135</v>
      </c>
      <c r="W326">
        <v>1032</v>
      </c>
      <c r="X326">
        <v>1010</v>
      </c>
      <c r="Y326">
        <v>982</v>
      </c>
      <c r="Z326">
        <v>892</v>
      </c>
      <c r="AA326">
        <v>958</v>
      </c>
      <c r="AB326">
        <v>1028</v>
      </c>
      <c r="AC326">
        <v>974</v>
      </c>
      <c r="AD326">
        <v>1009</v>
      </c>
      <c r="AE326">
        <v>962</v>
      </c>
      <c r="AF326">
        <v>2</v>
      </c>
      <c r="AG326">
        <v>0</v>
      </c>
      <c r="AH326">
        <v>1</v>
      </c>
      <c r="AI326">
        <v>7</v>
      </c>
      <c r="AJ326">
        <v>0</v>
      </c>
      <c r="AK326">
        <v>1</v>
      </c>
      <c r="AL326">
        <v>3</v>
      </c>
      <c r="AM326">
        <v>1</v>
      </c>
      <c r="AN326">
        <v>3</v>
      </c>
      <c r="AO326">
        <v>0</v>
      </c>
      <c r="AP326">
        <v>1131</v>
      </c>
      <c r="AQ326">
        <v>0</v>
      </c>
      <c r="AR326">
        <v>2</v>
      </c>
      <c r="AS326">
        <v>0</v>
      </c>
      <c r="AT326">
        <v>0</v>
      </c>
      <c r="AU326">
        <v>0</v>
      </c>
      <c r="AV326">
        <v>2</v>
      </c>
      <c r="AW326">
        <v>0</v>
      </c>
      <c r="AX326">
        <v>0</v>
      </c>
      <c r="AY326">
        <v>3</v>
      </c>
      <c r="AZ326">
        <v>9</v>
      </c>
      <c r="BA326">
        <v>997</v>
      </c>
      <c r="BB326">
        <v>5</v>
      </c>
      <c r="BC326">
        <v>1</v>
      </c>
      <c r="BD326">
        <v>0</v>
      </c>
      <c r="BE326">
        <v>0</v>
      </c>
      <c r="BF326">
        <v>11</v>
      </c>
      <c r="BG326">
        <v>6</v>
      </c>
      <c r="BH326">
        <v>0</v>
      </c>
      <c r="BI326">
        <v>1</v>
      </c>
      <c r="BJ326">
        <v>0</v>
      </c>
      <c r="BK326">
        <v>1</v>
      </c>
      <c r="BL326">
        <v>1003</v>
      </c>
      <c r="BM326">
        <v>0</v>
      </c>
      <c r="BN326">
        <v>2</v>
      </c>
      <c r="BO326">
        <v>0</v>
      </c>
      <c r="BP326">
        <v>2</v>
      </c>
      <c r="BQ326">
        <v>0</v>
      </c>
      <c r="BR326">
        <v>1</v>
      </c>
      <c r="BS326">
        <v>0</v>
      </c>
      <c r="BT326">
        <v>2</v>
      </c>
      <c r="BU326">
        <v>3</v>
      </c>
      <c r="BV326">
        <v>0</v>
      </c>
      <c r="BW326">
        <v>970</v>
      </c>
      <c r="BX326">
        <v>0</v>
      </c>
      <c r="BY326">
        <v>0</v>
      </c>
      <c r="BZ326">
        <v>5</v>
      </c>
      <c r="CA326">
        <v>0</v>
      </c>
      <c r="CB326">
        <v>2</v>
      </c>
      <c r="CC326">
        <v>10</v>
      </c>
      <c r="CD326">
        <v>2</v>
      </c>
      <c r="CE326">
        <v>0</v>
      </c>
      <c r="CF326">
        <v>22</v>
      </c>
      <c r="CG326">
        <v>0</v>
      </c>
      <c r="CH326">
        <v>851</v>
      </c>
      <c r="CI326">
        <v>3</v>
      </c>
      <c r="CJ326">
        <v>3</v>
      </c>
      <c r="CK326">
        <v>1</v>
      </c>
      <c r="CL326">
        <v>0</v>
      </c>
      <c r="CM326">
        <v>16</v>
      </c>
      <c r="CN326">
        <v>7</v>
      </c>
      <c r="CO326">
        <v>3</v>
      </c>
      <c r="CP326">
        <v>1</v>
      </c>
      <c r="CQ326">
        <v>11</v>
      </c>
      <c r="CR326">
        <v>9</v>
      </c>
      <c r="CS326">
        <v>910</v>
      </c>
      <c r="CT326">
        <v>0</v>
      </c>
      <c r="CU326">
        <v>1</v>
      </c>
      <c r="CV326">
        <v>0</v>
      </c>
      <c r="CW326">
        <v>1</v>
      </c>
      <c r="CX326">
        <v>3</v>
      </c>
      <c r="CY326">
        <v>2</v>
      </c>
      <c r="CZ326">
        <v>2</v>
      </c>
      <c r="DA326">
        <v>0</v>
      </c>
      <c r="DB326">
        <v>0</v>
      </c>
      <c r="DC326">
        <v>0</v>
      </c>
      <c r="DD326">
        <v>1017</v>
      </c>
      <c r="DE326">
        <v>1</v>
      </c>
      <c r="DF326">
        <v>2</v>
      </c>
      <c r="DG326">
        <v>11</v>
      </c>
      <c r="DH326">
        <v>1</v>
      </c>
      <c r="DI326">
        <v>5</v>
      </c>
      <c r="DJ326">
        <v>15</v>
      </c>
      <c r="DK326">
        <v>4</v>
      </c>
      <c r="DL326">
        <v>6</v>
      </c>
      <c r="DM326">
        <v>4</v>
      </c>
      <c r="DN326">
        <v>7</v>
      </c>
      <c r="DO326">
        <v>918</v>
      </c>
      <c r="DP326">
        <v>3</v>
      </c>
      <c r="DQ326">
        <v>3</v>
      </c>
      <c r="DR326">
        <v>2</v>
      </c>
      <c r="DS326">
        <v>0</v>
      </c>
      <c r="DT326">
        <v>1</v>
      </c>
      <c r="DU326">
        <v>6</v>
      </c>
      <c r="DV326">
        <v>6</v>
      </c>
      <c r="DW326">
        <v>1</v>
      </c>
      <c r="DX326">
        <v>6</v>
      </c>
      <c r="DY326">
        <v>0</v>
      </c>
      <c r="DZ326">
        <v>984</v>
      </c>
      <c r="EA326">
        <v>0.97430000000000005</v>
      </c>
      <c r="EB326">
        <v>0.97468274017694301</v>
      </c>
      <c r="EC326">
        <v>0.97360022707015104</v>
      </c>
      <c r="ED326">
        <v>0.97392410152952702</v>
      </c>
      <c r="EE326">
        <f>SUM(Table1[[#This Row],[ratio_0]:[ratio_9]])</f>
        <v>640</v>
      </c>
      <c r="EF326" s="1">
        <f>(Table1[[#This Row],[predicted_0]]-Table1[[#This Row],[actual_0]])/Table1[[#This Row],[actual_0]]</f>
        <v>2.7551020408163266E-2</v>
      </c>
      <c r="EG326" s="1">
        <f>(Table1[[#This Row],[predicted_1]]-Table1[[#This Row],[actual_1]])/Table1[[#This Row],[actual_1]]</f>
        <v>2.1145374449339206E-2</v>
      </c>
      <c r="EH326" s="1">
        <f>(Table1[[#This Row],[predicted_2]]-Table1[[#This Row],[actual_2]])/Table1[[#This Row],[actual_2]]</f>
        <v>-2.0348837209302327E-2</v>
      </c>
      <c r="EI326" s="1">
        <f>(Table1[[#This Row],[predicted_3]]-Table1[[#This Row],[actual_3]])/Table1[[#This Row],[actual_3]]</f>
        <v>4.1584158415841586E-2</v>
      </c>
      <c r="EJ326" s="1">
        <f>(Table1[[#This Row],[predicted_4]]-Table1[[#This Row],[actual_4]])/Table1[[#This Row],[actual_4]]</f>
        <v>1.7311608961303463E-2</v>
      </c>
      <c r="EK326" s="1">
        <f>(Table1[[#This Row],[predicted_5]]-Table1[[#This Row],[actual_5]])/Table1[[#This Row],[actual_5]]</f>
        <v>-2.0179372197309416E-2</v>
      </c>
      <c r="EL326" s="1">
        <f>(Table1[[#This Row],[predicted_6]]-Table1[[#This Row],[actual_6]])/Table1[[#This Row],[actual_6]]</f>
        <v>-4.07098121085595E-2</v>
      </c>
      <c r="EM326" s="1">
        <f>(Table1[[#This Row],[predicted_7]]-Table1[[#This Row],[actual_7]])/Table1[[#This Row],[actual_7]]</f>
        <v>2.7237354085603113E-2</v>
      </c>
      <c r="EN326" s="1">
        <f>(Table1[[#This Row],[predicted_8]]-Table1[[#This Row],[actual_8]])/Table1[[#This Row],[actual_8]]</f>
        <v>-4.7227926078028747E-2</v>
      </c>
      <c r="EO326" s="1">
        <f>(Table1[[#This Row],[predicted_9]]-Table1[[#This Row],[actual_9]])/Table1[[#This Row],[actual_9]]</f>
        <v>-1.3875123885034688E-2</v>
      </c>
      <c r="EP326" s="1">
        <f>1+(Table1[[#This Row],[error_ratio_0]]-EF$2)</f>
        <v>1.0255102040816326</v>
      </c>
      <c r="EQ326" s="1">
        <f>1+(Table1[[#This Row],[error_ratio_1]]-EG$2)</f>
        <v>1.0193832599118944</v>
      </c>
      <c r="ER326" s="1">
        <f>1+(Table1[[#This Row],[error_ratio_2]]-EH$2)</f>
        <v>0.98449612403100772</v>
      </c>
      <c r="ES326" s="1">
        <f>1+(Table1[[#This Row],[error_ratio_3]]-EI$2)</f>
        <v>1.0316831683168317</v>
      </c>
      <c r="ET326" s="1">
        <f>1+(Table1[[#This Row],[error_ratio_4]]-EJ$2)</f>
        <v>1.0162932790224033</v>
      </c>
      <c r="EU326" s="1">
        <f>1+(Table1[[#This Row],[error_ratio_5]]-EK$2)</f>
        <v>0.97869955156950672</v>
      </c>
      <c r="EV326" s="1">
        <f>1+(Table1[[#This Row],[error_ratio_6]]-EL$2)</f>
        <v>0.96555323590814202</v>
      </c>
      <c r="EW326" s="1">
        <f>1+(Table1[[#This Row],[error_ratio_7]]-EM$2)</f>
        <v>1.0252918287937742</v>
      </c>
      <c r="EX326" s="1">
        <f>1+(Table1[[#This Row],[error_ratio_8]]-EN$2)</f>
        <v>0.95585215605749485</v>
      </c>
      <c r="EY326" s="1">
        <f>1+(Table1[[#This Row],[error_ratio_9]]-EO$2)</f>
        <v>0.99008919722497524</v>
      </c>
    </row>
    <row r="327" spans="1:155" x14ac:dyDescent="0.75">
      <c r="A327">
        <v>100</v>
      </c>
      <c r="B327">
        <v>10</v>
      </c>
      <c r="C327">
        <v>100</v>
      </c>
      <c r="D327">
        <v>100</v>
      </c>
      <c r="E327">
        <v>100</v>
      </c>
      <c r="F327">
        <v>10</v>
      </c>
      <c r="G327">
        <v>10</v>
      </c>
      <c r="H327">
        <v>100</v>
      </c>
      <c r="I327">
        <v>10</v>
      </c>
      <c r="J327">
        <v>100</v>
      </c>
      <c r="K327">
        <v>1015</v>
      </c>
      <c r="L327">
        <v>1129</v>
      </c>
      <c r="M327">
        <v>1062</v>
      </c>
      <c r="N327">
        <v>1050</v>
      </c>
      <c r="O327">
        <v>1006</v>
      </c>
      <c r="P327">
        <v>827</v>
      </c>
      <c r="Q327">
        <v>947</v>
      </c>
      <c r="R327">
        <v>1036</v>
      </c>
      <c r="S327">
        <v>939</v>
      </c>
      <c r="T327">
        <v>989</v>
      </c>
      <c r="U327">
        <v>980</v>
      </c>
      <c r="V327">
        <v>1135</v>
      </c>
      <c r="W327">
        <v>1032</v>
      </c>
      <c r="X327">
        <v>1010</v>
      </c>
      <c r="Y327">
        <v>982</v>
      </c>
      <c r="Z327">
        <v>892</v>
      </c>
      <c r="AA327">
        <v>958</v>
      </c>
      <c r="AB327">
        <v>1028</v>
      </c>
      <c r="AC327">
        <v>974</v>
      </c>
      <c r="AD327">
        <v>1009</v>
      </c>
      <c r="AE327">
        <v>975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2</v>
      </c>
      <c r="AM327">
        <v>2</v>
      </c>
      <c r="AN327">
        <v>1</v>
      </c>
      <c r="AO327">
        <v>0</v>
      </c>
      <c r="AP327">
        <v>1118</v>
      </c>
      <c r="AQ327">
        <v>8</v>
      </c>
      <c r="AR327">
        <v>3</v>
      </c>
      <c r="AS327">
        <v>1</v>
      </c>
      <c r="AT327">
        <v>0</v>
      </c>
      <c r="AU327">
        <v>1</v>
      </c>
      <c r="AV327">
        <v>1</v>
      </c>
      <c r="AW327">
        <v>3</v>
      </c>
      <c r="AX327">
        <v>0</v>
      </c>
      <c r="AY327">
        <v>1</v>
      </c>
      <c r="AZ327">
        <v>0</v>
      </c>
      <c r="BA327">
        <v>1024</v>
      </c>
      <c r="BB327">
        <v>0</v>
      </c>
      <c r="BC327">
        <v>1</v>
      </c>
      <c r="BD327">
        <v>0</v>
      </c>
      <c r="BE327">
        <v>1</v>
      </c>
      <c r="BF327">
        <v>5</v>
      </c>
      <c r="BG327">
        <v>0</v>
      </c>
      <c r="BH327">
        <v>0</v>
      </c>
      <c r="BI327">
        <v>1</v>
      </c>
      <c r="BJ327">
        <v>0</v>
      </c>
      <c r="BK327">
        <v>3</v>
      </c>
      <c r="BL327">
        <v>1004</v>
      </c>
      <c r="BM327">
        <v>0</v>
      </c>
      <c r="BN327">
        <v>2</v>
      </c>
      <c r="BO327">
        <v>0</v>
      </c>
      <c r="BP327">
        <v>0</v>
      </c>
      <c r="BQ327">
        <v>0</v>
      </c>
      <c r="BR327">
        <v>0</v>
      </c>
      <c r="BS327">
        <v>0</v>
      </c>
      <c r="BT327">
        <v>0</v>
      </c>
      <c r="BU327">
        <v>1</v>
      </c>
      <c r="BV327">
        <v>0</v>
      </c>
      <c r="BW327">
        <v>976</v>
      </c>
      <c r="BX327">
        <v>0</v>
      </c>
      <c r="BY327">
        <v>3</v>
      </c>
      <c r="BZ327">
        <v>0</v>
      </c>
      <c r="CA327">
        <v>0</v>
      </c>
      <c r="CB327">
        <v>2</v>
      </c>
      <c r="CC327">
        <v>7</v>
      </c>
      <c r="CD327">
        <v>0</v>
      </c>
      <c r="CE327">
        <v>2</v>
      </c>
      <c r="CF327">
        <v>25</v>
      </c>
      <c r="CG327">
        <v>0</v>
      </c>
      <c r="CH327">
        <v>820</v>
      </c>
      <c r="CI327">
        <v>10</v>
      </c>
      <c r="CJ327">
        <v>4</v>
      </c>
      <c r="CK327">
        <v>16</v>
      </c>
      <c r="CL327">
        <v>8</v>
      </c>
      <c r="CM327">
        <v>21</v>
      </c>
      <c r="CN327">
        <v>2</v>
      </c>
      <c r="CO327">
        <v>2</v>
      </c>
      <c r="CP327">
        <v>0</v>
      </c>
      <c r="CQ327">
        <v>4</v>
      </c>
      <c r="CR327">
        <v>0</v>
      </c>
      <c r="CS327">
        <v>928</v>
      </c>
      <c r="CT327">
        <v>0</v>
      </c>
      <c r="CU327">
        <v>1</v>
      </c>
      <c r="CV327">
        <v>0</v>
      </c>
      <c r="CW327">
        <v>0</v>
      </c>
      <c r="CX327">
        <v>4</v>
      </c>
      <c r="CY327">
        <v>6</v>
      </c>
      <c r="CZ327">
        <v>3</v>
      </c>
      <c r="DA327">
        <v>0</v>
      </c>
      <c r="DB327">
        <v>0</v>
      </c>
      <c r="DC327">
        <v>0</v>
      </c>
      <c r="DD327">
        <v>1015</v>
      </c>
      <c r="DE327">
        <v>0</v>
      </c>
      <c r="DF327">
        <v>0</v>
      </c>
      <c r="DG327">
        <v>8</v>
      </c>
      <c r="DH327">
        <v>3</v>
      </c>
      <c r="DI327">
        <v>16</v>
      </c>
      <c r="DJ327">
        <v>10</v>
      </c>
      <c r="DK327">
        <v>11</v>
      </c>
      <c r="DL327">
        <v>0</v>
      </c>
      <c r="DM327">
        <v>4</v>
      </c>
      <c r="DN327">
        <v>3</v>
      </c>
      <c r="DO327">
        <v>916</v>
      </c>
      <c r="DP327">
        <v>3</v>
      </c>
      <c r="DQ327">
        <v>2</v>
      </c>
      <c r="DR327">
        <v>2</v>
      </c>
      <c r="DS327">
        <v>0</v>
      </c>
      <c r="DT327">
        <v>5</v>
      </c>
      <c r="DU327">
        <v>13</v>
      </c>
      <c r="DV327">
        <v>5</v>
      </c>
      <c r="DW327">
        <v>0</v>
      </c>
      <c r="DX327">
        <v>6</v>
      </c>
      <c r="DY327">
        <v>1</v>
      </c>
      <c r="DZ327">
        <v>975</v>
      </c>
      <c r="EA327">
        <v>0.97509999999999997</v>
      </c>
      <c r="EB327">
        <v>0.97539880431737602</v>
      </c>
      <c r="EC327">
        <v>0.97421938466132496</v>
      </c>
      <c r="ED327">
        <v>0.974523972109262</v>
      </c>
      <c r="EE327">
        <f>SUM(Table1[[#This Row],[ratio_0]:[ratio_9]])</f>
        <v>640</v>
      </c>
      <c r="EF327" s="1">
        <f>(Table1[[#This Row],[predicted_0]]-Table1[[#This Row],[actual_0]])/Table1[[#This Row],[actual_0]]</f>
        <v>3.5714285714285712E-2</v>
      </c>
      <c r="EG327" s="1">
        <f>(Table1[[#This Row],[predicted_1]]-Table1[[#This Row],[actual_1]])/Table1[[#This Row],[actual_1]]</f>
        <v>-5.2863436123348016E-3</v>
      </c>
      <c r="EH327" s="1">
        <f>(Table1[[#This Row],[predicted_2]]-Table1[[#This Row],[actual_2]])/Table1[[#This Row],[actual_2]]</f>
        <v>2.9069767441860465E-2</v>
      </c>
      <c r="EI327" s="1">
        <f>(Table1[[#This Row],[predicted_3]]-Table1[[#This Row],[actual_3]])/Table1[[#This Row],[actual_3]]</f>
        <v>3.9603960396039604E-2</v>
      </c>
      <c r="EJ327" s="1">
        <f>(Table1[[#This Row],[predicted_4]]-Table1[[#This Row],[actual_4]])/Table1[[#This Row],[actual_4]]</f>
        <v>2.4439918533604887E-2</v>
      </c>
      <c r="EK327" s="1">
        <f>(Table1[[#This Row],[predicted_5]]-Table1[[#This Row],[actual_5]])/Table1[[#This Row],[actual_5]]</f>
        <v>-7.2869955156950675E-2</v>
      </c>
      <c r="EL327" s="1">
        <f>(Table1[[#This Row],[predicted_6]]-Table1[[#This Row],[actual_6]])/Table1[[#This Row],[actual_6]]</f>
        <v>-1.1482254697286013E-2</v>
      </c>
      <c r="EM327" s="1">
        <f>(Table1[[#This Row],[predicted_7]]-Table1[[#This Row],[actual_7]])/Table1[[#This Row],[actual_7]]</f>
        <v>7.7821011673151752E-3</v>
      </c>
      <c r="EN327" s="1">
        <f>(Table1[[#This Row],[predicted_8]]-Table1[[#This Row],[actual_8]])/Table1[[#This Row],[actual_8]]</f>
        <v>-3.5934291581108828E-2</v>
      </c>
      <c r="EO327" s="1">
        <f>(Table1[[#This Row],[predicted_9]]-Table1[[#This Row],[actual_9]])/Table1[[#This Row],[actual_9]]</f>
        <v>-1.9821605550049554E-2</v>
      </c>
      <c r="EP327" s="1">
        <f>1+(Table1[[#This Row],[error_ratio_0]]-EF$2)</f>
        <v>1.0336734693877552</v>
      </c>
      <c r="EQ327" s="1">
        <f>1+(Table1[[#This Row],[error_ratio_1]]-EG$2)</f>
        <v>0.99295154185022028</v>
      </c>
      <c r="ER327" s="1">
        <f>1+(Table1[[#This Row],[error_ratio_2]]-EH$2)</f>
        <v>1.0339147286821706</v>
      </c>
      <c r="ES327" s="1">
        <f>1+(Table1[[#This Row],[error_ratio_3]]-EI$2)</f>
        <v>1.0297029702970297</v>
      </c>
      <c r="ET327" s="1">
        <f>1+(Table1[[#This Row],[error_ratio_4]]-EJ$2)</f>
        <v>1.0234215885947047</v>
      </c>
      <c r="EU327" s="1">
        <f>1+(Table1[[#This Row],[error_ratio_5]]-EK$2)</f>
        <v>0.92600896860986548</v>
      </c>
      <c r="EV327" s="1">
        <f>1+(Table1[[#This Row],[error_ratio_6]]-EL$2)</f>
        <v>0.99478079331941549</v>
      </c>
      <c r="EW327" s="1">
        <f>1+(Table1[[#This Row],[error_ratio_7]]-EM$2)</f>
        <v>1.0058365758754864</v>
      </c>
      <c r="EX327" s="1">
        <f>1+(Table1[[#This Row],[error_ratio_8]]-EN$2)</f>
        <v>0.96714579055441474</v>
      </c>
      <c r="EY327" s="1">
        <f>1+(Table1[[#This Row],[error_ratio_9]]-EO$2)</f>
        <v>0.98414271555996036</v>
      </c>
    </row>
    <row r="328" spans="1:155" x14ac:dyDescent="0.75">
      <c r="A328">
        <v>10</v>
      </c>
      <c r="B328">
        <v>10</v>
      </c>
      <c r="C328">
        <v>100</v>
      </c>
      <c r="D328">
        <v>100</v>
      </c>
      <c r="E328">
        <v>100</v>
      </c>
      <c r="F328">
        <v>10</v>
      </c>
      <c r="G328">
        <v>10</v>
      </c>
      <c r="H328">
        <v>100</v>
      </c>
      <c r="I328">
        <v>10</v>
      </c>
      <c r="J328">
        <v>100</v>
      </c>
      <c r="K328">
        <v>938</v>
      </c>
      <c r="L328">
        <v>1128</v>
      </c>
      <c r="M328">
        <v>1050</v>
      </c>
      <c r="N328">
        <v>1059</v>
      </c>
      <c r="O328">
        <v>959</v>
      </c>
      <c r="P328">
        <v>926</v>
      </c>
      <c r="Q328">
        <v>967</v>
      </c>
      <c r="R328">
        <v>1072</v>
      </c>
      <c r="S328">
        <v>842</v>
      </c>
      <c r="T328">
        <v>1059</v>
      </c>
      <c r="U328">
        <v>980</v>
      </c>
      <c r="V328">
        <v>1135</v>
      </c>
      <c r="W328">
        <v>1032</v>
      </c>
      <c r="X328">
        <v>1010</v>
      </c>
      <c r="Y328">
        <v>982</v>
      </c>
      <c r="Z328">
        <v>892</v>
      </c>
      <c r="AA328">
        <v>958</v>
      </c>
      <c r="AB328">
        <v>1028</v>
      </c>
      <c r="AC328">
        <v>974</v>
      </c>
      <c r="AD328">
        <v>1009</v>
      </c>
      <c r="AE328">
        <v>929</v>
      </c>
      <c r="AF328">
        <v>1</v>
      </c>
      <c r="AG328">
        <v>6</v>
      </c>
      <c r="AH328">
        <v>12</v>
      </c>
      <c r="AI328">
        <v>0</v>
      </c>
      <c r="AJ328">
        <v>11</v>
      </c>
      <c r="AK328">
        <v>5</v>
      </c>
      <c r="AL328">
        <v>4</v>
      </c>
      <c r="AM328">
        <v>0</v>
      </c>
      <c r="AN328">
        <v>12</v>
      </c>
      <c r="AO328">
        <v>0</v>
      </c>
      <c r="AP328">
        <v>1120</v>
      </c>
      <c r="AQ328">
        <v>2</v>
      </c>
      <c r="AR328">
        <v>3</v>
      </c>
      <c r="AS328">
        <v>0</v>
      </c>
      <c r="AT328">
        <v>0</v>
      </c>
      <c r="AU328">
        <v>3</v>
      </c>
      <c r="AV328">
        <v>6</v>
      </c>
      <c r="AW328">
        <v>0</v>
      </c>
      <c r="AX328">
        <v>1</v>
      </c>
      <c r="AY328">
        <v>1</v>
      </c>
      <c r="AZ328">
        <v>0</v>
      </c>
      <c r="BA328">
        <v>1011</v>
      </c>
      <c r="BB328">
        <v>6</v>
      </c>
      <c r="BC328">
        <v>0</v>
      </c>
      <c r="BD328">
        <v>0</v>
      </c>
      <c r="BE328">
        <v>1</v>
      </c>
      <c r="BF328">
        <v>13</v>
      </c>
      <c r="BG328">
        <v>0</v>
      </c>
      <c r="BH328">
        <v>0</v>
      </c>
      <c r="BI328">
        <v>0</v>
      </c>
      <c r="BJ328">
        <v>0</v>
      </c>
      <c r="BK328">
        <v>2</v>
      </c>
      <c r="BL328">
        <v>999</v>
      </c>
      <c r="BM328">
        <v>0</v>
      </c>
      <c r="BN328">
        <v>5</v>
      </c>
      <c r="BO328">
        <v>0</v>
      </c>
      <c r="BP328">
        <v>0</v>
      </c>
      <c r="BQ328">
        <v>0</v>
      </c>
      <c r="BR328">
        <v>4</v>
      </c>
      <c r="BS328">
        <v>0</v>
      </c>
      <c r="BT328">
        <v>0</v>
      </c>
      <c r="BU328">
        <v>6</v>
      </c>
      <c r="BV328">
        <v>0</v>
      </c>
      <c r="BW328">
        <v>954</v>
      </c>
      <c r="BX328">
        <v>0</v>
      </c>
      <c r="BY328">
        <v>6</v>
      </c>
      <c r="BZ328">
        <v>6</v>
      </c>
      <c r="CA328">
        <v>0</v>
      </c>
      <c r="CB328">
        <v>10</v>
      </c>
      <c r="CC328">
        <v>1</v>
      </c>
      <c r="CD328">
        <v>0</v>
      </c>
      <c r="CE328">
        <v>1</v>
      </c>
      <c r="CF328">
        <v>20</v>
      </c>
      <c r="CG328">
        <v>0</v>
      </c>
      <c r="CH328">
        <v>862</v>
      </c>
      <c r="CI328">
        <v>4</v>
      </c>
      <c r="CJ328">
        <v>2</v>
      </c>
      <c r="CK328">
        <v>0</v>
      </c>
      <c r="CL328">
        <v>2</v>
      </c>
      <c r="CM328">
        <v>4</v>
      </c>
      <c r="CN328">
        <v>4</v>
      </c>
      <c r="CO328">
        <v>1</v>
      </c>
      <c r="CP328">
        <v>0</v>
      </c>
      <c r="CQ328">
        <v>1</v>
      </c>
      <c r="CR328">
        <v>11</v>
      </c>
      <c r="CS328">
        <v>937</v>
      </c>
      <c r="CT328">
        <v>0</v>
      </c>
      <c r="CU328">
        <v>0</v>
      </c>
      <c r="CV328">
        <v>0</v>
      </c>
      <c r="CW328">
        <v>0</v>
      </c>
      <c r="CX328">
        <v>1</v>
      </c>
      <c r="CY328">
        <v>1</v>
      </c>
      <c r="CZ328">
        <v>3</v>
      </c>
      <c r="DA328">
        <v>0</v>
      </c>
      <c r="DB328">
        <v>0</v>
      </c>
      <c r="DC328">
        <v>0</v>
      </c>
      <c r="DD328">
        <v>1020</v>
      </c>
      <c r="DE328">
        <v>0</v>
      </c>
      <c r="DF328">
        <v>3</v>
      </c>
      <c r="DG328">
        <v>3</v>
      </c>
      <c r="DH328">
        <v>1</v>
      </c>
      <c r="DI328">
        <v>20</v>
      </c>
      <c r="DJ328">
        <v>13</v>
      </c>
      <c r="DK328">
        <v>1</v>
      </c>
      <c r="DL328">
        <v>34</v>
      </c>
      <c r="DM328">
        <v>11</v>
      </c>
      <c r="DN328">
        <v>16</v>
      </c>
      <c r="DO328">
        <v>842</v>
      </c>
      <c r="DP328">
        <v>33</v>
      </c>
      <c r="DQ328">
        <v>0</v>
      </c>
      <c r="DR328">
        <v>1</v>
      </c>
      <c r="DS328">
        <v>0</v>
      </c>
      <c r="DT328">
        <v>3</v>
      </c>
      <c r="DU328">
        <v>3</v>
      </c>
      <c r="DV328">
        <v>3</v>
      </c>
      <c r="DW328">
        <v>0</v>
      </c>
      <c r="DX328">
        <v>5</v>
      </c>
      <c r="DY328">
        <v>0</v>
      </c>
      <c r="DZ328">
        <v>994</v>
      </c>
      <c r="EA328">
        <v>0.96679999999999999</v>
      </c>
      <c r="EB328">
        <v>0.96742746958694503</v>
      </c>
      <c r="EC328">
        <v>0.96612652856883496</v>
      </c>
      <c r="ED328">
        <v>0.96602757802756101</v>
      </c>
      <c r="EE328">
        <f>SUM(Table1[[#This Row],[ratio_0]:[ratio_9]])</f>
        <v>550</v>
      </c>
      <c r="EF328" s="1">
        <f>(Table1[[#This Row],[predicted_0]]-Table1[[#This Row],[actual_0]])/Table1[[#This Row],[actual_0]]</f>
        <v>-4.2857142857142858E-2</v>
      </c>
      <c r="EG328" s="1">
        <f>(Table1[[#This Row],[predicted_1]]-Table1[[#This Row],[actual_1]])/Table1[[#This Row],[actual_1]]</f>
        <v>-6.1674008810572688E-3</v>
      </c>
      <c r="EH328" s="1">
        <f>(Table1[[#This Row],[predicted_2]]-Table1[[#This Row],[actual_2]])/Table1[[#This Row],[actual_2]]</f>
        <v>1.7441860465116279E-2</v>
      </c>
      <c r="EI328" s="1">
        <f>(Table1[[#This Row],[predicted_3]]-Table1[[#This Row],[actual_3]])/Table1[[#This Row],[actual_3]]</f>
        <v>4.8514851485148516E-2</v>
      </c>
      <c r="EJ328" s="1">
        <f>(Table1[[#This Row],[predicted_4]]-Table1[[#This Row],[actual_4]])/Table1[[#This Row],[actual_4]]</f>
        <v>-2.3421588594704685E-2</v>
      </c>
      <c r="EK328" s="1">
        <f>(Table1[[#This Row],[predicted_5]]-Table1[[#This Row],[actual_5]])/Table1[[#This Row],[actual_5]]</f>
        <v>3.811659192825112E-2</v>
      </c>
      <c r="EL328" s="1">
        <f>(Table1[[#This Row],[predicted_6]]-Table1[[#This Row],[actual_6]])/Table1[[#This Row],[actual_6]]</f>
        <v>9.3945720250521916E-3</v>
      </c>
      <c r="EM328" s="1">
        <f>(Table1[[#This Row],[predicted_7]]-Table1[[#This Row],[actual_7]])/Table1[[#This Row],[actual_7]]</f>
        <v>4.2801556420233464E-2</v>
      </c>
      <c r="EN328" s="1">
        <f>(Table1[[#This Row],[predicted_8]]-Table1[[#This Row],[actual_8]])/Table1[[#This Row],[actual_8]]</f>
        <v>-0.13552361396303902</v>
      </c>
      <c r="EO328" s="1">
        <f>(Table1[[#This Row],[predicted_9]]-Table1[[#This Row],[actual_9]])/Table1[[#This Row],[actual_9]]</f>
        <v>4.9554013875123884E-2</v>
      </c>
      <c r="EP328" s="1">
        <f>1+(Table1[[#This Row],[error_ratio_0]]-EF$2)</f>
        <v>0.95510204081632655</v>
      </c>
      <c r="EQ328" s="1">
        <f>1+(Table1[[#This Row],[error_ratio_1]]-EG$2)</f>
        <v>0.99207048458149782</v>
      </c>
      <c r="ER328" s="1">
        <f>1+(Table1[[#This Row],[error_ratio_2]]-EH$2)</f>
        <v>1.0222868217054264</v>
      </c>
      <c r="ES328" s="1">
        <f>1+(Table1[[#This Row],[error_ratio_3]]-EI$2)</f>
        <v>1.0386138613861386</v>
      </c>
      <c r="ET328" s="1">
        <f>1+(Table1[[#This Row],[error_ratio_4]]-EJ$2)</f>
        <v>0.97556008146639517</v>
      </c>
      <c r="EU328" s="1">
        <f>1+(Table1[[#This Row],[error_ratio_5]]-EK$2)</f>
        <v>1.0369955156950672</v>
      </c>
      <c r="EV328" s="1">
        <f>1+(Table1[[#This Row],[error_ratio_6]]-EL$2)</f>
        <v>1.0156576200417538</v>
      </c>
      <c r="EW328" s="1">
        <f>1+(Table1[[#This Row],[error_ratio_7]]-EM$2)</f>
        <v>1.0408560311284047</v>
      </c>
      <c r="EX328" s="1">
        <f>1+(Table1[[#This Row],[error_ratio_8]]-EN$2)</f>
        <v>0.86755646817248455</v>
      </c>
      <c r="EY328" s="1">
        <f>1+(Table1[[#This Row],[error_ratio_9]]-EO$2)</f>
        <v>1.0535183349851338</v>
      </c>
    </row>
    <row r="329" spans="1:155" x14ac:dyDescent="0.75">
      <c r="A329">
        <v>100</v>
      </c>
      <c r="B329">
        <v>100</v>
      </c>
      <c r="C329">
        <v>10</v>
      </c>
      <c r="D329">
        <v>100</v>
      </c>
      <c r="E329">
        <v>100</v>
      </c>
      <c r="F329">
        <v>10</v>
      </c>
      <c r="G329">
        <v>10</v>
      </c>
      <c r="H329">
        <v>100</v>
      </c>
      <c r="I329">
        <v>10</v>
      </c>
      <c r="J329">
        <v>100</v>
      </c>
      <c r="K329">
        <v>1058</v>
      </c>
      <c r="L329">
        <v>1161</v>
      </c>
      <c r="M329">
        <v>899</v>
      </c>
      <c r="N329">
        <v>1015</v>
      </c>
      <c r="O329">
        <v>1029</v>
      </c>
      <c r="P329">
        <v>872</v>
      </c>
      <c r="Q329">
        <v>940</v>
      </c>
      <c r="R329">
        <v>1150</v>
      </c>
      <c r="S329">
        <v>899</v>
      </c>
      <c r="T329">
        <v>977</v>
      </c>
      <c r="U329">
        <v>980</v>
      </c>
      <c r="V329">
        <v>1135</v>
      </c>
      <c r="W329">
        <v>1032</v>
      </c>
      <c r="X329">
        <v>1010</v>
      </c>
      <c r="Y329">
        <v>982</v>
      </c>
      <c r="Z329">
        <v>892</v>
      </c>
      <c r="AA329">
        <v>958</v>
      </c>
      <c r="AB329">
        <v>1028</v>
      </c>
      <c r="AC329">
        <v>974</v>
      </c>
      <c r="AD329">
        <v>1009</v>
      </c>
      <c r="AE329">
        <v>976</v>
      </c>
      <c r="AF329">
        <v>0</v>
      </c>
      <c r="AG329">
        <v>1</v>
      </c>
      <c r="AH329">
        <v>0</v>
      </c>
      <c r="AI329">
        <v>0</v>
      </c>
      <c r="AJ329">
        <v>0</v>
      </c>
      <c r="AK329">
        <v>0</v>
      </c>
      <c r="AL329">
        <v>2</v>
      </c>
      <c r="AM329">
        <v>1</v>
      </c>
      <c r="AN329">
        <v>0</v>
      </c>
      <c r="AO329">
        <v>0</v>
      </c>
      <c r="AP329">
        <v>1132</v>
      </c>
      <c r="AQ329">
        <v>0</v>
      </c>
      <c r="AR329">
        <v>2</v>
      </c>
      <c r="AS329">
        <v>0</v>
      </c>
      <c r="AT329">
        <v>0</v>
      </c>
      <c r="AU329">
        <v>0</v>
      </c>
      <c r="AV329">
        <v>1</v>
      </c>
      <c r="AW329">
        <v>0</v>
      </c>
      <c r="AX329">
        <v>0</v>
      </c>
      <c r="AY329">
        <v>29</v>
      </c>
      <c r="AZ329">
        <v>6</v>
      </c>
      <c r="BA329">
        <v>891</v>
      </c>
      <c r="BB329">
        <v>21</v>
      </c>
      <c r="BC329">
        <v>9</v>
      </c>
      <c r="BD329">
        <v>1</v>
      </c>
      <c r="BE329">
        <v>2</v>
      </c>
      <c r="BF329">
        <v>73</v>
      </c>
      <c r="BG329">
        <v>0</v>
      </c>
      <c r="BH329">
        <v>0</v>
      </c>
      <c r="BI329">
        <v>4</v>
      </c>
      <c r="BJ329">
        <v>0</v>
      </c>
      <c r="BK329">
        <v>1</v>
      </c>
      <c r="BL329">
        <v>983</v>
      </c>
      <c r="BM329">
        <v>0</v>
      </c>
      <c r="BN329">
        <v>8</v>
      </c>
      <c r="BO329">
        <v>0</v>
      </c>
      <c r="BP329">
        <v>10</v>
      </c>
      <c r="BQ329">
        <v>4</v>
      </c>
      <c r="BR329">
        <v>0</v>
      </c>
      <c r="BS329">
        <v>0</v>
      </c>
      <c r="BT329">
        <v>0</v>
      </c>
      <c r="BU329">
        <v>0</v>
      </c>
      <c r="BV329">
        <v>0</v>
      </c>
      <c r="BW329">
        <v>981</v>
      </c>
      <c r="BX329">
        <v>0</v>
      </c>
      <c r="BY329">
        <v>1</v>
      </c>
      <c r="BZ329">
        <v>0</v>
      </c>
      <c r="CA329">
        <v>0</v>
      </c>
      <c r="CB329">
        <v>0</v>
      </c>
      <c r="CC329">
        <v>9</v>
      </c>
      <c r="CD329">
        <v>2</v>
      </c>
      <c r="CE329">
        <v>0</v>
      </c>
      <c r="CF329">
        <v>7</v>
      </c>
      <c r="CG329">
        <v>1</v>
      </c>
      <c r="CH329">
        <v>855</v>
      </c>
      <c r="CI329">
        <v>7</v>
      </c>
      <c r="CJ329">
        <v>2</v>
      </c>
      <c r="CK329">
        <v>8</v>
      </c>
      <c r="CL329">
        <v>1</v>
      </c>
      <c r="CM329">
        <v>15</v>
      </c>
      <c r="CN329">
        <v>5</v>
      </c>
      <c r="CO329">
        <v>0</v>
      </c>
      <c r="CP329">
        <v>1</v>
      </c>
      <c r="CQ329">
        <v>13</v>
      </c>
      <c r="CR329">
        <v>3</v>
      </c>
      <c r="CS329">
        <v>921</v>
      </c>
      <c r="CT329">
        <v>0</v>
      </c>
      <c r="CU329">
        <v>0</v>
      </c>
      <c r="CV329">
        <v>0</v>
      </c>
      <c r="CW329">
        <v>1</v>
      </c>
      <c r="CX329">
        <v>4</v>
      </c>
      <c r="CY329">
        <v>1</v>
      </c>
      <c r="CZ329">
        <v>0</v>
      </c>
      <c r="DA329">
        <v>0</v>
      </c>
      <c r="DB329">
        <v>0</v>
      </c>
      <c r="DC329">
        <v>0</v>
      </c>
      <c r="DD329">
        <v>1022</v>
      </c>
      <c r="DE329">
        <v>0</v>
      </c>
      <c r="DF329">
        <v>0</v>
      </c>
      <c r="DG329">
        <v>16</v>
      </c>
      <c r="DH329">
        <v>9</v>
      </c>
      <c r="DI329">
        <v>5</v>
      </c>
      <c r="DJ329">
        <v>1</v>
      </c>
      <c r="DK329">
        <v>10</v>
      </c>
      <c r="DL329">
        <v>4</v>
      </c>
      <c r="DM329">
        <v>9</v>
      </c>
      <c r="DN329">
        <v>28</v>
      </c>
      <c r="DO329">
        <v>886</v>
      </c>
      <c r="DP329">
        <v>6</v>
      </c>
      <c r="DQ329">
        <v>8</v>
      </c>
      <c r="DR329">
        <v>3</v>
      </c>
      <c r="DS329">
        <v>0</v>
      </c>
      <c r="DT329">
        <v>0</v>
      </c>
      <c r="DU329">
        <v>15</v>
      </c>
      <c r="DV329">
        <v>1</v>
      </c>
      <c r="DW329">
        <v>0</v>
      </c>
      <c r="DX329">
        <v>12</v>
      </c>
      <c r="DY329">
        <v>0</v>
      </c>
      <c r="DZ329">
        <v>970</v>
      </c>
      <c r="EA329">
        <v>0.9617</v>
      </c>
      <c r="EB329">
        <v>0.963780587844693</v>
      </c>
      <c r="EC329">
        <v>0.96139565526202198</v>
      </c>
      <c r="ED329">
        <v>0.96144729607613799</v>
      </c>
      <c r="EE329">
        <f>SUM(Table1[[#This Row],[ratio_0]:[ratio_9]])</f>
        <v>640</v>
      </c>
      <c r="EF329" s="1">
        <f>(Table1[[#This Row],[predicted_0]]-Table1[[#This Row],[actual_0]])/Table1[[#This Row],[actual_0]]</f>
        <v>7.9591836734693874E-2</v>
      </c>
      <c r="EG329" s="1">
        <f>(Table1[[#This Row],[predicted_1]]-Table1[[#This Row],[actual_1]])/Table1[[#This Row],[actual_1]]</f>
        <v>2.2907488986784141E-2</v>
      </c>
      <c r="EH329" s="1">
        <f>(Table1[[#This Row],[predicted_2]]-Table1[[#This Row],[actual_2]])/Table1[[#This Row],[actual_2]]</f>
        <v>-0.12887596899224807</v>
      </c>
      <c r="EI329" s="1">
        <f>(Table1[[#This Row],[predicted_3]]-Table1[[#This Row],[actual_3]])/Table1[[#This Row],[actual_3]]</f>
        <v>4.9504950495049506E-3</v>
      </c>
      <c r="EJ329" s="1">
        <f>(Table1[[#This Row],[predicted_4]]-Table1[[#This Row],[actual_4]])/Table1[[#This Row],[actual_4]]</f>
        <v>4.7861507128309569E-2</v>
      </c>
      <c r="EK329" s="1">
        <f>(Table1[[#This Row],[predicted_5]]-Table1[[#This Row],[actual_5]])/Table1[[#This Row],[actual_5]]</f>
        <v>-2.2421524663677129E-2</v>
      </c>
      <c r="EL329" s="1">
        <f>(Table1[[#This Row],[predicted_6]]-Table1[[#This Row],[actual_6]])/Table1[[#This Row],[actual_6]]</f>
        <v>-1.8789144050104383E-2</v>
      </c>
      <c r="EM329" s="1">
        <f>(Table1[[#This Row],[predicted_7]]-Table1[[#This Row],[actual_7]])/Table1[[#This Row],[actual_7]]</f>
        <v>0.11867704280155641</v>
      </c>
      <c r="EN329" s="1">
        <f>(Table1[[#This Row],[predicted_8]]-Table1[[#This Row],[actual_8]])/Table1[[#This Row],[actual_8]]</f>
        <v>-7.7002053388090352E-2</v>
      </c>
      <c r="EO329" s="1">
        <f>(Table1[[#This Row],[predicted_9]]-Table1[[#This Row],[actual_9]])/Table1[[#This Row],[actual_9]]</f>
        <v>-3.1714568880079286E-2</v>
      </c>
      <c r="EP329" s="1">
        <f>1+(Table1[[#This Row],[error_ratio_0]]-EF$2)</f>
        <v>1.0775510204081633</v>
      </c>
      <c r="EQ329" s="1">
        <f>1+(Table1[[#This Row],[error_ratio_1]]-EG$2)</f>
        <v>1.0211453744493393</v>
      </c>
      <c r="ER329" s="1">
        <f>1+(Table1[[#This Row],[error_ratio_2]]-EH$2)</f>
        <v>0.87596899224806202</v>
      </c>
      <c r="ES329" s="1">
        <f>1+(Table1[[#This Row],[error_ratio_3]]-EI$2)</f>
        <v>0.99504950495049505</v>
      </c>
      <c r="ET329" s="1">
        <f>1+(Table1[[#This Row],[error_ratio_4]]-EJ$2)</f>
        <v>1.0468431771894093</v>
      </c>
      <c r="EU329" s="1">
        <f>1+(Table1[[#This Row],[error_ratio_5]]-EK$2)</f>
        <v>0.976457399103139</v>
      </c>
      <c r="EV329" s="1">
        <f>1+(Table1[[#This Row],[error_ratio_6]]-EL$2)</f>
        <v>0.98747390396659707</v>
      </c>
      <c r="EW329" s="1">
        <f>1+(Table1[[#This Row],[error_ratio_7]]-EM$2)</f>
        <v>1.1167315175097277</v>
      </c>
      <c r="EX329" s="1">
        <f>1+(Table1[[#This Row],[error_ratio_8]]-EN$2)</f>
        <v>0.92607802874743328</v>
      </c>
      <c r="EY329" s="1">
        <f>1+(Table1[[#This Row],[error_ratio_9]]-EO$2)</f>
        <v>0.9722497522299306</v>
      </c>
    </row>
    <row r="330" spans="1:155" x14ac:dyDescent="0.75">
      <c r="A330">
        <v>10</v>
      </c>
      <c r="B330">
        <v>100</v>
      </c>
      <c r="C330">
        <v>10</v>
      </c>
      <c r="D330">
        <v>100</v>
      </c>
      <c r="E330">
        <v>100</v>
      </c>
      <c r="F330">
        <v>10</v>
      </c>
      <c r="G330">
        <v>10</v>
      </c>
      <c r="H330">
        <v>100</v>
      </c>
      <c r="I330">
        <v>10</v>
      </c>
      <c r="J330">
        <v>100</v>
      </c>
      <c r="K330">
        <v>1000</v>
      </c>
      <c r="L330">
        <v>1155</v>
      </c>
      <c r="M330">
        <v>939</v>
      </c>
      <c r="N330">
        <v>1276</v>
      </c>
      <c r="O330">
        <v>1036</v>
      </c>
      <c r="P330">
        <v>598</v>
      </c>
      <c r="Q330">
        <v>924</v>
      </c>
      <c r="R330">
        <v>1077</v>
      </c>
      <c r="S330">
        <v>961</v>
      </c>
      <c r="T330">
        <v>1034</v>
      </c>
      <c r="U330">
        <v>980</v>
      </c>
      <c r="V330">
        <v>1135</v>
      </c>
      <c r="W330">
        <v>1032</v>
      </c>
      <c r="X330">
        <v>1010</v>
      </c>
      <c r="Y330">
        <v>982</v>
      </c>
      <c r="Z330">
        <v>892</v>
      </c>
      <c r="AA330">
        <v>958</v>
      </c>
      <c r="AB330">
        <v>1028</v>
      </c>
      <c r="AC330">
        <v>974</v>
      </c>
      <c r="AD330">
        <v>1009</v>
      </c>
      <c r="AE330">
        <v>961</v>
      </c>
      <c r="AF330">
        <v>2</v>
      </c>
      <c r="AG330">
        <v>0</v>
      </c>
      <c r="AH330">
        <v>2</v>
      </c>
      <c r="AI330">
        <v>5</v>
      </c>
      <c r="AJ330">
        <v>0</v>
      </c>
      <c r="AK330">
        <v>0</v>
      </c>
      <c r="AL330">
        <v>4</v>
      </c>
      <c r="AM330">
        <v>4</v>
      </c>
      <c r="AN330">
        <v>2</v>
      </c>
      <c r="AO330">
        <v>0</v>
      </c>
      <c r="AP330">
        <v>1126</v>
      </c>
      <c r="AQ330">
        <v>0</v>
      </c>
      <c r="AR330">
        <v>4</v>
      </c>
      <c r="AS330">
        <v>1</v>
      </c>
      <c r="AT330">
        <v>0</v>
      </c>
      <c r="AU330">
        <v>2</v>
      </c>
      <c r="AV330">
        <v>1</v>
      </c>
      <c r="AW330">
        <v>1</v>
      </c>
      <c r="AX330">
        <v>0</v>
      </c>
      <c r="AY330">
        <v>12</v>
      </c>
      <c r="AZ330">
        <v>4</v>
      </c>
      <c r="BA330">
        <v>928</v>
      </c>
      <c r="BB330">
        <v>8</v>
      </c>
      <c r="BC330">
        <v>8</v>
      </c>
      <c r="BD330">
        <v>0</v>
      </c>
      <c r="BE330">
        <v>0</v>
      </c>
      <c r="BF330">
        <v>59</v>
      </c>
      <c r="BG330">
        <v>10</v>
      </c>
      <c r="BH330">
        <v>3</v>
      </c>
      <c r="BI330">
        <v>1</v>
      </c>
      <c r="BJ330">
        <v>0</v>
      </c>
      <c r="BK330">
        <v>2</v>
      </c>
      <c r="BL330">
        <v>1006</v>
      </c>
      <c r="BM330">
        <v>0</v>
      </c>
      <c r="BN330">
        <v>0</v>
      </c>
      <c r="BO330">
        <v>0</v>
      </c>
      <c r="BP330">
        <v>0</v>
      </c>
      <c r="BQ330">
        <v>1</v>
      </c>
      <c r="BR330">
        <v>0</v>
      </c>
      <c r="BS330">
        <v>0</v>
      </c>
      <c r="BT330">
        <v>0</v>
      </c>
      <c r="BU330">
        <v>2</v>
      </c>
      <c r="BV330">
        <v>0</v>
      </c>
      <c r="BW330">
        <v>974</v>
      </c>
      <c r="BX330">
        <v>0</v>
      </c>
      <c r="BY330">
        <v>2</v>
      </c>
      <c r="BZ330">
        <v>0</v>
      </c>
      <c r="CA330">
        <v>0</v>
      </c>
      <c r="CB330">
        <v>4</v>
      </c>
      <c r="CC330">
        <v>7</v>
      </c>
      <c r="CD330">
        <v>3</v>
      </c>
      <c r="CE330">
        <v>0</v>
      </c>
      <c r="CF330">
        <v>224</v>
      </c>
      <c r="CG330">
        <v>5</v>
      </c>
      <c r="CH330">
        <v>594</v>
      </c>
      <c r="CI330">
        <v>8</v>
      </c>
      <c r="CJ330">
        <v>1</v>
      </c>
      <c r="CK330">
        <v>15</v>
      </c>
      <c r="CL330">
        <v>35</v>
      </c>
      <c r="CM330">
        <v>12</v>
      </c>
      <c r="CN330">
        <v>6</v>
      </c>
      <c r="CO330">
        <v>1</v>
      </c>
      <c r="CP330">
        <v>0</v>
      </c>
      <c r="CQ330">
        <v>19</v>
      </c>
      <c r="CR330">
        <v>3</v>
      </c>
      <c r="CS330">
        <v>912</v>
      </c>
      <c r="CT330">
        <v>0</v>
      </c>
      <c r="CU330">
        <v>3</v>
      </c>
      <c r="CV330">
        <v>2</v>
      </c>
      <c r="CW330">
        <v>0</v>
      </c>
      <c r="CX330">
        <v>9</v>
      </c>
      <c r="CY330">
        <v>2</v>
      </c>
      <c r="CZ330">
        <v>7</v>
      </c>
      <c r="DA330">
        <v>2</v>
      </c>
      <c r="DB330">
        <v>0</v>
      </c>
      <c r="DC330">
        <v>0</v>
      </c>
      <c r="DD330">
        <v>1001</v>
      </c>
      <c r="DE330">
        <v>2</v>
      </c>
      <c r="DF330">
        <v>5</v>
      </c>
      <c r="DG330">
        <v>7</v>
      </c>
      <c r="DH330">
        <v>2</v>
      </c>
      <c r="DI330">
        <v>4</v>
      </c>
      <c r="DJ330">
        <v>21</v>
      </c>
      <c r="DK330">
        <v>9</v>
      </c>
      <c r="DL330">
        <v>0</v>
      </c>
      <c r="DM330">
        <v>0</v>
      </c>
      <c r="DN330">
        <v>6</v>
      </c>
      <c r="DO330">
        <v>922</v>
      </c>
      <c r="DP330">
        <v>3</v>
      </c>
      <c r="DQ330">
        <v>0</v>
      </c>
      <c r="DR330">
        <v>3</v>
      </c>
      <c r="DS330">
        <v>0</v>
      </c>
      <c r="DT330">
        <v>4</v>
      </c>
      <c r="DU330">
        <v>13</v>
      </c>
      <c r="DV330">
        <v>1</v>
      </c>
      <c r="DW330">
        <v>0</v>
      </c>
      <c r="DX330">
        <v>5</v>
      </c>
      <c r="DY330">
        <v>3</v>
      </c>
      <c r="DZ330">
        <v>980</v>
      </c>
      <c r="EA330">
        <v>0.94040000000000001</v>
      </c>
      <c r="EB330">
        <v>0.946968341696245</v>
      </c>
      <c r="EC330">
        <v>0.936930907134369</v>
      </c>
      <c r="ED330">
        <v>0.93711304278225904</v>
      </c>
      <c r="EE330">
        <f>SUM(Table1[[#This Row],[ratio_0]:[ratio_9]])</f>
        <v>550</v>
      </c>
      <c r="EF330" s="1">
        <f>(Table1[[#This Row],[predicted_0]]-Table1[[#This Row],[actual_0]])/Table1[[#This Row],[actual_0]]</f>
        <v>2.0408163265306121E-2</v>
      </c>
      <c r="EG330" s="1">
        <f>(Table1[[#This Row],[predicted_1]]-Table1[[#This Row],[actual_1]])/Table1[[#This Row],[actual_1]]</f>
        <v>1.7621145374449341E-2</v>
      </c>
      <c r="EH330" s="1">
        <f>(Table1[[#This Row],[predicted_2]]-Table1[[#This Row],[actual_2]])/Table1[[#This Row],[actual_2]]</f>
        <v>-9.0116279069767435E-2</v>
      </c>
      <c r="EI330" s="1">
        <f>(Table1[[#This Row],[predicted_3]]-Table1[[#This Row],[actual_3]])/Table1[[#This Row],[actual_3]]</f>
        <v>0.26336633663366338</v>
      </c>
      <c r="EJ330" s="1">
        <f>(Table1[[#This Row],[predicted_4]]-Table1[[#This Row],[actual_4]])/Table1[[#This Row],[actual_4]]</f>
        <v>5.4989816700610997E-2</v>
      </c>
      <c r="EK330" s="1">
        <f>(Table1[[#This Row],[predicted_5]]-Table1[[#This Row],[actual_5]])/Table1[[#This Row],[actual_5]]</f>
        <v>-0.32959641255605382</v>
      </c>
      <c r="EL330" s="1">
        <f>(Table1[[#This Row],[predicted_6]]-Table1[[#This Row],[actual_6]])/Table1[[#This Row],[actual_6]]</f>
        <v>-3.5490605427974949E-2</v>
      </c>
      <c r="EM330" s="1">
        <f>(Table1[[#This Row],[predicted_7]]-Table1[[#This Row],[actual_7]])/Table1[[#This Row],[actual_7]]</f>
        <v>4.7665369649805445E-2</v>
      </c>
      <c r="EN330" s="1">
        <f>(Table1[[#This Row],[predicted_8]]-Table1[[#This Row],[actual_8]])/Table1[[#This Row],[actual_8]]</f>
        <v>-1.3347022587268994E-2</v>
      </c>
      <c r="EO330" s="1">
        <f>(Table1[[#This Row],[predicted_9]]-Table1[[#This Row],[actual_9]])/Table1[[#This Row],[actual_9]]</f>
        <v>2.4777006937561942E-2</v>
      </c>
      <c r="EP330" s="1">
        <f>1+(Table1[[#This Row],[error_ratio_0]]-EF$2)</f>
        <v>1.0183673469387755</v>
      </c>
      <c r="EQ330" s="1">
        <f>1+(Table1[[#This Row],[error_ratio_1]]-EG$2)</f>
        <v>1.0158590308370044</v>
      </c>
      <c r="ER330" s="1">
        <f>1+(Table1[[#This Row],[error_ratio_2]]-EH$2)</f>
        <v>0.9147286821705426</v>
      </c>
      <c r="ES330" s="1">
        <f>1+(Table1[[#This Row],[error_ratio_3]]-EI$2)</f>
        <v>1.2534653465346535</v>
      </c>
      <c r="ET330" s="1">
        <f>1+(Table1[[#This Row],[error_ratio_4]]-EJ$2)</f>
        <v>1.0539714867617107</v>
      </c>
      <c r="EU330" s="1">
        <f>1+(Table1[[#This Row],[error_ratio_5]]-EK$2)</f>
        <v>0.66928251121076232</v>
      </c>
      <c r="EV330" s="1">
        <f>1+(Table1[[#This Row],[error_ratio_6]]-EL$2)</f>
        <v>0.97077244258872653</v>
      </c>
      <c r="EW330" s="1">
        <f>1+(Table1[[#This Row],[error_ratio_7]]-EM$2)</f>
        <v>1.0457198443579767</v>
      </c>
      <c r="EX330" s="1">
        <f>1+(Table1[[#This Row],[error_ratio_8]]-EN$2)</f>
        <v>0.98973305954825463</v>
      </c>
      <c r="EY330" s="1">
        <f>1+(Table1[[#This Row],[error_ratio_9]]-EO$2)</f>
        <v>1.0287413280475719</v>
      </c>
    </row>
    <row r="331" spans="1:155" x14ac:dyDescent="0.75">
      <c r="A331">
        <v>100</v>
      </c>
      <c r="B331">
        <v>10</v>
      </c>
      <c r="C331">
        <v>10</v>
      </c>
      <c r="D331">
        <v>100</v>
      </c>
      <c r="E331">
        <v>100</v>
      </c>
      <c r="F331">
        <v>10</v>
      </c>
      <c r="G331">
        <v>10</v>
      </c>
      <c r="H331">
        <v>100</v>
      </c>
      <c r="I331">
        <v>10</v>
      </c>
      <c r="J331">
        <v>100</v>
      </c>
      <c r="K331">
        <v>1049</v>
      </c>
      <c r="L331">
        <v>1133</v>
      </c>
      <c r="M331">
        <v>956</v>
      </c>
      <c r="N331">
        <v>1054</v>
      </c>
      <c r="O331">
        <v>967</v>
      </c>
      <c r="P331">
        <v>864</v>
      </c>
      <c r="Q331">
        <v>922</v>
      </c>
      <c r="R331">
        <v>1102</v>
      </c>
      <c r="S331">
        <v>927</v>
      </c>
      <c r="T331">
        <v>1026</v>
      </c>
      <c r="U331">
        <v>980</v>
      </c>
      <c r="V331">
        <v>1135</v>
      </c>
      <c r="W331">
        <v>1032</v>
      </c>
      <c r="X331">
        <v>1010</v>
      </c>
      <c r="Y331">
        <v>982</v>
      </c>
      <c r="Z331">
        <v>892</v>
      </c>
      <c r="AA331">
        <v>958</v>
      </c>
      <c r="AB331">
        <v>1028</v>
      </c>
      <c r="AC331">
        <v>974</v>
      </c>
      <c r="AD331">
        <v>1009</v>
      </c>
      <c r="AE331">
        <v>977</v>
      </c>
      <c r="AF331">
        <v>1</v>
      </c>
      <c r="AG331">
        <v>0</v>
      </c>
      <c r="AH331">
        <v>0</v>
      </c>
      <c r="AI331">
        <v>0</v>
      </c>
      <c r="AJ331">
        <v>0</v>
      </c>
      <c r="AK331">
        <v>0</v>
      </c>
      <c r="AL331">
        <v>1</v>
      </c>
      <c r="AM331">
        <v>1</v>
      </c>
      <c r="AN331">
        <v>0</v>
      </c>
      <c r="AO331">
        <v>0</v>
      </c>
      <c r="AP331">
        <v>1120</v>
      </c>
      <c r="AQ331">
        <v>4</v>
      </c>
      <c r="AR331">
        <v>2</v>
      </c>
      <c r="AS331">
        <v>0</v>
      </c>
      <c r="AT331">
        <v>1</v>
      </c>
      <c r="AU331">
        <v>3</v>
      </c>
      <c r="AV331">
        <v>3</v>
      </c>
      <c r="AW331">
        <v>2</v>
      </c>
      <c r="AX331">
        <v>0</v>
      </c>
      <c r="AY331">
        <v>14</v>
      </c>
      <c r="AZ331">
        <v>3</v>
      </c>
      <c r="BA331">
        <v>947</v>
      </c>
      <c r="BB331">
        <v>16</v>
      </c>
      <c r="BC331">
        <v>8</v>
      </c>
      <c r="BD331">
        <v>0</v>
      </c>
      <c r="BE331">
        <v>1</v>
      </c>
      <c r="BF331">
        <v>39</v>
      </c>
      <c r="BG331">
        <v>3</v>
      </c>
      <c r="BH331">
        <v>1</v>
      </c>
      <c r="BI331">
        <v>3</v>
      </c>
      <c r="BJ331">
        <v>0</v>
      </c>
      <c r="BK331">
        <v>1</v>
      </c>
      <c r="BL331">
        <v>999</v>
      </c>
      <c r="BM331">
        <v>0</v>
      </c>
      <c r="BN331">
        <v>4</v>
      </c>
      <c r="BO331">
        <v>0</v>
      </c>
      <c r="BP331">
        <v>3</v>
      </c>
      <c r="BQ331">
        <v>0</v>
      </c>
      <c r="BR331">
        <v>0</v>
      </c>
      <c r="BS331">
        <v>0</v>
      </c>
      <c r="BT331">
        <v>1</v>
      </c>
      <c r="BU331">
        <v>0</v>
      </c>
      <c r="BV331">
        <v>0</v>
      </c>
      <c r="BW331">
        <v>948</v>
      </c>
      <c r="BX331">
        <v>0</v>
      </c>
      <c r="BY331">
        <v>3</v>
      </c>
      <c r="BZ331">
        <v>8</v>
      </c>
      <c r="CA331">
        <v>1</v>
      </c>
      <c r="CB331">
        <v>21</v>
      </c>
      <c r="CC331">
        <v>17</v>
      </c>
      <c r="CD331">
        <v>0</v>
      </c>
      <c r="CE331">
        <v>1</v>
      </c>
      <c r="CF331">
        <v>18</v>
      </c>
      <c r="CG331">
        <v>0</v>
      </c>
      <c r="CH331">
        <v>841</v>
      </c>
      <c r="CI331">
        <v>3</v>
      </c>
      <c r="CJ331">
        <v>2</v>
      </c>
      <c r="CK331">
        <v>6</v>
      </c>
      <c r="CL331">
        <v>4</v>
      </c>
      <c r="CM331">
        <v>25</v>
      </c>
      <c r="CN331">
        <v>4</v>
      </c>
      <c r="CO331">
        <v>0</v>
      </c>
      <c r="CP331">
        <v>0</v>
      </c>
      <c r="CQ331">
        <v>9</v>
      </c>
      <c r="CR331">
        <v>9</v>
      </c>
      <c r="CS331">
        <v>910</v>
      </c>
      <c r="CT331">
        <v>0</v>
      </c>
      <c r="CU331">
        <v>1</v>
      </c>
      <c r="CV331">
        <v>0</v>
      </c>
      <c r="CW331">
        <v>0</v>
      </c>
      <c r="CX331">
        <v>1</v>
      </c>
      <c r="CY331">
        <v>1</v>
      </c>
      <c r="CZ331">
        <v>3</v>
      </c>
      <c r="DA331">
        <v>0</v>
      </c>
      <c r="DB331">
        <v>0</v>
      </c>
      <c r="DC331">
        <v>0</v>
      </c>
      <c r="DD331">
        <v>1020</v>
      </c>
      <c r="DE331">
        <v>1</v>
      </c>
      <c r="DF331">
        <v>2</v>
      </c>
      <c r="DG331">
        <v>12</v>
      </c>
      <c r="DH331">
        <v>2</v>
      </c>
      <c r="DI331">
        <v>2</v>
      </c>
      <c r="DJ331">
        <v>15</v>
      </c>
      <c r="DK331">
        <v>1</v>
      </c>
      <c r="DL331">
        <v>7</v>
      </c>
      <c r="DM331">
        <v>2</v>
      </c>
      <c r="DN331">
        <v>15</v>
      </c>
      <c r="DO331">
        <v>912</v>
      </c>
      <c r="DP331">
        <v>6</v>
      </c>
      <c r="DQ331">
        <v>1</v>
      </c>
      <c r="DR331">
        <v>1</v>
      </c>
      <c r="DS331">
        <v>0</v>
      </c>
      <c r="DT331">
        <v>1</v>
      </c>
      <c r="DU331">
        <v>1</v>
      </c>
      <c r="DV331">
        <v>2</v>
      </c>
      <c r="DW331">
        <v>0</v>
      </c>
      <c r="DX331">
        <v>11</v>
      </c>
      <c r="DY331">
        <v>0</v>
      </c>
      <c r="DZ331">
        <v>992</v>
      </c>
      <c r="EA331">
        <v>0.96660000000000001</v>
      </c>
      <c r="EB331">
        <v>0.96752791044620701</v>
      </c>
      <c r="EC331">
        <v>0.966027949965091</v>
      </c>
      <c r="ED331">
        <v>0.96623603531299096</v>
      </c>
      <c r="EE331">
        <f>SUM(Table1[[#This Row],[ratio_0]:[ratio_9]])</f>
        <v>550</v>
      </c>
      <c r="EF331" s="1">
        <f>(Table1[[#This Row],[predicted_0]]-Table1[[#This Row],[actual_0]])/Table1[[#This Row],[actual_0]]</f>
        <v>7.040816326530612E-2</v>
      </c>
      <c r="EG331" s="1">
        <f>(Table1[[#This Row],[predicted_1]]-Table1[[#This Row],[actual_1]])/Table1[[#This Row],[actual_1]]</f>
        <v>-1.762114537444934E-3</v>
      </c>
      <c r="EH331" s="1">
        <f>(Table1[[#This Row],[predicted_2]]-Table1[[#This Row],[actual_2]])/Table1[[#This Row],[actual_2]]</f>
        <v>-7.3643410852713184E-2</v>
      </c>
      <c r="EI331" s="1">
        <f>(Table1[[#This Row],[predicted_3]]-Table1[[#This Row],[actual_3]])/Table1[[#This Row],[actual_3]]</f>
        <v>4.3564356435643561E-2</v>
      </c>
      <c r="EJ331" s="1">
        <f>(Table1[[#This Row],[predicted_4]]-Table1[[#This Row],[actual_4]])/Table1[[#This Row],[actual_4]]</f>
        <v>-1.5274949083503055E-2</v>
      </c>
      <c r="EK331" s="1">
        <f>(Table1[[#This Row],[predicted_5]]-Table1[[#This Row],[actual_5]])/Table1[[#This Row],[actual_5]]</f>
        <v>-3.1390134529147982E-2</v>
      </c>
      <c r="EL331" s="1">
        <f>(Table1[[#This Row],[predicted_6]]-Table1[[#This Row],[actual_6]])/Table1[[#This Row],[actual_6]]</f>
        <v>-3.7578288100208766E-2</v>
      </c>
      <c r="EM331" s="1">
        <f>(Table1[[#This Row],[predicted_7]]-Table1[[#This Row],[actual_7]])/Table1[[#This Row],[actual_7]]</f>
        <v>7.1984435797665364E-2</v>
      </c>
      <c r="EN331" s="1">
        <f>(Table1[[#This Row],[predicted_8]]-Table1[[#This Row],[actual_8]])/Table1[[#This Row],[actual_8]]</f>
        <v>-4.8254620123203286E-2</v>
      </c>
      <c r="EO331" s="1">
        <f>(Table1[[#This Row],[predicted_9]]-Table1[[#This Row],[actual_9]])/Table1[[#This Row],[actual_9]]</f>
        <v>1.6848364717542121E-2</v>
      </c>
      <c r="EP331" s="1">
        <f>1+(Table1[[#This Row],[error_ratio_0]]-EF$2)</f>
        <v>1.0683673469387756</v>
      </c>
      <c r="EQ331" s="1">
        <f>1+(Table1[[#This Row],[error_ratio_1]]-EG$2)</f>
        <v>0.99647577092511008</v>
      </c>
      <c r="ER331" s="1">
        <f>1+(Table1[[#This Row],[error_ratio_2]]-EH$2)</f>
        <v>0.93120155038759689</v>
      </c>
      <c r="ES331" s="1">
        <f>1+(Table1[[#This Row],[error_ratio_3]]-EI$2)</f>
        <v>1.0336633663366337</v>
      </c>
      <c r="ET331" s="1">
        <f>1+(Table1[[#This Row],[error_ratio_4]]-EJ$2)</f>
        <v>0.9837067209775967</v>
      </c>
      <c r="EU331" s="1">
        <f>1+(Table1[[#This Row],[error_ratio_5]]-EK$2)</f>
        <v>0.96748878923766812</v>
      </c>
      <c r="EV331" s="1">
        <f>1+(Table1[[#This Row],[error_ratio_6]]-EL$2)</f>
        <v>0.96868475991649272</v>
      </c>
      <c r="EW331" s="1">
        <f>1+(Table1[[#This Row],[error_ratio_7]]-EM$2)</f>
        <v>1.0700389105058365</v>
      </c>
      <c r="EX331" s="1">
        <f>1+(Table1[[#This Row],[error_ratio_8]]-EN$2)</f>
        <v>0.95482546201232033</v>
      </c>
      <c r="EY331" s="1">
        <f>1+(Table1[[#This Row],[error_ratio_9]]-EO$2)</f>
        <v>1.0208126858275521</v>
      </c>
    </row>
    <row r="332" spans="1:155" x14ac:dyDescent="0.75">
      <c r="A332">
        <v>10</v>
      </c>
      <c r="B332">
        <v>10</v>
      </c>
      <c r="C332">
        <v>10</v>
      </c>
      <c r="D332">
        <v>100</v>
      </c>
      <c r="E332">
        <v>100</v>
      </c>
      <c r="F332">
        <v>10</v>
      </c>
      <c r="G332">
        <v>10</v>
      </c>
      <c r="H332">
        <v>100</v>
      </c>
      <c r="I332">
        <v>10</v>
      </c>
      <c r="J332">
        <v>100</v>
      </c>
      <c r="K332">
        <v>1003</v>
      </c>
      <c r="L332">
        <v>1105</v>
      </c>
      <c r="M332">
        <v>902</v>
      </c>
      <c r="N332">
        <v>1144</v>
      </c>
      <c r="O332">
        <v>968</v>
      </c>
      <c r="P332">
        <v>826</v>
      </c>
      <c r="Q332">
        <v>928</v>
      </c>
      <c r="R332">
        <v>1081</v>
      </c>
      <c r="S332">
        <v>1029</v>
      </c>
      <c r="T332">
        <v>1014</v>
      </c>
      <c r="U332">
        <v>980</v>
      </c>
      <c r="V332">
        <v>1135</v>
      </c>
      <c r="W332">
        <v>1032</v>
      </c>
      <c r="X332">
        <v>1010</v>
      </c>
      <c r="Y332">
        <v>982</v>
      </c>
      <c r="Z332">
        <v>892</v>
      </c>
      <c r="AA332">
        <v>958</v>
      </c>
      <c r="AB332">
        <v>1028</v>
      </c>
      <c r="AC332">
        <v>974</v>
      </c>
      <c r="AD332">
        <v>1009</v>
      </c>
      <c r="AE332">
        <v>969</v>
      </c>
      <c r="AF332">
        <v>0</v>
      </c>
      <c r="AG332">
        <v>0</v>
      </c>
      <c r="AH332">
        <v>1</v>
      </c>
      <c r="AI332">
        <v>1</v>
      </c>
      <c r="AJ332">
        <v>0</v>
      </c>
      <c r="AK332">
        <v>1</v>
      </c>
      <c r="AL332">
        <v>2</v>
      </c>
      <c r="AM332">
        <v>6</v>
      </c>
      <c r="AN332">
        <v>0</v>
      </c>
      <c r="AO332">
        <v>0</v>
      </c>
      <c r="AP332">
        <v>1102</v>
      </c>
      <c r="AQ332">
        <v>0</v>
      </c>
      <c r="AR332">
        <v>6</v>
      </c>
      <c r="AS332">
        <v>3</v>
      </c>
      <c r="AT332">
        <v>1</v>
      </c>
      <c r="AU332">
        <v>0</v>
      </c>
      <c r="AV332">
        <v>11</v>
      </c>
      <c r="AW332">
        <v>12</v>
      </c>
      <c r="AX332">
        <v>0</v>
      </c>
      <c r="AY332">
        <v>6</v>
      </c>
      <c r="AZ332">
        <v>0</v>
      </c>
      <c r="BA332">
        <v>896</v>
      </c>
      <c r="BB332">
        <v>60</v>
      </c>
      <c r="BC332">
        <v>6</v>
      </c>
      <c r="BD332">
        <v>1</v>
      </c>
      <c r="BE332">
        <v>1</v>
      </c>
      <c r="BF332">
        <v>29</v>
      </c>
      <c r="BG332">
        <v>32</v>
      </c>
      <c r="BH332">
        <v>1</v>
      </c>
      <c r="BI332">
        <v>0</v>
      </c>
      <c r="BJ332">
        <v>0</v>
      </c>
      <c r="BK332">
        <v>1</v>
      </c>
      <c r="BL332">
        <v>1005</v>
      </c>
      <c r="BM332">
        <v>0</v>
      </c>
      <c r="BN332">
        <v>0</v>
      </c>
      <c r="BO332">
        <v>0</v>
      </c>
      <c r="BP332">
        <v>3</v>
      </c>
      <c r="BQ332">
        <v>1</v>
      </c>
      <c r="BR332">
        <v>0</v>
      </c>
      <c r="BS332">
        <v>0</v>
      </c>
      <c r="BT332">
        <v>0</v>
      </c>
      <c r="BU332">
        <v>1</v>
      </c>
      <c r="BV332">
        <v>1</v>
      </c>
      <c r="BW332">
        <v>952</v>
      </c>
      <c r="BX332">
        <v>0</v>
      </c>
      <c r="BY332">
        <v>4</v>
      </c>
      <c r="BZ332">
        <v>1</v>
      </c>
      <c r="CA332">
        <v>1</v>
      </c>
      <c r="CB332">
        <v>22</v>
      </c>
      <c r="CC332">
        <v>8</v>
      </c>
      <c r="CD332">
        <v>0</v>
      </c>
      <c r="CE332">
        <v>0</v>
      </c>
      <c r="CF332">
        <v>51</v>
      </c>
      <c r="CG332">
        <v>0</v>
      </c>
      <c r="CH332">
        <v>816</v>
      </c>
      <c r="CI332">
        <v>4</v>
      </c>
      <c r="CJ332">
        <v>1</v>
      </c>
      <c r="CK332">
        <v>11</v>
      </c>
      <c r="CL332">
        <v>1</v>
      </c>
      <c r="CM332">
        <v>11</v>
      </c>
      <c r="CN332">
        <v>3</v>
      </c>
      <c r="CO332">
        <v>0</v>
      </c>
      <c r="CP332">
        <v>2</v>
      </c>
      <c r="CQ332">
        <v>5</v>
      </c>
      <c r="CR332">
        <v>7</v>
      </c>
      <c r="CS332">
        <v>917</v>
      </c>
      <c r="CT332">
        <v>0</v>
      </c>
      <c r="CU332">
        <v>13</v>
      </c>
      <c r="CV332">
        <v>0</v>
      </c>
      <c r="CW332">
        <v>0</v>
      </c>
      <c r="CX332">
        <v>0</v>
      </c>
      <c r="CY332">
        <v>3</v>
      </c>
      <c r="CZ332">
        <v>0</v>
      </c>
      <c r="DA332">
        <v>0</v>
      </c>
      <c r="DB332">
        <v>0</v>
      </c>
      <c r="DC332">
        <v>0</v>
      </c>
      <c r="DD332">
        <v>1022</v>
      </c>
      <c r="DE332">
        <v>0</v>
      </c>
      <c r="DF332">
        <v>3</v>
      </c>
      <c r="DG332">
        <v>3</v>
      </c>
      <c r="DH332">
        <v>0</v>
      </c>
      <c r="DI332">
        <v>1</v>
      </c>
      <c r="DJ332">
        <v>6</v>
      </c>
      <c r="DK332">
        <v>0</v>
      </c>
      <c r="DL332">
        <v>0</v>
      </c>
      <c r="DM332">
        <v>1</v>
      </c>
      <c r="DN332">
        <v>6</v>
      </c>
      <c r="DO332">
        <v>953</v>
      </c>
      <c r="DP332">
        <v>4</v>
      </c>
      <c r="DQ332">
        <v>6</v>
      </c>
      <c r="DR332">
        <v>0</v>
      </c>
      <c r="DS332">
        <v>0</v>
      </c>
      <c r="DT332">
        <v>12</v>
      </c>
      <c r="DU332">
        <v>1</v>
      </c>
      <c r="DV332">
        <v>1</v>
      </c>
      <c r="DW332">
        <v>0</v>
      </c>
      <c r="DX332">
        <v>6</v>
      </c>
      <c r="DY332">
        <v>0</v>
      </c>
      <c r="DZ332">
        <v>983</v>
      </c>
      <c r="EA332">
        <v>0.96150000000000002</v>
      </c>
      <c r="EB332">
        <v>0.96357332699415199</v>
      </c>
      <c r="EC332">
        <v>0.96112527548413096</v>
      </c>
      <c r="ED332">
        <v>0.96123171964947696</v>
      </c>
      <c r="EE332">
        <f>SUM(Table1[[#This Row],[ratio_0]:[ratio_9]])</f>
        <v>460</v>
      </c>
      <c r="EF332" s="1">
        <f>(Table1[[#This Row],[predicted_0]]-Table1[[#This Row],[actual_0]])/Table1[[#This Row],[actual_0]]</f>
        <v>2.3469387755102041E-2</v>
      </c>
      <c r="EG332" s="1">
        <f>(Table1[[#This Row],[predicted_1]]-Table1[[#This Row],[actual_1]])/Table1[[#This Row],[actual_1]]</f>
        <v>-2.643171806167401E-2</v>
      </c>
      <c r="EH332" s="1">
        <f>(Table1[[#This Row],[predicted_2]]-Table1[[#This Row],[actual_2]])/Table1[[#This Row],[actual_2]]</f>
        <v>-0.12596899224806202</v>
      </c>
      <c r="EI332" s="1">
        <f>(Table1[[#This Row],[predicted_3]]-Table1[[#This Row],[actual_3]])/Table1[[#This Row],[actual_3]]</f>
        <v>0.13267326732673268</v>
      </c>
      <c r="EJ332" s="1">
        <f>(Table1[[#This Row],[predicted_4]]-Table1[[#This Row],[actual_4]])/Table1[[#This Row],[actual_4]]</f>
        <v>-1.4256619144602852E-2</v>
      </c>
      <c r="EK332" s="1">
        <f>(Table1[[#This Row],[predicted_5]]-Table1[[#This Row],[actual_5]])/Table1[[#This Row],[actual_5]]</f>
        <v>-7.3991031390134535E-2</v>
      </c>
      <c r="EL332" s="1">
        <f>(Table1[[#This Row],[predicted_6]]-Table1[[#This Row],[actual_6]])/Table1[[#This Row],[actual_6]]</f>
        <v>-3.1315240083507306E-2</v>
      </c>
      <c r="EM332" s="1">
        <f>(Table1[[#This Row],[predicted_7]]-Table1[[#This Row],[actual_7]])/Table1[[#This Row],[actual_7]]</f>
        <v>5.1556420233463032E-2</v>
      </c>
      <c r="EN332" s="1">
        <f>(Table1[[#This Row],[predicted_8]]-Table1[[#This Row],[actual_8]])/Table1[[#This Row],[actual_8]]</f>
        <v>5.6468172484599587E-2</v>
      </c>
      <c r="EO332" s="1">
        <f>(Table1[[#This Row],[predicted_9]]-Table1[[#This Row],[actual_9]])/Table1[[#This Row],[actual_9]]</f>
        <v>4.9554013875123884E-3</v>
      </c>
      <c r="EP332" s="1">
        <f>1+(Table1[[#This Row],[error_ratio_0]]-EF$2)</f>
        <v>1.0214285714285714</v>
      </c>
      <c r="EQ332" s="1">
        <f>1+(Table1[[#This Row],[error_ratio_1]]-EG$2)</f>
        <v>0.9718061674008811</v>
      </c>
      <c r="ER332" s="1">
        <f>1+(Table1[[#This Row],[error_ratio_2]]-EH$2)</f>
        <v>0.87887596899224807</v>
      </c>
      <c r="ES332" s="1">
        <f>1+(Table1[[#This Row],[error_ratio_3]]-EI$2)</f>
        <v>1.1227722772277229</v>
      </c>
      <c r="ET332" s="1">
        <f>1+(Table1[[#This Row],[error_ratio_4]]-EJ$2)</f>
        <v>0.98472505091649698</v>
      </c>
      <c r="EU332" s="1">
        <f>1+(Table1[[#This Row],[error_ratio_5]]-EK$2)</f>
        <v>0.92488789237668156</v>
      </c>
      <c r="EV332" s="1">
        <f>1+(Table1[[#This Row],[error_ratio_6]]-EL$2)</f>
        <v>0.97494780793319413</v>
      </c>
      <c r="EW332" s="1">
        <f>1+(Table1[[#This Row],[error_ratio_7]]-EM$2)</f>
        <v>1.0496108949416343</v>
      </c>
      <c r="EX332" s="1">
        <f>1+(Table1[[#This Row],[error_ratio_8]]-EN$2)</f>
        <v>1.0595482546201231</v>
      </c>
      <c r="EY332" s="1">
        <f>1+(Table1[[#This Row],[error_ratio_9]]-EO$2)</f>
        <v>1.0089197224975224</v>
      </c>
    </row>
    <row r="333" spans="1:155" x14ac:dyDescent="0.75">
      <c r="A333">
        <v>100</v>
      </c>
      <c r="B333">
        <v>100</v>
      </c>
      <c r="C333">
        <v>100</v>
      </c>
      <c r="D333">
        <v>10</v>
      </c>
      <c r="E333">
        <v>100</v>
      </c>
      <c r="F333">
        <v>10</v>
      </c>
      <c r="G333">
        <v>10</v>
      </c>
      <c r="H333">
        <v>100</v>
      </c>
      <c r="I333">
        <v>10</v>
      </c>
      <c r="J333">
        <v>100</v>
      </c>
      <c r="K333">
        <v>1066</v>
      </c>
      <c r="L333">
        <v>1144</v>
      </c>
      <c r="M333">
        <v>1052</v>
      </c>
      <c r="N333">
        <v>972</v>
      </c>
      <c r="O333">
        <v>1029</v>
      </c>
      <c r="P333">
        <v>797</v>
      </c>
      <c r="Q333">
        <v>837</v>
      </c>
      <c r="R333">
        <v>1061</v>
      </c>
      <c r="S333">
        <v>1028</v>
      </c>
      <c r="T333">
        <v>1014</v>
      </c>
      <c r="U333">
        <v>980</v>
      </c>
      <c r="V333">
        <v>1135</v>
      </c>
      <c r="W333">
        <v>1032</v>
      </c>
      <c r="X333">
        <v>1010</v>
      </c>
      <c r="Y333">
        <v>982</v>
      </c>
      <c r="Z333">
        <v>892</v>
      </c>
      <c r="AA333">
        <v>958</v>
      </c>
      <c r="AB333">
        <v>1028</v>
      </c>
      <c r="AC333">
        <v>974</v>
      </c>
      <c r="AD333">
        <v>1009</v>
      </c>
      <c r="AE333">
        <v>975</v>
      </c>
      <c r="AF333">
        <v>1</v>
      </c>
      <c r="AG333">
        <v>0</v>
      </c>
      <c r="AH333">
        <v>0</v>
      </c>
      <c r="AI333">
        <v>1</v>
      </c>
      <c r="AJ333">
        <v>0</v>
      </c>
      <c r="AK333">
        <v>0</v>
      </c>
      <c r="AL333">
        <v>2</v>
      </c>
      <c r="AM333">
        <v>1</v>
      </c>
      <c r="AN333">
        <v>0</v>
      </c>
      <c r="AO333">
        <v>0</v>
      </c>
      <c r="AP333">
        <v>1130</v>
      </c>
      <c r="AQ333">
        <v>3</v>
      </c>
      <c r="AR333">
        <v>1</v>
      </c>
      <c r="AS333">
        <v>0</v>
      </c>
      <c r="AT333">
        <v>0</v>
      </c>
      <c r="AU333">
        <v>0</v>
      </c>
      <c r="AV333">
        <v>0</v>
      </c>
      <c r="AW333">
        <v>1</v>
      </c>
      <c r="AX333">
        <v>0</v>
      </c>
      <c r="AY333">
        <v>0</v>
      </c>
      <c r="AZ333">
        <v>1</v>
      </c>
      <c r="BA333">
        <v>1024</v>
      </c>
      <c r="BB333">
        <v>0</v>
      </c>
      <c r="BC333">
        <v>0</v>
      </c>
      <c r="BD333">
        <v>0</v>
      </c>
      <c r="BE333">
        <v>0</v>
      </c>
      <c r="BF333">
        <v>6</v>
      </c>
      <c r="BG333">
        <v>1</v>
      </c>
      <c r="BH333">
        <v>0</v>
      </c>
      <c r="BI333">
        <v>6</v>
      </c>
      <c r="BJ333">
        <v>0</v>
      </c>
      <c r="BK333">
        <v>10</v>
      </c>
      <c r="BL333">
        <v>954</v>
      </c>
      <c r="BM333">
        <v>0</v>
      </c>
      <c r="BN333">
        <v>8</v>
      </c>
      <c r="BO333">
        <v>0</v>
      </c>
      <c r="BP333">
        <v>13</v>
      </c>
      <c r="BQ333">
        <v>10</v>
      </c>
      <c r="BR333">
        <v>9</v>
      </c>
      <c r="BS333">
        <v>0</v>
      </c>
      <c r="BT333">
        <v>0</v>
      </c>
      <c r="BU333">
        <v>0</v>
      </c>
      <c r="BV333">
        <v>0</v>
      </c>
      <c r="BW333">
        <v>977</v>
      </c>
      <c r="BX333">
        <v>0</v>
      </c>
      <c r="BY333">
        <v>0</v>
      </c>
      <c r="BZ333">
        <v>0</v>
      </c>
      <c r="CA333">
        <v>0</v>
      </c>
      <c r="CB333">
        <v>5</v>
      </c>
      <c r="CC333">
        <v>14</v>
      </c>
      <c r="CD333">
        <v>0</v>
      </c>
      <c r="CE333">
        <v>1</v>
      </c>
      <c r="CF333">
        <v>11</v>
      </c>
      <c r="CG333">
        <v>0</v>
      </c>
      <c r="CH333">
        <v>786</v>
      </c>
      <c r="CI333">
        <v>2</v>
      </c>
      <c r="CJ333">
        <v>10</v>
      </c>
      <c r="CK333">
        <v>62</v>
      </c>
      <c r="CL333">
        <v>6</v>
      </c>
      <c r="CM333">
        <v>54</v>
      </c>
      <c r="CN333">
        <v>4</v>
      </c>
      <c r="CO333">
        <v>5</v>
      </c>
      <c r="CP333">
        <v>0</v>
      </c>
      <c r="CQ333">
        <v>43</v>
      </c>
      <c r="CR333">
        <v>2</v>
      </c>
      <c r="CS333">
        <v>835</v>
      </c>
      <c r="CT333">
        <v>0</v>
      </c>
      <c r="CU333">
        <v>15</v>
      </c>
      <c r="CV333">
        <v>0</v>
      </c>
      <c r="CW333">
        <v>1</v>
      </c>
      <c r="CX333">
        <v>5</v>
      </c>
      <c r="CY333">
        <v>5</v>
      </c>
      <c r="CZ333">
        <v>1</v>
      </c>
      <c r="DA333">
        <v>0</v>
      </c>
      <c r="DB333">
        <v>0</v>
      </c>
      <c r="DC333">
        <v>0</v>
      </c>
      <c r="DD333">
        <v>1013</v>
      </c>
      <c r="DE333">
        <v>1</v>
      </c>
      <c r="DF333">
        <v>2</v>
      </c>
      <c r="DG333">
        <v>9</v>
      </c>
      <c r="DH333">
        <v>2</v>
      </c>
      <c r="DI333">
        <v>4</v>
      </c>
      <c r="DJ333">
        <v>3</v>
      </c>
      <c r="DK333">
        <v>1</v>
      </c>
      <c r="DL333">
        <v>1</v>
      </c>
      <c r="DM333">
        <v>0</v>
      </c>
      <c r="DN333">
        <v>7</v>
      </c>
      <c r="DO333">
        <v>933</v>
      </c>
      <c r="DP333">
        <v>14</v>
      </c>
      <c r="DQ333">
        <v>7</v>
      </c>
      <c r="DR333">
        <v>1</v>
      </c>
      <c r="DS333">
        <v>0</v>
      </c>
      <c r="DT333">
        <v>2</v>
      </c>
      <c r="DU333">
        <v>7</v>
      </c>
      <c r="DV333">
        <v>0</v>
      </c>
      <c r="DW333">
        <v>0</v>
      </c>
      <c r="DX333">
        <v>10</v>
      </c>
      <c r="DY333">
        <v>4</v>
      </c>
      <c r="DZ333">
        <v>978</v>
      </c>
      <c r="EA333">
        <v>0.96050000000000002</v>
      </c>
      <c r="EB333">
        <v>0.96173804043973898</v>
      </c>
      <c r="EC333">
        <v>0.95875675914032799</v>
      </c>
      <c r="ED333">
        <v>0.95916687754786101</v>
      </c>
      <c r="EE333">
        <f>SUM(Table1[[#This Row],[ratio_0]:[ratio_9]])</f>
        <v>640</v>
      </c>
      <c r="EF333" s="1">
        <f>(Table1[[#This Row],[predicted_0]]-Table1[[#This Row],[actual_0]])/Table1[[#This Row],[actual_0]]</f>
        <v>8.7755102040816324E-2</v>
      </c>
      <c r="EG333" s="1">
        <f>(Table1[[#This Row],[predicted_1]]-Table1[[#This Row],[actual_1]])/Table1[[#This Row],[actual_1]]</f>
        <v>7.9295154185022032E-3</v>
      </c>
      <c r="EH333" s="1">
        <f>(Table1[[#This Row],[predicted_2]]-Table1[[#This Row],[actual_2]])/Table1[[#This Row],[actual_2]]</f>
        <v>1.937984496124031E-2</v>
      </c>
      <c r="EI333" s="1">
        <f>(Table1[[#This Row],[predicted_3]]-Table1[[#This Row],[actual_3]])/Table1[[#This Row],[actual_3]]</f>
        <v>-3.7623762376237622E-2</v>
      </c>
      <c r="EJ333" s="1">
        <f>(Table1[[#This Row],[predicted_4]]-Table1[[#This Row],[actual_4]])/Table1[[#This Row],[actual_4]]</f>
        <v>4.7861507128309569E-2</v>
      </c>
      <c r="EK333" s="1">
        <f>(Table1[[#This Row],[predicted_5]]-Table1[[#This Row],[actual_5]])/Table1[[#This Row],[actual_5]]</f>
        <v>-0.10650224215246637</v>
      </c>
      <c r="EL333" s="1">
        <f>(Table1[[#This Row],[predicted_6]]-Table1[[#This Row],[actual_6]])/Table1[[#This Row],[actual_6]]</f>
        <v>-0.12630480167014613</v>
      </c>
      <c r="EM333" s="1">
        <f>(Table1[[#This Row],[predicted_7]]-Table1[[#This Row],[actual_7]])/Table1[[#This Row],[actual_7]]</f>
        <v>3.2101167315175094E-2</v>
      </c>
      <c r="EN333" s="1">
        <f>(Table1[[#This Row],[predicted_8]]-Table1[[#This Row],[actual_8]])/Table1[[#This Row],[actual_8]]</f>
        <v>5.5441478439425054E-2</v>
      </c>
      <c r="EO333" s="1">
        <f>(Table1[[#This Row],[predicted_9]]-Table1[[#This Row],[actual_9]])/Table1[[#This Row],[actual_9]]</f>
        <v>4.9554013875123884E-3</v>
      </c>
      <c r="EP333" s="1">
        <f>1+(Table1[[#This Row],[error_ratio_0]]-EF$2)</f>
        <v>1.0857142857142856</v>
      </c>
      <c r="EQ333" s="1">
        <f>1+(Table1[[#This Row],[error_ratio_1]]-EG$2)</f>
        <v>1.0061674008810573</v>
      </c>
      <c r="ER333" s="1">
        <f>1+(Table1[[#This Row],[error_ratio_2]]-EH$2)</f>
        <v>1.0242248062015504</v>
      </c>
      <c r="ES333" s="1">
        <f>1+(Table1[[#This Row],[error_ratio_3]]-EI$2)</f>
        <v>0.95247524752475243</v>
      </c>
      <c r="ET333" s="1">
        <f>1+(Table1[[#This Row],[error_ratio_4]]-EJ$2)</f>
        <v>1.0468431771894093</v>
      </c>
      <c r="EU333" s="1">
        <f>1+(Table1[[#This Row],[error_ratio_5]]-EK$2)</f>
        <v>0.8923766816143498</v>
      </c>
      <c r="EV333" s="1">
        <f>1+(Table1[[#This Row],[error_ratio_6]]-EL$2)</f>
        <v>0.87995824634655539</v>
      </c>
      <c r="EW333" s="1">
        <f>1+(Table1[[#This Row],[error_ratio_7]]-EM$2)</f>
        <v>1.0301556420233462</v>
      </c>
      <c r="EX333" s="1">
        <f>1+(Table1[[#This Row],[error_ratio_8]]-EN$2)</f>
        <v>1.0585215605749487</v>
      </c>
      <c r="EY333" s="1">
        <f>1+(Table1[[#This Row],[error_ratio_9]]-EO$2)</f>
        <v>1.0089197224975224</v>
      </c>
    </row>
    <row r="334" spans="1:155" x14ac:dyDescent="0.75">
      <c r="A334">
        <v>10</v>
      </c>
      <c r="B334">
        <v>100</v>
      </c>
      <c r="C334">
        <v>100</v>
      </c>
      <c r="D334">
        <v>10</v>
      </c>
      <c r="E334">
        <v>100</v>
      </c>
      <c r="F334">
        <v>10</v>
      </c>
      <c r="G334">
        <v>10</v>
      </c>
      <c r="H334">
        <v>100</v>
      </c>
      <c r="I334">
        <v>10</v>
      </c>
      <c r="J334">
        <v>100</v>
      </c>
      <c r="K334">
        <v>970</v>
      </c>
      <c r="L334">
        <v>1135</v>
      </c>
      <c r="M334">
        <v>1046</v>
      </c>
      <c r="N334">
        <v>1015</v>
      </c>
      <c r="O334">
        <v>1034</v>
      </c>
      <c r="P334">
        <v>827</v>
      </c>
      <c r="Q334">
        <v>932</v>
      </c>
      <c r="R334">
        <v>1059</v>
      </c>
      <c r="S334">
        <v>962</v>
      </c>
      <c r="T334">
        <v>1020</v>
      </c>
      <c r="U334">
        <v>980</v>
      </c>
      <c r="V334">
        <v>1135</v>
      </c>
      <c r="W334">
        <v>1032</v>
      </c>
      <c r="X334">
        <v>1010</v>
      </c>
      <c r="Y334">
        <v>982</v>
      </c>
      <c r="Z334">
        <v>892</v>
      </c>
      <c r="AA334">
        <v>958</v>
      </c>
      <c r="AB334">
        <v>1028</v>
      </c>
      <c r="AC334">
        <v>974</v>
      </c>
      <c r="AD334">
        <v>1009</v>
      </c>
      <c r="AE334">
        <v>955</v>
      </c>
      <c r="AF334">
        <v>0</v>
      </c>
      <c r="AG334">
        <v>2</v>
      </c>
      <c r="AH334">
        <v>0</v>
      </c>
      <c r="AI334">
        <v>3</v>
      </c>
      <c r="AJ334">
        <v>0</v>
      </c>
      <c r="AK334">
        <v>8</v>
      </c>
      <c r="AL334">
        <v>5</v>
      </c>
      <c r="AM334">
        <v>6</v>
      </c>
      <c r="AN334">
        <v>1</v>
      </c>
      <c r="AO334">
        <v>0</v>
      </c>
      <c r="AP334">
        <v>1128</v>
      </c>
      <c r="AQ334">
        <v>0</v>
      </c>
      <c r="AR334">
        <v>0</v>
      </c>
      <c r="AS334">
        <v>0</v>
      </c>
      <c r="AT334">
        <v>0</v>
      </c>
      <c r="AU334">
        <v>3</v>
      </c>
      <c r="AV334">
        <v>2</v>
      </c>
      <c r="AW334">
        <v>2</v>
      </c>
      <c r="AX334">
        <v>0</v>
      </c>
      <c r="AY334">
        <v>1</v>
      </c>
      <c r="AZ334">
        <v>0</v>
      </c>
      <c r="BA334">
        <v>1019</v>
      </c>
      <c r="BB334">
        <v>0</v>
      </c>
      <c r="BC334">
        <v>1</v>
      </c>
      <c r="BD334">
        <v>2</v>
      </c>
      <c r="BE334">
        <v>2</v>
      </c>
      <c r="BF334">
        <v>7</v>
      </c>
      <c r="BG334">
        <v>0</v>
      </c>
      <c r="BH334">
        <v>0</v>
      </c>
      <c r="BI334">
        <v>0</v>
      </c>
      <c r="BJ334">
        <v>0</v>
      </c>
      <c r="BK334">
        <v>5</v>
      </c>
      <c r="BL334">
        <v>986</v>
      </c>
      <c r="BM334">
        <v>1</v>
      </c>
      <c r="BN334">
        <v>2</v>
      </c>
      <c r="BO334">
        <v>0</v>
      </c>
      <c r="BP334">
        <v>10</v>
      </c>
      <c r="BQ334">
        <v>2</v>
      </c>
      <c r="BR334">
        <v>4</v>
      </c>
      <c r="BS334">
        <v>0</v>
      </c>
      <c r="BT334">
        <v>0</v>
      </c>
      <c r="BU334">
        <v>0</v>
      </c>
      <c r="BV334">
        <v>0</v>
      </c>
      <c r="BW334">
        <v>980</v>
      </c>
      <c r="BX334">
        <v>0</v>
      </c>
      <c r="BY334">
        <v>1</v>
      </c>
      <c r="BZ334">
        <v>0</v>
      </c>
      <c r="CA334">
        <v>0</v>
      </c>
      <c r="CB334">
        <v>1</v>
      </c>
      <c r="CC334">
        <v>5</v>
      </c>
      <c r="CD334">
        <v>0</v>
      </c>
      <c r="CE334">
        <v>1</v>
      </c>
      <c r="CF334">
        <v>22</v>
      </c>
      <c r="CG334">
        <v>3</v>
      </c>
      <c r="CH334">
        <v>810</v>
      </c>
      <c r="CI334">
        <v>6</v>
      </c>
      <c r="CJ334">
        <v>6</v>
      </c>
      <c r="CK334">
        <v>18</v>
      </c>
      <c r="CL334">
        <v>21</v>
      </c>
      <c r="CM334">
        <v>5</v>
      </c>
      <c r="CN334">
        <v>5</v>
      </c>
      <c r="CO334">
        <v>1</v>
      </c>
      <c r="CP334">
        <v>0</v>
      </c>
      <c r="CQ334">
        <v>26</v>
      </c>
      <c r="CR334">
        <v>7</v>
      </c>
      <c r="CS334">
        <v>910</v>
      </c>
      <c r="CT334">
        <v>0</v>
      </c>
      <c r="CU334">
        <v>4</v>
      </c>
      <c r="CV334">
        <v>0</v>
      </c>
      <c r="CW334">
        <v>1</v>
      </c>
      <c r="CX334">
        <v>2</v>
      </c>
      <c r="CY334">
        <v>8</v>
      </c>
      <c r="CZ334">
        <v>0</v>
      </c>
      <c r="DA334">
        <v>0</v>
      </c>
      <c r="DB334">
        <v>0</v>
      </c>
      <c r="DC334">
        <v>0</v>
      </c>
      <c r="DD334">
        <v>1015</v>
      </c>
      <c r="DE334">
        <v>1</v>
      </c>
      <c r="DF334">
        <v>1</v>
      </c>
      <c r="DG334">
        <v>2</v>
      </c>
      <c r="DH334">
        <v>0</v>
      </c>
      <c r="DI334">
        <v>9</v>
      </c>
      <c r="DJ334">
        <v>4</v>
      </c>
      <c r="DK334">
        <v>7</v>
      </c>
      <c r="DL334">
        <v>2</v>
      </c>
      <c r="DM334">
        <v>2</v>
      </c>
      <c r="DN334">
        <v>10</v>
      </c>
      <c r="DO334">
        <v>928</v>
      </c>
      <c r="DP334">
        <v>10</v>
      </c>
      <c r="DQ334">
        <v>1</v>
      </c>
      <c r="DR334">
        <v>0</v>
      </c>
      <c r="DS334">
        <v>1</v>
      </c>
      <c r="DT334">
        <v>3</v>
      </c>
      <c r="DU334">
        <v>13</v>
      </c>
      <c r="DV334">
        <v>4</v>
      </c>
      <c r="DW334">
        <v>0</v>
      </c>
      <c r="DX334">
        <v>4</v>
      </c>
      <c r="DY334">
        <v>1</v>
      </c>
      <c r="DZ334">
        <v>982</v>
      </c>
      <c r="EA334">
        <v>0.97130000000000005</v>
      </c>
      <c r="EB334">
        <v>0.97134523165157005</v>
      </c>
      <c r="EC334">
        <v>0.97012608164749004</v>
      </c>
      <c r="ED334">
        <v>0.97048214925845699</v>
      </c>
      <c r="EE334">
        <f>SUM(Table1[[#This Row],[ratio_0]:[ratio_9]])</f>
        <v>550</v>
      </c>
      <c r="EF334" s="1">
        <f>(Table1[[#This Row],[predicted_0]]-Table1[[#This Row],[actual_0]])/Table1[[#This Row],[actual_0]]</f>
        <v>-1.020408163265306E-2</v>
      </c>
      <c r="EG334" s="1">
        <f>(Table1[[#This Row],[predicted_1]]-Table1[[#This Row],[actual_1]])/Table1[[#This Row],[actual_1]]</f>
        <v>0</v>
      </c>
      <c r="EH334" s="1">
        <f>(Table1[[#This Row],[predicted_2]]-Table1[[#This Row],[actual_2]])/Table1[[#This Row],[actual_2]]</f>
        <v>1.3565891472868217E-2</v>
      </c>
      <c r="EI334" s="1">
        <f>(Table1[[#This Row],[predicted_3]]-Table1[[#This Row],[actual_3]])/Table1[[#This Row],[actual_3]]</f>
        <v>4.9504950495049506E-3</v>
      </c>
      <c r="EJ334" s="1">
        <f>(Table1[[#This Row],[predicted_4]]-Table1[[#This Row],[actual_4]])/Table1[[#This Row],[actual_4]]</f>
        <v>5.2953156822810592E-2</v>
      </c>
      <c r="EK334" s="1">
        <f>(Table1[[#This Row],[predicted_5]]-Table1[[#This Row],[actual_5]])/Table1[[#This Row],[actual_5]]</f>
        <v>-7.2869955156950675E-2</v>
      </c>
      <c r="EL334" s="1">
        <f>(Table1[[#This Row],[predicted_6]]-Table1[[#This Row],[actual_6]])/Table1[[#This Row],[actual_6]]</f>
        <v>-2.7139874739039668E-2</v>
      </c>
      <c r="EM334" s="1">
        <f>(Table1[[#This Row],[predicted_7]]-Table1[[#This Row],[actual_7]])/Table1[[#This Row],[actual_7]]</f>
        <v>3.0155642023346304E-2</v>
      </c>
      <c r="EN334" s="1">
        <f>(Table1[[#This Row],[predicted_8]]-Table1[[#This Row],[actual_8]])/Table1[[#This Row],[actual_8]]</f>
        <v>-1.2320328542094456E-2</v>
      </c>
      <c r="EO334" s="1">
        <f>(Table1[[#This Row],[predicted_9]]-Table1[[#This Row],[actual_9]])/Table1[[#This Row],[actual_9]]</f>
        <v>1.0901883052527254E-2</v>
      </c>
      <c r="EP334" s="1">
        <f>1+(Table1[[#This Row],[error_ratio_0]]-EF$2)</f>
        <v>0.98775510204081629</v>
      </c>
      <c r="EQ334" s="1">
        <f>1+(Table1[[#This Row],[error_ratio_1]]-EG$2)</f>
        <v>0.9982378854625551</v>
      </c>
      <c r="ER334" s="1">
        <f>1+(Table1[[#This Row],[error_ratio_2]]-EH$2)</f>
        <v>1.0184108527131783</v>
      </c>
      <c r="ES334" s="1">
        <f>1+(Table1[[#This Row],[error_ratio_3]]-EI$2)</f>
        <v>0.99504950495049505</v>
      </c>
      <c r="ET334" s="1">
        <f>1+(Table1[[#This Row],[error_ratio_4]]-EJ$2)</f>
        <v>1.0519348268839104</v>
      </c>
      <c r="EU334" s="1">
        <f>1+(Table1[[#This Row],[error_ratio_5]]-EK$2)</f>
        <v>0.92600896860986548</v>
      </c>
      <c r="EV334" s="1">
        <f>1+(Table1[[#This Row],[error_ratio_6]]-EL$2)</f>
        <v>0.97912317327766174</v>
      </c>
      <c r="EW334" s="1">
        <f>1+(Table1[[#This Row],[error_ratio_7]]-EM$2)</f>
        <v>1.0282101167315174</v>
      </c>
      <c r="EX334" s="1">
        <f>1+(Table1[[#This Row],[error_ratio_8]]-EN$2)</f>
        <v>0.99075975359342916</v>
      </c>
      <c r="EY334" s="1">
        <f>1+(Table1[[#This Row],[error_ratio_9]]-EO$2)</f>
        <v>1.0148662041625371</v>
      </c>
    </row>
    <row r="335" spans="1:155" x14ac:dyDescent="0.75">
      <c r="A335">
        <v>100</v>
      </c>
      <c r="B335">
        <v>10</v>
      </c>
      <c r="C335">
        <v>100</v>
      </c>
      <c r="D335">
        <v>10</v>
      </c>
      <c r="E335">
        <v>100</v>
      </c>
      <c r="F335">
        <v>10</v>
      </c>
      <c r="G335">
        <v>10</v>
      </c>
      <c r="H335">
        <v>100</v>
      </c>
      <c r="I335">
        <v>10</v>
      </c>
      <c r="J335">
        <v>100</v>
      </c>
      <c r="K335">
        <v>1014</v>
      </c>
      <c r="L335">
        <v>1125</v>
      </c>
      <c r="M335">
        <v>1068</v>
      </c>
      <c r="N335">
        <v>941</v>
      </c>
      <c r="O335">
        <v>1018</v>
      </c>
      <c r="P335">
        <v>845</v>
      </c>
      <c r="Q335">
        <v>928</v>
      </c>
      <c r="R335">
        <v>1021</v>
      </c>
      <c r="S335">
        <v>926</v>
      </c>
      <c r="T335">
        <v>1114</v>
      </c>
      <c r="U335">
        <v>980</v>
      </c>
      <c r="V335">
        <v>1135</v>
      </c>
      <c r="W335">
        <v>1032</v>
      </c>
      <c r="X335">
        <v>1010</v>
      </c>
      <c r="Y335">
        <v>982</v>
      </c>
      <c r="Z335">
        <v>892</v>
      </c>
      <c r="AA335">
        <v>958</v>
      </c>
      <c r="AB335">
        <v>1028</v>
      </c>
      <c r="AC335">
        <v>974</v>
      </c>
      <c r="AD335">
        <v>1009</v>
      </c>
      <c r="AE335">
        <v>974</v>
      </c>
      <c r="AF335">
        <v>0</v>
      </c>
      <c r="AG335">
        <v>0</v>
      </c>
      <c r="AH335">
        <v>0</v>
      </c>
      <c r="AI335">
        <v>0</v>
      </c>
      <c r="AJ335">
        <v>0</v>
      </c>
      <c r="AK335">
        <v>0</v>
      </c>
      <c r="AL335">
        <v>3</v>
      </c>
      <c r="AM335">
        <v>2</v>
      </c>
      <c r="AN335">
        <v>1</v>
      </c>
      <c r="AO335">
        <v>0</v>
      </c>
      <c r="AP335">
        <v>1119</v>
      </c>
      <c r="AQ335">
        <v>6</v>
      </c>
      <c r="AR335">
        <v>0</v>
      </c>
      <c r="AS335">
        <v>2</v>
      </c>
      <c r="AT335">
        <v>1</v>
      </c>
      <c r="AU335">
        <v>2</v>
      </c>
      <c r="AV335">
        <v>0</v>
      </c>
      <c r="AW335">
        <v>3</v>
      </c>
      <c r="AX335">
        <v>2</v>
      </c>
      <c r="AY335">
        <v>3</v>
      </c>
      <c r="AZ335">
        <v>0</v>
      </c>
      <c r="BA335">
        <v>1022</v>
      </c>
      <c r="BB335">
        <v>0</v>
      </c>
      <c r="BC335">
        <v>1</v>
      </c>
      <c r="BD335">
        <v>0</v>
      </c>
      <c r="BE335">
        <v>0</v>
      </c>
      <c r="BF335">
        <v>2</v>
      </c>
      <c r="BG335">
        <v>2</v>
      </c>
      <c r="BH335">
        <v>2</v>
      </c>
      <c r="BI335">
        <v>4</v>
      </c>
      <c r="BJ335">
        <v>0</v>
      </c>
      <c r="BK335">
        <v>10</v>
      </c>
      <c r="BL335">
        <v>929</v>
      </c>
      <c r="BM335">
        <v>1</v>
      </c>
      <c r="BN335">
        <v>6</v>
      </c>
      <c r="BO335">
        <v>0</v>
      </c>
      <c r="BP335">
        <v>16</v>
      </c>
      <c r="BQ335">
        <v>4</v>
      </c>
      <c r="BR335">
        <v>40</v>
      </c>
      <c r="BS335">
        <v>0</v>
      </c>
      <c r="BT335">
        <v>0</v>
      </c>
      <c r="BU335">
        <v>2</v>
      </c>
      <c r="BV335">
        <v>0</v>
      </c>
      <c r="BW335">
        <v>977</v>
      </c>
      <c r="BX335">
        <v>0</v>
      </c>
      <c r="BY335">
        <v>2</v>
      </c>
      <c r="BZ335">
        <v>0</v>
      </c>
      <c r="CA335">
        <v>0</v>
      </c>
      <c r="CB335">
        <v>1</v>
      </c>
      <c r="CC335">
        <v>5</v>
      </c>
      <c r="CD335">
        <v>0</v>
      </c>
      <c r="CE335">
        <v>0</v>
      </c>
      <c r="CF335">
        <v>7</v>
      </c>
      <c r="CG335">
        <v>3</v>
      </c>
      <c r="CH335">
        <v>835</v>
      </c>
      <c r="CI335">
        <v>2</v>
      </c>
      <c r="CJ335">
        <v>5</v>
      </c>
      <c r="CK335">
        <v>4</v>
      </c>
      <c r="CL335">
        <v>31</v>
      </c>
      <c r="CM335">
        <v>18</v>
      </c>
      <c r="CN335">
        <v>3</v>
      </c>
      <c r="CO335">
        <v>1</v>
      </c>
      <c r="CP335">
        <v>0</v>
      </c>
      <c r="CQ335">
        <v>14</v>
      </c>
      <c r="CR335">
        <v>2</v>
      </c>
      <c r="CS335">
        <v>918</v>
      </c>
      <c r="CT335">
        <v>0</v>
      </c>
      <c r="CU335">
        <v>2</v>
      </c>
      <c r="CV335">
        <v>0</v>
      </c>
      <c r="CW335">
        <v>0</v>
      </c>
      <c r="CX335">
        <v>3</v>
      </c>
      <c r="CY335">
        <v>14</v>
      </c>
      <c r="CZ335">
        <v>0</v>
      </c>
      <c r="DA335">
        <v>4</v>
      </c>
      <c r="DB335">
        <v>0</v>
      </c>
      <c r="DC335">
        <v>0</v>
      </c>
      <c r="DD335">
        <v>992</v>
      </c>
      <c r="DE335">
        <v>1</v>
      </c>
      <c r="DF335">
        <v>14</v>
      </c>
      <c r="DG335">
        <v>9</v>
      </c>
      <c r="DH335">
        <v>0</v>
      </c>
      <c r="DI335">
        <v>12</v>
      </c>
      <c r="DJ335">
        <v>5</v>
      </c>
      <c r="DK335">
        <v>7</v>
      </c>
      <c r="DL335">
        <v>0</v>
      </c>
      <c r="DM335">
        <v>4</v>
      </c>
      <c r="DN335">
        <v>2</v>
      </c>
      <c r="DO335">
        <v>908</v>
      </c>
      <c r="DP335">
        <v>27</v>
      </c>
      <c r="DQ335">
        <v>1</v>
      </c>
      <c r="DR335">
        <v>0</v>
      </c>
      <c r="DS335">
        <v>1</v>
      </c>
      <c r="DT335">
        <v>0</v>
      </c>
      <c r="DU335">
        <v>9</v>
      </c>
      <c r="DV335">
        <v>1</v>
      </c>
      <c r="DW335">
        <v>0</v>
      </c>
      <c r="DX335">
        <v>1</v>
      </c>
      <c r="DY335">
        <v>0</v>
      </c>
      <c r="DZ335">
        <v>996</v>
      </c>
      <c r="EA335">
        <v>0.96699999999999997</v>
      </c>
      <c r="EB335">
        <v>0.96827435851481003</v>
      </c>
      <c r="EC335">
        <v>0.96634807381656196</v>
      </c>
      <c r="ED335">
        <v>0.96671399119520895</v>
      </c>
      <c r="EE335">
        <f>SUM(Table1[[#This Row],[ratio_0]:[ratio_9]])</f>
        <v>550</v>
      </c>
      <c r="EF335" s="1">
        <f>(Table1[[#This Row],[predicted_0]]-Table1[[#This Row],[actual_0]])/Table1[[#This Row],[actual_0]]</f>
        <v>3.4693877551020408E-2</v>
      </c>
      <c r="EG335" s="1">
        <f>(Table1[[#This Row],[predicted_1]]-Table1[[#This Row],[actual_1]])/Table1[[#This Row],[actual_1]]</f>
        <v>-8.8105726872246704E-3</v>
      </c>
      <c r="EH335" s="1">
        <f>(Table1[[#This Row],[predicted_2]]-Table1[[#This Row],[actual_2]])/Table1[[#This Row],[actual_2]]</f>
        <v>3.4883720930232558E-2</v>
      </c>
      <c r="EI335" s="1">
        <f>(Table1[[#This Row],[predicted_3]]-Table1[[#This Row],[actual_3]])/Table1[[#This Row],[actual_3]]</f>
        <v>-6.8316831683168322E-2</v>
      </c>
      <c r="EJ335" s="1">
        <f>(Table1[[#This Row],[predicted_4]]-Table1[[#This Row],[actual_4]])/Table1[[#This Row],[actual_4]]</f>
        <v>3.6659877800407331E-2</v>
      </c>
      <c r="EK335" s="1">
        <f>(Table1[[#This Row],[predicted_5]]-Table1[[#This Row],[actual_5]])/Table1[[#This Row],[actual_5]]</f>
        <v>-5.2690582959641255E-2</v>
      </c>
      <c r="EL335" s="1">
        <f>(Table1[[#This Row],[predicted_6]]-Table1[[#This Row],[actual_6]])/Table1[[#This Row],[actual_6]]</f>
        <v>-3.1315240083507306E-2</v>
      </c>
      <c r="EM335" s="1">
        <f>(Table1[[#This Row],[predicted_7]]-Table1[[#This Row],[actual_7]])/Table1[[#This Row],[actual_7]]</f>
        <v>-6.8093385214007783E-3</v>
      </c>
      <c r="EN335" s="1">
        <f>(Table1[[#This Row],[predicted_8]]-Table1[[#This Row],[actual_8]])/Table1[[#This Row],[actual_8]]</f>
        <v>-4.9281314168377825E-2</v>
      </c>
      <c r="EO335" s="1">
        <f>(Table1[[#This Row],[predicted_9]]-Table1[[#This Row],[actual_9]])/Table1[[#This Row],[actual_9]]</f>
        <v>0.10406342913776016</v>
      </c>
      <c r="EP335" s="1">
        <f>1+(Table1[[#This Row],[error_ratio_0]]-EF$2)</f>
        <v>1.0326530612244897</v>
      </c>
      <c r="EQ335" s="1">
        <f>1+(Table1[[#This Row],[error_ratio_1]]-EG$2)</f>
        <v>0.98942731277533036</v>
      </c>
      <c r="ER335" s="1">
        <f>1+(Table1[[#This Row],[error_ratio_2]]-EH$2)</f>
        <v>1.0397286821705427</v>
      </c>
      <c r="ES335" s="1">
        <f>1+(Table1[[#This Row],[error_ratio_3]]-EI$2)</f>
        <v>0.92178217821782182</v>
      </c>
      <c r="ET335" s="1">
        <f>1+(Table1[[#This Row],[error_ratio_4]]-EJ$2)</f>
        <v>1.0356415478615071</v>
      </c>
      <c r="EU335" s="1">
        <f>1+(Table1[[#This Row],[error_ratio_5]]-EK$2)</f>
        <v>0.94618834080717484</v>
      </c>
      <c r="EV335" s="1">
        <f>1+(Table1[[#This Row],[error_ratio_6]]-EL$2)</f>
        <v>0.97494780793319413</v>
      </c>
      <c r="EW335" s="1">
        <f>1+(Table1[[#This Row],[error_ratio_7]]-EM$2)</f>
        <v>0.99124513618677046</v>
      </c>
      <c r="EX335" s="1">
        <f>1+(Table1[[#This Row],[error_ratio_8]]-EN$2)</f>
        <v>0.9537987679671458</v>
      </c>
      <c r="EY335" s="1">
        <f>1+(Table1[[#This Row],[error_ratio_9]]-EO$2)</f>
        <v>1.10802775024777</v>
      </c>
    </row>
    <row r="336" spans="1:155" x14ac:dyDescent="0.75">
      <c r="A336">
        <v>10</v>
      </c>
      <c r="B336">
        <v>10</v>
      </c>
      <c r="C336">
        <v>100</v>
      </c>
      <c r="D336">
        <v>10</v>
      </c>
      <c r="E336">
        <v>100</v>
      </c>
      <c r="F336">
        <v>10</v>
      </c>
      <c r="G336">
        <v>10</v>
      </c>
      <c r="H336">
        <v>100</v>
      </c>
      <c r="I336">
        <v>10</v>
      </c>
      <c r="J336">
        <v>100</v>
      </c>
      <c r="K336">
        <v>961</v>
      </c>
      <c r="L336">
        <v>1129</v>
      </c>
      <c r="M336">
        <v>1104</v>
      </c>
      <c r="N336">
        <v>1037</v>
      </c>
      <c r="O336">
        <v>1025</v>
      </c>
      <c r="P336">
        <v>848</v>
      </c>
      <c r="Q336">
        <v>929</v>
      </c>
      <c r="R336">
        <v>1058</v>
      </c>
      <c r="S336">
        <v>813</v>
      </c>
      <c r="T336">
        <v>1096</v>
      </c>
      <c r="U336">
        <v>980</v>
      </c>
      <c r="V336">
        <v>1135</v>
      </c>
      <c r="W336">
        <v>1032</v>
      </c>
      <c r="X336">
        <v>1010</v>
      </c>
      <c r="Y336">
        <v>982</v>
      </c>
      <c r="Z336">
        <v>892</v>
      </c>
      <c r="AA336">
        <v>958</v>
      </c>
      <c r="AB336">
        <v>1028</v>
      </c>
      <c r="AC336">
        <v>974</v>
      </c>
      <c r="AD336">
        <v>1009</v>
      </c>
      <c r="AE336">
        <v>950</v>
      </c>
      <c r="AF336">
        <v>1</v>
      </c>
      <c r="AG336">
        <v>3</v>
      </c>
      <c r="AH336">
        <v>1</v>
      </c>
      <c r="AI336">
        <v>2</v>
      </c>
      <c r="AJ336">
        <v>6</v>
      </c>
      <c r="AK336">
        <v>2</v>
      </c>
      <c r="AL336">
        <v>7</v>
      </c>
      <c r="AM336">
        <v>0</v>
      </c>
      <c r="AN336">
        <v>8</v>
      </c>
      <c r="AO336">
        <v>0</v>
      </c>
      <c r="AP336">
        <v>1117</v>
      </c>
      <c r="AQ336">
        <v>6</v>
      </c>
      <c r="AR336">
        <v>2</v>
      </c>
      <c r="AS336">
        <v>3</v>
      </c>
      <c r="AT336">
        <v>0</v>
      </c>
      <c r="AU336">
        <v>0</v>
      </c>
      <c r="AV336">
        <v>7</v>
      </c>
      <c r="AW336">
        <v>0</v>
      </c>
      <c r="AX336">
        <v>0</v>
      </c>
      <c r="AY336">
        <v>0</v>
      </c>
      <c r="AZ336">
        <v>0</v>
      </c>
      <c r="BA336">
        <v>1024</v>
      </c>
      <c r="BB336">
        <v>1</v>
      </c>
      <c r="BC336">
        <v>1</v>
      </c>
      <c r="BD336">
        <v>0</v>
      </c>
      <c r="BE336">
        <v>0</v>
      </c>
      <c r="BF336">
        <v>5</v>
      </c>
      <c r="BG336">
        <v>0</v>
      </c>
      <c r="BH336">
        <v>1</v>
      </c>
      <c r="BI336">
        <v>0</v>
      </c>
      <c r="BJ336">
        <v>0</v>
      </c>
      <c r="BK336">
        <v>18</v>
      </c>
      <c r="BL336">
        <v>971</v>
      </c>
      <c r="BM336">
        <v>0</v>
      </c>
      <c r="BN336">
        <v>4</v>
      </c>
      <c r="BO336">
        <v>0</v>
      </c>
      <c r="BP336">
        <v>8</v>
      </c>
      <c r="BQ336">
        <v>0</v>
      </c>
      <c r="BR336">
        <v>9</v>
      </c>
      <c r="BS336">
        <v>0</v>
      </c>
      <c r="BT336">
        <v>0</v>
      </c>
      <c r="BU336">
        <v>1</v>
      </c>
      <c r="BV336">
        <v>0</v>
      </c>
      <c r="BW336">
        <v>977</v>
      </c>
      <c r="BX336">
        <v>0</v>
      </c>
      <c r="BY336">
        <v>0</v>
      </c>
      <c r="BZ336">
        <v>0</v>
      </c>
      <c r="CA336">
        <v>0</v>
      </c>
      <c r="CB336">
        <v>4</v>
      </c>
      <c r="CC336">
        <v>2</v>
      </c>
      <c r="CD336">
        <v>0</v>
      </c>
      <c r="CE336">
        <v>4</v>
      </c>
      <c r="CF336">
        <v>26</v>
      </c>
      <c r="CG336">
        <v>0</v>
      </c>
      <c r="CH336">
        <v>824</v>
      </c>
      <c r="CI336">
        <v>7</v>
      </c>
      <c r="CJ336">
        <v>4</v>
      </c>
      <c r="CK336">
        <v>2</v>
      </c>
      <c r="CL336">
        <v>23</v>
      </c>
      <c r="CM336">
        <v>6</v>
      </c>
      <c r="CN336">
        <v>3</v>
      </c>
      <c r="CO336">
        <v>2</v>
      </c>
      <c r="CP336">
        <v>0</v>
      </c>
      <c r="CQ336">
        <v>26</v>
      </c>
      <c r="CR336">
        <v>7</v>
      </c>
      <c r="CS336">
        <v>913</v>
      </c>
      <c r="CT336">
        <v>0</v>
      </c>
      <c r="CU336">
        <v>1</v>
      </c>
      <c r="CV336">
        <v>0</v>
      </c>
      <c r="CW336">
        <v>0</v>
      </c>
      <c r="CX336">
        <v>0</v>
      </c>
      <c r="CY336">
        <v>9</v>
      </c>
      <c r="CZ336">
        <v>3</v>
      </c>
      <c r="DA336">
        <v>0</v>
      </c>
      <c r="DB336">
        <v>0</v>
      </c>
      <c r="DC336">
        <v>0</v>
      </c>
      <c r="DD336">
        <v>1010</v>
      </c>
      <c r="DE336">
        <v>0</v>
      </c>
      <c r="DF336">
        <v>6</v>
      </c>
      <c r="DG336">
        <v>2</v>
      </c>
      <c r="DH336">
        <v>8</v>
      </c>
      <c r="DI336">
        <v>35</v>
      </c>
      <c r="DJ336">
        <v>33</v>
      </c>
      <c r="DK336">
        <v>9</v>
      </c>
      <c r="DL336">
        <v>6</v>
      </c>
      <c r="DM336">
        <v>7</v>
      </c>
      <c r="DN336">
        <v>15</v>
      </c>
      <c r="DO336">
        <v>810</v>
      </c>
      <c r="DP336">
        <v>49</v>
      </c>
      <c r="DQ336">
        <v>1</v>
      </c>
      <c r="DR336">
        <v>0</v>
      </c>
      <c r="DS336">
        <v>2</v>
      </c>
      <c r="DT336">
        <v>0</v>
      </c>
      <c r="DU336">
        <v>7</v>
      </c>
      <c r="DV336">
        <v>1</v>
      </c>
      <c r="DW336">
        <v>0</v>
      </c>
      <c r="DX336">
        <v>2</v>
      </c>
      <c r="DY336">
        <v>0</v>
      </c>
      <c r="DZ336">
        <v>996</v>
      </c>
      <c r="EA336">
        <v>0.95920000000000005</v>
      </c>
      <c r="EB336">
        <v>0.96091623084279898</v>
      </c>
      <c r="EC336">
        <v>0.95800936365755196</v>
      </c>
      <c r="ED336">
        <v>0.95827513983986101</v>
      </c>
      <c r="EE336">
        <f>SUM(Table1[[#This Row],[ratio_0]:[ratio_9]])</f>
        <v>460</v>
      </c>
      <c r="EF336" s="1">
        <f>(Table1[[#This Row],[predicted_0]]-Table1[[#This Row],[actual_0]])/Table1[[#This Row],[actual_0]]</f>
        <v>-1.9387755102040816E-2</v>
      </c>
      <c r="EG336" s="1">
        <f>(Table1[[#This Row],[predicted_1]]-Table1[[#This Row],[actual_1]])/Table1[[#This Row],[actual_1]]</f>
        <v>-5.2863436123348016E-3</v>
      </c>
      <c r="EH336" s="1">
        <f>(Table1[[#This Row],[predicted_2]]-Table1[[#This Row],[actual_2]])/Table1[[#This Row],[actual_2]]</f>
        <v>6.9767441860465115E-2</v>
      </c>
      <c r="EI336" s="1">
        <f>(Table1[[#This Row],[predicted_3]]-Table1[[#This Row],[actual_3]])/Table1[[#This Row],[actual_3]]</f>
        <v>2.6732673267326732E-2</v>
      </c>
      <c r="EJ336" s="1">
        <f>(Table1[[#This Row],[predicted_4]]-Table1[[#This Row],[actual_4]])/Table1[[#This Row],[actual_4]]</f>
        <v>4.3788187372708759E-2</v>
      </c>
      <c r="EK336" s="1">
        <f>(Table1[[#This Row],[predicted_5]]-Table1[[#This Row],[actual_5]])/Table1[[#This Row],[actual_5]]</f>
        <v>-4.9327354260089683E-2</v>
      </c>
      <c r="EL336" s="1">
        <f>(Table1[[#This Row],[predicted_6]]-Table1[[#This Row],[actual_6]])/Table1[[#This Row],[actual_6]]</f>
        <v>-3.0271398747390398E-2</v>
      </c>
      <c r="EM336" s="1">
        <f>(Table1[[#This Row],[predicted_7]]-Table1[[#This Row],[actual_7]])/Table1[[#This Row],[actual_7]]</f>
        <v>2.9182879377431907E-2</v>
      </c>
      <c r="EN336" s="1">
        <f>(Table1[[#This Row],[predicted_8]]-Table1[[#This Row],[actual_8]])/Table1[[#This Row],[actual_8]]</f>
        <v>-0.16529774127310062</v>
      </c>
      <c r="EO336" s="1">
        <f>(Table1[[#This Row],[predicted_9]]-Table1[[#This Row],[actual_9]])/Table1[[#This Row],[actual_9]]</f>
        <v>8.6223984142715565E-2</v>
      </c>
      <c r="EP336" s="1">
        <f>1+(Table1[[#This Row],[error_ratio_0]]-EF$2)</f>
        <v>0.97857142857142854</v>
      </c>
      <c r="EQ336" s="1">
        <f>1+(Table1[[#This Row],[error_ratio_1]]-EG$2)</f>
        <v>0.99295154185022028</v>
      </c>
      <c r="ER336" s="1">
        <f>1+(Table1[[#This Row],[error_ratio_2]]-EH$2)</f>
        <v>1.0746124031007751</v>
      </c>
      <c r="ES336" s="1">
        <f>1+(Table1[[#This Row],[error_ratio_3]]-EI$2)</f>
        <v>1.0168316831683168</v>
      </c>
      <c r="ET336" s="1">
        <f>1+(Table1[[#This Row],[error_ratio_4]]-EJ$2)</f>
        <v>1.0427698574338085</v>
      </c>
      <c r="EU336" s="1">
        <f>1+(Table1[[#This Row],[error_ratio_5]]-EK$2)</f>
        <v>0.94955156950672648</v>
      </c>
      <c r="EV336" s="1">
        <f>1+(Table1[[#This Row],[error_ratio_6]]-EL$2)</f>
        <v>0.97599164926931103</v>
      </c>
      <c r="EW336" s="1">
        <f>1+(Table1[[#This Row],[error_ratio_7]]-EM$2)</f>
        <v>1.027237354085603</v>
      </c>
      <c r="EX336" s="1">
        <f>1+(Table1[[#This Row],[error_ratio_8]]-EN$2)</f>
        <v>0.83778234086242298</v>
      </c>
      <c r="EY336" s="1">
        <f>1+(Table1[[#This Row],[error_ratio_9]]-EO$2)</f>
        <v>1.0901883052527255</v>
      </c>
    </row>
    <row r="337" spans="1:155" x14ac:dyDescent="0.75">
      <c r="A337">
        <v>100</v>
      </c>
      <c r="B337">
        <v>100</v>
      </c>
      <c r="C337">
        <v>10</v>
      </c>
      <c r="D337">
        <v>10</v>
      </c>
      <c r="E337">
        <v>100</v>
      </c>
      <c r="F337">
        <v>10</v>
      </c>
      <c r="G337">
        <v>10</v>
      </c>
      <c r="H337">
        <v>100</v>
      </c>
      <c r="I337">
        <v>10</v>
      </c>
      <c r="J337">
        <v>100</v>
      </c>
      <c r="K337">
        <v>1050</v>
      </c>
      <c r="L337">
        <v>1180</v>
      </c>
      <c r="M337">
        <v>936</v>
      </c>
      <c r="N337">
        <v>1019</v>
      </c>
      <c r="O337">
        <v>1003</v>
      </c>
      <c r="P337">
        <v>833</v>
      </c>
      <c r="Q337">
        <v>914</v>
      </c>
      <c r="R337">
        <v>1092</v>
      </c>
      <c r="S337">
        <v>899</v>
      </c>
      <c r="T337">
        <v>1074</v>
      </c>
      <c r="U337">
        <v>980</v>
      </c>
      <c r="V337">
        <v>1135</v>
      </c>
      <c r="W337">
        <v>1032</v>
      </c>
      <c r="X337">
        <v>1010</v>
      </c>
      <c r="Y337">
        <v>982</v>
      </c>
      <c r="Z337">
        <v>892</v>
      </c>
      <c r="AA337">
        <v>958</v>
      </c>
      <c r="AB337">
        <v>1028</v>
      </c>
      <c r="AC337">
        <v>974</v>
      </c>
      <c r="AD337">
        <v>1009</v>
      </c>
      <c r="AE337">
        <v>974</v>
      </c>
      <c r="AF337">
        <v>0</v>
      </c>
      <c r="AG337">
        <v>1</v>
      </c>
      <c r="AH337">
        <v>0</v>
      </c>
      <c r="AI337">
        <v>0</v>
      </c>
      <c r="AJ337">
        <v>0</v>
      </c>
      <c r="AK337">
        <v>0</v>
      </c>
      <c r="AL337">
        <v>3</v>
      </c>
      <c r="AM337">
        <v>2</v>
      </c>
      <c r="AN337">
        <v>0</v>
      </c>
      <c r="AO337">
        <v>0</v>
      </c>
      <c r="AP337">
        <v>1134</v>
      </c>
      <c r="AQ337">
        <v>0</v>
      </c>
      <c r="AR337">
        <v>0</v>
      </c>
      <c r="AS337">
        <v>0</v>
      </c>
      <c r="AT337">
        <v>0</v>
      </c>
      <c r="AU337">
        <v>0</v>
      </c>
      <c r="AV337">
        <v>1</v>
      </c>
      <c r="AW337">
        <v>0</v>
      </c>
      <c r="AX337">
        <v>0</v>
      </c>
      <c r="AY337">
        <v>18</v>
      </c>
      <c r="AZ337">
        <v>27</v>
      </c>
      <c r="BA337">
        <v>925</v>
      </c>
      <c r="BB337">
        <v>13</v>
      </c>
      <c r="BC337">
        <v>7</v>
      </c>
      <c r="BD337">
        <v>1</v>
      </c>
      <c r="BE337">
        <v>0</v>
      </c>
      <c r="BF337">
        <v>34</v>
      </c>
      <c r="BG337">
        <v>5</v>
      </c>
      <c r="BH337">
        <v>2</v>
      </c>
      <c r="BI337">
        <v>9</v>
      </c>
      <c r="BJ337">
        <v>1</v>
      </c>
      <c r="BK337">
        <v>2</v>
      </c>
      <c r="BL337">
        <v>977</v>
      </c>
      <c r="BM337">
        <v>0</v>
      </c>
      <c r="BN337">
        <v>1</v>
      </c>
      <c r="BO337">
        <v>0</v>
      </c>
      <c r="BP337">
        <v>11</v>
      </c>
      <c r="BQ337">
        <v>1</v>
      </c>
      <c r="BR337">
        <v>8</v>
      </c>
      <c r="BS337">
        <v>0</v>
      </c>
      <c r="BT337">
        <v>2</v>
      </c>
      <c r="BU337">
        <v>0</v>
      </c>
      <c r="BV337">
        <v>0</v>
      </c>
      <c r="BW337">
        <v>967</v>
      </c>
      <c r="BX337">
        <v>0</v>
      </c>
      <c r="BY337">
        <v>0</v>
      </c>
      <c r="BZ337">
        <v>0</v>
      </c>
      <c r="CA337">
        <v>0</v>
      </c>
      <c r="CB337">
        <v>13</v>
      </c>
      <c r="CC337">
        <v>14</v>
      </c>
      <c r="CD337">
        <v>2</v>
      </c>
      <c r="CE337">
        <v>1</v>
      </c>
      <c r="CF337">
        <v>19</v>
      </c>
      <c r="CG337">
        <v>1</v>
      </c>
      <c r="CH337">
        <v>820</v>
      </c>
      <c r="CI337">
        <v>4</v>
      </c>
      <c r="CJ337">
        <v>9</v>
      </c>
      <c r="CK337">
        <v>9</v>
      </c>
      <c r="CL337">
        <v>13</v>
      </c>
      <c r="CM337">
        <v>14</v>
      </c>
      <c r="CN337">
        <v>6</v>
      </c>
      <c r="CO337">
        <v>1</v>
      </c>
      <c r="CP337">
        <v>0</v>
      </c>
      <c r="CQ337">
        <v>18</v>
      </c>
      <c r="CR337">
        <v>3</v>
      </c>
      <c r="CS337">
        <v>909</v>
      </c>
      <c r="CT337">
        <v>0</v>
      </c>
      <c r="CU337">
        <v>7</v>
      </c>
      <c r="CV337">
        <v>0</v>
      </c>
      <c r="CW337">
        <v>1</v>
      </c>
      <c r="CX337">
        <v>5</v>
      </c>
      <c r="CY337">
        <v>5</v>
      </c>
      <c r="CZ337">
        <v>0</v>
      </c>
      <c r="DA337">
        <v>0</v>
      </c>
      <c r="DB337">
        <v>0</v>
      </c>
      <c r="DC337">
        <v>0</v>
      </c>
      <c r="DD337">
        <v>1014</v>
      </c>
      <c r="DE337">
        <v>0</v>
      </c>
      <c r="DF337">
        <v>3</v>
      </c>
      <c r="DG337">
        <v>16</v>
      </c>
      <c r="DH337">
        <v>1</v>
      </c>
      <c r="DI337">
        <v>1</v>
      </c>
      <c r="DJ337">
        <v>10</v>
      </c>
      <c r="DK337">
        <v>6</v>
      </c>
      <c r="DL337">
        <v>5</v>
      </c>
      <c r="DM337">
        <v>1</v>
      </c>
      <c r="DN337">
        <v>12</v>
      </c>
      <c r="DO337">
        <v>875</v>
      </c>
      <c r="DP337">
        <v>47</v>
      </c>
      <c r="DQ337">
        <v>4</v>
      </c>
      <c r="DR337">
        <v>2</v>
      </c>
      <c r="DS337">
        <v>0</v>
      </c>
      <c r="DT337">
        <v>0</v>
      </c>
      <c r="DU337">
        <v>4</v>
      </c>
      <c r="DV337">
        <v>3</v>
      </c>
      <c r="DW337">
        <v>0</v>
      </c>
      <c r="DX337">
        <v>8</v>
      </c>
      <c r="DY337">
        <v>0</v>
      </c>
      <c r="DZ337">
        <v>988</v>
      </c>
      <c r="EA337">
        <v>0.95830000000000004</v>
      </c>
      <c r="EB337">
        <v>0.96004985671005005</v>
      </c>
      <c r="EC337">
        <v>0.95734263191972102</v>
      </c>
      <c r="ED337">
        <v>0.957813145948058</v>
      </c>
      <c r="EE337">
        <f>SUM(Table1[[#This Row],[ratio_0]:[ratio_9]])</f>
        <v>550</v>
      </c>
      <c r="EF337" s="1">
        <f>(Table1[[#This Row],[predicted_0]]-Table1[[#This Row],[actual_0]])/Table1[[#This Row],[actual_0]]</f>
        <v>7.1428571428571425E-2</v>
      </c>
      <c r="EG337" s="1">
        <f>(Table1[[#This Row],[predicted_1]]-Table1[[#This Row],[actual_1]])/Table1[[#This Row],[actual_1]]</f>
        <v>3.9647577092511016E-2</v>
      </c>
      <c r="EH337" s="1">
        <f>(Table1[[#This Row],[predicted_2]]-Table1[[#This Row],[actual_2]])/Table1[[#This Row],[actual_2]]</f>
        <v>-9.3023255813953487E-2</v>
      </c>
      <c r="EI337" s="1">
        <f>(Table1[[#This Row],[predicted_3]]-Table1[[#This Row],[actual_3]])/Table1[[#This Row],[actual_3]]</f>
        <v>8.9108910891089101E-3</v>
      </c>
      <c r="EJ337" s="1">
        <f>(Table1[[#This Row],[predicted_4]]-Table1[[#This Row],[actual_4]])/Table1[[#This Row],[actual_4]]</f>
        <v>2.1384928716904276E-2</v>
      </c>
      <c r="EK337" s="1">
        <f>(Table1[[#This Row],[predicted_5]]-Table1[[#This Row],[actual_5]])/Table1[[#This Row],[actual_5]]</f>
        <v>-6.614349775784753E-2</v>
      </c>
      <c r="EL337" s="1">
        <f>(Table1[[#This Row],[predicted_6]]-Table1[[#This Row],[actual_6]])/Table1[[#This Row],[actual_6]]</f>
        <v>-4.5929018789144051E-2</v>
      </c>
      <c r="EM337" s="1">
        <f>(Table1[[#This Row],[predicted_7]]-Table1[[#This Row],[actual_7]])/Table1[[#This Row],[actual_7]]</f>
        <v>6.2256809338521402E-2</v>
      </c>
      <c r="EN337" s="1">
        <f>(Table1[[#This Row],[predicted_8]]-Table1[[#This Row],[actual_8]])/Table1[[#This Row],[actual_8]]</f>
        <v>-7.7002053388090352E-2</v>
      </c>
      <c r="EO337" s="1">
        <f>(Table1[[#This Row],[predicted_9]]-Table1[[#This Row],[actual_9]])/Table1[[#This Row],[actual_9]]</f>
        <v>6.4420218037661056E-2</v>
      </c>
      <c r="EP337" s="1">
        <f>1+(Table1[[#This Row],[error_ratio_0]]-EF$2)</f>
        <v>1.0693877551020408</v>
      </c>
      <c r="EQ337" s="1">
        <f>1+(Table1[[#This Row],[error_ratio_1]]-EG$2)</f>
        <v>1.037885462555066</v>
      </c>
      <c r="ER337" s="1">
        <f>1+(Table1[[#This Row],[error_ratio_2]]-EH$2)</f>
        <v>0.91182170542635654</v>
      </c>
      <c r="ES337" s="1">
        <f>1+(Table1[[#This Row],[error_ratio_3]]-EI$2)</f>
        <v>0.99900990099009901</v>
      </c>
      <c r="ET337" s="1">
        <f>1+(Table1[[#This Row],[error_ratio_4]]-EJ$2)</f>
        <v>1.0203665987780042</v>
      </c>
      <c r="EU337" s="1">
        <f>1+(Table1[[#This Row],[error_ratio_5]]-EK$2)</f>
        <v>0.93273542600896864</v>
      </c>
      <c r="EV337" s="1">
        <f>1+(Table1[[#This Row],[error_ratio_6]]-EL$2)</f>
        <v>0.9603340292275574</v>
      </c>
      <c r="EW337" s="1">
        <f>1+(Table1[[#This Row],[error_ratio_7]]-EM$2)</f>
        <v>1.0603112840466926</v>
      </c>
      <c r="EX337" s="1">
        <f>1+(Table1[[#This Row],[error_ratio_8]]-EN$2)</f>
        <v>0.92607802874743328</v>
      </c>
      <c r="EY337" s="1">
        <f>1+(Table1[[#This Row],[error_ratio_9]]-EO$2)</f>
        <v>1.068384539147671</v>
      </c>
    </row>
    <row r="338" spans="1:155" x14ac:dyDescent="0.75">
      <c r="A338">
        <v>10</v>
      </c>
      <c r="B338">
        <v>100</v>
      </c>
      <c r="C338">
        <v>10</v>
      </c>
      <c r="D338">
        <v>10</v>
      </c>
      <c r="E338">
        <v>100</v>
      </c>
      <c r="F338">
        <v>10</v>
      </c>
      <c r="G338">
        <v>10</v>
      </c>
      <c r="H338">
        <v>100</v>
      </c>
      <c r="I338">
        <v>10</v>
      </c>
      <c r="J338">
        <v>100</v>
      </c>
      <c r="K338">
        <v>992</v>
      </c>
      <c r="L338">
        <v>1157</v>
      </c>
      <c r="M338">
        <v>952</v>
      </c>
      <c r="N338">
        <v>1078</v>
      </c>
      <c r="O338">
        <v>1009</v>
      </c>
      <c r="P338">
        <v>805</v>
      </c>
      <c r="Q338">
        <v>913</v>
      </c>
      <c r="R338">
        <v>1110</v>
      </c>
      <c r="S338">
        <v>899</v>
      </c>
      <c r="T338">
        <v>1085</v>
      </c>
      <c r="U338">
        <v>980</v>
      </c>
      <c r="V338">
        <v>1135</v>
      </c>
      <c r="W338">
        <v>1032</v>
      </c>
      <c r="X338">
        <v>1010</v>
      </c>
      <c r="Y338">
        <v>982</v>
      </c>
      <c r="Z338">
        <v>892</v>
      </c>
      <c r="AA338">
        <v>958</v>
      </c>
      <c r="AB338">
        <v>1028</v>
      </c>
      <c r="AC338">
        <v>974</v>
      </c>
      <c r="AD338">
        <v>1009</v>
      </c>
      <c r="AE338">
        <v>952</v>
      </c>
      <c r="AF338">
        <v>1</v>
      </c>
      <c r="AG338">
        <v>1</v>
      </c>
      <c r="AH338">
        <v>1</v>
      </c>
      <c r="AI338">
        <v>3</v>
      </c>
      <c r="AJ338">
        <v>0</v>
      </c>
      <c r="AK338">
        <v>0</v>
      </c>
      <c r="AL338">
        <v>10</v>
      </c>
      <c r="AM338">
        <v>2</v>
      </c>
      <c r="AN338">
        <v>10</v>
      </c>
      <c r="AO338">
        <v>0</v>
      </c>
      <c r="AP338">
        <v>1131</v>
      </c>
      <c r="AQ338">
        <v>0</v>
      </c>
      <c r="AR338">
        <v>2</v>
      </c>
      <c r="AS338">
        <v>0</v>
      </c>
      <c r="AT338">
        <v>1</v>
      </c>
      <c r="AU338">
        <v>0</v>
      </c>
      <c r="AV338">
        <v>1</v>
      </c>
      <c r="AW338">
        <v>0</v>
      </c>
      <c r="AX338">
        <v>0</v>
      </c>
      <c r="AY338">
        <v>4</v>
      </c>
      <c r="AZ338">
        <v>14</v>
      </c>
      <c r="BA338">
        <v>938</v>
      </c>
      <c r="BB338">
        <v>23</v>
      </c>
      <c r="BC338">
        <v>4</v>
      </c>
      <c r="BD338">
        <v>0</v>
      </c>
      <c r="BE338">
        <v>2</v>
      </c>
      <c r="BF338">
        <v>37</v>
      </c>
      <c r="BG338">
        <v>5</v>
      </c>
      <c r="BH338">
        <v>5</v>
      </c>
      <c r="BI338">
        <v>4</v>
      </c>
      <c r="BJ338">
        <v>0</v>
      </c>
      <c r="BK338">
        <v>2</v>
      </c>
      <c r="BL338">
        <v>986</v>
      </c>
      <c r="BM338">
        <v>0</v>
      </c>
      <c r="BN338">
        <v>3</v>
      </c>
      <c r="BO338">
        <v>0</v>
      </c>
      <c r="BP338">
        <v>10</v>
      </c>
      <c r="BQ338">
        <v>1</v>
      </c>
      <c r="BR338">
        <v>4</v>
      </c>
      <c r="BS338">
        <v>0</v>
      </c>
      <c r="BT338">
        <v>0</v>
      </c>
      <c r="BU338">
        <v>3</v>
      </c>
      <c r="BV338">
        <v>0</v>
      </c>
      <c r="BW338">
        <v>972</v>
      </c>
      <c r="BX338">
        <v>0</v>
      </c>
      <c r="BY338">
        <v>1</v>
      </c>
      <c r="BZ338">
        <v>1</v>
      </c>
      <c r="CA338">
        <v>0</v>
      </c>
      <c r="CB338">
        <v>5</v>
      </c>
      <c r="CC338">
        <v>7</v>
      </c>
      <c r="CD338">
        <v>0</v>
      </c>
      <c r="CE338">
        <v>1</v>
      </c>
      <c r="CF338">
        <v>33</v>
      </c>
      <c r="CG338">
        <v>1</v>
      </c>
      <c r="CH338">
        <v>792</v>
      </c>
      <c r="CI338">
        <v>3</v>
      </c>
      <c r="CJ338">
        <v>7</v>
      </c>
      <c r="CK338">
        <v>6</v>
      </c>
      <c r="CL338">
        <v>42</v>
      </c>
      <c r="CM338">
        <v>17</v>
      </c>
      <c r="CN338">
        <v>4</v>
      </c>
      <c r="CO338">
        <v>4</v>
      </c>
      <c r="CP338">
        <v>0</v>
      </c>
      <c r="CQ338">
        <v>18</v>
      </c>
      <c r="CR338">
        <v>4</v>
      </c>
      <c r="CS338">
        <v>906</v>
      </c>
      <c r="CT338">
        <v>0</v>
      </c>
      <c r="CU338">
        <v>4</v>
      </c>
      <c r="CV338">
        <v>1</v>
      </c>
      <c r="CW338">
        <v>1</v>
      </c>
      <c r="CX338">
        <v>4</v>
      </c>
      <c r="CY338">
        <v>1</v>
      </c>
      <c r="CZ338">
        <v>2</v>
      </c>
      <c r="DA338">
        <v>1</v>
      </c>
      <c r="DB338">
        <v>0</v>
      </c>
      <c r="DC338">
        <v>0</v>
      </c>
      <c r="DD338">
        <v>1019</v>
      </c>
      <c r="DE338">
        <v>0</v>
      </c>
      <c r="DF338">
        <v>0</v>
      </c>
      <c r="DG338">
        <v>4</v>
      </c>
      <c r="DH338">
        <v>2</v>
      </c>
      <c r="DI338">
        <v>2</v>
      </c>
      <c r="DJ338">
        <v>27</v>
      </c>
      <c r="DK338">
        <v>6</v>
      </c>
      <c r="DL338">
        <v>5</v>
      </c>
      <c r="DM338">
        <v>1</v>
      </c>
      <c r="DN338">
        <v>14</v>
      </c>
      <c r="DO338">
        <v>881</v>
      </c>
      <c r="DP338">
        <v>32</v>
      </c>
      <c r="DQ338">
        <v>3</v>
      </c>
      <c r="DR338">
        <v>1</v>
      </c>
      <c r="DS338">
        <v>0</v>
      </c>
      <c r="DT338">
        <v>4</v>
      </c>
      <c r="DU338">
        <v>4</v>
      </c>
      <c r="DV338">
        <v>0</v>
      </c>
      <c r="DW338">
        <v>0</v>
      </c>
      <c r="DX338">
        <v>11</v>
      </c>
      <c r="DY338">
        <v>0</v>
      </c>
      <c r="DZ338">
        <v>986</v>
      </c>
      <c r="EA338">
        <v>0.95630000000000004</v>
      </c>
      <c r="EB338">
        <v>0.95834218597808096</v>
      </c>
      <c r="EC338">
        <v>0.95494537662157397</v>
      </c>
      <c r="ED338">
        <v>0.95564113340372703</v>
      </c>
      <c r="EE338">
        <f>SUM(Table1[[#This Row],[ratio_0]:[ratio_9]])</f>
        <v>460</v>
      </c>
      <c r="EF338" s="1">
        <f>(Table1[[#This Row],[predicted_0]]-Table1[[#This Row],[actual_0]])/Table1[[#This Row],[actual_0]]</f>
        <v>1.2244897959183673E-2</v>
      </c>
      <c r="EG338" s="1">
        <f>(Table1[[#This Row],[predicted_1]]-Table1[[#This Row],[actual_1]])/Table1[[#This Row],[actual_1]]</f>
        <v>1.9383259911894272E-2</v>
      </c>
      <c r="EH338" s="1">
        <f>(Table1[[#This Row],[predicted_2]]-Table1[[#This Row],[actual_2]])/Table1[[#This Row],[actual_2]]</f>
        <v>-7.7519379844961239E-2</v>
      </c>
      <c r="EI338" s="1">
        <f>(Table1[[#This Row],[predicted_3]]-Table1[[#This Row],[actual_3]])/Table1[[#This Row],[actual_3]]</f>
        <v>6.7326732673267331E-2</v>
      </c>
      <c r="EJ338" s="1">
        <f>(Table1[[#This Row],[predicted_4]]-Table1[[#This Row],[actual_4]])/Table1[[#This Row],[actual_4]]</f>
        <v>2.7494908350305498E-2</v>
      </c>
      <c r="EK338" s="1">
        <f>(Table1[[#This Row],[predicted_5]]-Table1[[#This Row],[actual_5]])/Table1[[#This Row],[actual_5]]</f>
        <v>-9.753363228699552E-2</v>
      </c>
      <c r="EL338" s="1">
        <f>(Table1[[#This Row],[predicted_6]]-Table1[[#This Row],[actual_6]])/Table1[[#This Row],[actual_6]]</f>
        <v>-4.697286012526096E-2</v>
      </c>
      <c r="EM338" s="1">
        <f>(Table1[[#This Row],[predicted_7]]-Table1[[#This Row],[actual_7]])/Table1[[#This Row],[actual_7]]</f>
        <v>7.9766536964980539E-2</v>
      </c>
      <c r="EN338" s="1">
        <f>(Table1[[#This Row],[predicted_8]]-Table1[[#This Row],[actual_8]])/Table1[[#This Row],[actual_8]]</f>
        <v>-7.7002053388090352E-2</v>
      </c>
      <c r="EO338" s="1">
        <f>(Table1[[#This Row],[predicted_9]]-Table1[[#This Row],[actual_9]])/Table1[[#This Row],[actual_9]]</f>
        <v>7.5322101090188304E-2</v>
      </c>
      <c r="EP338" s="1">
        <f>1+(Table1[[#This Row],[error_ratio_0]]-EF$2)</f>
        <v>1.010204081632653</v>
      </c>
      <c r="EQ338" s="1">
        <f>1+(Table1[[#This Row],[error_ratio_1]]-EG$2)</f>
        <v>1.0176211453744493</v>
      </c>
      <c r="ER338" s="1">
        <f>1+(Table1[[#This Row],[error_ratio_2]]-EH$2)</f>
        <v>0.92732558139534882</v>
      </c>
      <c r="ES338" s="1">
        <f>1+(Table1[[#This Row],[error_ratio_3]]-EI$2)</f>
        <v>1.0574257425742575</v>
      </c>
      <c r="ET338" s="1">
        <f>1+(Table1[[#This Row],[error_ratio_4]]-EJ$2)</f>
        <v>1.0264765784114054</v>
      </c>
      <c r="EU338" s="1">
        <f>1+(Table1[[#This Row],[error_ratio_5]]-EK$2)</f>
        <v>0.90134529147982057</v>
      </c>
      <c r="EV338" s="1">
        <f>1+(Table1[[#This Row],[error_ratio_6]]-EL$2)</f>
        <v>0.95929018789144049</v>
      </c>
      <c r="EW338" s="1">
        <f>1+(Table1[[#This Row],[error_ratio_7]]-EM$2)</f>
        <v>1.0778210116731517</v>
      </c>
      <c r="EX338" s="1">
        <f>1+(Table1[[#This Row],[error_ratio_8]]-EN$2)</f>
        <v>0.92607802874743328</v>
      </c>
      <c r="EY338" s="1">
        <f>1+(Table1[[#This Row],[error_ratio_9]]-EO$2)</f>
        <v>1.0792864222001981</v>
      </c>
    </row>
    <row r="339" spans="1:155" x14ac:dyDescent="0.75">
      <c r="A339">
        <v>100</v>
      </c>
      <c r="B339">
        <v>10</v>
      </c>
      <c r="C339">
        <v>10</v>
      </c>
      <c r="D339">
        <v>10</v>
      </c>
      <c r="E339">
        <v>100</v>
      </c>
      <c r="F339">
        <v>10</v>
      </c>
      <c r="G339">
        <v>10</v>
      </c>
      <c r="H339">
        <v>100</v>
      </c>
      <c r="I339">
        <v>10</v>
      </c>
      <c r="J339">
        <v>100</v>
      </c>
      <c r="K339">
        <v>978</v>
      </c>
      <c r="L339">
        <v>1110</v>
      </c>
      <c r="M339">
        <v>977</v>
      </c>
      <c r="N339">
        <v>1022</v>
      </c>
      <c r="O339">
        <v>1036</v>
      </c>
      <c r="P339">
        <v>839</v>
      </c>
      <c r="Q339">
        <v>913</v>
      </c>
      <c r="R339">
        <v>1114</v>
      </c>
      <c r="S339">
        <v>962</v>
      </c>
      <c r="T339">
        <v>1049</v>
      </c>
      <c r="U339">
        <v>980</v>
      </c>
      <c r="V339">
        <v>1135</v>
      </c>
      <c r="W339">
        <v>1032</v>
      </c>
      <c r="X339">
        <v>1010</v>
      </c>
      <c r="Y339">
        <v>982</v>
      </c>
      <c r="Z339">
        <v>892</v>
      </c>
      <c r="AA339">
        <v>958</v>
      </c>
      <c r="AB339">
        <v>1028</v>
      </c>
      <c r="AC339">
        <v>974</v>
      </c>
      <c r="AD339">
        <v>1009</v>
      </c>
      <c r="AE339">
        <v>962</v>
      </c>
      <c r="AF339">
        <v>0</v>
      </c>
      <c r="AG339">
        <v>0</v>
      </c>
      <c r="AH339">
        <v>1</v>
      </c>
      <c r="AI339">
        <v>5</v>
      </c>
      <c r="AJ339">
        <v>0</v>
      </c>
      <c r="AK339">
        <v>3</v>
      </c>
      <c r="AL339">
        <v>6</v>
      </c>
      <c r="AM339">
        <v>2</v>
      </c>
      <c r="AN339">
        <v>1</v>
      </c>
      <c r="AO339">
        <v>0</v>
      </c>
      <c r="AP339">
        <v>1103</v>
      </c>
      <c r="AQ339">
        <v>4</v>
      </c>
      <c r="AR339">
        <v>2</v>
      </c>
      <c r="AS339">
        <v>3</v>
      </c>
      <c r="AT339">
        <v>1</v>
      </c>
      <c r="AU339">
        <v>2</v>
      </c>
      <c r="AV339">
        <v>4</v>
      </c>
      <c r="AW339">
        <v>8</v>
      </c>
      <c r="AX339">
        <v>8</v>
      </c>
      <c r="AY339">
        <v>4</v>
      </c>
      <c r="AZ339">
        <v>2</v>
      </c>
      <c r="BA339">
        <v>956</v>
      </c>
      <c r="BB339">
        <v>4</v>
      </c>
      <c r="BC339">
        <v>13</v>
      </c>
      <c r="BD339">
        <v>0</v>
      </c>
      <c r="BE339">
        <v>0</v>
      </c>
      <c r="BF339">
        <v>47</v>
      </c>
      <c r="BG339">
        <v>5</v>
      </c>
      <c r="BH339">
        <v>1</v>
      </c>
      <c r="BI339">
        <v>0</v>
      </c>
      <c r="BJ339">
        <v>0</v>
      </c>
      <c r="BK339">
        <v>4</v>
      </c>
      <c r="BL339">
        <v>981</v>
      </c>
      <c r="BM339">
        <v>1</v>
      </c>
      <c r="BN339">
        <v>1</v>
      </c>
      <c r="BO339">
        <v>0</v>
      </c>
      <c r="BP339">
        <v>10</v>
      </c>
      <c r="BQ339">
        <v>8</v>
      </c>
      <c r="BR339">
        <v>5</v>
      </c>
      <c r="BS339">
        <v>0</v>
      </c>
      <c r="BT339">
        <v>0</v>
      </c>
      <c r="BU339">
        <v>1</v>
      </c>
      <c r="BV339">
        <v>0</v>
      </c>
      <c r="BW339">
        <v>971</v>
      </c>
      <c r="BX339">
        <v>0</v>
      </c>
      <c r="BY339">
        <v>1</v>
      </c>
      <c r="BZ339">
        <v>0</v>
      </c>
      <c r="CA339">
        <v>0</v>
      </c>
      <c r="CB339">
        <v>9</v>
      </c>
      <c r="CC339">
        <v>3</v>
      </c>
      <c r="CD339">
        <v>0</v>
      </c>
      <c r="CE339">
        <v>0</v>
      </c>
      <c r="CF339">
        <v>23</v>
      </c>
      <c r="CG339">
        <v>2</v>
      </c>
      <c r="CH339">
        <v>820</v>
      </c>
      <c r="CI339">
        <v>2</v>
      </c>
      <c r="CJ339">
        <v>6</v>
      </c>
      <c r="CK339">
        <v>11</v>
      </c>
      <c r="CL339">
        <v>25</v>
      </c>
      <c r="CM339">
        <v>6</v>
      </c>
      <c r="CN339">
        <v>3</v>
      </c>
      <c r="CO339">
        <v>3</v>
      </c>
      <c r="CP339">
        <v>0</v>
      </c>
      <c r="CQ339">
        <v>26</v>
      </c>
      <c r="CR339">
        <v>14</v>
      </c>
      <c r="CS339">
        <v>904</v>
      </c>
      <c r="CT339">
        <v>0</v>
      </c>
      <c r="CU339">
        <v>2</v>
      </c>
      <c r="CV339">
        <v>0</v>
      </c>
      <c r="CW339">
        <v>0</v>
      </c>
      <c r="CX339">
        <v>2</v>
      </c>
      <c r="CY339">
        <v>2</v>
      </c>
      <c r="CZ339">
        <v>0</v>
      </c>
      <c r="DA339">
        <v>0</v>
      </c>
      <c r="DB339">
        <v>0</v>
      </c>
      <c r="DC339">
        <v>0</v>
      </c>
      <c r="DD339">
        <v>1020</v>
      </c>
      <c r="DE339">
        <v>1</v>
      </c>
      <c r="DF339">
        <v>3</v>
      </c>
      <c r="DG339">
        <v>3</v>
      </c>
      <c r="DH339">
        <v>0</v>
      </c>
      <c r="DI339">
        <v>7</v>
      </c>
      <c r="DJ339">
        <v>9</v>
      </c>
      <c r="DK339">
        <v>8</v>
      </c>
      <c r="DL339">
        <v>2</v>
      </c>
      <c r="DM339">
        <v>1</v>
      </c>
      <c r="DN339">
        <v>10</v>
      </c>
      <c r="DO339">
        <v>923</v>
      </c>
      <c r="DP339">
        <v>11</v>
      </c>
      <c r="DQ339">
        <v>0</v>
      </c>
      <c r="DR339">
        <v>0</v>
      </c>
      <c r="DS339">
        <v>0</v>
      </c>
      <c r="DT339">
        <v>2</v>
      </c>
      <c r="DU339">
        <v>7</v>
      </c>
      <c r="DV339">
        <v>1</v>
      </c>
      <c r="DW339">
        <v>0</v>
      </c>
      <c r="DX339">
        <v>11</v>
      </c>
      <c r="DY339">
        <v>2</v>
      </c>
      <c r="DZ339">
        <v>986</v>
      </c>
      <c r="EA339">
        <v>0.96260000000000001</v>
      </c>
      <c r="EB339">
        <v>0.96354987076973397</v>
      </c>
      <c r="EC339">
        <v>0.96198576442010297</v>
      </c>
      <c r="ED339">
        <v>0.96227334110386897</v>
      </c>
      <c r="EE339">
        <f>SUM(Table1[[#This Row],[ratio_0]:[ratio_9]])</f>
        <v>460</v>
      </c>
      <c r="EF339" s="1">
        <f>(Table1[[#This Row],[predicted_0]]-Table1[[#This Row],[actual_0]])/Table1[[#This Row],[actual_0]]</f>
        <v>-2.0408163265306124E-3</v>
      </c>
      <c r="EG339" s="1">
        <f>(Table1[[#This Row],[predicted_1]]-Table1[[#This Row],[actual_1]])/Table1[[#This Row],[actual_1]]</f>
        <v>-2.2026431718061675E-2</v>
      </c>
      <c r="EH339" s="1">
        <f>(Table1[[#This Row],[predicted_2]]-Table1[[#This Row],[actual_2]])/Table1[[#This Row],[actual_2]]</f>
        <v>-5.329457364341085E-2</v>
      </c>
      <c r="EI339" s="1">
        <f>(Table1[[#This Row],[predicted_3]]-Table1[[#This Row],[actual_3]])/Table1[[#This Row],[actual_3]]</f>
        <v>1.1881188118811881E-2</v>
      </c>
      <c r="EJ339" s="1">
        <f>(Table1[[#This Row],[predicted_4]]-Table1[[#This Row],[actual_4]])/Table1[[#This Row],[actual_4]]</f>
        <v>5.4989816700610997E-2</v>
      </c>
      <c r="EK339" s="1">
        <f>(Table1[[#This Row],[predicted_5]]-Table1[[#This Row],[actual_5]])/Table1[[#This Row],[actual_5]]</f>
        <v>-5.9417040358744393E-2</v>
      </c>
      <c r="EL339" s="1">
        <f>(Table1[[#This Row],[predicted_6]]-Table1[[#This Row],[actual_6]])/Table1[[#This Row],[actual_6]]</f>
        <v>-4.697286012526096E-2</v>
      </c>
      <c r="EM339" s="1">
        <f>(Table1[[#This Row],[predicted_7]]-Table1[[#This Row],[actual_7]])/Table1[[#This Row],[actual_7]]</f>
        <v>8.3657587548638127E-2</v>
      </c>
      <c r="EN339" s="1">
        <f>(Table1[[#This Row],[predicted_8]]-Table1[[#This Row],[actual_8]])/Table1[[#This Row],[actual_8]]</f>
        <v>-1.2320328542094456E-2</v>
      </c>
      <c r="EO339" s="1">
        <f>(Table1[[#This Row],[predicted_9]]-Table1[[#This Row],[actual_9]])/Table1[[#This Row],[actual_9]]</f>
        <v>3.9643211100099107E-2</v>
      </c>
      <c r="EP339" s="1">
        <f>1+(Table1[[#This Row],[error_ratio_0]]-EF$2)</f>
        <v>0.99591836734693873</v>
      </c>
      <c r="EQ339" s="1">
        <f>1+(Table1[[#This Row],[error_ratio_1]]-EG$2)</f>
        <v>0.97621145374449336</v>
      </c>
      <c r="ER339" s="1">
        <f>1+(Table1[[#This Row],[error_ratio_2]]-EH$2)</f>
        <v>0.95155038759689925</v>
      </c>
      <c r="ES339" s="1">
        <f>1+(Table1[[#This Row],[error_ratio_3]]-EI$2)</f>
        <v>1.001980198019802</v>
      </c>
      <c r="ET339" s="1">
        <f>1+(Table1[[#This Row],[error_ratio_4]]-EJ$2)</f>
        <v>1.0539714867617107</v>
      </c>
      <c r="EU339" s="1">
        <f>1+(Table1[[#This Row],[error_ratio_5]]-EK$2)</f>
        <v>0.9394618834080718</v>
      </c>
      <c r="EV339" s="1">
        <f>1+(Table1[[#This Row],[error_ratio_6]]-EL$2)</f>
        <v>0.95929018789144049</v>
      </c>
      <c r="EW339" s="1">
        <f>1+(Table1[[#This Row],[error_ratio_7]]-EM$2)</f>
        <v>1.0817120622568093</v>
      </c>
      <c r="EX339" s="1">
        <f>1+(Table1[[#This Row],[error_ratio_8]]-EN$2)</f>
        <v>0.99075975359342916</v>
      </c>
      <c r="EY339" s="1">
        <f>1+(Table1[[#This Row],[error_ratio_9]]-EO$2)</f>
        <v>1.043607532210109</v>
      </c>
    </row>
    <row r="340" spans="1:155" x14ac:dyDescent="0.75">
      <c r="A340">
        <v>10</v>
      </c>
      <c r="B340">
        <v>10</v>
      </c>
      <c r="C340">
        <v>10</v>
      </c>
      <c r="D340">
        <v>10</v>
      </c>
      <c r="E340">
        <v>100</v>
      </c>
      <c r="F340">
        <v>10</v>
      </c>
      <c r="G340">
        <v>10</v>
      </c>
      <c r="H340">
        <v>100</v>
      </c>
      <c r="I340">
        <v>10</v>
      </c>
      <c r="J340">
        <v>100</v>
      </c>
      <c r="K340">
        <v>964</v>
      </c>
      <c r="L340">
        <v>1133</v>
      </c>
      <c r="M340">
        <v>1001</v>
      </c>
      <c r="N340">
        <v>974</v>
      </c>
      <c r="O340">
        <v>1024</v>
      </c>
      <c r="P340">
        <v>897</v>
      </c>
      <c r="Q340">
        <v>938</v>
      </c>
      <c r="R340">
        <v>1126</v>
      </c>
      <c r="S340">
        <v>965</v>
      </c>
      <c r="T340">
        <v>978</v>
      </c>
      <c r="U340">
        <v>980</v>
      </c>
      <c r="V340">
        <v>1135</v>
      </c>
      <c r="W340">
        <v>1032</v>
      </c>
      <c r="X340">
        <v>1010</v>
      </c>
      <c r="Y340">
        <v>982</v>
      </c>
      <c r="Z340">
        <v>892</v>
      </c>
      <c r="AA340">
        <v>958</v>
      </c>
      <c r="AB340">
        <v>1028</v>
      </c>
      <c r="AC340">
        <v>974</v>
      </c>
      <c r="AD340">
        <v>1009</v>
      </c>
      <c r="AE340">
        <v>945</v>
      </c>
      <c r="AF340">
        <v>0</v>
      </c>
      <c r="AG340">
        <v>3</v>
      </c>
      <c r="AH340">
        <v>0</v>
      </c>
      <c r="AI340">
        <v>10</v>
      </c>
      <c r="AJ340">
        <v>3</v>
      </c>
      <c r="AK340">
        <v>5</v>
      </c>
      <c r="AL340">
        <v>7</v>
      </c>
      <c r="AM340">
        <v>2</v>
      </c>
      <c r="AN340">
        <v>5</v>
      </c>
      <c r="AO340">
        <v>0</v>
      </c>
      <c r="AP340">
        <v>1120</v>
      </c>
      <c r="AQ340">
        <v>2</v>
      </c>
      <c r="AR340">
        <v>1</v>
      </c>
      <c r="AS340">
        <v>0</v>
      </c>
      <c r="AT340">
        <v>1</v>
      </c>
      <c r="AU340">
        <v>2</v>
      </c>
      <c r="AV340">
        <v>8</v>
      </c>
      <c r="AW340">
        <v>1</v>
      </c>
      <c r="AX340">
        <v>0</v>
      </c>
      <c r="AY340">
        <v>4</v>
      </c>
      <c r="AZ340">
        <v>5</v>
      </c>
      <c r="BA340">
        <v>968</v>
      </c>
      <c r="BB340">
        <v>13</v>
      </c>
      <c r="BC340">
        <v>4</v>
      </c>
      <c r="BD340">
        <v>4</v>
      </c>
      <c r="BE340">
        <v>3</v>
      </c>
      <c r="BF340">
        <v>28</v>
      </c>
      <c r="BG340">
        <v>3</v>
      </c>
      <c r="BH340">
        <v>0</v>
      </c>
      <c r="BI340">
        <v>0</v>
      </c>
      <c r="BJ340">
        <v>0</v>
      </c>
      <c r="BK340">
        <v>13</v>
      </c>
      <c r="BL340">
        <v>943</v>
      </c>
      <c r="BM340">
        <v>1</v>
      </c>
      <c r="BN340">
        <v>17</v>
      </c>
      <c r="BO340">
        <v>0</v>
      </c>
      <c r="BP340">
        <v>25</v>
      </c>
      <c r="BQ340">
        <v>9</v>
      </c>
      <c r="BR340">
        <v>2</v>
      </c>
      <c r="BS340">
        <v>0</v>
      </c>
      <c r="BT340">
        <v>0</v>
      </c>
      <c r="BU340">
        <v>0</v>
      </c>
      <c r="BV340">
        <v>0</v>
      </c>
      <c r="BW340">
        <v>980</v>
      </c>
      <c r="BX340">
        <v>0</v>
      </c>
      <c r="BY340">
        <v>1</v>
      </c>
      <c r="BZ340">
        <v>0</v>
      </c>
      <c r="CA340">
        <v>0</v>
      </c>
      <c r="CB340">
        <v>1</v>
      </c>
      <c r="CC340">
        <v>2</v>
      </c>
      <c r="CD340">
        <v>0</v>
      </c>
      <c r="CE340">
        <v>1</v>
      </c>
      <c r="CF340">
        <v>9</v>
      </c>
      <c r="CG340">
        <v>0</v>
      </c>
      <c r="CH340">
        <v>851</v>
      </c>
      <c r="CI340">
        <v>4</v>
      </c>
      <c r="CJ340">
        <v>9</v>
      </c>
      <c r="CK340">
        <v>14</v>
      </c>
      <c r="CL340">
        <v>2</v>
      </c>
      <c r="CM340">
        <v>7</v>
      </c>
      <c r="CN340">
        <v>6</v>
      </c>
      <c r="CO340">
        <v>1</v>
      </c>
      <c r="CP340">
        <v>0</v>
      </c>
      <c r="CQ340">
        <v>9</v>
      </c>
      <c r="CR340">
        <v>7</v>
      </c>
      <c r="CS340">
        <v>920</v>
      </c>
      <c r="CT340">
        <v>0</v>
      </c>
      <c r="CU340">
        <v>8</v>
      </c>
      <c r="CV340">
        <v>0</v>
      </c>
      <c r="CW340">
        <v>0</v>
      </c>
      <c r="CX340">
        <v>0</v>
      </c>
      <c r="CY340">
        <v>7</v>
      </c>
      <c r="CZ340">
        <v>0</v>
      </c>
      <c r="DA340">
        <v>1</v>
      </c>
      <c r="DB340">
        <v>0</v>
      </c>
      <c r="DC340">
        <v>0</v>
      </c>
      <c r="DD340">
        <v>1019</v>
      </c>
      <c r="DE340">
        <v>0</v>
      </c>
      <c r="DF340">
        <v>1</v>
      </c>
      <c r="DG340">
        <v>4</v>
      </c>
      <c r="DH340">
        <v>1</v>
      </c>
      <c r="DI340">
        <v>6</v>
      </c>
      <c r="DJ340">
        <v>3</v>
      </c>
      <c r="DK340">
        <v>5</v>
      </c>
      <c r="DL340">
        <v>5</v>
      </c>
      <c r="DM340">
        <v>2</v>
      </c>
      <c r="DN340">
        <v>15</v>
      </c>
      <c r="DO340">
        <v>926</v>
      </c>
      <c r="DP340">
        <v>7</v>
      </c>
      <c r="DQ340">
        <v>2</v>
      </c>
      <c r="DR340">
        <v>1</v>
      </c>
      <c r="DS340">
        <v>0</v>
      </c>
      <c r="DT340">
        <v>5</v>
      </c>
      <c r="DU340">
        <v>14</v>
      </c>
      <c r="DV340">
        <v>9</v>
      </c>
      <c r="DW340">
        <v>1</v>
      </c>
      <c r="DX340">
        <v>15</v>
      </c>
      <c r="DY340">
        <v>2</v>
      </c>
      <c r="DZ340">
        <v>960</v>
      </c>
      <c r="EA340">
        <v>0.96319999999999995</v>
      </c>
      <c r="EB340">
        <v>0.96367353196618499</v>
      </c>
      <c r="EC340">
        <v>0.962845184992553</v>
      </c>
      <c r="ED340">
        <v>0.96292300911828199</v>
      </c>
      <c r="EE340">
        <f>SUM(Table1[[#This Row],[ratio_0]:[ratio_9]])</f>
        <v>370</v>
      </c>
      <c r="EF340" s="1">
        <f>(Table1[[#This Row],[predicted_0]]-Table1[[#This Row],[actual_0]])/Table1[[#This Row],[actual_0]]</f>
        <v>-1.6326530612244899E-2</v>
      </c>
      <c r="EG340" s="1">
        <f>(Table1[[#This Row],[predicted_1]]-Table1[[#This Row],[actual_1]])/Table1[[#This Row],[actual_1]]</f>
        <v>-1.762114537444934E-3</v>
      </c>
      <c r="EH340" s="1">
        <f>(Table1[[#This Row],[predicted_2]]-Table1[[#This Row],[actual_2]])/Table1[[#This Row],[actual_2]]</f>
        <v>-3.0038759689922482E-2</v>
      </c>
      <c r="EI340" s="1">
        <f>(Table1[[#This Row],[predicted_3]]-Table1[[#This Row],[actual_3]])/Table1[[#This Row],[actual_3]]</f>
        <v>-3.5643564356435641E-2</v>
      </c>
      <c r="EJ340" s="1">
        <f>(Table1[[#This Row],[predicted_4]]-Table1[[#This Row],[actual_4]])/Table1[[#This Row],[actual_4]]</f>
        <v>4.2769857433808553E-2</v>
      </c>
      <c r="EK340" s="1">
        <f>(Table1[[#This Row],[predicted_5]]-Table1[[#This Row],[actual_5]])/Table1[[#This Row],[actual_5]]</f>
        <v>5.6053811659192822E-3</v>
      </c>
      <c r="EL340" s="1">
        <f>(Table1[[#This Row],[predicted_6]]-Table1[[#This Row],[actual_6]])/Table1[[#This Row],[actual_6]]</f>
        <v>-2.0876826722338204E-2</v>
      </c>
      <c r="EM340" s="1">
        <f>(Table1[[#This Row],[predicted_7]]-Table1[[#This Row],[actual_7]])/Table1[[#This Row],[actual_7]]</f>
        <v>9.5330739299610889E-2</v>
      </c>
      <c r="EN340" s="1">
        <f>(Table1[[#This Row],[predicted_8]]-Table1[[#This Row],[actual_8]])/Table1[[#This Row],[actual_8]]</f>
        <v>-9.2402464065708418E-3</v>
      </c>
      <c r="EO340" s="1">
        <f>(Table1[[#This Row],[predicted_9]]-Table1[[#This Row],[actual_9]])/Table1[[#This Row],[actual_9]]</f>
        <v>-3.0723488602576808E-2</v>
      </c>
      <c r="EP340" s="1">
        <f>1+(Table1[[#This Row],[error_ratio_0]]-EF$2)</f>
        <v>0.98163265306122449</v>
      </c>
      <c r="EQ340" s="1">
        <f>1+(Table1[[#This Row],[error_ratio_1]]-EG$2)</f>
        <v>0.99647577092511008</v>
      </c>
      <c r="ER340" s="1">
        <f>1+(Table1[[#This Row],[error_ratio_2]]-EH$2)</f>
        <v>0.97480620155038755</v>
      </c>
      <c r="ES340" s="1">
        <f>1+(Table1[[#This Row],[error_ratio_3]]-EI$2)</f>
        <v>0.95445544554455441</v>
      </c>
      <c r="ET340" s="1">
        <f>1+(Table1[[#This Row],[error_ratio_4]]-EJ$2)</f>
        <v>1.0417515274949083</v>
      </c>
      <c r="EU340" s="1">
        <f>1+(Table1[[#This Row],[error_ratio_5]]-EK$2)</f>
        <v>1.0044843049327354</v>
      </c>
      <c r="EV340" s="1">
        <f>1+(Table1[[#This Row],[error_ratio_6]]-EL$2)</f>
        <v>0.98538622129436326</v>
      </c>
      <c r="EW340" s="1">
        <f>1+(Table1[[#This Row],[error_ratio_7]]-EM$2)</f>
        <v>1.0933852140077822</v>
      </c>
      <c r="EX340" s="1">
        <f>1+(Table1[[#This Row],[error_ratio_8]]-EN$2)</f>
        <v>0.99383983572895274</v>
      </c>
      <c r="EY340" s="1">
        <f>1+(Table1[[#This Row],[error_ratio_9]]-EO$2)</f>
        <v>0.9732408325074331</v>
      </c>
    </row>
    <row r="341" spans="1:155" x14ac:dyDescent="0.75">
      <c r="A341">
        <v>100</v>
      </c>
      <c r="B341">
        <v>100</v>
      </c>
      <c r="C341">
        <v>100</v>
      </c>
      <c r="D341">
        <v>100</v>
      </c>
      <c r="E341">
        <v>10</v>
      </c>
      <c r="F341">
        <v>10</v>
      </c>
      <c r="G341">
        <v>10</v>
      </c>
      <c r="H341">
        <v>100</v>
      </c>
      <c r="I341">
        <v>10</v>
      </c>
      <c r="J341">
        <v>100</v>
      </c>
      <c r="K341">
        <v>1007</v>
      </c>
      <c r="L341">
        <v>1159</v>
      </c>
      <c r="M341">
        <v>1067</v>
      </c>
      <c r="N341">
        <v>1077</v>
      </c>
      <c r="O341">
        <v>901</v>
      </c>
      <c r="P341">
        <v>767</v>
      </c>
      <c r="Q341">
        <v>943</v>
      </c>
      <c r="R341">
        <v>1017</v>
      </c>
      <c r="S341">
        <v>926</v>
      </c>
      <c r="T341">
        <v>1136</v>
      </c>
      <c r="U341">
        <v>980</v>
      </c>
      <c r="V341">
        <v>1135</v>
      </c>
      <c r="W341">
        <v>1032</v>
      </c>
      <c r="X341">
        <v>1010</v>
      </c>
      <c r="Y341">
        <v>982</v>
      </c>
      <c r="Z341">
        <v>892</v>
      </c>
      <c r="AA341">
        <v>958</v>
      </c>
      <c r="AB341">
        <v>1028</v>
      </c>
      <c r="AC341">
        <v>974</v>
      </c>
      <c r="AD341">
        <v>1009</v>
      </c>
      <c r="AE341">
        <v>970</v>
      </c>
      <c r="AF341">
        <v>1</v>
      </c>
      <c r="AG341">
        <v>0</v>
      </c>
      <c r="AH341">
        <v>1</v>
      </c>
      <c r="AI341">
        <v>0</v>
      </c>
      <c r="AJ341">
        <v>0</v>
      </c>
      <c r="AK341">
        <v>0</v>
      </c>
      <c r="AL341">
        <v>4</v>
      </c>
      <c r="AM341">
        <v>1</v>
      </c>
      <c r="AN341">
        <v>3</v>
      </c>
      <c r="AO341">
        <v>0</v>
      </c>
      <c r="AP341">
        <v>1134</v>
      </c>
      <c r="AQ341">
        <v>1</v>
      </c>
      <c r="AR341">
        <v>0</v>
      </c>
      <c r="AS341">
        <v>0</v>
      </c>
      <c r="AT341">
        <v>0</v>
      </c>
      <c r="AU341">
        <v>0</v>
      </c>
      <c r="AV341">
        <v>0</v>
      </c>
      <c r="AW341">
        <v>0</v>
      </c>
      <c r="AX341">
        <v>0</v>
      </c>
      <c r="AY341">
        <v>0</v>
      </c>
      <c r="AZ341">
        <v>1</v>
      </c>
      <c r="BA341">
        <v>1029</v>
      </c>
      <c r="BB341">
        <v>0</v>
      </c>
      <c r="BC341">
        <v>0</v>
      </c>
      <c r="BD341">
        <v>0</v>
      </c>
      <c r="BE341">
        <v>0</v>
      </c>
      <c r="BF341">
        <v>2</v>
      </c>
      <c r="BG341">
        <v>0</v>
      </c>
      <c r="BH341">
        <v>0</v>
      </c>
      <c r="BI341">
        <v>0</v>
      </c>
      <c r="BJ341">
        <v>0</v>
      </c>
      <c r="BK341">
        <v>4</v>
      </c>
      <c r="BL341">
        <v>1003</v>
      </c>
      <c r="BM341">
        <v>0</v>
      </c>
      <c r="BN341">
        <v>0</v>
      </c>
      <c r="BO341">
        <v>0</v>
      </c>
      <c r="BP341">
        <v>2</v>
      </c>
      <c r="BQ341">
        <v>0</v>
      </c>
      <c r="BR341">
        <v>1</v>
      </c>
      <c r="BS341">
        <v>3</v>
      </c>
      <c r="BT341">
        <v>4</v>
      </c>
      <c r="BU341">
        <v>3</v>
      </c>
      <c r="BV341">
        <v>0</v>
      </c>
      <c r="BW341">
        <v>897</v>
      </c>
      <c r="BX341">
        <v>0</v>
      </c>
      <c r="BY341">
        <v>5</v>
      </c>
      <c r="BZ341">
        <v>1</v>
      </c>
      <c r="CA341">
        <v>1</v>
      </c>
      <c r="CB341">
        <v>68</v>
      </c>
      <c r="CC341">
        <v>9</v>
      </c>
      <c r="CD341">
        <v>3</v>
      </c>
      <c r="CE341">
        <v>1</v>
      </c>
      <c r="CF341">
        <v>58</v>
      </c>
      <c r="CG341">
        <v>0</v>
      </c>
      <c r="CH341">
        <v>763</v>
      </c>
      <c r="CI341">
        <v>9</v>
      </c>
      <c r="CJ341">
        <v>4</v>
      </c>
      <c r="CK341">
        <v>22</v>
      </c>
      <c r="CL341">
        <v>23</v>
      </c>
      <c r="CM341">
        <v>16</v>
      </c>
      <c r="CN341">
        <v>9</v>
      </c>
      <c r="CO341">
        <v>3</v>
      </c>
      <c r="CP341">
        <v>0</v>
      </c>
      <c r="CQ341">
        <v>1</v>
      </c>
      <c r="CR341">
        <v>1</v>
      </c>
      <c r="CS341">
        <v>927</v>
      </c>
      <c r="CT341">
        <v>0</v>
      </c>
      <c r="CU341">
        <v>1</v>
      </c>
      <c r="CV341">
        <v>0</v>
      </c>
      <c r="CW341">
        <v>0</v>
      </c>
      <c r="CX341">
        <v>3</v>
      </c>
      <c r="CY341">
        <v>8</v>
      </c>
      <c r="CZ341">
        <v>0</v>
      </c>
      <c r="DA341">
        <v>0</v>
      </c>
      <c r="DB341">
        <v>0</v>
      </c>
      <c r="DC341">
        <v>0</v>
      </c>
      <c r="DD341">
        <v>1000</v>
      </c>
      <c r="DE341">
        <v>0</v>
      </c>
      <c r="DF341">
        <v>17</v>
      </c>
      <c r="DG341">
        <v>9</v>
      </c>
      <c r="DH341">
        <v>3</v>
      </c>
      <c r="DI341">
        <v>17</v>
      </c>
      <c r="DJ341">
        <v>11</v>
      </c>
      <c r="DK341">
        <v>2</v>
      </c>
      <c r="DL341">
        <v>1</v>
      </c>
      <c r="DM341">
        <v>2</v>
      </c>
      <c r="DN341">
        <v>4</v>
      </c>
      <c r="DO341">
        <v>901</v>
      </c>
      <c r="DP341">
        <v>24</v>
      </c>
      <c r="DQ341">
        <v>0</v>
      </c>
      <c r="DR341">
        <v>1</v>
      </c>
      <c r="DS341">
        <v>1</v>
      </c>
      <c r="DT341">
        <v>4</v>
      </c>
      <c r="DU341">
        <v>1</v>
      </c>
      <c r="DV341">
        <v>2</v>
      </c>
      <c r="DW341">
        <v>0</v>
      </c>
      <c r="DX341">
        <v>0</v>
      </c>
      <c r="DY341">
        <v>0</v>
      </c>
      <c r="DZ341">
        <v>1000</v>
      </c>
      <c r="EA341">
        <v>0.96240000000000003</v>
      </c>
      <c r="EB341">
        <v>0.96473098891820797</v>
      </c>
      <c r="EC341">
        <v>0.96044354890974004</v>
      </c>
      <c r="ED341">
        <v>0.96133270201079601</v>
      </c>
      <c r="EE341">
        <f>SUM(Table1[[#This Row],[ratio_0]:[ratio_9]])</f>
        <v>640</v>
      </c>
      <c r="EF341" s="1">
        <f>(Table1[[#This Row],[predicted_0]]-Table1[[#This Row],[actual_0]])/Table1[[#This Row],[actual_0]]</f>
        <v>2.7551020408163266E-2</v>
      </c>
      <c r="EG341" s="1">
        <f>(Table1[[#This Row],[predicted_1]]-Table1[[#This Row],[actual_1]])/Table1[[#This Row],[actual_1]]</f>
        <v>2.1145374449339206E-2</v>
      </c>
      <c r="EH341" s="1">
        <f>(Table1[[#This Row],[predicted_2]]-Table1[[#This Row],[actual_2]])/Table1[[#This Row],[actual_2]]</f>
        <v>3.391472868217054E-2</v>
      </c>
      <c r="EI341" s="1">
        <f>(Table1[[#This Row],[predicted_3]]-Table1[[#This Row],[actual_3]])/Table1[[#This Row],[actual_3]]</f>
        <v>6.633663366336634E-2</v>
      </c>
      <c r="EJ341" s="1">
        <f>(Table1[[#This Row],[predicted_4]]-Table1[[#This Row],[actual_4]])/Table1[[#This Row],[actual_4]]</f>
        <v>-8.2484725050916502E-2</v>
      </c>
      <c r="EK341" s="1">
        <f>(Table1[[#This Row],[predicted_5]]-Table1[[#This Row],[actual_5]])/Table1[[#This Row],[actual_5]]</f>
        <v>-0.14013452914798205</v>
      </c>
      <c r="EL341" s="1">
        <f>(Table1[[#This Row],[predicted_6]]-Table1[[#This Row],[actual_6]])/Table1[[#This Row],[actual_6]]</f>
        <v>-1.5657620041753653E-2</v>
      </c>
      <c r="EM341" s="1">
        <f>(Table1[[#This Row],[predicted_7]]-Table1[[#This Row],[actual_7]])/Table1[[#This Row],[actual_7]]</f>
        <v>-1.0700389105058366E-2</v>
      </c>
      <c r="EN341" s="1">
        <f>(Table1[[#This Row],[predicted_8]]-Table1[[#This Row],[actual_8]])/Table1[[#This Row],[actual_8]]</f>
        <v>-4.9281314168377825E-2</v>
      </c>
      <c r="EO341" s="1">
        <f>(Table1[[#This Row],[predicted_9]]-Table1[[#This Row],[actual_9]])/Table1[[#This Row],[actual_9]]</f>
        <v>0.12586719524281467</v>
      </c>
      <c r="EP341" s="1">
        <f>1+(Table1[[#This Row],[error_ratio_0]]-EF$2)</f>
        <v>1.0255102040816326</v>
      </c>
      <c r="EQ341" s="1">
        <f>1+(Table1[[#This Row],[error_ratio_1]]-EG$2)</f>
        <v>1.0193832599118944</v>
      </c>
      <c r="ER341" s="1">
        <f>1+(Table1[[#This Row],[error_ratio_2]]-EH$2)</f>
        <v>1.0387596899224807</v>
      </c>
      <c r="ES341" s="1">
        <f>1+(Table1[[#This Row],[error_ratio_3]]-EI$2)</f>
        <v>1.0564356435643565</v>
      </c>
      <c r="ET341" s="1">
        <f>1+(Table1[[#This Row],[error_ratio_4]]-EJ$2)</f>
        <v>0.91649694501018331</v>
      </c>
      <c r="EU341" s="1">
        <f>1+(Table1[[#This Row],[error_ratio_5]]-EK$2)</f>
        <v>0.85874439461883412</v>
      </c>
      <c r="EV341" s="1">
        <f>1+(Table1[[#This Row],[error_ratio_6]]-EL$2)</f>
        <v>0.99060542797494777</v>
      </c>
      <c r="EW341" s="1">
        <f>1+(Table1[[#This Row],[error_ratio_7]]-EM$2)</f>
        <v>0.98735408560311289</v>
      </c>
      <c r="EX341" s="1">
        <f>1+(Table1[[#This Row],[error_ratio_8]]-EN$2)</f>
        <v>0.9537987679671458</v>
      </c>
      <c r="EY341" s="1">
        <f>1+(Table1[[#This Row],[error_ratio_9]]-EO$2)</f>
        <v>1.1298315163528245</v>
      </c>
    </row>
    <row r="342" spans="1:155" x14ac:dyDescent="0.75">
      <c r="A342">
        <v>10</v>
      </c>
      <c r="B342">
        <v>100</v>
      </c>
      <c r="C342">
        <v>100</v>
      </c>
      <c r="D342">
        <v>100</v>
      </c>
      <c r="E342">
        <v>10</v>
      </c>
      <c r="F342">
        <v>10</v>
      </c>
      <c r="G342">
        <v>10</v>
      </c>
      <c r="H342">
        <v>100</v>
      </c>
      <c r="I342">
        <v>10</v>
      </c>
      <c r="J342">
        <v>100</v>
      </c>
      <c r="K342">
        <v>941</v>
      </c>
      <c r="L342">
        <v>1146</v>
      </c>
      <c r="M342">
        <v>1066</v>
      </c>
      <c r="N342">
        <v>1044</v>
      </c>
      <c r="O342">
        <v>956</v>
      </c>
      <c r="P342">
        <v>910</v>
      </c>
      <c r="Q342">
        <v>921</v>
      </c>
      <c r="R342">
        <v>1039</v>
      </c>
      <c r="S342">
        <v>901</v>
      </c>
      <c r="T342">
        <v>1076</v>
      </c>
      <c r="U342">
        <v>980</v>
      </c>
      <c r="V342">
        <v>1135</v>
      </c>
      <c r="W342">
        <v>1032</v>
      </c>
      <c r="X342">
        <v>1010</v>
      </c>
      <c r="Y342">
        <v>982</v>
      </c>
      <c r="Z342">
        <v>892</v>
      </c>
      <c r="AA342">
        <v>958</v>
      </c>
      <c r="AB342">
        <v>1028</v>
      </c>
      <c r="AC342">
        <v>974</v>
      </c>
      <c r="AD342">
        <v>1009</v>
      </c>
      <c r="AE342">
        <v>933</v>
      </c>
      <c r="AF342">
        <v>0</v>
      </c>
      <c r="AG342">
        <v>15</v>
      </c>
      <c r="AH342">
        <v>3</v>
      </c>
      <c r="AI342">
        <v>4</v>
      </c>
      <c r="AJ342">
        <v>12</v>
      </c>
      <c r="AK342">
        <v>1</v>
      </c>
      <c r="AL342">
        <v>4</v>
      </c>
      <c r="AM342">
        <v>3</v>
      </c>
      <c r="AN342">
        <v>5</v>
      </c>
      <c r="AO342">
        <v>0</v>
      </c>
      <c r="AP342">
        <v>1129</v>
      </c>
      <c r="AQ342">
        <v>0</v>
      </c>
      <c r="AR342">
        <v>1</v>
      </c>
      <c r="AS342">
        <v>0</v>
      </c>
      <c r="AT342">
        <v>0</v>
      </c>
      <c r="AU342">
        <v>0</v>
      </c>
      <c r="AV342">
        <v>4</v>
      </c>
      <c r="AW342">
        <v>1</v>
      </c>
      <c r="AX342">
        <v>0</v>
      </c>
      <c r="AY342">
        <v>1</v>
      </c>
      <c r="AZ342">
        <v>6</v>
      </c>
      <c r="BA342">
        <v>1014</v>
      </c>
      <c r="BB342">
        <v>2</v>
      </c>
      <c r="BC342">
        <v>3</v>
      </c>
      <c r="BD342">
        <v>0</v>
      </c>
      <c r="BE342">
        <v>0</v>
      </c>
      <c r="BF342">
        <v>5</v>
      </c>
      <c r="BG342">
        <v>0</v>
      </c>
      <c r="BH342">
        <v>1</v>
      </c>
      <c r="BI342">
        <v>0</v>
      </c>
      <c r="BJ342">
        <v>0</v>
      </c>
      <c r="BK342">
        <v>5</v>
      </c>
      <c r="BL342">
        <v>998</v>
      </c>
      <c r="BM342">
        <v>0</v>
      </c>
      <c r="BN342">
        <v>1</v>
      </c>
      <c r="BO342">
        <v>0</v>
      </c>
      <c r="BP342">
        <v>1</v>
      </c>
      <c r="BQ342">
        <v>2</v>
      </c>
      <c r="BR342">
        <v>3</v>
      </c>
      <c r="BS342">
        <v>1</v>
      </c>
      <c r="BT342">
        <v>1</v>
      </c>
      <c r="BU342">
        <v>3</v>
      </c>
      <c r="BV342">
        <v>1</v>
      </c>
      <c r="BW342">
        <v>931</v>
      </c>
      <c r="BX342">
        <v>0</v>
      </c>
      <c r="BY342">
        <v>2</v>
      </c>
      <c r="BZ342">
        <v>6</v>
      </c>
      <c r="CA342">
        <v>1</v>
      </c>
      <c r="CB342">
        <v>36</v>
      </c>
      <c r="CC342">
        <v>0</v>
      </c>
      <c r="CD342">
        <v>0</v>
      </c>
      <c r="CE342">
        <v>1</v>
      </c>
      <c r="CF342">
        <v>23</v>
      </c>
      <c r="CG342">
        <v>0</v>
      </c>
      <c r="CH342">
        <v>859</v>
      </c>
      <c r="CI342">
        <v>2</v>
      </c>
      <c r="CJ342">
        <v>1</v>
      </c>
      <c r="CK342">
        <v>4</v>
      </c>
      <c r="CL342">
        <v>2</v>
      </c>
      <c r="CM342">
        <v>3</v>
      </c>
      <c r="CN342">
        <v>7</v>
      </c>
      <c r="CO342">
        <v>2</v>
      </c>
      <c r="CP342">
        <v>1</v>
      </c>
      <c r="CQ342">
        <v>15</v>
      </c>
      <c r="CR342">
        <v>14</v>
      </c>
      <c r="CS342">
        <v>913</v>
      </c>
      <c r="CT342">
        <v>0</v>
      </c>
      <c r="CU342">
        <v>3</v>
      </c>
      <c r="CV342">
        <v>0</v>
      </c>
      <c r="CW342">
        <v>0</v>
      </c>
      <c r="CX342">
        <v>2</v>
      </c>
      <c r="CY342">
        <v>14</v>
      </c>
      <c r="CZ342">
        <v>1</v>
      </c>
      <c r="DA342">
        <v>0</v>
      </c>
      <c r="DB342">
        <v>1</v>
      </c>
      <c r="DC342">
        <v>0</v>
      </c>
      <c r="DD342">
        <v>1005</v>
      </c>
      <c r="DE342">
        <v>0</v>
      </c>
      <c r="DF342">
        <v>5</v>
      </c>
      <c r="DG342">
        <v>2</v>
      </c>
      <c r="DH342">
        <v>1</v>
      </c>
      <c r="DI342">
        <v>12</v>
      </c>
      <c r="DJ342">
        <v>9</v>
      </c>
      <c r="DK342">
        <v>1</v>
      </c>
      <c r="DL342">
        <v>21</v>
      </c>
      <c r="DM342">
        <v>3</v>
      </c>
      <c r="DN342">
        <v>10</v>
      </c>
      <c r="DO342">
        <v>887</v>
      </c>
      <c r="DP342">
        <v>28</v>
      </c>
      <c r="DQ342">
        <v>1</v>
      </c>
      <c r="DR342">
        <v>0</v>
      </c>
      <c r="DS342">
        <v>0</v>
      </c>
      <c r="DT342">
        <v>5</v>
      </c>
      <c r="DU342">
        <v>2</v>
      </c>
      <c r="DV342">
        <v>2</v>
      </c>
      <c r="DW342">
        <v>0</v>
      </c>
      <c r="DX342">
        <v>3</v>
      </c>
      <c r="DY342">
        <v>0</v>
      </c>
      <c r="DZ342">
        <v>996</v>
      </c>
      <c r="EA342">
        <v>0.96650000000000003</v>
      </c>
      <c r="EB342">
        <v>0.96703301092052196</v>
      </c>
      <c r="EC342">
        <v>0.96569482550322805</v>
      </c>
      <c r="ED342">
        <v>0.96595988549225897</v>
      </c>
      <c r="EE342">
        <f>SUM(Table1[[#This Row],[ratio_0]:[ratio_9]])</f>
        <v>550</v>
      </c>
      <c r="EF342" s="1">
        <f>(Table1[[#This Row],[predicted_0]]-Table1[[#This Row],[actual_0]])/Table1[[#This Row],[actual_0]]</f>
        <v>-3.9795918367346937E-2</v>
      </c>
      <c r="EG342" s="1">
        <f>(Table1[[#This Row],[predicted_1]]-Table1[[#This Row],[actual_1]])/Table1[[#This Row],[actual_1]]</f>
        <v>9.6916299559471359E-3</v>
      </c>
      <c r="EH342" s="1">
        <f>(Table1[[#This Row],[predicted_2]]-Table1[[#This Row],[actual_2]])/Table1[[#This Row],[actual_2]]</f>
        <v>3.294573643410853E-2</v>
      </c>
      <c r="EI342" s="1">
        <f>(Table1[[#This Row],[predicted_3]]-Table1[[#This Row],[actual_3]])/Table1[[#This Row],[actual_3]]</f>
        <v>3.3663366336633666E-2</v>
      </c>
      <c r="EJ342" s="1">
        <f>(Table1[[#This Row],[predicted_4]]-Table1[[#This Row],[actual_4]])/Table1[[#This Row],[actual_4]]</f>
        <v>-2.6476578411405296E-2</v>
      </c>
      <c r="EK342" s="1">
        <f>(Table1[[#This Row],[predicted_5]]-Table1[[#This Row],[actual_5]])/Table1[[#This Row],[actual_5]]</f>
        <v>2.0179372197309416E-2</v>
      </c>
      <c r="EL342" s="1">
        <f>(Table1[[#This Row],[predicted_6]]-Table1[[#This Row],[actual_6]])/Table1[[#This Row],[actual_6]]</f>
        <v>-3.8622129436325675E-2</v>
      </c>
      <c r="EM342" s="1">
        <f>(Table1[[#This Row],[predicted_7]]-Table1[[#This Row],[actual_7]])/Table1[[#This Row],[actual_7]]</f>
        <v>1.0700389105058366E-2</v>
      </c>
      <c r="EN342" s="1">
        <f>(Table1[[#This Row],[predicted_8]]-Table1[[#This Row],[actual_8]])/Table1[[#This Row],[actual_8]]</f>
        <v>-7.4948665297741274E-2</v>
      </c>
      <c r="EO342" s="1">
        <f>(Table1[[#This Row],[predicted_9]]-Table1[[#This Row],[actual_9]])/Table1[[#This Row],[actual_9]]</f>
        <v>6.6402378592666012E-2</v>
      </c>
      <c r="EP342" s="1">
        <f>1+(Table1[[#This Row],[error_ratio_0]]-EF$2)</f>
        <v>0.9581632653061225</v>
      </c>
      <c r="EQ342" s="1">
        <f>1+(Table1[[#This Row],[error_ratio_1]]-EG$2)</f>
        <v>1.0079295154185022</v>
      </c>
      <c r="ER342" s="1">
        <f>1+(Table1[[#This Row],[error_ratio_2]]-EH$2)</f>
        <v>1.0377906976744187</v>
      </c>
      <c r="ES342" s="1">
        <f>1+(Table1[[#This Row],[error_ratio_3]]-EI$2)</f>
        <v>1.0237623762376238</v>
      </c>
      <c r="ET342" s="1">
        <f>1+(Table1[[#This Row],[error_ratio_4]]-EJ$2)</f>
        <v>0.97250509164969445</v>
      </c>
      <c r="EU342" s="1">
        <f>1+(Table1[[#This Row],[error_ratio_5]]-EK$2)</f>
        <v>1.0190582959641254</v>
      </c>
      <c r="EV342" s="1">
        <f>1+(Table1[[#This Row],[error_ratio_6]]-EL$2)</f>
        <v>0.96764091858037582</v>
      </c>
      <c r="EW342" s="1">
        <f>1+(Table1[[#This Row],[error_ratio_7]]-EM$2)</f>
        <v>1.0087548638132295</v>
      </c>
      <c r="EX342" s="1">
        <f>1+(Table1[[#This Row],[error_ratio_8]]-EN$2)</f>
        <v>0.92813141683778233</v>
      </c>
      <c r="EY342" s="1">
        <f>1+(Table1[[#This Row],[error_ratio_9]]-EO$2)</f>
        <v>1.0703666997026759</v>
      </c>
    </row>
    <row r="343" spans="1:155" x14ac:dyDescent="0.75">
      <c r="A343">
        <v>100</v>
      </c>
      <c r="B343">
        <v>10</v>
      </c>
      <c r="C343">
        <v>100</v>
      </c>
      <c r="D343">
        <v>100</v>
      </c>
      <c r="E343">
        <v>10</v>
      </c>
      <c r="F343">
        <v>10</v>
      </c>
      <c r="G343">
        <v>10</v>
      </c>
      <c r="H343">
        <v>100</v>
      </c>
      <c r="I343">
        <v>10</v>
      </c>
      <c r="J343">
        <v>100</v>
      </c>
      <c r="K343">
        <v>1047</v>
      </c>
      <c r="L343">
        <v>1143</v>
      </c>
      <c r="M343">
        <v>1040</v>
      </c>
      <c r="N343">
        <v>1070</v>
      </c>
      <c r="O343">
        <v>872</v>
      </c>
      <c r="P343">
        <v>857</v>
      </c>
      <c r="Q343">
        <v>970</v>
      </c>
      <c r="R343">
        <v>1052</v>
      </c>
      <c r="S343">
        <v>895</v>
      </c>
      <c r="T343">
        <v>1054</v>
      </c>
      <c r="U343">
        <v>980</v>
      </c>
      <c r="V343">
        <v>1135</v>
      </c>
      <c r="W343">
        <v>1032</v>
      </c>
      <c r="X343">
        <v>1010</v>
      </c>
      <c r="Y343">
        <v>982</v>
      </c>
      <c r="Z343">
        <v>892</v>
      </c>
      <c r="AA343">
        <v>958</v>
      </c>
      <c r="AB343">
        <v>1028</v>
      </c>
      <c r="AC343">
        <v>974</v>
      </c>
      <c r="AD343">
        <v>1009</v>
      </c>
      <c r="AE343">
        <v>976</v>
      </c>
      <c r="AF343">
        <v>0</v>
      </c>
      <c r="AG343">
        <v>1</v>
      </c>
      <c r="AH343">
        <v>0</v>
      </c>
      <c r="AI343">
        <v>0</v>
      </c>
      <c r="AJ343">
        <v>0</v>
      </c>
      <c r="AK343">
        <v>1</v>
      </c>
      <c r="AL343">
        <v>2</v>
      </c>
      <c r="AM343">
        <v>0</v>
      </c>
      <c r="AN343">
        <v>0</v>
      </c>
      <c r="AO343">
        <v>4</v>
      </c>
      <c r="AP343">
        <v>1121</v>
      </c>
      <c r="AQ343">
        <v>0</v>
      </c>
      <c r="AR343">
        <v>5</v>
      </c>
      <c r="AS343">
        <v>0</v>
      </c>
      <c r="AT343">
        <v>0</v>
      </c>
      <c r="AU343">
        <v>1</v>
      </c>
      <c r="AV343">
        <v>3</v>
      </c>
      <c r="AW343">
        <v>1</v>
      </c>
      <c r="AX343">
        <v>0</v>
      </c>
      <c r="AY343">
        <v>1</v>
      </c>
      <c r="AZ343">
        <v>4</v>
      </c>
      <c r="BA343">
        <v>1007</v>
      </c>
      <c r="BB343">
        <v>4</v>
      </c>
      <c r="BC343">
        <v>0</v>
      </c>
      <c r="BD343">
        <v>0</v>
      </c>
      <c r="BE343">
        <v>0</v>
      </c>
      <c r="BF343">
        <v>15</v>
      </c>
      <c r="BG343">
        <v>1</v>
      </c>
      <c r="BH343">
        <v>0</v>
      </c>
      <c r="BI343">
        <v>0</v>
      </c>
      <c r="BJ343">
        <v>0</v>
      </c>
      <c r="BK343">
        <v>1</v>
      </c>
      <c r="BL343">
        <v>1007</v>
      </c>
      <c r="BM343">
        <v>0</v>
      </c>
      <c r="BN343">
        <v>2</v>
      </c>
      <c r="BO343">
        <v>0</v>
      </c>
      <c r="BP343">
        <v>0</v>
      </c>
      <c r="BQ343">
        <v>0</v>
      </c>
      <c r="BR343">
        <v>0</v>
      </c>
      <c r="BS343">
        <v>11</v>
      </c>
      <c r="BT343">
        <v>9</v>
      </c>
      <c r="BU343">
        <v>14</v>
      </c>
      <c r="BV343">
        <v>0</v>
      </c>
      <c r="BW343">
        <v>866</v>
      </c>
      <c r="BX343">
        <v>0</v>
      </c>
      <c r="BY343">
        <v>25</v>
      </c>
      <c r="BZ343">
        <v>8</v>
      </c>
      <c r="CA343">
        <v>2</v>
      </c>
      <c r="CB343">
        <v>47</v>
      </c>
      <c r="CC343">
        <v>10</v>
      </c>
      <c r="CD343">
        <v>0</v>
      </c>
      <c r="CE343">
        <v>0</v>
      </c>
      <c r="CF343">
        <v>27</v>
      </c>
      <c r="CG343">
        <v>0</v>
      </c>
      <c r="CH343">
        <v>841</v>
      </c>
      <c r="CI343">
        <v>5</v>
      </c>
      <c r="CJ343">
        <v>2</v>
      </c>
      <c r="CK343">
        <v>1</v>
      </c>
      <c r="CL343">
        <v>6</v>
      </c>
      <c r="CM343">
        <v>17</v>
      </c>
      <c r="CN343">
        <v>3</v>
      </c>
      <c r="CO343">
        <v>1</v>
      </c>
      <c r="CP343">
        <v>1</v>
      </c>
      <c r="CQ343">
        <v>1</v>
      </c>
      <c r="CR343">
        <v>3</v>
      </c>
      <c r="CS343">
        <v>932</v>
      </c>
      <c r="CT343">
        <v>0</v>
      </c>
      <c r="CU343">
        <v>0</v>
      </c>
      <c r="CV343">
        <v>0</v>
      </c>
      <c r="CW343">
        <v>0</v>
      </c>
      <c r="CX343">
        <v>3</v>
      </c>
      <c r="CY343">
        <v>3</v>
      </c>
      <c r="CZ343">
        <v>5</v>
      </c>
      <c r="DA343">
        <v>0</v>
      </c>
      <c r="DB343">
        <v>0</v>
      </c>
      <c r="DC343">
        <v>0</v>
      </c>
      <c r="DD343">
        <v>1015</v>
      </c>
      <c r="DE343">
        <v>0</v>
      </c>
      <c r="DF343">
        <v>2</v>
      </c>
      <c r="DG343">
        <v>23</v>
      </c>
      <c r="DH343">
        <v>2</v>
      </c>
      <c r="DI343">
        <v>13</v>
      </c>
      <c r="DJ343">
        <v>18</v>
      </c>
      <c r="DK343">
        <v>2</v>
      </c>
      <c r="DL343">
        <v>3</v>
      </c>
      <c r="DM343">
        <v>6</v>
      </c>
      <c r="DN343">
        <v>6</v>
      </c>
      <c r="DO343">
        <v>889</v>
      </c>
      <c r="DP343">
        <v>12</v>
      </c>
      <c r="DQ343">
        <v>5</v>
      </c>
      <c r="DR343">
        <v>1</v>
      </c>
      <c r="DS343">
        <v>0</v>
      </c>
      <c r="DT343">
        <v>3</v>
      </c>
      <c r="DU343">
        <v>3</v>
      </c>
      <c r="DV343">
        <v>8</v>
      </c>
      <c r="DW343">
        <v>0</v>
      </c>
      <c r="DX343">
        <v>1</v>
      </c>
      <c r="DY343">
        <v>1</v>
      </c>
      <c r="DZ343">
        <v>987</v>
      </c>
      <c r="EA343">
        <v>0.96409999999999996</v>
      </c>
      <c r="EB343">
        <v>0.96521621878955</v>
      </c>
      <c r="EC343">
        <v>0.96322287524679495</v>
      </c>
      <c r="ED343">
        <v>0.96342981735107502</v>
      </c>
      <c r="EE343">
        <f>SUM(Table1[[#This Row],[ratio_0]:[ratio_9]])</f>
        <v>550</v>
      </c>
      <c r="EF343" s="1">
        <f>(Table1[[#This Row],[predicted_0]]-Table1[[#This Row],[actual_0]])/Table1[[#This Row],[actual_0]]</f>
        <v>6.8367346938775511E-2</v>
      </c>
      <c r="EG343" s="1">
        <f>(Table1[[#This Row],[predicted_1]]-Table1[[#This Row],[actual_1]])/Table1[[#This Row],[actual_1]]</f>
        <v>7.048458149779736E-3</v>
      </c>
      <c r="EH343" s="1">
        <f>(Table1[[#This Row],[predicted_2]]-Table1[[#This Row],[actual_2]])/Table1[[#This Row],[actual_2]]</f>
        <v>7.7519379844961239E-3</v>
      </c>
      <c r="EI343" s="1">
        <f>(Table1[[#This Row],[predicted_3]]-Table1[[#This Row],[actual_3]])/Table1[[#This Row],[actual_3]]</f>
        <v>5.9405940594059403E-2</v>
      </c>
      <c r="EJ343" s="1">
        <f>(Table1[[#This Row],[predicted_4]]-Table1[[#This Row],[actual_4]])/Table1[[#This Row],[actual_4]]</f>
        <v>-0.11201629327902241</v>
      </c>
      <c r="EK343" s="1">
        <f>(Table1[[#This Row],[predicted_5]]-Table1[[#This Row],[actual_5]])/Table1[[#This Row],[actual_5]]</f>
        <v>-3.923766816143498E-2</v>
      </c>
      <c r="EL343" s="1">
        <f>(Table1[[#This Row],[predicted_6]]-Table1[[#This Row],[actual_6]])/Table1[[#This Row],[actual_6]]</f>
        <v>1.2526096033402923E-2</v>
      </c>
      <c r="EM343" s="1">
        <f>(Table1[[#This Row],[predicted_7]]-Table1[[#This Row],[actual_7]])/Table1[[#This Row],[actual_7]]</f>
        <v>2.3346303501945526E-2</v>
      </c>
      <c r="EN343" s="1">
        <f>(Table1[[#This Row],[predicted_8]]-Table1[[#This Row],[actual_8]])/Table1[[#This Row],[actual_8]]</f>
        <v>-8.1108829568788496E-2</v>
      </c>
      <c r="EO343" s="1">
        <f>(Table1[[#This Row],[predicted_9]]-Table1[[#This Row],[actual_9]])/Table1[[#This Row],[actual_9]]</f>
        <v>4.4598612487611496E-2</v>
      </c>
      <c r="EP343" s="1">
        <f>1+(Table1[[#This Row],[error_ratio_0]]-EF$2)</f>
        <v>1.0663265306122449</v>
      </c>
      <c r="EQ343" s="1">
        <f>1+(Table1[[#This Row],[error_ratio_1]]-EG$2)</f>
        <v>1.0052863436123347</v>
      </c>
      <c r="ER343" s="1">
        <f>1+(Table1[[#This Row],[error_ratio_2]]-EH$2)</f>
        <v>1.0125968992248062</v>
      </c>
      <c r="ES343" s="1">
        <f>1+(Table1[[#This Row],[error_ratio_3]]-EI$2)</f>
        <v>1.0495049504950495</v>
      </c>
      <c r="ET343" s="1">
        <f>1+(Table1[[#This Row],[error_ratio_4]]-EJ$2)</f>
        <v>0.88696537678207743</v>
      </c>
      <c r="EU343" s="1">
        <f>1+(Table1[[#This Row],[error_ratio_5]]-EK$2)</f>
        <v>0.95964125560538116</v>
      </c>
      <c r="EV343" s="1">
        <f>1+(Table1[[#This Row],[error_ratio_6]]-EL$2)</f>
        <v>1.0187891440501045</v>
      </c>
      <c r="EW343" s="1">
        <f>1+(Table1[[#This Row],[error_ratio_7]]-EM$2)</f>
        <v>1.0214007782101167</v>
      </c>
      <c r="EX343" s="1">
        <f>1+(Table1[[#This Row],[error_ratio_8]]-EN$2)</f>
        <v>0.92197125256673518</v>
      </c>
      <c r="EY343" s="1">
        <f>1+(Table1[[#This Row],[error_ratio_9]]-EO$2)</f>
        <v>1.0485629335976214</v>
      </c>
    </row>
    <row r="344" spans="1:155" x14ac:dyDescent="0.75">
      <c r="A344">
        <v>100</v>
      </c>
      <c r="B344">
        <v>100</v>
      </c>
      <c r="C344">
        <v>10</v>
      </c>
      <c r="D344">
        <v>100</v>
      </c>
      <c r="E344">
        <v>10</v>
      </c>
      <c r="F344">
        <v>10</v>
      </c>
      <c r="G344">
        <v>10</v>
      </c>
      <c r="H344">
        <v>100</v>
      </c>
      <c r="I344">
        <v>10</v>
      </c>
      <c r="J344">
        <v>100</v>
      </c>
      <c r="K344">
        <v>997</v>
      </c>
      <c r="L344">
        <v>1155</v>
      </c>
      <c r="M344">
        <v>989</v>
      </c>
      <c r="N344">
        <v>1111</v>
      </c>
      <c r="O344">
        <v>979</v>
      </c>
      <c r="P344">
        <v>943</v>
      </c>
      <c r="Q344">
        <v>912</v>
      </c>
      <c r="R344">
        <v>1030</v>
      </c>
      <c r="S344">
        <v>884</v>
      </c>
      <c r="T344">
        <v>1000</v>
      </c>
      <c r="U344">
        <v>980</v>
      </c>
      <c r="V344">
        <v>1135</v>
      </c>
      <c r="W344">
        <v>1032</v>
      </c>
      <c r="X344">
        <v>1010</v>
      </c>
      <c r="Y344">
        <v>982</v>
      </c>
      <c r="Z344">
        <v>892</v>
      </c>
      <c r="AA344">
        <v>958</v>
      </c>
      <c r="AB344">
        <v>1028</v>
      </c>
      <c r="AC344">
        <v>974</v>
      </c>
      <c r="AD344">
        <v>1009</v>
      </c>
      <c r="AE344">
        <v>972</v>
      </c>
      <c r="AF344">
        <v>1</v>
      </c>
      <c r="AG344">
        <v>1</v>
      </c>
      <c r="AH344">
        <v>1</v>
      </c>
      <c r="AI344">
        <v>0</v>
      </c>
      <c r="AJ344">
        <v>1</v>
      </c>
      <c r="AK344">
        <v>1</v>
      </c>
      <c r="AL344">
        <v>2</v>
      </c>
      <c r="AM344">
        <v>1</v>
      </c>
      <c r="AN344">
        <v>0</v>
      </c>
      <c r="AO344">
        <v>0</v>
      </c>
      <c r="AP344">
        <v>1131</v>
      </c>
      <c r="AQ344">
        <v>0</v>
      </c>
      <c r="AR344">
        <v>2</v>
      </c>
      <c r="AS344">
        <v>0</v>
      </c>
      <c r="AT344">
        <v>1</v>
      </c>
      <c r="AU344">
        <v>0</v>
      </c>
      <c r="AV344">
        <v>1</v>
      </c>
      <c r="AW344">
        <v>0</v>
      </c>
      <c r="AX344">
        <v>0</v>
      </c>
      <c r="AY344">
        <v>3</v>
      </c>
      <c r="AZ344">
        <v>15</v>
      </c>
      <c r="BA344">
        <v>968</v>
      </c>
      <c r="BB344">
        <v>30</v>
      </c>
      <c r="BC344">
        <v>0</v>
      </c>
      <c r="BD344">
        <v>3</v>
      </c>
      <c r="BE344">
        <v>3</v>
      </c>
      <c r="BF344">
        <v>7</v>
      </c>
      <c r="BG344">
        <v>2</v>
      </c>
      <c r="BH344">
        <v>1</v>
      </c>
      <c r="BI344">
        <v>0</v>
      </c>
      <c r="BJ344">
        <v>0</v>
      </c>
      <c r="BK344">
        <v>1</v>
      </c>
      <c r="BL344">
        <v>1005</v>
      </c>
      <c r="BM344">
        <v>0</v>
      </c>
      <c r="BN344">
        <v>2</v>
      </c>
      <c r="BO344">
        <v>0</v>
      </c>
      <c r="BP344">
        <v>2</v>
      </c>
      <c r="BQ344">
        <v>0</v>
      </c>
      <c r="BR344">
        <v>0</v>
      </c>
      <c r="BS344">
        <v>1</v>
      </c>
      <c r="BT344">
        <v>1</v>
      </c>
      <c r="BU344">
        <v>1</v>
      </c>
      <c r="BV344">
        <v>0</v>
      </c>
      <c r="BW344">
        <v>964</v>
      </c>
      <c r="BX344">
        <v>0</v>
      </c>
      <c r="BY344">
        <v>2</v>
      </c>
      <c r="BZ344">
        <v>4</v>
      </c>
      <c r="CA344">
        <v>2</v>
      </c>
      <c r="CB344">
        <v>7</v>
      </c>
      <c r="CC344">
        <v>3</v>
      </c>
      <c r="CD344">
        <v>0</v>
      </c>
      <c r="CE344">
        <v>1</v>
      </c>
      <c r="CF344">
        <v>19</v>
      </c>
      <c r="CG344">
        <v>0</v>
      </c>
      <c r="CH344">
        <v>868</v>
      </c>
      <c r="CI344">
        <v>0</v>
      </c>
      <c r="CJ344">
        <v>0</v>
      </c>
      <c r="CK344">
        <v>1</v>
      </c>
      <c r="CL344">
        <v>0</v>
      </c>
      <c r="CM344">
        <v>9</v>
      </c>
      <c r="CN344">
        <v>4</v>
      </c>
      <c r="CO344">
        <v>0</v>
      </c>
      <c r="CP344">
        <v>1</v>
      </c>
      <c r="CQ344">
        <v>8</v>
      </c>
      <c r="CR344">
        <v>31</v>
      </c>
      <c r="CS344">
        <v>905</v>
      </c>
      <c r="CT344">
        <v>0</v>
      </c>
      <c r="CU344">
        <v>0</v>
      </c>
      <c r="CV344">
        <v>0</v>
      </c>
      <c r="CW344">
        <v>1</v>
      </c>
      <c r="CX344">
        <v>2</v>
      </c>
      <c r="CY344">
        <v>12</v>
      </c>
      <c r="CZ344">
        <v>4</v>
      </c>
      <c r="DA344">
        <v>0</v>
      </c>
      <c r="DB344">
        <v>0</v>
      </c>
      <c r="DC344">
        <v>0</v>
      </c>
      <c r="DD344">
        <v>1003</v>
      </c>
      <c r="DE344">
        <v>1</v>
      </c>
      <c r="DF344">
        <v>5</v>
      </c>
      <c r="DG344">
        <v>6</v>
      </c>
      <c r="DH344">
        <v>1</v>
      </c>
      <c r="DI344">
        <v>4</v>
      </c>
      <c r="DJ344">
        <v>46</v>
      </c>
      <c r="DK344">
        <v>1</v>
      </c>
      <c r="DL344">
        <v>24</v>
      </c>
      <c r="DM344">
        <v>1</v>
      </c>
      <c r="DN344">
        <v>9</v>
      </c>
      <c r="DO344">
        <v>875</v>
      </c>
      <c r="DP344">
        <v>7</v>
      </c>
      <c r="DQ344">
        <v>2</v>
      </c>
      <c r="DR344">
        <v>0</v>
      </c>
      <c r="DS344">
        <v>1</v>
      </c>
      <c r="DT344">
        <v>3</v>
      </c>
      <c r="DU344">
        <v>6</v>
      </c>
      <c r="DV344">
        <v>13</v>
      </c>
      <c r="DW344">
        <v>0</v>
      </c>
      <c r="DX344">
        <v>2</v>
      </c>
      <c r="DY344">
        <v>2</v>
      </c>
      <c r="DZ344">
        <v>980</v>
      </c>
      <c r="EA344">
        <v>0.96709999999999996</v>
      </c>
      <c r="EB344">
        <v>0.96785772560986705</v>
      </c>
      <c r="EC344">
        <v>0.96660840427149897</v>
      </c>
      <c r="ED344">
        <v>0.96660396004684401</v>
      </c>
      <c r="EE344">
        <f>SUM(Table1[[#This Row],[ratio_0]:[ratio_9]])</f>
        <v>550</v>
      </c>
      <c r="EF344" s="1">
        <f>(Table1[[#This Row],[predicted_0]]-Table1[[#This Row],[actual_0]])/Table1[[#This Row],[actual_0]]</f>
        <v>1.7346938775510204E-2</v>
      </c>
      <c r="EG344" s="1">
        <f>(Table1[[#This Row],[predicted_1]]-Table1[[#This Row],[actual_1]])/Table1[[#This Row],[actual_1]]</f>
        <v>1.7621145374449341E-2</v>
      </c>
      <c r="EH344" s="1">
        <f>(Table1[[#This Row],[predicted_2]]-Table1[[#This Row],[actual_2]])/Table1[[#This Row],[actual_2]]</f>
        <v>-4.1666666666666664E-2</v>
      </c>
      <c r="EI344" s="1">
        <f>(Table1[[#This Row],[predicted_3]]-Table1[[#This Row],[actual_3]])/Table1[[#This Row],[actual_3]]</f>
        <v>0.1</v>
      </c>
      <c r="EJ344" s="1">
        <f>(Table1[[#This Row],[predicted_4]]-Table1[[#This Row],[actual_4]])/Table1[[#This Row],[actual_4]]</f>
        <v>-3.0549898167006109E-3</v>
      </c>
      <c r="EK344" s="1">
        <f>(Table1[[#This Row],[predicted_5]]-Table1[[#This Row],[actual_5]])/Table1[[#This Row],[actual_5]]</f>
        <v>5.717488789237668E-2</v>
      </c>
      <c r="EL344" s="1">
        <f>(Table1[[#This Row],[predicted_6]]-Table1[[#This Row],[actual_6]])/Table1[[#This Row],[actual_6]]</f>
        <v>-4.8016701461377868E-2</v>
      </c>
      <c r="EM344" s="1">
        <f>(Table1[[#This Row],[predicted_7]]-Table1[[#This Row],[actual_7]])/Table1[[#This Row],[actual_7]]</f>
        <v>1.9455252918287938E-3</v>
      </c>
      <c r="EN344" s="1">
        <f>(Table1[[#This Row],[predicted_8]]-Table1[[#This Row],[actual_8]])/Table1[[#This Row],[actual_8]]</f>
        <v>-9.2402464065708415E-2</v>
      </c>
      <c r="EO344" s="1">
        <f>(Table1[[#This Row],[predicted_9]]-Table1[[#This Row],[actual_9]])/Table1[[#This Row],[actual_9]]</f>
        <v>-8.9197224975222991E-3</v>
      </c>
      <c r="EP344" s="1">
        <f>1+(Table1[[#This Row],[error_ratio_0]]-EF$2)</f>
        <v>1.0153061224489797</v>
      </c>
      <c r="EQ344" s="1">
        <f>1+(Table1[[#This Row],[error_ratio_1]]-EG$2)</f>
        <v>1.0158590308370044</v>
      </c>
      <c r="ER344" s="1">
        <f>1+(Table1[[#This Row],[error_ratio_2]]-EH$2)</f>
        <v>0.96317829457364346</v>
      </c>
      <c r="ES344" s="1">
        <f>1+(Table1[[#This Row],[error_ratio_3]]-EI$2)</f>
        <v>1.0900990099009902</v>
      </c>
      <c r="ET344" s="1">
        <f>1+(Table1[[#This Row],[error_ratio_4]]-EJ$2)</f>
        <v>0.99592668024439923</v>
      </c>
      <c r="EU344" s="1">
        <f>1+(Table1[[#This Row],[error_ratio_5]]-EK$2)</f>
        <v>1.0560538116591929</v>
      </c>
      <c r="EV344" s="1">
        <f>1+(Table1[[#This Row],[error_ratio_6]]-EL$2)</f>
        <v>0.95824634655532359</v>
      </c>
      <c r="EW344" s="1">
        <f>1+(Table1[[#This Row],[error_ratio_7]]-EM$2)</f>
        <v>1</v>
      </c>
      <c r="EX344" s="1">
        <f>1+(Table1[[#This Row],[error_ratio_8]]-EN$2)</f>
        <v>0.91067761806981518</v>
      </c>
      <c r="EY344" s="1">
        <f>1+(Table1[[#This Row],[error_ratio_9]]-EO$2)</f>
        <v>0.99504459861248762</v>
      </c>
    </row>
    <row r="345" spans="1:155" x14ac:dyDescent="0.75">
      <c r="A345">
        <v>10</v>
      </c>
      <c r="B345">
        <v>100</v>
      </c>
      <c r="C345">
        <v>10</v>
      </c>
      <c r="D345">
        <v>100</v>
      </c>
      <c r="E345">
        <v>10</v>
      </c>
      <c r="F345">
        <v>10</v>
      </c>
      <c r="G345">
        <v>10</v>
      </c>
      <c r="H345">
        <v>100</v>
      </c>
      <c r="I345">
        <v>10</v>
      </c>
      <c r="J345">
        <v>100</v>
      </c>
      <c r="K345">
        <v>1008</v>
      </c>
      <c r="L345">
        <v>1152</v>
      </c>
      <c r="M345">
        <v>995</v>
      </c>
      <c r="N345">
        <v>1043</v>
      </c>
      <c r="O345">
        <v>748</v>
      </c>
      <c r="P345">
        <v>825</v>
      </c>
      <c r="Q345">
        <v>916</v>
      </c>
      <c r="R345">
        <v>1074</v>
      </c>
      <c r="S345">
        <v>1010</v>
      </c>
      <c r="T345">
        <v>1229</v>
      </c>
      <c r="U345">
        <v>980</v>
      </c>
      <c r="V345">
        <v>1135</v>
      </c>
      <c r="W345">
        <v>1032</v>
      </c>
      <c r="X345">
        <v>1010</v>
      </c>
      <c r="Y345">
        <v>982</v>
      </c>
      <c r="Z345">
        <v>892</v>
      </c>
      <c r="AA345">
        <v>958</v>
      </c>
      <c r="AB345">
        <v>1028</v>
      </c>
      <c r="AC345">
        <v>974</v>
      </c>
      <c r="AD345">
        <v>1009</v>
      </c>
      <c r="AE345">
        <v>964</v>
      </c>
      <c r="AF345">
        <v>0</v>
      </c>
      <c r="AG345">
        <v>1</v>
      </c>
      <c r="AH345">
        <v>0</v>
      </c>
      <c r="AI345">
        <v>0</v>
      </c>
      <c r="AJ345">
        <v>0</v>
      </c>
      <c r="AK345">
        <v>0</v>
      </c>
      <c r="AL345">
        <v>6</v>
      </c>
      <c r="AM345">
        <v>5</v>
      </c>
      <c r="AN345">
        <v>4</v>
      </c>
      <c r="AO345">
        <v>0</v>
      </c>
      <c r="AP345">
        <v>1132</v>
      </c>
      <c r="AQ345">
        <v>2</v>
      </c>
      <c r="AR345">
        <v>1</v>
      </c>
      <c r="AS345">
        <v>0</v>
      </c>
      <c r="AT345">
        <v>0</v>
      </c>
      <c r="AU345">
        <v>0</v>
      </c>
      <c r="AV345">
        <v>0</v>
      </c>
      <c r="AW345">
        <v>0</v>
      </c>
      <c r="AX345">
        <v>0</v>
      </c>
      <c r="AY345">
        <v>9</v>
      </c>
      <c r="AZ345">
        <v>2</v>
      </c>
      <c r="BA345">
        <v>975</v>
      </c>
      <c r="BB345">
        <v>5</v>
      </c>
      <c r="BC345">
        <v>0</v>
      </c>
      <c r="BD345">
        <v>0</v>
      </c>
      <c r="BE345">
        <v>0</v>
      </c>
      <c r="BF345">
        <v>29</v>
      </c>
      <c r="BG345">
        <v>10</v>
      </c>
      <c r="BH345">
        <v>2</v>
      </c>
      <c r="BI345">
        <v>0</v>
      </c>
      <c r="BJ345">
        <v>0</v>
      </c>
      <c r="BK345">
        <v>3</v>
      </c>
      <c r="BL345">
        <v>997</v>
      </c>
      <c r="BM345">
        <v>0</v>
      </c>
      <c r="BN345">
        <v>2</v>
      </c>
      <c r="BO345">
        <v>0</v>
      </c>
      <c r="BP345">
        <v>1</v>
      </c>
      <c r="BQ345">
        <v>6</v>
      </c>
      <c r="BR345">
        <v>1</v>
      </c>
      <c r="BS345">
        <v>3</v>
      </c>
      <c r="BT345">
        <v>6</v>
      </c>
      <c r="BU345">
        <v>8</v>
      </c>
      <c r="BV345">
        <v>1</v>
      </c>
      <c r="BW345">
        <v>744</v>
      </c>
      <c r="BX345">
        <v>0</v>
      </c>
      <c r="BY345">
        <v>2</v>
      </c>
      <c r="BZ345">
        <v>9</v>
      </c>
      <c r="CA345">
        <v>2</v>
      </c>
      <c r="CB345">
        <v>207</v>
      </c>
      <c r="CC345">
        <v>5</v>
      </c>
      <c r="CD345">
        <v>1</v>
      </c>
      <c r="CE345">
        <v>0</v>
      </c>
      <c r="CF345">
        <v>32</v>
      </c>
      <c r="CG345">
        <v>0</v>
      </c>
      <c r="CH345">
        <v>818</v>
      </c>
      <c r="CI345">
        <v>4</v>
      </c>
      <c r="CJ345">
        <v>1</v>
      </c>
      <c r="CK345">
        <v>27</v>
      </c>
      <c r="CL345">
        <v>4</v>
      </c>
      <c r="CM345">
        <v>26</v>
      </c>
      <c r="CN345">
        <v>4</v>
      </c>
      <c r="CO345">
        <v>3</v>
      </c>
      <c r="CP345">
        <v>1</v>
      </c>
      <c r="CQ345">
        <v>4</v>
      </c>
      <c r="CR345">
        <v>1</v>
      </c>
      <c r="CS345">
        <v>909</v>
      </c>
      <c r="CT345">
        <v>0</v>
      </c>
      <c r="CU345">
        <v>8</v>
      </c>
      <c r="CV345">
        <v>2</v>
      </c>
      <c r="CW345">
        <v>0</v>
      </c>
      <c r="CX345">
        <v>4</v>
      </c>
      <c r="CY345">
        <v>2</v>
      </c>
      <c r="CZ345">
        <v>2</v>
      </c>
      <c r="DA345">
        <v>0</v>
      </c>
      <c r="DB345">
        <v>0</v>
      </c>
      <c r="DC345">
        <v>0</v>
      </c>
      <c r="DD345">
        <v>1014</v>
      </c>
      <c r="DE345">
        <v>1</v>
      </c>
      <c r="DF345">
        <v>5</v>
      </c>
      <c r="DG345">
        <v>0</v>
      </c>
      <c r="DH345">
        <v>1</v>
      </c>
      <c r="DI345">
        <v>1</v>
      </c>
      <c r="DJ345">
        <v>2</v>
      </c>
      <c r="DK345">
        <v>0</v>
      </c>
      <c r="DL345">
        <v>0</v>
      </c>
      <c r="DM345">
        <v>1</v>
      </c>
      <c r="DN345">
        <v>11</v>
      </c>
      <c r="DO345">
        <v>950</v>
      </c>
      <c r="DP345">
        <v>8</v>
      </c>
      <c r="DQ345">
        <v>1</v>
      </c>
      <c r="DR345">
        <v>2</v>
      </c>
      <c r="DS345">
        <v>0</v>
      </c>
      <c r="DT345">
        <v>2</v>
      </c>
      <c r="DU345">
        <v>0</v>
      </c>
      <c r="DV345">
        <v>4</v>
      </c>
      <c r="DW345">
        <v>0</v>
      </c>
      <c r="DX345">
        <v>3</v>
      </c>
      <c r="DY345">
        <v>1</v>
      </c>
      <c r="DZ345">
        <v>996</v>
      </c>
      <c r="EA345">
        <v>0.94989999999999997</v>
      </c>
      <c r="EB345">
        <v>0.954845279094095</v>
      </c>
      <c r="EC345">
        <v>0.94853126823952305</v>
      </c>
      <c r="ED345">
        <v>0.94886313150422896</v>
      </c>
      <c r="EE345">
        <f>SUM(Table1[[#This Row],[ratio_0]:[ratio_9]])</f>
        <v>460</v>
      </c>
      <c r="EF345" s="1">
        <f>(Table1[[#This Row],[predicted_0]]-Table1[[#This Row],[actual_0]])/Table1[[#This Row],[actual_0]]</f>
        <v>2.8571428571428571E-2</v>
      </c>
      <c r="EG345" s="1">
        <f>(Table1[[#This Row],[predicted_1]]-Table1[[#This Row],[actual_1]])/Table1[[#This Row],[actual_1]]</f>
        <v>1.4977973568281937E-2</v>
      </c>
      <c r="EH345" s="1">
        <f>(Table1[[#This Row],[predicted_2]]-Table1[[#This Row],[actual_2]])/Table1[[#This Row],[actual_2]]</f>
        <v>-3.5852713178294575E-2</v>
      </c>
      <c r="EI345" s="1">
        <f>(Table1[[#This Row],[predicted_3]]-Table1[[#This Row],[actual_3]])/Table1[[#This Row],[actual_3]]</f>
        <v>3.2673267326732675E-2</v>
      </c>
      <c r="EJ345" s="1">
        <f>(Table1[[#This Row],[predicted_4]]-Table1[[#This Row],[actual_4]])/Table1[[#This Row],[actual_4]]</f>
        <v>-0.23828920570264767</v>
      </c>
      <c r="EK345" s="1">
        <f>(Table1[[#This Row],[predicted_5]]-Table1[[#This Row],[actual_5]])/Table1[[#This Row],[actual_5]]</f>
        <v>-7.511210762331838E-2</v>
      </c>
      <c r="EL345" s="1">
        <f>(Table1[[#This Row],[predicted_6]]-Table1[[#This Row],[actual_6]])/Table1[[#This Row],[actual_6]]</f>
        <v>-4.3841336116910233E-2</v>
      </c>
      <c r="EM345" s="1">
        <f>(Table1[[#This Row],[predicted_7]]-Table1[[#This Row],[actual_7]])/Table1[[#This Row],[actual_7]]</f>
        <v>4.4747081712062257E-2</v>
      </c>
      <c r="EN345" s="1">
        <f>(Table1[[#This Row],[predicted_8]]-Table1[[#This Row],[actual_8]])/Table1[[#This Row],[actual_8]]</f>
        <v>3.6960985626283367E-2</v>
      </c>
      <c r="EO345" s="1">
        <f>(Table1[[#This Row],[predicted_9]]-Table1[[#This Row],[actual_9]])/Table1[[#This Row],[actual_9]]</f>
        <v>0.21803766105054509</v>
      </c>
      <c r="EP345" s="1">
        <f>1+(Table1[[#This Row],[error_ratio_0]]-EF$2)</f>
        <v>1.0265306122448981</v>
      </c>
      <c r="EQ345" s="1">
        <f>1+(Table1[[#This Row],[error_ratio_1]]-EG$2)</f>
        <v>1.0132158590308371</v>
      </c>
      <c r="ER345" s="1">
        <f>1+(Table1[[#This Row],[error_ratio_2]]-EH$2)</f>
        <v>0.96899224806201545</v>
      </c>
      <c r="ES345" s="1">
        <f>1+(Table1[[#This Row],[error_ratio_3]]-EI$2)</f>
        <v>1.0227722772277228</v>
      </c>
      <c r="ET345" s="1">
        <f>1+(Table1[[#This Row],[error_ratio_4]]-EJ$2)</f>
        <v>0.76069246435845217</v>
      </c>
      <c r="EU345" s="1">
        <f>1+(Table1[[#This Row],[error_ratio_5]]-EK$2)</f>
        <v>0.92376681614349776</v>
      </c>
      <c r="EV345" s="1">
        <f>1+(Table1[[#This Row],[error_ratio_6]]-EL$2)</f>
        <v>0.9624217118997912</v>
      </c>
      <c r="EW345" s="1">
        <f>1+(Table1[[#This Row],[error_ratio_7]]-EM$2)</f>
        <v>1.0428015564202335</v>
      </c>
      <c r="EX345" s="1">
        <f>1+(Table1[[#This Row],[error_ratio_8]]-EN$2)</f>
        <v>1.040041067761807</v>
      </c>
      <c r="EY345" s="1">
        <f>1+(Table1[[#This Row],[error_ratio_9]]-EO$2)</f>
        <v>1.222001982160555</v>
      </c>
    </row>
    <row r="346" spans="1:155" x14ac:dyDescent="0.75">
      <c r="A346">
        <v>100</v>
      </c>
      <c r="B346">
        <v>10</v>
      </c>
      <c r="C346">
        <v>10</v>
      </c>
      <c r="D346">
        <v>100</v>
      </c>
      <c r="E346">
        <v>10</v>
      </c>
      <c r="F346">
        <v>10</v>
      </c>
      <c r="G346">
        <v>10</v>
      </c>
      <c r="H346">
        <v>100</v>
      </c>
      <c r="I346">
        <v>10</v>
      </c>
      <c r="J346">
        <v>100</v>
      </c>
      <c r="K346">
        <v>971</v>
      </c>
      <c r="L346">
        <v>1166</v>
      </c>
      <c r="M346">
        <v>1036</v>
      </c>
      <c r="N346">
        <v>1047</v>
      </c>
      <c r="O346">
        <v>950</v>
      </c>
      <c r="P346">
        <v>869</v>
      </c>
      <c r="Q346">
        <v>950</v>
      </c>
      <c r="R346">
        <v>1082</v>
      </c>
      <c r="S346">
        <v>878</v>
      </c>
      <c r="T346">
        <v>1051</v>
      </c>
      <c r="U346">
        <v>980</v>
      </c>
      <c r="V346">
        <v>1135</v>
      </c>
      <c r="W346">
        <v>1032</v>
      </c>
      <c r="X346">
        <v>1010</v>
      </c>
      <c r="Y346">
        <v>982</v>
      </c>
      <c r="Z346">
        <v>892</v>
      </c>
      <c r="AA346">
        <v>958</v>
      </c>
      <c r="AB346">
        <v>1028</v>
      </c>
      <c r="AC346">
        <v>974</v>
      </c>
      <c r="AD346">
        <v>1009</v>
      </c>
      <c r="AE346">
        <v>957</v>
      </c>
      <c r="AF346">
        <v>2</v>
      </c>
      <c r="AG346">
        <v>1</v>
      </c>
      <c r="AH346">
        <v>1</v>
      </c>
      <c r="AI346">
        <v>0</v>
      </c>
      <c r="AJ346">
        <v>1</v>
      </c>
      <c r="AK346">
        <v>7</v>
      </c>
      <c r="AL346">
        <v>4</v>
      </c>
      <c r="AM346">
        <v>1</v>
      </c>
      <c r="AN346">
        <v>6</v>
      </c>
      <c r="AO346">
        <v>0</v>
      </c>
      <c r="AP346">
        <v>1125</v>
      </c>
      <c r="AQ346">
        <v>3</v>
      </c>
      <c r="AR346">
        <v>4</v>
      </c>
      <c r="AS346">
        <v>0</v>
      </c>
      <c r="AT346">
        <v>1</v>
      </c>
      <c r="AU346">
        <v>0</v>
      </c>
      <c r="AV346">
        <v>2</v>
      </c>
      <c r="AW346">
        <v>0</v>
      </c>
      <c r="AX346">
        <v>0</v>
      </c>
      <c r="AY346">
        <v>3</v>
      </c>
      <c r="AZ346">
        <v>2</v>
      </c>
      <c r="BA346">
        <v>995</v>
      </c>
      <c r="BB346">
        <v>9</v>
      </c>
      <c r="BC346">
        <v>1</v>
      </c>
      <c r="BD346">
        <v>2</v>
      </c>
      <c r="BE346">
        <v>2</v>
      </c>
      <c r="BF346">
        <v>11</v>
      </c>
      <c r="BG346">
        <v>0</v>
      </c>
      <c r="BH346">
        <v>7</v>
      </c>
      <c r="BI346">
        <v>0</v>
      </c>
      <c r="BJ346">
        <v>0</v>
      </c>
      <c r="BK346">
        <v>2</v>
      </c>
      <c r="BL346">
        <v>999</v>
      </c>
      <c r="BM346">
        <v>0</v>
      </c>
      <c r="BN346">
        <v>2</v>
      </c>
      <c r="BO346">
        <v>0</v>
      </c>
      <c r="BP346">
        <v>6</v>
      </c>
      <c r="BQ346">
        <v>1</v>
      </c>
      <c r="BR346">
        <v>0</v>
      </c>
      <c r="BS346">
        <v>0</v>
      </c>
      <c r="BT346">
        <v>9</v>
      </c>
      <c r="BU346">
        <v>3</v>
      </c>
      <c r="BV346">
        <v>0</v>
      </c>
      <c r="BW346">
        <v>935</v>
      </c>
      <c r="BX346">
        <v>0</v>
      </c>
      <c r="BY346">
        <v>0</v>
      </c>
      <c r="BZ346">
        <v>9</v>
      </c>
      <c r="CA346">
        <v>1</v>
      </c>
      <c r="CB346">
        <v>25</v>
      </c>
      <c r="CC346">
        <v>2</v>
      </c>
      <c r="CD346">
        <v>1</v>
      </c>
      <c r="CE346">
        <v>1</v>
      </c>
      <c r="CF346">
        <v>19</v>
      </c>
      <c r="CG346">
        <v>0</v>
      </c>
      <c r="CH346">
        <v>851</v>
      </c>
      <c r="CI346">
        <v>1</v>
      </c>
      <c r="CJ346">
        <v>4</v>
      </c>
      <c r="CK346">
        <v>1</v>
      </c>
      <c r="CL346">
        <v>12</v>
      </c>
      <c r="CM346">
        <v>5</v>
      </c>
      <c r="CN346">
        <v>3</v>
      </c>
      <c r="CO346">
        <v>3</v>
      </c>
      <c r="CP346">
        <v>1</v>
      </c>
      <c r="CQ346">
        <v>6</v>
      </c>
      <c r="CR346">
        <v>5</v>
      </c>
      <c r="CS346">
        <v>935</v>
      </c>
      <c r="CT346">
        <v>0</v>
      </c>
      <c r="CU346">
        <v>0</v>
      </c>
      <c r="CV346">
        <v>0</v>
      </c>
      <c r="CW346">
        <v>0</v>
      </c>
      <c r="CX346">
        <v>4</v>
      </c>
      <c r="CY346">
        <v>6</v>
      </c>
      <c r="CZ346">
        <v>1</v>
      </c>
      <c r="DA346">
        <v>0</v>
      </c>
      <c r="DB346">
        <v>0</v>
      </c>
      <c r="DC346">
        <v>0</v>
      </c>
      <c r="DD346">
        <v>1017</v>
      </c>
      <c r="DE346">
        <v>0</v>
      </c>
      <c r="DF346">
        <v>0</v>
      </c>
      <c r="DG346">
        <v>4</v>
      </c>
      <c r="DH346">
        <v>14</v>
      </c>
      <c r="DI346">
        <v>22</v>
      </c>
      <c r="DJ346">
        <v>9</v>
      </c>
      <c r="DK346">
        <v>7</v>
      </c>
      <c r="DL346">
        <v>5</v>
      </c>
      <c r="DM346">
        <v>5</v>
      </c>
      <c r="DN346">
        <v>15</v>
      </c>
      <c r="DO346">
        <v>874</v>
      </c>
      <c r="DP346">
        <v>19</v>
      </c>
      <c r="DQ346">
        <v>0</v>
      </c>
      <c r="DR346">
        <v>6</v>
      </c>
      <c r="DS346">
        <v>0</v>
      </c>
      <c r="DT346">
        <v>4</v>
      </c>
      <c r="DU346">
        <v>1</v>
      </c>
      <c r="DV346">
        <v>2</v>
      </c>
      <c r="DW346">
        <v>0</v>
      </c>
      <c r="DX346">
        <v>14</v>
      </c>
      <c r="DY346">
        <v>0</v>
      </c>
      <c r="DZ346">
        <v>982</v>
      </c>
      <c r="EA346">
        <v>0.96699999999999997</v>
      </c>
      <c r="EB346">
        <v>0.96824244451597796</v>
      </c>
      <c r="EC346">
        <v>0.96630132927358503</v>
      </c>
      <c r="ED346">
        <v>0.96681836035269497</v>
      </c>
      <c r="EE346">
        <f>SUM(Table1[[#This Row],[ratio_0]:[ratio_9]])</f>
        <v>460</v>
      </c>
      <c r="EF346" s="1">
        <f>(Table1[[#This Row],[predicted_0]]-Table1[[#This Row],[actual_0]])/Table1[[#This Row],[actual_0]]</f>
        <v>-9.1836734693877559E-3</v>
      </c>
      <c r="EG346" s="1">
        <f>(Table1[[#This Row],[predicted_1]]-Table1[[#This Row],[actual_1]])/Table1[[#This Row],[actual_1]]</f>
        <v>2.7312775330396475E-2</v>
      </c>
      <c r="EH346" s="1">
        <f>(Table1[[#This Row],[predicted_2]]-Table1[[#This Row],[actual_2]])/Table1[[#This Row],[actual_2]]</f>
        <v>3.875968992248062E-3</v>
      </c>
      <c r="EI346" s="1">
        <f>(Table1[[#This Row],[predicted_3]]-Table1[[#This Row],[actual_3]])/Table1[[#This Row],[actual_3]]</f>
        <v>3.6633663366336632E-2</v>
      </c>
      <c r="EJ346" s="1">
        <f>(Table1[[#This Row],[predicted_4]]-Table1[[#This Row],[actual_4]])/Table1[[#This Row],[actual_4]]</f>
        <v>-3.2586558044806514E-2</v>
      </c>
      <c r="EK346" s="1">
        <f>(Table1[[#This Row],[predicted_5]]-Table1[[#This Row],[actual_5]])/Table1[[#This Row],[actual_5]]</f>
        <v>-2.5784753363228701E-2</v>
      </c>
      <c r="EL346" s="1">
        <f>(Table1[[#This Row],[predicted_6]]-Table1[[#This Row],[actual_6]])/Table1[[#This Row],[actual_6]]</f>
        <v>-8.350730688935281E-3</v>
      </c>
      <c r="EM346" s="1">
        <f>(Table1[[#This Row],[predicted_7]]-Table1[[#This Row],[actual_7]])/Table1[[#This Row],[actual_7]]</f>
        <v>5.2529182879377433E-2</v>
      </c>
      <c r="EN346" s="1">
        <f>(Table1[[#This Row],[predicted_8]]-Table1[[#This Row],[actual_8]])/Table1[[#This Row],[actual_8]]</f>
        <v>-9.856262833675565E-2</v>
      </c>
      <c r="EO346" s="1">
        <f>(Table1[[#This Row],[predicted_9]]-Table1[[#This Row],[actual_9]])/Table1[[#This Row],[actual_9]]</f>
        <v>4.1625371655104063E-2</v>
      </c>
      <c r="EP346" s="1">
        <f>1+(Table1[[#This Row],[error_ratio_0]]-EF$2)</f>
        <v>0.98877551020408161</v>
      </c>
      <c r="EQ346" s="1">
        <f>1+(Table1[[#This Row],[error_ratio_1]]-EG$2)</f>
        <v>1.0255506607929514</v>
      </c>
      <c r="ER346" s="1">
        <f>1+(Table1[[#This Row],[error_ratio_2]]-EH$2)</f>
        <v>1.0087209302325582</v>
      </c>
      <c r="ES346" s="1">
        <f>1+(Table1[[#This Row],[error_ratio_3]]-EI$2)</f>
        <v>1.0267326732673268</v>
      </c>
      <c r="ET346" s="1">
        <f>1+(Table1[[#This Row],[error_ratio_4]]-EJ$2)</f>
        <v>0.96639511201629325</v>
      </c>
      <c r="EU346" s="1">
        <f>1+(Table1[[#This Row],[error_ratio_5]]-EK$2)</f>
        <v>0.97309417040358748</v>
      </c>
      <c r="EV346" s="1">
        <f>1+(Table1[[#This Row],[error_ratio_6]]-EL$2)</f>
        <v>0.9979123173277662</v>
      </c>
      <c r="EW346" s="1">
        <f>1+(Table1[[#This Row],[error_ratio_7]]-EM$2)</f>
        <v>1.0505836575875487</v>
      </c>
      <c r="EX346" s="1">
        <f>1+(Table1[[#This Row],[error_ratio_8]]-EN$2)</f>
        <v>0.90451745379876791</v>
      </c>
      <c r="EY346" s="1">
        <f>1+(Table1[[#This Row],[error_ratio_9]]-EO$2)</f>
        <v>1.045589692765114</v>
      </c>
    </row>
    <row r="347" spans="1:155" x14ac:dyDescent="0.75">
      <c r="A347">
        <v>10</v>
      </c>
      <c r="B347">
        <v>10</v>
      </c>
      <c r="C347">
        <v>10</v>
      </c>
      <c r="D347">
        <v>100</v>
      </c>
      <c r="E347">
        <v>10</v>
      </c>
      <c r="F347">
        <v>10</v>
      </c>
      <c r="G347">
        <v>10</v>
      </c>
      <c r="H347">
        <v>100</v>
      </c>
      <c r="I347">
        <v>10</v>
      </c>
      <c r="J347">
        <v>100</v>
      </c>
      <c r="K347">
        <v>971</v>
      </c>
      <c r="L347">
        <v>1086</v>
      </c>
      <c r="M347">
        <v>1044</v>
      </c>
      <c r="N347">
        <v>1046</v>
      </c>
      <c r="O347">
        <v>676</v>
      </c>
      <c r="P347">
        <v>843</v>
      </c>
      <c r="Q347">
        <v>984</v>
      </c>
      <c r="R347">
        <v>1021</v>
      </c>
      <c r="S347">
        <v>1029</v>
      </c>
      <c r="T347">
        <v>1300</v>
      </c>
      <c r="U347">
        <v>980</v>
      </c>
      <c r="V347">
        <v>1135</v>
      </c>
      <c r="W347">
        <v>1032</v>
      </c>
      <c r="X347">
        <v>1010</v>
      </c>
      <c r="Y347">
        <v>982</v>
      </c>
      <c r="Z347">
        <v>892</v>
      </c>
      <c r="AA347">
        <v>958</v>
      </c>
      <c r="AB347">
        <v>1028</v>
      </c>
      <c r="AC347">
        <v>974</v>
      </c>
      <c r="AD347">
        <v>1009</v>
      </c>
      <c r="AE347">
        <v>955</v>
      </c>
      <c r="AF347">
        <v>0</v>
      </c>
      <c r="AG347">
        <v>3</v>
      </c>
      <c r="AH347">
        <v>1</v>
      </c>
      <c r="AI347">
        <v>0</v>
      </c>
      <c r="AJ347">
        <v>2</v>
      </c>
      <c r="AK347">
        <v>6</v>
      </c>
      <c r="AL347">
        <v>2</v>
      </c>
      <c r="AM347">
        <v>7</v>
      </c>
      <c r="AN347">
        <v>4</v>
      </c>
      <c r="AO347">
        <v>0</v>
      </c>
      <c r="AP347">
        <v>1085</v>
      </c>
      <c r="AQ347">
        <v>5</v>
      </c>
      <c r="AR347">
        <v>5</v>
      </c>
      <c r="AS347">
        <v>0</v>
      </c>
      <c r="AT347">
        <v>1</v>
      </c>
      <c r="AU347">
        <v>8</v>
      </c>
      <c r="AV347">
        <v>1</v>
      </c>
      <c r="AW347">
        <v>22</v>
      </c>
      <c r="AX347">
        <v>8</v>
      </c>
      <c r="AY347">
        <v>1</v>
      </c>
      <c r="AZ347">
        <v>0</v>
      </c>
      <c r="BA347">
        <v>986</v>
      </c>
      <c r="BB347">
        <v>10</v>
      </c>
      <c r="BC347">
        <v>0</v>
      </c>
      <c r="BD347">
        <v>0</v>
      </c>
      <c r="BE347">
        <v>0</v>
      </c>
      <c r="BF347">
        <v>14</v>
      </c>
      <c r="BG347">
        <v>16</v>
      </c>
      <c r="BH347">
        <v>5</v>
      </c>
      <c r="BI347">
        <v>0</v>
      </c>
      <c r="BJ347">
        <v>0</v>
      </c>
      <c r="BK347">
        <v>5</v>
      </c>
      <c r="BL347">
        <v>997</v>
      </c>
      <c r="BM347">
        <v>0</v>
      </c>
      <c r="BN347">
        <v>1</v>
      </c>
      <c r="BO347">
        <v>0</v>
      </c>
      <c r="BP347">
        <v>0</v>
      </c>
      <c r="BQ347">
        <v>0</v>
      </c>
      <c r="BR347">
        <v>7</v>
      </c>
      <c r="BS347">
        <v>1</v>
      </c>
      <c r="BT347">
        <v>0</v>
      </c>
      <c r="BU347">
        <v>28</v>
      </c>
      <c r="BV347">
        <v>0</v>
      </c>
      <c r="BW347">
        <v>676</v>
      </c>
      <c r="BX347">
        <v>0</v>
      </c>
      <c r="BY347">
        <v>23</v>
      </c>
      <c r="BZ347">
        <v>7</v>
      </c>
      <c r="CA347">
        <v>28</v>
      </c>
      <c r="CB347">
        <v>219</v>
      </c>
      <c r="CC347">
        <v>3</v>
      </c>
      <c r="CD347">
        <v>0</v>
      </c>
      <c r="CE347">
        <v>1</v>
      </c>
      <c r="CF347">
        <v>25</v>
      </c>
      <c r="CG347">
        <v>0</v>
      </c>
      <c r="CH347">
        <v>827</v>
      </c>
      <c r="CI347">
        <v>8</v>
      </c>
      <c r="CJ347">
        <v>1</v>
      </c>
      <c r="CK347">
        <v>7</v>
      </c>
      <c r="CL347">
        <v>20</v>
      </c>
      <c r="CM347">
        <v>8</v>
      </c>
      <c r="CN347">
        <v>0</v>
      </c>
      <c r="CO347">
        <v>3</v>
      </c>
      <c r="CP347">
        <v>0</v>
      </c>
      <c r="CQ347">
        <v>0</v>
      </c>
      <c r="CR347">
        <v>7</v>
      </c>
      <c r="CS347">
        <v>937</v>
      </c>
      <c r="CT347">
        <v>0</v>
      </c>
      <c r="CU347">
        <v>2</v>
      </c>
      <c r="CV347">
        <v>1</v>
      </c>
      <c r="CW347">
        <v>0</v>
      </c>
      <c r="CX347">
        <v>1</v>
      </c>
      <c r="CY347">
        <v>8</v>
      </c>
      <c r="CZ347">
        <v>4</v>
      </c>
      <c r="DA347">
        <v>0</v>
      </c>
      <c r="DB347">
        <v>0</v>
      </c>
      <c r="DC347">
        <v>0</v>
      </c>
      <c r="DD347">
        <v>992</v>
      </c>
      <c r="DE347">
        <v>2</v>
      </c>
      <c r="DF347">
        <v>21</v>
      </c>
      <c r="DG347">
        <v>3</v>
      </c>
      <c r="DH347">
        <v>0</v>
      </c>
      <c r="DI347">
        <v>4</v>
      </c>
      <c r="DJ347">
        <v>3</v>
      </c>
      <c r="DK347">
        <v>0</v>
      </c>
      <c r="DL347">
        <v>2</v>
      </c>
      <c r="DM347">
        <v>2</v>
      </c>
      <c r="DN347">
        <v>2</v>
      </c>
      <c r="DO347">
        <v>945</v>
      </c>
      <c r="DP347">
        <v>13</v>
      </c>
      <c r="DQ347">
        <v>0</v>
      </c>
      <c r="DR347">
        <v>0</v>
      </c>
      <c r="DS347">
        <v>1</v>
      </c>
      <c r="DT347">
        <v>1</v>
      </c>
      <c r="DU347">
        <v>0</v>
      </c>
      <c r="DV347">
        <v>3</v>
      </c>
      <c r="DW347">
        <v>0</v>
      </c>
      <c r="DX347">
        <v>2</v>
      </c>
      <c r="DY347">
        <v>0</v>
      </c>
      <c r="DZ347">
        <v>1002</v>
      </c>
      <c r="EA347">
        <v>0.94020000000000004</v>
      </c>
      <c r="EB347">
        <v>0.94741896421542404</v>
      </c>
      <c r="EC347">
        <v>0.93948612729183101</v>
      </c>
      <c r="ED347">
        <v>0.93892795046170496</v>
      </c>
      <c r="EE347">
        <f>SUM(Table1[[#This Row],[ratio_0]:[ratio_9]])</f>
        <v>370</v>
      </c>
      <c r="EF347" s="1">
        <f>(Table1[[#This Row],[predicted_0]]-Table1[[#This Row],[actual_0]])/Table1[[#This Row],[actual_0]]</f>
        <v>-9.1836734693877559E-3</v>
      </c>
      <c r="EG347" s="1">
        <f>(Table1[[#This Row],[predicted_1]]-Table1[[#This Row],[actual_1]])/Table1[[#This Row],[actual_1]]</f>
        <v>-4.3171806167400878E-2</v>
      </c>
      <c r="EH347" s="1">
        <f>(Table1[[#This Row],[predicted_2]]-Table1[[#This Row],[actual_2]])/Table1[[#This Row],[actual_2]]</f>
        <v>1.1627906976744186E-2</v>
      </c>
      <c r="EI347" s="1">
        <f>(Table1[[#This Row],[predicted_3]]-Table1[[#This Row],[actual_3]])/Table1[[#This Row],[actual_3]]</f>
        <v>3.5643564356435641E-2</v>
      </c>
      <c r="EJ347" s="1">
        <f>(Table1[[#This Row],[predicted_4]]-Table1[[#This Row],[actual_4]])/Table1[[#This Row],[actual_4]]</f>
        <v>-0.31160896130346233</v>
      </c>
      <c r="EK347" s="1">
        <f>(Table1[[#This Row],[predicted_5]]-Table1[[#This Row],[actual_5]])/Table1[[#This Row],[actual_5]]</f>
        <v>-5.4932735426008968E-2</v>
      </c>
      <c r="EL347" s="1">
        <f>(Table1[[#This Row],[predicted_6]]-Table1[[#This Row],[actual_6]])/Table1[[#This Row],[actual_6]]</f>
        <v>2.7139874739039668E-2</v>
      </c>
      <c r="EM347" s="1">
        <f>(Table1[[#This Row],[predicted_7]]-Table1[[#This Row],[actual_7]])/Table1[[#This Row],[actual_7]]</f>
        <v>-6.8093385214007783E-3</v>
      </c>
      <c r="EN347" s="1">
        <f>(Table1[[#This Row],[predicted_8]]-Table1[[#This Row],[actual_8]])/Table1[[#This Row],[actual_8]]</f>
        <v>5.6468172484599587E-2</v>
      </c>
      <c r="EO347" s="1">
        <f>(Table1[[#This Row],[predicted_9]]-Table1[[#This Row],[actual_9]])/Table1[[#This Row],[actual_9]]</f>
        <v>0.28840436075322101</v>
      </c>
      <c r="EP347" s="1">
        <f>1+(Table1[[#This Row],[error_ratio_0]]-EF$2)</f>
        <v>0.98877551020408161</v>
      </c>
      <c r="EQ347" s="1">
        <f>1+(Table1[[#This Row],[error_ratio_1]]-EG$2)</f>
        <v>0.95506607929515419</v>
      </c>
      <c r="ER347" s="1">
        <f>1+(Table1[[#This Row],[error_ratio_2]]-EH$2)</f>
        <v>1.0164728682170543</v>
      </c>
      <c r="ES347" s="1">
        <f>1+(Table1[[#This Row],[error_ratio_3]]-EI$2)</f>
        <v>1.0257425742574258</v>
      </c>
      <c r="ET347" s="1">
        <f>1+(Table1[[#This Row],[error_ratio_4]]-EJ$2)</f>
        <v>0.68737270875763745</v>
      </c>
      <c r="EU347" s="1">
        <f>1+(Table1[[#This Row],[error_ratio_5]]-EK$2)</f>
        <v>0.94394618834080712</v>
      </c>
      <c r="EV347" s="1">
        <f>1+(Table1[[#This Row],[error_ratio_6]]-EL$2)</f>
        <v>1.0334029227557411</v>
      </c>
      <c r="EW347" s="1">
        <f>1+(Table1[[#This Row],[error_ratio_7]]-EM$2)</f>
        <v>0.99124513618677046</v>
      </c>
      <c r="EX347" s="1">
        <f>1+(Table1[[#This Row],[error_ratio_8]]-EN$2)</f>
        <v>1.0595482546201231</v>
      </c>
      <c r="EY347" s="1">
        <f>1+(Table1[[#This Row],[error_ratio_9]]-EO$2)</f>
        <v>1.292368681863231</v>
      </c>
    </row>
    <row r="348" spans="1:155" x14ac:dyDescent="0.75">
      <c r="A348">
        <v>100</v>
      </c>
      <c r="B348">
        <v>100</v>
      </c>
      <c r="C348">
        <v>100</v>
      </c>
      <c r="D348">
        <v>10</v>
      </c>
      <c r="E348">
        <v>10</v>
      </c>
      <c r="F348">
        <v>10</v>
      </c>
      <c r="G348">
        <v>10</v>
      </c>
      <c r="H348">
        <v>100</v>
      </c>
      <c r="I348">
        <v>10</v>
      </c>
      <c r="J348">
        <v>100</v>
      </c>
      <c r="K348">
        <v>1082</v>
      </c>
      <c r="L348">
        <v>1178</v>
      </c>
      <c r="M348">
        <v>1093</v>
      </c>
      <c r="N348">
        <v>969</v>
      </c>
      <c r="O348">
        <v>972</v>
      </c>
      <c r="P348">
        <v>871</v>
      </c>
      <c r="Q348">
        <v>898</v>
      </c>
      <c r="R348">
        <v>1067</v>
      </c>
      <c r="S348">
        <v>781</v>
      </c>
      <c r="T348">
        <v>1089</v>
      </c>
      <c r="U348">
        <v>980</v>
      </c>
      <c r="V348">
        <v>1135</v>
      </c>
      <c r="W348">
        <v>1032</v>
      </c>
      <c r="X348">
        <v>1010</v>
      </c>
      <c r="Y348">
        <v>982</v>
      </c>
      <c r="Z348">
        <v>892</v>
      </c>
      <c r="AA348">
        <v>958</v>
      </c>
      <c r="AB348">
        <v>1028</v>
      </c>
      <c r="AC348">
        <v>974</v>
      </c>
      <c r="AD348">
        <v>1009</v>
      </c>
      <c r="AE348">
        <v>975</v>
      </c>
      <c r="AF348">
        <v>1</v>
      </c>
      <c r="AG348">
        <v>1</v>
      </c>
      <c r="AH348">
        <v>0</v>
      </c>
      <c r="AI348">
        <v>0</v>
      </c>
      <c r="AJ348">
        <v>0</v>
      </c>
      <c r="AK348">
        <v>0</v>
      </c>
      <c r="AL348">
        <v>3</v>
      </c>
      <c r="AM348">
        <v>0</v>
      </c>
      <c r="AN348">
        <v>0</v>
      </c>
      <c r="AO348">
        <v>0</v>
      </c>
      <c r="AP348">
        <v>1134</v>
      </c>
      <c r="AQ348">
        <v>1</v>
      </c>
      <c r="AR348">
        <v>0</v>
      </c>
      <c r="AS348">
        <v>0</v>
      </c>
      <c r="AT348">
        <v>0</v>
      </c>
      <c r="AU348">
        <v>0</v>
      </c>
      <c r="AV348">
        <v>0</v>
      </c>
      <c r="AW348">
        <v>0</v>
      </c>
      <c r="AX348">
        <v>0</v>
      </c>
      <c r="AY348">
        <v>6</v>
      </c>
      <c r="AZ348">
        <v>2</v>
      </c>
      <c r="BA348">
        <v>1017</v>
      </c>
      <c r="BB348">
        <v>0</v>
      </c>
      <c r="BC348">
        <v>0</v>
      </c>
      <c r="BD348">
        <v>0</v>
      </c>
      <c r="BE348">
        <v>0</v>
      </c>
      <c r="BF348">
        <v>7</v>
      </c>
      <c r="BG348">
        <v>0</v>
      </c>
      <c r="BH348">
        <v>0</v>
      </c>
      <c r="BI348">
        <v>7</v>
      </c>
      <c r="BJ348">
        <v>1</v>
      </c>
      <c r="BK348">
        <v>12</v>
      </c>
      <c r="BL348">
        <v>960</v>
      </c>
      <c r="BM348">
        <v>0</v>
      </c>
      <c r="BN348">
        <v>14</v>
      </c>
      <c r="BO348">
        <v>0</v>
      </c>
      <c r="BP348">
        <v>12</v>
      </c>
      <c r="BQ348">
        <v>0</v>
      </c>
      <c r="BR348">
        <v>4</v>
      </c>
      <c r="BS348">
        <v>1</v>
      </c>
      <c r="BT348">
        <v>4</v>
      </c>
      <c r="BU348">
        <v>2</v>
      </c>
      <c r="BV348">
        <v>0</v>
      </c>
      <c r="BW348">
        <v>948</v>
      </c>
      <c r="BX348">
        <v>0</v>
      </c>
      <c r="BY348">
        <v>0</v>
      </c>
      <c r="BZ348">
        <v>2</v>
      </c>
      <c r="CA348">
        <v>1</v>
      </c>
      <c r="CB348">
        <v>24</v>
      </c>
      <c r="CC348">
        <v>15</v>
      </c>
      <c r="CD348">
        <v>2</v>
      </c>
      <c r="CE348">
        <v>1</v>
      </c>
      <c r="CF348">
        <v>5</v>
      </c>
      <c r="CG348">
        <v>1</v>
      </c>
      <c r="CH348">
        <v>851</v>
      </c>
      <c r="CI348">
        <v>3</v>
      </c>
      <c r="CJ348">
        <v>4</v>
      </c>
      <c r="CK348">
        <v>2</v>
      </c>
      <c r="CL348">
        <v>8</v>
      </c>
      <c r="CM348">
        <v>51</v>
      </c>
      <c r="CN348">
        <v>6</v>
      </c>
      <c r="CO348">
        <v>1</v>
      </c>
      <c r="CP348">
        <v>0</v>
      </c>
      <c r="CQ348">
        <v>15</v>
      </c>
      <c r="CR348">
        <v>1</v>
      </c>
      <c r="CS348">
        <v>881</v>
      </c>
      <c r="CT348">
        <v>0</v>
      </c>
      <c r="CU348">
        <v>2</v>
      </c>
      <c r="CV348">
        <v>1</v>
      </c>
      <c r="CW348">
        <v>0</v>
      </c>
      <c r="CX348">
        <v>6</v>
      </c>
      <c r="CY348">
        <v>7</v>
      </c>
      <c r="CZ348">
        <v>0</v>
      </c>
      <c r="DA348">
        <v>0</v>
      </c>
      <c r="DB348">
        <v>0</v>
      </c>
      <c r="DC348">
        <v>0</v>
      </c>
      <c r="DD348">
        <v>1014</v>
      </c>
      <c r="DE348">
        <v>0</v>
      </c>
      <c r="DF348">
        <v>1</v>
      </c>
      <c r="DG348">
        <v>24</v>
      </c>
      <c r="DH348">
        <v>19</v>
      </c>
      <c r="DI348">
        <v>49</v>
      </c>
      <c r="DJ348">
        <v>2</v>
      </c>
      <c r="DK348">
        <v>6</v>
      </c>
      <c r="DL348">
        <v>5</v>
      </c>
      <c r="DM348">
        <v>14</v>
      </c>
      <c r="DN348">
        <v>19</v>
      </c>
      <c r="DO348">
        <v>776</v>
      </c>
      <c r="DP348">
        <v>60</v>
      </c>
      <c r="DQ348">
        <v>3</v>
      </c>
      <c r="DR348">
        <v>3</v>
      </c>
      <c r="DS348">
        <v>2</v>
      </c>
      <c r="DT348">
        <v>2</v>
      </c>
      <c r="DU348">
        <v>2</v>
      </c>
      <c r="DV348">
        <v>0</v>
      </c>
      <c r="DW348">
        <v>0</v>
      </c>
      <c r="DX348">
        <v>6</v>
      </c>
      <c r="DY348">
        <v>0</v>
      </c>
      <c r="DZ348">
        <v>991</v>
      </c>
      <c r="EA348">
        <v>0.95469999999999999</v>
      </c>
      <c r="EB348">
        <v>0.957228702250429</v>
      </c>
      <c r="EC348">
        <v>0.95342703983524102</v>
      </c>
      <c r="ED348">
        <v>0.95357214399109602</v>
      </c>
      <c r="EE348">
        <f>SUM(Table1[[#This Row],[ratio_0]:[ratio_9]])</f>
        <v>550</v>
      </c>
      <c r="EF348" s="1">
        <f>(Table1[[#This Row],[predicted_0]]-Table1[[#This Row],[actual_0]])/Table1[[#This Row],[actual_0]]</f>
        <v>0.10408163265306122</v>
      </c>
      <c r="EG348" s="1">
        <f>(Table1[[#This Row],[predicted_1]]-Table1[[#This Row],[actual_1]])/Table1[[#This Row],[actual_1]]</f>
        <v>3.7885462555066078E-2</v>
      </c>
      <c r="EH348" s="1">
        <f>(Table1[[#This Row],[predicted_2]]-Table1[[#This Row],[actual_2]])/Table1[[#This Row],[actual_2]]</f>
        <v>5.9108527131782947E-2</v>
      </c>
      <c r="EI348" s="1">
        <f>(Table1[[#This Row],[predicted_3]]-Table1[[#This Row],[actual_3]])/Table1[[#This Row],[actual_3]]</f>
        <v>-4.0594059405940595E-2</v>
      </c>
      <c r="EJ348" s="1">
        <f>(Table1[[#This Row],[predicted_4]]-Table1[[#This Row],[actual_4]])/Table1[[#This Row],[actual_4]]</f>
        <v>-1.0183299389002037E-2</v>
      </c>
      <c r="EK348" s="1">
        <f>(Table1[[#This Row],[predicted_5]]-Table1[[#This Row],[actual_5]])/Table1[[#This Row],[actual_5]]</f>
        <v>-2.3542600896860985E-2</v>
      </c>
      <c r="EL348" s="1">
        <f>(Table1[[#This Row],[predicted_6]]-Table1[[#This Row],[actual_6]])/Table1[[#This Row],[actual_6]]</f>
        <v>-6.2630480167014613E-2</v>
      </c>
      <c r="EM348" s="1">
        <f>(Table1[[#This Row],[predicted_7]]-Table1[[#This Row],[actual_7]])/Table1[[#This Row],[actual_7]]</f>
        <v>3.7937743190661476E-2</v>
      </c>
      <c r="EN348" s="1">
        <f>(Table1[[#This Row],[predicted_8]]-Table1[[#This Row],[actual_8]])/Table1[[#This Row],[actual_8]]</f>
        <v>-0.19815195071868583</v>
      </c>
      <c r="EO348" s="1">
        <f>(Table1[[#This Row],[predicted_9]]-Table1[[#This Row],[actual_9]])/Table1[[#This Row],[actual_9]]</f>
        <v>7.9286422200198214E-2</v>
      </c>
      <c r="EP348" s="1">
        <f>1+(Table1[[#This Row],[error_ratio_0]]-EF$2)</f>
        <v>1.1020408163265305</v>
      </c>
      <c r="EQ348" s="1">
        <f>1+(Table1[[#This Row],[error_ratio_1]]-EG$2)</f>
        <v>1.0361233480176211</v>
      </c>
      <c r="ER348" s="1">
        <f>1+(Table1[[#This Row],[error_ratio_2]]-EH$2)</f>
        <v>1.0639534883720931</v>
      </c>
      <c r="ES348" s="1">
        <f>1+(Table1[[#This Row],[error_ratio_3]]-EI$2)</f>
        <v>0.94950495049504946</v>
      </c>
      <c r="ET348" s="1">
        <f>1+(Table1[[#This Row],[error_ratio_4]]-EJ$2)</f>
        <v>0.98879837067209775</v>
      </c>
      <c r="EU348" s="1">
        <f>1+(Table1[[#This Row],[error_ratio_5]]-EK$2)</f>
        <v>0.9753363228699552</v>
      </c>
      <c r="EV348" s="1">
        <f>1+(Table1[[#This Row],[error_ratio_6]]-EL$2)</f>
        <v>0.94363256784968685</v>
      </c>
      <c r="EW348" s="1">
        <f>1+(Table1[[#This Row],[error_ratio_7]]-EM$2)</f>
        <v>1.0359922178988328</v>
      </c>
      <c r="EX348" s="1">
        <f>1+(Table1[[#This Row],[error_ratio_8]]-EN$2)</f>
        <v>0.80492813141683772</v>
      </c>
      <c r="EY348" s="1">
        <f>1+(Table1[[#This Row],[error_ratio_9]]-EO$2)</f>
        <v>1.0832507433102081</v>
      </c>
    </row>
    <row r="349" spans="1:155" x14ac:dyDescent="0.75">
      <c r="A349">
        <v>10</v>
      </c>
      <c r="B349">
        <v>100</v>
      </c>
      <c r="C349">
        <v>100</v>
      </c>
      <c r="D349">
        <v>10</v>
      </c>
      <c r="E349">
        <v>10</v>
      </c>
      <c r="F349">
        <v>10</v>
      </c>
      <c r="G349">
        <v>10</v>
      </c>
      <c r="H349">
        <v>100</v>
      </c>
      <c r="I349">
        <v>10</v>
      </c>
      <c r="J349">
        <v>100</v>
      </c>
      <c r="K349">
        <v>1005</v>
      </c>
      <c r="L349">
        <v>1151</v>
      </c>
      <c r="M349">
        <v>1059</v>
      </c>
      <c r="N349">
        <v>1016</v>
      </c>
      <c r="O349">
        <v>937</v>
      </c>
      <c r="P349">
        <v>873</v>
      </c>
      <c r="Q349">
        <v>932</v>
      </c>
      <c r="R349">
        <v>1067</v>
      </c>
      <c r="S349">
        <v>919</v>
      </c>
      <c r="T349">
        <v>1041</v>
      </c>
      <c r="U349">
        <v>980</v>
      </c>
      <c r="V349">
        <v>1135</v>
      </c>
      <c r="W349">
        <v>1032</v>
      </c>
      <c r="X349">
        <v>1010</v>
      </c>
      <c r="Y349">
        <v>982</v>
      </c>
      <c r="Z349">
        <v>892</v>
      </c>
      <c r="AA349">
        <v>958</v>
      </c>
      <c r="AB349">
        <v>1028</v>
      </c>
      <c r="AC349">
        <v>974</v>
      </c>
      <c r="AD349">
        <v>1009</v>
      </c>
      <c r="AE349">
        <v>970</v>
      </c>
      <c r="AF349">
        <v>2</v>
      </c>
      <c r="AG349">
        <v>2</v>
      </c>
      <c r="AH349">
        <v>1</v>
      </c>
      <c r="AI349">
        <v>0</v>
      </c>
      <c r="AJ349">
        <v>1</v>
      </c>
      <c r="AK349">
        <v>0</v>
      </c>
      <c r="AL349">
        <v>2</v>
      </c>
      <c r="AM349">
        <v>2</v>
      </c>
      <c r="AN349">
        <v>0</v>
      </c>
      <c r="AO349">
        <v>0</v>
      </c>
      <c r="AP349">
        <v>1131</v>
      </c>
      <c r="AQ349">
        <v>1</v>
      </c>
      <c r="AR349">
        <v>1</v>
      </c>
      <c r="AS349">
        <v>0</v>
      </c>
      <c r="AT349">
        <v>0</v>
      </c>
      <c r="AU349">
        <v>0</v>
      </c>
      <c r="AV349">
        <v>1</v>
      </c>
      <c r="AW349">
        <v>1</v>
      </c>
      <c r="AX349">
        <v>0</v>
      </c>
      <c r="AY349">
        <v>1</v>
      </c>
      <c r="AZ349">
        <v>2</v>
      </c>
      <c r="BA349">
        <v>1010</v>
      </c>
      <c r="BB349">
        <v>8</v>
      </c>
      <c r="BC349">
        <v>0</v>
      </c>
      <c r="BD349">
        <v>0</v>
      </c>
      <c r="BE349">
        <v>0</v>
      </c>
      <c r="BF349">
        <v>11</v>
      </c>
      <c r="BG349">
        <v>0</v>
      </c>
      <c r="BH349">
        <v>0</v>
      </c>
      <c r="BI349">
        <v>0</v>
      </c>
      <c r="BJ349">
        <v>0</v>
      </c>
      <c r="BK349">
        <v>13</v>
      </c>
      <c r="BL349">
        <v>970</v>
      </c>
      <c r="BM349">
        <v>0</v>
      </c>
      <c r="BN349">
        <v>11</v>
      </c>
      <c r="BO349">
        <v>0</v>
      </c>
      <c r="BP349">
        <v>6</v>
      </c>
      <c r="BQ349">
        <v>3</v>
      </c>
      <c r="BR349">
        <v>7</v>
      </c>
      <c r="BS349">
        <v>1</v>
      </c>
      <c r="BT349">
        <v>2</v>
      </c>
      <c r="BU349">
        <v>3</v>
      </c>
      <c r="BV349">
        <v>1</v>
      </c>
      <c r="BW349">
        <v>928</v>
      </c>
      <c r="BX349">
        <v>0</v>
      </c>
      <c r="BY349">
        <v>5</v>
      </c>
      <c r="BZ349">
        <v>10</v>
      </c>
      <c r="CA349">
        <v>2</v>
      </c>
      <c r="CB349">
        <v>30</v>
      </c>
      <c r="CC349">
        <v>9</v>
      </c>
      <c r="CD349">
        <v>2</v>
      </c>
      <c r="CE349">
        <v>3</v>
      </c>
      <c r="CF349">
        <v>10</v>
      </c>
      <c r="CG349">
        <v>0</v>
      </c>
      <c r="CH349">
        <v>852</v>
      </c>
      <c r="CI349">
        <v>3</v>
      </c>
      <c r="CJ349">
        <v>3</v>
      </c>
      <c r="CK349">
        <v>4</v>
      </c>
      <c r="CL349">
        <v>6</v>
      </c>
      <c r="CM349">
        <v>13</v>
      </c>
      <c r="CN349">
        <v>6</v>
      </c>
      <c r="CO349">
        <v>6</v>
      </c>
      <c r="CP349">
        <v>0</v>
      </c>
      <c r="CQ349">
        <v>5</v>
      </c>
      <c r="CR349">
        <v>4</v>
      </c>
      <c r="CS349">
        <v>919</v>
      </c>
      <c r="CT349">
        <v>0</v>
      </c>
      <c r="CU349">
        <v>5</v>
      </c>
      <c r="CV349">
        <v>0</v>
      </c>
      <c r="CW349">
        <v>0</v>
      </c>
      <c r="CX349">
        <v>2</v>
      </c>
      <c r="CY349">
        <v>4</v>
      </c>
      <c r="CZ349">
        <v>3</v>
      </c>
      <c r="DA349">
        <v>0</v>
      </c>
      <c r="DB349">
        <v>0</v>
      </c>
      <c r="DC349">
        <v>0</v>
      </c>
      <c r="DD349">
        <v>1016</v>
      </c>
      <c r="DE349">
        <v>0</v>
      </c>
      <c r="DF349">
        <v>3</v>
      </c>
      <c r="DG349">
        <v>6</v>
      </c>
      <c r="DH349">
        <v>2</v>
      </c>
      <c r="DI349">
        <v>15</v>
      </c>
      <c r="DJ349">
        <v>21</v>
      </c>
      <c r="DK349">
        <v>1</v>
      </c>
      <c r="DL349">
        <v>3</v>
      </c>
      <c r="DM349">
        <v>5</v>
      </c>
      <c r="DN349">
        <v>8</v>
      </c>
      <c r="DO349">
        <v>902</v>
      </c>
      <c r="DP349">
        <v>11</v>
      </c>
      <c r="DQ349">
        <v>5</v>
      </c>
      <c r="DR349">
        <v>2</v>
      </c>
      <c r="DS349">
        <v>2</v>
      </c>
      <c r="DT349">
        <v>1</v>
      </c>
      <c r="DU349">
        <v>3</v>
      </c>
      <c r="DV349">
        <v>2</v>
      </c>
      <c r="DW349">
        <v>0</v>
      </c>
      <c r="DX349">
        <v>10</v>
      </c>
      <c r="DY349">
        <v>0</v>
      </c>
      <c r="DZ349">
        <v>984</v>
      </c>
      <c r="EA349">
        <v>0.96819999999999995</v>
      </c>
      <c r="EB349">
        <v>0.96875927004042806</v>
      </c>
      <c r="EC349">
        <v>0.96744350913614197</v>
      </c>
      <c r="ED349">
        <v>0.96784374165508402</v>
      </c>
      <c r="EE349">
        <f>SUM(Table1[[#This Row],[ratio_0]:[ratio_9]])</f>
        <v>460</v>
      </c>
      <c r="EF349" s="1">
        <f>(Table1[[#This Row],[predicted_0]]-Table1[[#This Row],[actual_0]])/Table1[[#This Row],[actual_0]]</f>
        <v>2.5510204081632654E-2</v>
      </c>
      <c r="EG349" s="1">
        <f>(Table1[[#This Row],[predicted_1]]-Table1[[#This Row],[actual_1]])/Table1[[#This Row],[actual_1]]</f>
        <v>1.4096916299559472E-2</v>
      </c>
      <c r="EH349" s="1">
        <f>(Table1[[#This Row],[predicted_2]]-Table1[[#This Row],[actual_2]])/Table1[[#This Row],[actual_2]]</f>
        <v>2.616279069767442E-2</v>
      </c>
      <c r="EI349" s="1">
        <f>(Table1[[#This Row],[predicted_3]]-Table1[[#This Row],[actual_3]])/Table1[[#This Row],[actual_3]]</f>
        <v>5.9405940594059407E-3</v>
      </c>
      <c r="EJ349" s="1">
        <f>(Table1[[#This Row],[predicted_4]]-Table1[[#This Row],[actual_4]])/Table1[[#This Row],[actual_4]]</f>
        <v>-4.5824847250509164E-2</v>
      </c>
      <c r="EK349" s="1">
        <f>(Table1[[#This Row],[predicted_5]]-Table1[[#This Row],[actual_5]])/Table1[[#This Row],[actual_5]]</f>
        <v>-2.1300448430493273E-2</v>
      </c>
      <c r="EL349" s="1">
        <f>(Table1[[#This Row],[predicted_6]]-Table1[[#This Row],[actual_6]])/Table1[[#This Row],[actual_6]]</f>
        <v>-2.7139874739039668E-2</v>
      </c>
      <c r="EM349" s="1">
        <f>(Table1[[#This Row],[predicted_7]]-Table1[[#This Row],[actual_7]])/Table1[[#This Row],[actual_7]]</f>
        <v>3.7937743190661476E-2</v>
      </c>
      <c r="EN349" s="1">
        <f>(Table1[[#This Row],[predicted_8]]-Table1[[#This Row],[actual_8]])/Table1[[#This Row],[actual_8]]</f>
        <v>-5.6468172484599587E-2</v>
      </c>
      <c r="EO349" s="1">
        <f>(Table1[[#This Row],[predicted_9]]-Table1[[#This Row],[actual_9]])/Table1[[#This Row],[actual_9]]</f>
        <v>3.1714568880079286E-2</v>
      </c>
      <c r="EP349" s="1">
        <f>1+(Table1[[#This Row],[error_ratio_0]]-EF$2)</f>
        <v>1.023469387755102</v>
      </c>
      <c r="EQ349" s="1">
        <f>1+(Table1[[#This Row],[error_ratio_1]]-EG$2)</f>
        <v>1.0123348017621145</v>
      </c>
      <c r="ER349" s="1">
        <f>1+(Table1[[#This Row],[error_ratio_2]]-EH$2)</f>
        <v>1.0310077519379846</v>
      </c>
      <c r="ES349" s="1">
        <f>1+(Table1[[#This Row],[error_ratio_3]]-EI$2)</f>
        <v>0.99603960396039604</v>
      </c>
      <c r="ET349" s="1">
        <f>1+(Table1[[#This Row],[error_ratio_4]]-EJ$2)</f>
        <v>0.95315682281059066</v>
      </c>
      <c r="EU349" s="1">
        <f>1+(Table1[[#This Row],[error_ratio_5]]-EK$2)</f>
        <v>0.97757847533632292</v>
      </c>
      <c r="EV349" s="1">
        <f>1+(Table1[[#This Row],[error_ratio_6]]-EL$2)</f>
        <v>0.97912317327766174</v>
      </c>
      <c r="EW349" s="1">
        <f>1+(Table1[[#This Row],[error_ratio_7]]-EM$2)</f>
        <v>1.0359922178988328</v>
      </c>
      <c r="EX349" s="1">
        <f>1+(Table1[[#This Row],[error_ratio_8]]-EN$2)</f>
        <v>0.94661190965092401</v>
      </c>
      <c r="EY349" s="1">
        <f>1+(Table1[[#This Row],[error_ratio_9]]-EO$2)</f>
        <v>1.0356788899900893</v>
      </c>
    </row>
    <row r="350" spans="1:155" x14ac:dyDescent="0.75">
      <c r="A350">
        <v>100</v>
      </c>
      <c r="B350">
        <v>10</v>
      </c>
      <c r="C350">
        <v>100</v>
      </c>
      <c r="D350">
        <v>10</v>
      </c>
      <c r="E350">
        <v>10</v>
      </c>
      <c r="F350">
        <v>10</v>
      </c>
      <c r="G350">
        <v>10</v>
      </c>
      <c r="H350">
        <v>100</v>
      </c>
      <c r="I350">
        <v>10</v>
      </c>
      <c r="J350">
        <v>100</v>
      </c>
      <c r="K350">
        <v>1013</v>
      </c>
      <c r="L350">
        <v>1105</v>
      </c>
      <c r="M350">
        <v>1144</v>
      </c>
      <c r="N350">
        <v>934</v>
      </c>
      <c r="O350">
        <v>890</v>
      </c>
      <c r="P350">
        <v>922</v>
      </c>
      <c r="Q350">
        <v>928</v>
      </c>
      <c r="R350">
        <v>1060</v>
      </c>
      <c r="S350">
        <v>960</v>
      </c>
      <c r="T350">
        <v>1044</v>
      </c>
      <c r="U350">
        <v>980</v>
      </c>
      <c r="V350">
        <v>1135</v>
      </c>
      <c r="W350">
        <v>1032</v>
      </c>
      <c r="X350">
        <v>1010</v>
      </c>
      <c r="Y350">
        <v>982</v>
      </c>
      <c r="Z350">
        <v>892</v>
      </c>
      <c r="AA350">
        <v>958</v>
      </c>
      <c r="AB350">
        <v>1028</v>
      </c>
      <c r="AC350">
        <v>974</v>
      </c>
      <c r="AD350">
        <v>1009</v>
      </c>
      <c r="AE350">
        <v>968</v>
      </c>
      <c r="AF350">
        <v>0</v>
      </c>
      <c r="AG350">
        <v>3</v>
      </c>
      <c r="AH350">
        <v>0</v>
      </c>
      <c r="AI350">
        <v>0</v>
      </c>
      <c r="AJ350">
        <v>2</v>
      </c>
      <c r="AK350">
        <v>0</v>
      </c>
      <c r="AL350">
        <v>4</v>
      </c>
      <c r="AM350">
        <v>2</v>
      </c>
      <c r="AN350">
        <v>1</v>
      </c>
      <c r="AO350">
        <v>0</v>
      </c>
      <c r="AP350">
        <v>1103</v>
      </c>
      <c r="AQ350">
        <v>7</v>
      </c>
      <c r="AR350">
        <v>12</v>
      </c>
      <c r="AS350">
        <v>0</v>
      </c>
      <c r="AT350">
        <v>1</v>
      </c>
      <c r="AU350">
        <v>2</v>
      </c>
      <c r="AV350">
        <v>3</v>
      </c>
      <c r="AW350">
        <v>4</v>
      </c>
      <c r="AX350">
        <v>3</v>
      </c>
      <c r="AY350">
        <v>1</v>
      </c>
      <c r="AZ350">
        <v>0</v>
      </c>
      <c r="BA350">
        <v>1029</v>
      </c>
      <c r="BB350">
        <v>0</v>
      </c>
      <c r="BC350">
        <v>0</v>
      </c>
      <c r="BD350">
        <v>0</v>
      </c>
      <c r="BE350">
        <v>0</v>
      </c>
      <c r="BF350">
        <v>2</v>
      </c>
      <c r="BG350">
        <v>0</v>
      </c>
      <c r="BH350">
        <v>0</v>
      </c>
      <c r="BI350">
        <v>12</v>
      </c>
      <c r="BJ350">
        <v>0</v>
      </c>
      <c r="BK350">
        <v>29</v>
      </c>
      <c r="BL350">
        <v>896</v>
      </c>
      <c r="BM350">
        <v>0</v>
      </c>
      <c r="BN350">
        <v>53</v>
      </c>
      <c r="BO350">
        <v>0</v>
      </c>
      <c r="BP350">
        <v>7</v>
      </c>
      <c r="BQ350">
        <v>8</v>
      </c>
      <c r="BR350">
        <v>5</v>
      </c>
      <c r="BS350">
        <v>0</v>
      </c>
      <c r="BT350">
        <v>0</v>
      </c>
      <c r="BU350">
        <v>23</v>
      </c>
      <c r="BV350">
        <v>2</v>
      </c>
      <c r="BW350">
        <v>888</v>
      </c>
      <c r="BX350">
        <v>1</v>
      </c>
      <c r="BY350">
        <v>3</v>
      </c>
      <c r="BZ350">
        <v>15</v>
      </c>
      <c r="CA350">
        <v>2</v>
      </c>
      <c r="CB350">
        <v>48</v>
      </c>
      <c r="CC350">
        <v>7</v>
      </c>
      <c r="CD350">
        <v>0</v>
      </c>
      <c r="CE350">
        <v>3</v>
      </c>
      <c r="CF350">
        <v>14</v>
      </c>
      <c r="CG350">
        <v>0</v>
      </c>
      <c r="CH350">
        <v>848</v>
      </c>
      <c r="CI350">
        <v>6</v>
      </c>
      <c r="CJ350">
        <v>3</v>
      </c>
      <c r="CK350">
        <v>11</v>
      </c>
      <c r="CL350">
        <v>0</v>
      </c>
      <c r="CM350">
        <v>18</v>
      </c>
      <c r="CN350">
        <v>1</v>
      </c>
      <c r="CO350">
        <v>14</v>
      </c>
      <c r="CP350">
        <v>0</v>
      </c>
      <c r="CQ350">
        <v>2</v>
      </c>
      <c r="CR350">
        <v>1</v>
      </c>
      <c r="CS350">
        <v>917</v>
      </c>
      <c r="CT350">
        <v>1</v>
      </c>
      <c r="CU350">
        <v>4</v>
      </c>
      <c r="CV350">
        <v>0</v>
      </c>
      <c r="CW350">
        <v>1</v>
      </c>
      <c r="CX350">
        <v>1</v>
      </c>
      <c r="CY350">
        <v>8</v>
      </c>
      <c r="CZ350">
        <v>6</v>
      </c>
      <c r="DA350">
        <v>0</v>
      </c>
      <c r="DB350">
        <v>0</v>
      </c>
      <c r="DC350">
        <v>0</v>
      </c>
      <c r="DD350">
        <v>1009</v>
      </c>
      <c r="DE350">
        <v>1</v>
      </c>
      <c r="DF350">
        <v>2</v>
      </c>
      <c r="DG350">
        <v>6</v>
      </c>
      <c r="DH350">
        <v>0</v>
      </c>
      <c r="DI350">
        <v>27</v>
      </c>
      <c r="DJ350">
        <v>3</v>
      </c>
      <c r="DK350">
        <v>0</v>
      </c>
      <c r="DL350">
        <v>9</v>
      </c>
      <c r="DM350">
        <v>0</v>
      </c>
      <c r="DN350">
        <v>5</v>
      </c>
      <c r="DO350">
        <v>922</v>
      </c>
      <c r="DP350">
        <v>2</v>
      </c>
      <c r="DQ350">
        <v>0</v>
      </c>
      <c r="DR350">
        <v>0</v>
      </c>
      <c r="DS350">
        <v>1</v>
      </c>
      <c r="DT350">
        <v>1</v>
      </c>
      <c r="DU350">
        <v>0</v>
      </c>
      <c r="DV350">
        <v>7</v>
      </c>
      <c r="DW350">
        <v>0</v>
      </c>
      <c r="DX350">
        <v>11</v>
      </c>
      <c r="DY350">
        <v>6</v>
      </c>
      <c r="DZ350">
        <v>983</v>
      </c>
      <c r="EA350">
        <v>0.95630000000000004</v>
      </c>
      <c r="EB350">
        <v>0.95720712348520498</v>
      </c>
      <c r="EC350">
        <v>0.95582964744347798</v>
      </c>
      <c r="ED350">
        <v>0.95574632503521195</v>
      </c>
      <c r="EE350">
        <f>SUM(Table1[[#This Row],[ratio_0]:[ratio_9]])</f>
        <v>460</v>
      </c>
      <c r="EF350" s="1">
        <f>(Table1[[#This Row],[predicted_0]]-Table1[[#This Row],[actual_0]])/Table1[[#This Row],[actual_0]]</f>
        <v>3.3673469387755103E-2</v>
      </c>
      <c r="EG350" s="1">
        <f>(Table1[[#This Row],[predicted_1]]-Table1[[#This Row],[actual_1]])/Table1[[#This Row],[actual_1]]</f>
        <v>-2.643171806167401E-2</v>
      </c>
      <c r="EH350" s="1">
        <f>(Table1[[#This Row],[predicted_2]]-Table1[[#This Row],[actual_2]])/Table1[[#This Row],[actual_2]]</f>
        <v>0.10852713178294573</v>
      </c>
      <c r="EI350" s="1">
        <f>(Table1[[#This Row],[predicted_3]]-Table1[[#This Row],[actual_3]])/Table1[[#This Row],[actual_3]]</f>
        <v>-7.5247524752475245E-2</v>
      </c>
      <c r="EJ350" s="1">
        <f>(Table1[[#This Row],[predicted_4]]-Table1[[#This Row],[actual_4]])/Table1[[#This Row],[actual_4]]</f>
        <v>-9.368635437881874E-2</v>
      </c>
      <c r="EK350" s="1">
        <f>(Table1[[#This Row],[predicted_5]]-Table1[[#This Row],[actual_5]])/Table1[[#This Row],[actual_5]]</f>
        <v>3.3632286995515695E-2</v>
      </c>
      <c r="EL350" s="1">
        <f>(Table1[[#This Row],[predicted_6]]-Table1[[#This Row],[actual_6]])/Table1[[#This Row],[actual_6]]</f>
        <v>-3.1315240083507306E-2</v>
      </c>
      <c r="EM350" s="1">
        <f>(Table1[[#This Row],[predicted_7]]-Table1[[#This Row],[actual_7]])/Table1[[#This Row],[actual_7]]</f>
        <v>3.1128404669260701E-2</v>
      </c>
      <c r="EN350" s="1">
        <f>(Table1[[#This Row],[predicted_8]]-Table1[[#This Row],[actual_8]])/Table1[[#This Row],[actual_8]]</f>
        <v>-1.4373716632443531E-2</v>
      </c>
      <c r="EO350" s="1">
        <f>(Table1[[#This Row],[predicted_9]]-Table1[[#This Row],[actual_9]])/Table1[[#This Row],[actual_9]]</f>
        <v>3.4687809712586719E-2</v>
      </c>
      <c r="EP350" s="1">
        <f>1+(Table1[[#This Row],[error_ratio_0]]-EF$2)</f>
        <v>1.0316326530612245</v>
      </c>
      <c r="EQ350" s="1">
        <f>1+(Table1[[#This Row],[error_ratio_1]]-EG$2)</f>
        <v>0.9718061674008811</v>
      </c>
      <c r="ER350" s="1">
        <f>1+(Table1[[#This Row],[error_ratio_2]]-EH$2)</f>
        <v>1.1133720930232558</v>
      </c>
      <c r="ES350" s="1">
        <f>1+(Table1[[#This Row],[error_ratio_3]]-EI$2)</f>
        <v>0.91485148514851489</v>
      </c>
      <c r="ET350" s="1">
        <f>1+(Table1[[#This Row],[error_ratio_4]]-EJ$2)</f>
        <v>0.90529531568228105</v>
      </c>
      <c r="EU350" s="1">
        <f>1+(Table1[[#This Row],[error_ratio_5]]-EK$2)</f>
        <v>1.0325112107623318</v>
      </c>
      <c r="EV350" s="1">
        <f>1+(Table1[[#This Row],[error_ratio_6]]-EL$2)</f>
        <v>0.97494780793319413</v>
      </c>
      <c r="EW350" s="1">
        <f>1+(Table1[[#This Row],[error_ratio_7]]-EM$2)</f>
        <v>1.0291828793774318</v>
      </c>
      <c r="EX350" s="1">
        <f>1+(Table1[[#This Row],[error_ratio_8]]-EN$2)</f>
        <v>0.98870636550308011</v>
      </c>
      <c r="EY350" s="1">
        <f>1+(Table1[[#This Row],[error_ratio_9]]-EO$2)</f>
        <v>1.0386521308225967</v>
      </c>
    </row>
    <row r="351" spans="1:155" x14ac:dyDescent="0.75">
      <c r="A351">
        <v>10</v>
      </c>
      <c r="B351">
        <v>10</v>
      </c>
      <c r="C351">
        <v>100</v>
      </c>
      <c r="D351">
        <v>10</v>
      </c>
      <c r="E351">
        <v>10</v>
      </c>
      <c r="F351">
        <v>10</v>
      </c>
      <c r="G351">
        <v>10</v>
      </c>
      <c r="H351">
        <v>100</v>
      </c>
      <c r="I351">
        <v>10</v>
      </c>
      <c r="J351">
        <v>100</v>
      </c>
      <c r="K351">
        <v>969</v>
      </c>
      <c r="L351">
        <v>1082</v>
      </c>
      <c r="M351">
        <v>1058</v>
      </c>
      <c r="N351">
        <v>972</v>
      </c>
      <c r="O351">
        <v>797</v>
      </c>
      <c r="P351">
        <v>782</v>
      </c>
      <c r="Q351">
        <v>939</v>
      </c>
      <c r="R351">
        <v>1054</v>
      </c>
      <c r="S351">
        <v>988</v>
      </c>
      <c r="T351">
        <v>1359</v>
      </c>
      <c r="U351">
        <v>980</v>
      </c>
      <c r="V351">
        <v>1135</v>
      </c>
      <c r="W351">
        <v>1032</v>
      </c>
      <c r="X351">
        <v>1010</v>
      </c>
      <c r="Y351">
        <v>982</v>
      </c>
      <c r="Z351">
        <v>892</v>
      </c>
      <c r="AA351">
        <v>958</v>
      </c>
      <c r="AB351">
        <v>1028</v>
      </c>
      <c r="AC351">
        <v>974</v>
      </c>
      <c r="AD351">
        <v>1009</v>
      </c>
      <c r="AE351">
        <v>927</v>
      </c>
      <c r="AF351">
        <v>0</v>
      </c>
      <c r="AG351">
        <v>3</v>
      </c>
      <c r="AH351">
        <v>0</v>
      </c>
      <c r="AI351">
        <v>0</v>
      </c>
      <c r="AJ351">
        <v>2</v>
      </c>
      <c r="AK351">
        <v>0</v>
      </c>
      <c r="AL351">
        <v>7</v>
      </c>
      <c r="AM351">
        <v>1</v>
      </c>
      <c r="AN351">
        <v>40</v>
      </c>
      <c r="AO351">
        <v>0</v>
      </c>
      <c r="AP351">
        <v>1078</v>
      </c>
      <c r="AQ351">
        <v>11</v>
      </c>
      <c r="AR351">
        <v>7</v>
      </c>
      <c r="AS351">
        <v>0</v>
      </c>
      <c r="AT351">
        <v>0</v>
      </c>
      <c r="AU351">
        <v>3</v>
      </c>
      <c r="AV351">
        <v>1</v>
      </c>
      <c r="AW351">
        <v>30</v>
      </c>
      <c r="AX351">
        <v>5</v>
      </c>
      <c r="AY351">
        <v>3</v>
      </c>
      <c r="AZ351">
        <v>0</v>
      </c>
      <c r="BA351">
        <v>1011</v>
      </c>
      <c r="BB351">
        <v>2</v>
      </c>
      <c r="BC351">
        <v>0</v>
      </c>
      <c r="BD351">
        <v>0</v>
      </c>
      <c r="BE351">
        <v>0</v>
      </c>
      <c r="BF351">
        <v>7</v>
      </c>
      <c r="BG351">
        <v>8</v>
      </c>
      <c r="BH351">
        <v>1</v>
      </c>
      <c r="BI351">
        <v>1</v>
      </c>
      <c r="BJ351">
        <v>0</v>
      </c>
      <c r="BK351">
        <v>8</v>
      </c>
      <c r="BL351">
        <v>950</v>
      </c>
      <c r="BM351">
        <v>0</v>
      </c>
      <c r="BN351">
        <v>10</v>
      </c>
      <c r="BO351">
        <v>0</v>
      </c>
      <c r="BP351">
        <v>10</v>
      </c>
      <c r="BQ351">
        <v>3</v>
      </c>
      <c r="BR351">
        <v>28</v>
      </c>
      <c r="BS351">
        <v>2</v>
      </c>
      <c r="BT351">
        <v>2</v>
      </c>
      <c r="BU351">
        <v>12</v>
      </c>
      <c r="BV351">
        <v>0</v>
      </c>
      <c r="BW351">
        <v>788</v>
      </c>
      <c r="BX351">
        <v>0</v>
      </c>
      <c r="BY351">
        <v>19</v>
      </c>
      <c r="BZ351">
        <v>7</v>
      </c>
      <c r="CA351">
        <v>7</v>
      </c>
      <c r="CB351">
        <v>145</v>
      </c>
      <c r="CC351">
        <v>8</v>
      </c>
      <c r="CD351">
        <v>0</v>
      </c>
      <c r="CE351">
        <v>0</v>
      </c>
      <c r="CF351">
        <v>9</v>
      </c>
      <c r="CG351">
        <v>2</v>
      </c>
      <c r="CH351">
        <v>762</v>
      </c>
      <c r="CI351">
        <v>6</v>
      </c>
      <c r="CJ351">
        <v>4</v>
      </c>
      <c r="CK351">
        <v>3</v>
      </c>
      <c r="CL351">
        <v>98</v>
      </c>
      <c r="CM351">
        <v>22</v>
      </c>
      <c r="CN351">
        <v>1</v>
      </c>
      <c r="CO351">
        <v>2</v>
      </c>
      <c r="CP351">
        <v>1</v>
      </c>
      <c r="CQ351">
        <v>7</v>
      </c>
      <c r="CR351">
        <v>5</v>
      </c>
      <c r="CS351">
        <v>908</v>
      </c>
      <c r="CT351">
        <v>0</v>
      </c>
      <c r="CU351">
        <v>3</v>
      </c>
      <c r="CV351">
        <v>9</v>
      </c>
      <c r="CW351">
        <v>0</v>
      </c>
      <c r="CX351">
        <v>1</v>
      </c>
      <c r="CY351">
        <v>6</v>
      </c>
      <c r="CZ351">
        <v>0</v>
      </c>
      <c r="DA351">
        <v>0</v>
      </c>
      <c r="DB351">
        <v>0</v>
      </c>
      <c r="DC351">
        <v>0</v>
      </c>
      <c r="DD351">
        <v>1007</v>
      </c>
      <c r="DE351">
        <v>3</v>
      </c>
      <c r="DF351">
        <v>11</v>
      </c>
      <c r="DG351">
        <v>5</v>
      </c>
      <c r="DH351">
        <v>0</v>
      </c>
      <c r="DI351">
        <v>5</v>
      </c>
      <c r="DJ351">
        <v>3</v>
      </c>
      <c r="DK351">
        <v>0</v>
      </c>
      <c r="DL351">
        <v>3</v>
      </c>
      <c r="DM351">
        <v>3</v>
      </c>
      <c r="DN351">
        <v>7</v>
      </c>
      <c r="DO351">
        <v>930</v>
      </c>
      <c r="DP351">
        <v>18</v>
      </c>
      <c r="DQ351">
        <v>1</v>
      </c>
      <c r="DR351">
        <v>0</v>
      </c>
      <c r="DS351">
        <v>0</v>
      </c>
      <c r="DT351">
        <v>0</v>
      </c>
      <c r="DU351">
        <v>0</v>
      </c>
      <c r="DV351">
        <v>0</v>
      </c>
      <c r="DW351">
        <v>0</v>
      </c>
      <c r="DX351">
        <v>4</v>
      </c>
      <c r="DY351">
        <v>0</v>
      </c>
      <c r="DZ351">
        <v>1004</v>
      </c>
      <c r="EA351">
        <v>0.9365</v>
      </c>
      <c r="EB351">
        <v>0.94515026951953196</v>
      </c>
      <c r="EC351">
        <v>0.93498973850206102</v>
      </c>
      <c r="ED351">
        <v>0.93667446783196096</v>
      </c>
      <c r="EE351">
        <f>SUM(Table1[[#This Row],[ratio_0]:[ratio_9]])</f>
        <v>370</v>
      </c>
      <c r="EF351" s="1">
        <f>(Table1[[#This Row],[predicted_0]]-Table1[[#This Row],[actual_0]])/Table1[[#This Row],[actual_0]]</f>
        <v>-1.1224489795918367E-2</v>
      </c>
      <c r="EG351" s="1">
        <f>(Table1[[#This Row],[predicted_1]]-Table1[[#This Row],[actual_1]])/Table1[[#This Row],[actual_1]]</f>
        <v>-4.6696035242290747E-2</v>
      </c>
      <c r="EH351" s="1">
        <f>(Table1[[#This Row],[predicted_2]]-Table1[[#This Row],[actual_2]])/Table1[[#This Row],[actual_2]]</f>
        <v>2.5193798449612403E-2</v>
      </c>
      <c r="EI351" s="1">
        <f>(Table1[[#This Row],[predicted_3]]-Table1[[#This Row],[actual_3]])/Table1[[#This Row],[actual_3]]</f>
        <v>-3.7623762376237622E-2</v>
      </c>
      <c r="EJ351" s="1">
        <f>(Table1[[#This Row],[predicted_4]]-Table1[[#This Row],[actual_4]])/Table1[[#This Row],[actual_4]]</f>
        <v>-0.18839103869653767</v>
      </c>
      <c r="EK351" s="1">
        <f>(Table1[[#This Row],[predicted_5]]-Table1[[#This Row],[actual_5]])/Table1[[#This Row],[actual_5]]</f>
        <v>-0.12331838565022421</v>
      </c>
      <c r="EL351" s="1">
        <f>(Table1[[#This Row],[predicted_6]]-Table1[[#This Row],[actual_6]])/Table1[[#This Row],[actual_6]]</f>
        <v>-1.9832985386221295E-2</v>
      </c>
      <c r="EM351" s="1">
        <f>(Table1[[#This Row],[predicted_7]]-Table1[[#This Row],[actual_7]])/Table1[[#This Row],[actual_7]]</f>
        <v>2.5291828793774319E-2</v>
      </c>
      <c r="EN351" s="1">
        <f>(Table1[[#This Row],[predicted_8]]-Table1[[#This Row],[actual_8]])/Table1[[#This Row],[actual_8]]</f>
        <v>1.4373716632443531E-2</v>
      </c>
      <c r="EO351" s="1">
        <f>(Table1[[#This Row],[predicted_9]]-Table1[[#This Row],[actual_9]])/Table1[[#This Row],[actual_9]]</f>
        <v>0.3468780971258672</v>
      </c>
      <c r="EP351" s="1">
        <f>1+(Table1[[#This Row],[error_ratio_0]]-EF$2)</f>
        <v>0.98673469387755097</v>
      </c>
      <c r="EQ351" s="1">
        <f>1+(Table1[[#This Row],[error_ratio_1]]-EG$2)</f>
        <v>0.95154185022026427</v>
      </c>
      <c r="ER351" s="1">
        <f>1+(Table1[[#This Row],[error_ratio_2]]-EH$2)</f>
        <v>1.0300387596899225</v>
      </c>
      <c r="ES351" s="1">
        <f>1+(Table1[[#This Row],[error_ratio_3]]-EI$2)</f>
        <v>0.95247524752475243</v>
      </c>
      <c r="ET351" s="1">
        <f>1+(Table1[[#This Row],[error_ratio_4]]-EJ$2)</f>
        <v>0.81059063136456211</v>
      </c>
      <c r="EU351" s="1">
        <f>1+(Table1[[#This Row],[error_ratio_5]]-EK$2)</f>
        <v>0.87556053811659196</v>
      </c>
      <c r="EV351" s="1">
        <f>1+(Table1[[#This Row],[error_ratio_6]]-EL$2)</f>
        <v>0.98643006263048016</v>
      </c>
      <c r="EW351" s="1">
        <f>1+(Table1[[#This Row],[error_ratio_7]]-EM$2)</f>
        <v>1.0233463035019454</v>
      </c>
      <c r="EX351" s="1">
        <f>1+(Table1[[#This Row],[error_ratio_8]]-EN$2)</f>
        <v>1.017453798767967</v>
      </c>
      <c r="EY351" s="1">
        <f>1+(Table1[[#This Row],[error_ratio_9]]-EO$2)</f>
        <v>1.3508424182358771</v>
      </c>
    </row>
    <row r="352" spans="1:155" x14ac:dyDescent="0.75">
      <c r="A352">
        <v>100</v>
      </c>
      <c r="B352">
        <v>100</v>
      </c>
      <c r="C352">
        <v>10</v>
      </c>
      <c r="D352">
        <v>10</v>
      </c>
      <c r="E352">
        <v>10</v>
      </c>
      <c r="F352">
        <v>10</v>
      </c>
      <c r="G352">
        <v>10</v>
      </c>
      <c r="H352">
        <v>100</v>
      </c>
      <c r="I352">
        <v>10</v>
      </c>
      <c r="J352">
        <v>100</v>
      </c>
      <c r="K352">
        <v>1</v>
      </c>
      <c r="L352">
        <v>9999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980</v>
      </c>
      <c r="V352">
        <v>1135</v>
      </c>
      <c r="W352">
        <v>1032</v>
      </c>
      <c r="X352">
        <v>1010</v>
      </c>
      <c r="Y352">
        <v>982</v>
      </c>
      <c r="Z352">
        <v>892</v>
      </c>
      <c r="AA352">
        <v>958</v>
      </c>
      <c r="AB352">
        <v>1028</v>
      </c>
      <c r="AC352">
        <v>974</v>
      </c>
      <c r="AD352">
        <v>1009</v>
      </c>
      <c r="AE352">
        <v>0</v>
      </c>
      <c r="AF352">
        <v>980</v>
      </c>
      <c r="AG352">
        <v>0</v>
      </c>
      <c r="AH352">
        <v>0</v>
      </c>
      <c r="AI352">
        <v>0</v>
      </c>
      <c r="AJ352">
        <v>0</v>
      </c>
      <c r="AK352">
        <v>0</v>
      </c>
      <c r="AL352">
        <v>0</v>
      </c>
      <c r="AM352">
        <v>0</v>
      </c>
      <c r="AN352">
        <v>0</v>
      </c>
      <c r="AO352">
        <v>0</v>
      </c>
      <c r="AP352">
        <v>1135</v>
      </c>
      <c r="AQ352">
        <v>0</v>
      </c>
      <c r="AR352">
        <v>0</v>
      </c>
      <c r="AS352">
        <v>0</v>
      </c>
      <c r="AT352">
        <v>0</v>
      </c>
      <c r="AU352">
        <v>0</v>
      </c>
      <c r="AV352">
        <v>0</v>
      </c>
      <c r="AW352">
        <v>0</v>
      </c>
      <c r="AX352">
        <v>0</v>
      </c>
      <c r="AY352">
        <v>0</v>
      </c>
      <c r="AZ352">
        <v>1032</v>
      </c>
      <c r="BA352">
        <v>0</v>
      </c>
      <c r="BB352">
        <v>0</v>
      </c>
      <c r="BC352">
        <v>0</v>
      </c>
      <c r="BD352">
        <v>0</v>
      </c>
      <c r="BE352">
        <v>0</v>
      </c>
      <c r="BF352">
        <v>0</v>
      </c>
      <c r="BG352">
        <v>0</v>
      </c>
      <c r="BH352">
        <v>0</v>
      </c>
      <c r="BI352">
        <v>0</v>
      </c>
      <c r="BJ352">
        <v>1010</v>
      </c>
      <c r="BK352">
        <v>0</v>
      </c>
      <c r="BL352">
        <v>0</v>
      </c>
      <c r="BM352">
        <v>0</v>
      </c>
      <c r="BN352">
        <v>0</v>
      </c>
      <c r="BO352">
        <v>0</v>
      </c>
      <c r="BP352">
        <v>0</v>
      </c>
      <c r="BQ352">
        <v>0</v>
      </c>
      <c r="BR352">
        <v>0</v>
      </c>
      <c r="BS352">
        <v>0</v>
      </c>
      <c r="BT352">
        <v>982</v>
      </c>
      <c r="BU352">
        <v>0</v>
      </c>
      <c r="BV352">
        <v>0</v>
      </c>
      <c r="BW352">
        <v>0</v>
      </c>
      <c r="BX352">
        <v>0</v>
      </c>
      <c r="BY352">
        <v>0</v>
      </c>
      <c r="BZ352">
        <v>0</v>
      </c>
      <c r="CA352">
        <v>0</v>
      </c>
      <c r="CB352">
        <v>0</v>
      </c>
      <c r="CC352">
        <v>1</v>
      </c>
      <c r="CD352">
        <v>891</v>
      </c>
      <c r="CE352">
        <v>0</v>
      </c>
      <c r="CF352">
        <v>0</v>
      </c>
      <c r="CG352">
        <v>0</v>
      </c>
      <c r="CH352">
        <v>0</v>
      </c>
      <c r="CI352">
        <v>0</v>
      </c>
      <c r="CJ352">
        <v>0</v>
      </c>
      <c r="CK352">
        <v>0</v>
      </c>
      <c r="CL352">
        <v>0</v>
      </c>
      <c r="CM352">
        <v>0</v>
      </c>
      <c r="CN352">
        <v>958</v>
      </c>
      <c r="CO352">
        <v>0</v>
      </c>
      <c r="CP352">
        <v>0</v>
      </c>
      <c r="CQ352">
        <v>0</v>
      </c>
      <c r="CR352">
        <v>0</v>
      </c>
      <c r="CS352">
        <v>0</v>
      </c>
      <c r="CT352">
        <v>0</v>
      </c>
      <c r="CU352">
        <v>0</v>
      </c>
      <c r="CV352">
        <v>0</v>
      </c>
      <c r="CW352">
        <v>0</v>
      </c>
      <c r="CX352">
        <v>1028</v>
      </c>
      <c r="CY352">
        <v>0</v>
      </c>
      <c r="CZ352">
        <v>0</v>
      </c>
      <c r="DA352">
        <v>0</v>
      </c>
      <c r="DB352">
        <v>0</v>
      </c>
      <c r="DC352">
        <v>0</v>
      </c>
      <c r="DD352">
        <v>0</v>
      </c>
      <c r="DE352">
        <v>0</v>
      </c>
      <c r="DF352">
        <v>0</v>
      </c>
      <c r="DG352">
        <v>0</v>
      </c>
      <c r="DH352">
        <v>974</v>
      </c>
      <c r="DI352">
        <v>0</v>
      </c>
      <c r="DJ352">
        <v>0</v>
      </c>
      <c r="DK352">
        <v>0</v>
      </c>
      <c r="DL352">
        <v>0</v>
      </c>
      <c r="DM352">
        <v>0</v>
      </c>
      <c r="DN352">
        <v>0</v>
      </c>
      <c r="DO352">
        <v>0</v>
      </c>
      <c r="DP352">
        <v>0</v>
      </c>
      <c r="DQ352">
        <v>0</v>
      </c>
      <c r="DR352">
        <v>1009</v>
      </c>
      <c r="DS352">
        <v>0</v>
      </c>
      <c r="DT352">
        <v>0</v>
      </c>
      <c r="DU352">
        <v>0</v>
      </c>
      <c r="DV352">
        <v>0</v>
      </c>
      <c r="DW352">
        <v>0</v>
      </c>
      <c r="DX352">
        <v>0</v>
      </c>
      <c r="DY352">
        <v>0</v>
      </c>
      <c r="DZ352">
        <v>0</v>
      </c>
      <c r="EA352">
        <v>0.1135</v>
      </c>
      <c r="EB352">
        <v>5.6755675567556702E-2</v>
      </c>
      <c r="EC352">
        <v>0.1</v>
      </c>
      <c r="ED352">
        <v>0.101940003592599</v>
      </c>
      <c r="EE352">
        <f>SUM(Table1[[#This Row],[ratio_0]:[ratio_9]])</f>
        <v>460</v>
      </c>
      <c r="EF352" s="1">
        <f>(Table1[[#This Row],[predicted_0]]-Table1[[#This Row],[actual_0]])/Table1[[#This Row],[actual_0]]</f>
        <v>-0.99897959183673468</v>
      </c>
      <c r="EG352" s="1">
        <f>(Table1[[#This Row],[predicted_1]]-Table1[[#This Row],[actual_1]])/Table1[[#This Row],[actual_1]]</f>
        <v>7.8096916299559469</v>
      </c>
      <c r="EH352" s="1">
        <f>(Table1[[#This Row],[predicted_2]]-Table1[[#This Row],[actual_2]])/Table1[[#This Row],[actual_2]]</f>
        <v>-1</v>
      </c>
      <c r="EI352" s="1">
        <f>(Table1[[#This Row],[predicted_3]]-Table1[[#This Row],[actual_3]])/Table1[[#This Row],[actual_3]]</f>
        <v>-1</v>
      </c>
      <c r="EJ352" s="1">
        <f>(Table1[[#This Row],[predicted_4]]-Table1[[#This Row],[actual_4]])/Table1[[#This Row],[actual_4]]</f>
        <v>-1</v>
      </c>
      <c r="EK352" s="1">
        <f>(Table1[[#This Row],[predicted_5]]-Table1[[#This Row],[actual_5]])/Table1[[#This Row],[actual_5]]</f>
        <v>-1</v>
      </c>
      <c r="EL352" s="1">
        <f>(Table1[[#This Row],[predicted_6]]-Table1[[#This Row],[actual_6]])/Table1[[#This Row],[actual_6]]</f>
        <v>-1</v>
      </c>
      <c r="EM352" s="1">
        <f>(Table1[[#This Row],[predicted_7]]-Table1[[#This Row],[actual_7]])/Table1[[#This Row],[actual_7]]</f>
        <v>-1</v>
      </c>
      <c r="EN352" s="1">
        <f>(Table1[[#This Row],[predicted_8]]-Table1[[#This Row],[actual_8]])/Table1[[#This Row],[actual_8]]</f>
        <v>-1</v>
      </c>
      <c r="EO352" s="1">
        <f>(Table1[[#This Row],[predicted_9]]-Table1[[#This Row],[actual_9]])/Table1[[#This Row],[actual_9]]</f>
        <v>-1</v>
      </c>
      <c r="EP352" s="1">
        <f>1+(Table1[[#This Row],[error_ratio_0]]-EF$2)</f>
        <v>-1.0204081632652073E-3</v>
      </c>
      <c r="EQ352" s="1">
        <f>1+(Table1[[#This Row],[error_ratio_1]]-EG$2)</f>
        <v>8.8079295154185022</v>
      </c>
      <c r="ER352" s="1">
        <f>1+(Table1[[#This Row],[error_ratio_2]]-EH$2)</f>
        <v>4.8449612403100861E-3</v>
      </c>
      <c r="ES352" s="1">
        <f>1+(Table1[[#This Row],[error_ratio_3]]-EI$2)</f>
        <v>-9.9009900990099098E-3</v>
      </c>
      <c r="ET352" s="1">
        <f>1+(Table1[[#This Row],[error_ratio_4]]-EJ$2)</f>
        <v>-1.0183299389001643E-3</v>
      </c>
      <c r="EU352" s="1">
        <f>1+(Table1[[#This Row],[error_ratio_5]]-EK$2)</f>
        <v>-1.1210762331839152E-3</v>
      </c>
      <c r="EV352" s="1">
        <f>1+(Table1[[#This Row],[error_ratio_6]]-EL$2)</f>
        <v>6.2630480167014113E-3</v>
      </c>
      <c r="EW352" s="1">
        <f>1+(Table1[[#This Row],[error_ratio_7]]-EM$2)</f>
        <v>-1.9455252918287869E-3</v>
      </c>
      <c r="EX352" s="1">
        <f>1+(Table1[[#This Row],[error_ratio_8]]-EN$2)</f>
        <v>3.0800821355235763E-3</v>
      </c>
      <c r="EY352" s="1">
        <f>1+(Table1[[#This Row],[error_ratio_9]]-EO$2)</f>
        <v>3.964321110009883E-3</v>
      </c>
    </row>
    <row r="353" spans="1:155" x14ac:dyDescent="0.75">
      <c r="A353">
        <v>10</v>
      </c>
      <c r="B353">
        <v>100</v>
      </c>
      <c r="C353">
        <v>10</v>
      </c>
      <c r="D353">
        <v>10</v>
      </c>
      <c r="E353">
        <v>10</v>
      </c>
      <c r="F353">
        <v>10</v>
      </c>
      <c r="G353">
        <v>10</v>
      </c>
      <c r="H353">
        <v>100</v>
      </c>
      <c r="I353">
        <v>10</v>
      </c>
      <c r="J353">
        <v>100</v>
      </c>
      <c r="K353">
        <v>978</v>
      </c>
      <c r="L353">
        <v>1201</v>
      </c>
      <c r="M353">
        <v>975</v>
      </c>
      <c r="N353">
        <v>997</v>
      </c>
      <c r="O353">
        <v>999</v>
      </c>
      <c r="P353">
        <v>853</v>
      </c>
      <c r="Q353">
        <v>955</v>
      </c>
      <c r="R353">
        <v>1027</v>
      </c>
      <c r="S353">
        <v>939</v>
      </c>
      <c r="T353">
        <v>1076</v>
      </c>
      <c r="U353">
        <v>980</v>
      </c>
      <c r="V353">
        <v>1135</v>
      </c>
      <c r="W353">
        <v>1032</v>
      </c>
      <c r="X353">
        <v>1010</v>
      </c>
      <c r="Y353">
        <v>982</v>
      </c>
      <c r="Z353">
        <v>892</v>
      </c>
      <c r="AA353">
        <v>958</v>
      </c>
      <c r="AB353">
        <v>1028</v>
      </c>
      <c r="AC353">
        <v>974</v>
      </c>
      <c r="AD353">
        <v>1009</v>
      </c>
      <c r="AE353">
        <v>953</v>
      </c>
      <c r="AF353">
        <v>1</v>
      </c>
      <c r="AG353">
        <v>1</v>
      </c>
      <c r="AH353">
        <v>0</v>
      </c>
      <c r="AI353">
        <v>3</v>
      </c>
      <c r="AJ353">
        <v>1</v>
      </c>
      <c r="AK353">
        <v>6</v>
      </c>
      <c r="AL353">
        <v>4</v>
      </c>
      <c r="AM353">
        <v>5</v>
      </c>
      <c r="AN353">
        <v>6</v>
      </c>
      <c r="AO353">
        <v>0</v>
      </c>
      <c r="AP353">
        <v>1133</v>
      </c>
      <c r="AQ353">
        <v>1</v>
      </c>
      <c r="AR353">
        <v>1</v>
      </c>
      <c r="AS353">
        <v>0</v>
      </c>
      <c r="AT353">
        <v>0</v>
      </c>
      <c r="AU353">
        <v>0</v>
      </c>
      <c r="AV353">
        <v>0</v>
      </c>
      <c r="AW353">
        <v>0</v>
      </c>
      <c r="AX353">
        <v>0</v>
      </c>
      <c r="AY353">
        <v>2</v>
      </c>
      <c r="AZ353">
        <v>20</v>
      </c>
      <c r="BA353">
        <v>957</v>
      </c>
      <c r="BB353">
        <v>13</v>
      </c>
      <c r="BC353">
        <v>13</v>
      </c>
      <c r="BD353">
        <v>2</v>
      </c>
      <c r="BE353">
        <v>5</v>
      </c>
      <c r="BF353">
        <v>17</v>
      </c>
      <c r="BG353">
        <v>3</v>
      </c>
      <c r="BH353">
        <v>0</v>
      </c>
      <c r="BI353">
        <v>2</v>
      </c>
      <c r="BJ353">
        <v>1</v>
      </c>
      <c r="BK353">
        <v>2</v>
      </c>
      <c r="BL353">
        <v>969</v>
      </c>
      <c r="BM353">
        <v>1</v>
      </c>
      <c r="BN353">
        <v>9</v>
      </c>
      <c r="BO353">
        <v>1</v>
      </c>
      <c r="BP353">
        <v>10</v>
      </c>
      <c r="BQ353">
        <v>4</v>
      </c>
      <c r="BR353">
        <v>11</v>
      </c>
      <c r="BS353">
        <v>0</v>
      </c>
      <c r="BT353">
        <v>5</v>
      </c>
      <c r="BU353">
        <v>0</v>
      </c>
      <c r="BV353">
        <v>0</v>
      </c>
      <c r="BW353">
        <v>957</v>
      </c>
      <c r="BX353">
        <v>0</v>
      </c>
      <c r="BY353">
        <v>1</v>
      </c>
      <c r="BZ353">
        <v>1</v>
      </c>
      <c r="CA353">
        <v>1</v>
      </c>
      <c r="CB353">
        <v>17</v>
      </c>
      <c r="CC353">
        <v>7</v>
      </c>
      <c r="CD353">
        <v>1</v>
      </c>
      <c r="CE353">
        <v>0</v>
      </c>
      <c r="CF353">
        <v>8</v>
      </c>
      <c r="CG353">
        <v>0</v>
      </c>
      <c r="CH353">
        <v>839</v>
      </c>
      <c r="CI353">
        <v>10</v>
      </c>
      <c r="CJ353">
        <v>2</v>
      </c>
      <c r="CK353">
        <v>7</v>
      </c>
      <c r="CL353">
        <v>18</v>
      </c>
      <c r="CM353">
        <v>5</v>
      </c>
      <c r="CN353">
        <v>6</v>
      </c>
      <c r="CO353">
        <v>2</v>
      </c>
      <c r="CP353">
        <v>0</v>
      </c>
      <c r="CQ353">
        <v>17</v>
      </c>
      <c r="CR353">
        <v>1</v>
      </c>
      <c r="CS353">
        <v>924</v>
      </c>
      <c r="CT353">
        <v>0</v>
      </c>
      <c r="CU353">
        <v>3</v>
      </c>
      <c r="CV353">
        <v>0</v>
      </c>
      <c r="CW353">
        <v>1</v>
      </c>
      <c r="CX353">
        <v>25</v>
      </c>
      <c r="CY353">
        <v>6</v>
      </c>
      <c r="CZ353">
        <v>0</v>
      </c>
      <c r="DA353">
        <v>0</v>
      </c>
      <c r="DB353">
        <v>0</v>
      </c>
      <c r="DC353">
        <v>0</v>
      </c>
      <c r="DD353">
        <v>984</v>
      </c>
      <c r="DE353">
        <v>0</v>
      </c>
      <c r="DF353">
        <v>12</v>
      </c>
      <c r="DG353">
        <v>7</v>
      </c>
      <c r="DH353">
        <v>4</v>
      </c>
      <c r="DI353">
        <v>6</v>
      </c>
      <c r="DJ353">
        <v>6</v>
      </c>
      <c r="DK353">
        <v>6</v>
      </c>
      <c r="DL353">
        <v>0</v>
      </c>
      <c r="DM353">
        <v>7</v>
      </c>
      <c r="DN353">
        <v>6</v>
      </c>
      <c r="DO353">
        <v>915</v>
      </c>
      <c r="DP353">
        <v>17</v>
      </c>
      <c r="DQ353">
        <v>1</v>
      </c>
      <c r="DR353">
        <v>5</v>
      </c>
      <c r="DS353">
        <v>0</v>
      </c>
      <c r="DT353">
        <v>0</v>
      </c>
      <c r="DU353">
        <v>2</v>
      </c>
      <c r="DV353">
        <v>1</v>
      </c>
      <c r="DW353">
        <v>1</v>
      </c>
      <c r="DX353">
        <v>3</v>
      </c>
      <c r="DY353">
        <v>1</v>
      </c>
      <c r="DZ353">
        <v>995</v>
      </c>
      <c r="EA353">
        <v>0.96260000000000001</v>
      </c>
      <c r="EB353">
        <v>0.96376494778839805</v>
      </c>
      <c r="EC353">
        <v>0.96198008638140098</v>
      </c>
      <c r="ED353">
        <v>0.96252776177377197</v>
      </c>
      <c r="EE353">
        <f>SUM(Table1[[#This Row],[ratio_0]:[ratio_9]])</f>
        <v>370</v>
      </c>
      <c r="EF353" s="1">
        <f>(Table1[[#This Row],[predicted_0]]-Table1[[#This Row],[actual_0]])/Table1[[#This Row],[actual_0]]</f>
        <v>-2.0408163265306124E-3</v>
      </c>
      <c r="EG353" s="1">
        <f>(Table1[[#This Row],[predicted_1]]-Table1[[#This Row],[actual_1]])/Table1[[#This Row],[actual_1]]</f>
        <v>5.8149779735682819E-2</v>
      </c>
      <c r="EH353" s="1">
        <f>(Table1[[#This Row],[predicted_2]]-Table1[[#This Row],[actual_2]])/Table1[[#This Row],[actual_2]]</f>
        <v>-5.5232558139534885E-2</v>
      </c>
      <c r="EI353" s="1">
        <f>(Table1[[#This Row],[predicted_3]]-Table1[[#This Row],[actual_3]])/Table1[[#This Row],[actual_3]]</f>
        <v>-1.2871287128712871E-2</v>
      </c>
      <c r="EJ353" s="1">
        <f>(Table1[[#This Row],[predicted_4]]-Table1[[#This Row],[actual_4]])/Table1[[#This Row],[actual_4]]</f>
        <v>1.7311608961303463E-2</v>
      </c>
      <c r="EK353" s="1">
        <f>(Table1[[#This Row],[predicted_5]]-Table1[[#This Row],[actual_5]])/Table1[[#This Row],[actual_5]]</f>
        <v>-4.3721973094170405E-2</v>
      </c>
      <c r="EL353" s="1">
        <f>(Table1[[#This Row],[predicted_6]]-Table1[[#This Row],[actual_6]])/Table1[[#This Row],[actual_6]]</f>
        <v>-3.1315240083507308E-3</v>
      </c>
      <c r="EM353" s="1">
        <f>(Table1[[#This Row],[predicted_7]]-Table1[[#This Row],[actual_7]])/Table1[[#This Row],[actual_7]]</f>
        <v>-9.727626459143969E-4</v>
      </c>
      <c r="EN353" s="1">
        <f>(Table1[[#This Row],[predicted_8]]-Table1[[#This Row],[actual_8]])/Table1[[#This Row],[actual_8]]</f>
        <v>-3.5934291581108828E-2</v>
      </c>
      <c r="EO353" s="1">
        <f>(Table1[[#This Row],[predicted_9]]-Table1[[#This Row],[actual_9]])/Table1[[#This Row],[actual_9]]</f>
        <v>6.6402378592666012E-2</v>
      </c>
      <c r="EP353" s="1">
        <f>1+(Table1[[#This Row],[error_ratio_0]]-EF$2)</f>
        <v>0.99591836734693873</v>
      </c>
      <c r="EQ353" s="1">
        <f>1+(Table1[[#This Row],[error_ratio_1]]-EG$2)</f>
        <v>1.0563876651982378</v>
      </c>
      <c r="ER353" s="1">
        <f>1+(Table1[[#This Row],[error_ratio_2]]-EH$2)</f>
        <v>0.94961240310077522</v>
      </c>
      <c r="ES353" s="1">
        <f>1+(Table1[[#This Row],[error_ratio_3]]-EI$2)</f>
        <v>0.97722772277227721</v>
      </c>
      <c r="ET353" s="1">
        <f>1+(Table1[[#This Row],[error_ratio_4]]-EJ$2)</f>
        <v>1.0162932790224033</v>
      </c>
      <c r="EU353" s="1">
        <f>1+(Table1[[#This Row],[error_ratio_5]]-EK$2)</f>
        <v>0.95515695067264572</v>
      </c>
      <c r="EV353" s="1">
        <f>1+(Table1[[#This Row],[error_ratio_6]]-EL$2)</f>
        <v>1.0031315240083507</v>
      </c>
      <c r="EW353" s="1">
        <f>1+(Table1[[#This Row],[error_ratio_7]]-EM$2)</f>
        <v>0.99708171206225682</v>
      </c>
      <c r="EX353" s="1">
        <f>1+(Table1[[#This Row],[error_ratio_8]]-EN$2)</f>
        <v>0.96714579055441474</v>
      </c>
      <c r="EY353" s="1">
        <f>1+(Table1[[#This Row],[error_ratio_9]]-EO$2)</f>
        <v>1.0703666997026759</v>
      </c>
    </row>
    <row r="354" spans="1:155" x14ac:dyDescent="0.75">
      <c r="A354">
        <v>100</v>
      </c>
      <c r="B354">
        <v>10</v>
      </c>
      <c r="C354">
        <v>10</v>
      </c>
      <c r="D354">
        <v>10</v>
      </c>
      <c r="E354">
        <v>10</v>
      </c>
      <c r="F354">
        <v>10</v>
      </c>
      <c r="G354">
        <v>10</v>
      </c>
      <c r="H354">
        <v>100</v>
      </c>
      <c r="I354">
        <v>10</v>
      </c>
      <c r="J354">
        <v>100</v>
      </c>
      <c r="K354">
        <v>1032</v>
      </c>
      <c r="L354">
        <v>1136</v>
      </c>
      <c r="M354">
        <v>940</v>
      </c>
      <c r="N354">
        <v>1009</v>
      </c>
      <c r="O354">
        <v>954</v>
      </c>
      <c r="P354">
        <v>993</v>
      </c>
      <c r="Q354">
        <v>868</v>
      </c>
      <c r="R354">
        <v>1072</v>
      </c>
      <c r="S354">
        <v>924</v>
      </c>
      <c r="T354">
        <v>1072</v>
      </c>
      <c r="U354">
        <v>980</v>
      </c>
      <c r="V354">
        <v>1135</v>
      </c>
      <c r="W354">
        <v>1032</v>
      </c>
      <c r="X354">
        <v>1010</v>
      </c>
      <c r="Y354">
        <v>982</v>
      </c>
      <c r="Z354">
        <v>892</v>
      </c>
      <c r="AA354">
        <v>958</v>
      </c>
      <c r="AB354">
        <v>1028</v>
      </c>
      <c r="AC354">
        <v>974</v>
      </c>
      <c r="AD354">
        <v>1009</v>
      </c>
      <c r="AE354">
        <v>972</v>
      </c>
      <c r="AF354">
        <v>0</v>
      </c>
      <c r="AG354">
        <v>0</v>
      </c>
      <c r="AH354">
        <v>1</v>
      </c>
      <c r="AI354">
        <v>0</v>
      </c>
      <c r="AJ354">
        <v>1</v>
      </c>
      <c r="AK354">
        <v>0</v>
      </c>
      <c r="AL354">
        <v>2</v>
      </c>
      <c r="AM354">
        <v>2</v>
      </c>
      <c r="AN354">
        <v>2</v>
      </c>
      <c r="AO354">
        <v>0</v>
      </c>
      <c r="AP354">
        <v>1112</v>
      </c>
      <c r="AQ354">
        <v>2</v>
      </c>
      <c r="AR354">
        <v>6</v>
      </c>
      <c r="AS354">
        <v>0</v>
      </c>
      <c r="AT354">
        <v>4</v>
      </c>
      <c r="AU354">
        <v>0</v>
      </c>
      <c r="AV354">
        <v>1</v>
      </c>
      <c r="AW354">
        <v>10</v>
      </c>
      <c r="AX354">
        <v>0</v>
      </c>
      <c r="AY354">
        <v>11</v>
      </c>
      <c r="AZ354">
        <v>5</v>
      </c>
      <c r="BA354">
        <v>931</v>
      </c>
      <c r="BB354">
        <v>31</v>
      </c>
      <c r="BC354">
        <v>5</v>
      </c>
      <c r="BD354">
        <v>3</v>
      </c>
      <c r="BE354">
        <v>6</v>
      </c>
      <c r="BF354">
        <v>26</v>
      </c>
      <c r="BG354">
        <v>3</v>
      </c>
      <c r="BH354">
        <v>11</v>
      </c>
      <c r="BI354">
        <v>4</v>
      </c>
      <c r="BJ354">
        <v>0</v>
      </c>
      <c r="BK354">
        <v>1</v>
      </c>
      <c r="BL354">
        <v>958</v>
      </c>
      <c r="BM354">
        <v>0</v>
      </c>
      <c r="BN354">
        <v>35</v>
      </c>
      <c r="BO354">
        <v>0</v>
      </c>
      <c r="BP354">
        <v>9</v>
      </c>
      <c r="BQ354">
        <v>0</v>
      </c>
      <c r="BR354">
        <v>3</v>
      </c>
      <c r="BS354">
        <v>0</v>
      </c>
      <c r="BT354">
        <v>5</v>
      </c>
      <c r="BU354">
        <v>1</v>
      </c>
      <c r="BV354">
        <v>0</v>
      </c>
      <c r="BW354">
        <v>932</v>
      </c>
      <c r="BX354">
        <v>0</v>
      </c>
      <c r="BY354">
        <v>1</v>
      </c>
      <c r="BZ354">
        <v>3</v>
      </c>
      <c r="CA354">
        <v>2</v>
      </c>
      <c r="CB354">
        <v>38</v>
      </c>
      <c r="CC354">
        <v>9</v>
      </c>
      <c r="CD354">
        <v>0</v>
      </c>
      <c r="CE354">
        <v>0</v>
      </c>
      <c r="CF354">
        <v>5</v>
      </c>
      <c r="CG354">
        <v>0</v>
      </c>
      <c r="CH354">
        <v>873</v>
      </c>
      <c r="CI354">
        <v>1</v>
      </c>
      <c r="CJ354">
        <v>2</v>
      </c>
      <c r="CK354">
        <v>1</v>
      </c>
      <c r="CL354">
        <v>1</v>
      </c>
      <c r="CM354">
        <v>24</v>
      </c>
      <c r="CN354">
        <v>5</v>
      </c>
      <c r="CO354">
        <v>0</v>
      </c>
      <c r="CP354">
        <v>0</v>
      </c>
      <c r="CQ354">
        <v>10</v>
      </c>
      <c r="CR354">
        <v>53</v>
      </c>
      <c r="CS354">
        <v>860</v>
      </c>
      <c r="CT354">
        <v>0</v>
      </c>
      <c r="CU354">
        <v>4</v>
      </c>
      <c r="CV354">
        <v>2</v>
      </c>
      <c r="CW354">
        <v>0</v>
      </c>
      <c r="CX354">
        <v>5</v>
      </c>
      <c r="CY354">
        <v>2</v>
      </c>
      <c r="CZ354">
        <v>2</v>
      </c>
      <c r="DA354">
        <v>0</v>
      </c>
      <c r="DB354">
        <v>1</v>
      </c>
      <c r="DC354">
        <v>0</v>
      </c>
      <c r="DD354">
        <v>1014</v>
      </c>
      <c r="DE354">
        <v>0</v>
      </c>
      <c r="DF354">
        <v>4</v>
      </c>
      <c r="DG354">
        <v>11</v>
      </c>
      <c r="DH354">
        <v>2</v>
      </c>
      <c r="DI354">
        <v>3</v>
      </c>
      <c r="DJ354">
        <v>6</v>
      </c>
      <c r="DK354">
        <v>5</v>
      </c>
      <c r="DL354">
        <v>16</v>
      </c>
      <c r="DM354">
        <v>0</v>
      </c>
      <c r="DN354">
        <v>12</v>
      </c>
      <c r="DO354">
        <v>902</v>
      </c>
      <c r="DP354">
        <v>17</v>
      </c>
      <c r="DQ354">
        <v>1</v>
      </c>
      <c r="DR354">
        <v>2</v>
      </c>
      <c r="DS354">
        <v>0</v>
      </c>
      <c r="DT354">
        <v>0</v>
      </c>
      <c r="DU354">
        <v>2</v>
      </c>
      <c r="DV354">
        <v>7</v>
      </c>
      <c r="DW354">
        <v>0</v>
      </c>
      <c r="DX354">
        <v>3</v>
      </c>
      <c r="DY354">
        <v>0</v>
      </c>
      <c r="DZ354">
        <v>994</v>
      </c>
      <c r="EA354">
        <v>0.95479999999999998</v>
      </c>
      <c r="EB354">
        <v>0.95568156389062398</v>
      </c>
      <c r="EC354">
        <v>0.95452988031712704</v>
      </c>
      <c r="ED354">
        <v>0.95412286645071198</v>
      </c>
      <c r="EE354">
        <f>SUM(Table1[[#This Row],[ratio_0]:[ratio_9]])</f>
        <v>370</v>
      </c>
      <c r="EF354" s="1">
        <f>(Table1[[#This Row],[predicted_0]]-Table1[[#This Row],[actual_0]])/Table1[[#This Row],[actual_0]]</f>
        <v>5.3061224489795916E-2</v>
      </c>
      <c r="EG354" s="1">
        <f>(Table1[[#This Row],[predicted_1]]-Table1[[#This Row],[actual_1]])/Table1[[#This Row],[actual_1]]</f>
        <v>8.81057268722467E-4</v>
      </c>
      <c r="EH354" s="1">
        <f>(Table1[[#This Row],[predicted_2]]-Table1[[#This Row],[actual_2]])/Table1[[#This Row],[actual_2]]</f>
        <v>-8.9147286821705432E-2</v>
      </c>
      <c r="EI354" s="1">
        <f>(Table1[[#This Row],[predicted_3]]-Table1[[#This Row],[actual_3]])/Table1[[#This Row],[actual_3]]</f>
        <v>-9.9009900990099011E-4</v>
      </c>
      <c r="EJ354" s="1">
        <f>(Table1[[#This Row],[predicted_4]]-Table1[[#This Row],[actual_4]])/Table1[[#This Row],[actual_4]]</f>
        <v>-2.8513238289205704E-2</v>
      </c>
      <c r="EK354" s="1">
        <f>(Table1[[#This Row],[predicted_5]]-Table1[[#This Row],[actual_5]])/Table1[[#This Row],[actual_5]]</f>
        <v>0.1132286995515695</v>
      </c>
      <c r="EL354" s="1">
        <f>(Table1[[#This Row],[predicted_6]]-Table1[[#This Row],[actual_6]])/Table1[[#This Row],[actual_6]]</f>
        <v>-9.3945720250521919E-2</v>
      </c>
      <c r="EM354" s="1">
        <f>(Table1[[#This Row],[predicted_7]]-Table1[[#This Row],[actual_7]])/Table1[[#This Row],[actual_7]]</f>
        <v>4.2801556420233464E-2</v>
      </c>
      <c r="EN354" s="1">
        <f>(Table1[[#This Row],[predicted_8]]-Table1[[#This Row],[actual_8]])/Table1[[#This Row],[actual_8]]</f>
        <v>-5.1334702258726897E-2</v>
      </c>
      <c r="EO354" s="1">
        <f>(Table1[[#This Row],[predicted_9]]-Table1[[#This Row],[actual_9]])/Table1[[#This Row],[actual_9]]</f>
        <v>6.2438057482656094E-2</v>
      </c>
      <c r="EP354" s="1">
        <f>1+(Table1[[#This Row],[error_ratio_0]]-EF$2)</f>
        <v>1.0510204081632653</v>
      </c>
      <c r="EQ354" s="1">
        <f>1+(Table1[[#This Row],[error_ratio_1]]-EG$2)</f>
        <v>0.99911894273127755</v>
      </c>
      <c r="ER354" s="1">
        <f>1+(Table1[[#This Row],[error_ratio_2]]-EH$2)</f>
        <v>0.91569767441860461</v>
      </c>
      <c r="ES354" s="1">
        <f>1+(Table1[[#This Row],[error_ratio_3]]-EI$2)</f>
        <v>0.9891089108910891</v>
      </c>
      <c r="ET354" s="1">
        <f>1+(Table1[[#This Row],[error_ratio_4]]-EJ$2)</f>
        <v>0.97046843177189412</v>
      </c>
      <c r="EU354" s="1">
        <f>1+(Table1[[#This Row],[error_ratio_5]]-EK$2)</f>
        <v>1.1121076233183858</v>
      </c>
      <c r="EV354" s="1">
        <f>1+(Table1[[#This Row],[error_ratio_6]]-EL$2)</f>
        <v>0.91231732776617958</v>
      </c>
      <c r="EW354" s="1">
        <f>1+(Table1[[#This Row],[error_ratio_7]]-EM$2)</f>
        <v>1.0408560311284047</v>
      </c>
      <c r="EX354" s="1">
        <f>1+(Table1[[#This Row],[error_ratio_8]]-EN$2)</f>
        <v>0.95174537987679675</v>
      </c>
      <c r="EY354" s="1">
        <f>1+(Table1[[#This Row],[error_ratio_9]]-EO$2)</f>
        <v>1.066402378592666</v>
      </c>
    </row>
    <row r="355" spans="1:155" x14ac:dyDescent="0.75">
      <c r="A355">
        <v>10</v>
      </c>
      <c r="B355">
        <v>10</v>
      </c>
      <c r="C355">
        <v>10</v>
      </c>
      <c r="D355">
        <v>10</v>
      </c>
      <c r="E355">
        <v>10</v>
      </c>
      <c r="F355">
        <v>10</v>
      </c>
      <c r="G355">
        <v>10</v>
      </c>
      <c r="H355">
        <v>100</v>
      </c>
      <c r="I355">
        <v>10</v>
      </c>
      <c r="J355">
        <v>100</v>
      </c>
      <c r="K355">
        <v>973</v>
      </c>
      <c r="L355">
        <v>1113</v>
      </c>
      <c r="M355">
        <v>890</v>
      </c>
      <c r="N355">
        <v>971</v>
      </c>
      <c r="O355">
        <v>804</v>
      </c>
      <c r="P355">
        <v>901</v>
      </c>
      <c r="Q355">
        <v>910</v>
      </c>
      <c r="R355">
        <v>1185</v>
      </c>
      <c r="S355">
        <v>981</v>
      </c>
      <c r="T355">
        <v>1272</v>
      </c>
      <c r="U355">
        <v>980</v>
      </c>
      <c r="V355">
        <v>1135</v>
      </c>
      <c r="W355">
        <v>1032</v>
      </c>
      <c r="X355">
        <v>1010</v>
      </c>
      <c r="Y355">
        <v>982</v>
      </c>
      <c r="Z355">
        <v>892</v>
      </c>
      <c r="AA355">
        <v>958</v>
      </c>
      <c r="AB355">
        <v>1028</v>
      </c>
      <c r="AC355">
        <v>974</v>
      </c>
      <c r="AD355">
        <v>1009</v>
      </c>
      <c r="AE355">
        <v>956</v>
      </c>
      <c r="AF355">
        <v>0</v>
      </c>
      <c r="AG355">
        <v>0</v>
      </c>
      <c r="AH355">
        <v>2</v>
      </c>
      <c r="AI355">
        <v>0</v>
      </c>
      <c r="AJ355">
        <v>4</v>
      </c>
      <c r="AK355">
        <v>3</v>
      </c>
      <c r="AL355">
        <v>3</v>
      </c>
      <c r="AM355">
        <v>6</v>
      </c>
      <c r="AN355">
        <v>6</v>
      </c>
      <c r="AO355">
        <v>0</v>
      </c>
      <c r="AP355">
        <v>1107</v>
      </c>
      <c r="AQ355">
        <v>1</v>
      </c>
      <c r="AR355">
        <v>5</v>
      </c>
      <c r="AS355">
        <v>0</v>
      </c>
      <c r="AT355">
        <v>2</v>
      </c>
      <c r="AU355">
        <v>0</v>
      </c>
      <c r="AV355">
        <v>15</v>
      </c>
      <c r="AW355">
        <v>5</v>
      </c>
      <c r="AX355">
        <v>0</v>
      </c>
      <c r="AY355">
        <v>2</v>
      </c>
      <c r="AZ355">
        <v>1</v>
      </c>
      <c r="BA355">
        <v>882</v>
      </c>
      <c r="BB355">
        <v>27</v>
      </c>
      <c r="BC355">
        <v>3</v>
      </c>
      <c r="BD355">
        <v>0</v>
      </c>
      <c r="BE355">
        <v>3</v>
      </c>
      <c r="BF355">
        <v>101</v>
      </c>
      <c r="BG355">
        <v>7</v>
      </c>
      <c r="BH355">
        <v>6</v>
      </c>
      <c r="BI355">
        <v>0</v>
      </c>
      <c r="BJ355">
        <v>0</v>
      </c>
      <c r="BK355">
        <v>0</v>
      </c>
      <c r="BL355">
        <v>925</v>
      </c>
      <c r="BM355">
        <v>0</v>
      </c>
      <c r="BN355">
        <v>41</v>
      </c>
      <c r="BO355">
        <v>0</v>
      </c>
      <c r="BP355">
        <v>21</v>
      </c>
      <c r="BQ355">
        <v>5</v>
      </c>
      <c r="BR355">
        <v>18</v>
      </c>
      <c r="BS355">
        <v>1</v>
      </c>
      <c r="BT355">
        <v>1</v>
      </c>
      <c r="BU355">
        <v>4</v>
      </c>
      <c r="BV355">
        <v>0</v>
      </c>
      <c r="BW355">
        <v>799</v>
      </c>
      <c r="BX355">
        <v>0</v>
      </c>
      <c r="BY355">
        <v>5</v>
      </c>
      <c r="BZ355">
        <v>4</v>
      </c>
      <c r="CA355">
        <v>4</v>
      </c>
      <c r="CB355">
        <v>164</v>
      </c>
      <c r="CC355">
        <v>3</v>
      </c>
      <c r="CD355">
        <v>0</v>
      </c>
      <c r="CE355">
        <v>0</v>
      </c>
      <c r="CF355">
        <v>4</v>
      </c>
      <c r="CG355">
        <v>0</v>
      </c>
      <c r="CH355">
        <v>832</v>
      </c>
      <c r="CI355">
        <v>1</v>
      </c>
      <c r="CJ355">
        <v>1</v>
      </c>
      <c r="CK355">
        <v>15</v>
      </c>
      <c r="CL355">
        <v>36</v>
      </c>
      <c r="CM355">
        <v>8</v>
      </c>
      <c r="CN355">
        <v>3</v>
      </c>
      <c r="CO355">
        <v>2</v>
      </c>
      <c r="CP355">
        <v>2</v>
      </c>
      <c r="CQ355">
        <v>0</v>
      </c>
      <c r="CR355">
        <v>18</v>
      </c>
      <c r="CS355">
        <v>898</v>
      </c>
      <c r="CT355">
        <v>0</v>
      </c>
      <c r="CU355">
        <v>23</v>
      </c>
      <c r="CV355">
        <v>4</v>
      </c>
      <c r="CW355">
        <v>1</v>
      </c>
      <c r="CX355">
        <v>1</v>
      </c>
      <c r="CY355">
        <v>0</v>
      </c>
      <c r="CZ355">
        <v>0</v>
      </c>
      <c r="DA355">
        <v>0</v>
      </c>
      <c r="DB355">
        <v>0</v>
      </c>
      <c r="DC355">
        <v>0</v>
      </c>
      <c r="DD355">
        <v>1022</v>
      </c>
      <c r="DE355">
        <v>0</v>
      </c>
      <c r="DF355">
        <v>4</v>
      </c>
      <c r="DG355">
        <v>1</v>
      </c>
      <c r="DH355">
        <v>0</v>
      </c>
      <c r="DI355">
        <v>1</v>
      </c>
      <c r="DJ355">
        <v>6</v>
      </c>
      <c r="DK355">
        <v>2</v>
      </c>
      <c r="DL355">
        <v>4</v>
      </c>
      <c r="DM355">
        <v>0</v>
      </c>
      <c r="DN355">
        <v>17</v>
      </c>
      <c r="DO355">
        <v>916</v>
      </c>
      <c r="DP355">
        <v>27</v>
      </c>
      <c r="DQ355">
        <v>1</v>
      </c>
      <c r="DR355">
        <v>0</v>
      </c>
      <c r="DS355">
        <v>0</v>
      </c>
      <c r="DT355">
        <v>0</v>
      </c>
      <c r="DU355">
        <v>0</v>
      </c>
      <c r="DV355">
        <v>0</v>
      </c>
      <c r="DW355">
        <v>0</v>
      </c>
      <c r="DX355">
        <v>1</v>
      </c>
      <c r="DY355">
        <v>0</v>
      </c>
      <c r="DZ355">
        <v>1007</v>
      </c>
      <c r="EA355">
        <v>0.93440000000000001</v>
      </c>
      <c r="EB355">
        <v>0.94126425319733398</v>
      </c>
      <c r="EC355">
        <v>0.93377169234791102</v>
      </c>
      <c r="ED355">
        <v>0.93434578867838203</v>
      </c>
      <c r="EE355">
        <f>SUM(Table1[[#This Row],[ratio_0]:[ratio_9]])</f>
        <v>280</v>
      </c>
      <c r="EF355" s="1">
        <f>(Table1[[#This Row],[predicted_0]]-Table1[[#This Row],[actual_0]])/Table1[[#This Row],[actual_0]]</f>
        <v>-7.1428571428571426E-3</v>
      </c>
      <c r="EG355" s="1">
        <f>(Table1[[#This Row],[predicted_1]]-Table1[[#This Row],[actual_1]])/Table1[[#This Row],[actual_1]]</f>
        <v>-1.9383259911894272E-2</v>
      </c>
      <c r="EH355" s="1">
        <f>(Table1[[#This Row],[predicted_2]]-Table1[[#This Row],[actual_2]])/Table1[[#This Row],[actual_2]]</f>
        <v>-0.1375968992248062</v>
      </c>
      <c r="EI355" s="1">
        <f>(Table1[[#This Row],[predicted_3]]-Table1[[#This Row],[actual_3]])/Table1[[#This Row],[actual_3]]</f>
        <v>-3.8613861386138613E-2</v>
      </c>
      <c r="EJ355" s="1">
        <f>(Table1[[#This Row],[predicted_4]]-Table1[[#This Row],[actual_4]])/Table1[[#This Row],[actual_4]]</f>
        <v>-0.18126272912423624</v>
      </c>
      <c r="EK355" s="1">
        <f>(Table1[[#This Row],[predicted_5]]-Table1[[#This Row],[actual_5]])/Table1[[#This Row],[actual_5]]</f>
        <v>1.0089686098654708E-2</v>
      </c>
      <c r="EL355" s="1">
        <f>(Table1[[#This Row],[predicted_6]]-Table1[[#This Row],[actual_6]])/Table1[[#This Row],[actual_6]]</f>
        <v>-5.0104384133611693E-2</v>
      </c>
      <c r="EM355" s="1">
        <f>(Table1[[#This Row],[predicted_7]]-Table1[[#This Row],[actual_7]])/Table1[[#This Row],[actual_7]]</f>
        <v>0.15272373540856032</v>
      </c>
      <c r="EN355" s="1">
        <f>(Table1[[#This Row],[predicted_8]]-Table1[[#This Row],[actual_8]])/Table1[[#This Row],[actual_8]]</f>
        <v>7.1868583162217657E-3</v>
      </c>
      <c r="EO355" s="1">
        <f>(Table1[[#This Row],[predicted_9]]-Table1[[#This Row],[actual_9]])/Table1[[#This Row],[actual_9]]</f>
        <v>0.26065411298315161</v>
      </c>
      <c r="EP355" s="1">
        <f>1+(Table1[[#This Row],[error_ratio_0]]-EF$2)</f>
        <v>0.99081632653061225</v>
      </c>
      <c r="EQ355" s="1">
        <f>1+(Table1[[#This Row],[error_ratio_1]]-EG$2)</f>
        <v>0.97885462555066083</v>
      </c>
      <c r="ER355" s="1">
        <f>1+(Table1[[#This Row],[error_ratio_2]]-EH$2)</f>
        <v>0.86724806201550386</v>
      </c>
      <c r="ES355" s="1">
        <f>1+(Table1[[#This Row],[error_ratio_3]]-EI$2)</f>
        <v>0.95148514851485144</v>
      </c>
      <c r="ET355" s="1">
        <f>1+(Table1[[#This Row],[error_ratio_4]]-EJ$2)</f>
        <v>0.81771894093686359</v>
      </c>
      <c r="EU355" s="1">
        <f>1+(Table1[[#This Row],[error_ratio_5]]-EK$2)</f>
        <v>1.0089686098654709</v>
      </c>
      <c r="EV355" s="1">
        <f>1+(Table1[[#This Row],[error_ratio_6]]-EL$2)</f>
        <v>0.95615866388308979</v>
      </c>
      <c r="EW355" s="1">
        <f>1+(Table1[[#This Row],[error_ratio_7]]-EM$2)</f>
        <v>1.1507782101167314</v>
      </c>
      <c r="EX355" s="1">
        <f>1+(Table1[[#This Row],[error_ratio_8]]-EN$2)</f>
        <v>1.0102669404517455</v>
      </c>
      <c r="EY355" s="1">
        <f>1+(Table1[[#This Row],[error_ratio_9]]-EO$2)</f>
        <v>1.2646184340931614</v>
      </c>
    </row>
    <row r="356" spans="1:155" x14ac:dyDescent="0.75">
      <c r="A356">
        <v>100</v>
      </c>
      <c r="B356">
        <v>100</v>
      </c>
      <c r="C356">
        <v>100</v>
      </c>
      <c r="D356">
        <v>100</v>
      </c>
      <c r="E356">
        <v>100</v>
      </c>
      <c r="F356">
        <v>100</v>
      </c>
      <c r="G356">
        <v>100</v>
      </c>
      <c r="H356">
        <v>10</v>
      </c>
      <c r="I356">
        <v>10</v>
      </c>
      <c r="J356">
        <v>100</v>
      </c>
      <c r="K356">
        <v>996</v>
      </c>
      <c r="L356">
        <v>1155</v>
      </c>
      <c r="M356">
        <v>1055</v>
      </c>
      <c r="N356">
        <v>1019</v>
      </c>
      <c r="O356">
        <v>990</v>
      </c>
      <c r="P356">
        <v>896</v>
      </c>
      <c r="Q356">
        <v>955</v>
      </c>
      <c r="R356">
        <v>985</v>
      </c>
      <c r="S356">
        <v>941</v>
      </c>
      <c r="T356">
        <v>1008</v>
      </c>
      <c r="U356">
        <v>980</v>
      </c>
      <c r="V356">
        <v>1135</v>
      </c>
      <c r="W356">
        <v>1032</v>
      </c>
      <c r="X356">
        <v>1010</v>
      </c>
      <c r="Y356">
        <v>982</v>
      </c>
      <c r="Z356">
        <v>892</v>
      </c>
      <c r="AA356">
        <v>958</v>
      </c>
      <c r="AB356">
        <v>1028</v>
      </c>
      <c r="AC356">
        <v>974</v>
      </c>
      <c r="AD356">
        <v>1009</v>
      </c>
      <c r="AE356">
        <v>975</v>
      </c>
      <c r="AF356">
        <v>0</v>
      </c>
      <c r="AG356">
        <v>0</v>
      </c>
      <c r="AH356">
        <v>0</v>
      </c>
      <c r="AI356">
        <v>0</v>
      </c>
      <c r="AJ356">
        <v>0</v>
      </c>
      <c r="AK356">
        <v>1</v>
      </c>
      <c r="AL356">
        <v>2</v>
      </c>
      <c r="AM356">
        <v>2</v>
      </c>
      <c r="AN356">
        <v>0</v>
      </c>
      <c r="AO356">
        <v>0</v>
      </c>
      <c r="AP356">
        <v>1133</v>
      </c>
      <c r="AQ356">
        <v>1</v>
      </c>
      <c r="AR356">
        <v>1</v>
      </c>
      <c r="AS356">
        <v>0</v>
      </c>
      <c r="AT356">
        <v>0</v>
      </c>
      <c r="AU356">
        <v>0</v>
      </c>
      <c r="AV356">
        <v>0</v>
      </c>
      <c r="AW356">
        <v>0</v>
      </c>
      <c r="AX356">
        <v>0</v>
      </c>
      <c r="AY356">
        <v>2</v>
      </c>
      <c r="AZ356">
        <v>3</v>
      </c>
      <c r="BA356">
        <v>1020</v>
      </c>
      <c r="BB356">
        <v>3</v>
      </c>
      <c r="BC356">
        <v>1</v>
      </c>
      <c r="BD356">
        <v>0</v>
      </c>
      <c r="BE356">
        <v>0</v>
      </c>
      <c r="BF356">
        <v>2</v>
      </c>
      <c r="BG356">
        <v>1</v>
      </c>
      <c r="BH356">
        <v>0</v>
      </c>
      <c r="BI356">
        <v>1</v>
      </c>
      <c r="BJ356">
        <v>0</v>
      </c>
      <c r="BK356">
        <v>2</v>
      </c>
      <c r="BL356">
        <v>998</v>
      </c>
      <c r="BM356">
        <v>0</v>
      </c>
      <c r="BN356">
        <v>4</v>
      </c>
      <c r="BO356">
        <v>0</v>
      </c>
      <c r="BP356">
        <v>2</v>
      </c>
      <c r="BQ356">
        <v>2</v>
      </c>
      <c r="BR356">
        <v>1</v>
      </c>
      <c r="BS356">
        <v>0</v>
      </c>
      <c r="BT356">
        <v>0</v>
      </c>
      <c r="BU356">
        <v>1</v>
      </c>
      <c r="BV356">
        <v>0</v>
      </c>
      <c r="BW356">
        <v>977</v>
      </c>
      <c r="BX356">
        <v>0</v>
      </c>
      <c r="BY356">
        <v>3</v>
      </c>
      <c r="BZ356">
        <v>0</v>
      </c>
      <c r="CA356">
        <v>0</v>
      </c>
      <c r="CB356">
        <v>1</v>
      </c>
      <c r="CC356">
        <v>2</v>
      </c>
      <c r="CD356">
        <v>0</v>
      </c>
      <c r="CE356">
        <v>0</v>
      </c>
      <c r="CF356">
        <v>6</v>
      </c>
      <c r="CG356">
        <v>0</v>
      </c>
      <c r="CH356">
        <v>882</v>
      </c>
      <c r="CI356">
        <v>1</v>
      </c>
      <c r="CJ356">
        <v>1</v>
      </c>
      <c r="CK356">
        <v>0</v>
      </c>
      <c r="CL356">
        <v>0</v>
      </c>
      <c r="CM356">
        <v>7</v>
      </c>
      <c r="CN356">
        <v>2</v>
      </c>
      <c r="CO356">
        <v>1</v>
      </c>
      <c r="CP356">
        <v>0</v>
      </c>
      <c r="CQ356">
        <v>1</v>
      </c>
      <c r="CR356">
        <v>1</v>
      </c>
      <c r="CS356">
        <v>946</v>
      </c>
      <c r="CT356">
        <v>0</v>
      </c>
      <c r="CU356">
        <v>0</v>
      </c>
      <c r="CV356">
        <v>0</v>
      </c>
      <c r="CW356">
        <v>1</v>
      </c>
      <c r="CX356">
        <v>13</v>
      </c>
      <c r="CY356">
        <v>22</v>
      </c>
      <c r="CZ356">
        <v>7</v>
      </c>
      <c r="DA356">
        <v>4</v>
      </c>
      <c r="DB356">
        <v>1</v>
      </c>
      <c r="DC356">
        <v>0</v>
      </c>
      <c r="DD356">
        <v>969</v>
      </c>
      <c r="DE356">
        <v>0</v>
      </c>
      <c r="DF356">
        <v>11</v>
      </c>
      <c r="DG356">
        <v>7</v>
      </c>
      <c r="DH356">
        <v>1</v>
      </c>
      <c r="DI356">
        <v>6</v>
      </c>
      <c r="DJ356">
        <v>4</v>
      </c>
      <c r="DK356">
        <v>2</v>
      </c>
      <c r="DL356">
        <v>3</v>
      </c>
      <c r="DM356">
        <v>4</v>
      </c>
      <c r="DN356">
        <v>6</v>
      </c>
      <c r="DO356">
        <v>936</v>
      </c>
      <c r="DP356">
        <v>5</v>
      </c>
      <c r="DQ356">
        <v>1</v>
      </c>
      <c r="DR356">
        <v>3</v>
      </c>
      <c r="DS356">
        <v>2</v>
      </c>
      <c r="DT356">
        <v>0</v>
      </c>
      <c r="DU356">
        <v>5</v>
      </c>
      <c r="DV356">
        <v>5</v>
      </c>
      <c r="DW356">
        <v>0</v>
      </c>
      <c r="DX356">
        <v>3</v>
      </c>
      <c r="DY356">
        <v>0</v>
      </c>
      <c r="DZ356">
        <v>990</v>
      </c>
      <c r="EA356">
        <v>0.98260000000000003</v>
      </c>
      <c r="EB356">
        <v>0.98284895576450504</v>
      </c>
      <c r="EC356">
        <v>0.98255603463927998</v>
      </c>
      <c r="ED356">
        <v>0.98259928845659295</v>
      </c>
      <c r="EE356">
        <f>SUM(Table1[[#This Row],[ratio_0]:[ratio_9]])</f>
        <v>820</v>
      </c>
      <c r="EF356" s="1">
        <f>(Table1[[#This Row],[predicted_0]]-Table1[[#This Row],[actual_0]])/Table1[[#This Row],[actual_0]]</f>
        <v>1.6326530612244899E-2</v>
      </c>
      <c r="EG356" s="1">
        <f>(Table1[[#This Row],[predicted_1]]-Table1[[#This Row],[actual_1]])/Table1[[#This Row],[actual_1]]</f>
        <v>1.7621145374449341E-2</v>
      </c>
      <c r="EH356" s="1">
        <f>(Table1[[#This Row],[predicted_2]]-Table1[[#This Row],[actual_2]])/Table1[[#This Row],[actual_2]]</f>
        <v>2.2286821705426358E-2</v>
      </c>
      <c r="EI356" s="1">
        <f>(Table1[[#This Row],[predicted_3]]-Table1[[#This Row],[actual_3]])/Table1[[#This Row],[actual_3]]</f>
        <v>8.9108910891089101E-3</v>
      </c>
      <c r="EJ356" s="1">
        <f>(Table1[[#This Row],[predicted_4]]-Table1[[#This Row],[actual_4]])/Table1[[#This Row],[actual_4]]</f>
        <v>8.1466395112016286E-3</v>
      </c>
      <c r="EK356" s="1">
        <f>(Table1[[#This Row],[predicted_5]]-Table1[[#This Row],[actual_5]])/Table1[[#This Row],[actual_5]]</f>
        <v>4.4843049327354259E-3</v>
      </c>
      <c r="EL356" s="1">
        <f>(Table1[[#This Row],[predicted_6]]-Table1[[#This Row],[actual_6]])/Table1[[#This Row],[actual_6]]</f>
        <v>-3.1315240083507308E-3</v>
      </c>
      <c r="EM356" s="1">
        <f>(Table1[[#This Row],[predicted_7]]-Table1[[#This Row],[actual_7]])/Table1[[#This Row],[actual_7]]</f>
        <v>-4.1828793774319063E-2</v>
      </c>
      <c r="EN356" s="1">
        <f>(Table1[[#This Row],[predicted_8]]-Table1[[#This Row],[actual_8]])/Table1[[#This Row],[actual_8]]</f>
        <v>-3.3880903490759756E-2</v>
      </c>
      <c r="EO356" s="1">
        <f>(Table1[[#This Row],[predicted_9]]-Table1[[#This Row],[actual_9]])/Table1[[#This Row],[actual_9]]</f>
        <v>-9.9108027750247768E-4</v>
      </c>
      <c r="EP356" s="1">
        <f>1+(Table1[[#This Row],[error_ratio_0]]-EF$2)</f>
        <v>1.0142857142857142</v>
      </c>
      <c r="EQ356" s="1">
        <f>1+(Table1[[#This Row],[error_ratio_1]]-EG$2)</f>
        <v>1.0158590308370044</v>
      </c>
      <c r="ER356" s="1">
        <f>1+(Table1[[#This Row],[error_ratio_2]]-EH$2)</f>
        <v>1.0271317829457365</v>
      </c>
      <c r="ES356" s="1">
        <f>1+(Table1[[#This Row],[error_ratio_3]]-EI$2)</f>
        <v>0.99900990099009901</v>
      </c>
      <c r="ET356" s="1">
        <f>1+(Table1[[#This Row],[error_ratio_4]]-EJ$2)</f>
        <v>1.0071283095723014</v>
      </c>
      <c r="EU356" s="1">
        <f>1+(Table1[[#This Row],[error_ratio_5]]-EK$2)</f>
        <v>1.0033632286995515</v>
      </c>
      <c r="EV356" s="1">
        <f>1+(Table1[[#This Row],[error_ratio_6]]-EL$2)</f>
        <v>1.0031315240083507</v>
      </c>
      <c r="EW356" s="1">
        <f>1+(Table1[[#This Row],[error_ratio_7]]-EM$2)</f>
        <v>0.95622568093385218</v>
      </c>
      <c r="EX356" s="1">
        <f>1+(Table1[[#This Row],[error_ratio_8]]-EN$2)</f>
        <v>0.9691991786447639</v>
      </c>
      <c r="EY356" s="1">
        <f>1+(Table1[[#This Row],[error_ratio_9]]-EO$2)</f>
        <v>1.0029732408325074</v>
      </c>
    </row>
    <row r="357" spans="1:155" x14ac:dyDescent="0.75">
      <c r="A357">
        <v>10</v>
      </c>
      <c r="B357">
        <v>100</v>
      </c>
      <c r="C357">
        <v>100</v>
      </c>
      <c r="D357">
        <v>100</v>
      </c>
      <c r="E357">
        <v>100</v>
      </c>
      <c r="F357">
        <v>100</v>
      </c>
      <c r="G357">
        <v>100</v>
      </c>
      <c r="H357">
        <v>10</v>
      </c>
      <c r="I357">
        <v>10</v>
      </c>
      <c r="J357">
        <v>100</v>
      </c>
      <c r="K357">
        <v>977</v>
      </c>
      <c r="L357">
        <v>1149</v>
      </c>
      <c r="M357">
        <v>1018</v>
      </c>
      <c r="N357">
        <v>1084</v>
      </c>
      <c r="O357">
        <v>996</v>
      </c>
      <c r="P357">
        <v>914</v>
      </c>
      <c r="Q357">
        <v>934</v>
      </c>
      <c r="R357">
        <v>1008</v>
      </c>
      <c r="S357">
        <v>868</v>
      </c>
      <c r="T357">
        <v>1052</v>
      </c>
      <c r="U357">
        <v>980</v>
      </c>
      <c r="V357">
        <v>1135</v>
      </c>
      <c r="W357">
        <v>1032</v>
      </c>
      <c r="X357">
        <v>1010</v>
      </c>
      <c r="Y357">
        <v>982</v>
      </c>
      <c r="Z357">
        <v>892</v>
      </c>
      <c r="AA357">
        <v>958</v>
      </c>
      <c r="AB357">
        <v>1028</v>
      </c>
      <c r="AC357">
        <v>974</v>
      </c>
      <c r="AD357">
        <v>1009</v>
      </c>
      <c r="AE357">
        <v>963</v>
      </c>
      <c r="AF357">
        <v>2</v>
      </c>
      <c r="AG357">
        <v>1</v>
      </c>
      <c r="AH357">
        <v>2</v>
      </c>
      <c r="AI357">
        <v>2</v>
      </c>
      <c r="AJ357">
        <v>3</v>
      </c>
      <c r="AK357">
        <v>1</v>
      </c>
      <c r="AL357">
        <v>1</v>
      </c>
      <c r="AM357">
        <v>0</v>
      </c>
      <c r="AN357">
        <v>5</v>
      </c>
      <c r="AO357">
        <v>0</v>
      </c>
      <c r="AP357">
        <v>1130</v>
      </c>
      <c r="AQ357">
        <v>0</v>
      </c>
      <c r="AR357">
        <v>4</v>
      </c>
      <c r="AS357">
        <v>0</v>
      </c>
      <c r="AT357">
        <v>1</v>
      </c>
      <c r="AU357">
        <v>0</v>
      </c>
      <c r="AV357">
        <v>0</v>
      </c>
      <c r="AW357">
        <v>0</v>
      </c>
      <c r="AX357">
        <v>0</v>
      </c>
      <c r="AY357">
        <v>1</v>
      </c>
      <c r="AZ357">
        <v>5</v>
      </c>
      <c r="BA357">
        <v>1000</v>
      </c>
      <c r="BB357">
        <v>9</v>
      </c>
      <c r="BC357">
        <v>1</v>
      </c>
      <c r="BD357">
        <v>0</v>
      </c>
      <c r="BE357">
        <v>0</v>
      </c>
      <c r="BF357">
        <v>13</v>
      </c>
      <c r="BG357">
        <v>1</v>
      </c>
      <c r="BH357">
        <v>2</v>
      </c>
      <c r="BI357">
        <v>0</v>
      </c>
      <c r="BJ357">
        <v>0</v>
      </c>
      <c r="BK357">
        <v>1</v>
      </c>
      <c r="BL357">
        <v>1006</v>
      </c>
      <c r="BM357">
        <v>0</v>
      </c>
      <c r="BN357">
        <v>1</v>
      </c>
      <c r="BO357">
        <v>0</v>
      </c>
      <c r="BP357">
        <v>1</v>
      </c>
      <c r="BQ357">
        <v>0</v>
      </c>
      <c r="BR357">
        <v>1</v>
      </c>
      <c r="BS357">
        <v>0</v>
      </c>
      <c r="BT357">
        <v>0</v>
      </c>
      <c r="BU357">
        <v>1</v>
      </c>
      <c r="BV357">
        <v>0</v>
      </c>
      <c r="BW357">
        <v>977</v>
      </c>
      <c r="BX357">
        <v>0</v>
      </c>
      <c r="BY357">
        <v>0</v>
      </c>
      <c r="BZ357">
        <v>0</v>
      </c>
      <c r="CA357">
        <v>0</v>
      </c>
      <c r="CB357">
        <v>4</v>
      </c>
      <c r="CC357">
        <v>0</v>
      </c>
      <c r="CD357">
        <v>0</v>
      </c>
      <c r="CE357">
        <v>0</v>
      </c>
      <c r="CF357">
        <v>9</v>
      </c>
      <c r="CG357">
        <v>0</v>
      </c>
      <c r="CH357">
        <v>880</v>
      </c>
      <c r="CI357">
        <v>1</v>
      </c>
      <c r="CJ357">
        <v>0</v>
      </c>
      <c r="CK357">
        <v>0</v>
      </c>
      <c r="CL357">
        <v>2</v>
      </c>
      <c r="CM357">
        <v>6</v>
      </c>
      <c r="CN357">
        <v>2</v>
      </c>
      <c r="CO357">
        <v>0</v>
      </c>
      <c r="CP357">
        <v>1</v>
      </c>
      <c r="CQ357">
        <v>3</v>
      </c>
      <c r="CR357">
        <v>14</v>
      </c>
      <c r="CS357">
        <v>932</v>
      </c>
      <c r="CT357">
        <v>0</v>
      </c>
      <c r="CU357">
        <v>0</v>
      </c>
      <c r="CV357">
        <v>0</v>
      </c>
      <c r="CW357">
        <v>1</v>
      </c>
      <c r="CX357">
        <v>8</v>
      </c>
      <c r="CY357">
        <v>6</v>
      </c>
      <c r="CZ357">
        <v>4</v>
      </c>
      <c r="DA357">
        <v>2</v>
      </c>
      <c r="DB357">
        <v>0</v>
      </c>
      <c r="DC357">
        <v>0</v>
      </c>
      <c r="DD357">
        <v>985</v>
      </c>
      <c r="DE357">
        <v>1</v>
      </c>
      <c r="DF357">
        <v>21</v>
      </c>
      <c r="DG357">
        <v>5</v>
      </c>
      <c r="DH357">
        <v>1</v>
      </c>
      <c r="DI357">
        <v>9</v>
      </c>
      <c r="DJ357">
        <v>46</v>
      </c>
      <c r="DK357">
        <v>3</v>
      </c>
      <c r="DL357">
        <v>15</v>
      </c>
      <c r="DM357">
        <v>0</v>
      </c>
      <c r="DN357">
        <v>6</v>
      </c>
      <c r="DO357">
        <v>866</v>
      </c>
      <c r="DP357">
        <v>23</v>
      </c>
      <c r="DQ357">
        <v>1</v>
      </c>
      <c r="DR357">
        <v>1</v>
      </c>
      <c r="DS357">
        <v>0</v>
      </c>
      <c r="DT357">
        <v>3</v>
      </c>
      <c r="DU357">
        <v>8</v>
      </c>
      <c r="DV357">
        <v>0</v>
      </c>
      <c r="DW357">
        <v>0</v>
      </c>
      <c r="DX357">
        <v>2</v>
      </c>
      <c r="DY357">
        <v>0</v>
      </c>
      <c r="DZ357">
        <v>994</v>
      </c>
      <c r="EA357">
        <v>0.97330000000000005</v>
      </c>
      <c r="EB357">
        <v>0.97408254076495504</v>
      </c>
      <c r="EC357">
        <v>0.97300172328558299</v>
      </c>
      <c r="ED357">
        <v>0.97301446234018296</v>
      </c>
      <c r="EE357">
        <f>SUM(Table1[[#This Row],[ratio_0]:[ratio_9]])</f>
        <v>730</v>
      </c>
      <c r="EF357" s="1">
        <f>(Table1[[#This Row],[predicted_0]]-Table1[[#This Row],[actual_0]])/Table1[[#This Row],[actual_0]]</f>
        <v>-3.0612244897959182E-3</v>
      </c>
      <c r="EG357" s="1">
        <f>(Table1[[#This Row],[predicted_1]]-Table1[[#This Row],[actual_1]])/Table1[[#This Row],[actual_1]]</f>
        <v>1.2334801762114538E-2</v>
      </c>
      <c r="EH357" s="1">
        <f>(Table1[[#This Row],[predicted_2]]-Table1[[#This Row],[actual_2]])/Table1[[#This Row],[actual_2]]</f>
        <v>-1.3565891472868217E-2</v>
      </c>
      <c r="EI357" s="1">
        <f>(Table1[[#This Row],[predicted_3]]-Table1[[#This Row],[actual_3]])/Table1[[#This Row],[actual_3]]</f>
        <v>7.3267326732673263E-2</v>
      </c>
      <c r="EJ357" s="1">
        <f>(Table1[[#This Row],[predicted_4]]-Table1[[#This Row],[actual_4]])/Table1[[#This Row],[actual_4]]</f>
        <v>1.4256619144602852E-2</v>
      </c>
      <c r="EK357" s="1">
        <f>(Table1[[#This Row],[predicted_5]]-Table1[[#This Row],[actual_5]])/Table1[[#This Row],[actual_5]]</f>
        <v>2.4663677130044841E-2</v>
      </c>
      <c r="EL357" s="1">
        <f>(Table1[[#This Row],[predicted_6]]-Table1[[#This Row],[actual_6]])/Table1[[#This Row],[actual_6]]</f>
        <v>-2.5052192066805846E-2</v>
      </c>
      <c r="EM357" s="1">
        <f>(Table1[[#This Row],[predicted_7]]-Table1[[#This Row],[actual_7]])/Table1[[#This Row],[actual_7]]</f>
        <v>-1.9455252918287938E-2</v>
      </c>
      <c r="EN357" s="1">
        <f>(Table1[[#This Row],[predicted_8]]-Table1[[#This Row],[actual_8]])/Table1[[#This Row],[actual_8]]</f>
        <v>-0.10882956878850103</v>
      </c>
      <c r="EO357" s="1">
        <f>(Table1[[#This Row],[predicted_9]]-Table1[[#This Row],[actual_9]])/Table1[[#This Row],[actual_9]]</f>
        <v>4.261645193260654E-2</v>
      </c>
      <c r="EP357" s="1">
        <f>1+(Table1[[#This Row],[error_ratio_0]]-EF$2)</f>
        <v>0.99489795918367352</v>
      </c>
      <c r="EQ357" s="1">
        <f>1+(Table1[[#This Row],[error_ratio_1]]-EG$2)</f>
        <v>1.0105726872246696</v>
      </c>
      <c r="ER357" s="1">
        <f>1+(Table1[[#This Row],[error_ratio_2]]-EH$2)</f>
        <v>0.99127906976744184</v>
      </c>
      <c r="ES357" s="1">
        <f>1+(Table1[[#This Row],[error_ratio_3]]-EI$2)</f>
        <v>1.0633663366336634</v>
      </c>
      <c r="ET357" s="1">
        <f>1+(Table1[[#This Row],[error_ratio_4]]-EJ$2)</f>
        <v>1.0132382892057026</v>
      </c>
      <c r="EU357" s="1">
        <f>1+(Table1[[#This Row],[error_ratio_5]]-EK$2)</f>
        <v>1.0235426008968609</v>
      </c>
      <c r="EV357" s="1">
        <f>1+(Table1[[#This Row],[error_ratio_6]]-EL$2)</f>
        <v>0.98121085594989566</v>
      </c>
      <c r="EW357" s="1">
        <f>1+(Table1[[#This Row],[error_ratio_7]]-EM$2)</f>
        <v>0.97859922178988323</v>
      </c>
      <c r="EX357" s="1">
        <f>1+(Table1[[#This Row],[error_ratio_8]]-EN$2)</f>
        <v>0.89425051334702255</v>
      </c>
      <c r="EY357" s="1">
        <f>1+(Table1[[#This Row],[error_ratio_9]]-EO$2)</f>
        <v>1.0465807730426164</v>
      </c>
    </row>
    <row r="358" spans="1:155" x14ac:dyDescent="0.75">
      <c r="A358">
        <v>100</v>
      </c>
      <c r="B358">
        <v>10</v>
      </c>
      <c r="C358">
        <v>100</v>
      </c>
      <c r="D358">
        <v>100</v>
      </c>
      <c r="E358">
        <v>100</v>
      </c>
      <c r="F358">
        <v>100</v>
      </c>
      <c r="G358">
        <v>100</v>
      </c>
      <c r="H358">
        <v>10</v>
      </c>
      <c r="I358">
        <v>10</v>
      </c>
      <c r="J358">
        <v>100</v>
      </c>
      <c r="K358">
        <v>985</v>
      </c>
      <c r="L358">
        <v>1116</v>
      </c>
      <c r="M358">
        <v>1077</v>
      </c>
      <c r="N358">
        <v>1083</v>
      </c>
      <c r="O358">
        <v>993</v>
      </c>
      <c r="P358">
        <v>878</v>
      </c>
      <c r="Q358">
        <v>981</v>
      </c>
      <c r="R358">
        <v>939</v>
      </c>
      <c r="S358">
        <v>939</v>
      </c>
      <c r="T358">
        <v>1009</v>
      </c>
      <c r="U358">
        <v>980</v>
      </c>
      <c r="V358">
        <v>1135</v>
      </c>
      <c r="W358">
        <v>1032</v>
      </c>
      <c r="X358">
        <v>1010</v>
      </c>
      <c r="Y358">
        <v>982</v>
      </c>
      <c r="Z358">
        <v>892</v>
      </c>
      <c r="AA358">
        <v>958</v>
      </c>
      <c r="AB358">
        <v>1028</v>
      </c>
      <c r="AC358">
        <v>974</v>
      </c>
      <c r="AD358">
        <v>1009</v>
      </c>
      <c r="AE358">
        <v>973</v>
      </c>
      <c r="AF358">
        <v>0</v>
      </c>
      <c r="AG358">
        <v>2</v>
      </c>
      <c r="AH358">
        <v>0</v>
      </c>
      <c r="AI358">
        <v>0</v>
      </c>
      <c r="AJ358">
        <v>1</v>
      </c>
      <c r="AK358">
        <v>2</v>
      </c>
      <c r="AL358">
        <v>1</v>
      </c>
      <c r="AM358">
        <v>0</v>
      </c>
      <c r="AN358">
        <v>1</v>
      </c>
      <c r="AO358">
        <v>0</v>
      </c>
      <c r="AP358">
        <v>1111</v>
      </c>
      <c r="AQ358">
        <v>6</v>
      </c>
      <c r="AR358">
        <v>4</v>
      </c>
      <c r="AS358">
        <v>0</v>
      </c>
      <c r="AT358">
        <v>2</v>
      </c>
      <c r="AU358">
        <v>7</v>
      </c>
      <c r="AV358">
        <v>0</v>
      </c>
      <c r="AW358">
        <v>4</v>
      </c>
      <c r="AX358">
        <v>1</v>
      </c>
      <c r="AY358">
        <v>1</v>
      </c>
      <c r="AZ358">
        <v>0</v>
      </c>
      <c r="BA358">
        <v>1022</v>
      </c>
      <c r="BB358">
        <v>1</v>
      </c>
      <c r="BC358">
        <v>4</v>
      </c>
      <c r="BD358">
        <v>0</v>
      </c>
      <c r="BE358">
        <v>1</v>
      </c>
      <c r="BF358">
        <v>0</v>
      </c>
      <c r="BG358">
        <v>3</v>
      </c>
      <c r="BH358">
        <v>0</v>
      </c>
      <c r="BI358">
        <v>0</v>
      </c>
      <c r="BJ358">
        <v>0</v>
      </c>
      <c r="BK358">
        <v>1</v>
      </c>
      <c r="BL358">
        <v>1009</v>
      </c>
      <c r="BM358">
        <v>0</v>
      </c>
      <c r="BN358">
        <v>0</v>
      </c>
      <c r="BO358">
        <v>0</v>
      </c>
      <c r="BP358">
        <v>0</v>
      </c>
      <c r="BQ358">
        <v>0</v>
      </c>
      <c r="BR358">
        <v>0</v>
      </c>
      <c r="BS358">
        <v>0</v>
      </c>
      <c r="BT358">
        <v>0</v>
      </c>
      <c r="BU358">
        <v>1</v>
      </c>
      <c r="BV358">
        <v>0</v>
      </c>
      <c r="BW358">
        <v>976</v>
      </c>
      <c r="BX358">
        <v>0</v>
      </c>
      <c r="BY358">
        <v>1</v>
      </c>
      <c r="BZ358">
        <v>0</v>
      </c>
      <c r="CA358">
        <v>0</v>
      </c>
      <c r="CB358">
        <v>4</v>
      </c>
      <c r="CC358">
        <v>1</v>
      </c>
      <c r="CD358">
        <v>0</v>
      </c>
      <c r="CE358">
        <v>0</v>
      </c>
      <c r="CF358">
        <v>19</v>
      </c>
      <c r="CG358">
        <v>0</v>
      </c>
      <c r="CH358">
        <v>869</v>
      </c>
      <c r="CI358">
        <v>3</v>
      </c>
      <c r="CJ358">
        <v>0</v>
      </c>
      <c r="CK358">
        <v>0</v>
      </c>
      <c r="CL358">
        <v>0</v>
      </c>
      <c r="CM358">
        <v>5</v>
      </c>
      <c r="CN358">
        <v>1</v>
      </c>
      <c r="CO358">
        <v>0</v>
      </c>
      <c r="CP358">
        <v>0</v>
      </c>
      <c r="CQ358">
        <v>1</v>
      </c>
      <c r="CR358">
        <v>1</v>
      </c>
      <c r="CS358">
        <v>950</v>
      </c>
      <c r="CT358">
        <v>0</v>
      </c>
      <c r="CU358">
        <v>0</v>
      </c>
      <c r="CV358">
        <v>0</v>
      </c>
      <c r="CW358">
        <v>1</v>
      </c>
      <c r="CX358">
        <v>2</v>
      </c>
      <c r="CY358">
        <v>40</v>
      </c>
      <c r="CZ358">
        <v>31</v>
      </c>
      <c r="DA358">
        <v>3</v>
      </c>
      <c r="DB358">
        <v>1</v>
      </c>
      <c r="DC358">
        <v>0</v>
      </c>
      <c r="DD358">
        <v>936</v>
      </c>
      <c r="DE358">
        <v>3</v>
      </c>
      <c r="DF358">
        <v>11</v>
      </c>
      <c r="DG358">
        <v>3</v>
      </c>
      <c r="DH358">
        <v>0</v>
      </c>
      <c r="DI358">
        <v>4</v>
      </c>
      <c r="DJ358">
        <v>12</v>
      </c>
      <c r="DK358">
        <v>3</v>
      </c>
      <c r="DL358">
        <v>2</v>
      </c>
      <c r="DM358">
        <v>16</v>
      </c>
      <c r="DN358">
        <v>1</v>
      </c>
      <c r="DO358">
        <v>929</v>
      </c>
      <c r="DP358">
        <v>4</v>
      </c>
      <c r="DQ358">
        <v>1</v>
      </c>
      <c r="DR358">
        <v>2</v>
      </c>
      <c r="DS358">
        <v>1</v>
      </c>
      <c r="DT358">
        <v>7</v>
      </c>
      <c r="DU358">
        <v>6</v>
      </c>
      <c r="DV358">
        <v>2</v>
      </c>
      <c r="DW358">
        <v>1</v>
      </c>
      <c r="DX358">
        <v>1</v>
      </c>
      <c r="DY358">
        <v>0</v>
      </c>
      <c r="DZ358">
        <v>988</v>
      </c>
      <c r="EA358">
        <v>0.97629999999999995</v>
      </c>
      <c r="EB358">
        <v>0.97703124573790401</v>
      </c>
      <c r="EC358">
        <v>0.97642782019471797</v>
      </c>
      <c r="ED358">
        <v>0.9763095236007</v>
      </c>
      <c r="EE358">
        <f>SUM(Table1[[#This Row],[ratio_0]:[ratio_9]])</f>
        <v>730</v>
      </c>
      <c r="EF358" s="1">
        <f>(Table1[[#This Row],[predicted_0]]-Table1[[#This Row],[actual_0]])/Table1[[#This Row],[actual_0]]</f>
        <v>5.1020408163265302E-3</v>
      </c>
      <c r="EG358" s="1">
        <f>(Table1[[#This Row],[predicted_1]]-Table1[[#This Row],[actual_1]])/Table1[[#This Row],[actual_1]]</f>
        <v>-1.6740088105726872E-2</v>
      </c>
      <c r="EH358" s="1">
        <f>(Table1[[#This Row],[predicted_2]]-Table1[[#This Row],[actual_2]])/Table1[[#This Row],[actual_2]]</f>
        <v>4.3604651162790699E-2</v>
      </c>
      <c r="EI358" s="1">
        <f>(Table1[[#This Row],[predicted_3]]-Table1[[#This Row],[actual_3]])/Table1[[#This Row],[actual_3]]</f>
        <v>7.2277227722772272E-2</v>
      </c>
      <c r="EJ358" s="1">
        <f>(Table1[[#This Row],[predicted_4]]-Table1[[#This Row],[actual_4]])/Table1[[#This Row],[actual_4]]</f>
        <v>1.1201629327902239E-2</v>
      </c>
      <c r="EK358" s="1">
        <f>(Table1[[#This Row],[predicted_5]]-Table1[[#This Row],[actual_5]])/Table1[[#This Row],[actual_5]]</f>
        <v>-1.5695067264573991E-2</v>
      </c>
      <c r="EL358" s="1">
        <f>(Table1[[#This Row],[predicted_6]]-Table1[[#This Row],[actual_6]])/Table1[[#This Row],[actual_6]]</f>
        <v>2.4008350730688934E-2</v>
      </c>
      <c r="EM358" s="1">
        <f>(Table1[[#This Row],[predicted_7]]-Table1[[#This Row],[actual_7]])/Table1[[#This Row],[actual_7]]</f>
        <v>-8.6575875486381321E-2</v>
      </c>
      <c r="EN358" s="1">
        <f>(Table1[[#This Row],[predicted_8]]-Table1[[#This Row],[actual_8]])/Table1[[#This Row],[actual_8]]</f>
        <v>-3.5934291581108828E-2</v>
      </c>
      <c r="EO358" s="1">
        <f>(Table1[[#This Row],[predicted_9]]-Table1[[#This Row],[actual_9]])/Table1[[#This Row],[actual_9]]</f>
        <v>0</v>
      </c>
      <c r="EP358" s="1">
        <f>1+(Table1[[#This Row],[error_ratio_0]]-EF$2)</f>
        <v>1.0030612244897958</v>
      </c>
      <c r="EQ358" s="1">
        <f>1+(Table1[[#This Row],[error_ratio_1]]-EG$2)</f>
        <v>0.98149779735682818</v>
      </c>
      <c r="ER358" s="1">
        <f>1+(Table1[[#This Row],[error_ratio_2]]-EH$2)</f>
        <v>1.0484496124031009</v>
      </c>
      <c r="ES358" s="1">
        <f>1+(Table1[[#This Row],[error_ratio_3]]-EI$2)</f>
        <v>1.0623762376237624</v>
      </c>
      <c r="ET358" s="1">
        <f>1+(Table1[[#This Row],[error_ratio_4]]-EJ$2)</f>
        <v>1.0101832993890021</v>
      </c>
      <c r="EU358" s="1">
        <f>1+(Table1[[#This Row],[error_ratio_5]]-EK$2)</f>
        <v>0.98318385650224216</v>
      </c>
      <c r="EV358" s="1">
        <f>1+(Table1[[#This Row],[error_ratio_6]]-EL$2)</f>
        <v>1.0302713987473904</v>
      </c>
      <c r="EW358" s="1">
        <f>1+(Table1[[#This Row],[error_ratio_7]]-EM$2)</f>
        <v>0.91147859922178986</v>
      </c>
      <c r="EX358" s="1">
        <f>1+(Table1[[#This Row],[error_ratio_8]]-EN$2)</f>
        <v>0.96714579055441474</v>
      </c>
      <c r="EY358" s="1">
        <f>1+(Table1[[#This Row],[error_ratio_9]]-EO$2)</f>
        <v>1.00396432111001</v>
      </c>
    </row>
    <row r="359" spans="1:155" x14ac:dyDescent="0.75">
      <c r="A359">
        <v>10</v>
      </c>
      <c r="B359">
        <v>10</v>
      </c>
      <c r="C359">
        <v>100</v>
      </c>
      <c r="D359">
        <v>100</v>
      </c>
      <c r="E359">
        <v>100</v>
      </c>
      <c r="F359">
        <v>100</v>
      </c>
      <c r="G359">
        <v>100</v>
      </c>
      <c r="H359">
        <v>10</v>
      </c>
      <c r="I359">
        <v>10</v>
      </c>
      <c r="J359">
        <v>100</v>
      </c>
      <c r="K359">
        <v>955</v>
      </c>
      <c r="L359">
        <v>1122</v>
      </c>
      <c r="M359">
        <v>1126</v>
      </c>
      <c r="N359">
        <v>1020</v>
      </c>
      <c r="O359">
        <v>989</v>
      </c>
      <c r="P359">
        <v>954</v>
      </c>
      <c r="Q359">
        <v>974</v>
      </c>
      <c r="R359">
        <v>966</v>
      </c>
      <c r="S359">
        <v>881</v>
      </c>
      <c r="T359">
        <v>1013</v>
      </c>
      <c r="U359">
        <v>980</v>
      </c>
      <c r="V359">
        <v>1135</v>
      </c>
      <c r="W359">
        <v>1032</v>
      </c>
      <c r="X359">
        <v>1010</v>
      </c>
      <c r="Y359">
        <v>982</v>
      </c>
      <c r="Z359">
        <v>892</v>
      </c>
      <c r="AA359">
        <v>958</v>
      </c>
      <c r="AB359">
        <v>1028</v>
      </c>
      <c r="AC359">
        <v>974</v>
      </c>
      <c r="AD359">
        <v>1009</v>
      </c>
      <c r="AE359">
        <v>946</v>
      </c>
      <c r="AF359">
        <v>0</v>
      </c>
      <c r="AG359">
        <v>8</v>
      </c>
      <c r="AH359">
        <v>0</v>
      </c>
      <c r="AI359">
        <v>0</v>
      </c>
      <c r="AJ359">
        <v>9</v>
      </c>
      <c r="AK359">
        <v>5</v>
      </c>
      <c r="AL359">
        <v>1</v>
      </c>
      <c r="AM359">
        <v>1</v>
      </c>
      <c r="AN359">
        <v>10</v>
      </c>
      <c r="AO359">
        <v>0</v>
      </c>
      <c r="AP359">
        <v>1118</v>
      </c>
      <c r="AQ359">
        <v>8</v>
      </c>
      <c r="AR359">
        <v>0</v>
      </c>
      <c r="AS359">
        <v>0</v>
      </c>
      <c r="AT359">
        <v>4</v>
      </c>
      <c r="AU359">
        <v>4</v>
      </c>
      <c r="AV359">
        <v>0</v>
      </c>
      <c r="AW359">
        <v>1</v>
      </c>
      <c r="AX359">
        <v>0</v>
      </c>
      <c r="AY359">
        <v>1</v>
      </c>
      <c r="AZ359">
        <v>0</v>
      </c>
      <c r="BA359">
        <v>1027</v>
      </c>
      <c r="BB359">
        <v>0</v>
      </c>
      <c r="BC359">
        <v>1</v>
      </c>
      <c r="BD359">
        <v>0</v>
      </c>
      <c r="BE359">
        <v>0</v>
      </c>
      <c r="BF359">
        <v>3</v>
      </c>
      <c r="BG359">
        <v>0</v>
      </c>
      <c r="BH359">
        <v>0</v>
      </c>
      <c r="BI359">
        <v>0</v>
      </c>
      <c r="BJ359">
        <v>0</v>
      </c>
      <c r="BK359">
        <v>4</v>
      </c>
      <c r="BL359">
        <v>1000</v>
      </c>
      <c r="BM359">
        <v>0</v>
      </c>
      <c r="BN359">
        <v>5</v>
      </c>
      <c r="BO359">
        <v>0</v>
      </c>
      <c r="BP359">
        <v>0</v>
      </c>
      <c r="BQ359">
        <v>0</v>
      </c>
      <c r="BR359">
        <v>1</v>
      </c>
      <c r="BS359">
        <v>0</v>
      </c>
      <c r="BT359">
        <v>0</v>
      </c>
      <c r="BU359">
        <v>1</v>
      </c>
      <c r="BV359">
        <v>0</v>
      </c>
      <c r="BW359">
        <v>977</v>
      </c>
      <c r="BX359">
        <v>0</v>
      </c>
      <c r="BY359">
        <v>2</v>
      </c>
      <c r="BZ359">
        <v>0</v>
      </c>
      <c r="CA359">
        <v>0</v>
      </c>
      <c r="CB359">
        <v>2</v>
      </c>
      <c r="CC359">
        <v>0</v>
      </c>
      <c r="CD359">
        <v>0</v>
      </c>
      <c r="CE359">
        <v>0</v>
      </c>
      <c r="CF359">
        <v>5</v>
      </c>
      <c r="CG359">
        <v>0</v>
      </c>
      <c r="CH359">
        <v>886</v>
      </c>
      <c r="CI359">
        <v>1</v>
      </c>
      <c r="CJ359">
        <v>0</v>
      </c>
      <c r="CK359">
        <v>0</v>
      </c>
      <c r="CL359">
        <v>0</v>
      </c>
      <c r="CM359">
        <v>2</v>
      </c>
      <c r="CN359">
        <v>1</v>
      </c>
      <c r="CO359">
        <v>2</v>
      </c>
      <c r="CP359">
        <v>0</v>
      </c>
      <c r="CQ359">
        <v>2</v>
      </c>
      <c r="CR359">
        <v>4</v>
      </c>
      <c r="CS359">
        <v>947</v>
      </c>
      <c r="CT359">
        <v>0</v>
      </c>
      <c r="CU359">
        <v>0</v>
      </c>
      <c r="CV359">
        <v>0</v>
      </c>
      <c r="CW359">
        <v>1</v>
      </c>
      <c r="CX359">
        <v>3</v>
      </c>
      <c r="CY359">
        <v>41</v>
      </c>
      <c r="CZ359">
        <v>8</v>
      </c>
      <c r="DA359">
        <v>2</v>
      </c>
      <c r="DB359">
        <v>3</v>
      </c>
      <c r="DC359">
        <v>0</v>
      </c>
      <c r="DD359">
        <v>956</v>
      </c>
      <c r="DE359">
        <v>0</v>
      </c>
      <c r="DF359">
        <v>14</v>
      </c>
      <c r="DG359">
        <v>5</v>
      </c>
      <c r="DH359">
        <v>0</v>
      </c>
      <c r="DI359">
        <v>33</v>
      </c>
      <c r="DJ359">
        <v>4</v>
      </c>
      <c r="DK359">
        <v>1</v>
      </c>
      <c r="DL359">
        <v>29</v>
      </c>
      <c r="DM359">
        <v>15</v>
      </c>
      <c r="DN359">
        <v>4</v>
      </c>
      <c r="DO359">
        <v>877</v>
      </c>
      <c r="DP359">
        <v>6</v>
      </c>
      <c r="DQ359">
        <v>0</v>
      </c>
      <c r="DR359">
        <v>0</v>
      </c>
      <c r="DS359">
        <v>2</v>
      </c>
      <c r="DT359">
        <v>3</v>
      </c>
      <c r="DU359">
        <v>6</v>
      </c>
      <c r="DV359">
        <v>14</v>
      </c>
      <c r="DW359">
        <v>0</v>
      </c>
      <c r="DX359">
        <v>2</v>
      </c>
      <c r="DY359">
        <v>2</v>
      </c>
      <c r="DZ359">
        <v>980</v>
      </c>
      <c r="EA359">
        <v>0.97140000000000004</v>
      </c>
      <c r="EB359">
        <v>0.97208793626701495</v>
      </c>
      <c r="EC359">
        <v>0.97139122748151396</v>
      </c>
      <c r="ED359">
        <v>0.97108883011962399</v>
      </c>
      <c r="EE359">
        <f>SUM(Table1[[#This Row],[ratio_0]:[ratio_9]])</f>
        <v>640</v>
      </c>
      <c r="EF359" s="1">
        <f>(Table1[[#This Row],[predicted_0]]-Table1[[#This Row],[actual_0]])/Table1[[#This Row],[actual_0]]</f>
        <v>-2.5510204081632654E-2</v>
      </c>
      <c r="EG359" s="1">
        <f>(Table1[[#This Row],[predicted_1]]-Table1[[#This Row],[actual_1]])/Table1[[#This Row],[actual_1]]</f>
        <v>-1.145374449339207E-2</v>
      </c>
      <c r="EH359" s="1">
        <f>(Table1[[#This Row],[predicted_2]]-Table1[[#This Row],[actual_2]])/Table1[[#This Row],[actual_2]]</f>
        <v>9.1085271317829453E-2</v>
      </c>
      <c r="EI359" s="1">
        <f>(Table1[[#This Row],[predicted_3]]-Table1[[#This Row],[actual_3]])/Table1[[#This Row],[actual_3]]</f>
        <v>9.9009900990099011E-3</v>
      </c>
      <c r="EJ359" s="1">
        <f>(Table1[[#This Row],[predicted_4]]-Table1[[#This Row],[actual_4]])/Table1[[#This Row],[actual_4]]</f>
        <v>7.1283095723014261E-3</v>
      </c>
      <c r="EK359" s="1">
        <f>(Table1[[#This Row],[predicted_5]]-Table1[[#This Row],[actual_5]])/Table1[[#This Row],[actual_5]]</f>
        <v>6.9506726457399109E-2</v>
      </c>
      <c r="EL359" s="1">
        <f>(Table1[[#This Row],[predicted_6]]-Table1[[#This Row],[actual_6]])/Table1[[#This Row],[actual_6]]</f>
        <v>1.6701461377870562E-2</v>
      </c>
      <c r="EM359" s="1">
        <f>(Table1[[#This Row],[predicted_7]]-Table1[[#This Row],[actual_7]])/Table1[[#This Row],[actual_7]]</f>
        <v>-6.0311284046692608E-2</v>
      </c>
      <c r="EN359" s="1">
        <f>(Table1[[#This Row],[predicted_8]]-Table1[[#This Row],[actual_8]])/Table1[[#This Row],[actual_8]]</f>
        <v>-9.5482546201232033E-2</v>
      </c>
      <c r="EO359" s="1">
        <f>(Table1[[#This Row],[predicted_9]]-Table1[[#This Row],[actual_9]])/Table1[[#This Row],[actual_9]]</f>
        <v>3.9643211100099107E-3</v>
      </c>
      <c r="EP359" s="1">
        <f>1+(Table1[[#This Row],[error_ratio_0]]-EF$2)</f>
        <v>0.97244897959183674</v>
      </c>
      <c r="EQ359" s="1">
        <f>1+(Table1[[#This Row],[error_ratio_1]]-EG$2)</f>
        <v>0.986784140969163</v>
      </c>
      <c r="ER359" s="1">
        <f>1+(Table1[[#This Row],[error_ratio_2]]-EH$2)</f>
        <v>1.0959302325581395</v>
      </c>
      <c r="ES359" s="1">
        <f>1+(Table1[[#This Row],[error_ratio_3]]-EI$2)</f>
        <v>1</v>
      </c>
      <c r="ET359" s="1">
        <f>1+(Table1[[#This Row],[error_ratio_4]]-EJ$2)</f>
        <v>1.0061099796334012</v>
      </c>
      <c r="EU359" s="1">
        <f>1+(Table1[[#This Row],[error_ratio_5]]-EK$2)</f>
        <v>1.0683856502242153</v>
      </c>
      <c r="EV359" s="1">
        <f>1+(Table1[[#This Row],[error_ratio_6]]-EL$2)</f>
        <v>1.0229645093945721</v>
      </c>
      <c r="EW359" s="1">
        <f>1+(Table1[[#This Row],[error_ratio_7]]-EM$2)</f>
        <v>0.9377431906614786</v>
      </c>
      <c r="EX359" s="1">
        <f>1+(Table1[[#This Row],[error_ratio_8]]-EN$2)</f>
        <v>0.9075975359342916</v>
      </c>
      <c r="EY359" s="1">
        <f>1+(Table1[[#This Row],[error_ratio_9]]-EO$2)</f>
        <v>1.0079286422200198</v>
      </c>
    </row>
    <row r="360" spans="1:155" x14ac:dyDescent="0.75">
      <c r="A360">
        <v>100</v>
      </c>
      <c r="B360">
        <v>100</v>
      </c>
      <c r="C360">
        <v>10</v>
      </c>
      <c r="D360">
        <v>100</v>
      </c>
      <c r="E360">
        <v>100</v>
      </c>
      <c r="F360">
        <v>100</v>
      </c>
      <c r="G360">
        <v>100</v>
      </c>
      <c r="H360">
        <v>10</v>
      </c>
      <c r="I360">
        <v>10</v>
      </c>
      <c r="J360">
        <v>100</v>
      </c>
      <c r="K360">
        <v>1029</v>
      </c>
      <c r="L360">
        <v>1171</v>
      </c>
      <c r="M360">
        <v>1021</v>
      </c>
      <c r="N360">
        <v>1020</v>
      </c>
      <c r="O360">
        <v>1008</v>
      </c>
      <c r="P360">
        <v>898</v>
      </c>
      <c r="Q360">
        <v>969</v>
      </c>
      <c r="R360">
        <v>957</v>
      </c>
      <c r="S360">
        <v>919</v>
      </c>
      <c r="T360">
        <v>1008</v>
      </c>
      <c r="U360">
        <v>980</v>
      </c>
      <c r="V360">
        <v>1135</v>
      </c>
      <c r="W360">
        <v>1032</v>
      </c>
      <c r="X360">
        <v>1010</v>
      </c>
      <c r="Y360">
        <v>982</v>
      </c>
      <c r="Z360">
        <v>892</v>
      </c>
      <c r="AA360">
        <v>958</v>
      </c>
      <c r="AB360">
        <v>1028</v>
      </c>
      <c r="AC360">
        <v>974</v>
      </c>
      <c r="AD360">
        <v>1009</v>
      </c>
      <c r="AE360">
        <v>976</v>
      </c>
      <c r="AF360">
        <v>0</v>
      </c>
      <c r="AG360">
        <v>0</v>
      </c>
      <c r="AH360">
        <v>0</v>
      </c>
      <c r="AI360">
        <v>0</v>
      </c>
      <c r="AJ360">
        <v>0</v>
      </c>
      <c r="AK360">
        <v>4</v>
      </c>
      <c r="AL360">
        <v>0</v>
      </c>
      <c r="AM360">
        <v>0</v>
      </c>
      <c r="AN360">
        <v>0</v>
      </c>
      <c r="AO360">
        <v>0</v>
      </c>
      <c r="AP360">
        <v>1133</v>
      </c>
      <c r="AQ360">
        <v>1</v>
      </c>
      <c r="AR360">
        <v>0</v>
      </c>
      <c r="AS360">
        <v>0</v>
      </c>
      <c r="AT360">
        <v>0</v>
      </c>
      <c r="AU360">
        <v>1</v>
      </c>
      <c r="AV360">
        <v>0</v>
      </c>
      <c r="AW360">
        <v>0</v>
      </c>
      <c r="AX360">
        <v>0</v>
      </c>
      <c r="AY360">
        <v>18</v>
      </c>
      <c r="AZ360">
        <v>9</v>
      </c>
      <c r="BA360">
        <v>982</v>
      </c>
      <c r="BB360">
        <v>4</v>
      </c>
      <c r="BC360">
        <v>7</v>
      </c>
      <c r="BD360">
        <v>0</v>
      </c>
      <c r="BE360">
        <v>6</v>
      </c>
      <c r="BF360">
        <v>6</v>
      </c>
      <c r="BG360">
        <v>0</v>
      </c>
      <c r="BH360">
        <v>0</v>
      </c>
      <c r="BI360">
        <v>1</v>
      </c>
      <c r="BJ360">
        <v>0</v>
      </c>
      <c r="BK360">
        <v>1</v>
      </c>
      <c r="BL360">
        <v>998</v>
      </c>
      <c r="BM360">
        <v>0</v>
      </c>
      <c r="BN360">
        <v>2</v>
      </c>
      <c r="BO360">
        <v>0</v>
      </c>
      <c r="BP360">
        <v>3</v>
      </c>
      <c r="BQ360">
        <v>3</v>
      </c>
      <c r="BR360">
        <v>2</v>
      </c>
      <c r="BS360">
        <v>0</v>
      </c>
      <c r="BT360">
        <v>0</v>
      </c>
      <c r="BU360">
        <v>0</v>
      </c>
      <c r="BV360">
        <v>0</v>
      </c>
      <c r="BW360">
        <v>975</v>
      </c>
      <c r="BX360">
        <v>0</v>
      </c>
      <c r="BY360">
        <v>5</v>
      </c>
      <c r="BZ360">
        <v>0</v>
      </c>
      <c r="CA360">
        <v>0</v>
      </c>
      <c r="CB360">
        <v>2</v>
      </c>
      <c r="CC360">
        <v>2</v>
      </c>
      <c r="CD360">
        <v>0</v>
      </c>
      <c r="CE360">
        <v>0</v>
      </c>
      <c r="CF360">
        <v>6</v>
      </c>
      <c r="CG360">
        <v>0</v>
      </c>
      <c r="CH360">
        <v>881</v>
      </c>
      <c r="CI360">
        <v>2</v>
      </c>
      <c r="CJ360">
        <v>1</v>
      </c>
      <c r="CK360">
        <v>0</v>
      </c>
      <c r="CL360">
        <v>0</v>
      </c>
      <c r="CM360">
        <v>6</v>
      </c>
      <c r="CN360">
        <v>2</v>
      </c>
      <c r="CO360">
        <v>0</v>
      </c>
      <c r="CP360">
        <v>0</v>
      </c>
      <c r="CQ360">
        <v>1</v>
      </c>
      <c r="CR360">
        <v>4</v>
      </c>
      <c r="CS360">
        <v>945</v>
      </c>
      <c r="CT360">
        <v>0</v>
      </c>
      <c r="CU360">
        <v>0</v>
      </c>
      <c r="CV360">
        <v>0</v>
      </c>
      <c r="CW360">
        <v>3</v>
      </c>
      <c r="CX360">
        <v>19</v>
      </c>
      <c r="CY360">
        <v>31</v>
      </c>
      <c r="CZ360">
        <v>8</v>
      </c>
      <c r="DA360">
        <v>7</v>
      </c>
      <c r="DB360">
        <v>1</v>
      </c>
      <c r="DC360">
        <v>1</v>
      </c>
      <c r="DD360">
        <v>939</v>
      </c>
      <c r="DE360">
        <v>6</v>
      </c>
      <c r="DF360">
        <v>13</v>
      </c>
      <c r="DG360">
        <v>18</v>
      </c>
      <c r="DH360">
        <v>2</v>
      </c>
      <c r="DI360">
        <v>6</v>
      </c>
      <c r="DJ360">
        <v>1</v>
      </c>
      <c r="DK360">
        <v>7</v>
      </c>
      <c r="DL360">
        <v>7</v>
      </c>
      <c r="DM360">
        <v>5</v>
      </c>
      <c r="DN360">
        <v>5</v>
      </c>
      <c r="DO360">
        <v>910</v>
      </c>
      <c r="DP360">
        <v>13</v>
      </c>
      <c r="DQ360">
        <v>5</v>
      </c>
      <c r="DR360">
        <v>6</v>
      </c>
      <c r="DS360">
        <v>0</v>
      </c>
      <c r="DT360">
        <v>3</v>
      </c>
      <c r="DU360">
        <v>11</v>
      </c>
      <c r="DV360">
        <v>3</v>
      </c>
      <c r="DW360">
        <v>0</v>
      </c>
      <c r="DX360">
        <v>3</v>
      </c>
      <c r="DY360">
        <v>0</v>
      </c>
      <c r="DZ360">
        <v>978</v>
      </c>
      <c r="EA360">
        <v>0.97170000000000001</v>
      </c>
      <c r="EB360">
        <v>0.97214755233100603</v>
      </c>
      <c r="EC360">
        <v>0.97177875838006</v>
      </c>
      <c r="ED360">
        <v>0.971652752444083</v>
      </c>
      <c r="EE360">
        <f>SUM(Table1[[#This Row],[ratio_0]:[ratio_9]])</f>
        <v>730</v>
      </c>
      <c r="EF360" s="1">
        <f>(Table1[[#This Row],[predicted_0]]-Table1[[#This Row],[actual_0]])/Table1[[#This Row],[actual_0]]</f>
        <v>0.05</v>
      </c>
      <c r="EG360" s="1">
        <f>(Table1[[#This Row],[predicted_1]]-Table1[[#This Row],[actual_1]])/Table1[[#This Row],[actual_1]]</f>
        <v>3.1718061674008813E-2</v>
      </c>
      <c r="EH360" s="1">
        <f>(Table1[[#This Row],[predicted_2]]-Table1[[#This Row],[actual_2]])/Table1[[#This Row],[actual_2]]</f>
        <v>-1.065891472868217E-2</v>
      </c>
      <c r="EI360" s="1">
        <f>(Table1[[#This Row],[predicted_3]]-Table1[[#This Row],[actual_3]])/Table1[[#This Row],[actual_3]]</f>
        <v>9.9009900990099011E-3</v>
      </c>
      <c r="EJ360" s="1">
        <f>(Table1[[#This Row],[predicted_4]]-Table1[[#This Row],[actual_4]])/Table1[[#This Row],[actual_4]]</f>
        <v>2.6476578411405296E-2</v>
      </c>
      <c r="EK360" s="1">
        <f>(Table1[[#This Row],[predicted_5]]-Table1[[#This Row],[actual_5]])/Table1[[#This Row],[actual_5]]</f>
        <v>6.7264573991031393E-3</v>
      </c>
      <c r="EL360" s="1">
        <f>(Table1[[#This Row],[predicted_6]]-Table1[[#This Row],[actual_6]])/Table1[[#This Row],[actual_6]]</f>
        <v>1.1482254697286013E-2</v>
      </c>
      <c r="EM360" s="1">
        <f>(Table1[[#This Row],[predicted_7]]-Table1[[#This Row],[actual_7]])/Table1[[#This Row],[actual_7]]</f>
        <v>-6.9066147859922183E-2</v>
      </c>
      <c r="EN360" s="1">
        <f>(Table1[[#This Row],[predicted_8]]-Table1[[#This Row],[actual_8]])/Table1[[#This Row],[actual_8]]</f>
        <v>-5.6468172484599587E-2</v>
      </c>
      <c r="EO360" s="1">
        <f>(Table1[[#This Row],[predicted_9]]-Table1[[#This Row],[actual_9]])/Table1[[#This Row],[actual_9]]</f>
        <v>-9.9108027750247768E-4</v>
      </c>
      <c r="EP360" s="1">
        <f>1+(Table1[[#This Row],[error_ratio_0]]-EF$2)</f>
        <v>1.0479591836734694</v>
      </c>
      <c r="EQ360" s="1">
        <f>1+(Table1[[#This Row],[error_ratio_1]]-EG$2)</f>
        <v>1.0299559471365638</v>
      </c>
      <c r="ER360" s="1">
        <f>1+(Table1[[#This Row],[error_ratio_2]]-EH$2)</f>
        <v>0.9941860465116279</v>
      </c>
      <c r="ES360" s="1">
        <f>1+(Table1[[#This Row],[error_ratio_3]]-EI$2)</f>
        <v>1</v>
      </c>
      <c r="ET360" s="1">
        <f>1+(Table1[[#This Row],[error_ratio_4]]-EJ$2)</f>
        <v>1.025458248472505</v>
      </c>
      <c r="EU360" s="1">
        <f>1+(Table1[[#This Row],[error_ratio_5]]-EK$2)</f>
        <v>1.0056053811659194</v>
      </c>
      <c r="EV360" s="1">
        <f>1+(Table1[[#This Row],[error_ratio_6]]-EL$2)</f>
        <v>1.0177453027139876</v>
      </c>
      <c r="EW360" s="1">
        <f>1+(Table1[[#This Row],[error_ratio_7]]-EM$2)</f>
        <v>0.92898832684824906</v>
      </c>
      <c r="EX360" s="1">
        <f>1+(Table1[[#This Row],[error_ratio_8]]-EN$2)</f>
        <v>0.94661190965092401</v>
      </c>
      <c r="EY360" s="1">
        <f>1+(Table1[[#This Row],[error_ratio_9]]-EO$2)</f>
        <v>1.0029732408325074</v>
      </c>
    </row>
    <row r="361" spans="1:155" x14ac:dyDescent="0.75">
      <c r="A361">
        <v>10</v>
      </c>
      <c r="B361">
        <v>100</v>
      </c>
      <c r="C361">
        <v>10</v>
      </c>
      <c r="D361">
        <v>100</v>
      </c>
      <c r="E361">
        <v>100</v>
      </c>
      <c r="F361">
        <v>100</v>
      </c>
      <c r="G361">
        <v>100</v>
      </c>
      <c r="H361">
        <v>10</v>
      </c>
      <c r="I361">
        <v>10</v>
      </c>
      <c r="J361">
        <v>100</v>
      </c>
      <c r="K361">
        <v>970</v>
      </c>
      <c r="L361">
        <v>1143</v>
      </c>
      <c r="M361">
        <v>1008</v>
      </c>
      <c r="N361">
        <v>1053</v>
      </c>
      <c r="O361">
        <v>997</v>
      </c>
      <c r="P361">
        <v>954</v>
      </c>
      <c r="Q361">
        <v>982</v>
      </c>
      <c r="R361">
        <v>995</v>
      </c>
      <c r="S361">
        <v>870</v>
      </c>
      <c r="T361">
        <v>1028</v>
      </c>
      <c r="U361">
        <v>980</v>
      </c>
      <c r="V361">
        <v>1135</v>
      </c>
      <c r="W361">
        <v>1032</v>
      </c>
      <c r="X361">
        <v>1010</v>
      </c>
      <c r="Y361">
        <v>982</v>
      </c>
      <c r="Z361">
        <v>892</v>
      </c>
      <c r="AA361">
        <v>958</v>
      </c>
      <c r="AB361">
        <v>1028</v>
      </c>
      <c r="AC361">
        <v>974</v>
      </c>
      <c r="AD361">
        <v>1009</v>
      </c>
      <c r="AE361">
        <v>956</v>
      </c>
      <c r="AF361">
        <v>0</v>
      </c>
      <c r="AG361">
        <v>0</v>
      </c>
      <c r="AH361">
        <v>0</v>
      </c>
      <c r="AI361">
        <v>4</v>
      </c>
      <c r="AJ361">
        <v>2</v>
      </c>
      <c r="AK361">
        <v>11</v>
      </c>
      <c r="AL361">
        <v>1</v>
      </c>
      <c r="AM361">
        <v>1</v>
      </c>
      <c r="AN361">
        <v>5</v>
      </c>
      <c r="AO361">
        <v>0</v>
      </c>
      <c r="AP361">
        <v>1127</v>
      </c>
      <c r="AQ361">
        <v>0</v>
      </c>
      <c r="AR361">
        <v>3</v>
      </c>
      <c r="AS361">
        <v>0</v>
      </c>
      <c r="AT361">
        <v>1</v>
      </c>
      <c r="AU361">
        <v>2</v>
      </c>
      <c r="AV361">
        <v>1</v>
      </c>
      <c r="AW361">
        <v>1</v>
      </c>
      <c r="AX361">
        <v>0</v>
      </c>
      <c r="AY361">
        <v>1</v>
      </c>
      <c r="AZ361">
        <v>7</v>
      </c>
      <c r="BA361">
        <v>984</v>
      </c>
      <c r="BB361">
        <v>15</v>
      </c>
      <c r="BC361">
        <v>5</v>
      </c>
      <c r="BD361">
        <v>2</v>
      </c>
      <c r="BE361">
        <v>3</v>
      </c>
      <c r="BF361">
        <v>13</v>
      </c>
      <c r="BG361">
        <v>1</v>
      </c>
      <c r="BH361">
        <v>1</v>
      </c>
      <c r="BI361">
        <v>0</v>
      </c>
      <c r="BJ361">
        <v>0</v>
      </c>
      <c r="BK361">
        <v>1</v>
      </c>
      <c r="BL361">
        <v>1004</v>
      </c>
      <c r="BM361">
        <v>0</v>
      </c>
      <c r="BN361">
        <v>3</v>
      </c>
      <c r="BO361">
        <v>0</v>
      </c>
      <c r="BP361">
        <v>0</v>
      </c>
      <c r="BQ361">
        <v>1</v>
      </c>
      <c r="BR361">
        <v>1</v>
      </c>
      <c r="BS361">
        <v>0</v>
      </c>
      <c r="BT361">
        <v>0</v>
      </c>
      <c r="BU361">
        <v>0</v>
      </c>
      <c r="BV361">
        <v>0</v>
      </c>
      <c r="BW361">
        <v>973</v>
      </c>
      <c r="BX361">
        <v>0</v>
      </c>
      <c r="BY361">
        <v>0</v>
      </c>
      <c r="BZ361">
        <v>0</v>
      </c>
      <c r="CA361">
        <v>0</v>
      </c>
      <c r="CB361">
        <v>9</v>
      </c>
      <c r="CC361">
        <v>1</v>
      </c>
      <c r="CD361">
        <v>0</v>
      </c>
      <c r="CE361">
        <v>0</v>
      </c>
      <c r="CF361">
        <v>3</v>
      </c>
      <c r="CG361">
        <v>0</v>
      </c>
      <c r="CH361">
        <v>887</v>
      </c>
      <c r="CI361">
        <v>1</v>
      </c>
      <c r="CJ361">
        <v>0</v>
      </c>
      <c r="CK361">
        <v>0</v>
      </c>
      <c r="CL361">
        <v>0</v>
      </c>
      <c r="CM361">
        <v>0</v>
      </c>
      <c r="CN361">
        <v>3</v>
      </c>
      <c r="CO361">
        <v>0</v>
      </c>
      <c r="CP361">
        <v>0</v>
      </c>
      <c r="CQ361">
        <v>3</v>
      </c>
      <c r="CR361">
        <v>4</v>
      </c>
      <c r="CS361">
        <v>948</v>
      </c>
      <c r="CT361">
        <v>0</v>
      </c>
      <c r="CU361">
        <v>0</v>
      </c>
      <c r="CV361">
        <v>0</v>
      </c>
      <c r="CW361">
        <v>1</v>
      </c>
      <c r="CX361">
        <v>4</v>
      </c>
      <c r="CY361">
        <v>19</v>
      </c>
      <c r="CZ361">
        <v>9</v>
      </c>
      <c r="DA361">
        <v>2</v>
      </c>
      <c r="DB361">
        <v>6</v>
      </c>
      <c r="DC361">
        <v>0</v>
      </c>
      <c r="DD361">
        <v>974</v>
      </c>
      <c r="DE361">
        <v>0</v>
      </c>
      <c r="DF361">
        <v>13</v>
      </c>
      <c r="DG361">
        <v>10</v>
      </c>
      <c r="DH361">
        <v>1</v>
      </c>
      <c r="DI361">
        <v>4</v>
      </c>
      <c r="DJ361">
        <v>13</v>
      </c>
      <c r="DK361">
        <v>7</v>
      </c>
      <c r="DL361">
        <v>39</v>
      </c>
      <c r="DM361">
        <v>16</v>
      </c>
      <c r="DN361">
        <v>6</v>
      </c>
      <c r="DO361">
        <v>866</v>
      </c>
      <c r="DP361">
        <v>12</v>
      </c>
      <c r="DQ361">
        <v>1</v>
      </c>
      <c r="DR361">
        <v>1</v>
      </c>
      <c r="DS361">
        <v>0</v>
      </c>
      <c r="DT361">
        <v>6</v>
      </c>
      <c r="DU361">
        <v>3</v>
      </c>
      <c r="DV361">
        <v>10</v>
      </c>
      <c r="DW361">
        <v>1</v>
      </c>
      <c r="DX361">
        <v>0</v>
      </c>
      <c r="DY361">
        <v>0</v>
      </c>
      <c r="DZ361">
        <v>987</v>
      </c>
      <c r="EA361">
        <v>0.97060000000000002</v>
      </c>
      <c r="EB361">
        <v>0.97067129832715304</v>
      </c>
      <c r="EC361">
        <v>0.97055848541249901</v>
      </c>
      <c r="ED361">
        <v>0.97009251755445502</v>
      </c>
      <c r="EE361">
        <f>SUM(Table1[[#This Row],[ratio_0]:[ratio_9]])</f>
        <v>640</v>
      </c>
      <c r="EF361" s="1">
        <f>(Table1[[#This Row],[predicted_0]]-Table1[[#This Row],[actual_0]])/Table1[[#This Row],[actual_0]]</f>
        <v>-1.020408163265306E-2</v>
      </c>
      <c r="EG361" s="1">
        <f>(Table1[[#This Row],[predicted_1]]-Table1[[#This Row],[actual_1]])/Table1[[#This Row],[actual_1]]</f>
        <v>7.048458149779736E-3</v>
      </c>
      <c r="EH361" s="1">
        <f>(Table1[[#This Row],[predicted_2]]-Table1[[#This Row],[actual_2]])/Table1[[#This Row],[actual_2]]</f>
        <v>-2.3255813953488372E-2</v>
      </c>
      <c r="EI361" s="1">
        <f>(Table1[[#This Row],[predicted_3]]-Table1[[#This Row],[actual_3]])/Table1[[#This Row],[actual_3]]</f>
        <v>4.2574257425742577E-2</v>
      </c>
      <c r="EJ361" s="1">
        <f>(Table1[[#This Row],[predicted_4]]-Table1[[#This Row],[actual_4]])/Table1[[#This Row],[actual_4]]</f>
        <v>1.5274949083503055E-2</v>
      </c>
      <c r="EK361" s="1">
        <f>(Table1[[#This Row],[predicted_5]]-Table1[[#This Row],[actual_5]])/Table1[[#This Row],[actual_5]]</f>
        <v>6.9506726457399109E-2</v>
      </c>
      <c r="EL361" s="1">
        <f>(Table1[[#This Row],[predicted_6]]-Table1[[#This Row],[actual_6]])/Table1[[#This Row],[actual_6]]</f>
        <v>2.5052192066805846E-2</v>
      </c>
      <c r="EM361" s="1">
        <f>(Table1[[#This Row],[predicted_7]]-Table1[[#This Row],[actual_7]])/Table1[[#This Row],[actual_7]]</f>
        <v>-3.2101167315175094E-2</v>
      </c>
      <c r="EN361" s="1">
        <f>(Table1[[#This Row],[predicted_8]]-Table1[[#This Row],[actual_8]])/Table1[[#This Row],[actual_8]]</f>
        <v>-0.10677618069815195</v>
      </c>
      <c r="EO361" s="1">
        <f>(Table1[[#This Row],[predicted_9]]-Table1[[#This Row],[actual_9]])/Table1[[#This Row],[actual_9]]</f>
        <v>1.8830525272547076E-2</v>
      </c>
      <c r="EP361" s="1">
        <f>1+(Table1[[#This Row],[error_ratio_0]]-EF$2)</f>
        <v>0.98775510204081629</v>
      </c>
      <c r="EQ361" s="1">
        <f>1+(Table1[[#This Row],[error_ratio_1]]-EG$2)</f>
        <v>1.0052863436123347</v>
      </c>
      <c r="ER361" s="1">
        <f>1+(Table1[[#This Row],[error_ratio_2]]-EH$2)</f>
        <v>0.98158914728682167</v>
      </c>
      <c r="ES361" s="1">
        <f>1+(Table1[[#This Row],[error_ratio_3]]-EI$2)</f>
        <v>1.0326732673267327</v>
      </c>
      <c r="ET361" s="1">
        <f>1+(Table1[[#This Row],[error_ratio_4]]-EJ$2)</f>
        <v>1.0142566191446027</v>
      </c>
      <c r="EU361" s="1">
        <f>1+(Table1[[#This Row],[error_ratio_5]]-EK$2)</f>
        <v>1.0683856502242153</v>
      </c>
      <c r="EV361" s="1">
        <f>1+(Table1[[#This Row],[error_ratio_6]]-EL$2)</f>
        <v>1.0313152400835073</v>
      </c>
      <c r="EW361" s="1">
        <f>1+(Table1[[#This Row],[error_ratio_7]]-EM$2)</f>
        <v>0.96595330739299612</v>
      </c>
      <c r="EX361" s="1">
        <f>1+(Table1[[#This Row],[error_ratio_8]]-EN$2)</f>
        <v>0.89630390143737171</v>
      </c>
      <c r="EY361" s="1">
        <f>1+(Table1[[#This Row],[error_ratio_9]]-EO$2)</f>
        <v>1.0227948463825569</v>
      </c>
    </row>
    <row r="362" spans="1:155" x14ac:dyDescent="0.75">
      <c r="A362">
        <v>100</v>
      </c>
      <c r="B362">
        <v>10</v>
      </c>
      <c r="C362">
        <v>10</v>
      </c>
      <c r="D362">
        <v>100</v>
      </c>
      <c r="E362">
        <v>100</v>
      </c>
      <c r="F362">
        <v>100</v>
      </c>
      <c r="G362">
        <v>100</v>
      </c>
      <c r="H362">
        <v>10</v>
      </c>
      <c r="I362">
        <v>10</v>
      </c>
      <c r="J362">
        <v>100</v>
      </c>
      <c r="K362">
        <v>980</v>
      </c>
      <c r="L362">
        <v>1118</v>
      </c>
      <c r="M362">
        <v>950</v>
      </c>
      <c r="N362">
        <v>1130</v>
      </c>
      <c r="O362">
        <v>978</v>
      </c>
      <c r="P362">
        <v>901</v>
      </c>
      <c r="Q362">
        <v>978</v>
      </c>
      <c r="R362">
        <v>975</v>
      </c>
      <c r="S362">
        <v>937</v>
      </c>
      <c r="T362">
        <v>1053</v>
      </c>
      <c r="U362">
        <v>980</v>
      </c>
      <c r="V362">
        <v>1135</v>
      </c>
      <c r="W362">
        <v>1032</v>
      </c>
      <c r="X362">
        <v>1010</v>
      </c>
      <c r="Y362">
        <v>982</v>
      </c>
      <c r="Z362">
        <v>892</v>
      </c>
      <c r="AA362">
        <v>958</v>
      </c>
      <c r="AB362">
        <v>1028</v>
      </c>
      <c r="AC362">
        <v>974</v>
      </c>
      <c r="AD362">
        <v>1009</v>
      </c>
      <c r="AE362">
        <v>966</v>
      </c>
      <c r="AF362">
        <v>0</v>
      </c>
      <c r="AG362">
        <v>0</v>
      </c>
      <c r="AH362">
        <v>0</v>
      </c>
      <c r="AI362">
        <v>0</v>
      </c>
      <c r="AJ362">
        <v>3</v>
      </c>
      <c r="AK362">
        <v>4</v>
      </c>
      <c r="AL362">
        <v>3</v>
      </c>
      <c r="AM362">
        <v>1</v>
      </c>
      <c r="AN362">
        <v>3</v>
      </c>
      <c r="AO362">
        <v>0</v>
      </c>
      <c r="AP362">
        <v>1112</v>
      </c>
      <c r="AQ362">
        <v>2</v>
      </c>
      <c r="AR362">
        <v>4</v>
      </c>
      <c r="AS362">
        <v>0</v>
      </c>
      <c r="AT362">
        <v>1</v>
      </c>
      <c r="AU362">
        <v>8</v>
      </c>
      <c r="AV362">
        <v>1</v>
      </c>
      <c r="AW362">
        <v>6</v>
      </c>
      <c r="AX362">
        <v>1</v>
      </c>
      <c r="AY362">
        <v>5</v>
      </c>
      <c r="AZ362">
        <v>2</v>
      </c>
      <c r="BA362">
        <v>936</v>
      </c>
      <c r="BB362">
        <v>68</v>
      </c>
      <c r="BC362">
        <v>4</v>
      </c>
      <c r="BD362">
        <v>1</v>
      </c>
      <c r="BE362">
        <v>5</v>
      </c>
      <c r="BF362">
        <v>7</v>
      </c>
      <c r="BG362">
        <v>4</v>
      </c>
      <c r="BH362">
        <v>0</v>
      </c>
      <c r="BI362">
        <v>0</v>
      </c>
      <c r="BJ362">
        <v>0</v>
      </c>
      <c r="BK362">
        <v>1</v>
      </c>
      <c r="BL362">
        <v>1006</v>
      </c>
      <c r="BM362">
        <v>0</v>
      </c>
      <c r="BN362">
        <v>3</v>
      </c>
      <c r="BO362">
        <v>0</v>
      </c>
      <c r="BP362">
        <v>0</v>
      </c>
      <c r="BQ362">
        <v>0</v>
      </c>
      <c r="BR362">
        <v>0</v>
      </c>
      <c r="BS362">
        <v>0</v>
      </c>
      <c r="BT362">
        <v>0</v>
      </c>
      <c r="BU362">
        <v>0</v>
      </c>
      <c r="BV362">
        <v>0</v>
      </c>
      <c r="BW362">
        <v>971</v>
      </c>
      <c r="BX362">
        <v>0</v>
      </c>
      <c r="BY362">
        <v>3</v>
      </c>
      <c r="BZ362">
        <v>1</v>
      </c>
      <c r="CA362">
        <v>0</v>
      </c>
      <c r="CB362">
        <v>7</v>
      </c>
      <c r="CC362">
        <v>1</v>
      </c>
      <c r="CD362">
        <v>0</v>
      </c>
      <c r="CE362">
        <v>0</v>
      </c>
      <c r="CF362">
        <v>6</v>
      </c>
      <c r="CG362">
        <v>0</v>
      </c>
      <c r="CH362">
        <v>883</v>
      </c>
      <c r="CI362">
        <v>2</v>
      </c>
      <c r="CJ362">
        <v>0</v>
      </c>
      <c r="CK362">
        <v>0</v>
      </c>
      <c r="CL362">
        <v>0</v>
      </c>
      <c r="CM362">
        <v>4</v>
      </c>
      <c r="CN362">
        <v>1</v>
      </c>
      <c r="CO362">
        <v>0</v>
      </c>
      <c r="CP362">
        <v>0</v>
      </c>
      <c r="CQ362">
        <v>1</v>
      </c>
      <c r="CR362">
        <v>2</v>
      </c>
      <c r="CS362">
        <v>950</v>
      </c>
      <c r="CT362">
        <v>0</v>
      </c>
      <c r="CU362">
        <v>0</v>
      </c>
      <c r="CV362">
        <v>0</v>
      </c>
      <c r="CW362">
        <v>1</v>
      </c>
      <c r="CX362">
        <v>2</v>
      </c>
      <c r="CY362">
        <v>10</v>
      </c>
      <c r="CZ362">
        <v>26</v>
      </c>
      <c r="DA362">
        <v>0</v>
      </c>
      <c r="DB362">
        <v>0</v>
      </c>
      <c r="DC362">
        <v>0</v>
      </c>
      <c r="DD362">
        <v>959</v>
      </c>
      <c r="DE362">
        <v>0</v>
      </c>
      <c r="DF362">
        <v>30</v>
      </c>
      <c r="DG362">
        <v>2</v>
      </c>
      <c r="DH362">
        <v>0</v>
      </c>
      <c r="DI362">
        <v>1</v>
      </c>
      <c r="DJ362">
        <v>16</v>
      </c>
      <c r="DK362">
        <v>0</v>
      </c>
      <c r="DL362">
        <v>7</v>
      </c>
      <c r="DM362">
        <v>5</v>
      </c>
      <c r="DN362">
        <v>4</v>
      </c>
      <c r="DO362">
        <v>926</v>
      </c>
      <c r="DP362">
        <v>13</v>
      </c>
      <c r="DQ362">
        <v>1</v>
      </c>
      <c r="DR362">
        <v>1</v>
      </c>
      <c r="DS362">
        <v>0</v>
      </c>
      <c r="DT362">
        <v>4</v>
      </c>
      <c r="DU362">
        <v>2</v>
      </c>
      <c r="DV362">
        <v>1</v>
      </c>
      <c r="DW362">
        <v>1</v>
      </c>
      <c r="DX362">
        <v>0</v>
      </c>
      <c r="DY362">
        <v>0</v>
      </c>
      <c r="DZ362">
        <v>999</v>
      </c>
      <c r="EA362">
        <v>0.9708</v>
      </c>
      <c r="EB362">
        <v>0.97206791783899205</v>
      </c>
      <c r="EC362">
        <v>0.97125115310531196</v>
      </c>
      <c r="ED362">
        <v>0.97103446428430895</v>
      </c>
      <c r="EE362">
        <f>SUM(Table1[[#This Row],[ratio_0]:[ratio_9]])</f>
        <v>640</v>
      </c>
      <c r="EF362" s="1">
        <f>(Table1[[#This Row],[predicted_0]]-Table1[[#This Row],[actual_0]])/Table1[[#This Row],[actual_0]]</f>
        <v>0</v>
      </c>
      <c r="EG362" s="1">
        <f>(Table1[[#This Row],[predicted_1]]-Table1[[#This Row],[actual_1]])/Table1[[#This Row],[actual_1]]</f>
        <v>-1.4977973568281937E-2</v>
      </c>
      <c r="EH362" s="1">
        <f>(Table1[[#This Row],[predicted_2]]-Table1[[#This Row],[actual_2]])/Table1[[#This Row],[actual_2]]</f>
        <v>-7.9457364341085274E-2</v>
      </c>
      <c r="EI362" s="1">
        <f>(Table1[[#This Row],[predicted_3]]-Table1[[#This Row],[actual_3]])/Table1[[#This Row],[actual_3]]</f>
        <v>0.11881188118811881</v>
      </c>
      <c r="EJ362" s="1">
        <f>(Table1[[#This Row],[predicted_4]]-Table1[[#This Row],[actual_4]])/Table1[[#This Row],[actual_4]]</f>
        <v>-4.0733197556008143E-3</v>
      </c>
      <c r="EK362" s="1">
        <f>(Table1[[#This Row],[predicted_5]]-Table1[[#This Row],[actual_5]])/Table1[[#This Row],[actual_5]]</f>
        <v>1.0089686098654708E-2</v>
      </c>
      <c r="EL362" s="1">
        <f>(Table1[[#This Row],[predicted_6]]-Table1[[#This Row],[actual_6]])/Table1[[#This Row],[actual_6]]</f>
        <v>2.0876826722338204E-2</v>
      </c>
      <c r="EM362" s="1">
        <f>(Table1[[#This Row],[predicted_7]]-Table1[[#This Row],[actual_7]])/Table1[[#This Row],[actual_7]]</f>
        <v>-5.1556420233463032E-2</v>
      </c>
      <c r="EN362" s="1">
        <f>(Table1[[#This Row],[predicted_8]]-Table1[[#This Row],[actual_8]])/Table1[[#This Row],[actual_8]]</f>
        <v>-3.7987679671457907E-2</v>
      </c>
      <c r="EO362" s="1">
        <f>(Table1[[#This Row],[predicted_9]]-Table1[[#This Row],[actual_9]])/Table1[[#This Row],[actual_9]]</f>
        <v>4.3607532210109018E-2</v>
      </c>
      <c r="EP362" s="1">
        <f>1+(Table1[[#This Row],[error_ratio_0]]-EF$2)</f>
        <v>0.99795918367346936</v>
      </c>
      <c r="EQ362" s="1">
        <f>1+(Table1[[#This Row],[error_ratio_1]]-EG$2)</f>
        <v>0.98325991189427309</v>
      </c>
      <c r="ER362" s="1">
        <f>1+(Table1[[#This Row],[error_ratio_2]]-EH$2)</f>
        <v>0.92538759689922478</v>
      </c>
      <c r="ES362" s="1">
        <f>1+(Table1[[#This Row],[error_ratio_3]]-EI$2)</f>
        <v>1.108910891089109</v>
      </c>
      <c r="ET362" s="1">
        <f>1+(Table1[[#This Row],[error_ratio_4]]-EJ$2)</f>
        <v>0.99490835030549896</v>
      </c>
      <c r="EU362" s="1">
        <f>1+(Table1[[#This Row],[error_ratio_5]]-EK$2)</f>
        <v>1.0089686098654709</v>
      </c>
      <c r="EV362" s="1">
        <f>1+(Table1[[#This Row],[error_ratio_6]]-EL$2)</f>
        <v>1.0271398747390397</v>
      </c>
      <c r="EW362" s="1">
        <f>1+(Table1[[#This Row],[error_ratio_7]]-EM$2)</f>
        <v>0.94649805447470814</v>
      </c>
      <c r="EX362" s="1">
        <f>1+(Table1[[#This Row],[error_ratio_8]]-EN$2)</f>
        <v>0.96509240246406569</v>
      </c>
      <c r="EY362" s="1">
        <f>1+(Table1[[#This Row],[error_ratio_9]]-EO$2)</f>
        <v>1.047571853320119</v>
      </c>
    </row>
    <row r="363" spans="1:155" x14ac:dyDescent="0.75">
      <c r="A363">
        <v>10</v>
      </c>
      <c r="B363">
        <v>10</v>
      </c>
      <c r="C363">
        <v>10</v>
      </c>
      <c r="D363">
        <v>100</v>
      </c>
      <c r="E363">
        <v>100</v>
      </c>
      <c r="F363">
        <v>100</v>
      </c>
      <c r="G363">
        <v>100</v>
      </c>
      <c r="H363">
        <v>10</v>
      </c>
      <c r="I363">
        <v>10</v>
      </c>
      <c r="J363">
        <v>100</v>
      </c>
      <c r="K363">
        <v>1002</v>
      </c>
      <c r="L363">
        <v>1084</v>
      </c>
      <c r="M363">
        <v>1000</v>
      </c>
      <c r="N363">
        <v>1069</v>
      </c>
      <c r="O363">
        <v>970</v>
      </c>
      <c r="P363">
        <v>887</v>
      </c>
      <c r="Q363">
        <v>1004</v>
      </c>
      <c r="R363">
        <v>1029</v>
      </c>
      <c r="S363">
        <v>946</v>
      </c>
      <c r="T363">
        <v>1009</v>
      </c>
      <c r="U363">
        <v>980</v>
      </c>
      <c r="V363">
        <v>1135</v>
      </c>
      <c r="W363">
        <v>1032</v>
      </c>
      <c r="X363">
        <v>1010</v>
      </c>
      <c r="Y363">
        <v>982</v>
      </c>
      <c r="Z363">
        <v>892</v>
      </c>
      <c r="AA363">
        <v>958</v>
      </c>
      <c r="AB363">
        <v>1028</v>
      </c>
      <c r="AC363">
        <v>974</v>
      </c>
      <c r="AD363">
        <v>1009</v>
      </c>
      <c r="AE363">
        <v>972</v>
      </c>
      <c r="AF363">
        <v>0</v>
      </c>
      <c r="AG363">
        <v>1</v>
      </c>
      <c r="AH363">
        <v>0</v>
      </c>
      <c r="AI363">
        <v>0</v>
      </c>
      <c r="AJ363">
        <v>1</v>
      </c>
      <c r="AK363">
        <v>4</v>
      </c>
      <c r="AL363">
        <v>1</v>
      </c>
      <c r="AM363">
        <v>1</v>
      </c>
      <c r="AN363">
        <v>0</v>
      </c>
      <c r="AO363">
        <v>0</v>
      </c>
      <c r="AP363">
        <v>1081</v>
      </c>
      <c r="AQ363">
        <v>0</v>
      </c>
      <c r="AR363">
        <v>8</v>
      </c>
      <c r="AS363">
        <v>0</v>
      </c>
      <c r="AT363">
        <v>5</v>
      </c>
      <c r="AU363">
        <v>33</v>
      </c>
      <c r="AV363">
        <v>1</v>
      </c>
      <c r="AW363">
        <v>2</v>
      </c>
      <c r="AX363">
        <v>5</v>
      </c>
      <c r="AY363">
        <v>7</v>
      </c>
      <c r="AZ363">
        <v>0</v>
      </c>
      <c r="BA363">
        <v>982</v>
      </c>
      <c r="BB363">
        <v>14</v>
      </c>
      <c r="BC363">
        <v>3</v>
      </c>
      <c r="BD363">
        <v>0</v>
      </c>
      <c r="BE363">
        <v>4</v>
      </c>
      <c r="BF363">
        <v>17</v>
      </c>
      <c r="BG363">
        <v>4</v>
      </c>
      <c r="BH363">
        <v>1</v>
      </c>
      <c r="BI363">
        <v>1</v>
      </c>
      <c r="BJ363">
        <v>0</v>
      </c>
      <c r="BK363">
        <v>1</v>
      </c>
      <c r="BL363">
        <v>1003</v>
      </c>
      <c r="BM363">
        <v>0</v>
      </c>
      <c r="BN363">
        <v>3</v>
      </c>
      <c r="BO363">
        <v>0</v>
      </c>
      <c r="BP363">
        <v>1</v>
      </c>
      <c r="BQ363">
        <v>0</v>
      </c>
      <c r="BR363">
        <v>1</v>
      </c>
      <c r="BS363">
        <v>0</v>
      </c>
      <c r="BT363">
        <v>0</v>
      </c>
      <c r="BU363">
        <v>0</v>
      </c>
      <c r="BV363">
        <v>0</v>
      </c>
      <c r="BW363">
        <v>962</v>
      </c>
      <c r="BX363">
        <v>0</v>
      </c>
      <c r="BY363">
        <v>3</v>
      </c>
      <c r="BZ363">
        <v>1</v>
      </c>
      <c r="CA363">
        <v>2</v>
      </c>
      <c r="CB363">
        <v>14</v>
      </c>
      <c r="CC363">
        <v>2</v>
      </c>
      <c r="CD363">
        <v>0</v>
      </c>
      <c r="CE363">
        <v>1</v>
      </c>
      <c r="CF363">
        <v>14</v>
      </c>
      <c r="CG363">
        <v>0</v>
      </c>
      <c r="CH363">
        <v>868</v>
      </c>
      <c r="CI363">
        <v>3</v>
      </c>
      <c r="CJ363">
        <v>1</v>
      </c>
      <c r="CK363">
        <v>3</v>
      </c>
      <c r="CL363">
        <v>0</v>
      </c>
      <c r="CM363">
        <v>3</v>
      </c>
      <c r="CN363">
        <v>0</v>
      </c>
      <c r="CO363">
        <v>0</v>
      </c>
      <c r="CP363">
        <v>0</v>
      </c>
      <c r="CQ363">
        <v>2</v>
      </c>
      <c r="CR363">
        <v>3</v>
      </c>
      <c r="CS363">
        <v>949</v>
      </c>
      <c r="CT363">
        <v>0</v>
      </c>
      <c r="CU363">
        <v>1</v>
      </c>
      <c r="CV363">
        <v>0</v>
      </c>
      <c r="CW363">
        <v>2</v>
      </c>
      <c r="CX363">
        <v>3</v>
      </c>
      <c r="CY363">
        <v>10</v>
      </c>
      <c r="CZ363">
        <v>8</v>
      </c>
      <c r="DA363">
        <v>1</v>
      </c>
      <c r="DB363">
        <v>0</v>
      </c>
      <c r="DC363">
        <v>0</v>
      </c>
      <c r="DD363">
        <v>997</v>
      </c>
      <c r="DE363">
        <v>2</v>
      </c>
      <c r="DF363">
        <v>5</v>
      </c>
      <c r="DG363">
        <v>10</v>
      </c>
      <c r="DH363">
        <v>0</v>
      </c>
      <c r="DI363">
        <v>5</v>
      </c>
      <c r="DJ363">
        <v>12</v>
      </c>
      <c r="DK363">
        <v>0</v>
      </c>
      <c r="DL363">
        <v>3</v>
      </c>
      <c r="DM363">
        <v>8</v>
      </c>
      <c r="DN363">
        <v>5</v>
      </c>
      <c r="DO363">
        <v>929</v>
      </c>
      <c r="DP363">
        <v>2</v>
      </c>
      <c r="DQ363">
        <v>5</v>
      </c>
      <c r="DR363">
        <v>0</v>
      </c>
      <c r="DS363">
        <v>0</v>
      </c>
      <c r="DT363">
        <v>10</v>
      </c>
      <c r="DU363">
        <v>2</v>
      </c>
      <c r="DV363">
        <v>4</v>
      </c>
      <c r="DW363">
        <v>0</v>
      </c>
      <c r="DX363">
        <v>5</v>
      </c>
      <c r="DY363">
        <v>2</v>
      </c>
      <c r="DZ363">
        <v>981</v>
      </c>
      <c r="EA363">
        <v>0.97240000000000004</v>
      </c>
      <c r="EB363">
        <v>0.97262847879064596</v>
      </c>
      <c r="EC363">
        <v>0.97281052144847102</v>
      </c>
      <c r="ED363">
        <v>0.972475863660066</v>
      </c>
      <c r="EE363">
        <f>SUM(Table1[[#This Row],[ratio_0]:[ratio_9]])</f>
        <v>550</v>
      </c>
      <c r="EF363" s="1">
        <f>(Table1[[#This Row],[predicted_0]]-Table1[[#This Row],[actual_0]])/Table1[[#This Row],[actual_0]]</f>
        <v>2.2448979591836733E-2</v>
      </c>
      <c r="EG363" s="1">
        <f>(Table1[[#This Row],[predicted_1]]-Table1[[#This Row],[actual_1]])/Table1[[#This Row],[actual_1]]</f>
        <v>-4.4933920704845816E-2</v>
      </c>
      <c r="EH363" s="1">
        <f>(Table1[[#This Row],[predicted_2]]-Table1[[#This Row],[actual_2]])/Table1[[#This Row],[actual_2]]</f>
        <v>-3.1007751937984496E-2</v>
      </c>
      <c r="EI363" s="1">
        <f>(Table1[[#This Row],[predicted_3]]-Table1[[#This Row],[actual_3]])/Table1[[#This Row],[actual_3]]</f>
        <v>5.8415841584158419E-2</v>
      </c>
      <c r="EJ363" s="1">
        <f>(Table1[[#This Row],[predicted_4]]-Table1[[#This Row],[actual_4]])/Table1[[#This Row],[actual_4]]</f>
        <v>-1.2219959266802444E-2</v>
      </c>
      <c r="EK363" s="1">
        <f>(Table1[[#This Row],[predicted_5]]-Table1[[#This Row],[actual_5]])/Table1[[#This Row],[actual_5]]</f>
        <v>-5.6053811659192822E-3</v>
      </c>
      <c r="EL363" s="1">
        <f>(Table1[[#This Row],[predicted_6]]-Table1[[#This Row],[actual_6]])/Table1[[#This Row],[actual_6]]</f>
        <v>4.8016701461377868E-2</v>
      </c>
      <c r="EM363" s="1">
        <f>(Table1[[#This Row],[predicted_7]]-Table1[[#This Row],[actual_7]])/Table1[[#This Row],[actual_7]]</f>
        <v>9.727626459143969E-4</v>
      </c>
      <c r="EN363" s="1">
        <f>(Table1[[#This Row],[predicted_8]]-Table1[[#This Row],[actual_8]])/Table1[[#This Row],[actual_8]]</f>
        <v>-2.8747433264887063E-2</v>
      </c>
      <c r="EO363" s="1">
        <f>(Table1[[#This Row],[predicted_9]]-Table1[[#This Row],[actual_9]])/Table1[[#This Row],[actual_9]]</f>
        <v>0</v>
      </c>
      <c r="EP363" s="1">
        <f>1+(Table1[[#This Row],[error_ratio_0]]-EF$2)</f>
        <v>1.0204081632653061</v>
      </c>
      <c r="EQ363" s="1">
        <f>1+(Table1[[#This Row],[error_ratio_1]]-EG$2)</f>
        <v>0.95330396475770929</v>
      </c>
      <c r="ER363" s="1">
        <f>1+(Table1[[#This Row],[error_ratio_2]]-EH$2)</f>
        <v>0.97383720930232553</v>
      </c>
      <c r="ES363" s="1">
        <f>1+(Table1[[#This Row],[error_ratio_3]]-EI$2)</f>
        <v>1.0485148514851486</v>
      </c>
      <c r="ET363" s="1">
        <f>1+(Table1[[#This Row],[error_ratio_4]]-EJ$2)</f>
        <v>0.98676171079429731</v>
      </c>
      <c r="EU363" s="1">
        <f>1+(Table1[[#This Row],[error_ratio_5]]-EK$2)</f>
        <v>0.99327354260089684</v>
      </c>
      <c r="EV363" s="1">
        <f>1+(Table1[[#This Row],[error_ratio_6]]-EL$2)</f>
        <v>1.0542797494780793</v>
      </c>
      <c r="EW363" s="1">
        <f>1+(Table1[[#This Row],[error_ratio_7]]-EM$2)</f>
        <v>0.99902723735408561</v>
      </c>
      <c r="EX363" s="1">
        <f>1+(Table1[[#This Row],[error_ratio_8]]-EN$2)</f>
        <v>0.97433264887063653</v>
      </c>
      <c r="EY363" s="1">
        <f>1+(Table1[[#This Row],[error_ratio_9]]-EO$2)</f>
        <v>1.00396432111001</v>
      </c>
    </row>
    <row r="364" spans="1:155" x14ac:dyDescent="0.75">
      <c r="A364">
        <v>100</v>
      </c>
      <c r="B364">
        <v>100</v>
      </c>
      <c r="C364">
        <v>100</v>
      </c>
      <c r="D364">
        <v>10</v>
      </c>
      <c r="E364">
        <v>100</v>
      </c>
      <c r="F364">
        <v>100</v>
      </c>
      <c r="G364">
        <v>100</v>
      </c>
      <c r="H364">
        <v>10</v>
      </c>
      <c r="I364">
        <v>10</v>
      </c>
      <c r="J364">
        <v>100</v>
      </c>
      <c r="K364">
        <v>1010</v>
      </c>
      <c r="L364">
        <v>1160</v>
      </c>
      <c r="M364">
        <v>1080</v>
      </c>
      <c r="N364">
        <v>968</v>
      </c>
      <c r="O364">
        <v>984</v>
      </c>
      <c r="P364">
        <v>935</v>
      </c>
      <c r="Q364">
        <v>955</v>
      </c>
      <c r="R364">
        <v>971</v>
      </c>
      <c r="S364">
        <v>900</v>
      </c>
      <c r="T364">
        <v>1037</v>
      </c>
      <c r="U364">
        <v>980</v>
      </c>
      <c r="V364">
        <v>1135</v>
      </c>
      <c r="W364">
        <v>1032</v>
      </c>
      <c r="X364">
        <v>1010</v>
      </c>
      <c r="Y364">
        <v>982</v>
      </c>
      <c r="Z364">
        <v>892</v>
      </c>
      <c r="AA364">
        <v>958</v>
      </c>
      <c r="AB364">
        <v>1028</v>
      </c>
      <c r="AC364">
        <v>974</v>
      </c>
      <c r="AD364">
        <v>1009</v>
      </c>
      <c r="AE364">
        <v>974</v>
      </c>
      <c r="AF364">
        <v>2</v>
      </c>
      <c r="AG364">
        <v>0</v>
      </c>
      <c r="AH364">
        <v>1</v>
      </c>
      <c r="AI364">
        <v>0</v>
      </c>
      <c r="AJ364">
        <v>0</v>
      </c>
      <c r="AK364">
        <v>1</v>
      </c>
      <c r="AL364">
        <v>1</v>
      </c>
      <c r="AM364">
        <v>0</v>
      </c>
      <c r="AN364">
        <v>1</v>
      </c>
      <c r="AO364">
        <v>0</v>
      </c>
      <c r="AP364">
        <v>1134</v>
      </c>
      <c r="AQ364">
        <v>0</v>
      </c>
      <c r="AR364">
        <v>1</v>
      </c>
      <c r="AS364">
        <v>0</v>
      </c>
      <c r="AT364">
        <v>0</v>
      </c>
      <c r="AU364">
        <v>0</v>
      </c>
      <c r="AV364">
        <v>0</v>
      </c>
      <c r="AW364">
        <v>0</v>
      </c>
      <c r="AX364">
        <v>0</v>
      </c>
      <c r="AY364">
        <v>2</v>
      </c>
      <c r="AZ364">
        <v>3</v>
      </c>
      <c r="BA364">
        <v>1020</v>
      </c>
      <c r="BB364">
        <v>1</v>
      </c>
      <c r="BC364">
        <v>0</v>
      </c>
      <c r="BD364">
        <v>0</v>
      </c>
      <c r="BE364">
        <v>0</v>
      </c>
      <c r="BF364">
        <v>6</v>
      </c>
      <c r="BG364">
        <v>0</v>
      </c>
      <c r="BH364">
        <v>0</v>
      </c>
      <c r="BI364">
        <v>5</v>
      </c>
      <c r="BJ364">
        <v>0</v>
      </c>
      <c r="BK364">
        <v>13</v>
      </c>
      <c r="BL364">
        <v>953</v>
      </c>
      <c r="BM364">
        <v>0</v>
      </c>
      <c r="BN364">
        <v>23</v>
      </c>
      <c r="BO364">
        <v>0</v>
      </c>
      <c r="BP364">
        <v>2</v>
      </c>
      <c r="BQ364">
        <v>2</v>
      </c>
      <c r="BR364">
        <v>12</v>
      </c>
      <c r="BS364">
        <v>0</v>
      </c>
      <c r="BT364">
        <v>1</v>
      </c>
      <c r="BU364">
        <v>2</v>
      </c>
      <c r="BV364">
        <v>0</v>
      </c>
      <c r="BW364">
        <v>966</v>
      </c>
      <c r="BX364">
        <v>0</v>
      </c>
      <c r="BY364">
        <v>4</v>
      </c>
      <c r="BZ364">
        <v>0</v>
      </c>
      <c r="CA364">
        <v>0</v>
      </c>
      <c r="CB364">
        <v>9</v>
      </c>
      <c r="CC364">
        <v>2</v>
      </c>
      <c r="CD364">
        <v>0</v>
      </c>
      <c r="CE364">
        <v>0</v>
      </c>
      <c r="CF364">
        <v>1</v>
      </c>
      <c r="CG364">
        <v>0</v>
      </c>
      <c r="CH364">
        <v>884</v>
      </c>
      <c r="CI364">
        <v>2</v>
      </c>
      <c r="CJ364">
        <v>1</v>
      </c>
      <c r="CK364">
        <v>0</v>
      </c>
      <c r="CL364">
        <v>2</v>
      </c>
      <c r="CM364">
        <v>6</v>
      </c>
      <c r="CN364">
        <v>2</v>
      </c>
      <c r="CO364">
        <v>0</v>
      </c>
      <c r="CP364">
        <v>0</v>
      </c>
      <c r="CQ364">
        <v>3</v>
      </c>
      <c r="CR364">
        <v>3</v>
      </c>
      <c r="CS364">
        <v>944</v>
      </c>
      <c r="CT364">
        <v>0</v>
      </c>
      <c r="CU364">
        <v>0</v>
      </c>
      <c r="CV364">
        <v>0</v>
      </c>
      <c r="CW364">
        <v>2</v>
      </c>
      <c r="CX364">
        <v>10</v>
      </c>
      <c r="CY364">
        <v>31</v>
      </c>
      <c r="CZ364">
        <v>8</v>
      </c>
      <c r="DA364">
        <v>5</v>
      </c>
      <c r="DB364">
        <v>1</v>
      </c>
      <c r="DC364">
        <v>0</v>
      </c>
      <c r="DD364">
        <v>955</v>
      </c>
      <c r="DE364">
        <v>1</v>
      </c>
      <c r="DF364">
        <v>15</v>
      </c>
      <c r="DG364">
        <v>15</v>
      </c>
      <c r="DH364">
        <v>4</v>
      </c>
      <c r="DI364">
        <v>12</v>
      </c>
      <c r="DJ364">
        <v>3</v>
      </c>
      <c r="DK364">
        <v>4</v>
      </c>
      <c r="DL364">
        <v>21</v>
      </c>
      <c r="DM364">
        <v>4</v>
      </c>
      <c r="DN364">
        <v>4</v>
      </c>
      <c r="DO364">
        <v>897</v>
      </c>
      <c r="DP364">
        <v>10</v>
      </c>
      <c r="DQ364">
        <v>4</v>
      </c>
      <c r="DR364">
        <v>4</v>
      </c>
      <c r="DS364">
        <v>2</v>
      </c>
      <c r="DT364">
        <v>0</v>
      </c>
      <c r="DU364">
        <v>6</v>
      </c>
      <c r="DV364">
        <v>3</v>
      </c>
      <c r="DW364">
        <v>0</v>
      </c>
      <c r="DX364">
        <v>2</v>
      </c>
      <c r="DY364">
        <v>0</v>
      </c>
      <c r="DZ364">
        <v>988</v>
      </c>
      <c r="EA364">
        <v>0.97150000000000003</v>
      </c>
      <c r="EB364">
        <v>0.97194718783642697</v>
      </c>
      <c r="EC364">
        <v>0.97141774751593302</v>
      </c>
      <c r="ED364">
        <v>0.97125578047993799</v>
      </c>
      <c r="EE364">
        <f>SUM(Table1[[#This Row],[ratio_0]:[ratio_9]])</f>
        <v>730</v>
      </c>
      <c r="EF364" s="1">
        <f>(Table1[[#This Row],[predicted_0]]-Table1[[#This Row],[actual_0]])/Table1[[#This Row],[actual_0]]</f>
        <v>3.0612244897959183E-2</v>
      </c>
      <c r="EG364" s="1">
        <f>(Table1[[#This Row],[predicted_1]]-Table1[[#This Row],[actual_1]])/Table1[[#This Row],[actual_1]]</f>
        <v>2.2026431718061675E-2</v>
      </c>
      <c r="EH364" s="1">
        <f>(Table1[[#This Row],[predicted_2]]-Table1[[#This Row],[actual_2]])/Table1[[#This Row],[actual_2]]</f>
        <v>4.6511627906976744E-2</v>
      </c>
      <c r="EI364" s="1">
        <f>(Table1[[#This Row],[predicted_3]]-Table1[[#This Row],[actual_3]])/Table1[[#This Row],[actual_3]]</f>
        <v>-4.1584158415841586E-2</v>
      </c>
      <c r="EJ364" s="1">
        <f>(Table1[[#This Row],[predicted_4]]-Table1[[#This Row],[actual_4]])/Table1[[#This Row],[actual_4]]</f>
        <v>2.0366598778004071E-3</v>
      </c>
      <c r="EK364" s="1">
        <f>(Table1[[#This Row],[predicted_5]]-Table1[[#This Row],[actual_5]])/Table1[[#This Row],[actual_5]]</f>
        <v>4.820627802690583E-2</v>
      </c>
      <c r="EL364" s="1">
        <f>(Table1[[#This Row],[predicted_6]]-Table1[[#This Row],[actual_6]])/Table1[[#This Row],[actual_6]]</f>
        <v>-3.1315240083507308E-3</v>
      </c>
      <c r="EM364" s="1">
        <f>(Table1[[#This Row],[predicted_7]]-Table1[[#This Row],[actual_7]])/Table1[[#This Row],[actual_7]]</f>
        <v>-5.544747081712062E-2</v>
      </c>
      <c r="EN364" s="1">
        <f>(Table1[[#This Row],[predicted_8]]-Table1[[#This Row],[actual_8]])/Table1[[#This Row],[actual_8]]</f>
        <v>-7.5975359342915813E-2</v>
      </c>
      <c r="EO364" s="1">
        <f>(Table1[[#This Row],[predicted_9]]-Table1[[#This Row],[actual_9]])/Table1[[#This Row],[actual_9]]</f>
        <v>2.7750247770069375E-2</v>
      </c>
      <c r="EP364" s="1">
        <f>1+(Table1[[#This Row],[error_ratio_0]]-EF$2)</f>
        <v>1.0285714285714285</v>
      </c>
      <c r="EQ364" s="1">
        <f>1+(Table1[[#This Row],[error_ratio_1]]-EG$2)</f>
        <v>1.0202643171806167</v>
      </c>
      <c r="ER364" s="1">
        <f>1+(Table1[[#This Row],[error_ratio_2]]-EH$2)</f>
        <v>1.0513565891472869</v>
      </c>
      <c r="ES364" s="1">
        <f>1+(Table1[[#This Row],[error_ratio_3]]-EI$2)</f>
        <v>0.94851485148514847</v>
      </c>
      <c r="ET364" s="1">
        <f>1+(Table1[[#This Row],[error_ratio_4]]-EJ$2)</f>
        <v>1.0010183299389002</v>
      </c>
      <c r="EU364" s="1">
        <f>1+(Table1[[#This Row],[error_ratio_5]]-EK$2)</f>
        <v>1.047085201793722</v>
      </c>
      <c r="EV364" s="1">
        <f>1+(Table1[[#This Row],[error_ratio_6]]-EL$2)</f>
        <v>1.0031315240083507</v>
      </c>
      <c r="EW364" s="1">
        <f>1+(Table1[[#This Row],[error_ratio_7]]-EM$2)</f>
        <v>0.94260700389105057</v>
      </c>
      <c r="EX364" s="1">
        <f>1+(Table1[[#This Row],[error_ratio_8]]-EN$2)</f>
        <v>0.9271047227926078</v>
      </c>
      <c r="EY364" s="1">
        <f>1+(Table1[[#This Row],[error_ratio_9]]-EO$2)</f>
        <v>1.0317145688800793</v>
      </c>
    </row>
    <row r="365" spans="1:155" x14ac:dyDescent="0.75">
      <c r="A365">
        <v>10</v>
      </c>
      <c r="B365">
        <v>100</v>
      </c>
      <c r="C365">
        <v>100</v>
      </c>
      <c r="D365">
        <v>10</v>
      </c>
      <c r="E365">
        <v>100</v>
      </c>
      <c r="F365">
        <v>100</v>
      </c>
      <c r="G365">
        <v>100</v>
      </c>
      <c r="H365">
        <v>10</v>
      </c>
      <c r="I365">
        <v>10</v>
      </c>
      <c r="J365">
        <v>100</v>
      </c>
      <c r="K365">
        <v>979</v>
      </c>
      <c r="L365">
        <v>1157</v>
      </c>
      <c r="M365">
        <v>1032</v>
      </c>
      <c r="N365">
        <v>936</v>
      </c>
      <c r="O365">
        <v>1028</v>
      </c>
      <c r="P365">
        <v>929</v>
      </c>
      <c r="Q365">
        <v>952</v>
      </c>
      <c r="R365">
        <v>987</v>
      </c>
      <c r="S365">
        <v>910</v>
      </c>
      <c r="T365">
        <v>1090</v>
      </c>
      <c r="U365">
        <v>980</v>
      </c>
      <c r="V365">
        <v>1135</v>
      </c>
      <c r="W365">
        <v>1032</v>
      </c>
      <c r="X365">
        <v>1010</v>
      </c>
      <c r="Y365">
        <v>982</v>
      </c>
      <c r="Z365">
        <v>892</v>
      </c>
      <c r="AA365">
        <v>958</v>
      </c>
      <c r="AB365">
        <v>1028</v>
      </c>
      <c r="AC365">
        <v>974</v>
      </c>
      <c r="AD365">
        <v>1009</v>
      </c>
      <c r="AE365">
        <v>958</v>
      </c>
      <c r="AF365">
        <v>2</v>
      </c>
      <c r="AG365">
        <v>0</v>
      </c>
      <c r="AH365">
        <v>0</v>
      </c>
      <c r="AI365">
        <v>3</v>
      </c>
      <c r="AJ365">
        <v>3</v>
      </c>
      <c r="AK365">
        <v>4</v>
      </c>
      <c r="AL365">
        <v>1</v>
      </c>
      <c r="AM365">
        <v>2</v>
      </c>
      <c r="AN365">
        <v>7</v>
      </c>
      <c r="AO365">
        <v>0</v>
      </c>
      <c r="AP365">
        <v>1134</v>
      </c>
      <c r="AQ365">
        <v>0</v>
      </c>
      <c r="AR365">
        <v>0</v>
      </c>
      <c r="AS365">
        <v>0</v>
      </c>
      <c r="AT365">
        <v>0</v>
      </c>
      <c r="AU365">
        <v>1</v>
      </c>
      <c r="AV365">
        <v>0</v>
      </c>
      <c r="AW365">
        <v>0</v>
      </c>
      <c r="AX365">
        <v>0</v>
      </c>
      <c r="AY365">
        <v>1</v>
      </c>
      <c r="AZ365">
        <v>1</v>
      </c>
      <c r="BA365">
        <v>1013</v>
      </c>
      <c r="BB365">
        <v>1</v>
      </c>
      <c r="BC365">
        <v>3</v>
      </c>
      <c r="BD365">
        <v>0</v>
      </c>
      <c r="BE365">
        <v>0</v>
      </c>
      <c r="BF365">
        <v>12</v>
      </c>
      <c r="BG365">
        <v>0</v>
      </c>
      <c r="BH365">
        <v>1</v>
      </c>
      <c r="BI365">
        <v>2</v>
      </c>
      <c r="BJ365">
        <v>1</v>
      </c>
      <c r="BK365">
        <v>4</v>
      </c>
      <c r="BL365">
        <v>928</v>
      </c>
      <c r="BM365">
        <v>0</v>
      </c>
      <c r="BN365">
        <v>31</v>
      </c>
      <c r="BO365">
        <v>0</v>
      </c>
      <c r="BP365">
        <v>7</v>
      </c>
      <c r="BQ365">
        <v>1</v>
      </c>
      <c r="BR365">
        <v>36</v>
      </c>
      <c r="BS365">
        <v>0</v>
      </c>
      <c r="BT365">
        <v>0</v>
      </c>
      <c r="BU365">
        <v>0</v>
      </c>
      <c r="BV365">
        <v>0</v>
      </c>
      <c r="BW365">
        <v>980</v>
      </c>
      <c r="BX365">
        <v>0</v>
      </c>
      <c r="BY365">
        <v>0</v>
      </c>
      <c r="BZ365">
        <v>0</v>
      </c>
      <c r="CA365">
        <v>0</v>
      </c>
      <c r="CB365">
        <v>2</v>
      </c>
      <c r="CC365">
        <v>1</v>
      </c>
      <c r="CD365">
        <v>0</v>
      </c>
      <c r="CE365">
        <v>1</v>
      </c>
      <c r="CF365">
        <v>1</v>
      </c>
      <c r="CG365">
        <v>0</v>
      </c>
      <c r="CH365">
        <v>884</v>
      </c>
      <c r="CI365">
        <v>1</v>
      </c>
      <c r="CJ365">
        <v>0</v>
      </c>
      <c r="CK365">
        <v>0</v>
      </c>
      <c r="CL365">
        <v>4</v>
      </c>
      <c r="CM365">
        <v>7</v>
      </c>
      <c r="CN365">
        <v>3</v>
      </c>
      <c r="CO365">
        <v>0</v>
      </c>
      <c r="CP365">
        <v>0</v>
      </c>
      <c r="CQ365">
        <v>9</v>
      </c>
      <c r="CR365">
        <v>1</v>
      </c>
      <c r="CS365">
        <v>938</v>
      </c>
      <c r="CT365">
        <v>0</v>
      </c>
      <c r="CU365">
        <v>0</v>
      </c>
      <c r="CV365">
        <v>0</v>
      </c>
      <c r="CW365">
        <v>1</v>
      </c>
      <c r="CX365">
        <v>10</v>
      </c>
      <c r="CY365">
        <v>11</v>
      </c>
      <c r="CZ365">
        <v>2</v>
      </c>
      <c r="DA365">
        <v>5</v>
      </c>
      <c r="DB365">
        <v>0</v>
      </c>
      <c r="DC365">
        <v>0</v>
      </c>
      <c r="DD365">
        <v>958</v>
      </c>
      <c r="DE365">
        <v>2</v>
      </c>
      <c r="DF365">
        <v>39</v>
      </c>
      <c r="DG365">
        <v>8</v>
      </c>
      <c r="DH365">
        <v>3</v>
      </c>
      <c r="DI365">
        <v>3</v>
      </c>
      <c r="DJ365">
        <v>4</v>
      </c>
      <c r="DK365">
        <v>12</v>
      </c>
      <c r="DL365">
        <v>10</v>
      </c>
      <c r="DM365">
        <v>8</v>
      </c>
      <c r="DN365">
        <v>6</v>
      </c>
      <c r="DO365">
        <v>905</v>
      </c>
      <c r="DP365">
        <v>15</v>
      </c>
      <c r="DQ365">
        <v>1</v>
      </c>
      <c r="DR365">
        <v>3</v>
      </c>
      <c r="DS365">
        <v>0</v>
      </c>
      <c r="DT365">
        <v>0</v>
      </c>
      <c r="DU365">
        <v>16</v>
      </c>
      <c r="DV365">
        <v>0</v>
      </c>
      <c r="DW365">
        <v>0</v>
      </c>
      <c r="DX365">
        <v>3</v>
      </c>
      <c r="DY365">
        <v>0</v>
      </c>
      <c r="DZ365">
        <v>986</v>
      </c>
      <c r="EA365">
        <v>0.96840000000000004</v>
      </c>
      <c r="EB365">
        <v>0.969158569532376</v>
      </c>
      <c r="EC365">
        <v>0.96834587744351597</v>
      </c>
      <c r="ED365">
        <v>0.96822230492080896</v>
      </c>
      <c r="EE365">
        <f>SUM(Table1[[#This Row],[ratio_0]:[ratio_9]])</f>
        <v>640</v>
      </c>
      <c r="EF365" s="1">
        <f>(Table1[[#This Row],[predicted_0]]-Table1[[#This Row],[actual_0]])/Table1[[#This Row],[actual_0]]</f>
        <v>-1.0204081632653062E-3</v>
      </c>
      <c r="EG365" s="1">
        <f>(Table1[[#This Row],[predicted_1]]-Table1[[#This Row],[actual_1]])/Table1[[#This Row],[actual_1]]</f>
        <v>1.9383259911894272E-2</v>
      </c>
      <c r="EH365" s="1">
        <f>(Table1[[#This Row],[predicted_2]]-Table1[[#This Row],[actual_2]])/Table1[[#This Row],[actual_2]]</f>
        <v>0</v>
      </c>
      <c r="EI365" s="1">
        <f>(Table1[[#This Row],[predicted_3]]-Table1[[#This Row],[actual_3]])/Table1[[#This Row],[actual_3]]</f>
        <v>-7.3267326732673263E-2</v>
      </c>
      <c r="EJ365" s="1">
        <f>(Table1[[#This Row],[predicted_4]]-Table1[[#This Row],[actual_4]])/Table1[[#This Row],[actual_4]]</f>
        <v>4.684317718940937E-2</v>
      </c>
      <c r="EK365" s="1">
        <f>(Table1[[#This Row],[predicted_5]]-Table1[[#This Row],[actual_5]])/Table1[[#This Row],[actual_5]]</f>
        <v>4.1479820627802692E-2</v>
      </c>
      <c r="EL365" s="1">
        <f>(Table1[[#This Row],[predicted_6]]-Table1[[#This Row],[actual_6]])/Table1[[#This Row],[actual_6]]</f>
        <v>-6.2630480167014616E-3</v>
      </c>
      <c r="EM365" s="1">
        <f>(Table1[[#This Row],[predicted_7]]-Table1[[#This Row],[actual_7]])/Table1[[#This Row],[actual_7]]</f>
        <v>-3.9883268482490269E-2</v>
      </c>
      <c r="EN365" s="1">
        <f>(Table1[[#This Row],[predicted_8]]-Table1[[#This Row],[actual_8]])/Table1[[#This Row],[actual_8]]</f>
        <v>-6.5708418891170434E-2</v>
      </c>
      <c r="EO365" s="1">
        <f>(Table1[[#This Row],[predicted_9]]-Table1[[#This Row],[actual_9]])/Table1[[#This Row],[actual_9]]</f>
        <v>8.0277502477700699E-2</v>
      </c>
      <c r="EP365" s="1">
        <f>1+(Table1[[#This Row],[error_ratio_0]]-EF$2)</f>
        <v>0.99693877551020404</v>
      </c>
      <c r="EQ365" s="1">
        <f>1+(Table1[[#This Row],[error_ratio_1]]-EG$2)</f>
        <v>1.0176211453744493</v>
      </c>
      <c r="ER365" s="1">
        <f>1+(Table1[[#This Row],[error_ratio_2]]-EH$2)</f>
        <v>1.0048449612403101</v>
      </c>
      <c r="ES365" s="1">
        <f>1+(Table1[[#This Row],[error_ratio_3]]-EI$2)</f>
        <v>0.91683168316831687</v>
      </c>
      <c r="ET365" s="1">
        <f>1+(Table1[[#This Row],[error_ratio_4]]-EJ$2)</f>
        <v>1.0458248472505092</v>
      </c>
      <c r="EU365" s="1">
        <f>1+(Table1[[#This Row],[error_ratio_5]]-EK$2)</f>
        <v>1.0403587443946187</v>
      </c>
      <c r="EV365" s="1">
        <f>1+(Table1[[#This Row],[error_ratio_6]]-EL$2)</f>
        <v>1</v>
      </c>
      <c r="EW365" s="1">
        <f>1+(Table1[[#This Row],[error_ratio_7]]-EM$2)</f>
        <v>0.95817120622568097</v>
      </c>
      <c r="EX365" s="1">
        <f>1+(Table1[[#This Row],[error_ratio_8]]-EN$2)</f>
        <v>0.93737166324435317</v>
      </c>
      <c r="EY365" s="1">
        <f>1+(Table1[[#This Row],[error_ratio_9]]-EO$2)</f>
        <v>1.0842418235877107</v>
      </c>
    </row>
    <row r="366" spans="1:155" x14ac:dyDescent="0.75">
      <c r="A366">
        <v>100</v>
      </c>
      <c r="B366">
        <v>10</v>
      </c>
      <c r="C366">
        <v>100</v>
      </c>
      <c r="D366">
        <v>10</v>
      </c>
      <c r="E366">
        <v>100</v>
      </c>
      <c r="F366">
        <v>100</v>
      </c>
      <c r="G366">
        <v>100</v>
      </c>
      <c r="H366">
        <v>10</v>
      </c>
      <c r="I366">
        <v>10</v>
      </c>
      <c r="J366">
        <v>100</v>
      </c>
      <c r="K366">
        <v>996</v>
      </c>
      <c r="L366">
        <v>1123</v>
      </c>
      <c r="M366">
        <v>1106</v>
      </c>
      <c r="N366">
        <v>955</v>
      </c>
      <c r="O366">
        <v>1004</v>
      </c>
      <c r="P366">
        <v>947</v>
      </c>
      <c r="Q366">
        <v>965</v>
      </c>
      <c r="R366">
        <v>1006</v>
      </c>
      <c r="S366">
        <v>941</v>
      </c>
      <c r="T366">
        <v>957</v>
      </c>
      <c r="U366">
        <v>980</v>
      </c>
      <c r="V366">
        <v>1135</v>
      </c>
      <c r="W366">
        <v>1032</v>
      </c>
      <c r="X366">
        <v>1010</v>
      </c>
      <c r="Y366">
        <v>982</v>
      </c>
      <c r="Z366">
        <v>892</v>
      </c>
      <c r="AA366">
        <v>958</v>
      </c>
      <c r="AB366">
        <v>1028</v>
      </c>
      <c r="AC366">
        <v>974</v>
      </c>
      <c r="AD366">
        <v>1009</v>
      </c>
      <c r="AE366">
        <v>977</v>
      </c>
      <c r="AF366">
        <v>0</v>
      </c>
      <c r="AG366">
        <v>1</v>
      </c>
      <c r="AH366">
        <v>0</v>
      </c>
      <c r="AI366">
        <v>0</v>
      </c>
      <c r="AJ366">
        <v>0</v>
      </c>
      <c r="AK366">
        <v>1</v>
      </c>
      <c r="AL366">
        <v>1</v>
      </c>
      <c r="AM366">
        <v>0</v>
      </c>
      <c r="AN366">
        <v>0</v>
      </c>
      <c r="AO366">
        <v>3</v>
      </c>
      <c r="AP366">
        <v>1114</v>
      </c>
      <c r="AQ366">
        <v>5</v>
      </c>
      <c r="AR366">
        <v>3</v>
      </c>
      <c r="AS366">
        <v>0</v>
      </c>
      <c r="AT366">
        <v>2</v>
      </c>
      <c r="AU366">
        <v>5</v>
      </c>
      <c r="AV366">
        <v>2</v>
      </c>
      <c r="AW366">
        <v>1</v>
      </c>
      <c r="AX366">
        <v>0</v>
      </c>
      <c r="AY366">
        <v>1</v>
      </c>
      <c r="AZ366">
        <v>0</v>
      </c>
      <c r="BA366">
        <v>1026</v>
      </c>
      <c r="BB366">
        <v>0</v>
      </c>
      <c r="BC366">
        <v>1</v>
      </c>
      <c r="BD366">
        <v>0</v>
      </c>
      <c r="BE366">
        <v>0</v>
      </c>
      <c r="BF366">
        <v>3</v>
      </c>
      <c r="BG366">
        <v>1</v>
      </c>
      <c r="BH366">
        <v>0</v>
      </c>
      <c r="BI366">
        <v>0</v>
      </c>
      <c r="BJ366">
        <v>0</v>
      </c>
      <c r="BK366">
        <v>11</v>
      </c>
      <c r="BL366">
        <v>949</v>
      </c>
      <c r="BM366">
        <v>0</v>
      </c>
      <c r="BN366">
        <v>28</v>
      </c>
      <c r="BO366">
        <v>0</v>
      </c>
      <c r="BP366">
        <v>8</v>
      </c>
      <c r="BQ366">
        <v>10</v>
      </c>
      <c r="BR366">
        <v>4</v>
      </c>
      <c r="BS366">
        <v>0</v>
      </c>
      <c r="BT366">
        <v>0</v>
      </c>
      <c r="BU366">
        <v>1</v>
      </c>
      <c r="BV366">
        <v>0</v>
      </c>
      <c r="BW366">
        <v>978</v>
      </c>
      <c r="BX366">
        <v>0</v>
      </c>
      <c r="BY366">
        <v>2</v>
      </c>
      <c r="BZ366">
        <v>0</v>
      </c>
      <c r="CA366">
        <v>0</v>
      </c>
      <c r="CB366">
        <v>1</v>
      </c>
      <c r="CC366">
        <v>2</v>
      </c>
      <c r="CD366">
        <v>0</v>
      </c>
      <c r="CE366">
        <v>1</v>
      </c>
      <c r="CF366">
        <v>0</v>
      </c>
      <c r="CG366">
        <v>0</v>
      </c>
      <c r="CH366">
        <v>884</v>
      </c>
      <c r="CI366">
        <v>3</v>
      </c>
      <c r="CJ366">
        <v>1</v>
      </c>
      <c r="CK366">
        <v>0</v>
      </c>
      <c r="CL366">
        <v>1</v>
      </c>
      <c r="CM366">
        <v>3</v>
      </c>
      <c r="CN366">
        <v>2</v>
      </c>
      <c r="CO366">
        <v>2</v>
      </c>
      <c r="CP366">
        <v>0</v>
      </c>
      <c r="CQ366">
        <v>1</v>
      </c>
      <c r="CR366">
        <v>3</v>
      </c>
      <c r="CS366">
        <v>947</v>
      </c>
      <c r="CT366">
        <v>0</v>
      </c>
      <c r="CU366">
        <v>0</v>
      </c>
      <c r="CV366">
        <v>0</v>
      </c>
      <c r="CW366">
        <v>0</v>
      </c>
      <c r="CX366">
        <v>3</v>
      </c>
      <c r="CY366">
        <v>45</v>
      </c>
      <c r="CZ366">
        <v>0</v>
      </c>
      <c r="DA366">
        <v>5</v>
      </c>
      <c r="DB366">
        <v>4</v>
      </c>
      <c r="DC366">
        <v>0</v>
      </c>
      <c r="DD366">
        <v>970</v>
      </c>
      <c r="DE366">
        <v>1</v>
      </c>
      <c r="DF366">
        <v>0</v>
      </c>
      <c r="DG366">
        <v>9</v>
      </c>
      <c r="DH366">
        <v>1</v>
      </c>
      <c r="DI366">
        <v>11</v>
      </c>
      <c r="DJ366">
        <v>1</v>
      </c>
      <c r="DK366">
        <v>2</v>
      </c>
      <c r="DL366">
        <v>11</v>
      </c>
      <c r="DM366">
        <v>7</v>
      </c>
      <c r="DN366">
        <v>8</v>
      </c>
      <c r="DO366">
        <v>923</v>
      </c>
      <c r="DP366">
        <v>1</v>
      </c>
      <c r="DQ366">
        <v>1</v>
      </c>
      <c r="DR366">
        <v>3</v>
      </c>
      <c r="DS366">
        <v>3</v>
      </c>
      <c r="DT366">
        <v>2</v>
      </c>
      <c r="DU366">
        <v>17</v>
      </c>
      <c r="DV366">
        <v>15</v>
      </c>
      <c r="DW366">
        <v>0</v>
      </c>
      <c r="DX366">
        <v>13</v>
      </c>
      <c r="DY366">
        <v>5</v>
      </c>
      <c r="DZ366">
        <v>950</v>
      </c>
      <c r="EA366">
        <v>0.9718</v>
      </c>
      <c r="EB366">
        <v>0.97209904594622898</v>
      </c>
      <c r="EC366">
        <v>0.972044702931676</v>
      </c>
      <c r="ED366">
        <v>0.97166484298968103</v>
      </c>
      <c r="EE366">
        <f>SUM(Table1[[#This Row],[ratio_0]:[ratio_9]])</f>
        <v>640</v>
      </c>
      <c r="EF366" s="1">
        <f>(Table1[[#This Row],[predicted_0]]-Table1[[#This Row],[actual_0]])/Table1[[#This Row],[actual_0]]</f>
        <v>1.6326530612244899E-2</v>
      </c>
      <c r="EG366" s="1">
        <f>(Table1[[#This Row],[predicted_1]]-Table1[[#This Row],[actual_1]])/Table1[[#This Row],[actual_1]]</f>
        <v>-1.0572687224669603E-2</v>
      </c>
      <c r="EH366" s="1">
        <f>(Table1[[#This Row],[predicted_2]]-Table1[[#This Row],[actual_2]])/Table1[[#This Row],[actual_2]]</f>
        <v>7.170542635658915E-2</v>
      </c>
      <c r="EI366" s="1">
        <f>(Table1[[#This Row],[predicted_3]]-Table1[[#This Row],[actual_3]])/Table1[[#This Row],[actual_3]]</f>
        <v>-5.4455445544554455E-2</v>
      </c>
      <c r="EJ366" s="1">
        <f>(Table1[[#This Row],[predicted_4]]-Table1[[#This Row],[actual_4]])/Table1[[#This Row],[actual_4]]</f>
        <v>2.2403258655804479E-2</v>
      </c>
      <c r="EK366" s="1">
        <f>(Table1[[#This Row],[predicted_5]]-Table1[[#This Row],[actual_5]])/Table1[[#This Row],[actual_5]]</f>
        <v>6.1659192825112105E-2</v>
      </c>
      <c r="EL366" s="1">
        <f>(Table1[[#This Row],[predicted_6]]-Table1[[#This Row],[actual_6]])/Table1[[#This Row],[actual_6]]</f>
        <v>7.3068893528183713E-3</v>
      </c>
      <c r="EM366" s="1">
        <f>(Table1[[#This Row],[predicted_7]]-Table1[[#This Row],[actual_7]])/Table1[[#This Row],[actual_7]]</f>
        <v>-2.1400778210116732E-2</v>
      </c>
      <c r="EN366" s="1">
        <f>(Table1[[#This Row],[predicted_8]]-Table1[[#This Row],[actual_8]])/Table1[[#This Row],[actual_8]]</f>
        <v>-3.3880903490759756E-2</v>
      </c>
      <c r="EO366" s="1">
        <f>(Table1[[#This Row],[predicted_9]]-Table1[[#This Row],[actual_9]])/Table1[[#This Row],[actual_9]]</f>
        <v>-5.1536174430128839E-2</v>
      </c>
      <c r="EP366" s="1">
        <f>1+(Table1[[#This Row],[error_ratio_0]]-EF$2)</f>
        <v>1.0142857142857142</v>
      </c>
      <c r="EQ366" s="1">
        <f>1+(Table1[[#This Row],[error_ratio_1]]-EG$2)</f>
        <v>0.98766519823788546</v>
      </c>
      <c r="ER366" s="1">
        <f>1+(Table1[[#This Row],[error_ratio_2]]-EH$2)</f>
        <v>1.0765503875968991</v>
      </c>
      <c r="ES366" s="1">
        <f>1+(Table1[[#This Row],[error_ratio_3]]-EI$2)</f>
        <v>0.93564356435643559</v>
      </c>
      <c r="ET366" s="1">
        <f>1+(Table1[[#This Row],[error_ratio_4]]-EJ$2)</f>
        <v>1.0213849287169043</v>
      </c>
      <c r="EU366" s="1">
        <f>1+(Table1[[#This Row],[error_ratio_5]]-EK$2)</f>
        <v>1.0605381165919283</v>
      </c>
      <c r="EV366" s="1">
        <f>1+(Table1[[#This Row],[error_ratio_6]]-EL$2)</f>
        <v>1.0135699373695197</v>
      </c>
      <c r="EW366" s="1">
        <f>1+(Table1[[#This Row],[error_ratio_7]]-EM$2)</f>
        <v>0.97665369649805445</v>
      </c>
      <c r="EX366" s="1">
        <f>1+(Table1[[#This Row],[error_ratio_8]]-EN$2)</f>
        <v>0.9691991786447639</v>
      </c>
      <c r="EY366" s="1">
        <f>1+(Table1[[#This Row],[error_ratio_9]]-EO$2)</f>
        <v>0.95242814667988107</v>
      </c>
    </row>
    <row r="367" spans="1:155" x14ac:dyDescent="0.75">
      <c r="A367">
        <v>10</v>
      </c>
      <c r="B367">
        <v>10</v>
      </c>
      <c r="C367">
        <v>100</v>
      </c>
      <c r="D367">
        <v>10</v>
      </c>
      <c r="E367">
        <v>100</v>
      </c>
      <c r="F367">
        <v>100</v>
      </c>
      <c r="G367">
        <v>100</v>
      </c>
      <c r="H367">
        <v>10</v>
      </c>
      <c r="I367">
        <v>10</v>
      </c>
      <c r="J367">
        <v>100</v>
      </c>
      <c r="K367">
        <v>960</v>
      </c>
      <c r="L367">
        <v>1063</v>
      </c>
      <c r="M367">
        <v>1227</v>
      </c>
      <c r="N367">
        <v>906</v>
      </c>
      <c r="O367">
        <v>967</v>
      </c>
      <c r="P367">
        <v>975</v>
      </c>
      <c r="Q367">
        <v>950</v>
      </c>
      <c r="R367">
        <v>916</v>
      </c>
      <c r="S367">
        <v>977</v>
      </c>
      <c r="T367">
        <v>1059</v>
      </c>
      <c r="U367">
        <v>980</v>
      </c>
      <c r="V367">
        <v>1135</v>
      </c>
      <c r="W367">
        <v>1032</v>
      </c>
      <c r="X367">
        <v>1010</v>
      </c>
      <c r="Y367">
        <v>982</v>
      </c>
      <c r="Z367">
        <v>892</v>
      </c>
      <c r="AA367">
        <v>958</v>
      </c>
      <c r="AB367">
        <v>1028</v>
      </c>
      <c r="AC367">
        <v>974</v>
      </c>
      <c r="AD367">
        <v>1009</v>
      </c>
      <c r="AE367">
        <v>951</v>
      </c>
      <c r="AF367">
        <v>0</v>
      </c>
      <c r="AG367">
        <v>11</v>
      </c>
      <c r="AH367">
        <v>0</v>
      </c>
      <c r="AI367">
        <v>0</v>
      </c>
      <c r="AJ367">
        <v>6</v>
      </c>
      <c r="AK367">
        <v>5</v>
      </c>
      <c r="AL367">
        <v>0</v>
      </c>
      <c r="AM367">
        <v>5</v>
      </c>
      <c r="AN367">
        <v>2</v>
      </c>
      <c r="AO367">
        <v>0</v>
      </c>
      <c r="AP367">
        <v>1062</v>
      </c>
      <c r="AQ367">
        <v>13</v>
      </c>
      <c r="AR367">
        <v>1</v>
      </c>
      <c r="AS367">
        <v>1</v>
      </c>
      <c r="AT367">
        <v>1</v>
      </c>
      <c r="AU367">
        <v>3</v>
      </c>
      <c r="AV367">
        <v>0</v>
      </c>
      <c r="AW367">
        <v>53</v>
      </c>
      <c r="AX367">
        <v>1</v>
      </c>
      <c r="AY367">
        <v>0</v>
      </c>
      <c r="AZ367">
        <v>0</v>
      </c>
      <c r="BA367">
        <v>1031</v>
      </c>
      <c r="BB367">
        <v>0</v>
      </c>
      <c r="BC367">
        <v>0</v>
      </c>
      <c r="BD367">
        <v>0</v>
      </c>
      <c r="BE367">
        <v>0</v>
      </c>
      <c r="BF367">
        <v>0</v>
      </c>
      <c r="BG367">
        <v>1</v>
      </c>
      <c r="BH367">
        <v>0</v>
      </c>
      <c r="BI367">
        <v>1</v>
      </c>
      <c r="BJ367">
        <v>0</v>
      </c>
      <c r="BK367">
        <v>40</v>
      </c>
      <c r="BL367">
        <v>895</v>
      </c>
      <c r="BM367">
        <v>0</v>
      </c>
      <c r="BN367">
        <v>61</v>
      </c>
      <c r="BO367">
        <v>0</v>
      </c>
      <c r="BP367">
        <v>7</v>
      </c>
      <c r="BQ367">
        <v>2</v>
      </c>
      <c r="BR367">
        <v>4</v>
      </c>
      <c r="BS367">
        <v>0</v>
      </c>
      <c r="BT367">
        <v>0</v>
      </c>
      <c r="BU367">
        <v>3</v>
      </c>
      <c r="BV367">
        <v>0</v>
      </c>
      <c r="BW367">
        <v>960</v>
      </c>
      <c r="BX367">
        <v>0</v>
      </c>
      <c r="BY367">
        <v>3</v>
      </c>
      <c r="BZ367">
        <v>0</v>
      </c>
      <c r="CA367">
        <v>1</v>
      </c>
      <c r="CB367">
        <v>15</v>
      </c>
      <c r="CC367">
        <v>1</v>
      </c>
      <c r="CD367">
        <v>0</v>
      </c>
      <c r="CE367">
        <v>2</v>
      </c>
      <c r="CF367">
        <v>2</v>
      </c>
      <c r="CG367">
        <v>0</v>
      </c>
      <c r="CH367">
        <v>881</v>
      </c>
      <c r="CI367">
        <v>2</v>
      </c>
      <c r="CJ367">
        <v>0</v>
      </c>
      <c r="CK367">
        <v>0</v>
      </c>
      <c r="CL367">
        <v>4</v>
      </c>
      <c r="CM367">
        <v>2</v>
      </c>
      <c r="CN367">
        <v>0</v>
      </c>
      <c r="CO367">
        <v>7</v>
      </c>
      <c r="CP367">
        <v>0</v>
      </c>
      <c r="CQ367">
        <v>2</v>
      </c>
      <c r="CR367">
        <v>7</v>
      </c>
      <c r="CS367">
        <v>936</v>
      </c>
      <c r="CT367">
        <v>0</v>
      </c>
      <c r="CU367">
        <v>4</v>
      </c>
      <c r="CV367">
        <v>0</v>
      </c>
      <c r="CW367">
        <v>1</v>
      </c>
      <c r="CX367">
        <v>1</v>
      </c>
      <c r="CY367">
        <v>74</v>
      </c>
      <c r="CZ367">
        <v>3</v>
      </c>
      <c r="DA367">
        <v>1</v>
      </c>
      <c r="DB367">
        <v>5</v>
      </c>
      <c r="DC367">
        <v>1</v>
      </c>
      <c r="DD367">
        <v>905</v>
      </c>
      <c r="DE367">
        <v>8</v>
      </c>
      <c r="DF367">
        <v>29</v>
      </c>
      <c r="DG367">
        <v>4</v>
      </c>
      <c r="DH367">
        <v>0</v>
      </c>
      <c r="DI367">
        <v>41</v>
      </c>
      <c r="DJ367">
        <v>3</v>
      </c>
      <c r="DK367">
        <v>2</v>
      </c>
      <c r="DL367">
        <v>10</v>
      </c>
      <c r="DM367">
        <v>0</v>
      </c>
      <c r="DN367">
        <v>3</v>
      </c>
      <c r="DO367">
        <v>901</v>
      </c>
      <c r="DP367">
        <v>10</v>
      </c>
      <c r="DQ367">
        <v>0</v>
      </c>
      <c r="DR367">
        <v>0</v>
      </c>
      <c r="DS367">
        <v>5</v>
      </c>
      <c r="DT367">
        <v>2</v>
      </c>
      <c r="DU367">
        <v>1</v>
      </c>
      <c r="DV367">
        <v>4</v>
      </c>
      <c r="DW367">
        <v>0</v>
      </c>
      <c r="DX367">
        <v>1</v>
      </c>
      <c r="DY367">
        <v>2</v>
      </c>
      <c r="DZ367">
        <v>994</v>
      </c>
      <c r="EA367">
        <v>0.9516</v>
      </c>
      <c r="EB367">
        <v>0.954824125971378</v>
      </c>
      <c r="EC367">
        <v>0.95240963227387399</v>
      </c>
      <c r="ED367">
        <v>0.95198035088839394</v>
      </c>
      <c r="EE367">
        <f>SUM(Table1[[#This Row],[ratio_0]:[ratio_9]])</f>
        <v>550</v>
      </c>
      <c r="EF367" s="1">
        <f>(Table1[[#This Row],[predicted_0]]-Table1[[#This Row],[actual_0]])/Table1[[#This Row],[actual_0]]</f>
        <v>-2.0408163265306121E-2</v>
      </c>
      <c r="EG367" s="1">
        <f>(Table1[[#This Row],[predicted_1]]-Table1[[#This Row],[actual_1]])/Table1[[#This Row],[actual_1]]</f>
        <v>-6.3436123348017626E-2</v>
      </c>
      <c r="EH367" s="1">
        <f>(Table1[[#This Row],[predicted_2]]-Table1[[#This Row],[actual_2]])/Table1[[#This Row],[actual_2]]</f>
        <v>0.18895348837209303</v>
      </c>
      <c r="EI367" s="1">
        <f>(Table1[[#This Row],[predicted_3]]-Table1[[#This Row],[actual_3]])/Table1[[#This Row],[actual_3]]</f>
        <v>-0.10297029702970296</v>
      </c>
      <c r="EJ367" s="1">
        <f>(Table1[[#This Row],[predicted_4]]-Table1[[#This Row],[actual_4]])/Table1[[#This Row],[actual_4]]</f>
        <v>-1.5274949083503055E-2</v>
      </c>
      <c r="EK367" s="1">
        <f>(Table1[[#This Row],[predicted_5]]-Table1[[#This Row],[actual_5]])/Table1[[#This Row],[actual_5]]</f>
        <v>9.3049327354260095E-2</v>
      </c>
      <c r="EL367" s="1">
        <f>(Table1[[#This Row],[predicted_6]]-Table1[[#This Row],[actual_6]])/Table1[[#This Row],[actual_6]]</f>
        <v>-8.350730688935281E-3</v>
      </c>
      <c r="EM367" s="1">
        <f>(Table1[[#This Row],[predicted_7]]-Table1[[#This Row],[actual_7]])/Table1[[#This Row],[actual_7]]</f>
        <v>-0.10894941634241245</v>
      </c>
      <c r="EN367" s="1">
        <f>(Table1[[#This Row],[predicted_8]]-Table1[[#This Row],[actual_8]])/Table1[[#This Row],[actual_8]]</f>
        <v>3.0800821355236141E-3</v>
      </c>
      <c r="EO367" s="1">
        <f>(Table1[[#This Row],[predicted_9]]-Table1[[#This Row],[actual_9]])/Table1[[#This Row],[actual_9]]</f>
        <v>4.9554013875123884E-2</v>
      </c>
      <c r="EP367" s="1">
        <f>1+(Table1[[#This Row],[error_ratio_0]]-EF$2)</f>
        <v>0.97755102040816322</v>
      </c>
      <c r="EQ367" s="1">
        <f>1+(Table1[[#This Row],[error_ratio_1]]-EG$2)</f>
        <v>0.93480176211453747</v>
      </c>
      <c r="ER367" s="1">
        <f>1+(Table1[[#This Row],[error_ratio_2]]-EH$2)</f>
        <v>1.193798449612403</v>
      </c>
      <c r="ES367" s="1">
        <f>1+(Table1[[#This Row],[error_ratio_3]]-EI$2)</f>
        <v>0.88712871287128714</v>
      </c>
      <c r="ET367" s="1">
        <f>1+(Table1[[#This Row],[error_ratio_4]]-EJ$2)</f>
        <v>0.9837067209775967</v>
      </c>
      <c r="EU367" s="1">
        <f>1+(Table1[[#This Row],[error_ratio_5]]-EK$2)</f>
        <v>1.0919282511210762</v>
      </c>
      <c r="EV367" s="1">
        <f>1+(Table1[[#This Row],[error_ratio_6]]-EL$2)</f>
        <v>0.9979123173277662</v>
      </c>
      <c r="EW367" s="1">
        <f>1+(Table1[[#This Row],[error_ratio_7]]-EM$2)</f>
        <v>0.8891050583657587</v>
      </c>
      <c r="EX367" s="1">
        <f>1+(Table1[[#This Row],[error_ratio_8]]-EN$2)</f>
        <v>1.0061601642710472</v>
      </c>
      <c r="EY367" s="1">
        <f>1+(Table1[[#This Row],[error_ratio_9]]-EO$2)</f>
        <v>1.0535183349851338</v>
      </c>
    </row>
    <row r="368" spans="1:155" x14ac:dyDescent="0.75">
      <c r="A368">
        <v>100</v>
      </c>
      <c r="B368">
        <v>100</v>
      </c>
      <c r="C368">
        <v>10</v>
      </c>
      <c r="D368">
        <v>10</v>
      </c>
      <c r="E368">
        <v>100</v>
      </c>
      <c r="F368">
        <v>100</v>
      </c>
      <c r="G368">
        <v>100</v>
      </c>
      <c r="H368">
        <v>10</v>
      </c>
      <c r="I368">
        <v>10</v>
      </c>
      <c r="J368">
        <v>100</v>
      </c>
      <c r="K368">
        <v>1001</v>
      </c>
      <c r="L368">
        <v>1167</v>
      </c>
      <c r="M368">
        <v>1026</v>
      </c>
      <c r="N368">
        <v>941</v>
      </c>
      <c r="O368">
        <v>986</v>
      </c>
      <c r="P368">
        <v>987</v>
      </c>
      <c r="Q368">
        <v>951</v>
      </c>
      <c r="R368">
        <v>972</v>
      </c>
      <c r="S368">
        <v>909</v>
      </c>
      <c r="T368">
        <v>1060</v>
      </c>
      <c r="U368">
        <v>980</v>
      </c>
      <c r="V368">
        <v>1135</v>
      </c>
      <c r="W368">
        <v>1032</v>
      </c>
      <c r="X368">
        <v>1010</v>
      </c>
      <c r="Y368">
        <v>982</v>
      </c>
      <c r="Z368">
        <v>892</v>
      </c>
      <c r="AA368">
        <v>958</v>
      </c>
      <c r="AB368">
        <v>1028</v>
      </c>
      <c r="AC368">
        <v>974</v>
      </c>
      <c r="AD368">
        <v>1009</v>
      </c>
      <c r="AE368">
        <v>976</v>
      </c>
      <c r="AF368">
        <v>0</v>
      </c>
      <c r="AG368">
        <v>0</v>
      </c>
      <c r="AH368">
        <v>0</v>
      </c>
      <c r="AI368">
        <v>0</v>
      </c>
      <c r="AJ368">
        <v>0</v>
      </c>
      <c r="AK368">
        <v>3</v>
      </c>
      <c r="AL368">
        <v>1</v>
      </c>
      <c r="AM368">
        <v>0</v>
      </c>
      <c r="AN368">
        <v>0</v>
      </c>
      <c r="AO368">
        <v>0</v>
      </c>
      <c r="AP368">
        <v>1134</v>
      </c>
      <c r="AQ368">
        <v>0</v>
      </c>
      <c r="AR368">
        <v>0</v>
      </c>
      <c r="AS368">
        <v>0</v>
      </c>
      <c r="AT368">
        <v>0</v>
      </c>
      <c r="AU368">
        <v>0</v>
      </c>
      <c r="AV368">
        <v>0</v>
      </c>
      <c r="AW368">
        <v>0</v>
      </c>
      <c r="AX368">
        <v>1</v>
      </c>
      <c r="AY368">
        <v>11</v>
      </c>
      <c r="AZ368">
        <v>14</v>
      </c>
      <c r="BA368">
        <v>991</v>
      </c>
      <c r="BB368">
        <v>2</v>
      </c>
      <c r="BC368">
        <v>3</v>
      </c>
      <c r="BD368">
        <v>0</v>
      </c>
      <c r="BE368">
        <v>1</v>
      </c>
      <c r="BF368">
        <v>5</v>
      </c>
      <c r="BG368">
        <v>2</v>
      </c>
      <c r="BH368">
        <v>3</v>
      </c>
      <c r="BI368">
        <v>0</v>
      </c>
      <c r="BJ368">
        <v>1</v>
      </c>
      <c r="BK368">
        <v>2</v>
      </c>
      <c r="BL368">
        <v>929</v>
      </c>
      <c r="BM368">
        <v>0</v>
      </c>
      <c r="BN368">
        <v>65</v>
      </c>
      <c r="BO368">
        <v>0</v>
      </c>
      <c r="BP368">
        <v>5</v>
      </c>
      <c r="BQ368">
        <v>2</v>
      </c>
      <c r="BR368">
        <v>6</v>
      </c>
      <c r="BS368">
        <v>0</v>
      </c>
      <c r="BT368">
        <v>0</v>
      </c>
      <c r="BU368">
        <v>0</v>
      </c>
      <c r="BV368">
        <v>0</v>
      </c>
      <c r="BW368">
        <v>975</v>
      </c>
      <c r="BX368">
        <v>0</v>
      </c>
      <c r="BY368">
        <v>0</v>
      </c>
      <c r="BZ368">
        <v>0</v>
      </c>
      <c r="CA368">
        <v>0</v>
      </c>
      <c r="CB368">
        <v>7</v>
      </c>
      <c r="CC368">
        <v>1</v>
      </c>
      <c r="CD368">
        <v>0</v>
      </c>
      <c r="CE368">
        <v>0</v>
      </c>
      <c r="CF368">
        <v>2</v>
      </c>
      <c r="CG368">
        <v>0</v>
      </c>
      <c r="CH368">
        <v>886</v>
      </c>
      <c r="CI368">
        <v>2</v>
      </c>
      <c r="CJ368">
        <v>0</v>
      </c>
      <c r="CK368">
        <v>0</v>
      </c>
      <c r="CL368">
        <v>1</v>
      </c>
      <c r="CM368">
        <v>5</v>
      </c>
      <c r="CN368">
        <v>2</v>
      </c>
      <c r="CO368">
        <v>0</v>
      </c>
      <c r="CP368">
        <v>0</v>
      </c>
      <c r="CQ368">
        <v>2</v>
      </c>
      <c r="CR368">
        <v>7</v>
      </c>
      <c r="CS368">
        <v>942</v>
      </c>
      <c r="CT368">
        <v>0</v>
      </c>
      <c r="CU368">
        <v>0</v>
      </c>
      <c r="CV368">
        <v>0</v>
      </c>
      <c r="CW368">
        <v>1</v>
      </c>
      <c r="CX368">
        <v>11</v>
      </c>
      <c r="CY368">
        <v>24</v>
      </c>
      <c r="CZ368">
        <v>5</v>
      </c>
      <c r="DA368">
        <v>2</v>
      </c>
      <c r="DB368">
        <v>3</v>
      </c>
      <c r="DC368">
        <v>0</v>
      </c>
      <c r="DD368">
        <v>953</v>
      </c>
      <c r="DE368">
        <v>1</v>
      </c>
      <c r="DF368">
        <v>28</v>
      </c>
      <c r="DG368">
        <v>7</v>
      </c>
      <c r="DH368">
        <v>2</v>
      </c>
      <c r="DI368">
        <v>9</v>
      </c>
      <c r="DJ368">
        <v>3</v>
      </c>
      <c r="DK368">
        <v>3</v>
      </c>
      <c r="DL368">
        <v>23</v>
      </c>
      <c r="DM368">
        <v>3</v>
      </c>
      <c r="DN368">
        <v>7</v>
      </c>
      <c r="DO368">
        <v>904</v>
      </c>
      <c r="DP368">
        <v>13</v>
      </c>
      <c r="DQ368">
        <v>0</v>
      </c>
      <c r="DR368">
        <v>3</v>
      </c>
      <c r="DS368">
        <v>0</v>
      </c>
      <c r="DT368">
        <v>0</v>
      </c>
      <c r="DU368">
        <v>1</v>
      </c>
      <c r="DV368">
        <v>3</v>
      </c>
      <c r="DW368">
        <v>0</v>
      </c>
      <c r="DX368">
        <v>1</v>
      </c>
      <c r="DY368">
        <v>0</v>
      </c>
      <c r="DZ368">
        <v>1001</v>
      </c>
      <c r="EA368">
        <v>0.96909999999999996</v>
      </c>
      <c r="EB368">
        <v>0.96962234332152697</v>
      </c>
      <c r="EC368">
        <v>0.96917999559306001</v>
      </c>
      <c r="ED368">
        <v>0.96875940046137399</v>
      </c>
      <c r="EE368">
        <f>SUM(Table1[[#This Row],[ratio_0]:[ratio_9]])</f>
        <v>640</v>
      </c>
      <c r="EF368" s="1">
        <f>(Table1[[#This Row],[predicted_0]]-Table1[[#This Row],[actual_0]])/Table1[[#This Row],[actual_0]]</f>
        <v>2.1428571428571429E-2</v>
      </c>
      <c r="EG368" s="1">
        <f>(Table1[[#This Row],[predicted_1]]-Table1[[#This Row],[actual_1]])/Table1[[#This Row],[actual_1]]</f>
        <v>2.8193832599118944E-2</v>
      </c>
      <c r="EH368" s="1">
        <f>(Table1[[#This Row],[predicted_2]]-Table1[[#This Row],[actual_2]])/Table1[[#This Row],[actual_2]]</f>
        <v>-5.8139534883720929E-3</v>
      </c>
      <c r="EI368" s="1">
        <f>(Table1[[#This Row],[predicted_3]]-Table1[[#This Row],[actual_3]])/Table1[[#This Row],[actual_3]]</f>
        <v>-6.8316831683168322E-2</v>
      </c>
      <c r="EJ368" s="1">
        <f>(Table1[[#This Row],[predicted_4]]-Table1[[#This Row],[actual_4]])/Table1[[#This Row],[actual_4]]</f>
        <v>4.0733197556008143E-3</v>
      </c>
      <c r="EK368" s="1">
        <f>(Table1[[#This Row],[predicted_5]]-Table1[[#This Row],[actual_5]])/Table1[[#This Row],[actual_5]]</f>
        <v>0.10650224215246637</v>
      </c>
      <c r="EL368" s="1">
        <f>(Table1[[#This Row],[predicted_6]]-Table1[[#This Row],[actual_6]])/Table1[[#This Row],[actual_6]]</f>
        <v>-7.3068893528183713E-3</v>
      </c>
      <c r="EM368" s="1">
        <f>(Table1[[#This Row],[predicted_7]]-Table1[[#This Row],[actual_7]])/Table1[[#This Row],[actual_7]]</f>
        <v>-5.4474708171206226E-2</v>
      </c>
      <c r="EN368" s="1">
        <f>(Table1[[#This Row],[predicted_8]]-Table1[[#This Row],[actual_8]])/Table1[[#This Row],[actual_8]]</f>
        <v>-6.6735112936344973E-2</v>
      </c>
      <c r="EO368" s="1">
        <f>(Table1[[#This Row],[predicted_9]]-Table1[[#This Row],[actual_9]])/Table1[[#This Row],[actual_9]]</f>
        <v>5.0545094152626362E-2</v>
      </c>
      <c r="EP368" s="1">
        <f>1+(Table1[[#This Row],[error_ratio_0]]-EF$2)</f>
        <v>1.0193877551020407</v>
      </c>
      <c r="EQ368" s="1">
        <f>1+(Table1[[#This Row],[error_ratio_1]]-EG$2)</f>
        <v>1.026431718061674</v>
      </c>
      <c r="ER368" s="1">
        <f>1+(Table1[[#This Row],[error_ratio_2]]-EH$2)</f>
        <v>0.99903100775193798</v>
      </c>
      <c r="ES368" s="1">
        <f>1+(Table1[[#This Row],[error_ratio_3]]-EI$2)</f>
        <v>0.92178217821782182</v>
      </c>
      <c r="ET368" s="1">
        <f>1+(Table1[[#This Row],[error_ratio_4]]-EJ$2)</f>
        <v>1.0030549898167007</v>
      </c>
      <c r="EU368" s="1">
        <f>1+(Table1[[#This Row],[error_ratio_5]]-EK$2)</f>
        <v>1.1053811659192825</v>
      </c>
      <c r="EV368" s="1">
        <f>1+(Table1[[#This Row],[error_ratio_6]]-EL$2)</f>
        <v>0.9989561586638831</v>
      </c>
      <c r="EW368" s="1">
        <f>1+(Table1[[#This Row],[error_ratio_7]]-EM$2)</f>
        <v>0.94357976653696496</v>
      </c>
      <c r="EX368" s="1">
        <f>1+(Table1[[#This Row],[error_ratio_8]]-EN$2)</f>
        <v>0.93634496919917864</v>
      </c>
      <c r="EY368" s="1">
        <f>1+(Table1[[#This Row],[error_ratio_9]]-EO$2)</f>
        <v>1.0545094152626362</v>
      </c>
    </row>
    <row r="369" spans="1:155" x14ac:dyDescent="0.75">
      <c r="A369">
        <v>10</v>
      </c>
      <c r="B369">
        <v>100</v>
      </c>
      <c r="C369">
        <v>10</v>
      </c>
      <c r="D369">
        <v>10</v>
      </c>
      <c r="E369">
        <v>100</v>
      </c>
      <c r="F369">
        <v>100</v>
      </c>
      <c r="G369">
        <v>100</v>
      </c>
      <c r="H369">
        <v>10</v>
      </c>
      <c r="I369">
        <v>10</v>
      </c>
      <c r="J369">
        <v>100</v>
      </c>
      <c r="K369">
        <v>1022</v>
      </c>
      <c r="L369">
        <v>1168</v>
      </c>
      <c r="M369">
        <v>969</v>
      </c>
      <c r="N369">
        <v>980</v>
      </c>
      <c r="O369">
        <v>1018</v>
      </c>
      <c r="P369">
        <v>905</v>
      </c>
      <c r="Q369">
        <v>958</v>
      </c>
      <c r="R369">
        <v>973</v>
      </c>
      <c r="S369">
        <v>959</v>
      </c>
      <c r="T369">
        <v>1048</v>
      </c>
      <c r="U369">
        <v>980</v>
      </c>
      <c r="V369">
        <v>1135</v>
      </c>
      <c r="W369">
        <v>1032</v>
      </c>
      <c r="X369">
        <v>1010</v>
      </c>
      <c r="Y369">
        <v>982</v>
      </c>
      <c r="Z369">
        <v>892</v>
      </c>
      <c r="AA369">
        <v>958</v>
      </c>
      <c r="AB369">
        <v>1028</v>
      </c>
      <c r="AC369">
        <v>974</v>
      </c>
      <c r="AD369">
        <v>1009</v>
      </c>
      <c r="AE369">
        <v>975</v>
      </c>
      <c r="AF369">
        <v>0</v>
      </c>
      <c r="AG369">
        <v>0</v>
      </c>
      <c r="AH369">
        <v>0</v>
      </c>
      <c r="AI369">
        <v>0</v>
      </c>
      <c r="AJ369">
        <v>0</v>
      </c>
      <c r="AK369">
        <v>2</v>
      </c>
      <c r="AL369">
        <v>1</v>
      </c>
      <c r="AM369">
        <v>2</v>
      </c>
      <c r="AN369">
        <v>0</v>
      </c>
      <c r="AO369">
        <v>0</v>
      </c>
      <c r="AP369">
        <v>1129</v>
      </c>
      <c r="AQ369">
        <v>0</v>
      </c>
      <c r="AR369">
        <v>0</v>
      </c>
      <c r="AS369">
        <v>2</v>
      </c>
      <c r="AT369">
        <v>0</v>
      </c>
      <c r="AU369">
        <v>3</v>
      </c>
      <c r="AV369">
        <v>0</v>
      </c>
      <c r="AW369">
        <v>1</v>
      </c>
      <c r="AX369">
        <v>0</v>
      </c>
      <c r="AY369">
        <v>12</v>
      </c>
      <c r="AZ369">
        <v>27</v>
      </c>
      <c r="BA369">
        <v>951</v>
      </c>
      <c r="BB369">
        <v>4</v>
      </c>
      <c r="BC369">
        <v>18</v>
      </c>
      <c r="BD369">
        <v>0</v>
      </c>
      <c r="BE369">
        <v>4</v>
      </c>
      <c r="BF369">
        <v>5</v>
      </c>
      <c r="BG369">
        <v>8</v>
      </c>
      <c r="BH369">
        <v>3</v>
      </c>
      <c r="BI369">
        <v>2</v>
      </c>
      <c r="BJ369">
        <v>1</v>
      </c>
      <c r="BK369">
        <v>2</v>
      </c>
      <c r="BL369">
        <v>966</v>
      </c>
      <c r="BM369">
        <v>0</v>
      </c>
      <c r="BN369">
        <v>10</v>
      </c>
      <c r="BO369">
        <v>0</v>
      </c>
      <c r="BP369">
        <v>7</v>
      </c>
      <c r="BQ369">
        <v>11</v>
      </c>
      <c r="BR369">
        <v>11</v>
      </c>
      <c r="BS369">
        <v>0</v>
      </c>
      <c r="BT369">
        <v>0</v>
      </c>
      <c r="BU369">
        <v>0</v>
      </c>
      <c r="BV369">
        <v>0</v>
      </c>
      <c r="BW369">
        <v>977</v>
      </c>
      <c r="BX369">
        <v>0</v>
      </c>
      <c r="BY369">
        <v>0</v>
      </c>
      <c r="BZ369">
        <v>0</v>
      </c>
      <c r="CA369">
        <v>0</v>
      </c>
      <c r="CB369">
        <v>5</v>
      </c>
      <c r="CC369">
        <v>2</v>
      </c>
      <c r="CD369">
        <v>0</v>
      </c>
      <c r="CE369">
        <v>0</v>
      </c>
      <c r="CF369">
        <v>4</v>
      </c>
      <c r="CG369">
        <v>0</v>
      </c>
      <c r="CH369">
        <v>883</v>
      </c>
      <c r="CI369">
        <v>2</v>
      </c>
      <c r="CJ369">
        <v>1</v>
      </c>
      <c r="CK369">
        <v>0</v>
      </c>
      <c r="CL369">
        <v>0</v>
      </c>
      <c r="CM369">
        <v>8</v>
      </c>
      <c r="CN369">
        <v>2</v>
      </c>
      <c r="CO369">
        <v>0</v>
      </c>
      <c r="CP369">
        <v>0</v>
      </c>
      <c r="CQ369">
        <v>4</v>
      </c>
      <c r="CR369">
        <v>3</v>
      </c>
      <c r="CS369">
        <v>941</v>
      </c>
      <c r="CT369">
        <v>0</v>
      </c>
      <c r="CU369">
        <v>0</v>
      </c>
      <c r="CV369">
        <v>0</v>
      </c>
      <c r="CW369">
        <v>6</v>
      </c>
      <c r="CX369">
        <v>7</v>
      </c>
      <c r="CY369">
        <v>16</v>
      </c>
      <c r="CZ369">
        <v>1</v>
      </c>
      <c r="DA369">
        <v>9</v>
      </c>
      <c r="DB369">
        <v>2</v>
      </c>
      <c r="DC369">
        <v>0</v>
      </c>
      <c r="DD369">
        <v>954</v>
      </c>
      <c r="DE369">
        <v>3</v>
      </c>
      <c r="DF369">
        <v>30</v>
      </c>
      <c r="DG369">
        <v>11</v>
      </c>
      <c r="DH369">
        <v>0</v>
      </c>
      <c r="DI369">
        <v>0</v>
      </c>
      <c r="DJ369">
        <v>4</v>
      </c>
      <c r="DK369">
        <v>4</v>
      </c>
      <c r="DL369">
        <v>5</v>
      </c>
      <c r="DM369">
        <v>6</v>
      </c>
      <c r="DN369">
        <v>3</v>
      </c>
      <c r="DO369">
        <v>934</v>
      </c>
      <c r="DP369">
        <v>7</v>
      </c>
      <c r="DQ369">
        <v>6</v>
      </c>
      <c r="DR369">
        <v>2</v>
      </c>
      <c r="DS369">
        <v>0</v>
      </c>
      <c r="DT369">
        <v>1</v>
      </c>
      <c r="DU369">
        <v>4</v>
      </c>
      <c r="DV369">
        <v>2</v>
      </c>
      <c r="DW369">
        <v>0</v>
      </c>
      <c r="DX369">
        <v>2</v>
      </c>
      <c r="DY369">
        <v>0</v>
      </c>
      <c r="DZ369">
        <v>992</v>
      </c>
      <c r="EA369">
        <v>0.97019999999999995</v>
      </c>
      <c r="EB369">
        <v>0.970639884940242</v>
      </c>
      <c r="EC369">
        <v>0.97047316862133304</v>
      </c>
      <c r="ED369">
        <v>0.97022771511285999</v>
      </c>
      <c r="EE369">
        <f>SUM(Table1[[#This Row],[ratio_0]:[ratio_9]])</f>
        <v>550</v>
      </c>
      <c r="EF369" s="1">
        <f>(Table1[[#This Row],[predicted_0]]-Table1[[#This Row],[actual_0]])/Table1[[#This Row],[actual_0]]</f>
        <v>4.2857142857142858E-2</v>
      </c>
      <c r="EG369" s="1">
        <f>(Table1[[#This Row],[predicted_1]]-Table1[[#This Row],[actual_1]])/Table1[[#This Row],[actual_1]]</f>
        <v>2.9074889867841409E-2</v>
      </c>
      <c r="EH369" s="1">
        <f>(Table1[[#This Row],[predicted_2]]-Table1[[#This Row],[actual_2]])/Table1[[#This Row],[actual_2]]</f>
        <v>-6.1046511627906974E-2</v>
      </c>
      <c r="EI369" s="1">
        <f>(Table1[[#This Row],[predicted_3]]-Table1[[#This Row],[actual_3]])/Table1[[#This Row],[actual_3]]</f>
        <v>-2.9702970297029702E-2</v>
      </c>
      <c r="EJ369" s="1">
        <f>(Table1[[#This Row],[predicted_4]]-Table1[[#This Row],[actual_4]])/Table1[[#This Row],[actual_4]]</f>
        <v>3.6659877800407331E-2</v>
      </c>
      <c r="EK369" s="1">
        <f>(Table1[[#This Row],[predicted_5]]-Table1[[#This Row],[actual_5]])/Table1[[#This Row],[actual_5]]</f>
        <v>1.4573991031390135E-2</v>
      </c>
      <c r="EL369" s="1">
        <f>(Table1[[#This Row],[predicted_6]]-Table1[[#This Row],[actual_6]])/Table1[[#This Row],[actual_6]]</f>
        <v>0</v>
      </c>
      <c r="EM369" s="1">
        <f>(Table1[[#This Row],[predicted_7]]-Table1[[#This Row],[actual_7]])/Table1[[#This Row],[actual_7]]</f>
        <v>-5.3501945525291826E-2</v>
      </c>
      <c r="EN369" s="1">
        <f>(Table1[[#This Row],[predicted_8]]-Table1[[#This Row],[actual_8]])/Table1[[#This Row],[actual_8]]</f>
        <v>-1.5400410677618069E-2</v>
      </c>
      <c r="EO369" s="1">
        <f>(Table1[[#This Row],[predicted_9]]-Table1[[#This Row],[actual_9]])/Table1[[#This Row],[actual_9]]</f>
        <v>3.865213082259663E-2</v>
      </c>
      <c r="EP369" s="1">
        <f>1+(Table1[[#This Row],[error_ratio_0]]-EF$2)</f>
        <v>1.0408163265306123</v>
      </c>
      <c r="EQ369" s="1">
        <f>1+(Table1[[#This Row],[error_ratio_1]]-EG$2)</f>
        <v>1.0273127753303966</v>
      </c>
      <c r="ER369" s="1">
        <f>1+(Table1[[#This Row],[error_ratio_2]]-EH$2)</f>
        <v>0.94379844961240311</v>
      </c>
      <c r="ES369" s="1">
        <f>1+(Table1[[#This Row],[error_ratio_3]]-EI$2)</f>
        <v>0.96039603960396036</v>
      </c>
      <c r="ET369" s="1">
        <f>1+(Table1[[#This Row],[error_ratio_4]]-EJ$2)</f>
        <v>1.0356415478615071</v>
      </c>
      <c r="EU369" s="1">
        <f>1+(Table1[[#This Row],[error_ratio_5]]-EK$2)</f>
        <v>1.0134529147982063</v>
      </c>
      <c r="EV369" s="1">
        <f>1+(Table1[[#This Row],[error_ratio_6]]-EL$2)</f>
        <v>1.0062630480167014</v>
      </c>
      <c r="EW369" s="1">
        <f>1+(Table1[[#This Row],[error_ratio_7]]-EM$2)</f>
        <v>0.94455252918287935</v>
      </c>
      <c r="EX369" s="1">
        <f>1+(Table1[[#This Row],[error_ratio_8]]-EN$2)</f>
        <v>0.98767967145790558</v>
      </c>
      <c r="EY369" s="1">
        <f>1+(Table1[[#This Row],[error_ratio_9]]-EO$2)</f>
        <v>1.0426164519326064</v>
      </c>
    </row>
    <row r="370" spans="1:155" x14ac:dyDescent="0.75">
      <c r="A370">
        <v>100</v>
      </c>
      <c r="B370">
        <v>10</v>
      </c>
      <c r="C370">
        <v>10</v>
      </c>
      <c r="D370">
        <v>10</v>
      </c>
      <c r="E370">
        <v>100</v>
      </c>
      <c r="F370">
        <v>100</v>
      </c>
      <c r="G370">
        <v>100</v>
      </c>
      <c r="H370">
        <v>10</v>
      </c>
      <c r="I370">
        <v>10</v>
      </c>
      <c r="J370">
        <v>100</v>
      </c>
      <c r="K370">
        <v>987</v>
      </c>
      <c r="L370">
        <v>1096</v>
      </c>
      <c r="M370">
        <v>1025</v>
      </c>
      <c r="N370">
        <v>924</v>
      </c>
      <c r="O370">
        <v>1018</v>
      </c>
      <c r="P370">
        <v>960</v>
      </c>
      <c r="Q370">
        <v>1104</v>
      </c>
      <c r="R370">
        <v>1006</v>
      </c>
      <c r="S370">
        <v>882</v>
      </c>
      <c r="T370">
        <v>998</v>
      </c>
      <c r="U370">
        <v>980</v>
      </c>
      <c r="V370">
        <v>1135</v>
      </c>
      <c r="W370">
        <v>1032</v>
      </c>
      <c r="X370">
        <v>1010</v>
      </c>
      <c r="Y370">
        <v>982</v>
      </c>
      <c r="Z370">
        <v>892</v>
      </c>
      <c r="AA370">
        <v>958</v>
      </c>
      <c r="AB370">
        <v>1028</v>
      </c>
      <c r="AC370">
        <v>974</v>
      </c>
      <c r="AD370">
        <v>1009</v>
      </c>
      <c r="AE370">
        <v>963</v>
      </c>
      <c r="AF370">
        <v>0</v>
      </c>
      <c r="AG370">
        <v>2</v>
      </c>
      <c r="AH370">
        <v>0</v>
      </c>
      <c r="AI370">
        <v>0</v>
      </c>
      <c r="AJ370">
        <v>1</v>
      </c>
      <c r="AK370">
        <v>14</v>
      </c>
      <c r="AL370">
        <v>0</v>
      </c>
      <c r="AM370">
        <v>0</v>
      </c>
      <c r="AN370">
        <v>0</v>
      </c>
      <c r="AO370">
        <v>0</v>
      </c>
      <c r="AP370">
        <v>1088</v>
      </c>
      <c r="AQ370">
        <v>4</v>
      </c>
      <c r="AR370">
        <v>1</v>
      </c>
      <c r="AS370">
        <v>3</v>
      </c>
      <c r="AT370">
        <v>2</v>
      </c>
      <c r="AU370">
        <v>17</v>
      </c>
      <c r="AV370">
        <v>0</v>
      </c>
      <c r="AW370">
        <v>20</v>
      </c>
      <c r="AX370">
        <v>0</v>
      </c>
      <c r="AY370">
        <v>5</v>
      </c>
      <c r="AZ370">
        <v>1</v>
      </c>
      <c r="BA370">
        <v>987</v>
      </c>
      <c r="BB370">
        <v>4</v>
      </c>
      <c r="BC370">
        <v>16</v>
      </c>
      <c r="BD370">
        <v>0</v>
      </c>
      <c r="BE370">
        <v>8</v>
      </c>
      <c r="BF370">
        <v>8</v>
      </c>
      <c r="BG370">
        <v>3</v>
      </c>
      <c r="BH370">
        <v>0</v>
      </c>
      <c r="BI370">
        <v>0</v>
      </c>
      <c r="BJ370">
        <v>0</v>
      </c>
      <c r="BK370">
        <v>9</v>
      </c>
      <c r="BL370">
        <v>914</v>
      </c>
      <c r="BM370">
        <v>1</v>
      </c>
      <c r="BN370">
        <v>63</v>
      </c>
      <c r="BO370">
        <v>6</v>
      </c>
      <c r="BP370">
        <v>10</v>
      </c>
      <c r="BQ370">
        <v>4</v>
      </c>
      <c r="BR370">
        <v>3</v>
      </c>
      <c r="BS370">
        <v>0</v>
      </c>
      <c r="BT370">
        <v>0</v>
      </c>
      <c r="BU370">
        <v>0</v>
      </c>
      <c r="BV370">
        <v>0</v>
      </c>
      <c r="BW370">
        <v>968</v>
      </c>
      <c r="BX370">
        <v>0</v>
      </c>
      <c r="BY370">
        <v>10</v>
      </c>
      <c r="BZ370">
        <v>0</v>
      </c>
      <c r="CA370">
        <v>0</v>
      </c>
      <c r="CB370">
        <v>4</v>
      </c>
      <c r="CC370">
        <v>1</v>
      </c>
      <c r="CD370">
        <v>0</v>
      </c>
      <c r="CE370">
        <v>0</v>
      </c>
      <c r="CF370">
        <v>0</v>
      </c>
      <c r="CG370">
        <v>0</v>
      </c>
      <c r="CH370">
        <v>868</v>
      </c>
      <c r="CI370">
        <v>22</v>
      </c>
      <c r="CJ370">
        <v>0</v>
      </c>
      <c r="CK370">
        <v>1</v>
      </c>
      <c r="CL370">
        <v>0</v>
      </c>
      <c r="CM370">
        <v>3</v>
      </c>
      <c r="CN370">
        <v>1</v>
      </c>
      <c r="CO370">
        <v>0</v>
      </c>
      <c r="CP370">
        <v>0</v>
      </c>
      <c r="CQ370">
        <v>5</v>
      </c>
      <c r="CR370">
        <v>0</v>
      </c>
      <c r="CS370">
        <v>949</v>
      </c>
      <c r="CT370">
        <v>0</v>
      </c>
      <c r="CU370">
        <v>0</v>
      </c>
      <c r="CV370">
        <v>0</v>
      </c>
      <c r="CW370">
        <v>3</v>
      </c>
      <c r="CX370">
        <v>5</v>
      </c>
      <c r="CY370">
        <v>20</v>
      </c>
      <c r="CZ370">
        <v>1</v>
      </c>
      <c r="DA370">
        <v>6</v>
      </c>
      <c r="DB370">
        <v>5</v>
      </c>
      <c r="DC370">
        <v>0</v>
      </c>
      <c r="DD370">
        <v>977</v>
      </c>
      <c r="DE370">
        <v>3</v>
      </c>
      <c r="DF370">
        <v>8</v>
      </c>
      <c r="DG370">
        <v>9</v>
      </c>
      <c r="DH370">
        <v>1</v>
      </c>
      <c r="DI370">
        <v>3</v>
      </c>
      <c r="DJ370">
        <v>4</v>
      </c>
      <c r="DK370">
        <v>7</v>
      </c>
      <c r="DL370">
        <v>14</v>
      </c>
      <c r="DM370">
        <v>76</v>
      </c>
      <c r="DN370">
        <v>6</v>
      </c>
      <c r="DO370">
        <v>849</v>
      </c>
      <c r="DP370">
        <v>5</v>
      </c>
      <c r="DQ370">
        <v>3</v>
      </c>
      <c r="DR370">
        <v>0</v>
      </c>
      <c r="DS370">
        <v>0</v>
      </c>
      <c r="DT370">
        <v>0</v>
      </c>
      <c r="DU370">
        <v>12</v>
      </c>
      <c r="DV370">
        <v>7</v>
      </c>
      <c r="DW370">
        <v>2</v>
      </c>
      <c r="DX370">
        <v>5</v>
      </c>
      <c r="DY370">
        <v>2</v>
      </c>
      <c r="DZ370">
        <v>978</v>
      </c>
      <c r="EA370">
        <v>0.95409999999999995</v>
      </c>
      <c r="EB370">
        <v>0.95488590574162502</v>
      </c>
      <c r="EC370">
        <v>0.95433610535241498</v>
      </c>
      <c r="ED370">
        <v>0.95353035819460197</v>
      </c>
      <c r="EE370">
        <f>SUM(Table1[[#This Row],[ratio_0]:[ratio_9]])</f>
        <v>550</v>
      </c>
      <c r="EF370" s="1">
        <f>(Table1[[#This Row],[predicted_0]]-Table1[[#This Row],[actual_0]])/Table1[[#This Row],[actual_0]]</f>
        <v>7.1428571428571426E-3</v>
      </c>
      <c r="EG370" s="1">
        <f>(Table1[[#This Row],[predicted_1]]-Table1[[#This Row],[actual_1]])/Table1[[#This Row],[actual_1]]</f>
        <v>-3.4361233480176209E-2</v>
      </c>
      <c r="EH370" s="1">
        <f>(Table1[[#This Row],[predicted_2]]-Table1[[#This Row],[actual_2]])/Table1[[#This Row],[actual_2]]</f>
        <v>-6.7829457364341084E-3</v>
      </c>
      <c r="EI370" s="1">
        <f>(Table1[[#This Row],[predicted_3]]-Table1[[#This Row],[actual_3]])/Table1[[#This Row],[actual_3]]</f>
        <v>-8.5148514851485155E-2</v>
      </c>
      <c r="EJ370" s="1">
        <f>(Table1[[#This Row],[predicted_4]]-Table1[[#This Row],[actual_4]])/Table1[[#This Row],[actual_4]]</f>
        <v>3.6659877800407331E-2</v>
      </c>
      <c r="EK370" s="1">
        <f>(Table1[[#This Row],[predicted_5]]-Table1[[#This Row],[actual_5]])/Table1[[#This Row],[actual_5]]</f>
        <v>7.623318385650224E-2</v>
      </c>
      <c r="EL370" s="1">
        <f>(Table1[[#This Row],[predicted_6]]-Table1[[#This Row],[actual_6]])/Table1[[#This Row],[actual_6]]</f>
        <v>0.1524008350730689</v>
      </c>
      <c r="EM370" s="1">
        <f>(Table1[[#This Row],[predicted_7]]-Table1[[#This Row],[actual_7]])/Table1[[#This Row],[actual_7]]</f>
        <v>-2.1400778210116732E-2</v>
      </c>
      <c r="EN370" s="1">
        <f>(Table1[[#This Row],[predicted_8]]-Table1[[#This Row],[actual_8]])/Table1[[#This Row],[actual_8]]</f>
        <v>-9.4455852156057493E-2</v>
      </c>
      <c r="EO370" s="1">
        <f>(Table1[[#This Row],[predicted_9]]-Table1[[#This Row],[actual_9]])/Table1[[#This Row],[actual_9]]</f>
        <v>-1.0901883052527254E-2</v>
      </c>
      <c r="EP370" s="1">
        <f>1+(Table1[[#This Row],[error_ratio_0]]-EF$2)</f>
        <v>1.0051020408163265</v>
      </c>
      <c r="EQ370" s="1">
        <f>1+(Table1[[#This Row],[error_ratio_1]]-EG$2)</f>
        <v>0.96387665198237882</v>
      </c>
      <c r="ER370" s="1">
        <f>1+(Table1[[#This Row],[error_ratio_2]]-EH$2)</f>
        <v>0.99806201550387597</v>
      </c>
      <c r="ES370" s="1">
        <f>1+(Table1[[#This Row],[error_ratio_3]]-EI$2)</f>
        <v>0.90495049504950498</v>
      </c>
      <c r="ET370" s="1">
        <f>1+(Table1[[#This Row],[error_ratio_4]]-EJ$2)</f>
        <v>1.0356415478615071</v>
      </c>
      <c r="EU370" s="1">
        <f>1+(Table1[[#This Row],[error_ratio_5]]-EK$2)</f>
        <v>1.0751121076233183</v>
      </c>
      <c r="EV370" s="1">
        <f>1+(Table1[[#This Row],[error_ratio_6]]-EL$2)</f>
        <v>1.1586638830897704</v>
      </c>
      <c r="EW370" s="1">
        <f>1+(Table1[[#This Row],[error_ratio_7]]-EM$2)</f>
        <v>0.97665369649805445</v>
      </c>
      <c r="EX370" s="1">
        <f>1+(Table1[[#This Row],[error_ratio_8]]-EN$2)</f>
        <v>0.90862422997946612</v>
      </c>
      <c r="EY370" s="1">
        <f>1+(Table1[[#This Row],[error_ratio_9]]-EO$2)</f>
        <v>0.99306243805748262</v>
      </c>
    </row>
    <row r="371" spans="1:155" x14ac:dyDescent="0.75">
      <c r="A371">
        <v>10</v>
      </c>
      <c r="B371">
        <v>10</v>
      </c>
      <c r="C371">
        <v>10</v>
      </c>
      <c r="D371">
        <v>10</v>
      </c>
      <c r="E371">
        <v>100</v>
      </c>
      <c r="F371">
        <v>100</v>
      </c>
      <c r="G371">
        <v>100</v>
      </c>
      <c r="H371">
        <v>10</v>
      </c>
      <c r="I371">
        <v>10</v>
      </c>
      <c r="J371">
        <v>100</v>
      </c>
      <c r="K371">
        <v>987</v>
      </c>
      <c r="L371">
        <v>1148</v>
      </c>
      <c r="M371">
        <v>957</v>
      </c>
      <c r="N371">
        <v>974</v>
      </c>
      <c r="O371">
        <v>971</v>
      </c>
      <c r="P371">
        <v>920</v>
      </c>
      <c r="Q371">
        <v>1046</v>
      </c>
      <c r="R371">
        <v>984</v>
      </c>
      <c r="S371">
        <v>941</v>
      </c>
      <c r="T371">
        <v>1072</v>
      </c>
      <c r="U371">
        <v>980</v>
      </c>
      <c r="V371">
        <v>1135</v>
      </c>
      <c r="W371">
        <v>1032</v>
      </c>
      <c r="X371">
        <v>1010</v>
      </c>
      <c r="Y371">
        <v>982</v>
      </c>
      <c r="Z371">
        <v>892</v>
      </c>
      <c r="AA371">
        <v>958</v>
      </c>
      <c r="AB371">
        <v>1028</v>
      </c>
      <c r="AC371">
        <v>974</v>
      </c>
      <c r="AD371">
        <v>1009</v>
      </c>
      <c r="AE371">
        <v>960</v>
      </c>
      <c r="AF371">
        <v>0</v>
      </c>
      <c r="AG371">
        <v>0</v>
      </c>
      <c r="AH371">
        <v>1</v>
      </c>
      <c r="AI371">
        <v>0</v>
      </c>
      <c r="AJ371">
        <v>3</v>
      </c>
      <c r="AK371">
        <v>14</v>
      </c>
      <c r="AL371">
        <v>1</v>
      </c>
      <c r="AM371">
        <v>1</v>
      </c>
      <c r="AN371">
        <v>0</v>
      </c>
      <c r="AO371">
        <v>0</v>
      </c>
      <c r="AP371">
        <v>1109</v>
      </c>
      <c r="AQ371">
        <v>0</v>
      </c>
      <c r="AR371">
        <v>3</v>
      </c>
      <c r="AS371">
        <v>0</v>
      </c>
      <c r="AT371">
        <v>3</v>
      </c>
      <c r="AU371">
        <v>18</v>
      </c>
      <c r="AV371">
        <v>0</v>
      </c>
      <c r="AW371">
        <v>0</v>
      </c>
      <c r="AX371">
        <v>2</v>
      </c>
      <c r="AY371">
        <v>9</v>
      </c>
      <c r="AZ371">
        <v>34</v>
      </c>
      <c r="BA371">
        <v>937</v>
      </c>
      <c r="BB371">
        <v>12</v>
      </c>
      <c r="BC371">
        <v>3</v>
      </c>
      <c r="BD371">
        <v>3</v>
      </c>
      <c r="BE371">
        <v>16</v>
      </c>
      <c r="BF371">
        <v>6</v>
      </c>
      <c r="BG371">
        <v>12</v>
      </c>
      <c r="BH371">
        <v>0</v>
      </c>
      <c r="BI371">
        <v>2</v>
      </c>
      <c r="BJ371">
        <v>0</v>
      </c>
      <c r="BK371">
        <v>2</v>
      </c>
      <c r="BL371">
        <v>947</v>
      </c>
      <c r="BM371">
        <v>0</v>
      </c>
      <c r="BN371">
        <v>31</v>
      </c>
      <c r="BO371">
        <v>0</v>
      </c>
      <c r="BP371">
        <v>3</v>
      </c>
      <c r="BQ371">
        <v>6</v>
      </c>
      <c r="BR371">
        <v>19</v>
      </c>
      <c r="BS371">
        <v>0</v>
      </c>
      <c r="BT371">
        <v>0</v>
      </c>
      <c r="BU371">
        <v>2</v>
      </c>
      <c r="BV371">
        <v>0</v>
      </c>
      <c r="BW371">
        <v>959</v>
      </c>
      <c r="BX371">
        <v>0</v>
      </c>
      <c r="BY371">
        <v>12</v>
      </c>
      <c r="BZ371">
        <v>0</v>
      </c>
      <c r="CA371">
        <v>0</v>
      </c>
      <c r="CB371">
        <v>9</v>
      </c>
      <c r="CC371">
        <v>1</v>
      </c>
      <c r="CD371">
        <v>0</v>
      </c>
      <c r="CE371">
        <v>0</v>
      </c>
      <c r="CF371">
        <v>2</v>
      </c>
      <c r="CG371">
        <v>0</v>
      </c>
      <c r="CH371">
        <v>874</v>
      </c>
      <c r="CI371">
        <v>10</v>
      </c>
      <c r="CJ371">
        <v>0</v>
      </c>
      <c r="CK371">
        <v>2</v>
      </c>
      <c r="CL371">
        <v>3</v>
      </c>
      <c r="CM371">
        <v>2</v>
      </c>
      <c r="CN371">
        <v>1</v>
      </c>
      <c r="CO371">
        <v>0</v>
      </c>
      <c r="CP371">
        <v>0</v>
      </c>
      <c r="CQ371">
        <v>1</v>
      </c>
      <c r="CR371">
        <v>2</v>
      </c>
      <c r="CS371">
        <v>952</v>
      </c>
      <c r="CT371">
        <v>0</v>
      </c>
      <c r="CU371">
        <v>0</v>
      </c>
      <c r="CV371">
        <v>0</v>
      </c>
      <c r="CW371">
        <v>3</v>
      </c>
      <c r="CX371">
        <v>4</v>
      </c>
      <c r="CY371">
        <v>16</v>
      </c>
      <c r="CZ371">
        <v>9</v>
      </c>
      <c r="DA371">
        <v>1</v>
      </c>
      <c r="DB371">
        <v>0</v>
      </c>
      <c r="DC371">
        <v>0</v>
      </c>
      <c r="DD371">
        <v>967</v>
      </c>
      <c r="DE371">
        <v>4</v>
      </c>
      <c r="DF371">
        <v>24</v>
      </c>
      <c r="DG371">
        <v>7</v>
      </c>
      <c r="DH371">
        <v>0</v>
      </c>
      <c r="DI371">
        <v>0</v>
      </c>
      <c r="DJ371">
        <v>0</v>
      </c>
      <c r="DK371">
        <v>3</v>
      </c>
      <c r="DL371">
        <v>3</v>
      </c>
      <c r="DM371">
        <v>23</v>
      </c>
      <c r="DN371">
        <v>5</v>
      </c>
      <c r="DO371">
        <v>916</v>
      </c>
      <c r="DP371">
        <v>17</v>
      </c>
      <c r="DQ371">
        <v>3</v>
      </c>
      <c r="DR371">
        <v>0</v>
      </c>
      <c r="DS371">
        <v>0</v>
      </c>
      <c r="DT371">
        <v>0</v>
      </c>
      <c r="DU371">
        <v>4</v>
      </c>
      <c r="DV371">
        <v>1</v>
      </c>
      <c r="DW371">
        <v>1</v>
      </c>
      <c r="DX371">
        <v>2</v>
      </c>
      <c r="DY371">
        <v>0</v>
      </c>
      <c r="DZ371">
        <v>998</v>
      </c>
      <c r="EA371">
        <v>0.96189999999999998</v>
      </c>
      <c r="EB371">
        <v>0.96249545655462598</v>
      </c>
      <c r="EC371">
        <v>0.96226011786761101</v>
      </c>
      <c r="ED371">
        <v>0.96183569186173901</v>
      </c>
      <c r="EE371">
        <f>SUM(Table1[[#This Row],[ratio_0]:[ratio_9]])</f>
        <v>460</v>
      </c>
      <c r="EF371" s="1">
        <f>(Table1[[#This Row],[predicted_0]]-Table1[[#This Row],[actual_0]])/Table1[[#This Row],[actual_0]]</f>
        <v>7.1428571428571426E-3</v>
      </c>
      <c r="EG371" s="1">
        <f>(Table1[[#This Row],[predicted_1]]-Table1[[#This Row],[actual_1]])/Table1[[#This Row],[actual_1]]</f>
        <v>1.145374449339207E-2</v>
      </c>
      <c r="EH371" s="1">
        <f>(Table1[[#This Row],[predicted_2]]-Table1[[#This Row],[actual_2]])/Table1[[#This Row],[actual_2]]</f>
        <v>-7.2674418604651167E-2</v>
      </c>
      <c r="EI371" s="1">
        <f>(Table1[[#This Row],[predicted_3]]-Table1[[#This Row],[actual_3]])/Table1[[#This Row],[actual_3]]</f>
        <v>-3.5643564356435641E-2</v>
      </c>
      <c r="EJ371" s="1">
        <f>(Table1[[#This Row],[predicted_4]]-Table1[[#This Row],[actual_4]])/Table1[[#This Row],[actual_4]]</f>
        <v>-1.1201629327902239E-2</v>
      </c>
      <c r="EK371" s="1">
        <f>(Table1[[#This Row],[predicted_5]]-Table1[[#This Row],[actual_5]])/Table1[[#This Row],[actual_5]]</f>
        <v>3.1390134529147982E-2</v>
      </c>
      <c r="EL371" s="1">
        <f>(Table1[[#This Row],[predicted_6]]-Table1[[#This Row],[actual_6]])/Table1[[#This Row],[actual_6]]</f>
        <v>9.1858037578288101E-2</v>
      </c>
      <c r="EM371" s="1">
        <f>(Table1[[#This Row],[predicted_7]]-Table1[[#This Row],[actual_7]])/Table1[[#This Row],[actual_7]]</f>
        <v>-4.2801556420233464E-2</v>
      </c>
      <c r="EN371" s="1">
        <f>(Table1[[#This Row],[predicted_8]]-Table1[[#This Row],[actual_8]])/Table1[[#This Row],[actual_8]]</f>
        <v>-3.3880903490759756E-2</v>
      </c>
      <c r="EO371" s="1">
        <f>(Table1[[#This Row],[predicted_9]]-Table1[[#This Row],[actual_9]])/Table1[[#This Row],[actual_9]]</f>
        <v>6.2438057482656094E-2</v>
      </c>
      <c r="EP371" s="1">
        <f>1+(Table1[[#This Row],[error_ratio_0]]-EF$2)</f>
        <v>1.0051020408163265</v>
      </c>
      <c r="EQ371" s="1">
        <f>1+(Table1[[#This Row],[error_ratio_1]]-EG$2)</f>
        <v>1.0096916299559471</v>
      </c>
      <c r="ER371" s="1">
        <f>1+(Table1[[#This Row],[error_ratio_2]]-EH$2)</f>
        <v>0.93217054263565891</v>
      </c>
      <c r="ES371" s="1">
        <f>1+(Table1[[#This Row],[error_ratio_3]]-EI$2)</f>
        <v>0.95445544554455441</v>
      </c>
      <c r="ET371" s="1">
        <f>1+(Table1[[#This Row],[error_ratio_4]]-EJ$2)</f>
        <v>0.98778004073319758</v>
      </c>
      <c r="EU371" s="1">
        <f>1+(Table1[[#This Row],[error_ratio_5]]-EK$2)</f>
        <v>1.0302690582959642</v>
      </c>
      <c r="EV371" s="1">
        <f>1+(Table1[[#This Row],[error_ratio_6]]-EL$2)</f>
        <v>1.0981210855949897</v>
      </c>
      <c r="EW371" s="1">
        <f>1+(Table1[[#This Row],[error_ratio_7]]-EM$2)</f>
        <v>0.95525291828793779</v>
      </c>
      <c r="EX371" s="1">
        <f>1+(Table1[[#This Row],[error_ratio_8]]-EN$2)</f>
        <v>0.9691991786447639</v>
      </c>
      <c r="EY371" s="1">
        <f>1+(Table1[[#This Row],[error_ratio_9]]-EO$2)</f>
        <v>1.066402378592666</v>
      </c>
    </row>
    <row r="372" spans="1:155" x14ac:dyDescent="0.75">
      <c r="A372">
        <v>100</v>
      </c>
      <c r="B372">
        <v>100</v>
      </c>
      <c r="C372">
        <v>100</v>
      </c>
      <c r="D372">
        <v>100</v>
      </c>
      <c r="E372">
        <v>10</v>
      </c>
      <c r="F372">
        <v>100</v>
      </c>
      <c r="G372">
        <v>100</v>
      </c>
      <c r="H372">
        <v>10</v>
      </c>
      <c r="I372">
        <v>10</v>
      </c>
      <c r="J372">
        <v>100</v>
      </c>
      <c r="K372">
        <v>981</v>
      </c>
      <c r="L372">
        <v>1145</v>
      </c>
      <c r="M372">
        <v>1063</v>
      </c>
      <c r="N372">
        <v>1053</v>
      </c>
      <c r="O372">
        <v>902</v>
      </c>
      <c r="P372">
        <v>843</v>
      </c>
      <c r="Q372">
        <v>980</v>
      </c>
      <c r="R372">
        <v>1032</v>
      </c>
      <c r="S372">
        <v>880</v>
      </c>
      <c r="T372">
        <v>1121</v>
      </c>
      <c r="U372">
        <v>980</v>
      </c>
      <c r="V372">
        <v>1135</v>
      </c>
      <c r="W372">
        <v>1032</v>
      </c>
      <c r="X372">
        <v>1010</v>
      </c>
      <c r="Y372">
        <v>982</v>
      </c>
      <c r="Z372">
        <v>892</v>
      </c>
      <c r="AA372">
        <v>958</v>
      </c>
      <c r="AB372">
        <v>1028</v>
      </c>
      <c r="AC372">
        <v>974</v>
      </c>
      <c r="AD372">
        <v>1009</v>
      </c>
      <c r="AE372">
        <v>970</v>
      </c>
      <c r="AF372">
        <v>0</v>
      </c>
      <c r="AG372">
        <v>1</v>
      </c>
      <c r="AH372">
        <v>1</v>
      </c>
      <c r="AI372">
        <v>0</v>
      </c>
      <c r="AJ372">
        <v>0</v>
      </c>
      <c r="AK372">
        <v>5</v>
      </c>
      <c r="AL372">
        <v>2</v>
      </c>
      <c r="AM372">
        <v>1</v>
      </c>
      <c r="AN372">
        <v>0</v>
      </c>
      <c r="AO372">
        <v>0</v>
      </c>
      <c r="AP372">
        <v>1131</v>
      </c>
      <c r="AQ372">
        <v>0</v>
      </c>
      <c r="AR372">
        <v>1</v>
      </c>
      <c r="AS372">
        <v>0</v>
      </c>
      <c r="AT372">
        <v>0</v>
      </c>
      <c r="AU372">
        <v>2</v>
      </c>
      <c r="AV372">
        <v>1</v>
      </c>
      <c r="AW372">
        <v>0</v>
      </c>
      <c r="AX372">
        <v>0</v>
      </c>
      <c r="AY372">
        <v>0</v>
      </c>
      <c r="AZ372">
        <v>0</v>
      </c>
      <c r="BA372">
        <v>1025</v>
      </c>
      <c r="BB372">
        <v>0</v>
      </c>
      <c r="BC372">
        <v>0</v>
      </c>
      <c r="BD372">
        <v>0</v>
      </c>
      <c r="BE372">
        <v>1</v>
      </c>
      <c r="BF372">
        <v>6</v>
      </c>
      <c r="BG372">
        <v>0</v>
      </c>
      <c r="BH372">
        <v>0</v>
      </c>
      <c r="BI372">
        <v>0</v>
      </c>
      <c r="BJ372">
        <v>0</v>
      </c>
      <c r="BK372">
        <v>3</v>
      </c>
      <c r="BL372">
        <v>1000</v>
      </c>
      <c r="BM372">
        <v>0</v>
      </c>
      <c r="BN372">
        <v>0</v>
      </c>
      <c r="BO372">
        <v>0</v>
      </c>
      <c r="BP372">
        <v>6</v>
      </c>
      <c r="BQ372">
        <v>0</v>
      </c>
      <c r="BR372">
        <v>1</v>
      </c>
      <c r="BS372">
        <v>1</v>
      </c>
      <c r="BT372">
        <v>5</v>
      </c>
      <c r="BU372">
        <v>4</v>
      </c>
      <c r="BV372">
        <v>0</v>
      </c>
      <c r="BW372">
        <v>900</v>
      </c>
      <c r="BX372">
        <v>0</v>
      </c>
      <c r="BY372">
        <v>15</v>
      </c>
      <c r="BZ372">
        <v>5</v>
      </c>
      <c r="CA372">
        <v>0</v>
      </c>
      <c r="CB372">
        <v>52</v>
      </c>
      <c r="CC372">
        <v>3</v>
      </c>
      <c r="CD372">
        <v>0</v>
      </c>
      <c r="CE372">
        <v>0</v>
      </c>
      <c r="CF372">
        <v>23</v>
      </c>
      <c r="CG372">
        <v>0</v>
      </c>
      <c r="CH372">
        <v>839</v>
      </c>
      <c r="CI372">
        <v>3</v>
      </c>
      <c r="CJ372">
        <v>1</v>
      </c>
      <c r="CK372">
        <v>2</v>
      </c>
      <c r="CL372">
        <v>21</v>
      </c>
      <c r="CM372">
        <v>4</v>
      </c>
      <c r="CN372">
        <v>2</v>
      </c>
      <c r="CO372">
        <v>0</v>
      </c>
      <c r="CP372">
        <v>0</v>
      </c>
      <c r="CQ372">
        <v>1</v>
      </c>
      <c r="CR372">
        <v>3</v>
      </c>
      <c r="CS372">
        <v>948</v>
      </c>
      <c r="CT372">
        <v>0</v>
      </c>
      <c r="CU372">
        <v>0</v>
      </c>
      <c r="CV372">
        <v>0</v>
      </c>
      <c r="CW372">
        <v>1</v>
      </c>
      <c r="CX372">
        <v>5</v>
      </c>
      <c r="CY372">
        <v>16</v>
      </c>
      <c r="CZ372">
        <v>5</v>
      </c>
      <c r="DA372">
        <v>0</v>
      </c>
      <c r="DB372">
        <v>0</v>
      </c>
      <c r="DC372">
        <v>0</v>
      </c>
      <c r="DD372">
        <v>991</v>
      </c>
      <c r="DE372">
        <v>1</v>
      </c>
      <c r="DF372">
        <v>9</v>
      </c>
      <c r="DG372">
        <v>2</v>
      </c>
      <c r="DH372">
        <v>1</v>
      </c>
      <c r="DI372">
        <v>14</v>
      </c>
      <c r="DJ372">
        <v>21</v>
      </c>
      <c r="DK372">
        <v>0</v>
      </c>
      <c r="DL372">
        <v>1</v>
      </c>
      <c r="DM372">
        <v>5</v>
      </c>
      <c r="DN372">
        <v>14</v>
      </c>
      <c r="DO372">
        <v>876</v>
      </c>
      <c r="DP372">
        <v>40</v>
      </c>
      <c r="DQ372">
        <v>0</v>
      </c>
      <c r="DR372">
        <v>1</v>
      </c>
      <c r="DS372">
        <v>0</v>
      </c>
      <c r="DT372">
        <v>2</v>
      </c>
      <c r="DU372">
        <v>1</v>
      </c>
      <c r="DV372">
        <v>0</v>
      </c>
      <c r="DW372">
        <v>1</v>
      </c>
      <c r="DX372">
        <v>6</v>
      </c>
      <c r="DY372">
        <v>0</v>
      </c>
      <c r="DZ372">
        <v>998</v>
      </c>
      <c r="EA372">
        <v>0.96779999999999999</v>
      </c>
      <c r="EB372">
        <v>0.96968666983214802</v>
      </c>
      <c r="EC372">
        <v>0.966871912736881</v>
      </c>
      <c r="ED372">
        <v>0.96744767792981401</v>
      </c>
      <c r="EE372">
        <f>SUM(Table1[[#This Row],[ratio_0]:[ratio_9]])</f>
        <v>730</v>
      </c>
      <c r="EF372" s="1">
        <f>(Table1[[#This Row],[predicted_0]]-Table1[[#This Row],[actual_0]])/Table1[[#This Row],[actual_0]]</f>
        <v>1.0204081632653062E-3</v>
      </c>
      <c r="EG372" s="1">
        <f>(Table1[[#This Row],[predicted_1]]-Table1[[#This Row],[actual_1]])/Table1[[#This Row],[actual_1]]</f>
        <v>8.8105726872246704E-3</v>
      </c>
      <c r="EH372" s="1">
        <f>(Table1[[#This Row],[predicted_2]]-Table1[[#This Row],[actual_2]])/Table1[[#This Row],[actual_2]]</f>
        <v>3.0038759689922482E-2</v>
      </c>
      <c r="EI372" s="1">
        <f>(Table1[[#This Row],[predicted_3]]-Table1[[#This Row],[actual_3]])/Table1[[#This Row],[actual_3]]</f>
        <v>4.2574257425742577E-2</v>
      </c>
      <c r="EJ372" s="1">
        <f>(Table1[[#This Row],[predicted_4]]-Table1[[#This Row],[actual_4]])/Table1[[#This Row],[actual_4]]</f>
        <v>-8.1466395112016296E-2</v>
      </c>
      <c r="EK372" s="1">
        <f>(Table1[[#This Row],[predicted_5]]-Table1[[#This Row],[actual_5]])/Table1[[#This Row],[actual_5]]</f>
        <v>-5.4932735426008968E-2</v>
      </c>
      <c r="EL372" s="1">
        <f>(Table1[[#This Row],[predicted_6]]-Table1[[#This Row],[actual_6]])/Table1[[#This Row],[actual_6]]</f>
        <v>2.2964509394572025E-2</v>
      </c>
      <c r="EM372" s="1">
        <f>(Table1[[#This Row],[predicted_7]]-Table1[[#This Row],[actual_7]])/Table1[[#This Row],[actual_7]]</f>
        <v>3.8910505836575876E-3</v>
      </c>
      <c r="EN372" s="1">
        <f>(Table1[[#This Row],[predicted_8]]-Table1[[#This Row],[actual_8]])/Table1[[#This Row],[actual_8]]</f>
        <v>-9.6509240246406572E-2</v>
      </c>
      <c r="EO372" s="1">
        <f>(Table1[[#This Row],[predicted_9]]-Table1[[#This Row],[actual_9]])/Table1[[#This Row],[actual_9]]</f>
        <v>0.1110009910802775</v>
      </c>
      <c r="EP372" s="1">
        <f>1+(Table1[[#This Row],[error_ratio_0]]-EF$2)</f>
        <v>0.99897959183673468</v>
      </c>
      <c r="EQ372" s="1">
        <f>1+(Table1[[#This Row],[error_ratio_1]]-EG$2)</f>
        <v>1.0070484581497798</v>
      </c>
      <c r="ER372" s="1">
        <f>1+(Table1[[#This Row],[error_ratio_2]]-EH$2)</f>
        <v>1.0348837209302326</v>
      </c>
      <c r="ES372" s="1">
        <f>1+(Table1[[#This Row],[error_ratio_3]]-EI$2)</f>
        <v>1.0326732673267327</v>
      </c>
      <c r="ET372" s="1">
        <f>1+(Table1[[#This Row],[error_ratio_4]]-EJ$2)</f>
        <v>0.91751527494908347</v>
      </c>
      <c r="EU372" s="1">
        <f>1+(Table1[[#This Row],[error_ratio_5]]-EK$2)</f>
        <v>0.94394618834080712</v>
      </c>
      <c r="EV372" s="1">
        <f>1+(Table1[[#This Row],[error_ratio_6]]-EL$2)</f>
        <v>1.0292275574112735</v>
      </c>
      <c r="EW372" s="1">
        <f>1+(Table1[[#This Row],[error_ratio_7]]-EM$2)</f>
        <v>1.0019455252918288</v>
      </c>
      <c r="EX372" s="1">
        <f>1+(Table1[[#This Row],[error_ratio_8]]-EN$2)</f>
        <v>0.90657084188911707</v>
      </c>
      <c r="EY372" s="1">
        <f>1+(Table1[[#This Row],[error_ratio_9]]-EO$2)</f>
        <v>1.1149653121902874</v>
      </c>
    </row>
    <row r="373" spans="1:155" x14ac:dyDescent="0.75">
      <c r="A373">
        <v>10</v>
      </c>
      <c r="B373">
        <v>100</v>
      </c>
      <c r="C373">
        <v>100</v>
      </c>
      <c r="D373">
        <v>100</v>
      </c>
      <c r="E373">
        <v>10</v>
      </c>
      <c r="F373">
        <v>100</v>
      </c>
      <c r="G373">
        <v>100</v>
      </c>
      <c r="H373">
        <v>10</v>
      </c>
      <c r="I373">
        <v>10</v>
      </c>
      <c r="J373">
        <v>100</v>
      </c>
      <c r="K373">
        <v>974</v>
      </c>
      <c r="L373">
        <v>1142</v>
      </c>
      <c r="M373">
        <v>1170</v>
      </c>
      <c r="N373">
        <v>1006</v>
      </c>
      <c r="O373">
        <v>905</v>
      </c>
      <c r="P373">
        <v>889</v>
      </c>
      <c r="Q373">
        <v>1007</v>
      </c>
      <c r="R373">
        <v>920</v>
      </c>
      <c r="S373">
        <v>926</v>
      </c>
      <c r="T373">
        <v>1061</v>
      </c>
      <c r="U373">
        <v>980</v>
      </c>
      <c r="V373">
        <v>1135</v>
      </c>
      <c r="W373">
        <v>1032</v>
      </c>
      <c r="X373">
        <v>1010</v>
      </c>
      <c r="Y373">
        <v>982</v>
      </c>
      <c r="Z373">
        <v>892</v>
      </c>
      <c r="AA373">
        <v>958</v>
      </c>
      <c r="AB373">
        <v>1028</v>
      </c>
      <c r="AC373">
        <v>974</v>
      </c>
      <c r="AD373">
        <v>1009</v>
      </c>
      <c r="AE373">
        <v>963</v>
      </c>
      <c r="AF373">
        <v>0</v>
      </c>
      <c r="AG373">
        <v>4</v>
      </c>
      <c r="AH373">
        <v>0</v>
      </c>
      <c r="AI373">
        <v>0</v>
      </c>
      <c r="AJ373">
        <v>2</v>
      </c>
      <c r="AK373">
        <v>5</v>
      </c>
      <c r="AL373">
        <v>0</v>
      </c>
      <c r="AM373">
        <v>3</v>
      </c>
      <c r="AN373">
        <v>3</v>
      </c>
      <c r="AO373">
        <v>0</v>
      </c>
      <c r="AP373">
        <v>1125</v>
      </c>
      <c r="AQ373">
        <v>3</v>
      </c>
      <c r="AR373">
        <v>1</v>
      </c>
      <c r="AS373">
        <v>0</v>
      </c>
      <c r="AT373">
        <v>0</v>
      </c>
      <c r="AU373">
        <v>5</v>
      </c>
      <c r="AV373">
        <v>0</v>
      </c>
      <c r="AW373">
        <v>1</v>
      </c>
      <c r="AX373">
        <v>0</v>
      </c>
      <c r="AY373">
        <v>1</v>
      </c>
      <c r="AZ373">
        <v>0</v>
      </c>
      <c r="BA373">
        <v>1028</v>
      </c>
      <c r="BB373">
        <v>0</v>
      </c>
      <c r="BC373">
        <v>0</v>
      </c>
      <c r="BD373">
        <v>0</v>
      </c>
      <c r="BE373">
        <v>0</v>
      </c>
      <c r="BF373">
        <v>2</v>
      </c>
      <c r="BG373">
        <v>0</v>
      </c>
      <c r="BH373">
        <v>1</v>
      </c>
      <c r="BI373">
        <v>0</v>
      </c>
      <c r="BJ373">
        <v>0</v>
      </c>
      <c r="BK373">
        <v>7</v>
      </c>
      <c r="BL373">
        <v>994</v>
      </c>
      <c r="BM373">
        <v>0</v>
      </c>
      <c r="BN373">
        <v>3</v>
      </c>
      <c r="BO373">
        <v>0</v>
      </c>
      <c r="BP373">
        <v>3</v>
      </c>
      <c r="BQ373">
        <v>0</v>
      </c>
      <c r="BR373">
        <v>3</v>
      </c>
      <c r="BS373">
        <v>0</v>
      </c>
      <c r="BT373">
        <v>6</v>
      </c>
      <c r="BU373">
        <v>28</v>
      </c>
      <c r="BV373">
        <v>0</v>
      </c>
      <c r="BW373">
        <v>903</v>
      </c>
      <c r="BX373">
        <v>0</v>
      </c>
      <c r="BY373">
        <v>14</v>
      </c>
      <c r="BZ373">
        <v>1</v>
      </c>
      <c r="CA373">
        <v>1</v>
      </c>
      <c r="CB373">
        <v>29</v>
      </c>
      <c r="CC373">
        <v>1</v>
      </c>
      <c r="CD373">
        <v>0</v>
      </c>
      <c r="CE373">
        <v>0</v>
      </c>
      <c r="CF373">
        <v>7</v>
      </c>
      <c r="CG373">
        <v>0</v>
      </c>
      <c r="CH373">
        <v>871</v>
      </c>
      <c r="CI373">
        <v>12</v>
      </c>
      <c r="CJ373">
        <v>0</v>
      </c>
      <c r="CK373">
        <v>0</v>
      </c>
      <c r="CL373">
        <v>1</v>
      </c>
      <c r="CM373">
        <v>1</v>
      </c>
      <c r="CN373">
        <v>2</v>
      </c>
      <c r="CO373">
        <v>0</v>
      </c>
      <c r="CP373">
        <v>0</v>
      </c>
      <c r="CQ373">
        <v>1</v>
      </c>
      <c r="CR373">
        <v>1</v>
      </c>
      <c r="CS373">
        <v>953</v>
      </c>
      <c r="CT373">
        <v>0</v>
      </c>
      <c r="CU373">
        <v>0</v>
      </c>
      <c r="CV373">
        <v>0</v>
      </c>
      <c r="CW373">
        <v>2</v>
      </c>
      <c r="CX373">
        <v>5</v>
      </c>
      <c r="CY373">
        <v>80</v>
      </c>
      <c r="CZ373">
        <v>2</v>
      </c>
      <c r="DA373">
        <v>0</v>
      </c>
      <c r="DB373">
        <v>3</v>
      </c>
      <c r="DC373">
        <v>0</v>
      </c>
      <c r="DD373">
        <v>910</v>
      </c>
      <c r="DE373">
        <v>2</v>
      </c>
      <c r="DF373">
        <v>24</v>
      </c>
      <c r="DG373">
        <v>5</v>
      </c>
      <c r="DH373">
        <v>3</v>
      </c>
      <c r="DI373">
        <v>20</v>
      </c>
      <c r="DJ373">
        <v>2</v>
      </c>
      <c r="DK373">
        <v>0</v>
      </c>
      <c r="DL373">
        <v>3</v>
      </c>
      <c r="DM373">
        <v>16</v>
      </c>
      <c r="DN373">
        <v>2</v>
      </c>
      <c r="DO373">
        <v>919</v>
      </c>
      <c r="DP373">
        <v>4</v>
      </c>
      <c r="DQ373">
        <v>1</v>
      </c>
      <c r="DR373">
        <v>1</v>
      </c>
      <c r="DS373">
        <v>0</v>
      </c>
      <c r="DT373">
        <v>0</v>
      </c>
      <c r="DU373">
        <v>1</v>
      </c>
      <c r="DV373">
        <v>6</v>
      </c>
      <c r="DW373">
        <v>2</v>
      </c>
      <c r="DX373">
        <v>2</v>
      </c>
      <c r="DY373">
        <v>0</v>
      </c>
      <c r="DZ373">
        <v>996</v>
      </c>
      <c r="EA373">
        <v>0.96619999999999995</v>
      </c>
      <c r="EB373">
        <v>0.96847502887261605</v>
      </c>
      <c r="EC373">
        <v>0.96607768543260097</v>
      </c>
      <c r="ED373">
        <v>0.96627507716821104</v>
      </c>
      <c r="EE373">
        <f>SUM(Table1[[#This Row],[ratio_0]:[ratio_9]])</f>
        <v>640</v>
      </c>
      <c r="EF373" s="1">
        <f>(Table1[[#This Row],[predicted_0]]-Table1[[#This Row],[actual_0]])/Table1[[#This Row],[actual_0]]</f>
        <v>-6.1224489795918364E-3</v>
      </c>
      <c r="EG373" s="1">
        <f>(Table1[[#This Row],[predicted_1]]-Table1[[#This Row],[actual_1]])/Table1[[#This Row],[actual_1]]</f>
        <v>6.1674008810572688E-3</v>
      </c>
      <c r="EH373" s="1">
        <f>(Table1[[#This Row],[predicted_2]]-Table1[[#This Row],[actual_2]])/Table1[[#This Row],[actual_2]]</f>
        <v>0.13372093023255813</v>
      </c>
      <c r="EI373" s="1">
        <f>(Table1[[#This Row],[predicted_3]]-Table1[[#This Row],[actual_3]])/Table1[[#This Row],[actual_3]]</f>
        <v>-3.9603960396039604E-3</v>
      </c>
      <c r="EJ373" s="1">
        <f>(Table1[[#This Row],[predicted_4]]-Table1[[#This Row],[actual_4]])/Table1[[#This Row],[actual_4]]</f>
        <v>-7.8411405295315678E-2</v>
      </c>
      <c r="EK373" s="1">
        <f>(Table1[[#This Row],[predicted_5]]-Table1[[#This Row],[actual_5]])/Table1[[#This Row],[actual_5]]</f>
        <v>-3.3632286995515697E-3</v>
      </c>
      <c r="EL373" s="1">
        <f>(Table1[[#This Row],[predicted_6]]-Table1[[#This Row],[actual_6]])/Table1[[#This Row],[actual_6]]</f>
        <v>5.1148225469728602E-2</v>
      </c>
      <c r="EM373" s="1">
        <f>(Table1[[#This Row],[predicted_7]]-Table1[[#This Row],[actual_7]])/Table1[[#This Row],[actual_7]]</f>
        <v>-0.10505836575875487</v>
      </c>
      <c r="EN373" s="1">
        <f>(Table1[[#This Row],[predicted_8]]-Table1[[#This Row],[actual_8]])/Table1[[#This Row],[actual_8]]</f>
        <v>-4.9281314168377825E-2</v>
      </c>
      <c r="EO373" s="1">
        <f>(Table1[[#This Row],[predicted_9]]-Table1[[#This Row],[actual_9]])/Table1[[#This Row],[actual_9]]</f>
        <v>5.1536174430128839E-2</v>
      </c>
      <c r="EP373" s="1">
        <f>1+(Table1[[#This Row],[error_ratio_0]]-EF$2)</f>
        <v>0.99183673469387756</v>
      </c>
      <c r="EQ373" s="1">
        <f>1+(Table1[[#This Row],[error_ratio_1]]-EG$2)</f>
        <v>1.0044052863436124</v>
      </c>
      <c r="ER373" s="1">
        <f>1+(Table1[[#This Row],[error_ratio_2]]-EH$2)</f>
        <v>1.1385658914728682</v>
      </c>
      <c r="ES373" s="1">
        <f>1+(Table1[[#This Row],[error_ratio_3]]-EI$2)</f>
        <v>0.98613861386138613</v>
      </c>
      <c r="ET373" s="1">
        <f>1+(Table1[[#This Row],[error_ratio_4]]-EJ$2)</f>
        <v>0.92057026476578407</v>
      </c>
      <c r="EU373" s="1">
        <f>1+(Table1[[#This Row],[error_ratio_5]]-EK$2)</f>
        <v>0.99551569506726456</v>
      </c>
      <c r="EV373" s="1">
        <f>1+(Table1[[#This Row],[error_ratio_6]]-EL$2)</f>
        <v>1.05741127348643</v>
      </c>
      <c r="EW373" s="1">
        <f>1+(Table1[[#This Row],[error_ratio_7]]-EM$2)</f>
        <v>0.89299610894941628</v>
      </c>
      <c r="EX373" s="1">
        <f>1+(Table1[[#This Row],[error_ratio_8]]-EN$2)</f>
        <v>0.9537987679671458</v>
      </c>
      <c r="EY373" s="1">
        <f>1+(Table1[[#This Row],[error_ratio_9]]-EO$2)</f>
        <v>1.0555004955401388</v>
      </c>
    </row>
    <row r="374" spans="1:155" x14ac:dyDescent="0.75">
      <c r="A374">
        <v>100</v>
      </c>
      <c r="B374">
        <v>10</v>
      </c>
      <c r="C374">
        <v>100</v>
      </c>
      <c r="D374">
        <v>100</v>
      </c>
      <c r="E374">
        <v>10</v>
      </c>
      <c r="F374">
        <v>100</v>
      </c>
      <c r="G374">
        <v>100</v>
      </c>
      <c r="H374">
        <v>10</v>
      </c>
      <c r="I374">
        <v>10</v>
      </c>
      <c r="J374">
        <v>100</v>
      </c>
      <c r="K374">
        <v>987</v>
      </c>
      <c r="L374">
        <v>1062</v>
      </c>
      <c r="M374">
        <v>1065</v>
      </c>
      <c r="N374">
        <v>1107</v>
      </c>
      <c r="O374">
        <v>820</v>
      </c>
      <c r="P374">
        <v>873</v>
      </c>
      <c r="Q374">
        <v>954</v>
      </c>
      <c r="R374">
        <v>898</v>
      </c>
      <c r="S374">
        <v>993</v>
      </c>
      <c r="T374">
        <v>1241</v>
      </c>
      <c r="U374">
        <v>980</v>
      </c>
      <c r="V374">
        <v>1135</v>
      </c>
      <c r="W374">
        <v>1032</v>
      </c>
      <c r="X374">
        <v>1010</v>
      </c>
      <c r="Y374">
        <v>982</v>
      </c>
      <c r="Z374">
        <v>892</v>
      </c>
      <c r="AA374">
        <v>958</v>
      </c>
      <c r="AB374">
        <v>1028</v>
      </c>
      <c r="AC374">
        <v>974</v>
      </c>
      <c r="AD374">
        <v>1009</v>
      </c>
      <c r="AE374">
        <v>971</v>
      </c>
      <c r="AF374">
        <v>0</v>
      </c>
      <c r="AG374">
        <v>2</v>
      </c>
      <c r="AH374">
        <v>0</v>
      </c>
      <c r="AI374">
        <v>0</v>
      </c>
      <c r="AJ374">
        <v>0</v>
      </c>
      <c r="AK374">
        <v>2</v>
      </c>
      <c r="AL374">
        <v>1</v>
      </c>
      <c r="AM374">
        <v>3</v>
      </c>
      <c r="AN374">
        <v>1</v>
      </c>
      <c r="AO374">
        <v>0</v>
      </c>
      <c r="AP374">
        <v>1060</v>
      </c>
      <c r="AQ374">
        <v>5</v>
      </c>
      <c r="AR374">
        <v>3</v>
      </c>
      <c r="AS374">
        <v>0</v>
      </c>
      <c r="AT374">
        <v>0</v>
      </c>
      <c r="AU374">
        <v>4</v>
      </c>
      <c r="AV374">
        <v>0</v>
      </c>
      <c r="AW374">
        <v>50</v>
      </c>
      <c r="AX374">
        <v>13</v>
      </c>
      <c r="AY374">
        <v>0</v>
      </c>
      <c r="AZ374">
        <v>0</v>
      </c>
      <c r="BA374">
        <v>1018</v>
      </c>
      <c r="BB374">
        <v>8</v>
      </c>
      <c r="BC374">
        <v>0</v>
      </c>
      <c r="BD374">
        <v>0</v>
      </c>
      <c r="BE374">
        <v>0</v>
      </c>
      <c r="BF374">
        <v>2</v>
      </c>
      <c r="BG374">
        <v>4</v>
      </c>
      <c r="BH374">
        <v>0</v>
      </c>
      <c r="BI374">
        <v>0</v>
      </c>
      <c r="BJ374">
        <v>0</v>
      </c>
      <c r="BK374">
        <v>0</v>
      </c>
      <c r="BL374">
        <v>1006</v>
      </c>
      <c r="BM374">
        <v>0</v>
      </c>
      <c r="BN374">
        <v>1</v>
      </c>
      <c r="BO374">
        <v>0</v>
      </c>
      <c r="BP374">
        <v>0</v>
      </c>
      <c r="BQ374">
        <v>0</v>
      </c>
      <c r="BR374">
        <v>3</v>
      </c>
      <c r="BS374">
        <v>2</v>
      </c>
      <c r="BT374">
        <v>0</v>
      </c>
      <c r="BU374">
        <v>14</v>
      </c>
      <c r="BV374">
        <v>6</v>
      </c>
      <c r="BW374">
        <v>819</v>
      </c>
      <c r="BX374">
        <v>0</v>
      </c>
      <c r="BY374">
        <v>7</v>
      </c>
      <c r="BZ374">
        <v>0</v>
      </c>
      <c r="CA374">
        <v>11</v>
      </c>
      <c r="CB374">
        <v>123</v>
      </c>
      <c r="CC374">
        <v>1</v>
      </c>
      <c r="CD374">
        <v>0</v>
      </c>
      <c r="CE374">
        <v>1</v>
      </c>
      <c r="CF374">
        <v>10</v>
      </c>
      <c r="CG374">
        <v>0</v>
      </c>
      <c r="CH374">
        <v>858</v>
      </c>
      <c r="CI374">
        <v>2</v>
      </c>
      <c r="CJ374">
        <v>1</v>
      </c>
      <c r="CK374">
        <v>5</v>
      </c>
      <c r="CL374">
        <v>14</v>
      </c>
      <c r="CM374">
        <v>7</v>
      </c>
      <c r="CN374">
        <v>1</v>
      </c>
      <c r="CO374">
        <v>0</v>
      </c>
      <c r="CP374">
        <v>0</v>
      </c>
      <c r="CQ374">
        <v>1</v>
      </c>
      <c r="CR374">
        <v>9</v>
      </c>
      <c r="CS374">
        <v>938</v>
      </c>
      <c r="CT374">
        <v>0</v>
      </c>
      <c r="CU374">
        <v>2</v>
      </c>
      <c r="CV374">
        <v>0</v>
      </c>
      <c r="CW374">
        <v>3</v>
      </c>
      <c r="CX374">
        <v>1</v>
      </c>
      <c r="CY374">
        <v>19</v>
      </c>
      <c r="CZ374">
        <v>52</v>
      </c>
      <c r="DA374">
        <v>0</v>
      </c>
      <c r="DB374">
        <v>2</v>
      </c>
      <c r="DC374">
        <v>1</v>
      </c>
      <c r="DD374">
        <v>892</v>
      </c>
      <c r="DE374">
        <v>2</v>
      </c>
      <c r="DF374">
        <v>56</v>
      </c>
      <c r="DG374">
        <v>3</v>
      </c>
      <c r="DH374">
        <v>0</v>
      </c>
      <c r="DI374">
        <v>6</v>
      </c>
      <c r="DJ374">
        <v>21</v>
      </c>
      <c r="DK374">
        <v>0</v>
      </c>
      <c r="DL374">
        <v>3</v>
      </c>
      <c r="DM374">
        <v>0</v>
      </c>
      <c r="DN374">
        <v>2</v>
      </c>
      <c r="DO374">
        <v>916</v>
      </c>
      <c r="DP374">
        <v>23</v>
      </c>
      <c r="DQ374">
        <v>0</v>
      </c>
      <c r="DR374">
        <v>0</v>
      </c>
      <c r="DS374">
        <v>0</v>
      </c>
      <c r="DT374">
        <v>1</v>
      </c>
      <c r="DU374">
        <v>0</v>
      </c>
      <c r="DV374">
        <v>0</v>
      </c>
      <c r="DW374">
        <v>0</v>
      </c>
      <c r="DX374">
        <v>0</v>
      </c>
      <c r="DY374">
        <v>0</v>
      </c>
      <c r="DZ374">
        <v>1008</v>
      </c>
      <c r="EA374">
        <v>0.9486</v>
      </c>
      <c r="EB374">
        <v>0.95393877283954098</v>
      </c>
      <c r="EC374">
        <v>0.94893944904306404</v>
      </c>
      <c r="ED374">
        <v>0.94895939847325905</v>
      </c>
      <c r="EE374">
        <f>SUM(Table1[[#This Row],[ratio_0]:[ratio_9]])</f>
        <v>640</v>
      </c>
      <c r="EF374" s="1">
        <f>(Table1[[#This Row],[predicted_0]]-Table1[[#This Row],[actual_0]])/Table1[[#This Row],[actual_0]]</f>
        <v>7.1428571428571426E-3</v>
      </c>
      <c r="EG374" s="1">
        <f>(Table1[[#This Row],[predicted_1]]-Table1[[#This Row],[actual_1]])/Table1[[#This Row],[actual_1]]</f>
        <v>-6.4317180616740091E-2</v>
      </c>
      <c r="EH374" s="1">
        <f>(Table1[[#This Row],[predicted_2]]-Table1[[#This Row],[actual_2]])/Table1[[#This Row],[actual_2]]</f>
        <v>3.1976744186046513E-2</v>
      </c>
      <c r="EI374" s="1">
        <f>(Table1[[#This Row],[predicted_3]]-Table1[[#This Row],[actual_3]])/Table1[[#This Row],[actual_3]]</f>
        <v>9.6039603960396042E-2</v>
      </c>
      <c r="EJ374" s="1">
        <f>(Table1[[#This Row],[predicted_4]]-Table1[[#This Row],[actual_4]])/Table1[[#This Row],[actual_4]]</f>
        <v>-0.164969450101833</v>
      </c>
      <c r="EK374" s="1">
        <f>(Table1[[#This Row],[predicted_5]]-Table1[[#This Row],[actual_5]])/Table1[[#This Row],[actual_5]]</f>
        <v>-2.1300448430493273E-2</v>
      </c>
      <c r="EL374" s="1">
        <f>(Table1[[#This Row],[predicted_6]]-Table1[[#This Row],[actual_6]])/Table1[[#This Row],[actual_6]]</f>
        <v>-4.1753653444676405E-3</v>
      </c>
      <c r="EM374" s="1">
        <f>(Table1[[#This Row],[predicted_7]]-Table1[[#This Row],[actual_7]])/Table1[[#This Row],[actual_7]]</f>
        <v>-0.12645914396887159</v>
      </c>
      <c r="EN374" s="1">
        <f>(Table1[[#This Row],[predicted_8]]-Table1[[#This Row],[actual_8]])/Table1[[#This Row],[actual_8]]</f>
        <v>1.9507186858316223E-2</v>
      </c>
      <c r="EO374" s="1">
        <f>(Table1[[#This Row],[predicted_9]]-Table1[[#This Row],[actual_9]])/Table1[[#This Row],[actual_9]]</f>
        <v>0.22993062438057482</v>
      </c>
      <c r="EP374" s="1">
        <f>1+(Table1[[#This Row],[error_ratio_0]]-EF$2)</f>
        <v>1.0051020408163265</v>
      </c>
      <c r="EQ374" s="1">
        <f>1+(Table1[[#This Row],[error_ratio_1]]-EG$2)</f>
        <v>0.93392070484581502</v>
      </c>
      <c r="ER374" s="1">
        <f>1+(Table1[[#This Row],[error_ratio_2]]-EH$2)</f>
        <v>1.0368217054263567</v>
      </c>
      <c r="ES374" s="1">
        <f>1+(Table1[[#This Row],[error_ratio_3]]-EI$2)</f>
        <v>1.0861386138613862</v>
      </c>
      <c r="ET374" s="1">
        <f>1+(Table1[[#This Row],[error_ratio_4]]-EJ$2)</f>
        <v>0.83401221995926678</v>
      </c>
      <c r="EU374" s="1">
        <f>1+(Table1[[#This Row],[error_ratio_5]]-EK$2)</f>
        <v>0.97757847533632292</v>
      </c>
      <c r="EV374" s="1">
        <f>1+(Table1[[#This Row],[error_ratio_6]]-EL$2)</f>
        <v>1.0020876826722338</v>
      </c>
      <c r="EW374" s="1">
        <f>1+(Table1[[#This Row],[error_ratio_7]]-EM$2)</f>
        <v>0.87159533073929962</v>
      </c>
      <c r="EX374" s="1">
        <f>1+(Table1[[#This Row],[error_ratio_8]]-EN$2)</f>
        <v>1.0225872689938398</v>
      </c>
      <c r="EY374" s="1">
        <f>1+(Table1[[#This Row],[error_ratio_9]]-EO$2)</f>
        <v>1.2338949454905848</v>
      </c>
    </row>
    <row r="375" spans="1:155" x14ac:dyDescent="0.75">
      <c r="A375">
        <v>100</v>
      </c>
      <c r="B375">
        <v>100</v>
      </c>
      <c r="C375">
        <v>10</v>
      </c>
      <c r="D375">
        <v>100</v>
      </c>
      <c r="E375">
        <v>10</v>
      </c>
      <c r="F375">
        <v>100</v>
      </c>
      <c r="G375">
        <v>100</v>
      </c>
      <c r="H375">
        <v>10</v>
      </c>
      <c r="I375">
        <v>10</v>
      </c>
      <c r="J375">
        <v>100</v>
      </c>
      <c r="K375">
        <v>964</v>
      </c>
      <c r="L375">
        <v>1165</v>
      </c>
      <c r="M375">
        <v>971</v>
      </c>
      <c r="N375">
        <v>1096</v>
      </c>
      <c r="O375">
        <v>911</v>
      </c>
      <c r="P375">
        <v>903</v>
      </c>
      <c r="Q375">
        <v>1023</v>
      </c>
      <c r="R375">
        <v>977</v>
      </c>
      <c r="S375">
        <v>919</v>
      </c>
      <c r="T375">
        <v>1071</v>
      </c>
      <c r="U375">
        <v>980</v>
      </c>
      <c r="V375">
        <v>1135</v>
      </c>
      <c r="W375">
        <v>1032</v>
      </c>
      <c r="X375">
        <v>1010</v>
      </c>
      <c r="Y375">
        <v>982</v>
      </c>
      <c r="Z375">
        <v>892</v>
      </c>
      <c r="AA375">
        <v>958</v>
      </c>
      <c r="AB375">
        <v>1028</v>
      </c>
      <c r="AC375">
        <v>974</v>
      </c>
      <c r="AD375">
        <v>1009</v>
      </c>
      <c r="AE375">
        <v>953</v>
      </c>
      <c r="AF375">
        <v>1</v>
      </c>
      <c r="AG375">
        <v>0</v>
      </c>
      <c r="AH375">
        <v>1</v>
      </c>
      <c r="AI375">
        <v>0</v>
      </c>
      <c r="AJ375">
        <v>0</v>
      </c>
      <c r="AK375">
        <v>21</v>
      </c>
      <c r="AL375">
        <v>2</v>
      </c>
      <c r="AM375">
        <v>1</v>
      </c>
      <c r="AN375">
        <v>1</v>
      </c>
      <c r="AO375">
        <v>0</v>
      </c>
      <c r="AP375">
        <v>1131</v>
      </c>
      <c r="AQ375">
        <v>0</v>
      </c>
      <c r="AR375">
        <v>3</v>
      </c>
      <c r="AS375">
        <v>0</v>
      </c>
      <c r="AT375">
        <v>0</v>
      </c>
      <c r="AU375">
        <v>1</v>
      </c>
      <c r="AV375">
        <v>0</v>
      </c>
      <c r="AW375">
        <v>0</v>
      </c>
      <c r="AX375">
        <v>0</v>
      </c>
      <c r="AY375">
        <v>3</v>
      </c>
      <c r="AZ375">
        <v>15</v>
      </c>
      <c r="BA375">
        <v>952</v>
      </c>
      <c r="BB375">
        <v>35</v>
      </c>
      <c r="BC375">
        <v>0</v>
      </c>
      <c r="BD375">
        <v>1</v>
      </c>
      <c r="BE375">
        <v>11</v>
      </c>
      <c r="BF375">
        <v>10</v>
      </c>
      <c r="BG375">
        <v>3</v>
      </c>
      <c r="BH375">
        <v>2</v>
      </c>
      <c r="BI375">
        <v>0</v>
      </c>
      <c r="BJ375">
        <v>0</v>
      </c>
      <c r="BK375">
        <v>1</v>
      </c>
      <c r="BL375">
        <v>1005</v>
      </c>
      <c r="BM375">
        <v>0</v>
      </c>
      <c r="BN375">
        <v>2</v>
      </c>
      <c r="BO375">
        <v>0</v>
      </c>
      <c r="BP375">
        <v>0</v>
      </c>
      <c r="BQ375">
        <v>0</v>
      </c>
      <c r="BR375">
        <v>2</v>
      </c>
      <c r="BS375">
        <v>0</v>
      </c>
      <c r="BT375">
        <v>4</v>
      </c>
      <c r="BU375">
        <v>2</v>
      </c>
      <c r="BV375">
        <v>1</v>
      </c>
      <c r="BW375">
        <v>906</v>
      </c>
      <c r="BX375">
        <v>0</v>
      </c>
      <c r="BY375">
        <v>26</v>
      </c>
      <c r="BZ375">
        <v>0</v>
      </c>
      <c r="CA375">
        <v>0</v>
      </c>
      <c r="CB375">
        <v>43</v>
      </c>
      <c r="CC375">
        <v>2</v>
      </c>
      <c r="CD375">
        <v>0</v>
      </c>
      <c r="CE375">
        <v>0</v>
      </c>
      <c r="CF375">
        <v>6</v>
      </c>
      <c r="CG375">
        <v>0</v>
      </c>
      <c r="CH375">
        <v>881</v>
      </c>
      <c r="CI375">
        <v>3</v>
      </c>
      <c r="CJ375">
        <v>0</v>
      </c>
      <c r="CK375">
        <v>0</v>
      </c>
      <c r="CL375">
        <v>0</v>
      </c>
      <c r="CM375">
        <v>2</v>
      </c>
      <c r="CN375">
        <v>2</v>
      </c>
      <c r="CO375">
        <v>0</v>
      </c>
      <c r="CP375">
        <v>0</v>
      </c>
      <c r="CQ375">
        <v>1</v>
      </c>
      <c r="CR375">
        <v>1</v>
      </c>
      <c r="CS375">
        <v>952</v>
      </c>
      <c r="CT375">
        <v>0</v>
      </c>
      <c r="CU375">
        <v>0</v>
      </c>
      <c r="CV375">
        <v>0</v>
      </c>
      <c r="CW375">
        <v>1</v>
      </c>
      <c r="CX375">
        <v>7</v>
      </c>
      <c r="CY375">
        <v>15</v>
      </c>
      <c r="CZ375">
        <v>23</v>
      </c>
      <c r="DA375">
        <v>0</v>
      </c>
      <c r="DB375">
        <v>3</v>
      </c>
      <c r="DC375">
        <v>0</v>
      </c>
      <c r="DD375">
        <v>957</v>
      </c>
      <c r="DE375">
        <v>0</v>
      </c>
      <c r="DF375">
        <v>22</v>
      </c>
      <c r="DG375">
        <v>3</v>
      </c>
      <c r="DH375">
        <v>2</v>
      </c>
      <c r="DI375">
        <v>1</v>
      </c>
      <c r="DJ375">
        <v>18</v>
      </c>
      <c r="DK375">
        <v>2</v>
      </c>
      <c r="DL375">
        <v>10</v>
      </c>
      <c r="DM375">
        <v>6</v>
      </c>
      <c r="DN375">
        <v>5</v>
      </c>
      <c r="DO375">
        <v>915</v>
      </c>
      <c r="DP375">
        <v>12</v>
      </c>
      <c r="DQ375">
        <v>0</v>
      </c>
      <c r="DR375">
        <v>3</v>
      </c>
      <c r="DS375">
        <v>0</v>
      </c>
      <c r="DT375">
        <v>4</v>
      </c>
      <c r="DU375">
        <v>2</v>
      </c>
      <c r="DV375">
        <v>5</v>
      </c>
      <c r="DW375">
        <v>3</v>
      </c>
      <c r="DX375">
        <v>3</v>
      </c>
      <c r="DY375">
        <v>0</v>
      </c>
      <c r="DZ375">
        <v>989</v>
      </c>
      <c r="EA375">
        <v>0.96409999999999996</v>
      </c>
      <c r="EB375">
        <v>0.96561652414035204</v>
      </c>
      <c r="EC375">
        <v>0.964100421160907</v>
      </c>
      <c r="ED375">
        <v>0.96411726441190404</v>
      </c>
      <c r="EE375">
        <f>SUM(Table1[[#This Row],[ratio_0]:[ratio_9]])</f>
        <v>640</v>
      </c>
      <c r="EF375" s="1">
        <f>(Table1[[#This Row],[predicted_0]]-Table1[[#This Row],[actual_0]])/Table1[[#This Row],[actual_0]]</f>
        <v>-1.6326530612244899E-2</v>
      </c>
      <c r="EG375" s="1">
        <f>(Table1[[#This Row],[predicted_1]]-Table1[[#This Row],[actual_1]])/Table1[[#This Row],[actual_1]]</f>
        <v>2.643171806167401E-2</v>
      </c>
      <c r="EH375" s="1">
        <f>(Table1[[#This Row],[predicted_2]]-Table1[[#This Row],[actual_2]])/Table1[[#This Row],[actual_2]]</f>
        <v>-5.9108527131782947E-2</v>
      </c>
      <c r="EI375" s="1">
        <f>(Table1[[#This Row],[predicted_3]]-Table1[[#This Row],[actual_3]])/Table1[[#This Row],[actual_3]]</f>
        <v>8.5148514851485155E-2</v>
      </c>
      <c r="EJ375" s="1">
        <f>(Table1[[#This Row],[predicted_4]]-Table1[[#This Row],[actual_4]])/Table1[[#This Row],[actual_4]]</f>
        <v>-7.2301425661914456E-2</v>
      </c>
      <c r="EK375" s="1">
        <f>(Table1[[#This Row],[predicted_5]]-Table1[[#This Row],[actual_5]])/Table1[[#This Row],[actual_5]]</f>
        <v>1.2331838565022421E-2</v>
      </c>
      <c r="EL375" s="1">
        <f>(Table1[[#This Row],[predicted_6]]-Table1[[#This Row],[actual_6]])/Table1[[#This Row],[actual_6]]</f>
        <v>6.7849686847599164E-2</v>
      </c>
      <c r="EM375" s="1">
        <f>(Table1[[#This Row],[predicted_7]]-Table1[[#This Row],[actual_7]])/Table1[[#This Row],[actual_7]]</f>
        <v>-4.9610894941634238E-2</v>
      </c>
      <c r="EN375" s="1">
        <f>(Table1[[#This Row],[predicted_8]]-Table1[[#This Row],[actual_8]])/Table1[[#This Row],[actual_8]]</f>
        <v>-5.6468172484599587E-2</v>
      </c>
      <c r="EO375" s="1">
        <f>(Table1[[#This Row],[predicted_9]]-Table1[[#This Row],[actual_9]])/Table1[[#This Row],[actual_9]]</f>
        <v>6.1446977205153616E-2</v>
      </c>
      <c r="EP375" s="1">
        <f>1+(Table1[[#This Row],[error_ratio_0]]-EF$2)</f>
        <v>0.98163265306122449</v>
      </c>
      <c r="EQ375" s="1">
        <f>1+(Table1[[#This Row],[error_ratio_1]]-EG$2)</f>
        <v>1.0246696035242291</v>
      </c>
      <c r="ER375" s="1">
        <f>1+(Table1[[#This Row],[error_ratio_2]]-EH$2)</f>
        <v>0.94573643410852715</v>
      </c>
      <c r="ES375" s="1">
        <f>1+(Table1[[#This Row],[error_ratio_3]]-EI$2)</f>
        <v>1.0752475247524753</v>
      </c>
      <c r="ET375" s="1">
        <f>1+(Table1[[#This Row],[error_ratio_4]]-EJ$2)</f>
        <v>0.92668024439918528</v>
      </c>
      <c r="EU375" s="1">
        <f>1+(Table1[[#This Row],[error_ratio_5]]-EK$2)</f>
        <v>1.0112107623318385</v>
      </c>
      <c r="EV375" s="1">
        <f>1+(Table1[[#This Row],[error_ratio_6]]-EL$2)</f>
        <v>1.0741127348643007</v>
      </c>
      <c r="EW375" s="1">
        <f>1+(Table1[[#This Row],[error_ratio_7]]-EM$2)</f>
        <v>0.94844357976653693</v>
      </c>
      <c r="EX375" s="1">
        <f>1+(Table1[[#This Row],[error_ratio_8]]-EN$2)</f>
        <v>0.94661190965092401</v>
      </c>
      <c r="EY375" s="1">
        <f>1+(Table1[[#This Row],[error_ratio_9]]-EO$2)</f>
        <v>1.0654112983151636</v>
      </c>
    </row>
    <row r="376" spans="1:155" x14ac:dyDescent="0.75">
      <c r="A376">
        <v>10</v>
      </c>
      <c r="B376">
        <v>100</v>
      </c>
      <c r="C376">
        <v>10</v>
      </c>
      <c r="D376">
        <v>100</v>
      </c>
      <c r="E376">
        <v>10</v>
      </c>
      <c r="F376">
        <v>100</v>
      </c>
      <c r="G376">
        <v>100</v>
      </c>
      <c r="H376">
        <v>10</v>
      </c>
      <c r="I376">
        <v>10</v>
      </c>
      <c r="J376">
        <v>100</v>
      </c>
      <c r="K376">
        <v>930</v>
      </c>
      <c r="L376">
        <v>1186</v>
      </c>
      <c r="M376">
        <v>988</v>
      </c>
      <c r="N376">
        <v>1055</v>
      </c>
      <c r="O376">
        <v>954</v>
      </c>
      <c r="P376">
        <v>913</v>
      </c>
      <c r="Q376">
        <v>1004</v>
      </c>
      <c r="R376">
        <v>1011</v>
      </c>
      <c r="S376">
        <v>930</v>
      </c>
      <c r="T376">
        <v>1029</v>
      </c>
      <c r="U376">
        <v>980</v>
      </c>
      <c r="V376">
        <v>1135</v>
      </c>
      <c r="W376">
        <v>1032</v>
      </c>
      <c r="X376">
        <v>1010</v>
      </c>
      <c r="Y376">
        <v>982</v>
      </c>
      <c r="Z376">
        <v>892</v>
      </c>
      <c r="AA376">
        <v>958</v>
      </c>
      <c r="AB376">
        <v>1028</v>
      </c>
      <c r="AC376">
        <v>974</v>
      </c>
      <c r="AD376">
        <v>1009</v>
      </c>
      <c r="AE376">
        <v>923</v>
      </c>
      <c r="AF376">
        <v>1</v>
      </c>
      <c r="AG376">
        <v>0</v>
      </c>
      <c r="AH376">
        <v>1</v>
      </c>
      <c r="AI376">
        <v>0</v>
      </c>
      <c r="AJ376">
        <v>8</v>
      </c>
      <c r="AK376">
        <v>38</v>
      </c>
      <c r="AL376">
        <v>3</v>
      </c>
      <c r="AM376">
        <v>2</v>
      </c>
      <c r="AN376">
        <v>4</v>
      </c>
      <c r="AO376">
        <v>0</v>
      </c>
      <c r="AP376">
        <v>1134</v>
      </c>
      <c r="AQ376">
        <v>0</v>
      </c>
      <c r="AR376">
        <v>1</v>
      </c>
      <c r="AS376">
        <v>0</v>
      </c>
      <c r="AT376">
        <v>0</v>
      </c>
      <c r="AU376">
        <v>0</v>
      </c>
      <c r="AV376">
        <v>0</v>
      </c>
      <c r="AW376">
        <v>0</v>
      </c>
      <c r="AX376">
        <v>0</v>
      </c>
      <c r="AY376">
        <v>1</v>
      </c>
      <c r="AZ376">
        <v>11</v>
      </c>
      <c r="BA376">
        <v>968</v>
      </c>
      <c r="BB376">
        <v>25</v>
      </c>
      <c r="BC376">
        <v>1</v>
      </c>
      <c r="BD376">
        <v>3</v>
      </c>
      <c r="BE376">
        <v>0</v>
      </c>
      <c r="BF376">
        <v>19</v>
      </c>
      <c r="BG376">
        <v>1</v>
      </c>
      <c r="BH376">
        <v>3</v>
      </c>
      <c r="BI376">
        <v>0</v>
      </c>
      <c r="BJ376">
        <v>0</v>
      </c>
      <c r="BK376">
        <v>0</v>
      </c>
      <c r="BL376">
        <v>1004</v>
      </c>
      <c r="BM376">
        <v>0</v>
      </c>
      <c r="BN376">
        <v>1</v>
      </c>
      <c r="BO376">
        <v>0</v>
      </c>
      <c r="BP376">
        <v>4</v>
      </c>
      <c r="BQ376">
        <v>1</v>
      </c>
      <c r="BR376">
        <v>0</v>
      </c>
      <c r="BS376">
        <v>2</v>
      </c>
      <c r="BT376">
        <v>13</v>
      </c>
      <c r="BU376">
        <v>4</v>
      </c>
      <c r="BV376">
        <v>0</v>
      </c>
      <c r="BW376">
        <v>940</v>
      </c>
      <c r="BX376">
        <v>0</v>
      </c>
      <c r="BY376">
        <v>9</v>
      </c>
      <c r="BZ376">
        <v>0</v>
      </c>
      <c r="CA376">
        <v>0</v>
      </c>
      <c r="CB376">
        <v>14</v>
      </c>
      <c r="CC376">
        <v>0</v>
      </c>
      <c r="CD376">
        <v>1</v>
      </c>
      <c r="CE376">
        <v>0</v>
      </c>
      <c r="CF376">
        <v>10</v>
      </c>
      <c r="CG376">
        <v>0</v>
      </c>
      <c r="CH376">
        <v>880</v>
      </c>
      <c r="CI376">
        <v>1</v>
      </c>
      <c r="CJ376">
        <v>0</v>
      </c>
      <c r="CK376">
        <v>0</v>
      </c>
      <c r="CL376">
        <v>0</v>
      </c>
      <c r="CM376">
        <v>0</v>
      </c>
      <c r="CN376">
        <v>3</v>
      </c>
      <c r="CO376">
        <v>0</v>
      </c>
      <c r="CP376">
        <v>0</v>
      </c>
      <c r="CQ376">
        <v>1</v>
      </c>
      <c r="CR376">
        <v>4</v>
      </c>
      <c r="CS376">
        <v>950</v>
      </c>
      <c r="CT376">
        <v>0</v>
      </c>
      <c r="CU376">
        <v>0</v>
      </c>
      <c r="CV376">
        <v>0</v>
      </c>
      <c r="CW376">
        <v>1</v>
      </c>
      <c r="CX376">
        <v>13</v>
      </c>
      <c r="CY376">
        <v>11</v>
      </c>
      <c r="CZ376">
        <v>4</v>
      </c>
      <c r="DA376">
        <v>3</v>
      </c>
      <c r="DB376">
        <v>3</v>
      </c>
      <c r="DC376">
        <v>0</v>
      </c>
      <c r="DD376">
        <v>973</v>
      </c>
      <c r="DE376">
        <v>1</v>
      </c>
      <c r="DF376">
        <v>19</v>
      </c>
      <c r="DG376">
        <v>1</v>
      </c>
      <c r="DH376">
        <v>5</v>
      </c>
      <c r="DI376">
        <v>5</v>
      </c>
      <c r="DJ376">
        <v>5</v>
      </c>
      <c r="DK376">
        <v>3</v>
      </c>
      <c r="DL376">
        <v>11</v>
      </c>
      <c r="DM376">
        <v>6</v>
      </c>
      <c r="DN376">
        <v>10</v>
      </c>
      <c r="DO376">
        <v>924</v>
      </c>
      <c r="DP376">
        <v>4</v>
      </c>
      <c r="DQ376">
        <v>2</v>
      </c>
      <c r="DR376">
        <v>5</v>
      </c>
      <c r="DS376">
        <v>0</v>
      </c>
      <c r="DT376">
        <v>5</v>
      </c>
      <c r="DU376">
        <v>6</v>
      </c>
      <c r="DV376">
        <v>3</v>
      </c>
      <c r="DW376">
        <v>0</v>
      </c>
      <c r="DX376">
        <v>2</v>
      </c>
      <c r="DY376">
        <v>1</v>
      </c>
      <c r="DZ376">
        <v>985</v>
      </c>
      <c r="EA376">
        <v>0.96809999999999996</v>
      </c>
      <c r="EB376">
        <v>0.96886415011265103</v>
      </c>
      <c r="EC376">
        <v>0.96798035021247497</v>
      </c>
      <c r="ED376">
        <v>0.96806249189110405</v>
      </c>
      <c r="EE376">
        <f>SUM(Table1[[#This Row],[ratio_0]:[ratio_9]])</f>
        <v>550</v>
      </c>
      <c r="EF376" s="1">
        <f>(Table1[[#This Row],[predicted_0]]-Table1[[#This Row],[actual_0]])/Table1[[#This Row],[actual_0]]</f>
        <v>-5.1020408163265307E-2</v>
      </c>
      <c r="EG376" s="1">
        <f>(Table1[[#This Row],[predicted_1]]-Table1[[#This Row],[actual_1]])/Table1[[#This Row],[actual_1]]</f>
        <v>4.4933920704845816E-2</v>
      </c>
      <c r="EH376" s="1">
        <f>(Table1[[#This Row],[predicted_2]]-Table1[[#This Row],[actual_2]])/Table1[[#This Row],[actual_2]]</f>
        <v>-4.2635658914728682E-2</v>
      </c>
      <c r="EI376" s="1">
        <f>(Table1[[#This Row],[predicted_3]]-Table1[[#This Row],[actual_3]])/Table1[[#This Row],[actual_3]]</f>
        <v>4.4554455445544552E-2</v>
      </c>
      <c r="EJ376" s="1">
        <f>(Table1[[#This Row],[predicted_4]]-Table1[[#This Row],[actual_4]])/Table1[[#This Row],[actual_4]]</f>
        <v>-2.8513238289205704E-2</v>
      </c>
      <c r="EK376" s="1">
        <f>(Table1[[#This Row],[predicted_5]]-Table1[[#This Row],[actual_5]])/Table1[[#This Row],[actual_5]]</f>
        <v>2.3542600896860985E-2</v>
      </c>
      <c r="EL376" s="1">
        <f>(Table1[[#This Row],[predicted_6]]-Table1[[#This Row],[actual_6]])/Table1[[#This Row],[actual_6]]</f>
        <v>4.8016701461377868E-2</v>
      </c>
      <c r="EM376" s="1">
        <f>(Table1[[#This Row],[predicted_7]]-Table1[[#This Row],[actual_7]])/Table1[[#This Row],[actual_7]]</f>
        <v>-1.6536964980544747E-2</v>
      </c>
      <c r="EN376" s="1">
        <f>(Table1[[#This Row],[predicted_8]]-Table1[[#This Row],[actual_8]])/Table1[[#This Row],[actual_8]]</f>
        <v>-4.5174537987679675E-2</v>
      </c>
      <c r="EO376" s="1">
        <f>(Table1[[#This Row],[predicted_9]]-Table1[[#This Row],[actual_9]])/Table1[[#This Row],[actual_9]]</f>
        <v>1.9821605550049554E-2</v>
      </c>
      <c r="EP376" s="1">
        <f>1+(Table1[[#This Row],[error_ratio_0]]-EF$2)</f>
        <v>0.94693877551020411</v>
      </c>
      <c r="EQ376" s="1">
        <f>1+(Table1[[#This Row],[error_ratio_1]]-EG$2)</f>
        <v>1.0431718061674009</v>
      </c>
      <c r="ER376" s="1">
        <f>1+(Table1[[#This Row],[error_ratio_2]]-EH$2)</f>
        <v>0.96220930232558144</v>
      </c>
      <c r="ES376" s="1">
        <f>1+(Table1[[#This Row],[error_ratio_3]]-EI$2)</f>
        <v>1.0346534653465347</v>
      </c>
      <c r="ET376" s="1">
        <f>1+(Table1[[#This Row],[error_ratio_4]]-EJ$2)</f>
        <v>0.97046843177189412</v>
      </c>
      <c r="EU376" s="1">
        <f>1+(Table1[[#This Row],[error_ratio_5]]-EK$2)</f>
        <v>1.0224215246636772</v>
      </c>
      <c r="EV376" s="1">
        <f>1+(Table1[[#This Row],[error_ratio_6]]-EL$2)</f>
        <v>1.0542797494780793</v>
      </c>
      <c r="EW376" s="1">
        <f>1+(Table1[[#This Row],[error_ratio_7]]-EM$2)</f>
        <v>0.98151750972762641</v>
      </c>
      <c r="EX376" s="1">
        <f>1+(Table1[[#This Row],[error_ratio_8]]-EN$2)</f>
        <v>0.9579055441478439</v>
      </c>
      <c r="EY376" s="1">
        <f>1+(Table1[[#This Row],[error_ratio_9]]-EO$2)</f>
        <v>1.0237859266600595</v>
      </c>
    </row>
    <row r="377" spans="1:155" x14ac:dyDescent="0.75">
      <c r="A377">
        <v>100</v>
      </c>
      <c r="B377">
        <v>10</v>
      </c>
      <c r="C377">
        <v>10</v>
      </c>
      <c r="D377">
        <v>100</v>
      </c>
      <c r="E377">
        <v>10</v>
      </c>
      <c r="F377">
        <v>100</v>
      </c>
      <c r="G377">
        <v>100</v>
      </c>
      <c r="H377">
        <v>10</v>
      </c>
      <c r="I377">
        <v>10</v>
      </c>
      <c r="J377">
        <v>100</v>
      </c>
      <c r="K377">
        <v>1010</v>
      </c>
      <c r="L377">
        <v>1171</v>
      </c>
      <c r="M377">
        <v>1002</v>
      </c>
      <c r="N377">
        <v>1016</v>
      </c>
      <c r="O377">
        <v>889</v>
      </c>
      <c r="P377">
        <v>890</v>
      </c>
      <c r="Q377">
        <v>956</v>
      </c>
      <c r="R377">
        <v>963</v>
      </c>
      <c r="S377">
        <v>937</v>
      </c>
      <c r="T377">
        <v>1166</v>
      </c>
      <c r="U377">
        <v>980</v>
      </c>
      <c r="V377">
        <v>1135</v>
      </c>
      <c r="W377">
        <v>1032</v>
      </c>
      <c r="X377">
        <v>1010</v>
      </c>
      <c r="Y377">
        <v>982</v>
      </c>
      <c r="Z377">
        <v>892</v>
      </c>
      <c r="AA377">
        <v>958</v>
      </c>
      <c r="AB377">
        <v>1028</v>
      </c>
      <c r="AC377">
        <v>974</v>
      </c>
      <c r="AD377">
        <v>1009</v>
      </c>
      <c r="AE377">
        <v>975</v>
      </c>
      <c r="AF377">
        <v>0</v>
      </c>
      <c r="AG377">
        <v>0</v>
      </c>
      <c r="AH377">
        <v>0</v>
      </c>
      <c r="AI377">
        <v>0</v>
      </c>
      <c r="AJ377">
        <v>0</v>
      </c>
      <c r="AK377">
        <v>1</v>
      </c>
      <c r="AL377">
        <v>1</v>
      </c>
      <c r="AM377">
        <v>1</v>
      </c>
      <c r="AN377">
        <v>2</v>
      </c>
      <c r="AO377">
        <v>0</v>
      </c>
      <c r="AP377">
        <v>1127</v>
      </c>
      <c r="AQ377">
        <v>0</v>
      </c>
      <c r="AR377">
        <v>5</v>
      </c>
      <c r="AS377">
        <v>0</v>
      </c>
      <c r="AT377">
        <v>1</v>
      </c>
      <c r="AU377">
        <v>0</v>
      </c>
      <c r="AV377">
        <v>0</v>
      </c>
      <c r="AW377">
        <v>0</v>
      </c>
      <c r="AX377">
        <v>2</v>
      </c>
      <c r="AY377">
        <v>9</v>
      </c>
      <c r="AZ377">
        <v>12</v>
      </c>
      <c r="BA377">
        <v>986</v>
      </c>
      <c r="BB377">
        <v>5</v>
      </c>
      <c r="BC377">
        <v>3</v>
      </c>
      <c r="BD377">
        <v>0</v>
      </c>
      <c r="BE377">
        <v>4</v>
      </c>
      <c r="BF377">
        <v>7</v>
      </c>
      <c r="BG377">
        <v>3</v>
      </c>
      <c r="BH377">
        <v>3</v>
      </c>
      <c r="BI377">
        <v>0</v>
      </c>
      <c r="BJ377">
        <v>0</v>
      </c>
      <c r="BK377">
        <v>2</v>
      </c>
      <c r="BL377">
        <v>991</v>
      </c>
      <c r="BM377">
        <v>0</v>
      </c>
      <c r="BN377">
        <v>6</v>
      </c>
      <c r="BO377">
        <v>0</v>
      </c>
      <c r="BP377">
        <v>4</v>
      </c>
      <c r="BQ377">
        <v>0</v>
      </c>
      <c r="BR377">
        <v>7</v>
      </c>
      <c r="BS377">
        <v>1</v>
      </c>
      <c r="BT377">
        <v>8</v>
      </c>
      <c r="BU377">
        <v>1</v>
      </c>
      <c r="BV377">
        <v>0</v>
      </c>
      <c r="BW377">
        <v>878</v>
      </c>
      <c r="BX377">
        <v>1</v>
      </c>
      <c r="BY377">
        <v>6</v>
      </c>
      <c r="BZ377">
        <v>0</v>
      </c>
      <c r="CA377">
        <v>3</v>
      </c>
      <c r="CB377">
        <v>84</v>
      </c>
      <c r="CC377">
        <v>2</v>
      </c>
      <c r="CD377">
        <v>0</v>
      </c>
      <c r="CE377">
        <v>0</v>
      </c>
      <c r="CF377">
        <v>8</v>
      </c>
      <c r="CG377">
        <v>0</v>
      </c>
      <c r="CH377">
        <v>873</v>
      </c>
      <c r="CI377">
        <v>3</v>
      </c>
      <c r="CJ377">
        <v>0</v>
      </c>
      <c r="CK377">
        <v>1</v>
      </c>
      <c r="CL377">
        <v>5</v>
      </c>
      <c r="CM377">
        <v>8</v>
      </c>
      <c r="CN377">
        <v>4</v>
      </c>
      <c r="CO377">
        <v>0</v>
      </c>
      <c r="CP377">
        <v>0</v>
      </c>
      <c r="CQ377">
        <v>3</v>
      </c>
      <c r="CR377">
        <v>3</v>
      </c>
      <c r="CS377">
        <v>938</v>
      </c>
      <c r="CT377">
        <v>0</v>
      </c>
      <c r="CU377">
        <v>1</v>
      </c>
      <c r="CV377">
        <v>1</v>
      </c>
      <c r="CW377">
        <v>1</v>
      </c>
      <c r="CX377">
        <v>12</v>
      </c>
      <c r="CY377">
        <v>12</v>
      </c>
      <c r="CZ377">
        <v>5</v>
      </c>
      <c r="DA377">
        <v>1</v>
      </c>
      <c r="DB377">
        <v>0</v>
      </c>
      <c r="DC377">
        <v>0</v>
      </c>
      <c r="DD377">
        <v>947</v>
      </c>
      <c r="DE377">
        <v>4</v>
      </c>
      <c r="DF377">
        <v>46</v>
      </c>
      <c r="DG377">
        <v>14</v>
      </c>
      <c r="DH377">
        <v>6</v>
      </c>
      <c r="DI377">
        <v>1</v>
      </c>
      <c r="DJ377">
        <v>2</v>
      </c>
      <c r="DK377">
        <v>3</v>
      </c>
      <c r="DL377">
        <v>6</v>
      </c>
      <c r="DM377">
        <v>4</v>
      </c>
      <c r="DN377">
        <v>2</v>
      </c>
      <c r="DO377">
        <v>923</v>
      </c>
      <c r="DP377">
        <v>13</v>
      </c>
      <c r="DQ377">
        <v>0</v>
      </c>
      <c r="DR377">
        <v>2</v>
      </c>
      <c r="DS377">
        <v>0</v>
      </c>
      <c r="DT377">
        <v>0</v>
      </c>
      <c r="DU377">
        <v>1</v>
      </c>
      <c r="DV377">
        <v>0</v>
      </c>
      <c r="DW377">
        <v>0</v>
      </c>
      <c r="DX377">
        <v>2</v>
      </c>
      <c r="DY377">
        <v>1</v>
      </c>
      <c r="DZ377">
        <v>1003</v>
      </c>
      <c r="EA377">
        <v>0.96409999999999996</v>
      </c>
      <c r="EB377">
        <v>0.96655442046019702</v>
      </c>
      <c r="EC377">
        <v>0.96392787353484799</v>
      </c>
      <c r="ED377">
        <v>0.96431959694014302</v>
      </c>
      <c r="EE377">
        <f>SUM(Table1[[#This Row],[ratio_0]:[ratio_9]])</f>
        <v>550</v>
      </c>
      <c r="EF377" s="1">
        <f>(Table1[[#This Row],[predicted_0]]-Table1[[#This Row],[actual_0]])/Table1[[#This Row],[actual_0]]</f>
        <v>3.0612244897959183E-2</v>
      </c>
      <c r="EG377" s="1">
        <f>(Table1[[#This Row],[predicted_1]]-Table1[[#This Row],[actual_1]])/Table1[[#This Row],[actual_1]]</f>
        <v>3.1718061674008813E-2</v>
      </c>
      <c r="EH377" s="1">
        <f>(Table1[[#This Row],[predicted_2]]-Table1[[#This Row],[actual_2]])/Table1[[#This Row],[actual_2]]</f>
        <v>-2.9069767441860465E-2</v>
      </c>
      <c r="EI377" s="1">
        <f>(Table1[[#This Row],[predicted_3]]-Table1[[#This Row],[actual_3]])/Table1[[#This Row],[actual_3]]</f>
        <v>5.9405940594059407E-3</v>
      </c>
      <c r="EJ377" s="1">
        <f>(Table1[[#This Row],[predicted_4]]-Table1[[#This Row],[actual_4]])/Table1[[#This Row],[actual_4]]</f>
        <v>-9.4704684317718946E-2</v>
      </c>
      <c r="EK377" s="1">
        <f>(Table1[[#This Row],[predicted_5]]-Table1[[#This Row],[actual_5]])/Table1[[#This Row],[actual_5]]</f>
        <v>-2.242152466367713E-3</v>
      </c>
      <c r="EL377" s="1">
        <f>(Table1[[#This Row],[predicted_6]]-Table1[[#This Row],[actual_6]])/Table1[[#This Row],[actual_6]]</f>
        <v>-2.0876826722338203E-3</v>
      </c>
      <c r="EM377" s="1">
        <f>(Table1[[#This Row],[predicted_7]]-Table1[[#This Row],[actual_7]])/Table1[[#This Row],[actual_7]]</f>
        <v>-6.3229571984435795E-2</v>
      </c>
      <c r="EN377" s="1">
        <f>(Table1[[#This Row],[predicted_8]]-Table1[[#This Row],[actual_8]])/Table1[[#This Row],[actual_8]]</f>
        <v>-3.7987679671457907E-2</v>
      </c>
      <c r="EO377" s="1">
        <f>(Table1[[#This Row],[predicted_9]]-Table1[[#This Row],[actual_9]])/Table1[[#This Row],[actual_9]]</f>
        <v>0.15559960356788899</v>
      </c>
      <c r="EP377" s="1">
        <f>1+(Table1[[#This Row],[error_ratio_0]]-EF$2)</f>
        <v>1.0285714285714285</v>
      </c>
      <c r="EQ377" s="1">
        <f>1+(Table1[[#This Row],[error_ratio_1]]-EG$2)</f>
        <v>1.0299559471365638</v>
      </c>
      <c r="ER377" s="1">
        <f>1+(Table1[[#This Row],[error_ratio_2]]-EH$2)</f>
        <v>0.97577519379844957</v>
      </c>
      <c r="ES377" s="1">
        <f>1+(Table1[[#This Row],[error_ratio_3]]-EI$2)</f>
        <v>0.99603960396039604</v>
      </c>
      <c r="ET377" s="1">
        <f>1+(Table1[[#This Row],[error_ratio_4]]-EJ$2)</f>
        <v>0.90427698574338089</v>
      </c>
      <c r="EU377" s="1">
        <f>1+(Table1[[#This Row],[error_ratio_5]]-EK$2)</f>
        <v>0.99663677130044848</v>
      </c>
      <c r="EV377" s="1">
        <f>1+(Table1[[#This Row],[error_ratio_6]]-EL$2)</f>
        <v>1.0041753653444676</v>
      </c>
      <c r="EW377" s="1">
        <f>1+(Table1[[#This Row],[error_ratio_7]]-EM$2)</f>
        <v>0.93482490272373542</v>
      </c>
      <c r="EX377" s="1">
        <f>1+(Table1[[#This Row],[error_ratio_8]]-EN$2)</f>
        <v>0.96509240246406569</v>
      </c>
      <c r="EY377" s="1">
        <f>1+(Table1[[#This Row],[error_ratio_9]]-EO$2)</f>
        <v>1.1595639246778988</v>
      </c>
    </row>
    <row r="378" spans="1:155" x14ac:dyDescent="0.75">
      <c r="A378">
        <v>10</v>
      </c>
      <c r="B378">
        <v>10</v>
      </c>
      <c r="C378">
        <v>10</v>
      </c>
      <c r="D378">
        <v>100</v>
      </c>
      <c r="E378">
        <v>10</v>
      </c>
      <c r="F378">
        <v>100</v>
      </c>
      <c r="G378">
        <v>100</v>
      </c>
      <c r="H378">
        <v>10</v>
      </c>
      <c r="I378">
        <v>10</v>
      </c>
      <c r="J378">
        <v>100</v>
      </c>
      <c r="K378">
        <v>1031</v>
      </c>
      <c r="L378">
        <v>1141</v>
      </c>
      <c r="M378">
        <v>1079</v>
      </c>
      <c r="N378">
        <v>972</v>
      </c>
      <c r="O378">
        <v>965</v>
      </c>
      <c r="P378">
        <v>898</v>
      </c>
      <c r="Q378">
        <v>1019</v>
      </c>
      <c r="R378">
        <v>915</v>
      </c>
      <c r="S378">
        <v>872</v>
      </c>
      <c r="T378">
        <v>1108</v>
      </c>
      <c r="U378">
        <v>980</v>
      </c>
      <c r="V378">
        <v>1135</v>
      </c>
      <c r="W378">
        <v>1032</v>
      </c>
      <c r="X378">
        <v>1010</v>
      </c>
      <c r="Y378">
        <v>982</v>
      </c>
      <c r="Z378">
        <v>892</v>
      </c>
      <c r="AA378">
        <v>958</v>
      </c>
      <c r="AB378">
        <v>1028</v>
      </c>
      <c r="AC378">
        <v>974</v>
      </c>
      <c r="AD378">
        <v>1009</v>
      </c>
      <c r="AE378">
        <v>969</v>
      </c>
      <c r="AF378">
        <v>0</v>
      </c>
      <c r="AG378">
        <v>0</v>
      </c>
      <c r="AH378">
        <v>0</v>
      </c>
      <c r="AI378">
        <v>0</v>
      </c>
      <c r="AJ378">
        <v>0</v>
      </c>
      <c r="AK378">
        <v>9</v>
      </c>
      <c r="AL378">
        <v>1</v>
      </c>
      <c r="AM378">
        <v>1</v>
      </c>
      <c r="AN378">
        <v>0</v>
      </c>
      <c r="AO378">
        <v>0</v>
      </c>
      <c r="AP378">
        <v>1123</v>
      </c>
      <c r="AQ378">
        <v>3</v>
      </c>
      <c r="AR378">
        <v>2</v>
      </c>
      <c r="AS378">
        <v>0</v>
      </c>
      <c r="AT378">
        <v>3</v>
      </c>
      <c r="AU378">
        <v>3</v>
      </c>
      <c r="AV378">
        <v>0</v>
      </c>
      <c r="AW378">
        <v>0</v>
      </c>
      <c r="AX378">
        <v>1</v>
      </c>
      <c r="AY378">
        <v>14</v>
      </c>
      <c r="AZ378">
        <v>1</v>
      </c>
      <c r="BA378">
        <v>1001</v>
      </c>
      <c r="BB378">
        <v>1</v>
      </c>
      <c r="BC378">
        <v>5</v>
      </c>
      <c r="BD378">
        <v>0</v>
      </c>
      <c r="BE378">
        <v>5</v>
      </c>
      <c r="BF378">
        <v>4</v>
      </c>
      <c r="BG378">
        <v>0</v>
      </c>
      <c r="BH378">
        <v>1</v>
      </c>
      <c r="BI378">
        <v>0</v>
      </c>
      <c r="BJ378">
        <v>0</v>
      </c>
      <c r="BK378">
        <v>9</v>
      </c>
      <c r="BL378">
        <v>964</v>
      </c>
      <c r="BM378">
        <v>0</v>
      </c>
      <c r="BN378">
        <v>9</v>
      </c>
      <c r="BO378">
        <v>0</v>
      </c>
      <c r="BP378">
        <v>4</v>
      </c>
      <c r="BQ378">
        <v>3</v>
      </c>
      <c r="BR378">
        <v>21</v>
      </c>
      <c r="BS378">
        <v>2</v>
      </c>
      <c r="BT378">
        <v>1</v>
      </c>
      <c r="BU378">
        <v>2</v>
      </c>
      <c r="BV378">
        <v>0</v>
      </c>
      <c r="BW378">
        <v>939</v>
      </c>
      <c r="BX378">
        <v>0</v>
      </c>
      <c r="BY378">
        <v>10</v>
      </c>
      <c r="BZ378">
        <v>0</v>
      </c>
      <c r="CA378">
        <v>0</v>
      </c>
      <c r="CB378">
        <v>28</v>
      </c>
      <c r="CC378">
        <v>2</v>
      </c>
      <c r="CD378">
        <v>0</v>
      </c>
      <c r="CE378">
        <v>0</v>
      </c>
      <c r="CF378">
        <v>2</v>
      </c>
      <c r="CG378">
        <v>0</v>
      </c>
      <c r="CH378">
        <v>878</v>
      </c>
      <c r="CI378">
        <v>7</v>
      </c>
      <c r="CJ378">
        <v>0</v>
      </c>
      <c r="CK378">
        <v>0</v>
      </c>
      <c r="CL378">
        <v>3</v>
      </c>
      <c r="CM378">
        <v>4</v>
      </c>
      <c r="CN378">
        <v>1</v>
      </c>
      <c r="CO378">
        <v>0</v>
      </c>
      <c r="CP378">
        <v>0</v>
      </c>
      <c r="CQ378">
        <v>1</v>
      </c>
      <c r="CR378">
        <v>3</v>
      </c>
      <c r="CS378">
        <v>949</v>
      </c>
      <c r="CT378">
        <v>0</v>
      </c>
      <c r="CU378">
        <v>0</v>
      </c>
      <c r="CV378">
        <v>0</v>
      </c>
      <c r="CW378">
        <v>5</v>
      </c>
      <c r="CX378">
        <v>8</v>
      </c>
      <c r="CY378">
        <v>48</v>
      </c>
      <c r="CZ378">
        <v>0</v>
      </c>
      <c r="DA378">
        <v>5</v>
      </c>
      <c r="DB378">
        <v>0</v>
      </c>
      <c r="DC378">
        <v>0</v>
      </c>
      <c r="DD378">
        <v>901</v>
      </c>
      <c r="DE378">
        <v>4</v>
      </c>
      <c r="DF378">
        <v>57</v>
      </c>
      <c r="DG378">
        <v>25</v>
      </c>
      <c r="DH378">
        <v>5</v>
      </c>
      <c r="DI378">
        <v>15</v>
      </c>
      <c r="DJ378">
        <v>3</v>
      </c>
      <c r="DK378">
        <v>8</v>
      </c>
      <c r="DL378">
        <v>3</v>
      </c>
      <c r="DM378">
        <v>35</v>
      </c>
      <c r="DN378">
        <v>4</v>
      </c>
      <c r="DO378">
        <v>864</v>
      </c>
      <c r="DP378">
        <v>12</v>
      </c>
      <c r="DQ378">
        <v>10</v>
      </c>
      <c r="DR378">
        <v>2</v>
      </c>
      <c r="DS378">
        <v>1</v>
      </c>
      <c r="DT378">
        <v>0</v>
      </c>
      <c r="DU378">
        <v>7</v>
      </c>
      <c r="DV378">
        <v>2</v>
      </c>
      <c r="DW378">
        <v>1</v>
      </c>
      <c r="DX378">
        <v>1</v>
      </c>
      <c r="DY378">
        <v>0</v>
      </c>
      <c r="DZ378">
        <v>985</v>
      </c>
      <c r="EA378">
        <v>0.95730000000000004</v>
      </c>
      <c r="EB378">
        <v>0.95901737571710199</v>
      </c>
      <c r="EC378">
        <v>0.95734785545113199</v>
      </c>
      <c r="ED378">
        <v>0.95713179731758302</v>
      </c>
      <c r="EE378">
        <f>SUM(Table1[[#This Row],[ratio_0]:[ratio_9]])</f>
        <v>460</v>
      </c>
      <c r="EF378" s="1">
        <f>(Table1[[#This Row],[predicted_0]]-Table1[[#This Row],[actual_0]])/Table1[[#This Row],[actual_0]]</f>
        <v>5.2040816326530612E-2</v>
      </c>
      <c r="EG378" s="1">
        <f>(Table1[[#This Row],[predicted_1]]-Table1[[#This Row],[actual_1]])/Table1[[#This Row],[actual_1]]</f>
        <v>5.2863436123348016E-3</v>
      </c>
      <c r="EH378" s="1">
        <f>(Table1[[#This Row],[predicted_2]]-Table1[[#This Row],[actual_2]])/Table1[[#This Row],[actual_2]]</f>
        <v>4.5542635658914726E-2</v>
      </c>
      <c r="EI378" s="1">
        <f>(Table1[[#This Row],[predicted_3]]-Table1[[#This Row],[actual_3]])/Table1[[#This Row],[actual_3]]</f>
        <v>-3.7623762376237622E-2</v>
      </c>
      <c r="EJ378" s="1">
        <f>(Table1[[#This Row],[predicted_4]]-Table1[[#This Row],[actual_4]])/Table1[[#This Row],[actual_4]]</f>
        <v>-1.7311608961303463E-2</v>
      </c>
      <c r="EK378" s="1">
        <f>(Table1[[#This Row],[predicted_5]]-Table1[[#This Row],[actual_5]])/Table1[[#This Row],[actual_5]]</f>
        <v>6.7264573991031393E-3</v>
      </c>
      <c r="EL378" s="1">
        <f>(Table1[[#This Row],[predicted_6]]-Table1[[#This Row],[actual_6]])/Table1[[#This Row],[actual_6]]</f>
        <v>6.3674321503131528E-2</v>
      </c>
      <c r="EM378" s="1">
        <f>(Table1[[#This Row],[predicted_7]]-Table1[[#This Row],[actual_7]])/Table1[[#This Row],[actual_7]]</f>
        <v>-0.10992217898832685</v>
      </c>
      <c r="EN378" s="1">
        <f>(Table1[[#This Row],[predicted_8]]-Table1[[#This Row],[actual_8]])/Table1[[#This Row],[actual_8]]</f>
        <v>-0.10472279260780287</v>
      </c>
      <c r="EO378" s="1">
        <f>(Table1[[#This Row],[predicted_9]]-Table1[[#This Row],[actual_9]])/Table1[[#This Row],[actual_9]]</f>
        <v>9.8116947472745297E-2</v>
      </c>
      <c r="EP378" s="1">
        <f>1+(Table1[[#This Row],[error_ratio_0]]-EF$2)</f>
        <v>1.05</v>
      </c>
      <c r="EQ378" s="1">
        <f>1+(Table1[[#This Row],[error_ratio_1]]-EG$2)</f>
        <v>1.0035242290748898</v>
      </c>
      <c r="ER378" s="1">
        <f>1+(Table1[[#This Row],[error_ratio_2]]-EH$2)</f>
        <v>1.0503875968992249</v>
      </c>
      <c r="ES378" s="1">
        <f>1+(Table1[[#This Row],[error_ratio_3]]-EI$2)</f>
        <v>0.95247524752475243</v>
      </c>
      <c r="ET378" s="1">
        <f>1+(Table1[[#This Row],[error_ratio_4]]-EJ$2)</f>
        <v>0.98167006109979638</v>
      </c>
      <c r="EU378" s="1">
        <f>1+(Table1[[#This Row],[error_ratio_5]]-EK$2)</f>
        <v>1.0056053811659194</v>
      </c>
      <c r="EV378" s="1">
        <f>1+(Table1[[#This Row],[error_ratio_6]]-EL$2)</f>
        <v>1.0699373695198331</v>
      </c>
      <c r="EW378" s="1">
        <f>1+(Table1[[#This Row],[error_ratio_7]]-EM$2)</f>
        <v>0.88813229571984431</v>
      </c>
      <c r="EX378" s="1">
        <f>1+(Table1[[#This Row],[error_ratio_8]]-EN$2)</f>
        <v>0.89835728952772076</v>
      </c>
      <c r="EY378" s="1">
        <f>1+(Table1[[#This Row],[error_ratio_9]]-EO$2)</f>
        <v>1.1020812685827552</v>
      </c>
    </row>
    <row r="379" spans="1:155" x14ac:dyDescent="0.75">
      <c r="A379">
        <v>100</v>
      </c>
      <c r="B379">
        <v>100</v>
      </c>
      <c r="C379">
        <v>100</v>
      </c>
      <c r="D379">
        <v>10</v>
      </c>
      <c r="E379">
        <v>10</v>
      </c>
      <c r="F379">
        <v>100</v>
      </c>
      <c r="G379">
        <v>100</v>
      </c>
      <c r="H379">
        <v>10</v>
      </c>
      <c r="I379">
        <v>10</v>
      </c>
      <c r="J379">
        <v>100</v>
      </c>
      <c r="K379">
        <v>992</v>
      </c>
      <c r="L379">
        <v>1152</v>
      </c>
      <c r="M379">
        <v>1095</v>
      </c>
      <c r="N379">
        <v>995</v>
      </c>
      <c r="O379">
        <v>885</v>
      </c>
      <c r="P379">
        <v>898</v>
      </c>
      <c r="Q379">
        <v>959</v>
      </c>
      <c r="R379">
        <v>990</v>
      </c>
      <c r="S379">
        <v>887</v>
      </c>
      <c r="T379">
        <v>1147</v>
      </c>
      <c r="U379">
        <v>980</v>
      </c>
      <c r="V379">
        <v>1135</v>
      </c>
      <c r="W379">
        <v>1032</v>
      </c>
      <c r="X379">
        <v>1010</v>
      </c>
      <c r="Y379">
        <v>982</v>
      </c>
      <c r="Z379">
        <v>892</v>
      </c>
      <c r="AA379">
        <v>958</v>
      </c>
      <c r="AB379">
        <v>1028</v>
      </c>
      <c r="AC379">
        <v>974</v>
      </c>
      <c r="AD379">
        <v>1009</v>
      </c>
      <c r="AE379">
        <v>974</v>
      </c>
      <c r="AF379">
        <v>2</v>
      </c>
      <c r="AG379">
        <v>0</v>
      </c>
      <c r="AH379">
        <v>0</v>
      </c>
      <c r="AI379">
        <v>0</v>
      </c>
      <c r="AJ379">
        <v>0</v>
      </c>
      <c r="AK379">
        <v>2</v>
      </c>
      <c r="AL379">
        <v>1</v>
      </c>
      <c r="AM379">
        <v>0</v>
      </c>
      <c r="AN379">
        <v>1</v>
      </c>
      <c r="AO379">
        <v>0</v>
      </c>
      <c r="AP379">
        <v>1129</v>
      </c>
      <c r="AQ379">
        <v>2</v>
      </c>
      <c r="AR379">
        <v>2</v>
      </c>
      <c r="AS379">
        <v>0</v>
      </c>
      <c r="AT379">
        <v>1</v>
      </c>
      <c r="AU379">
        <v>1</v>
      </c>
      <c r="AV379">
        <v>0</v>
      </c>
      <c r="AW379">
        <v>0</v>
      </c>
      <c r="AX379">
        <v>0</v>
      </c>
      <c r="AY379">
        <v>0</v>
      </c>
      <c r="AZ379">
        <v>0</v>
      </c>
      <c r="BA379">
        <v>1023</v>
      </c>
      <c r="BB379">
        <v>0</v>
      </c>
      <c r="BC379">
        <v>0</v>
      </c>
      <c r="BD379">
        <v>0</v>
      </c>
      <c r="BE379">
        <v>0</v>
      </c>
      <c r="BF379">
        <v>7</v>
      </c>
      <c r="BG379">
        <v>0</v>
      </c>
      <c r="BH379">
        <v>2</v>
      </c>
      <c r="BI379">
        <v>3</v>
      </c>
      <c r="BJ379">
        <v>0</v>
      </c>
      <c r="BK379">
        <v>8</v>
      </c>
      <c r="BL379">
        <v>978</v>
      </c>
      <c r="BM379">
        <v>0</v>
      </c>
      <c r="BN379">
        <v>8</v>
      </c>
      <c r="BO379">
        <v>0</v>
      </c>
      <c r="BP379">
        <v>6</v>
      </c>
      <c r="BQ379">
        <v>1</v>
      </c>
      <c r="BR379">
        <v>6</v>
      </c>
      <c r="BS379">
        <v>2</v>
      </c>
      <c r="BT379">
        <v>5</v>
      </c>
      <c r="BU379">
        <v>12</v>
      </c>
      <c r="BV379">
        <v>0</v>
      </c>
      <c r="BW379">
        <v>883</v>
      </c>
      <c r="BX379">
        <v>0</v>
      </c>
      <c r="BY379">
        <v>6</v>
      </c>
      <c r="BZ379">
        <v>0</v>
      </c>
      <c r="CA379">
        <v>1</v>
      </c>
      <c r="CB379">
        <v>73</v>
      </c>
      <c r="CC379">
        <v>2</v>
      </c>
      <c r="CD379">
        <v>0</v>
      </c>
      <c r="CE379">
        <v>0</v>
      </c>
      <c r="CF379">
        <v>6</v>
      </c>
      <c r="CG379">
        <v>0</v>
      </c>
      <c r="CH379">
        <v>881</v>
      </c>
      <c r="CI379">
        <v>2</v>
      </c>
      <c r="CJ379">
        <v>0</v>
      </c>
      <c r="CK379">
        <v>0</v>
      </c>
      <c r="CL379">
        <v>1</v>
      </c>
      <c r="CM379">
        <v>4</v>
      </c>
      <c r="CN379">
        <v>3</v>
      </c>
      <c r="CO379">
        <v>2</v>
      </c>
      <c r="CP379">
        <v>0</v>
      </c>
      <c r="CQ379">
        <v>0</v>
      </c>
      <c r="CR379">
        <v>3</v>
      </c>
      <c r="CS379">
        <v>944</v>
      </c>
      <c r="CT379">
        <v>0</v>
      </c>
      <c r="CU379">
        <v>0</v>
      </c>
      <c r="CV379">
        <v>2</v>
      </c>
      <c r="CW379">
        <v>1</v>
      </c>
      <c r="CX379">
        <v>7</v>
      </c>
      <c r="CY379">
        <v>31</v>
      </c>
      <c r="CZ379">
        <v>3</v>
      </c>
      <c r="DA379">
        <v>0</v>
      </c>
      <c r="DB379">
        <v>1</v>
      </c>
      <c r="DC379">
        <v>0</v>
      </c>
      <c r="DD379">
        <v>962</v>
      </c>
      <c r="DE379">
        <v>0</v>
      </c>
      <c r="DF379">
        <v>23</v>
      </c>
      <c r="DG379">
        <v>5</v>
      </c>
      <c r="DH379">
        <v>5</v>
      </c>
      <c r="DI379">
        <v>17</v>
      </c>
      <c r="DJ379">
        <v>6</v>
      </c>
      <c r="DK379">
        <v>2</v>
      </c>
      <c r="DL379">
        <v>3</v>
      </c>
      <c r="DM379">
        <v>4</v>
      </c>
      <c r="DN379">
        <v>11</v>
      </c>
      <c r="DO379">
        <v>885</v>
      </c>
      <c r="DP379">
        <v>36</v>
      </c>
      <c r="DQ379">
        <v>1</v>
      </c>
      <c r="DR379">
        <v>1</v>
      </c>
      <c r="DS379">
        <v>0</v>
      </c>
      <c r="DT379">
        <v>0</v>
      </c>
      <c r="DU379">
        <v>0</v>
      </c>
      <c r="DV379">
        <v>1</v>
      </c>
      <c r="DW379">
        <v>0</v>
      </c>
      <c r="DX379">
        <v>3</v>
      </c>
      <c r="DY379">
        <v>0</v>
      </c>
      <c r="DZ379">
        <v>1003</v>
      </c>
      <c r="EA379">
        <v>0.96619999999999995</v>
      </c>
      <c r="EB379">
        <v>0.968613605198267</v>
      </c>
      <c r="EC379">
        <v>0.96589022413210002</v>
      </c>
      <c r="ED379">
        <v>0.966270829605548</v>
      </c>
      <c r="EE379">
        <f>SUM(Table1[[#This Row],[ratio_0]:[ratio_9]])</f>
        <v>640</v>
      </c>
      <c r="EF379" s="1">
        <f>(Table1[[#This Row],[predicted_0]]-Table1[[#This Row],[actual_0]])/Table1[[#This Row],[actual_0]]</f>
        <v>1.2244897959183673E-2</v>
      </c>
      <c r="EG379" s="1">
        <f>(Table1[[#This Row],[predicted_1]]-Table1[[#This Row],[actual_1]])/Table1[[#This Row],[actual_1]]</f>
        <v>1.4977973568281937E-2</v>
      </c>
      <c r="EH379" s="1">
        <f>(Table1[[#This Row],[predicted_2]]-Table1[[#This Row],[actual_2]])/Table1[[#This Row],[actual_2]]</f>
        <v>6.1046511627906974E-2</v>
      </c>
      <c r="EI379" s="1">
        <f>(Table1[[#This Row],[predicted_3]]-Table1[[#This Row],[actual_3]])/Table1[[#This Row],[actual_3]]</f>
        <v>-1.4851485148514851E-2</v>
      </c>
      <c r="EJ379" s="1">
        <f>(Table1[[#This Row],[predicted_4]]-Table1[[#This Row],[actual_4]])/Table1[[#This Row],[actual_4]]</f>
        <v>-9.8778004073319756E-2</v>
      </c>
      <c r="EK379" s="1">
        <f>(Table1[[#This Row],[predicted_5]]-Table1[[#This Row],[actual_5]])/Table1[[#This Row],[actual_5]]</f>
        <v>6.7264573991031393E-3</v>
      </c>
      <c r="EL379" s="1">
        <f>(Table1[[#This Row],[predicted_6]]-Table1[[#This Row],[actual_6]])/Table1[[#This Row],[actual_6]]</f>
        <v>1.0438413361169101E-3</v>
      </c>
      <c r="EM379" s="1">
        <f>(Table1[[#This Row],[predicted_7]]-Table1[[#This Row],[actual_7]])/Table1[[#This Row],[actual_7]]</f>
        <v>-3.6964980544747082E-2</v>
      </c>
      <c r="EN379" s="1">
        <f>(Table1[[#This Row],[predicted_8]]-Table1[[#This Row],[actual_8]])/Table1[[#This Row],[actual_8]]</f>
        <v>-8.932238193018481E-2</v>
      </c>
      <c r="EO379" s="1">
        <f>(Table1[[#This Row],[predicted_9]]-Table1[[#This Row],[actual_9]])/Table1[[#This Row],[actual_9]]</f>
        <v>0.13676907829534193</v>
      </c>
      <c r="EP379" s="1">
        <f>1+(Table1[[#This Row],[error_ratio_0]]-EF$2)</f>
        <v>1.010204081632653</v>
      </c>
      <c r="EQ379" s="1">
        <f>1+(Table1[[#This Row],[error_ratio_1]]-EG$2)</f>
        <v>1.0132158590308371</v>
      </c>
      <c r="ER379" s="1">
        <f>1+(Table1[[#This Row],[error_ratio_2]]-EH$2)</f>
        <v>1.0658914728682169</v>
      </c>
      <c r="ES379" s="1">
        <f>1+(Table1[[#This Row],[error_ratio_3]]-EI$2)</f>
        <v>0.97524752475247523</v>
      </c>
      <c r="ET379" s="1">
        <f>1+(Table1[[#This Row],[error_ratio_4]]-EJ$2)</f>
        <v>0.90020366598778001</v>
      </c>
      <c r="EU379" s="1">
        <f>1+(Table1[[#This Row],[error_ratio_5]]-EK$2)</f>
        <v>1.0056053811659194</v>
      </c>
      <c r="EV379" s="1">
        <f>1+(Table1[[#This Row],[error_ratio_6]]-EL$2)</f>
        <v>1.0073068893528183</v>
      </c>
      <c r="EW379" s="1">
        <f>1+(Table1[[#This Row],[error_ratio_7]]-EM$2)</f>
        <v>0.96108949416342415</v>
      </c>
      <c r="EX379" s="1">
        <f>1+(Table1[[#This Row],[error_ratio_8]]-EN$2)</f>
        <v>0.91375770020533875</v>
      </c>
      <c r="EY379" s="1">
        <f>1+(Table1[[#This Row],[error_ratio_9]]-EO$2)</f>
        <v>1.1407333994053519</v>
      </c>
    </row>
    <row r="380" spans="1:155" x14ac:dyDescent="0.75">
      <c r="A380">
        <v>10</v>
      </c>
      <c r="B380">
        <v>100</v>
      </c>
      <c r="C380">
        <v>100</v>
      </c>
      <c r="D380">
        <v>10</v>
      </c>
      <c r="E380">
        <v>10</v>
      </c>
      <c r="F380">
        <v>100</v>
      </c>
      <c r="G380">
        <v>100</v>
      </c>
      <c r="H380">
        <v>10</v>
      </c>
      <c r="I380">
        <v>10</v>
      </c>
      <c r="J380">
        <v>100</v>
      </c>
      <c r="K380">
        <v>966</v>
      </c>
      <c r="L380">
        <v>1135</v>
      </c>
      <c r="M380">
        <v>1066</v>
      </c>
      <c r="N380">
        <v>928</v>
      </c>
      <c r="O380">
        <v>747</v>
      </c>
      <c r="P380">
        <v>960</v>
      </c>
      <c r="Q380">
        <v>972</v>
      </c>
      <c r="R380">
        <v>967</v>
      </c>
      <c r="S380">
        <v>973</v>
      </c>
      <c r="T380">
        <v>1286</v>
      </c>
      <c r="U380">
        <v>980</v>
      </c>
      <c r="V380">
        <v>1135</v>
      </c>
      <c r="W380">
        <v>1032</v>
      </c>
      <c r="X380">
        <v>1010</v>
      </c>
      <c r="Y380">
        <v>982</v>
      </c>
      <c r="Z380">
        <v>892</v>
      </c>
      <c r="AA380">
        <v>958</v>
      </c>
      <c r="AB380">
        <v>1028</v>
      </c>
      <c r="AC380">
        <v>974</v>
      </c>
      <c r="AD380">
        <v>1009</v>
      </c>
      <c r="AE380">
        <v>958</v>
      </c>
      <c r="AF380">
        <v>0</v>
      </c>
      <c r="AG380">
        <v>0</v>
      </c>
      <c r="AH380">
        <v>0</v>
      </c>
      <c r="AI380">
        <v>0</v>
      </c>
      <c r="AJ380">
        <v>5</v>
      </c>
      <c r="AK380">
        <v>8</v>
      </c>
      <c r="AL380">
        <v>1</v>
      </c>
      <c r="AM380">
        <v>4</v>
      </c>
      <c r="AN380">
        <v>4</v>
      </c>
      <c r="AO380">
        <v>0</v>
      </c>
      <c r="AP380">
        <v>1128</v>
      </c>
      <c r="AQ380">
        <v>2</v>
      </c>
      <c r="AR380">
        <v>2</v>
      </c>
      <c r="AS380">
        <v>0</v>
      </c>
      <c r="AT380">
        <v>1</v>
      </c>
      <c r="AU380">
        <v>1</v>
      </c>
      <c r="AV380">
        <v>0</v>
      </c>
      <c r="AW380">
        <v>1</v>
      </c>
      <c r="AX380">
        <v>0</v>
      </c>
      <c r="AY380">
        <v>0</v>
      </c>
      <c r="AZ380">
        <v>0</v>
      </c>
      <c r="BA380">
        <v>1020</v>
      </c>
      <c r="BB380">
        <v>0</v>
      </c>
      <c r="BC380">
        <v>0</v>
      </c>
      <c r="BD380">
        <v>0</v>
      </c>
      <c r="BE380">
        <v>1</v>
      </c>
      <c r="BF380">
        <v>7</v>
      </c>
      <c r="BG380">
        <v>3</v>
      </c>
      <c r="BH380">
        <v>1</v>
      </c>
      <c r="BI380">
        <v>0</v>
      </c>
      <c r="BJ380">
        <v>0</v>
      </c>
      <c r="BK380">
        <v>10</v>
      </c>
      <c r="BL380">
        <v>918</v>
      </c>
      <c r="BM380">
        <v>0</v>
      </c>
      <c r="BN380">
        <v>52</v>
      </c>
      <c r="BO380">
        <v>0</v>
      </c>
      <c r="BP380">
        <v>6</v>
      </c>
      <c r="BQ380">
        <v>20</v>
      </c>
      <c r="BR380">
        <v>4</v>
      </c>
      <c r="BS380">
        <v>1</v>
      </c>
      <c r="BT380">
        <v>2</v>
      </c>
      <c r="BU380">
        <v>6</v>
      </c>
      <c r="BV380">
        <v>0</v>
      </c>
      <c r="BW380">
        <v>746</v>
      </c>
      <c r="BX380">
        <v>0</v>
      </c>
      <c r="BY380">
        <v>7</v>
      </c>
      <c r="BZ380">
        <v>0</v>
      </c>
      <c r="CA380">
        <v>1</v>
      </c>
      <c r="CB380">
        <v>219</v>
      </c>
      <c r="CC380">
        <v>1</v>
      </c>
      <c r="CD380">
        <v>0</v>
      </c>
      <c r="CE380">
        <v>0</v>
      </c>
      <c r="CF380">
        <v>1</v>
      </c>
      <c r="CG380">
        <v>0</v>
      </c>
      <c r="CH380">
        <v>888</v>
      </c>
      <c r="CI380">
        <v>2</v>
      </c>
      <c r="CJ380">
        <v>0</v>
      </c>
      <c r="CK380">
        <v>0</v>
      </c>
      <c r="CL380">
        <v>0</v>
      </c>
      <c r="CM380">
        <v>0</v>
      </c>
      <c r="CN380">
        <v>2</v>
      </c>
      <c r="CO380">
        <v>0</v>
      </c>
      <c r="CP380">
        <v>0</v>
      </c>
      <c r="CQ380">
        <v>0</v>
      </c>
      <c r="CR380">
        <v>4</v>
      </c>
      <c r="CS380">
        <v>951</v>
      </c>
      <c r="CT380">
        <v>0</v>
      </c>
      <c r="CU380">
        <v>0</v>
      </c>
      <c r="CV380">
        <v>1</v>
      </c>
      <c r="CW380">
        <v>1</v>
      </c>
      <c r="CX380">
        <v>2</v>
      </c>
      <c r="CY380">
        <v>24</v>
      </c>
      <c r="CZ380">
        <v>5</v>
      </c>
      <c r="DA380">
        <v>0</v>
      </c>
      <c r="DB380">
        <v>5</v>
      </c>
      <c r="DC380">
        <v>1</v>
      </c>
      <c r="DD380">
        <v>948</v>
      </c>
      <c r="DE380">
        <v>3</v>
      </c>
      <c r="DF380">
        <v>39</v>
      </c>
      <c r="DG380">
        <v>4</v>
      </c>
      <c r="DH380">
        <v>0</v>
      </c>
      <c r="DI380">
        <v>4</v>
      </c>
      <c r="DJ380">
        <v>0</v>
      </c>
      <c r="DK380">
        <v>1</v>
      </c>
      <c r="DL380">
        <v>3</v>
      </c>
      <c r="DM380">
        <v>1</v>
      </c>
      <c r="DN380">
        <v>4</v>
      </c>
      <c r="DO380">
        <v>941</v>
      </c>
      <c r="DP380">
        <v>16</v>
      </c>
      <c r="DQ380">
        <v>1</v>
      </c>
      <c r="DR380">
        <v>1</v>
      </c>
      <c r="DS380">
        <v>0</v>
      </c>
      <c r="DT380">
        <v>2</v>
      </c>
      <c r="DU380">
        <v>0</v>
      </c>
      <c r="DV380">
        <v>2</v>
      </c>
      <c r="DW380">
        <v>0</v>
      </c>
      <c r="DX380">
        <v>1</v>
      </c>
      <c r="DY380">
        <v>0</v>
      </c>
      <c r="DZ380">
        <v>1002</v>
      </c>
      <c r="EA380">
        <v>0.95</v>
      </c>
      <c r="EB380">
        <v>0.956030338139922</v>
      </c>
      <c r="EC380">
        <v>0.94979100666670302</v>
      </c>
      <c r="ED380">
        <v>0.94957153230654301</v>
      </c>
      <c r="EE380">
        <f>SUM(Table1[[#This Row],[ratio_0]:[ratio_9]])</f>
        <v>550</v>
      </c>
      <c r="EF380" s="1">
        <f>(Table1[[#This Row],[predicted_0]]-Table1[[#This Row],[actual_0]])/Table1[[#This Row],[actual_0]]</f>
        <v>-1.4285714285714285E-2</v>
      </c>
      <c r="EG380" s="1">
        <f>(Table1[[#This Row],[predicted_1]]-Table1[[#This Row],[actual_1]])/Table1[[#This Row],[actual_1]]</f>
        <v>0</v>
      </c>
      <c r="EH380" s="1">
        <f>(Table1[[#This Row],[predicted_2]]-Table1[[#This Row],[actual_2]])/Table1[[#This Row],[actual_2]]</f>
        <v>3.294573643410853E-2</v>
      </c>
      <c r="EI380" s="1">
        <f>(Table1[[#This Row],[predicted_3]]-Table1[[#This Row],[actual_3]])/Table1[[#This Row],[actual_3]]</f>
        <v>-8.1188118811881191E-2</v>
      </c>
      <c r="EJ380" s="1">
        <f>(Table1[[#This Row],[predicted_4]]-Table1[[#This Row],[actual_4]])/Table1[[#This Row],[actual_4]]</f>
        <v>-0.23930753564154786</v>
      </c>
      <c r="EK380" s="1">
        <f>(Table1[[#This Row],[predicted_5]]-Table1[[#This Row],[actual_5]])/Table1[[#This Row],[actual_5]]</f>
        <v>7.623318385650224E-2</v>
      </c>
      <c r="EL380" s="1">
        <f>(Table1[[#This Row],[predicted_6]]-Table1[[#This Row],[actual_6]])/Table1[[#This Row],[actual_6]]</f>
        <v>1.4613778705636743E-2</v>
      </c>
      <c r="EM380" s="1">
        <f>(Table1[[#This Row],[predicted_7]]-Table1[[#This Row],[actual_7]])/Table1[[#This Row],[actual_7]]</f>
        <v>-5.9338521400778207E-2</v>
      </c>
      <c r="EN380" s="1">
        <f>(Table1[[#This Row],[predicted_8]]-Table1[[#This Row],[actual_8]])/Table1[[#This Row],[actual_8]]</f>
        <v>-1.026694045174538E-3</v>
      </c>
      <c r="EO380" s="1">
        <f>(Table1[[#This Row],[predicted_9]]-Table1[[#This Row],[actual_9]])/Table1[[#This Row],[actual_9]]</f>
        <v>0.27452923686818631</v>
      </c>
      <c r="EP380" s="1">
        <f>1+(Table1[[#This Row],[error_ratio_0]]-EF$2)</f>
        <v>0.98367346938775513</v>
      </c>
      <c r="EQ380" s="1">
        <f>1+(Table1[[#This Row],[error_ratio_1]]-EG$2)</f>
        <v>0.9982378854625551</v>
      </c>
      <c r="ER380" s="1">
        <f>1+(Table1[[#This Row],[error_ratio_2]]-EH$2)</f>
        <v>1.0377906976744187</v>
      </c>
      <c r="ES380" s="1">
        <f>1+(Table1[[#This Row],[error_ratio_3]]-EI$2)</f>
        <v>0.90891089108910894</v>
      </c>
      <c r="ET380" s="1">
        <f>1+(Table1[[#This Row],[error_ratio_4]]-EJ$2)</f>
        <v>0.75967413441955189</v>
      </c>
      <c r="EU380" s="1">
        <f>1+(Table1[[#This Row],[error_ratio_5]]-EK$2)</f>
        <v>1.0751121076233183</v>
      </c>
      <c r="EV380" s="1">
        <f>1+(Table1[[#This Row],[error_ratio_6]]-EL$2)</f>
        <v>1.0208768267223383</v>
      </c>
      <c r="EW380" s="1">
        <f>1+(Table1[[#This Row],[error_ratio_7]]-EM$2)</f>
        <v>0.93871595330739299</v>
      </c>
      <c r="EX380" s="1">
        <f>1+(Table1[[#This Row],[error_ratio_8]]-EN$2)</f>
        <v>1.0020533880903491</v>
      </c>
      <c r="EY380" s="1">
        <f>1+(Table1[[#This Row],[error_ratio_9]]-EO$2)</f>
        <v>1.2784935579781962</v>
      </c>
    </row>
    <row r="381" spans="1:155" x14ac:dyDescent="0.75">
      <c r="A381">
        <v>100</v>
      </c>
      <c r="B381">
        <v>10</v>
      </c>
      <c r="C381">
        <v>100</v>
      </c>
      <c r="D381">
        <v>10</v>
      </c>
      <c r="E381">
        <v>10</v>
      </c>
      <c r="F381">
        <v>100</v>
      </c>
      <c r="G381">
        <v>100</v>
      </c>
      <c r="H381">
        <v>10</v>
      </c>
      <c r="I381">
        <v>10</v>
      </c>
      <c r="J381">
        <v>100</v>
      </c>
      <c r="K381">
        <v>1004</v>
      </c>
      <c r="L381">
        <v>1141</v>
      </c>
      <c r="M381">
        <v>1121</v>
      </c>
      <c r="N381">
        <v>902</v>
      </c>
      <c r="O381">
        <v>925</v>
      </c>
      <c r="P381">
        <v>920</v>
      </c>
      <c r="Q381">
        <v>956</v>
      </c>
      <c r="R381">
        <v>959</v>
      </c>
      <c r="S381">
        <v>920</v>
      </c>
      <c r="T381">
        <v>1152</v>
      </c>
      <c r="U381">
        <v>980</v>
      </c>
      <c r="V381">
        <v>1135</v>
      </c>
      <c r="W381">
        <v>1032</v>
      </c>
      <c r="X381">
        <v>1010</v>
      </c>
      <c r="Y381">
        <v>982</v>
      </c>
      <c r="Z381">
        <v>892</v>
      </c>
      <c r="AA381">
        <v>958</v>
      </c>
      <c r="AB381">
        <v>1028</v>
      </c>
      <c r="AC381">
        <v>974</v>
      </c>
      <c r="AD381">
        <v>1009</v>
      </c>
      <c r="AE381">
        <v>976</v>
      </c>
      <c r="AF381">
        <v>1</v>
      </c>
      <c r="AG381">
        <v>0</v>
      </c>
      <c r="AH381">
        <v>0</v>
      </c>
      <c r="AI381">
        <v>0</v>
      </c>
      <c r="AJ381">
        <v>0</v>
      </c>
      <c r="AK381">
        <v>0</v>
      </c>
      <c r="AL381">
        <v>0</v>
      </c>
      <c r="AM381">
        <v>1</v>
      </c>
      <c r="AN381">
        <v>2</v>
      </c>
      <c r="AO381">
        <v>0</v>
      </c>
      <c r="AP381">
        <v>1121</v>
      </c>
      <c r="AQ381">
        <v>9</v>
      </c>
      <c r="AR381">
        <v>0</v>
      </c>
      <c r="AS381">
        <v>0</v>
      </c>
      <c r="AT381">
        <v>3</v>
      </c>
      <c r="AU381">
        <v>1</v>
      </c>
      <c r="AV381">
        <v>0</v>
      </c>
      <c r="AW381">
        <v>0</v>
      </c>
      <c r="AX381">
        <v>1</v>
      </c>
      <c r="AY381">
        <v>2</v>
      </c>
      <c r="AZ381">
        <v>0</v>
      </c>
      <c r="BA381">
        <v>1023</v>
      </c>
      <c r="BB381">
        <v>0</v>
      </c>
      <c r="BC381">
        <v>0</v>
      </c>
      <c r="BD381">
        <v>0</v>
      </c>
      <c r="BE381">
        <v>0</v>
      </c>
      <c r="BF381">
        <v>2</v>
      </c>
      <c r="BG381">
        <v>1</v>
      </c>
      <c r="BH381">
        <v>4</v>
      </c>
      <c r="BI381">
        <v>4</v>
      </c>
      <c r="BJ381">
        <v>0</v>
      </c>
      <c r="BK381">
        <v>17</v>
      </c>
      <c r="BL381">
        <v>900</v>
      </c>
      <c r="BM381">
        <v>0</v>
      </c>
      <c r="BN381">
        <v>23</v>
      </c>
      <c r="BO381">
        <v>0</v>
      </c>
      <c r="BP381">
        <v>6</v>
      </c>
      <c r="BQ381">
        <v>17</v>
      </c>
      <c r="BR381">
        <v>43</v>
      </c>
      <c r="BS381">
        <v>2</v>
      </c>
      <c r="BT381">
        <v>3</v>
      </c>
      <c r="BU381">
        <v>1</v>
      </c>
      <c r="BV381">
        <v>0</v>
      </c>
      <c r="BW381">
        <v>915</v>
      </c>
      <c r="BX381">
        <v>0</v>
      </c>
      <c r="BY381">
        <v>4</v>
      </c>
      <c r="BZ381">
        <v>2</v>
      </c>
      <c r="CA381">
        <v>1</v>
      </c>
      <c r="CB381">
        <v>54</v>
      </c>
      <c r="CC381">
        <v>2</v>
      </c>
      <c r="CD381">
        <v>0</v>
      </c>
      <c r="CE381">
        <v>1</v>
      </c>
      <c r="CF381">
        <v>2</v>
      </c>
      <c r="CG381">
        <v>0</v>
      </c>
      <c r="CH381">
        <v>879</v>
      </c>
      <c r="CI381">
        <v>5</v>
      </c>
      <c r="CJ381">
        <v>1</v>
      </c>
      <c r="CK381">
        <v>0</v>
      </c>
      <c r="CL381">
        <v>2</v>
      </c>
      <c r="CM381">
        <v>8</v>
      </c>
      <c r="CN381">
        <v>3</v>
      </c>
      <c r="CO381">
        <v>1</v>
      </c>
      <c r="CP381">
        <v>0</v>
      </c>
      <c r="CQ381">
        <v>5</v>
      </c>
      <c r="CR381">
        <v>2</v>
      </c>
      <c r="CS381">
        <v>936</v>
      </c>
      <c r="CT381">
        <v>0</v>
      </c>
      <c r="CU381">
        <v>0</v>
      </c>
      <c r="CV381">
        <v>3</v>
      </c>
      <c r="CW381">
        <v>1</v>
      </c>
      <c r="CX381">
        <v>5</v>
      </c>
      <c r="CY381">
        <v>63</v>
      </c>
      <c r="CZ381">
        <v>0</v>
      </c>
      <c r="DA381">
        <v>0</v>
      </c>
      <c r="DB381">
        <v>1</v>
      </c>
      <c r="DC381">
        <v>0</v>
      </c>
      <c r="DD381">
        <v>940</v>
      </c>
      <c r="DE381">
        <v>1</v>
      </c>
      <c r="DF381">
        <v>17</v>
      </c>
      <c r="DG381">
        <v>9</v>
      </c>
      <c r="DH381">
        <v>6</v>
      </c>
      <c r="DI381">
        <v>5</v>
      </c>
      <c r="DJ381">
        <v>0</v>
      </c>
      <c r="DK381">
        <v>4</v>
      </c>
      <c r="DL381">
        <v>10</v>
      </c>
      <c r="DM381">
        <v>10</v>
      </c>
      <c r="DN381">
        <v>4</v>
      </c>
      <c r="DO381">
        <v>899</v>
      </c>
      <c r="DP381">
        <v>27</v>
      </c>
      <c r="DQ381">
        <v>0</v>
      </c>
      <c r="DR381">
        <v>2</v>
      </c>
      <c r="DS381">
        <v>1</v>
      </c>
      <c r="DT381">
        <v>0</v>
      </c>
      <c r="DU381">
        <v>1</v>
      </c>
      <c r="DV381">
        <v>2</v>
      </c>
      <c r="DW381">
        <v>0</v>
      </c>
      <c r="DX381">
        <v>4</v>
      </c>
      <c r="DY381">
        <v>0</v>
      </c>
      <c r="DZ381">
        <v>999</v>
      </c>
      <c r="EA381">
        <v>0.95879999999999999</v>
      </c>
      <c r="EB381">
        <v>0.96131964086717203</v>
      </c>
      <c r="EC381">
        <v>0.95876691689272997</v>
      </c>
      <c r="ED381">
        <v>0.95885700773126603</v>
      </c>
      <c r="EE381">
        <f>SUM(Table1[[#This Row],[ratio_0]:[ratio_9]])</f>
        <v>550</v>
      </c>
      <c r="EF381" s="1">
        <f>(Table1[[#This Row],[predicted_0]]-Table1[[#This Row],[actual_0]])/Table1[[#This Row],[actual_0]]</f>
        <v>2.4489795918367346E-2</v>
      </c>
      <c r="EG381" s="1">
        <f>(Table1[[#This Row],[predicted_1]]-Table1[[#This Row],[actual_1]])/Table1[[#This Row],[actual_1]]</f>
        <v>5.2863436123348016E-3</v>
      </c>
      <c r="EH381" s="1">
        <f>(Table1[[#This Row],[predicted_2]]-Table1[[#This Row],[actual_2]])/Table1[[#This Row],[actual_2]]</f>
        <v>8.624031007751938E-2</v>
      </c>
      <c r="EI381" s="1">
        <f>(Table1[[#This Row],[predicted_3]]-Table1[[#This Row],[actual_3]])/Table1[[#This Row],[actual_3]]</f>
        <v>-0.10693069306930693</v>
      </c>
      <c r="EJ381" s="1">
        <f>(Table1[[#This Row],[predicted_4]]-Table1[[#This Row],[actual_4]])/Table1[[#This Row],[actual_4]]</f>
        <v>-5.8044806517311608E-2</v>
      </c>
      <c r="EK381" s="1">
        <f>(Table1[[#This Row],[predicted_5]]-Table1[[#This Row],[actual_5]])/Table1[[#This Row],[actual_5]]</f>
        <v>3.1390134529147982E-2</v>
      </c>
      <c r="EL381" s="1">
        <f>(Table1[[#This Row],[predicted_6]]-Table1[[#This Row],[actual_6]])/Table1[[#This Row],[actual_6]]</f>
        <v>-2.0876826722338203E-3</v>
      </c>
      <c r="EM381" s="1">
        <f>(Table1[[#This Row],[predicted_7]]-Table1[[#This Row],[actual_7]])/Table1[[#This Row],[actual_7]]</f>
        <v>-6.7120622568093383E-2</v>
      </c>
      <c r="EN381" s="1">
        <f>(Table1[[#This Row],[predicted_8]]-Table1[[#This Row],[actual_8]])/Table1[[#This Row],[actual_8]]</f>
        <v>-5.5441478439425054E-2</v>
      </c>
      <c r="EO381" s="1">
        <f>(Table1[[#This Row],[predicted_9]]-Table1[[#This Row],[actual_9]])/Table1[[#This Row],[actual_9]]</f>
        <v>0.14172447968285432</v>
      </c>
      <c r="EP381" s="1">
        <f>1+(Table1[[#This Row],[error_ratio_0]]-EF$2)</f>
        <v>1.0224489795918368</v>
      </c>
      <c r="EQ381" s="1">
        <f>1+(Table1[[#This Row],[error_ratio_1]]-EG$2)</f>
        <v>1.0035242290748898</v>
      </c>
      <c r="ER381" s="1">
        <f>1+(Table1[[#This Row],[error_ratio_2]]-EH$2)</f>
        <v>1.0910852713178294</v>
      </c>
      <c r="ES381" s="1">
        <f>1+(Table1[[#This Row],[error_ratio_3]]-EI$2)</f>
        <v>0.88316831683168318</v>
      </c>
      <c r="ET381" s="1">
        <f>1+(Table1[[#This Row],[error_ratio_4]]-EJ$2)</f>
        <v>0.94093686354378814</v>
      </c>
      <c r="EU381" s="1">
        <f>1+(Table1[[#This Row],[error_ratio_5]]-EK$2)</f>
        <v>1.0302690582959642</v>
      </c>
      <c r="EV381" s="1">
        <f>1+(Table1[[#This Row],[error_ratio_6]]-EL$2)</f>
        <v>1.0041753653444676</v>
      </c>
      <c r="EW381" s="1">
        <f>1+(Table1[[#This Row],[error_ratio_7]]-EM$2)</f>
        <v>0.93093385214007784</v>
      </c>
      <c r="EX381" s="1">
        <f>1+(Table1[[#This Row],[error_ratio_8]]-EN$2)</f>
        <v>0.94763860369609854</v>
      </c>
      <c r="EY381" s="1">
        <f>1+(Table1[[#This Row],[error_ratio_9]]-EO$2)</f>
        <v>1.1456888007928643</v>
      </c>
    </row>
    <row r="382" spans="1:155" x14ac:dyDescent="0.75">
      <c r="A382">
        <v>10</v>
      </c>
      <c r="B382">
        <v>10</v>
      </c>
      <c r="C382">
        <v>100</v>
      </c>
      <c r="D382">
        <v>10</v>
      </c>
      <c r="E382">
        <v>10</v>
      </c>
      <c r="F382">
        <v>100</v>
      </c>
      <c r="G382">
        <v>100</v>
      </c>
      <c r="H382">
        <v>10</v>
      </c>
      <c r="I382">
        <v>10</v>
      </c>
      <c r="J382">
        <v>100</v>
      </c>
      <c r="K382">
        <v>951</v>
      </c>
      <c r="L382">
        <v>1118</v>
      </c>
      <c r="M382">
        <v>1134</v>
      </c>
      <c r="N382">
        <v>917</v>
      </c>
      <c r="O382">
        <v>902</v>
      </c>
      <c r="P382">
        <v>971</v>
      </c>
      <c r="Q382">
        <v>990</v>
      </c>
      <c r="R382">
        <v>963</v>
      </c>
      <c r="S382">
        <v>890</v>
      </c>
      <c r="T382">
        <v>1164</v>
      </c>
      <c r="U382">
        <v>980</v>
      </c>
      <c r="V382">
        <v>1135</v>
      </c>
      <c r="W382">
        <v>1032</v>
      </c>
      <c r="X382">
        <v>1010</v>
      </c>
      <c r="Y382">
        <v>982</v>
      </c>
      <c r="Z382">
        <v>892</v>
      </c>
      <c r="AA382">
        <v>958</v>
      </c>
      <c r="AB382">
        <v>1028</v>
      </c>
      <c r="AC382">
        <v>974</v>
      </c>
      <c r="AD382">
        <v>1009</v>
      </c>
      <c r="AE382">
        <v>944</v>
      </c>
      <c r="AF382">
        <v>0</v>
      </c>
      <c r="AG382">
        <v>4</v>
      </c>
      <c r="AH382">
        <v>0</v>
      </c>
      <c r="AI382">
        <v>0</v>
      </c>
      <c r="AJ382">
        <v>9</v>
      </c>
      <c r="AK382">
        <v>17</v>
      </c>
      <c r="AL382">
        <v>2</v>
      </c>
      <c r="AM382">
        <v>3</v>
      </c>
      <c r="AN382">
        <v>1</v>
      </c>
      <c r="AO382">
        <v>0</v>
      </c>
      <c r="AP382">
        <v>1114</v>
      </c>
      <c r="AQ382">
        <v>7</v>
      </c>
      <c r="AR382">
        <v>0</v>
      </c>
      <c r="AS382">
        <v>0</v>
      </c>
      <c r="AT382">
        <v>2</v>
      </c>
      <c r="AU382">
        <v>4</v>
      </c>
      <c r="AV382">
        <v>6</v>
      </c>
      <c r="AW382">
        <v>1</v>
      </c>
      <c r="AX382">
        <v>1</v>
      </c>
      <c r="AY382">
        <v>1</v>
      </c>
      <c r="AZ382">
        <v>0</v>
      </c>
      <c r="BA382">
        <v>1023</v>
      </c>
      <c r="BB382">
        <v>0</v>
      </c>
      <c r="BC382">
        <v>0</v>
      </c>
      <c r="BD382">
        <v>1</v>
      </c>
      <c r="BE382">
        <v>1</v>
      </c>
      <c r="BF382">
        <v>5</v>
      </c>
      <c r="BG382">
        <v>1</v>
      </c>
      <c r="BH382">
        <v>0</v>
      </c>
      <c r="BI382">
        <v>0</v>
      </c>
      <c r="BJ382">
        <v>0</v>
      </c>
      <c r="BK382">
        <v>22</v>
      </c>
      <c r="BL382">
        <v>910</v>
      </c>
      <c r="BM382">
        <v>0</v>
      </c>
      <c r="BN382">
        <v>37</v>
      </c>
      <c r="BO382">
        <v>0</v>
      </c>
      <c r="BP382">
        <v>4</v>
      </c>
      <c r="BQ382">
        <v>3</v>
      </c>
      <c r="BR382">
        <v>34</v>
      </c>
      <c r="BS382">
        <v>2</v>
      </c>
      <c r="BT382">
        <v>0</v>
      </c>
      <c r="BU382">
        <v>6</v>
      </c>
      <c r="BV382">
        <v>0</v>
      </c>
      <c r="BW382">
        <v>898</v>
      </c>
      <c r="BX382">
        <v>0</v>
      </c>
      <c r="BY382">
        <v>14</v>
      </c>
      <c r="BZ382">
        <v>0</v>
      </c>
      <c r="CA382">
        <v>0</v>
      </c>
      <c r="CB382">
        <v>62</v>
      </c>
      <c r="CC382">
        <v>1</v>
      </c>
      <c r="CD382">
        <v>0</v>
      </c>
      <c r="CE382">
        <v>0</v>
      </c>
      <c r="CF382">
        <v>0</v>
      </c>
      <c r="CG382">
        <v>0</v>
      </c>
      <c r="CH382">
        <v>888</v>
      </c>
      <c r="CI382">
        <v>2</v>
      </c>
      <c r="CJ382">
        <v>0</v>
      </c>
      <c r="CK382">
        <v>0</v>
      </c>
      <c r="CL382">
        <v>1</v>
      </c>
      <c r="CM382">
        <v>1</v>
      </c>
      <c r="CN382">
        <v>2</v>
      </c>
      <c r="CO382">
        <v>0</v>
      </c>
      <c r="CP382">
        <v>0</v>
      </c>
      <c r="CQ382">
        <v>1</v>
      </c>
      <c r="CR382">
        <v>12</v>
      </c>
      <c r="CS382">
        <v>942</v>
      </c>
      <c r="CT382">
        <v>0</v>
      </c>
      <c r="CU382">
        <v>0</v>
      </c>
      <c r="CV382">
        <v>0</v>
      </c>
      <c r="CW382">
        <v>1</v>
      </c>
      <c r="CX382">
        <v>1</v>
      </c>
      <c r="CY382">
        <v>46</v>
      </c>
      <c r="CZ382">
        <v>4</v>
      </c>
      <c r="DA382">
        <v>0</v>
      </c>
      <c r="DB382">
        <v>5</v>
      </c>
      <c r="DC382">
        <v>0</v>
      </c>
      <c r="DD382">
        <v>941</v>
      </c>
      <c r="DE382">
        <v>0</v>
      </c>
      <c r="DF382">
        <v>30</v>
      </c>
      <c r="DG382">
        <v>1</v>
      </c>
      <c r="DH382">
        <v>1</v>
      </c>
      <c r="DI382">
        <v>24</v>
      </c>
      <c r="DJ382">
        <v>3</v>
      </c>
      <c r="DK382">
        <v>3</v>
      </c>
      <c r="DL382">
        <v>15</v>
      </c>
      <c r="DM382">
        <v>10</v>
      </c>
      <c r="DN382">
        <v>5</v>
      </c>
      <c r="DO382">
        <v>882</v>
      </c>
      <c r="DP382">
        <v>30</v>
      </c>
      <c r="DQ382">
        <v>0</v>
      </c>
      <c r="DR382">
        <v>0</v>
      </c>
      <c r="DS382">
        <v>2</v>
      </c>
      <c r="DT382">
        <v>0</v>
      </c>
      <c r="DU382">
        <v>0</v>
      </c>
      <c r="DV382">
        <v>2</v>
      </c>
      <c r="DW382">
        <v>0</v>
      </c>
      <c r="DX382">
        <v>0</v>
      </c>
      <c r="DY382">
        <v>0</v>
      </c>
      <c r="DZ382">
        <v>1005</v>
      </c>
      <c r="EA382">
        <v>0.95469999999999999</v>
      </c>
      <c r="EB382">
        <v>0.95767140204221302</v>
      </c>
      <c r="EC382">
        <v>0.95472562676177697</v>
      </c>
      <c r="ED382">
        <v>0.95460388977983601</v>
      </c>
      <c r="EE382">
        <f>SUM(Table1[[#This Row],[ratio_0]:[ratio_9]])</f>
        <v>460</v>
      </c>
      <c r="EF382" s="1">
        <f>(Table1[[#This Row],[predicted_0]]-Table1[[#This Row],[actual_0]])/Table1[[#This Row],[actual_0]]</f>
        <v>-2.9591836734693878E-2</v>
      </c>
      <c r="EG382" s="1">
        <f>(Table1[[#This Row],[predicted_1]]-Table1[[#This Row],[actual_1]])/Table1[[#This Row],[actual_1]]</f>
        <v>-1.4977973568281937E-2</v>
      </c>
      <c r="EH382" s="1">
        <f>(Table1[[#This Row],[predicted_2]]-Table1[[#This Row],[actual_2]])/Table1[[#This Row],[actual_2]]</f>
        <v>9.8837209302325577E-2</v>
      </c>
      <c r="EI382" s="1">
        <f>(Table1[[#This Row],[predicted_3]]-Table1[[#This Row],[actual_3]])/Table1[[#This Row],[actual_3]]</f>
        <v>-9.2079207920792078E-2</v>
      </c>
      <c r="EJ382" s="1">
        <f>(Table1[[#This Row],[predicted_4]]-Table1[[#This Row],[actual_4]])/Table1[[#This Row],[actual_4]]</f>
        <v>-8.1466395112016296E-2</v>
      </c>
      <c r="EK382" s="1">
        <f>(Table1[[#This Row],[predicted_5]]-Table1[[#This Row],[actual_5]])/Table1[[#This Row],[actual_5]]</f>
        <v>8.856502242152467E-2</v>
      </c>
      <c r="EL382" s="1">
        <f>(Table1[[#This Row],[predicted_6]]-Table1[[#This Row],[actual_6]])/Table1[[#This Row],[actual_6]]</f>
        <v>3.3402922755741124E-2</v>
      </c>
      <c r="EM382" s="1">
        <f>(Table1[[#This Row],[predicted_7]]-Table1[[#This Row],[actual_7]])/Table1[[#This Row],[actual_7]]</f>
        <v>-6.3229571984435795E-2</v>
      </c>
      <c r="EN382" s="1">
        <f>(Table1[[#This Row],[predicted_8]]-Table1[[#This Row],[actual_8]])/Table1[[#This Row],[actual_8]]</f>
        <v>-8.6242299794661192E-2</v>
      </c>
      <c r="EO382" s="1">
        <f>(Table1[[#This Row],[predicted_9]]-Table1[[#This Row],[actual_9]])/Table1[[#This Row],[actual_9]]</f>
        <v>0.15361744301288405</v>
      </c>
      <c r="EP382" s="1">
        <f>1+(Table1[[#This Row],[error_ratio_0]]-EF$2)</f>
        <v>0.96836734693877546</v>
      </c>
      <c r="EQ382" s="1">
        <f>1+(Table1[[#This Row],[error_ratio_1]]-EG$2)</f>
        <v>0.98325991189427309</v>
      </c>
      <c r="ER382" s="1">
        <f>1+(Table1[[#This Row],[error_ratio_2]]-EH$2)</f>
        <v>1.1036821705426356</v>
      </c>
      <c r="ES382" s="1">
        <f>1+(Table1[[#This Row],[error_ratio_3]]-EI$2)</f>
        <v>0.89801980198019804</v>
      </c>
      <c r="ET382" s="1">
        <f>1+(Table1[[#This Row],[error_ratio_4]]-EJ$2)</f>
        <v>0.91751527494908347</v>
      </c>
      <c r="EU382" s="1">
        <f>1+(Table1[[#This Row],[error_ratio_5]]-EK$2)</f>
        <v>1.0874439461883407</v>
      </c>
      <c r="EV382" s="1">
        <f>1+(Table1[[#This Row],[error_ratio_6]]-EL$2)</f>
        <v>1.0396659707724425</v>
      </c>
      <c r="EW382" s="1">
        <f>1+(Table1[[#This Row],[error_ratio_7]]-EM$2)</f>
        <v>0.93482490272373542</v>
      </c>
      <c r="EX382" s="1">
        <f>1+(Table1[[#This Row],[error_ratio_8]]-EN$2)</f>
        <v>0.91683778234086244</v>
      </c>
      <c r="EY382" s="1">
        <f>1+(Table1[[#This Row],[error_ratio_9]]-EO$2)</f>
        <v>1.157581764122894</v>
      </c>
    </row>
    <row r="383" spans="1:155" x14ac:dyDescent="0.75">
      <c r="A383">
        <v>10</v>
      </c>
      <c r="B383">
        <v>100</v>
      </c>
      <c r="C383">
        <v>10</v>
      </c>
      <c r="D383">
        <v>10</v>
      </c>
      <c r="E383">
        <v>10</v>
      </c>
      <c r="F383">
        <v>100</v>
      </c>
      <c r="G383">
        <v>100</v>
      </c>
      <c r="H383">
        <v>10</v>
      </c>
      <c r="I383">
        <v>10</v>
      </c>
      <c r="J383">
        <v>100</v>
      </c>
      <c r="K383">
        <v>1026</v>
      </c>
      <c r="L383">
        <v>1192</v>
      </c>
      <c r="M383">
        <v>1011</v>
      </c>
      <c r="N383">
        <v>971</v>
      </c>
      <c r="O383">
        <v>993</v>
      </c>
      <c r="P383">
        <v>920</v>
      </c>
      <c r="Q383">
        <v>959</v>
      </c>
      <c r="R383">
        <v>1001</v>
      </c>
      <c r="S383">
        <v>854</v>
      </c>
      <c r="T383">
        <v>1073</v>
      </c>
      <c r="U383">
        <v>980</v>
      </c>
      <c r="V383">
        <v>1135</v>
      </c>
      <c r="W383">
        <v>1032</v>
      </c>
      <c r="X383">
        <v>1010</v>
      </c>
      <c r="Y383">
        <v>982</v>
      </c>
      <c r="Z383">
        <v>892</v>
      </c>
      <c r="AA383">
        <v>958</v>
      </c>
      <c r="AB383">
        <v>1028</v>
      </c>
      <c r="AC383">
        <v>974</v>
      </c>
      <c r="AD383">
        <v>1009</v>
      </c>
      <c r="AE383">
        <v>968</v>
      </c>
      <c r="AF383">
        <v>2</v>
      </c>
      <c r="AG383">
        <v>1</v>
      </c>
      <c r="AH383">
        <v>0</v>
      </c>
      <c r="AI383">
        <v>0</v>
      </c>
      <c r="AJ383">
        <v>0</v>
      </c>
      <c r="AK383">
        <v>4</v>
      </c>
      <c r="AL383">
        <v>1</v>
      </c>
      <c r="AM383">
        <v>0</v>
      </c>
      <c r="AN383">
        <v>4</v>
      </c>
      <c r="AO383">
        <v>0</v>
      </c>
      <c r="AP383">
        <v>1132</v>
      </c>
      <c r="AQ383">
        <v>3</v>
      </c>
      <c r="AR383">
        <v>0</v>
      </c>
      <c r="AS383">
        <v>0</v>
      </c>
      <c r="AT383">
        <v>0</v>
      </c>
      <c r="AU383">
        <v>0</v>
      </c>
      <c r="AV383">
        <v>0</v>
      </c>
      <c r="AW383">
        <v>0</v>
      </c>
      <c r="AX383">
        <v>0</v>
      </c>
      <c r="AY383">
        <v>8</v>
      </c>
      <c r="AZ383">
        <v>12</v>
      </c>
      <c r="BA383">
        <v>987</v>
      </c>
      <c r="BB383">
        <v>2</v>
      </c>
      <c r="BC383">
        <v>4</v>
      </c>
      <c r="BD383">
        <v>2</v>
      </c>
      <c r="BE383">
        <v>4</v>
      </c>
      <c r="BF383">
        <v>11</v>
      </c>
      <c r="BG383">
        <v>1</v>
      </c>
      <c r="BH383">
        <v>1</v>
      </c>
      <c r="BI383">
        <v>4</v>
      </c>
      <c r="BJ383">
        <v>1</v>
      </c>
      <c r="BK383">
        <v>2</v>
      </c>
      <c r="BL383">
        <v>960</v>
      </c>
      <c r="BM383">
        <v>2</v>
      </c>
      <c r="BN383">
        <v>18</v>
      </c>
      <c r="BO383">
        <v>0</v>
      </c>
      <c r="BP383">
        <v>7</v>
      </c>
      <c r="BQ383">
        <v>1</v>
      </c>
      <c r="BR383">
        <v>15</v>
      </c>
      <c r="BS383">
        <v>5</v>
      </c>
      <c r="BT383">
        <v>13</v>
      </c>
      <c r="BU383">
        <v>1</v>
      </c>
      <c r="BV383">
        <v>0</v>
      </c>
      <c r="BW383">
        <v>930</v>
      </c>
      <c r="BX383">
        <v>0</v>
      </c>
      <c r="BY383">
        <v>6</v>
      </c>
      <c r="BZ383">
        <v>0</v>
      </c>
      <c r="CA383">
        <v>0</v>
      </c>
      <c r="CB383">
        <v>27</v>
      </c>
      <c r="CC383">
        <v>2</v>
      </c>
      <c r="CD383">
        <v>0</v>
      </c>
      <c r="CE383">
        <v>0</v>
      </c>
      <c r="CF383">
        <v>2</v>
      </c>
      <c r="CG383">
        <v>0</v>
      </c>
      <c r="CH383">
        <v>877</v>
      </c>
      <c r="CI383">
        <v>1</v>
      </c>
      <c r="CJ383">
        <v>0</v>
      </c>
      <c r="CK383">
        <v>0</v>
      </c>
      <c r="CL383">
        <v>10</v>
      </c>
      <c r="CM383">
        <v>6</v>
      </c>
      <c r="CN383">
        <v>4</v>
      </c>
      <c r="CO383">
        <v>1</v>
      </c>
      <c r="CP383">
        <v>0</v>
      </c>
      <c r="CQ383">
        <v>1</v>
      </c>
      <c r="CR383">
        <v>7</v>
      </c>
      <c r="CS383">
        <v>939</v>
      </c>
      <c r="CT383">
        <v>0</v>
      </c>
      <c r="CU383">
        <v>0</v>
      </c>
      <c r="CV383">
        <v>0</v>
      </c>
      <c r="CW383">
        <v>3</v>
      </c>
      <c r="CX383">
        <v>14</v>
      </c>
      <c r="CY383">
        <v>10</v>
      </c>
      <c r="CZ383">
        <v>2</v>
      </c>
      <c r="DA383">
        <v>8</v>
      </c>
      <c r="DB383">
        <v>0</v>
      </c>
      <c r="DC383">
        <v>0</v>
      </c>
      <c r="DD383">
        <v>967</v>
      </c>
      <c r="DE383">
        <v>0</v>
      </c>
      <c r="DF383">
        <v>24</v>
      </c>
      <c r="DG383">
        <v>27</v>
      </c>
      <c r="DH383">
        <v>10</v>
      </c>
      <c r="DI383">
        <v>5</v>
      </c>
      <c r="DJ383">
        <v>4</v>
      </c>
      <c r="DK383">
        <v>15</v>
      </c>
      <c r="DL383">
        <v>14</v>
      </c>
      <c r="DM383">
        <v>5</v>
      </c>
      <c r="DN383">
        <v>9</v>
      </c>
      <c r="DO383">
        <v>852</v>
      </c>
      <c r="DP383">
        <v>33</v>
      </c>
      <c r="DQ383">
        <v>3</v>
      </c>
      <c r="DR383">
        <v>4</v>
      </c>
      <c r="DS383">
        <v>1</v>
      </c>
      <c r="DT383">
        <v>1</v>
      </c>
      <c r="DU383">
        <v>33</v>
      </c>
      <c r="DV383">
        <v>2</v>
      </c>
      <c r="DW383">
        <v>0</v>
      </c>
      <c r="DX383">
        <v>6</v>
      </c>
      <c r="DY383">
        <v>0</v>
      </c>
      <c r="DZ383">
        <v>959</v>
      </c>
      <c r="EA383">
        <v>0.95709999999999995</v>
      </c>
      <c r="EB383">
        <v>0.95844763893122797</v>
      </c>
      <c r="EC383">
        <v>0.95682508340828198</v>
      </c>
      <c r="ED383">
        <v>0.95694586384713798</v>
      </c>
      <c r="EE383">
        <f>SUM(Table1[[#This Row],[ratio_0]:[ratio_9]])</f>
        <v>460</v>
      </c>
      <c r="EF383" s="1">
        <f>(Table1[[#This Row],[predicted_0]]-Table1[[#This Row],[actual_0]])/Table1[[#This Row],[actual_0]]</f>
        <v>4.6938775510204082E-2</v>
      </c>
      <c r="EG383" s="1">
        <f>(Table1[[#This Row],[predicted_1]]-Table1[[#This Row],[actual_1]])/Table1[[#This Row],[actual_1]]</f>
        <v>5.0220264317180616E-2</v>
      </c>
      <c r="EH383" s="1">
        <f>(Table1[[#This Row],[predicted_2]]-Table1[[#This Row],[actual_2]])/Table1[[#This Row],[actual_2]]</f>
        <v>-2.0348837209302327E-2</v>
      </c>
      <c r="EI383" s="1">
        <f>(Table1[[#This Row],[predicted_3]]-Table1[[#This Row],[actual_3]])/Table1[[#This Row],[actual_3]]</f>
        <v>-3.8613861386138613E-2</v>
      </c>
      <c r="EJ383" s="1">
        <f>(Table1[[#This Row],[predicted_4]]-Table1[[#This Row],[actual_4]])/Table1[[#This Row],[actual_4]]</f>
        <v>1.1201629327902239E-2</v>
      </c>
      <c r="EK383" s="1">
        <f>(Table1[[#This Row],[predicted_5]]-Table1[[#This Row],[actual_5]])/Table1[[#This Row],[actual_5]]</f>
        <v>3.1390134529147982E-2</v>
      </c>
      <c r="EL383" s="1">
        <f>(Table1[[#This Row],[predicted_6]]-Table1[[#This Row],[actual_6]])/Table1[[#This Row],[actual_6]]</f>
        <v>1.0438413361169101E-3</v>
      </c>
      <c r="EM383" s="1">
        <f>(Table1[[#This Row],[predicted_7]]-Table1[[#This Row],[actual_7]])/Table1[[#This Row],[actual_7]]</f>
        <v>-2.6264591439688716E-2</v>
      </c>
      <c r="EN383" s="1">
        <f>(Table1[[#This Row],[predicted_8]]-Table1[[#This Row],[actual_8]])/Table1[[#This Row],[actual_8]]</f>
        <v>-0.12320328542094455</v>
      </c>
      <c r="EO383" s="1">
        <f>(Table1[[#This Row],[predicted_9]]-Table1[[#This Row],[actual_9]])/Table1[[#This Row],[actual_9]]</f>
        <v>6.3429137760158572E-2</v>
      </c>
      <c r="EP383" s="1">
        <f>1+(Table1[[#This Row],[error_ratio_0]]-EF$2)</f>
        <v>1.0448979591836736</v>
      </c>
      <c r="EQ383" s="1">
        <f>1+(Table1[[#This Row],[error_ratio_1]]-EG$2)</f>
        <v>1.0484581497797356</v>
      </c>
      <c r="ER383" s="1">
        <f>1+(Table1[[#This Row],[error_ratio_2]]-EH$2)</f>
        <v>0.98449612403100772</v>
      </c>
      <c r="ES383" s="1">
        <f>1+(Table1[[#This Row],[error_ratio_3]]-EI$2)</f>
        <v>0.95148514851485144</v>
      </c>
      <c r="ET383" s="1">
        <f>1+(Table1[[#This Row],[error_ratio_4]]-EJ$2)</f>
        <v>1.0101832993890021</v>
      </c>
      <c r="EU383" s="1">
        <f>1+(Table1[[#This Row],[error_ratio_5]]-EK$2)</f>
        <v>1.0302690582959642</v>
      </c>
      <c r="EV383" s="1">
        <f>1+(Table1[[#This Row],[error_ratio_6]]-EL$2)</f>
        <v>1.0073068893528183</v>
      </c>
      <c r="EW383" s="1">
        <f>1+(Table1[[#This Row],[error_ratio_7]]-EM$2)</f>
        <v>0.97178988326848248</v>
      </c>
      <c r="EX383" s="1">
        <f>1+(Table1[[#This Row],[error_ratio_8]]-EN$2)</f>
        <v>0.87987679671457908</v>
      </c>
      <c r="EY383" s="1">
        <f>1+(Table1[[#This Row],[error_ratio_9]]-EO$2)</f>
        <v>1.0673934588701686</v>
      </c>
    </row>
    <row r="384" spans="1:155" x14ac:dyDescent="0.75">
      <c r="A384">
        <v>100</v>
      </c>
      <c r="B384">
        <v>10</v>
      </c>
      <c r="C384">
        <v>10</v>
      </c>
      <c r="D384">
        <v>10</v>
      </c>
      <c r="E384">
        <v>10</v>
      </c>
      <c r="F384">
        <v>100</v>
      </c>
      <c r="G384">
        <v>100</v>
      </c>
      <c r="H384">
        <v>10</v>
      </c>
      <c r="I384">
        <v>10</v>
      </c>
      <c r="J384">
        <v>100</v>
      </c>
      <c r="K384">
        <v>985</v>
      </c>
      <c r="L384">
        <v>1141</v>
      </c>
      <c r="M384">
        <v>988</v>
      </c>
      <c r="N384">
        <v>955</v>
      </c>
      <c r="O384">
        <v>912</v>
      </c>
      <c r="P384">
        <v>1034</v>
      </c>
      <c r="Q384">
        <v>988</v>
      </c>
      <c r="R384">
        <v>1022</v>
      </c>
      <c r="S384">
        <v>894</v>
      </c>
      <c r="T384">
        <v>1081</v>
      </c>
      <c r="U384">
        <v>980</v>
      </c>
      <c r="V384">
        <v>1135</v>
      </c>
      <c r="W384">
        <v>1032</v>
      </c>
      <c r="X384">
        <v>1010</v>
      </c>
      <c r="Y384">
        <v>982</v>
      </c>
      <c r="Z384">
        <v>892</v>
      </c>
      <c r="AA384">
        <v>958</v>
      </c>
      <c r="AB384">
        <v>1028</v>
      </c>
      <c r="AC384">
        <v>974</v>
      </c>
      <c r="AD384">
        <v>1009</v>
      </c>
      <c r="AE384">
        <v>968</v>
      </c>
      <c r="AF384">
        <v>0</v>
      </c>
      <c r="AG384">
        <v>0</v>
      </c>
      <c r="AH384">
        <v>0</v>
      </c>
      <c r="AI384">
        <v>0</v>
      </c>
      <c r="AJ384">
        <v>5</v>
      </c>
      <c r="AK384">
        <v>3</v>
      </c>
      <c r="AL384">
        <v>1</v>
      </c>
      <c r="AM384">
        <v>1</v>
      </c>
      <c r="AN384">
        <v>2</v>
      </c>
      <c r="AO384">
        <v>0</v>
      </c>
      <c r="AP384">
        <v>1121</v>
      </c>
      <c r="AQ384">
        <v>5</v>
      </c>
      <c r="AR384">
        <v>1</v>
      </c>
      <c r="AS384">
        <v>0</v>
      </c>
      <c r="AT384">
        <v>2</v>
      </c>
      <c r="AU384">
        <v>4</v>
      </c>
      <c r="AV384">
        <v>1</v>
      </c>
      <c r="AW384">
        <v>1</v>
      </c>
      <c r="AX384">
        <v>0</v>
      </c>
      <c r="AY384">
        <v>4</v>
      </c>
      <c r="AZ384">
        <v>4</v>
      </c>
      <c r="BA384">
        <v>971</v>
      </c>
      <c r="BB384">
        <v>23</v>
      </c>
      <c r="BC384">
        <v>4</v>
      </c>
      <c r="BD384">
        <v>0</v>
      </c>
      <c r="BE384">
        <v>5</v>
      </c>
      <c r="BF384">
        <v>12</v>
      </c>
      <c r="BG384">
        <v>8</v>
      </c>
      <c r="BH384">
        <v>1</v>
      </c>
      <c r="BI384">
        <v>1</v>
      </c>
      <c r="BJ384">
        <v>0</v>
      </c>
      <c r="BK384">
        <v>1</v>
      </c>
      <c r="BL384">
        <v>921</v>
      </c>
      <c r="BM384">
        <v>0</v>
      </c>
      <c r="BN384">
        <v>70</v>
      </c>
      <c r="BO384">
        <v>0</v>
      </c>
      <c r="BP384">
        <v>10</v>
      </c>
      <c r="BQ384">
        <v>2</v>
      </c>
      <c r="BR384">
        <v>5</v>
      </c>
      <c r="BS384">
        <v>1</v>
      </c>
      <c r="BT384">
        <v>6</v>
      </c>
      <c r="BU384">
        <v>2</v>
      </c>
      <c r="BV384">
        <v>2</v>
      </c>
      <c r="BW384">
        <v>904</v>
      </c>
      <c r="BX384">
        <v>0</v>
      </c>
      <c r="BY384">
        <v>17</v>
      </c>
      <c r="BZ384">
        <v>3</v>
      </c>
      <c r="CA384">
        <v>1</v>
      </c>
      <c r="CB384">
        <v>46</v>
      </c>
      <c r="CC384">
        <v>0</v>
      </c>
      <c r="CD384">
        <v>0</v>
      </c>
      <c r="CE384">
        <v>0</v>
      </c>
      <c r="CF384">
        <v>1</v>
      </c>
      <c r="CG384">
        <v>0</v>
      </c>
      <c r="CH384">
        <v>888</v>
      </c>
      <c r="CI384">
        <v>3</v>
      </c>
      <c r="CJ384">
        <v>0</v>
      </c>
      <c r="CK384">
        <v>0</v>
      </c>
      <c r="CL384">
        <v>0</v>
      </c>
      <c r="CM384">
        <v>4</v>
      </c>
      <c r="CN384">
        <v>1</v>
      </c>
      <c r="CO384">
        <v>0</v>
      </c>
      <c r="CP384">
        <v>0</v>
      </c>
      <c r="CQ384">
        <v>1</v>
      </c>
      <c r="CR384">
        <v>3</v>
      </c>
      <c r="CS384">
        <v>949</v>
      </c>
      <c r="CT384">
        <v>0</v>
      </c>
      <c r="CU384">
        <v>0</v>
      </c>
      <c r="CV384">
        <v>0</v>
      </c>
      <c r="CW384">
        <v>2</v>
      </c>
      <c r="CX384">
        <v>5</v>
      </c>
      <c r="CY384">
        <v>9</v>
      </c>
      <c r="CZ384">
        <v>2</v>
      </c>
      <c r="DA384">
        <v>0</v>
      </c>
      <c r="DB384">
        <v>8</v>
      </c>
      <c r="DC384">
        <v>0</v>
      </c>
      <c r="DD384">
        <v>982</v>
      </c>
      <c r="DE384">
        <v>1</v>
      </c>
      <c r="DF384">
        <v>19</v>
      </c>
      <c r="DG384">
        <v>4</v>
      </c>
      <c r="DH384">
        <v>1</v>
      </c>
      <c r="DI384">
        <v>0</v>
      </c>
      <c r="DJ384">
        <v>5</v>
      </c>
      <c r="DK384">
        <v>2</v>
      </c>
      <c r="DL384">
        <v>54</v>
      </c>
      <c r="DM384">
        <v>4</v>
      </c>
      <c r="DN384">
        <v>8</v>
      </c>
      <c r="DO384">
        <v>880</v>
      </c>
      <c r="DP384">
        <v>16</v>
      </c>
      <c r="DQ384">
        <v>1</v>
      </c>
      <c r="DR384">
        <v>3</v>
      </c>
      <c r="DS384">
        <v>0</v>
      </c>
      <c r="DT384">
        <v>0</v>
      </c>
      <c r="DU384">
        <v>1</v>
      </c>
      <c r="DV384">
        <v>4</v>
      </c>
      <c r="DW384">
        <v>3</v>
      </c>
      <c r="DX384">
        <v>5</v>
      </c>
      <c r="DY384">
        <v>0</v>
      </c>
      <c r="DZ384">
        <v>992</v>
      </c>
      <c r="EA384">
        <v>0.95760000000000001</v>
      </c>
      <c r="EB384">
        <v>0.95858291473068702</v>
      </c>
      <c r="EC384">
        <v>0.95767796623977097</v>
      </c>
      <c r="ED384">
        <v>0.95706550433553805</v>
      </c>
      <c r="EE384">
        <f>SUM(Table1[[#This Row],[ratio_0]:[ratio_9]])</f>
        <v>460</v>
      </c>
      <c r="EF384" s="1">
        <f>(Table1[[#This Row],[predicted_0]]-Table1[[#This Row],[actual_0]])/Table1[[#This Row],[actual_0]]</f>
        <v>5.1020408163265302E-3</v>
      </c>
      <c r="EG384" s="1">
        <f>(Table1[[#This Row],[predicted_1]]-Table1[[#This Row],[actual_1]])/Table1[[#This Row],[actual_1]]</f>
        <v>5.2863436123348016E-3</v>
      </c>
      <c r="EH384" s="1">
        <f>(Table1[[#This Row],[predicted_2]]-Table1[[#This Row],[actual_2]])/Table1[[#This Row],[actual_2]]</f>
        <v>-4.2635658914728682E-2</v>
      </c>
      <c r="EI384" s="1">
        <f>(Table1[[#This Row],[predicted_3]]-Table1[[#This Row],[actual_3]])/Table1[[#This Row],[actual_3]]</f>
        <v>-5.4455445544554455E-2</v>
      </c>
      <c r="EJ384" s="1">
        <f>(Table1[[#This Row],[predicted_4]]-Table1[[#This Row],[actual_4]])/Table1[[#This Row],[actual_4]]</f>
        <v>-7.128309572301425E-2</v>
      </c>
      <c r="EK384" s="1">
        <f>(Table1[[#This Row],[predicted_5]]-Table1[[#This Row],[actual_5]])/Table1[[#This Row],[actual_5]]</f>
        <v>0.15919282511210761</v>
      </c>
      <c r="EL384" s="1">
        <f>(Table1[[#This Row],[predicted_6]]-Table1[[#This Row],[actual_6]])/Table1[[#This Row],[actual_6]]</f>
        <v>3.1315240083507306E-2</v>
      </c>
      <c r="EM384" s="1">
        <f>(Table1[[#This Row],[predicted_7]]-Table1[[#This Row],[actual_7]])/Table1[[#This Row],[actual_7]]</f>
        <v>-5.8365758754863814E-3</v>
      </c>
      <c r="EN384" s="1">
        <f>(Table1[[#This Row],[predicted_8]]-Table1[[#This Row],[actual_8]])/Table1[[#This Row],[actual_8]]</f>
        <v>-8.2135523613963035E-2</v>
      </c>
      <c r="EO384" s="1">
        <f>(Table1[[#This Row],[predicted_9]]-Table1[[#This Row],[actual_9]])/Table1[[#This Row],[actual_9]]</f>
        <v>7.1357779980178393E-2</v>
      </c>
      <c r="EP384" s="1">
        <f>1+(Table1[[#This Row],[error_ratio_0]]-EF$2)</f>
        <v>1.0030612244897958</v>
      </c>
      <c r="EQ384" s="1">
        <f>1+(Table1[[#This Row],[error_ratio_1]]-EG$2)</f>
        <v>1.0035242290748898</v>
      </c>
      <c r="ER384" s="1">
        <f>1+(Table1[[#This Row],[error_ratio_2]]-EH$2)</f>
        <v>0.96220930232558144</v>
      </c>
      <c r="ES384" s="1">
        <f>1+(Table1[[#This Row],[error_ratio_3]]-EI$2)</f>
        <v>0.93564356435643559</v>
      </c>
      <c r="ET384" s="1">
        <f>1+(Table1[[#This Row],[error_ratio_4]]-EJ$2)</f>
        <v>0.92769857433808556</v>
      </c>
      <c r="EU384" s="1">
        <f>1+(Table1[[#This Row],[error_ratio_5]]-EK$2)</f>
        <v>1.1580717488789238</v>
      </c>
      <c r="EV384" s="1">
        <f>1+(Table1[[#This Row],[error_ratio_6]]-EL$2)</f>
        <v>1.0375782881002087</v>
      </c>
      <c r="EW384" s="1">
        <f>1+(Table1[[#This Row],[error_ratio_7]]-EM$2)</f>
        <v>0.99221789883268485</v>
      </c>
      <c r="EX384" s="1">
        <f>1+(Table1[[#This Row],[error_ratio_8]]-EN$2)</f>
        <v>0.92094455852156054</v>
      </c>
      <c r="EY384" s="1">
        <f>1+(Table1[[#This Row],[error_ratio_9]]-EO$2)</f>
        <v>1.0753221010901883</v>
      </c>
    </row>
    <row r="385" spans="1:155" x14ac:dyDescent="0.75">
      <c r="A385">
        <v>10</v>
      </c>
      <c r="B385">
        <v>10</v>
      </c>
      <c r="C385">
        <v>10</v>
      </c>
      <c r="D385">
        <v>10</v>
      </c>
      <c r="E385">
        <v>10</v>
      </c>
      <c r="F385">
        <v>100</v>
      </c>
      <c r="G385">
        <v>100</v>
      </c>
      <c r="H385">
        <v>10</v>
      </c>
      <c r="I385">
        <v>10</v>
      </c>
      <c r="J385">
        <v>100</v>
      </c>
      <c r="K385">
        <v>953</v>
      </c>
      <c r="L385">
        <v>1116</v>
      </c>
      <c r="M385">
        <v>1036</v>
      </c>
      <c r="N385">
        <v>985</v>
      </c>
      <c r="O385">
        <v>830</v>
      </c>
      <c r="P385">
        <v>947</v>
      </c>
      <c r="Q385">
        <v>1003</v>
      </c>
      <c r="R385">
        <v>1013</v>
      </c>
      <c r="S385">
        <v>952</v>
      </c>
      <c r="T385">
        <v>1165</v>
      </c>
      <c r="U385">
        <v>980</v>
      </c>
      <c r="V385">
        <v>1135</v>
      </c>
      <c r="W385">
        <v>1032</v>
      </c>
      <c r="X385">
        <v>1010</v>
      </c>
      <c r="Y385">
        <v>982</v>
      </c>
      <c r="Z385">
        <v>892</v>
      </c>
      <c r="AA385">
        <v>958</v>
      </c>
      <c r="AB385">
        <v>1028</v>
      </c>
      <c r="AC385">
        <v>974</v>
      </c>
      <c r="AD385">
        <v>1009</v>
      </c>
      <c r="AE385">
        <v>945</v>
      </c>
      <c r="AF385">
        <v>0</v>
      </c>
      <c r="AG385">
        <v>0</v>
      </c>
      <c r="AH385">
        <v>1</v>
      </c>
      <c r="AI385">
        <v>0</v>
      </c>
      <c r="AJ385">
        <v>2</v>
      </c>
      <c r="AK385">
        <v>15</v>
      </c>
      <c r="AL385">
        <v>1</v>
      </c>
      <c r="AM385">
        <v>4</v>
      </c>
      <c r="AN385">
        <v>12</v>
      </c>
      <c r="AO385">
        <v>0</v>
      </c>
      <c r="AP385">
        <v>1113</v>
      </c>
      <c r="AQ385">
        <v>1</v>
      </c>
      <c r="AR385">
        <v>5</v>
      </c>
      <c r="AS385">
        <v>0</v>
      </c>
      <c r="AT385">
        <v>5</v>
      </c>
      <c r="AU385">
        <v>6</v>
      </c>
      <c r="AV385">
        <v>1</v>
      </c>
      <c r="AW385">
        <v>3</v>
      </c>
      <c r="AX385">
        <v>1</v>
      </c>
      <c r="AY385">
        <v>3</v>
      </c>
      <c r="AZ385">
        <v>0</v>
      </c>
      <c r="BA385">
        <v>1006</v>
      </c>
      <c r="BB385">
        <v>3</v>
      </c>
      <c r="BC385">
        <v>0</v>
      </c>
      <c r="BD385">
        <v>0</v>
      </c>
      <c r="BE385">
        <v>6</v>
      </c>
      <c r="BF385">
        <v>11</v>
      </c>
      <c r="BG385">
        <v>3</v>
      </c>
      <c r="BH385">
        <v>0</v>
      </c>
      <c r="BI385">
        <v>0</v>
      </c>
      <c r="BJ385">
        <v>0</v>
      </c>
      <c r="BK385">
        <v>3</v>
      </c>
      <c r="BL385">
        <v>963</v>
      </c>
      <c r="BM385">
        <v>0</v>
      </c>
      <c r="BN385">
        <v>27</v>
      </c>
      <c r="BO385">
        <v>0</v>
      </c>
      <c r="BP385">
        <v>7</v>
      </c>
      <c r="BQ385">
        <v>2</v>
      </c>
      <c r="BR385">
        <v>8</v>
      </c>
      <c r="BS385">
        <v>1</v>
      </c>
      <c r="BT385">
        <v>0</v>
      </c>
      <c r="BU385">
        <v>4</v>
      </c>
      <c r="BV385">
        <v>0</v>
      </c>
      <c r="BW385">
        <v>830</v>
      </c>
      <c r="BX385">
        <v>2</v>
      </c>
      <c r="BY385">
        <v>24</v>
      </c>
      <c r="BZ385">
        <v>1</v>
      </c>
      <c r="CA385">
        <v>1</v>
      </c>
      <c r="CB385">
        <v>119</v>
      </c>
      <c r="CC385">
        <v>0</v>
      </c>
      <c r="CD385">
        <v>0</v>
      </c>
      <c r="CE385">
        <v>0</v>
      </c>
      <c r="CF385">
        <v>4</v>
      </c>
      <c r="CG385">
        <v>0</v>
      </c>
      <c r="CH385">
        <v>879</v>
      </c>
      <c r="CI385">
        <v>1</v>
      </c>
      <c r="CJ385">
        <v>1</v>
      </c>
      <c r="CK385">
        <v>0</v>
      </c>
      <c r="CL385">
        <v>7</v>
      </c>
      <c r="CM385">
        <v>0</v>
      </c>
      <c r="CN385">
        <v>1</v>
      </c>
      <c r="CO385">
        <v>0</v>
      </c>
      <c r="CP385">
        <v>0</v>
      </c>
      <c r="CQ385">
        <v>0</v>
      </c>
      <c r="CR385">
        <v>10</v>
      </c>
      <c r="CS385">
        <v>946</v>
      </c>
      <c r="CT385">
        <v>0</v>
      </c>
      <c r="CU385">
        <v>0</v>
      </c>
      <c r="CV385">
        <v>1</v>
      </c>
      <c r="CW385">
        <v>1</v>
      </c>
      <c r="CX385">
        <v>2</v>
      </c>
      <c r="CY385">
        <v>18</v>
      </c>
      <c r="CZ385">
        <v>2</v>
      </c>
      <c r="DA385">
        <v>0</v>
      </c>
      <c r="DB385">
        <v>2</v>
      </c>
      <c r="DC385">
        <v>1</v>
      </c>
      <c r="DD385">
        <v>985</v>
      </c>
      <c r="DE385">
        <v>2</v>
      </c>
      <c r="DF385">
        <v>15</v>
      </c>
      <c r="DG385">
        <v>2</v>
      </c>
      <c r="DH385">
        <v>0</v>
      </c>
      <c r="DI385">
        <v>4</v>
      </c>
      <c r="DJ385">
        <v>1</v>
      </c>
      <c r="DK385">
        <v>0</v>
      </c>
      <c r="DL385">
        <v>16</v>
      </c>
      <c r="DM385">
        <v>3</v>
      </c>
      <c r="DN385">
        <v>3</v>
      </c>
      <c r="DO385">
        <v>936</v>
      </c>
      <c r="DP385">
        <v>9</v>
      </c>
      <c r="DQ385">
        <v>1</v>
      </c>
      <c r="DR385">
        <v>0</v>
      </c>
      <c r="DS385">
        <v>0</v>
      </c>
      <c r="DT385">
        <v>6</v>
      </c>
      <c r="DU385">
        <v>0</v>
      </c>
      <c r="DV385">
        <v>4</v>
      </c>
      <c r="DW385">
        <v>1</v>
      </c>
      <c r="DX385">
        <v>3</v>
      </c>
      <c r="DY385">
        <v>1</v>
      </c>
      <c r="DZ385">
        <v>993</v>
      </c>
      <c r="EA385">
        <v>0.95960000000000001</v>
      </c>
      <c r="EB385">
        <v>0.96169026374478594</v>
      </c>
      <c r="EC385">
        <v>0.95945873127502401</v>
      </c>
      <c r="ED385">
        <v>0.95925650308991794</v>
      </c>
      <c r="EE385">
        <f>SUM(Table1[[#This Row],[ratio_0]:[ratio_9]])</f>
        <v>370</v>
      </c>
      <c r="EF385" s="1">
        <f>(Table1[[#This Row],[predicted_0]]-Table1[[#This Row],[actual_0]])/Table1[[#This Row],[actual_0]]</f>
        <v>-2.7551020408163266E-2</v>
      </c>
      <c r="EG385" s="1">
        <f>(Table1[[#This Row],[predicted_1]]-Table1[[#This Row],[actual_1]])/Table1[[#This Row],[actual_1]]</f>
        <v>-1.6740088105726872E-2</v>
      </c>
      <c r="EH385" s="1">
        <f>(Table1[[#This Row],[predicted_2]]-Table1[[#This Row],[actual_2]])/Table1[[#This Row],[actual_2]]</f>
        <v>3.875968992248062E-3</v>
      </c>
      <c r="EI385" s="1">
        <f>(Table1[[#This Row],[predicted_3]]-Table1[[#This Row],[actual_3]])/Table1[[#This Row],[actual_3]]</f>
        <v>-2.4752475247524754E-2</v>
      </c>
      <c r="EJ385" s="1">
        <f>(Table1[[#This Row],[predicted_4]]-Table1[[#This Row],[actual_4]])/Table1[[#This Row],[actual_4]]</f>
        <v>-0.15478615071283094</v>
      </c>
      <c r="EK385" s="1">
        <f>(Table1[[#This Row],[predicted_5]]-Table1[[#This Row],[actual_5]])/Table1[[#This Row],[actual_5]]</f>
        <v>6.1659192825112105E-2</v>
      </c>
      <c r="EL385" s="1">
        <f>(Table1[[#This Row],[predicted_6]]-Table1[[#This Row],[actual_6]])/Table1[[#This Row],[actual_6]]</f>
        <v>4.697286012526096E-2</v>
      </c>
      <c r="EM385" s="1">
        <f>(Table1[[#This Row],[predicted_7]]-Table1[[#This Row],[actual_7]])/Table1[[#This Row],[actual_7]]</f>
        <v>-1.4591439688715954E-2</v>
      </c>
      <c r="EN385" s="1">
        <f>(Table1[[#This Row],[predicted_8]]-Table1[[#This Row],[actual_8]])/Table1[[#This Row],[actual_8]]</f>
        <v>-2.2587268993839837E-2</v>
      </c>
      <c r="EO385" s="1">
        <f>(Table1[[#This Row],[predicted_9]]-Table1[[#This Row],[actual_9]])/Table1[[#This Row],[actual_9]]</f>
        <v>0.15460852329038652</v>
      </c>
      <c r="EP385" s="1">
        <f>1+(Table1[[#This Row],[error_ratio_0]]-EF$2)</f>
        <v>0.9704081632653061</v>
      </c>
      <c r="EQ385" s="1">
        <f>1+(Table1[[#This Row],[error_ratio_1]]-EG$2)</f>
        <v>0.98149779735682818</v>
      </c>
      <c r="ER385" s="1">
        <f>1+(Table1[[#This Row],[error_ratio_2]]-EH$2)</f>
        <v>1.0087209302325582</v>
      </c>
      <c r="ES385" s="1">
        <f>1+(Table1[[#This Row],[error_ratio_3]]-EI$2)</f>
        <v>0.96534653465346532</v>
      </c>
      <c r="ET385" s="1">
        <f>1+(Table1[[#This Row],[error_ratio_4]]-EJ$2)</f>
        <v>0.84419551934826886</v>
      </c>
      <c r="EU385" s="1">
        <f>1+(Table1[[#This Row],[error_ratio_5]]-EK$2)</f>
        <v>1.0605381165919283</v>
      </c>
      <c r="EV385" s="1">
        <f>1+(Table1[[#This Row],[error_ratio_6]]-EL$2)</f>
        <v>1.0532359081419624</v>
      </c>
      <c r="EW385" s="1">
        <f>1+(Table1[[#This Row],[error_ratio_7]]-EM$2)</f>
        <v>0.9834630350194552</v>
      </c>
      <c r="EX385" s="1">
        <f>1+(Table1[[#This Row],[error_ratio_8]]-EN$2)</f>
        <v>0.98049281314168379</v>
      </c>
      <c r="EY385" s="1">
        <f>1+(Table1[[#This Row],[error_ratio_9]]-EO$2)</f>
        <v>1.1585728444003964</v>
      </c>
    </row>
    <row r="386" spans="1:155" x14ac:dyDescent="0.75">
      <c r="A386">
        <v>100</v>
      </c>
      <c r="B386">
        <v>100</v>
      </c>
      <c r="C386">
        <v>100</v>
      </c>
      <c r="D386">
        <v>100</v>
      </c>
      <c r="E386">
        <v>100</v>
      </c>
      <c r="F386">
        <v>10</v>
      </c>
      <c r="G386">
        <v>100</v>
      </c>
      <c r="H386">
        <v>10</v>
      </c>
      <c r="I386">
        <v>10</v>
      </c>
      <c r="J386">
        <v>100</v>
      </c>
      <c r="K386">
        <v>994</v>
      </c>
      <c r="L386">
        <v>1149</v>
      </c>
      <c r="M386">
        <v>1074</v>
      </c>
      <c r="N386">
        <v>1249</v>
      </c>
      <c r="O386">
        <v>965</v>
      </c>
      <c r="P386">
        <v>698</v>
      </c>
      <c r="Q386">
        <v>957</v>
      </c>
      <c r="R386">
        <v>966</v>
      </c>
      <c r="S386">
        <v>849</v>
      </c>
      <c r="T386">
        <v>1099</v>
      </c>
      <c r="U386">
        <v>980</v>
      </c>
      <c r="V386">
        <v>1135</v>
      </c>
      <c r="W386">
        <v>1032</v>
      </c>
      <c r="X386">
        <v>1010</v>
      </c>
      <c r="Y386">
        <v>982</v>
      </c>
      <c r="Z386">
        <v>892</v>
      </c>
      <c r="AA386">
        <v>958</v>
      </c>
      <c r="AB386">
        <v>1028</v>
      </c>
      <c r="AC386">
        <v>974</v>
      </c>
      <c r="AD386">
        <v>1009</v>
      </c>
      <c r="AE386">
        <v>976</v>
      </c>
      <c r="AF386">
        <v>0</v>
      </c>
      <c r="AG386">
        <v>1</v>
      </c>
      <c r="AH386">
        <v>0</v>
      </c>
      <c r="AI386">
        <v>0</v>
      </c>
      <c r="AJ386">
        <v>0</v>
      </c>
      <c r="AK386">
        <v>1</v>
      </c>
      <c r="AL386">
        <v>1</v>
      </c>
      <c r="AM386">
        <v>1</v>
      </c>
      <c r="AN386">
        <v>0</v>
      </c>
      <c r="AO386">
        <v>0</v>
      </c>
      <c r="AP386">
        <v>1132</v>
      </c>
      <c r="AQ386">
        <v>1</v>
      </c>
      <c r="AR386">
        <v>1</v>
      </c>
      <c r="AS386">
        <v>0</v>
      </c>
      <c r="AT386">
        <v>0</v>
      </c>
      <c r="AU386">
        <v>1</v>
      </c>
      <c r="AV386">
        <v>0</v>
      </c>
      <c r="AW386">
        <v>0</v>
      </c>
      <c r="AX386">
        <v>0</v>
      </c>
      <c r="AY386">
        <v>2</v>
      </c>
      <c r="AZ386">
        <v>2</v>
      </c>
      <c r="BA386">
        <v>1024</v>
      </c>
      <c r="BB386">
        <v>2</v>
      </c>
      <c r="BC386">
        <v>0</v>
      </c>
      <c r="BD386">
        <v>0</v>
      </c>
      <c r="BE386">
        <v>0</v>
      </c>
      <c r="BF386">
        <v>2</v>
      </c>
      <c r="BG386">
        <v>0</v>
      </c>
      <c r="BH386">
        <v>0</v>
      </c>
      <c r="BI386">
        <v>0</v>
      </c>
      <c r="BJ386">
        <v>0</v>
      </c>
      <c r="BK386">
        <v>2</v>
      </c>
      <c r="BL386">
        <v>1008</v>
      </c>
      <c r="BM386">
        <v>0</v>
      </c>
      <c r="BN386">
        <v>0</v>
      </c>
      <c r="BO386">
        <v>0</v>
      </c>
      <c r="BP386">
        <v>0</v>
      </c>
      <c r="BQ386">
        <v>0</v>
      </c>
      <c r="BR386">
        <v>0</v>
      </c>
      <c r="BS386">
        <v>0</v>
      </c>
      <c r="BT386">
        <v>0</v>
      </c>
      <c r="BU386">
        <v>0</v>
      </c>
      <c r="BV386">
        <v>0</v>
      </c>
      <c r="BW386">
        <v>957</v>
      </c>
      <c r="BX386">
        <v>0</v>
      </c>
      <c r="BY386">
        <v>2</v>
      </c>
      <c r="BZ386">
        <v>0</v>
      </c>
      <c r="CA386">
        <v>0</v>
      </c>
      <c r="CB386">
        <v>23</v>
      </c>
      <c r="CC386">
        <v>2</v>
      </c>
      <c r="CD386">
        <v>1</v>
      </c>
      <c r="CE386">
        <v>1</v>
      </c>
      <c r="CF386">
        <v>138</v>
      </c>
      <c r="CG386">
        <v>0</v>
      </c>
      <c r="CH386">
        <v>697</v>
      </c>
      <c r="CI386">
        <v>6</v>
      </c>
      <c r="CJ386">
        <v>1</v>
      </c>
      <c r="CK386">
        <v>4</v>
      </c>
      <c r="CL386">
        <v>42</v>
      </c>
      <c r="CM386">
        <v>5</v>
      </c>
      <c r="CN386">
        <v>4</v>
      </c>
      <c r="CO386">
        <v>0</v>
      </c>
      <c r="CP386">
        <v>0</v>
      </c>
      <c r="CQ386">
        <v>1</v>
      </c>
      <c r="CR386">
        <v>1</v>
      </c>
      <c r="CS386">
        <v>946</v>
      </c>
      <c r="CT386">
        <v>0</v>
      </c>
      <c r="CU386">
        <v>1</v>
      </c>
      <c r="CV386">
        <v>0</v>
      </c>
      <c r="CW386">
        <v>1</v>
      </c>
      <c r="CX386">
        <v>6</v>
      </c>
      <c r="CY386">
        <v>24</v>
      </c>
      <c r="CZ386">
        <v>17</v>
      </c>
      <c r="DA386">
        <v>2</v>
      </c>
      <c r="DB386">
        <v>0</v>
      </c>
      <c r="DC386">
        <v>0</v>
      </c>
      <c r="DD386">
        <v>958</v>
      </c>
      <c r="DE386">
        <v>1</v>
      </c>
      <c r="DF386">
        <v>19</v>
      </c>
      <c r="DG386">
        <v>6</v>
      </c>
      <c r="DH386">
        <v>4</v>
      </c>
      <c r="DI386">
        <v>20</v>
      </c>
      <c r="DJ386">
        <v>77</v>
      </c>
      <c r="DK386">
        <v>4</v>
      </c>
      <c r="DL386">
        <v>0</v>
      </c>
      <c r="DM386">
        <v>1</v>
      </c>
      <c r="DN386">
        <v>1</v>
      </c>
      <c r="DO386">
        <v>842</v>
      </c>
      <c r="DP386">
        <v>19</v>
      </c>
      <c r="DQ386">
        <v>2</v>
      </c>
      <c r="DR386">
        <v>0</v>
      </c>
      <c r="DS386">
        <v>1</v>
      </c>
      <c r="DT386">
        <v>6</v>
      </c>
      <c r="DU386">
        <v>1</v>
      </c>
      <c r="DV386">
        <v>0</v>
      </c>
      <c r="DW386">
        <v>0</v>
      </c>
      <c r="DX386">
        <v>3</v>
      </c>
      <c r="DY386">
        <v>0</v>
      </c>
      <c r="DZ386">
        <v>996</v>
      </c>
      <c r="EA386">
        <v>0.9536</v>
      </c>
      <c r="EB386">
        <v>0.95961213697098902</v>
      </c>
      <c r="EC386">
        <v>0.95104478067751297</v>
      </c>
      <c r="ED386">
        <v>0.95223646724362598</v>
      </c>
      <c r="EE386">
        <f>SUM(Table1[[#This Row],[ratio_0]:[ratio_9]])</f>
        <v>730</v>
      </c>
      <c r="EF386" s="1">
        <f>(Table1[[#This Row],[predicted_0]]-Table1[[#This Row],[actual_0]])/Table1[[#This Row],[actual_0]]</f>
        <v>1.4285714285714285E-2</v>
      </c>
      <c r="EG386" s="1">
        <f>(Table1[[#This Row],[predicted_1]]-Table1[[#This Row],[actual_1]])/Table1[[#This Row],[actual_1]]</f>
        <v>1.2334801762114538E-2</v>
      </c>
      <c r="EH386" s="1">
        <f>(Table1[[#This Row],[predicted_2]]-Table1[[#This Row],[actual_2]])/Table1[[#This Row],[actual_2]]</f>
        <v>4.0697674418604654E-2</v>
      </c>
      <c r="EI386" s="1">
        <f>(Table1[[#This Row],[predicted_3]]-Table1[[#This Row],[actual_3]])/Table1[[#This Row],[actual_3]]</f>
        <v>0.23663366336633662</v>
      </c>
      <c r="EJ386" s="1">
        <f>(Table1[[#This Row],[predicted_4]]-Table1[[#This Row],[actual_4]])/Table1[[#This Row],[actual_4]]</f>
        <v>-1.7311608961303463E-2</v>
      </c>
      <c r="EK386" s="1">
        <f>(Table1[[#This Row],[predicted_5]]-Table1[[#This Row],[actual_5]])/Table1[[#This Row],[actual_5]]</f>
        <v>-0.21748878923766815</v>
      </c>
      <c r="EL386" s="1">
        <f>(Table1[[#This Row],[predicted_6]]-Table1[[#This Row],[actual_6]])/Table1[[#This Row],[actual_6]]</f>
        <v>-1.0438413361169101E-3</v>
      </c>
      <c r="EM386" s="1">
        <f>(Table1[[#This Row],[predicted_7]]-Table1[[#This Row],[actual_7]])/Table1[[#This Row],[actual_7]]</f>
        <v>-6.0311284046692608E-2</v>
      </c>
      <c r="EN386" s="1">
        <f>(Table1[[#This Row],[predicted_8]]-Table1[[#This Row],[actual_8]])/Table1[[#This Row],[actual_8]]</f>
        <v>-0.12833675564681724</v>
      </c>
      <c r="EO386" s="1">
        <f>(Table1[[#This Row],[predicted_9]]-Table1[[#This Row],[actual_9]])/Table1[[#This Row],[actual_9]]</f>
        <v>8.9197224975222991E-2</v>
      </c>
      <c r="EP386" s="1">
        <f>1+(Table1[[#This Row],[error_ratio_0]]-EF$2)</f>
        <v>1.0122448979591836</v>
      </c>
      <c r="EQ386" s="1">
        <f>1+(Table1[[#This Row],[error_ratio_1]]-EG$2)</f>
        <v>1.0105726872246696</v>
      </c>
      <c r="ER386" s="1">
        <f>1+(Table1[[#This Row],[error_ratio_2]]-EH$2)</f>
        <v>1.0455426356589148</v>
      </c>
      <c r="ES386" s="1">
        <f>1+(Table1[[#This Row],[error_ratio_3]]-EI$2)</f>
        <v>1.2267326732673267</v>
      </c>
      <c r="ET386" s="1">
        <f>1+(Table1[[#This Row],[error_ratio_4]]-EJ$2)</f>
        <v>0.98167006109979638</v>
      </c>
      <c r="EU386" s="1">
        <f>1+(Table1[[#This Row],[error_ratio_5]]-EK$2)</f>
        <v>0.78139013452914796</v>
      </c>
      <c r="EV386" s="1">
        <f>1+(Table1[[#This Row],[error_ratio_6]]-EL$2)</f>
        <v>1.0052192066805845</v>
      </c>
      <c r="EW386" s="1">
        <f>1+(Table1[[#This Row],[error_ratio_7]]-EM$2)</f>
        <v>0.9377431906614786</v>
      </c>
      <c r="EX386" s="1">
        <f>1+(Table1[[#This Row],[error_ratio_8]]-EN$2)</f>
        <v>0.87474332648870634</v>
      </c>
      <c r="EY386" s="1">
        <f>1+(Table1[[#This Row],[error_ratio_9]]-EO$2)</f>
        <v>1.0931615460852329</v>
      </c>
    </row>
    <row r="387" spans="1:155" x14ac:dyDescent="0.75">
      <c r="A387">
        <v>10</v>
      </c>
      <c r="B387">
        <v>100</v>
      </c>
      <c r="C387">
        <v>100</v>
      </c>
      <c r="D387">
        <v>100</v>
      </c>
      <c r="E387">
        <v>100</v>
      </c>
      <c r="F387">
        <v>10</v>
      </c>
      <c r="G387">
        <v>100</v>
      </c>
      <c r="H387">
        <v>10</v>
      </c>
      <c r="I387">
        <v>10</v>
      </c>
      <c r="J387">
        <v>100</v>
      </c>
      <c r="K387">
        <v>965</v>
      </c>
      <c r="L387">
        <v>1149</v>
      </c>
      <c r="M387">
        <v>1055</v>
      </c>
      <c r="N387">
        <v>1027</v>
      </c>
      <c r="O387">
        <v>987</v>
      </c>
      <c r="P387">
        <v>847</v>
      </c>
      <c r="Q387">
        <v>983</v>
      </c>
      <c r="R387">
        <v>1001</v>
      </c>
      <c r="S387">
        <v>917</v>
      </c>
      <c r="T387">
        <v>1069</v>
      </c>
      <c r="U387">
        <v>980</v>
      </c>
      <c r="V387">
        <v>1135</v>
      </c>
      <c r="W387">
        <v>1032</v>
      </c>
      <c r="X387">
        <v>1010</v>
      </c>
      <c r="Y387">
        <v>982</v>
      </c>
      <c r="Z387">
        <v>892</v>
      </c>
      <c r="AA387">
        <v>958</v>
      </c>
      <c r="AB387">
        <v>1028</v>
      </c>
      <c r="AC387">
        <v>974</v>
      </c>
      <c r="AD387">
        <v>1009</v>
      </c>
      <c r="AE387">
        <v>954</v>
      </c>
      <c r="AF387">
        <v>2</v>
      </c>
      <c r="AG387">
        <v>5</v>
      </c>
      <c r="AH387">
        <v>1</v>
      </c>
      <c r="AI387">
        <v>3</v>
      </c>
      <c r="AJ387">
        <v>0</v>
      </c>
      <c r="AK387">
        <v>10</v>
      </c>
      <c r="AL387">
        <v>2</v>
      </c>
      <c r="AM387">
        <v>0</v>
      </c>
      <c r="AN387">
        <v>3</v>
      </c>
      <c r="AO387">
        <v>0</v>
      </c>
      <c r="AP387">
        <v>1129</v>
      </c>
      <c r="AQ387">
        <v>1</v>
      </c>
      <c r="AR387">
        <v>0</v>
      </c>
      <c r="AS387">
        <v>0</v>
      </c>
      <c r="AT387">
        <v>2</v>
      </c>
      <c r="AU387">
        <v>2</v>
      </c>
      <c r="AV387">
        <v>0</v>
      </c>
      <c r="AW387">
        <v>0</v>
      </c>
      <c r="AX387">
        <v>1</v>
      </c>
      <c r="AY387">
        <v>0</v>
      </c>
      <c r="AZ387">
        <v>2</v>
      </c>
      <c r="BA387">
        <v>1024</v>
      </c>
      <c r="BB387">
        <v>0</v>
      </c>
      <c r="BC387">
        <v>1</v>
      </c>
      <c r="BD387">
        <v>0</v>
      </c>
      <c r="BE387">
        <v>1</v>
      </c>
      <c r="BF387">
        <v>4</v>
      </c>
      <c r="BG387">
        <v>0</v>
      </c>
      <c r="BH387">
        <v>0</v>
      </c>
      <c r="BI387">
        <v>0</v>
      </c>
      <c r="BJ387">
        <v>0</v>
      </c>
      <c r="BK387">
        <v>2</v>
      </c>
      <c r="BL387">
        <v>997</v>
      </c>
      <c r="BM387">
        <v>0</v>
      </c>
      <c r="BN387">
        <v>3</v>
      </c>
      <c r="BO387">
        <v>0</v>
      </c>
      <c r="BP387">
        <v>4</v>
      </c>
      <c r="BQ387">
        <v>0</v>
      </c>
      <c r="BR387">
        <v>4</v>
      </c>
      <c r="BS387">
        <v>0</v>
      </c>
      <c r="BT387">
        <v>0</v>
      </c>
      <c r="BU387">
        <v>0</v>
      </c>
      <c r="BV387">
        <v>0</v>
      </c>
      <c r="BW387">
        <v>973</v>
      </c>
      <c r="BX387">
        <v>0</v>
      </c>
      <c r="BY387">
        <v>1</v>
      </c>
      <c r="BZ387">
        <v>0</v>
      </c>
      <c r="CA387">
        <v>0</v>
      </c>
      <c r="CB387">
        <v>8</v>
      </c>
      <c r="CC387">
        <v>3</v>
      </c>
      <c r="CD387">
        <v>1</v>
      </c>
      <c r="CE387">
        <v>1</v>
      </c>
      <c r="CF387">
        <v>20</v>
      </c>
      <c r="CG387">
        <v>0</v>
      </c>
      <c r="CH387">
        <v>839</v>
      </c>
      <c r="CI387">
        <v>16</v>
      </c>
      <c r="CJ387">
        <v>1</v>
      </c>
      <c r="CK387">
        <v>1</v>
      </c>
      <c r="CL387">
        <v>10</v>
      </c>
      <c r="CM387">
        <v>3</v>
      </c>
      <c r="CN387">
        <v>2</v>
      </c>
      <c r="CO387">
        <v>0</v>
      </c>
      <c r="CP387">
        <v>0</v>
      </c>
      <c r="CQ387">
        <v>0</v>
      </c>
      <c r="CR387">
        <v>1</v>
      </c>
      <c r="CS387">
        <v>951</v>
      </c>
      <c r="CT387">
        <v>0</v>
      </c>
      <c r="CU387">
        <v>0</v>
      </c>
      <c r="CV387">
        <v>1</v>
      </c>
      <c r="CW387">
        <v>1</v>
      </c>
      <c r="CX387">
        <v>9</v>
      </c>
      <c r="CY387">
        <v>15</v>
      </c>
      <c r="CZ387">
        <v>4</v>
      </c>
      <c r="DA387">
        <v>1</v>
      </c>
      <c r="DB387">
        <v>0</v>
      </c>
      <c r="DC387">
        <v>0</v>
      </c>
      <c r="DD387">
        <v>982</v>
      </c>
      <c r="DE387">
        <v>0</v>
      </c>
      <c r="DF387">
        <v>16</v>
      </c>
      <c r="DG387">
        <v>4</v>
      </c>
      <c r="DH387">
        <v>3</v>
      </c>
      <c r="DI387">
        <v>6</v>
      </c>
      <c r="DJ387">
        <v>5</v>
      </c>
      <c r="DK387">
        <v>5</v>
      </c>
      <c r="DL387">
        <v>1</v>
      </c>
      <c r="DM387">
        <v>2</v>
      </c>
      <c r="DN387">
        <v>8</v>
      </c>
      <c r="DO387">
        <v>916</v>
      </c>
      <c r="DP387">
        <v>24</v>
      </c>
      <c r="DQ387">
        <v>0</v>
      </c>
      <c r="DR387">
        <v>1</v>
      </c>
      <c r="DS387">
        <v>1</v>
      </c>
      <c r="DT387">
        <v>0</v>
      </c>
      <c r="DU387">
        <v>4</v>
      </c>
      <c r="DV387">
        <v>1</v>
      </c>
      <c r="DW387">
        <v>0</v>
      </c>
      <c r="DX387">
        <v>0</v>
      </c>
      <c r="DY387">
        <v>0</v>
      </c>
      <c r="DZ387">
        <v>1002</v>
      </c>
      <c r="EA387">
        <v>0.97670000000000001</v>
      </c>
      <c r="EB387">
        <v>0.97736695800545403</v>
      </c>
      <c r="EC387">
        <v>0.97604380215931896</v>
      </c>
      <c r="ED387">
        <v>0.97640982446989699</v>
      </c>
      <c r="EE387">
        <f>SUM(Table1[[#This Row],[ratio_0]:[ratio_9]])</f>
        <v>640</v>
      </c>
      <c r="EF387" s="1">
        <f>(Table1[[#This Row],[predicted_0]]-Table1[[#This Row],[actual_0]])/Table1[[#This Row],[actual_0]]</f>
        <v>-1.5306122448979591E-2</v>
      </c>
      <c r="EG387" s="1">
        <f>(Table1[[#This Row],[predicted_1]]-Table1[[#This Row],[actual_1]])/Table1[[#This Row],[actual_1]]</f>
        <v>1.2334801762114538E-2</v>
      </c>
      <c r="EH387" s="1">
        <f>(Table1[[#This Row],[predicted_2]]-Table1[[#This Row],[actual_2]])/Table1[[#This Row],[actual_2]]</f>
        <v>2.2286821705426358E-2</v>
      </c>
      <c r="EI387" s="1">
        <f>(Table1[[#This Row],[predicted_3]]-Table1[[#This Row],[actual_3]])/Table1[[#This Row],[actual_3]]</f>
        <v>1.6831683168316833E-2</v>
      </c>
      <c r="EJ387" s="1">
        <f>(Table1[[#This Row],[predicted_4]]-Table1[[#This Row],[actual_4]])/Table1[[#This Row],[actual_4]]</f>
        <v>5.0916496945010185E-3</v>
      </c>
      <c r="EK387" s="1">
        <f>(Table1[[#This Row],[predicted_5]]-Table1[[#This Row],[actual_5]])/Table1[[#This Row],[actual_5]]</f>
        <v>-5.0448430493273543E-2</v>
      </c>
      <c r="EL387" s="1">
        <f>(Table1[[#This Row],[predicted_6]]-Table1[[#This Row],[actual_6]])/Table1[[#This Row],[actual_6]]</f>
        <v>2.6096033402922755E-2</v>
      </c>
      <c r="EM387" s="1">
        <f>(Table1[[#This Row],[predicted_7]]-Table1[[#This Row],[actual_7]])/Table1[[#This Row],[actual_7]]</f>
        <v>-2.6264591439688716E-2</v>
      </c>
      <c r="EN387" s="1">
        <f>(Table1[[#This Row],[predicted_8]]-Table1[[#This Row],[actual_8]])/Table1[[#This Row],[actual_8]]</f>
        <v>-5.8521560574948665E-2</v>
      </c>
      <c r="EO387" s="1">
        <f>(Table1[[#This Row],[predicted_9]]-Table1[[#This Row],[actual_9]])/Table1[[#This Row],[actual_9]]</f>
        <v>5.9464816650148661E-2</v>
      </c>
      <c r="EP387" s="1">
        <f>1+(Table1[[#This Row],[error_ratio_0]]-EF$2)</f>
        <v>0.98265306122448981</v>
      </c>
      <c r="EQ387" s="1">
        <f>1+(Table1[[#This Row],[error_ratio_1]]-EG$2)</f>
        <v>1.0105726872246696</v>
      </c>
      <c r="ER387" s="1">
        <f>1+(Table1[[#This Row],[error_ratio_2]]-EH$2)</f>
        <v>1.0271317829457365</v>
      </c>
      <c r="ES387" s="1">
        <f>1+(Table1[[#This Row],[error_ratio_3]]-EI$2)</f>
        <v>1.0069306930693069</v>
      </c>
      <c r="ET387" s="1">
        <f>1+(Table1[[#This Row],[error_ratio_4]]-EJ$2)</f>
        <v>1.0040733197556009</v>
      </c>
      <c r="EU387" s="1">
        <f>1+(Table1[[#This Row],[error_ratio_5]]-EK$2)</f>
        <v>0.94843049327354256</v>
      </c>
      <c r="EV387" s="1">
        <f>1+(Table1[[#This Row],[error_ratio_6]]-EL$2)</f>
        <v>1.0323590814196242</v>
      </c>
      <c r="EW387" s="1">
        <f>1+(Table1[[#This Row],[error_ratio_7]]-EM$2)</f>
        <v>0.97178988326848248</v>
      </c>
      <c r="EX387" s="1">
        <f>1+(Table1[[#This Row],[error_ratio_8]]-EN$2)</f>
        <v>0.94455852156057496</v>
      </c>
      <c r="EY387" s="1">
        <f>1+(Table1[[#This Row],[error_ratio_9]]-EO$2)</f>
        <v>1.0634291377601586</v>
      </c>
    </row>
    <row r="388" spans="1:155" x14ac:dyDescent="0.75">
      <c r="A388">
        <v>100</v>
      </c>
      <c r="B388">
        <v>10</v>
      </c>
      <c r="C388">
        <v>100</v>
      </c>
      <c r="D388">
        <v>100</v>
      </c>
      <c r="E388">
        <v>100</v>
      </c>
      <c r="F388">
        <v>10</v>
      </c>
      <c r="G388">
        <v>100</v>
      </c>
      <c r="H388">
        <v>10</v>
      </c>
      <c r="I388">
        <v>10</v>
      </c>
      <c r="J388">
        <v>100</v>
      </c>
      <c r="K388">
        <v>1005</v>
      </c>
      <c r="L388">
        <v>1139</v>
      </c>
      <c r="M388">
        <v>1063</v>
      </c>
      <c r="N388">
        <v>1030</v>
      </c>
      <c r="O388">
        <v>1010</v>
      </c>
      <c r="P388">
        <v>804</v>
      </c>
      <c r="Q388">
        <v>1044</v>
      </c>
      <c r="R388">
        <v>1000</v>
      </c>
      <c r="S388">
        <v>888</v>
      </c>
      <c r="T388">
        <v>1017</v>
      </c>
      <c r="U388">
        <v>980</v>
      </c>
      <c r="V388">
        <v>1135</v>
      </c>
      <c r="W388">
        <v>1032</v>
      </c>
      <c r="X388">
        <v>1010</v>
      </c>
      <c r="Y388">
        <v>982</v>
      </c>
      <c r="Z388">
        <v>892</v>
      </c>
      <c r="AA388">
        <v>958</v>
      </c>
      <c r="AB388">
        <v>1028</v>
      </c>
      <c r="AC388">
        <v>974</v>
      </c>
      <c r="AD388">
        <v>1009</v>
      </c>
      <c r="AE388">
        <v>973</v>
      </c>
      <c r="AF388">
        <v>0</v>
      </c>
      <c r="AG388">
        <v>0</v>
      </c>
      <c r="AH388">
        <v>0</v>
      </c>
      <c r="AI388">
        <v>0</v>
      </c>
      <c r="AJ388">
        <v>0</v>
      </c>
      <c r="AK388">
        <v>3</v>
      </c>
      <c r="AL388">
        <v>2</v>
      </c>
      <c r="AM388">
        <v>0</v>
      </c>
      <c r="AN388">
        <v>2</v>
      </c>
      <c r="AO388">
        <v>0</v>
      </c>
      <c r="AP388">
        <v>1121</v>
      </c>
      <c r="AQ388">
        <v>6</v>
      </c>
      <c r="AR388">
        <v>0</v>
      </c>
      <c r="AS388">
        <v>2</v>
      </c>
      <c r="AT388">
        <v>2</v>
      </c>
      <c r="AU388">
        <v>4</v>
      </c>
      <c r="AV388">
        <v>0</v>
      </c>
      <c r="AW388">
        <v>0</v>
      </c>
      <c r="AX388">
        <v>0</v>
      </c>
      <c r="AY388">
        <v>2</v>
      </c>
      <c r="AZ388">
        <v>0</v>
      </c>
      <c r="BA388">
        <v>1022</v>
      </c>
      <c r="BB388">
        <v>0</v>
      </c>
      <c r="BC388">
        <v>3</v>
      </c>
      <c r="BD388">
        <v>0</v>
      </c>
      <c r="BE388">
        <v>1</v>
      </c>
      <c r="BF388">
        <v>4</v>
      </c>
      <c r="BG388">
        <v>0</v>
      </c>
      <c r="BH388">
        <v>0</v>
      </c>
      <c r="BI388">
        <v>1</v>
      </c>
      <c r="BJ388">
        <v>0</v>
      </c>
      <c r="BK388">
        <v>3</v>
      </c>
      <c r="BL388">
        <v>999</v>
      </c>
      <c r="BM388">
        <v>0</v>
      </c>
      <c r="BN388">
        <v>3</v>
      </c>
      <c r="BO388">
        <v>0</v>
      </c>
      <c r="BP388">
        <v>3</v>
      </c>
      <c r="BQ388">
        <v>0</v>
      </c>
      <c r="BR388">
        <v>1</v>
      </c>
      <c r="BS388">
        <v>0</v>
      </c>
      <c r="BT388">
        <v>0</v>
      </c>
      <c r="BU388">
        <v>0</v>
      </c>
      <c r="BV388">
        <v>0</v>
      </c>
      <c r="BW388">
        <v>976</v>
      </c>
      <c r="BX388">
        <v>0</v>
      </c>
      <c r="BY388">
        <v>4</v>
      </c>
      <c r="BZ388">
        <v>0</v>
      </c>
      <c r="CA388">
        <v>0</v>
      </c>
      <c r="CB388">
        <v>2</v>
      </c>
      <c r="CC388">
        <v>4</v>
      </c>
      <c r="CD388">
        <v>0</v>
      </c>
      <c r="CE388">
        <v>1</v>
      </c>
      <c r="CF388">
        <v>19</v>
      </c>
      <c r="CG388">
        <v>0</v>
      </c>
      <c r="CH388">
        <v>798</v>
      </c>
      <c r="CI388">
        <v>38</v>
      </c>
      <c r="CJ388">
        <v>2</v>
      </c>
      <c r="CK388">
        <v>14</v>
      </c>
      <c r="CL388">
        <v>16</v>
      </c>
      <c r="CM388">
        <v>3</v>
      </c>
      <c r="CN388">
        <v>2</v>
      </c>
      <c r="CO388">
        <v>0</v>
      </c>
      <c r="CP388">
        <v>0</v>
      </c>
      <c r="CQ388">
        <v>1</v>
      </c>
      <c r="CR388">
        <v>1</v>
      </c>
      <c r="CS388">
        <v>951</v>
      </c>
      <c r="CT388">
        <v>0</v>
      </c>
      <c r="CU388">
        <v>0</v>
      </c>
      <c r="CV388">
        <v>0</v>
      </c>
      <c r="CW388">
        <v>1</v>
      </c>
      <c r="CX388">
        <v>6</v>
      </c>
      <c r="CY388">
        <v>21</v>
      </c>
      <c r="CZ388">
        <v>3</v>
      </c>
      <c r="DA388">
        <v>8</v>
      </c>
      <c r="DB388">
        <v>0</v>
      </c>
      <c r="DC388">
        <v>1</v>
      </c>
      <c r="DD388">
        <v>978</v>
      </c>
      <c r="DE388">
        <v>1</v>
      </c>
      <c r="DF388">
        <v>9</v>
      </c>
      <c r="DG388">
        <v>20</v>
      </c>
      <c r="DH388">
        <v>6</v>
      </c>
      <c r="DI388">
        <v>9</v>
      </c>
      <c r="DJ388">
        <v>8</v>
      </c>
      <c r="DK388">
        <v>7</v>
      </c>
      <c r="DL388">
        <v>0</v>
      </c>
      <c r="DM388">
        <v>42</v>
      </c>
      <c r="DN388">
        <v>4</v>
      </c>
      <c r="DO388">
        <v>873</v>
      </c>
      <c r="DP388">
        <v>5</v>
      </c>
      <c r="DQ388">
        <v>1</v>
      </c>
      <c r="DR388">
        <v>4</v>
      </c>
      <c r="DS388">
        <v>1</v>
      </c>
      <c r="DT388">
        <v>1</v>
      </c>
      <c r="DU388">
        <v>13</v>
      </c>
      <c r="DV388">
        <v>0</v>
      </c>
      <c r="DW388">
        <v>0</v>
      </c>
      <c r="DX388">
        <v>7</v>
      </c>
      <c r="DY388">
        <v>0</v>
      </c>
      <c r="DZ388">
        <v>982</v>
      </c>
      <c r="EA388">
        <v>0.96730000000000005</v>
      </c>
      <c r="EB388">
        <v>0.96801753451903605</v>
      </c>
      <c r="EC388">
        <v>0.96620498962490797</v>
      </c>
      <c r="ED388">
        <v>0.96639522451264404</v>
      </c>
      <c r="EE388">
        <f>SUM(Table1[[#This Row],[ratio_0]:[ratio_9]])</f>
        <v>640</v>
      </c>
      <c r="EF388" s="1">
        <f>(Table1[[#This Row],[predicted_0]]-Table1[[#This Row],[actual_0]])/Table1[[#This Row],[actual_0]]</f>
        <v>2.5510204081632654E-2</v>
      </c>
      <c r="EG388" s="1">
        <f>(Table1[[#This Row],[predicted_1]]-Table1[[#This Row],[actual_1]])/Table1[[#This Row],[actual_1]]</f>
        <v>3.524229074889868E-3</v>
      </c>
      <c r="EH388" s="1">
        <f>(Table1[[#This Row],[predicted_2]]-Table1[[#This Row],[actual_2]])/Table1[[#This Row],[actual_2]]</f>
        <v>3.0038759689922482E-2</v>
      </c>
      <c r="EI388" s="1">
        <f>(Table1[[#This Row],[predicted_3]]-Table1[[#This Row],[actual_3]])/Table1[[#This Row],[actual_3]]</f>
        <v>1.9801980198019802E-2</v>
      </c>
      <c r="EJ388" s="1">
        <f>(Table1[[#This Row],[predicted_4]]-Table1[[#This Row],[actual_4]])/Table1[[#This Row],[actual_4]]</f>
        <v>2.8513238289205704E-2</v>
      </c>
      <c r="EK388" s="1">
        <f>(Table1[[#This Row],[predicted_5]]-Table1[[#This Row],[actual_5]])/Table1[[#This Row],[actual_5]]</f>
        <v>-9.8654708520179366E-2</v>
      </c>
      <c r="EL388" s="1">
        <f>(Table1[[#This Row],[predicted_6]]-Table1[[#This Row],[actual_6]])/Table1[[#This Row],[actual_6]]</f>
        <v>8.9770354906054284E-2</v>
      </c>
      <c r="EM388" s="1">
        <f>(Table1[[#This Row],[predicted_7]]-Table1[[#This Row],[actual_7]])/Table1[[#This Row],[actual_7]]</f>
        <v>-2.7237354085603113E-2</v>
      </c>
      <c r="EN388" s="1">
        <f>(Table1[[#This Row],[predicted_8]]-Table1[[#This Row],[actual_8]])/Table1[[#This Row],[actual_8]]</f>
        <v>-8.8295687885010271E-2</v>
      </c>
      <c r="EO388" s="1">
        <f>(Table1[[#This Row],[predicted_9]]-Table1[[#This Row],[actual_9]])/Table1[[#This Row],[actual_9]]</f>
        <v>7.9286422200198214E-3</v>
      </c>
      <c r="EP388" s="1">
        <f>1+(Table1[[#This Row],[error_ratio_0]]-EF$2)</f>
        <v>1.023469387755102</v>
      </c>
      <c r="EQ388" s="1">
        <f>1+(Table1[[#This Row],[error_ratio_1]]-EG$2)</f>
        <v>1.0017621145374449</v>
      </c>
      <c r="ER388" s="1">
        <f>1+(Table1[[#This Row],[error_ratio_2]]-EH$2)</f>
        <v>1.0348837209302326</v>
      </c>
      <c r="ES388" s="1">
        <f>1+(Table1[[#This Row],[error_ratio_3]]-EI$2)</f>
        <v>1.0099009900990099</v>
      </c>
      <c r="ET388" s="1">
        <f>1+(Table1[[#This Row],[error_ratio_4]]-EJ$2)</f>
        <v>1.0274949083503055</v>
      </c>
      <c r="EU388" s="1">
        <f>1+(Table1[[#This Row],[error_ratio_5]]-EK$2)</f>
        <v>0.90022421524663676</v>
      </c>
      <c r="EV388" s="1">
        <f>1+(Table1[[#This Row],[error_ratio_6]]-EL$2)</f>
        <v>1.0960334029227559</v>
      </c>
      <c r="EW388" s="1">
        <f>1+(Table1[[#This Row],[error_ratio_7]]-EM$2)</f>
        <v>0.97081712062256809</v>
      </c>
      <c r="EX388" s="1">
        <f>1+(Table1[[#This Row],[error_ratio_8]]-EN$2)</f>
        <v>0.91478439425051339</v>
      </c>
      <c r="EY388" s="1">
        <f>1+(Table1[[#This Row],[error_ratio_9]]-EO$2)</f>
        <v>1.0118929633300298</v>
      </c>
    </row>
    <row r="389" spans="1:155" x14ac:dyDescent="0.75">
      <c r="A389">
        <v>10</v>
      </c>
      <c r="B389">
        <v>10</v>
      </c>
      <c r="C389">
        <v>100</v>
      </c>
      <c r="D389">
        <v>100</v>
      </c>
      <c r="E389">
        <v>100</v>
      </c>
      <c r="F389">
        <v>10</v>
      </c>
      <c r="G389">
        <v>100</v>
      </c>
      <c r="H389">
        <v>10</v>
      </c>
      <c r="I389">
        <v>10</v>
      </c>
      <c r="J389">
        <v>100</v>
      </c>
      <c r="K389">
        <v>834</v>
      </c>
      <c r="L389">
        <v>1153</v>
      </c>
      <c r="M389">
        <v>1128</v>
      </c>
      <c r="N389">
        <v>1116</v>
      </c>
      <c r="O389">
        <v>952</v>
      </c>
      <c r="P389">
        <v>821</v>
      </c>
      <c r="Q389">
        <v>1132</v>
      </c>
      <c r="R389">
        <v>912</v>
      </c>
      <c r="S389">
        <v>891</v>
      </c>
      <c r="T389">
        <v>1061</v>
      </c>
      <c r="U389">
        <v>980</v>
      </c>
      <c r="V389">
        <v>1135</v>
      </c>
      <c r="W389">
        <v>1032</v>
      </c>
      <c r="X389">
        <v>1010</v>
      </c>
      <c r="Y389">
        <v>982</v>
      </c>
      <c r="Z389">
        <v>892</v>
      </c>
      <c r="AA389">
        <v>958</v>
      </c>
      <c r="AB389">
        <v>1028</v>
      </c>
      <c r="AC389">
        <v>974</v>
      </c>
      <c r="AD389">
        <v>1009</v>
      </c>
      <c r="AE389">
        <v>831</v>
      </c>
      <c r="AF389">
        <v>0</v>
      </c>
      <c r="AG389">
        <v>6</v>
      </c>
      <c r="AH389">
        <v>4</v>
      </c>
      <c r="AI389">
        <v>0</v>
      </c>
      <c r="AJ389">
        <v>2</v>
      </c>
      <c r="AK389">
        <v>127</v>
      </c>
      <c r="AL389">
        <v>1</v>
      </c>
      <c r="AM389">
        <v>2</v>
      </c>
      <c r="AN389">
        <v>7</v>
      </c>
      <c r="AO389">
        <v>0</v>
      </c>
      <c r="AP389">
        <v>1126</v>
      </c>
      <c r="AQ389">
        <v>1</v>
      </c>
      <c r="AR389">
        <v>5</v>
      </c>
      <c r="AS389">
        <v>0</v>
      </c>
      <c r="AT389">
        <v>1</v>
      </c>
      <c r="AU389">
        <v>2</v>
      </c>
      <c r="AV389">
        <v>0</v>
      </c>
      <c r="AW389">
        <v>0</v>
      </c>
      <c r="AX389">
        <v>0</v>
      </c>
      <c r="AY389">
        <v>1</v>
      </c>
      <c r="AZ389">
        <v>3</v>
      </c>
      <c r="BA389">
        <v>1024</v>
      </c>
      <c r="BB389">
        <v>1</v>
      </c>
      <c r="BC389">
        <v>0</v>
      </c>
      <c r="BD389">
        <v>0</v>
      </c>
      <c r="BE389">
        <v>0</v>
      </c>
      <c r="BF389">
        <v>2</v>
      </c>
      <c r="BG389">
        <v>1</v>
      </c>
      <c r="BH389">
        <v>0</v>
      </c>
      <c r="BI389">
        <v>0</v>
      </c>
      <c r="BJ389">
        <v>0</v>
      </c>
      <c r="BK389">
        <v>3</v>
      </c>
      <c r="BL389">
        <v>1005</v>
      </c>
      <c r="BM389">
        <v>0</v>
      </c>
      <c r="BN389">
        <v>0</v>
      </c>
      <c r="BO389">
        <v>0</v>
      </c>
      <c r="BP389">
        <v>0</v>
      </c>
      <c r="BQ389">
        <v>0</v>
      </c>
      <c r="BR389">
        <v>2</v>
      </c>
      <c r="BS389">
        <v>0</v>
      </c>
      <c r="BT389">
        <v>6</v>
      </c>
      <c r="BU389">
        <v>2</v>
      </c>
      <c r="BV389">
        <v>0</v>
      </c>
      <c r="BW389">
        <v>944</v>
      </c>
      <c r="BX389">
        <v>0</v>
      </c>
      <c r="BY389">
        <v>7</v>
      </c>
      <c r="BZ389">
        <v>0</v>
      </c>
      <c r="CA389">
        <v>2</v>
      </c>
      <c r="CB389">
        <v>21</v>
      </c>
      <c r="CC389">
        <v>0</v>
      </c>
      <c r="CD389">
        <v>0</v>
      </c>
      <c r="CE389">
        <v>1</v>
      </c>
      <c r="CF389">
        <v>54</v>
      </c>
      <c r="CG389">
        <v>0</v>
      </c>
      <c r="CH389">
        <v>815</v>
      </c>
      <c r="CI389">
        <v>14</v>
      </c>
      <c r="CJ389">
        <v>1</v>
      </c>
      <c r="CK389">
        <v>1</v>
      </c>
      <c r="CL389">
        <v>6</v>
      </c>
      <c r="CM389">
        <v>0</v>
      </c>
      <c r="CN389">
        <v>1</v>
      </c>
      <c r="CO389">
        <v>0</v>
      </c>
      <c r="CP389">
        <v>0</v>
      </c>
      <c r="CQ389">
        <v>1</v>
      </c>
      <c r="CR389">
        <v>1</v>
      </c>
      <c r="CS389">
        <v>955</v>
      </c>
      <c r="CT389">
        <v>0</v>
      </c>
      <c r="CU389">
        <v>0</v>
      </c>
      <c r="CV389">
        <v>0</v>
      </c>
      <c r="CW389">
        <v>2</v>
      </c>
      <c r="CX389">
        <v>12</v>
      </c>
      <c r="CY389">
        <v>66</v>
      </c>
      <c r="CZ389">
        <v>14</v>
      </c>
      <c r="DA389">
        <v>5</v>
      </c>
      <c r="DB389">
        <v>0</v>
      </c>
      <c r="DC389">
        <v>0</v>
      </c>
      <c r="DD389">
        <v>905</v>
      </c>
      <c r="DE389">
        <v>2</v>
      </c>
      <c r="DF389">
        <v>22</v>
      </c>
      <c r="DG389">
        <v>0</v>
      </c>
      <c r="DH389">
        <v>0</v>
      </c>
      <c r="DI389">
        <v>24</v>
      </c>
      <c r="DJ389">
        <v>28</v>
      </c>
      <c r="DK389">
        <v>1</v>
      </c>
      <c r="DL389">
        <v>1</v>
      </c>
      <c r="DM389">
        <v>25</v>
      </c>
      <c r="DN389">
        <v>2</v>
      </c>
      <c r="DO389">
        <v>882</v>
      </c>
      <c r="DP389">
        <v>11</v>
      </c>
      <c r="DQ389">
        <v>0</v>
      </c>
      <c r="DR389">
        <v>5</v>
      </c>
      <c r="DS389">
        <v>1</v>
      </c>
      <c r="DT389">
        <v>5</v>
      </c>
      <c r="DU389">
        <v>1</v>
      </c>
      <c r="DV389">
        <v>1</v>
      </c>
      <c r="DW389">
        <v>2</v>
      </c>
      <c r="DX389">
        <v>1</v>
      </c>
      <c r="DY389">
        <v>1</v>
      </c>
      <c r="DZ389">
        <v>992</v>
      </c>
      <c r="EA389">
        <v>0.94789999999999996</v>
      </c>
      <c r="EB389">
        <v>0.95264433753556699</v>
      </c>
      <c r="EC389">
        <v>0.94682222812581696</v>
      </c>
      <c r="ED389">
        <v>0.94729845912844302</v>
      </c>
      <c r="EE389">
        <f>SUM(Table1[[#This Row],[ratio_0]:[ratio_9]])</f>
        <v>550</v>
      </c>
      <c r="EF389" s="1">
        <f>(Table1[[#This Row],[predicted_0]]-Table1[[#This Row],[actual_0]])/Table1[[#This Row],[actual_0]]</f>
        <v>-0.1489795918367347</v>
      </c>
      <c r="EG389" s="1">
        <f>(Table1[[#This Row],[predicted_1]]-Table1[[#This Row],[actual_1]])/Table1[[#This Row],[actual_1]]</f>
        <v>1.5859030837004406E-2</v>
      </c>
      <c r="EH389" s="1">
        <f>(Table1[[#This Row],[predicted_2]]-Table1[[#This Row],[actual_2]])/Table1[[#This Row],[actual_2]]</f>
        <v>9.3023255813953487E-2</v>
      </c>
      <c r="EI389" s="1">
        <f>(Table1[[#This Row],[predicted_3]]-Table1[[#This Row],[actual_3]])/Table1[[#This Row],[actual_3]]</f>
        <v>0.10495049504950495</v>
      </c>
      <c r="EJ389" s="1">
        <f>(Table1[[#This Row],[predicted_4]]-Table1[[#This Row],[actual_4]])/Table1[[#This Row],[actual_4]]</f>
        <v>-3.0549898167006109E-2</v>
      </c>
      <c r="EK389" s="1">
        <f>(Table1[[#This Row],[predicted_5]]-Table1[[#This Row],[actual_5]])/Table1[[#This Row],[actual_5]]</f>
        <v>-7.9596412556053805E-2</v>
      </c>
      <c r="EL389" s="1">
        <f>(Table1[[#This Row],[predicted_6]]-Table1[[#This Row],[actual_6]])/Table1[[#This Row],[actual_6]]</f>
        <v>0.18162839248434237</v>
      </c>
      <c r="EM389" s="1">
        <f>(Table1[[#This Row],[predicted_7]]-Table1[[#This Row],[actual_7]])/Table1[[#This Row],[actual_7]]</f>
        <v>-0.11284046692607004</v>
      </c>
      <c r="EN389" s="1">
        <f>(Table1[[#This Row],[predicted_8]]-Table1[[#This Row],[actual_8]])/Table1[[#This Row],[actual_8]]</f>
        <v>-8.5215605749486653E-2</v>
      </c>
      <c r="EO389" s="1">
        <f>(Table1[[#This Row],[predicted_9]]-Table1[[#This Row],[actual_9]])/Table1[[#This Row],[actual_9]]</f>
        <v>5.1536174430128839E-2</v>
      </c>
      <c r="EP389" s="1">
        <f>1+(Table1[[#This Row],[error_ratio_0]]-EF$2)</f>
        <v>0.84897959183673466</v>
      </c>
      <c r="EQ389" s="1">
        <f>1+(Table1[[#This Row],[error_ratio_1]]-EG$2)</f>
        <v>1.0140969162995594</v>
      </c>
      <c r="ER389" s="1">
        <f>1+(Table1[[#This Row],[error_ratio_2]]-EH$2)</f>
        <v>1.0978682170542635</v>
      </c>
      <c r="ES389" s="1">
        <f>1+(Table1[[#This Row],[error_ratio_3]]-EI$2)</f>
        <v>1.0950495049504951</v>
      </c>
      <c r="ET389" s="1">
        <f>1+(Table1[[#This Row],[error_ratio_4]]-EJ$2)</f>
        <v>0.96843177189409368</v>
      </c>
      <c r="EU389" s="1">
        <f>1+(Table1[[#This Row],[error_ratio_5]]-EK$2)</f>
        <v>0.91928251121076232</v>
      </c>
      <c r="EV389" s="1">
        <f>1+(Table1[[#This Row],[error_ratio_6]]-EL$2)</f>
        <v>1.1878914405010439</v>
      </c>
      <c r="EW389" s="1">
        <f>1+(Table1[[#This Row],[error_ratio_7]]-EM$2)</f>
        <v>0.88521400778210113</v>
      </c>
      <c r="EX389" s="1">
        <f>1+(Table1[[#This Row],[error_ratio_8]]-EN$2)</f>
        <v>0.91786447638603696</v>
      </c>
      <c r="EY389" s="1">
        <f>1+(Table1[[#This Row],[error_ratio_9]]-EO$2)</f>
        <v>1.0555004955401388</v>
      </c>
    </row>
    <row r="390" spans="1:155" x14ac:dyDescent="0.75">
      <c r="A390">
        <v>100</v>
      </c>
      <c r="B390">
        <v>100</v>
      </c>
      <c r="C390">
        <v>10</v>
      </c>
      <c r="D390">
        <v>100</v>
      </c>
      <c r="E390">
        <v>100</v>
      </c>
      <c r="F390">
        <v>10</v>
      </c>
      <c r="G390">
        <v>100</v>
      </c>
      <c r="H390">
        <v>10</v>
      </c>
      <c r="I390">
        <v>10</v>
      </c>
      <c r="J390">
        <v>100</v>
      </c>
      <c r="K390">
        <v>985</v>
      </c>
      <c r="L390">
        <v>1175</v>
      </c>
      <c r="M390">
        <v>933</v>
      </c>
      <c r="N390">
        <v>1179</v>
      </c>
      <c r="O390">
        <v>1037</v>
      </c>
      <c r="P390">
        <v>809</v>
      </c>
      <c r="Q390">
        <v>991</v>
      </c>
      <c r="R390">
        <v>894</v>
      </c>
      <c r="S390">
        <v>900</v>
      </c>
      <c r="T390">
        <v>1097</v>
      </c>
      <c r="U390">
        <v>980</v>
      </c>
      <c r="V390">
        <v>1135</v>
      </c>
      <c r="W390">
        <v>1032</v>
      </c>
      <c r="X390">
        <v>1010</v>
      </c>
      <c r="Y390">
        <v>982</v>
      </c>
      <c r="Z390">
        <v>892</v>
      </c>
      <c r="AA390">
        <v>958</v>
      </c>
      <c r="AB390">
        <v>1028</v>
      </c>
      <c r="AC390">
        <v>974</v>
      </c>
      <c r="AD390">
        <v>1009</v>
      </c>
      <c r="AE390">
        <v>967</v>
      </c>
      <c r="AF390">
        <v>0</v>
      </c>
      <c r="AG390">
        <v>0</v>
      </c>
      <c r="AH390">
        <v>1</v>
      </c>
      <c r="AI390">
        <v>1</v>
      </c>
      <c r="AJ390">
        <v>0</v>
      </c>
      <c r="AK390">
        <v>8</v>
      </c>
      <c r="AL390">
        <v>0</v>
      </c>
      <c r="AM390">
        <v>0</v>
      </c>
      <c r="AN390">
        <v>3</v>
      </c>
      <c r="AO390">
        <v>0</v>
      </c>
      <c r="AP390">
        <v>1131</v>
      </c>
      <c r="AQ390">
        <v>0</v>
      </c>
      <c r="AR390">
        <v>2</v>
      </c>
      <c r="AS390">
        <v>1</v>
      </c>
      <c r="AT390">
        <v>0</v>
      </c>
      <c r="AU390">
        <v>1</v>
      </c>
      <c r="AV390">
        <v>0</v>
      </c>
      <c r="AW390">
        <v>0</v>
      </c>
      <c r="AX390">
        <v>0</v>
      </c>
      <c r="AY390">
        <v>3</v>
      </c>
      <c r="AZ390">
        <v>21</v>
      </c>
      <c r="BA390">
        <v>920</v>
      </c>
      <c r="BB390">
        <v>53</v>
      </c>
      <c r="BC390">
        <v>17</v>
      </c>
      <c r="BD390">
        <v>1</v>
      </c>
      <c r="BE390">
        <v>2</v>
      </c>
      <c r="BF390">
        <v>5</v>
      </c>
      <c r="BG390">
        <v>5</v>
      </c>
      <c r="BH390">
        <v>5</v>
      </c>
      <c r="BI390">
        <v>0</v>
      </c>
      <c r="BJ390">
        <v>0</v>
      </c>
      <c r="BK390">
        <v>0</v>
      </c>
      <c r="BL390">
        <v>1007</v>
      </c>
      <c r="BM390">
        <v>0</v>
      </c>
      <c r="BN390">
        <v>0</v>
      </c>
      <c r="BO390">
        <v>0</v>
      </c>
      <c r="BP390">
        <v>1</v>
      </c>
      <c r="BQ390">
        <v>0</v>
      </c>
      <c r="BR390">
        <v>2</v>
      </c>
      <c r="BS390">
        <v>0</v>
      </c>
      <c r="BT390">
        <v>0</v>
      </c>
      <c r="BU390">
        <v>0</v>
      </c>
      <c r="BV390">
        <v>0</v>
      </c>
      <c r="BW390">
        <v>981</v>
      </c>
      <c r="BX390">
        <v>0</v>
      </c>
      <c r="BY390">
        <v>0</v>
      </c>
      <c r="BZ390">
        <v>0</v>
      </c>
      <c r="CA390">
        <v>0</v>
      </c>
      <c r="CB390">
        <v>1</v>
      </c>
      <c r="CC390">
        <v>3</v>
      </c>
      <c r="CD390">
        <v>0</v>
      </c>
      <c r="CE390">
        <v>1</v>
      </c>
      <c r="CF390">
        <v>41</v>
      </c>
      <c r="CG390">
        <v>1</v>
      </c>
      <c r="CH390">
        <v>807</v>
      </c>
      <c r="CI390">
        <v>17</v>
      </c>
      <c r="CJ390">
        <v>0</v>
      </c>
      <c r="CK390">
        <v>4</v>
      </c>
      <c r="CL390">
        <v>18</v>
      </c>
      <c r="CM390">
        <v>1</v>
      </c>
      <c r="CN390">
        <v>2</v>
      </c>
      <c r="CO390">
        <v>0</v>
      </c>
      <c r="CP390">
        <v>0</v>
      </c>
      <c r="CQ390">
        <v>5</v>
      </c>
      <c r="CR390">
        <v>1</v>
      </c>
      <c r="CS390">
        <v>949</v>
      </c>
      <c r="CT390">
        <v>0</v>
      </c>
      <c r="CU390">
        <v>0</v>
      </c>
      <c r="CV390">
        <v>0</v>
      </c>
      <c r="CW390">
        <v>1</v>
      </c>
      <c r="CX390">
        <v>18</v>
      </c>
      <c r="CY390">
        <v>11</v>
      </c>
      <c r="CZ390">
        <v>41</v>
      </c>
      <c r="DA390">
        <v>12</v>
      </c>
      <c r="DB390">
        <v>0</v>
      </c>
      <c r="DC390">
        <v>0</v>
      </c>
      <c r="DD390">
        <v>886</v>
      </c>
      <c r="DE390">
        <v>1</v>
      </c>
      <c r="DF390">
        <v>58</v>
      </c>
      <c r="DG390">
        <v>9</v>
      </c>
      <c r="DH390">
        <v>1</v>
      </c>
      <c r="DI390">
        <v>1</v>
      </c>
      <c r="DJ390">
        <v>32</v>
      </c>
      <c r="DK390">
        <v>8</v>
      </c>
      <c r="DL390">
        <v>0</v>
      </c>
      <c r="DM390">
        <v>14</v>
      </c>
      <c r="DN390">
        <v>2</v>
      </c>
      <c r="DO390">
        <v>890</v>
      </c>
      <c r="DP390">
        <v>17</v>
      </c>
      <c r="DQ390">
        <v>1</v>
      </c>
      <c r="DR390">
        <v>2</v>
      </c>
      <c r="DS390">
        <v>0</v>
      </c>
      <c r="DT390">
        <v>2</v>
      </c>
      <c r="DU390">
        <v>11</v>
      </c>
      <c r="DV390">
        <v>0</v>
      </c>
      <c r="DW390">
        <v>0</v>
      </c>
      <c r="DX390">
        <v>0</v>
      </c>
      <c r="DY390">
        <v>0</v>
      </c>
      <c r="DZ390">
        <v>993</v>
      </c>
      <c r="EA390">
        <v>0.95309999999999995</v>
      </c>
      <c r="EB390">
        <v>0.95707399704250096</v>
      </c>
      <c r="EC390">
        <v>0.95257767742508803</v>
      </c>
      <c r="ED390">
        <v>0.95291569912988305</v>
      </c>
      <c r="EE390">
        <f>SUM(Table1[[#This Row],[ratio_0]:[ratio_9]])</f>
        <v>640</v>
      </c>
      <c r="EF390" s="1">
        <f>(Table1[[#This Row],[predicted_0]]-Table1[[#This Row],[actual_0]])/Table1[[#This Row],[actual_0]]</f>
        <v>5.1020408163265302E-3</v>
      </c>
      <c r="EG390" s="1">
        <f>(Table1[[#This Row],[predicted_1]]-Table1[[#This Row],[actual_1]])/Table1[[#This Row],[actual_1]]</f>
        <v>3.5242290748898682E-2</v>
      </c>
      <c r="EH390" s="1">
        <f>(Table1[[#This Row],[predicted_2]]-Table1[[#This Row],[actual_2]])/Table1[[#This Row],[actual_2]]</f>
        <v>-9.5930232558139539E-2</v>
      </c>
      <c r="EI390" s="1">
        <f>(Table1[[#This Row],[predicted_3]]-Table1[[#This Row],[actual_3]])/Table1[[#This Row],[actual_3]]</f>
        <v>0.16732673267326734</v>
      </c>
      <c r="EJ390" s="1">
        <f>(Table1[[#This Row],[predicted_4]]-Table1[[#This Row],[actual_4]])/Table1[[#This Row],[actual_4]]</f>
        <v>5.6008146639511203E-2</v>
      </c>
      <c r="EK390" s="1">
        <f>(Table1[[#This Row],[predicted_5]]-Table1[[#This Row],[actual_5]])/Table1[[#This Row],[actual_5]]</f>
        <v>-9.3049327354260095E-2</v>
      </c>
      <c r="EL390" s="1">
        <f>(Table1[[#This Row],[predicted_6]]-Table1[[#This Row],[actual_6]])/Table1[[#This Row],[actual_6]]</f>
        <v>3.444676409185804E-2</v>
      </c>
      <c r="EM390" s="1">
        <f>(Table1[[#This Row],[predicted_7]]-Table1[[#This Row],[actual_7]])/Table1[[#This Row],[actual_7]]</f>
        <v>-0.13035019455252919</v>
      </c>
      <c r="EN390" s="1">
        <f>(Table1[[#This Row],[predicted_8]]-Table1[[#This Row],[actual_8]])/Table1[[#This Row],[actual_8]]</f>
        <v>-7.5975359342915813E-2</v>
      </c>
      <c r="EO390" s="1">
        <f>(Table1[[#This Row],[predicted_9]]-Table1[[#This Row],[actual_9]])/Table1[[#This Row],[actual_9]]</f>
        <v>8.7215064420218036E-2</v>
      </c>
      <c r="EP390" s="1">
        <f>1+(Table1[[#This Row],[error_ratio_0]]-EF$2)</f>
        <v>1.0030612244897958</v>
      </c>
      <c r="EQ390" s="1">
        <f>1+(Table1[[#This Row],[error_ratio_1]]-EG$2)</f>
        <v>1.0334801762114538</v>
      </c>
      <c r="ER390" s="1">
        <f>1+(Table1[[#This Row],[error_ratio_2]]-EH$2)</f>
        <v>0.90891472868217049</v>
      </c>
      <c r="ES390" s="1">
        <f>1+(Table1[[#This Row],[error_ratio_3]]-EI$2)</f>
        <v>1.1574257425742573</v>
      </c>
      <c r="ET390" s="1">
        <f>1+(Table1[[#This Row],[error_ratio_4]]-EJ$2)</f>
        <v>1.0549898167006111</v>
      </c>
      <c r="EU390" s="1">
        <f>1+(Table1[[#This Row],[error_ratio_5]]-EK$2)</f>
        <v>0.905829596412556</v>
      </c>
      <c r="EV390" s="1">
        <f>1+(Table1[[#This Row],[error_ratio_6]]-EL$2)</f>
        <v>1.0407098121085594</v>
      </c>
      <c r="EW390" s="1">
        <f>1+(Table1[[#This Row],[error_ratio_7]]-EM$2)</f>
        <v>0.86770428015564205</v>
      </c>
      <c r="EX390" s="1">
        <f>1+(Table1[[#This Row],[error_ratio_8]]-EN$2)</f>
        <v>0.9271047227926078</v>
      </c>
      <c r="EY390" s="1">
        <f>1+(Table1[[#This Row],[error_ratio_9]]-EO$2)</f>
        <v>1.0911793855302279</v>
      </c>
    </row>
    <row r="391" spans="1:155" x14ac:dyDescent="0.75">
      <c r="A391">
        <v>10</v>
      </c>
      <c r="B391">
        <v>100</v>
      </c>
      <c r="C391">
        <v>10</v>
      </c>
      <c r="D391">
        <v>100</v>
      </c>
      <c r="E391">
        <v>100</v>
      </c>
      <c r="F391">
        <v>10</v>
      </c>
      <c r="G391">
        <v>100</v>
      </c>
      <c r="H391">
        <v>10</v>
      </c>
      <c r="I391">
        <v>10</v>
      </c>
      <c r="J391">
        <v>100</v>
      </c>
      <c r="K391">
        <v>950</v>
      </c>
      <c r="L391">
        <v>1166</v>
      </c>
      <c r="M391">
        <v>1001</v>
      </c>
      <c r="N391">
        <v>1026</v>
      </c>
      <c r="O391">
        <v>1027</v>
      </c>
      <c r="P391">
        <v>869</v>
      </c>
      <c r="Q391">
        <v>974</v>
      </c>
      <c r="R391">
        <v>941</v>
      </c>
      <c r="S391">
        <v>930</v>
      </c>
      <c r="T391">
        <v>1116</v>
      </c>
      <c r="U391">
        <v>980</v>
      </c>
      <c r="V391">
        <v>1135</v>
      </c>
      <c r="W391">
        <v>1032</v>
      </c>
      <c r="X391">
        <v>1010</v>
      </c>
      <c r="Y391">
        <v>982</v>
      </c>
      <c r="Z391">
        <v>892</v>
      </c>
      <c r="AA391">
        <v>958</v>
      </c>
      <c r="AB391">
        <v>1028</v>
      </c>
      <c r="AC391">
        <v>974</v>
      </c>
      <c r="AD391">
        <v>1009</v>
      </c>
      <c r="AE391">
        <v>944</v>
      </c>
      <c r="AF391">
        <v>1</v>
      </c>
      <c r="AG391">
        <v>2</v>
      </c>
      <c r="AH391">
        <v>1</v>
      </c>
      <c r="AI391">
        <v>2</v>
      </c>
      <c r="AJ391">
        <v>6</v>
      </c>
      <c r="AK391">
        <v>11</v>
      </c>
      <c r="AL391">
        <v>0</v>
      </c>
      <c r="AM391">
        <v>6</v>
      </c>
      <c r="AN391">
        <v>7</v>
      </c>
      <c r="AO391">
        <v>0</v>
      </c>
      <c r="AP391">
        <v>1134</v>
      </c>
      <c r="AQ391">
        <v>0</v>
      </c>
      <c r="AR391">
        <v>0</v>
      </c>
      <c r="AS391">
        <v>0</v>
      </c>
      <c r="AT391">
        <v>0</v>
      </c>
      <c r="AU391">
        <v>1</v>
      </c>
      <c r="AV391">
        <v>0</v>
      </c>
      <c r="AW391">
        <v>0</v>
      </c>
      <c r="AX391">
        <v>0</v>
      </c>
      <c r="AY391">
        <v>1</v>
      </c>
      <c r="AZ391">
        <v>9</v>
      </c>
      <c r="BA391">
        <v>981</v>
      </c>
      <c r="BB391">
        <v>8</v>
      </c>
      <c r="BC391">
        <v>6</v>
      </c>
      <c r="BD391">
        <v>0</v>
      </c>
      <c r="BE391">
        <v>1</v>
      </c>
      <c r="BF391">
        <v>24</v>
      </c>
      <c r="BG391">
        <v>0</v>
      </c>
      <c r="BH391">
        <v>2</v>
      </c>
      <c r="BI391">
        <v>0</v>
      </c>
      <c r="BJ391">
        <v>0</v>
      </c>
      <c r="BK391">
        <v>2</v>
      </c>
      <c r="BL391">
        <v>995</v>
      </c>
      <c r="BM391">
        <v>0</v>
      </c>
      <c r="BN391">
        <v>5</v>
      </c>
      <c r="BO391">
        <v>0</v>
      </c>
      <c r="BP391">
        <v>1</v>
      </c>
      <c r="BQ391">
        <v>0</v>
      </c>
      <c r="BR391">
        <v>7</v>
      </c>
      <c r="BS391">
        <v>0</v>
      </c>
      <c r="BT391">
        <v>0</v>
      </c>
      <c r="BU391">
        <v>0</v>
      </c>
      <c r="BV391">
        <v>0</v>
      </c>
      <c r="BW391">
        <v>978</v>
      </c>
      <c r="BX391">
        <v>0</v>
      </c>
      <c r="BY391">
        <v>4</v>
      </c>
      <c r="BZ391">
        <v>0</v>
      </c>
      <c r="CA391">
        <v>0</v>
      </c>
      <c r="CB391">
        <v>0</v>
      </c>
      <c r="CC391">
        <v>1</v>
      </c>
      <c r="CD391">
        <v>0</v>
      </c>
      <c r="CE391">
        <v>1</v>
      </c>
      <c r="CF391">
        <v>9</v>
      </c>
      <c r="CG391">
        <v>4</v>
      </c>
      <c r="CH391">
        <v>847</v>
      </c>
      <c r="CI391">
        <v>7</v>
      </c>
      <c r="CJ391">
        <v>0</v>
      </c>
      <c r="CK391">
        <v>5</v>
      </c>
      <c r="CL391">
        <v>18</v>
      </c>
      <c r="CM391">
        <v>2</v>
      </c>
      <c r="CN391">
        <v>2</v>
      </c>
      <c r="CO391">
        <v>0</v>
      </c>
      <c r="CP391">
        <v>1</v>
      </c>
      <c r="CQ391">
        <v>6</v>
      </c>
      <c r="CR391">
        <v>2</v>
      </c>
      <c r="CS391">
        <v>945</v>
      </c>
      <c r="CT391">
        <v>0</v>
      </c>
      <c r="CU391">
        <v>0</v>
      </c>
      <c r="CV391">
        <v>0</v>
      </c>
      <c r="CW391">
        <v>1</v>
      </c>
      <c r="CX391">
        <v>7</v>
      </c>
      <c r="CY391">
        <v>9</v>
      </c>
      <c r="CZ391">
        <v>6</v>
      </c>
      <c r="DA391">
        <v>6</v>
      </c>
      <c r="DB391">
        <v>0</v>
      </c>
      <c r="DC391">
        <v>0</v>
      </c>
      <c r="DD391">
        <v>910</v>
      </c>
      <c r="DE391">
        <v>2</v>
      </c>
      <c r="DF391">
        <v>87</v>
      </c>
      <c r="DG391">
        <v>1</v>
      </c>
      <c r="DH391">
        <v>10</v>
      </c>
      <c r="DI391">
        <v>6</v>
      </c>
      <c r="DJ391">
        <v>4</v>
      </c>
      <c r="DK391">
        <v>7</v>
      </c>
      <c r="DL391">
        <v>5</v>
      </c>
      <c r="DM391">
        <v>5</v>
      </c>
      <c r="DN391">
        <v>6</v>
      </c>
      <c r="DO391">
        <v>916</v>
      </c>
      <c r="DP391">
        <v>14</v>
      </c>
      <c r="DQ391">
        <v>0</v>
      </c>
      <c r="DR391">
        <v>3</v>
      </c>
      <c r="DS391">
        <v>0</v>
      </c>
      <c r="DT391">
        <v>2</v>
      </c>
      <c r="DU391">
        <v>18</v>
      </c>
      <c r="DV391">
        <v>4</v>
      </c>
      <c r="DW391">
        <v>0</v>
      </c>
      <c r="DX391">
        <v>0</v>
      </c>
      <c r="DY391">
        <v>1</v>
      </c>
      <c r="DZ391">
        <v>981</v>
      </c>
      <c r="EA391">
        <v>0.96309999999999996</v>
      </c>
      <c r="EB391">
        <v>0.96442779645246401</v>
      </c>
      <c r="EC391">
        <v>0.96279379768275597</v>
      </c>
      <c r="ED391">
        <v>0.96300187551945604</v>
      </c>
      <c r="EE391">
        <f>SUM(Table1[[#This Row],[ratio_0]:[ratio_9]])</f>
        <v>550</v>
      </c>
      <c r="EF391" s="1">
        <f>(Table1[[#This Row],[predicted_0]]-Table1[[#This Row],[actual_0]])/Table1[[#This Row],[actual_0]]</f>
        <v>-3.0612244897959183E-2</v>
      </c>
      <c r="EG391" s="1">
        <f>(Table1[[#This Row],[predicted_1]]-Table1[[#This Row],[actual_1]])/Table1[[#This Row],[actual_1]]</f>
        <v>2.7312775330396475E-2</v>
      </c>
      <c r="EH391" s="1">
        <f>(Table1[[#This Row],[predicted_2]]-Table1[[#This Row],[actual_2]])/Table1[[#This Row],[actual_2]]</f>
        <v>-3.0038759689922482E-2</v>
      </c>
      <c r="EI391" s="1">
        <f>(Table1[[#This Row],[predicted_3]]-Table1[[#This Row],[actual_3]])/Table1[[#This Row],[actual_3]]</f>
        <v>1.5841584158415842E-2</v>
      </c>
      <c r="EJ391" s="1">
        <f>(Table1[[#This Row],[predicted_4]]-Table1[[#This Row],[actual_4]])/Table1[[#This Row],[actual_4]]</f>
        <v>4.5824847250509164E-2</v>
      </c>
      <c r="EK391" s="1">
        <f>(Table1[[#This Row],[predicted_5]]-Table1[[#This Row],[actual_5]])/Table1[[#This Row],[actual_5]]</f>
        <v>-2.5784753363228701E-2</v>
      </c>
      <c r="EL391" s="1">
        <f>(Table1[[#This Row],[predicted_6]]-Table1[[#This Row],[actual_6]])/Table1[[#This Row],[actual_6]]</f>
        <v>1.6701461377870562E-2</v>
      </c>
      <c r="EM391" s="1">
        <f>(Table1[[#This Row],[predicted_7]]-Table1[[#This Row],[actual_7]])/Table1[[#This Row],[actual_7]]</f>
        <v>-8.4630350194552534E-2</v>
      </c>
      <c r="EN391" s="1">
        <f>(Table1[[#This Row],[predicted_8]]-Table1[[#This Row],[actual_8]])/Table1[[#This Row],[actual_8]]</f>
        <v>-4.5174537987679675E-2</v>
      </c>
      <c r="EO391" s="1">
        <f>(Table1[[#This Row],[predicted_9]]-Table1[[#This Row],[actual_9]])/Table1[[#This Row],[actual_9]]</f>
        <v>0.10604558969276512</v>
      </c>
      <c r="EP391" s="1">
        <f>1+(Table1[[#This Row],[error_ratio_0]]-EF$2)</f>
        <v>0.96734693877551026</v>
      </c>
      <c r="EQ391" s="1">
        <f>1+(Table1[[#This Row],[error_ratio_1]]-EG$2)</f>
        <v>1.0255506607929514</v>
      </c>
      <c r="ER391" s="1">
        <f>1+(Table1[[#This Row],[error_ratio_2]]-EH$2)</f>
        <v>0.97480620155038755</v>
      </c>
      <c r="ES391" s="1">
        <f>1+(Table1[[#This Row],[error_ratio_3]]-EI$2)</f>
        <v>1.0059405940594059</v>
      </c>
      <c r="ET391" s="1">
        <f>1+(Table1[[#This Row],[error_ratio_4]]-EJ$2)</f>
        <v>1.044806517311609</v>
      </c>
      <c r="EU391" s="1">
        <f>1+(Table1[[#This Row],[error_ratio_5]]-EK$2)</f>
        <v>0.97309417040358748</v>
      </c>
      <c r="EV391" s="1">
        <f>1+(Table1[[#This Row],[error_ratio_6]]-EL$2)</f>
        <v>1.0229645093945721</v>
      </c>
      <c r="EW391" s="1">
        <f>1+(Table1[[#This Row],[error_ratio_7]]-EM$2)</f>
        <v>0.91342412451361865</v>
      </c>
      <c r="EX391" s="1">
        <f>1+(Table1[[#This Row],[error_ratio_8]]-EN$2)</f>
        <v>0.9579055441478439</v>
      </c>
      <c r="EY391" s="1">
        <f>1+(Table1[[#This Row],[error_ratio_9]]-EO$2)</f>
        <v>1.110009910802775</v>
      </c>
    </row>
    <row r="392" spans="1:155" x14ac:dyDescent="0.75">
      <c r="A392">
        <v>10</v>
      </c>
      <c r="B392">
        <v>10</v>
      </c>
      <c r="C392">
        <v>10</v>
      </c>
      <c r="D392">
        <v>100</v>
      </c>
      <c r="E392">
        <v>100</v>
      </c>
      <c r="F392">
        <v>10</v>
      </c>
      <c r="G392">
        <v>100</v>
      </c>
      <c r="H392">
        <v>10</v>
      </c>
      <c r="I392">
        <v>10</v>
      </c>
      <c r="J392">
        <v>100</v>
      </c>
      <c r="K392">
        <v>998</v>
      </c>
      <c r="L392">
        <v>1084</v>
      </c>
      <c r="M392">
        <v>1000</v>
      </c>
      <c r="N392">
        <v>1089</v>
      </c>
      <c r="O392">
        <v>1003</v>
      </c>
      <c r="P392">
        <v>859</v>
      </c>
      <c r="Q392">
        <v>1054</v>
      </c>
      <c r="R392">
        <v>982</v>
      </c>
      <c r="S392">
        <v>857</v>
      </c>
      <c r="T392">
        <v>1074</v>
      </c>
      <c r="U392">
        <v>980</v>
      </c>
      <c r="V392">
        <v>1135</v>
      </c>
      <c r="W392">
        <v>1032</v>
      </c>
      <c r="X392">
        <v>1010</v>
      </c>
      <c r="Y392">
        <v>982</v>
      </c>
      <c r="Z392">
        <v>892</v>
      </c>
      <c r="AA392">
        <v>958</v>
      </c>
      <c r="AB392">
        <v>1028</v>
      </c>
      <c r="AC392">
        <v>974</v>
      </c>
      <c r="AD392">
        <v>1009</v>
      </c>
      <c r="AE392">
        <v>960</v>
      </c>
      <c r="AF392">
        <v>0</v>
      </c>
      <c r="AG392">
        <v>0</v>
      </c>
      <c r="AH392">
        <v>0</v>
      </c>
      <c r="AI392">
        <v>5</v>
      </c>
      <c r="AJ392">
        <v>0</v>
      </c>
      <c r="AK392">
        <v>12</v>
      </c>
      <c r="AL392">
        <v>1</v>
      </c>
      <c r="AM392">
        <v>1</v>
      </c>
      <c r="AN392">
        <v>1</v>
      </c>
      <c r="AO392">
        <v>0</v>
      </c>
      <c r="AP392">
        <v>1083</v>
      </c>
      <c r="AQ392">
        <v>5</v>
      </c>
      <c r="AR392">
        <v>3</v>
      </c>
      <c r="AS392">
        <v>10</v>
      </c>
      <c r="AT392">
        <v>2</v>
      </c>
      <c r="AU392">
        <v>24</v>
      </c>
      <c r="AV392">
        <v>2</v>
      </c>
      <c r="AW392">
        <v>5</v>
      </c>
      <c r="AX392">
        <v>1</v>
      </c>
      <c r="AY392">
        <v>11</v>
      </c>
      <c r="AZ392">
        <v>0</v>
      </c>
      <c r="BA392">
        <v>972</v>
      </c>
      <c r="BB392">
        <v>19</v>
      </c>
      <c r="BC392">
        <v>7</v>
      </c>
      <c r="BD392">
        <v>0</v>
      </c>
      <c r="BE392">
        <v>13</v>
      </c>
      <c r="BF392">
        <v>8</v>
      </c>
      <c r="BG392">
        <v>1</v>
      </c>
      <c r="BH392">
        <v>1</v>
      </c>
      <c r="BI392">
        <v>1</v>
      </c>
      <c r="BJ392">
        <v>0</v>
      </c>
      <c r="BK392">
        <v>1</v>
      </c>
      <c r="BL392">
        <v>1005</v>
      </c>
      <c r="BM392">
        <v>0</v>
      </c>
      <c r="BN392">
        <v>1</v>
      </c>
      <c r="BO392">
        <v>0</v>
      </c>
      <c r="BP392">
        <v>2</v>
      </c>
      <c r="BQ392">
        <v>0</v>
      </c>
      <c r="BR392">
        <v>0</v>
      </c>
      <c r="BS392">
        <v>0</v>
      </c>
      <c r="BT392">
        <v>0</v>
      </c>
      <c r="BU392">
        <v>0</v>
      </c>
      <c r="BV392">
        <v>0</v>
      </c>
      <c r="BW392">
        <v>963</v>
      </c>
      <c r="BX392">
        <v>0</v>
      </c>
      <c r="BY392">
        <v>9</v>
      </c>
      <c r="BZ392">
        <v>0</v>
      </c>
      <c r="CA392">
        <v>0</v>
      </c>
      <c r="CB392">
        <v>10</v>
      </c>
      <c r="CC392">
        <v>4</v>
      </c>
      <c r="CD392">
        <v>0</v>
      </c>
      <c r="CE392">
        <v>0</v>
      </c>
      <c r="CF392">
        <v>25</v>
      </c>
      <c r="CG392">
        <v>0</v>
      </c>
      <c r="CH392">
        <v>841</v>
      </c>
      <c r="CI392">
        <v>13</v>
      </c>
      <c r="CJ392">
        <v>1</v>
      </c>
      <c r="CK392">
        <v>2</v>
      </c>
      <c r="CL392">
        <v>6</v>
      </c>
      <c r="CM392">
        <v>6</v>
      </c>
      <c r="CN392">
        <v>0</v>
      </c>
      <c r="CO392">
        <v>0</v>
      </c>
      <c r="CP392">
        <v>0</v>
      </c>
      <c r="CQ392">
        <v>3</v>
      </c>
      <c r="CR392">
        <v>1</v>
      </c>
      <c r="CS392">
        <v>948</v>
      </c>
      <c r="CT392">
        <v>0</v>
      </c>
      <c r="CU392">
        <v>0</v>
      </c>
      <c r="CV392">
        <v>0</v>
      </c>
      <c r="CW392">
        <v>4</v>
      </c>
      <c r="CX392">
        <v>1</v>
      </c>
      <c r="CY392">
        <v>18</v>
      </c>
      <c r="CZ392">
        <v>4</v>
      </c>
      <c r="DA392">
        <v>5</v>
      </c>
      <c r="DB392">
        <v>0</v>
      </c>
      <c r="DC392">
        <v>0</v>
      </c>
      <c r="DD392">
        <v>961</v>
      </c>
      <c r="DE392">
        <v>1</v>
      </c>
      <c r="DF392">
        <v>34</v>
      </c>
      <c r="DG392">
        <v>11</v>
      </c>
      <c r="DH392">
        <v>0</v>
      </c>
      <c r="DI392">
        <v>4</v>
      </c>
      <c r="DJ392">
        <v>28</v>
      </c>
      <c r="DK392">
        <v>5</v>
      </c>
      <c r="DL392">
        <v>12</v>
      </c>
      <c r="DM392">
        <v>35</v>
      </c>
      <c r="DN392">
        <v>6</v>
      </c>
      <c r="DO392">
        <v>846</v>
      </c>
      <c r="DP392">
        <v>27</v>
      </c>
      <c r="DQ392">
        <v>1</v>
      </c>
      <c r="DR392">
        <v>0</v>
      </c>
      <c r="DS392">
        <v>0</v>
      </c>
      <c r="DT392">
        <v>5</v>
      </c>
      <c r="DU392">
        <v>5</v>
      </c>
      <c r="DV392">
        <v>2</v>
      </c>
      <c r="DW392">
        <v>0</v>
      </c>
      <c r="DX392">
        <v>1</v>
      </c>
      <c r="DY392">
        <v>1</v>
      </c>
      <c r="DZ392">
        <v>994</v>
      </c>
      <c r="EA392">
        <v>0.95730000000000004</v>
      </c>
      <c r="EB392">
        <v>0.95857538379763096</v>
      </c>
      <c r="EC392">
        <v>0.95722671195140996</v>
      </c>
      <c r="ED392">
        <v>0.95689983457434802</v>
      </c>
      <c r="EE392">
        <f>SUM(Table1[[#This Row],[ratio_0]:[ratio_9]])</f>
        <v>460</v>
      </c>
      <c r="EF392" s="1">
        <f>(Table1[[#This Row],[predicted_0]]-Table1[[#This Row],[actual_0]])/Table1[[#This Row],[actual_0]]</f>
        <v>1.8367346938775512E-2</v>
      </c>
      <c r="EG392" s="1">
        <f>(Table1[[#This Row],[predicted_1]]-Table1[[#This Row],[actual_1]])/Table1[[#This Row],[actual_1]]</f>
        <v>-4.4933920704845816E-2</v>
      </c>
      <c r="EH392" s="1">
        <f>(Table1[[#This Row],[predicted_2]]-Table1[[#This Row],[actual_2]])/Table1[[#This Row],[actual_2]]</f>
        <v>-3.1007751937984496E-2</v>
      </c>
      <c r="EI392" s="1">
        <f>(Table1[[#This Row],[predicted_3]]-Table1[[#This Row],[actual_3]])/Table1[[#This Row],[actual_3]]</f>
        <v>7.8217821782178218E-2</v>
      </c>
      <c r="EJ392" s="1">
        <f>(Table1[[#This Row],[predicted_4]]-Table1[[#This Row],[actual_4]])/Table1[[#This Row],[actual_4]]</f>
        <v>2.1384928716904276E-2</v>
      </c>
      <c r="EK392" s="1">
        <f>(Table1[[#This Row],[predicted_5]]-Table1[[#This Row],[actual_5]])/Table1[[#This Row],[actual_5]]</f>
        <v>-3.6995515695067267E-2</v>
      </c>
      <c r="EL392" s="1">
        <f>(Table1[[#This Row],[predicted_6]]-Table1[[#This Row],[actual_6]])/Table1[[#This Row],[actual_6]]</f>
        <v>0.10020876826722339</v>
      </c>
      <c r="EM392" s="1">
        <f>(Table1[[#This Row],[predicted_7]]-Table1[[#This Row],[actual_7]])/Table1[[#This Row],[actual_7]]</f>
        <v>-4.4747081712062257E-2</v>
      </c>
      <c r="EN392" s="1">
        <f>(Table1[[#This Row],[predicted_8]]-Table1[[#This Row],[actual_8]])/Table1[[#This Row],[actual_8]]</f>
        <v>-0.12012320328542095</v>
      </c>
      <c r="EO392" s="1">
        <f>(Table1[[#This Row],[predicted_9]]-Table1[[#This Row],[actual_9]])/Table1[[#This Row],[actual_9]]</f>
        <v>6.4420218037661056E-2</v>
      </c>
      <c r="EP392" s="1">
        <f>1+(Table1[[#This Row],[error_ratio_0]]-EF$2)</f>
        <v>1.0163265306122449</v>
      </c>
      <c r="EQ392" s="1">
        <f>1+(Table1[[#This Row],[error_ratio_1]]-EG$2)</f>
        <v>0.95330396475770929</v>
      </c>
      <c r="ER392" s="1">
        <f>1+(Table1[[#This Row],[error_ratio_2]]-EH$2)</f>
        <v>0.97383720930232553</v>
      </c>
      <c r="ES392" s="1">
        <f>1+(Table1[[#This Row],[error_ratio_3]]-EI$2)</f>
        <v>1.0683168316831684</v>
      </c>
      <c r="ET392" s="1">
        <f>1+(Table1[[#This Row],[error_ratio_4]]-EJ$2)</f>
        <v>1.0203665987780042</v>
      </c>
      <c r="EU392" s="1">
        <f>1+(Table1[[#This Row],[error_ratio_5]]-EK$2)</f>
        <v>0.96188340807174888</v>
      </c>
      <c r="EV392" s="1">
        <f>1+(Table1[[#This Row],[error_ratio_6]]-EL$2)</f>
        <v>1.1064718162839249</v>
      </c>
      <c r="EW392" s="1">
        <f>1+(Table1[[#This Row],[error_ratio_7]]-EM$2)</f>
        <v>0.95330739299610889</v>
      </c>
      <c r="EX392" s="1">
        <f>1+(Table1[[#This Row],[error_ratio_8]]-EN$2)</f>
        <v>0.88295687885010266</v>
      </c>
      <c r="EY392" s="1">
        <f>1+(Table1[[#This Row],[error_ratio_9]]-EO$2)</f>
        <v>1.068384539147671</v>
      </c>
    </row>
    <row r="393" spans="1:155" x14ac:dyDescent="0.75">
      <c r="A393">
        <v>100</v>
      </c>
      <c r="B393">
        <v>100</v>
      </c>
      <c r="C393">
        <v>100</v>
      </c>
      <c r="D393">
        <v>10</v>
      </c>
      <c r="E393">
        <v>100</v>
      </c>
      <c r="F393">
        <v>10</v>
      </c>
      <c r="G393">
        <v>100</v>
      </c>
      <c r="H393">
        <v>10</v>
      </c>
      <c r="I393">
        <v>10</v>
      </c>
      <c r="J393">
        <v>100</v>
      </c>
      <c r="K393">
        <v>1039</v>
      </c>
      <c r="L393">
        <v>1144</v>
      </c>
      <c r="M393">
        <v>1047</v>
      </c>
      <c r="N393">
        <v>922</v>
      </c>
      <c r="O393">
        <v>985</v>
      </c>
      <c r="P393">
        <v>854</v>
      </c>
      <c r="Q393">
        <v>960</v>
      </c>
      <c r="R393">
        <v>997</v>
      </c>
      <c r="S393">
        <v>971</v>
      </c>
      <c r="T393">
        <v>1081</v>
      </c>
      <c r="U393">
        <v>980</v>
      </c>
      <c r="V393">
        <v>1135</v>
      </c>
      <c r="W393">
        <v>1032</v>
      </c>
      <c r="X393">
        <v>1010</v>
      </c>
      <c r="Y393">
        <v>982</v>
      </c>
      <c r="Z393">
        <v>892</v>
      </c>
      <c r="AA393">
        <v>958</v>
      </c>
      <c r="AB393">
        <v>1028</v>
      </c>
      <c r="AC393">
        <v>974</v>
      </c>
      <c r="AD393">
        <v>1009</v>
      </c>
      <c r="AE393">
        <v>978</v>
      </c>
      <c r="AF393">
        <v>0</v>
      </c>
      <c r="AG393">
        <v>0</v>
      </c>
      <c r="AH393">
        <v>0</v>
      </c>
      <c r="AI393">
        <v>0</v>
      </c>
      <c r="AJ393">
        <v>0</v>
      </c>
      <c r="AK393">
        <v>0</v>
      </c>
      <c r="AL393">
        <v>1</v>
      </c>
      <c r="AM393">
        <v>1</v>
      </c>
      <c r="AN393">
        <v>0</v>
      </c>
      <c r="AO393">
        <v>0</v>
      </c>
      <c r="AP393">
        <v>1131</v>
      </c>
      <c r="AQ393">
        <v>1</v>
      </c>
      <c r="AR393">
        <v>1</v>
      </c>
      <c r="AS393">
        <v>0</v>
      </c>
      <c r="AT393">
        <v>1</v>
      </c>
      <c r="AU393">
        <v>0</v>
      </c>
      <c r="AV393">
        <v>0</v>
      </c>
      <c r="AW393">
        <v>1</v>
      </c>
      <c r="AX393">
        <v>0</v>
      </c>
      <c r="AY393">
        <v>3</v>
      </c>
      <c r="AZ393">
        <v>2</v>
      </c>
      <c r="BA393">
        <v>1015</v>
      </c>
      <c r="BB393">
        <v>0</v>
      </c>
      <c r="BC393">
        <v>2</v>
      </c>
      <c r="BD393">
        <v>0</v>
      </c>
      <c r="BE393">
        <v>0</v>
      </c>
      <c r="BF393">
        <v>6</v>
      </c>
      <c r="BG393">
        <v>2</v>
      </c>
      <c r="BH393">
        <v>2</v>
      </c>
      <c r="BI393">
        <v>13</v>
      </c>
      <c r="BJ393">
        <v>0</v>
      </c>
      <c r="BK393">
        <v>9</v>
      </c>
      <c r="BL393">
        <v>916</v>
      </c>
      <c r="BM393">
        <v>0</v>
      </c>
      <c r="BN393">
        <v>30</v>
      </c>
      <c r="BO393">
        <v>1</v>
      </c>
      <c r="BP393">
        <v>7</v>
      </c>
      <c r="BQ393">
        <v>6</v>
      </c>
      <c r="BR393">
        <v>28</v>
      </c>
      <c r="BS393">
        <v>0</v>
      </c>
      <c r="BT393">
        <v>0</v>
      </c>
      <c r="BU393">
        <v>1</v>
      </c>
      <c r="BV393">
        <v>0</v>
      </c>
      <c r="BW393">
        <v>971</v>
      </c>
      <c r="BX393">
        <v>0</v>
      </c>
      <c r="BY393">
        <v>3</v>
      </c>
      <c r="BZ393">
        <v>0</v>
      </c>
      <c r="CA393">
        <v>0</v>
      </c>
      <c r="CB393">
        <v>7</v>
      </c>
      <c r="CC393">
        <v>20</v>
      </c>
      <c r="CD393">
        <v>0</v>
      </c>
      <c r="CE393">
        <v>0</v>
      </c>
      <c r="CF393">
        <v>3</v>
      </c>
      <c r="CG393">
        <v>1</v>
      </c>
      <c r="CH393">
        <v>822</v>
      </c>
      <c r="CI393">
        <v>10</v>
      </c>
      <c r="CJ393">
        <v>1</v>
      </c>
      <c r="CK393">
        <v>15</v>
      </c>
      <c r="CL393">
        <v>20</v>
      </c>
      <c r="CM393">
        <v>9</v>
      </c>
      <c r="CN393">
        <v>2</v>
      </c>
      <c r="CO393">
        <v>1</v>
      </c>
      <c r="CP393">
        <v>0</v>
      </c>
      <c r="CQ393">
        <v>3</v>
      </c>
      <c r="CR393">
        <v>0</v>
      </c>
      <c r="CS393">
        <v>941</v>
      </c>
      <c r="CT393">
        <v>0</v>
      </c>
      <c r="CU393">
        <v>2</v>
      </c>
      <c r="CV393">
        <v>0</v>
      </c>
      <c r="CW393">
        <v>4</v>
      </c>
      <c r="CX393">
        <v>8</v>
      </c>
      <c r="CY393">
        <v>17</v>
      </c>
      <c r="CZ393">
        <v>1</v>
      </c>
      <c r="DA393">
        <v>2</v>
      </c>
      <c r="DB393">
        <v>0</v>
      </c>
      <c r="DC393">
        <v>0</v>
      </c>
      <c r="DD393">
        <v>976</v>
      </c>
      <c r="DE393">
        <v>1</v>
      </c>
      <c r="DF393">
        <v>19</v>
      </c>
      <c r="DG393">
        <v>9</v>
      </c>
      <c r="DH393">
        <v>0</v>
      </c>
      <c r="DI393">
        <v>3</v>
      </c>
      <c r="DJ393">
        <v>1</v>
      </c>
      <c r="DK393">
        <v>3</v>
      </c>
      <c r="DL393">
        <v>0</v>
      </c>
      <c r="DM393">
        <v>5</v>
      </c>
      <c r="DN393">
        <v>3</v>
      </c>
      <c r="DO393">
        <v>943</v>
      </c>
      <c r="DP393">
        <v>7</v>
      </c>
      <c r="DQ393">
        <v>3</v>
      </c>
      <c r="DR393">
        <v>1</v>
      </c>
      <c r="DS393">
        <v>0</v>
      </c>
      <c r="DT393">
        <v>0</v>
      </c>
      <c r="DU393">
        <v>3</v>
      </c>
      <c r="DV393">
        <v>1</v>
      </c>
      <c r="DW393">
        <v>0</v>
      </c>
      <c r="DX393">
        <v>3</v>
      </c>
      <c r="DY393">
        <v>0</v>
      </c>
      <c r="DZ393">
        <v>998</v>
      </c>
      <c r="EA393">
        <v>0.96909999999999996</v>
      </c>
      <c r="EB393">
        <v>0.96946991682329997</v>
      </c>
      <c r="EC393">
        <v>0.968415745504558</v>
      </c>
      <c r="ED393">
        <v>0.96847500085942195</v>
      </c>
      <c r="EE393">
        <f>SUM(Table1[[#This Row],[ratio_0]:[ratio_9]])</f>
        <v>640</v>
      </c>
      <c r="EF393" s="1">
        <f>(Table1[[#This Row],[predicted_0]]-Table1[[#This Row],[actual_0]])/Table1[[#This Row],[actual_0]]</f>
        <v>6.0204081632653061E-2</v>
      </c>
      <c r="EG393" s="1">
        <f>(Table1[[#This Row],[predicted_1]]-Table1[[#This Row],[actual_1]])/Table1[[#This Row],[actual_1]]</f>
        <v>7.9295154185022032E-3</v>
      </c>
      <c r="EH393" s="1">
        <f>(Table1[[#This Row],[predicted_2]]-Table1[[#This Row],[actual_2]])/Table1[[#This Row],[actual_2]]</f>
        <v>1.4534883720930232E-2</v>
      </c>
      <c r="EI393" s="1">
        <f>(Table1[[#This Row],[predicted_3]]-Table1[[#This Row],[actual_3]])/Table1[[#This Row],[actual_3]]</f>
        <v>-8.7128712871287123E-2</v>
      </c>
      <c r="EJ393" s="1">
        <f>(Table1[[#This Row],[predicted_4]]-Table1[[#This Row],[actual_4]])/Table1[[#This Row],[actual_4]]</f>
        <v>3.0549898167006109E-3</v>
      </c>
      <c r="EK393" s="1">
        <f>(Table1[[#This Row],[predicted_5]]-Table1[[#This Row],[actual_5]])/Table1[[#This Row],[actual_5]]</f>
        <v>-4.2600896860986545E-2</v>
      </c>
      <c r="EL393" s="1">
        <f>(Table1[[#This Row],[predicted_6]]-Table1[[#This Row],[actual_6]])/Table1[[#This Row],[actual_6]]</f>
        <v>2.0876826722338203E-3</v>
      </c>
      <c r="EM393" s="1">
        <f>(Table1[[#This Row],[predicted_7]]-Table1[[#This Row],[actual_7]])/Table1[[#This Row],[actual_7]]</f>
        <v>-3.0155642023346304E-2</v>
      </c>
      <c r="EN393" s="1">
        <f>(Table1[[#This Row],[predicted_8]]-Table1[[#This Row],[actual_8]])/Table1[[#This Row],[actual_8]]</f>
        <v>-3.0800821355236141E-3</v>
      </c>
      <c r="EO393" s="1">
        <f>(Table1[[#This Row],[predicted_9]]-Table1[[#This Row],[actual_9]])/Table1[[#This Row],[actual_9]]</f>
        <v>7.1357779980178393E-2</v>
      </c>
      <c r="EP393" s="1">
        <f>1+(Table1[[#This Row],[error_ratio_0]]-EF$2)</f>
        <v>1.0581632653061224</v>
      </c>
      <c r="EQ393" s="1">
        <f>1+(Table1[[#This Row],[error_ratio_1]]-EG$2)</f>
        <v>1.0061674008810573</v>
      </c>
      <c r="ER393" s="1">
        <f>1+(Table1[[#This Row],[error_ratio_2]]-EH$2)</f>
        <v>1.0193798449612403</v>
      </c>
      <c r="ES393" s="1">
        <f>1+(Table1[[#This Row],[error_ratio_3]]-EI$2)</f>
        <v>0.902970297029703</v>
      </c>
      <c r="ET393" s="1">
        <f>1+(Table1[[#This Row],[error_ratio_4]]-EJ$2)</f>
        <v>1.0020366598778003</v>
      </c>
      <c r="EU393" s="1">
        <f>1+(Table1[[#This Row],[error_ratio_5]]-EK$2)</f>
        <v>0.95627802690582964</v>
      </c>
      <c r="EV393" s="1">
        <f>1+(Table1[[#This Row],[error_ratio_6]]-EL$2)</f>
        <v>1.0083507306889352</v>
      </c>
      <c r="EW393" s="1">
        <f>1+(Table1[[#This Row],[error_ratio_7]]-EM$2)</f>
        <v>0.96789883268482491</v>
      </c>
      <c r="EX393" s="1">
        <f>1+(Table1[[#This Row],[error_ratio_8]]-EN$2)</f>
        <v>1</v>
      </c>
      <c r="EY393" s="1">
        <f>1+(Table1[[#This Row],[error_ratio_9]]-EO$2)</f>
        <v>1.0753221010901883</v>
      </c>
    </row>
    <row r="394" spans="1:155" x14ac:dyDescent="0.75">
      <c r="A394">
        <v>10</v>
      </c>
      <c r="B394">
        <v>100</v>
      </c>
      <c r="C394">
        <v>100</v>
      </c>
      <c r="D394">
        <v>10</v>
      </c>
      <c r="E394">
        <v>100</v>
      </c>
      <c r="F394">
        <v>10</v>
      </c>
      <c r="G394">
        <v>100</v>
      </c>
      <c r="H394">
        <v>10</v>
      </c>
      <c r="I394">
        <v>10</v>
      </c>
      <c r="J394">
        <v>100</v>
      </c>
      <c r="K394">
        <v>979</v>
      </c>
      <c r="L394">
        <v>1181</v>
      </c>
      <c r="M394">
        <v>1103</v>
      </c>
      <c r="N394">
        <v>967</v>
      </c>
      <c r="O394">
        <v>992</v>
      </c>
      <c r="P394">
        <v>854</v>
      </c>
      <c r="Q394">
        <v>988</v>
      </c>
      <c r="R394">
        <v>873</v>
      </c>
      <c r="S394">
        <v>917</v>
      </c>
      <c r="T394">
        <v>1146</v>
      </c>
      <c r="U394">
        <v>980</v>
      </c>
      <c r="V394">
        <v>1135</v>
      </c>
      <c r="W394">
        <v>1032</v>
      </c>
      <c r="X394">
        <v>1010</v>
      </c>
      <c r="Y394">
        <v>982</v>
      </c>
      <c r="Z394">
        <v>892</v>
      </c>
      <c r="AA394">
        <v>958</v>
      </c>
      <c r="AB394">
        <v>1028</v>
      </c>
      <c r="AC394">
        <v>974</v>
      </c>
      <c r="AD394">
        <v>1009</v>
      </c>
      <c r="AE394">
        <v>965</v>
      </c>
      <c r="AF394">
        <v>2</v>
      </c>
      <c r="AG394">
        <v>2</v>
      </c>
      <c r="AH394">
        <v>0</v>
      </c>
      <c r="AI394">
        <v>0</v>
      </c>
      <c r="AJ394">
        <v>0</v>
      </c>
      <c r="AK394">
        <v>7</v>
      </c>
      <c r="AL394">
        <v>1</v>
      </c>
      <c r="AM394">
        <v>1</v>
      </c>
      <c r="AN394">
        <v>2</v>
      </c>
      <c r="AO394">
        <v>0</v>
      </c>
      <c r="AP394">
        <v>1130</v>
      </c>
      <c r="AQ394">
        <v>4</v>
      </c>
      <c r="AR394">
        <v>0</v>
      </c>
      <c r="AS394">
        <v>0</v>
      </c>
      <c r="AT394">
        <v>0</v>
      </c>
      <c r="AU394">
        <v>0</v>
      </c>
      <c r="AV394">
        <v>0</v>
      </c>
      <c r="AW394">
        <v>0</v>
      </c>
      <c r="AX394">
        <v>1</v>
      </c>
      <c r="AY394">
        <v>3</v>
      </c>
      <c r="AZ394">
        <v>2</v>
      </c>
      <c r="BA394">
        <v>1020</v>
      </c>
      <c r="BB394">
        <v>1</v>
      </c>
      <c r="BC394">
        <v>1</v>
      </c>
      <c r="BD394">
        <v>0</v>
      </c>
      <c r="BE394">
        <v>1</v>
      </c>
      <c r="BF394">
        <v>3</v>
      </c>
      <c r="BG394">
        <v>0</v>
      </c>
      <c r="BH394">
        <v>1</v>
      </c>
      <c r="BI394">
        <v>1</v>
      </c>
      <c r="BJ394">
        <v>0</v>
      </c>
      <c r="BK394">
        <v>16</v>
      </c>
      <c r="BL394">
        <v>942</v>
      </c>
      <c r="BM394">
        <v>0</v>
      </c>
      <c r="BN394">
        <v>21</v>
      </c>
      <c r="BO394">
        <v>0</v>
      </c>
      <c r="BP394">
        <v>4</v>
      </c>
      <c r="BQ394">
        <v>8</v>
      </c>
      <c r="BR394">
        <v>18</v>
      </c>
      <c r="BS394">
        <v>0</v>
      </c>
      <c r="BT394">
        <v>0</v>
      </c>
      <c r="BU394">
        <v>1</v>
      </c>
      <c r="BV394">
        <v>0</v>
      </c>
      <c r="BW394">
        <v>971</v>
      </c>
      <c r="BX394">
        <v>0</v>
      </c>
      <c r="BY394">
        <v>3</v>
      </c>
      <c r="BZ394">
        <v>0</v>
      </c>
      <c r="CA394">
        <v>0</v>
      </c>
      <c r="CB394">
        <v>7</v>
      </c>
      <c r="CC394">
        <v>4</v>
      </c>
      <c r="CD394">
        <v>2</v>
      </c>
      <c r="CE394">
        <v>1</v>
      </c>
      <c r="CF394">
        <v>4</v>
      </c>
      <c r="CG394">
        <v>1</v>
      </c>
      <c r="CH394">
        <v>829</v>
      </c>
      <c r="CI394">
        <v>19</v>
      </c>
      <c r="CJ394">
        <v>1</v>
      </c>
      <c r="CK394">
        <v>4</v>
      </c>
      <c r="CL394">
        <v>27</v>
      </c>
      <c r="CM394">
        <v>1</v>
      </c>
      <c r="CN394">
        <v>5</v>
      </c>
      <c r="CO394">
        <v>0</v>
      </c>
      <c r="CP394">
        <v>0</v>
      </c>
      <c r="CQ394">
        <v>1</v>
      </c>
      <c r="CR394">
        <v>2</v>
      </c>
      <c r="CS394">
        <v>949</v>
      </c>
      <c r="CT394">
        <v>0</v>
      </c>
      <c r="CU394">
        <v>0</v>
      </c>
      <c r="CV394">
        <v>0</v>
      </c>
      <c r="CW394">
        <v>1</v>
      </c>
      <c r="CX394">
        <v>37</v>
      </c>
      <c r="CY394">
        <v>46</v>
      </c>
      <c r="CZ394">
        <v>15</v>
      </c>
      <c r="DA394">
        <v>7</v>
      </c>
      <c r="DB394">
        <v>0</v>
      </c>
      <c r="DC394">
        <v>0</v>
      </c>
      <c r="DD394">
        <v>859</v>
      </c>
      <c r="DE394">
        <v>2</v>
      </c>
      <c r="DF394">
        <v>61</v>
      </c>
      <c r="DG394">
        <v>4</v>
      </c>
      <c r="DH394">
        <v>2</v>
      </c>
      <c r="DI394">
        <v>11</v>
      </c>
      <c r="DJ394">
        <v>5</v>
      </c>
      <c r="DK394">
        <v>7</v>
      </c>
      <c r="DL394">
        <v>2</v>
      </c>
      <c r="DM394">
        <v>9</v>
      </c>
      <c r="DN394">
        <v>4</v>
      </c>
      <c r="DO394">
        <v>902</v>
      </c>
      <c r="DP394">
        <v>28</v>
      </c>
      <c r="DQ394">
        <v>0</v>
      </c>
      <c r="DR394">
        <v>1</v>
      </c>
      <c r="DS394">
        <v>2</v>
      </c>
      <c r="DT394">
        <v>0</v>
      </c>
      <c r="DU394">
        <v>4</v>
      </c>
      <c r="DV394">
        <v>0</v>
      </c>
      <c r="DW394">
        <v>0</v>
      </c>
      <c r="DX394">
        <v>1</v>
      </c>
      <c r="DY394">
        <v>0</v>
      </c>
      <c r="DZ394">
        <v>1001</v>
      </c>
      <c r="EA394">
        <v>0.95679999999999998</v>
      </c>
      <c r="EB394">
        <v>0.95925750391835496</v>
      </c>
      <c r="EC394">
        <v>0.95638624468817302</v>
      </c>
      <c r="ED394">
        <v>0.95649316060992695</v>
      </c>
      <c r="EE394">
        <f>SUM(Table1[[#This Row],[ratio_0]:[ratio_9]])</f>
        <v>550</v>
      </c>
      <c r="EF394" s="1">
        <f>(Table1[[#This Row],[predicted_0]]-Table1[[#This Row],[actual_0]])/Table1[[#This Row],[actual_0]]</f>
        <v>-1.0204081632653062E-3</v>
      </c>
      <c r="EG394" s="1">
        <f>(Table1[[#This Row],[predicted_1]]-Table1[[#This Row],[actual_1]])/Table1[[#This Row],[actual_1]]</f>
        <v>4.0528634361233482E-2</v>
      </c>
      <c r="EH394" s="1">
        <f>(Table1[[#This Row],[predicted_2]]-Table1[[#This Row],[actual_2]])/Table1[[#This Row],[actual_2]]</f>
        <v>6.8798449612403098E-2</v>
      </c>
      <c r="EI394" s="1">
        <f>(Table1[[#This Row],[predicted_3]]-Table1[[#This Row],[actual_3]])/Table1[[#This Row],[actual_3]]</f>
        <v>-4.2574257425742577E-2</v>
      </c>
      <c r="EJ394" s="1">
        <f>(Table1[[#This Row],[predicted_4]]-Table1[[#This Row],[actual_4]])/Table1[[#This Row],[actual_4]]</f>
        <v>1.0183299389002037E-2</v>
      </c>
      <c r="EK394" s="1">
        <f>(Table1[[#This Row],[predicted_5]]-Table1[[#This Row],[actual_5]])/Table1[[#This Row],[actual_5]]</f>
        <v>-4.2600896860986545E-2</v>
      </c>
      <c r="EL394" s="1">
        <f>(Table1[[#This Row],[predicted_6]]-Table1[[#This Row],[actual_6]])/Table1[[#This Row],[actual_6]]</f>
        <v>3.1315240083507306E-2</v>
      </c>
      <c r="EM394" s="1">
        <f>(Table1[[#This Row],[predicted_7]]-Table1[[#This Row],[actual_7]])/Table1[[#This Row],[actual_7]]</f>
        <v>-0.15077821011673151</v>
      </c>
      <c r="EN394" s="1">
        <f>(Table1[[#This Row],[predicted_8]]-Table1[[#This Row],[actual_8]])/Table1[[#This Row],[actual_8]]</f>
        <v>-5.8521560574948665E-2</v>
      </c>
      <c r="EO394" s="1">
        <f>(Table1[[#This Row],[predicted_9]]-Table1[[#This Row],[actual_9]])/Table1[[#This Row],[actual_9]]</f>
        <v>0.13577799801783944</v>
      </c>
      <c r="EP394" s="1">
        <f>1+(Table1[[#This Row],[error_ratio_0]]-EF$2)</f>
        <v>0.99693877551020404</v>
      </c>
      <c r="EQ394" s="1">
        <f>1+(Table1[[#This Row],[error_ratio_1]]-EG$2)</f>
        <v>1.0387665198237885</v>
      </c>
      <c r="ER394" s="1">
        <f>1+(Table1[[#This Row],[error_ratio_2]]-EH$2)</f>
        <v>1.0736434108527131</v>
      </c>
      <c r="ES394" s="1">
        <f>1+(Table1[[#This Row],[error_ratio_3]]-EI$2)</f>
        <v>0.94752475247524748</v>
      </c>
      <c r="ET394" s="1">
        <f>1+(Table1[[#This Row],[error_ratio_4]]-EJ$2)</f>
        <v>1.0091649694501019</v>
      </c>
      <c r="EU394" s="1">
        <f>1+(Table1[[#This Row],[error_ratio_5]]-EK$2)</f>
        <v>0.95627802690582964</v>
      </c>
      <c r="EV394" s="1">
        <f>1+(Table1[[#This Row],[error_ratio_6]]-EL$2)</f>
        <v>1.0375782881002087</v>
      </c>
      <c r="EW394" s="1">
        <f>1+(Table1[[#This Row],[error_ratio_7]]-EM$2)</f>
        <v>0.84727626459143968</v>
      </c>
      <c r="EX394" s="1">
        <f>1+(Table1[[#This Row],[error_ratio_8]]-EN$2)</f>
        <v>0.94455852156057496</v>
      </c>
      <c r="EY394" s="1">
        <f>1+(Table1[[#This Row],[error_ratio_9]]-EO$2)</f>
        <v>1.1397423191278493</v>
      </c>
    </row>
    <row r="395" spans="1:155" x14ac:dyDescent="0.75">
      <c r="A395">
        <v>100</v>
      </c>
      <c r="B395">
        <v>10</v>
      </c>
      <c r="C395">
        <v>100</v>
      </c>
      <c r="D395">
        <v>10</v>
      </c>
      <c r="E395">
        <v>100</v>
      </c>
      <c r="F395">
        <v>10</v>
      </c>
      <c r="G395">
        <v>100</v>
      </c>
      <c r="H395">
        <v>10</v>
      </c>
      <c r="I395">
        <v>10</v>
      </c>
      <c r="J395">
        <v>100</v>
      </c>
      <c r="K395">
        <v>1016</v>
      </c>
      <c r="L395">
        <v>1153</v>
      </c>
      <c r="M395">
        <v>1052</v>
      </c>
      <c r="N395">
        <v>1007</v>
      </c>
      <c r="O395">
        <v>1032</v>
      </c>
      <c r="P395">
        <v>873</v>
      </c>
      <c r="Q395">
        <v>975</v>
      </c>
      <c r="R395">
        <v>988</v>
      </c>
      <c r="S395">
        <v>909</v>
      </c>
      <c r="T395">
        <v>995</v>
      </c>
      <c r="U395">
        <v>980</v>
      </c>
      <c r="V395">
        <v>1135</v>
      </c>
      <c r="W395">
        <v>1032</v>
      </c>
      <c r="X395">
        <v>1010</v>
      </c>
      <c r="Y395">
        <v>982</v>
      </c>
      <c r="Z395">
        <v>892</v>
      </c>
      <c r="AA395">
        <v>958</v>
      </c>
      <c r="AB395">
        <v>1028</v>
      </c>
      <c r="AC395">
        <v>974</v>
      </c>
      <c r="AD395">
        <v>1009</v>
      </c>
      <c r="AE395">
        <v>976</v>
      </c>
      <c r="AF395">
        <v>1</v>
      </c>
      <c r="AG395">
        <v>0</v>
      </c>
      <c r="AH395">
        <v>0</v>
      </c>
      <c r="AI395">
        <v>0</v>
      </c>
      <c r="AJ395">
        <v>0</v>
      </c>
      <c r="AK395">
        <v>1</v>
      </c>
      <c r="AL395">
        <v>1</v>
      </c>
      <c r="AM395">
        <v>1</v>
      </c>
      <c r="AN395">
        <v>0</v>
      </c>
      <c r="AO395">
        <v>0</v>
      </c>
      <c r="AP395">
        <v>1126</v>
      </c>
      <c r="AQ395">
        <v>2</v>
      </c>
      <c r="AR395">
        <v>3</v>
      </c>
      <c r="AS395">
        <v>0</v>
      </c>
      <c r="AT395">
        <v>1</v>
      </c>
      <c r="AU395">
        <v>2</v>
      </c>
      <c r="AV395">
        <v>0</v>
      </c>
      <c r="AW395">
        <v>1</v>
      </c>
      <c r="AX395">
        <v>0</v>
      </c>
      <c r="AY395">
        <v>4</v>
      </c>
      <c r="AZ395">
        <v>3</v>
      </c>
      <c r="BA395">
        <v>1017</v>
      </c>
      <c r="BB395">
        <v>1</v>
      </c>
      <c r="BC395">
        <v>2</v>
      </c>
      <c r="BD395">
        <v>0</v>
      </c>
      <c r="BE395">
        <v>0</v>
      </c>
      <c r="BF395">
        <v>5</v>
      </c>
      <c r="BG395">
        <v>0</v>
      </c>
      <c r="BH395">
        <v>0</v>
      </c>
      <c r="BI395">
        <v>5</v>
      </c>
      <c r="BJ395">
        <v>0</v>
      </c>
      <c r="BK395">
        <v>5</v>
      </c>
      <c r="BL395">
        <v>973</v>
      </c>
      <c r="BM395">
        <v>1</v>
      </c>
      <c r="BN395">
        <v>13</v>
      </c>
      <c r="BO395">
        <v>0</v>
      </c>
      <c r="BP395">
        <v>4</v>
      </c>
      <c r="BQ395">
        <v>3</v>
      </c>
      <c r="BR395">
        <v>6</v>
      </c>
      <c r="BS395">
        <v>0</v>
      </c>
      <c r="BT395">
        <v>3</v>
      </c>
      <c r="BU395">
        <v>3</v>
      </c>
      <c r="BV395">
        <v>0</v>
      </c>
      <c r="BW395">
        <v>973</v>
      </c>
      <c r="BX395">
        <v>0</v>
      </c>
      <c r="BY395">
        <v>3</v>
      </c>
      <c r="BZ395">
        <v>0</v>
      </c>
      <c r="CA395">
        <v>0</v>
      </c>
      <c r="CB395">
        <v>0</v>
      </c>
      <c r="CC395">
        <v>8</v>
      </c>
      <c r="CD395">
        <v>1</v>
      </c>
      <c r="CE395">
        <v>1</v>
      </c>
      <c r="CF395">
        <v>2</v>
      </c>
      <c r="CG395">
        <v>1</v>
      </c>
      <c r="CH395">
        <v>854</v>
      </c>
      <c r="CI395">
        <v>15</v>
      </c>
      <c r="CJ395">
        <v>2</v>
      </c>
      <c r="CK395">
        <v>2</v>
      </c>
      <c r="CL395">
        <v>6</v>
      </c>
      <c r="CM395">
        <v>6</v>
      </c>
      <c r="CN395">
        <v>3</v>
      </c>
      <c r="CO395">
        <v>1</v>
      </c>
      <c r="CP395">
        <v>0</v>
      </c>
      <c r="CQ395">
        <v>1</v>
      </c>
      <c r="CR395">
        <v>0</v>
      </c>
      <c r="CS395">
        <v>947</v>
      </c>
      <c r="CT395">
        <v>0</v>
      </c>
      <c r="CU395">
        <v>0</v>
      </c>
      <c r="CV395">
        <v>0</v>
      </c>
      <c r="CW395">
        <v>2</v>
      </c>
      <c r="CX395">
        <v>9</v>
      </c>
      <c r="CY395">
        <v>18</v>
      </c>
      <c r="CZ395">
        <v>15</v>
      </c>
      <c r="DA395">
        <v>10</v>
      </c>
      <c r="DB395">
        <v>0</v>
      </c>
      <c r="DC395">
        <v>0</v>
      </c>
      <c r="DD395">
        <v>967</v>
      </c>
      <c r="DE395">
        <v>1</v>
      </c>
      <c r="DF395">
        <v>6</v>
      </c>
      <c r="DG395">
        <v>9</v>
      </c>
      <c r="DH395">
        <v>5</v>
      </c>
      <c r="DI395">
        <v>5</v>
      </c>
      <c r="DJ395">
        <v>10</v>
      </c>
      <c r="DK395">
        <v>9</v>
      </c>
      <c r="DL395">
        <v>5</v>
      </c>
      <c r="DM395">
        <v>6</v>
      </c>
      <c r="DN395">
        <v>6</v>
      </c>
      <c r="DO395">
        <v>901</v>
      </c>
      <c r="DP395">
        <v>18</v>
      </c>
      <c r="DQ395">
        <v>6</v>
      </c>
      <c r="DR395">
        <v>2</v>
      </c>
      <c r="DS395">
        <v>0</v>
      </c>
      <c r="DT395">
        <v>3</v>
      </c>
      <c r="DU395">
        <v>35</v>
      </c>
      <c r="DV395">
        <v>0</v>
      </c>
      <c r="DW395">
        <v>1</v>
      </c>
      <c r="DX395">
        <v>3</v>
      </c>
      <c r="DY395">
        <v>0</v>
      </c>
      <c r="DZ395">
        <v>959</v>
      </c>
      <c r="EA395">
        <v>0.96930000000000005</v>
      </c>
      <c r="EB395">
        <v>0.96962897635040601</v>
      </c>
      <c r="EC395">
        <v>0.96897309832591505</v>
      </c>
      <c r="ED395">
        <v>0.96901891280750996</v>
      </c>
      <c r="EE395">
        <f>SUM(Table1[[#This Row],[ratio_0]:[ratio_9]])</f>
        <v>550</v>
      </c>
      <c r="EF395" s="1">
        <f>(Table1[[#This Row],[predicted_0]]-Table1[[#This Row],[actual_0]])/Table1[[#This Row],[actual_0]]</f>
        <v>3.6734693877551024E-2</v>
      </c>
      <c r="EG395" s="1">
        <f>(Table1[[#This Row],[predicted_1]]-Table1[[#This Row],[actual_1]])/Table1[[#This Row],[actual_1]]</f>
        <v>1.5859030837004406E-2</v>
      </c>
      <c r="EH395" s="1">
        <f>(Table1[[#This Row],[predicted_2]]-Table1[[#This Row],[actual_2]])/Table1[[#This Row],[actual_2]]</f>
        <v>1.937984496124031E-2</v>
      </c>
      <c r="EI395" s="1">
        <f>(Table1[[#This Row],[predicted_3]]-Table1[[#This Row],[actual_3]])/Table1[[#This Row],[actual_3]]</f>
        <v>-2.9702970297029703E-3</v>
      </c>
      <c r="EJ395" s="1">
        <f>(Table1[[#This Row],[predicted_4]]-Table1[[#This Row],[actual_4]])/Table1[[#This Row],[actual_4]]</f>
        <v>5.0916496945010187E-2</v>
      </c>
      <c r="EK395" s="1">
        <f>(Table1[[#This Row],[predicted_5]]-Table1[[#This Row],[actual_5]])/Table1[[#This Row],[actual_5]]</f>
        <v>-2.1300448430493273E-2</v>
      </c>
      <c r="EL395" s="1">
        <f>(Table1[[#This Row],[predicted_6]]-Table1[[#This Row],[actual_6]])/Table1[[#This Row],[actual_6]]</f>
        <v>1.7745302713987474E-2</v>
      </c>
      <c r="EM395" s="1">
        <f>(Table1[[#This Row],[predicted_7]]-Table1[[#This Row],[actual_7]])/Table1[[#This Row],[actual_7]]</f>
        <v>-3.8910505836575876E-2</v>
      </c>
      <c r="EN395" s="1">
        <f>(Table1[[#This Row],[predicted_8]]-Table1[[#This Row],[actual_8]])/Table1[[#This Row],[actual_8]]</f>
        <v>-6.6735112936344973E-2</v>
      </c>
      <c r="EO395" s="1">
        <f>(Table1[[#This Row],[predicted_9]]-Table1[[#This Row],[actual_9]])/Table1[[#This Row],[actual_9]]</f>
        <v>-1.3875123885034688E-2</v>
      </c>
      <c r="EP395" s="1">
        <f>1+(Table1[[#This Row],[error_ratio_0]]-EF$2)</f>
        <v>1.0346938775510204</v>
      </c>
      <c r="EQ395" s="1">
        <f>1+(Table1[[#This Row],[error_ratio_1]]-EG$2)</f>
        <v>1.0140969162995594</v>
      </c>
      <c r="ER395" s="1">
        <f>1+(Table1[[#This Row],[error_ratio_2]]-EH$2)</f>
        <v>1.0242248062015504</v>
      </c>
      <c r="ES395" s="1">
        <f>1+(Table1[[#This Row],[error_ratio_3]]-EI$2)</f>
        <v>0.98712871287128712</v>
      </c>
      <c r="ET395" s="1">
        <f>1+(Table1[[#This Row],[error_ratio_4]]-EJ$2)</f>
        <v>1.0498981670061101</v>
      </c>
      <c r="EU395" s="1">
        <f>1+(Table1[[#This Row],[error_ratio_5]]-EK$2)</f>
        <v>0.97757847533632292</v>
      </c>
      <c r="EV395" s="1">
        <f>1+(Table1[[#This Row],[error_ratio_6]]-EL$2)</f>
        <v>1.024008350730689</v>
      </c>
      <c r="EW395" s="1">
        <f>1+(Table1[[#This Row],[error_ratio_7]]-EM$2)</f>
        <v>0.95914396887159536</v>
      </c>
      <c r="EX395" s="1">
        <f>1+(Table1[[#This Row],[error_ratio_8]]-EN$2)</f>
        <v>0.93634496919917864</v>
      </c>
      <c r="EY395" s="1">
        <f>1+(Table1[[#This Row],[error_ratio_9]]-EO$2)</f>
        <v>0.99008919722497524</v>
      </c>
    </row>
    <row r="396" spans="1:155" x14ac:dyDescent="0.75">
      <c r="A396">
        <v>10</v>
      </c>
      <c r="B396">
        <v>10</v>
      </c>
      <c r="C396">
        <v>100</v>
      </c>
      <c r="D396">
        <v>10</v>
      </c>
      <c r="E396">
        <v>100</v>
      </c>
      <c r="F396">
        <v>10</v>
      </c>
      <c r="G396">
        <v>100</v>
      </c>
      <c r="H396">
        <v>10</v>
      </c>
      <c r="I396">
        <v>10</v>
      </c>
      <c r="J396">
        <v>100</v>
      </c>
      <c r="K396">
        <v>960</v>
      </c>
      <c r="L396">
        <v>1101</v>
      </c>
      <c r="M396">
        <v>1125</v>
      </c>
      <c r="N396">
        <v>1515</v>
      </c>
      <c r="O396">
        <v>982</v>
      </c>
      <c r="P396">
        <v>821</v>
      </c>
      <c r="Q396">
        <v>991</v>
      </c>
      <c r="R396">
        <v>109</v>
      </c>
      <c r="S396">
        <v>921</v>
      </c>
      <c r="T396">
        <v>1475</v>
      </c>
      <c r="U396">
        <v>980</v>
      </c>
      <c r="V396">
        <v>1135</v>
      </c>
      <c r="W396">
        <v>1032</v>
      </c>
      <c r="X396">
        <v>1010</v>
      </c>
      <c r="Y396">
        <v>982</v>
      </c>
      <c r="Z396">
        <v>892</v>
      </c>
      <c r="AA396">
        <v>958</v>
      </c>
      <c r="AB396">
        <v>1028</v>
      </c>
      <c r="AC396">
        <v>974</v>
      </c>
      <c r="AD396">
        <v>1009</v>
      </c>
      <c r="AE396">
        <v>940</v>
      </c>
      <c r="AF396">
        <v>1</v>
      </c>
      <c r="AG396">
        <v>3</v>
      </c>
      <c r="AH396">
        <v>1</v>
      </c>
      <c r="AI396">
        <v>1</v>
      </c>
      <c r="AJ396">
        <v>1</v>
      </c>
      <c r="AK396">
        <v>8</v>
      </c>
      <c r="AL396">
        <v>0</v>
      </c>
      <c r="AM396">
        <v>2</v>
      </c>
      <c r="AN396">
        <v>23</v>
      </c>
      <c r="AO396">
        <v>0</v>
      </c>
      <c r="AP396">
        <v>1097</v>
      </c>
      <c r="AQ396">
        <v>6</v>
      </c>
      <c r="AR396">
        <v>13</v>
      </c>
      <c r="AS396">
        <v>0</v>
      </c>
      <c r="AT396">
        <v>1</v>
      </c>
      <c r="AU396">
        <v>6</v>
      </c>
      <c r="AV396">
        <v>0</v>
      </c>
      <c r="AW396">
        <v>7</v>
      </c>
      <c r="AX396">
        <v>5</v>
      </c>
      <c r="AY396">
        <v>0</v>
      </c>
      <c r="AZ396">
        <v>0</v>
      </c>
      <c r="BA396">
        <v>1022</v>
      </c>
      <c r="BB396">
        <v>5</v>
      </c>
      <c r="BC396">
        <v>0</v>
      </c>
      <c r="BD396">
        <v>0</v>
      </c>
      <c r="BE396">
        <v>4</v>
      </c>
      <c r="BF396">
        <v>0</v>
      </c>
      <c r="BG396">
        <v>1</v>
      </c>
      <c r="BH396">
        <v>0</v>
      </c>
      <c r="BI396">
        <v>0</v>
      </c>
      <c r="BJ396">
        <v>0</v>
      </c>
      <c r="BK396">
        <v>13</v>
      </c>
      <c r="BL396">
        <v>967</v>
      </c>
      <c r="BM396">
        <v>0</v>
      </c>
      <c r="BN396">
        <v>11</v>
      </c>
      <c r="BO396">
        <v>2</v>
      </c>
      <c r="BP396">
        <v>0</v>
      </c>
      <c r="BQ396">
        <v>1</v>
      </c>
      <c r="BR396">
        <v>16</v>
      </c>
      <c r="BS396">
        <v>0</v>
      </c>
      <c r="BT396">
        <v>0</v>
      </c>
      <c r="BU396">
        <v>0</v>
      </c>
      <c r="BV396">
        <v>1</v>
      </c>
      <c r="BW396">
        <v>966</v>
      </c>
      <c r="BX396">
        <v>0</v>
      </c>
      <c r="BY396">
        <v>2</v>
      </c>
      <c r="BZ396">
        <v>0</v>
      </c>
      <c r="CA396">
        <v>0</v>
      </c>
      <c r="CB396">
        <v>13</v>
      </c>
      <c r="CC396">
        <v>3</v>
      </c>
      <c r="CD396">
        <v>0</v>
      </c>
      <c r="CE396">
        <v>1</v>
      </c>
      <c r="CF396">
        <v>9</v>
      </c>
      <c r="CG396">
        <v>0</v>
      </c>
      <c r="CH396">
        <v>803</v>
      </c>
      <c r="CI396">
        <v>12</v>
      </c>
      <c r="CJ396">
        <v>0</v>
      </c>
      <c r="CK396">
        <v>22</v>
      </c>
      <c r="CL396">
        <v>42</v>
      </c>
      <c r="CM396">
        <v>2</v>
      </c>
      <c r="CN396">
        <v>1</v>
      </c>
      <c r="CO396">
        <v>1</v>
      </c>
      <c r="CP396">
        <v>1</v>
      </c>
      <c r="CQ396">
        <v>1</v>
      </c>
      <c r="CR396">
        <v>0</v>
      </c>
      <c r="CS396">
        <v>951</v>
      </c>
      <c r="CT396">
        <v>0</v>
      </c>
      <c r="CU396">
        <v>1</v>
      </c>
      <c r="CV396">
        <v>0</v>
      </c>
      <c r="CW396">
        <v>1</v>
      </c>
      <c r="CX396">
        <v>1</v>
      </c>
      <c r="CY396">
        <v>55</v>
      </c>
      <c r="CZ396">
        <v>510</v>
      </c>
      <c r="DA396">
        <v>6</v>
      </c>
      <c r="DB396">
        <v>3</v>
      </c>
      <c r="DC396">
        <v>0</v>
      </c>
      <c r="DD396">
        <v>109</v>
      </c>
      <c r="DE396">
        <v>12</v>
      </c>
      <c r="DF396">
        <v>331</v>
      </c>
      <c r="DG396">
        <v>13</v>
      </c>
      <c r="DH396">
        <v>0</v>
      </c>
      <c r="DI396">
        <v>24</v>
      </c>
      <c r="DJ396">
        <v>7</v>
      </c>
      <c r="DK396">
        <v>4</v>
      </c>
      <c r="DL396">
        <v>2</v>
      </c>
      <c r="DM396">
        <v>6</v>
      </c>
      <c r="DN396">
        <v>0</v>
      </c>
      <c r="DO396">
        <v>874</v>
      </c>
      <c r="DP396">
        <v>44</v>
      </c>
      <c r="DQ396">
        <v>1</v>
      </c>
      <c r="DR396">
        <v>1</v>
      </c>
      <c r="DS396">
        <v>0</v>
      </c>
      <c r="DT396">
        <v>1</v>
      </c>
      <c r="DU396">
        <v>4</v>
      </c>
      <c r="DV396">
        <v>0</v>
      </c>
      <c r="DW396">
        <v>0</v>
      </c>
      <c r="DX396">
        <v>0</v>
      </c>
      <c r="DY396">
        <v>1</v>
      </c>
      <c r="DZ396">
        <v>1001</v>
      </c>
      <c r="EA396">
        <v>0.873</v>
      </c>
      <c r="EB396">
        <v>0.90712934281373803</v>
      </c>
      <c r="EC396">
        <v>0.87454964458901796</v>
      </c>
      <c r="ED396">
        <v>0.84810881199795696</v>
      </c>
      <c r="EE396">
        <f>SUM(Table1[[#This Row],[ratio_0]:[ratio_9]])</f>
        <v>460</v>
      </c>
      <c r="EF396" s="1">
        <f>(Table1[[#This Row],[predicted_0]]-Table1[[#This Row],[actual_0]])/Table1[[#This Row],[actual_0]]</f>
        <v>-2.0408163265306121E-2</v>
      </c>
      <c r="EG396" s="1">
        <f>(Table1[[#This Row],[predicted_1]]-Table1[[#This Row],[actual_1]])/Table1[[#This Row],[actual_1]]</f>
        <v>-2.9955947136563875E-2</v>
      </c>
      <c r="EH396" s="1">
        <f>(Table1[[#This Row],[predicted_2]]-Table1[[#This Row],[actual_2]])/Table1[[#This Row],[actual_2]]</f>
        <v>9.0116279069767435E-2</v>
      </c>
      <c r="EI396" s="1">
        <f>(Table1[[#This Row],[predicted_3]]-Table1[[#This Row],[actual_3]])/Table1[[#This Row],[actual_3]]</f>
        <v>0.5</v>
      </c>
      <c r="EJ396" s="1">
        <f>(Table1[[#This Row],[predicted_4]]-Table1[[#This Row],[actual_4]])/Table1[[#This Row],[actual_4]]</f>
        <v>0</v>
      </c>
      <c r="EK396" s="1">
        <f>(Table1[[#This Row],[predicted_5]]-Table1[[#This Row],[actual_5]])/Table1[[#This Row],[actual_5]]</f>
        <v>-7.9596412556053805E-2</v>
      </c>
      <c r="EL396" s="1">
        <f>(Table1[[#This Row],[predicted_6]]-Table1[[#This Row],[actual_6]])/Table1[[#This Row],[actual_6]]</f>
        <v>3.444676409185804E-2</v>
      </c>
      <c r="EM396" s="1">
        <f>(Table1[[#This Row],[predicted_7]]-Table1[[#This Row],[actual_7]])/Table1[[#This Row],[actual_7]]</f>
        <v>-0.89396887159533078</v>
      </c>
      <c r="EN396" s="1">
        <f>(Table1[[#This Row],[predicted_8]]-Table1[[#This Row],[actual_8]])/Table1[[#This Row],[actual_8]]</f>
        <v>-5.4414784394250515E-2</v>
      </c>
      <c r="EO396" s="1">
        <f>(Table1[[#This Row],[predicted_9]]-Table1[[#This Row],[actual_9]])/Table1[[#This Row],[actual_9]]</f>
        <v>0.46184340931615459</v>
      </c>
      <c r="EP396" s="1">
        <f>1+(Table1[[#This Row],[error_ratio_0]]-EF$2)</f>
        <v>0.97755102040816322</v>
      </c>
      <c r="EQ396" s="1">
        <f>1+(Table1[[#This Row],[error_ratio_1]]-EG$2)</f>
        <v>0.96828193832599119</v>
      </c>
      <c r="ER396" s="1">
        <f>1+(Table1[[#This Row],[error_ratio_2]]-EH$2)</f>
        <v>1.0949612403100775</v>
      </c>
      <c r="ES396" s="1">
        <f>1+(Table1[[#This Row],[error_ratio_3]]-EI$2)</f>
        <v>1.4900990099009901</v>
      </c>
      <c r="ET396" s="1">
        <f>1+(Table1[[#This Row],[error_ratio_4]]-EJ$2)</f>
        <v>0.99898167006109984</v>
      </c>
      <c r="EU396" s="1">
        <f>1+(Table1[[#This Row],[error_ratio_5]]-EK$2)</f>
        <v>0.91928251121076232</v>
      </c>
      <c r="EV396" s="1">
        <f>1+(Table1[[#This Row],[error_ratio_6]]-EL$2)</f>
        <v>1.0407098121085594</v>
      </c>
      <c r="EW396" s="1">
        <f>1+(Table1[[#This Row],[error_ratio_7]]-EM$2)</f>
        <v>0.10408560311284043</v>
      </c>
      <c r="EX396" s="1">
        <f>1+(Table1[[#This Row],[error_ratio_8]]-EN$2)</f>
        <v>0.94866529774127306</v>
      </c>
      <c r="EY396" s="1">
        <f>1+(Table1[[#This Row],[error_ratio_9]]-EO$2)</f>
        <v>1.4658077304261645</v>
      </c>
    </row>
    <row r="397" spans="1:155" x14ac:dyDescent="0.75">
      <c r="A397">
        <v>100</v>
      </c>
      <c r="B397">
        <v>100</v>
      </c>
      <c r="C397">
        <v>10</v>
      </c>
      <c r="D397">
        <v>10</v>
      </c>
      <c r="E397">
        <v>100</v>
      </c>
      <c r="F397">
        <v>10</v>
      </c>
      <c r="G397">
        <v>100</v>
      </c>
      <c r="H397">
        <v>10</v>
      </c>
      <c r="I397">
        <v>10</v>
      </c>
      <c r="J397">
        <v>100</v>
      </c>
      <c r="K397">
        <v>999</v>
      </c>
      <c r="L397">
        <v>1173</v>
      </c>
      <c r="M397">
        <v>1091</v>
      </c>
      <c r="N397">
        <v>952</v>
      </c>
      <c r="O397">
        <v>993</v>
      </c>
      <c r="P397">
        <v>914</v>
      </c>
      <c r="Q397">
        <v>984</v>
      </c>
      <c r="R397">
        <v>932</v>
      </c>
      <c r="S397">
        <v>936</v>
      </c>
      <c r="T397">
        <v>1026</v>
      </c>
      <c r="U397">
        <v>980</v>
      </c>
      <c r="V397">
        <v>1135</v>
      </c>
      <c r="W397">
        <v>1032</v>
      </c>
      <c r="X397">
        <v>1010</v>
      </c>
      <c r="Y397">
        <v>982</v>
      </c>
      <c r="Z397">
        <v>892</v>
      </c>
      <c r="AA397">
        <v>958</v>
      </c>
      <c r="AB397">
        <v>1028</v>
      </c>
      <c r="AC397">
        <v>974</v>
      </c>
      <c r="AD397">
        <v>1009</v>
      </c>
      <c r="AE397">
        <v>975</v>
      </c>
      <c r="AF397">
        <v>0</v>
      </c>
      <c r="AG397">
        <v>0</v>
      </c>
      <c r="AH397">
        <v>0</v>
      </c>
      <c r="AI397">
        <v>0</v>
      </c>
      <c r="AJ397">
        <v>0</v>
      </c>
      <c r="AK397">
        <v>1</v>
      </c>
      <c r="AL397">
        <v>1</v>
      </c>
      <c r="AM397">
        <v>1</v>
      </c>
      <c r="AN397">
        <v>2</v>
      </c>
      <c r="AO397">
        <v>0</v>
      </c>
      <c r="AP397">
        <v>1132</v>
      </c>
      <c r="AQ397">
        <v>0</v>
      </c>
      <c r="AR397">
        <v>0</v>
      </c>
      <c r="AS397">
        <v>0</v>
      </c>
      <c r="AT397">
        <v>0</v>
      </c>
      <c r="AU397">
        <v>2</v>
      </c>
      <c r="AV397">
        <v>0</v>
      </c>
      <c r="AW397">
        <v>1</v>
      </c>
      <c r="AX397">
        <v>0</v>
      </c>
      <c r="AY397">
        <v>2</v>
      </c>
      <c r="AZ397">
        <v>12</v>
      </c>
      <c r="BA397">
        <v>1002</v>
      </c>
      <c r="BB397">
        <v>0</v>
      </c>
      <c r="BC397">
        <v>1</v>
      </c>
      <c r="BD397">
        <v>0</v>
      </c>
      <c r="BE397">
        <v>6</v>
      </c>
      <c r="BF397">
        <v>5</v>
      </c>
      <c r="BG397">
        <v>3</v>
      </c>
      <c r="BH397">
        <v>1</v>
      </c>
      <c r="BI397">
        <v>0</v>
      </c>
      <c r="BJ397">
        <v>1</v>
      </c>
      <c r="BK397">
        <v>17</v>
      </c>
      <c r="BL397">
        <v>940</v>
      </c>
      <c r="BM397">
        <v>0</v>
      </c>
      <c r="BN397">
        <v>28</v>
      </c>
      <c r="BO397">
        <v>0</v>
      </c>
      <c r="BP397">
        <v>6</v>
      </c>
      <c r="BQ397">
        <v>11</v>
      </c>
      <c r="BR397">
        <v>7</v>
      </c>
      <c r="BS397">
        <v>1</v>
      </c>
      <c r="BT397">
        <v>0</v>
      </c>
      <c r="BU397">
        <v>0</v>
      </c>
      <c r="BV397">
        <v>0</v>
      </c>
      <c r="BW397">
        <v>969</v>
      </c>
      <c r="BX397">
        <v>0</v>
      </c>
      <c r="BY397">
        <v>8</v>
      </c>
      <c r="BZ397">
        <v>0</v>
      </c>
      <c r="CA397">
        <v>2</v>
      </c>
      <c r="CB397">
        <v>2</v>
      </c>
      <c r="CC397">
        <v>4</v>
      </c>
      <c r="CD397">
        <v>0</v>
      </c>
      <c r="CE397">
        <v>0</v>
      </c>
      <c r="CF397">
        <v>6</v>
      </c>
      <c r="CG397">
        <v>0</v>
      </c>
      <c r="CH397">
        <v>866</v>
      </c>
      <c r="CI397">
        <v>8</v>
      </c>
      <c r="CJ397">
        <v>2</v>
      </c>
      <c r="CK397">
        <v>1</v>
      </c>
      <c r="CL397">
        <v>5</v>
      </c>
      <c r="CM397">
        <v>12</v>
      </c>
      <c r="CN397">
        <v>2</v>
      </c>
      <c r="CO397">
        <v>0</v>
      </c>
      <c r="CP397">
        <v>0</v>
      </c>
      <c r="CQ397">
        <v>1</v>
      </c>
      <c r="CR397">
        <v>3</v>
      </c>
      <c r="CS397">
        <v>940</v>
      </c>
      <c r="CT397">
        <v>0</v>
      </c>
      <c r="CU397">
        <v>0</v>
      </c>
      <c r="CV397">
        <v>0</v>
      </c>
      <c r="CW397">
        <v>1</v>
      </c>
      <c r="CX397">
        <v>23</v>
      </c>
      <c r="CY397">
        <v>64</v>
      </c>
      <c r="CZ397">
        <v>0</v>
      </c>
      <c r="DA397">
        <v>2</v>
      </c>
      <c r="DB397">
        <v>1</v>
      </c>
      <c r="DC397">
        <v>0</v>
      </c>
      <c r="DD397">
        <v>912</v>
      </c>
      <c r="DE397">
        <v>4</v>
      </c>
      <c r="DF397">
        <v>21</v>
      </c>
      <c r="DG397">
        <v>3</v>
      </c>
      <c r="DH397">
        <v>0</v>
      </c>
      <c r="DI397">
        <v>6</v>
      </c>
      <c r="DJ397">
        <v>4</v>
      </c>
      <c r="DK397">
        <v>5</v>
      </c>
      <c r="DL397">
        <v>10</v>
      </c>
      <c r="DM397">
        <v>19</v>
      </c>
      <c r="DN397">
        <v>5</v>
      </c>
      <c r="DO397">
        <v>913</v>
      </c>
      <c r="DP397">
        <v>9</v>
      </c>
      <c r="DQ397">
        <v>1</v>
      </c>
      <c r="DR397">
        <v>3</v>
      </c>
      <c r="DS397">
        <v>2</v>
      </c>
      <c r="DT397">
        <v>2</v>
      </c>
      <c r="DU397">
        <v>15</v>
      </c>
      <c r="DV397">
        <v>6</v>
      </c>
      <c r="DW397">
        <v>0</v>
      </c>
      <c r="DX397">
        <v>1</v>
      </c>
      <c r="DY397">
        <v>0</v>
      </c>
      <c r="DZ397">
        <v>979</v>
      </c>
      <c r="EA397">
        <v>0.96279999999999999</v>
      </c>
      <c r="EB397">
        <v>0.96335994002658698</v>
      </c>
      <c r="EC397">
        <v>0.96275014619171895</v>
      </c>
      <c r="ED397">
        <v>0.96255959596948204</v>
      </c>
      <c r="EE397">
        <f>SUM(Table1[[#This Row],[ratio_0]:[ratio_9]])</f>
        <v>550</v>
      </c>
      <c r="EF397" s="1">
        <f>(Table1[[#This Row],[predicted_0]]-Table1[[#This Row],[actual_0]])/Table1[[#This Row],[actual_0]]</f>
        <v>1.9387755102040816E-2</v>
      </c>
      <c r="EG397" s="1">
        <f>(Table1[[#This Row],[predicted_1]]-Table1[[#This Row],[actual_1]])/Table1[[#This Row],[actual_1]]</f>
        <v>3.3480176211453744E-2</v>
      </c>
      <c r="EH397" s="1">
        <f>(Table1[[#This Row],[predicted_2]]-Table1[[#This Row],[actual_2]])/Table1[[#This Row],[actual_2]]</f>
        <v>5.7170542635658912E-2</v>
      </c>
      <c r="EI397" s="1">
        <f>(Table1[[#This Row],[predicted_3]]-Table1[[#This Row],[actual_3]])/Table1[[#This Row],[actual_3]]</f>
        <v>-5.7425742574257428E-2</v>
      </c>
      <c r="EJ397" s="1">
        <f>(Table1[[#This Row],[predicted_4]]-Table1[[#This Row],[actual_4]])/Table1[[#This Row],[actual_4]]</f>
        <v>1.1201629327902239E-2</v>
      </c>
      <c r="EK397" s="1">
        <f>(Table1[[#This Row],[predicted_5]]-Table1[[#This Row],[actual_5]])/Table1[[#This Row],[actual_5]]</f>
        <v>2.4663677130044841E-2</v>
      </c>
      <c r="EL397" s="1">
        <f>(Table1[[#This Row],[predicted_6]]-Table1[[#This Row],[actual_6]])/Table1[[#This Row],[actual_6]]</f>
        <v>2.7139874739039668E-2</v>
      </c>
      <c r="EM397" s="1">
        <f>(Table1[[#This Row],[predicted_7]]-Table1[[#This Row],[actual_7]])/Table1[[#This Row],[actual_7]]</f>
        <v>-9.3385214007782102E-2</v>
      </c>
      <c r="EN397" s="1">
        <f>(Table1[[#This Row],[predicted_8]]-Table1[[#This Row],[actual_8]])/Table1[[#This Row],[actual_8]]</f>
        <v>-3.9014373716632446E-2</v>
      </c>
      <c r="EO397" s="1">
        <f>(Table1[[#This Row],[predicted_9]]-Table1[[#This Row],[actual_9]])/Table1[[#This Row],[actual_9]]</f>
        <v>1.6848364717542121E-2</v>
      </c>
      <c r="EP397" s="1">
        <f>1+(Table1[[#This Row],[error_ratio_0]]-EF$2)</f>
        <v>1.0173469387755103</v>
      </c>
      <c r="EQ397" s="1">
        <f>1+(Table1[[#This Row],[error_ratio_1]]-EG$2)</f>
        <v>1.0317180616740087</v>
      </c>
      <c r="ER397" s="1">
        <f>1+(Table1[[#This Row],[error_ratio_2]]-EH$2)</f>
        <v>1.0620155038759691</v>
      </c>
      <c r="ES397" s="1">
        <f>1+(Table1[[#This Row],[error_ratio_3]]-EI$2)</f>
        <v>0.93267326732673261</v>
      </c>
      <c r="ET397" s="1">
        <f>1+(Table1[[#This Row],[error_ratio_4]]-EJ$2)</f>
        <v>1.0101832993890021</v>
      </c>
      <c r="EU397" s="1">
        <f>1+(Table1[[#This Row],[error_ratio_5]]-EK$2)</f>
        <v>1.0235426008968609</v>
      </c>
      <c r="EV397" s="1">
        <f>1+(Table1[[#This Row],[error_ratio_6]]-EL$2)</f>
        <v>1.0334029227557411</v>
      </c>
      <c r="EW397" s="1">
        <f>1+(Table1[[#This Row],[error_ratio_7]]-EM$2)</f>
        <v>0.90466926070038911</v>
      </c>
      <c r="EX397" s="1">
        <f>1+(Table1[[#This Row],[error_ratio_8]]-EN$2)</f>
        <v>0.96406570841889117</v>
      </c>
      <c r="EY397" s="1">
        <f>1+(Table1[[#This Row],[error_ratio_9]]-EO$2)</f>
        <v>1.0208126858275521</v>
      </c>
    </row>
    <row r="398" spans="1:155" x14ac:dyDescent="0.75">
      <c r="A398">
        <v>100</v>
      </c>
      <c r="B398">
        <v>10</v>
      </c>
      <c r="C398">
        <v>10</v>
      </c>
      <c r="D398">
        <v>10</v>
      </c>
      <c r="E398">
        <v>100</v>
      </c>
      <c r="F398">
        <v>10</v>
      </c>
      <c r="G398">
        <v>100</v>
      </c>
      <c r="H398">
        <v>10</v>
      </c>
      <c r="I398">
        <v>10</v>
      </c>
      <c r="J398">
        <v>100</v>
      </c>
      <c r="K398">
        <v>1023</v>
      </c>
      <c r="L398">
        <v>1163</v>
      </c>
      <c r="M398">
        <v>986</v>
      </c>
      <c r="N398">
        <v>1003</v>
      </c>
      <c r="O398">
        <v>1018</v>
      </c>
      <c r="P398">
        <v>816</v>
      </c>
      <c r="Q398">
        <v>1007</v>
      </c>
      <c r="R398">
        <v>956</v>
      </c>
      <c r="S398">
        <v>883</v>
      </c>
      <c r="T398">
        <v>1145</v>
      </c>
      <c r="U398">
        <v>980</v>
      </c>
      <c r="V398">
        <v>1135</v>
      </c>
      <c r="W398">
        <v>1032</v>
      </c>
      <c r="X398">
        <v>1010</v>
      </c>
      <c r="Y398">
        <v>982</v>
      </c>
      <c r="Z398">
        <v>892</v>
      </c>
      <c r="AA398">
        <v>958</v>
      </c>
      <c r="AB398">
        <v>1028</v>
      </c>
      <c r="AC398">
        <v>974</v>
      </c>
      <c r="AD398">
        <v>1009</v>
      </c>
      <c r="AE398">
        <v>972</v>
      </c>
      <c r="AF398">
        <v>0</v>
      </c>
      <c r="AG398">
        <v>0</v>
      </c>
      <c r="AH398">
        <v>0</v>
      </c>
      <c r="AI398">
        <v>0</v>
      </c>
      <c r="AJ398">
        <v>0</v>
      </c>
      <c r="AK398">
        <v>4</v>
      </c>
      <c r="AL398">
        <v>1</v>
      </c>
      <c r="AM398">
        <v>1</v>
      </c>
      <c r="AN398">
        <v>2</v>
      </c>
      <c r="AO398">
        <v>0</v>
      </c>
      <c r="AP398">
        <v>1124</v>
      </c>
      <c r="AQ398">
        <v>0</v>
      </c>
      <c r="AR398">
        <v>4</v>
      </c>
      <c r="AS398">
        <v>0</v>
      </c>
      <c r="AT398">
        <v>2</v>
      </c>
      <c r="AU398">
        <v>3</v>
      </c>
      <c r="AV398">
        <v>0</v>
      </c>
      <c r="AW398">
        <v>1</v>
      </c>
      <c r="AX398">
        <v>1</v>
      </c>
      <c r="AY398">
        <v>15</v>
      </c>
      <c r="AZ398">
        <v>14</v>
      </c>
      <c r="BA398">
        <v>948</v>
      </c>
      <c r="BB398">
        <v>8</v>
      </c>
      <c r="BC398">
        <v>16</v>
      </c>
      <c r="BD398">
        <v>1</v>
      </c>
      <c r="BE398">
        <v>6</v>
      </c>
      <c r="BF398">
        <v>7</v>
      </c>
      <c r="BG398">
        <v>4</v>
      </c>
      <c r="BH398">
        <v>13</v>
      </c>
      <c r="BI398">
        <v>3</v>
      </c>
      <c r="BJ398">
        <v>0</v>
      </c>
      <c r="BK398">
        <v>4</v>
      </c>
      <c r="BL398">
        <v>971</v>
      </c>
      <c r="BM398">
        <v>0</v>
      </c>
      <c r="BN398">
        <v>11</v>
      </c>
      <c r="BO398">
        <v>1</v>
      </c>
      <c r="BP398">
        <v>6</v>
      </c>
      <c r="BQ398">
        <v>5</v>
      </c>
      <c r="BR398">
        <v>9</v>
      </c>
      <c r="BS398">
        <v>0</v>
      </c>
      <c r="BT398">
        <v>1</v>
      </c>
      <c r="BU398">
        <v>3</v>
      </c>
      <c r="BV398">
        <v>0</v>
      </c>
      <c r="BW398">
        <v>971</v>
      </c>
      <c r="BX398">
        <v>0</v>
      </c>
      <c r="BY398">
        <v>4</v>
      </c>
      <c r="BZ398">
        <v>0</v>
      </c>
      <c r="CA398">
        <v>0</v>
      </c>
      <c r="CB398">
        <v>3</v>
      </c>
      <c r="CC398">
        <v>8</v>
      </c>
      <c r="CD398">
        <v>0</v>
      </c>
      <c r="CE398">
        <v>0</v>
      </c>
      <c r="CF398">
        <v>9</v>
      </c>
      <c r="CG398">
        <v>0</v>
      </c>
      <c r="CH398">
        <v>799</v>
      </c>
      <c r="CI398">
        <v>22</v>
      </c>
      <c r="CJ398">
        <v>1</v>
      </c>
      <c r="CK398">
        <v>3</v>
      </c>
      <c r="CL398">
        <v>50</v>
      </c>
      <c r="CM398">
        <v>4</v>
      </c>
      <c r="CN398">
        <v>4</v>
      </c>
      <c r="CO398">
        <v>0</v>
      </c>
      <c r="CP398">
        <v>0</v>
      </c>
      <c r="CQ398">
        <v>0</v>
      </c>
      <c r="CR398">
        <v>1</v>
      </c>
      <c r="CS398">
        <v>949</v>
      </c>
      <c r="CT398">
        <v>0</v>
      </c>
      <c r="CU398">
        <v>0</v>
      </c>
      <c r="CV398">
        <v>0</v>
      </c>
      <c r="CW398">
        <v>1</v>
      </c>
      <c r="CX398">
        <v>8</v>
      </c>
      <c r="CY398">
        <v>27</v>
      </c>
      <c r="CZ398">
        <v>3</v>
      </c>
      <c r="DA398">
        <v>7</v>
      </c>
      <c r="DB398">
        <v>1</v>
      </c>
      <c r="DC398">
        <v>1</v>
      </c>
      <c r="DD398">
        <v>935</v>
      </c>
      <c r="DE398">
        <v>1</v>
      </c>
      <c r="DF398">
        <v>44</v>
      </c>
      <c r="DG398">
        <v>19</v>
      </c>
      <c r="DH398">
        <v>12</v>
      </c>
      <c r="DI398">
        <v>4</v>
      </c>
      <c r="DJ398">
        <v>7</v>
      </c>
      <c r="DK398">
        <v>12</v>
      </c>
      <c r="DL398">
        <v>1</v>
      </c>
      <c r="DM398">
        <v>17</v>
      </c>
      <c r="DN398">
        <v>4</v>
      </c>
      <c r="DO398">
        <v>868</v>
      </c>
      <c r="DP398">
        <v>30</v>
      </c>
      <c r="DQ398">
        <v>1</v>
      </c>
      <c r="DR398">
        <v>0</v>
      </c>
      <c r="DS398">
        <v>0</v>
      </c>
      <c r="DT398">
        <v>1</v>
      </c>
      <c r="DU398">
        <v>12</v>
      </c>
      <c r="DV398">
        <v>0</v>
      </c>
      <c r="DW398">
        <v>0</v>
      </c>
      <c r="DX398">
        <v>2</v>
      </c>
      <c r="DY398">
        <v>0</v>
      </c>
      <c r="DZ398">
        <v>993</v>
      </c>
      <c r="EA398">
        <v>0.95299999999999996</v>
      </c>
      <c r="EB398">
        <v>0.95498645470995402</v>
      </c>
      <c r="EC398">
        <v>0.95221258241769502</v>
      </c>
      <c r="ED398">
        <v>0.95249470289504601</v>
      </c>
      <c r="EE398">
        <f>SUM(Table1[[#This Row],[ratio_0]:[ratio_9]])</f>
        <v>460</v>
      </c>
      <c r="EF398" s="1">
        <f>(Table1[[#This Row],[predicted_0]]-Table1[[#This Row],[actual_0]])/Table1[[#This Row],[actual_0]]</f>
        <v>4.3877551020408162E-2</v>
      </c>
      <c r="EG398" s="1">
        <f>(Table1[[#This Row],[predicted_1]]-Table1[[#This Row],[actual_1]])/Table1[[#This Row],[actual_1]]</f>
        <v>2.4669603524229075E-2</v>
      </c>
      <c r="EH398" s="1">
        <f>(Table1[[#This Row],[predicted_2]]-Table1[[#This Row],[actual_2]])/Table1[[#This Row],[actual_2]]</f>
        <v>-4.4573643410852716E-2</v>
      </c>
      <c r="EI398" s="1">
        <f>(Table1[[#This Row],[predicted_3]]-Table1[[#This Row],[actual_3]])/Table1[[#This Row],[actual_3]]</f>
        <v>-6.9306930693069308E-3</v>
      </c>
      <c r="EJ398" s="1">
        <f>(Table1[[#This Row],[predicted_4]]-Table1[[#This Row],[actual_4]])/Table1[[#This Row],[actual_4]]</f>
        <v>3.6659877800407331E-2</v>
      </c>
      <c r="EK398" s="1">
        <f>(Table1[[#This Row],[predicted_5]]-Table1[[#This Row],[actual_5]])/Table1[[#This Row],[actual_5]]</f>
        <v>-8.520179372197309E-2</v>
      </c>
      <c r="EL398" s="1">
        <f>(Table1[[#This Row],[predicted_6]]-Table1[[#This Row],[actual_6]])/Table1[[#This Row],[actual_6]]</f>
        <v>5.1148225469728602E-2</v>
      </c>
      <c r="EM398" s="1">
        <f>(Table1[[#This Row],[predicted_7]]-Table1[[#This Row],[actual_7]])/Table1[[#This Row],[actual_7]]</f>
        <v>-7.0038910505836577E-2</v>
      </c>
      <c r="EN398" s="1">
        <f>(Table1[[#This Row],[predicted_8]]-Table1[[#This Row],[actual_8]])/Table1[[#This Row],[actual_8]]</f>
        <v>-9.3429158110882954E-2</v>
      </c>
      <c r="EO398" s="1">
        <f>(Table1[[#This Row],[predicted_9]]-Table1[[#This Row],[actual_9]])/Table1[[#This Row],[actual_9]]</f>
        <v>0.13478691774033696</v>
      </c>
      <c r="EP398" s="1">
        <f>1+(Table1[[#This Row],[error_ratio_0]]-EF$2)</f>
        <v>1.0418367346938775</v>
      </c>
      <c r="EQ398" s="1">
        <f>1+(Table1[[#This Row],[error_ratio_1]]-EG$2)</f>
        <v>1.0229074889867842</v>
      </c>
      <c r="ER398" s="1">
        <f>1+(Table1[[#This Row],[error_ratio_2]]-EH$2)</f>
        <v>0.9602713178294574</v>
      </c>
      <c r="ES398" s="1">
        <f>1+(Table1[[#This Row],[error_ratio_3]]-EI$2)</f>
        <v>0.98316831683168315</v>
      </c>
      <c r="ET398" s="1">
        <f>1+(Table1[[#This Row],[error_ratio_4]]-EJ$2)</f>
        <v>1.0356415478615071</v>
      </c>
      <c r="EU398" s="1">
        <f>1+(Table1[[#This Row],[error_ratio_5]]-EK$2)</f>
        <v>0.91367713004484308</v>
      </c>
      <c r="EV398" s="1">
        <f>1+(Table1[[#This Row],[error_ratio_6]]-EL$2)</f>
        <v>1.05741127348643</v>
      </c>
      <c r="EW398" s="1">
        <f>1+(Table1[[#This Row],[error_ratio_7]]-EM$2)</f>
        <v>0.92801556420233466</v>
      </c>
      <c r="EX398" s="1">
        <f>1+(Table1[[#This Row],[error_ratio_8]]-EN$2)</f>
        <v>0.90965092402464065</v>
      </c>
      <c r="EY398" s="1">
        <f>1+(Table1[[#This Row],[error_ratio_9]]-EO$2)</f>
        <v>1.1387512388503469</v>
      </c>
    </row>
    <row r="399" spans="1:155" x14ac:dyDescent="0.75">
      <c r="A399">
        <v>10</v>
      </c>
      <c r="B399">
        <v>10</v>
      </c>
      <c r="C399">
        <v>10</v>
      </c>
      <c r="D399">
        <v>10</v>
      </c>
      <c r="E399">
        <v>100</v>
      </c>
      <c r="F399">
        <v>10</v>
      </c>
      <c r="G399">
        <v>100</v>
      </c>
      <c r="H399">
        <v>10</v>
      </c>
      <c r="I399">
        <v>10</v>
      </c>
      <c r="J399">
        <v>100</v>
      </c>
      <c r="K399">
        <v>971</v>
      </c>
      <c r="L399">
        <v>1160</v>
      </c>
      <c r="M399">
        <v>936</v>
      </c>
      <c r="N399">
        <v>968</v>
      </c>
      <c r="O399">
        <v>1116</v>
      </c>
      <c r="P399">
        <v>864</v>
      </c>
      <c r="Q399">
        <v>986</v>
      </c>
      <c r="R399">
        <v>1090</v>
      </c>
      <c r="S399">
        <v>858</v>
      </c>
      <c r="T399">
        <v>1051</v>
      </c>
      <c r="U399">
        <v>980</v>
      </c>
      <c r="V399">
        <v>1135</v>
      </c>
      <c r="W399">
        <v>1032</v>
      </c>
      <c r="X399">
        <v>1010</v>
      </c>
      <c r="Y399">
        <v>982</v>
      </c>
      <c r="Z399">
        <v>892</v>
      </c>
      <c r="AA399">
        <v>958</v>
      </c>
      <c r="AB399">
        <v>1028</v>
      </c>
      <c r="AC399">
        <v>974</v>
      </c>
      <c r="AD399">
        <v>1009</v>
      </c>
      <c r="AE399">
        <v>944</v>
      </c>
      <c r="AF399">
        <v>1</v>
      </c>
      <c r="AG399">
        <v>0</v>
      </c>
      <c r="AH399">
        <v>0</v>
      </c>
      <c r="AI399">
        <v>15</v>
      </c>
      <c r="AJ399">
        <v>1</v>
      </c>
      <c r="AK399">
        <v>6</v>
      </c>
      <c r="AL399">
        <v>5</v>
      </c>
      <c r="AM399">
        <v>2</v>
      </c>
      <c r="AN399">
        <v>6</v>
      </c>
      <c r="AO399">
        <v>0</v>
      </c>
      <c r="AP399">
        <v>1126</v>
      </c>
      <c r="AQ399">
        <v>3</v>
      </c>
      <c r="AR399">
        <v>2</v>
      </c>
      <c r="AS399">
        <v>1</v>
      </c>
      <c r="AT399">
        <v>1</v>
      </c>
      <c r="AU399">
        <v>1</v>
      </c>
      <c r="AV399">
        <v>0</v>
      </c>
      <c r="AW399">
        <v>0</v>
      </c>
      <c r="AX399">
        <v>1</v>
      </c>
      <c r="AY399">
        <v>7</v>
      </c>
      <c r="AZ399">
        <v>6</v>
      </c>
      <c r="BA399">
        <v>925</v>
      </c>
      <c r="BB399">
        <v>8</v>
      </c>
      <c r="BC399">
        <v>20</v>
      </c>
      <c r="BD399">
        <v>0</v>
      </c>
      <c r="BE399">
        <v>1</v>
      </c>
      <c r="BF399">
        <v>62</v>
      </c>
      <c r="BG399">
        <v>1</v>
      </c>
      <c r="BH399">
        <v>2</v>
      </c>
      <c r="BI399">
        <v>1</v>
      </c>
      <c r="BJ399">
        <v>0</v>
      </c>
      <c r="BK399">
        <v>2</v>
      </c>
      <c r="BL399">
        <v>944</v>
      </c>
      <c r="BM399">
        <v>4</v>
      </c>
      <c r="BN399">
        <v>15</v>
      </c>
      <c r="BO399">
        <v>0</v>
      </c>
      <c r="BP399">
        <v>25</v>
      </c>
      <c r="BQ399">
        <v>0</v>
      </c>
      <c r="BR399">
        <v>19</v>
      </c>
      <c r="BS399">
        <v>0</v>
      </c>
      <c r="BT399">
        <v>0</v>
      </c>
      <c r="BU399">
        <v>0</v>
      </c>
      <c r="BV399">
        <v>0</v>
      </c>
      <c r="BW399">
        <v>974</v>
      </c>
      <c r="BX399">
        <v>0</v>
      </c>
      <c r="BY399">
        <v>5</v>
      </c>
      <c r="BZ399">
        <v>0</v>
      </c>
      <c r="CA399">
        <v>0</v>
      </c>
      <c r="CB399">
        <v>3</v>
      </c>
      <c r="CC399">
        <v>2</v>
      </c>
      <c r="CD399">
        <v>1</v>
      </c>
      <c r="CE399">
        <v>0</v>
      </c>
      <c r="CF399">
        <v>7</v>
      </c>
      <c r="CG399">
        <v>5</v>
      </c>
      <c r="CH399">
        <v>843</v>
      </c>
      <c r="CI399">
        <v>20</v>
      </c>
      <c r="CJ399">
        <v>2</v>
      </c>
      <c r="CK399">
        <v>2</v>
      </c>
      <c r="CL399">
        <v>10</v>
      </c>
      <c r="CM399">
        <v>5</v>
      </c>
      <c r="CN399">
        <v>3</v>
      </c>
      <c r="CO399">
        <v>0</v>
      </c>
      <c r="CP399">
        <v>0</v>
      </c>
      <c r="CQ399">
        <v>15</v>
      </c>
      <c r="CR399">
        <v>1</v>
      </c>
      <c r="CS399">
        <v>934</v>
      </c>
      <c r="CT399">
        <v>0</v>
      </c>
      <c r="CU399">
        <v>0</v>
      </c>
      <c r="CV399">
        <v>0</v>
      </c>
      <c r="CW399">
        <v>0</v>
      </c>
      <c r="CX399">
        <v>6</v>
      </c>
      <c r="CY399">
        <v>5</v>
      </c>
      <c r="CZ399">
        <v>0</v>
      </c>
      <c r="DA399">
        <v>5</v>
      </c>
      <c r="DB399">
        <v>1</v>
      </c>
      <c r="DC399">
        <v>1</v>
      </c>
      <c r="DD399">
        <v>982</v>
      </c>
      <c r="DE399">
        <v>0</v>
      </c>
      <c r="DF399">
        <v>28</v>
      </c>
      <c r="DG399">
        <v>10</v>
      </c>
      <c r="DH399">
        <v>16</v>
      </c>
      <c r="DI399">
        <v>1</v>
      </c>
      <c r="DJ399">
        <v>7</v>
      </c>
      <c r="DK399">
        <v>24</v>
      </c>
      <c r="DL399">
        <v>1</v>
      </c>
      <c r="DM399">
        <v>18</v>
      </c>
      <c r="DN399">
        <v>11</v>
      </c>
      <c r="DO399">
        <v>853</v>
      </c>
      <c r="DP399">
        <v>33</v>
      </c>
      <c r="DQ399">
        <v>2</v>
      </c>
      <c r="DR399">
        <v>1</v>
      </c>
      <c r="DS399">
        <v>0</v>
      </c>
      <c r="DT399">
        <v>0</v>
      </c>
      <c r="DU399">
        <v>53</v>
      </c>
      <c r="DV399">
        <v>1</v>
      </c>
      <c r="DW399">
        <v>0</v>
      </c>
      <c r="DX399">
        <v>3</v>
      </c>
      <c r="DY399">
        <v>0</v>
      </c>
      <c r="DZ399">
        <v>949</v>
      </c>
      <c r="EA399">
        <v>0.94740000000000002</v>
      </c>
      <c r="EB399">
        <v>0.95000932063833698</v>
      </c>
      <c r="EC399">
        <v>0.94697336406754995</v>
      </c>
      <c r="ED399">
        <v>0.94729298160684805</v>
      </c>
      <c r="EE399">
        <f>SUM(Table1[[#This Row],[ratio_0]:[ratio_9]])</f>
        <v>370</v>
      </c>
      <c r="EF399" s="1">
        <f>(Table1[[#This Row],[predicted_0]]-Table1[[#This Row],[actual_0]])/Table1[[#This Row],[actual_0]]</f>
        <v>-9.1836734693877559E-3</v>
      </c>
      <c r="EG399" s="1">
        <f>(Table1[[#This Row],[predicted_1]]-Table1[[#This Row],[actual_1]])/Table1[[#This Row],[actual_1]]</f>
        <v>2.2026431718061675E-2</v>
      </c>
      <c r="EH399" s="1">
        <f>(Table1[[#This Row],[predicted_2]]-Table1[[#This Row],[actual_2]])/Table1[[#This Row],[actual_2]]</f>
        <v>-9.3023255813953487E-2</v>
      </c>
      <c r="EI399" s="1">
        <f>(Table1[[#This Row],[predicted_3]]-Table1[[#This Row],[actual_3]])/Table1[[#This Row],[actual_3]]</f>
        <v>-4.1584158415841586E-2</v>
      </c>
      <c r="EJ399" s="1">
        <f>(Table1[[#This Row],[predicted_4]]-Table1[[#This Row],[actual_4]])/Table1[[#This Row],[actual_4]]</f>
        <v>0.13645621181262729</v>
      </c>
      <c r="EK399" s="1">
        <f>(Table1[[#This Row],[predicted_5]]-Table1[[#This Row],[actual_5]])/Table1[[#This Row],[actual_5]]</f>
        <v>-3.1390134529147982E-2</v>
      </c>
      <c r="EL399" s="1">
        <f>(Table1[[#This Row],[predicted_6]]-Table1[[#This Row],[actual_6]])/Table1[[#This Row],[actual_6]]</f>
        <v>2.9227557411273485E-2</v>
      </c>
      <c r="EM399" s="1">
        <f>(Table1[[#This Row],[predicted_7]]-Table1[[#This Row],[actual_7]])/Table1[[#This Row],[actual_7]]</f>
        <v>6.0311284046692608E-2</v>
      </c>
      <c r="EN399" s="1">
        <f>(Table1[[#This Row],[predicted_8]]-Table1[[#This Row],[actual_8]])/Table1[[#This Row],[actual_8]]</f>
        <v>-0.11909650924024641</v>
      </c>
      <c r="EO399" s="1">
        <f>(Table1[[#This Row],[predicted_9]]-Table1[[#This Row],[actual_9]])/Table1[[#This Row],[actual_9]]</f>
        <v>4.1625371655104063E-2</v>
      </c>
      <c r="EP399" s="1">
        <f>1+(Table1[[#This Row],[error_ratio_0]]-EF$2)</f>
        <v>0.98877551020408161</v>
      </c>
      <c r="EQ399" s="1">
        <f>1+(Table1[[#This Row],[error_ratio_1]]-EG$2)</f>
        <v>1.0202643171806167</v>
      </c>
      <c r="ER399" s="1">
        <f>1+(Table1[[#This Row],[error_ratio_2]]-EH$2)</f>
        <v>0.91182170542635654</v>
      </c>
      <c r="ES399" s="1">
        <f>1+(Table1[[#This Row],[error_ratio_3]]-EI$2)</f>
        <v>0.94851485148514847</v>
      </c>
      <c r="ET399" s="1">
        <f>1+(Table1[[#This Row],[error_ratio_4]]-EJ$2)</f>
        <v>1.1354378818737272</v>
      </c>
      <c r="EU399" s="1">
        <f>1+(Table1[[#This Row],[error_ratio_5]]-EK$2)</f>
        <v>0.96748878923766812</v>
      </c>
      <c r="EV399" s="1">
        <f>1+(Table1[[#This Row],[error_ratio_6]]-EL$2)</f>
        <v>1.0354906054279749</v>
      </c>
      <c r="EW399" s="1">
        <f>1+(Table1[[#This Row],[error_ratio_7]]-EM$2)</f>
        <v>1.0583657587548638</v>
      </c>
      <c r="EX399" s="1">
        <f>1+(Table1[[#This Row],[error_ratio_8]]-EN$2)</f>
        <v>0.88398357289527718</v>
      </c>
      <c r="EY399" s="1">
        <f>1+(Table1[[#This Row],[error_ratio_9]]-EO$2)</f>
        <v>1.045589692765114</v>
      </c>
    </row>
    <row r="400" spans="1:155" x14ac:dyDescent="0.75">
      <c r="A400">
        <v>100</v>
      </c>
      <c r="B400">
        <v>100</v>
      </c>
      <c r="C400">
        <v>100</v>
      </c>
      <c r="D400">
        <v>100</v>
      </c>
      <c r="E400">
        <v>10</v>
      </c>
      <c r="F400">
        <v>10</v>
      </c>
      <c r="G400">
        <v>100</v>
      </c>
      <c r="H400">
        <v>10</v>
      </c>
      <c r="I400">
        <v>10</v>
      </c>
      <c r="J400">
        <v>100</v>
      </c>
      <c r="K400">
        <v>978</v>
      </c>
      <c r="L400">
        <v>1144</v>
      </c>
      <c r="M400">
        <v>1125</v>
      </c>
      <c r="N400">
        <v>1100</v>
      </c>
      <c r="O400">
        <v>898</v>
      </c>
      <c r="P400">
        <v>893</v>
      </c>
      <c r="Q400">
        <v>978</v>
      </c>
      <c r="R400">
        <v>937</v>
      </c>
      <c r="S400">
        <v>826</v>
      </c>
      <c r="T400">
        <v>1121</v>
      </c>
      <c r="U400">
        <v>980</v>
      </c>
      <c r="V400">
        <v>1135</v>
      </c>
      <c r="W400">
        <v>1032</v>
      </c>
      <c r="X400">
        <v>1010</v>
      </c>
      <c r="Y400">
        <v>982</v>
      </c>
      <c r="Z400">
        <v>892</v>
      </c>
      <c r="AA400">
        <v>958</v>
      </c>
      <c r="AB400">
        <v>1028</v>
      </c>
      <c r="AC400">
        <v>974</v>
      </c>
      <c r="AD400">
        <v>1009</v>
      </c>
      <c r="AE400">
        <v>968</v>
      </c>
      <c r="AF400">
        <v>0</v>
      </c>
      <c r="AG400">
        <v>5</v>
      </c>
      <c r="AH400">
        <v>0</v>
      </c>
      <c r="AI400">
        <v>0</v>
      </c>
      <c r="AJ400">
        <v>1</v>
      </c>
      <c r="AK400">
        <v>2</v>
      </c>
      <c r="AL400">
        <v>1</v>
      </c>
      <c r="AM400">
        <v>1</v>
      </c>
      <c r="AN400">
        <v>2</v>
      </c>
      <c r="AO400">
        <v>0</v>
      </c>
      <c r="AP400">
        <v>1131</v>
      </c>
      <c r="AQ400">
        <v>1</v>
      </c>
      <c r="AR400">
        <v>2</v>
      </c>
      <c r="AS400">
        <v>0</v>
      </c>
      <c r="AT400">
        <v>0</v>
      </c>
      <c r="AU400">
        <v>0</v>
      </c>
      <c r="AV400">
        <v>0</v>
      </c>
      <c r="AW400">
        <v>0</v>
      </c>
      <c r="AX400">
        <v>1</v>
      </c>
      <c r="AY400">
        <v>0</v>
      </c>
      <c r="AZ400">
        <v>0</v>
      </c>
      <c r="BA400">
        <v>1026</v>
      </c>
      <c r="BB400">
        <v>3</v>
      </c>
      <c r="BC400">
        <v>0</v>
      </c>
      <c r="BD400">
        <v>0</v>
      </c>
      <c r="BE400">
        <v>1</v>
      </c>
      <c r="BF400">
        <v>1</v>
      </c>
      <c r="BG400">
        <v>0</v>
      </c>
      <c r="BH400">
        <v>1</v>
      </c>
      <c r="BI400">
        <v>0</v>
      </c>
      <c r="BJ400">
        <v>0</v>
      </c>
      <c r="BK400">
        <v>2</v>
      </c>
      <c r="BL400">
        <v>1005</v>
      </c>
      <c r="BM400">
        <v>0</v>
      </c>
      <c r="BN400">
        <v>2</v>
      </c>
      <c r="BO400">
        <v>0</v>
      </c>
      <c r="BP400">
        <v>1</v>
      </c>
      <c r="BQ400">
        <v>0</v>
      </c>
      <c r="BR400">
        <v>0</v>
      </c>
      <c r="BS400">
        <v>0</v>
      </c>
      <c r="BT400">
        <v>1</v>
      </c>
      <c r="BU400">
        <v>3</v>
      </c>
      <c r="BV400">
        <v>0</v>
      </c>
      <c r="BW400">
        <v>897</v>
      </c>
      <c r="BX400">
        <v>0</v>
      </c>
      <c r="BY400">
        <v>10</v>
      </c>
      <c r="BZ400">
        <v>2</v>
      </c>
      <c r="CA400">
        <v>0</v>
      </c>
      <c r="CB400">
        <v>69</v>
      </c>
      <c r="CC400">
        <v>2</v>
      </c>
      <c r="CD400">
        <v>0</v>
      </c>
      <c r="CE400">
        <v>2</v>
      </c>
      <c r="CF400">
        <v>17</v>
      </c>
      <c r="CG400">
        <v>0</v>
      </c>
      <c r="CH400">
        <v>863</v>
      </c>
      <c r="CI400">
        <v>8</v>
      </c>
      <c r="CJ400">
        <v>0</v>
      </c>
      <c r="CK400">
        <v>0</v>
      </c>
      <c r="CL400">
        <v>0</v>
      </c>
      <c r="CM400">
        <v>3</v>
      </c>
      <c r="CN400">
        <v>2</v>
      </c>
      <c r="CO400">
        <v>2</v>
      </c>
      <c r="CP400">
        <v>1</v>
      </c>
      <c r="CQ400">
        <v>1</v>
      </c>
      <c r="CR400">
        <v>2</v>
      </c>
      <c r="CS400">
        <v>947</v>
      </c>
      <c r="CT400">
        <v>0</v>
      </c>
      <c r="CU400">
        <v>0</v>
      </c>
      <c r="CV400">
        <v>0</v>
      </c>
      <c r="CW400">
        <v>1</v>
      </c>
      <c r="CX400">
        <v>7</v>
      </c>
      <c r="CY400">
        <v>38</v>
      </c>
      <c r="CZ400">
        <v>49</v>
      </c>
      <c r="DA400">
        <v>0</v>
      </c>
      <c r="DB400">
        <v>0</v>
      </c>
      <c r="DC400">
        <v>0</v>
      </c>
      <c r="DD400">
        <v>924</v>
      </c>
      <c r="DE400">
        <v>0</v>
      </c>
      <c r="DF400">
        <v>9</v>
      </c>
      <c r="DG400">
        <v>2</v>
      </c>
      <c r="DH400">
        <v>1</v>
      </c>
      <c r="DI400">
        <v>46</v>
      </c>
      <c r="DJ400">
        <v>22</v>
      </c>
      <c r="DK400">
        <v>0</v>
      </c>
      <c r="DL400">
        <v>22</v>
      </c>
      <c r="DM400">
        <v>10</v>
      </c>
      <c r="DN400">
        <v>6</v>
      </c>
      <c r="DO400">
        <v>825</v>
      </c>
      <c r="DP400">
        <v>40</v>
      </c>
      <c r="DQ400">
        <v>2</v>
      </c>
      <c r="DR400">
        <v>2</v>
      </c>
      <c r="DS400">
        <v>0</v>
      </c>
      <c r="DT400">
        <v>1</v>
      </c>
      <c r="DU400">
        <v>0</v>
      </c>
      <c r="DV400">
        <v>3</v>
      </c>
      <c r="DW400">
        <v>0</v>
      </c>
      <c r="DX400">
        <v>2</v>
      </c>
      <c r="DY400">
        <v>0</v>
      </c>
      <c r="DZ400">
        <v>999</v>
      </c>
      <c r="EA400">
        <v>0.95850000000000002</v>
      </c>
      <c r="EB400">
        <v>0.96137261058211598</v>
      </c>
      <c r="EC400">
        <v>0.957885938348078</v>
      </c>
      <c r="ED400">
        <v>0.95798932814793403</v>
      </c>
      <c r="EE400">
        <f>SUM(Table1[[#This Row],[ratio_0]:[ratio_9]])</f>
        <v>640</v>
      </c>
      <c r="EF400" s="1">
        <f>(Table1[[#This Row],[predicted_0]]-Table1[[#This Row],[actual_0]])/Table1[[#This Row],[actual_0]]</f>
        <v>-2.0408163265306124E-3</v>
      </c>
      <c r="EG400" s="1">
        <f>(Table1[[#This Row],[predicted_1]]-Table1[[#This Row],[actual_1]])/Table1[[#This Row],[actual_1]]</f>
        <v>7.9295154185022032E-3</v>
      </c>
      <c r="EH400" s="1">
        <f>(Table1[[#This Row],[predicted_2]]-Table1[[#This Row],[actual_2]])/Table1[[#This Row],[actual_2]]</f>
        <v>9.0116279069767435E-2</v>
      </c>
      <c r="EI400" s="1">
        <f>(Table1[[#This Row],[predicted_3]]-Table1[[#This Row],[actual_3]])/Table1[[#This Row],[actual_3]]</f>
        <v>8.9108910891089105E-2</v>
      </c>
      <c r="EJ400" s="1">
        <f>(Table1[[#This Row],[predicted_4]]-Table1[[#This Row],[actual_4]])/Table1[[#This Row],[actual_4]]</f>
        <v>-8.5539714867617106E-2</v>
      </c>
      <c r="EK400" s="1">
        <f>(Table1[[#This Row],[predicted_5]]-Table1[[#This Row],[actual_5]])/Table1[[#This Row],[actual_5]]</f>
        <v>1.1210762331838565E-3</v>
      </c>
      <c r="EL400" s="1">
        <f>(Table1[[#This Row],[predicted_6]]-Table1[[#This Row],[actual_6]])/Table1[[#This Row],[actual_6]]</f>
        <v>2.0876826722338204E-2</v>
      </c>
      <c r="EM400" s="1">
        <f>(Table1[[#This Row],[predicted_7]]-Table1[[#This Row],[actual_7]])/Table1[[#This Row],[actual_7]]</f>
        <v>-8.8521400778210121E-2</v>
      </c>
      <c r="EN400" s="1">
        <f>(Table1[[#This Row],[predicted_8]]-Table1[[#This Row],[actual_8]])/Table1[[#This Row],[actual_8]]</f>
        <v>-0.15195071868583163</v>
      </c>
      <c r="EO400" s="1">
        <f>(Table1[[#This Row],[predicted_9]]-Table1[[#This Row],[actual_9]])/Table1[[#This Row],[actual_9]]</f>
        <v>0.1110009910802775</v>
      </c>
      <c r="EP400" s="1">
        <f>1+(Table1[[#This Row],[error_ratio_0]]-EF$2)</f>
        <v>0.99591836734693873</v>
      </c>
      <c r="EQ400" s="1">
        <f>1+(Table1[[#This Row],[error_ratio_1]]-EG$2)</f>
        <v>1.0061674008810573</v>
      </c>
      <c r="ER400" s="1">
        <f>1+(Table1[[#This Row],[error_ratio_2]]-EH$2)</f>
        <v>1.0949612403100775</v>
      </c>
      <c r="ES400" s="1">
        <f>1+(Table1[[#This Row],[error_ratio_3]]-EI$2)</f>
        <v>1.0792079207920793</v>
      </c>
      <c r="ET400" s="1">
        <f>1+(Table1[[#This Row],[error_ratio_4]]-EJ$2)</f>
        <v>0.9134419551934827</v>
      </c>
      <c r="EU400" s="1">
        <f>1+(Table1[[#This Row],[error_ratio_5]]-EK$2)</f>
        <v>1</v>
      </c>
      <c r="EV400" s="1">
        <f>1+(Table1[[#This Row],[error_ratio_6]]-EL$2)</f>
        <v>1.0271398747390397</v>
      </c>
      <c r="EW400" s="1">
        <f>1+(Table1[[#This Row],[error_ratio_7]]-EM$2)</f>
        <v>0.90953307392996108</v>
      </c>
      <c r="EX400" s="1">
        <f>1+(Table1[[#This Row],[error_ratio_8]]-EN$2)</f>
        <v>0.85112936344969192</v>
      </c>
      <c r="EY400" s="1">
        <f>1+(Table1[[#This Row],[error_ratio_9]]-EO$2)</f>
        <v>1.1149653121902874</v>
      </c>
    </row>
    <row r="401" spans="1:155" x14ac:dyDescent="0.75">
      <c r="A401">
        <v>10</v>
      </c>
      <c r="B401">
        <v>100</v>
      </c>
      <c r="C401">
        <v>100</v>
      </c>
      <c r="D401">
        <v>100</v>
      </c>
      <c r="E401">
        <v>10</v>
      </c>
      <c r="F401">
        <v>10</v>
      </c>
      <c r="G401">
        <v>100</v>
      </c>
      <c r="H401">
        <v>10</v>
      </c>
      <c r="I401">
        <v>10</v>
      </c>
      <c r="J401">
        <v>100</v>
      </c>
      <c r="K401">
        <v>936</v>
      </c>
      <c r="L401">
        <v>1133</v>
      </c>
      <c r="M401">
        <v>1132</v>
      </c>
      <c r="N401">
        <v>1087</v>
      </c>
      <c r="O401">
        <v>882</v>
      </c>
      <c r="P401">
        <v>847</v>
      </c>
      <c r="Q401">
        <v>1024</v>
      </c>
      <c r="R401">
        <v>813</v>
      </c>
      <c r="S401">
        <v>909</v>
      </c>
      <c r="T401">
        <v>1237</v>
      </c>
      <c r="U401">
        <v>980</v>
      </c>
      <c r="V401">
        <v>1135</v>
      </c>
      <c r="W401">
        <v>1032</v>
      </c>
      <c r="X401">
        <v>1010</v>
      </c>
      <c r="Y401">
        <v>982</v>
      </c>
      <c r="Z401">
        <v>892</v>
      </c>
      <c r="AA401">
        <v>958</v>
      </c>
      <c r="AB401">
        <v>1028</v>
      </c>
      <c r="AC401">
        <v>974</v>
      </c>
      <c r="AD401">
        <v>1009</v>
      </c>
      <c r="AE401">
        <v>927</v>
      </c>
      <c r="AF401">
        <v>0</v>
      </c>
      <c r="AG401">
        <v>3</v>
      </c>
      <c r="AH401">
        <v>0</v>
      </c>
      <c r="AI401">
        <v>1</v>
      </c>
      <c r="AJ401">
        <v>3</v>
      </c>
      <c r="AK401">
        <v>29</v>
      </c>
      <c r="AL401">
        <v>2</v>
      </c>
      <c r="AM401">
        <v>5</v>
      </c>
      <c r="AN401">
        <v>10</v>
      </c>
      <c r="AO401">
        <v>0</v>
      </c>
      <c r="AP401">
        <v>1121</v>
      </c>
      <c r="AQ401">
        <v>0</v>
      </c>
      <c r="AR401">
        <v>5</v>
      </c>
      <c r="AS401">
        <v>0</v>
      </c>
      <c r="AT401">
        <v>0</v>
      </c>
      <c r="AU401">
        <v>4</v>
      </c>
      <c r="AV401">
        <v>0</v>
      </c>
      <c r="AW401">
        <v>2</v>
      </c>
      <c r="AX401">
        <v>3</v>
      </c>
      <c r="AY401">
        <v>0</v>
      </c>
      <c r="AZ401">
        <v>1</v>
      </c>
      <c r="BA401">
        <v>1026</v>
      </c>
      <c r="BB401">
        <v>2</v>
      </c>
      <c r="BC401">
        <v>0</v>
      </c>
      <c r="BD401">
        <v>0</v>
      </c>
      <c r="BE401">
        <v>1</v>
      </c>
      <c r="BF401">
        <v>0</v>
      </c>
      <c r="BG401">
        <v>1</v>
      </c>
      <c r="BH401">
        <v>1</v>
      </c>
      <c r="BI401">
        <v>0</v>
      </c>
      <c r="BJ401">
        <v>0</v>
      </c>
      <c r="BK401">
        <v>2</v>
      </c>
      <c r="BL401">
        <v>1003</v>
      </c>
      <c r="BM401">
        <v>0</v>
      </c>
      <c r="BN401">
        <v>1</v>
      </c>
      <c r="BO401">
        <v>0</v>
      </c>
      <c r="BP401">
        <v>1</v>
      </c>
      <c r="BQ401">
        <v>0</v>
      </c>
      <c r="BR401">
        <v>3</v>
      </c>
      <c r="BS401">
        <v>0</v>
      </c>
      <c r="BT401">
        <v>1</v>
      </c>
      <c r="BU401">
        <v>6</v>
      </c>
      <c r="BV401">
        <v>0</v>
      </c>
      <c r="BW401">
        <v>878</v>
      </c>
      <c r="BX401">
        <v>0</v>
      </c>
      <c r="BY401">
        <v>18</v>
      </c>
      <c r="BZ401">
        <v>0</v>
      </c>
      <c r="CA401">
        <v>1</v>
      </c>
      <c r="CB401">
        <v>78</v>
      </c>
      <c r="CC401">
        <v>2</v>
      </c>
      <c r="CD401">
        <v>0</v>
      </c>
      <c r="CE401">
        <v>2</v>
      </c>
      <c r="CF401">
        <v>34</v>
      </c>
      <c r="CG401">
        <v>0</v>
      </c>
      <c r="CH401">
        <v>828</v>
      </c>
      <c r="CI401">
        <v>11</v>
      </c>
      <c r="CJ401">
        <v>1</v>
      </c>
      <c r="CK401">
        <v>6</v>
      </c>
      <c r="CL401">
        <v>8</v>
      </c>
      <c r="CM401">
        <v>1</v>
      </c>
      <c r="CN401">
        <v>2</v>
      </c>
      <c r="CO401">
        <v>0</v>
      </c>
      <c r="CP401">
        <v>1</v>
      </c>
      <c r="CQ401">
        <v>1</v>
      </c>
      <c r="CR401">
        <v>1</v>
      </c>
      <c r="CS401">
        <v>952</v>
      </c>
      <c r="CT401">
        <v>0</v>
      </c>
      <c r="CU401">
        <v>0</v>
      </c>
      <c r="CV401">
        <v>0</v>
      </c>
      <c r="CW401">
        <v>0</v>
      </c>
      <c r="CX401">
        <v>7</v>
      </c>
      <c r="CY401">
        <v>84</v>
      </c>
      <c r="CZ401">
        <v>29</v>
      </c>
      <c r="DA401">
        <v>0</v>
      </c>
      <c r="DB401">
        <v>0</v>
      </c>
      <c r="DC401">
        <v>1</v>
      </c>
      <c r="DD401">
        <v>808</v>
      </c>
      <c r="DE401">
        <v>3</v>
      </c>
      <c r="DF401">
        <v>96</v>
      </c>
      <c r="DG401">
        <v>6</v>
      </c>
      <c r="DH401">
        <v>1</v>
      </c>
      <c r="DI401">
        <v>9</v>
      </c>
      <c r="DJ401">
        <v>13</v>
      </c>
      <c r="DK401">
        <v>1</v>
      </c>
      <c r="DL401">
        <v>14</v>
      </c>
      <c r="DM401">
        <v>7</v>
      </c>
      <c r="DN401">
        <v>0</v>
      </c>
      <c r="DO401">
        <v>891</v>
      </c>
      <c r="DP401">
        <v>32</v>
      </c>
      <c r="DQ401">
        <v>0</v>
      </c>
      <c r="DR401">
        <v>0</v>
      </c>
      <c r="DS401">
        <v>0</v>
      </c>
      <c r="DT401">
        <v>0</v>
      </c>
      <c r="DU401">
        <v>1</v>
      </c>
      <c r="DV401">
        <v>0</v>
      </c>
      <c r="DW401">
        <v>1</v>
      </c>
      <c r="DX401">
        <v>1</v>
      </c>
      <c r="DY401">
        <v>0</v>
      </c>
      <c r="DZ401">
        <v>1006</v>
      </c>
      <c r="EA401">
        <v>0.94399999999999995</v>
      </c>
      <c r="EB401">
        <v>0.94989028596324498</v>
      </c>
      <c r="EC401">
        <v>0.94347240497578899</v>
      </c>
      <c r="ED401">
        <v>0.94359638412138602</v>
      </c>
      <c r="EE401">
        <f>SUM(Table1[[#This Row],[ratio_0]:[ratio_9]])</f>
        <v>550</v>
      </c>
      <c r="EF401" s="1">
        <f>(Table1[[#This Row],[predicted_0]]-Table1[[#This Row],[actual_0]])/Table1[[#This Row],[actual_0]]</f>
        <v>-4.4897959183673466E-2</v>
      </c>
      <c r="EG401" s="1">
        <f>(Table1[[#This Row],[predicted_1]]-Table1[[#This Row],[actual_1]])/Table1[[#This Row],[actual_1]]</f>
        <v>-1.762114537444934E-3</v>
      </c>
      <c r="EH401" s="1">
        <f>(Table1[[#This Row],[predicted_2]]-Table1[[#This Row],[actual_2]])/Table1[[#This Row],[actual_2]]</f>
        <v>9.6899224806201556E-2</v>
      </c>
      <c r="EI401" s="1">
        <f>(Table1[[#This Row],[predicted_3]]-Table1[[#This Row],[actual_3]])/Table1[[#This Row],[actual_3]]</f>
        <v>7.6237623762376236E-2</v>
      </c>
      <c r="EJ401" s="1">
        <f>(Table1[[#This Row],[predicted_4]]-Table1[[#This Row],[actual_4]])/Table1[[#This Row],[actual_4]]</f>
        <v>-0.10183299389002037</v>
      </c>
      <c r="EK401" s="1">
        <f>(Table1[[#This Row],[predicted_5]]-Table1[[#This Row],[actual_5]])/Table1[[#This Row],[actual_5]]</f>
        <v>-5.0448430493273543E-2</v>
      </c>
      <c r="EL401" s="1">
        <f>(Table1[[#This Row],[predicted_6]]-Table1[[#This Row],[actual_6]])/Table1[[#This Row],[actual_6]]</f>
        <v>6.889352818371608E-2</v>
      </c>
      <c r="EM401" s="1">
        <f>(Table1[[#This Row],[predicted_7]]-Table1[[#This Row],[actual_7]])/Table1[[#This Row],[actual_7]]</f>
        <v>-0.20914396887159534</v>
      </c>
      <c r="EN401" s="1">
        <f>(Table1[[#This Row],[predicted_8]]-Table1[[#This Row],[actual_8]])/Table1[[#This Row],[actual_8]]</f>
        <v>-6.6735112936344973E-2</v>
      </c>
      <c r="EO401" s="1">
        <f>(Table1[[#This Row],[predicted_9]]-Table1[[#This Row],[actual_9]])/Table1[[#This Row],[actual_9]]</f>
        <v>0.22596630327056491</v>
      </c>
      <c r="EP401" s="1">
        <f>1+(Table1[[#This Row],[error_ratio_0]]-EF$2)</f>
        <v>0.95306122448979591</v>
      </c>
      <c r="EQ401" s="1">
        <f>1+(Table1[[#This Row],[error_ratio_1]]-EG$2)</f>
        <v>0.99647577092511008</v>
      </c>
      <c r="ER401" s="1">
        <f>1+(Table1[[#This Row],[error_ratio_2]]-EH$2)</f>
        <v>1.1017441860465116</v>
      </c>
      <c r="ES401" s="1">
        <f>1+(Table1[[#This Row],[error_ratio_3]]-EI$2)</f>
        <v>1.0663366336633664</v>
      </c>
      <c r="ET401" s="1">
        <f>1+(Table1[[#This Row],[error_ratio_4]]-EJ$2)</f>
        <v>0.89714867617107941</v>
      </c>
      <c r="EU401" s="1">
        <f>1+(Table1[[#This Row],[error_ratio_5]]-EK$2)</f>
        <v>0.94843049327354256</v>
      </c>
      <c r="EV401" s="1">
        <f>1+(Table1[[#This Row],[error_ratio_6]]-EL$2)</f>
        <v>1.0751565762004176</v>
      </c>
      <c r="EW401" s="1">
        <f>1+(Table1[[#This Row],[error_ratio_7]]-EM$2)</f>
        <v>0.78891050583657585</v>
      </c>
      <c r="EX401" s="1">
        <f>1+(Table1[[#This Row],[error_ratio_8]]-EN$2)</f>
        <v>0.93634496919917864</v>
      </c>
      <c r="EY401" s="1">
        <f>1+(Table1[[#This Row],[error_ratio_9]]-EO$2)</f>
        <v>1.2299306243805748</v>
      </c>
    </row>
    <row r="402" spans="1:155" x14ac:dyDescent="0.75">
      <c r="A402">
        <v>100</v>
      </c>
      <c r="B402">
        <v>10</v>
      </c>
      <c r="C402">
        <v>100</v>
      </c>
      <c r="D402">
        <v>100</v>
      </c>
      <c r="E402">
        <v>10</v>
      </c>
      <c r="F402">
        <v>10</v>
      </c>
      <c r="G402">
        <v>100</v>
      </c>
      <c r="H402">
        <v>10</v>
      </c>
      <c r="I402">
        <v>10</v>
      </c>
      <c r="J402">
        <v>100</v>
      </c>
      <c r="K402">
        <v>978</v>
      </c>
      <c r="L402">
        <v>1110</v>
      </c>
      <c r="M402">
        <v>1086</v>
      </c>
      <c r="N402">
        <v>1087</v>
      </c>
      <c r="O402">
        <v>935</v>
      </c>
      <c r="P402">
        <v>852</v>
      </c>
      <c r="Q402">
        <v>998</v>
      </c>
      <c r="R402">
        <v>946</v>
      </c>
      <c r="S402">
        <v>880</v>
      </c>
      <c r="T402">
        <v>1128</v>
      </c>
      <c r="U402">
        <v>980</v>
      </c>
      <c r="V402">
        <v>1135</v>
      </c>
      <c r="W402">
        <v>1032</v>
      </c>
      <c r="X402">
        <v>1010</v>
      </c>
      <c r="Y402">
        <v>982</v>
      </c>
      <c r="Z402">
        <v>892</v>
      </c>
      <c r="AA402">
        <v>958</v>
      </c>
      <c r="AB402">
        <v>1028</v>
      </c>
      <c r="AC402">
        <v>974</v>
      </c>
      <c r="AD402">
        <v>1009</v>
      </c>
      <c r="AE402">
        <v>968</v>
      </c>
      <c r="AF402">
        <v>0</v>
      </c>
      <c r="AG402">
        <v>2</v>
      </c>
      <c r="AH402">
        <v>4</v>
      </c>
      <c r="AI402">
        <v>0</v>
      </c>
      <c r="AJ402">
        <v>0</v>
      </c>
      <c r="AK402">
        <v>4</v>
      </c>
      <c r="AL402">
        <v>1</v>
      </c>
      <c r="AM402">
        <v>1</v>
      </c>
      <c r="AN402">
        <v>0</v>
      </c>
      <c r="AO402">
        <v>0</v>
      </c>
      <c r="AP402">
        <v>1105</v>
      </c>
      <c r="AQ402">
        <v>12</v>
      </c>
      <c r="AR402">
        <v>5</v>
      </c>
      <c r="AS402">
        <v>1</v>
      </c>
      <c r="AT402">
        <v>0</v>
      </c>
      <c r="AU402">
        <v>7</v>
      </c>
      <c r="AV402">
        <v>4</v>
      </c>
      <c r="AW402">
        <v>0</v>
      </c>
      <c r="AX402">
        <v>1</v>
      </c>
      <c r="AY402">
        <v>0</v>
      </c>
      <c r="AZ402">
        <v>0</v>
      </c>
      <c r="BA402">
        <v>1024</v>
      </c>
      <c r="BB402">
        <v>3</v>
      </c>
      <c r="BC402">
        <v>0</v>
      </c>
      <c r="BD402">
        <v>0</v>
      </c>
      <c r="BE402">
        <v>0</v>
      </c>
      <c r="BF402">
        <v>5</v>
      </c>
      <c r="BG402">
        <v>0</v>
      </c>
      <c r="BH402">
        <v>0</v>
      </c>
      <c r="BI402">
        <v>0</v>
      </c>
      <c r="BJ402">
        <v>0</v>
      </c>
      <c r="BK402">
        <v>2</v>
      </c>
      <c r="BL402">
        <v>1001</v>
      </c>
      <c r="BM402">
        <v>0</v>
      </c>
      <c r="BN402">
        <v>2</v>
      </c>
      <c r="BO402">
        <v>0</v>
      </c>
      <c r="BP402">
        <v>2</v>
      </c>
      <c r="BQ402">
        <v>1</v>
      </c>
      <c r="BR402">
        <v>2</v>
      </c>
      <c r="BS402">
        <v>3</v>
      </c>
      <c r="BT402">
        <v>0</v>
      </c>
      <c r="BU402">
        <v>11</v>
      </c>
      <c r="BV402">
        <v>0</v>
      </c>
      <c r="BW402">
        <v>921</v>
      </c>
      <c r="BX402">
        <v>0</v>
      </c>
      <c r="BY402">
        <v>15</v>
      </c>
      <c r="BZ402">
        <v>1</v>
      </c>
      <c r="CA402">
        <v>0</v>
      </c>
      <c r="CB402">
        <v>31</v>
      </c>
      <c r="CC402">
        <v>1</v>
      </c>
      <c r="CD402">
        <v>0</v>
      </c>
      <c r="CE402">
        <v>0</v>
      </c>
      <c r="CF402">
        <v>44</v>
      </c>
      <c r="CG402">
        <v>0</v>
      </c>
      <c r="CH402">
        <v>835</v>
      </c>
      <c r="CI402">
        <v>8</v>
      </c>
      <c r="CJ402">
        <v>0</v>
      </c>
      <c r="CK402">
        <v>2</v>
      </c>
      <c r="CL402">
        <v>2</v>
      </c>
      <c r="CM402">
        <v>2</v>
      </c>
      <c r="CN402">
        <v>1</v>
      </c>
      <c r="CO402">
        <v>0</v>
      </c>
      <c r="CP402">
        <v>1</v>
      </c>
      <c r="CQ402">
        <v>1</v>
      </c>
      <c r="CR402">
        <v>2</v>
      </c>
      <c r="CS402">
        <v>951</v>
      </c>
      <c r="CT402">
        <v>0</v>
      </c>
      <c r="CU402">
        <v>0</v>
      </c>
      <c r="CV402">
        <v>0</v>
      </c>
      <c r="CW402">
        <v>2</v>
      </c>
      <c r="CX402">
        <v>1</v>
      </c>
      <c r="CY402">
        <v>20</v>
      </c>
      <c r="CZ402">
        <v>3</v>
      </c>
      <c r="DA402">
        <v>6</v>
      </c>
      <c r="DB402">
        <v>2</v>
      </c>
      <c r="DC402">
        <v>0</v>
      </c>
      <c r="DD402">
        <v>926</v>
      </c>
      <c r="DE402">
        <v>1</v>
      </c>
      <c r="DF402">
        <v>67</v>
      </c>
      <c r="DG402">
        <v>0</v>
      </c>
      <c r="DH402">
        <v>1</v>
      </c>
      <c r="DI402">
        <v>14</v>
      </c>
      <c r="DJ402">
        <v>23</v>
      </c>
      <c r="DK402">
        <v>3</v>
      </c>
      <c r="DL402">
        <v>8</v>
      </c>
      <c r="DM402">
        <v>12</v>
      </c>
      <c r="DN402">
        <v>7</v>
      </c>
      <c r="DO402">
        <v>875</v>
      </c>
      <c r="DP402">
        <v>31</v>
      </c>
      <c r="DQ402">
        <v>2</v>
      </c>
      <c r="DR402">
        <v>2</v>
      </c>
      <c r="DS402">
        <v>1</v>
      </c>
      <c r="DT402">
        <v>3</v>
      </c>
      <c r="DU402">
        <v>3</v>
      </c>
      <c r="DV402">
        <v>3</v>
      </c>
      <c r="DW402">
        <v>1</v>
      </c>
      <c r="DX402">
        <v>0</v>
      </c>
      <c r="DY402">
        <v>0</v>
      </c>
      <c r="DZ402">
        <v>994</v>
      </c>
      <c r="EA402">
        <v>0.96</v>
      </c>
      <c r="EB402">
        <v>0.96214251763593595</v>
      </c>
      <c r="EC402">
        <v>0.95956034894702402</v>
      </c>
      <c r="ED402">
        <v>0.95980365117544897</v>
      </c>
      <c r="EE402">
        <f>SUM(Table1[[#This Row],[ratio_0]:[ratio_9]])</f>
        <v>550</v>
      </c>
      <c r="EF402" s="1">
        <f>(Table1[[#This Row],[predicted_0]]-Table1[[#This Row],[actual_0]])/Table1[[#This Row],[actual_0]]</f>
        <v>-2.0408163265306124E-3</v>
      </c>
      <c r="EG402" s="1">
        <f>(Table1[[#This Row],[predicted_1]]-Table1[[#This Row],[actual_1]])/Table1[[#This Row],[actual_1]]</f>
        <v>-2.2026431718061675E-2</v>
      </c>
      <c r="EH402" s="1">
        <f>(Table1[[#This Row],[predicted_2]]-Table1[[#This Row],[actual_2]])/Table1[[#This Row],[actual_2]]</f>
        <v>5.232558139534884E-2</v>
      </c>
      <c r="EI402" s="1">
        <f>(Table1[[#This Row],[predicted_3]]-Table1[[#This Row],[actual_3]])/Table1[[#This Row],[actual_3]]</f>
        <v>7.6237623762376236E-2</v>
      </c>
      <c r="EJ402" s="1">
        <f>(Table1[[#This Row],[predicted_4]]-Table1[[#This Row],[actual_4]])/Table1[[#This Row],[actual_4]]</f>
        <v>-4.7861507128309569E-2</v>
      </c>
      <c r="EK402" s="1">
        <f>(Table1[[#This Row],[predicted_5]]-Table1[[#This Row],[actual_5]])/Table1[[#This Row],[actual_5]]</f>
        <v>-4.4843049327354258E-2</v>
      </c>
      <c r="EL402" s="1">
        <f>(Table1[[#This Row],[predicted_6]]-Table1[[#This Row],[actual_6]])/Table1[[#This Row],[actual_6]]</f>
        <v>4.1753653444676408E-2</v>
      </c>
      <c r="EM402" s="1">
        <f>(Table1[[#This Row],[predicted_7]]-Table1[[#This Row],[actual_7]])/Table1[[#This Row],[actual_7]]</f>
        <v>-7.9766536964980539E-2</v>
      </c>
      <c r="EN402" s="1">
        <f>(Table1[[#This Row],[predicted_8]]-Table1[[#This Row],[actual_8]])/Table1[[#This Row],[actual_8]]</f>
        <v>-9.6509240246406572E-2</v>
      </c>
      <c r="EO402" s="1">
        <f>(Table1[[#This Row],[predicted_9]]-Table1[[#This Row],[actual_9]])/Table1[[#This Row],[actual_9]]</f>
        <v>0.11793855302279485</v>
      </c>
      <c r="EP402" s="1">
        <f>1+(Table1[[#This Row],[error_ratio_0]]-EF$2)</f>
        <v>0.99591836734693873</v>
      </c>
      <c r="EQ402" s="1">
        <f>1+(Table1[[#This Row],[error_ratio_1]]-EG$2)</f>
        <v>0.97621145374449336</v>
      </c>
      <c r="ER402" s="1">
        <f>1+(Table1[[#This Row],[error_ratio_2]]-EH$2)</f>
        <v>1.057170542635659</v>
      </c>
      <c r="ES402" s="1">
        <f>1+(Table1[[#This Row],[error_ratio_3]]-EI$2)</f>
        <v>1.0663366336633664</v>
      </c>
      <c r="ET402" s="1">
        <f>1+(Table1[[#This Row],[error_ratio_4]]-EJ$2)</f>
        <v>0.95112016293279023</v>
      </c>
      <c r="EU402" s="1">
        <f>1+(Table1[[#This Row],[error_ratio_5]]-EK$2)</f>
        <v>0.95403587443946192</v>
      </c>
      <c r="EV402" s="1">
        <f>1+(Table1[[#This Row],[error_ratio_6]]-EL$2)</f>
        <v>1.0480167014613779</v>
      </c>
      <c r="EW402" s="1">
        <f>1+(Table1[[#This Row],[error_ratio_7]]-EM$2)</f>
        <v>0.91828793774319073</v>
      </c>
      <c r="EX402" s="1">
        <f>1+(Table1[[#This Row],[error_ratio_8]]-EN$2)</f>
        <v>0.90657084188911707</v>
      </c>
      <c r="EY402" s="1">
        <f>1+(Table1[[#This Row],[error_ratio_9]]-EO$2)</f>
        <v>1.1219028741328048</v>
      </c>
    </row>
    <row r="403" spans="1:155" x14ac:dyDescent="0.75">
      <c r="A403">
        <v>10</v>
      </c>
      <c r="B403">
        <v>10</v>
      </c>
      <c r="C403">
        <v>100</v>
      </c>
      <c r="D403">
        <v>100</v>
      </c>
      <c r="E403">
        <v>10</v>
      </c>
      <c r="F403">
        <v>10</v>
      </c>
      <c r="G403">
        <v>100</v>
      </c>
      <c r="H403">
        <v>10</v>
      </c>
      <c r="I403">
        <v>10</v>
      </c>
      <c r="J403">
        <v>100</v>
      </c>
      <c r="K403">
        <v>959</v>
      </c>
      <c r="L403">
        <v>1099</v>
      </c>
      <c r="M403">
        <v>1134</v>
      </c>
      <c r="N403">
        <v>1111</v>
      </c>
      <c r="O403">
        <v>895</v>
      </c>
      <c r="P403">
        <v>803</v>
      </c>
      <c r="Q403">
        <v>982</v>
      </c>
      <c r="R403">
        <v>927</v>
      </c>
      <c r="S403">
        <v>981</v>
      </c>
      <c r="T403">
        <v>1109</v>
      </c>
      <c r="U403">
        <v>980</v>
      </c>
      <c r="V403">
        <v>1135</v>
      </c>
      <c r="W403">
        <v>1032</v>
      </c>
      <c r="X403">
        <v>1010</v>
      </c>
      <c r="Y403">
        <v>982</v>
      </c>
      <c r="Z403">
        <v>892</v>
      </c>
      <c r="AA403">
        <v>958</v>
      </c>
      <c r="AB403">
        <v>1028</v>
      </c>
      <c r="AC403">
        <v>974</v>
      </c>
      <c r="AD403">
        <v>1009</v>
      </c>
      <c r="AE403">
        <v>946</v>
      </c>
      <c r="AF403">
        <v>0</v>
      </c>
      <c r="AG403">
        <v>9</v>
      </c>
      <c r="AH403">
        <v>2</v>
      </c>
      <c r="AI403">
        <v>1</v>
      </c>
      <c r="AJ403">
        <v>0</v>
      </c>
      <c r="AK403">
        <v>6</v>
      </c>
      <c r="AL403">
        <v>1</v>
      </c>
      <c r="AM403">
        <v>6</v>
      </c>
      <c r="AN403">
        <v>9</v>
      </c>
      <c r="AO403">
        <v>0</v>
      </c>
      <c r="AP403">
        <v>1097</v>
      </c>
      <c r="AQ403">
        <v>9</v>
      </c>
      <c r="AR403">
        <v>8</v>
      </c>
      <c r="AS403">
        <v>0</v>
      </c>
      <c r="AT403">
        <v>1</v>
      </c>
      <c r="AU403">
        <v>9</v>
      </c>
      <c r="AV403">
        <v>0</v>
      </c>
      <c r="AW403">
        <v>11</v>
      </c>
      <c r="AX403">
        <v>0</v>
      </c>
      <c r="AY403">
        <v>0</v>
      </c>
      <c r="AZ403">
        <v>0</v>
      </c>
      <c r="BA403">
        <v>1028</v>
      </c>
      <c r="BB403">
        <v>1</v>
      </c>
      <c r="BC403">
        <v>0</v>
      </c>
      <c r="BD403">
        <v>0</v>
      </c>
      <c r="BE403">
        <v>0</v>
      </c>
      <c r="BF403">
        <v>2</v>
      </c>
      <c r="BG403">
        <v>0</v>
      </c>
      <c r="BH403">
        <v>1</v>
      </c>
      <c r="BI403">
        <v>0</v>
      </c>
      <c r="BJ403">
        <v>0</v>
      </c>
      <c r="BK403">
        <v>3</v>
      </c>
      <c r="BL403">
        <v>1004</v>
      </c>
      <c r="BM403">
        <v>0</v>
      </c>
      <c r="BN403">
        <v>0</v>
      </c>
      <c r="BO403">
        <v>0</v>
      </c>
      <c r="BP403">
        <v>2</v>
      </c>
      <c r="BQ403">
        <v>0</v>
      </c>
      <c r="BR403">
        <v>1</v>
      </c>
      <c r="BS403">
        <v>0</v>
      </c>
      <c r="BT403">
        <v>0</v>
      </c>
      <c r="BU403">
        <v>13</v>
      </c>
      <c r="BV403">
        <v>1</v>
      </c>
      <c r="BW403">
        <v>890</v>
      </c>
      <c r="BX403">
        <v>0</v>
      </c>
      <c r="BY403">
        <v>6</v>
      </c>
      <c r="BZ403">
        <v>1</v>
      </c>
      <c r="CA403">
        <v>5</v>
      </c>
      <c r="CB403">
        <v>66</v>
      </c>
      <c r="CC403">
        <v>5</v>
      </c>
      <c r="CD403">
        <v>0</v>
      </c>
      <c r="CE403">
        <v>1</v>
      </c>
      <c r="CF403">
        <v>52</v>
      </c>
      <c r="CG403">
        <v>0</v>
      </c>
      <c r="CH403">
        <v>798</v>
      </c>
      <c r="CI403">
        <v>6</v>
      </c>
      <c r="CJ403">
        <v>2</v>
      </c>
      <c r="CK403">
        <v>22</v>
      </c>
      <c r="CL403">
        <v>6</v>
      </c>
      <c r="CM403">
        <v>4</v>
      </c>
      <c r="CN403">
        <v>1</v>
      </c>
      <c r="CO403">
        <v>0</v>
      </c>
      <c r="CP403">
        <v>0</v>
      </c>
      <c r="CQ403">
        <v>2</v>
      </c>
      <c r="CR403">
        <v>2</v>
      </c>
      <c r="CS403">
        <v>947</v>
      </c>
      <c r="CT403">
        <v>0</v>
      </c>
      <c r="CU403">
        <v>2</v>
      </c>
      <c r="CV403">
        <v>0</v>
      </c>
      <c r="CW403">
        <v>1</v>
      </c>
      <c r="CX403">
        <v>1</v>
      </c>
      <c r="CY403">
        <v>57</v>
      </c>
      <c r="CZ403">
        <v>26</v>
      </c>
      <c r="DA403">
        <v>0</v>
      </c>
      <c r="DB403">
        <v>0</v>
      </c>
      <c r="DC403">
        <v>1</v>
      </c>
      <c r="DD403">
        <v>917</v>
      </c>
      <c r="DE403">
        <v>2</v>
      </c>
      <c r="DF403">
        <v>23</v>
      </c>
      <c r="DG403">
        <v>2</v>
      </c>
      <c r="DH403">
        <v>0</v>
      </c>
      <c r="DI403">
        <v>14</v>
      </c>
      <c r="DJ403">
        <v>11</v>
      </c>
      <c r="DK403">
        <v>0</v>
      </c>
      <c r="DL403">
        <v>2</v>
      </c>
      <c r="DM403">
        <v>7</v>
      </c>
      <c r="DN403">
        <v>2</v>
      </c>
      <c r="DO403">
        <v>930</v>
      </c>
      <c r="DP403">
        <v>6</v>
      </c>
      <c r="DQ403">
        <v>1</v>
      </c>
      <c r="DR403">
        <v>0</v>
      </c>
      <c r="DS403">
        <v>0</v>
      </c>
      <c r="DT403">
        <v>6</v>
      </c>
      <c r="DU403">
        <v>2</v>
      </c>
      <c r="DV403">
        <v>0</v>
      </c>
      <c r="DW403">
        <v>0</v>
      </c>
      <c r="DX403">
        <v>0</v>
      </c>
      <c r="DY403">
        <v>3</v>
      </c>
      <c r="DZ403">
        <v>997</v>
      </c>
      <c r="EA403">
        <v>0.95540000000000003</v>
      </c>
      <c r="EB403">
        <v>0.95836183899530003</v>
      </c>
      <c r="EC403">
        <v>0.95464154531762702</v>
      </c>
      <c r="ED403">
        <v>0.95509656241239904</v>
      </c>
      <c r="EE403">
        <f>SUM(Table1[[#This Row],[ratio_0]:[ratio_9]])</f>
        <v>460</v>
      </c>
      <c r="EF403" s="1">
        <f>(Table1[[#This Row],[predicted_0]]-Table1[[#This Row],[actual_0]])/Table1[[#This Row],[actual_0]]</f>
        <v>-2.1428571428571429E-2</v>
      </c>
      <c r="EG403" s="1">
        <f>(Table1[[#This Row],[predicted_1]]-Table1[[#This Row],[actual_1]])/Table1[[#This Row],[actual_1]]</f>
        <v>-3.1718061674008813E-2</v>
      </c>
      <c r="EH403" s="1">
        <f>(Table1[[#This Row],[predicted_2]]-Table1[[#This Row],[actual_2]])/Table1[[#This Row],[actual_2]]</f>
        <v>9.8837209302325577E-2</v>
      </c>
      <c r="EI403" s="1">
        <f>(Table1[[#This Row],[predicted_3]]-Table1[[#This Row],[actual_3]])/Table1[[#This Row],[actual_3]]</f>
        <v>0.1</v>
      </c>
      <c r="EJ403" s="1">
        <f>(Table1[[#This Row],[predicted_4]]-Table1[[#This Row],[actual_4]])/Table1[[#This Row],[actual_4]]</f>
        <v>-8.8594704684317724E-2</v>
      </c>
      <c r="EK403" s="1">
        <f>(Table1[[#This Row],[predicted_5]]-Table1[[#This Row],[actual_5]])/Table1[[#This Row],[actual_5]]</f>
        <v>-9.9775784753363225E-2</v>
      </c>
      <c r="EL403" s="1">
        <f>(Table1[[#This Row],[predicted_6]]-Table1[[#This Row],[actual_6]])/Table1[[#This Row],[actual_6]]</f>
        <v>2.5052192066805846E-2</v>
      </c>
      <c r="EM403" s="1">
        <f>(Table1[[#This Row],[predicted_7]]-Table1[[#This Row],[actual_7]])/Table1[[#This Row],[actual_7]]</f>
        <v>-9.8249027237354083E-2</v>
      </c>
      <c r="EN403" s="1">
        <f>(Table1[[#This Row],[predicted_8]]-Table1[[#This Row],[actual_8]])/Table1[[#This Row],[actual_8]]</f>
        <v>7.1868583162217657E-3</v>
      </c>
      <c r="EO403" s="1">
        <f>(Table1[[#This Row],[predicted_9]]-Table1[[#This Row],[actual_9]])/Table1[[#This Row],[actual_9]]</f>
        <v>9.9108027750247768E-2</v>
      </c>
      <c r="EP403" s="1">
        <f>1+(Table1[[#This Row],[error_ratio_0]]-EF$2)</f>
        <v>0.97653061224489801</v>
      </c>
      <c r="EQ403" s="1">
        <f>1+(Table1[[#This Row],[error_ratio_1]]-EG$2)</f>
        <v>0.96651982378854628</v>
      </c>
      <c r="ER403" s="1">
        <f>1+(Table1[[#This Row],[error_ratio_2]]-EH$2)</f>
        <v>1.1036821705426356</v>
      </c>
      <c r="ES403" s="1">
        <f>1+(Table1[[#This Row],[error_ratio_3]]-EI$2)</f>
        <v>1.0900990099009902</v>
      </c>
      <c r="ET403" s="1">
        <f>1+(Table1[[#This Row],[error_ratio_4]]-EJ$2)</f>
        <v>0.9103869653767821</v>
      </c>
      <c r="EU403" s="1">
        <f>1+(Table1[[#This Row],[error_ratio_5]]-EK$2)</f>
        <v>0.89910313901345296</v>
      </c>
      <c r="EV403" s="1">
        <f>1+(Table1[[#This Row],[error_ratio_6]]-EL$2)</f>
        <v>1.0313152400835073</v>
      </c>
      <c r="EW403" s="1">
        <f>1+(Table1[[#This Row],[error_ratio_7]]-EM$2)</f>
        <v>0.89980544747081714</v>
      </c>
      <c r="EX403" s="1">
        <f>1+(Table1[[#This Row],[error_ratio_8]]-EN$2)</f>
        <v>1.0102669404517455</v>
      </c>
      <c r="EY403" s="1">
        <f>1+(Table1[[#This Row],[error_ratio_9]]-EO$2)</f>
        <v>1.1030723488602576</v>
      </c>
    </row>
    <row r="404" spans="1:155" x14ac:dyDescent="0.75">
      <c r="A404">
        <v>100</v>
      </c>
      <c r="B404">
        <v>100</v>
      </c>
      <c r="C404">
        <v>10</v>
      </c>
      <c r="D404">
        <v>100</v>
      </c>
      <c r="E404">
        <v>10</v>
      </c>
      <c r="F404">
        <v>10</v>
      </c>
      <c r="G404">
        <v>100</v>
      </c>
      <c r="H404">
        <v>10</v>
      </c>
      <c r="I404">
        <v>10</v>
      </c>
      <c r="J404">
        <v>100</v>
      </c>
      <c r="K404">
        <v>1040</v>
      </c>
      <c r="L404">
        <v>1146</v>
      </c>
      <c r="M404">
        <v>981</v>
      </c>
      <c r="N404">
        <v>1107</v>
      </c>
      <c r="O404">
        <v>897</v>
      </c>
      <c r="P404">
        <v>817</v>
      </c>
      <c r="Q404">
        <v>970</v>
      </c>
      <c r="R404">
        <v>987</v>
      </c>
      <c r="S404">
        <v>894</v>
      </c>
      <c r="T404">
        <v>1161</v>
      </c>
      <c r="U404">
        <v>980</v>
      </c>
      <c r="V404">
        <v>1135</v>
      </c>
      <c r="W404">
        <v>1032</v>
      </c>
      <c r="X404">
        <v>1010</v>
      </c>
      <c r="Y404">
        <v>982</v>
      </c>
      <c r="Z404">
        <v>892</v>
      </c>
      <c r="AA404">
        <v>958</v>
      </c>
      <c r="AB404">
        <v>1028</v>
      </c>
      <c r="AC404">
        <v>974</v>
      </c>
      <c r="AD404">
        <v>1009</v>
      </c>
      <c r="AE404">
        <v>977</v>
      </c>
      <c r="AF404">
        <v>0</v>
      </c>
      <c r="AG404">
        <v>0</v>
      </c>
      <c r="AH404">
        <v>1</v>
      </c>
      <c r="AI404">
        <v>0</v>
      </c>
      <c r="AJ404">
        <v>1</v>
      </c>
      <c r="AK404">
        <v>0</v>
      </c>
      <c r="AL404">
        <v>0</v>
      </c>
      <c r="AM404">
        <v>1</v>
      </c>
      <c r="AN404">
        <v>0</v>
      </c>
      <c r="AO404">
        <v>0</v>
      </c>
      <c r="AP404">
        <v>1128</v>
      </c>
      <c r="AQ404">
        <v>1</v>
      </c>
      <c r="AR404">
        <v>2</v>
      </c>
      <c r="AS404">
        <v>0</v>
      </c>
      <c r="AT404">
        <v>1</v>
      </c>
      <c r="AU404">
        <v>2</v>
      </c>
      <c r="AV404">
        <v>0</v>
      </c>
      <c r="AW404">
        <v>0</v>
      </c>
      <c r="AX404">
        <v>1</v>
      </c>
      <c r="AY404">
        <v>20</v>
      </c>
      <c r="AZ404">
        <v>7</v>
      </c>
      <c r="BA404">
        <v>959</v>
      </c>
      <c r="BB404">
        <v>13</v>
      </c>
      <c r="BC404">
        <v>0</v>
      </c>
      <c r="BD404">
        <v>0</v>
      </c>
      <c r="BE404">
        <v>4</v>
      </c>
      <c r="BF404">
        <v>25</v>
      </c>
      <c r="BG404">
        <v>3</v>
      </c>
      <c r="BH404">
        <v>1</v>
      </c>
      <c r="BI404">
        <v>1</v>
      </c>
      <c r="BJ404">
        <v>0</v>
      </c>
      <c r="BK404">
        <v>1</v>
      </c>
      <c r="BL404">
        <v>999</v>
      </c>
      <c r="BM404">
        <v>0</v>
      </c>
      <c r="BN404">
        <v>1</v>
      </c>
      <c r="BO404">
        <v>0</v>
      </c>
      <c r="BP404">
        <v>3</v>
      </c>
      <c r="BQ404">
        <v>0</v>
      </c>
      <c r="BR404">
        <v>5</v>
      </c>
      <c r="BS404">
        <v>2</v>
      </c>
      <c r="BT404">
        <v>1</v>
      </c>
      <c r="BU404">
        <v>5</v>
      </c>
      <c r="BV404">
        <v>2</v>
      </c>
      <c r="BW404">
        <v>893</v>
      </c>
      <c r="BX404">
        <v>0</v>
      </c>
      <c r="BY404">
        <v>7</v>
      </c>
      <c r="BZ404">
        <v>1</v>
      </c>
      <c r="CA404">
        <v>0</v>
      </c>
      <c r="CB404">
        <v>71</v>
      </c>
      <c r="CC404">
        <v>4</v>
      </c>
      <c r="CD404">
        <v>1</v>
      </c>
      <c r="CE404">
        <v>0</v>
      </c>
      <c r="CF404">
        <v>61</v>
      </c>
      <c r="CG404">
        <v>0</v>
      </c>
      <c r="CH404">
        <v>801</v>
      </c>
      <c r="CI404">
        <v>9</v>
      </c>
      <c r="CJ404">
        <v>1</v>
      </c>
      <c r="CK404">
        <v>7</v>
      </c>
      <c r="CL404">
        <v>8</v>
      </c>
      <c r="CM404">
        <v>12</v>
      </c>
      <c r="CN404">
        <v>2</v>
      </c>
      <c r="CO404">
        <v>0</v>
      </c>
      <c r="CP404">
        <v>0</v>
      </c>
      <c r="CQ404">
        <v>1</v>
      </c>
      <c r="CR404">
        <v>2</v>
      </c>
      <c r="CS404">
        <v>941</v>
      </c>
      <c r="CT404">
        <v>0</v>
      </c>
      <c r="CU404">
        <v>0</v>
      </c>
      <c r="CV404">
        <v>0</v>
      </c>
      <c r="CW404">
        <v>7</v>
      </c>
      <c r="CX404">
        <v>6</v>
      </c>
      <c r="CY404">
        <v>12</v>
      </c>
      <c r="CZ404">
        <v>7</v>
      </c>
      <c r="DA404">
        <v>0</v>
      </c>
      <c r="DB404">
        <v>0</v>
      </c>
      <c r="DC404">
        <v>0</v>
      </c>
      <c r="DD404">
        <v>950</v>
      </c>
      <c r="DE404">
        <v>2</v>
      </c>
      <c r="DF404">
        <v>44</v>
      </c>
      <c r="DG404">
        <v>12</v>
      </c>
      <c r="DH404">
        <v>0</v>
      </c>
      <c r="DI404">
        <v>3</v>
      </c>
      <c r="DJ404">
        <v>20</v>
      </c>
      <c r="DK404">
        <v>2</v>
      </c>
      <c r="DL404">
        <v>9</v>
      </c>
      <c r="DM404">
        <v>7</v>
      </c>
      <c r="DN404">
        <v>7</v>
      </c>
      <c r="DO404">
        <v>881</v>
      </c>
      <c r="DP404">
        <v>33</v>
      </c>
      <c r="DQ404">
        <v>5</v>
      </c>
      <c r="DR404">
        <v>1</v>
      </c>
      <c r="DS404">
        <v>0</v>
      </c>
      <c r="DT404">
        <v>2</v>
      </c>
      <c r="DU404">
        <v>1</v>
      </c>
      <c r="DV404">
        <v>2</v>
      </c>
      <c r="DW404">
        <v>0</v>
      </c>
      <c r="DX404">
        <v>0</v>
      </c>
      <c r="DY404">
        <v>0</v>
      </c>
      <c r="DZ404">
        <v>998</v>
      </c>
      <c r="EA404">
        <v>0.95269999999999999</v>
      </c>
      <c r="EB404">
        <v>0.95573642073091802</v>
      </c>
      <c r="EC404">
        <v>0.95164893312807897</v>
      </c>
      <c r="ED404">
        <v>0.95229972428508802</v>
      </c>
      <c r="EE404">
        <f>SUM(Table1[[#This Row],[ratio_0]:[ratio_9]])</f>
        <v>550</v>
      </c>
      <c r="EF404" s="1">
        <f>(Table1[[#This Row],[predicted_0]]-Table1[[#This Row],[actual_0]])/Table1[[#This Row],[actual_0]]</f>
        <v>6.1224489795918366E-2</v>
      </c>
      <c r="EG404" s="1">
        <f>(Table1[[#This Row],[predicted_1]]-Table1[[#This Row],[actual_1]])/Table1[[#This Row],[actual_1]]</f>
        <v>9.6916299559471359E-3</v>
      </c>
      <c r="EH404" s="1">
        <f>(Table1[[#This Row],[predicted_2]]-Table1[[#This Row],[actual_2]])/Table1[[#This Row],[actual_2]]</f>
        <v>-4.9418604651162788E-2</v>
      </c>
      <c r="EI404" s="1">
        <f>(Table1[[#This Row],[predicted_3]]-Table1[[#This Row],[actual_3]])/Table1[[#This Row],[actual_3]]</f>
        <v>9.6039603960396042E-2</v>
      </c>
      <c r="EJ404" s="1">
        <f>(Table1[[#This Row],[predicted_4]]-Table1[[#This Row],[actual_4]])/Table1[[#This Row],[actual_4]]</f>
        <v>-8.6558044806517312E-2</v>
      </c>
      <c r="EK404" s="1">
        <f>(Table1[[#This Row],[predicted_5]]-Table1[[#This Row],[actual_5]])/Table1[[#This Row],[actual_5]]</f>
        <v>-8.4080717488789244E-2</v>
      </c>
      <c r="EL404" s="1">
        <f>(Table1[[#This Row],[predicted_6]]-Table1[[#This Row],[actual_6]])/Table1[[#This Row],[actual_6]]</f>
        <v>1.2526096033402923E-2</v>
      </c>
      <c r="EM404" s="1">
        <f>(Table1[[#This Row],[predicted_7]]-Table1[[#This Row],[actual_7]])/Table1[[#This Row],[actual_7]]</f>
        <v>-3.9883268482490269E-2</v>
      </c>
      <c r="EN404" s="1">
        <f>(Table1[[#This Row],[predicted_8]]-Table1[[#This Row],[actual_8]])/Table1[[#This Row],[actual_8]]</f>
        <v>-8.2135523613963035E-2</v>
      </c>
      <c r="EO404" s="1">
        <f>(Table1[[#This Row],[predicted_9]]-Table1[[#This Row],[actual_9]])/Table1[[#This Row],[actual_9]]</f>
        <v>0.15064420218037661</v>
      </c>
      <c r="EP404" s="1">
        <f>1+(Table1[[#This Row],[error_ratio_0]]-EF$2)</f>
        <v>1.0591836734693878</v>
      </c>
      <c r="EQ404" s="1">
        <f>1+(Table1[[#This Row],[error_ratio_1]]-EG$2)</f>
        <v>1.0079295154185022</v>
      </c>
      <c r="ER404" s="1">
        <f>1+(Table1[[#This Row],[error_ratio_2]]-EH$2)</f>
        <v>0.95542635658914732</v>
      </c>
      <c r="ES404" s="1">
        <f>1+(Table1[[#This Row],[error_ratio_3]]-EI$2)</f>
        <v>1.0861386138613862</v>
      </c>
      <c r="ET404" s="1">
        <f>1+(Table1[[#This Row],[error_ratio_4]]-EJ$2)</f>
        <v>0.91242362525458254</v>
      </c>
      <c r="EU404" s="1">
        <f>1+(Table1[[#This Row],[error_ratio_5]]-EK$2)</f>
        <v>0.91479820627802688</v>
      </c>
      <c r="EV404" s="1">
        <f>1+(Table1[[#This Row],[error_ratio_6]]-EL$2)</f>
        <v>1.0187891440501045</v>
      </c>
      <c r="EW404" s="1">
        <f>1+(Table1[[#This Row],[error_ratio_7]]-EM$2)</f>
        <v>0.95817120622568097</v>
      </c>
      <c r="EX404" s="1">
        <f>1+(Table1[[#This Row],[error_ratio_8]]-EN$2)</f>
        <v>0.92094455852156054</v>
      </c>
      <c r="EY404" s="1">
        <f>1+(Table1[[#This Row],[error_ratio_9]]-EO$2)</f>
        <v>1.1546085232903864</v>
      </c>
    </row>
    <row r="405" spans="1:155" x14ac:dyDescent="0.75">
      <c r="A405">
        <v>10</v>
      </c>
      <c r="B405">
        <v>100</v>
      </c>
      <c r="C405">
        <v>10</v>
      </c>
      <c r="D405">
        <v>100</v>
      </c>
      <c r="E405">
        <v>10</v>
      </c>
      <c r="F405">
        <v>10</v>
      </c>
      <c r="G405">
        <v>100</v>
      </c>
      <c r="H405">
        <v>10</v>
      </c>
      <c r="I405">
        <v>10</v>
      </c>
      <c r="J405">
        <v>100</v>
      </c>
      <c r="K405">
        <v>1003</v>
      </c>
      <c r="L405">
        <v>1163</v>
      </c>
      <c r="M405">
        <v>995</v>
      </c>
      <c r="N405">
        <v>1069</v>
      </c>
      <c r="O405">
        <v>965</v>
      </c>
      <c r="P405">
        <v>814</v>
      </c>
      <c r="Q405">
        <v>975</v>
      </c>
      <c r="R405">
        <v>1047</v>
      </c>
      <c r="S405">
        <v>876</v>
      </c>
      <c r="T405">
        <v>1093</v>
      </c>
      <c r="U405">
        <v>980</v>
      </c>
      <c r="V405">
        <v>1135</v>
      </c>
      <c r="W405">
        <v>1032</v>
      </c>
      <c r="X405">
        <v>1010</v>
      </c>
      <c r="Y405">
        <v>982</v>
      </c>
      <c r="Z405">
        <v>892</v>
      </c>
      <c r="AA405">
        <v>958</v>
      </c>
      <c r="AB405">
        <v>1028</v>
      </c>
      <c r="AC405">
        <v>974</v>
      </c>
      <c r="AD405">
        <v>1009</v>
      </c>
      <c r="AE405">
        <v>952</v>
      </c>
      <c r="AF405">
        <v>2</v>
      </c>
      <c r="AG405">
        <v>0</v>
      </c>
      <c r="AH405">
        <v>1</v>
      </c>
      <c r="AI405">
        <v>0</v>
      </c>
      <c r="AJ405">
        <v>2</v>
      </c>
      <c r="AK405">
        <v>3</v>
      </c>
      <c r="AL405">
        <v>1</v>
      </c>
      <c r="AM405">
        <v>2</v>
      </c>
      <c r="AN405">
        <v>17</v>
      </c>
      <c r="AO405">
        <v>0</v>
      </c>
      <c r="AP405">
        <v>1129</v>
      </c>
      <c r="AQ405">
        <v>0</v>
      </c>
      <c r="AR405">
        <v>1</v>
      </c>
      <c r="AS405">
        <v>0</v>
      </c>
      <c r="AT405">
        <v>2</v>
      </c>
      <c r="AU405">
        <v>3</v>
      </c>
      <c r="AV405">
        <v>0</v>
      </c>
      <c r="AW405">
        <v>0</v>
      </c>
      <c r="AX405">
        <v>0</v>
      </c>
      <c r="AY405">
        <v>10</v>
      </c>
      <c r="AZ405">
        <v>12</v>
      </c>
      <c r="BA405">
        <v>975</v>
      </c>
      <c r="BB405">
        <v>8</v>
      </c>
      <c r="BC405">
        <v>0</v>
      </c>
      <c r="BD405">
        <v>0</v>
      </c>
      <c r="BE405">
        <v>0</v>
      </c>
      <c r="BF405">
        <v>24</v>
      </c>
      <c r="BG405">
        <v>1</v>
      </c>
      <c r="BH405">
        <v>2</v>
      </c>
      <c r="BI405">
        <v>0</v>
      </c>
      <c r="BJ405">
        <v>0</v>
      </c>
      <c r="BK405">
        <v>1</v>
      </c>
      <c r="BL405">
        <v>1001</v>
      </c>
      <c r="BM405">
        <v>0</v>
      </c>
      <c r="BN405">
        <v>0</v>
      </c>
      <c r="BO405">
        <v>0</v>
      </c>
      <c r="BP405">
        <v>4</v>
      </c>
      <c r="BQ405">
        <v>0</v>
      </c>
      <c r="BR405">
        <v>4</v>
      </c>
      <c r="BS405">
        <v>1</v>
      </c>
      <c r="BT405">
        <v>1</v>
      </c>
      <c r="BU405">
        <v>4</v>
      </c>
      <c r="BV405">
        <v>0</v>
      </c>
      <c r="BW405">
        <v>942</v>
      </c>
      <c r="BX405">
        <v>0</v>
      </c>
      <c r="BY405">
        <v>9</v>
      </c>
      <c r="BZ405">
        <v>1</v>
      </c>
      <c r="CA405">
        <v>2</v>
      </c>
      <c r="CB405">
        <v>22</v>
      </c>
      <c r="CC405">
        <v>4</v>
      </c>
      <c r="CD405">
        <v>0</v>
      </c>
      <c r="CE405">
        <v>0</v>
      </c>
      <c r="CF405">
        <v>41</v>
      </c>
      <c r="CG405">
        <v>0</v>
      </c>
      <c r="CH405">
        <v>809</v>
      </c>
      <c r="CI405">
        <v>16</v>
      </c>
      <c r="CJ405">
        <v>2</v>
      </c>
      <c r="CK405">
        <v>10</v>
      </c>
      <c r="CL405">
        <v>10</v>
      </c>
      <c r="CM405">
        <v>16</v>
      </c>
      <c r="CN405">
        <v>2</v>
      </c>
      <c r="CO405">
        <v>2</v>
      </c>
      <c r="CP405">
        <v>0</v>
      </c>
      <c r="CQ405">
        <v>9</v>
      </c>
      <c r="CR405">
        <v>1</v>
      </c>
      <c r="CS405">
        <v>924</v>
      </c>
      <c r="CT405">
        <v>0</v>
      </c>
      <c r="CU405">
        <v>0</v>
      </c>
      <c r="CV405">
        <v>4</v>
      </c>
      <c r="CW405">
        <v>0</v>
      </c>
      <c r="CX405">
        <v>9</v>
      </c>
      <c r="CY405">
        <v>7</v>
      </c>
      <c r="CZ405">
        <v>4</v>
      </c>
      <c r="DA405">
        <v>2</v>
      </c>
      <c r="DB405">
        <v>0</v>
      </c>
      <c r="DC405">
        <v>0</v>
      </c>
      <c r="DD405">
        <v>993</v>
      </c>
      <c r="DE405">
        <v>1</v>
      </c>
      <c r="DF405">
        <v>12</v>
      </c>
      <c r="DG405">
        <v>18</v>
      </c>
      <c r="DH405">
        <v>4</v>
      </c>
      <c r="DI405">
        <v>6</v>
      </c>
      <c r="DJ405">
        <v>12</v>
      </c>
      <c r="DK405">
        <v>7</v>
      </c>
      <c r="DL405">
        <v>0</v>
      </c>
      <c r="DM405">
        <v>19</v>
      </c>
      <c r="DN405">
        <v>15</v>
      </c>
      <c r="DO405">
        <v>859</v>
      </c>
      <c r="DP405">
        <v>34</v>
      </c>
      <c r="DQ405">
        <v>2</v>
      </c>
      <c r="DR405">
        <v>4</v>
      </c>
      <c r="DS405">
        <v>0</v>
      </c>
      <c r="DT405">
        <v>1</v>
      </c>
      <c r="DU405">
        <v>5</v>
      </c>
      <c r="DV405">
        <v>0</v>
      </c>
      <c r="DW405">
        <v>1</v>
      </c>
      <c r="DX405">
        <v>7</v>
      </c>
      <c r="DY405">
        <v>1</v>
      </c>
      <c r="DZ405">
        <v>988</v>
      </c>
      <c r="EA405">
        <v>0.95720000000000005</v>
      </c>
      <c r="EB405">
        <v>0.95868738578407098</v>
      </c>
      <c r="EC405">
        <v>0.95597964546197201</v>
      </c>
      <c r="ED405">
        <v>0.95656316706295197</v>
      </c>
      <c r="EE405">
        <f>SUM(Table1[[#This Row],[ratio_0]:[ratio_9]])</f>
        <v>460</v>
      </c>
      <c r="EF405" s="1">
        <f>(Table1[[#This Row],[predicted_0]]-Table1[[#This Row],[actual_0]])/Table1[[#This Row],[actual_0]]</f>
        <v>2.3469387755102041E-2</v>
      </c>
      <c r="EG405" s="1">
        <f>(Table1[[#This Row],[predicted_1]]-Table1[[#This Row],[actual_1]])/Table1[[#This Row],[actual_1]]</f>
        <v>2.4669603524229075E-2</v>
      </c>
      <c r="EH405" s="1">
        <f>(Table1[[#This Row],[predicted_2]]-Table1[[#This Row],[actual_2]])/Table1[[#This Row],[actual_2]]</f>
        <v>-3.5852713178294575E-2</v>
      </c>
      <c r="EI405" s="1">
        <f>(Table1[[#This Row],[predicted_3]]-Table1[[#This Row],[actual_3]])/Table1[[#This Row],[actual_3]]</f>
        <v>5.8415841584158419E-2</v>
      </c>
      <c r="EJ405" s="1">
        <f>(Table1[[#This Row],[predicted_4]]-Table1[[#This Row],[actual_4]])/Table1[[#This Row],[actual_4]]</f>
        <v>-1.7311608961303463E-2</v>
      </c>
      <c r="EK405" s="1">
        <f>(Table1[[#This Row],[predicted_5]]-Table1[[#This Row],[actual_5]])/Table1[[#This Row],[actual_5]]</f>
        <v>-8.744394618834081E-2</v>
      </c>
      <c r="EL405" s="1">
        <f>(Table1[[#This Row],[predicted_6]]-Table1[[#This Row],[actual_6]])/Table1[[#This Row],[actual_6]]</f>
        <v>1.7745302713987474E-2</v>
      </c>
      <c r="EM405" s="1">
        <f>(Table1[[#This Row],[predicted_7]]-Table1[[#This Row],[actual_7]])/Table1[[#This Row],[actual_7]]</f>
        <v>1.8482490272373541E-2</v>
      </c>
      <c r="EN405" s="1">
        <f>(Table1[[#This Row],[predicted_8]]-Table1[[#This Row],[actual_8]])/Table1[[#This Row],[actual_8]]</f>
        <v>-0.10061601642710473</v>
      </c>
      <c r="EO405" s="1">
        <f>(Table1[[#This Row],[predicted_9]]-Table1[[#This Row],[actual_9]])/Table1[[#This Row],[actual_9]]</f>
        <v>8.3250743310208125E-2</v>
      </c>
      <c r="EP405" s="1">
        <f>1+(Table1[[#This Row],[error_ratio_0]]-EF$2)</f>
        <v>1.0214285714285714</v>
      </c>
      <c r="EQ405" s="1">
        <f>1+(Table1[[#This Row],[error_ratio_1]]-EG$2)</f>
        <v>1.0229074889867842</v>
      </c>
      <c r="ER405" s="1">
        <f>1+(Table1[[#This Row],[error_ratio_2]]-EH$2)</f>
        <v>0.96899224806201545</v>
      </c>
      <c r="ES405" s="1">
        <f>1+(Table1[[#This Row],[error_ratio_3]]-EI$2)</f>
        <v>1.0485148514851486</v>
      </c>
      <c r="ET405" s="1">
        <f>1+(Table1[[#This Row],[error_ratio_4]]-EJ$2)</f>
        <v>0.98167006109979638</v>
      </c>
      <c r="EU405" s="1">
        <f>1+(Table1[[#This Row],[error_ratio_5]]-EK$2)</f>
        <v>0.91143497757847536</v>
      </c>
      <c r="EV405" s="1">
        <f>1+(Table1[[#This Row],[error_ratio_6]]-EL$2)</f>
        <v>1.024008350730689</v>
      </c>
      <c r="EW405" s="1">
        <f>1+(Table1[[#This Row],[error_ratio_7]]-EM$2)</f>
        <v>1.0165369649805447</v>
      </c>
      <c r="EX405" s="1">
        <f>1+(Table1[[#This Row],[error_ratio_8]]-EN$2)</f>
        <v>0.90246406570841886</v>
      </c>
      <c r="EY405" s="1">
        <f>1+(Table1[[#This Row],[error_ratio_9]]-EO$2)</f>
        <v>1.0872150644202181</v>
      </c>
    </row>
    <row r="406" spans="1:155" x14ac:dyDescent="0.75">
      <c r="A406">
        <v>100</v>
      </c>
      <c r="B406">
        <v>10</v>
      </c>
      <c r="C406">
        <v>10</v>
      </c>
      <c r="D406">
        <v>100</v>
      </c>
      <c r="E406">
        <v>10</v>
      </c>
      <c r="F406">
        <v>10</v>
      </c>
      <c r="G406">
        <v>100</v>
      </c>
      <c r="H406">
        <v>10</v>
      </c>
      <c r="I406">
        <v>10</v>
      </c>
      <c r="J406">
        <v>100</v>
      </c>
      <c r="K406">
        <v>996</v>
      </c>
      <c r="L406">
        <v>1162</v>
      </c>
      <c r="M406">
        <v>1003</v>
      </c>
      <c r="N406">
        <v>1070</v>
      </c>
      <c r="O406">
        <v>984</v>
      </c>
      <c r="P406">
        <v>810</v>
      </c>
      <c r="Q406">
        <v>1003</v>
      </c>
      <c r="R406">
        <v>955</v>
      </c>
      <c r="S406">
        <v>917</v>
      </c>
      <c r="T406">
        <v>1100</v>
      </c>
      <c r="U406">
        <v>980</v>
      </c>
      <c r="V406">
        <v>1135</v>
      </c>
      <c r="W406">
        <v>1032</v>
      </c>
      <c r="X406">
        <v>1010</v>
      </c>
      <c r="Y406">
        <v>982</v>
      </c>
      <c r="Z406">
        <v>892</v>
      </c>
      <c r="AA406">
        <v>958</v>
      </c>
      <c r="AB406">
        <v>1028</v>
      </c>
      <c r="AC406">
        <v>974</v>
      </c>
      <c r="AD406">
        <v>1009</v>
      </c>
      <c r="AE406">
        <v>969</v>
      </c>
      <c r="AF406">
        <v>1</v>
      </c>
      <c r="AG406">
        <v>0</v>
      </c>
      <c r="AH406">
        <v>2</v>
      </c>
      <c r="AI406">
        <v>0</v>
      </c>
      <c r="AJ406">
        <v>0</v>
      </c>
      <c r="AK406">
        <v>3</v>
      </c>
      <c r="AL406">
        <v>1</v>
      </c>
      <c r="AM406">
        <v>0</v>
      </c>
      <c r="AN406">
        <v>4</v>
      </c>
      <c r="AO406">
        <v>0</v>
      </c>
      <c r="AP406">
        <v>1121</v>
      </c>
      <c r="AQ406">
        <v>2</v>
      </c>
      <c r="AR406">
        <v>3</v>
      </c>
      <c r="AS406">
        <v>0</v>
      </c>
      <c r="AT406">
        <v>3</v>
      </c>
      <c r="AU406">
        <v>4</v>
      </c>
      <c r="AV406">
        <v>0</v>
      </c>
      <c r="AW406">
        <v>2</v>
      </c>
      <c r="AX406">
        <v>0</v>
      </c>
      <c r="AY406">
        <v>9</v>
      </c>
      <c r="AZ406">
        <v>8</v>
      </c>
      <c r="BA406">
        <v>977</v>
      </c>
      <c r="BB406">
        <v>16</v>
      </c>
      <c r="BC406">
        <v>1</v>
      </c>
      <c r="BD406">
        <v>0</v>
      </c>
      <c r="BE406">
        <v>8</v>
      </c>
      <c r="BF406">
        <v>7</v>
      </c>
      <c r="BG406">
        <v>2</v>
      </c>
      <c r="BH406">
        <v>4</v>
      </c>
      <c r="BI406">
        <v>0</v>
      </c>
      <c r="BJ406">
        <v>0</v>
      </c>
      <c r="BK406">
        <v>3</v>
      </c>
      <c r="BL406">
        <v>998</v>
      </c>
      <c r="BM406">
        <v>0</v>
      </c>
      <c r="BN406">
        <v>1</v>
      </c>
      <c r="BO406">
        <v>0</v>
      </c>
      <c r="BP406">
        <v>6</v>
      </c>
      <c r="BQ406">
        <v>2</v>
      </c>
      <c r="BR406">
        <v>0</v>
      </c>
      <c r="BS406">
        <v>1</v>
      </c>
      <c r="BT406">
        <v>6</v>
      </c>
      <c r="BU406">
        <v>3</v>
      </c>
      <c r="BV406">
        <v>0</v>
      </c>
      <c r="BW406">
        <v>959</v>
      </c>
      <c r="BX406">
        <v>0</v>
      </c>
      <c r="BY406">
        <v>7</v>
      </c>
      <c r="BZ406">
        <v>0</v>
      </c>
      <c r="CA406">
        <v>2</v>
      </c>
      <c r="CB406">
        <v>4</v>
      </c>
      <c r="CC406">
        <v>4</v>
      </c>
      <c r="CD406">
        <v>0</v>
      </c>
      <c r="CE406">
        <v>0</v>
      </c>
      <c r="CF406">
        <v>32</v>
      </c>
      <c r="CG406">
        <v>3</v>
      </c>
      <c r="CH406">
        <v>804</v>
      </c>
      <c r="CI406">
        <v>19</v>
      </c>
      <c r="CJ406">
        <v>1</v>
      </c>
      <c r="CK406">
        <v>6</v>
      </c>
      <c r="CL406">
        <v>23</v>
      </c>
      <c r="CM406">
        <v>4</v>
      </c>
      <c r="CN406">
        <v>3</v>
      </c>
      <c r="CO406">
        <v>1</v>
      </c>
      <c r="CP406">
        <v>1</v>
      </c>
      <c r="CQ406">
        <v>2</v>
      </c>
      <c r="CR406">
        <v>1</v>
      </c>
      <c r="CS406">
        <v>946</v>
      </c>
      <c r="CT406">
        <v>0</v>
      </c>
      <c r="CU406">
        <v>0</v>
      </c>
      <c r="CV406">
        <v>0</v>
      </c>
      <c r="CW406">
        <v>0</v>
      </c>
      <c r="CX406">
        <v>11</v>
      </c>
      <c r="CY406">
        <v>17</v>
      </c>
      <c r="CZ406">
        <v>6</v>
      </c>
      <c r="DA406">
        <v>1</v>
      </c>
      <c r="DB406">
        <v>0</v>
      </c>
      <c r="DC406">
        <v>0</v>
      </c>
      <c r="DD406">
        <v>931</v>
      </c>
      <c r="DE406">
        <v>2</v>
      </c>
      <c r="DF406">
        <v>60</v>
      </c>
      <c r="DG406">
        <v>8</v>
      </c>
      <c r="DH406">
        <v>8</v>
      </c>
      <c r="DI406">
        <v>0</v>
      </c>
      <c r="DJ406">
        <v>11</v>
      </c>
      <c r="DK406">
        <v>1</v>
      </c>
      <c r="DL406">
        <v>1</v>
      </c>
      <c r="DM406">
        <v>15</v>
      </c>
      <c r="DN406">
        <v>6</v>
      </c>
      <c r="DO406">
        <v>900</v>
      </c>
      <c r="DP406">
        <v>24</v>
      </c>
      <c r="DQ406">
        <v>1</v>
      </c>
      <c r="DR406">
        <v>4</v>
      </c>
      <c r="DS406">
        <v>0</v>
      </c>
      <c r="DT406">
        <v>1</v>
      </c>
      <c r="DU406">
        <v>17</v>
      </c>
      <c r="DV406">
        <v>0</v>
      </c>
      <c r="DW406">
        <v>1</v>
      </c>
      <c r="DX406">
        <v>3</v>
      </c>
      <c r="DY406">
        <v>1</v>
      </c>
      <c r="DZ406">
        <v>981</v>
      </c>
      <c r="EA406">
        <v>0.95860000000000001</v>
      </c>
      <c r="EB406">
        <v>0.96029007758560403</v>
      </c>
      <c r="EC406">
        <v>0.95785789697647705</v>
      </c>
      <c r="ED406">
        <v>0.95829639475421102</v>
      </c>
      <c r="EE406">
        <f>SUM(Table1[[#This Row],[ratio_0]:[ratio_9]])</f>
        <v>460</v>
      </c>
      <c r="EF406" s="1">
        <f>(Table1[[#This Row],[predicted_0]]-Table1[[#This Row],[actual_0]])/Table1[[#This Row],[actual_0]]</f>
        <v>1.6326530612244899E-2</v>
      </c>
      <c r="EG406" s="1">
        <f>(Table1[[#This Row],[predicted_1]]-Table1[[#This Row],[actual_1]])/Table1[[#This Row],[actual_1]]</f>
        <v>2.378854625550661E-2</v>
      </c>
      <c r="EH406" s="1">
        <f>(Table1[[#This Row],[predicted_2]]-Table1[[#This Row],[actual_2]])/Table1[[#This Row],[actual_2]]</f>
        <v>-2.8100775193798451E-2</v>
      </c>
      <c r="EI406" s="1">
        <f>(Table1[[#This Row],[predicted_3]]-Table1[[#This Row],[actual_3]])/Table1[[#This Row],[actual_3]]</f>
        <v>5.9405940594059403E-2</v>
      </c>
      <c r="EJ406" s="1">
        <f>(Table1[[#This Row],[predicted_4]]-Table1[[#This Row],[actual_4]])/Table1[[#This Row],[actual_4]]</f>
        <v>2.0366598778004071E-3</v>
      </c>
      <c r="EK406" s="1">
        <f>(Table1[[#This Row],[predicted_5]]-Table1[[#This Row],[actual_5]])/Table1[[#This Row],[actual_5]]</f>
        <v>-9.1928251121076235E-2</v>
      </c>
      <c r="EL406" s="1">
        <f>(Table1[[#This Row],[predicted_6]]-Table1[[#This Row],[actual_6]])/Table1[[#This Row],[actual_6]]</f>
        <v>4.697286012526096E-2</v>
      </c>
      <c r="EM406" s="1">
        <f>(Table1[[#This Row],[predicted_7]]-Table1[[#This Row],[actual_7]])/Table1[[#This Row],[actual_7]]</f>
        <v>-7.101167315175097E-2</v>
      </c>
      <c r="EN406" s="1">
        <f>(Table1[[#This Row],[predicted_8]]-Table1[[#This Row],[actual_8]])/Table1[[#This Row],[actual_8]]</f>
        <v>-5.8521560574948665E-2</v>
      </c>
      <c r="EO406" s="1">
        <f>(Table1[[#This Row],[predicted_9]]-Table1[[#This Row],[actual_9]])/Table1[[#This Row],[actual_9]]</f>
        <v>9.0188305252725476E-2</v>
      </c>
      <c r="EP406" s="1">
        <f>1+(Table1[[#This Row],[error_ratio_0]]-EF$2)</f>
        <v>1.0142857142857142</v>
      </c>
      <c r="EQ406" s="1">
        <f>1+(Table1[[#This Row],[error_ratio_1]]-EG$2)</f>
        <v>1.0220264317180616</v>
      </c>
      <c r="ER406" s="1">
        <f>1+(Table1[[#This Row],[error_ratio_2]]-EH$2)</f>
        <v>0.97674418604651159</v>
      </c>
      <c r="ES406" s="1">
        <f>1+(Table1[[#This Row],[error_ratio_3]]-EI$2)</f>
        <v>1.0495049504950495</v>
      </c>
      <c r="ET406" s="1">
        <f>1+(Table1[[#This Row],[error_ratio_4]]-EJ$2)</f>
        <v>1.0010183299389002</v>
      </c>
      <c r="EU406" s="1">
        <f>1+(Table1[[#This Row],[error_ratio_5]]-EK$2)</f>
        <v>0.90695067264573992</v>
      </c>
      <c r="EV406" s="1">
        <f>1+(Table1[[#This Row],[error_ratio_6]]-EL$2)</f>
        <v>1.0532359081419624</v>
      </c>
      <c r="EW406" s="1">
        <f>1+(Table1[[#This Row],[error_ratio_7]]-EM$2)</f>
        <v>0.92704280155642027</v>
      </c>
      <c r="EX406" s="1">
        <f>1+(Table1[[#This Row],[error_ratio_8]]-EN$2)</f>
        <v>0.94455852156057496</v>
      </c>
      <c r="EY406" s="1">
        <f>1+(Table1[[#This Row],[error_ratio_9]]-EO$2)</f>
        <v>1.0941526263627355</v>
      </c>
    </row>
    <row r="407" spans="1:155" x14ac:dyDescent="0.75">
      <c r="A407">
        <v>10</v>
      </c>
      <c r="B407">
        <v>10</v>
      </c>
      <c r="C407">
        <v>10</v>
      </c>
      <c r="D407">
        <v>100</v>
      </c>
      <c r="E407">
        <v>10</v>
      </c>
      <c r="F407">
        <v>10</v>
      </c>
      <c r="G407">
        <v>100</v>
      </c>
      <c r="H407">
        <v>10</v>
      </c>
      <c r="I407">
        <v>10</v>
      </c>
      <c r="J407">
        <v>100</v>
      </c>
      <c r="K407">
        <v>999</v>
      </c>
      <c r="L407">
        <v>1163</v>
      </c>
      <c r="M407">
        <v>1007</v>
      </c>
      <c r="N407">
        <v>1033</v>
      </c>
      <c r="O407">
        <v>945</v>
      </c>
      <c r="P407">
        <v>889</v>
      </c>
      <c r="Q407">
        <v>1054</v>
      </c>
      <c r="R407">
        <v>1035</v>
      </c>
      <c r="S407">
        <v>776</v>
      </c>
      <c r="T407">
        <v>1099</v>
      </c>
      <c r="U407">
        <v>980</v>
      </c>
      <c r="V407">
        <v>1135</v>
      </c>
      <c r="W407">
        <v>1032</v>
      </c>
      <c r="X407">
        <v>1010</v>
      </c>
      <c r="Y407">
        <v>982</v>
      </c>
      <c r="Z407">
        <v>892</v>
      </c>
      <c r="AA407">
        <v>958</v>
      </c>
      <c r="AB407">
        <v>1028</v>
      </c>
      <c r="AC407">
        <v>974</v>
      </c>
      <c r="AD407">
        <v>1009</v>
      </c>
      <c r="AE407">
        <v>954</v>
      </c>
      <c r="AF407">
        <v>2</v>
      </c>
      <c r="AG407">
        <v>0</v>
      </c>
      <c r="AH407">
        <v>0</v>
      </c>
      <c r="AI407">
        <v>0</v>
      </c>
      <c r="AJ407">
        <v>0</v>
      </c>
      <c r="AK407">
        <v>21</v>
      </c>
      <c r="AL407">
        <v>0</v>
      </c>
      <c r="AM407">
        <v>0</v>
      </c>
      <c r="AN407">
        <v>3</v>
      </c>
      <c r="AO407">
        <v>0</v>
      </c>
      <c r="AP407">
        <v>1122</v>
      </c>
      <c r="AQ407">
        <v>3</v>
      </c>
      <c r="AR407">
        <v>0</v>
      </c>
      <c r="AS407">
        <v>0</v>
      </c>
      <c r="AT407">
        <v>1</v>
      </c>
      <c r="AU407">
        <v>8</v>
      </c>
      <c r="AV407">
        <v>0</v>
      </c>
      <c r="AW407">
        <v>0</v>
      </c>
      <c r="AX407">
        <v>1</v>
      </c>
      <c r="AY407">
        <v>15</v>
      </c>
      <c r="AZ407">
        <v>9</v>
      </c>
      <c r="BA407">
        <v>974</v>
      </c>
      <c r="BB407">
        <v>6</v>
      </c>
      <c r="BC407">
        <v>1</v>
      </c>
      <c r="BD407">
        <v>0</v>
      </c>
      <c r="BE407">
        <v>11</v>
      </c>
      <c r="BF407">
        <v>16</v>
      </c>
      <c r="BG407">
        <v>0</v>
      </c>
      <c r="BH407">
        <v>0</v>
      </c>
      <c r="BI407">
        <v>3</v>
      </c>
      <c r="BJ407">
        <v>0</v>
      </c>
      <c r="BK407">
        <v>1</v>
      </c>
      <c r="BL407">
        <v>994</v>
      </c>
      <c r="BM407">
        <v>0</v>
      </c>
      <c r="BN407">
        <v>6</v>
      </c>
      <c r="BO407">
        <v>0</v>
      </c>
      <c r="BP407">
        <v>5</v>
      </c>
      <c r="BQ407">
        <v>0</v>
      </c>
      <c r="BR407">
        <v>1</v>
      </c>
      <c r="BS407">
        <v>1</v>
      </c>
      <c r="BT407">
        <v>2</v>
      </c>
      <c r="BU407">
        <v>2</v>
      </c>
      <c r="BV407">
        <v>0</v>
      </c>
      <c r="BW407">
        <v>924</v>
      </c>
      <c r="BX407">
        <v>0</v>
      </c>
      <c r="BY407">
        <v>13</v>
      </c>
      <c r="BZ407">
        <v>0</v>
      </c>
      <c r="CA407">
        <v>0</v>
      </c>
      <c r="CB407">
        <v>40</v>
      </c>
      <c r="CC407">
        <v>4</v>
      </c>
      <c r="CD407">
        <v>0</v>
      </c>
      <c r="CE407">
        <v>0</v>
      </c>
      <c r="CF407">
        <v>9</v>
      </c>
      <c r="CG407">
        <v>2</v>
      </c>
      <c r="CH407">
        <v>864</v>
      </c>
      <c r="CI407">
        <v>9</v>
      </c>
      <c r="CJ407">
        <v>0</v>
      </c>
      <c r="CK407">
        <v>0</v>
      </c>
      <c r="CL407">
        <v>4</v>
      </c>
      <c r="CM407">
        <v>1</v>
      </c>
      <c r="CN407">
        <v>1</v>
      </c>
      <c r="CO407">
        <v>0</v>
      </c>
      <c r="CP407">
        <v>0</v>
      </c>
      <c r="CQ407">
        <v>1</v>
      </c>
      <c r="CR407">
        <v>4</v>
      </c>
      <c r="CS407">
        <v>951</v>
      </c>
      <c r="CT407">
        <v>0</v>
      </c>
      <c r="CU407">
        <v>0</v>
      </c>
      <c r="CV407">
        <v>0</v>
      </c>
      <c r="CW407">
        <v>7</v>
      </c>
      <c r="CX407">
        <v>7</v>
      </c>
      <c r="CY407">
        <v>8</v>
      </c>
      <c r="CZ407">
        <v>1</v>
      </c>
      <c r="DA407">
        <v>5</v>
      </c>
      <c r="DB407">
        <v>1</v>
      </c>
      <c r="DC407">
        <v>0</v>
      </c>
      <c r="DD407">
        <v>966</v>
      </c>
      <c r="DE407">
        <v>0</v>
      </c>
      <c r="DF407">
        <v>33</v>
      </c>
      <c r="DG407">
        <v>11</v>
      </c>
      <c r="DH407">
        <v>18</v>
      </c>
      <c r="DI407">
        <v>19</v>
      </c>
      <c r="DJ407">
        <v>18</v>
      </c>
      <c r="DK407">
        <v>11</v>
      </c>
      <c r="DL407">
        <v>7</v>
      </c>
      <c r="DM407">
        <v>41</v>
      </c>
      <c r="DN407">
        <v>43</v>
      </c>
      <c r="DO407">
        <v>776</v>
      </c>
      <c r="DP407">
        <v>30</v>
      </c>
      <c r="DQ407">
        <v>3</v>
      </c>
      <c r="DR407">
        <v>2</v>
      </c>
      <c r="DS407">
        <v>0</v>
      </c>
      <c r="DT407">
        <v>5</v>
      </c>
      <c r="DU407">
        <v>1</v>
      </c>
      <c r="DV407">
        <v>6</v>
      </c>
      <c r="DW407">
        <v>0</v>
      </c>
      <c r="DX407">
        <v>5</v>
      </c>
      <c r="DY407">
        <v>0</v>
      </c>
      <c r="DZ407">
        <v>987</v>
      </c>
      <c r="EA407">
        <v>0.95120000000000005</v>
      </c>
      <c r="EB407">
        <v>0.95325324187420901</v>
      </c>
      <c r="EC407">
        <v>0.95068118772812105</v>
      </c>
      <c r="ED407">
        <v>0.950343680989015</v>
      </c>
      <c r="EE407">
        <f>SUM(Table1[[#This Row],[ratio_0]:[ratio_9]])</f>
        <v>370</v>
      </c>
      <c r="EF407" s="1">
        <f>(Table1[[#This Row],[predicted_0]]-Table1[[#This Row],[actual_0]])/Table1[[#This Row],[actual_0]]</f>
        <v>1.9387755102040816E-2</v>
      </c>
      <c r="EG407" s="1">
        <f>(Table1[[#This Row],[predicted_1]]-Table1[[#This Row],[actual_1]])/Table1[[#This Row],[actual_1]]</f>
        <v>2.4669603524229075E-2</v>
      </c>
      <c r="EH407" s="1">
        <f>(Table1[[#This Row],[predicted_2]]-Table1[[#This Row],[actual_2]])/Table1[[#This Row],[actual_2]]</f>
        <v>-2.4224806201550389E-2</v>
      </c>
      <c r="EI407" s="1">
        <f>(Table1[[#This Row],[predicted_3]]-Table1[[#This Row],[actual_3]])/Table1[[#This Row],[actual_3]]</f>
        <v>2.2772277227722772E-2</v>
      </c>
      <c r="EJ407" s="1">
        <f>(Table1[[#This Row],[predicted_4]]-Table1[[#This Row],[actual_4]])/Table1[[#This Row],[actual_4]]</f>
        <v>-3.7678207739307537E-2</v>
      </c>
      <c r="EK407" s="1">
        <f>(Table1[[#This Row],[predicted_5]]-Table1[[#This Row],[actual_5]])/Table1[[#This Row],[actual_5]]</f>
        <v>-3.3632286995515697E-3</v>
      </c>
      <c r="EL407" s="1">
        <f>(Table1[[#This Row],[predicted_6]]-Table1[[#This Row],[actual_6]])/Table1[[#This Row],[actual_6]]</f>
        <v>0.10020876826722339</v>
      </c>
      <c r="EM407" s="1">
        <f>(Table1[[#This Row],[predicted_7]]-Table1[[#This Row],[actual_7]])/Table1[[#This Row],[actual_7]]</f>
        <v>6.8093385214007783E-3</v>
      </c>
      <c r="EN407" s="1">
        <f>(Table1[[#This Row],[predicted_8]]-Table1[[#This Row],[actual_8]])/Table1[[#This Row],[actual_8]]</f>
        <v>-0.20328542094455851</v>
      </c>
      <c r="EO407" s="1">
        <f>(Table1[[#This Row],[predicted_9]]-Table1[[#This Row],[actual_9]])/Table1[[#This Row],[actual_9]]</f>
        <v>8.9197224975222991E-2</v>
      </c>
      <c r="EP407" s="1">
        <f>1+(Table1[[#This Row],[error_ratio_0]]-EF$2)</f>
        <v>1.0173469387755103</v>
      </c>
      <c r="EQ407" s="1">
        <f>1+(Table1[[#This Row],[error_ratio_1]]-EG$2)</f>
        <v>1.0229074889867842</v>
      </c>
      <c r="ER407" s="1">
        <f>1+(Table1[[#This Row],[error_ratio_2]]-EH$2)</f>
        <v>0.98062015503875966</v>
      </c>
      <c r="ES407" s="1">
        <f>1+(Table1[[#This Row],[error_ratio_3]]-EI$2)</f>
        <v>1.0128712871287129</v>
      </c>
      <c r="ET407" s="1">
        <f>1+(Table1[[#This Row],[error_ratio_4]]-EJ$2)</f>
        <v>0.9613034623217922</v>
      </c>
      <c r="EU407" s="1">
        <f>1+(Table1[[#This Row],[error_ratio_5]]-EK$2)</f>
        <v>0.99551569506726456</v>
      </c>
      <c r="EV407" s="1">
        <f>1+(Table1[[#This Row],[error_ratio_6]]-EL$2)</f>
        <v>1.1064718162839249</v>
      </c>
      <c r="EW407" s="1">
        <f>1+(Table1[[#This Row],[error_ratio_7]]-EM$2)</f>
        <v>1.004863813229572</v>
      </c>
      <c r="EX407" s="1">
        <f>1+(Table1[[#This Row],[error_ratio_8]]-EN$2)</f>
        <v>0.79979466119096509</v>
      </c>
      <c r="EY407" s="1">
        <f>1+(Table1[[#This Row],[error_ratio_9]]-EO$2)</f>
        <v>1.0931615460852329</v>
      </c>
    </row>
    <row r="408" spans="1:155" x14ac:dyDescent="0.75">
      <c r="A408">
        <v>100</v>
      </c>
      <c r="B408">
        <v>100</v>
      </c>
      <c r="C408">
        <v>100</v>
      </c>
      <c r="D408">
        <v>10</v>
      </c>
      <c r="E408">
        <v>10</v>
      </c>
      <c r="F408">
        <v>10</v>
      </c>
      <c r="G408">
        <v>100</v>
      </c>
      <c r="H408">
        <v>10</v>
      </c>
      <c r="I408">
        <v>10</v>
      </c>
      <c r="J408">
        <v>100</v>
      </c>
      <c r="K408">
        <v>987</v>
      </c>
      <c r="L408">
        <v>1146</v>
      </c>
      <c r="M408">
        <v>1057</v>
      </c>
      <c r="N408">
        <v>990</v>
      </c>
      <c r="O408">
        <v>925</v>
      </c>
      <c r="P408">
        <v>819</v>
      </c>
      <c r="Q408">
        <v>998</v>
      </c>
      <c r="R408">
        <v>994</v>
      </c>
      <c r="S408">
        <v>992</v>
      </c>
      <c r="T408">
        <v>1092</v>
      </c>
      <c r="U408">
        <v>980</v>
      </c>
      <c r="V408">
        <v>1135</v>
      </c>
      <c r="W408">
        <v>1032</v>
      </c>
      <c r="X408">
        <v>1010</v>
      </c>
      <c r="Y408">
        <v>982</v>
      </c>
      <c r="Z408">
        <v>892</v>
      </c>
      <c r="AA408">
        <v>958</v>
      </c>
      <c r="AB408">
        <v>1028</v>
      </c>
      <c r="AC408">
        <v>974</v>
      </c>
      <c r="AD408">
        <v>1009</v>
      </c>
      <c r="AE408">
        <v>967</v>
      </c>
      <c r="AF408">
        <v>0</v>
      </c>
      <c r="AG408">
        <v>2</v>
      </c>
      <c r="AH408">
        <v>0</v>
      </c>
      <c r="AI408">
        <v>0</v>
      </c>
      <c r="AJ408">
        <v>0</v>
      </c>
      <c r="AK408">
        <v>4</v>
      </c>
      <c r="AL408">
        <v>2</v>
      </c>
      <c r="AM408">
        <v>3</v>
      </c>
      <c r="AN408">
        <v>2</v>
      </c>
      <c r="AO408">
        <v>0</v>
      </c>
      <c r="AP408">
        <v>1125</v>
      </c>
      <c r="AQ408">
        <v>2</v>
      </c>
      <c r="AR408">
        <v>1</v>
      </c>
      <c r="AS408">
        <v>0</v>
      </c>
      <c r="AT408">
        <v>0</v>
      </c>
      <c r="AU408">
        <v>1</v>
      </c>
      <c r="AV408">
        <v>0</v>
      </c>
      <c r="AW408">
        <v>6</v>
      </c>
      <c r="AX408">
        <v>0</v>
      </c>
      <c r="AY408">
        <v>0</v>
      </c>
      <c r="AZ408">
        <v>2</v>
      </c>
      <c r="BA408">
        <v>1017</v>
      </c>
      <c r="BB408">
        <v>0</v>
      </c>
      <c r="BC408">
        <v>1</v>
      </c>
      <c r="BD408">
        <v>0</v>
      </c>
      <c r="BE408">
        <v>2</v>
      </c>
      <c r="BF408">
        <v>6</v>
      </c>
      <c r="BG408">
        <v>3</v>
      </c>
      <c r="BH408">
        <v>1</v>
      </c>
      <c r="BI408">
        <v>0</v>
      </c>
      <c r="BJ408">
        <v>0</v>
      </c>
      <c r="BK408">
        <v>8</v>
      </c>
      <c r="BL408">
        <v>966</v>
      </c>
      <c r="BM408">
        <v>0</v>
      </c>
      <c r="BN408">
        <v>7</v>
      </c>
      <c r="BO408">
        <v>1</v>
      </c>
      <c r="BP408">
        <v>7</v>
      </c>
      <c r="BQ408">
        <v>7</v>
      </c>
      <c r="BR408">
        <v>14</v>
      </c>
      <c r="BS408">
        <v>2</v>
      </c>
      <c r="BT408">
        <v>4</v>
      </c>
      <c r="BU408">
        <v>0</v>
      </c>
      <c r="BV408">
        <v>0</v>
      </c>
      <c r="BW408">
        <v>918</v>
      </c>
      <c r="BX408">
        <v>0</v>
      </c>
      <c r="BY408">
        <v>11</v>
      </c>
      <c r="BZ408">
        <v>0</v>
      </c>
      <c r="CA408">
        <v>3</v>
      </c>
      <c r="CB408">
        <v>44</v>
      </c>
      <c r="CC408">
        <v>4</v>
      </c>
      <c r="CD408">
        <v>1</v>
      </c>
      <c r="CE408">
        <v>1</v>
      </c>
      <c r="CF408">
        <v>15</v>
      </c>
      <c r="CG408">
        <v>0</v>
      </c>
      <c r="CH408">
        <v>811</v>
      </c>
      <c r="CI408">
        <v>18</v>
      </c>
      <c r="CJ408">
        <v>1</v>
      </c>
      <c r="CK408">
        <v>27</v>
      </c>
      <c r="CL408">
        <v>14</v>
      </c>
      <c r="CM408">
        <v>7</v>
      </c>
      <c r="CN408">
        <v>2</v>
      </c>
      <c r="CO408">
        <v>0</v>
      </c>
      <c r="CP408">
        <v>0</v>
      </c>
      <c r="CQ408">
        <v>0</v>
      </c>
      <c r="CR408">
        <v>0</v>
      </c>
      <c r="CS408">
        <v>949</v>
      </c>
      <c r="CT408">
        <v>0</v>
      </c>
      <c r="CU408">
        <v>0</v>
      </c>
      <c r="CV408">
        <v>0</v>
      </c>
      <c r="CW408">
        <v>1</v>
      </c>
      <c r="CX408">
        <v>9</v>
      </c>
      <c r="CY408">
        <v>24</v>
      </c>
      <c r="CZ408">
        <v>5</v>
      </c>
      <c r="DA408">
        <v>0</v>
      </c>
      <c r="DB408">
        <v>0</v>
      </c>
      <c r="DC408">
        <v>0</v>
      </c>
      <c r="DD408">
        <v>966</v>
      </c>
      <c r="DE408">
        <v>6</v>
      </c>
      <c r="DF408">
        <v>17</v>
      </c>
      <c r="DG408">
        <v>6</v>
      </c>
      <c r="DH408">
        <v>0</v>
      </c>
      <c r="DI408">
        <v>1</v>
      </c>
      <c r="DJ408">
        <v>3</v>
      </c>
      <c r="DK408">
        <v>4</v>
      </c>
      <c r="DL408">
        <v>1</v>
      </c>
      <c r="DM408">
        <v>9</v>
      </c>
      <c r="DN408">
        <v>7</v>
      </c>
      <c r="DO408">
        <v>937</v>
      </c>
      <c r="DP408">
        <v>6</v>
      </c>
      <c r="DQ408">
        <v>0</v>
      </c>
      <c r="DR408">
        <v>3</v>
      </c>
      <c r="DS408">
        <v>2</v>
      </c>
      <c r="DT408">
        <v>0</v>
      </c>
      <c r="DU408">
        <v>2</v>
      </c>
      <c r="DV408">
        <v>0</v>
      </c>
      <c r="DW408">
        <v>3</v>
      </c>
      <c r="DX408">
        <v>5</v>
      </c>
      <c r="DY408">
        <v>0</v>
      </c>
      <c r="DZ408">
        <v>994</v>
      </c>
      <c r="EA408">
        <v>0.96499999999999997</v>
      </c>
      <c r="EB408">
        <v>0.96595366662151905</v>
      </c>
      <c r="EC408">
        <v>0.96412848501505</v>
      </c>
      <c r="ED408">
        <v>0.96453144734540197</v>
      </c>
      <c r="EE408">
        <f>SUM(Table1[[#This Row],[ratio_0]:[ratio_9]])</f>
        <v>550</v>
      </c>
      <c r="EF408" s="1">
        <f>(Table1[[#This Row],[predicted_0]]-Table1[[#This Row],[actual_0]])/Table1[[#This Row],[actual_0]]</f>
        <v>7.1428571428571426E-3</v>
      </c>
      <c r="EG408" s="1">
        <f>(Table1[[#This Row],[predicted_1]]-Table1[[#This Row],[actual_1]])/Table1[[#This Row],[actual_1]]</f>
        <v>9.6916299559471359E-3</v>
      </c>
      <c r="EH408" s="1">
        <f>(Table1[[#This Row],[predicted_2]]-Table1[[#This Row],[actual_2]])/Table1[[#This Row],[actual_2]]</f>
        <v>2.4224806201550389E-2</v>
      </c>
      <c r="EI408" s="1">
        <f>(Table1[[#This Row],[predicted_3]]-Table1[[#This Row],[actual_3]])/Table1[[#This Row],[actual_3]]</f>
        <v>-1.9801980198019802E-2</v>
      </c>
      <c r="EJ408" s="1">
        <f>(Table1[[#This Row],[predicted_4]]-Table1[[#This Row],[actual_4]])/Table1[[#This Row],[actual_4]]</f>
        <v>-5.8044806517311608E-2</v>
      </c>
      <c r="EK408" s="1">
        <f>(Table1[[#This Row],[predicted_5]]-Table1[[#This Row],[actual_5]])/Table1[[#This Row],[actual_5]]</f>
        <v>-8.1838565022421525E-2</v>
      </c>
      <c r="EL408" s="1">
        <f>(Table1[[#This Row],[predicted_6]]-Table1[[#This Row],[actual_6]])/Table1[[#This Row],[actual_6]]</f>
        <v>4.1753653444676408E-2</v>
      </c>
      <c r="EM408" s="1">
        <f>(Table1[[#This Row],[predicted_7]]-Table1[[#This Row],[actual_7]])/Table1[[#This Row],[actual_7]]</f>
        <v>-3.3073929961089495E-2</v>
      </c>
      <c r="EN408" s="1">
        <f>(Table1[[#This Row],[predicted_8]]-Table1[[#This Row],[actual_8]])/Table1[[#This Row],[actual_8]]</f>
        <v>1.8480492813141684E-2</v>
      </c>
      <c r="EO408" s="1">
        <f>(Table1[[#This Row],[predicted_9]]-Table1[[#This Row],[actual_9]])/Table1[[#This Row],[actual_9]]</f>
        <v>8.2259663032705654E-2</v>
      </c>
      <c r="EP408" s="1">
        <f>1+(Table1[[#This Row],[error_ratio_0]]-EF$2)</f>
        <v>1.0051020408163265</v>
      </c>
      <c r="EQ408" s="1">
        <f>1+(Table1[[#This Row],[error_ratio_1]]-EG$2)</f>
        <v>1.0079295154185022</v>
      </c>
      <c r="ER408" s="1">
        <f>1+(Table1[[#This Row],[error_ratio_2]]-EH$2)</f>
        <v>1.0290697674418605</v>
      </c>
      <c r="ES408" s="1">
        <f>1+(Table1[[#This Row],[error_ratio_3]]-EI$2)</f>
        <v>0.97029702970297027</v>
      </c>
      <c r="ET408" s="1">
        <f>1+(Table1[[#This Row],[error_ratio_4]]-EJ$2)</f>
        <v>0.94093686354378814</v>
      </c>
      <c r="EU408" s="1">
        <f>1+(Table1[[#This Row],[error_ratio_5]]-EK$2)</f>
        <v>0.9170403587443946</v>
      </c>
      <c r="EV408" s="1">
        <f>1+(Table1[[#This Row],[error_ratio_6]]-EL$2)</f>
        <v>1.0480167014613779</v>
      </c>
      <c r="EW408" s="1">
        <f>1+(Table1[[#This Row],[error_ratio_7]]-EM$2)</f>
        <v>0.96498054474708173</v>
      </c>
      <c r="EX408" s="1">
        <f>1+(Table1[[#This Row],[error_ratio_8]]-EN$2)</f>
        <v>1.0215605749486654</v>
      </c>
      <c r="EY408" s="1">
        <f>1+(Table1[[#This Row],[error_ratio_9]]-EO$2)</f>
        <v>1.0862239841427155</v>
      </c>
    </row>
    <row r="409" spans="1:155" x14ac:dyDescent="0.75">
      <c r="A409">
        <v>10</v>
      </c>
      <c r="B409">
        <v>100</v>
      </c>
      <c r="C409">
        <v>100</v>
      </c>
      <c r="D409">
        <v>10</v>
      </c>
      <c r="E409">
        <v>10</v>
      </c>
      <c r="F409">
        <v>10</v>
      </c>
      <c r="G409">
        <v>100</v>
      </c>
      <c r="H409">
        <v>10</v>
      </c>
      <c r="I409">
        <v>10</v>
      </c>
      <c r="J409">
        <v>100</v>
      </c>
      <c r="K409">
        <v>955</v>
      </c>
      <c r="L409">
        <v>1144</v>
      </c>
      <c r="M409">
        <v>1114</v>
      </c>
      <c r="N409">
        <v>1081</v>
      </c>
      <c r="O409">
        <v>885</v>
      </c>
      <c r="P409">
        <v>844</v>
      </c>
      <c r="Q409">
        <v>996</v>
      </c>
      <c r="R409">
        <v>932</v>
      </c>
      <c r="S409">
        <v>816</v>
      </c>
      <c r="T409">
        <v>1233</v>
      </c>
      <c r="U409">
        <v>980</v>
      </c>
      <c r="V409">
        <v>1135</v>
      </c>
      <c r="W409">
        <v>1032</v>
      </c>
      <c r="X409">
        <v>1010</v>
      </c>
      <c r="Y409">
        <v>982</v>
      </c>
      <c r="Z409">
        <v>892</v>
      </c>
      <c r="AA409">
        <v>958</v>
      </c>
      <c r="AB409">
        <v>1028</v>
      </c>
      <c r="AC409">
        <v>974</v>
      </c>
      <c r="AD409">
        <v>1009</v>
      </c>
      <c r="AE409">
        <v>948</v>
      </c>
      <c r="AF409">
        <v>1</v>
      </c>
      <c r="AG409">
        <v>6</v>
      </c>
      <c r="AH409">
        <v>1</v>
      </c>
      <c r="AI409">
        <v>0</v>
      </c>
      <c r="AJ409">
        <v>2</v>
      </c>
      <c r="AK409">
        <v>6</v>
      </c>
      <c r="AL409">
        <v>1</v>
      </c>
      <c r="AM409">
        <v>3</v>
      </c>
      <c r="AN409">
        <v>12</v>
      </c>
      <c r="AO409">
        <v>0</v>
      </c>
      <c r="AP409">
        <v>1130</v>
      </c>
      <c r="AQ409">
        <v>2</v>
      </c>
      <c r="AR409">
        <v>1</v>
      </c>
      <c r="AS409">
        <v>0</v>
      </c>
      <c r="AT409">
        <v>0</v>
      </c>
      <c r="AU409">
        <v>0</v>
      </c>
      <c r="AV409">
        <v>0</v>
      </c>
      <c r="AW409">
        <v>0</v>
      </c>
      <c r="AX409">
        <v>2</v>
      </c>
      <c r="AY409">
        <v>0</v>
      </c>
      <c r="AZ409">
        <v>0</v>
      </c>
      <c r="BA409">
        <v>1027</v>
      </c>
      <c r="BB409">
        <v>2</v>
      </c>
      <c r="BC409">
        <v>0</v>
      </c>
      <c r="BD409">
        <v>0</v>
      </c>
      <c r="BE409">
        <v>0</v>
      </c>
      <c r="BF409">
        <v>3</v>
      </c>
      <c r="BG409">
        <v>0</v>
      </c>
      <c r="BH409">
        <v>0</v>
      </c>
      <c r="BI409">
        <v>0</v>
      </c>
      <c r="BJ409">
        <v>0</v>
      </c>
      <c r="BK409">
        <v>13</v>
      </c>
      <c r="BL409">
        <v>985</v>
      </c>
      <c r="BM409">
        <v>0</v>
      </c>
      <c r="BN409">
        <v>4</v>
      </c>
      <c r="BO409">
        <v>0</v>
      </c>
      <c r="BP409">
        <v>3</v>
      </c>
      <c r="BQ409">
        <v>0</v>
      </c>
      <c r="BR409">
        <v>5</v>
      </c>
      <c r="BS409">
        <v>1</v>
      </c>
      <c r="BT409">
        <v>2</v>
      </c>
      <c r="BU409">
        <v>17</v>
      </c>
      <c r="BV409">
        <v>0</v>
      </c>
      <c r="BW409">
        <v>876</v>
      </c>
      <c r="BX409">
        <v>0</v>
      </c>
      <c r="BY409">
        <v>3</v>
      </c>
      <c r="BZ409">
        <v>0</v>
      </c>
      <c r="CA409">
        <v>0</v>
      </c>
      <c r="CB409">
        <v>83</v>
      </c>
      <c r="CC409">
        <v>1</v>
      </c>
      <c r="CD409">
        <v>1</v>
      </c>
      <c r="CE409">
        <v>1</v>
      </c>
      <c r="CF409">
        <v>20</v>
      </c>
      <c r="CG409">
        <v>0</v>
      </c>
      <c r="CH409">
        <v>815</v>
      </c>
      <c r="CI409">
        <v>15</v>
      </c>
      <c r="CJ409">
        <v>1</v>
      </c>
      <c r="CK409">
        <v>4</v>
      </c>
      <c r="CL409">
        <v>34</v>
      </c>
      <c r="CM409">
        <v>1</v>
      </c>
      <c r="CN409">
        <v>3</v>
      </c>
      <c r="CO409">
        <v>2</v>
      </c>
      <c r="CP409">
        <v>0</v>
      </c>
      <c r="CQ409">
        <v>2</v>
      </c>
      <c r="CR409">
        <v>1</v>
      </c>
      <c r="CS409">
        <v>949</v>
      </c>
      <c r="CT409">
        <v>0</v>
      </c>
      <c r="CU409">
        <v>0</v>
      </c>
      <c r="CV409">
        <v>0</v>
      </c>
      <c r="CW409">
        <v>1</v>
      </c>
      <c r="CX409">
        <v>3</v>
      </c>
      <c r="CY409">
        <v>26</v>
      </c>
      <c r="CZ409">
        <v>4</v>
      </c>
      <c r="DA409">
        <v>0</v>
      </c>
      <c r="DB409">
        <v>0</v>
      </c>
      <c r="DC409">
        <v>1</v>
      </c>
      <c r="DD409">
        <v>920</v>
      </c>
      <c r="DE409">
        <v>1</v>
      </c>
      <c r="DF409">
        <v>72</v>
      </c>
      <c r="DG409">
        <v>2</v>
      </c>
      <c r="DH409">
        <v>3</v>
      </c>
      <c r="DI409">
        <v>20</v>
      </c>
      <c r="DJ409">
        <v>62</v>
      </c>
      <c r="DK409">
        <v>5</v>
      </c>
      <c r="DL409">
        <v>21</v>
      </c>
      <c r="DM409">
        <v>21</v>
      </c>
      <c r="DN409">
        <v>3</v>
      </c>
      <c r="DO409">
        <v>808</v>
      </c>
      <c r="DP409">
        <v>29</v>
      </c>
      <c r="DQ409">
        <v>1</v>
      </c>
      <c r="DR409">
        <v>1</v>
      </c>
      <c r="DS409">
        <v>0</v>
      </c>
      <c r="DT409">
        <v>6</v>
      </c>
      <c r="DU409">
        <v>2</v>
      </c>
      <c r="DV409">
        <v>1</v>
      </c>
      <c r="DW409">
        <v>1</v>
      </c>
      <c r="DX409">
        <v>1</v>
      </c>
      <c r="DY409">
        <v>0</v>
      </c>
      <c r="DZ409">
        <v>996</v>
      </c>
      <c r="EA409">
        <v>0.94540000000000002</v>
      </c>
      <c r="EB409">
        <v>0.95069167803049703</v>
      </c>
      <c r="EC409">
        <v>0.94413101795751697</v>
      </c>
      <c r="ED409">
        <v>0.94495164771121198</v>
      </c>
      <c r="EE409">
        <f>SUM(Table1[[#This Row],[ratio_0]:[ratio_9]])</f>
        <v>460</v>
      </c>
      <c r="EF409" s="1">
        <f>(Table1[[#This Row],[predicted_0]]-Table1[[#This Row],[actual_0]])/Table1[[#This Row],[actual_0]]</f>
        <v>-2.5510204081632654E-2</v>
      </c>
      <c r="EG409" s="1">
        <f>(Table1[[#This Row],[predicted_1]]-Table1[[#This Row],[actual_1]])/Table1[[#This Row],[actual_1]]</f>
        <v>7.9295154185022032E-3</v>
      </c>
      <c r="EH409" s="1">
        <f>(Table1[[#This Row],[predicted_2]]-Table1[[#This Row],[actual_2]])/Table1[[#This Row],[actual_2]]</f>
        <v>7.9457364341085274E-2</v>
      </c>
      <c r="EI409" s="1">
        <f>(Table1[[#This Row],[predicted_3]]-Table1[[#This Row],[actual_3]])/Table1[[#This Row],[actual_3]]</f>
        <v>7.0297029702970304E-2</v>
      </c>
      <c r="EJ409" s="1">
        <f>(Table1[[#This Row],[predicted_4]]-Table1[[#This Row],[actual_4]])/Table1[[#This Row],[actual_4]]</f>
        <v>-9.8778004073319756E-2</v>
      </c>
      <c r="EK409" s="1">
        <f>(Table1[[#This Row],[predicted_5]]-Table1[[#This Row],[actual_5]])/Table1[[#This Row],[actual_5]]</f>
        <v>-5.3811659192825115E-2</v>
      </c>
      <c r="EL409" s="1">
        <f>(Table1[[#This Row],[predicted_6]]-Table1[[#This Row],[actual_6]])/Table1[[#This Row],[actual_6]]</f>
        <v>3.9665970772442591E-2</v>
      </c>
      <c r="EM409" s="1">
        <f>(Table1[[#This Row],[predicted_7]]-Table1[[#This Row],[actual_7]])/Table1[[#This Row],[actual_7]]</f>
        <v>-9.3385214007782102E-2</v>
      </c>
      <c r="EN409" s="1">
        <f>(Table1[[#This Row],[predicted_8]]-Table1[[#This Row],[actual_8]])/Table1[[#This Row],[actual_8]]</f>
        <v>-0.16221765913757699</v>
      </c>
      <c r="EO409" s="1">
        <f>(Table1[[#This Row],[predicted_9]]-Table1[[#This Row],[actual_9]])/Table1[[#This Row],[actual_9]]</f>
        <v>0.222001982160555</v>
      </c>
      <c r="EP409" s="1">
        <f>1+(Table1[[#This Row],[error_ratio_0]]-EF$2)</f>
        <v>0.97244897959183674</v>
      </c>
      <c r="EQ409" s="1">
        <f>1+(Table1[[#This Row],[error_ratio_1]]-EG$2)</f>
        <v>1.0061674008810573</v>
      </c>
      <c r="ER409" s="1">
        <f>1+(Table1[[#This Row],[error_ratio_2]]-EH$2)</f>
        <v>1.0843023255813953</v>
      </c>
      <c r="ES409" s="1">
        <f>1+(Table1[[#This Row],[error_ratio_3]]-EI$2)</f>
        <v>1.0603960396039604</v>
      </c>
      <c r="ET409" s="1">
        <f>1+(Table1[[#This Row],[error_ratio_4]]-EJ$2)</f>
        <v>0.90020366598778001</v>
      </c>
      <c r="EU409" s="1">
        <f>1+(Table1[[#This Row],[error_ratio_5]]-EK$2)</f>
        <v>0.94506726457399104</v>
      </c>
      <c r="EV409" s="1">
        <f>1+(Table1[[#This Row],[error_ratio_6]]-EL$2)</f>
        <v>1.0459290187891441</v>
      </c>
      <c r="EW409" s="1">
        <f>1+(Table1[[#This Row],[error_ratio_7]]-EM$2)</f>
        <v>0.90466926070038911</v>
      </c>
      <c r="EX409" s="1">
        <f>1+(Table1[[#This Row],[error_ratio_8]]-EN$2)</f>
        <v>0.84086242299794667</v>
      </c>
      <c r="EY409" s="1">
        <f>1+(Table1[[#This Row],[error_ratio_9]]-EO$2)</f>
        <v>1.225966303270565</v>
      </c>
    </row>
    <row r="410" spans="1:155" x14ac:dyDescent="0.75">
      <c r="A410">
        <v>100</v>
      </c>
      <c r="B410">
        <v>10</v>
      </c>
      <c r="C410">
        <v>100</v>
      </c>
      <c r="D410">
        <v>10</v>
      </c>
      <c r="E410">
        <v>10</v>
      </c>
      <c r="F410">
        <v>10</v>
      </c>
      <c r="G410">
        <v>100</v>
      </c>
      <c r="H410">
        <v>10</v>
      </c>
      <c r="I410">
        <v>10</v>
      </c>
      <c r="J410">
        <v>100</v>
      </c>
      <c r="K410">
        <v>1053</v>
      </c>
      <c r="L410">
        <v>1121</v>
      </c>
      <c r="M410">
        <v>1069</v>
      </c>
      <c r="N410">
        <v>955</v>
      </c>
      <c r="O410">
        <v>931</v>
      </c>
      <c r="P410">
        <v>869</v>
      </c>
      <c r="Q410">
        <v>1001</v>
      </c>
      <c r="R410">
        <v>983</v>
      </c>
      <c r="S410">
        <v>960</v>
      </c>
      <c r="T410">
        <v>1058</v>
      </c>
      <c r="U410">
        <v>980</v>
      </c>
      <c r="V410">
        <v>1135</v>
      </c>
      <c r="W410">
        <v>1032</v>
      </c>
      <c r="X410">
        <v>1010</v>
      </c>
      <c r="Y410">
        <v>982</v>
      </c>
      <c r="Z410">
        <v>892</v>
      </c>
      <c r="AA410">
        <v>958</v>
      </c>
      <c r="AB410">
        <v>1028</v>
      </c>
      <c r="AC410">
        <v>974</v>
      </c>
      <c r="AD410">
        <v>1009</v>
      </c>
      <c r="AE410">
        <v>978</v>
      </c>
      <c r="AF410">
        <v>0</v>
      </c>
      <c r="AG410">
        <v>0</v>
      </c>
      <c r="AH410">
        <v>0</v>
      </c>
      <c r="AI410">
        <v>0</v>
      </c>
      <c r="AJ410">
        <v>0</v>
      </c>
      <c r="AK410">
        <v>0</v>
      </c>
      <c r="AL410">
        <v>1</v>
      </c>
      <c r="AM410">
        <v>0</v>
      </c>
      <c r="AN410">
        <v>1</v>
      </c>
      <c r="AO410">
        <v>0</v>
      </c>
      <c r="AP410">
        <v>1111</v>
      </c>
      <c r="AQ410">
        <v>2</v>
      </c>
      <c r="AR410">
        <v>2</v>
      </c>
      <c r="AS410">
        <v>0</v>
      </c>
      <c r="AT410">
        <v>0</v>
      </c>
      <c r="AU410">
        <v>5</v>
      </c>
      <c r="AV410">
        <v>0</v>
      </c>
      <c r="AW410">
        <v>14</v>
      </c>
      <c r="AX410">
        <v>1</v>
      </c>
      <c r="AY410">
        <v>1</v>
      </c>
      <c r="AZ410">
        <v>1</v>
      </c>
      <c r="BA410">
        <v>1023</v>
      </c>
      <c r="BB410">
        <v>1</v>
      </c>
      <c r="BC410">
        <v>0</v>
      </c>
      <c r="BD410">
        <v>0</v>
      </c>
      <c r="BE410">
        <v>0</v>
      </c>
      <c r="BF410">
        <v>3</v>
      </c>
      <c r="BG410">
        <v>2</v>
      </c>
      <c r="BH410">
        <v>1</v>
      </c>
      <c r="BI410">
        <v>4</v>
      </c>
      <c r="BJ410">
        <v>0</v>
      </c>
      <c r="BK410">
        <v>11</v>
      </c>
      <c r="BL410">
        <v>941</v>
      </c>
      <c r="BM410">
        <v>0</v>
      </c>
      <c r="BN410">
        <v>27</v>
      </c>
      <c r="BO410">
        <v>0</v>
      </c>
      <c r="BP410">
        <v>7</v>
      </c>
      <c r="BQ410">
        <v>10</v>
      </c>
      <c r="BR410">
        <v>10</v>
      </c>
      <c r="BS410">
        <v>6</v>
      </c>
      <c r="BT410">
        <v>1</v>
      </c>
      <c r="BU410">
        <v>1</v>
      </c>
      <c r="BV410">
        <v>0</v>
      </c>
      <c r="BW410">
        <v>924</v>
      </c>
      <c r="BX410">
        <v>0</v>
      </c>
      <c r="BY410">
        <v>17</v>
      </c>
      <c r="BZ410">
        <v>0</v>
      </c>
      <c r="CA410">
        <v>2</v>
      </c>
      <c r="CB410">
        <v>31</v>
      </c>
      <c r="CC410">
        <v>16</v>
      </c>
      <c r="CD410">
        <v>0</v>
      </c>
      <c r="CE410">
        <v>0</v>
      </c>
      <c r="CF410">
        <v>4</v>
      </c>
      <c r="CG410">
        <v>0</v>
      </c>
      <c r="CH410">
        <v>840</v>
      </c>
      <c r="CI410">
        <v>24</v>
      </c>
      <c r="CJ410">
        <v>1</v>
      </c>
      <c r="CK410">
        <v>6</v>
      </c>
      <c r="CL410">
        <v>1</v>
      </c>
      <c r="CM410">
        <v>11</v>
      </c>
      <c r="CN410">
        <v>2</v>
      </c>
      <c r="CO410">
        <v>1</v>
      </c>
      <c r="CP410">
        <v>0</v>
      </c>
      <c r="CQ410">
        <v>1</v>
      </c>
      <c r="CR410">
        <v>0</v>
      </c>
      <c r="CS410">
        <v>943</v>
      </c>
      <c r="CT410">
        <v>0</v>
      </c>
      <c r="CU410">
        <v>0</v>
      </c>
      <c r="CV410">
        <v>0</v>
      </c>
      <c r="CW410">
        <v>3</v>
      </c>
      <c r="CX410">
        <v>6</v>
      </c>
      <c r="CY410">
        <v>23</v>
      </c>
      <c r="CZ410">
        <v>6</v>
      </c>
      <c r="DA410">
        <v>1</v>
      </c>
      <c r="DB410">
        <v>0</v>
      </c>
      <c r="DC410">
        <v>0</v>
      </c>
      <c r="DD410">
        <v>963</v>
      </c>
      <c r="DE410">
        <v>8</v>
      </c>
      <c r="DF410">
        <v>18</v>
      </c>
      <c r="DG410">
        <v>30</v>
      </c>
      <c r="DH410">
        <v>0</v>
      </c>
      <c r="DI410">
        <v>7</v>
      </c>
      <c r="DJ410">
        <v>1</v>
      </c>
      <c r="DK410">
        <v>2</v>
      </c>
      <c r="DL410">
        <v>1</v>
      </c>
      <c r="DM410">
        <v>10</v>
      </c>
      <c r="DN410">
        <v>6</v>
      </c>
      <c r="DO410">
        <v>907</v>
      </c>
      <c r="DP410">
        <v>10</v>
      </c>
      <c r="DQ410">
        <v>4</v>
      </c>
      <c r="DR410">
        <v>0</v>
      </c>
      <c r="DS410">
        <v>1</v>
      </c>
      <c r="DT410">
        <v>0</v>
      </c>
      <c r="DU410">
        <v>3</v>
      </c>
      <c r="DV410">
        <v>1</v>
      </c>
      <c r="DW410">
        <v>2</v>
      </c>
      <c r="DX410">
        <v>2</v>
      </c>
      <c r="DY410">
        <v>11</v>
      </c>
      <c r="DZ410">
        <v>985</v>
      </c>
      <c r="EA410">
        <v>0.96150000000000002</v>
      </c>
      <c r="EB410">
        <v>0.96187788968703103</v>
      </c>
      <c r="EC410">
        <v>0.96109553270136805</v>
      </c>
      <c r="ED410">
        <v>0.961015525909937</v>
      </c>
      <c r="EE410">
        <f>SUM(Table1[[#This Row],[ratio_0]:[ratio_9]])</f>
        <v>460</v>
      </c>
      <c r="EF410" s="1">
        <f>(Table1[[#This Row],[predicted_0]]-Table1[[#This Row],[actual_0]])/Table1[[#This Row],[actual_0]]</f>
        <v>7.4489795918367352E-2</v>
      </c>
      <c r="EG410" s="1">
        <f>(Table1[[#This Row],[predicted_1]]-Table1[[#This Row],[actual_1]])/Table1[[#This Row],[actual_1]]</f>
        <v>-1.2334801762114538E-2</v>
      </c>
      <c r="EH410" s="1">
        <f>(Table1[[#This Row],[predicted_2]]-Table1[[#This Row],[actual_2]])/Table1[[#This Row],[actual_2]]</f>
        <v>3.5852713178294575E-2</v>
      </c>
      <c r="EI410" s="1">
        <f>(Table1[[#This Row],[predicted_3]]-Table1[[#This Row],[actual_3]])/Table1[[#This Row],[actual_3]]</f>
        <v>-5.4455445544554455E-2</v>
      </c>
      <c r="EJ410" s="1">
        <f>(Table1[[#This Row],[predicted_4]]-Table1[[#This Row],[actual_4]])/Table1[[#This Row],[actual_4]]</f>
        <v>-5.1934826883910386E-2</v>
      </c>
      <c r="EK410" s="1">
        <f>(Table1[[#This Row],[predicted_5]]-Table1[[#This Row],[actual_5]])/Table1[[#This Row],[actual_5]]</f>
        <v>-2.5784753363228701E-2</v>
      </c>
      <c r="EL410" s="1">
        <f>(Table1[[#This Row],[predicted_6]]-Table1[[#This Row],[actual_6]])/Table1[[#This Row],[actual_6]]</f>
        <v>4.4885177453027142E-2</v>
      </c>
      <c r="EM410" s="1">
        <f>(Table1[[#This Row],[predicted_7]]-Table1[[#This Row],[actual_7]])/Table1[[#This Row],[actual_7]]</f>
        <v>-4.3774319066147857E-2</v>
      </c>
      <c r="EN410" s="1">
        <f>(Table1[[#This Row],[predicted_8]]-Table1[[#This Row],[actual_8]])/Table1[[#This Row],[actual_8]]</f>
        <v>-1.4373716632443531E-2</v>
      </c>
      <c r="EO410" s="1">
        <f>(Table1[[#This Row],[predicted_9]]-Table1[[#This Row],[actual_9]])/Table1[[#This Row],[actual_9]]</f>
        <v>4.8562933597621406E-2</v>
      </c>
      <c r="EP410" s="1">
        <f>1+(Table1[[#This Row],[error_ratio_0]]-EF$2)</f>
        <v>1.0724489795918368</v>
      </c>
      <c r="EQ410" s="1">
        <f>1+(Table1[[#This Row],[error_ratio_1]]-EG$2)</f>
        <v>0.98590308370044055</v>
      </c>
      <c r="ER410" s="1">
        <f>1+(Table1[[#This Row],[error_ratio_2]]-EH$2)</f>
        <v>1.0406976744186047</v>
      </c>
      <c r="ES410" s="1">
        <f>1+(Table1[[#This Row],[error_ratio_3]]-EI$2)</f>
        <v>0.93564356435643559</v>
      </c>
      <c r="ET410" s="1">
        <f>1+(Table1[[#This Row],[error_ratio_4]]-EJ$2)</f>
        <v>0.94704684317718946</v>
      </c>
      <c r="EU410" s="1">
        <f>1+(Table1[[#This Row],[error_ratio_5]]-EK$2)</f>
        <v>0.97309417040358748</v>
      </c>
      <c r="EV410" s="1">
        <f>1+(Table1[[#This Row],[error_ratio_6]]-EL$2)</f>
        <v>1.0511482254697286</v>
      </c>
      <c r="EW410" s="1">
        <f>1+(Table1[[#This Row],[error_ratio_7]]-EM$2)</f>
        <v>0.9542801556420234</v>
      </c>
      <c r="EX410" s="1">
        <f>1+(Table1[[#This Row],[error_ratio_8]]-EN$2)</f>
        <v>0.98870636550308011</v>
      </c>
      <c r="EY410" s="1">
        <f>1+(Table1[[#This Row],[error_ratio_9]]-EO$2)</f>
        <v>1.0525272547076314</v>
      </c>
    </row>
    <row r="411" spans="1:155" x14ac:dyDescent="0.75">
      <c r="A411">
        <v>10</v>
      </c>
      <c r="B411">
        <v>10</v>
      </c>
      <c r="C411">
        <v>100</v>
      </c>
      <c r="D411">
        <v>10</v>
      </c>
      <c r="E411">
        <v>10</v>
      </c>
      <c r="F411">
        <v>10</v>
      </c>
      <c r="G411">
        <v>100</v>
      </c>
      <c r="H411">
        <v>10</v>
      </c>
      <c r="I411">
        <v>10</v>
      </c>
      <c r="J411">
        <v>100</v>
      </c>
      <c r="K411">
        <v>972</v>
      </c>
      <c r="L411">
        <v>1103</v>
      </c>
      <c r="M411">
        <v>1093</v>
      </c>
      <c r="N411">
        <v>1008</v>
      </c>
      <c r="O411">
        <v>879</v>
      </c>
      <c r="P411">
        <v>866</v>
      </c>
      <c r="Q411">
        <v>969</v>
      </c>
      <c r="R411">
        <v>983</v>
      </c>
      <c r="S411">
        <v>989</v>
      </c>
      <c r="T411">
        <v>1138</v>
      </c>
      <c r="U411">
        <v>980</v>
      </c>
      <c r="V411">
        <v>1135</v>
      </c>
      <c r="W411">
        <v>1032</v>
      </c>
      <c r="X411">
        <v>1010</v>
      </c>
      <c r="Y411">
        <v>982</v>
      </c>
      <c r="Z411">
        <v>892</v>
      </c>
      <c r="AA411">
        <v>958</v>
      </c>
      <c r="AB411">
        <v>1028</v>
      </c>
      <c r="AC411">
        <v>974</v>
      </c>
      <c r="AD411">
        <v>1009</v>
      </c>
      <c r="AE411">
        <v>961</v>
      </c>
      <c r="AF411">
        <v>0</v>
      </c>
      <c r="AG411">
        <v>2</v>
      </c>
      <c r="AH411">
        <v>0</v>
      </c>
      <c r="AI411">
        <v>0</v>
      </c>
      <c r="AJ411">
        <v>1</v>
      </c>
      <c r="AK411">
        <v>4</v>
      </c>
      <c r="AL411">
        <v>2</v>
      </c>
      <c r="AM411">
        <v>6</v>
      </c>
      <c r="AN411">
        <v>4</v>
      </c>
      <c r="AO411">
        <v>0</v>
      </c>
      <c r="AP411">
        <v>1099</v>
      </c>
      <c r="AQ411">
        <v>7</v>
      </c>
      <c r="AR411">
        <v>2</v>
      </c>
      <c r="AS411">
        <v>0</v>
      </c>
      <c r="AT411">
        <v>1</v>
      </c>
      <c r="AU411">
        <v>4</v>
      </c>
      <c r="AV411">
        <v>0</v>
      </c>
      <c r="AW411">
        <v>21</v>
      </c>
      <c r="AX411">
        <v>1</v>
      </c>
      <c r="AY411">
        <v>0</v>
      </c>
      <c r="AZ411">
        <v>0</v>
      </c>
      <c r="BA411">
        <v>1024</v>
      </c>
      <c r="BB411">
        <v>0</v>
      </c>
      <c r="BC411">
        <v>0</v>
      </c>
      <c r="BD411">
        <v>0</v>
      </c>
      <c r="BE411">
        <v>0</v>
      </c>
      <c r="BF411">
        <v>4</v>
      </c>
      <c r="BG411">
        <v>4</v>
      </c>
      <c r="BH411">
        <v>0</v>
      </c>
      <c r="BI411">
        <v>0</v>
      </c>
      <c r="BJ411">
        <v>0</v>
      </c>
      <c r="BK411">
        <v>7</v>
      </c>
      <c r="BL411">
        <v>979</v>
      </c>
      <c r="BM411">
        <v>0</v>
      </c>
      <c r="BN411">
        <v>7</v>
      </c>
      <c r="BO411">
        <v>0</v>
      </c>
      <c r="BP411">
        <v>5</v>
      </c>
      <c r="BQ411">
        <v>3</v>
      </c>
      <c r="BR411">
        <v>9</v>
      </c>
      <c r="BS411">
        <v>0</v>
      </c>
      <c r="BT411">
        <v>0</v>
      </c>
      <c r="BU411">
        <v>18</v>
      </c>
      <c r="BV411">
        <v>0</v>
      </c>
      <c r="BW411">
        <v>878</v>
      </c>
      <c r="BX411">
        <v>0</v>
      </c>
      <c r="BY411">
        <v>7</v>
      </c>
      <c r="BZ411">
        <v>0</v>
      </c>
      <c r="CA411">
        <v>4</v>
      </c>
      <c r="CB411">
        <v>75</v>
      </c>
      <c r="CC411">
        <v>4</v>
      </c>
      <c r="CD411">
        <v>0</v>
      </c>
      <c r="CE411">
        <v>1</v>
      </c>
      <c r="CF411">
        <v>12</v>
      </c>
      <c r="CG411">
        <v>0</v>
      </c>
      <c r="CH411">
        <v>847</v>
      </c>
      <c r="CI411">
        <v>4</v>
      </c>
      <c r="CJ411">
        <v>2</v>
      </c>
      <c r="CK411">
        <v>9</v>
      </c>
      <c r="CL411">
        <v>13</v>
      </c>
      <c r="CM411">
        <v>2</v>
      </c>
      <c r="CN411">
        <v>1</v>
      </c>
      <c r="CO411">
        <v>1</v>
      </c>
      <c r="CP411">
        <v>0</v>
      </c>
      <c r="CQ411">
        <v>1</v>
      </c>
      <c r="CR411">
        <v>4</v>
      </c>
      <c r="CS411">
        <v>947</v>
      </c>
      <c r="CT411">
        <v>0</v>
      </c>
      <c r="CU411">
        <v>2</v>
      </c>
      <c r="CV411">
        <v>0</v>
      </c>
      <c r="CW411">
        <v>0</v>
      </c>
      <c r="CX411">
        <v>3</v>
      </c>
      <c r="CY411">
        <v>22</v>
      </c>
      <c r="CZ411">
        <v>7</v>
      </c>
      <c r="DA411">
        <v>0</v>
      </c>
      <c r="DB411">
        <v>0</v>
      </c>
      <c r="DC411">
        <v>0</v>
      </c>
      <c r="DD411">
        <v>966</v>
      </c>
      <c r="DE411">
        <v>5</v>
      </c>
      <c r="DF411">
        <v>25</v>
      </c>
      <c r="DG411">
        <v>5</v>
      </c>
      <c r="DH411">
        <v>0</v>
      </c>
      <c r="DI411">
        <v>10</v>
      </c>
      <c r="DJ411">
        <v>5</v>
      </c>
      <c r="DK411">
        <v>0</v>
      </c>
      <c r="DL411">
        <v>5</v>
      </c>
      <c r="DM411">
        <v>2</v>
      </c>
      <c r="DN411">
        <v>4</v>
      </c>
      <c r="DO411">
        <v>933</v>
      </c>
      <c r="DP411">
        <v>10</v>
      </c>
      <c r="DQ411">
        <v>0</v>
      </c>
      <c r="DR411">
        <v>0</v>
      </c>
      <c r="DS411">
        <v>1</v>
      </c>
      <c r="DT411">
        <v>3</v>
      </c>
      <c r="DU411">
        <v>0</v>
      </c>
      <c r="DV411">
        <v>1</v>
      </c>
      <c r="DW411">
        <v>1</v>
      </c>
      <c r="DX411">
        <v>0</v>
      </c>
      <c r="DY411">
        <v>2</v>
      </c>
      <c r="DZ411">
        <v>1001</v>
      </c>
      <c r="EA411">
        <v>0.96350000000000002</v>
      </c>
      <c r="EB411">
        <v>0.96530728891306605</v>
      </c>
      <c r="EC411">
        <v>0.96322777949774696</v>
      </c>
      <c r="ED411">
        <v>0.96346047974615201</v>
      </c>
      <c r="EE411">
        <f>SUM(Table1[[#This Row],[ratio_0]:[ratio_9]])</f>
        <v>370</v>
      </c>
      <c r="EF411" s="1">
        <f>(Table1[[#This Row],[predicted_0]]-Table1[[#This Row],[actual_0]])/Table1[[#This Row],[actual_0]]</f>
        <v>-8.1632653061224497E-3</v>
      </c>
      <c r="EG411" s="1">
        <f>(Table1[[#This Row],[predicted_1]]-Table1[[#This Row],[actual_1]])/Table1[[#This Row],[actual_1]]</f>
        <v>-2.8193832599118944E-2</v>
      </c>
      <c r="EH411" s="1">
        <f>(Table1[[#This Row],[predicted_2]]-Table1[[#This Row],[actual_2]])/Table1[[#This Row],[actual_2]]</f>
        <v>5.9108527131782947E-2</v>
      </c>
      <c r="EI411" s="1">
        <f>(Table1[[#This Row],[predicted_3]]-Table1[[#This Row],[actual_3]])/Table1[[#This Row],[actual_3]]</f>
        <v>-1.9801980198019802E-3</v>
      </c>
      <c r="EJ411" s="1">
        <f>(Table1[[#This Row],[predicted_4]]-Table1[[#This Row],[actual_4]])/Table1[[#This Row],[actual_4]]</f>
        <v>-0.10488798370672098</v>
      </c>
      <c r="EK411" s="1">
        <f>(Table1[[#This Row],[predicted_5]]-Table1[[#This Row],[actual_5]])/Table1[[#This Row],[actual_5]]</f>
        <v>-2.914798206278027E-2</v>
      </c>
      <c r="EL411" s="1">
        <f>(Table1[[#This Row],[predicted_6]]-Table1[[#This Row],[actual_6]])/Table1[[#This Row],[actual_6]]</f>
        <v>1.1482254697286013E-2</v>
      </c>
      <c r="EM411" s="1">
        <f>(Table1[[#This Row],[predicted_7]]-Table1[[#This Row],[actual_7]])/Table1[[#This Row],[actual_7]]</f>
        <v>-4.3774319066147857E-2</v>
      </c>
      <c r="EN411" s="1">
        <f>(Table1[[#This Row],[predicted_8]]-Table1[[#This Row],[actual_8]])/Table1[[#This Row],[actual_8]]</f>
        <v>1.5400410677618069E-2</v>
      </c>
      <c r="EO411" s="1">
        <f>(Table1[[#This Row],[predicted_9]]-Table1[[#This Row],[actual_9]])/Table1[[#This Row],[actual_9]]</f>
        <v>0.12784935579781961</v>
      </c>
      <c r="EP411" s="1">
        <f>1+(Table1[[#This Row],[error_ratio_0]]-EF$2)</f>
        <v>0.98979591836734693</v>
      </c>
      <c r="EQ411" s="1">
        <f>1+(Table1[[#This Row],[error_ratio_1]]-EG$2)</f>
        <v>0.97004405286343609</v>
      </c>
      <c r="ER411" s="1">
        <f>1+(Table1[[#This Row],[error_ratio_2]]-EH$2)</f>
        <v>1.0639534883720931</v>
      </c>
      <c r="ES411" s="1">
        <f>1+(Table1[[#This Row],[error_ratio_3]]-EI$2)</f>
        <v>0.98811881188118811</v>
      </c>
      <c r="ET411" s="1">
        <f>1+(Table1[[#This Row],[error_ratio_4]]-EJ$2)</f>
        <v>0.8940936863543788</v>
      </c>
      <c r="EU411" s="1">
        <f>1+(Table1[[#This Row],[error_ratio_5]]-EK$2)</f>
        <v>0.96973094170403584</v>
      </c>
      <c r="EV411" s="1">
        <f>1+(Table1[[#This Row],[error_ratio_6]]-EL$2)</f>
        <v>1.0177453027139876</v>
      </c>
      <c r="EW411" s="1">
        <f>1+(Table1[[#This Row],[error_ratio_7]]-EM$2)</f>
        <v>0.9542801556420234</v>
      </c>
      <c r="EX411" s="1">
        <f>1+(Table1[[#This Row],[error_ratio_8]]-EN$2)</f>
        <v>1.0184804928131417</v>
      </c>
      <c r="EY411" s="1">
        <f>1+(Table1[[#This Row],[error_ratio_9]]-EO$2)</f>
        <v>1.1318136769078295</v>
      </c>
    </row>
    <row r="412" spans="1:155" x14ac:dyDescent="0.75">
      <c r="A412">
        <v>100</v>
      </c>
      <c r="B412">
        <v>100</v>
      </c>
      <c r="C412">
        <v>10</v>
      </c>
      <c r="D412">
        <v>10</v>
      </c>
      <c r="E412">
        <v>10</v>
      </c>
      <c r="F412">
        <v>10</v>
      </c>
      <c r="G412">
        <v>100</v>
      </c>
      <c r="H412">
        <v>10</v>
      </c>
      <c r="I412">
        <v>10</v>
      </c>
      <c r="J412">
        <v>100</v>
      </c>
      <c r="K412">
        <v>1013</v>
      </c>
      <c r="L412">
        <v>1149</v>
      </c>
      <c r="M412">
        <v>968</v>
      </c>
      <c r="N412">
        <v>1073</v>
      </c>
      <c r="O412">
        <v>925</v>
      </c>
      <c r="P412">
        <v>863</v>
      </c>
      <c r="Q412">
        <v>975</v>
      </c>
      <c r="R412">
        <v>974</v>
      </c>
      <c r="S412">
        <v>983</v>
      </c>
      <c r="T412">
        <v>1077</v>
      </c>
      <c r="U412">
        <v>980</v>
      </c>
      <c r="V412">
        <v>1135</v>
      </c>
      <c r="W412">
        <v>1032</v>
      </c>
      <c r="X412">
        <v>1010</v>
      </c>
      <c r="Y412">
        <v>982</v>
      </c>
      <c r="Z412">
        <v>892</v>
      </c>
      <c r="AA412">
        <v>958</v>
      </c>
      <c r="AB412">
        <v>1028</v>
      </c>
      <c r="AC412">
        <v>974</v>
      </c>
      <c r="AD412">
        <v>1009</v>
      </c>
      <c r="AE412">
        <v>972</v>
      </c>
      <c r="AF412">
        <v>0</v>
      </c>
      <c r="AG412">
        <v>0</v>
      </c>
      <c r="AH412">
        <v>0</v>
      </c>
      <c r="AI412">
        <v>0</v>
      </c>
      <c r="AJ412">
        <v>2</v>
      </c>
      <c r="AK412">
        <v>0</v>
      </c>
      <c r="AL412">
        <v>1</v>
      </c>
      <c r="AM412">
        <v>3</v>
      </c>
      <c r="AN412">
        <v>2</v>
      </c>
      <c r="AO412">
        <v>0</v>
      </c>
      <c r="AP412">
        <v>1128</v>
      </c>
      <c r="AQ412">
        <v>0</v>
      </c>
      <c r="AR412">
        <v>2</v>
      </c>
      <c r="AS412">
        <v>0</v>
      </c>
      <c r="AT412">
        <v>2</v>
      </c>
      <c r="AU412">
        <v>2</v>
      </c>
      <c r="AV412">
        <v>0</v>
      </c>
      <c r="AW412">
        <v>0</v>
      </c>
      <c r="AX412">
        <v>1</v>
      </c>
      <c r="AY412">
        <v>18</v>
      </c>
      <c r="AZ412">
        <v>10</v>
      </c>
      <c r="BA412">
        <v>932</v>
      </c>
      <c r="BB412">
        <v>32</v>
      </c>
      <c r="BC412">
        <v>0</v>
      </c>
      <c r="BD412">
        <v>0</v>
      </c>
      <c r="BE412">
        <v>6</v>
      </c>
      <c r="BF412">
        <v>8</v>
      </c>
      <c r="BG412">
        <v>20</v>
      </c>
      <c r="BH412">
        <v>6</v>
      </c>
      <c r="BI412">
        <v>4</v>
      </c>
      <c r="BJ412">
        <v>0</v>
      </c>
      <c r="BK412">
        <v>1</v>
      </c>
      <c r="BL412">
        <v>984</v>
      </c>
      <c r="BM412">
        <v>0</v>
      </c>
      <c r="BN412">
        <v>12</v>
      </c>
      <c r="BO412">
        <v>0</v>
      </c>
      <c r="BP412">
        <v>5</v>
      </c>
      <c r="BQ412">
        <v>3</v>
      </c>
      <c r="BR412">
        <v>1</v>
      </c>
      <c r="BS412">
        <v>1</v>
      </c>
      <c r="BT412">
        <v>2</v>
      </c>
      <c r="BU412">
        <v>1</v>
      </c>
      <c r="BV412">
        <v>1</v>
      </c>
      <c r="BW412">
        <v>920</v>
      </c>
      <c r="BX412">
        <v>2</v>
      </c>
      <c r="BY412">
        <v>17</v>
      </c>
      <c r="BZ412">
        <v>0</v>
      </c>
      <c r="CA412">
        <v>3</v>
      </c>
      <c r="CB412">
        <v>35</v>
      </c>
      <c r="CC412">
        <v>4</v>
      </c>
      <c r="CD412">
        <v>0</v>
      </c>
      <c r="CE412">
        <v>0</v>
      </c>
      <c r="CF412">
        <v>18</v>
      </c>
      <c r="CG412">
        <v>0</v>
      </c>
      <c r="CH412">
        <v>830</v>
      </c>
      <c r="CI412">
        <v>5</v>
      </c>
      <c r="CJ412">
        <v>1</v>
      </c>
      <c r="CK412">
        <v>13</v>
      </c>
      <c r="CL412">
        <v>21</v>
      </c>
      <c r="CM412">
        <v>7</v>
      </c>
      <c r="CN412">
        <v>2</v>
      </c>
      <c r="CO412">
        <v>0</v>
      </c>
      <c r="CP412">
        <v>0</v>
      </c>
      <c r="CQ412">
        <v>1</v>
      </c>
      <c r="CR412">
        <v>4</v>
      </c>
      <c r="CS412">
        <v>943</v>
      </c>
      <c r="CT412">
        <v>0</v>
      </c>
      <c r="CU412">
        <v>1</v>
      </c>
      <c r="CV412">
        <v>0</v>
      </c>
      <c r="CW412">
        <v>3</v>
      </c>
      <c r="CX412">
        <v>5</v>
      </c>
      <c r="CY412">
        <v>33</v>
      </c>
      <c r="CZ412">
        <v>10</v>
      </c>
      <c r="DA412">
        <v>2</v>
      </c>
      <c r="DB412">
        <v>1</v>
      </c>
      <c r="DC412">
        <v>0</v>
      </c>
      <c r="DD412">
        <v>953</v>
      </c>
      <c r="DE412">
        <v>6</v>
      </c>
      <c r="DF412">
        <v>15</v>
      </c>
      <c r="DG412">
        <v>3</v>
      </c>
      <c r="DH412">
        <v>0</v>
      </c>
      <c r="DI412">
        <v>1</v>
      </c>
      <c r="DJ412">
        <v>22</v>
      </c>
      <c r="DK412">
        <v>0</v>
      </c>
      <c r="DL412">
        <v>6</v>
      </c>
      <c r="DM412">
        <v>2</v>
      </c>
      <c r="DN412">
        <v>3</v>
      </c>
      <c r="DO412">
        <v>933</v>
      </c>
      <c r="DP412">
        <v>4</v>
      </c>
      <c r="DQ412">
        <v>1</v>
      </c>
      <c r="DR412">
        <v>2</v>
      </c>
      <c r="DS412">
        <v>0</v>
      </c>
      <c r="DT412">
        <v>4</v>
      </c>
      <c r="DU412">
        <v>2</v>
      </c>
      <c r="DV412">
        <v>4</v>
      </c>
      <c r="DW412">
        <v>0</v>
      </c>
      <c r="DX412">
        <v>3</v>
      </c>
      <c r="DY412">
        <v>1</v>
      </c>
      <c r="DZ412">
        <v>992</v>
      </c>
      <c r="EA412">
        <v>0.9587</v>
      </c>
      <c r="EB412">
        <v>0.95933014715442</v>
      </c>
      <c r="EC412">
        <v>0.958282671302495</v>
      </c>
      <c r="ED412">
        <v>0.95830174082375796</v>
      </c>
      <c r="EE412">
        <f>SUM(Table1[[#This Row],[ratio_0]:[ratio_9]])</f>
        <v>460</v>
      </c>
      <c r="EF412" s="1">
        <f>(Table1[[#This Row],[predicted_0]]-Table1[[#This Row],[actual_0]])/Table1[[#This Row],[actual_0]]</f>
        <v>3.3673469387755103E-2</v>
      </c>
      <c r="EG412" s="1">
        <f>(Table1[[#This Row],[predicted_1]]-Table1[[#This Row],[actual_1]])/Table1[[#This Row],[actual_1]]</f>
        <v>1.2334801762114538E-2</v>
      </c>
      <c r="EH412" s="1">
        <f>(Table1[[#This Row],[predicted_2]]-Table1[[#This Row],[actual_2]])/Table1[[#This Row],[actual_2]]</f>
        <v>-6.2015503875968991E-2</v>
      </c>
      <c r="EI412" s="1">
        <f>(Table1[[#This Row],[predicted_3]]-Table1[[#This Row],[actual_3]])/Table1[[#This Row],[actual_3]]</f>
        <v>6.2376237623762376E-2</v>
      </c>
      <c r="EJ412" s="1">
        <f>(Table1[[#This Row],[predicted_4]]-Table1[[#This Row],[actual_4]])/Table1[[#This Row],[actual_4]]</f>
        <v>-5.8044806517311608E-2</v>
      </c>
      <c r="EK412" s="1">
        <f>(Table1[[#This Row],[predicted_5]]-Table1[[#This Row],[actual_5]])/Table1[[#This Row],[actual_5]]</f>
        <v>-3.2511210762331835E-2</v>
      </c>
      <c r="EL412" s="1">
        <f>(Table1[[#This Row],[predicted_6]]-Table1[[#This Row],[actual_6]])/Table1[[#This Row],[actual_6]]</f>
        <v>1.7745302713987474E-2</v>
      </c>
      <c r="EM412" s="1">
        <f>(Table1[[#This Row],[predicted_7]]-Table1[[#This Row],[actual_7]])/Table1[[#This Row],[actual_7]]</f>
        <v>-5.2529182879377433E-2</v>
      </c>
      <c r="EN412" s="1">
        <f>(Table1[[#This Row],[predicted_8]]-Table1[[#This Row],[actual_8]])/Table1[[#This Row],[actual_8]]</f>
        <v>9.2402464065708418E-3</v>
      </c>
      <c r="EO412" s="1">
        <f>(Table1[[#This Row],[predicted_9]]-Table1[[#This Row],[actual_9]])/Table1[[#This Row],[actual_9]]</f>
        <v>6.7393458870168482E-2</v>
      </c>
      <c r="EP412" s="1">
        <f>1+(Table1[[#This Row],[error_ratio_0]]-EF$2)</f>
        <v>1.0316326530612245</v>
      </c>
      <c r="EQ412" s="1">
        <f>1+(Table1[[#This Row],[error_ratio_1]]-EG$2)</f>
        <v>1.0105726872246696</v>
      </c>
      <c r="ER412" s="1">
        <f>1+(Table1[[#This Row],[error_ratio_2]]-EH$2)</f>
        <v>0.94282945736434109</v>
      </c>
      <c r="ES412" s="1">
        <f>1+(Table1[[#This Row],[error_ratio_3]]-EI$2)</f>
        <v>1.0524752475247525</v>
      </c>
      <c r="ET412" s="1">
        <f>1+(Table1[[#This Row],[error_ratio_4]]-EJ$2)</f>
        <v>0.94093686354378814</v>
      </c>
      <c r="EU412" s="1">
        <f>1+(Table1[[#This Row],[error_ratio_5]]-EK$2)</f>
        <v>0.96636771300448432</v>
      </c>
      <c r="EV412" s="1">
        <f>1+(Table1[[#This Row],[error_ratio_6]]-EL$2)</f>
        <v>1.024008350730689</v>
      </c>
      <c r="EW412" s="1">
        <f>1+(Table1[[#This Row],[error_ratio_7]]-EM$2)</f>
        <v>0.94552529182879375</v>
      </c>
      <c r="EX412" s="1">
        <f>1+(Table1[[#This Row],[error_ratio_8]]-EN$2)</f>
        <v>1.0123203285420945</v>
      </c>
      <c r="EY412" s="1">
        <f>1+(Table1[[#This Row],[error_ratio_9]]-EO$2)</f>
        <v>1.0713577799801783</v>
      </c>
    </row>
    <row r="413" spans="1:155" x14ac:dyDescent="0.75">
      <c r="A413">
        <v>10</v>
      </c>
      <c r="B413">
        <v>100</v>
      </c>
      <c r="C413">
        <v>10</v>
      </c>
      <c r="D413">
        <v>10</v>
      </c>
      <c r="E413">
        <v>10</v>
      </c>
      <c r="F413">
        <v>10</v>
      </c>
      <c r="G413">
        <v>100</v>
      </c>
      <c r="H413">
        <v>10</v>
      </c>
      <c r="I413">
        <v>10</v>
      </c>
      <c r="J413">
        <v>100</v>
      </c>
      <c r="K413">
        <v>978</v>
      </c>
      <c r="L413">
        <v>1141</v>
      </c>
      <c r="M413">
        <v>995</v>
      </c>
      <c r="N413">
        <v>940</v>
      </c>
      <c r="O413">
        <v>841</v>
      </c>
      <c r="P413">
        <v>778</v>
      </c>
      <c r="Q413">
        <v>1013</v>
      </c>
      <c r="R413">
        <v>966</v>
      </c>
      <c r="S413">
        <v>950</v>
      </c>
      <c r="T413">
        <v>1398</v>
      </c>
      <c r="U413">
        <v>980</v>
      </c>
      <c r="V413">
        <v>1135</v>
      </c>
      <c r="W413">
        <v>1032</v>
      </c>
      <c r="X413">
        <v>1010</v>
      </c>
      <c r="Y413">
        <v>982</v>
      </c>
      <c r="Z413">
        <v>892</v>
      </c>
      <c r="AA413">
        <v>958</v>
      </c>
      <c r="AB413">
        <v>1028</v>
      </c>
      <c r="AC413">
        <v>974</v>
      </c>
      <c r="AD413">
        <v>1009</v>
      </c>
      <c r="AE413">
        <v>952</v>
      </c>
      <c r="AF413">
        <v>2</v>
      </c>
      <c r="AG413">
        <v>0</v>
      </c>
      <c r="AH413">
        <v>0</v>
      </c>
      <c r="AI413">
        <v>0</v>
      </c>
      <c r="AJ413">
        <v>0</v>
      </c>
      <c r="AK413">
        <v>4</v>
      </c>
      <c r="AL413">
        <v>3</v>
      </c>
      <c r="AM413">
        <v>8</v>
      </c>
      <c r="AN413">
        <v>11</v>
      </c>
      <c r="AO413">
        <v>0</v>
      </c>
      <c r="AP413">
        <v>1118</v>
      </c>
      <c r="AQ413">
        <v>0</v>
      </c>
      <c r="AR413">
        <v>0</v>
      </c>
      <c r="AS413">
        <v>0</v>
      </c>
      <c r="AT413">
        <v>2</v>
      </c>
      <c r="AU413">
        <v>1</v>
      </c>
      <c r="AV413">
        <v>1</v>
      </c>
      <c r="AW413">
        <v>10</v>
      </c>
      <c r="AX413">
        <v>3</v>
      </c>
      <c r="AY413">
        <v>11</v>
      </c>
      <c r="AZ413">
        <v>8</v>
      </c>
      <c r="BA413">
        <v>964</v>
      </c>
      <c r="BB413">
        <v>1</v>
      </c>
      <c r="BC413">
        <v>3</v>
      </c>
      <c r="BD413">
        <v>0</v>
      </c>
      <c r="BE413">
        <v>8</v>
      </c>
      <c r="BF413">
        <v>24</v>
      </c>
      <c r="BG413">
        <v>3</v>
      </c>
      <c r="BH413">
        <v>10</v>
      </c>
      <c r="BI413">
        <v>1</v>
      </c>
      <c r="BJ413">
        <v>1</v>
      </c>
      <c r="BK413">
        <v>11</v>
      </c>
      <c r="BL413">
        <v>926</v>
      </c>
      <c r="BM413">
        <v>0</v>
      </c>
      <c r="BN413">
        <v>8</v>
      </c>
      <c r="BO413">
        <v>0</v>
      </c>
      <c r="BP413">
        <v>4</v>
      </c>
      <c r="BQ413">
        <v>16</v>
      </c>
      <c r="BR413">
        <v>43</v>
      </c>
      <c r="BS413">
        <v>2</v>
      </c>
      <c r="BT413">
        <v>1</v>
      </c>
      <c r="BU413">
        <v>2</v>
      </c>
      <c r="BV413">
        <v>0</v>
      </c>
      <c r="BW413">
        <v>826</v>
      </c>
      <c r="BX413">
        <v>0</v>
      </c>
      <c r="BY413">
        <v>9</v>
      </c>
      <c r="BZ413">
        <v>0</v>
      </c>
      <c r="CA413">
        <v>2</v>
      </c>
      <c r="CB413">
        <v>140</v>
      </c>
      <c r="CC413">
        <v>5</v>
      </c>
      <c r="CD413">
        <v>2</v>
      </c>
      <c r="CE413">
        <v>0</v>
      </c>
      <c r="CF413">
        <v>12</v>
      </c>
      <c r="CG413">
        <v>2</v>
      </c>
      <c r="CH413">
        <v>767</v>
      </c>
      <c r="CI413">
        <v>38</v>
      </c>
      <c r="CJ413">
        <v>1</v>
      </c>
      <c r="CK413">
        <v>14</v>
      </c>
      <c r="CL413">
        <v>51</v>
      </c>
      <c r="CM413">
        <v>4</v>
      </c>
      <c r="CN413">
        <v>2</v>
      </c>
      <c r="CO413">
        <v>0</v>
      </c>
      <c r="CP413">
        <v>0</v>
      </c>
      <c r="CQ413">
        <v>1</v>
      </c>
      <c r="CR413">
        <v>1</v>
      </c>
      <c r="CS413">
        <v>945</v>
      </c>
      <c r="CT413">
        <v>0</v>
      </c>
      <c r="CU413">
        <v>5</v>
      </c>
      <c r="CV413">
        <v>0</v>
      </c>
      <c r="CW413">
        <v>0</v>
      </c>
      <c r="CX413">
        <v>6</v>
      </c>
      <c r="CY413">
        <v>15</v>
      </c>
      <c r="CZ413">
        <v>0</v>
      </c>
      <c r="DA413">
        <v>1</v>
      </c>
      <c r="DB413">
        <v>0</v>
      </c>
      <c r="DC413">
        <v>0</v>
      </c>
      <c r="DD413">
        <v>929</v>
      </c>
      <c r="DE413">
        <v>0</v>
      </c>
      <c r="DF413">
        <v>77</v>
      </c>
      <c r="DG413">
        <v>3</v>
      </c>
      <c r="DH413">
        <v>1</v>
      </c>
      <c r="DI413">
        <v>3</v>
      </c>
      <c r="DJ413">
        <v>1</v>
      </c>
      <c r="DK413">
        <v>7</v>
      </c>
      <c r="DL413">
        <v>0</v>
      </c>
      <c r="DM413">
        <v>8</v>
      </c>
      <c r="DN413">
        <v>4</v>
      </c>
      <c r="DO413">
        <v>892</v>
      </c>
      <c r="DP413">
        <v>55</v>
      </c>
      <c r="DQ413">
        <v>0</v>
      </c>
      <c r="DR413">
        <v>0</v>
      </c>
      <c r="DS413">
        <v>0</v>
      </c>
      <c r="DT413">
        <v>0</v>
      </c>
      <c r="DU413">
        <v>1</v>
      </c>
      <c r="DV413">
        <v>0</v>
      </c>
      <c r="DW413">
        <v>0</v>
      </c>
      <c r="DX413">
        <v>0</v>
      </c>
      <c r="DY413">
        <v>0</v>
      </c>
      <c r="DZ413">
        <v>1008</v>
      </c>
      <c r="EA413">
        <v>0.93269999999999997</v>
      </c>
      <c r="EB413">
        <v>0.94297810429279705</v>
      </c>
      <c r="EC413">
        <v>0.93133433772471097</v>
      </c>
      <c r="ED413">
        <v>0.93360020797467502</v>
      </c>
      <c r="EE413">
        <f>SUM(Table1[[#This Row],[ratio_0]:[ratio_9]])</f>
        <v>370</v>
      </c>
      <c r="EF413" s="1">
        <f>(Table1[[#This Row],[predicted_0]]-Table1[[#This Row],[actual_0]])/Table1[[#This Row],[actual_0]]</f>
        <v>-2.0408163265306124E-3</v>
      </c>
      <c r="EG413" s="1">
        <f>(Table1[[#This Row],[predicted_1]]-Table1[[#This Row],[actual_1]])/Table1[[#This Row],[actual_1]]</f>
        <v>5.2863436123348016E-3</v>
      </c>
      <c r="EH413" s="1">
        <f>(Table1[[#This Row],[predicted_2]]-Table1[[#This Row],[actual_2]])/Table1[[#This Row],[actual_2]]</f>
        <v>-3.5852713178294575E-2</v>
      </c>
      <c r="EI413" s="1">
        <f>(Table1[[#This Row],[predicted_3]]-Table1[[#This Row],[actual_3]])/Table1[[#This Row],[actual_3]]</f>
        <v>-6.9306930693069313E-2</v>
      </c>
      <c r="EJ413" s="1">
        <f>(Table1[[#This Row],[predicted_4]]-Table1[[#This Row],[actual_4]])/Table1[[#This Row],[actual_4]]</f>
        <v>-0.14358452138492872</v>
      </c>
      <c r="EK413" s="1">
        <f>(Table1[[#This Row],[predicted_5]]-Table1[[#This Row],[actual_5]])/Table1[[#This Row],[actual_5]]</f>
        <v>-0.12780269058295965</v>
      </c>
      <c r="EL413" s="1">
        <f>(Table1[[#This Row],[predicted_6]]-Table1[[#This Row],[actual_6]])/Table1[[#This Row],[actual_6]]</f>
        <v>5.7411273486430062E-2</v>
      </c>
      <c r="EM413" s="1">
        <f>(Table1[[#This Row],[predicted_7]]-Table1[[#This Row],[actual_7]])/Table1[[#This Row],[actual_7]]</f>
        <v>-6.0311284046692608E-2</v>
      </c>
      <c r="EN413" s="1">
        <f>(Table1[[#This Row],[predicted_8]]-Table1[[#This Row],[actual_8]])/Table1[[#This Row],[actual_8]]</f>
        <v>-2.4640657084188913E-2</v>
      </c>
      <c r="EO413" s="1">
        <f>(Table1[[#This Row],[predicted_9]]-Table1[[#This Row],[actual_9]])/Table1[[#This Row],[actual_9]]</f>
        <v>0.38553022794846381</v>
      </c>
      <c r="EP413" s="1">
        <f>1+(Table1[[#This Row],[error_ratio_0]]-EF$2)</f>
        <v>0.99591836734693873</v>
      </c>
      <c r="EQ413" s="1">
        <f>1+(Table1[[#This Row],[error_ratio_1]]-EG$2)</f>
        <v>1.0035242290748898</v>
      </c>
      <c r="ER413" s="1">
        <f>1+(Table1[[#This Row],[error_ratio_2]]-EH$2)</f>
        <v>0.96899224806201545</v>
      </c>
      <c r="ES413" s="1">
        <f>1+(Table1[[#This Row],[error_ratio_3]]-EI$2)</f>
        <v>0.92079207920792083</v>
      </c>
      <c r="ET413" s="1">
        <f>1+(Table1[[#This Row],[error_ratio_4]]-EJ$2)</f>
        <v>0.85539714867617112</v>
      </c>
      <c r="EU413" s="1">
        <f>1+(Table1[[#This Row],[error_ratio_5]]-EK$2)</f>
        <v>0.87107623318385652</v>
      </c>
      <c r="EV413" s="1">
        <f>1+(Table1[[#This Row],[error_ratio_6]]-EL$2)</f>
        <v>1.0636743215031315</v>
      </c>
      <c r="EW413" s="1">
        <f>1+(Table1[[#This Row],[error_ratio_7]]-EM$2)</f>
        <v>0.9377431906614786</v>
      </c>
      <c r="EX413" s="1">
        <f>1+(Table1[[#This Row],[error_ratio_8]]-EN$2)</f>
        <v>0.97843942505133474</v>
      </c>
      <c r="EY413" s="1">
        <f>1+(Table1[[#This Row],[error_ratio_9]]-EO$2)</f>
        <v>1.3894945490584738</v>
      </c>
    </row>
    <row r="414" spans="1:155" x14ac:dyDescent="0.75">
      <c r="A414">
        <v>100</v>
      </c>
      <c r="B414">
        <v>10</v>
      </c>
      <c r="C414">
        <v>10</v>
      </c>
      <c r="D414">
        <v>10</v>
      </c>
      <c r="E414">
        <v>10</v>
      </c>
      <c r="F414">
        <v>10</v>
      </c>
      <c r="G414">
        <v>100</v>
      </c>
      <c r="H414">
        <v>10</v>
      </c>
      <c r="I414">
        <v>10</v>
      </c>
      <c r="J414">
        <v>100</v>
      </c>
      <c r="K414">
        <v>1014</v>
      </c>
      <c r="L414">
        <v>1127</v>
      </c>
      <c r="M414">
        <v>995</v>
      </c>
      <c r="N414">
        <v>998</v>
      </c>
      <c r="O414">
        <v>780</v>
      </c>
      <c r="P414">
        <v>831</v>
      </c>
      <c r="Q414">
        <v>1018</v>
      </c>
      <c r="R414">
        <v>998</v>
      </c>
      <c r="S414">
        <v>928</v>
      </c>
      <c r="T414">
        <v>1311</v>
      </c>
      <c r="U414">
        <v>980</v>
      </c>
      <c r="V414">
        <v>1135</v>
      </c>
      <c r="W414">
        <v>1032</v>
      </c>
      <c r="X414">
        <v>1010</v>
      </c>
      <c r="Y414">
        <v>982</v>
      </c>
      <c r="Z414">
        <v>892</v>
      </c>
      <c r="AA414">
        <v>958</v>
      </c>
      <c r="AB414">
        <v>1028</v>
      </c>
      <c r="AC414">
        <v>974</v>
      </c>
      <c r="AD414">
        <v>1009</v>
      </c>
      <c r="AE414">
        <v>970</v>
      </c>
      <c r="AF414">
        <v>0</v>
      </c>
      <c r="AG414">
        <v>1</v>
      </c>
      <c r="AH414">
        <v>0</v>
      </c>
      <c r="AI414">
        <v>0</v>
      </c>
      <c r="AJ414">
        <v>3</v>
      </c>
      <c r="AK414">
        <v>1</v>
      </c>
      <c r="AL414">
        <v>0</v>
      </c>
      <c r="AM414">
        <v>1</v>
      </c>
      <c r="AN414">
        <v>4</v>
      </c>
      <c r="AO414">
        <v>0</v>
      </c>
      <c r="AP414">
        <v>1118</v>
      </c>
      <c r="AQ414">
        <v>2</v>
      </c>
      <c r="AR414">
        <v>6</v>
      </c>
      <c r="AS414">
        <v>0</v>
      </c>
      <c r="AT414">
        <v>1</v>
      </c>
      <c r="AU414">
        <v>4</v>
      </c>
      <c r="AV414">
        <v>1</v>
      </c>
      <c r="AW414">
        <v>2</v>
      </c>
      <c r="AX414">
        <v>1</v>
      </c>
      <c r="AY414">
        <v>13</v>
      </c>
      <c r="AZ414">
        <v>0</v>
      </c>
      <c r="BA414">
        <v>977</v>
      </c>
      <c r="BB414">
        <v>3</v>
      </c>
      <c r="BC414">
        <v>3</v>
      </c>
      <c r="BD414">
        <v>0</v>
      </c>
      <c r="BE414">
        <v>9</v>
      </c>
      <c r="BF414">
        <v>11</v>
      </c>
      <c r="BG414">
        <v>2</v>
      </c>
      <c r="BH414">
        <v>14</v>
      </c>
      <c r="BI414">
        <v>2</v>
      </c>
      <c r="BJ414">
        <v>0</v>
      </c>
      <c r="BK414">
        <v>3</v>
      </c>
      <c r="BL414">
        <v>965</v>
      </c>
      <c r="BM414">
        <v>0</v>
      </c>
      <c r="BN414">
        <v>8</v>
      </c>
      <c r="BO414">
        <v>0</v>
      </c>
      <c r="BP414">
        <v>10</v>
      </c>
      <c r="BQ414">
        <v>5</v>
      </c>
      <c r="BR414">
        <v>17</v>
      </c>
      <c r="BS414">
        <v>6</v>
      </c>
      <c r="BT414">
        <v>1</v>
      </c>
      <c r="BU414">
        <v>0</v>
      </c>
      <c r="BV414">
        <v>0</v>
      </c>
      <c r="BW414">
        <v>768</v>
      </c>
      <c r="BX414">
        <v>0</v>
      </c>
      <c r="BY414">
        <v>9</v>
      </c>
      <c r="BZ414">
        <v>0</v>
      </c>
      <c r="CA414">
        <v>5</v>
      </c>
      <c r="CB414">
        <v>193</v>
      </c>
      <c r="CC414">
        <v>3</v>
      </c>
      <c r="CD414">
        <v>1</v>
      </c>
      <c r="CE414">
        <v>1</v>
      </c>
      <c r="CF414">
        <v>18</v>
      </c>
      <c r="CG414">
        <v>2</v>
      </c>
      <c r="CH414">
        <v>811</v>
      </c>
      <c r="CI414">
        <v>26</v>
      </c>
      <c r="CJ414">
        <v>1</v>
      </c>
      <c r="CK414">
        <v>6</v>
      </c>
      <c r="CL414">
        <v>23</v>
      </c>
      <c r="CM414">
        <v>5</v>
      </c>
      <c r="CN414">
        <v>1</v>
      </c>
      <c r="CO414">
        <v>0</v>
      </c>
      <c r="CP414">
        <v>0</v>
      </c>
      <c r="CQ414">
        <v>1</v>
      </c>
      <c r="CR414">
        <v>1</v>
      </c>
      <c r="CS414">
        <v>948</v>
      </c>
      <c r="CT414">
        <v>0</v>
      </c>
      <c r="CU414">
        <v>0</v>
      </c>
      <c r="CV414">
        <v>2</v>
      </c>
      <c r="CW414">
        <v>0</v>
      </c>
      <c r="CX414">
        <v>4</v>
      </c>
      <c r="CY414">
        <v>11</v>
      </c>
      <c r="CZ414">
        <v>2</v>
      </c>
      <c r="DA414">
        <v>0</v>
      </c>
      <c r="DB414">
        <v>0</v>
      </c>
      <c r="DC414">
        <v>0</v>
      </c>
      <c r="DD414">
        <v>968</v>
      </c>
      <c r="DE414">
        <v>5</v>
      </c>
      <c r="DF414">
        <v>38</v>
      </c>
      <c r="DG414">
        <v>14</v>
      </c>
      <c r="DH414">
        <v>0</v>
      </c>
      <c r="DI414">
        <v>0</v>
      </c>
      <c r="DJ414">
        <v>3</v>
      </c>
      <c r="DK414">
        <v>5</v>
      </c>
      <c r="DL414">
        <v>5</v>
      </c>
      <c r="DM414">
        <v>21</v>
      </c>
      <c r="DN414">
        <v>6</v>
      </c>
      <c r="DO414">
        <v>898</v>
      </c>
      <c r="DP414">
        <v>22</v>
      </c>
      <c r="DQ414">
        <v>1</v>
      </c>
      <c r="DR414">
        <v>2</v>
      </c>
      <c r="DS414">
        <v>0</v>
      </c>
      <c r="DT414">
        <v>1</v>
      </c>
      <c r="DU414">
        <v>1</v>
      </c>
      <c r="DV414">
        <v>2</v>
      </c>
      <c r="DW414">
        <v>0</v>
      </c>
      <c r="DX414">
        <v>1</v>
      </c>
      <c r="DY414">
        <v>4</v>
      </c>
      <c r="DZ414">
        <v>997</v>
      </c>
      <c r="EA414">
        <v>0.94199999999999995</v>
      </c>
      <c r="EB414">
        <v>0.94873512949917704</v>
      </c>
      <c r="EC414">
        <v>0.940951325101824</v>
      </c>
      <c r="ED414">
        <v>0.94185276544959695</v>
      </c>
      <c r="EE414">
        <f>SUM(Table1[[#This Row],[ratio_0]:[ratio_9]])</f>
        <v>370</v>
      </c>
      <c r="EF414" s="1">
        <f>(Table1[[#This Row],[predicted_0]]-Table1[[#This Row],[actual_0]])/Table1[[#This Row],[actual_0]]</f>
        <v>3.4693877551020408E-2</v>
      </c>
      <c r="EG414" s="1">
        <f>(Table1[[#This Row],[predicted_1]]-Table1[[#This Row],[actual_1]])/Table1[[#This Row],[actual_1]]</f>
        <v>-7.048458149779736E-3</v>
      </c>
      <c r="EH414" s="1">
        <f>(Table1[[#This Row],[predicted_2]]-Table1[[#This Row],[actual_2]])/Table1[[#This Row],[actual_2]]</f>
        <v>-3.5852713178294575E-2</v>
      </c>
      <c r="EI414" s="1">
        <f>(Table1[[#This Row],[predicted_3]]-Table1[[#This Row],[actual_3]])/Table1[[#This Row],[actual_3]]</f>
        <v>-1.1881188118811881E-2</v>
      </c>
      <c r="EJ414" s="1">
        <f>(Table1[[#This Row],[predicted_4]]-Table1[[#This Row],[actual_4]])/Table1[[#This Row],[actual_4]]</f>
        <v>-0.20570264765784113</v>
      </c>
      <c r="EK414" s="1">
        <f>(Table1[[#This Row],[predicted_5]]-Table1[[#This Row],[actual_5]])/Table1[[#This Row],[actual_5]]</f>
        <v>-6.838565022421525E-2</v>
      </c>
      <c r="EL414" s="1">
        <f>(Table1[[#This Row],[predicted_6]]-Table1[[#This Row],[actual_6]])/Table1[[#This Row],[actual_6]]</f>
        <v>6.2630480167014613E-2</v>
      </c>
      <c r="EM414" s="1">
        <f>(Table1[[#This Row],[predicted_7]]-Table1[[#This Row],[actual_7]])/Table1[[#This Row],[actual_7]]</f>
        <v>-2.9182879377431907E-2</v>
      </c>
      <c r="EN414" s="1">
        <f>(Table1[[#This Row],[predicted_8]]-Table1[[#This Row],[actual_8]])/Table1[[#This Row],[actual_8]]</f>
        <v>-4.7227926078028747E-2</v>
      </c>
      <c r="EO414" s="1">
        <f>(Table1[[#This Row],[predicted_9]]-Table1[[#This Row],[actual_9]])/Table1[[#This Row],[actual_9]]</f>
        <v>0.29930624380574827</v>
      </c>
      <c r="EP414" s="1">
        <f>1+(Table1[[#This Row],[error_ratio_0]]-EF$2)</f>
        <v>1.0326530612244897</v>
      </c>
      <c r="EQ414" s="1">
        <f>1+(Table1[[#This Row],[error_ratio_1]]-EG$2)</f>
        <v>0.99118942731277537</v>
      </c>
      <c r="ER414" s="1">
        <f>1+(Table1[[#This Row],[error_ratio_2]]-EH$2)</f>
        <v>0.96899224806201545</v>
      </c>
      <c r="ES414" s="1">
        <f>1+(Table1[[#This Row],[error_ratio_3]]-EI$2)</f>
        <v>0.9782178217821782</v>
      </c>
      <c r="ET414" s="1">
        <f>1+(Table1[[#This Row],[error_ratio_4]]-EJ$2)</f>
        <v>0.79327902240325865</v>
      </c>
      <c r="EU414" s="1">
        <f>1+(Table1[[#This Row],[error_ratio_5]]-EK$2)</f>
        <v>0.93049327354260092</v>
      </c>
      <c r="EV414" s="1">
        <f>1+(Table1[[#This Row],[error_ratio_6]]-EL$2)</f>
        <v>1.068893528183716</v>
      </c>
      <c r="EW414" s="1">
        <f>1+(Table1[[#This Row],[error_ratio_7]]-EM$2)</f>
        <v>0.9688715953307393</v>
      </c>
      <c r="EX414" s="1">
        <f>1+(Table1[[#This Row],[error_ratio_8]]-EN$2)</f>
        <v>0.95585215605749485</v>
      </c>
      <c r="EY414" s="1">
        <f>1+(Table1[[#This Row],[error_ratio_9]]-EO$2)</f>
        <v>1.3032705649157581</v>
      </c>
    </row>
    <row r="415" spans="1:155" x14ac:dyDescent="0.75">
      <c r="A415">
        <v>10</v>
      </c>
      <c r="B415">
        <v>10</v>
      </c>
      <c r="C415">
        <v>10</v>
      </c>
      <c r="D415">
        <v>10</v>
      </c>
      <c r="E415">
        <v>10</v>
      </c>
      <c r="F415">
        <v>10</v>
      </c>
      <c r="G415">
        <v>100</v>
      </c>
      <c r="H415">
        <v>10</v>
      </c>
      <c r="I415">
        <v>10</v>
      </c>
      <c r="J415">
        <v>100</v>
      </c>
      <c r="K415">
        <v>1007</v>
      </c>
      <c r="L415">
        <v>1166</v>
      </c>
      <c r="M415">
        <v>911</v>
      </c>
      <c r="N415">
        <v>935</v>
      </c>
      <c r="O415">
        <v>1032</v>
      </c>
      <c r="P415">
        <v>821</v>
      </c>
      <c r="Q415">
        <v>1148</v>
      </c>
      <c r="R415">
        <v>948</v>
      </c>
      <c r="S415">
        <v>900</v>
      </c>
      <c r="T415">
        <v>1132</v>
      </c>
      <c r="U415">
        <v>980</v>
      </c>
      <c r="V415">
        <v>1135</v>
      </c>
      <c r="W415">
        <v>1032</v>
      </c>
      <c r="X415">
        <v>1010</v>
      </c>
      <c r="Y415">
        <v>982</v>
      </c>
      <c r="Z415">
        <v>892</v>
      </c>
      <c r="AA415">
        <v>958</v>
      </c>
      <c r="AB415">
        <v>1028</v>
      </c>
      <c r="AC415">
        <v>974</v>
      </c>
      <c r="AD415">
        <v>1009</v>
      </c>
      <c r="AE415">
        <v>938</v>
      </c>
      <c r="AF415">
        <v>0</v>
      </c>
      <c r="AG415">
        <v>0</v>
      </c>
      <c r="AH415">
        <v>0</v>
      </c>
      <c r="AI415">
        <v>0</v>
      </c>
      <c r="AJ415">
        <v>0</v>
      </c>
      <c r="AK415">
        <v>39</v>
      </c>
      <c r="AL415">
        <v>1</v>
      </c>
      <c r="AM415">
        <v>2</v>
      </c>
      <c r="AN415">
        <v>0</v>
      </c>
      <c r="AO415">
        <v>0</v>
      </c>
      <c r="AP415">
        <v>1123</v>
      </c>
      <c r="AQ415">
        <v>3</v>
      </c>
      <c r="AR415">
        <v>1</v>
      </c>
      <c r="AS415">
        <v>1</v>
      </c>
      <c r="AT415">
        <v>0</v>
      </c>
      <c r="AU415">
        <v>6</v>
      </c>
      <c r="AV415">
        <v>0</v>
      </c>
      <c r="AW415">
        <v>0</v>
      </c>
      <c r="AX415">
        <v>1</v>
      </c>
      <c r="AY415">
        <v>21</v>
      </c>
      <c r="AZ415">
        <v>25</v>
      </c>
      <c r="BA415">
        <v>888</v>
      </c>
      <c r="BB415">
        <v>1</v>
      </c>
      <c r="BC415">
        <v>18</v>
      </c>
      <c r="BD415">
        <v>0</v>
      </c>
      <c r="BE415">
        <v>40</v>
      </c>
      <c r="BF415">
        <v>11</v>
      </c>
      <c r="BG415">
        <v>27</v>
      </c>
      <c r="BH415">
        <v>1</v>
      </c>
      <c r="BI415">
        <v>18</v>
      </c>
      <c r="BJ415">
        <v>0</v>
      </c>
      <c r="BK415">
        <v>8</v>
      </c>
      <c r="BL415">
        <v>928</v>
      </c>
      <c r="BM415">
        <v>3</v>
      </c>
      <c r="BN415">
        <v>21</v>
      </c>
      <c r="BO415">
        <v>4</v>
      </c>
      <c r="BP415">
        <v>5</v>
      </c>
      <c r="BQ415">
        <v>10</v>
      </c>
      <c r="BR415">
        <v>13</v>
      </c>
      <c r="BS415">
        <v>1</v>
      </c>
      <c r="BT415">
        <v>1</v>
      </c>
      <c r="BU415">
        <v>0</v>
      </c>
      <c r="BV415">
        <v>0</v>
      </c>
      <c r="BW415">
        <v>957</v>
      </c>
      <c r="BX415">
        <v>0</v>
      </c>
      <c r="BY415">
        <v>7</v>
      </c>
      <c r="BZ415">
        <v>0</v>
      </c>
      <c r="CA415">
        <v>0</v>
      </c>
      <c r="CB415">
        <v>16</v>
      </c>
      <c r="CC415">
        <v>9</v>
      </c>
      <c r="CD415">
        <v>1</v>
      </c>
      <c r="CE415">
        <v>1</v>
      </c>
      <c r="CF415">
        <v>4</v>
      </c>
      <c r="CG415">
        <v>5</v>
      </c>
      <c r="CH415">
        <v>796</v>
      </c>
      <c r="CI415">
        <v>50</v>
      </c>
      <c r="CJ415">
        <v>1</v>
      </c>
      <c r="CK415">
        <v>11</v>
      </c>
      <c r="CL415">
        <v>14</v>
      </c>
      <c r="CM415">
        <v>0</v>
      </c>
      <c r="CN415">
        <v>1</v>
      </c>
      <c r="CO415">
        <v>0</v>
      </c>
      <c r="CP415">
        <v>0</v>
      </c>
      <c r="CQ415">
        <v>3</v>
      </c>
      <c r="CR415">
        <v>0</v>
      </c>
      <c r="CS415">
        <v>954</v>
      </c>
      <c r="CT415">
        <v>0</v>
      </c>
      <c r="CU415">
        <v>0</v>
      </c>
      <c r="CV415">
        <v>0</v>
      </c>
      <c r="CW415">
        <v>9</v>
      </c>
      <c r="CX415">
        <v>8</v>
      </c>
      <c r="CY415">
        <v>11</v>
      </c>
      <c r="CZ415">
        <v>1</v>
      </c>
      <c r="DA415">
        <v>7</v>
      </c>
      <c r="DB415">
        <v>0</v>
      </c>
      <c r="DC415">
        <v>0</v>
      </c>
      <c r="DD415">
        <v>925</v>
      </c>
      <c r="DE415">
        <v>2</v>
      </c>
      <c r="DF415">
        <v>65</v>
      </c>
      <c r="DG415">
        <v>8</v>
      </c>
      <c r="DH415">
        <v>6</v>
      </c>
      <c r="DI415">
        <v>0</v>
      </c>
      <c r="DJ415">
        <v>0</v>
      </c>
      <c r="DK415">
        <v>24</v>
      </c>
      <c r="DL415">
        <v>0</v>
      </c>
      <c r="DM415">
        <v>46</v>
      </c>
      <c r="DN415">
        <v>5</v>
      </c>
      <c r="DO415">
        <v>848</v>
      </c>
      <c r="DP415">
        <v>37</v>
      </c>
      <c r="DQ415">
        <v>3</v>
      </c>
      <c r="DR415">
        <v>1</v>
      </c>
      <c r="DS415">
        <v>0</v>
      </c>
      <c r="DT415">
        <v>0</v>
      </c>
      <c r="DU415">
        <v>14</v>
      </c>
      <c r="DV415">
        <v>4</v>
      </c>
      <c r="DW415">
        <v>2</v>
      </c>
      <c r="DX415">
        <v>0</v>
      </c>
      <c r="DY415">
        <v>0</v>
      </c>
      <c r="DZ415">
        <v>985</v>
      </c>
      <c r="EA415">
        <v>0.93420000000000003</v>
      </c>
      <c r="EB415">
        <v>0.93778551400689103</v>
      </c>
      <c r="EC415">
        <v>0.93352463063015101</v>
      </c>
      <c r="ED415">
        <v>0.93356020902827697</v>
      </c>
      <c r="EE415">
        <f>SUM(Table1[[#This Row],[ratio_0]:[ratio_9]])</f>
        <v>280</v>
      </c>
      <c r="EF415" s="1">
        <f>(Table1[[#This Row],[predicted_0]]-Table1[[#This Row],[actual_0]])/Table1[[#This Row],[actual_0]]</f>
        <v>2.7551020408163266E-2</v>
      </c>
      <c r="EG415" s="1">
        <f>(Table1[[#This Row],[predicted_1]]-Table1[[#This Row],[actual_1]])/Table1[[#This Row],[actual_1]]</f>
        <v>2.7312775330396475E-2</v>
      </c>
      <c r="EH415" s="1">
        <f>(Table1[[#This Row],[predicted_2]]-Table1[[#This Row],[actual_2]])/Table1[[#This Row],[actual_2]]</f>
        <v>-0.11724806201550388</v>
      </c>
      <c r="EI415" s="1">
        <f>(Table1[[#This Row],[predicted_3]]-Table1[[#This Row],[actual_3]])/Table1[[#This Row],[actual_3]]</f>
        <v>-7.4257425742574254E-2</v>
      </c>
      <c r="EJ415" s="1">
        <f>(Table1[[#This Row],[predicted_4]]-Table1[[#This Row],[actual_4]])/Table1[[#This Row],[actual_4]]</f>
        <v>5.0916496945010187E-2</v>
      </c>
      <c r="EK415" s="1">
        <f>(Table1[[#This Row],[predicted_5]]-Table1[[#This Row],[actual_5]])/Table1[[#This Row],[actual_5]]</f>
        <v>-7.9596412556053805E-2</v>
      </c>
      <c r="EL415" s="1">
        <f>(Table1[[#This Row],[predicted_6]]-Table1[[#This Row],[actual_6]])/Table1[[#This Row],[actual_6]]</f>
        <v>0.19832985386221294</v>
      </c>
      <c r="EM415" s="1">
        <f>(Table1[[#This Row],[predicted_7]]-Table1[[#This Row],[actual_7]])/Table1[[#This Row],[actual_7]]</f>
        <v>-7.7821011673151752E-2</v>
      </c>
      <c r="EN415" s="1">
        <f>(Table1[[#This Row],[predicted_8]]-Table1[[#This Row],[actual_8]])/Table1[[#This Row],[actual_8]]</f>
        <v>-7.5975359342915813E-2</v>
      </c>
      <c r="EO415" s="1">
        <f>(Table1[[#This Row],[predicted_9]]-Table1[[#This Row],[actual_9]])/Table1[[#This Row],[actual_9]]</f>
        <v>0.12190287413280476</v>
      </c>
      <c r="EP415" s="1">
        <f>1+(Table1[[#This Row],[error_ratio_0]]-EF$2)</f>
        <v>1.0255102040816326</v>
      </c>
      <c r="EQ415" s="1">
        <f>1+(Table1[[#This Row],[error_ratio_1]]-EG$2)</f>
        <v>1.0255506607929514</v>
      </c>
      <c r="ER415" s="1">
        <f>1+(Table1[[#This Row],[error_ratio_2]]-EH$2)</f>
        <v>0.88759689922480622</v>
      </c>
      <c r="ES415" s="1">
        <f>1+(Table1[[#This Row],[error_ratio_3]]-EI$2)</f>
        <v>0.91584158415841588</v>
      </c>
      <c r="ET415" s="1">
        <f>1+(Table1[[#This Row],[error_ratio_4]]-EJ$2)</f>
        <v>1.0498981670061101</v>
      </c>
      <c r="EU415" s="1">
        <f>1+(Table1[[#This Row],[error_ratio_5]]-EK$2)</f>
        <v>0.91928251121076232</v>
      </c>
      <c r="EV415" s="1">
        <f>1+(Table1[[#This Row],[error_ratio_6]]-EL$2)</f>
        <v>1.2045929018789143</v>
      </c>
      <c r="EW415" s="1">
        <f>1+(Table1[[#This Row],[error_ratio_7]]-EM$2)</f>
        <v>0.92023346303501952</v>
      </c>
      <c r="EX415" s="1">
        <f>1+(Table1[[#This Row],[error_ratio_8]]-EN$2)</f>
        <v>0.9271047227926078</v>
      </c>
      <c r="EY415" s="1">
        <f>1+(Table1[[#This Row],[error_ratio_9]]-EO$2)</f>
        <v>1.1258671952428148</v>
      </c>
    </row>
    <row r="416" spans="1:155" x14ac:dyDescent="0.75">
      <c r="A416">
        <v>100</v>
      </c>
      <c r="B416">
        <v>100</v>
      </c>
      <c r="C416">
        <v>100</v>
      </c>
      <c r="D416">
        <v>100</v>
      </c>
      <c r="E416">
        <v>100</v>
      </c>
      <c r="F416">
        <v>100</v>
      </c>
      <c r="G416">
        <v>10</v>
      </c>
      <c r="H416">
        <v>10</v>
      </c>
      <c r="I416">
        <v>10</v>
      </c>
      <c r="J416">
        <v>100</v>
      </c>
      <c r="K416">
        <v>1010</v>
      </c>
      <c r="L416">
        <v>1170</v>
      </c>
      <c r="M416">
        <v>1083</v>
      </c>
      <c r="N416">
        <v>1042</v>
      </c>
      <c r="O416">
        <v>1017</v>
      </c>
      <c r="P416">
        <v>901</v>
      </c>
      <c r="Q416">
        <v>894</v>
      </c>
      <c r="R416">
        <v>892</v>
      </c>
      <c r="S416">
        <v>947</v>
      </c>
      <c r="T416">
        <v>1044</v>
      </c>
      <c r="U416">
        <v>980</v>
      </c>
      <c r="V416">
        <v>1135</v>
      </c>
      <c r="W416">
        <v>1032</v>
      </c>
      <c r="X416">
        <v>1010</v>
      </c>
      <c r="Y416">
        <v>982</v>
      </c>
      <c r="Z416">
        <v>892</v>
      </c>
      <c r="AA416">
        <v>958</v>
      </c>
      <c r="AB416">
        <v>1028</v>
      </c>
      <c r="AC416">
        <v>974</v>
      </c>
      <c r="AD416">
        <v>1009</v>
      </c>
      <c r="AE416">
        <v>973</v>
      </c>
      <c r="AF416">
        <v>0</v>
      </c>
      <c r="AG416">
        <v>0</v>
      </c>
      <c r="AH416">
        <v>0</v>
      </c>
      <c r="AI416">
        <v>0</v>
      </c>
      <c r="AJ416">
        <v>0</v>
      </c>
      <c r="AK416">
        <v>0</v>
      </c>
      <c r="AL416">
        <v>1</v>
      </c>
      <c r="AM416">
        <v>1</v>
      </c>
      <c r="AN416">
        <v>5</v>
      </c>
      <c r="AO416">
        <v>0</v>
      </c>
      <c r="AP416">
        <v>1133</v>
      </c>
      <c r="AQ416">
        <v>1</v>
      </c>
      <c r="AR416">
        <v>0</v>
      </c>
      <c r="AS416">
        <v>0</v>
      </c>
      <c r="AT416">
        <v>0</v>
      </c>
      <c r="AU416">
        <v>1</v>
      </c>
      <c r="AV416">
        <v>0</v>
      </c>
      <c r="AW416">
        <v>0</v>
      </c>
      <c r="AX416">
        <v>0</v>
      </c>
      <c r="AY416">
        <v>1</v>
      </c>
      <c r="AZ416">
        <v>4</v>
      </c>
      <c r="BA416">
        <v>1021</v>
      </c>
      <c r="BB416">
        <v>0</v>
      </c>
      <c r="BC416">
        <v>4</v>
      </c>
      <c r="BD416">
        <v>0</v>
      </c>
      <c r="BE416">
        <v>0</v>
      </c>
      <c r="BF416">
        <v>2</v>
      </c>
      <c r="BG416">
        <v>0</v>
      </c>
      <c r="BH416">
        <v>0</v>
      </c>
      <c r="BI416">
        <v>0</v>
      </c>
      <c r="BJ416">
        <v>1</v>
      </c>
      <c r="BK416">
        <v>1</v>
      </c>
      <c r="BL416">
        <v>1002</v>
      </c>
      <c r="BM416">
        <v>0</v>
      </c>
      <c r="BN416">
        <v>4</v>
      </c>
      <c r="BO416">
        <v>0</v>
      </c>
      <c r="BP416">
        <v>0</v>
      </c>
      <c r="BQ416">
        <v>1</v>
      </c>
      <c r="BR416">
        <v>1</v>
      </c>
      <c r="BS416">
        <v>0</v>
      </c>
      <c r="BT416">
        <v>0</v>
      </c>
      <c r="BU416">
        <v>0</v>
      </c>
      <c r="BV416">
        <v>0</v>
      </c>
      <c r="BW416">
        <v>977</v>
      </c>
      <c r="BX416">
        <v>0</v>
      </c>
      <c r="BY416">
        <v>0</v>
      </c>
      <c r="BZ416">
        <v>0</v>
      </c>
      <c r="CA416">
        <v>0</v>
      </c>
      <c r="CB416">
        <v>5</v>
      </c>
      <c r="CC416">
        <v>3</v>
      </c>
      <c r="CD416">
        <v>0</v>
      </c>
      <c r="CE416">
        <v>0</v>
      </c>
      <c r="CF416">
        <v>9</v>
      </c>
      <c r="CG416">
        <v>0</v>
      </c>
      <c r="CH416">
        <v>875</v>
      </c>
      <c r="CI416">
        <v>0</v>
      </c>
      <c r="CJ416">
        <v>1</v>
      </c>
      <c r="CK416">
        <v>1</v>
      </c>
      <c r="CL416">
        <v>3</v>
      </c>
      <c r="CM416">
        <v>19</v>
      </c>
      <c r="CN416">
        <v>2</v>
      </c>
      <c r="CO416">
        <v>0</v>
      </c>
      <c r="CP416">
        <v>0</v>
      </c>
      <c r="CQ416">
        <v>26</v>
      </c>
      <c r="CR416">
        <v>17</v>
      </c>
      <c r="CS416">
        <v>893</v>
      </c>
      <c r="CT416">
        <v>0</v>
      </c>
      <c r="CU416">
        <v>1</v>
      </c>
      <c r="CV416">
        <v>0</v>
      </c>
      <c r="CW416">
        <v>3</v>
      </c>
      <c r="CX416">
        <v>27</v>
      </c>
      <c r="CY416">
        <v>54</v>
      </c>
      <c r="CZ416">
        <v>25</v>
      </c>
      <c r="DA416">
        <v>3</v>
      </c>
      <c r="DB416">
        <v>0</v>
      </c>
      <c r="DC416">
        <v>0</v>
      </c>
      <c r="DD416">
        <v>884</v>
      </c>
      <c r="DE416">
        <v>5</v>
      </c>
      <c r="DF416">
        <v>27</v>
      </c>
      <c r="DG416">
        <v>11</v>
      </c>
      <c r="DH416">
        <v>1</v>
      </c>
      <c r="DI416">
        <v>5</v>
      </c>
      <c r="DJ416">
        <v>5</v>
      </c>
      <c r="DK416">
        <v>3</v>
      </c>
      <c r="DL416">
        <v>3</v>
      </c>
      <c r="DM416">
        <v>0</v>
      </c>
      <c r="DN416">
        <v>3</v>
      </c>
      <c r="DO416">
        <v>938</v>
      </c>
      <c r="DP416">
        <v>5</v>
      </c>
      <c r="DQ416">
        <v>0</v>
      </c>
      <c r="DR416">
        <v>2</v>
      </c>
      <c r="DS416">
        <v>1</v>
      </c>
      <c r="DT416">
        <v>1</v>
      </c>
      <c r="DU416">
        <v>4</v>
      </c>
      <c r="DV416">
        <v>2</v>
      </c>
      <c r="DW416">
        <v>0</v>
      </c>
      <c r="DX416">
        <v>1</v>
      </c>
      <c r="DY416">
        <v>0</v>
      </c>
      <c r="DZ416">
        <v>998</v>
      </c>
      <c r="EA416">
        <v>0.96940000000000004</v>
      </c>
      <c r="EB416">
        <v>0.97042659357846195</v>
      </c>
      <c r="EC416">
        <v>0.969257499931509</v>
      </c>
      <c r="ED416">
        <v>0.96905757573390106</v>
      </c>
      <c r="EE416">
        <f>SUM(Table1[[#This Row],[ratio_0]:[ratio_9]])</f>
        <v>730</v>
      </c>
      <c r="EF416" s="1">
        <f>(Table1[[#This Row],[predicted_0]]-Table1[[#This Row],[actual_0]])/Table1[[#This Row],[actual_0]]</f>
        <v>3.0612244897959183E-2</v>
      </c>
      <c r="EG416" s="1">
        <f>(Table1[[#This Row],[predicted_1]]-Table1[[#This Row],[actual_1]])/Table1[[#This Row],[actual_1]]</f>
        <v>3.0837004405286344E-2</v>
      </c>
      <c r="EH416" s="1">
        <f>(Table1[[#This Row],[predicted_2]]-Table1[[#This Row],[actual_2]])/Table1[[#This Row],[actual_2]]</f>
        <v>4.9418604651162788E-2</v>
      </c>
      <c r="EI416" s="1">
        <f>(Table1[[#This Row],[predicted_3]]-Table1[[#This Row],[actual_3]])/Table1[[#This Row],[actual_3]]</f>
        <v>3.1683168316831684E-2</v>
      </c>
      <c r="EJ416" s="1">
        <f>(Table1[[#This Row],[predicted_4]]-Table1[[#This Row],[actual_4]])/Table1[[#This Row],[actual_4]]</f>
        <v>3.5641547861507125E-2</v>
      </c>
      <c r="EK416" s="1">
        <f>(Table1[[#This Row],[predicted_5]]-Table1[[#This Row],[actual_5]])/Table1[[#This Row],[actual_5]]</f>
        <v>1.0089686098654708E-2</v>
      </c>
      <c r="EL416" s="1">
        <f>(Table1[[#This Row],[predicted_6]]-Table1[[#This Row],[actual_6]])/Table1[[#This Row],[actual_6]]</f>
        <v>-6.6805845511482248E-2</v>
      </c>
      <c r="EM416" s="1">
        <f>(Table1[[#This Row],[predicted_7]]-Table1[[#This Row],[actual_7]])/Table1[[#This Row],[actual_7]]</f>
        <v>-0.13229571984435798</v>
      </c>
      <c r="EN416" s="1">
        <f>(Table1[[#This Row],[predicted_8]]-Table1[[#This Row],[actual_8]])/Table1[[#This Row],[actual_8]]</f>
        <v>-2.7720739219712527E-2</v>
      </c>
      <c r="EO416" s="1">
        <f>(Table1[[#This Row],[predicted_9]]-Table1[[#This Row],[actual_9]])/Table1[[#This Row],[actual_9]]</f>
        <v>3.4687809712586719E-2</v>
      </c>
      <c r="EP416" s="1">
        <f>1+(Table1[[#This Row],[error_ratio_0]]-EF$2)</f>
        <v>1.0285714285714285</v>
      </c>
      <c r="EQ416" s="1">
        <f>1+(Table1[[#This Row],[error_ratio_1]]-EG$2)</f>
        <v>1.0290748898678415</v>
      </c>
      <c r="ER416" s="1">
        <f>1+(Table1[[#This Row],[error_ratio_2]]-EH$2)</f>
        <v>1.054263565891473</v>
      </c>
      <c r="ES416" s="1">
        <f>1+(Table1[[#This Row],[error_ratio_3]]-EI$2)</f>
        <v>1.0217821782178218</v>
      </c>
      <c r="ET416" s="1">
        <f>1+(Table1[[#This Row],[error_ratio_4]]-EJ$2)</f>
        <v>1.0346232179226069</v>
      </c>
      <c r="EU416" s="1">
        <f>1+(Table1[[#This Row],[error_ratio_5]]-EK$2)</f>
        <v>1.0089686098654709</v>
      </c>
      <c r="EV416" s="1">
        <f>1+(Table1[[#This Row],[error_ratio_6]]-EL$2)</f>
        <v>0.93945720250521925</v>
      </c>
      <c r="EW416" s="1">
        <f>1+(Table1[[#This Row],[error_ratio_7]]-EM$2)</f>
        <v>0.86575875486381326</v>
      </c>
      <c r="EX416" s="1">
        <f>1+(Table1[[#This Row],[error_ratio_8]]-EN$2)</f>
        <v>0.97535934291581106</v>
      </c>
      <c r="EY416" s="1">
        <f>1+(Table1[[#This Row],[error_ratio_9]]-EO$2)</f>
        <v>1.0386521308225967</v>
      </c>
    </row>
    <row r="417" spans="1:155" x14ac:dyDescent="0.75">
      <c r="A417">
        <v>10</v>
      </c>
      <c r="B417">
        <v>100</v>
      </c>
      <c r="C417">
        <v>100</v>
      </c>
      <c r="D417">
        <v>100</v>
      </c>
      <c r="E417">
        <v>100</v>
      </c>
      <c r="F417">
        <v>100</v>
      </c>
      <c r="G417">
        <v>10</v>
      </c>
      <c r="H417">
        <v>10</v>
      </c>
      <c r="I417">
        <v>10</v>
      </c>
      <c r="J417">
        <v>100</v>
      </c>
      <c r="K417">
        <v>998</v>
      </c>
      <c r="L417">
        <v>1161</v>
      </c>
      <c r="M417">
        <v>1082</v>
      </c>
      <c r="N417">
        <v>1029</v>
      </c>
      <c r="O417">
        <v>1017</v>
      </c>
      <c r="P417">
        <v>877</v>
      </c>
      <c r="Q417">
        <v>925</v>
      </c>
      <c r="R417">
        <v>967</v>
      </c>
      <c r="S417">
        <v>917</v>
      </c>
      <c r="T417">
        <v>1027</v>
      </c>
      <c r="U417">
        <v>980</v>
      </c>
      <c r="V417">
        <v>1135</v>
      </c>
      <c r="W417">
        <v>1032</v>
      </c>
      <c r="X417">
        <v>1010</v>
      </c>
      <c r="Y417">
        <v>982</v>
      </c>
      <c r="Z417">
        <v>892</v>
      </c>
      <c r="AA417">
        <v>958</v>
      </c>
      <c r="AB417">
        <v>1028</v>
      </c>
      <c r="AC417">
        <v>974</v>
      </c>
      <c r="AD417">
        <v>1009</v>
      </c>
      <c r="AE417">
        <v>970</v>
      </c>
      <c r="AF417">
        <v>1</v>
      </c>
      <c r="AG417">
        <v>1</v>
      </c>
      <c r="AH417">
        <v>1</v>
      </c>
      <c r="AI417">
        <v>1</v>
      </c>
      <c r="AJ417">
        <v>0</v>
      </c>
      <c r="AK417">
        <v>1</v>
      </c>
      <c r="AL417">
        <v>1</v>
      </c>
      <c r="AM417">
        <v>3</v>
      </c>
      <c r="AN417">
        <v>1</v>
      </c>
      <c r="AO417">
        <v>0</v>
      </c>
      <c r="AP417">
        <v>1130</v>
      </c>
      <c r="AQ417">
        <v>2</v>
      </c>
      <c r="AR417">
        <v>0</v>
      </c>
      <c r="AS417">
        <v>1</v>
      </c>
      <c r="AT417">
        <v>0</v>
      </c>
      <c r="AU417">
        <v>1</v>
      </c>
      <c r="AV417">
        <v>0</v>
      </c>
      <c r="AW417">
        <v>0</v>
      </c>
      <c r="AX417">
        <v>1</v>
      </c>
      <c r="AY417">
        <v>0</v>
      </c>
      <c r="AZ417">
        <v>1</v>
      </c>
      <c r="BA417">
        <v>1026</v>
      </c>
      <c r="BB417">
        <v>0</v>
      </c>
      <c r="BC417">
        <v>3</v>
      </c>
      <c r="BD417">
        <v>0</v>
      </c>
      <c r="BE417">
        <v>0</v>
      </c>
      <c r="BF417">
        <v>2</v>
      </c>
      <c r="BG417">
        <v>0</v>
      </c>
      <c r="BH417">
        <v>0</v>
      </c>
      <c r="BI417">
        <v>0</v>
      </c>
      <c r="BJ417">
        <v>0</v>
      </c>
      <c r="BK417">
        <v>2</v>
      </c>
      <c r="BL417">
        <v>1001</v>
      </c>
      <c r="BM417">
        <v>0</v>
      </c>
      <c r="BN417">
        <v>2</v>
      </c>
      <c r="BO417">
        <v>0</v>
      </c>
      <c r="BP417">
        <v>1</v>
      </c>
      <c r="BQ417">
        <v>2</v>
      </c>
      <c r="BR417">
        <v>2</v>
      </c>
      <c r="BS417">
        <v>0</v>
      </c>
      <c r="BT417">
        <v>0</v>
      </c>
      <c r="BU417">
        <v>0</v>
      </c>
      <c r="BV417">
        <v>0</v>
      </c>
      <c r="BW417">
        <v>979</v>
      </c>
      <c r="BX417">
        <v>0</v>
      </c>
      <c r="BY417">
        <v>0</v>
      </c>
      <c r="BZ417">
        <v>0</v>
      </c>
      <c r="CA417">
        <v>0</v>
      </c>
      <c r="CB417">
        <v>3</v>
      </c>
      <c r="CC417">
        <v>2</v>
      </c>
      <c r="CD417">
        <v>1</v>
      </c>
      <c r="CE417">
        <v>0</v>
      </c>
      <c r="CF417">
        <v>13</v>
      </c>
      <c r="CG417">
        <v>0</v>
      </c>
      <c r="CH417">
        <v>867</v>
      </c>
      <c r="CI417">
        <v>1</v>
      </c>
      <c r="CJ417">
        <v>1</v>
      </c>
      <c r="CK417">
        <v>4</v>
      </c>
      <c r="CL417">
        <v>3</v>
      </c>
      <c r="CM417">
        <v>13</v>
      </c>
      <c r="CN417">
        <v>4</v>
      </c>
      <c r="CO417">
        <v>0</v>
      </c>
      <c r="CP417">
        <v>0</v>
      </c>
      <c r="CQ417">
        <v>13</v>
      </c>
      <c r="CR417">
        <v>6</v>
      </c>
      <c r="CS417">
        <v>922</v>
      </c>
      <c r="CT417">
        <v>0</v>
      </c>
      <c r="CU417">
        <v>0</v>
      </c>
      <c r="CV417">
        <v>0</v>
      </c>
      <c r="CW417">
        <v>1</v>
      </c>
      <c r="CX417">
        <v>17</v>
      </c>
      <c r="CY417">
        <v>32</v>
      </c>
      <c r="CZ417">
        <v>0</v>
      </c>
      <c r="DA417">
        <v>3</v>
      </c>
      <c r="DB417">
        <v>0</v>
      </c>
      <c r="DC417">
        <v>0</v>
      </c>
      <c r="DD417">
        <v>954</v>
      </c>
      <c r="DE417">
        <v>1</v>
      </c>
      <c r="DF417">
        <v>20</v>
      </c>
      <c r="DG417">
        <v>9</v>
      </c>
      <c r="DH417">
        <v>4</v>
      </c>
      <c r="DI417">
        <v>19</v>
      </c>
      <c r="DJ417">
        <v>7</v>
      </c>
      <c r="DK417">
        <v>9</v>
      </c>
      <c r="DL417">
        <v>2</v>
      </c>
      <c r="DM417">
        <v>0</v>
      </c>
      <c r="DN417">
        <v>6</v>
      </c>
      <c r="DO417">
        <v>907</v>
      </c>
      <c r="DP417">
        <v>11</v>
      </c>
      <c r="DQ417">
        <v>3</v>
      </c>
      <c r="DR417">
        <v>3</v>
      </c>
      <c r="DS417">
        <v>0</v>
      </c>
      <c r="DT417">
        <v>7</v>
      </c>
      <c r="DU417">
        <v>8</v>
      </c>
      <c r="DV417">
        <v>0</v>
      </c>
      <c r="DW417">
        <v>0</v>
      </c>
      <c r="DX417">
        <v>2</v>
      </c>
      <c r="DY417">
        <v>0</v>
      </c>
      <c r="DZ417">
        <v>986</v>
      </c>
      <c r="EA417">
        <v>0.97419999999999995</v>
      </c>
      <c r="EB417">
        <v>0.97499944573355601</v>
      </c>
      <c r="EC417">
        <v>0.97384378204928301</v>
      </c>
      <c r="ED417">
        <v>0.97408653169391501</v>
      </c>
      <c r="EE417">
        <f>SUM(Table1[[#This Row],[ratio_0]:[ratio_9]])</f>
        <v>640</v>
      </c>
      <c r="EF417" s="1">
        <f>(Table1[[#This Row],[predicted_0]]-Table1[[#This Row],[actual_0]])/Table1[[#This Row],[actual_0]]</f>
        <v>1.8367346938775512E-2</v>
      </c>
      <c r="EG417" s="1">
        <f>(Table1[[#This Row],[predicted_1]]-Table1[[#This Row],[actual_1]])/Table1[[#This Row],[actual_1]]</f>
        <v>2.2907488986784141E-2</v>
      </c>
      <c r="EH417" s="1">
        <f>(Table1[[#This Row],[predicted_2]]-Table1[[#This Row],[actual_2]])/Table1[[#This Row],[actual_2]]</f>
        <v>4.8449612403100778E-2</v>
      </c>
      <c r="EI417" s="1">
        <f>(Table1[[#This Row],[predicted_3]]-Table1[[#This Row],[actual_3]])/Table1[[#This Row],[actual_3]]</f>
        <v>1.8811881188118811E-2</v>
      </c>
      <c r="EJ417" s="1">
        <f>(Table1[[#This Row],[predicted_4]]-Table1[[#This Row],[actual_4]])/Table1[[#This Row],[actual_4]]</f>
        <v>3.5641547861507125E-2</v>
      </c>
      <c r="EK417" s="1">
        <f>(Table1[[#This Row],[predicted_5]]-Table1[[#This Row],[actual_5]])/Table1[[#This Row],[actual_5]]</f>
        <v>-1.6816143497757848E-2</v>
      </c>
      <c r="EL417" s="1">
        <f>(Table1[[#This Row],[predicted_6]]-Table1[[#This Row],[actual_6]])/Table1[[#This Row],[actual_6]]</f>
        <v>-3.444676409185804E-2</v>
      </c>
      <c r="EM417" s="1">
        <f>(Table1[[#This Row],[predicted_7]]-Table1[[#This Row],[actual_7]])/Table1[[#This Row],[actual_7]]</f>
        <v>-5.9338521400778207E-2</v>
      </c>
      <c r="EN417" s="1">
        <f>(Table1[[#This Row],[predicted_8]]-Table1[[#This Row],[actual_8]])/Table1[[#This Row],[actual_8]]</f>
        <v>-5.8521560574948665E-2</v>
      </c>
      <c r="EO417" s="1">
        <f>(Table1[[#This Row],[predicted_9]]-Table1[[#This Row],[actual_9]])/Table1[[#This Row],[actual_9]]</f>
        <v>1.7839444995044598E-2</v>
      </c>
      <c r="EP417" s="1">
        <f>1+(Table1[[#This Row],[error_ratio_0]]-EF$2)</f>
        <v>1.0163265306122449</v>
      </c>
      <c r="EQ417" s="1">
        <f>1+(Table1[[#This Row],[error_ratio_1]]-EG$2)</f>
        <v>1.0211453744493393</v>
      </c>
      <c r="ER417" s="1">
        <f>1+(Table1[[#This Row],[error_ratio_2]]-EH$2)</f>
        <v>1.0532945736434109</v>
      </c>
      <c r="ES417" s="1">
        <f>1+(Table1[[#This Row],[error_ratio_3]]-EI$2)</f>
        <v>1.0089108910891089</v>
      </c>
      <c r="ET417" s="1">
        <f>1+(Table1[[#This Row],[error_ratio_4]]-EJ$2)</f>
        <v>1.0346232179226069</v>
      </c>
      <c r="EU417" s="1">
        <f>1+(Table1[[#This Row],[error_ratio_5]]-EK$2)</f>
        <v>0.98206278026905824</v>
      </c>
      <c r="EV417" s="1">
        <f>1+(Table1[[#This Row],[error_ratio_6]]-EL$2)</f>
        <v>0.97181628392484343</v>
      </c>
      <c r="EW417" s="1">
        <f>1+(Table1[[#This Row],[error_ratio_7]]-EM$2)</f>
        <v>0.93871595330739299</v>
      </c>
      <c r="EX417" s="1">
        <f>1+(Table1[[#This Row],[error_ratio_8]]-EN$2)</f>
        <v>0.94455852156057496</v>
      </c>
      <c r="EY417" s="1">
        <f>1+(Table1[[#This Row],[error_ratio_9]]-EO$2)</f>
        <v>1.0218037661050545</v>
      </c>
    </row>
    <row r="418" spans="1:155" x14ac:dyDescent="0.75">
      <c r="A418">
        <v>100</v>
      </c>
      <c r="B418">
        <v>10</v>
      </c>
      <c r="C418">
        <v>100</v>
      </c>
      <c r="D418">
        <v>100</v>
      </c>
      <c r="E418">
        <v>100</v>
      </c>
      <c r="F418">
        <v>100</v>
      </c>
      <c r="G418">
        <v>10</v>
      </c>
      <c r="H418">
        <v>10</v>
      </c>
      <c r="I418">
        <v>10</v>
      </c>
      <c r="J418">
        <v>100</v>
      </c>
      <c r="K418">
        <v>1004</v>
      </c>
      <c r="L418">
        <v>1132</v>
      </c>
      <c r="M418">
        <v>1101</v>
      </c>
      <c r="N418">
        <v>1074</v>
      </c>
      <c r="O418">
        <v>1015</v>
      </c>
      <c r="P418">
        <v>920</v>
      </c>
      <c r="Q418">
        <v>916</v>
      </c>
      <c r="R418">
        <v>943</v>
      </c>
      <c r="S418">
        <v>873</v>
      </c>
      <c r="T418">
        <v>1022</v>
      </c>
      <c r="U418">
        <v>980</v>
      </c>
      <c r="V418">
        <v>1135</v>
      </c>
      <c r="W418">
        <v>1032</v>
      </c>
      <c r="X418">
        <v>1010</v>
      </c>
      <c r="Y418">
        <v>982</v>
      </c>
      <c r="Z418">
        <v>892</v>
      </c>
      <c r="AA418">
        <v>958</v>
      </c>
      <c r="AB418">
        <v>1028</v>
      </c>
      <c r="AC418">
        <v>974</v>
      </c>
      <c r="AD418">
        <v>1009</v>
      </c>
      <c r="AE418">
        <v>975</v>
      </c>
      <c r="AF418">
        <v>1</v>
      </c>
      <c r="AG418">
        <v>0</v>
      </c>
      <c r="AH418">
        <v>0</v>
      </c>
      <c r="AI418">
        <v>0</v>
      </c>
      <c r="AJ418">
        <v>1</v>
      </c>
      <c r="AK418">
        <v>2</v>
      </c>
      <c r="AL418">
        <v>1</v>
      </c>
      <c r="AM418">
        <v>0</v>
      </c>
      <c r="AN418">
        <v>0</v>
      </c>
      <c r="AO418">
        <v>0</v>
      </c>
      <c r="AP418">
        <v>1119</v>
      </c>
      <c r="AQ418">
        <v>3</v>
      </c>
      <c r="AR418">
        <v>8</v>
      </c>
      <c r="AS418">
        <v>0</v>
      </c>
      <c r="AT418">
        <v>2</v>
      </c>
      <c r="AU418">
        <v>2</v>
      </c>
      <c r="AV418">
        <v>0</v>
      </c>
      <c r="AW418">
        <v>0</v>
      </c>
      <c r="AX418">
        <v>1</v>
      </c>
      <c r="AY418">
        <v>2</v>
      </c>
      <c r="AZ418">
        <v>1</v>
      </c>
      <c r="BA418">
        <v>1025</v>
      </c>
      <c r="BB418">
        <v>1</v>
      </c>
      <c r="BC418">
        <v>2</v>
      </c>
      <c r="BD418">
        <v>0</v>
      </c>
      <c r="BE418">
        <v>0</v>
      </c>
      <c r="BF418">
        <v>1</v>
      </c>
      <c r="BG418">
        <v>0</v>
      </c>
      <c r="BH418">
        <v>0</v>
      </c>
      <c r="BI418">
        <v>0</v>
      </c>
      <c r="BJ418">
        <v>0</v>
      </c>
      <c r="BK418">
        <v>0</v>
      </c>
      <c r="BL418">
        <v>1007</v>
      </c>
      <c r="BM418">
        <v>0</v>
      </c>
      <c r="BN418">
        <v>2</v>
      </c>
      <c r="BO418">
        <v>0</v>
      </c>
      <c r="BP418">
        <v>1</v>
      </c>
      <c r="BQ418">
        <v>0</v>
      </c>
      <c r="BR418">
        <v>0</v>
      </c>
      <c r="BS418">
        <v>0</v>
      </c>
      <c r="BT418">
        <v>0</v>
      </c>
      <c r="BU418">
        <v>0</v>
      </c>
      <c r="BV418">
        <v>0</v>
      </c>
      <c r="BW418">
        <v>979</v>
      </c>
      <c r="BX418">
        <v>0</v>
      </c>
      <c r="BY418">
        <v>1</v>
      </c>
      <c r="BZ418">
        <v>0</v>
      </c>
      <c r="CA418">
        <v>0</v>
      </c>
      <c r="CB418">
        <v>2</v>
      </c>
      <c r="CC418">
        <v>1</v>
      </c>
      <c r="CD418">
        <v>0</v>
      </c>
      <c r="CE418">
        <v>0</v>
      </c>
      <c r="CF418">
        <v>8</v>
      </c>
      <c r="CG418">
        <v>0</v>
      </c>
      <c r="CH418">
        <v>881</v>
      </c>
      <c r="CI418">
        <v>1</v>
      </c>
      <c r="CJ418">
        <v>1</v>
      </c>
      <c r="CK418">
        <v>0</v>
      </c>
      <c r="CL418">
        <v>0</v>
      </c>
      <c r="CM418">
        <v>15</v>
      </c>
      <c r="CN418">
        <v>3</v>
      </c>
      <c r="CO418">
        <v>0</v>
      </c>
      <c r="CP418">
        <v>1</v>
      </c>
      <c r="CQ418">
        <v>16</v>
      </c>
      <c r="CR418">
        <v>16</v>
      </c>
      <c r="CS418">
        <v>906</v>
      </c>
      <c r="CT418">
        <v>0</v>
      </c>
      <c r="CU418">
        <v>0</v>
      </c>
      <c r="CV418">
        <v>1</v>
      </c>
      <c r="CW418">
        <v>4</v>
      </c>
      <c r="CX418">
        <v>3</v>
      </c>
      <c r="CY418">
        <v>48</v>
      </c>
      <c r="CZ418">
        <v>15</v>
      </c>
      <c r="DA418">
        <v>6</v>
      </c>
      <c r="DB418">
        <v>3</v>
      </c>
      <c r="DC418">
        <v>0</v>
      </c>
      <c r="DD418">
        <v>933</v>
      </c>
      <c r="DE418">
        <v>1</v>
      </c>
      <c r="DF418">
        <v>15</v>
      </c>
      <c r="DG418">
        <v>5</v>
      </c>
      <c r="DH418">
        <v>3</v>
      </c>
      <c r="DI418">
        <v>24</v>
      </c>
      <c r="DJ418">
        <v>30</v>
      </c>
      <c r="DK418">
        <v>6</v>
      </c>
      <c r="DL418">
        <v>13</v>
      </c>
      <c r="DM418">
        <v>4</v>
      </c>
      <c r="DN418">
        <v>5</v>
      </c>
      <c r="DO418">
        <v>872</v>
      </c>
      <c r="DP418">
        <v>12</v>
      </c>
      <c r="DQ418">
        <v>2</v>
      </c>
      <c r="DR418">
        <v>2</v>
      </c>
      <c r="DS418">
        <v>1</v>
      </c>
      <c r="DT418">
        <v>4</v>
      </c>
      <c r="DU418">
        <v>6</v>
      </c>
      <c r="DV418">
        <v>2</v>
      </c>
      <c r="DW418">
        <v>0</v>
      </c>
      <c r="DX418">
        <v>1</v>
      </c>
      <c r="DY418">
        <v>0</v>
      </c>
      <c r="DZ418">
        <v>991</v>
      </c>
      <c r="EA418">
        <v>0.96879999999999999</v>
      </c>
      <c r="EB418">
        <v>0.96973607445525201</v>
      </c>
      <c r="EC418">
        <v>0.96864065332934601</v>
      </c>
      <c r="ED418">
        <v>0.96841970567243296</v>
      </c>
      <c r="EE418">
        <f>SUM(Table1[[#This Row],[ratio_0]:[ratio_9]])</f>
        <v>640</v>
      </c>
      <c r="EF418" s="1">
        <f>(Table1[[#This Row],[predicted_0]]-Table1[[#This Row],[actual_0]])/Table1[[#This Row],[actual_0]]</f>
        <v>2.4489795918367346E-2</v>
      </c>
      <c r="EG418" s="1">
        <f>(Table1[[#This Row],[predicted_1]]-Table1[[#This Row],[actual_1]])/Table1[[#This Row],[actual_1]]</f>
        <v>-2.6431718061674008E-3</v>
      </c>
      <c r="EH418" s="1">
        <f>(Table1[[#This Row],[predicted_2]]-Table1[[#This Row],[actual_2]])/Table1[[#This Row],[actual_2]]</f>
        <v>6.6860465116279064E-2</v>
      </c>
      <c r="EI418" s="1">
        <f>(Table1[[#This Row],[predicted_3]]-Table1[[#This Row],[actual_3]])/Table1[[#This Row],[actual_3]]</f>
        <v>6.3366336633663367E-2</v>
      </c>
      <c r="EJ418" s="1">
        <f>(Table1[[#This Row],[predicted_4]]-Table1[[#This Row],[actual_4]])/Table1[[#This Row],[actual_4]]</f>
        <v>3.360488798370672E-2</v>
      </c>
      <c r="EK418" s="1">
        <f>(Table1[[#This Row],[predicted_5]]-Table1[[#This Row],[actual_5]])/Table1[[#This Row],[actual_5]]</f>
        <v>3.1390134529147982E-2</v>
      </c>
      <c r="EL418" s="1">
        <f>(Table1[[#This Row],[predicted_6]]-Table1[[#This Row],[actual_6]])/Table1[[#This Row],[actual_6]]</f>
        <v>-4.3841336116910233E-2</v>
      </c>
      <c r="EM418" s="1">
        <f>(Table1[[#This Row],[predicted_7]]-Table1[[#This Row],[actual_7]])/Table1[[#This Row],[actual_7]]</f>
        <v>-8.2684824902723733E-2</v>
      </c>
      <c r="EN418" s="1">
        <f>(Table1[[#This Row],[predicted_8]]-Table1[[#This Row],[actual_8]])/Table1[[#This Row],[actual_8]]</f>
        <v>-0.10369609856262833</v>
      </c>
      <c r="EO418" s="1">
        <f>(Table1[[#This Row],[predicted_9]]-Table1[[#This Row],[actual_9]])/Table1[[#This Row],[actual_9]]</f>
        <v>1.288404360753221E-2</v>
      </c>
      <c r="EP418" s="1">
        <f>1+(Table1[[#This Row],[error_ratio_0]]-EF$2)</f>
        <v>1.0224489795918368</v>
      </c>
      <c r="EQ418" s="1">
        <f>1+(Table1[[#This Row],[error_ratio_1]]-EG$2)</f>
        <v>0.99559471365638763</v>
      </c>
      <c r="ER418" s="1">
        <f>1+(Table1[[#This Row],[error_ratio_2]]-EH$2)</f>
        <v>1.0717054263565891</v>
      </c>
      <c r="ES418" s="1">
        <f>1+(Table1[[#This Row],[error_ratio_3]]-EI$2)</f>
        <v>1.0534653465346535</v>
      </c>
      <c r="ET418" s="1">
        <f>1+(Table1[[#This Row],[error_ratio_4]]-EJ$2)</f>
        <v>1.0325865580448066</v>
      </c>
      <c r="EU418" s="1">
        <f>1+(Table1[[#This Row],[error_ratio_5]]-EK$2)</f>
        <v>1.0302690582959642</v>
      </c>
      <c r="EV418" s="1">
        <f>1+(Table1[[#This Row],[error_ratio_6]]-EL$2)</f>
        <v>0.9624217118997912</v>
      </c>
      <c r="EW418" s="1">
        <f>1+(Table1[[#This Row],[error_ratio_7]]-EM$2)</f>
        <v>0.91536964980544744</v>
      </c>
      <c r="EX418" s="1">
        <f>1+(Table1[[#This Row],[error_ratio_8]]-EN$2)</f>
        <v>0.89938398357289528</v>
      </c>
      <c r="EY418" s="1">
        <f>1+(Table1[[#This Row],[error_ratio_9]]-EO$2)</f>
        <v>1.0168483647175421</v>
      </c>
    </row>
    <row r="419" spans="1:155" x14ac:dyDescent="0.75">
      <c r="A419">
        <v>10</v>
      </c>
      <c r="B419">
        <v>10</v>
      </c>
      <c r="C419">
        <v>100</v>
      </c>
      <c r="D419">
        <v>100</v>
      </c>
      <c r="E419">
        <v>100</v>
      </c>
      <c r="F419">
        <v>100</v>
      </c>
      <c r="G419">
        <v>10</v>
      </c>
      <c r="H419">
        <v>10</v>
      </c>
      <c r="I419">
        <v>10</v>
      </c>
      <c r="J419">
        <v>100</v>
      </c>
      <c r="K419">
        <v>992</v>
      </c>
      <c r="L419">
        <v>1137</v>
      </c>
      <c r="M419">
        <v>1024</v>
      </c>
      <c r="N419">
        <v>1013</v>
      </c>
      <c r="O419">
        <v>1028</v>
      </c>
      <c r="P419">
        <v>1031</v>
      </c>
      <c r="Q419">
        <v>823</v>
      </c>
      <c r="R419">
        <v>1009</v>
      </c>
      <c r="S419">
        <v>962</v>
      </c>
      <c r="T419">
        <v>981</v>
      </c>
      <c r="U419">
        <v>980</v>
      </c>
      <c r="V419">
        <v>1135</v>
      </c>
      <c r="W419">
        <v>1032</v>
      </c>
      <c r="X419">
        <v>1010</v>
      </c>
      <c r="Y419">
        <v>982</v>
      </c>
      <c r="Z419">
        <v>892</v>
      </c>
      <c r="AA419">
        <v>958</v>
      </c>
      <c r="AB419">
        <v>1028</v>
      </c>
      <c r="AC419">
        <v>974</v>
      </c>
      <c r="AD419">
        <v>1009</v>
      </c>
      <c r="AE419">
        <v>960</v>
      </c>
      <c r="AF419">
        <v>1</v>
      </c>
      <c r="AG419">
        <v>0</v>
      </c>
      <c r="AH419">
        <v>0</v>
      </c>
      <c r="AI419">
        <v>4</v>
      </c>
      <c r="AJ419">
        <v>9</v>
      </c>
      <c r="AK419">
        <v>0</v>
      </c>
      <c r="AL419">
        <v>1</v>
      </c>
      <c r="AM419">
        <v>2</v>
      </c>
      <c r="AN419">
        <v>3</v>
      </c>
      <c r="AO419">
        <v>0</v>
      </c>
      <c r="AP419">
        <v>1120</v>
      </c>
      <c r="AQ419">
        <v>3</v>
      </c>
      <c r="AR419">
        <v>6</v>
      </c>
      <c r="AS419">
        <v>0</v>
      </c>
      <c r="AT419">
        <v>2</v>
      </c>
      <c r="AU419">
        <v>1</v>
      </c>
      <c r="AV419">
        <v>0</v>
      </c>
      <c r="AW419">
        <v>3</v>
      </c>
      <c r="AX419">
        <v>0</v>
      </c>
      <c r="AY419">
        <v>3</v>
      </c>
      <c r="AZ419">
        <v>1</v>
      </c>
      <c r="BA419">
        <v>1008</v>
      </c>
      <c r="BB419">
        <v>7</v>
      </c>
      <c r="BC419">
        <v>2</v>
      </c>
      <c r="BD419">
        <v>0</v>
      </c>
      <c r="BE419">
        <v>0</v>
      </c>
      <c r="BF419">
        <v>8</v>
      </c>
      <c r="BG419">
        <v>3</v>
      </c>
      <c r="BH419">
        <v>0</v>
      </c>
      <c r="BI419">
        <v>0</v>
      </c>
      <c r="BJ419">
        <v>0</v>
      </c>
      <c r="BK419">
        <v>1</v>
      </c>
      <c r="BL419">
        <v>982</v>
      </c>
      <c r="BM419">
        <v>0</v>
      </c>
      <c r="BN419">
        <v>25</v>
      </c>
      <c r="BO419">
        <v>0</v>
      </c>
      <c r="BP419">
        <v>2</v>
      </c>
      <c r="BQ419">
        <v>0</v>
      </c>
      <c r="BR419">
        <v>0</v>
      </c>
      <c r="BS419">
        <v>0</v>
      </c>
      <c r="BT419">
        <v>0</v>
      </c>
      <c r="BU419">
        <v>1</v>
      </c>
      <c r="BV419">
        <v>0</v>
      </c>
      <c r="BW419">
        <v>976</v>
      </c>
      <c r="BX419">
        <v>0</v>
      </c>
      <c r="BY419">
        <v>1</v>
      </c>
      <c r="BZ419">
        <v>0</v>
      </c>
      <c r="CA419">
        <v>0</v>
      </c>
      <c r="CB419">
        <v>4</v>
      </c>
      <c r="CC419">
        <v>0</v>
      </c>
      <c r="CD419">
        <v>0</v>
      </c>
      <c r="CE419">
        <v>0</v>
      </c>
      <c r="CF419">
        <v>3</v>
      </c>
      <c r="CG419">
        <v>0</v>
      </c>
      <c r="CH419">
        <v>889</v>
      </c>
      <c r="CI419">
        <v>0</v>
      </c>
      <c r="CJ419">
        <v>0</v>
      </c>
      <c r="CK419">
        <v>0</v>
      </c>
      <c r="CL419">
        <v>0</v>
      </c>
      <c r="CM419">
        <v>21</v>
      </c>
      <c r="CN419">
        <v>4</v>
      </c>
      <c r="CO419">
        <v>0</v>
      </c>
      <c r="CP419">
        <v>1</v>
      </c>
      <c r="CQ419">
        <v>33</v>
      </c>
      <c r="CR419">
        <v>71</v>
      </c>
      <c r="CS419">
        <v>821</v>
      </c>
      <c r="CT419">
        <v>0</v>
      </c>
      <c r="CU419">
        <v>6</v>
      </c>
      <c r="CV419">
        <v>1</v>
      </c>
      <c r="CW419">
        <v>3</v>
      </c>
      <c r="CX419">
        <v>6</v>
      </c>
      <c r="CY419">
        <v>9</v>
      </c>
      <c r="CZ419">
        <v>6</v>
      </c>
      <c r="DA419">
        <v>6</v>
      </c>
      <c r="DB419">
        <v>4</v>
      </c>
      <c r="DC419">
        <v>0</v>
      </c>
      <c r="DD419">
        <v>984</v>
      </c>
      <c r="DE419">
        <v>3</v>
      </c>
      <c r="DF419">
        <v>7</v>
      </c>
      <c r="DG419">
        <v>1</v>
      </c>
      <c r="DH419">
        <v>1</v>
      </c>
      <c r="DI419">
        <v>2</v>
      </c>
      <c r="DJ419">
        <v>3</v>
      </c>
      <c r="DK419">
        <v>1</v>
      </c>
      <c r="DL419">
        <v>13</v>
      </c>
      <c r="DM419">
        <v>0</v>
      </c>
      <c r="DN419">
        <v>7</v>
      </c>
      <c r="DO419">
        <v>943</v>
      </c>
      <c r="DP419">
        <v>3</v>
      </c>
      <c r="DQ419">
        <v>4</v>
      </c>
      <c r="DR419">
        <v>4</v>
      </c>
      <c r="DS419">
        <v>0</v>
      </c>
      <c r="DT419">
        <v>5</v>
      </c>
      <c r="DU419">
        <v>6</v>
      </c>
      <c r="DV419">
        <v>18</v>
      </c>
      <c r="DW419">
        <v>0</v>
      </c>
      <c r="DX419">
        <v>7</v>
      </c>
      <c r="DY419">
        <v>2</v>
      </c>
      <c r="DZ419">
        <v>963</v>
      </c>
      <c r="EA419">
        <v>0.96460000000000001</v>
      </c>
      <c r="EB419">
        <v>0.965294283596694</v>
      </c>
      <c r="EC419">
        <v>0.96426991555064101</v>
      </c>
      <c r="ED419">
        <v>0.96367610921470204</v>
      </c>
      <c r="EE419">
        <f>SUM(Table1[[#This Row],[ratio_0]:[ratio_9]])</f>
        <v>550</v>
      </c>
      <c r="EF419" s="1">
        <f>(Table1[[#This Row],[predicted_0]]-Table1[[#This Row],[actual_0]])/Table1[[#This Row],[actual_0]]</f>
        <v>1.2244897959183673E-2</v>
      </c>
      <c r="EG419" s="1">
        <f>(Table1[[#This Row],[predicted_1]]-Table1[[#This Row],[actual_1]])/Table1[[#This Row],[actual_1]]</f>
        <v>1.762114537444934E-3</v>
      </c>
      <c r="EH419" s="1">
        <f>(Table1[[#This Row],[predicted_2]]-Table1[[#This Row],[actual_2]])/Table1[[#This Row],[actual_2]]</f>
        <v>-7.7519379844961239E-3</v>
      </c>
      <c r="EI419" s="1">
        <f>(Table1[[#This Row],[predicted_3]]-Table1[[#This Row],[actual_3]])/Table1[[#This Row],[actual_3]]</f>
        <v>2.9702970297029703E-3</v>
      </c>
      <c r="EJ419" s="1">
        <f>(Table1[[#This Row],[predicted_4]]-Table1[[#This Row],[actual_4]])/Table1[[#This Row],[actual_4]]</f>
        <v>4.684317718940937E-2</v>
      </c>
      <c r="EK419" s="1">
        <f>(Table1[[#This Row],[predicted_5]]-Table1[[#This Row],[actual_5]])/Table1[[#This Row],[actual_5]]</f>
        <v>0.15582959641255606</v>
      </c>
      <c r="EL419" s="1">
        <f>(Table1[[#This Row],[predicted_6]]-Table1[[#This Row],[actual_6]])/Table1[[#This Row],[actual_6]]</f>
        <v>-0.14091858037578289</v>
      </c>
      <c r="EM419" s="1">
        <f>(Table1[[#This Row],[predicted_7]]-Table1[[#This Row],[actual_7]])/Table1[[#This Row],[actual_7]]</f>
        <v>-1.8482490272373541E-2</v>
      </c>
      <c r="EN419" s="1">
        <f>(Table1[[#This Row],[predicted_8]]-Table1[[#This Row],[actual_8]])/Table1[[#This Row],[actual_8]]</f>
        <v>-1.2320328542094456E-2</v>
      </c>
      <c r="EO419" s="1">
        <f>(Table1[[#This Row],[predicted_9]]-Table1[[#This Row],[actual_9]])/Table1[[#This Row],[actual_9]]</f>
        <v>-2.7750247770069375E-2</v>
      </c>
      <c r="EP419" s="1">
        <f>1+(Table1[[#This Row],[error_ratio_0]]-EF$2)</f>
        <v>1.010204081632653</v>
      </c>
      <c r="EQ419" s="1">
        <f>1+(Table1[[#This Row],[error_ratio_1]]-EG$2)</f>
        <v>1</v>
      </c>
      <c r="ER419" s="1">
        <f>1+(Table1[[#This Row],[error_ratio_2]]-EH$2)</f>
        <v>0.99709302325581395</v>
      </c>
      <c r="ES419" s="1">
        <f>1+(Table1[[#This Row],[error_ratio_3]]-EI$2)</f>
        <v>0.99306930693069306</v>
      </c>
      <c r="ET419" s="1">
        <f>1+(Table1[[#This Row],[error_ratio_4]]-EJ$2)</f>
        <v>1.0458248472505092</v>
      </c>
      <c r="EU419" s="1">
        <f>1+(Table1[[#This Row],[error_ratio_5]]-EK$2)</f>
        <v>1.1547085201793723</v>
      </c>
      <c r="EV419" s="1">
        <f>1+(Table1[[#This Row],[error_ratio_6]]-EL$2)</f>
        <v>0.86534446764091855</v>
      </c>
      <c r="EW419" s="1">
        <f>1+(Table1[[#This Row],[error_ratio_7]]-EM$2)</f>
        <v>0.97957198443579763</v>
      </c>
      <c r="EX419" s="1">
        <f>1+(Table1[[#This Row],[error_ratio_8]]-EN$2)</f>
        <v>0.99075975359342916</v>
      </c>
      <c r="EY419" s="1">
        <f>1+(Table1[[#This Row],[error_ratio_9]]-EO$2)</f>
        <v>0.97621407333994048</v>
      </c>
    </row>
    <row r="420" spans="1:155" x14ac:dyDescent="0.75">
      <c r="A420">
        <v>100</v>
      </c>
      <c r="B420">
        <v>100</v>
      </c>
      <c r="C420">
        <v>10</v>
      </c>
      <c r="D420">
        <v>100</v>
      </c>
      <c r="E420">
        <v>100</v>
      </c>
      <c r="F420">
        <v>100</v>
      </c>
      <c r="G420">
        <v>10</v>
      </c>
      <c r="H420">
        <v>10</v>
      </c>
      <c r="I420">
        <v>10</v>
      </c>
      <c r="J420">
        <v>100</v>
      </c>
      <c r="K420">
        <v>1010</v>
      </c>
      <c r="L420">
        <v>1159</v>
      </c>
      <c r="M420">
        <v>988</v>
      </c>
      <c r="N420">
        <v>1111</v>
      </c>
      <c r="O420">
        <v>999</v>
      </c>
      <c r="P420">
        <v>919</v>
      </c>
      <c r="Q420">
        <v>934</v>
      </c>
      <c r="R420">
        <v>955</v>
      </c>
      <c r="S420">
        <v>905</v>
      </c>
      <c r="T420">
        <v>1020</v>
      </c>
      <c r="U420">
        <v>980</v>
      </c>
      <c r="V420">
        <v>1135</v>
      </c>
      <c r="W420">
        <v>1032</v>
      </c>
      <c r="X420">
        <v>1010</v>
      </c>
      <c r="Y420">
        <v>982</v>
      </c>
      <c r="Z420">
        <v>892</v>
      </c>
      <c r="AA420">
        <v>958</v>
      </c>
      <c r="AB420">
        <v>1028</v>
      </c>
      <c r="AC420">
        <v>974</v>
      </c>
      <c r="AD420">
        <v>1009</v>
      </c>
      <c r="AE420">
        <v>974</v>
      </c>
      <c r="AF420">
        <v>0</v>
      </c>
      <c r="AG420">
        <v>1</v>
      </c>
      <c r="AH420">
        <v>0</v>
      </c>
      <c r="AI420">
        <v>0</v>
      </c>
      <c r="AJ420">
        <v>1</v>
      </c>
      <c r="AK420">
        <v>2</v>
      </c>
      <c r="AL420">
        <v>1</v>
      </c>
      <c r="AM420">
        <v>1</v>
      </c>
      <c r="AN420">
        <v>0</v>
      </c>
      <c r="AO420">
        <v>0</v>
      </c>
      <c r="AP420">
        <v>1131</v>
      </c>
      <c r="AQ420">
        <v>0</v>
      </c>
      <c r="AR420">
        <v>0</v>
      </c>
      <c r="AS420">
        <v>0</v>
      </c>
      <c r="AT420">
        <v>1</v>
      </c>
      <c r="AU420">
        <v>2</v>
      </c>
      <c r="AV420">
        <v>0</v>
      </c>
      <c r="AW420">
        <v>0</v>
      </c>
      <c r="AX420">
        <v>1</v>
      </c>
      <c r="AY420">
        <v>10</v>
      </c>
      <c r="AZ420">
        <v>11</v>
      </c>
      <c r="BA420">
        <v>965</v>
      </c>
      <c r="BB420">
        <v>31</v>
      </c>
      <c r="BC420">
        <v>2</v>
      </c>
      <c r="BD420">
        <v>0</v>
      </c>
      <c r="BE420">
        <v>0</v>
      </c>
      <c r="BF420">
        <v>5</v>
      </c>
      <c r="BG420">
        <v>8</v>
      </c>
      <c r="BH420">
        <v>0</v>
      </c>
      <c r="BI420">
        <v>0</v>
      </c>
      <c r="BJ420">
        <v>0</v>
      </c>
      <c r="BK420">
        <v>0</v>
      </c>
      <c r="BL420">
        <v>1003</v>
      </c>
      <c r="BM420">
        <v>0</v>
      </c>
      <c r="BN420">
        <v>5</v>
      </c>
      <c r="BO420">
        <v>0</v>
      </c>
      <c r="BP420">
        <v>1</v>
      </c>
      <c r="BQ420">
        <v>1</v>
      </c>
      <c r="BR420">
        <v>0</v>
      </c>
      <c r="BS420">
        <v>1</v>
      </c>
      <c r="BT420">
        <v>0</v>
      </c>
      <c r="BU420">
        <v>2</v>
      </c>
      <c r="BV420">
        <v>0</v>
      </c>
      <c r="BW420">
        <v>970</v>
      </c>
      <c r="BX420">
        <v>0</v>
      </c>
      <c r="BY420">
        <v>1</v>
      </c>
      <c r="BZ420">
        <v>0</v>
      </c>
      <c r="CA420">
        <v>0</v>
      </c>
      <c r="CB420">
        <v>8</v>
      </c>
      <c r="CC420">
        <v>1</v>
      </c>
      <c r="CD420">
        <v>0</v>
      </c>
      <c r="CE420">
        <v>0</v>
      </c>
      <c r="CF420">
        <v>12</v>
      </c>
      <c r="CG420">
        <v>0</v>
      </c>
      <c r="CH420">
        <v>879</v>
      </c>
      <c r="CI420">
        <v>0</v>
      </c>
      <c r="CJ420">
        <v>0</v>
      </c>
      <c r="CK420">
        <v>0</v>
      </c>
      <c r="CL420">
        <v>0</v>
      </c>
      <c r="CM420">
        <v>10</v>
      </c>
      <c r="CN420">
        <v>4</v>
      </c>
      <c r="CO420">
        <v>0</v>
      </c>
      <c r="CP420">
        <v>0</v>
      </c>
      <c r="CQ420">
        <v>2</v>
      </c>
      <c r="CR420">
        <v>14</v>
      </c>
      <c r="CS420">
        <v>928</v>
      </c>
      <c r="CT420">
        <v>0</v>
      </c>
      <c r="CU420">
        <v>0</v>
      </c>
      <c r="CV420">
        <v>0</v>
      </c>
      <c r="CW420">
        <v>3</v>
      </c>
      <c r="CX420">
        <v>10</v>
      </c>
      <c r="CY420">
        <v>16</v>
      </c>
      <c r="CZ420">
        <v>32</v>
      </c>
      <c r="DA420">
        <v>3</v>
      </c>
      <c r="DB420">
        <v>1</v>
      </c>
      <c r="DC420">
        <v>0</v>
      </c>
      <c r="DD420">
        <v>942</v>
      </c>
      <c r="DE420">
        <v>1</v>
      </c>
      <c r="DF420">
        <v>20</v>
      </c>
      <c r="DG420">
        <v>8</v>
      </c>
      <c r="DH420">
        <v>1</v>
      </c>
      <c r="DI420">
        <v>4</v>
      </c>
      <c r="DJ420">
        <v>26</v>
      </c>
      <c r="DK420">
        <v>6</v>
      </c>
      <c r="DL420">
        <v>13</v>
      </c>
      <c r="DM420">
        <v>1</v>
      </c>
      <c r="DN420">
        <v>5</v>
      </c>
      <c r="DO420">
        <v>893</v>
      </c>
      <c r="DP420">
        <v>17</v>
      </c>
      <c r="DQ420">
        <v>3</v>
      </c>
      <c r="DR420">
        <v>2</v>
      </c>
      <c r="DS420">
        <v>0</v>
      </c>
      <c r="DT420">
        <v>7</v>
      </c>
      <c r="DU420">
        <v>16</v>
      </c>
      <c r="DV420">
        <v>5</v>
      </c>
      <c r="DW420">
        <v>0</v>
      </c>
      <c r="DX420">
        <v>1</v>
      </c>
      <c r="DY420">
        <v>1</v>
      </c>
      <c r="DZ420">
        <v>974</v>
      </c>
      <c r="EA420">
        <v>0.96589999999999998</v>
      </c>
      <c r="EB420">
        <v>0.96687597485545995</v>
      </c>
      <c r="EC420">
        <v>0.965888334295399</v>
      </c>
      <c r="ED420">
        <v>0.96578412624204601</v>
      </c>
      <c r="EE420">
        <f>SUM(Table1[[#This Row],[ratio_0]:[ratio_9]])</f>
        <v>640</v>
      </c>
      <c r="EF420" s="1">
        <f>(Table1[[#This Row],[predicted_0]]-Table1[[#This Row],[actual_0]])/Table1[[#This Row],[actual_0]]</f>
        <v>3.0612244897959183E-2</v>
      </c>
      <c r="EG420" s="1">
        <f>(Table1[[#This Row],[predicted_1]]-Table1[[#This Row],[actual_1]])/Table1[[#This Row],[actual_1]]</f>
        <v>2.1145374449339206E-2</v>
      </c>
      <c r="EH420" s="1">
        <f>(Table1[[#This Row],[predicted_2]]-Table1[[#This Row],[actual_2]])/Table1[[#This Row],[actual_2]]</f>
        <v>-4.2635658914728682E-2</v>
      </c>
      <c r="EI420" s="1">
        <f>(Table1[[#This Row],[predicted_3]]-Table1[[#This Row],[actual_3]])/Table1[[#This Row],[actual_3]]</f>
        <v>0.1</v>
      </c>
      <c r="EJ420" s="1">
        <f>(Table1[[#This Row],[predicted_4]]-Table1[[#This Row],[actual_4]])/Table1[[#This Row],[actual_4]]</f>
        <v>1.7311608961303463E-2</v>
      </c>
      <c r="EK420" s="1">
        <f>(Table1[[#This Row],[predicted_5]]-Table1[[#This Row],[actual_5]])/Table1[[#This Row],[actual_5]]</f>
        <v>3.0269058295964126E-2</v>
      </c>
      <c r="EL420" s="1">
        <f>(Table1[[#This Row],[predicted_6]]-Table1[[#This Row],[actual_6]])/Table1[[#This Row],[actual_6]]</f>
        <v>-2.5052192066805846E-2</v>
      </c>
      <c r="EM420" s="1">
        <f>(Table1[[#This Row],[predicted_7]]-Table1[[#This Row],[actual_7]])/Table1[[#This Row],[actual_7]]</f>
        <v>-7.101167315175097E-2</v>
      </c>
      <c r="EN420" s="1">
        <f>(Table1[[#This Row],[predicted_8]]-Table1[[#This Row],[actual_8]])/Table1[[#This Row],[actual_8]]</f>
        <v>-7.0841889117043116E-2</v>
      </c>
      <c r="EO420" s="1">
        <f>(Table1[[#This Row],[predicted_9]]-Table1[[#This Row],[actual_9]])/Table1[[#This Row],[actual_9]]</f>
        <v>1.0901883052527254E-2</v>
      </c>
      <c r="EP420" s="1">
        <f>1+(Table1[[#This Row],[error_ratio_0]]-EF$2)</f>
        <v>1.0285714285714285</v>
      </c>
      <c r="EQ420" s="1">
        <f>1+(Table1[[#This Row],[error_ratio_1]]-EG$2)</f>
        <v>1.0193832599118944</v>
      </c>
      <c r="ER420" s="1">
        <f>1+(Table1[[#This Row],[error_ratio_2]]-EH$2)</f>
        <v>0.96220930232558144</v>
      </c>
      <c r="ES420" s="1">
        <f>1+(Table1[[#This Row],[error_ratio_3]]-EI$2)</f>
        <v>1.0900990099009902</v>
      </c>
      <c r="ET420" s="1">
        <f>1+(Table1[[#This Row],[error_ratio_4]]-EJ$2)</f>
        <v>1.0162932790224033</v>
      </c>
      <c r="EU420" s="1">
        <f>1+(Table1[[#This Row],[error_ratio_5]]-EK$2)</f>
        <v>1.0291479820627802</v>
      </c>
      <c r="EV420" s="1">
        <f>1+(Table1[[#This Row],[error_ratio_6]]-EL$2)</f>
        <v>0.98121085594989566</v>
      </c>
      <c r="EW420" s="1">
        <f>1+(Table1[[#This Row],[error_ratio_7]]-EM$2)</f>
        <v>0.92704280155642027</v>
      </c>
      <c r="EX420" s="1">
        <f>1+(Table1[[#This Row],[error_ratio_8]]-EN$2)</f>
        <v>0.93223819301848054</v>
      </c>
      <c r="EY420" s="1">
        <f>1+(Table1[[#This Row],[error_ratio_9]]-EO$2)</f>
        <v>1.0148662041625371</v>
      </c>
    </row>
    <row r="421" spans="1:155" x14ac:dyDescent="0.75">
      <c r="A421">
        <v>10</v>
      </c>
      <c r="B421">
        <v>100</v>
      </c>
      <c r="C421">
        <v>10</v>
      </c>
      <c r="D421">
        <v>100</v>
      </c>
      <c r="E421">
        <v>100</v>
      </c>
      <c r="F421">
        <v>100</v>
      </c>
      <c r="G421">
        <v>10</v>
      </c>
      <c r="H421">
        <v>10</v>
      </c>
      <c r="I421">
        <v>10</v>
      </c>
      <c r="J421">
        <v>100</v>
      </c>
      <c r="K421">
        <v>1023</v>
      </c>
      <c r="L421">
        <v>1306</v>
      </c>
      <c r="M421">
        <v>826</v>
      </c>
      <c r="N421">
        <v>1014</v>
      </c>
      <c r="O421">
        <v>1062</v>
      </c>
      <c r="P421">
        <v>906</v>
      </c>
      <c r="Q421">
        <v>885</v>
      </c>
      <c r="R421">
        <v>1008</v>
      </c>
      <c r="S421">
        <v>953</v>
      </c>
      <c r="T421">
        <v>1017</v>
      </c>
      <c r="U421">
        <v>980</v>
      </c>
      <c r="V421">
        <v>1135</v>
      </c>
      <c r="W421">
        <v>1032</v>
      </c>
      <c r="X421">
        <v>1010</v>
      </c>
      <c r="Y421">
        <v>982</v>
      </c>
      <c r="Z421">
        <v>892</v>
      </c>
      <c r="AA421">
        <v>958</v>
      </c>
      <c r="AB421">
        <v>1028</v>
      </c>
      <c r="AC421">
        <v>974</v>
      </c>
      <c r="AD421">
        <v>1009</v>
      </c>
      <c r="AE421">
        <v>967</v>
      </c>
      <c r="AF421">
        <v>3</v>
      </c>
      <c r="AG421">
        <v>0</v>
      </c>
      <c r="AH421">
        <v>0</v>
      </c>
      <c r="AI421">
        <v>4</v>
      </c>
      <c r="AJ421">
        <v>1</v>
      </c>
      <c r="AK421">
        <v>0</v>
      </c>
      <c r="AL421">
        <v>1</v>
      </c>
      <c r="AM421">
        <v>2</v>
      </c>
      <c r="AN421">
        <v>2</v>
      </c>
      <c r="AO421">
        <v>0</v>
      </c>
      <c r="AP421">
        <v>1135</v>
      </c>
      <c r="AQ421">
        <v>0</v>
      </c>
      <c r="AR421">
        <v>0</v>
      </c>
      <c r="AS421">
        <v>0</v>
      </c>
      <c r="AT421">
        <v>0</v>
      </c>
      <c r="AU421">
        <v>0</v>
      </c>
      <c r="AV421">
        <v>0</v>
      </c>
      <c r="AW421">
        <v>0</v>
      </c>
      <c r="AX421">
        <v>0</v>
      </c>
      <c r="AY421">
        <v>12</v>
      </c>
      <c r="AZ421">
        <v>115</v>
      </c>
      <c r="BA421">
        <v>819</v>
      </c>
      <c r="BB421">
        <v>6</v>
      </c>
      <c r="BC421">
        <v>14</v>
      </c>
      <c r="BD421">
        <v>0</v>
      </c>
      <c r="BE421">
        <v>0</v>
      </c>
      <c r="BF421">
        <v>30</v>
      </c>
      <c r="BG421">
        <v>34</v>
      </c>
      <c r="BH421">
        <v>2</v>
      </c>
      <c r="BI421">
        <v>2</v>
      </c>
      <c r="BJ421">
        <v>2</v>
      </c>
      <c r="BK421">
        <v>1</v>
      </c>
      <c r="BL421">
        <v>992</v>
      </c>
      <c r="BM421">
        <v>0</v>
      </c>
      <c r="BN421">
        <v>1</v>
      </c>
      <c r="BO421">
        <v>0</v>
      </c>
      <c r="BP421">
        <v>3</v>
      </c>
      <c r="BQ421">
        <v>3</v>
      </c>
      <c r="BR421">
        <v>6</v>
      </c>
      <c r="BS421">
        <v>0</v>
      </c>
      <c r="BT421">
        <v>4</v>
      </c>
      <c r="BU421">
        <v>1</v>
      </c>
      <c r="BV421">
        <v>0</v>
      </c>
      <c r="BW421">
        <v>976</v>
      </c>
      <c r="BX421">
        <v>0</v>
      </c>
      <c r="BY421">
        <v>0</v>
      </c>
      <c r="BZ421">
        <v>0</v>
      </c>
      <c r="CA421">
        <v>0</v>
      </c>
      <c r="CB421">
        <v>1</v>
      </c>
      <c r="CC421">
        <v>1</v>
      </c>
      <c r="CD421">
        <v>0</v>
      </c>
      <c r="CE421">
        <v>0</v>
      </c>
      <c r="CF421">
        <v>7</v>
      </c>
      <c r="CG421">
        <v>1</v>
      </c>
      <c r="CH421">
        <v>877</v>
      </c>
      <c r="CI421">
        <v>0</v>
      </c>
      <c r="CJ421">
        <v>0</v>
      </c>
      <c r="CK421">
        <v>2</v>
      </c>
      <c r="CL421">
        <v>4</v>
      </c>
      <c r="CM421">
        <v>28</v>
      </c>
      <c r="CN421">
        <v>8</v>
      </c>
      <c r="CO421">
        <v>0</v>
      </c>
      <c r="CP421">
        <v>1</v>
      </c>
      <c r="CQ421">
        <v>17</v>
      </c>
      <c r="CR421">
        <v>18</v>
      </c>
      <c r="CS421">
        <v>885</v>
      </c>
      <c r="CT421">
        <v>0</v>
      </c>
      <c r="CU421">
        <v>1</v>
      </c>
      <c r="CV421">
        <v>0</v>
      </c>
      <c r="CW421">
        <v>4</v>
      </c>
      <c r="CX421">
        <v>27</v>
      </c>
      <c r="CY421">
        <v>4</v>
      </c>
      <c r="CZ421">
        <v>1</v>
      </c>
      <c r="DA421">
        <v>13</v>
      </c>
      <c r="DB421">
        <v>1</v>
      </c>
      <c r="DC421">
        <v>0</v>
      </c>
      <c r="DD421">
        <v>966</v>
      </c>
      <c r="DE421">
        <v>4</v>
      </c>
      <c r="DF421">
        <v>8</v>
      </c>
      <c r="DG421">
        <v>8</v>
      </c>
      <c r="DH421">
        <v>8</v>
      </c>
      <c r="DI421">
        <v>1</v>
      </c>
      <c r="DJ421">
        <v>7</v>
      </c>
      <c r="DK421">
        <v>17</v>
      </c>
      <c r="DL421">
        <v>4</v>
      </c>
      <c r="DM421">
        <v>0</v>
      </c>
      <c r="DN421">
        <v>5</v>
      </c>
      <c r="DO421">
        <v>907</v>
      </c>
      <c r="DP421">
        <v>17</v>
      </c>
      <c r="DQ421">
        <v>1</v>
      </c>
      <c r="DR421">
        <v>4</v>
      </c>
      <c r="DS421">
        <v>0</v>
      </c>
      <c r="DT421">
        <v>0</v>
      </c>
      <c r="DU421">
        <v>20</v>
      </c>
      <c r="DV421">
        <v>4</v>
      </c>
      <c r="DW421">
        <v>0</v>
      </c>
      <c r="DX421">
        <v>3</v>
      </c>
      <c r="DY421">
        <v>0</v>
      </c>
      <c r="DZ421">
        <v>977</v>
      </c>
      <c r="EA421">
        <v>0.95009999999999994</v>
      </c>
      <c r="EB421">
        <v>0.95418992900036403</v>
      </c>
      <c r="EC421">
        <v>0.95025766682409596</v>
      </c>
      <c r="ED421">
        <v>0.95029789984965496</v>
      </c>
      <c r="EE421">
        <f>SUM(Table1[[#This Row],[ratio_0]:[ratio_9]])</f>
        <v>550</v>
      </c>
      <c r="EF421" s="1">
        <f>(Table1[[#This Row],[predicted_0]]-Table1[[#This Row],[actual_0]])/Table1[[#This Row],[actual_0]]</f>
        <v>4.3877551020408162E-2</v>
      </c>
      <c r="EG421" s="1">
        <f>(Table1[[#This Row],[predicted_1]]-Table1[[#This Row],[actual_1]])/Table1[[#This Row],[actual_1]]</f>
        <v>0.15066079295154186</v>
      </c>
      <c r="EH421" s="1">
        <f>(Table1[[#This Row],[predicted_2]]-Table1[[#This Row],[actual_2]])/Table1[[#This Row],[actual_2]]</f>
        <v>-0.19961240310077519</v>
      </c>
      <c r="EI421" s="1">
        <f>(Table1[[#This Row],[predicted_3]]-Table1[[#This Row],[actual_3]])/Table1[[#This Row],[actual_3]]</f>
        <v>3.9603960396039604E-3</v>
      </c>
      <c r="EJ421" s="1">
        <f>(Table1[[#This Row],[predicted_4]]-Table1[[#This Row],[actual_4]])/Table1[[#This Row],[actual_4]]</f>
        <v>8.1466395112016296E-2</v>
      </c>
      <c r="EK421" s="1">
        <f>(Table1[[#This Row],[predicted_5]]-Table1[[#This Row],[actual_5]])/Table1[[#This Row],[actual_5]]</f>
        <v>1.5695067264573991E-2</v>
      </c>
      <c r="EL421" s="1">
        <f>(Table1[[#This Row],[predicted_6]]-Table1[[#This Row],[actual_6]])/Table1[[#This Row],[actual_6]]</f>
        <v>-7.6200417536534448E-2</v>
      </c>
      <c r="EM421" s="1">
        <f>(Table1[[#This Row],[predicted_7]]-Table1[[#This Row],[actual_7]])/Table1[[#This Row],[actual_7]]</f>
        <v>-1.9455252918287938E-2</v>
      </c>
      <c r="EN421" s="1">
        <f>(Table1[[#This Row],[predicted_8]]-Table1[[#This Row],[actual_8]])/Table1[[#This Row],[actual_8]]</f>
        <v>-2.1560574948665298E-2</v>
      </c>
      <c r="EO421" s="1">
        <f>(Table1[[#This Row],[predicted_9]]-Table1[[#This Row],[actual_9]])/Table1[[#This Row],[actual_9]]</f>
        <v>7.9286422200198214E-3</v>
      </c>
      <c r="EP421" s="1">
        <f>1+(Table1[[#This Row],[error_ratio_0]]-EF$2)</f>
        <v>1.0418367346938775</v>
      </c>
      <c r="EQ421" s="1">
        <f>1+(Table1[[#This Row],[error_ratio_1]]-EG$2)</f>
        <v>1.1488986784140969</v>
      </c>
      <c r="ER421" s="1">
        <f>1+(Table1[[#This Row],[error_ratio_2]]-EH$2)</f>
        <v>0.80523255813953487</v>
      </c>
      <c r="ES421" s="1">
        <f>1+(Table1[[#This Row],[error_ratio_3]]-EI$2)</f>
        <v>0.99405940594059405</v>
      </c>
      <c r="ET421" s="1">
        <f>1+(Table1[[#This Row],[error_ratio_4]]-EJ$2)</f>
        <v>1.0804480651731161</v>
      </c>
      <c r="EU421" s="1">
        <f>1+(Table1[[#This Row],[error_ratio_5]]-EK$2)</f>
        <v>1.0145739910313902</v>
      </c>
      <c r="EV421" s="1">
        <f>1+(Table1[[#This Row],[error_ratio_6]]-EL$2)</f>
        <v>0.93006263048016702</v>
      </c>
      <c r="EW421" s="1">
        <f>1+(Table1[[#This Row],[error_ratio_7]]-EM$2)</f>
        <v>0.97859922178988323</v>
      </c>
      <c r="EX421" s="1">
        <f>1+(Table1[[#This Row],[error_ratio_8]]-EN$2)</f>
        <v>0.98151950718685832</v>
      </c>
      <c r="EY421" s="1">
        <f>1+(Table1[[#This Row],[error_ratio_9]]-EO$2)</f>
        <v>1.0118929633300298</v>
      </c>
    </row>
    <row r="422" spans="1:155" x14ac:dyDescent="0.75">
      <c r="A422">
        <v>100</v>
      </c>
      <c r="B422">
        <v>10</v>
      </c>
      <c r="C422">
        <v>10</v>
      </c>
      <c r="D422">
        <v>100</v>
      </c>
      <c r="E422">
        <v>100</v>
      </c>
      <c r="F422">
        <v>100</v>
      </c>
      <c r="G422">
        <v>10</v>
      </c>
      <c r="H422">
        <v>10</v>
      </c>
      <c r="I422">
        <v>10</v>
      </c>
      <c r="J422">
        <v>100</v>
      </c>
      <c r="K422">
        <v>1078</v>
      </c>
      <c r="L422">
        <v>1165</v>
      </c>
      <c r="M422">
        <v>999</v>
      </c>
      <c r="N422">
        <v>999</v>
      </c>
      <c r="O422">
        <v>1014</v>
      </c>
      <c r="P422">
        <v>915</v>
      </c>
      <c r="Q422">
        <v>935</v>
      </c>
      <c r="R422">
        <v>989</v>
      </c>
      <c r="S422">
        <v>884</v>
      </c>
      <c r="T422">
        <v>1022</v>
      </c>
      <c r="U422">
        <v>980</v>
      </c>
      <c r="V422">
        <v>1135</v>
      </c>
      <c r="W422">
        <v>1032</v>
      </c>
      <c r="X422">
        <v>1010</v>
      </c>
      <c r="Y422">
        <v>982</v>
      </c>
      <c r="Z422">
        <v>892</v>
      </c>
      <c r="AA422">
        <v>958</v>
      </c>
      <c r="AB422">
        <v>1028</v>
      </c>
      <c r="AC422">
        <v>974</v>
      </c>
      <c r="AD422">
        <v>1009</v>
      </c>
      <c r="AE422">
        <v>976</v>
      </c>
      <c r="AF422">
        <v>0</v>
      </c>
      <c r="AG422">
        <v>0</v>
      </c>
      <c r="AH422">
        <v>0</v>
      </c>
      <c r="AI422">
        <v>3</v>
      </c>
      <c r="AJ422">
        <v>0</v>
      </c>
      <c r="AK422">
        <v>0</v>
      </c>
      <c r="AL422">
        <v>0</v>
      </c>
      <c r="AM422">
        <v>0</v>
      </c>
      <c r="AN422">
        <v>1</v>
      </c>
      <c r="AO422">
        <v>0</v>
      </c>
      <c r="AP422">
        <v>1127</v>
      </c>
      <c r="AQ422">
        <v>1</v>
      </c>
      <c r="AR422">
        <v>3</v>
      </c>
      <c r="AS422">
        <v>0</v>
      </c>
      <c r="AT422">
        <v>0</v>
      </c>
      <c r="AU422">
        <v>3</v>
      </c>
      <c r="AV422">
        <v>0</v>
      </c>
      <c r="AW422">
        <v>0</v>
      </c>
      <c r="AX422">
        <v>1</v>
      </c>
      <c r="AY422">
        <v>19</v>
      </c>
      <c r="AZ422">
        <v>17</v>
      </c>
      <c r="BA422">
        <v>962</v>
      </c>
      <c r="BB422">
        <v>14</v>
      </c>
      <c r="BC422">
        <v>7</v>
      </c>
      <c r="BD422">
        <v>1</v>
      </c>
      <c r="BE422">
        <v>1</v>
      </c>
      <c r="BF422">
        <v>7</v>
      </c>
      <c r="BG422">
        <v>2</v>
      </c>
      <c r="BH422">
        <v>2</v>
      </c>
      <c r="BI422">
        <v>7</v>
      </c>
      <c r="BJ422">
        <v>0</v>
      </c>
      <c r="BK422">
        <v>1</v>
      </c>
      <c r="BL422">
        <v>977</v>
      </c>
      <c r="BM422">
        <v>0</v>
      </c>
      <c r="BN422">
        <v>18</v>
      </c>
      <c r="BO422">
        <v>0</v>
      </c>
      <c r="BP422">
        <v>1</v>
      </c>
      <c r="BQ422">
        <v>1</v>
      </c>
      <c r="BR422">
        <v>5</v>
      </c>
      <c r="BS422">
        <v>0</v>
      </c>
      <c r="BT422">
        <v>0</v>
      </c>
      <c r="BU422">
        <v>1</v>
      </c>
      <c r="BV422">
        <v>0</v>
      </c>
      <c r="BW422">
        <v>977</v>
      </c>
      <c r="BX422">
        <v>0</v>
      </c>
      <c r="BY422">
        <v>1</v>
      </c>
      <c r="BZ422">
        <v>0</v>
      </c>
      <c r="CA422">
        <v>0</v>
      </c>
      <c r="CB422">
        <v>3</v>
      </c>
      <c r="CC422">
        <v>5</v>
      </c>
      <c r="CD422">
        <v>0</v>
      </c>
      <c r="CE422">
        <v>0</v>
      </c>
      <c r="CF422">
        <v>2</v>
      </c>
      <c r="CG422">
        <v>0</v>
      </c>
      <c r="CH422">
        <v>879</v>
      </c>
      <c r="CI422">
        <v>5</v>
      </c>
      <c r="CJ422">
        <v>0</v>
      </c>
      <c r="CK422">
        <v>1</v>
      </c>
      <c r="CL422">
        <v>0</v>
      </c>
      <c r="CM422">
        <v>18</v>
      </c>
      <c r="CN422">
        <v>5</v>
      </c>
      <c r="CO422">
        <v>0</v>
      </c>
      <c r="CP422">
        <v>0</v>
      </c>
      <c r="CQ422">
        <v>6</v>
      </c>
      <c r="CR422">
        <v>4</v>
      </c>
      <c r="CS422">
        <v>923</v>
      </c>
      <c r="CT422">
        <v>0</v>
      </c>
      <c r="CU422">
        <v>2</v>
      </c>
      <c r="CV422">
        <v>0</v>
      </c>
      <c r="CW422">
        <v>2</v>
      </c>
      <c r="CX422">
        <v>8</v>
      </c>
      <c r="CY422">
        <v>31</v>
      </c>
      <c r="CZ422">
        <v>1</v>
      </c>
      <c r="DA422">
        <v>6</v>
      </c>
      <c r="DB422">
        <v>1</v>
      </c>
      <c r="DC422">
        <v>0</v>
      </c>
      <c r="DD422">
        <v>970</v>
      </c>
      <c r="DE422">
        <v>0</v>
      </c>
      <c r="DF422">
        <v>9</v>
      </c>
      <c r="DG422">
        <v>46</v>
      </c>
      <c r="DH422">
        <v>6</v>
      </c>
      <c r="DI422">
        <v>3</v>
      </c>
      <c r="DJ422">
        <v>0</v>
      </c>
      <c r="DK422">
        <v>9</v>
      </c>
      <c r="DL422">
        <v>6</v>
      </c>
      <c r="DM422">
        <v>1</v>
      </c>
      <c r="DN422">
        <v>8</v>
      </c>
      <c r="DO422">
        <v>878</v>
      </c>
      <c r="DP422">
        <v>17</v>
      </c>
      <c r="DQ422">
        <v>5</v>
      </c>
      <c r="DR422">
        <v>2</v>
      </c>
      <c r="DS422">
        <v>0</v>
      </c>
      <c r="DT422">
        <v>2</v>
      </c>
      <c r="DU422">
        <v>6</v>
      </c>
      <c r="DV422">
        <v>6</v>
      </c>
      <c r="DW422">
        <v>1</v>
      </c>
      <c r="DX422">
        <v>3</v>
      </c>
      <c r="DY422">
        <v>0</v>
      </c>
      <c r="DZ422">
        <v>984</v>
      </c>
      <c r="EA422">
        <v>0.96530000000000005</v>
      </c>
      <c r="EB422">
        <v>0.96618549594007297</v>
      </c>
      <c r="EC422">
        <v>0.96524072282787499</v>
      </c>
      <c r="ED422">
        <v>0.96513538544335498</v>
      </c>
      <c r="EE422">
        <f>SUM(Table1[[#This Row],[ratio_0]:[ratio_9]])</f>
        <v>550</v>
      </c>
      <c r="EF422" s="1">
        <f>(Table1[[#This Row],[predicted_0]]-Table1[[#This Row],[actual_0]])/Table1[[#This Row],[actual_0]]</f>
        <v>0.1</v>
      </c>
      <c r="EG422" s="1">
        <f>(Table1[[#This Row],[predicted_1]]-Table1[[#This Row],[actual_1]])/Table1[[#This Row],[actual_1]]</f>
        <v>2.643171806167401E-2</v>
      </c>
      <c r="EH422" s="1">
        <f>(Table1[[#This Row],[predicted_2]]-Table1[[#This Row],[actual_2]])/Table1[[#This Row],[actual_2]]</f>
        <v>-3.1976744186046513E-2</v>
      </c>
      <c r="EI422" s="1">
        <f>(Table1[[#This Row],[predicted_3]]-Table1[[#This Row],[actual_3]])/Table1[[#This Row],[actual_3]]</f>
        <v>-1.089108910891089E-2</v>
      </c>
      <c r="EJ422" s="1">
        <f>(Table1[[#This Row],[predicted_4]]-Table1[[#This Row],[actual_4]])/Table1[[#This Row],[actual_4]]</f>
        <v>3.2586558044806514E-2</v>
      </c>
      <c r="EK422" s="1">
        <f>(Table1[[#This Row],[predicted_5]]-Table1[[#This Row],[actual_5]])/Table1[[#This Row],[actual_5]]</f>
        <v>2.5784753363228701E-2</v>
      </c>
      <c r="EL422" s="1">
        <f>(Table1[[#This Row],[predicted_6]]-Table1[[#This Row],[actual_6]])/Table1[[#This Row],[actual_6]]</f>
        <v>-2.4008350730688934E-2</v>
      </c>
      <c r="EM422" s="1">
        <f>(Table1[[#This Row],[predicted_7]]-Table1[[#This Row],[actual_7]])/Table1[[#This Row],[actual_7]]</f>
        <v>-3.7937743190661476E-2</v>
      </c>
      <c r="EN422" s="1">
        <f>(Table1[[#This Row],[predicted_8]]-Table1[[#This Row],[actual_8]])/Table1[[#This Row],[actual_8]]</f>
        <v>-9.2402464065708415E-2</v>
      </c>
      <c r="EO422" s="1">
        <f>(Table1[[#This Row],[predicted_9]]-Table1[[#This Row],[actual_9]])/Table1[[#This Row],[actual_9]]</f>
        <v>1.288404360753221E-2</v>
      </c>
      <c r="EP422" s="1">
        <f>1+(Table1[[#This Row],[error_ratio_0]]-EF$2)</f>
        <v>1.0979591836734695</v>
      </c>
      <c r="EQ422" s="1">
        <f>1+(Table1[[#This Row],[error_ratio_1]]-EG$2)</f>
        <v>1.0246696035242291</v>
      </c>
      <c r="ER422" s="1">
        <f>1+(Table1[[#This Row],[error_ratio_2]]-EH$2)</f>
        <v>0.97286821705426352</v>
      </c>
      <c r="ES422" s="1">
        <f>1+(Table1[[#This Row],[error_ratio_3]]-EI$2)</f>
        <v>0.97920792079207919</v>
      </c>
      <c r="ET422" s="1">
        <f>1+(Table1[[#This Row],[error_ratio_4]]-EJ$2)</f>
        <v>1.0315682281059062</v>
      </c>
      <c r="EU422" s="1">
        <f>1+(Table1[[#This Row],[error_ratio_5]]-EK$2)</f>
        <v>1.0246636771300448</v>
      </c>
      <c r="EV422" s="1">
        <f>1+(Table1[[#This Row],[error_ratio_6]]-EL$2)</f>
        <v>0.98225469728601256</v>
      </c>
      <c r="EW422" s="1">
        <f>1+(Table1[[#This Row],[error_ratio_7]]-EM$2)</f>
        <v>0.96011673151750976</v>
      </c>
      <c r="EX422" s="1">
        <f>1+(Table1[[#This Row],[error_ratio_8]]-EN$2)</f>
        <v>0.91067761806981518</v>
      </c>
      <c r="EY422" s="1">
        <f>1+(Table1[[#This Row],[error_ratio_9]]-EO$2)</f>
        <v>1.0168483647175421</v>
      </c>
    </row>
    <row r="423" spans="1:155" x14ac:dyDescent="0.75">
      <c r="A423">
        <v>10</v>
      </c>
      <c r="B423">
        <v>10</v>
      </c>
      <c r="C423">
        <v>10</v>
      </c>
      <c r="D423">
        <v>100</v>
      </c>
      <c r="E423">
        <v>100</v>
      </c>
      <c r="F423">
        <v>100</v>
      </c>
      <c r="G423">
        <v>10</v>
      </c>
      <c r="H423">
        <v>10</v>
      </c>
      <c r="I423">
        <v>10</v>
      </c>
      <c r="J423">
        <v>100</v>
      </c>
      <c r="K423">
        <v>932</v>
      </c>
      <c r="L423">
        <v>1091</v>
      </c>
      <c r="M423">
        <v>860</v>
      </c>
      <c r="N423">
        <v>1452</v>
      </c>
      <c r="O423">
        <v>963</v>
      </c>
      <c r="P423">
        <v>1176</v>
      </c>
      <c r="Q423">
        <v>803</v>
      </c>
      <c r="R423">
        <v>905</v>
      </c>
      <c r="S423">
        <v>734</v>
      </c>
      <c r="T423">
        <v>1084</v>
      </c>
      <c r="U423">
        <v>980</v>
      </c>
      <c r="V423">
        <v>1135</v>
      </c>
      <c r="W423">
        <v>1032</v>
      </c>
      <c r="X423">
        <v>1010</v>
      </c>
      <c r="Y423">
        <v>982</v>
      </c>
      <c r="Z423">
        <v>892</v>
      </c>
      <c r="AA423">
        <v>958</v>
      </c>
      <c r="AB423">
        <v>1028</v>
      </c>
      <c r="AC423">
        <v>974</v>
      </c>
      <c r="AD423">
        <v>1009</v>
      </c>
      <c r="AE423">
        <v>917</v>
      </c>
      <c r="AF423">
        <v>0</v>
      </c>
      <c r="AG423">
        <v>0</v>
      </c>
      <c r="AH423">
        <v>1</v>
      </c>
      <c r="AI423">
        <v>0</v>
      </c>
      <c r="AJ423">
        <v>42</v>
      </c>
      <c r="AK423">
        <v>2</v>
      </c>
      <c r="AL423">
        <v>0</v>
      </c>
      <c r="AM423">
        <v>2</v>
      </c>
      <c r="AN423">
        <v>16</v>
      </c>
      <c r="AO423">
        <v>0</v>
      </c>
      <c r="AP423">
        <v>1088</v>
      </c>
      <c r="AQ423">
        <v>2</v>
      </c>
      <c r="AR423">
        <v>35</v>
      </c>
      <c r="AS423">
        <v>0</v>
      </c>
      <c r="AT423">
        <v>5</v>
      </c>
      <c r="AU423">
        <v>1</v>
      </c>
      <c r="AV423">
        <v>3</v>
      </c>
      <c r="AW423">
        <v>0</v>
      </c>
      <c r="AX423">
        <v>1</v>
      </c>
      <c r="AY423">
        <v>4</v>
      </c>
      <c r="AZ423">
        <v>0</v>
      </c>
      <c r="BA423">
        <v>839</v>
      </c>
      <c r="BB423">
        <v>174</v>
      </c>
      <c r="BC423">
        <v>3</v>
      </c>
      <c r="BD423">
        <v>7</v>
      </c>
      <c r="BE423">
        <v>0</v>
      </c>
      <c r="BF423">
        <v>3</v>
      </c>
      <c r="BG423">
        <v>0</v>
      </c>
      <c r="BH423">
        <v>2</v>
      </c>
      <c r="BI423">
        <v>0</v>
      </c>
      <c r="BJ423">
        <v>0</v>
      </c>
      <c r="BK423">
        <v>1</v>
      </c>
      <c r="BL423">
        <v>994</v>
      </c>
      <c r="BM423">
        <v>0</v>
      </c>
      <c r="BN423">
        <v>15</v>
      </c>
      <c r="BO423">
        <v>0</v>
      </c>
      <c r="BP423">
        <v>0</v>
      </c>
      <c r="BQ423">
        <v>0</v>
      </c>
      <c r="BR423">
        <v>0</v>
      </c>
      <c r="BS423">
        <v>0</v>
      </c>
      <c r="BT423">
        <v>0</v>
      </c>
      <c r="BU423">
        <v>4</v>
      </c>
      <c r="BV423">
        <v>1</v>
      </c>
      <c r="BW423">
        <v>947</v>
      </c>
      <c r="BX423">
        <v>5</v>
      </c>
      <c r="BY423">
        <v>0</v>
      </c>
      <c r="BZ423">
        <v>0</v>
      </c>
      <c r="CA423">
        <v>0</v>
      </c>
      <c r="CB423">
        <v>25</v>
      </c>
      <c r="CC423">
        <v>0</v>
      </c>
      <c r="CD423">
        <v>0</v>
      </c>
      <c r="CE423">
        <v>0</v>
      </c>
      <c r="CF423">
        <v>3</v>
      </c>
      <c r="CG423">
        <v>0</v>
      </c>
      <c r="CH423">
        <v>888</v>
      </c>
      <c r="CI423">
        <v>1</v>
      </c>
      <c r="CJ423">
        <v>0</v>
      </c>
      <c r="CK423">
        <v>0</v>
      </c>
      <c r="CL423">
        <v>0</v>
      </c>
      <c r="CM423">
        <v>8</v>
      </c>
      <c r="CN423">
        <v>3</v>
      </c>
      <c r="CO423">
        <v>3</v>
      </c>
      <c r="CP423">
        <v>3</v>
      </c>
      <c r="CQ423">
        <v>10</v>
      </c>
      <c r="CR423">
        <v>132</v>
      </c>
      <c r="CS423">
        <v>799</v>
      </c>
      <c r="CT423">
        <v>0</v>
      </c>
      <c r="CU423">
        <v>0</v>
      </c>
      <c r="CV423">
        <v>0</v>
      </c>
      <c r="CW423">
        <v>2</v>
      </c>
      <c r="CX423">
        <v>0</v>
      </c>
      <c r="CY423">
        <v>10</v>
      </c>
      <c r="CZ423">
        <v>72</v>
      </c>
      <c r="DA423">
        <v>1</v>
      </c>
      <c r="DB423">
        <v>11</v>
      </c>
      <c r="DC423">
        <v>0</v>
      </c>
      <c r="DD423">
        <v>895</v>
      </c>
      <c r="DE423">
        <v>1</v>
      </c>
      <c r="DF423">
        <v>36</v>
      </c>
      <c r="DG423">
        <v>1</v>
      </c>
      <c r="DH423">
        <v>0</v>
      </c>
      <c r="DI423">
        <v>1</v>
      </c>
      <c r="DJ423">
        <v>159</v>
      </c>
      <c r="DK423">
        <v>1</v>
      </c>
      <c r="DL423">
        <v>57</v>
      </c>
      <c r="DM423">
        <v>0</v>
      </c>
      <c r="DN423">
        <v>2</v>
      </c>
      <c r="DO423">
        <v>731</v>
      </c>
      <c r="DP423">
        <v>22</v>
      </c>
      <c r="DQ423">
        <v>0</v>
      </c>
      <c r="DR423">
        <v>0</v>
      </c>
      <c r="DS423">
        <v>0</v>
      </c>
      <c r="DT423">
        <v>10</v>
      </c>
      <c r="DU423">
        <v>1</v>
      </c>
      <c r="DV423">
        <v>14</v>
      </c>
      <c r="DW423">
        <v>0</v>
      </c>
      <c r="DX423">
        <v>2</v>
      </c>
      <c r="DY423">
        <v>0</v>
      </c>
      <c r="DZ423">
        <v>982</v>
      </c>
      <c r="EA423">
        <v>0.90800000000000003</v>
      </c>
      <c r="EB423">
        <v>0.92655833236533702</v>
      </c>
      <c r="EC423">
        <v>0.90797276284365103</v>
      </c>
      <c r="ED423">
        <v>0.90914872381218104</v>
      </c>
      <c r="EE423">
        <f>SUM(Table1[[#This Row],[ratio_0]:[ratio_9]])</f>
        <v>460</v>
      </c>
      <c r="EF423" s="1">
        <f>(Table1[[#This Row],[predicted_0]]-Table1[[#This Row],[actual_0]])/Table1[[#This Row],[actual_0]]</f>
        <v>-4.8979591836734691E-2</v>
      </c>
      <c r="EG423" s="1">
        <f>(Table1[[#This Row],[predicted_1]]-Table1[[#This Row],[actual_1]])/Table1[[#This Row],[actual_1]]</f>
        <v>-3.8766519823788544E-2</v>
      </c>
      <c r="EH423" s="1">
        <f>(Table1[[#This Row],[predicted_2]]-Table1[[#This Row],[actual_2]])/Table1[[#This Row],[actual_2]]</f>
        <v>-0.16666666666666666</v>
      </c>
      <c r="EI423" s="1">
        <f>(Table1[[#This Row],[predicted_3]]-Table1[[#This Row],[actual_3]])/Table1[[#This Row],[actual_3]]</f>
        <v>0.43762376237623762</v>
      </c>
      <c r="EJ423" s="1">
        <f>(Table1[[#This Row],[predicted_4]]-Table1[[#This Row],[actual_4]])/Table1[[#This Row],[actual_4]]</f>
        <v>-1.9348268839103868E-2</v>
      </c>
      <c r="EK423" s="1">
        <f>(Table1[[#This Row],[predicted_5]]-Table1[[#This Row],[actual_5]])/Table1[[#This Row],[actual_5]]</f>
        <v>0.31838565022421522</v>
      </c>
      <c r="EL423" s="1">
        <f>(Table1[[#This Row],[predicted_6]]-Table1[[#This Row],[actual_6]])/Table1[[#This Row],[actual_6]]</f>
        <v>-0.1617954070981211</v>
      </c>
      <c r="EM423" s="1">
        <f>(Table1[[#This Row],[predicted_7]]-Table1[[#This Row],[actual_7]])/Table1[[#This Row],[actual_7]]</f>
        <v>-0.11964980544747082</v>
      </c>
      <c r="EN423" s="1">
        <f>(Table1[[#This Row],[predicted_8]]-Table1[[#This Row],[actual_8]])/Table1[[#This Row],[actual_8]]</f>
        <v>-0.24640657084188911</v>
      </c>
      <c r="EO423" s="1">
        <f>(Table1[[#This Row],[predicted_9]]-Table1[[#This Row],[actual_9]])/Table1[[#This Row],[actual_9]]</f>
        <v>7.4331020812685833E-2</v>
      </c>
      <c r="EP423" s="1">
        <f>1+(Table1[[#This Row],[error_ratio_0]]-EF$2)</f>
        <v>0.94897959183673475</v>
      </c>
      <c r="EQ423" s="1">
        <f>1+(Table1[[#This Row],[error_ratio_1]]-EG$2)</f>
        <v>0.95947136563876656</v>
      </c>
      <c r="ER423" s="1">
        <f>1+(Table1[[#This Row],[error_ratio_2]]-EH$2)</f>
        <v>0.83817829457364346</v>
      </c>
      <c r="ES423" s="1">
        <f>1+(Table1[[#This Row],[error_ratio_3]]-EI$2)</f>
        <v>1.4277227722772277</v>
      </c>
      <c r="ET423" s="1">
        <f>1+(Table1[[#This Row],[error_ratio_4]]-EJ$2)</f>
        <v>0.97963340122199594</v>
      </c>
      <c r="EU423" s="1">
        <f>1+(Table1[[#This Row],[error_ratio_5]]-EK$2)</f>
        <v>1.3172645739910314</v>
      </c>
      <c r="EV423" s="1">
        <f>1+(Table1[[#This Row],[error_ratio_6]]-EL$2)</f>
        <v>0.8444676409185804</v>
      </c>
      <c r="EW423" s="1">
        <f>1+(Table1[[#This Row],[error_ratio_7]]-EM$2)</f>
        <v>0.87840466926070038</v>
      </c>
      <c r="EX423" s="1">
        <f>1+(Table1[[#This Row],[error_ratio_8]]-EN$2)</f>
        <v>0.75667351129363447</v>
      </c>
      <c r="EY423" s="1">
        <f>1+(Table1[[#This Row],[error_ratio_9]]-EO$2)</f>
        <v>1.0782953419226957</v>
      </c>
    </row>
    <row r="424" spans="1:155" x14ac:dyDescent="0.75">
      <c r="A424">
        <v>100</v>
      </c>
      <c r="B424">
        <v>100</v>
      </c>
      <c r="C424">
        <v>100</v>
      </c>
      <c r="D424">
        <v>10</v>
      </c>
      <c r="E424">
        <v>100</v>
      </c>
      <c r="F424">
        <v>100</v>
      </c>
      <c r="G424">
        <v>10</v>
      </c>
      <c r="H424">
        <v>10</v>
      </c>
      <c r="I424">
        <v>10</v>
      </c>
      <c r="J424">
        <v>100</v>
      </c>
      <c r="K424">
        <v>998</v>
      </c>
      <c r="L424">
        <v>1142</v>
      </c>
      <c r="M424">
        <v>1085</v>
      </c>
      <c r="N424">
        <v>902</v>
      </c>
      <c r="O424">
        <v>980</v>
      </c>
      <c r="P424">
        <v>1089</v>
      </c>
      <c r="Q424">
        <v>914</v>
      </c>
      <c r="R424">
        <v>950</v>
      </c>
      <c r="S424">
        <v>846</v>
      </c>
      <c r="T424">
        <v>1094</v>
      </c>
      <c r="U424">
        <v>980</v>
      </c>
      <c r="V424">
        <v>1135</v>
      </c>
      <c r="W424">
        <v>1032</v>
      </c>
      <c r="X424">
        <v>1010</v>
      </c>
      <c r="Y424">
        <v>982</v>
      </c>
      <c r="Z424">
        <v>892</v>
      </c>
      <c r="AA424">
        <v>958</v>
      </c>
      <c r="AB424">
        <v>1028</v>
      </c>
      <c r="AC424">
        <v>974</v>
      </c>
      <c r="AD424">
        <v>1009</v>
      </c>
      <c r="AE424">
        <v>975</v>
      </c>
      <c r="AF424">
        <v>0</v>
      </c>
      <c r="AG424">
        <v>1</v>
      </c>
      <c r="AH424">
        <v>0</v>
      </c>
      <c r="AI424">
        <v>0</v>
      </c>
      <c r="AJ424">
        <v>3</v>
      </c>
      <c r="AK424">
        <v>0</v>
      </c>
      <c r="AL424">
        <v>1</v>
      </c>
      <c r="AM424">
        <v>0</v>
      </c>
      <c r="AN424">
        <v>0</v>
      </c>
      <c r="AO424">
        <v>0</v>
      </c>
      <c r="AP424">
        <v>1132</v>
      </c>
      <c r="AQ424">
        <v>0</v>
      </c>
      <c r="AR424">
        <v>0</v>
      </c>
      <c r="AS424">
        <v>0</v>
      </c>
      <c r="AT424">
        <v>1</v>
      </c>
      <c r="AU424">
        <v>1</v>
      </c>
      <c r="AV424">
        <v>0</v>
      </c>
      <c r="AW424">
        <v>0</v>
      </c>
      <c r="AX424">
        <v>1</v>
      </c>
      <c r="AY424">
        <v>0</v>
      </c>
      <c r="AZ424">
        <v>2</v>
      </c>
      <c r="BA424">
        <v>1025</v>
      </c>
      <c r="BB424">
        <v>0</v>
      </c>
      <c r="BC424">
        <v>1</v>
      </c>
      <c r="BD424">
        <v>0</v>
      </c>
      <c r="BE424">
        <v>1</v>
      </c>
      <c r="BF424">
        <v>2</v>
      </c>
      <c r="BG424">
        <v>1</v>
      </c>
      <c r="BH424">
        <v>0</v>
      </c>
      <c r="BI424">
        <v>1</v>
      </c>
      <c r="BJ424">
        <v>0</v>
      </c>
      <c r="BK424">
        <v>6</v>
      </c>
      <c r="BL424">
        <v>892</v>
      </c>
      <c r="BM424">
        <v>0</v>
      </c>
      <c r="BN424">
        <v>95</v>
      </c>
      <c r="BO424">
        <v>0</v>
      </c>
      <c r="BP424">
        <v>3</v>
      </c>
      <c r="BQ424">
        <v>2</v>
      </c>
      <c r="BR424">
        <v>11</v>
      </c>
      <c r="BS424">
        <v>0</v>
      </c>
      <c r="BT424">
        <v>0</v>
      </c>
      <c r="BU424">
        <v>0</v>
      </c>
      <c r="BV424">
        <v>0</v>
      </c>
      <c r="BW424">
        <v>968</v>
      </c>
      <c r="BX424">
        <v>0</v>
      </c>
      <c r="BY424">
        <v>0</v>
      </c>
      <c r="BZ424">
        <v>0</v>
      </c>
      <c r="CA424">
        <v>0</v>
      </c>
      <c r="CB424">
        <v>14</v>
      </c>
      <c r="CC424">
        <v>0</v>
      </c>
      <c r="CD424">
        <v>0</v>
      </c>
      <c r="CE424">
        <v>0</v>
      </c>
      <c r="CF424">
        <v>1</v>
      </c>
      <c r="CG424">
        <v>0</v>
      </c>
      <c r="CH424">
        <v>890</v>
      </c>
      <c r="CI424">
        <v>1</v>
      </c>
      <c r="CJ424">
        <v>0</v>
      </c>
      <c r="CK424">
        <v>0</v>
      </c>
      <c r="CL424">
        <v>0</v>
      </c>
      <c r="CM424">
        <v>14</v>
      </c>
      <c r="CN424">
        <v>2</v>
      </c>
      <c r="CO424">
        <v>3</v>
      </c>
      <c r="CP424">
        <v>0</v>
      </c>
      <c r="CQ424">
        <v>2</v>
      </c>
      <c r="CR424">
        <v>26</v>
      </c>
      <c r="CS424">
        <v>911</v>
      </c>
      <c r="CT424">
        <v>0</v>
      </c>
      <c r="CU424">
        <v>0</v>
      </c>
      <c r="CV424">
        <v>0</v>
      </c>
      <c r="CW424">
        <v>2</v>
      </c>
      <c r="CX424">
        <v>6</v>
      </c>
      <c r="CY424">
        <v>25</v>
      </c>
      <c r="CZ424">
        <v>7</v>
      </c>
      <c r="DA424">
        <v>5</v>
      </c>
      <c r="DB424">
        <v>6</v>
      </c>
      <c r="DC424">
        <v>0</v>
      </c>
      <c r="DD424">
        <v>939</v>
      </c>
      <c r="DE424">
        <v>1</v>
      </c>
      <c r="DF424">
        <v>37</v>
      </c>
      <c r="DG424">
        <v>5</v>
      </c>
      <c r="DH424">
        <v>0</v>
      </c>
      <c r="DI424">
        <v>25</v>
      </c>
      <c r="DJ424">
        <v>2</v>
      </c>
      <c r="DK424">
        <v>3</v>
      </c>
      <c r="DL424">
        <v>55</v>
      </c>
      <c r="DM424">
        <v>0</v>
      </c>
      <c r="DN424">
        <v>3</v>
      </c>
      <c r="DO424">
        <v>842</v>
      </c>
      <c r="DP424">
        <v>39</v>
      </c>
      <c r="DQ424">
        <v>1</v>
      </c>
      <c r="DR424">
        <v>0</v>
      </c>
      <c r="DS424">
        <v>0</v>
      </c>
      <c r="DT424">
        <v>0</v>
      </c>
      <c r="DU424">
        <v>1</v>
      </c>
      <c r="DV424">
        <v>13</v>
      </c>
      <c r="DW424">
        <v>0</v>
      </c>
      <c r="DX424">
        <v>2</v>
      </c>
      <c r="DY424">
        <v>0</v>
      </c>
      <c r="DZ424">
        <v>992</v>
      </c>
      <c r="EA424">
        <v>0.95660000000000001</v>
      </c>
      <c r="EB424">
        <v>0.95940047860183697</v>
      </c>
      <c r="EC424">
        <v>0.95641329898973204</v>
      </c>
      <c r="ED424">
        <v>0.95582485400998696</v>
      </c>
      <c r="EE424">
        <f>SUM(Table1[[#This Row],[ratio_0]:[ratio_9]])</f>
        <v>640</v>
      </c>
      <c r="EF424" s="1">
        <f>(Table1[[#This Row],[predicted_0]]-Table1[[#This Row],[actual_0]])/Table1[[#This Row],[actual_0]]</f>
        <v>1.8367346938775512E-2</v>
      </c>
      <c r="EG424" s="1">
        <f>(Table1[[#This Row],[predicted_1]]-Table1[[#This Row],[actual_1]])/Table1[[#This Row],[actual_1]]</f>
        <v>6.1674008810572688E-3</v>
      </c>
      <c r="EH424" s="1">
        <f>(Table1[[#This Row],[predicted_2]]-Table1[[#This Row],[actual_2]])/Table1[[#This Row],[actual_2]]</f>
        <v>5.1356589147286823E-2</v>
      </c>
      <c r="EI424" s="1">
        <f>(Table1[[#This Row],[predicted_3]]-Table1[[#This Row],[actual_3]])/Table1[[#This Row],[actual_3]]</f>
        <v>-0.10693069306930693</v>
      </c>
      <c r="EJ424" s="1">
        <f>(Table1[[#This Row],[predicted_4]]-Table1[[#This Row],[actual_4]])/Table1[[#This Row],[actual_4]]</f>
        <v>-2.0366598778004071E-3</v>
      </c>
      <c r="EK424" s="1">
        <f>(Table1[[#This Row],[predicted_5]]-Table1[[#This Row],[actual_5]])/Table1[[#This Row],[actual_5]]</f>
        <v>0.22085201793721973</v>
      </c>
      <c r="EL424" s="1">
        <f>(Table1[[#This Row],[predicted_6]]-Table1[[#This Row],[actual_6]])/Table1[[#This Row],[actual_6]]</f>
        <v>-4.5929018789144051E-2</v>
      </c>
      <c r="EM424" s="1">
        <f>(Table1[[#This Row],[predicted_7]]-Table1[[#This Row],[actual_7]])/Table1[[#This Row],[actual_7]]</f>
        <v>-7.5875486381322951E-2</v>
      </c>
      <c r="EN424" s="1">
        <f>(Table1[[#This Row],[predicted_8]]-Table1[[#This Row],[actual_8]])/Table1[[#This Row],[actual_8]]</f>
        <v>-0.13141683778234087</v>
      </c>
      <c r="EO424" s="1">
        <f>(Table1[[#This Row],[predicted_9]]-Table1[[#This Row],[actual_9]])/Table1[[#This Row],[actual_9]]</f>
        <v>8.424182358771061E-2</v>
      </c>
      <c r="EP424" s="1">
        <f>1+(Table1[[#This Row],[error_ratio_0]]-EF$2)</f>
        <v>1.0163265306122449</v>
      </c>
      <c r="EQ424" s="1">
        <f>1+(Table1[[#This Row],[error_ratio_1]]-EG$2)</f>
        <v>1.0044052863436124</v>
      </c>
      <c r="ER424" s="1">
        <f>1+(Table1[[#This Row],[error_ratio_2]]-EH$2)</f>
        <v>1.056201550387597</v>
      </c>
      <c r="ES424" s="1">
        <f>1+(Table1[[#This Row],[error_ratio_3]]-EI$2)</f>
        <v>0.88316831683168318</v>
      </c>
      <c r="ET424" s="1">
        <f>1+(Table1[[#This Row],[error_ratio_4]]-EJ$2)</f>
        <v>0.9969450101832994</v>
      </c>
      <c r="EU424" s="1">
        <f>1+(Table1[[#This Row],[error_ratio_5]]-EK$2)</f>
        <v>1.2197309417040358</v>
      </c>
      <c r="EV424" s="1">
        <f>1+(Table1[[#This Row],[error_ratio_6]]-EL$2)</f>
        <v>0.9603340292275574</v>
      </c>
      <c r="EW424" s="1">
        <f>1+(Table1[[#This Row],[error_ratio_7]]-EM$2)</f>
        <v>0.9221789883268483</v>
      </c>
      <c r="EX424" s="1">
        <f>1+(Table1[[#This Row],[error_ratio_8]]-EN$2)</f>
        <v>0.87166324435318276</v>
      </c>
      <c r="EY424" s="1">
        <f>1+(Table1[[#This Row],[error_ratio_9]]-EO$2)</f>
        <v>1.0882061446977205</v>
      </c>
    </row>
    <row r="425" spans="1:155" x14ac:dyDescent="0.75">
      <c r="A425">
        <v>10</v>
      </c>
      <c r="B425">
        <v>100</v>
      </c>
      <c r="C425">
        <v>100</v>
      </c>
      <c r="D425">
        <v>10</v>
      </c>
      <c r="E425">
        <v>100</v>
      </c>
      <c r="F425">
        <v>100</v>
      </c>
      <c r="G425">
        <v>10</v>
      </c>
      <c r="H425">
        <v>10</v>
      </c>
      <c r="I425">
        <v>10</v>
      </c>
      <c r="J425">
        <v>100</v>
      </c>
      <c r="K425">
        <v>982</v>
      </c>
      <c r="L425">
        <v>1149</v>
      </c>
      <c r="M425">
        <v>1158</v>
      </c>
      <c r="N425">
        <v>849</v>
      </c>
      <c r="O425">
        <v>1027</v>
      </c>
      <c r="P425">
        <v>935</v>
      </c>
      <c r="Q425">
        <v>916</v>
      </c>
      <c r="R425">
        <v>926</v>
      </c>
      <c r="S425">
        <v>891</v>
      </c>
      <c r="T425">
        <v>1167</v>
      </c>
      <c r="U425">
        <v>980</v>
      </c>
      <c r="V425">
        <v>1135</v>
      </c>
      <c r="W425">
        <v>1032</v>
      </c>
      <c r="X425">
        <v>1010</v>
      </c>
      <c r="Y425">
        <v>982</v>
      </c>
      <c r="Z425">
        <v>892</v>
      </c>
      <c r="AA425">
        <v>958</v>
      </c>
      <c r="AB425">
        <v>1028</v>
      </c>
      <c r="AC425">
        <v>974</v>
      </c>
      <c r="AD425">
        <v>1009</v>
      </c>
      <c r="AE425">
        <v>954</v>
      </c>
      <c r="AF425">
        <v>0</v>
      </c>
      <c r="AG425">
        <v>13</v>
      </c>
      <c r="AH425">
        <v>0</v>
      </c>
      <c r="AI425">
        <v>2</v>
      </c>
      <c r="AJ425">
        <v>1</v>
      </c>
      <c r="AK425">
        <v>2</v>
      </c>
      <c r="AL425">
        <v>2</v>
      </c>
      <c r="AM425">
        <v>2</v>
      </c>
      <c r="AN425">
        <v>4</v>
      </c>
      <c r="AO425">
        <v>0</v>
      </c>
      <c r="AP425">
        <v>1128</v>
      </c>
      <c r="AQ425">
        <v>4</v>
      </c>
      <c r="AR425">
        <v>1</v>
      </c>
      <c r="AS425">
        <v>0</v>
      </c>
      <c r="AT425">
        <v>0</v>
      </c>
      <c r="AU425">
        <v>1</v>
      </c>
      <c r="AV425">
        <v>0</v>
      </c>
      <c r="AW425">
        <v>1</v>
      </c>
      <c r="AX425">
        <v>0</v>
      </c>
      <c r="AY425">
        <v>1</v>
      </c>
      <c r="AZ425">
        <v>0</v>
      </c>
      <c r="BA425">
        <v>1027</v>
      </c>
      <c r="BB425">
        <v>0</v>
      </c>
      <c r="BC425">
        <v>2</v>
      </c>
      <c r="BD425">
        <v>0</v>
      </c>
      <c r="BE425">
        <v>0</v>
      </c>
      <c r="BF425">
        <v>1</v>
      </c>
      <c r="BG425">
        <v>0</v>
      </c>
      <c r="BH425">
        <v>1</v>
      </c>
      <c r="BI425">
        <v>0</v>
      </c>
      <c r="BJ425">
        <v>1</v>
      </c>
      <c r="BK425">
        <v>47</v>
      </c>
      <c r="BL425">
        <v>844</v>
      </c>
      <c r="BM425">
        <v>0</v>
      </c>
      <c r="BN425">
        <v>55</v>
      </c>
      <c r="BO425">
        <v>3</v>
      </c>
      <c r="BP425">
        <v>4</v>
      </c>
      <c r="BQ425">
        <v>4</v>
      </c>
      <c r="BR425">
        <v>52</v>
      </c>
      <c r="BS425">
        <v>0</v>
      </c>
      <c r="BT425">
        <v>1</v>
      </c>
      <c r="BU425">
        <v>0</v>
      </c>
      <c r="BV425">
        <v>0</v>
      </c>
      <c r="BW425">
        <v>968</v>
      </c>
      <c r="BX425">
        <v>0</v>
      </c>
      <c r="BY425">
        <v>0</v>
      </c>
      <c r="BZ425">
        <v>0</v>
      </c>
      <c r="CA425">
        <v>0</v>
      </c>
      <c r="CB425">
        <v>13</v>
      </c>
      <c r="CC425">
        <v>5</v>
      </c>
      <c r="CD425">
        <v>0</v>
      </c>
      <c r="CE425">
        <v>0</v>
      </c>
      <c r="CF425">
        <v>2</v>
      </c>
      <c r="CG425">
        <v>0</v>
      </c>
      <c r="CH425">
        <v>866</v>
      </c>
      <c r="CI425">
        <v>8</v>
      </c>
      <c r="CJ425">
        <v>1</v>
      </c>
      <c r="CK425">
        <v>0</v>
      </c>
      <c r="CL425">
        <v>10</v>
      </c>
      <c r="CM425">
        <v>10</v>
      </c>
      <c r="CN425">
        <v>3</v>
      </c>
      <c r="CO425">
        <v>3</v>
      </c>
      <c r="CP425">
        <v>0</v>
      </c>
      <c r="CQ425">
        <v>38</v>
      </c>
      <c r="CR425">
        <v>5</v>
      </c>
      <c r="CS425">
        <v>898</v>
      </c>
      <c r="CT425">
        <v>0</v>
      </c>
      <c r="CU425">
        <v>1</v>
      </c>
      <c r="CV425">
        <v>0</v>
      </c>
      <c r="CW425">
        <v>1</v>
      </c>
      <c r="CX425">
        <v>10</v>
      </c>
      <c r="CY425">
        <v>42</v>
      </c>
      <c r="CZ425">
        <v>2</v>
      </c>
      <c r="DA425">
        <v>7</v>
      </c>
      <c r="DB425">
        <v>1</v>
      </c>
      <c r="DC425">
        <v>0</v>
      </c>
      <c r="DD425">
        <v>914</v>
      </c>
      <c r="DE425">
        <v>1</v>
      </c>
      <c r="DF425">
        <v>50</v>
      </c>
      <c r="DG425">
        <v>10</v>
      </c>
      <c r="DH425">
        <v>2</v>
      </c>
      <c r="DI425">
        <v>20</v>
      </c>
      <c r="DJ425">
        <v>0</v>
      </c>
      <c r="DK425">
        <v>5</v>
      </c>
      <c r="DL425">
        <v>7</v>
      </c>
      <c r="DM425">
        <v>4</v>
      </c>
      <c r="DN425">
        <v>4</v>
      </c>
      <c r="DO425">
        <v>882</v>
      </c>
      <c r="DP425">
        <v>40</v>
      </c>
      <c r="DQ425">
        <v>1</v>
      </c>
      <c r="DR425">
        <v>4</v>
      </c>
      <c r="DS425">
        <v>2</v>
      </c>
      <c r="DT425">
        <v>0</v>
      </c>
      <c r="DU425">
        <v>5</v>
      </c>
      <c r="DV425">
        <v>0</v>
      </c>
      <c r="DW425">
        <v>0</v>
      </c>
      <c r="DX425">
        <v>0</v>
      </c>
      <c r="DY425">
        <v>0</v>
      </c>
      <c r="DZ425">
        <v>997</v>
      </c>
      <c r="EA425">
        <v>0.94779999999999998</v>
      </c>
      <c r="EB425">
        <v>0.95145656733175299</v>
      </c>
      <c r="EC425">
        <v>0.94748217514954403</v>
      </c>
      <c r="ED425">
        <v>0.94738976666994601</v>
      </c>
      <c r="EE425">
        <f>SUM(Table1[[#This Row],[ratio_0]:[ratio_9]])</f>
        <v>550</v>
      </c>
      <c r="EF425" s="1">
        <f>(Table1[[#This Row],[predicted_0]]-Table1[[#This Row],[actual_0]])/Table1[[#This Row],[actual_0]]</f>
        <v>2.0408163265306124E-3</v>
      </c>
      <c r="EG425" s="1">
        <f>(Table1[[#This Row],[predicted_1]]-Table1[[#This Row],[actual_1]])/Table1[[#This Row],[actual_1]]</f>
        <v>1.2334801762114538E-2</v>
      </c>
      <c r="EH425" s="1">
        <f>(Table1[[#This Row],[predicted_2]]-Table1[[#This Row],[actual_2]])/Table1[[#This Row],[actual_2]]</f>
        <v>0.12209302325581395</v>
      </c>
      <c r="EI425" s="1">
        <f>(Table1[[#This Row],[predicted_3]]-Table1[[#This Row],[actual_3]])/Table1[[#This Row],[actual_3]]</f>
        <v>-0.15940594059405941</v>
      </c>
      <c r="EJ425" s="1">
        <f>(Table1[[#This Row],[predicted_4]]-Table1[[#This Row],[actual_4]])/Table1[[#This Row],[actual_4]]</f>
        <v>4.5824847250509164E-2</v>
      </c>
      <c r="EK425" s="1">
        <f>(Table1[[#This Row],[predicted_5]]-Table1[[#This Row],[actual_5]])/Table1[[#This Row],[actual_5]]</f>
        <v>4.820627802690583E-2</v>
      </c>
      <c r="EL425" s="1">
        <f>(Table1[[#This Row],[predicted_6]]-Table1[[#This Row],[actual_6]])/Table1[[#This Row],[actual_6]]</f>
        <v>-4.3841336116910233E-2</v>
      </c>
      <c r="EM425" s="1">
        <f>(Table1[[#This Row],[predicted_7]]-Table1[[#This Row],[actual_7]])/Table1[[#This Row],[actual_7]]</f>
        <v>-9.9221789883268477E-2</v>
      </c>
      <c r="EN425" s="1">
        <f>(Table1[[#This Row],[predicted_8]]-Table1[[#This Row],[actual_8]])/Table1[[#This Row],[actual_8]]</f>
        <v>-8.5215605749486653E-2</v>
      </c>
      <c r="EO425" s="1">
        <f>(Table1[[#This Row],[predicted_9]]-Table1[[#This Row],[actual_9]])/Table1[[#This Row],[actual_9]]</f>
        <v>0.15659068384539149</v>
      </c>
      <c r="EP425" s="1">
        <f>1+(Table1[[#This Row],[error_ratio_0]]-EF$2)</f>
        <v>1</v>
      </c>
      <c r="EQ425" s="1">
        <f>1+(Table1[[#This Row],[error_ratio_1]]-EG$2)</f>
        <v>1.0105726872246696</v>
      </c>
      <c r="ER425" s="1">
        <f>1+(Table1[[#This Row],[error_ratio_2]]-EH$2)</f>
        <v>1.126937984496124</v>
      </c>
      <c r="ES425" s="1">
        <f>1+(Table1[[#This Row],[error_ratio_3]]-EI$2)</f>
        <v>0.83069306930693065</v>
      </c>
      <c r="ET425" s="1">
        <f>1+(Table1[[#This Row],[error_ratio_4]]-EJ$2)</f>
        <v>1.044806517311609</v>
      </c>
      <c r="EU425" s="1">
        <f>1+(Table1[[#This Row],[error_ratio_5]]-EK$2)</f>
        <v>1.047085201793722</v>
      </c>
      <c r="EV425" s="1">
        <f>1+(Table1[[#This Row],[error_ratio_6]]-EL$2)</f>
        <v>0.9624217118997912</v>
      </c>
      <c r="EW425" s="1">
        <f>1+(Table1[[#This Row],[error_ratio_7]]-EM$2)</f>
        <v>0.89883268482490275</v>
      </c>
      <c r="EX425" s="1">
        <f>1+(Table1[[#This Row],[error_ratio_8]]-EN$2)</f>
        <v>0.91786447638603696</v>
      </c>
      <c r="EY425" s="1">
        <f>1+(Table1[[#This Row],[error_ratio_9]]-EO$2)</f>
        <v>1.1605550049554014</v>
      </c>
    </row>
    <row r="426" spans="1:155" x14ac:dyDescent="0.75">
      <c r="A426">
        <v>100</v>
      </c>
      <c r="B426">
        <v>10</v>
      </c>
      <c r="C426">
        <v>100</v>
      </c>
      <c r="D426">
        <v>10</v>
      </c>
      <c r="E426">
        <v>100</v>
      </c>
      <c r="F426">
        <v>100</v>
      </c>
      <c r="G426">
        <v>10</v>
      </c>
      <c r="H426">
        <v>10</v>
      </c>
      <c r="I426">
        <v>10</v>
      </c>
      <c r="J426">
        <v>100</v>
      </c>
      <c r="K426">
        <v>1029</v>
      </c>
      <c r="L426">
        <v>1099</v>
      </c>
      <c r="M426">
        <v>1070</v>
      </c>
      <c r="N426">
        <v>917</v>
      </c>
      <c r="O426">
        <v>1041</v>
      </c>
      <c r="P426">
        <v>1041</v>
      </c>
      <c r="Q426">
        <v>889</v>
      </c>
      <c r="R426">
        <v>913</v>
      </c>
      <c r="S426">
        <v>814</v>
      </c>
      <c r="T426">
        <v>1187</v>
      </c>
      <c r="U426">
        <v>980</v>
      </c>
      <c r="V426">
        <v>1135</v>
      </c>
      <c r="W426">
        <v>1032</v>
      </c>
      <c r="X426">
        <v>1010</v>
      </c>
      <c r="Y426">
        <v>982</v>
      </c>
      <c r="Z426">
        <v>892</v>
      </c>
      <c r="AA426">
        <v>958</v>
      </c>
      <c r="AB426">
        <v>1028</v>
      </c>
      <c r="AC426">
        <v>974</v>
      </c>
      <c r="AD426">
        <v>1009</v>
      </c>
      <c r="AE426">
        <v>978</v>
      </c>
      <c r="AF426">
        <v>0</v>
      </c>
      <c r="AG426">
        <v>0</v>
      </c>
      <c r="AH426">
        <v>0</v>
      </c>
      <c r="AI426">
        <v>0</v>
      </c>
      <c r="AJ426">
        <v>1</v>
      </c>
      <c r="AK426">
        <v>0</v>
      </c>
      <c r="AL426">
        <v>0</v>
      </c>
      <c r="AM426">
        <v>0</v>
      </c>
      <c r="AN426">
        <v>1</v>
      </c>
      <c r="AO426">
        <v>0</v>
      </c>
      <c r="AP426">
        <v>1092</v>
      </c>
      <c r="AQ426">
        <v>1</v>
      </c>
      <c r="AR426">
        <v>3</v>
      </c>
      <c r="AS426">
        <v>14</v>
      </c>
      <c r="AT426">
        <v>12</v>
      </c>
      <c r="AU426">
        <v>1</v>
      </c>
      <c r="AV426">
        <v>1</v>
      </c>
      <c r="AW426">
        <v>1</v>
      </c>
      <c r="AX426">
        <v>10</v>
      </c>
      <c r="AY426">
        <v>4</v>
      </c>
      <c r="AZ426">
        <v>1</v>
      </c>
      <c r="BA426">
        <v>1019</v>
      </c>
      <c r="BB426">
        <v>0</v>
      </c>
      <c r="BC426">
        <v>3</v>
      </c>
      <c r="BD426">
        <v>0</v>
      </c>
      <c r="BE426">
        <v>0</v>
      </c>
      <c r="BF426">
        <v>3</v>
      </c>
      <c r="BG426">
        <v>0</v>
      </c>
      <c r="BH426">
        <v>2</v>
      </c>
      <c r="BI426">
        <v>1</v>
      </c>
      <c r="BJ426">
        <v>0</v>
      </c>
      <c r="BK426">
        <v>9</v>
      </c>
      <c r="BL426">
        <v>910</v>
      </c>
      <c r="BM426">
        <v>1</v>
      </c>
      <c r="BN426">
        <v>57</v>
      </c>
      <c r="BO426">
        <v>0</v>
      </c>
      <c r="BP426">
        <v>3</v>
      </c>
      <c r="BQ426">
        <v>1</v>
      </c>
      <c r="BR426">
        <v>28</v>
      </c>
      <c r="BS426">
        <v>0</v>
      </c>
      <c r="BT426">
        <v>0</v>
      </c>
      <c r="BU426">
        <v>0</v>
      </c>
      <c r="BV426">
        <v>0</v>
      </c>
      <c r="BW426">
        <v>972</v>
      </c>
      <c r="BX426">
        <v>0</v>
      </c>
      <c r="BY426">
        <v>1</v>
      </c>
      <c r="BZ426">
        <v>0</v>
      </c>
      <c r="CA426">
        <v>0</v>
      </c>
      <c r="CB426">
        <v>9</v>
      </c>
      <c r="CC426">
        <v>0</v>
      </c>
      <c r="CD426">
        <v>0</v>
      </c>
      <c r="CE426">
        <v>0</v>
      </c>
      <c r="CF426">
        <v>1</v>
      </c>
      <c r="CG426">
        <v>0</v>
      </c>
      <c r="CH426">
        <v>886</v>
      </c>
      <c r="CI426">
        <v>1</v>
      </c>
      <c r="CJ426">
        <v>1</v>
      </c>
      <c r="CK426">
        <v>0</v>
      </c>
      <c r="CL426">
        <v>3</v>
      </c>
      <c r="CM426">
        <v>27</v>
      </c>
      <c r="CN426">
        <v>3</v>
      </c>
      <c r="CO426">
        <v>0</v>
      </c>
      <c r="CP426">
        <v>0</v>
      </c>
      <c r="CQ426">
        <v>20</v>
      </c>
      <c r="CR426">
        <v>23</v>
      </c>
      <c r="CS426">
        <v>885</v>
      </c>
      <c r="CT426">
        <v>0</v>
      </c>
      <c r="CU426">
        <v>0</v>
      </c>
      <c r="CV426">
        <v>0</v>
      </c>
      <c r="CW426">
        <v>3</v>
      </c>
      <c r="CX426">
        <v>3</v>
      </c>
      <c r="CY426">
        <v>26</v>
      </c>
      <c r="CZ426">
        <v>2</v>
      </c>
      <c r="DA426">
        <v>9</v>
      </c>
      <c r="DB426">
        <v>2</v>
      </c>
      <c r="DC426">
        <v>0</v>
      </c>
      <c r="DD426">
        <v>900</v>
      </c>
      <c r="DE426">
        <v>0</v>
      </c>
      <c r="DF426">
        <v>83</v>
      </c>
      <c r="DG426">
        <v>14</v>
      </c>
      <c r="DH426">
        <v>0</v>
      </c>
      <c r="DI426">
        <v>15</v>
      </c>
      <c r="DJ426">
        <v>1</v>
      </c>
      <c r="DK426">
        <v>15</v>
      </c>
      <c r="DL426">
        <v>58</v>
      </c>
      <c r="DM426">
        <v>1</v>
      </c>
      <c r="DN426">
        <v>5</v>
      </c>
      <c r="DO426">
        <v>812</v>
      </c>
      <c r="DP426">
        <v>53</v>
      </c>
      <c r="DQ426">
        <v>2</v>
      </c>
      <c r="DR426">
        <v>0</v>
      </c>
      <c r="DS426">
        <v>0</v>
      </c>
      <c r="DT426">
        <v>0</v>
      </c>
      <c r="DU426">
        <v>7</v>
      </c>
      <c r="DV426">
        <v>2</v>
      </c>
      <c r="DW426">
        <v>0</v>
      </c>
      <c r="DX426">
        <v>0</v>
      </c>
      <c r="DY426">
        <v>0</v>
      </c>
      <c r="DZ426">
        <v>998</v>
      </c>
      <c r="EA426">
        <v>0.94520000000000004</v>
      </c>
      <c r="EB426">
        <v>0.94931728879900101</v>
      </c>
      <c r="EC426">
        <v>0.94536168095310102</v>
      </c>
      <c r="ED426">
        <v>0.94457928118901302</v>
      </c>
      <c r="EE426">
        <f>SUM(Table1[[#This Row],[ratio_0]:[ratio_9]])</f>
        <v>550</v>
      </c>
      <c r="EF426" s="1">
        <f>(Table1[[#This Row],[predicted_0]]-Table1[[#This Row],[actual_0]])/Table1[[#This Row],[actual_0]]</f>
        <v>0.05</v>
      </c>
      <c r="EG426" s="1">
        <f>(Table1[[#This Row],[predicted_1]]-Table1[[#This Row],[actual_1]])/Table1[[#This Row],[actual_1]]</f>
        <v>-3.1718061674008813E-2</v>
      </c>
      <c r="EH426" s="1">
        <f>(Table1[[#This Row],[predicted_2]]-Table1[[#This Row],[actual_2]])/Table1[[#This Row],[actual_2]]</f>
        <v>3.6821705426356592E-2</v>
      </c>
      <c r="EI426" s="1">
        <f>(Table1[[#This Row],[predicted_3]]-Table1[[#This Row],[actual_3]])/Table1[[#This Row],[actual_3]]</f>
        <v>-9.2079207920792078E-2</v>
      </c>
      <c r="EJ426" s="1">
        <f>(Table1[[#This Row],[predicted_4]]-Table1[[#This Row],[actual_4]])/Table1[[#This Row],[actual_4]]</f>
        <v>6.008146639511202E-2</v>
      </c>
      <c r="EK426" s="1">
        <f>(Table1[[#This Row],[predicted_5]]-Table1[[#This Row],[actual_5]])/Table1[[#This Row],[actual_5]]</f>
        <v>0.16704035874439463</v>
      </c>
      <c r="EL426" s="1">
        <f>(Table1[[#This Row],[predicted_6]]-Table1[[#This Row],[actual_6]])/Table1[[#This Row],[actual_6]]</f>
        <v>-7.2025052192066799E-2</v>
      </c>
      <c r="EM426" s="1">
        <f>(Table1[[#This Row],[predicted_7]]-Table1[[#This Row],[actual_7]])/Table1[[#This Row],[actual_7]]</f>
        <v>-0.11186770428015565</v>
      </c>
      <c r="EN426" s="1">
        <f>(Table1[[#This Row],[predicted_8]]-Table1[[#This Row],[actual_8]])/Table1[[#This Row],[actual_8]]</f>
        <v>-0.16427104722792607</v>
      </c>
      <c r="EO426" s="1">
        <f>(Table1[[#This Row],[predicted_9]]-Table1[[#This Row],[actual_9]])/Table1[[#This Row],[actual_9]]</f>
        <v>0.17641228939544104</v>
      </c>
      <c r="EP426" s="1">
        <f>1+(Table1[[#This Row],[error_ratio_0]]-EF$2)</f>
        <v>1.0479591836734694</v>
      </c>
      <c r="EQ426" s="1">
        <f>1+(Table1[[#This Row],[error_ratio_1]]-EG$2)</f>
        <v>0.96651982378854628</v>
      </c>
      <c r="ER426" s="1">
        <f>1+(Table1[[#This Row],[error_ratio_2]]-EH$2)</f>
        <v>1.0416666666666667</v>
      </c>
      <c r="ES426" s="1">
        <f>1+(Table1[[#This Row],[error_ratio_3]]-EI$2)</f>
        <v>0.89801980198019804</v>
      </c>
      <c r="ET426" s="1">
        <f>1+(Table1[[#This Row],[error_ratio_4]]-EJ$2)</f>
        <v>1.0590631364562118</v>
      </c>
      <c r="EU426" s="1">
        <f>1+(Table1[[#This Row],[error_ratio_5]]-EK$2)</f>
        <v>1.1659192825112108</v>
      </c>
      <c r="EV426" s="1">
        <f>1+(Table1[[#This Row],[error_ratio_6]]-EL$2)</f>
        <v>0.93423799582463463</v>
      </c>
      <c r="EW426" s="1">
        <f>1+(Table1[[#This Row],[error_ratio_7]]-EM$2)</f>
        <v>0.88618677042801552</v>
      </c>
      <c r="EX426" s="1">
        <f>1+(Table1[[#This Row],[error_ratio_8]]-EN$2)</f>
        <v>0.83880903490759751</v>
      </c>
      <c r="EY426" s="1">
        <f>1+(Table1[[#This Row],[error_ratio_9]]-EO$2)</f>
        <v>1.180376610505451</v>
      </c>
    </row>
    <row r="427" spans="1:155" x14ac:dyDescent="0.75">
      <c r="A427">
        <v>10</v>
      </c>
      <c r="B427">
        <v>10</v>
      </c>
      <c r="C427">
        <v>100</v>
      </c>
      <c r="D427">
        <v>10</v>
      </c>
      <c r="E427">
        <v>100</v>
      </c>
      <c r="F427">
        <v>100</v>
      </c>
      <c r="G427">
        <v>10</v>
      </c>
      <c r="H427">
        <v>10</v>
      </c>
      <c r="I427">
        <v>10</v>
      </c>
      <c r="J427">
        <v>100</v>
      </c>
      <c r="K427">
        <v>974</v>
      </c>
      <c r="L427">
        <v>1118</v>
      </c>
      <c r="M427">
        <v>1087</v>
      </c>
      <c r="N427">
        <v>1083</v>
      </c>
      <c r="O427">
        <v>1008</v>
      </c>
      <c r="P427">
        <v>899</v>
      </c>
      <c r="Q427">
        <v>921</v>
      </c>
      <c r="R427">
        <v>999</v>
      </c>
      <c r="S427">
        <v>861</v>
      </c>
      <c r="T427">
        <v>1050</v>
      </c>
      <c r="U427">
        <v>980</v>
      </c>
      <c r="V427">
        <v>1135</v>
      </c>
      <c r="W427">
        <v>1032</v>
      </c>
      <c r="X427">
        <v>1010</v>
      </c>
      <c r="Y427">
        <v>982</v>
      </c>
      <c r="Z427">
        <v>892</v>
      </c>
      <c r="AA427">
        <v>958</v>
      </c>
      <c r="AB427">
        <v>1028</v>
      </c>
      <c r="AC427">
        <v>974</v>
      </c>
      <c r="AD427">
        <v>1009</v>
      </c>
      <c r="AE427">
        <v>961</v>
      </c>
      <c r="AF427">
        <v>0</v>
      </c>
      <c r="AG427">
        <v>9</v>
      </c>
      <c r="AH427">
        <v>1</v>
      </c>
      <c r="AI427">
        <v>1</v>
      </c>
      <c r="AJ427">
        <v>1</v>
      </c>
      <c r="AK427">
        <v>1</v>
      </c>
      <c r="AL427">
        <v>2</v>
      </c>
      <c r="AM427">
        <v>1</v>
      </c>
      <c r="AN427">
        <v>3</v>
      </c>
      <c r="AO427">
        <v>0</v>
      </c>
      <c r="AP427">
        <v>1111</v>
      </c>
      <c r="AQ427">
        <v>4</v>
      </c>
      <c r="AR427">
        <v>12</v>
      </c>
      <c r="AS427">
        <v>0</v>
      </c>
      <c r="AT427">
        <v>0</v>
      </c>
      <c r="AU427">
        <v>0</v>
      </c>
      <c r="AV427">
        <v>0</v>
      </c>
      <c r="AW427">
        <v>0</v>
      </c>
      <c r="AX427">
        <v>8</v>
      </c>
      <c r="AY427">
        <v>0</v>
      </c>
      <c r="AZ427">
        <v>0</v>
      </c>
      <c r="BA427">
        <v>1019</v>
      </c>
      <c r="BB427">
        <v>1</v>
      </c>
      <c r="BC427">
        <v>6</v>
      </c>
      <c r="BD427">
        <v>0</v>
      </c>
      <c r="BE427">
        <v>0</v>
      </c>
      <c r="BF427">
        <v>6</v>
      </c>
      <c r="BG427">
        <v>0</v>
      </c>
      <c r="BH427">
        <v>0</v>
      </c>
      <c r="BI427">
        <v>0</v>
      </c>
      <c r="BJ427">
        <v>0</v>
      </c>
      <c r="BK427">
        <v>5</v>
      </c>
      <c r="BL427">
        <v>994</v>
      </c>
      <c r="BM427">
        <v>0</v>
      </c>
      <c r="BN427">
        <v>4</v>
      </c>
      <c r="BO427">
        <v>0</v>
      </c>
      <c r="BP427">
        <v>5</v>
      </c>
      <c r="BQ427">
        <v>0</v>
      </c>
      <c r="BR427">
        <v>2</v>
      </c>
      <c r="BS427">
        <v>0</v>
      </c>
      <c r="BT427">
        <v>0</v>
      </c>
      <c r="BU427">
        <v>0</v>
      </c>
      <c r="BV427">
        <v>0</v>
      </c>
      <c r="BW427">
        <v>974</v>
      </c>
      <c r="BX427">
        <v>0</v>
      </c>
      <c r="BY427">
        <v>0</v>
      </c>
      <c r="BZ427">
        <v>0</v>
      </c>
      <c r="CA427">
        <v>0</v>
      </c>
      <c r="CB427">
        <v>8</v>
      </c>
      <c r="CC427">
        <v>1</v>
      </c>
      <c r="CD427">
        <v>0</v>
      </c>
      <c r="CE427">
        <v>1</v>
      </c>
      <c r="CF427">
        <v>14</v>
      </c>
      <c r="CG427">
        <v>0</v>
      </c>
      <c r="CH427">
        <v>874</v>
      </c>
      <c r="CI427">
        <v>1</v>
      </c>
      <c r="CJ427">
        <v>1</v>
      </c>
      <c r="CK427">
        <v>0</v>
      </c>
      <c r="CL427">
        <v>0</v>
      </c>
      <c r="CM427">
        <v>5</v>
      </c>
      <c r="CN427">
        <v>5</v>
      </c>
      <c r="CO427">
        <v>2</v>
      </c>
      <c r="CP427">
        <v>1</v>
      </c>
      <c r="CQ427">
        <v>18</v>
      </c>
      <c r="CR427">
        <v>9</v>
      </c>
      <c r="CS427">
        <v>916</v>
      </c>
      <c r="CT427">
        <v>0</v>
      </c>
      <c r="CU427">
        <v>1</v>
      </c>
      <c r="CV427">
        <v>1</v>
      </c>
      <c r="CW427">
        <v>1</v>
      </c>
      <c r="CX427">
        <v>2</v>
      </c>
      <c r="CY427">
        <v>13</v>
      </c>
      <c r="CZ427">
        <v>13</v>
      </c>
      <c r="DA427">
        <v>2</v>
      </c>
      <c r="DB427">
        <v>0</v>
      </c>
      <c r="DC427">
        <v>0</v>
      </c>
      <c r="DD427">
        <v>975</v>
      </c>
      <c r="DE427">
        <v>1</v>
      </c>
      <c r="DF427">
        <v>21</v>
      </c>
      <c r="DG427">
        <v>6</v>
      </c>
      <c r="DH427">
        <v>0</v>
      </c>
      <c r="DI427">
        <v>33</v>
      </c>
      <c r="DJ427">
        <v>42</v>
      </c>
      <c r="DK427">
        <v>3</v>
      </c>
      <c r="DL427">
        <v>9</v>
      </c>
      <c r="DM427">
        <v>3</v>
      </c>
      <c r="DN427">
        <v>7</v>
      </c>
      <c r="DO427">
        <v>858</v>
      </c>
      <c r="DP427">
        <v>13</v>
      </c>
      <c r="DQ427">
        <v>0</v>
      </c>
      <c r="DR427">
        <v>0</v>
      </c>
      <c r="DS427">
        <v>1</v>
      </c>
      <c r="DT427">
        <v>5</v>
      </c>
      <c r="DU427">
        <v>4</v>
      </c>
      <c r="DV427">
        <v>2</v>
      </c>
      <c r="DW427">
        <v>0</v>
      </c>
      <c r="DX427">
        <v>3</v>
      </c>
      <c r="DY427">
        <v>0</v>
      </c>
      <c r="DZ427">
        <v>994</v>
      </c>
      <c r="EA427">
        <v>0.96760000000000002</v>
      </c>
      <c r="EB427">
        <v>0.96878457723898204</v>
      </c>
      <c r="EC427">
        <v>0.96733419056037295</v>
      </c>
      <c r="ED427">
        <v>0.96740232685262795</v>
      </c>
      <c r="EE427">
        <f>SUM(Table1[[#This Row],[ratio_0]:[ratio_9]])</f>
        <v>460</v>
      </c>
      <c r="EF427" s="1">
        <f>(Table1[[#This Row],[predicted_0]]-Table1[[#This Row],[actual_0]])/Table1[[#This Row],[actual_0]]</f>
        <v>-6.1224489795918364E-3</v>
      </c>
      <c r="EG427" s="1">
        <f>(Table1[[#This Row],[predicted_1]]-Table1[[#This Row],[actual_1]])/Table1[[#This Row],[actual_1]]</f>
        <v>-1.4977973568281937E-2</v>
      </c>
      <c r="EH427" s="1">
        <f>(Table1[[#This Row],[predicted_2]]-Table1[[#This Row],[actual_2]])/Table1[[#This Row],[actual_2]]</f>
        <v>5.329457364341085E-2</v>
      </c>
      <c r="EI427" s="1">
        <f>(Table1[[#This Row],[predicted_3]]-Table1[[#This Row],[actual_3]])/Table1[[#This Row],[actual_3]]</f>
        <v>7.2277227722772272E-2</v>
      </c>
      <c r="EJ427" s="1">
        <f>(Table1[[#This Row],[predicted_4]]-Table1[[#This Row],[actual_4]])/Table1[[#This Row],[actual_4]]</f>
        <v>2.6476578411405296E-2</v>
      </c>
      <c r="EK427" s="1">
        <f>(Table1[[#This Row],[predicted_5]]-Table1[[#This Row],[actual_5]])/Table1[[#This Row],[actual_5]]</f>
        <v>7.8475336322869956E-3</v>
      </c>
      <c r="EL427" s="1">
        <f>(Table1[[#This Row],[predicted_6]]-Table1[[#This Row],[actual_6]])/Table1[[#This Row],[actual_6]]</f>
        <v>-3.8622129436325675E-2</v>
      </c>
      <c r="EM427" s="1">
        <f>(Table1[[#This Row],[predicted_7]]-Table1[[#This Row],[actual_7]])/Table1[[#This Row],[actual_7]]</f>
        <v>-2.821011673151751E-2</v>
      </c>
      <c r="EN427" s="1">
        <f>(Table1[[#This Row],[predicted_8]]-Table1[[#This Row],[actual_8]])/Table1[[#This Row],[actual_8]]</f>
        <v>-0.11601642710472279</v>
      </c>
      <c r="EO427" s="1">
        <f>(Table1[[#This Row],[predicted_9]]-Table1[[#This Row],[actual_9]])/Table1[[#This Row],[actual_9]]</f>
        <v>4.0634291377601585E-2</v>
      </c>
      <c r="EP427" s="1">
        <f>1+(Table1[[#This Row],[error_ratio_0]]-EF$2)</f>
        <v>0.99183673469387756</v>
      </c>
      <c r="EQ427" s="1">
        <f>1+(Table1[[#This Row],[error_ratio_1]]-EG$2)</f>
        <v>0.98325991189427309</v>
      </c>
      <c r="ER427" s="1">
        <f>1+(Table1[[#This Row],[error_ratio_2]]-EH$2)</f>
        <v>1.058139534883721</v>
      </c>
      <c r="ES427" s="1">
        <f>1+(Table1[[#This Row],[error_ratio_3]]-EI$2)</f>
        <v>1.0623762376237624</v>
      </c>
      <c r="ET427" s="1">
        <f>1+(Table1[[#This Row],[error_ratio_4]]-EJ$2)</f>
        <v>1.025458248472505</v>
      </c>
      <c r="EU427" s="1">
        <f>1+(Table1[[#This Row],[error_ratio_5]]-EK$2)</f>
        <v>1.006726457399103</v>
      </c>
      <c r="EV427" s="1">
        <f>1+(Table1[[#This Row],[error_ratio_6]]-EL$2)</f>
        <v>0.96764091858037582</v>
      </c>
      <c r="EW427" s="1">
        <f>1+(Table1[[#This Row],[error_ratio_7]]-EM$2)</f>
        <v>0.96984435797665369</v>
      </c>
      <c r="EX427" s="1">
        <f>1+(Table1[[#This Row],[error_ratio_8]]-EN$2)</f>
        <v>0.88706365503080087</v>
      </c>
      <c r="EY427" s="1">
        <f>1+(Table1[[#This Row],[error_ratio_9]]-EO$2)</f>
        <v>1.0445986124876114</v>
      </c>
    </row>
    <row r="428" spans="1:155" x14ac:dyDescent="0.75">
      <c r="A428">
        <v>100</v>
      </c>
      <c r="B428">
        <v>100</v>
      </c>
      <c r="C428">
        <v>10</v>
      </c>
      <c r="D428">
        <v>10</v>
      </c>
      <c r="E428">
        <v>100</v>
      </c>
      <c r="F428">
        <v>100</v>
      </c>
      <c r="G428">
        <v>10</v>
      </c>
      <c r="H428">
        <v>10</v>
      </c>
      <c r="I428">
        <v>10</v>
      </c>
      <c r="J428">
        <v>100</v>
      </c>
      <c r="K428">
        <v>1006</v>
      </c>
      <c r="L428">
        <v>1177</v>
      </c>
      <c r="M428">
        <v>1062</v>
      </c>
      <c r="N428">
        <v>955</v>
      </c>
      <c r="O428">
        <v>1002</v>
      </c>
      <c r="P428">
        <v>983</v>
      </c>
      <c r="Q428">
        <v>892</v>
      </c>
      <c r="R428">
        <v>971</v>
      </c>
      <c r="S428">
        <v>843</v>
      </c>
      <c r="T428">
        <v>1109</v>
      </c>
      <c r="U428">
        <v>980</v>
      </c>
      <c r="V428">
        <v>1135</v>
      </c>
      <c r="W428">
        <v>1032</v>
      </c>
      <c r="X428">
        <v>1010</v>
      </c>
      <c r="Y428">
        <v>982</v>
      </c>
      <c r="Z428">
        <v>892</v>
      </c>
      <c r="AA428">
        <v>958</v>
      </c>
      <c r="AB428">
        <v>1028</v>
      </c>
      <c r="AC428">
        <v>974</v>
      </c>
      <c r="AD428">
        <v>1009</v>
      </c>
      <c r="AE428">
        <v>967</v>
      </c>
      <c r="AF428">
        <v>1</v>
      </c>
      <c r="AG428">
        <v>1</v>
      </c>
      <c r="AH428">
        <v>0</v>
      </c>
      <c r="AI428">
        <v>0</v>
      </c>
      <c r="AJ428">
        <v>3</v>
      </c>
      <c r="AK428">
        <v>1</v>
      </c>
      <c r="AL428">
        <v>3</v>
      </c>
      <c r="AM428">
        <v>0</v>
      </c>
      <c r="AN428">
        <v>4</v>
      </c>
      <c r="AO428">
        <v>0</v>
      </c>
      <c r="AP428">
        <v>1134</v>
      </c>
      <c r="AQ428">
        <v>0</v>
      </c>
      <c r="AR428">
        <v>0</v>
      </c>
      <c r="AS428">
        <v>0</v>
      </c>
      <c r="AT428">
        <v>0</v>
      </c>
      <c r="AU428">
        <v>0</v>
      </c>
      <c r="AV428">
        <v>0</v>
      </c>
      <c r="AW428">
        <v>0</v>
      </c>
      <c r="AX428">
        <v>1</v>
      </c>
      <c r="AY428">
        <v>6</v>
      </c>
      <c r="AZ428">
        <v>13</v>
      </c>
      <c r="BA428">
        <v>986</v>
      </c>
      <c r="BB428">
        <v>1</v>
      </c>
      <c r="BC428">
        <v>8</v>
      </c>
      <c r="BD428">
        <v>0</v>
      </c>
      <c r="BE428">
        <v>0</v>
      </c>
      <c r="BF428">
        <v>13</v>
      </c>
      <c r="BG428">
        <v>1</v>
      </c>
      <c r="BH428">
        <v>4</v>
      </c>
      <c r="BI428">
        <v>0</v>
      </c>
      <c r="BJ428">
        <v>3</v>
      </c>
      <c r="BK428">
        <v>15</v>
      </c>
      <c r="BL428">
        <v>938</v>
      </c>
      <c r="BM428">
        <v>0</v>
      </c>
      <c r="BN428">
        <v>38</v>
      </c>
      <c r="BO428">
        <v>0</v>
      </c>
      <c r="BP428">
        <v>5</v>
      </c>
      <c r="BQ428">
        <v>1</v>
      </c>
      <c r="BR428">
        <v>10</v>
      </c>
      <c r="BS428">
        <v>0</v>
      </c>
      <c r="BT428">
        <v>0</v>
      </c>
      <c r="BU428">
        <v>0</v>
      </c>
      <c r="BV428">
        <v>0</v>
      </c>
      <c r="BW428">
        <v>964</v>
      </c>
      <c r="BX428">
        <v>0</v>
      </c>
      <c r="BY428">
        <v>0</v>
      </c>
      <c r="BZ428">
        <v>0</v>
      </c>
      <c r="CA428">
        <v>0</v>
      </c>
      <c r="CB428">
        <v>18</v>
      </c>
      <c r="CC428">
        <v>0</v>
      </c>
      <c r="CD428">
        <v>2</v>
      </c>
      <c r="CE428">
        <v>1</v>
      </c>
      <c r="CF428">
        <v>0</v>
      </c>
      <c r="CG428">
        <v>0</v>
      </c>
      <c r="CH428">
        <v>888</v>
      </c>
      <c r="CI428">
        <v>1</v>
      </c>
      <c r="CJ428">
        <v>0</v>
      </c>
      <c r="CK428">
        <v>0</v>
      </c>
      <c r="CL428">
        <v>0</v>
      </c>
      <c r="CM428">
        <v>21</v>
      </c>
      <c r="CN428">
        <v>6</v>
      </c>
      <c r="CO428">
        <v>6</v>
      </c>
      <c r="CP428">
        <v>0</v>
      </c>
      <c r="CQ428">
        <v>22</v>
      </c>
      <c r="CR428">
        <v>15</v>
      </c>
      <c r="CS428">
        <v>887</v>
      </c>
      <c r="CT428">
        <v>0</v>
      </c>
      <c r="CU428">
        <v>1</v>
      </c>
      <c r="CV428">
        <v>0</v>
      </c>
      <c r="CW428">
        <v>1</v>
      </c>
      <c r="CX428">
        <v>11</v>
      </c>
      <c r="CY428">
        <v>14</v>
      </c>
      <c r="CZ428">
        <v>1</v>
      </c>
      <c r="DA428">
        <v>4</v>
      </c>
      <c r="DB428">
        <v>3</v>
      </c>
      <c r="DC428">
        <v>0</v>
      </c>
      <c r="DD428">
        <v>938</v>
      </c>
      <c r="DE428">
        <v>0</v>
      </c>
      <c r="DF428">
        <v>56</v>
      </c>
      <c r="DG428">
        <v>11</v>
      </c>
      <c r="DH428">
        <v>5</v>
      </c>
      <c r="DI428">
        <v>38</v>
      </c>
      <c r="DJ428">
        <v>12</v>
      </c>
      <c r="DK428">
        <v>3</v>
      </c>
      <c r="DL428">
        <v>33</v>
      </c>
      <c r="DM428">
        <v>3</v>
      </c>
      <c r="DN428">
        <v>12</v>
      </c>
      <c r="DO428">
        <v>840</v>
      </c>
      <c r="DP428">
        <v>17</v>
      </c>
      <c r="DQ428">
        <v>0</v>
      </c>
      <c r="DR428">
        <v>2</v>
      </c>
      <c r="DS428">
        <v>1</v>
      </c>
      <c r="DT428">
        <v>3</v>
      </c>
      <c r="DU428">
        <v>1</v>
      </c>
      <c r="DV428">
        <v>3</v>
      </c>
      <c r="DW428">
        <v>0</v>
      </c>
      <c r="DX428">
        <v>0</v>
      </c>
      <c r="DY428">
        <v>0</v>
      </c>
      <c r="DZ428">
        <v>999</v>
      </c>
      <c r="EA428">
        <v>0.95409999999999995</v>
      </c>
      <c r="EB428">
        <v>0.95584296873679098</v>
      </c>
      <c r="EC428">
        <v>0.95380294428271495</v>
      </c>
      <c r="ED428">
        <v>0.95355373681224698</v>
      </c>
      <c r="EE428">
        <f>SUM(Table1[[#This Row],[ratio_0]:[ratio_9]])</f>
        <v>550</v>
      </c>
      <c r="EF428" s="1">
        <f>(Table1[[#This Row],[predicted_0]]-Table1[[#This Row],[actual_0]])/Table1[[#This Row],[actual_0]]</f>
        <v>2.6530612244897958E-2</v>
      </c>
      <c r="EG428" s="1">
        <f>(Table1[[#This Row],[predicted_1]]-Table1[[#This Row],[actual_1]])/Table1[[#This Row],[actual_1]]</f>
        <v>3.7004405286343613E-2</v>
      </c>
      <c r="EH428" s="1">
        <f>(Table1[[#This Row],[predicted_2]]-Table1[[#This Row],[actual_2]])/Table1[[#This Row],[actual_2]]</f>
        <v>2.9069767441860465E-2</v>
      </c>
      <c r="EI428" s="1">
        <f>(Table1[[#This Row],[predicted_3]]-Table1[[#This Row],[actual_3]])/Table1[[#This Row],[actual_3]]</f>
        <v>-5.4455445544554455E-2</v>
      </c>
      <c r="EJ428" s="1">
        <f>(Table1[[#This Row],[predicted_4]]-Table1[[#This Row],[actual_4]])/Table1[[#This Row],[actual_4]]</f>
        <v>2.0366598778004074E-2</v>
      </c>
      <c r="EK428" s="1">
        <f>(Table1[[#This Row],[predicted_5]]-Table1[[#This Row],[actual_5]])/Table1[[#This Row],[actual_5]]</f>
        <v>0.10201793721973094</v>
      </c>
      <c r="EL428" s="1">
        <f>(Table1[[#This Row],[predicted_6]]-Table1[[#This Row],[actual_6]])/Table1[[#This Row],[actual_6]]</f>
        <v>-6.889352818371608E-2</v>
      </c>
      <c r="EM428" s="1">
        <f>(Table1[[#This Row],[predicted_7]]-Table1[[#This Row],[actual_7]])/Table1[[#This Row],[actual_7]]</f>
        <v>-5.544747081712062E-2</v>
      </c>
      <c r="EN428" s="1">
        <f>(Table1[[#This Row],[predicted_8]]-Table1[[#This Row],[actual_8]])/Table1[[#This Row],[actual_8]]</f>
        <v>-0.13449691991786447</v>
      </c>
      <c r="EO428" s="1">
        <f>(Table1[[#This Row],[predicted_9]]-Table1[[#This Row],[actual_9]])/Table1[[#This Row],[actual_9]]</f>
        <v>9.9108027750247768E-2</v>
      </c>
      <c r="EP428" s="1">
        <f>1+(Table1[[#This Row],[error_ratio_0]]-EF$2)</f>
        <v>1.0244897959183674</v>
      </c>
      <c r="EQ428" s="1">
        <f>1+(Table1[[#This Row],[error_ratio_1]]-EG$2)</f>
        <v>1.0352422907488987</v>
      </c>
      <c r="ER428" s="1">
        <f>1+(Table1[[#This Row],[error_ratio_2]]-EH$2)</f>
        <v>1.0339147286821706</v>
      </c>
      <c r="ES428" s="1">
        <f>1+(Table1[[#This Row],[error_ratio_3]]-EI$2)</f>
        <v>0.93564356435643559</v>
      </c>
      <c r="ET428" s="1">
        <f>1+(Table1[[#This Row],[error_ratio_4]]-EJ$2)</f>
        <v>1.0193482688391038</v>
      </c>
      <c r="EU428" s="1">
        <f>1+(Table1[[#This Row],[error_ratio_5]]-EK$2)</f>
        <v>1.100896860986547</v>
      </c>
      <c r="EV428" s="1">
        <f>1+(Table1[[#This Row],[error_ratio_6]]-EL$2)</f>
        <v>0.93736951983298544</v>
      </c>
      <c r="EW428" s="1">
        <f>1+(Table1[[#This Row],[error_ratio_7]]-EM$2)</f>
        <v>0.94260700389105057</v>
      </c>
      <c r="EX428" s="1">
        <f>1+(Table1[[#This Row],[error_ratio_8]]-EN$2)</f>
        <v>0.86858316221765919</v>
      </c>
      <c r="EY428" s="1">
        <f>1+(Table1[[#This Row],[error_ratio_9]]-EO$2)</f>
        <v>1.1030723488602576</v>
      </c>
    </row>
    <row r="429" spans="1:155" x14ac:dyDescent="0.75">
      <c r="A429">
        <v>10</v>
      </c>
      <c r="B429">
        <v>100</v>
      </c>
      <c r="C429">
        <v>10</v>
      </c>
      <c r="D429">
        <v>10</v>
      </c>
      <c r="E429">
        <v>100</v>
      </c>
      <c r="F429">
        <v>100</v>
      </c>
      <c r="G429">
        <v>10</v>
      </c>
      <c r="H429">
        <v>10</v>
      </c>
      <c r="I429">
        <v>10</v>
      </c>
      <c r="J429">
        <v>100</v>
      </c>
      <c r="K429">
        <v>954</v>
      </c>
      <c r="L429">
        <v>1135</v>
      </c>
      <c r="M429">
        <v>1005</v>
      </c>
      <c r="N429">
        <v>908</v>
      </c>
      <c r="O429">
        <v>1019</v>
      </c>
      <c r="P429">
        <v>943</v>
      </c>
      <c r="Q429">
        <v>946</v>
      </c>
      <c r="R429">
        <v>981</v>
      </c>
      <c r="S429">
        <v>1076</v>
      </c>
      <c r="T429">
        <v>1033</v>
      </c>
      <c r="U429">
        <v>980</v>
      </c>
      <c r="V429">
        <v>1135</v>
      </c>
      <c r="W429">
        <v>1032</v>
      </c>
      <c r="X429">
        <v>1010</v>
      </c>
      <c r="Y429">
        <v>982</v>
      </c>
      <c r="Z429">
        <v>892</v>
      </c>
      <c r="AA429">
        <v>958</v>
      </c>
      <c r="AB429">
        <v>1028</v>
      </c>
      <c r="AC429">
        <v>974</v>
      </c>
      <c r="AD429">
        <v>1009</v>
      </c>
      <c r="AE429">
        <v>940</v>
      </c>
      <c r="AF429">
        <v>0</v>
      </c>
      <c r="AG429">
        <v>1</v>
      </c>
      <c r="AH429">
        <v>0</v>
      </c>
      <c r="AI429">
        <v>2</v>
      </c>
      <c r="AJ429">
        <v>13</v>
      </c>
      <c r="AK429">
        <v>12</v>
      </c>
      <c r="AL429">
        <v>1</v>
      </c>
      <c r="AM429">
        <v>9</v>
      </c>
      <c r="AN429">
        <v>2</v>
      </c>
      <c r="AO429">
        <v>0</v>
      </c>
      <c r="AP429">
        <v>1124</v>
      </c>
      <c r="AQ429">
        <v>1</v>
      </c>
      <c r="AR429">
        <v>0</v>
      </c>
      <c r="AS429">
        <v>1</v>
      </c>
      <c r="AT429">
        <v>1</v>
      </c>
      <c r="AU429">
        <v>1</v>
      </c>
      <c r="AV429">
        <v>1</v>
      </c>
      <c r="AW429">
        <v>6</v>
      </c>
      <c r="AX429">
        <v>0</v>
      </c>
      <c r="AY429">
        <v>3</v>
      </c>
      <c r="AZ429">
        <v>2</v>
      </c>
      <c r="BA429">
        <v>979</v>
      </c>
      <c r="BB429">
        <v>4</v>
      </c>
      <c r="BC429">
        <v>7</v>
      </c>
      <c r="BD429">
        <v>1</v>
      </c>
      <c r="BE429">
        <v>2</v>
      </c>
      <c r="BF429">
        <v>14</v>
      </c>
      <c r="BG429">
        <v>19</v>
      </c>
      <c r="BH429">
        <v>1</v>
      </c>
      <c r="BI429">
        <v>1</v>
      </c>
      <c r="BJ429">
        <v>0</v>
      </c>
      <c r="BK429">
        <v>7</v>
      </c>
      <c r="BL429">
        <v>901</v>
      </c>
      <c r="BM429">
        <v>0</v>
      </c>
      <c r="BN429">
        <v>30</v>
      </c>
      <c r="BO429">
        <v>2</v>
      </c>
      <c r="BP429">
        <v>4</v>
      </c>
      <c r="BQ429">
        <v>60</v>
      </c>
      <c r="BR429">
        <v>5</v>
      </c>
      <c r="BS429">
        <v>0</v>
      </c>
      <c r="BT429">
        <v>0</v>
      </c>
      <c r="BU429">
        <v>0</v>
      </c>
      <c r="BV429">
        <v>0</v>
      </c>
      <c r="BW429">
        <v>975</v>
      </c>
      <c r="BX429">
        <v>0</v>
      </c>
      <c r="BY429">
        <v>0</v>
      </c>
      <c r="BZ429">
        <v>0</v>
      </c>
      <c r="CA429">
        <v>0</v>
      </c>
      <c r="CB429">
        <v>7</v>
      </c>
      <c r="CC429">
        <v>1</v>
      </c>
      <c r="CD429">
        <v>0</v>
      </c>
      <c r="CE429">
        <v>0</v>
      </c>
      <c r="CF429">
        <v>0</v>
      </c>
      <c r="CG429">
        <v>0</v>
      </c>
      <c r="CH429">
        <v>875</v>
      </c>
      <c r="CI429">
        <v>9</v>
      </c>
      <c r="CJ429">
        <v>1</v>
      </c>
      <c r="CK429">
        <v>6</v>
      </c>
      <c r="CL429">
        <v>0</v>
      </c>
      <c r="CM429">
        <v>4</v>
      </c>
      <c r="CN429">
        <v>3</v>
      </c>
      <c r="CO429">
        <v>0</v>
      </c>
      <c r="CP429">
        <v>0</v>
      </c>
      <c r="CQ429">
        <v>18</v>
      </c>
      <c r="CR429">
        <v>9</v>
      </c>
      <c r="CS429">
        <v>916</v>
      </c>
      <c r="CT429">
        <v>0</v>
      </c>
      <c r="CU429">
        <v>8</v>
      </c>
      <c r="CV429">
        <v>0</v>
      </c>
      <c r="CW429">
        <v>4</v>
      </c>
      <c r="CX429">
        <v>4</v>
      </c>
      <c r="CY429">
        <v>15</v>
      </c>
      <c r="CZ429">
        <v>2</v>
      </c>
      <c r="DA429">
        <v>7</v>
      </c>
      <c r="DB429">
        <v>4</v>
      </c>
      <c r="DC429">
        <v>0</v>
      </c>
      <c r="DD429">
        <v>955</v>
      </c>
      <c r="DE429">
        <v>13</v>
      </c>
      <c r="DF429">
        <v>24</v>
      </c>
      <c r="DG429">
        <v>0</v>
      </c>
      <c r="DH429">
        <v>0</v>
      </c>
      <c r="DI429">
        <v>2</v>
      </c>
      <c r="DJ429">
        <v>0</v>
      </c>
      <c r="DK429">
        <v>4</v>
      </c>
      <c r="DL429">
        <v>3</v>
      </c>
      <c r="DM429">
        <v>4</v>
      </c>
      <c r="DN429">
        <v>5</v>
      </c>
      <c r="DO429">
        <v>951</v>
      </c>
      <c r="DP429">
        <v>5</v>
      </c>
      <c r="DQ429">
        <v>1</v>
      </c>
      <c r="DR429">
        <v>2</v>
      </c>
      <c r="DS429">
        <v>0</v>
      </c>
      <c r="DT429">
        <v>1</v>
      </c>
      <c r="DU429">
        <v>5</v>
      </c>
      <c r="DV429">
        <v>7</v>
      </c>
      <c r="DW429">
        <v>0</v>
      </c>
      <c r="DX429">
        <v>0</v>
      </c>
      <c r="DY429">
        <v>4</v>
      </c>
      <c r="DZ429">
        <v>989</v>
      </c>
      <c r="EA429">
        <v>0.96050000000000002</v>
      </c>
      <c r="EB429">
        <v>0.96097821152502405</v>
      </c>
      <c r="EC429">
        <v>0.96057394788927897</v>
      </c>
      <c r="ED429">
        <v>0.96006856741078594</v>
      </c>
      <c r="EE429">
        <f>SUM(Table1[[#This Row],[ratio_0]:[ratio_9]])</f>
        <v>460</v>
      </c>
      <c r="EF429" s="1">
        <f>(Table1[[#This Row],[predicted_0]]-Table1[[#This Row],[actual_0]])/Table1[[#This Row],[actual_0]]</f>
        <v>-2.6530612244897958E-2</v>
      </c>
      <c r="EG429" s="1">
        <f>(Table1[[#This Row],[predicted_1]]-Table1[[#This Row],[actual_1]])/Table1[[#This Row],[actual_1]]</f>
        <v>0</v>
      </c>
      <c r="EH429" s="1">
        <f>(Table1[[#This Row],[predicted_2]]-Table1[[#This Row],[actual_2]])/Table1[[#This Row],[actual_2]]</f>
        <v>-2.616279069767442E-2</v>
      </c>
      <c r="EI429" s="1">
        <f>(Table1[[#This Row],[predicted_3]]-Table1[[#This Row],[actual_3]])/Table1[[#This Row],[actual_3]]</f>
        <v>-0.100990099009901</v>
      </c>
      <c r="EJ429" s="1">
        <f>(Table1[[#This Row],[predicted_4]]-Table1[[#This Row],[actual_4]])/Table1[[#This Row],[actual_4]]</f>
        <v>3.7678207739307537E-2</v>
      </c>
      <c r="EK429" s="1">
        <f>(Table1[[#This Row],[predicted_5]]-Table1[[#This Row],[actual_5]])/Table1[[#This Row],[actual_5]]</f>
        <v>5.717488789237668E-2</v>
      </c>
      <c r="EL429" s="1">
        <f>(Table1[[#This Row],[predicted_6]]-Table1[[#This Row],[actual_6]])/Table1[[#This Row],[actual_6]]</f>
        <v>-1.2526096033402923E-2</v>
      </c>
      <c r="EM429" s="1">
        <f>(Table1[[#This Row],[predicted_7]]-Table1[[#This Row],[actual_7]])/Table1[[#This Row],[actual_7]]</f>
        <v>-4.5719844357976651E-2</v>
      </c>
      <c r="EN429" s="1">
        <f>(Table1[[#This Row],[predicted_8]]-Table1[[#This Row],[actual_8]])/Table1[[#This Row],[actual_8]]</f>
        <v>0.10472279260780287</v>
      </c>
      <c r="EO429" s="1">
        <f>(Table1[[#This Row],[predicted_9]]-Table1[[#This Row],[actual_9]])/Table1[[#This Row],[actual_9]]</f>
        <v>2.3785926660059464E-2</v>
      </c>
      <c r="EP429" s="1">
        <f>1+(Table1[[#This Row],[error_ratio_0]]-EF$2)</f>
        <v>0.97142857142857142</v>
      </c>
      <c r="EQ429" s="1">
        <f>1+(Table1[[#This Row],[error_ratio_1]]-EG$2)</f>
        <v>0.9982378854625551</v>
      </c>
      <c r="ER429" s="1">
        <f>1+(Table1[[#This Row],[error_ratio_2]]-EH$2)</f>
        <v>0.97868217054263562</v>
      </c>
      <c r="ES429" s="1">
        <f>1+(Table1[[#This Row],[error_ratio_3]]-EI$2)</f>
        <v>0.88910891089108912</v>
      </c>
      <c r="ET429" s="1">
        <f>1+(Table1[[#This Row],[error_ratio_4]]-EJ$2)</f>
        <v>1.0366598778004072</v>
      </c>
      <c r="EU429" s="1">
        <f>1+(Table1[[#This Row],[error_ratio_5]]-EK$2)</f>
        <v>1.0560538116591929</v>
      </c>
      <c r="EV429" s="1">
        <f>1+(Table1[[#This Row],[error_ratio_6]]-EL$2)</f>
        <v>0.99373695198329859</v>
      </c>
      <c r="EW429" s="1">
        <f>1+(Table1[[#This Row],[error_ratio_7]]-EM$2)</f>
        <v>0.9523346303501945</v>
      </c>
      <c r="EX429" s="1">
        <f>1+(Table1[[#This Row],[error_ratio_8]]-EN$2)</f>
        <v>1.1078028747433264</v>
      </c>
      <c r="EY429" s="1">
        <f>1+(Table1[[#This Row],[error_ratio_9]]-EO$2)</f>
        <v>1.0277502477700693</v>
      </c>
    </row>
    <row r="430" spans="1:155" x14ac:dyDescent="0.75">
      <c r="A430">
        <v>100</v>
      </c>
      <c r="B430">
        <v>10</v>
      </c>
      <c r="C430">
        <v>10</v>
      </c>
      <c r="D430">
        <v>10</v>
      </c>
      <c r="E430">
        <v>100</v>
      </c>
      <c r="F430">
        <v>100</v>
      </c>
      <c r="G430">
        <v>10</v>
      </c>
      <c r="H430">
        <v>10</v>
      </c>
      <c r="I430">
        <v>10</v>
      </c>
      <c r="J430">
        <v>100</v>
      </c>
      <c r="K430">
        <v>1006</v>
      </c>
      <c r="L430">
        <v>1165</v>
      </c>
      <c r="M430">
        <v>966</v>
      </c>
      <c r="N430">
        <v>999</v>
      </c>
      <c r="O430">
        <v>1040</v>
      </c>
      <c r="P430">
        <v>970</v>
      </c>
      <c r="Q430">
        <v>866</v>
      </c>
      <c r="R430">
        <v>1034</v>
      </c>
      <c r="S430">
        <v>889</v>
      </c>
      <c r="T430">
        <v>1065</v>
      </c>
      <c r="U430">
        <v>980</v>
      </c>
      <c r="V430">
        <v>1135</v>
      </c>
      <c r="W430">
        <v>1032</v>
      </c>
      <c r="X430">
        <v>1010</v>
      </c>
      <c r="Y430">
        <v>982</v>
      </c>
      <c r="Z430">
        <v>892</v>
      </c>
      <c r="AA430">
        <v>958</v>
      </c>
      <c r="AB430">
        <v>1028</v>
      </c>
      <c r="AC430">
        <v>974</v>
      </c>
      <c r="AD430">
        <v>1009</v>
      </c>
      <c r="AE430">
        <v>961</v>
      </c>
      <c r="AF430">
        <v>0</v>
      </c>
      <c r="AG430">
        <v>0</v>
      </c>
      <c r="AH430">
        <v>2</v>
      </c>
      <c r="AI430">
        <v>3</v>
      </c>
      <c r="AJ430">
        <v>3</v>
      </c>
      <c r="AK430">
        <v>0</v>
      </c>
      <c r="AL430">
        <v>1</v>
      </c>
      <c r="AM430">
        <v>1</v>
      </c>
      <c r="AN430">
        <v>9</v>
      </c>
      <c r="AO430">
        <v>0</v>
      </c>
      <c r="AP430">
        <v>1126</v>
      </c>
      <c r="AQ430">
        <v>1</v>
      </c>
      <c r="AR430">
        <v>4</v>
      </c>
      <c r="AS430">
        <v>1</v>
      </c>
      <c r="AT430">
        <v>2</v>
      </c>
      <c r="AU430">
        <v>0</v>
      </c>
      <c r="AV430">
        <v>1</v>
      </c>
      <c r="AW430">
        <v>0</v>
      </c>
      <c r="AX430">
        <v>0</v>
      </c>
      <c r="AY430">
        <v>11</v>
      </c>
      <c r="AZ430">
        <v>10</v>
      </c>
      <c r="BA430">
        <v>948</v>
      </c>
      <c r="BB430">
        <v>14</v>
      </c>
      <c r="BC430">
        <v>8</v>
      </c>
      <c r="BD430">
        <v>3</v>
      </c>
      <c r="BE430">
        <v>0</v>
      </c>
      <c r="BF430">
        <v>25</v>
      </c>
      <c r="BG430">
        <v>3</v>
      </c>
      <c r="BH430">
        <v>10</v>
      </c>
      <c r="BI430">
        <v>3</v>
      </c>
      <c r="BJ430">
        <v>0</v>
      </c>
      <c r="BK430">
        <v>1</v>
      </c>
      <c r="BL430">
        <v>968</v>
      </c>
      <c r="BM430">
        <v>0</v>
      </c>
      <c r="BN430">
        <v>17</v>
      </c>
      <c r="BO430">
        <v>0</v>
      </c>
      <c r="BP430">
        <v>8</v>
      </c>
      <c r="BQ430">
        <v>4</v>
      </c>
      <c r="BR430">
        <v>9</v>
      </c>
      <c r="BS430">
        <v>0</v>
      </c>
      <c r="BT430">
        <v>2</v>
      </c>
      <c r="BU430">
        <v>0</v>
      </c>
      <c r="BV430">
        <v>0</v>
      </c>
      <c r="BW430">
        <v>974</v>
      </c>
      <c r="BX430">
        <v>0</v>
      </c>
      <c r="BY430">
        <v>0</v>
      </c>
      <c r="BZ430">
        <v>0</v>
      </c>
      <c r="CA430">
        <v>0</v>
      </c>
      <c r="CB430">
        <v>6</v>
      </c>
      <c r="CC430">
        <v>2</v>
      </c>
      <c r="CD430">
        <v>0</v>
      </c>
      <c r="CE430">
        <v>0</v>
      </c>
      <c r="CF430">
        <v>3</v>
      </c>
      <c r="CG430">
        <v>0</v>
      </c>
      <c r="CH430">
        <v>886</v>
      </c>
      <c r="CI430">
        <v>0</v>
      </c>
      <c r="CJ430">
        <v>1</v>
      </c>
      <c r="CK430">
        <v>0</v>
      </c>
      <c r="CL430">
        <v>0</v>
      </c>
      <c r="CM430">
        <v>18</v>
      </c>
      <c r="CN430">
        <v>9</v>
      </c>
      <c r="CO430">
        <v>1</v>
      </c>
      <c r="CP430">
        <v>0</v>
      </c>
      <c r="CQ430">
        <v>39</v>
      </c>
      <c r="CR430">
        <v>22</v>
      </c>
      <c r="CS430">
        <v>866</v>
      </c>
      <c r="CT430">
        <v>0</v>
      </c>
      <c r="CU430">
        <v>1</v>
      </c>
      <c r="CV430">
        <v>2</v>
      </c>
      <c r="CW430">
        <v>1</v>
      </c>
      <c r="CX430">
        <v>7</v>
      </c>
      <c r="CY430">
        <v>14</v>
      </c>
      <c r="CZ430">
        <v>1</v>
      </c>
      <c r="DA430">
        <v>3</v>
      </c>
      <c r="DB430">
        <v>4</v>
      </c>
      <c r="DC430">
        <v>0</v>
      </c>
      <c r="DD430">
        <v>981</v>
      </c>
      <c r="DE430">
        <v>3</v>
      </c>
      <c r="DF430">
        <v>14</v>
      </c>
      <c r="DG430">
        <v>9</v>
      </c>
      <c r="DH430">
        <v>8</v>
      </c>
      <c r="DI430">
        <v>1</v>
      </c>
      <c r="DJ430">
        <v>5</v>
      </c>
      <c r="DK430">
        <v>10</v>
      </c>
      <c r="DL430">
        <v>32</v>
      </c>
      <c r="DM430">
        <v>0</v>
      </c>
      <c r="DN430">
        <v>12</v>
      </c>
      <c r="DO430">
        <v>876</v>
      </c>
      <c r="DP430">
        <v>21</v>
      </c>
      <c r="DQ430">
        <v>1</v>
      </c>
      <c r="DR430">
        <v>3</v>
      </c>
      <c r="DS430">
        <v>0</v>
      </c>
      <c r="DT430">
        <v>2</v>
      </c>
      <c r="DU430">
        <v>2</v>
      </c>
      <c r="DV430">
        <v>1</v>
      </c>
      <c r="DW430">
        <v>0</v>
      </c>
      <c r="DX430">
        <v>5</v>
      </c>
      <c r="DY430">
        <v>1</v>
      </c>
      <c r="DZ430">
        <v>994</v>
      </c>
      <c r="EA430">
        <v>0.95799999999999996</v>
      </c>
      <c r="EB430">
        <v>0.95895208546475996</v>
      </c>
      <c r="EC430">
        <v>0.95775946574457205</v>
      </c>
      <c r="ED430">
        <v>0.957460247823815</v>
      </c>
      <c r="EE430">
        <f>SUM(Table1[[#This Row],[ratio_0]:[ratio_9]])</f>
        <v>460</v>
      </c>
      <c r="EF430" s="1">
        <f>(Table1[[#This Row],[predicted_0]]-Table1[[#This Row],[actual_0]])/Table1[[#This Row],[actual_0]]</f>
        <v>2.6530612244897958E-2</v>
      </c>
      <c r="EG430" s="1">
        <f>(Table1[[#This Row],[predicted_1]]-Table1[[#This Row],[actual_1]])/Table1[[#This Row],[actual_1]]</f>
        <v>2.643171806167401E-2</v>
      </c>
      <c r="EH430" s="1">
        <f>(Table1[[#This Row],[predicted_2]]-Table1[[#This Row],[actual_2]])/Table1[[#This Row],[actual_2]]</f>
        <v>-6.3953488372093026E-2</v>
      </c>
      <c r="EI430" s="1">
        <f>(Table1[[#This Row],[predicted_3]]-Table1[[#This Row],[actual_3]])/Table1[[#This Row],[actual_3]]</f>
        <v>-1.089108910891089E-2</v>
      </c>
      <c r="EJ430" s="1">
        <f>(Table1[[#This Row],[predicted_4]]-Table1[[#This Row],[actual_4]])/Table1[[#This Row],[actual_4]]</f>
        <v>5.9063136456211814E-2</v>
      </c>
      <c r="EK430" s="1">
        <f>(Table1[[#This Row],[predicted_5]]-Table1[[#This Row],[actual_5]])/Table1[[#This Row],[actual_5]]</f>
        <v>8.744394618834081E-2</v>
      </c>
      <c r="EL430" s="1">
        <f>(Table1[[#This Row],[predicted_6]]-Table1[[#This Row],[actual_6]])/Table1[[#This Row],[actual_6]]</f>
        <v>-9.6033402922755737E-2</v>
      </c>
      <c r="EM430" s="1">
        <f>(Table1[[#This Row],[predicted_7]]-Table1[[#This Row],[actual_7]])/Table1[[#This Row],[actual_7]]</f>
        <v>5.8365758754863814E-3</v>
      </c>
      <c r="EN430" s="1">
        <f>(Table1[[#This Row],[predicted_8]]-Table1[[#This Row],[actual_8]])/Table1[[#This Row],[actual_8]]</f>
        <v>-8.7268993839835732E-2</v>
      </c>
      <c r="EO430" s="1">
        <f>(Table1[[#This Row],[predicted_9]]-Table1[[#This Row],[actual_9]])/Table1[[#This Row],[actual_9]]</f>
        <v>5.550049554013875E-2</v>
      </c>
      <c r="EP430" s="1">
        <f>1+(Table1[[#This Row],[error_ratio_0]]-EF$2)</f>
        <v>1.0244897959183674</v>
      </c>
      <c r="EQ430" s="1">
        <f>1+(Table1[[#This Row],[error_ratio_1]]-EG$2)</f>
        <v>1.0246696035242291</v>
      </c>
      <c r="ER430" s="1">
        <f>1+(Table1[[#This Row],[error_ratio_2]]-EH$2)</f>
        <v>0.94089147286821706</v>
      </c>
      <c r="ES430" s="1">
        <f>1+(Table1[[#This Row],[error_ratio_3]]-EI$2)</f>
        <v>0.97920792079207919</v>
      </c>
      <c r="ET430" s="1">
        <f>1+(Table1[[#This Row],[error_ratio_4]]-EJ$2)</f>
        <v>1.0580448065173116</v>
      </c>
      <c r="EU430" s="1">
        <f>1+(Table1[[#This Row],[error_ratio_5]]-EK$2)</f>
        <v>1.086322869955157</v>
      </c>
      <c r="EV430" s="1">
        <f>1+(Table1[[#This Row],[error_ratio_6]]-EL$2)</f>
        <v>0.91022964509394577</v>
      </c>
      <c r="EW430" s="1">
        <f>1+(Table1[[#This Row],[error_ratio_7]]-EM$2)</f>
        <v>1.0038910505836576</v>
      </c>
      <c r="EX430" s="1">
        <f>1+(Table1[[#This Row],[error_ratio_8]]-EN$2)</f>
        <v>0.91581108829568791</v>
      </c>
      <c r="EY430" s="1">
        <f>1+(Table1[[#This Row],[error_ratio_9]]-EO$2)</f>
        <v>1.0594648166501486</v>
      </c>
    </row>
    <row r="431" spans="1:155" x14ac:dyDescent="0.75">
      <c r="A431">
        <v>10</v>
      </c>
      <c r="B431">
        <v>10</v>
      </c>
      <c r="C431">
        <v>10</v>
      </c>
      <c r="D431">
        <v>10</v>
      </c>
      <c r="E431">
        <v>100</v>
      </c>
      <c r="F431">
        <v>100</v>
      </c>
      <c r="G431">
        <v>10</v>
      </c>
      <c r="H431">
        <v>10</v>
      </c>
      <c r="I431">
        <v>10</v>
      </c>
      <c r="J431">
        <v>100</v>
      </c>
      <c r="K431">
        <v>944</v>
      </c>
      <c r="L431">
        <v>1142</v>
      </c>
      <c r="M431">
        <v>999</v>
      </c>
      <c r="N431">
        <v>932</v>
      </c>
      <c r="O431">
        <v>1028</v>
      </c>
      <c r="P431">
        <v>1044</v>
      </c>
      <c r="Q431">
        <v>913</v>
      </c>
      <c r="R431">
        <v>1006</v>
      </c>
      <c r="S431">
        <v>875</v>
      </c>
      <c r="T431">
        <v>1117</v>
      </c>
      <c r="U431">
        <v>980</v>
      </c>
      <c r="V431">
        <v>1135</v>
      </c>
      <c r="W431">
        <v>1032</v>
      </c>
      <c r="X431">
        <v>1010</v>
      </c>
      <c r="Y431">
        <v>982</v>
      </c>
      <c r="Z431">
        <v>892</v>
      </c>
      <c r="AA431">
        <v>958</v>
      </c>
      <c r="AB431">
        <v>1028</v>
      </c>
      <c r="AC431">
        <v>974</v>
      </c>
      <c r="AD431">
        <v>1009</v>
      </c>
      <c r="AE431">
        <v>930</v>
      </c>
      <c r="AF431">
        <v>0</v>
      </c>
      <c r="AG431">
        <v>1</v>
      </c>
      <c r="AH431">
        <v>0</v>
      </c>
      <c r="AI431">
        <v>4</v>
      </c>
      <c r="AJ431">
        <v>15</v>
      </c>
      <c r="AK431">
        <v>2</v>
      </c>
      <c r="AL431">
        <v>1</v>
      </c>
      <c r="AM431">
        <v>2</v>
      </c>
      <c r="AN431">
        <v>25</v>
      </c>
      <c r="AO431">
        <v>0</v>
      </c>
      <c r="AP431">
        <v>1123</v>
      </c>
      <c r="AQ431">
        <v>1</v>
      </c>
      <c r="AR431">
        <v>1</v>
      </c>
      <c r="AS431">
        <v>1</v>
      </c>
      <c r="AT431">
        <v>4</v>
      </c>
      <c r="AU431">
        <v>1</v>
      </c>
      <c r="AV431">
        <v>0</v>
      </c>
      <c r="AW431">
        <v>3</v>
      </c>
      <c r="AX431">
        <v>1</v>
      </c>
      <c r="AY431">
        <v>1</v>
      </c>
      <c r="AZ431">
        <v>9</v>
      </c>
      <c r="BA431">
        <v>959</v>
      </c>
      <c r="BB431">
        <v>0</v>
      </c>
      <c r="BC431">
        <v>10</v>
      </c>
      <c r="BD431">
        <v>6</v>
      </c>
      <c r="BE431">
        <v>0</v>
      </c>
      <c r="BF431">
        <v>45</v>
      </c>
      <c r="BG431">
        <v>0</v>
      </c>
      <c r="BH431">
        <v>2</v>
      </c>
      <c r="BI431">
        <v>0</v>
      </c>
      <c r="BJ431">
        <v>0</v>
      </c>
      <c r="BK431">
        <v>1</v>
      </c>
      <c r="BL431">
        <v>917</v>
      </c>
      <c r="BM431">
        <v>0</v>
      </c>
      <c r="BN431">
        <v>67</v>
      </c>
      <c r="BO431">
        <v>0</v>
      </c>
      <c r="BP431">
        <v>11</v>
      </c>
      <c r="BQ431">
        <v>1</v>
      </c>
      <c r="BR431">
        <v>13</v>
      </c>
      <c r="BS431">
        <v>0</v>
      </c>
      <c r="BT431">
        <v>0</v>
      </c>
      <c r="BU431">
        <v>0</v>
      </c>
      <c r="BV431">
        <v>0</v>
      </c>
      <c r="BW431">
        <v>978</v>
      </c>
      <c r="BX431">
        <v>0</v>
      </c>
      <c r="BY431">
        <v>2</v>
      </c>
      <c r="BZ431">
        <v>0</v>
      </c>
      <c r="CA431">
        <v>0</v>
      </c>
      <c r="CB431">
        <v>2</v>
      </c>
      <c r="CC431">
        <v>0</v>
      </c>
      <c r="CD431">
        <v>0</v>
      </c>
      <c r="CE431">
        <v>1</v>
      </c>
      <c r="CF431">
        <v>1</v>
      </c>
      <c r="CG431">
        <v>0</v>
      </c>
      <c r="CH431">
        <v>888</v>
      </c>
      <c r="CI431">
        <v>0</v>
      </c>
      <c r="CJ431">
        <v>1</v>
      </c>
      <c r="CK431">
        <v>0</v>
      </c>
      <c r="CL431">
        <v>1</v>
      </c>
      <c r="CM431">
        <v>5</v>
      </c>
      <c r="CN431">
        <v>4</v>
      </c>
      <c r="CO431">
        <v>2</v>
      </c>
      <c r="CP431">
        <v>0</v>
      </c>
      <c r="CQ431">
        <v>10</v>
      </c>
      <c r="CR431">
        <v>28</v>
      </c>
      <c r="CS431">
        <v>907</v>
      </c>
      <c r="CT431">
        <v>0</v>
      </c>
      <c r="CU431">
        <v>2</v>
      </c>
      <c r="CV431">
        <v>0</v>
      </c>
      <c r="CW431">
        <v>1</v>
      </c>
      <c r="CX431">
        <v>5</v>
      </c>
      <c r="CY431">
        <v>9</v>
      </c>
      <c r="CZ431">
        <v>1</v>
      </c>
      <c r="DA431">
        <v>7</v>
      </c>
      <c r="DB431">
        <v>5</v>
      </c>
      <c r="DC431">
        <v>0</v>
      </c>
      <c r="DD431">
        <v>942</v>
      </c>
      <c r="DE431">
        <v>0</v>
      </c>
      <c r="DF431">
        <v>58</v>
      </c>
      <c r="DG431">
        <v>7</v>
      </c>
      <c r="DH431">
        <v>0</v>
      </c>
      <c r="DI431">
        <v>23</v>
      </c>
      <c r="DJ431">
        <v>12</v>
      </c>
      <c r="DK431">
        <v>6</v>
      </c>
      <c r="DL431">
        <v>20</v>
      </c>
      <c r="DM431">
        <v>1</v>
      </c>
      <c r="DN431">
        <v>6</v>
      </c>
      <c r="DO431">
        <v>867</v>
      </c>
      <c r="DP431">
        <v>32</v>
      </c>
      <c r="DQ431">
        <v>0</v>
      </c>
      <c r="DR431">
        <v>1</v>
      </c>
      <c r="DS431">
        <v>2</v>
      </c>
      <c r="DT431">
        <v>0</v>
      </c>
      <c r="DU431">
        <v>12</v>
      </c>
      <c r="DV431">
        <v>11</v>
      </c>
      <c r="DW431">
        <v>0</v>
      </c>
      <c r="DX431">
        <v>0</v>
      </c>
      <c r="DY431">
        <v>0</v>
      </c>
      <c r="DZ431">
        <v>983</v>
      </c>
      <c r="EA431">
        <v>0.94940000000000002</v>
      </c>
      <c r="EB431">
        <v>0.95150370544170004</v>
      </c>
      <c r="EC431">
        <v>0.94945157921550605</v>
      </c>
      <c r="ED431">
        <v>0.94906950868407502</v>
      </c>
      <c r="EE431">
        <f>SUM(Table1[[#This Row],[ratio_0]:[ratio_9]])</f>
        <v>370</v>
      </c>
      <c r="EF431" s="1">
        <f>(Table1[[#This Row],[predicted_0]]-Table1[[#This Row],[actual_0]])/Table1[[#This Row],[actual_0]]</f>
        <v>-3.6734693877551024E-2</v>
      </c>
      <c r="EG431" s="1">
        <f>(Table1[[#This Row],[predicted_1]]-Table1[[#This Row],[actual_1]])/Table1[[#This Row],[actual_1]]</f>
        <v>6.1674008810572688E-3</v>
      </c>
      <c r="EH431" s="1">
        <f>(Table1[[#This Row],[predicted_2]]-Table1[[#This Row],[actual_2]])/Table1[[#This Row],[actual_2]]</f>
        <v>-3.1976744186046513E-2</v>
      </c>
      <c r="EI431" s="1">
        <f>(Table1[[#This Row],[predicted_3]]-Table1[[#This Row],[actual_3]])/Table1[[#This Row],[actual_3]]</f>
        <v>-7.7227722772277227E-2</v>
      </c>
      <c r="EJ431" s="1">
        <f>(Table1[[#This Row],[predicted_4]]-Table1[[#This Row],[actual_4]])/Table1[[#This Row],[actual_4]]</f>
        <v>4.684317718940937E-2</v>
      </c>
      <c r="EK431" s="1">
        <f>(Table1[[#This Row],[predicted_5]]-Table1[[#This Row],[actual_5]])/Table1[[#This Row],[actual_5]]</f>
        <v>0.17040358744394618</v>
      </c>
      <c r="EL431" s="1">
        <f>(Table1[[#This Row],[predicted_6]]-Table1[[#This Row],[actual_6]])/Table1[[#This Row],[actual_6]]</f>
        <v>-4.697286012526096E-2</v>
      </c>
      <c r="EM431" s="1">
        <f>(Table1[[#This Row],[predicted_7]]-Table1[[#This Row],[actual_7]])/Table1[[#This Row],[actual_7]]</f>
        <v>-2.1400778210116732E-2</v>
      </c>
      <c r="EN431" s="1">
        <f>(Table1[[#This Row],[predicted_8]]-Table1[[#This Row],[actual_8]])/Table1[[#This Row],[actual_8]]</f>
        <v>-0.10164271047227925</v>
      </c>
      <c r="EO431" s="1">
        <f>(Table1[[#This Row],[predicted_9]]-Table1[[#This Row],[actual_9]])/Table1[[#This Row],[actual_9]]</f>
        <v>0.10703666997026759</v>
      </c>
      <c r="EP431" s="1">
        <f>1+(Table1[[#This Row],[error_ratio_0]]-EF$2)</f>
        <v>0.96122448979591835</v>
      </c>
      <c r="EQ431" s="1">
        <f>1+(Table1[[#This Row],[error_ratio_1]]-EG$2)</f>
        <v>1.0044052863436124</v>
      </c>
      <c r="ER431" s="1">
        <f>1+(Table1[[#This Row],[error_ratio_2]]-EH$2)</f>
        <v>0.97286821705426352</v>
      </c>
      <c r="ES431" s="1">
        <f>1+(Table1[[#This Row],[error_ratio_3]]-EI$2)</f>
        <v>0.9128712871287129</v>
      </c>
      <c r="ET431" s="1">
        <f>1+(Table1[[#This Row],[error_ratio_4]]-EJ$2)</f>
        <v>1.0458248472505092</v>
      </c>
      <c r="EU431" s="1">
        <f>1+(Table1[[#This Row],[error_ratio_5]]-EK$2)</f>
        <v>1.1692825112107623</v>
      </c>
      <c r="EV431" s="1">
        <f>1+(Table1[[#This Row],[error_ratio_6]]-EL$2)</f>
        <v>0.95929018789144049</v>
      </c>
      <c r="EW431" s="1">
        <f>1+(Table1[[#This Row],[error_ratio_7]]-EM$2)</f>
        <v>0.97665369649805445</v>
      </c>
      <c r="EX431" s="1">
        <f>1+(Table1[[#This Row],[error_ratio_8]]-EN$2)</f>
        <v>0.90143737166324434</v>
      </c>
      <c r="EY431" s="1">
        <f>1+(Table1[[#This Row],[error_ratio_9]]-EO$2)</f>
        <v>1.1110009910802776</v>
      </c>
    </row>
    <row r="432" spans="1:155" x14ac:dyDescent="0.75">
      <c r="A432">
        <v>100</v>
      </c>
      <c r="B432">
        <v>100</v>
      </c>
      <c r="C432">
        <v>100</v>
      </c>
      <c r="D432">
        <v>100</v>
      </c>
      <c r="E432">
        <v>10</v>
      </c>
      <c r="F432">
        <v>100</v>
      </c>
      <c r="G432">
        <v>10</v>
      </c>
      <c r="H432">
        <v>10</v>
      </c>
      <c r="I432">
        <v>10</v>
      </c>
      <c r="J432">
        <v>100</v>
      </c>
      <c r="K432">
        <v>1017</v>
      </c>
      <c r="L432">
        <v>1161</v>
      </c>
      <c r="M432">
        <v>1072</v>
      </c>
      <c r="N432">
        <v>1010</v>
      </c>
      <c r="O432">
        <v>969</v>
      </c>
      <c r="P432">
        <v>928</v>
      </c>
      <c r="Q432">
        <v>904</v>
      </c>
      <c r="R432">
        <v>958</v>
      </c>
      <c r="S432">
        <v>941</v>
      </c>
      <c r="T432">
        <v>1040</v>
      </c>
      <c r="U432">
        <v>980</v>
      </c>
      <c r="V432">
        <v>1135</v>
      </c>
      <c r="W432">
        <v>1032</v>
      </c>
      <c r="X432">
        <v>1010</v>
      </c>
      <c r="Y432">
        <v>982</v>
      </c>
      <c r="Z432">
        <v>892</v>
      </c>
      <c r="AA432">
        <v>958</v>
      </c>
      <c r="AB432">
        <v>1028</v>
      </c>
      <c r="AC432">
        <v>974</v>
      </c>
      <c r="AD432">
        <v>1009</v>
      </c>
      <c r="AE432">
        <v>978</v>
      </c>
      <c r="AF432">
        <v>0</v>
      </c>
      <c r="AG432">
        <v>0</v>
      </c>
      <c r="AH432">
        <v>0</v>
      </c>
      <c r="AI432">
        <v>0</v>
      </c>
      <c r="AJ432">
        <v>0</v>
      </c>
      <c r="AK432">
        <v>0</v>
      </c>
      <c r="AL432">
        <v>1</v>
      </c>
      <c r="AM432">
        <v>1</v>
      </c>
      <c r="AN432">
        <v>0</v>
      </c>
      <c r="AO432">
        <v>0</v>
      </c>
      <c r="AP432">
        <v>1131</v>
      </c>
      <c r="AQ432">
        <v>1</v>
      </c>
      <c r="AR432">
        <v>1</v>
      </c>
      <c r="AS432">
        <v>0</v>
      </c>
      <c r="AT432">
        <v>2</v>
      </c>
      <c r="AU432">
        <v>0</v>
      </c>
      <c r="AV432">
        <v>0</v>
      </c>
      <c r="AW432">
        <v>0</v>
      </c>
      <c r="AX432">
        <v>0</v>
      </c>
      <c r="AY432">
        <v>2</v>
      </c>
      <c r="AZ432">
        <v>4</v>
      </c>
      <c r="BA432">
        <v>1021</v>
      </c>
      <c r="BB432">
        <v>3</v>
      </c>
      <c r="BC432">
        <v>1</v>
      </c>
      <c r="BD432">
        <v>0</v>
      </c>
      <c r="BE432">
        <v>0</v>
      </c>
      <c r="BF432">
        <v>1</v>
      </c>
      <c r="BG432">
        <v>0</v>
      </c>
      <c r="BH432">
        <v>0</v>
      </c>
      <c r="BI432">
        <v>1</v>
      </c>
      <c r="BJ432">
        <v>0</v>
      </c>
      <c r="BK432">
        <v>3</v>
      </c>
      <c r="BL432">
        <v>993</v>
      </c>
      <c r="BM432">
        <v>0</v>
      </c>
      <c r="BN432">
        <v>3</v>
      </c>
      <c r="BO432">
        <v>0</v>
      </c>
      <c r="BP432">
        <v>1</v>
      </c>
      <c r="BQ432">
        <v>2</v>
      </c>
      <c r="BR432">
        <v>7</v>
      </c>
      <c r="BS432">
        <v>0</v>
      </c>
      <c r="BT432">
        <v>3</v>
      </c>
      <c r="BU432">
        <v>4</v>
      </c>
      <c r="BV432">
        <v>0</v>
      </c>
      <c r="BW432">
        <v>950</v>
      </c>
      <c r="BX432">
        <v>0</v>
      </c>
      <c r="BY432">
        <v>3</v>
      </c>
      <c r="BZ432">
        <v>1</v>
      </c>
      <c r="CA432">
        <v>0</v>
      </c>
      <c r="CB432">
        <v>21</v>
      </c>
      <c r="CC432">
        <v>1</v>
      </c>
      <c r="CD432">
        <v>0</v>
      </c>
      <c r="CE432">
        <v>0</v>
      </c>
      <c r="CF432">
        <v>2</v>
      </c>
      <c r="CG432">
        <v>0</v>
      </c>
      <c r="CH432">
        <v>887</v>
      </c>
      <c r="CI432">
        <v>0</v>
      </c>
      <c r="CJ432">
        <v>1</v>
      </c>
      <c r="CK432">
        <v>0</v>
      </c>
      <c r="CL432">
        <v>1</v>
      </c>
      <c r="CM432">
        <v>21</v>
      </c>
      <c r="CN432">
        <v>5</v>
      </c>
      <c r="CO432">
        <v>0</v>
      </c>
      <c r="CP432">
        <v>0</v>
      </c>
      <c r="CQ432">
        <v>7</v>
      </c>
      <c r="CR432">
        <v>23</v>
      </c>
      <c r="CS432">
        <v>900</v>
      </c>
      <c r="CT432">
        <v>0</v>
      </c>
      <c r="CU432">
        <v>0</v>
      </c>
      <c r="CV432">
        <v>2</v>
      </c>
      <c r="CW432">
        <v>1</v>
      </c>
      <c r="CX432">
        <v>11</v>
      </c>
      <c r="CY432">
        <v>40</v>
      </c>
      <c r="CZ432">
        <v>9</v>
      </c>
      <c r="DA432">
        <v>2</v>
      </c>
      <c r="DB432">
        <v>2</v>
      </c>
      <c r="DC432">
        <v>0</v>
      </c>
      <c r="DD432">
        <v>948</v>
      </c>
      <c r="DE432">
        <v>3</v>
      </c>
      <c r="DF432">
        <v>12</v>
      </c>
      <c r="DG432">
        <v>11</v>
      </c>
      <c r="DH432">
        <v>4</v>
      </c>
      <c r="DI432">
        <v>2</v>
      </c>
      <c r="DJ432">
        <v>1</v>
      </c>
      <c r="DK432">
        <v>4</v>
      </c>
      <c r="DL432">
        <v>8</v>
      </c>
      <c r="DM432">
        <v>1</v>
      </c>
      <c r="DN432">
        <v>1</v>
      </c>
      <c r="DO432">
        <v>935</v>
      </c>
      <c r="DP432">
        <v>7</v>
      </c>
      <c r="DQ432">
        <v>2</v>
      </c>
      <c r="DR432">
        <v>3</v>
      </c>
      <c r="DS432">
        <v>1</v>
      </c>
      <c r="DT432">
        <v>1</v>
      </c>
      <c r="DU432">
        <v>5</v>
      </c>
      <c r="DV432">
        <v>3</v>
      </c>
      <c r="DW432">
        <v>0</v>
      </c>
      <c r="DX432">
        <v>4</v>
      </c>
      <c r="DY432">
        <v>0</v>
      </c>
      <c r="DZ432">
        <v>990</v>
      </c>
      <c r="EA432">
        <v>0.97330000000000005</v>
      </c>
      <c r="EB432">
        <v>0.97383006257326499</v>
      </c>
      <c r="EC432">
        <v>0.97315170152885599</v>
      </c>
      <c r="ED432">
        <v>0.973115790358968</v>
      </c>
      <c r="EE432">
        <f>SUM(Table1[[#This Row],[ratio_0]:[ratio_9]])</f>
        <v>640</v>
      </c>
      <c r="EF432" s="1">
        <f>(Table1[[#This Row],[predicted_0]]-Table1[[#This Row],[actual_0]])/Table1[[#This Row],[actual_0]]</f>
        <v>3.7755102040816328E-2</v>
      </c>
      <c r="EG432" s="1">
        <f>(Table1[[#This Row],[predicted_1]]-Table1[[#This Row],[actual_1]])/Table1[[#This Row],[actual_1]]</f>
        <v>2.2907488986784141E-2</v>
      </c>
      <c r="EH432" s="1">
        <f>(Table1[[#This Row],[predicted_2]]-Table1[[#This Row],[actual_2]])/Table1[[#This Row],[actual_2]]</f>
        <v>3.875968992248062E-2</v>
      </c>
      <c r="EI432" s="1">
        <f>(Table1[[#This Row],[predicted_3]]-Table1[[#This Row],[actual_3]])/Table1[[#This Row],[actual_3]]</f>
        <v>0</v>
      </c>
      <c r="EJ432" s="1">
        <f>(Table1[[#This Row],[predicted_4]]-Table1[[#This Row],[actual_4]])/Table1[[#This Row],[actual_4]]</f>
        <v>-1.3238289205702648E-2</v>
      </c>
      <c r="EK432" s="1">
        <f>(Table1[[#This Row],[predicted_5]]-Table1[[#This Row],[actual_5]])/Table1[[#This Row],[actual_5]]</f>
        <v>4.0358744394618833E-2</v>
      </c>
      <c r="EL432" s="1">
        <f>(Table1[[#This Row],[predicted_6]]-Table1[[#This Row],[actual_6]])/Table1[[#This Row],[actual_6]]</f>
        <v>-5.6367432150313153E-2</v>
      </c>
      <c r="EM432" s="1">
        <f>(Table1[[#This Row],[predicted_7]]-Table1[[#This Row],[actual_7]])/Table1[[#This Row],[actual_7]]</f>
        <v>-6.8093385214007776E-2</v>
      </c>
      <c r="EN432" s="1">
        <f>(Table1[[#This Row],[predicted_8]]-Table1[[#This Row],[actual_8]])/Table1[[#This Row],[actual_8]]</f>
        <v>-3.3880903490759756E-2</v>
      </c>
      <c r="EO432" s="1">
        <f>(Table1[[#This Row],[predicted_9]]-Table1[[#This Row],[actual_9]])/Table1[[#This Row],[actual_9]]</f>
        <v>3.0723488602576808E-2</v>
      </c>
      <c r="EP432" s="1">
        <f>1+(Table1[[#This Row],[error_ratio_0]]-EF$2)</f>
        <v>1.0357142857142858</v>
      </c>
      <c r="EQ432" s="1">
        <f>1+(Table1[[#This Row],[error_ratio_1]]-EG$2)</f>
        <v>1.0211453744493393</v>
      </c>
      <c r="ER432" s="1">
        <f>1+(Table1[[#This Row],[error_ratio_2]]-EH$2)</f>
        <v>1.0436046511627908</v>
      </c>
      <c r="ES432" s="1">
        <f>1+(Table1[[#This Row],[error_ratio_3]]-EI$2)</f>
        <v>0.99009900990099009</v>
      </c>
      <c r="ET432" s="1">
        <f>1+(Table1[[#This Row],[error_ratio_4]]-EJ$2)</f>
        <v>0.98574338085539714</v>
      </c>
      <c r="EU432" s="1">
        <f>1+(Table1[[#This Row],[error_ratio_5]]-EK$2)</f>
        <v>1.039237668161435</v>
      </c>
      <c r="EV432" s="1">
        <f>1+(Table1[[#This Row],[error_ratio_6]]-EL$2)</f>
        <v>0.94989561586638827</v>
      </c>
      <c r="EW432" s="1">
        <f>1+(Table1[[#This Row],[error_ratio_7]]-EM$2)</f>
        <v>0.92996108949416345</v>
      </c>
      <c r="EX432" s="1">
        <f>1+(Table1[[#This Row],[error_ratio_8]]-EN$2)</f>
        <v>0.9691991786447639</v>
      </c>
      <c r="EY432" s="1">
        <f>1+(Table1[[#This Row],[error_ratio_9]]-EO$2)</f>
        <v>1.0346878097125867</v>
      </c>
    </row>
    <row r="433" spans="1:155" x14ac:dyDescent="0.75">
      <c r="A433">
        <v>10</v>
      </c>
      <c r="B433">
        <v>100</v>
      </c>
      <c r="C433">
        <v>100</v>
      </c>
      <c r="D433">
        <v>100</v>
      </c>
      <c r="E433">
        <v>10</v>
      </c>
      <c r="F433">
        <v>100</v>
      </c>
      <c r="G433">
        <v>10</v>
      </c>
      <c r="H433">
        <v>10</v>
      </c>
      <c r="I433">
        <v>10</v>
      </c>
      <c r="J433">
        <v>100</v>
      </c>
      <c r="K433">
        <v>942</v>
      </c>
      <c r="L433">
        <v>1162</v>
      </c>
      <c r="M433">
        <v>1121</v>
      </c>
      <c r="N433">
        <v>1055</v>
      </c>
      <c r="O433">
        <v>901</v>
      </c>
      <c r="P433">
        <v>907</v>
      </c>
      <c r="Q433">
        <v>950</v>
      </c>
      <c r="R433">
        <v>976</v>
      </c>
      <c r="S433">
        <v>814</v>
      </c>
      <c r="T433">
        <v>1172</v>
      </c>
      <c r="U433">
        <v>980</v>
      </c>
      <c r="V433">
        <v>1135</v>
      </c>
      <c r="W433">
        <v>1032</v>
      </c>
      <c r="X433">
        <v>1010</v>
      </c>
      <c r="Y433">
        <v>982</v>
      </c>
      <c r="Z433">
        <v>892</v>
      </c>
      <c r="AA433">
        <v>958</v>
      </c>
      <c r="AB433">
        <v>1028</v>
      </c>
      <c r="AC433">
        <v>974</v>
      </c>
      <c r="AD433">
        <v>1009</v>
      </c>
      <c r="AE433">
        <v>931</v>
      </c>
      <c r="AF433">
        <v>0</v>
      </c>
      <c r="AG433">
        <v>13</v>
      </c>
      <c r="AH433">
        <v>2</v>
      </c>
      <c r="AI433">
        <v>0</v>
      </c>
      <c r="AJ433">
        <v>5</v>
      </c>
      <c r="AK433">
        <v>12</v>
      </c>
      <c r="AL433">
        <v>3</v>
      </c>
      <c r="AM433">
        <v>1</v>
      </c>
      <c r="AN433">
        <v>13</v>
      </c>
      <c r="AO433">
        <v>0</v>
      </c>
      <c r="AP433">
        <v>1133</v>
      </c>
      <c r="AQ433">
        <v>0</v>
      </c>
      <c r="AR433">
        <v>1</v>
      </c>
      <c r="AS433">
        <v>0</v>
      </c>
      <c r="AT433">
        <v>0</v>
      </c>
      <c r="AU433">
        <v>0</v>
      </c>
      <c r="AV433">
        <v>0</v>
      </c>
      <c r="AW433">
        <v>0</v>
      </c>
      <c r="AX433">
        <v>1</v>
      </c>
      <c r="AY433">
        <v>0</v>
      </c>
      <c r="AZ433">
        <v>6</v>
      </c>
      <c r="BA433">
        <v>1015</v>
      </c>
      <c r="BB433">
        <v>7</v>
      </c>
      <c r="BC433">
        <v>0</v>
      </c>
      <c r="BD433">
        <v>1</v>
      </c>
      <c r="BE433">
        <v>1</v>
      </c>
      <c r="BF433">
        <v>2</v>
      </c>
      <c r="BG433">
        <v>0</v>
      </c>
      <c r="BH433">
        <v>0</v>
      </c>
      <c r="BI433">
        <v>0</v>
      </c>
      <c r="BJ433">
        <v>0</v>
      </c>
      <c r="BK433">
        <v>3</v>
      </c>
      <c r="BL433">
        <v>1003</v>
      </c>
      <c r="BM433">
        <v>0</v>
      </c>
      <c r="BN433">
        <v>1</v>
      </c>
      <c r="BO433">
        <v>0</v>
      </c>
      <c r="BP433">
        <v>0</v>
      </c>
      <c r="BQ433">
        <v>0</v>
      </c>
      <c r="BR433">
        <v>3</v>
      </c>
      <c r="BS433">
        <v>1</v>
      </c>
      <c r="BT433">
        <v>3</v>
      </c>
      <c r="BU433">
        <v>4</v>
      </c>
      <c r="BV433">
        <v>0</v>
      </c>
      <c r="BW433">
        <v>897</v>
      </c>
      <c r="BX433">
        <v>0</v>
      </c>
      <c r="BY433">
        <v>5</v>
      </c>
      <c r="BZ433">
        <v>0</v>
      </c>
      <c r="CA433">
        <v>1</v>
      </c>
      <c r="CB433">
        <v>71</v>
      </c>
      <c r="CC433">
        <v>1</v>
      </c>
      <c r="CD433">
        <v>0</v>
      </c>
      <c r="CE433">
        <v>0</v>
      </c>
      <c r="CF433">
        <v>14</v>
      </c>
      <c r="CG433">
        <v>0</v>
      </c>
      <c r="CH433">
        <v>873</v>
      </c>
      <c r="CI433">
        <v>0</v>
      </c>
      <c r="CJ433">
        <v>1</v>
      </c>
      <c r="CK433">
        <v>0</v>
      </c>
      <c r="CL433">
        <v>3</v>
      </c>
      <c r="CM433">
        <v>5</v>
      </c>
      <c r="CN433">
        <v>6</v>
      </c>
      <c r="CO433">
        <v>0</v>
      </c>
      <c r="CP433">
        <v>0</v>
      </c>
      <c r="CQ433">
        <v>3</v>
      </c>
      <c r="CR433">
        <v>14</v>
      </c>
      <c r="CS433">
        <v>928</v>
      </c>
      <c r="CT433">
        <v>0</v>
      </c>
      <c r="CU433">
        <v>1</v>
      </c>
      <c r="CV433">
        <v>1</v>
      </c>
      <c r="CW433">
        <v>1</v>
      </c>
      <c r="CX433">
        <v>6</v>
      </c>
      <c r="CY433">
        <v>26</v>
      </c>
      <c r="CZ433">
        <v>10</v>
      </c>
      <c r="DA433">
        <v>0</v>
      </c>
      <c r="DB433">
        <v>0</v>
      </c>
      <c r="DC433">
        <v>0</v>
      </c>
      <c r="DD433">
        <v>959</v>
      </c>
      <c r="DE433">
        <v>0</v>
      </c>
      <c r="DF433">
        <v>26</v>
      </c>
      <c r="DG433">
        <v>3</v>
      </c>
      <c r="DH433">
        <v>8</v>
      </c>
      <c r="DI433">
        <v>60</v>
      </c>
      <c r="DJ433">
        <v>17</v>
      </c>
      <c r="DK433">
        <v>1</v>
      </c>
      <c r="DL433">
        <v>11</v>
      </c>
      <c r="DM433">
        <v>4</v>
      </c>
      <c r="DN433">
        <v>8</v>
      </c>
      <c r="DO433">
        <v>811</v>
      </c>
      <c r="DP433">
        <v>51</v>
      </c>
      <c r="DQ433">
        <v>0</v>
      </c>
      <c r="DR433">
        <v>0</v>
      </c>
      <c r="DS433">
        <v>0</v>
      </c>
      <c r="DT433">
        <v>1</v>
      </c>
      <c r="DU433">
        <v>0</v>
      </c>
      <c r="DV433">
        <v>2</v>
      </c>
      <c r="DW433">
        <v>0</v>
      </c>
      <c r="DX433">
        <v>3</v>
      </c>
      <c r="DY433">
        <v>0</v>
      </c>
      <c r="DZ433">
        <v>1003</v>
      </c>
      <c r="EA433">
        <v>0.95530000000000004</v>
      </c>
      <c r="EB433">
        <v>0.95891331039991901</v>
      </c>
      <c r="EC433">
        <v>0.95452423572591105</v>
      </c>
      <c r="ED433">
        <v>0.95496123981548597</v>
      </c>
      <c r="EE433">
        <f>SUM(Table1[[#This Row],[ratio_0]:[ratio_9]])</f>
        <v>550</v>
      </c>
      <c r="EF433" s="1">
        <f>(Table1[[#This Row],[predicted_0]]-Table1[[#This Row],[actual_0]])/Table1[[#This Row],[actual_0]]</f>
        <v>-3.8775510204081633E-2</v>
      </c>
      <c r="EG433" s="1">
        <f>(Table1[[#This Row],[predicted_1]]-Table1[[#This Row],[actual_1]])/Table1[[#This Row],[actual_1]]</f>
        <v>2.378854625550661E-2</v>
      </c>
      <c r="EH433" s="1">
        <f>(Table1[[#This Row],[predicted_2]]-Table1[[#This Row],[actual_2]])/Table1[[#This Row],[actual_2]]</f>
        <v>8.624031007751938E-2</v>
      </c>
      <c r="EI433" s="1">
        <f>(Table1[[#This Row],[predicted_3]]-Table1[[#This Row],[actual_3]])/Table1[[#This Row],[actual_3]]</f>
        <v>4.4554455445544552E-2</v>
      </c>
      <c r="EJ433" s="1">
        <f>(Table1[[#This Row],[predicted_4]]-Table1[[#This Row],[actual_4]])/Table1[[#This Row],[actual_4]]</f>
        <v>-8.2484725050916502E-2</v>
      </c>
      <c r="EK433" s="1">
        <f>(Table1[[#This Row],[predicted_5]]-Table1[[#This Row],[actual_5]])/Table1[[#This Row],[actual_5]]</f>
        <v>1.6816143497757848E-2</v>
      </c>
      <c r="EL433" s="1">
        <f>(Table1[[#This Row],[predicted_6]]-Table1[[#This Row],[actual_6]])/Table1[[#This Row],[actual_6]]</f>
        <v>-8.350730688935281E-3</v>
      </c>
      <c r="EM433" s="1">
        <f>(Table1[[#This Row],[predicted_7]]-Table1[[#This Row],[actual_7]])/Table1[[#This Row],[actual_7]]</f>
        <v>-5.0583657587548639E-2</v>
      </c>
      <c r="EN433" s="1">
        <f>(Table1[[#This Row],[predicted_8]]-Table1[[#This Row],[actual_8]])/Table1[[#This Row],[actual_8]]</f>
        <v>-0.16427104722792607</v>
      </c>
      <c r="EO433" s="1">
        <f>(Table1[[#This Row],[predicted_9]]-Table1[[#This Row],[actual_9]])/Table1[[#This Row],[actual_9]]</f>
        <v>0.16154608523290387</v>
      </c>
      <c r="EP433" s="1">
        <f>1+(Table1[[#This Row],[error_ratio_0]]-EF$2)</f>
        <v>0.95918367346938771</v>
      </c>
      <c r="EQ433" s="1">
        <f>1+(Table1[[#This Row],[error_ratio_1]]-EG$2)</f>
        <v>1.0220264317180616</v>
      </c>
      <c r="ER433" s="1">
        <f>1+(Table1[[#This Row],[error_ratio_2]]-EH$2)</f>
        <v>1.0910852713178294</v>
      </c>
      <c r="ES433" s="1">
        <f>1+(Table1[[#This Row],[error_ratio_3]]-EI$2)</f>
        <v>1.0346534653465347</v>
      </c>
      <c r="ET433" s="1">
        <f>1+(Table1[[#This Row],[error_ratio_4]]-EJ$2)</f>
        <v>0.91649694501018331</v>
      </c>
      <c r="EU433" s="1">
        <f>1+(Table1[[#This Row],[error_ratio_5]]-EK$2)</f>
        <v>1.0156950672645739</v>
      </c>
      <c r="EV433" s="1">
        <f>1+(Table1[[#This Row],[error_ratio_6]]-EL$2)</f>
        <v>0.9979123173277662</v>
      </c>
      <c r="EW433" s="1">
        <f>1+(Table1[[#This Row],[error_ratio_7]]-EM$2)</f>
        <v>0.94747081712062253</v>
      </c>
      <c r="EX433" s="1">
        <f>1+(Table1[[#This Row],[error_ratio_8]]-EN$2)</f>
        <v>0.83880903490759751</v>
      </c>
      <c r="EY433" s="1">
        <f>1+(Table1[[#This Row],[error_ratio_9]]-EO$2)</f>
        <v>1.1655104063429138</v>
      </c>
    </row>
    <row r="434" spans="1:155" x14ac:dyDescent="0.75">
      <c r="A434">
        <v>10</v>
      </c>
      <c r="B434">
        <v>10</v>
      </c>
      <c r="C434">
        <v>100</v>
      </c>
      <c r="D434">
        <v>100</v>
      </c>
      <c r="E434">
        <v>10</v>
      </c>
      <c r="F434">
        <v>100</v>
      </c>
      <c r="G434">
        <v>10</v>
      </c>
      <c r="H434">
        <v>10</v>
      </c>
      <c r="I434">
        <v>10</v>
      </c>
      <c r="J434">
        <v>100</v>
      </c>
      <c r="K434">
        <v>941</v>
      </c>
      <c r="L434">
        <v>1131</v>
      </c>
      <c r="M434">
        <v>1126</v>
      </c>
      <c r="N434">
        <v>1109</v>
      </c>
      <c r="O434">
        <v>888</v>
      </c>
      <c r="P434">
        <v>980</v>
      </c>
      <c r="Q434">
        <v>922</v>
      </c>
      <c r="R434">
        <v>893</v>
      </c>
      <c r="S434">
        <v>873</v>
      </c>
      <c r="T434">
        <v>1137</v>
      </c>
      <c r="U434">
        <v>980</v>
      </c>
      <c r="V434">
        <v>1135</v>
      </c>
      <c r="W434">
        <v>1032</v>
      </c>
      <c r="X434">
        <v>1010</v>
      </c>
      <c r="Y434">
        <v>982</v>
      </c>
      <c r="Z434">
        <v>892</v>
      </c>
      <c r="AA434">
        <v>958</v>
      </c>
      <c r="AB434">
        <v>1028</v>
      </c>
      <c r="AC434">
        <v>974</v>
      </c>
      <c r="AD434">
        <v>1009</v>
      </c>
      <c r="AE434">
        <v>929</v>
      </c>
      <c r="AF434">
        <v>0</v>
      </c>
      <c r="AG434">
        <v>17</v>
      </c>
      <c r="AH434">
        <v>1</v>
      </c>
      <c r="AI434">
        <v>1</v>
      </c>
      <c r="AJ434">
        <v>12</v>
      </c>
      <c r="AK434">
        <v>5</v>
      </c>
      <c r="AL434">
        <v>0</v>
      </c>
      <c r="AM434">
        <v>0</v>
      </c>
      <c r="AN434">
        <v>15</v>
      </c>
      <c r="AO434">
        <v>0</v>
      </c>
      <c r="AP434">
        <v>1120</v>
      </c>
      <c r="AQ434">
        <v>5</v>
      </c>
      <c r="AR434">
        <v>7</v>
      </c>
      <c r="AS434">
        <v>0</v>
      </c>
      <c r="AT434">
        <v>3</v>
      </c>
      <c r="AU434">
        <v>0</v>
      </c>
      <c r="AV434">
        <v>0</v>
      </c>
      <c r="AW434">
        <v>0</v>
      </c>
      <c r="AX434">
        <v>0</v>
      </c>
      <c r="AY434">
        <v>0</v>
      </c>
      <c r="AZ434">
        <v>0</v>
      </c>
      <c r="BA434">
        <v>1026</v>
      </c>
      <c r="BB434">
        <v>6</v>
      </c>
      <c r="BC434">
        <v>0</v>
      </c>
      <c r="BD434">
        <v>0</v>
      </c>
      <c r="BE434">
        <v>0</v>
      </c>
      <c r="BF434">
        <v>0</v>
      </c>
      <c r="BG434">
        <v>0</v>
      </c>
      <c r="BH434">
        <v>0</v>
      </c>
      <c r="BI434">
        <v>0</v>
      </c>
      <c r="BJ434">
        <v>0</v>
      </c>
      <c r="BK434">
        <v>1</v>
      </c>
      <c r="BL434">
        <v>999</v>
      </c>
      <c r="BM434">
        <v>0</v>
      </c>
      <c r="BN434">
        <v>9</v>
      </c>
      <c r="BO434">
        <v>0</v>
      </c>
      <c r="BP434">
        <v>0</v>
      </c>
      <c r="BQ434">
        <v>0</v>
      </c>
      <c r="BR434">
        <v>1</v>
      </c>
      <c r="BS434">
        <v>0</v>
      </c>
      <c r="BT434">
        <v>1</v>
      </c>
      <c r="BU434">
        <v>7</v>
      </c>
      <c r="BV434">
        <v>1</v>
      </c>
      <c r="BW434">
        <v>876</v>
      </c>
      <c r="BX434">
        <v>0</v>
      </c>
      <c r="BY434">
        <v>0</v>
      </c>
      <c r="BZ434">
        <v>0</v>
      </c>
      <c r="CA434">
        <v>0</v>
      </c>
      <c r="CB434">
        <v>97</v>
      </c>
      <c r="CC434">
        <v>1</v>
      </c>
      <c r="CD434">
        <v>0</v>
      </c>
      <c r="CE434">
        <v>1</v>
      </c>
      <c r="CF434">
        <v>3</v>
      </c>
      <c r="CG434">
        <v>0</v>
      </c>
      <c r="CH434">
        <v>886</v>
      </c>
      <c r="CI434">
        <v>1</v>
      </c>
      <c r="CJ434">
        <v>0</v>
      </c>
      <c r="CK434">
        <v>0</v>
      </c>
      <c r="CL434">
        <v>0</v>
      </c>
      <c r="CM434">
        <v>5</v>
      </c>
      <c r="CN434">
        <v>4</v>
      </c>
      <c r="CO434">
        <v>2</v>
      </c>
      <c r="CP434">
        <v>1</v>
      </c>
      <c r="CQ434">
        <v>7</v>
      </c>
      <c r="CR434">
        <v>21</v>
      </c>
      <c r="CS434">
        <v>915</v>
      </c>
      <c r="CT434">
        <v>0</v>
      </c>
      <c r="CU434">
        <v>0</v>
      </c>
      <c r="CV434">
        <v>3</v>
      </c>
      <c r="CW434">
        <v>1</v>
      </c>
      <c r="CX434">
        <v>4</v>
      </c>
      <c r="CY434">
        <v>43</v>
      </c>
      <c r="CZ434">
        <v>72</v>
      </c>
      <c r="DA434">
        <v>3</v>
      </c>
      <c r="DB434">
        <v>6</v>
      </c>
      <c r="DC434">
        <v>0</v>
      </c>
      <c r="DD434">
        <v>884</v>
      </c>
      <c r="DE434">
        <v>1</v>
      </c>
      <c r="DF434">
        <v>14</v>
      </c>
      <c r="DG434">
        <v>4</v>
      </c>
      <c r="DH434">
        <v>1</v>
      </c>
      <c r="DI434">
        <v>24</v>
      </c>
      <c r="DJ434">
        <v>17</v>
      </c>
      <c r="DK434">
        <v>1</v>
      </c>
      <c r="DL434">
        <v>37</v>
      </c>
      <c r="DM434">
        <v>0</v>
      </c>
      <c r="DN434">
        <v>4</v>
      </c>
      <c r="DO434">
        <v>872</v>
      </c>
      <c r="DP434">
        <v>14</v>
      </c>
      <c r="DQ434">
        <v>1</v>
      </c>
      <c r="DR434">
        <v>1</v>
      </c>
      <c r="DS434">
        <v>0</v>
      </c>
      <c r="DT434">
        <v>2</v>
      </c>
      <c r="DU434">
        <v>0</v>
      </c>
      <c r="DV434">
        <v>6</v>
      </c>
      <c r="DW434">
        <v>1</v>
      </c>
      <c r="DX434">
        <v>5</v>
      </c>
      <c r="DY434">
        <v>0</v>
      </c>
      <c r="DZ434">
        <v>993</v>
      </c>
      <c r="EA434">
        <v>0.95</v>
      </c>
      <c r="EB434">
        <v>0.95346262867674103</v>
      </c>
      <c r="EC434">
        <v>0.94978257756102802</v>
      </c>
      <c r="ED434">
        <v>0.94964230628635005</v>
      </c>
      <c r="EE434">
        <f>SUM(Table1[[#This Row],[ratio_0]:[ratio_9]])</f>
        <v>460</v>
      </c>
      <c r="EF434" s="1">
        <f>(Table1[[#This Row],[predicted_0]]-Table1[[#This Row],[actual_0]])/Table1[[#This Row],[actual_0]]</f>
        <v>-3.9795918367346937E-2</v>
      </c>
      <c r="EG434" s="1">
        <f>(Table1[[#This Row],[predicted_1]]-Table1[[#This Row],[actual_1]])/Table1[[#This Row],[actual_1]]</f>
        <v>-3.524229074889868E-3</v>
      </c>
      <c r="EH434" s="1">
        <f>(Table1[[#This Row],[predicted_2]]-Table1[[#This Row],[actual_2]])/Table1[[#This Row],[actual_2]]</f>
        <v>9.1085271317829453E-2</v>
      </c>
      <c r="EI434" s="1">
        <f>(Table1[[#This Row],[predicted_3]]-Table1[[#This Row],[actual_3]])/Table1[[#This Row],[actual_3]]</f>
        <v>9.8019801980198024E-2</v>
      </c>
      <c r="EJ434" s="1">
        <f>(Table1[[#This Row],[predicted_4]]-Table1[[#This Row],[actual_4]])/Table1[[#This Row],[actual_4]]</f>
        <v>-9.5723014256619138E-2</v>
      </c>
      <c r="EK434" s="1">
        <f>(Table1[[#This Row],[predicted_5]]-Table1[[#This Row],[actual_5]])/Table1[[#This Row],[actual_5]]</f>
        <v>9.8654708520179366E-2</v>
      </c>
      <c r="EL434" s="1">
        <f>(Table1[[#This Row],[predicted_6]]-Table1[[#This Row],[actual_6]])/Table1[[#This Row],[actual_6]]</f>
        <v>-3.7578288100208766E-2</v>
      </c>
      <c r="EM434" s="1">
        <f>(Table1[[#This Row],[predicted_7]]-Table1[[#This Row],[actual_7]])/Table1[[#This Row],[actual_7]]</f>
        <v>-0.13132295719844359</v>
      </c>
      <c r="EN434" s="1">
        <f>(Table1[[#This Row],[predicted_8]]-Table1[[#This Row],[actual_8]])/Table1[[#This Row],[actual_8]]</f>
        <v>-0.10369609856262833</v>
      </c>
      <c r="EO434" s="1">
        <f>(Table1[[#This Row],[predicted_9]]-Table1[[#This Row],[actual_9]])/Table1[[#This Row],[actual_9]]</f>
        <v>0.12685827552031714</v>
      </c>
      <c r="EP434" s="1">
        <f>1+(Table1[[#This Row],[error_ratio_0]]-EF$2)</f>
        <v>0.9581632653061225</v>
      </c>
      <c r="EQ434" s="1">
        <f>1+(Table1[[#This Row],[error_ratio_1]]-EG$2)</f>
        <v>0.99471365638766518</v>
      </c>
      <c r="ER434" s="1">
        <f>1+(Table1[[#This Row],[error_ratio_2]]-EH$2)</f>
        <v>1.0959302325581395</v>
      </c>
      <c r="ES434" s="1">
        <f>1+(Table1[[#This Row],[error_ratio_3]]-EI$2)</f>
        <v>1.0881188118811882</v>
      </c>
      <c r="ET434" s="1">
        <f>1+(Table1[[#This Row],[error_ratio_4]]-EJ$2)</f>
        <v>0.90325865580448061</v>
      </c>
      <c r="EU434" s="1">
        <f>1+(Table1[[#This Row],[error_ratio_5]]-EK$2)</f>
        <v>1.0975336322869955</v>
      </c>
      <c r="EV434" s="1">
        <f>1+(Table1[[#This Row],[error_ratio_6]]-EL$2)</f>
        <v>0.96868475991649272</v>
      </c>
      <c r="EW434" s="1">
        <f>1+(Table1[[#This Row],[error_ratio_7]]-EM$2)</f>
        <v>0.86673151750972766</v>
      </c>
      <c r="EX434" s="1">
        <f>1+(Table1[[#This Row],[error_ratio_8]]-EN$2)</f>
        <v>0.89938398357289528</v>
      </c>
      <c r="EY434" s="1">
        <f>1+(Table1[[#This Row],[error_ratio_9]]-EO$2)</f>
        <v>1.1308225966303271</v>
      </c>
    </row>
    <row r="435" spans="1:155" x14ac:dyDescent="0.75">
      <c r="A435">
        <v>100</v>
      </c>
      <c r="B435">
        <v>100</v>
      </c>
      <c r="C435">
        <v>10</v>
      </c>
      <c r="D435">
        <v>100</v>
      </c>
      <c r="E435">
        <v>10</v>
      </c>
      <c r="F435">
        <v>100</v>
      </c>
      <c r="G435">
        <v>10</v>
      </c>
      <c r="H435">
        <v>10</v>
      </c>
      <c r="I435">
        <v>10</v>
      </c>
      <c r="J435">
        <v>100</v>
      </c>
      <c r="K435">
        <v>1028</v>
      </c>
      <c r="L435">
        <v>1243</v>
      </c>
      <c r="M435">
        <v>985</v>
      </c>
      <c r="N435">
        <v>1045</v>
      </c>
      <c r="O435">
        <v>938</v>
      </c>
      <c r="P435">
        <v>919</v>
      </c>
      <c r="Q435">
        <v>924</v>
      </c>
      <c r="R435">
        <v>919</v>
      </c>
      <c r="S435">
        <v>943</v>
      </c>
      <c r="T435">
        <v>1056</v>
      </c>
      <c r="U435">
        <v>980</v>
      </c>
      <c r="V435">
        <v>1135</v>
      </c>
      <c r="W435">
        <v>1032</v>
      </c>
      <c r="X435">
        <v>1010</v>
      </c>
      <c r="Y435">
        <v>982</v>
      </c>
      <c r="Z435">
        <v>892</v>
      </c>
      <c r="AA435">
        <v>958</v>
      </c>
      <c r="AB435">
        <v>1028</v>
      </c>
      <c r="AC435">
        <v>974</v>
      </c>
      <c r="AD435">
        <v>1009</v>
      </c>
      <c r="AE435">
        <v>976</v>
      </c>
      <c r="AF435">
        <v>0</v>
      </c>
      <c r="AG435">
        <v>0</v>
      </c>
      <c r="AH435">
        <v>0</v>
      </c>
      <c r="AI435">
        <v>0</v>
      </c>
      <c r="AJ435">
        <v>1</v>
      </c>
      <c r="AK435">
        <v>1</v>
      </c>
      <c r="AL435">
        <v>0</v>
      </c>
      <c r="AM435">
        <v>1</v>
      </c>
      <c r="AN435">
        <v>1</v>
      </c>
      <c r="AO435">
        <v>0</v>
      </c>
      <c r="AP435">
        <v>1134</v>
      </c>
      <c r="AQ435">
        <v>0</v>
      </c>
      <c r="AR435">
        <v>1</v>
      </c>
      <c r="AS435">
        <v>0</v>
      </c>
      <c r="AT435">
        <v>0</v>
      </c>
      <c r="AU435">
        <v>0</v>
      </c>
      <c r="AV435">
        <v>0</v>
      </c>
      <c r="AW435">
        <v>0</v>
      </c>
      <c r="AX435">
        <v>0</v>
      </c>
      <c r="AY435">
        <v>8</v>
      </c>
      <c r="AZ435">
        <v>46</v>
      </c>
      <c r="BA435">
        <v>955</v>
      </c>
      <c r="BB435">
        <v>11</v>
      </c>
      <c r="BC435">
        <v>2</v>
      </c>
      <c r="BD435">
        <v>0</v>
      </c>
      <c r="BE435">
        <v>1</v>
      </c>
      <c r="BF435">
        <v>2</v>
      </c>
      <c r="BG435">
        <v>3</v>
      </c>
      <c r="BH435">
        <v>4</v>
      </c>
      <c r="BI435">
        <v>0</v>
      </c>
      <c r="BJ435">
        <v>0</v>
      </c>
      <c r="BK435">
        <v>1</v>
      </c>
      <c r="BL435">
        <v>1000</v>
      </c>
      <c r="BM435">
        <v>0</v>
      </c>
      <c r="BN435">
        <v>6</v>
      </c>
      <c r="BO435">
        <v>0</v>
      </c>
      <c r="BP435">
        <v>2</v>
      </c>
      <c r="BQ435">
        <v>1</v>
      </c>
      <c r="BR435">
        <v>0</v>
      </c>
      <c r="BS435">
        <v>2</v>
      </c>
      <c r="BT435">
        <v>13</v>
      </c>
      <c r="BU435">
        <v>0</v>
      </c>
      <c r="BV435">
        <v>0</v>
      </c>
      <c r="BW435">
        <v>932</v>
      </c>
      <c r="BX435">
        <v>0</v>
      </c>
      <c r="BY435">
        <v>8</v>
      </c>
      <c r="BZ435">
        <v>1</v>
      </c>
      <c r="CA435">
        <v>1</v>
      </c>
      <c r="CB435">
        <v>25</v>
      </c>
      <c r="CC435">
        <v>1</v>
      </c>
      <c r="CD435">
        <v>0</v>
      </c>
      <c r="CE435">
        <v>1</v>
      </c>
      <c r="CF435">
        <v>3</v>
      </c>
      <c r="CG435">
        <v>0</v>
      </c>
      <c r="CH435">
        <v>886</v>
      </c>
      <c r="CI435">
        <v>1</v>
      </c>
      <c r="CJ435">
        <v>0</v>
      </c>
      <c r="CK435">
        <v>0</v>
      </c>
      <c r="CL435">
        <v>0</v>
      </c>
      <c r="CM435">
        <v>28</v>
      </c>
      <c r="CN435">
        <v>6</v>
      </c>
      <c r="CO435">
        <v>1</v>
      </c>
      <c r="CP435">
        <v>0</v>
      </c>
      <c r="CQ435">
        <v>2</v>
      </c>
      <c r="CR435">
        <v>8</v>
      </c>
      <c r="CS435">
        <v>912</v>
      </c>
      <c r="CT435">
        <v>0</v>
      </c>
      <c r="CU435">
        <v>1</v>
      </c>
      <c r="CV435">
        <v>0</v>
      </c>
      <c r="CW435">
        <v>4</v>
      </c>
      <c r="CX435">
        <v>34</v>
      </c>
      <c r="CY435">
        <v>22</v>
      </c>
      <c r="CZ435">
        <v>19</v>
      </c>
      <c r="DA435">
        <v>0</v>
      </c>
      <c r="DB435">
        <v>5</v>
      </c>
      <c r="DC435">
        <v>0</v>
      </c>
      <c r="DD435">
        <v>910</v>
      </c>
      <c r="DE435">
        <v>1</v>
      </c>
      <c r="DF435">
        <v>33</v>
      </c>
      <c r="DG435">
        <v>7</v>
      </c>
      <c r="DH435">
        <v>5</v>
      </c>
      <c r="DI435">
        <v>4</v>
      </c>
      <c r="DJ435">
        <v>6</v>
      </c>
      <c r="DK435">
        <v>0</v>
      </c>
      <c r="DL435">
        <v>7</v>
      </c>
      <c r="DM435">
        <v>1</v>
      </c>
      <c r="DN435">
        <v>1</v>
      </c>
      <c r="DO435">
        <v>932</v>
      </c>
      <c r="DP435">
        <v>11</v>
      </c>
      <c r="DQ435">
        <v>2</v>
      </c>
      <c r="DR435">
        <v>5</v>
      </c>
      <c r="DS435">
        <v>1</v>
      </c>
      <c r="DT435">
        <v>5</v>
      </c>
      <c r="DU435">
        <v>2</v>
      </c>
      <c r="DV435">
        <v>6</v>
      </c>
      <c r="DW435">
        <v>0</v>
      </c>
      <c r="DX435">
        <v>3</v>
      </c>
      <c r="DY435">
        <v>3</v>
      </c>
      <c r="DZ435">
        <v>982</v>
      </c>
      <c r="EA435">
        <v>0.96189999999999998</v>
      </c>
      <c r="EB435">
        <v>0.96413801105283004</v>
      </c>
      <c r="EC435">
        <v>0.96201979514651403</v>
      </c>
      <c r="ED435">
        <v>0.96227347789491802</v>
      </c>
      <c r="EE435">
        <f>SUM(Table1[[#This Row],[ratio_0]:[ratio_9]])</f>
        <v>550</v>
      </c>
      <c r="EF435" s="1">
        <f>(Table1[[#This Row],[predicted_0]]-Table1[[#This Row],[actual_0]])/Table1[[#This Row],[actual_0]]</f>
        <v>4.8979591836734691E-2</v>
      </c>
      <c r="EG435" s="1">
        <f>(Table1[[#This Row],[predicted_1]]-Table1[[#This Row],[actual_1]])/Table1[[#This Row],[actual_1]]</f>
        <v>9.5154185022026438E-2</v>
      </c>
      <c r="EH435" s="1">
        <f>(Table1[[#This Row],[predicted_2]]-Table1[[#This Row],[actual_2]])/Table1[[#This Row],[actual_2]]</f>
        <v>-4.5542635658914726E-2</v>
      </c>
      <c r="EI435" s="1">
        <f>(Table1[[#This Row],[predicted_3]]-Table1[[#This Row],[actual_3]])/Table1[[#This Row],[actual_3]]</f>
        <v>3.4653465346534656E-2</v>
      </c>
      <c r="EJ435" s="1">
        <f>(Table1[[#This Row],[predicted_4]]-Table1[[#This Row],[actual_4]])/Table1[[#This Row],[actual_4]]</f>
        <v>-4.4806517311608958E-2</v>
      </c>
      <c r="EK435" s="1">
        <f>(Table1[[#This Row],[predicted_5]]-Table1[[#This Row],[actual_5]])/Table1[[#This Row],[actual_5]]</f>
        <v>3.0269058295964126E-2</v>
      </c>
      <c r="EL435" s="1">
        <f>(Table1[[#This Row],[predicted_6]]-Table1[[#This Row],[actual_6]])/Table1[[#This Row],[actual_6]]</f>
        <v>-3.5490605427974949E-2</v>
      </c>
      <c r="EM435" s="1">
        <f>(Table1[[#This Row],[predicted_7]]-Table1[[#This Row],[actual_7]])/Table1[[#This Row],[actual_7]]</f>
        <v>-0.10603112840466926</v>
      </c>
      <c r="EN435" s="1">
        <f>(Table1[[#This Row],[predicted_8]]-Table1[[#This Row],[actual_8]])/Table1[[#This Row],[actual_8]]</f>
        <v>-3.1827515400410678E-2</v>
      </c>
      <c r="EO435" s="1">
        <f>(Table1[[#This Row],[predicted_9]]-Table1[[#This Row],[actual_9]])/Table1[[#This Row],[actual_9]]</f>
        <v>4.6580773042616451E-2</v>
      </c>
      <c r="EP435" s="1">
        <f>1+(Table1[[#This Row],[error_ratio_0]]-EF$2)</f>
        <v>1.046938775510204</v>
      </c>
      <c r="EQ435" s="1">
        <f>1+(Table1[[#This Row],[error_ratio_1]]-EG$2)</f>
        <v>1.0933920704845814</v>
      </c>
      <c r="ER435" s="1">
        <f>1+(Table1[[#This Row],[error_ratio_2]]-EH$2)</f>
        <v>0.95930232558139539</v>
      </c>
      <c r="ES435" s="1">
        <f>1+(Table1[[#This Row],[error_ratio_3]]-EI$2)</f>
        <v>1.0247524752475248</v>
      </c>
      <c r="ET435" s="1">
        <f>1+(Table1[[#This Row],[error_ratio_4]]-EJ$2)</f>
        <v>0.95417515274949083</v>
      </c>
      <c r="EU435" s="1">
        <f>1+(Table1[[#This Row],[error_ratio_5]]-EK$2)</f>
        <v>1.0291479820627802</v>
      </c>
      <c r="EV435" s="1">
        <f>1+(Table1[[#This Row],[error_ratio_6]]-EL$2)</f>
        <v>0.97077244258872653</v>
      </c>
      <c r="EW435" s="1">
        <f>1+(Table1[[#This Row],[error_ratio_7]]-EM$2)</f>
        <v>0.89202334630350189</v>
      </c>
      <c r="EX435" s="1">
        <f>1+(Table1[[#This Row],[error_ratio_8]]-EN$2)</f>
        <v>0.97125256673511295</v>
      </c>
      <c r="EY435" s="1">
        <f>1+(Table1[[#This Row],[error_ratio_9]]-EO$2)</f>
        <v>1.0505450941526264</v>
      </c>
    </row>
    <row r="436" spans="1:155" x14ac:dyDescent="0.75">
      <c r="A436">
        <v>10</v>
      </c>
      <c r="B436">
        <v>100</v>
      </c>
      <c r="C436">
        <v>10</v>
      </c>
      <c r="D436">
        <v>100</v>
      </c>
      <c r="E436">
        <v>10</v>
      </c>
      <c r="F436">
        <v>100</v>
      </c>
      <c r="G436">
        <v>10</v>
      </c>
      <c r="H436">
        <v>10</v>
      </c>
      <c r="I436">
        <v>10</v>
      </c>
      <c r="J436">
        <v>100</v>
      </c>
      <c r="K436">
        <v>949</v>
      </c>
      <c r="L436">
        <v>1125</v>
      </c>
      <c r="M436">
        <v>1100</v>
      </c>
      <c r="N436">
        <v>1115</v>
      </c>
      <c r="O436">
        <v>948</v>
      </c>
      <c r="P436">
        <v>891</v>
      </c>
      <c r="Q436">
        <v>977</v>
      </c>
      <c r="R436">
        <v>942</v>
      </c>
      <c r="S436">
        <v>894</v>
      </c>
      <c r="T436">
        <v>1059</v>
      </c>
      <c r="U436">
        <v>980</v>
      </c>
      <c r="V436">
        <v>1135</v>
      </c>
      <c r="W436">
        <v>1032</v>
      </c>
      <c r="X436">
        <v>1010</v>
      </c>
      <c r="Y436">
        <v>982</v>
      </c>
      <c r="Z436">
        <v>892</v>
      </c>
      <c r="AA436">
        <v>958</v>
      </c>
      <c r="AB436">
        <v>1028</v>
      </c>
      <c r="AC436">
        <v>974</v>
      </c>
      <c r="AD436">
        <v>1009</v>
      </c>
      <c r="AE436">
        <v>928</v>
      </c>
      <c r="AF436">
        <v>0</v>
      </c>
      <c r="AG436">
        <v>2</v>
      </c>
      <c r="AH436">
        <v>0</v>
      </c>
      <c r="AI436">
        <v>0</v>
      </c>
      <c r="AJ436">
        <v>5</v>
      </c>
      <c r="AK436">
        <v>23</v>
      </c>
      <c r="AL436">
        <v>1</v>
      </c>
      <c r="AM436">
        <v>3</v>
      </c>
      <c r="AN436">
        <v>18</v>
      </c>
      <c r="AO436">
        <v>0</v>
      </c>
      <c r="AP436">
        <v>1120</v>
      </c>
      <c r="AQ436">
        <v>5</v>
      </c>
      <c r="AR436">
        <v>3</v>
      </c>
      <c r="AS436">
        <v>0</v>
      </c>
      <c r="AT436">
        <v>1</v>
      </c>
      <c r="AU436">
        <v>5</v>
      </c>
      <c r="AV436">
        <v>1</v>
      </c>
      <c r="AW436">
        <v>0</v>
      </c>
      <c r="AX436">
        <v>0</v>
      </c>
      <c r="AY436">
        <v>4</v>
      </c>
      <c r="AZ436">
        <v>0</v>
      </c>
      <c r="BA436">
        <v>1009</v>
      </c>
      <c r="BB436">
        <v>7</v>
      </c>
      <c r="BC436">
        <v>3</v>
      </c>
      <c r="BD436">
        <v>0</v>
      </c>
      <c r="BE436">
        <v>3</v>
      </c>
      <c r="BF436">
        <v>4</v>
      </c>
      <c r="BG436">
        <v>1</v>
      </c>
      <c r="BH436">
        <v>1</v>
      </c>
      <c r="BI436">
        <v>1</v>
      </c>
      <c r="BJ436">
        <v>0</v>
      </c>
      <c r="BK436">
        <v>8</v>
      </c>
      <c r="BL436">
        <v>999</v>
      </c>
      <c r="BM436">
        <v>0</v>
      </c>
      <c r="BN436">
        <v>1</v>
      </c>
      <c r="BO436">
        <v>0</v>
      </c>
      <c r="BP436">
        <v>1</v>
      </c>
      <c r="BQ436">
        <v>0</v>
      </c>
      <c r="BR436">
        <v>0</v>
      </c>
      <c r="BS436">
        <v>0</v>
      </c>
      <c r="BT436">
        <v>0</v>
      </c>
      <c r="BU436">
        <v>5</v>
      </c>
      <c r="BV436">
        <v>1</v>
      </c>
      <c r="BW436">
        <v>940</v>
      </c>
      <c r="BX436">
        <v>0</v>
      </c>
      <c r="BY436">
        <v>8</v>
      </c>
      <c r="BZ436">
        <v>0</v>
      </c>
      <c r="CA436">
        <v>1</v>
      </c>
      <c r="CB436">
        <v>27</v>
      </c>
      <c r="CC436">
        <v>2</v>
      </c>
      <c r="CD436">
        <v>0</v>
      </c>
      <c r="CE436">
        <v>0</v>
      </c>
      <c r="CF436">
        <v>23</v>
      </c>
      <c r="CG436">
        <v>0</v>
      </c>
      <c r="CH436">
        <v>865</v>
      </c>
      <c r="CI436">
        <v>1</v>
      </c>
      <c r="CJ436">
        <v>0</v>
      </c>
      <c r="CK436">
        <v>1</v>
      </c>
      <c r="CL436">
        <v>0</v>
      </c>
      <c r="CM436">
        <v>9</v>
      </c>
      <c r="CN436">
        <v>1</v>
      </c>
      <c r="CO436">
        <v>1</v>
      </c>
      <c r="CP436">
        <v>0</v>
      </c>
      <c r="CQ436">
        <v>2</v>
      </c>
      <c r="CR436">
        <v>11</v>
      </c>
      <c r="CS436">
        <v>933</v>
      </c>
      <c r="CT436">
        <v>0</v>
      </c>
      <c r="CU436">
        <v>1</v>
      </c>
      <c r="CV436">
        <v>0</v>
      </c>
      <c r="CW436">
        <v>2</v>
      </c>
      <c r="CX436">
        <v>2</v>
      </c>
      <c r="CY436">
        <v>41</v>
      </c>
      <c r="CZ436">
        <v>41</v>
      </c>
      <c r="DA436">
        <v>1</v>
      </c>
      <c r="DB436">
        <v>0</v>
      </c>
      <c r="DC436">
        <v>0</v>
      </c>
      <c r="DD436">
        <v>928</v>
      </c>
      <c r="DE436">
        <v>1</v>
      </c>
      <c r="DF436">
        <v>12</v>
      </c>
      <c r="DG436">
        <v>3</v>
      </c>
      <c r="DH436">
        <v>0</v>
      </c>
      <c r="DI436">
        <v>28</v>
      </c>
      <c r="DJ436">
        <v>36</v>
      </c>
      <c r="DK436">
        <v>0</v>
      </c>
      <c r="DL436">
        <v>6</v>
      </c>
      <c r="DM436">
        <v>3</v>
      </c>
      <c r="DN436">
        <v>3</v>
      </c>
      <c r="DO436">
        <v>886</v>
      </c>
      <c r="DP436">
        <v>9</v>
      </c>
      <c r="DQ436">
        <v>0</v>
      </c>
      <c r="DR436">
        <v>2</v>
      </c>
      <c r="DS436">
        <v>1</v>
      </c>
      <c r="DT436">
        <v>5</v>
      </c>
      <c r="DU436">
        <v>2</v>
      </c>
      <c r="DV436">
        <v>2</v>
      </c>
      <c r="DW436">
        <v>1</v>
      </c>
      <c r="DX436">
        <v>4</v>
      </c>
      <c r="DY436">
        <v>0</v>
      </c>
      <c r="DZ436">
        <v>992</v>
      </c>
      <c r="EA436">
        <v>0.96</v>
      </c>
      <c r="EB436">
        <v>0.961693073879613</v>
      </c>
      <c r="EC436">
        <v>0.95969363512479899</v>
      </c>
      <c r="ED436">
        <v>0.95989017035436996</v>
      </c>
      <c r="EE436">
        <f>SUM(Table1[[#This Row],[ratio_0]:[ratio_9]])</f>
        <v>460</v>
      </c>
      <c r="EF436" s="1">
        <f>(Table1[[#This Row],[predicted_0]]-Table1[[#This Row],[actual_0]])/Table1[[#This Row],[actual_0]]</f>
        <v>-3.1632653061224487E-2</v>
      </c>
      <c r="EG436" s="1">
        <f>(Table1[[#This Row],[predicted_1]]-Table1[[#This Row],[actual_1]])/Table1[[#This Row],[actual_1]]</f>
        <v>-8.8105726872246704E-3</v>
      </c>
      <c r="EH436" s="1">
        <f>(Table1[[#This Row],[predicted_2]]-Table1[[#This Row],[actual_2]])/Table1[[#This Row],[actual_2]]</f>
        <v>6.589147286821706E-2</v>
      </c>
      <c r="EI436" s="1">
        <f>(Table1[[#This Row],[predicted_3]]-Table1[[#This Row],[actual_3]])/Table1[[#This Row],[actual_3]]</f>
        <v>0.10396039603960396</v>
      </c>
      <c r="EJ436" s="1">
        <f>(Table1[[#This Row],[predicted_4]]-Table1[[#This Row],[actual_4]])/Table1[[#This Row],[actual_4]]</f>
        <v>-3.4623217922606926E-2</v>
      </c>
      <c r="EK436" s="1">
        <f>(Table1[[#This Row],[predicted_5]]-Table1[[#This Row],[actual_5]])/Table1[[#This Row],[actual_5]]</f>
        <v>-1.1210762331838565E-3</v>
      </c>
      <c r="EL436" s="1">
        <f>(Table1[[#This Row],[predicted_6]]-Table1[[#This Row],[actual_6]])/Table1[[#This Row],[actual_6]]</f>
        <v>1.9832985386221295E-2</v>
      </c>
      <c r="EM436" s="1">
        <f>(Table1[[#This Row],[predicted_7]]-Table1[[#This Row],[actual_7]])/Table1[[#This Row],[actual_7]]</f>
        <v>-8.3657587548638127E-2</v>
      </c>
      <c r="EN436" s="1">
        <f>(Table1[[#This Row],[predicted_8]]-Table1[[#This Row],[actual_8]])/Table1[[#This Row],[actual_8]]</f>
        <v>-8.2135523613963035E-2</v>
      </c>
      <c r="EO436" s="1">
        <f>(Table1[[#This Row],[predicted_9]]-Table1[[#This Row],[actual_9]])/Table1[[#This Row],[actual_9]]</f>
        <v>4.9554013875123884E-2</v>
      </c>
      <c r="EP436" s="1">
        <f>1+(Table1[[#This Row],[error_ratio_0]]-EF$2)</f>
        <v>0.96632653061224494</v>
      </c>
      <c r="EQ436" s="1">
        <f>1+(Table1[[#This Row],[error_ratio_1]]-EG$2)</f>
        <v>0.98942731277533036</v>
      </c>
      <c r="ER436" s="1">
        <f>1+(Table1[[#This Row],[error_ratio_2]]-EH$2)</f>
        <v>1.070736434108527</v>
      </c>
      <c r="ES436" s="1">
        <f>1+(Table1[[#This Row],[error_ratio_3]]-EI$2)</f>
        <v>1.0940594059405941</v>
      </c>
      <c r="ET436" s="1">
        <f>1+(Table1[[#This Row],[error_ratio_4]]-EJ$2)</f>
        <v>0.96435845213849292</v>
      </c>
      <c r="EU436" s="1">
        <f>1+(Table1[[#This Row],[error_ratio_5]]-EK$2)</f>
        <v>0.99775784753363228</v>
      </c>
      <c r="EV436" s="1">
        <f>1+(Table1[[#This Row],[error_ratio_6]]-EL$2)</f>
        <v>1.0260960334029228</v>
      </c>
      <c r="EW436" s="1">
        <f>1+(Table1[[#This Row],[error_ratio_7]]-EM$2)</f>
        <v>0.91439688715953304</v>
      </c>
      <c r="EX436" s="1">
        <f>1+(Table1[[#This Row],[error_ratio_8]]-EN$2)</f>
        <v>0.92094455852156054</v>
      </c>
      <c r="EY436" s="1">
        <f>1+(Table1[[#This Row],[error_ratio_9]]-EO$2)</f>
        <v>1.0535183349851338</v>
      </c>
    </row>
    <row r="437" spans="1:155" x14ac:dyDescent="0.75">
      <c r="A437">
        <v>100</v>
      </c>
      <c r="B437">
        <v>10</v>
      </c>
      <c r="C437">
        <v>10</v>
      </c>
      <c r="D437">
        <v>100</v>
      </c>
      <c r="E437">
        <v>10</v>
      </c>
      <c r="F437">
        <v>100</v>
      </c>
      <c r="G437">
        <v>10</v>
      </c>
      <c r="H437">
        <v>10</v>
      </c>
      <c r="I437">
        <v>10</v>
      </c>
      <c r="J437">
        <v>100</v>
      </c>
      <c r="K437">
        <v>1140</v>
      </c>
      <c r="L437">
        <v>1118</v>
      </c>
      <c r="M437">
        <v>1015</v>
      </c>
      <c r="N437">
        <v>1043</v>
      </c>
      <c r="O437">
        <v>907</v>
      </c>
      <c r="P437">
        <v>924</v>
      </c>
      <c r="Q437">
        <v>881</v>
      </c>
      <c r="R437">
        <v>948</v>
      </c>
      <c r="S437">
        <v>948</v>
      </c>
      <c r="T437">
        <v>1076</v>
      </c>
      <c r="U437">
        <v>980</v>
      </c>
      <c r="V437">
        <v>1135</v>
      </c>
      <c r="W437">
        <v>1032</v>
      </c>
      <c r="X437">
        <v>1010</v>
      </c>
      <c r="Y437">
        <v>982</v>
      </c>
      <c r="Z437">
        <v>892</v>
      </c>
      <c r="AA437">
        <v>958</v>
      </c>
      <c r="AB437">
        <v>1028</v>
      </c>
      <c r="AC437">
        <v>974</v>
      </c>
      <c r="AD437">
        <v>1009</v>
      </c>
      <c r="AE437">
        <v>980</v>
      </c>
      <c r="AF437">
        <v>0</v>
      </c>
      <c r="AG437">
        <v>0</v>
      </c>
      <c r="AH437">
        <v>0</v>
      </c>
      <c r="AI437">
        <v>0</v>
      </c>
      <c r="AJ437">
        <v>0</v>
      </c>
      <c r="AK437">
        <v>0</v>
      </c>
      <c r="AL437">
        <v>0</v>
      </c>
      <c r="AM437">
        <v>0</v>
      </c>
      <c r="AN437">
        <v>0</v>
      </c>
      <c r="AO437">
        <v>6</v>
      </c>
      <c r="AP437">
        <v>1111</v>
      </c>
      <c r="AQ437">
        <v>5</v>
      </c>
      <c r="AR437">
        <v>1</v>
      </c>
      <c r="AS437">
        <v>1</v>
      </c>
      <c r="AT437">
        <v>2</v>
      </c>
      <c r="AU437">
        <v>6</v>
      </c>
      <c r="AV437">
        <v>0</v>
      </c>
      <c r="AW437">
        <v>2</v>
      </c>
      <c r="AX437">
        <v>1</v>
      </c>
      <c r="AY437">
        <v>36</v>
      </c>
      <c r="AZ437">
        <v>0</v>
      </c>
      <c r="BA437">
        <v>969</v>
      </c>
      <c r="BB437">
        <v>15</v>
      </c>
      <c r="BC437">
        <v>2</v>
      </c>
      <c r="BD437">
        <v>1</v>
      </c>
      <c r="BE437">
        <v>3</v>
      </c>
      <c r="BF437">
        <v>3</v>
      </c>
      <c r="BG437">
        <v>3</v>
      </c>
      <c r="BH437">
        <v>0</v>
      </c>
      <c r="BI437">
        <v>3</v>
      </c>
      <c r="BJ437">
        <v>0</v>
      </c>
      <c r="BK437">
        <v>2</v>
      </c>
      <c r="BL437">
        <v>985</v>
      </c>
      <c r="BM437">
        <v>0</v>
      </c>
      <c r="BN437">
        <v>12</v>
      </c>
      <c r="BO437">
        <v>0</v>
      </c>
      <c r="BP437">
        <v>0</v>
      </c>
      <c r="BQ437">
        <v>0</v>
      </c>
      <c r="BR437">
        <v>8</v>
      </c>
      <c r="BS437">
        <v>7</v>
      </c>
      <c r="BT437">
        <v>0</v>
      </c>
      <c r="BU437">
        <v>1</v>
      </c>
      <c r="BV437">
        <v>0</v>
      </c>
      <c r="BW437">
        <v>891</v>
      </c>
      <c r="BX437">
        <v>0</v>
      </c>
      <c r="BY437">
        <v>4</v>
      </c>
      <c r="BZ437">
        <v>2</v>
      </c>
      <c r="CA437">
        <v>6</v>
      </c>
      <c r="CB437">
        <v>71</v>
      </c>
      <c r="CC437">
        <v>6</v>
      </c>
      <c r="CD437">
        <v>0</v>
      </c>
      <c r="CE437">
        <v>0</v>
      </c>
      <c r="CF437">
        <v>6</v>
      </c>
      <c r="CG437">
        <v>0</v>
      </c>
      <c r="CH437">
        <v>879</v>
      </c>
      <c r="CI437">
        <v>0</v>
      </c>
      <c r="CJ437">
        <v>0</v>
      </c>
      <c r="CK437">
        <v>1</v>
      </c>
      <c r="CL437">
        <v>0</v>
      </c>
      <c r="CM437">
        <v>70</v>
      </c>
      <c r="CN437">
        <v>2</v>
      </c>
      <c r="CO437">
        <v>0</v>
      </c>
      <c r="CP437">
        <v>0</v>
      </c>
      <c r="CQ437">
        <v>11</v>
      </c>
      <c r="CR437">
        <v>9</v>
      </c>
      <c r="CS437">
        <v>864</v>
      </c>
      <c r="CT437">
        <v>0</v>
      </c>
      <c r="CU437">
        <v>0</v>
      </c>
      <c r="CV437">
        <v>2</v>
      </c>
      <c r="CW437">
        <v>6</v>
      </c>
      <c r="CX437">
        <v>5</v>
      </c>
      <c r="CY437">
        <v>35</v>
      </c>
      <c r="CZ437">
        <v>30</v>
      </c>
      <c r="DA437">
        <v>0</v>
      </c>
      <c r="DB437">
        <v>0</v>
      </c>
      <c r="DC437">
        <v>0</v>
      </c>
      <c r="DD437">
        <v>936</v>
      </c>
      <c r="DE437">
        <v>5</v>
      </c>
      <c r="DF437">
        <v>11</v>
      </c>
      <c r="DG437">
        <v>18</v>
      </c>
      <c r="DH437">
        <v>0</v>
      </c>
      <c r="DI437">
        <v>3</v>
      </c>
      <c r="DJ437">
        <v>6</v>
      </c>
      <c r="DK437">
        <v>1</v>
      </c>
      <c r="DL437">
        <v>12</v>
      </c>
      <c r="DM437">
        <v>4</v>
      </c>
      <c r="DN437">
        <v>3</v>
      </c>
      <c r="DO437">
        <v>925</v>
      </c>
      <c r="DP437">
        <v>2</v>
      </c>
      <c r="DQ437">
        <v>8</v>
      </c>
      <c r="DR437">
        <v>0</v>
      </c>
      <c r="DS437">
        <v>0</v>
      </c>
      <c r="DT437">
        <v>0</v>
      </c>
      <c r="DU437">
        <v>1</v>
      </c>
      <c r="DV437">
        <v>9</v>
      </c>
      <c r="DW437">
        <v>0</v>
      </c>
      <c r="DX437">
        <v>4</v>
      </c>
      <c r="DY437">
        <v>6</v>
      </c>
      <c r="DZ437">
        <v>981</v>
      </c>
      <c r="EA437">
        <v>0.95209999999999995</v>
      </c>
      <c r="EB437">
        <v>0.95416110040480395</v>
      </c>
      <c r="EC437">
        <v>0.95201401182011802</v>
      </c>
      <c r="ED437">
        <v>0.95190652660516395</v>
      </c>
      <c r="EE437">
        <f>SUM(Table1[[#This Row],[ratio_0]:[ratio_9]])</f>
        <v>460</v>
      </c>
      <c r="EF437" s="1">
        <f>(Table1[[#This Row],[predicted_0]]-Table1[[#This Row],[actual_0]])/Table1[[#This Row],[actual_0]]</f>
        <v>0.16326530612244897</v>
      </c>
      <c r="EG437" s="1">
        <f>(Table1[[#This Row],[predicted_1]]-Table1[[#This Row],[actual_1]])/Table1[[#This Row],[actual_1]]</f>
        <v>-1.4977973568281937E-2</v>
      </c>
      <c r="EH437" s="1">
        <f>(Table1[[#This Row],[predicted_2]]-Table1[[#This Row],[actual_2]])/Table1[[#This Row],[actual_2]]</f>
        <v>-1.6472868217054265E-2</v>
      </c>
      <c r="EI437" s="1">
        <f>(Table1[[#This Row],[predicted_3]]-Table1[[#This Row],[actual_3]])/Table1[[#This Row],[actual_3]]</f>
        <v>3.2673267326732675E-2</v>
      </c>
      <c r="EJ437" s="1">
        <f>(Table1[[#This Row],[predicted_4]]-Table1[[#This Row],[actual_4]])/Table1[[#This Row],[actual_4]]</f>
        <v>-7.637474541751528E-2</v>
      </c>
      <c r="EK437" s="1">
        <f>(Table1[[#This Row],[predicted_5]]-Table1[[#This Row],[actual_5]])/Table1[[#This Row],[actual_5]]</f>
        <v>3.5874439461883408E-2</v>
      </c>
      <c r="EL437" s="1">
        <f>(Table1[[#This Row],[predicted_6]]-Table1[[#This Row],[actual_6]])/Table1[[#This Row],[actual_6]]</f>
        <v>-8.0375782881002084E-2</v>
      </c>
      <c r="EM437" s="1">
        <f>(Table1[[#This Row],[predicted_7]]-Table1[[#This Row],[actual_7]])/Table1[[#This Row],[actual_7]]</f>
        <v>-7.7821011673151752E-2</v>
      </c>
      <c r="EN437" s="1">
        <f>(Table1[[#This Row],[predicted_8]]-Table1[[#This Row],[actual_8]])/Table1[[#This Row],[actual_8]]</f>
        <v>-2.6694045174537988E-2</v>
      </c>
      <c r="EO437" s="1">
        <f>(Table1[[#This Row],[predicted_9]]-Table1[[#This Row],[actual_9]])/Table1[[#This Row],[actual_9]]</f>
        <v>6.6402378592666012E-2</v>
      </c>
      <c r="EP437" s="1">
        <f>1+(Table1[[#This Row],[error_ratio_0]]-EF$2)</f>
        <v>1.1612244897959183</v>
      </c>
      <c r="EQ437" s="1">
        <f>1+(Table1[[#This Row],[error_ratio_1]]-EG$2)</f>
        <v>0.98325991189427309</v>
      </c>
      <c r="ER437" s="1">
        <f>1+(Table1[[#This Row],[error_ratio_2]]-EH$2)</f>
        <v>0.98837209302325579</v>
      </c>
      <c r="ES437" s="1">
        <f>1+(Table1[[#This Row],[error_ratio_3]]-EI$2)</f>
        <v>1.0227722772277228</v>
      </c>
      <c r="ET437" s="1">
        <f>1+(Table1[[#This Row],[error_ratio_4]]-EJ$2)</f>
        <v>0.92260692464358451</v>
      </c>
      <c r="EU437" s="1">
        <f>1+(Table1[[#This Row],[error_ratio_5]]-EK$2)</f>
        <v>1.0347533632286996</v>
      </c>
      <c r="EV437" s="1">
        <f>1+(Table1[[#This Row],[error_ratio_6]]-EL$2)</f>
        <v>0.92588726513569941</v>
      </c>
      <c r="EW437" s="1">
        <f>1+(Table1[[#This Row],[error_ratio_7]]-EM$2)</f>
        <v>0.92023346303501952</v>
      </c>
      <c r="EX437" s="1">
        <f>1+(Table1[[#This Row],[error_ratio_8]]-EN$2)</f>
        <v>0.97638603696098558</v>
      </c>
      <c r="EY437" s="1">
        <f>1+(Table1[[#This Row],[error_ratio_9]]-EO$2)</f>
        <v>1.0703666997026759</v>
      </c>
    </row>
    <row r="438" spans="1:155" x14ac:dyDescent="0.75">
      <c r="A438">
        <v>10</v>
      </c>
      <c r="B438">
        <v>10</v>
      </c>
      <c r="C438">
        <v>10</v>
      </c>
      <c r="D438">
        <v>100</v>
      </c>
      <c r="E438">
        <v>10</v>
      </c>
      <c r="F438">
        <v>100</v>
      </c>
      <c r="G438">
        <v>10</v>
      </c>
      <c r="H438">
        <v>10</v>
      </c>
      <c r="I438">
        <v>10</v>
      </c>
      <c r="J438">
        <v>100</v>
      </c>
      <c r="K438">
        <v>913</v>
      </c>
      <c r="L438">
        <v>1133</v>
      </c>
      <c r="M438">
        <v>1033</v>
      </c>
      <c r="N438">
        <v>1098</v>
      </c>
      <c r="O438">
        <v>914</v>
      </c>
      <c r="P438">
        <v>946</v>
      </c>
      <c r="Q438">
        <v>1004</v>
      </c>
      <c r="R438">
        <v>989</v>
      </c>
      <c r="S438">
        <v>837</v>
      </c>
      <c r="T438">
        <v>1133</v>
      </c>
      <c r="U438">
        <v>980</v>
      </c>
      <c r="V438">
        <v>1135</v>
      </c>
      <c r="W438">
        <v>1032</v>
      </c>
      <c r="X438">
        <v>1010</v>
      </c>
      <c r="Y438">
        <v>982</v>
      </c>
      <c r="Z438">
        <v>892</v>
      </c>
      <c r="AA438">
        <v>958</v>
      </c>
      <c r="AB438">
        <v>1028</v>
      </c>
      <c r="AC438">
        <v>974</v>
      </c>
      <c r="AD438">
        <v>1009</v>
      </c>
      <c r="AE438">
        <v>906</v>
      </c>
      <c r="AF438">
        <v>0</v>
      </c>
      <c r="AG438">
        <v>10</v>
      </c>
      <c r="AH438">
        <v>6</v>
      </c>
      <c r="AI438">
        <v>0</v>
      </c>
      <c r="AJ438">
        <v>21</v>
      </c>
      <c r="AK438">
        <v>22</v>
      </c>
      <c r="AL438">
        <v>4</v>
      </c>
      <c r="AM438">
        <v>1</v>
      </c>
      <c r="AN438">
        <v>10</v>
      </c>
      <c r="AO438">
        <v>0</v>
      </c>
      <c r="AP438">
        <v>1120</v>
      </c>
      <c r="AQ438">
        <v>2</v>
      </c>
      <c r="AR438">
        <v>1</v>
      </c>
      <c r="AS438">
        <v>0</v>
      </c>
      <c r="AT438">
        <v>0</v>
      </c>
      <c r="AU438">
        <v>7</v>
      </c>
      <c r="AV438">
        <v>0</v>
      </c>
      <c r="AW438">
        <v>2</v>
      </c>
      <c r="AX438">
        <v>3</v>
      </c>
      <c r="AY438">
        <v>5</v>
      </c>
      <c r="AZ438">
        <v>2</v>
      </c>
      <c r="BA438">
        <v>991</v>
      </c>
      <c r="BB438">
        <v>18</v>
      </c>
      <c r="BC438">
        <v>1</v>
      </c>
      <c r="BD438">
        <v>2</v>
      </c>
      <c r="BE438">
        <v>4</v>
      </c>
      <c r="BF438">
        <v>6</v>
      </c>
      <c r="BG438">
        <v>3</v>
      </c>
      <c r="BH438">
        <v>0</v>
      </c>
      <c r="BI438">
        <v>0</v>
      </c>
      <c r="BJ438">
        <v>0</v>
      </c>
      <c r="BK438">
        <v>1</v>
      </c>
      <c r="BL438">
        <v>1002</v>
      </c>
      <c r="BM438">
        <v>0</v>
      </c>
      <c r="BN438">
        <v>5</v>
      </c>
      <c r="BO438">
        <v>0</v>
      </c>
      <c r="BP438">
        <v>1</v>
      </c>
      <c r="BQ438">
        <v>0</v>
      </c>
      <c r="BR438">
        <v>1</v>
      </c>
      <c r="BS438">
        <v>0</v>
      </c>
      <c r="BT438">
        <v>2</v>
      </c>
      <c r="BU438">
        <v>5</v>
      </c>
      <c r="BV438">
        <v>0</v>
      </c>
      <c r="BW438">
        <v>907</v>
      </c>
      <c r="BX438">
        <v>0</v>
      </c>
      <c r="BY438">
        <v>9</v>
      </c>
      <c r="BZ438">
        <v>2</v>
      </c>
      <c r="CA438">
        <v>0</v>
      </c>
      <c r="CB438">
        <v>57</v>
      </c>
      <c r="CC438">
        <v>0</v>
      </c>
      <c r="CD438">
        <v>0</v>
      </c>
      <c r="CE438">
        <v>0</v>
      </c>
      <c r="CF438">
        <v>6</v>
      </c>
      <c r="CG438">
        <v>0</v>
      </c>
      <c r="CH438">
        <v>881</v>
      </c>
      <c r="CI438">
        <v>5</v>
      </c>
      <c r="CJ438">
        <v>0</v>
      </c>
      <c r="CK438">
        <v>0</v>
      </c>
      <c r="CL438">
        <v>0</v>
      </c>
      <c r="CM438">
        <v>1</v>
      </c>
      <c r="CN438">
        <v>2</v>
      </c>
      <c r="CO438">
        <v>1</v>
      </c>
      <c r="CP438">
        <v>0</v>
      </c>
      <c r="CQ438">
        <v>2</v>
      </c>
      <c r="CR438">
        <v>9</v>
      </c>
      <c r="CS438">
        <v>942</v>
      </c>
      <c r="CT438">
        <v>0</v>
      </c>
      <c r="CU438">
        <v>0</v>
      </c>
      <c r="CV438">
        <v>1</v>
      </c>
      <c r="CW438">
        <v>0</v>
      </c>
      <c r="CX438">
        <v>5</v>
      </c>
      <c r="CY438">
        <v>13</v>
      </c>
      <c r="CZ438">
        <v>6</v>
      </c>
      <c r="DA438">
        <v>0</v>
      </c>
      <c r="DB438">
        <v>1</v>
      </c>
      <c r="DC438">
        <v>0</v>
      </c>
      <c r="DD438">
        <v>968</v>
      </c>
      <c r="DE438">
        <v>0</v>
      </c>
      <c r="DF438">
        <v>35</v>
      </c>
      <c r="DG438">
        <v>0</v>
      </c>
      <c r="DH438">
        <v>0</v>
      </c>
      <c r="DI438">
        <v>10</v>
      </c>
      <c r="DJ438">
        <v>56</v>
      </c>
      <c r="DK438">
        <v>3</v>
      </c>
      <c r="DL438">
        <v>22</v>
      </c>
      <c r="DM438">
        <v>15</v>
      </c>
      <c r="DN438">
        <v>4</v>
      </c>
      <c r="DO438">
        <v>831</v>
      </c>
      <c r="DP438">
        <v>33</v>
      </c>
      <c r="DQ438">
        <v>1</v>
      </c>
      <c r="DR438">
        <v>2</v>
      </c>
      <c r="DS438">
        <v>0</v>
      </c>
      <c r="DT438">
        <v>3</v>
      </c>
      <c r="DU438">
        <v>1</v>
      </c>
      <c r="DV438">
        <v>5</v>
      </c>
      <c r="DW438">
        <v>0</v>
      </c>
      <c r="DX438">
        <v>4</v>
      </c>
      <c r="DY438">
        <v>0</v>
      </c>
      <c r="DZ438">
        <v>993</v>
      </c>
      <c r="EA438">
        <v>0.95409999999999995</v>
      </c>
      <c r="EB438">
        <v>0.95626792609948896</v>
      </c>
      <c r="EC438">
        <v>0.95371761256224996</v>
      </c>
      <c r="ED438">
        <v>0.95357191707049205</v>
      </c>
      <c r="EE438">
        <f>SUM(Table1[[#This Row],[ratio_0]:[ratio_9]])</f>
        <v>370</v>
      </c>
      <c r="EF438" s="1">
        <f>(Table1[[#This Row],[predicted_0]]-Table1[[#This Row],[actual_0]])/Table1[[#This Row],[actual_0]]</f>
        <v>-6.8367346938775511E-2</v>
      </c>
      <c r="EG438" s="1">
        <f>(Table1[[#This Row],[predicted_1]]-Table1[[#This Row],[actual_1]])/Table1[[#This Row],[actual_1]]</f>
        <v>-1.762114537444934E-3</v>
      </c>
      <c r="EH438" s="1">
        <f>(Table1[[#This Row],[predicted_2]]-Table1[[#This Row],[actual_2]])/Table1[[#This Row],[actual_2]]</f>
        <v>9.6899224806201549E-4</v>
      </c>
      <c r="EI438" s="1">
        <f>(Table1[[#This Row],[predicted_3]]-Table1[[#This Row],[actual_3]])/Table1[[#This Row],[actual_3]]</f>
        <v>8.7128712871287123E-2</v>
      </c>
      <c r="EJ438" s="1">
        <f>(Table1[[#This Row],[predicted_4]]-Table1[[#This Row],[actual_4]])/Table1[[#This Row],[actual_4]]</f>
        <v>-6.9246435845213852E-2</v>
      </c>
      <c r="EK438" s="1">
        <f>(Table1[[#This Row],[predicted_5]]-Table1[[#This Row],[actual_5]])/Table1[[#This Row],[actual_5]]</f>
        <v>6.0538116591928252E-2</v>
      </c>
      <c r="EL438" s="1">
        <f>(Table1[[#This Row],[predicted_6]]-Table1[[#This Row],[actual_6]])/Table1[[#This Row],[actual_6]]</f>
        <v>4.8016701461377868E-2</v>
      </c>
      <c r="EM438" s="1">
        <f>(Table1[[#This Row],[predicted_7]]-Table1[[#This Row],[actual_7]])/Table1[[#This Row],[actual_7]]</f>
        <v>-3.7937743190661476E-2</v>
      </c>
      <c r="EN438" s="1">
        <f>(Table1[[#This Row],[predicted_8]]-Table1[[#This Row],[actual_8]])/Table1[[#This Row],[actual_8]]</f>
        <v>-0.14065708418891171</v>
      </c>
      <c r="EO438" s="1">
        <f>(Table1[[#This Row],[predicted_9]]-Table1[[#This Row],[actual_9]])/Table1[[#This Row],[actual_9]]</f>
        <v>0.12289395441030723</v>
      </c>
      <c r="EP438" s="1">
        <f>1+(Table1[[#This Row],[error_ratio_0]]-EF$2)</f>
        <v>0.92959183673469392</v>
      </c>
      <c r="EQ438" s="1">
        <f>1+(Table1[[#This Row],[error_ratio_1]]-EG$2)</f>
        <v>0.99647577092511008</v>
      </c>
      <c r="ER438" s="1">
        <f>1+(Table1[[#This Row],[error_ratio_2]]-EH$2)</f>
        <v>1.0058139534883721</v>
      </c>
      <c r="ES438" s="1">
        <f>1+(Table1[[#This Row],[error_ratio_3]]-EI$2)</f>
        <v>1.0772277227722773</v>
      </c>
      <c r="ET438" s="1">
        <f>1+(Table1[[#This Row],[error_ratio_4]]-EJ$2)</f>
        <v>0.929735234215886</v>
      </c>
      <c r="EU438" s="1">
        <f>1+(Table1[[#This Row],[error_ratio_5]]-EK$2)</f>
        <v>1.0594170403587444</v>
      </c>
      <c r="EV438" s="1">
        <f>1+(Table1[[#This Row],[error_ratio_6]]-EL$2)</f>
        <v>1.0542797494780793</v>
      </c>
      <c r="EW438" s="1">
        <f>1+(Table1[[#This Row],[error_ratio_7]]-EM$2)</f>
        <v>0.96011673151750976</v>
      </c>
      <c r="EX438" s="1">
        <f>1+(Table1[[#This Row],[error_ratio_8]]-EN$2)</f>
        <v>0.86242299794661192</v>
      </c>
      <c r="EY438" s="1">
        <f>1+(Table1[[#This Row],[error_ratio_9]]-EO$2)</f>
        <v>1.1268582755203171</v>
      </c>
    </row>
    <row r="439" spans="1:155" x14ac:dyDescent="0.75">
      <c r="A439">
        <v>100</v>
      </c>
      <c r="B439">
        <v>100</v>
      </c>
      <c r="C439">
        <v>100</v>
      </c>
      <c r="D439">
        <v>10</v>
      </c>
      <c r="E439">
        <v>10</v>
      </c>
      <c r="F439">
        <v>100</v>
      </c>
      <c r="G439">
        <v>10</v>
      </c>
      <c r="H439">
        <v>10</v>
      </c>
      <c r="I439">
        <v>10</v>
      </c>
      <c r="J439">
        <v>100</v>
      </c>
      <c r="K439">
        <v>1024</v>
      </c>
      <c r="L439">
        <v>1130</v>
      </c>
      <c r="M439">
        <v>1088</v>
      </c>
      <c r="N439">
        <v>900</v>
      </c>
      <c r="O439">
        <v>947</v>
      </c>
      <c r="P439">
        <v>1028</v>
      </c>
      <c r="Q439">
        <v>904</v>
      </c>
      <c r="R439">
        <v>989</v>
      </c>
      <c r="S439">
        <v>840</v>
      </c>
      <c r="T439">
        <v>1150</v>
      </c>
      <c r="U439">
        <v>980</v>
      </c>
      <c r="V439">
        <v>1135</v>
      </c>
      <c r="W439">
        <v>1032</v>
      </c>
      <c r="X439">
        <v>1010</v>
      </c>
      <c r="Y439">
        <v>982</v>
      </c>
      <c r="Z439">
        <v>892</v>
      </c>
      <c r="AA439">
        <v>958</v>
      </c>
      <c r="AB439">
        <v>1028</v>
      </c>
      <c r="AC439">
        <v>974</v>
      </c>
      <c r="AD439">
        <v>1009</v>
      </c>
      <c r="AE439">
        <v>976</v>
      </c>
      <c r="AF439">
        <v>0</v>
      </c>
      <c r="AG439">
        <v>2</v>
      </c>
      <c r="AH439">
        <v>0</v>
      </c>
      <c r="AI439">
        <v>0</v>
      </c>
      <c r="AJ439">
        <v>1</v>
      </c>
      <c r="AK439">
        <v>0</v>
      </c>
      <c r="AL439">
        <v>1</v>
      </c>
      <c r="AM439">
        <v>0</v>
      </c>
      <c r="AN439">
        <v>0</v>
      </c>
      <c r="AO439">
        <v>0</v>
      </c>
      <c r="AP439">
        <v>1123</v>
      </c>
      <c r="AQ439">
        <v>1</v>
      </c>
      <c r="AR439">
        <v>1</v>
      </c>
      <c r="AS439">
        <v>0</v>
      </c>
      <c r="AT439">
        <v>2</v>
      </c>
      <c r="AU439">
        <v>3</v>
      </c>
      <c r="AV439">
        <v>1</v>
      </c>
      <c r="AW439">
        <v>1</v>
      </c>
      <c r="AX439">
        <v>3</v>
      </c>
      <c r="AY439">
        <v>3</v>
      </c>
      <c r="AZ439">
        <v>1</v>
      </c>
      <c r="BA439">
        <v>1024</v>
      </c>
      <c r="BB439">
        <v>1</v>
      </c>
      <c r="BC439">
        <v>0</v>
      </c>
      <c r="BD439">
        <v>1</v>
      </c>
      <c r="BE439">
        <v>0</v>
      </c>
      <c r="BF439">
        <v>2</v>
      </c>
      <c r="BG439">
        <v>0</v>
      </c>
      <c r="BH439">
        <v>0</v>
      </c>
      <c r="BI439">
        <v>1</v>
      </c>
      <c r="BJ439">
        <v>0</v>
      </c>
      <c r="BK439">
        <v>7</v>
      </c>
      <c r="BL439">
        <v>892</v>
      </c>
      <c r="BM439">
        <v>0</v>
      </c>
      <c r="BN439">
        <v>80</v>
      </c>
      <c r="BO439">
        <v>1</v>
      </c>
      <c r="BP439">
        <v>8</v>
      </c>
      <c r="BQ439">
        <v>4</v>
      </c>
      <c r="BR439">
        <v>17</v>
      </c>
      <c r="BS439">
        <v>3</v>
      </c>
      <c r="BT439">
        <v>1</v>
      </c>
      <c r="BU439">
        <v>2</v>
      </c>
      <c r="BV439">
        <v>0</v>
      </c>
      <c r="BW439">
        <v>926</v>
      </c>
      <c r="BX439">
        <v>0</v>
      </c>
      <c r="BY439">
        <v>3</v>
      </c>
      <c r="BZ439">
        <v>0</v>
      </c>
      <c r="CA439">
        <v>0</v>
      </c>
      <c r="CB439">
        <v>47</v>
      </c>
      <c r="CC439">
        <v>0</v>
      </c>
      <c r="CD439">
        <v>0</v>
      </c>
      <c r="CE439">
        <v>1</v>
      </c>
      <c r="CF439">
        <v>0</v>
      </c>
      <c r="CG439">
        <v>0</v>
      </c>
      <c r="CH439">
        <v>888</v>
      </c>
      <c r="CI439">
        <v>1</v>
      </c>
      <c r="CJ439">
        <v>0</v>
      </c>
      <c r="CK439">
        <v>0</v>
      </c>
      <c r="CL439">
        <v>2</v>
      </c>
      <c r="CM439">
        <v>19</v>
      </c>
      <c r="CN439">
        <v>2</v>
      </c>
      <c r="CO439">
        <v>0</v>
      </c>
      <c r="CP439">
        <v>0</v>
      </c>
      <c r="CQ439">
        <v>15</v>
      </c>
      <c r="CR439">
        <v>27</v>
      </c>
      <c r="CS439">
        <v>894</v>
      </c>
      <c r="CT439">
        <v>0</v>
      </c>
      <c r="CU439">
        <v>0</v>
      </c>
      <c r="CV439">
        <v>1</v>
      </c>
      <c r="CW439">
        <v>1</v>
      </c>
      <c r="CX439">
        <v>2</v>
      </c>
      <c r="CY439">
        <v>19</v>
      </c>
      <c r="CZ439">
        <v>5</v>
      </c>
      <c r="DA439">
        <v>0</v>
      </c>
      <c r="DB439">
        <v>1</v>
      </c>
      <c r="DC439">
        <v>0</v>
      </c>
      <c r="DD439">
        <v>968</v>
      </c>
      <c r="DE439">
        <v>0</v>
      </c>
      <c r="DF439">
        <v>32</v>
      </c>
      <c r="DG439">
        <v>16</v>
      </c>
      <c r="DH439">
        <v>1</v>
      </c>
      <c r="DI439">
        <v>31</v>
      </c>
      <c r="DJ439">
        <v>1</v>
      </c>
      <c r="DK439">
        <v>3</v>
      </c>
      <c r="DL439">
        <v>23</v>
      </c>
      <c r="DM439">
        <v>2</v>
      </c>
      <c r="DN439">
        <v>6</v>
      </c>
      <c r="DO439">
        <v>835</v>
      </c>
      <c r="DP439">
        <v>56</v>
      </c>
      <c r="DQ439">
        <v>5</v>
      </c>
      <c r="DR439">
        <v>0</v>
      </c>
      <c r="DS439">
        <v>1</v>
      </c>
      <c r="DT439">
        <v>0</v>
      </c>
      <c r="DU439">
        <v>3</v>
      </c>
      <c r="DV439">
        <v>5</v>
      </c>
      <c r="DW439">
        <v>0</v>
      </c>
      <c r="DX439">
        <v>3</v>
      </c>
      <c r="DY439">
        <v>0</v>
      </c>
      <c r="DZ439">
        <v>992</v>
      </c>
      <c r="EA439">
        <v>0.95179999999999998</v>
      </c>
      <c r="EB439">
        <v>0.95452166291503904</v>
      </c>
      <c r="EC439">
        <v>0.95145208361951605</v>
      </c>
      <c r="ED439">
        <v>0.95104759806927597</v>
      </c>
      <c r="EE439">
        <f>SUM(Table1[[#This Row],[ratio_0]:[ratio_9]])</f>
        <v>550</v>
      </c>
      <c r="EF439" s="1">
        <f>(Table1[[#This Row],[predicted_0]]-Table1[[#This Row],[actual_0]])/Table1[[#This Row],[actual_0]]</f>
        <v>4.4897959183673466E-2</v>
      </c>
      <c r="EG439" s="1">
        <f>(Table1[[#This Row],[predicted_1]]-Table1[[#This Row],[actual_1]])/Table1[[#This Row],[actual_1]]</f>
        <v>-4.4052863436123352E-3</v>
      </c>
      <c r="EH439" s="1">
        <f>(Table1[[#This Row],[predicted_2]]-Table1[[#This Row],[actual_2]])/Table1[[#This Row],[actual_2]]</f>
        <v>5.4263565891472867E-2</v>
      </c>
      <c r="EI439" s="1">
        <f>(Table1[[#This Row],[predicted_3]]-Table1[[#This Row],[actual_3]])/Table1[[#This Row],[actual_3]]</f>
        <v>-0.10891089108910891</v>
      </c>
      <c r="EJ439" s="1">
        <f>(Table1[[#This Row],[predicted_4]]-Table1[[#This Row],[actual_4]])/Table1[[#This Row],[actual_4]]</f>
        <v>-3.5641547861507125E-2</v>
      </c>
      <c r="EK439" s="1">
        <f>(Table1[[#This Row],[predicted_5]]-Table1[[#This Row],[actual_5]])/Table1[[#This Row],[actual_5]]</f>
        <v>0.15246636771300448</v>
      </c>
      <c r="EL439" s="1">
        <f>(Table1[[#This Row],[predicted_6]]-Table1[[#This Row],[actual_6]])/Table1[[#This Row],[actual_6]]</f>
        <v>-5.6367432150313153E-2</v>
      </c>
      <c r="EM439" s="1">
        <f>(Table1[[#This Row],[predicted_7]]-Table1[[#This Row],[actual_7]])/Table1[[#This Row],[actual_7]]</f>
        <v>-3.7937743190661476E-2</v>
      </c>
      <c r="EN439" s="1">
        <f>(Table1[[#This Row],[predicted_8]]-Table1[[#This Row],[actual_8]])/Table1[[#This Row],[actual_8]]</f>
        <v>-0.1375770020533881</v>
      </c>
      <c r="EO439" s="1">
        <f>(Table1[[#This Row],[predicted_9]]-Table1[[#This Row],[actual_9]])/Table1[[#This Row],[actual_9]]</f>
        <v>0.13974231912784935</v>
      </c>
      <c r="EP439" s="1">
        <f>1+(Table1[[#This Row],[error_ratio_0]]-EF$2)</f>
        <v>1.0428571428571429</v>
      </c>
      <c r="EQ439" s="1">
        <f>1+(Table1[[#This Row],[error_ratio_1]]-EG$2)</f>
        <v>0.99383259911894273</v>
      </c>
      <c r="ER439" s="1">
        <f>1+(Table1[[#This Row],[error_ratio_2]]-EH$2)</f>
        <v>1.0591085271317831</v>
      </c>
      <c r="ES439" s="1">
        <f>1+(Table1[[#This Row],[error_ratio_3]]-EI$2)</f>
        <v>0.88118811881188119</v>
      </c>
      <c r="ET439" s="1">
        <f>1+(Table1[[#This Row],[error_ratio_4]]-EJ$2)</f>
        <v>0.96334012219959264</v>
      </c>
      <c r="EU439" s="1">
        <f>1+(Table1[[#This Row],[error_ratio_5]]-EK$2)</f>
        <v>1.1513452914798206</v>
      </c>
      <c r="EV439" s="1">
        <f>1+(Table1[[#This Row],[error_ratio_6]]-EL$2)</f>
        <v>0.94989561586638827</v>
      </c>
      <c r="EW439" s="1">
        <f>1+(Table1[[#This Row],[error_ratio_7]]-EM$2)</f>
        <v>0.96011673151750976</v>
      </c>
      <c r="EX439" s="1">
        <f>1+(Table1[[#This Row],[error_ratio_8]]-EN$2)</f>
        <v>0.8655030800821355</v>
      </c>
      <c r="EY439" s="1">
        <f>1+(Table1[[#This Row],[error_ratio_9]]-EO$2)</f>
        <v>1.1437066402378593</v>
      </c>
    </row>
    <row r="440" spans="1:155" x14ac:dyDescent="0.75">
      <c r="A440">
        <v>100</v>
      </c>
      <c r="B440">
        <v>10</v>
      </c>
      <c r="C440">
        <v>100</v>
      </c>
      <c r="D440">
        <v>10</v>
      </c>
      <c r="E440">
        <v>10</v>
      </c>
      <c r="F440">
        <v>100</v>
      </c>
      <c r="G440">
        <v>10</v>
      </c>
      <c r="H440">
        <v>10</v>
      </c>
      <c r="I440">
        <v>10</v>
      </c>
      <c r="J440">
        <v>100</v>
      </c>
      <c r="K440">
        <v>1044</v>
      </c>
      <c r="L440">
        <v>1157</v>
      </c>
      <c r="M440">
        <v>1060</v>
      </c>
      <c r="N440">
        <v>981</v>
      </c>
      <c r="O440">
        <v>859</v>
      </c>
      <c r="P440">
        <v>913</v>
      </c>
      <c r="Q440">
        <v>916</v>
      </c>
      <c r="R440">
        <v>945</v>
      </c>
      <c r="S440">
        <v>879</v>
      </c>
      <c r="T440">
        <v>1246</v>
      </c>
      <c r="U440">
        <v>980</v>
      </c>
      <c r="V440">
        <v>1135</v>
      </c>
      <c r="W440">
        <v>1032</v>
      </c>
      <c r="X440">
        <v>1010</v>
      </c>
      <c r="Y440">
        <v>982</v>
      </c>
      <c r="Z440">
        <v>892</v>
      </c>
      <c r="AA440">
        <v>958</v>
      </c>
      <c r="AB440">
        <v>1028</v>
      </c>
      <c r="AC440">
        <v>974</v>
      </c>
      <c r="AD440">
        <v>1009</v>
      </c>
      <c r="AE440">
        <v>976</v>
      </c>
      <c r="AF440">
        <v>0</v>
      </c>
      <c r="AG440">
        <v>1</v>
      </c>
      <c r="AH440">
        <v>0</v>
      </c>
      <c r="AI440">
        <v>0</v>
      </c>
      <c r="AJ440">
        <v>1</v>
      </c>
      <c r="AK440">
        <v>0</v>
      </c>
      <c r="AL440">
        <v>1</v>
      </c>
      <c r="AM440">
        <v>1</v>
      </c>
      <c r="AN440">
        <v>0</v>
      </c>
      <c r="AO440">
        <v>0</v>
      </c>
      <c r="AP440">
        <v>1127</v>
      </c>
      <c r="AQ440">
        <v>4</v>
      </c>
      <c r="AR440">
        <v>3</v>
      </c>
      <c r="AS440">
        <v>0</v>
      </c>
      <c r="AT440">
        <v>0</v>
      </c>
      <c r="AU440">
        <v>0</v>
      </c>
      <c r="AV440">
        <v>0</v>
      </c>
      <c r="AW440">
        <v>1</v>
      </c>
      <c r="AX440">
        <v>0</v>
      </c>
      <c r="AY440">
        <v>2</v>
      </c>
      <c r="AZ440">
        <v>4</v>
      </c>
      <c r="BA440">
        <v>1014</v>
      </c>
      <c r="BB440">
        <v>3</v>
      </c>
      <c r="BC440">
        <v>0</v>
      </c>
      <c r="BD440">
        <v>0</v>
      </c>
      <c r="BE440">
        <v>0</v>
      </c>
      <c r="BF440">
        <v>4</v>
      </c>
      <c r="BG440">
        <v>4</v>
      </c>
      <c r="BH440">
        <v>1</v>
      </c>
      <c r="BI440">
        <v>9</v>
      </c>
      <c r="BJ440">
        <v>0</v>
      </c>
      <c r="BK440">
        <v>5</v>
      </c>
      <c r="BL440">
        <v>956</v>
      </c>
      <c r="BM440">
        <v>0</v>
      </c>
      <c r="BN440">
        <v>17</v>
      </c>
      <c r="BO440">
        <v>0</v>
      </c>
      <c r="BP440">
        <v>5</v>
      </c>
      <c r="BQ440">
        <v>2</v>
      </c>
      <c r="BR440">
        <v>16</v>
      </c>
      <c r="BS440">
        <v>2</v>
      </c>
      <c r="BT440">
        <v>2</v>
      </c>
      <c r="BU440">
        <v>9</v>
      </c>
      <c r="BV440">
        <v>0</v>
      </c>
      <c r="BW440">
        <v>856</v>
      </c>
      <c r="BX440">
        <v>0</v>
      </c>
      <c r="BY440">
        <v>5</v>
      </c>
      <c r="BZ440">
        <v>1</v>
      </c>
      <c r="CA440">
        <v>0</v>
      </c>
      <c r="CB440">
        <v>107</v>
      </c>
      <c r="CC440">
        <v>9</v>
      </c>
      <c r="CD440">
        <v>0</v>
      </c>
      <c r="CE440">
        <v>0</v>
      </c>
      <c r="CF440">
        <v>2</v>
      </c>
      <c r="CG440">
        <v>0</v>
      </c>
      <c r="CH440">
        <v>874</v>
      </c>
      <c r="CI440">
        <v>4</v>
      </c>
      <c r="CJ440">
        <v>1</v>
      </c>
      <c r="CK440">
        <v>1</v>
      </c>
      <c r="CL440">
        <v>1</v>
      </c>
      <c r="CM440">
        <v>23</v>
      </c>
      <c r="CN440">
        <v>5</v>
      </c>
      <c r="CO440">
        <v>1</v>
      </c>
      <c r="CP440">
        <v>0</v>
      </c>
      <c r="CQ440">
        <v>1</v>
      </c>
      <c r="CR440">
        <v>11</v>
      </c>
      <c r="CS440">
        <v>905</v>
      </c>
      <c r="CT440">
        <v>0</v>
      </c>
      <c r="CU440">
        <v>12</v>
      </c>
      <c r="CV440">
        <v>0</v>
      </c>
      <c r="CW440">
        <v>3</v>
      </c>
      <c r="CX440">
        <v>15</v>
      </c>
      <c r="CY440">
        <v>21</v>
      </c>
      <c r="CZ440">
        <v>10</v>
      </c>
      <c r="DA440">
        <v>1</v>
      </c>
      <c r="DB440">
        <v>1</v>
      </c>
      <c r="DC440">
        <v>0</v>
      </c>
      <c r="DD440">
        <v>928</v>
      </c>
      <c r="DE440">
        <v>1</v>
      </c>
      <c r="DF440">
        <v>48</v>
      </c>
      <c r="DG440">
        <v>14</v>
      </c>
      <c r="DH440">
        <v>2</v>
      </c>
      <c r="DI440">
        <v>5</v>
      </c>
      <c r="DJ440">
        <v>5</v>
      </c>
      <c r="DK440">
        <v>1</v>
      </c>
      <c r="DL440">
        <v>8</v>
      </c>
      <c r="DM440">
        <v>2</v>
      </c>
      <c r="DN440">
        <v>4</v>
      </c>
      <c r="DO440">
        <v>857</v>
      </c>
      <c r="DP440">
        <v>76</v>
      </c>
      <c r="DQ440">
        <v>6</v>
      </c>
      <c r="DR440">
        <v>2</v>
      </c>
      <c r="DS440">
        <v>0</v>
      </c>
      <c r="DT440">
        <v>2</v>
      </c>
      <c r="DU440">
        <v>0</v>
      </c>
      <c r="DV440">
        <v>1</v>
      </c>
      <c r="DW440">
        <v>0</v>
      </c>
      <c r="DX440">
        <v>1</v>
      </c>
      <c r="DY440">
        <v>0</v>
      </c>
      <c r="DZ440">
        <v>997</v>
      </c>
      <c r="EA440">
        <v>0.94899999999999995</v>
      </c>
      <c r="EB440">
        <v>0.95389815148518298</v>
      </c>
      <c r="EC440">
        <v>0.94848577356775599</v>
      </c>
      <c r="ED440">
        <v>0.949171823151162</v>
      </c>
      <c r="EE440">
        <f>SUM(Table1[[#This Row],[ratio_0]:[ratio_9]])</f>
        <v>460</v>
      </c>
      <c r="EF440" s="1">
        <f>(Table1[[#This Row],[predicted_0]]-Table1[[#This Row],[actual_0]])/Table1[[#This Row],[actual_0]]</f>
        <v>6.5306122448979598E-2</v>
      </c>
      <c r="EG440" s="1">
        <f>(Table1[[#This Row],[predicted_1]]-Table1[[#This Row],[actual_1]])/Table1[[#This Row],[actual_1]]</f>
        <v>1.9383259911894272E-2</v>
      </c>
      <c r="EH440" s="1">
        <f>(Table1[[#This Row],[predicted_2]]-Table1[[#This Row],[actual_2]])/Table1[[#This Row],[actual_2]]</f>
        <v>2.7131782945736434E-2</v>
      </c>
      <c r="EI440" s="1">
        <f>(Table1[[#This Row],[predicted_3]]-Table1[[#This Row],[actual_3]])/Table1[[#This Row],[actual_3]]</f>
        <v>-2.8712871287128714E-2</v>
      </c>
      <c r="EJ440" s="1">
        <f>(Table1[[#This Row],[predicted_4]]-Table1[[#This Row],[actual_4]])/Table1[[#This Row],[actual_4]]</f>
        <v>-0.12525458248472504</v>
      </c>
      <c r="EK440" s="1">
        <f>(Table1[[#This Row],[predicted_5]]-Table1[[#This Row],[actual_5]])/Table1[[#This Row],[actual_5]]</f>
        <v>2.3542600896860985E-2</v>
      </c>
      <c r="EL440" s="1">
        <f>(Table1[[#This Row],[predicted_6]]-Table1[[#This Row],[actual_6]])/Table1[[#This Row],[actual_6]]</f>
        <v>-4.3841336116910233E-2</v>
      </c>
      <c r="EM440" s="1">
        <f>(Table1[[#This Row],[predicted_7]]-Table1[[#This Row],[actual_7]])/Table1[[#This Row],[actual_7]]</f>
        <v>-8.0739299610894946E-2</v>
      </c>
      <c r="EN440" s="1">
        <f>(Table1[[#This Row],[predicted_8]]-Table1[[#This Row],[actual_8]])/Table1[[#This Row],[actual_8]]</f>
        <v>-9.7535934291581111E-2</v>
      </c>
      <c r="EO440" s="1">
        <f>(Table1[[#This Row],[predicted_9]]-Table1[[#This Row],[actual_9]])/Table1[[#This Row],[actual_9]]</f>
        <v>0.2348860257680872</v>
      </c>
      <c r="EP440" s="1">
        <f>1+(Table1[[#This Row],[error_ratio_0]]-EF$2)</f>
        <v>1.0632653061224491</v>
      </c>
      <c r="EQ440" s="1">
        <f>1+(Table1[[#This Row],[error_ratio_1]]-EG$2)</f>
        <v>1.0176211453744493</v>
      </c>
      <c r="ER440" s="1">
        <f>1+(Table1[[#This Row],[error_ratio_2]]-EH$2)</f>
        <v>1.0319767441860466</v>
      </c>
      <c r="ES440" s="1">
        <f>1+(Table1[[#This Row],[error_ratio_3]]-EI$2)</f>
        <v>0.96138613861386135</v>
      </c>
      <c r="ET440" s="1">
        <f>1+(Table1[[#This Row],[error_ratio_4]]-EJ$2)</f>
        <v>0.87372708757637474</v>
      </c>
      <c r="EU440" s="1">
        <f>1+(Table1[[#This Row],[error_ratio_5]]-EK$2)</f>
        <v>1.0224215246636772</v>
      </c>
      <c r="EV440" s="1">
        <f>1+(Table1[[#This Row],[error_ratio_6]]-EL$2)</f>
        <v>0.9624217118997912</v>
      </c>
      <c r="EW440" s="1">
        <f>1+(Table1[[#This Row],[error_ratio_7]]-EM$2)</f>
        <v>0.91731517509727623</v>
      </c>
      <c r="EX440" s="1">
        <f>1+(Table1[[#This Row],[error_ratio_8]]-EN$2)</f>
        <v>0.90554414784394255</v>
      </c>
      <c r="EY440" s="1">
        <f>1+(Table1[[#This Row],[error_ratio_9]]-EO$2)</f>
        <v>1.2388503468780971</v>
      </c>
    </row>
    <row r="441" spans="1:155" x14ac:dyDescent="0.75">
      <c r="A441">
        <v>100</v>
      </c>
      <c r="B441">
        <v>100</v>
      </c>
      <c r="C441">
        <v>10</v>
      </c>
      <c r="D441">
        <v>10</v>
      </c>
      <c r="E441">
        <v>10</v>
      </c>
      <c r="F441">
        <v>100</v>
      </c>
      <c r="G441">
        <v>10</v>
      </c>
      <c r="H441">
        <v>10</v>
      </c>
      <c r="I441">
        <v>10</v>
      </c>
      <c r="J441">
        <v>100</v>
      </c>
      <c r="K441">
        <v>1073</v>
      </c>
      <c r="L441">
        <v>1156</v>
      </c>
      <c r="M441">
        <v>1079</v>
      </c>
      <c r="N441">
        <v>984</v>
      </c>
      <c r="O441">
        <v>983</v>
      </c>
      <c r="P441">
        <v>940</v>
      </c>
      <c r="Q441">
        <v>869</v>
      </c>
      <c r="R441">
        <v>929</v>
      </c>
      <c r="S441">
        <v>818</v>
      </c>
      <c r="T441">
        <v>1169</v>
      </c>
      <c r="U441">
        <v>980</v>
      </c>
      <c r="V441">
        <v>1135</v>
      </c>
      <c r="W441">
        <v>1032</v>
      </c>
      <c r="X441">
        <v>1010</v>
      </c>
      <c r="Y441">
        <v>982</v>
      </c>
      <c r="Z441">
        <v>892</v>
      </c>
      <c r="AA441">
        <v>958</v>
      </c>
      <c r="AB441">
        <v>1028</v>
      </c>
      <c r="AC441">
        <v>974</v>
      </c>
      <c r="AD441">
        <v>1009</v>
      </c>
      <c r="AE441">
        <v>974</v>
      </c>
      <c r="AF441">
        <v>0</v>
      </c>
      <c r="AG441">
        <v>0</v>
      </c>
      <c r="AH441">
        <v>0</v>
      </c>
      <c r="AI441">
        <v>0</v>
      </c>
      <c r="AJ441">
        <v>1</v>
      </c>
      <c r="AK441">
        <v>0</v>
      </c>
      <c r="AL441">
        <v>0</v>
      </c>
      <c r="AM441">
        <v>0</v>
      </c>
      <c r="AN441">
        <v>5</v>
      </c>
      <c r="AO441">
        <v>0</v>
      </c>
      <c r="AP441">
        <v>1133</v>
      </c>
      <c r="AQ441">
        <v>0</v>
      </c>
      <c r="AR441">
        <v>1</v>
      </c>
      <c r="AS441">
        <v>0</v>
      </c>
      <c r="AT441">
        <v>1</v>
      </c>
      <c r="AU441">
        <v>0</v>
      </c>
      <c r="AV441">
        <v>0</v>
      </c>
      <c r="AW441">
        <v>0</v>
      </c>
      <c r="AX441">
        <v>0</v>
      </c>
      <c r="AY441">
        <v>12</v>
      </c>
      <c r="AZ441">
        <v>3</v>
      </c>
      <c r="BA441">
        <v>991</v>
      </c>
      <c r="BB441">
        <v>9</v>
      </c>
      <c r="BC441">
        <v>4</v>
      </c>
      <c r="BD441">
        <v>0</v>
      </c>
      <c r="BE441">
        <v>0</v>
      </c>
      <c r="BF441">
        <v>4</v>
      </c>
      <c r="BG441">
        <v>1</v>
      </c>
      <c r="BH441">
        <v>8</v>
      </c>
      <c r="BI441">
        <v>4</v>
      </c>
      <c r="BJ441">
        <v>0</v>
      </c>
      <c r="BK441">
        <v>5</v>
      </c>
      <c r="BL441">
        <v>959</v>
      </c>
      <c r="BM441">
        <v>0</v>
      </c>
      <c r="BN441">
        <v>14</v>
      </c>
      <c r="BO441">
        <v>0</v>
      </c>
      <c r="BP441">
        <v>4</v>
      </c>
      <c r="BQ441">
        <v>1</v>
      </c>
      <c r="BR441">
        <v>23</v>
      </c>
      <c r="BS441">
        <v>0</v>
      </c>
      <c r="BT441">
        <v>1</v>
      </c>
      <c r="BU441">
        <v>3</v>
      </c>
      <c r="BV441">
        <v>0</v>
      </c>
      <c r="BW441">
        <v>946</v>
      </c>
      <c r="BX441">
        <v>0</v>
      </c>
      <c r="BY441">
        <v>0</v>
      </c>
      <c r="BZ441">
        <v>0</v>
      </c>
      <c r="CA441">
        <v>0</v>
      </c>
      <c r="CB441">
        <v>32</v>
      </c>
      <c r="CC441">
        <v>6</v>
      </c>
      <c r="CD441">
        <v>1</v>
      </c>
      <c r="CE441">
        <v>0</v>
      </c>
      <c r="CF441">
        <v>2</v>
      </c>
      <c r="CG441">
        <v>0</v>
      </c>
      <c r="CH441">
        <v>873</v>
      </c>
      <c r="CI441">
        <v>0</v>
      </c>
      <c r="CJ441">
        <v>0</v>
      </c>
      <c r="CK441">
        <v>0</v>
      </c>
      <c r="CL441">
        <v>10</v>
      </c>
      <c r="CM441">
        <v>37</v>
      </c>
      <c r="CN441">
        <v>7</v>
      </c>
      <c r="CO441">
        <v>6</v>
      </c>
      <c r="CP441">
        <v>0</v>
      </c>
      <c r="CQ441">
        <v>20</v>
      </c>
      <c r="CR441">
        <v>22</v>
      </c>
      <c r="CS441">
        <v>865</v>
      </c>
      <c r="CT441">
        <v>0</v>
      </c>
      <c r="CU441">
        <v>0</v>
      </c>
      <c r="CV441">
        <v>1</v>
      </c>
      <c r="CW441">
        <v>4</v>
      </c>
      <c r="CX441">
        <v>8</v>
      </c>
      <c r="CY441">
        <v>48</v>
      </c>
      <c r="CZ441">
        <v>4</v>
      </c>
      <c r="DA441">
        <v>4</v>
      </c>
      <c r="DB441">
        <v>2</v>
      </c>
      <c r="DC441">
        <v>0</v>
      </c>
      <c r="DD441">
        <v>911</v>
      </c>
      <c r="DE441">
        <v>0</v>
      </c>
      <c r="DF441">
        <v>47</v>
      </c>
      <c r="DG441">
        <v>35</v>
      </c>
      <c r="DH441">
        <v>1</v>
      </c>
      <c r="DI441">
        <v>26</v>
      </c>
      <c r="DJ441">
        <v>8</v>
      </c>
      <c r="DK441">
        <v>4</v>
      </c>
      <c r="DL441">
        <v>25</v>
      </c>
      <c r="DM441">
        <v>4</v>
      </c>
      <c r="DN441">
        <v>8</v>
      </c>
      <c r="DO441">
        <v>816</v>
      </c>
      <c r="DP441">
        <v>47</v>
      </c>
      <c r="DQ441">
        <v>1</v>
      </c>
      <c r="DR441">
        <v>2</v>
      </c>
      <c r="DS441">
        <v>0</v>
      </c>
      <c r="DT441">
        <v>1</v>
      </c>
      <c r="DU441">
        <v>5</v>
      </c>
      <c r="DV441">
        <v>2</v>
      </c>
      <c r="DW441">
        <v>0</v>
      </c>
      <c r="DX441">
        <v>2</v>
      </c>
      <c r="DY441">
        <v>0</v>
      </c>
      <c r="DZ441">
        <v>996</v>
      </c>
      <c r="EA441">
        <v>0.94640000000000002</v>
      </c>
      <c r="EB441">
        <v>0.94975457655003803</v>
      </c>
      <c r="EC441">
        <v>0.94579392020006003</v>
      </c>
      <c r="ED441">
        <v>0.94578660850363305</v>
      </c>
      <c r="EE441">
        <f>SUM(Table1[[#This Row],[ratio_0]:[ratio_9]])</f>
        <v>460</v>
      </c>
      <c r="EF441" s="1">
        <f>(Table1[[#This Row],[predicted_0]]-Table1[[#This Row],[actual_0]])/Table1[[#This Row],[actual_0]]</f>
        <v>9.4897959183673469E-2</v>
      </c>
      <c r="EG441" s="1">
        <f>(Table1[[#This Row],[predicted_1]]-Table1[[#This Row],[actual_1]])/Table1[[#This Row],[actual_1]]</f>
        <v>1.8502202643171806E-2</v>
      </c>
      <c r="EH441" s="1">
        <f>(Table1[[#This Row],[predicted_2]]-Table1[[#This Row],[actual_2]])/Table1[[#This Row],[actual_2]]</f>
        <v>4.5542635658914726E-2</v>
      </c>
      <c r="EI441" s="1">
        <f>(Table1[[#This Row],[predicted_3]]-Table1[[#This Row],[actual_3]])/Table1[[#This Row],[actual_3]]</f>
        <v>-2.5742574257425741E-2</v>
      </c>
      <c r="EJ441" s="1">
        <f>(Table1[[#This Row],[predicted_4]]-Table1[[#This Row],[actual_4]])/Table1[[#This Row],[actual_4]]</f>
        <v>1.0183299389002036E-3</v>
      </c>
      <c r="EK441" s="1">
        <f>(Table1[[#This Row],[predicted_5]]-Table1[[#This Row],[actual_5]])/Table1[[#This Row],[actual_5]]</f>
        <v>5.3811659192825115E-2</v>
      </c>
      <c r="EL441" s="1">
        <f>(Table1[[#This Row],[predicted_6]]-Table1[[#This Row],[actual_6]])/Table1[[#This Row],[actual_6]]</f>
        <v>-9.2901878914405017E-2</v>
      </c>
      <c r="EM441" s="1">
        <f>(Table1[[#This Row],[predicted_7]]-Table1[[#This Row],[actual_7]])/Table1[[#This Row],[actual_7]]</f>
        <v>-9.6303501945525297E-2</v>
      </c>
      <c r="EN441" s="1">
        <f>(Table1[[#This Row],[predicted_8]]-Table1[[#This Row],[actual_8]])/Table1[[#This Row],[actual_8]]</f>
        <v>-0.16016427104722791</v>
      </c>
      <c r="EO441" s="1">
        <f>(Table1[[#This Row],[predicted_9]]-Table1[[#This Row],[actual_9]])/Table1[[#This Row],[actual_9]]</f>
        <v>0.15857284440039643</v>
      </c>
      <c r="EP441" s="1">
        <f>1+(Table1[[#This Row],[error_ratio_0]]-EF$2)</f>
        <v>1.092857142857143</v>
      </c>
      <c r="EQ441" s="1">
        <f>1+(Table1[[#This Row],[error_ratio_1]]-EG$2)</f>
        <v>1.0167400881057269</v>
      </c>
      <c r="ER441" s="1">
        <f>1+(Table1[[#This Row],[error_ratio_2]]-EH$2)</f>
        <v>1.0503875968992249</v>
      </c>
      <c r="ES441" s="1">
        <f>1+(Table1[[#This Row],[error_ratio_3]]-EI$2)</f>
        <v>0.96435643564356432</v>
      </c>
      <c r="ET441" s="1">
        <f>1+(Table1[[#This Row],[error_ratio_4]]-EJ$2)</f>
        <v>1</v>
      </c>
      <c r="EU441" s="1">
        <f>1+(Table1[[#This Row],[error_ratio_5]]-EK$2)</f>
        <v>1.0526905829596414</v>
      </c>
      <c r="EV441" s="1">
        <f>1+(Table1[[#This Row],[error_ratio_6]]-EL$2)</f>
        <v>0.91336116910229648</v>
      </c>
      <c r="EW441" s="1">
        <f>1+(Table1[[#This Row],[error_ratio_7]]-EM$2)</f>
        <v>0.90175097276264593</v>
      </c>
      <c r="EX441" s="1">
        <f>1+(Table1[[#This Row],[error_ratio_8]]-EN$2)</f>
        <v>0.84291581108829572</v>
      </c>
      <c r="EY441" s="1">
        <f>1+(Table1[[#This Row],[error_ratio_9]]-EO$2)</f>
        <v>1.1625371655104064</v>
      </c>
    </row>
    <row r="442" spans="1:155" x14ac:dyDescent="0.75">
      <c r="A442">
        <v>10</v>
      </c>
      <c r="B442">
        <v>100</v>
      </c>
      <c r="C442">
        <v>10</v>
      </c>
      <c r="D442">
        <v>10</v>
      </c>
      <c r="E442">
        <v>10</v>
      </c>
      <c r="F442">
        <v>100</v>
      </c>
      <c r="G442">
        <v>10</v>
      </c>
      <c r="H442">
        <v>10</v>
      </c>
      <c r="I442">
        <v>10</v>
      </c>
      <c r="J442">
        <v>100</v>
      </c>
      <c r="K442">
        <v>948</v>
      </c>
      <c r="L442">
        <v>1184</v>
      </c>
      <c r="M442">
        <v>981</v>
      </c>
      <c r="N442">
        <v>946</v>
      </c>
      <c r="O442">
        <v>955</v>
      </c>
      <c r="P442">
        <v>975</v>
      </c>
      <c r="Q442">
        <v>931</v>
      </c>
      <c r="R442">
        <v>1018</v>
      </c>
      <c r="S442">
        <v>869</v>
      </c>
      <c r="T442">
        <v>1193</v>
      </c>
      <c r="U442">
        <v>980</v>
      </c>
      <c r="V442">
        <v>1135</v>
      </c>
      <c r="W442">
        <v>1032</v>
      </c>
      <c r="X442">
        <v>1010</v>
      </c>
      <c r="Y442">
        <v>982</v>
      </c>
      <c r="Z442">
        <v>892</v>
      </c>
      <c r="AA442">
        <v>958</v>
      </c>
      <c r="AB442">
        <v>1028</v>
      </c>
      <c r="AC442">
        <v>974</v>
      </c>
      <c r="AD442">
        <v>1009</v>
      </c>
      <c r="AE442">
        <v>923</v>
      </c>
      <c r="AF442">
        <v>0</v>
      </c>
      <c r="AG442">
        <v>2</v>
      </c>
      <c r="AH442">
        <v>0</v>
      </c>
      <c r="AI442">
        <v>0</v>
      </c>
      <c r="AJ442">
        <v>18</v>
      </c>
      <c r="AK442">
        <v>14</v>
      </c>
      <c r="AL442">
        <v>0</v>
      </c>
      <c r="AM442">
        <v>4</v>
      </c>
      <c r="AN442">
        <v>19</v>
      </c>
      <c r="AO442">
        <v>0</v>
      </c>
      <c r="AP442">
        <v>1134</v>
      </c>
      <c r="AQ442">
        <v>0</v>
      </c>
      <c r="AR442">
        <v>0</v>
      </c>
      <c r="AS442">
        <v>0</v>
      </c>
      <c r="AT442">
        <v>0</v>
      </c>
      <c r="AU442">
        <v>0</v>
      </c>
      <c r="AV442">
        <v>1</v>
      </c>
      <c r="AW442">
        <v>0</v>
      </c>
      <c r="AX442">
        <v>0</v>
      </c>
      <c r="AY442">
        <v>10</v>
      </c>
      <c r="AZ442">
        <v>23</v>
      </c>
      <c r="BA442">
        <v>943</v>
      </c>
      <c r="BB442">
        <v>0</v>
      </c>
      <c r="BC442">
        <v>0</v>
      </c>
      <c r="BD442">
        <v>0</v>
      </c>
      <c r="BE442">
        <v>1</v>
      </c>
      <c r="BF442">
        <v>42</v>
      </c>
      <c r="BG442">
        <v>7</v>
      </c>
      <c r="BH442">
        <v>6</v>
      </c>
      <c r="BI442">
        <v>0</v>
      </c>
      <c r="BJ442">
        <v>1</v>
      </c>
      <c r="BK442">
        <v>8</v>
      </c>
      <c r="BL442">
        <v>937</v>
      </c>
      <c r="BM442">
        <v>0</v>
      </c>
      <c r="BN442">
        <v>33</v>
      </c>
      <c r="BO442">
        <v>1</v>
      </c>
      <c r="BP442">
        <v>11</v>
      </c>
      <c r="BQ442">
        <v>1</v>
      </c>
      <c r="BR442">
        <v>18</v>
      </c>
      <c r="BS442">
        <v>3</v>
      </c>
      <c r="BT442">
        <v>2</v>
      </c>
      <c r="BU442">
        <v>7</v>
      </c>
      <c r="BV442">
        <v>0</v>
      </c>
      <c r="BW442">
        <v>933</v>
      </c>
      <c r="BX442">
        <v>0</v>
      </c>
      <c r="BY442">
        <v>3</v>
      </c>
      <c r="BZ442">
        <v>1</v>
      </c>
      <c r="CA442">
        <v>0</v>
      </c>
      <c r="CB442">
        <v>33</v>
      </c>
      <c r="CC442">
        <v>1</v>
      </c>
      <c r="CD442">
        <v>1</v>
      </c>
      <c r="CE442">
        <v>0</v>
      </c>
      <c r="CF442">
        <v>1</v>
      </c>
      <c r="CG442">
        <v>0</v>
      </c>
      <c r="CH442">
        <v>884</v>
      </c>
      <c r="CI442">
        <v>2</v>
      </c>
      <c r="CJ442">
        <v>0</v>
      </c>
      <c r="CK442">
        <v>0</v>
      </c>
      <c r="CL442">
        <v>3</v>
      </c>
      <c r="CM442">
        <v>8</v>
      </c>
      <c r="CN442">
        <v>8</v>
      </c>
      <c r="CO442">
        <v>3</v>
      </c>
      <c r="CP442">
        <v>0</v>
      </c>
      <c r="CQ442">
        <v>16</v>
      </c>
      <c r="CR442">
        <v>15</v>
      </c>
      <c r="CS442">
        <v>905</v>
      </c>
      <c r="CT442">
        <v>0</v>
      </c>
      <c r="CU442">
        <v>3</v>
      </c>
      <c r="CV442">
        <v>0</v>
      </c>
      <c r="CW442">
        <v>1</v>
      </c>
      <c r="CX442">
        <v>10</v>
      </c>
      <c r="CY442">
        <v>1</v>
      </c>
      <c r="CZ442">
        <v>3</v>
      </c>
      <c r="DA442">
        <v>0</v>
      </c>
      <c r="DB442">
        <v>1</v>
      </c>
      <c r="DC442">
        <v>0</v>
      </c>
      <c r="DD442">
        <v>954</v>
      </c>
      <c r="DE442">
        <v>1</v>
      </c>
      <c r="DF442">
        <v>57</v>
      </c>
      <c r="DG442">
        <v>0</v>
      </c>
      <c r="DH442">
        <v>2</v>
      </c>
      <c r="DI442">
        <v>17</v>
      </c>
      <c r="DJ442">
        <v>5</v>
      </c>
      <c r="DK442">
        <v>4</v>
      </c>
      <c r="DL442">
        <v>22</v>
      </c>
      <c r="DM442">
        <v>5</v>
      </c>
      <c r="DN442">
        <v>9</v>
      </c>
      <c r="DO442">
        <v>853</v>
      </c>
      <c r="DP442">
        <v>57</v>
      </c>
      <c r="DQ442">
        <v>2</v>
      </c>
      <c r="DR442">
        <v>3</v>
      </c>
      <c r="DS442">
        <v>0</v>
      </c>
      <c r="DT442">
        <v>0</v>
      </c>
      <c r="DU442">
        <v>2</v>
      </c>
      <c r="DV442">
        <v>2</v>
      </c>
      <c r="DW442">
        <v>0</v>
      </c>
      <c r="DX442">
        <v>0</v>
      </c>
      <c r="DY442">
        <v>0</v>
      </c>
      <c r="DZ442">
        <v>1000</v>
      </c>
      <c r="EA442">
        <v>0.9466</v>
      </c>
      <c r="EB442">
        <v>0.94957949238641903</v>
      </c>
      <c r="EC442">
        <v>0.946311363417778</v>
      </c>
      <c r="ED442">
        <v>0.946544371073472</v>
      </c>
      <c r="EE442">
        <f>SUM(Table1[[#This Row],[ratio_0]:[ratio_9]])</f>
        <v>370</v>
      </c>
      <c r="EF442" s="1">
        <f>(Table1[[#This Row],[predicted_0]]-Table1[[#This Row],[actual_0]])/Table1[[#This Row],[actual_0]]</f>
        <v>-3.2653061224489799E-2</v>
      </c>
      <c r="EG442" s="1">
        <f>(Table1[[#This Row],[predicted_1]]-Table1[[#This Row],[actual_1]])/Table1[[#This Row],[actual_1]]</f>
        <v>4.3171806167400878E-2</v>
      </c>
      <c r="EH442" s="1">
        <f>(Table1[[#This Row],[predicted_2]]-Table1[[#This Row],[actual_2]])/Table1[[#This Row],[actual_2]]</f>
        <v>-4.9418604651162788E-2</v>
      </c>
      <c r="EI442" s="1">
        <f>(Table1[[#This Row],[predicted_3]]-Table1[[#This Row],[actual_3]])/Table1[[#This Row],[actual_3]]</f>
        <v>-6.3366336633663367E-2</v>
      </c>
      <c r="EJ442" s="1">
        <f>(Table1[[#This Row],[predicted_4]]-Table1[[#This Row],[actual_4]])/Table1[[#This Row],[actual_4]]</f>
        <v>-2.7494908350305498E-2</v>
      </c>
      <c r="EK442" s="1">
        <f>(Table1[[#This Row],[predicted_5]]-Table1[[#This Row],[actual_5]])/Table1[[#This Row],[actual_5]]</f>
        <v>9.3049327354260095E-2</v>
      </c>
      <c r="EL442" s="1">
        <f>(Table1[[#This Row],[predicted_6]]-Table1[[#This Row],[actual_6]])/Table1[[#This Row],[actual_6]]</f>
        <v>-2.8183716075156576E-2</v>
      </c>
      <c r="EM442" s="1">
        <f>(Table1[[#This Row],[predicted_7]]-Table1[[#This Row],[actual_7]])/Table1[[#This Row],[actual_7]]</f>
        <v>-9.727626459143969E-3</v>
      </c>
      <c r="EN442" s="1">
        <f>(Table1[[#This Row],[predicted_8]]-Table1[[#This Row],[actual_8]])/Table1[[#This Row],[actual_8]]</f>
        <v>-0.10780287474332649</v>
      </c>
      <c r="EO442" s="1">
        <f>(Table1[[#This Row],[predicted_9]]-Table1[[#This Row],[actual_9]])/Table1[[#This Row],[actual_9]]</f>
        <v>0.18235877106045589</v>
      </c>
      <c r="EP442" s="1">
        <f>1+(Table1[[#This Row],[error_ratio_0]]-EF$2)</f>
        <v>0.96530612244897962</v>
      </c>
      <c r="EQ442" s="1">
        <f>1+(Table1[[#This Row],[error_ratio_1]]-EG$2)</f>
        <v>1.041409691629956</v>
      </c>
      <c r="ER442" s="1">
        <f>1+(Table1[[#This Row],[error_ratio_2]]-EH$2)</f>
        <v>0.95542635658914732</v>
      </c>
      <c r="ES442" s="1">
        <f>1+(Table1[[#This Row],[error_ratio_3]]-EI$2)</f>
        <v>0.92673267326732678</v>
      </c>
      <c r="ET442" s="1">
        <f>1+(Table1[[#This Row],[error_ratio_4]]-EJ$2)</f>
        <v>0.97148676171079429</v>
      </c>
      <c r="EU442" s="1">
        <f>1+(Table1[[#This Row],[error_ratio_5]]-EK$2)</f>
        <v>1.0919282511210762</v>
      </c>
      <c r="EV442" s="1">
        <f>1+(Table1[[#This Row],[error_ratio_6]]-EL$2)</f>
        <v>0.97807933194154484</v>
      </c>
      <c r="EW442" s="1">
        <f>1+(Table1[[#This Row],[error_ratio_7]]-EM$2)</f>
        <v>0.98832684824902728</v>
      </c>
      <c r="EX442" s="1">
        <f>1+(Table1[[#This Row],[error_ratio_8]]-EN$2)</f>
        <v>0.89527720739219707</v>
      </c>
      <c r="EY442" s="1">
        <f>1+(Table1[[#This Row],[error_ratio_9]]-EO$2)</f>
        <v>1.1863230921704657</v>
      </c>
    </row>
    <row r="443" spans="1:155" x14ac:dyDescent="0.75">
      <c r="A443">
        <v>100</v>
      </c>
      <c r="B443">
        <v>10</v>
      </c>
      <c r="C443">
        <v>10</v>
      </c>
      <c r="D443">
        <v>10</v>
      </c>
      <c r="E443">
        <v>10</v>
      </c>
      <c r="F443">
        <v>100</v>
      </c>
      <c r="G443">
        <v>10</v>
      </c>
      <c r="H443">
        <v>10</v>
      </c>
      <c r="I443">
        <v>10</v>
      </c>
      <c r="J443">
        <v>100</v>
      </c>
      <c r="K443">
        <v>1108</v>
      </c>
      <c r="L443">
        <v>1243</v>
      </c>
      <c r="M443">
        <v>915</v>
      </c>
      <c r="N443">
        <v>921</v>
      </c>
      <c r="O443">
        <v>969</v>
      </c>
      <c r="P443">
        <v>956</v>
      </c>
      <c r="Q443">
        <v>853</v>
      </c>
      <c r="R443">
        <v>1000</v>
      </c>
      <c r="S443">
        <v>983</v>
      </c>
      <c r="T443">
        <v>1052</v>
      </c>
      <c r="U443">
        <v>980</v>
      </c>
      <c r="V443">
        <v>1135</v>
      </c>
      <c r="W443">
        <v>1032</v>
      </c>
      <c r="X443">
        <v>1010</v>
      </c>
      <c r="Y443">
        <v>982</v>
      </c>
      <c r="Z443">
        <v>892</v>
      </c>
      <c r="AA443">
        <v>958</v>
      </c>
      <c r="AB443">
        <v>1028</v>
      </c>
      <c r="AC443">
        <v>974</v>
      </c>
      <c r="AD443">
        <v>1009</v>
      </c>
      <c r="AE443">
        <v>977</v>
      </c>
      <c r="AF443">
        <v>0</v>
      </c>
      <c r="AG443">
        <v>0</v>
      </c>
      <c r="AH443">
        <v>0</v>
      </c>
      <c r="AI443">
        <v>0</v>
      </c>
      <c r="AJ443">
        <v>0</v>
      </c>
      <c r="AK443">
        <v>0</v>
      </c>
      <c r="AL443">
        <v>1</v>
      </c>
      <c r="AM443">
        <v>1</v>
      </c>
      <c r="AN443">
        <v>1</v>
      </c>
      <c r="AO443">
        <v>0</v>
      </c>
      <c r="AP443">
        <v>1131</v>
      </c>
      <c r="AQ443">
        <v>0</v>
      </c>
      <c r="AR443">
        <v>1</v>
      </c>
      <c r="AS443">
        <v>0</v>
      </c>
      <c r="AT443">
        <v>2</v>
      </c>
      <c r="AU443">
        <v>0</v>
      </c>
      <c r="AV443">
        <v>0</v>
      </c>
      <c r="AW443">
        <v>0</v>
      </c>
      <c r="AX443">
        <v>1</v>
      </c>
      <c r="AY443">
        <v>20</v>
      </c>
      <c r="AZ443">
        <v>79</v>
      </c>
      <c r="BA443">
        <v>895</v>
      </c>
      <c r="BB443">
        <v>1</v>
      </c>
      <c r="BC443">
        <v>1</v>
      </c>
      <c r="BD443">
        <v>0</v>
      </c>
      <c r="BE443">
        <v>1</v>
      </c>
      <c r="BF443">
        <v>17</v>
      </c>
      <c r="BG443">
        <v>16</v>
      </c>
      <c r="BH443">
        <v>2</v>
      </c>
      <c r="BI443">
        <v>4</v>
      </c>
      <c r="BJ443">
        <v>1</v>
      </c>
      <c r="BK443">
        <v>3</v>
      </c>
      <c r="BL443">
        <v>915</v>
      </c>
      <c r="BM443">
        <v>0</v>
      </c>
      <c r="BN443">
        <v>50</v>
      </c>
      <c r="BO443">
        <v>0</v>
      </c>
      <c r="BP443">
        <v>10</v>
      </c>
      <c r="BQ443">
        <v>19</v>
      </c>
      <c r="BR443">
        <v>8</v>
      </c>
      <c r="BS443">
        <v>7</v>
      </c>
      <c r="BT443">
        <v>3</v>
      </c>
      <c r="BU443">
        <v>2</v>
      </c>
      <c r="BV443">
        <v>0</v>
      </c>
      <c r="BW443">
        <v>950</v>
      </c>
      <c r="BX443">
        <v>0</v>
      </c>
      <c r="BY443">
        <v>2</v>
      </c>
      <c r="BZ443">
        <v>0</v>
      </c>
      <c r="CA443">
        <v>3</v>
      </c>
      <c r="CB443">
        <v>15</v>
      </c>
      <c r="CC443">
        <v>5</v>
      </c>
      <c r="CD443">
        <v>0</v>
      </c>
      <c r="CE443">
        <v>0</v>
      </c>
      <c r="CF443">
        <v>1</v>
      </c>
      <c r="CG443">
        <v>0</v>
      </c>
      <c r="CH443">
        <v>882</v>
      </c>
      <c r="CI443">
        <v>3</v>
      </c>
      <c r="CJ443">
        <v>1</v>
      </c>
      <c r="CK443">
        <v>0</v>
      </c>
      <c r="CL443">
        <v>0</v>
      </c>
      <c r="CM443">
        <v>81</v>
      </c>
      <c r="CN443">
        <v>7</v>
      </c>
      <c r="CO443">
        <v>1</v>
      </c>
      <c r="CP443">
        <v>0</v>
      </c>
      <c r="CQ443">
        <v>11</v>
      </c>
      <c r="CR443">
        <v>9</v>
      </c>
      <c r="CS443">
        <v>846</v>
      </c>
      <c r="CT443">
        <v>0</v>
      </c>
      <c r="CU443">
        <v>2</v>
      </c>
      <c r="CV443">
        <v>1</v>
      </c>
      <c r="CW443">
        <v>1</v>
      </c>
      <c r="CX443">
        <v>14</v>
      </c>
      <c r="CY443">
        <v>14</v>
      </c>
      <c r="CZ443">
        <v>3</v>
      </c>
      <c r="DA443">
        <v>2</v>
      </c>
      <c r="DB443">
        <v>3</v>
      </c>
      <c r="DC443">
        <v>0</v>
      </c>
      <c r="DD443">
        <v>966</v>
      </c>
      <c r="DE443">
        <v>2</v>
      </c>
      <c r="DF443">
        <v>23</v>
      </c>
      <c r="DG443">
        <v>11</v>
      </c>
      <c r="DH443">
        <v>6</v>
      </c>
      <c r="DI443">
        <v>0</v>
      </c>
      <c r="DJ443">
        <v>0</v>
      </c>
      <c r="DK443">
        <v>2</v>
      </c>
      <c r="DL443">
        <v>6</v>
      </c>
      <c r="DM443">
        <v>1</v>
      </c>
      <c r="DN443">
        <v>5</v>
      </c>
      <c r="DO443">
        <v>938</v>
      </c>
      <c r="DP443">
        <v>5</v>
      </c>
      <c r="DQ443">
        <v>2</v>
      </c>
      <c r="DR443">
        <v>2</v>
      </c>
      <c r="DS443">
        <v>0</v>
      </c>
      <c r="DT443">
        <v>0</v>
      </c>
      <c r="DU443">
        <v>3</v>
      </c>
      <c r="DV443">
        <v>4</v>
      </c>
      <c r="DW443">
        <v>0</v>
      </c>
      <c r="DX443">
        <v>0</v>
      </c>
      <c r="DY443">
        <v>2</v>
      </c>
      <c r="DZ443">
        <v>996</v>
      </c>
      <c r="EA443">
        <v>0.9496</v>
      </c>
      <c r="EB443">
        <v>0.95250615853633902</v>
      </c>
      <c r="EC443">
        <v>0.94957393392079703</v>
      </c>
      <c r="ED443">
        <v>0.94945912909917296</v>
      </c>
      <c r="EE443">
        <f>SUM(Table1[[#This Row],[ratio_0]:[ratio_9]])</f>
        <v>370</v>
      </c>
      <c r="EF443" s="1">
        <f>(Table1[[#This Row],[predicted_0]]-Table1[[#This Row],[actual_0]])/Table1[[#This Row],[actual_0]]</f>
        <v>0.1306122448979592</v>
      </c>
      <c r="EG443" s="1">
        <f>(Table1[[#This Row],[predicted_1]]-Table1[[#This Row],[actual_1]])/Table1[[#This Row],[actual_1]]</f>
        <v>9.5154185022026438E-2</v>
      </c>
      <c r="EH443" s="1">
        <f>(Table1[[#This Row],[predicted_2]]-Table1[[#This Row],[actual_2]])/Table1[[#This Row],[actual_2]]</f>
        <v>-0.11337209302325581</v>
      </c>
      <c r="EI443" s="1">
        <f>(Table1[[#This Row],[predicted_3]]-Table1[[#This Row],[actual_3]])/Table1[[#This Row],[actual_3]]</f>
        <v>-8.8118811881188114E-2</v>
      </c>
      <c r="EJ443" s="1">
        <f>(Table1[[#This Row],[predicted_4]]-Table1[[#This Row],[actual_4]])/Table1[[#This Row],[actual_4]]</f>
        <v>-1.3238289205702648E-2</v>
      </c>
      <c r="EK443" s="1">
        <f>(Table1[[#This Row],[predicted_5]]-Table1[[#This Row],[actual_5]])/Table1[[#This Row],[actual_5]]</f>
        <v>7.1748878923766815E-2</v>
      </c>
      <c r="EL443" s="1">
        <f>(Table1[[#This Row],[predicted_6]]-Table1[[#This Row],[actual_6]])/Table1[[#This Row],[actual_6]]</f>
        <v>-0.10960334029227557</v>
      </c>
      <c r="EM443" s="1">
        <f>(Table1[[#This Row],[predicted_7]]-Table1[[#This Row],[actual_7]])/Table1[[#This Row],[actual_7]]</f>
        <v>-2.7237354085603113E-2</v>
      </c>
      <c r="EN443" s="1">
        <f>(Table1[[#This Row],[predicted_8]]-Table1[[#This Row],[actual_8]])/Table1[[#This Row],[actual_8]]</f>
        <v>9.2402464065708418E-3</v>
      </c>
      <c r="EO443" s="1">
        <f>(Table1[[#This Row],[predicted_9]]-Table1[[#This Row],[actual_9]])/Table1[[#This Row],[actual_9]]</f>
        <v>4.261645193260654E-2</v>
      </c>
      <c r="EP443" s="1">
        <f>1+(Table1[[#This Row],[error_ratio_0]]-EF$2)</f>
        <v>1.1285714285714286</v>
      </c>
      <c r="EQ443" s="1">
        <f>1+(Table1[[#This Row],[error_ratio_1]]-EG$2)</f>
        <v>1.0933920704845814</v>
      </c>
      <c r="ER443" s="1">
        <f>1+(Table1[[#This Row],[error_ratio_2]]-EH$2)</f>
        <v>0.89147286821705429</v>
      </c>
      <c r="ES443" s="1">
        <f>1+(Table1[[#This Row],[error_ratio_3]]-EI$2)</f>
        <v>0.901980198019802</v>
      </c>
      <c r="ET443" s="1">
        <f>1+(Table1[[#This Row],[error_ratio_4]]-EJ$2)</f>
        <v>0.98574338085539714</v>
      </c>
      <c r="EU443" s="1">
        <f>1+(Table1[[#This Row],[error_ratio_5]]-EK$2)</f>
        <v>1.0706278026905829</v>
      </c>
      <c r="EV443" s="1">
        <f>1+(Table1[[#This Row],[error_ratio_6]]-EL$2)</f>
        <v>0.89665970772442594</v>
      </c>
      <c r="EW443" s="1">
        <f>1+(Table1[[#This Row],[error_ratio_7]]-EM$2)</f>
        <v>0.97081712062256809</v>
      </c>
      <c r="EX443" s="1">
        <f>1+(Table1[[#This Row],[error_ratio_8]]-EN$2)</f>
        <v>1.0123203285420945</v>
      </c>
      <c r="EY443" s="1">
        <f>1+(Table1[[#This Row],[error_ratio_9]]-EO$2)</f>
        <v>1.0465807730426164</v>
      </c>
    </row>
    <row r="444" spans="1:155" x14ac:dyDescent="0.75">
      <c r="A444">
        <v>10</v>
      </c>
      <c r="B444">
        <v>10</v>
      </c>
      <c r="C444">
        <v>10</v>
      </c>
      <c r="D444">
        <v>10</v>
      </c>
      <c r="E444">
        <v>10</v>
      </c>
      <c r="F444">
        <v>100</v>
      </c>
      <c r="G444">
        <v>10</v>
      </c>
      <c r="H444">
        <v>10</v>
      </c>
      <c r="I444">
        <v>10</v>
      </c>
      <c r="J444">
        <v>100</v>
      </c>
      <c r="K444">
        <v>1000</v>
      </c>
      <c r="L444">
        <v>1171</v>
      </c>
      <c r="M444">
        <v>1041</v>
      </c>
      <c r="N444">
        <v>972</v>
      </c>
      <c r="O444">
        <v>923</v>
      </c>
      <c r="P444">
        <v>971</v>
      </c>
      <c r="Q444">
        <v>919</v>
      </c>
      <c r="R444">
        <v>950</v>
      </c>
      <c r="S444">
        <v>948</v>
      </c>
      <c r="T444">
        <v>1105</v>
      </c>
      <c r="U444">
        <v>980</v>
      </c>
      <c r="V444">
        <v>1135</v>
      </c>
      <c r="W444">
        <v>1032</v>
      </c>
      <c r="X444">
        <v>1010</v>
      </c>
      <c r="Y444">
        <v>982</v>
      </c>
      <c r="Z444">
        <v>892</v>
      </c>
      <c r="AA444">
        <v>958</v>
      </c>
      <c r="AB444">
        <v>1028</v>
      </c>
      <c r="AC444">
        <v>974</v>
      </c>
      <c r="AD444">
        <v>1009</v>
      </c>
      <c r="AE444">
        <v>965</v>
      </c>
      <c r="AF444">
        <v>0</v>
      </c>
      <c r="AG444">
        <v>0</v>
      </c>
      <c r="AH444">
        <v>0</v>
      </c>
      <c r="AI444">
        <v>0</v>
      </c>
      <c r="AJ444">
        <v>4</v>
      </c>
      <c r="AK444">
        <v>2</v>
      </c>
      <c r="AL444">
        <v>0</v>
      </c>
      <c r="AM444">
        <v>2</v>
      </c>
      <c r="AN444">
        <v>7</v>
      </c>
      <c r="AO444">
        <v>0</v>
      </c>
      <c r="AP444">
        <v>1125</v>
      </c>
      <c r="AQ444">
        <v>0</v>
      </c>
      <c r="AR444">
        <v>5</v>
      </c>
      <c r="AS444">
        <v>0</v>
      </c>
      <c r="AT444">
        <v>4</v>
      </c>
      <c r="AU444">
        <v>1</v>
      </c>
      <c r="AV444">
        <v>0</v>
      </c>
      <c r="AW444">
        <v>0</v>
      </c>
      <c r="AX444">
        <v>0</v>
      </c>
      <c r="AY444">
        <v>6</v>
      </c>
      <c r="AZ444">
        <v>2</v>
      </c>
      <c r="BA444">
        <v>997</v>
      </c>
      <c r="BB444">
        <v>3</v>
      </c>
      <c r="BC444">
        <v>0</v>
      </c>
      <c r="BD444">
        <v>0</v>
      </c>
      <c r="BE444">
        <v>2</v>
      </c>
      <c r="BF444">
        <v>4</v>
      </c>
      <c r="BG444">
        <v>14</v>
      </c>
      <c r="BH444">
        <v>4</v>
      </c>
      <c r="BI444">
        <v>0</v>
      </c>
      <c r="BJ444">
        <v>0</v>
      </c>
      <c r="BK444">
        <v>8</v>
      </c>
      <c r="BL444">
        <v>955</v>
      </c>
      <c r="BM444">
        <v>0</v>
      </c>
      <c r="BN444">
        <v>35</v>
      </c>
      <c r="BO444">
        <v>0</v>
      </c>
      <c r="BP444">
        <v>3</v>
      </c>
      <c r="BQ444">
        <v>4</v>
      </c>
      <c r="BR444">
        <v>5</v>
      </c>
      <c r="BS444">
        <v>2</v>
      </c>
      <c r="BT444">
        <v>22</v>
      </c>
      <c r="BU444">
        <v>7</v>
      </c>
      <c r="BV444">
        <v>0</v>
      </c>
      <c r="BW444">
        <v>895</v>
      </c>
      <c r="BX444">
        <v>0</v>
      </c>
      <c r="BY444">
        <v>4</v>
      </c>
      <c r="BZ444">
        <v>0</v>
      </c>
      <c r="CA444">
        <v>2</v>
      </c>
      <c r="CB444">
        <v>50</v>
      </c>
      <c r="CC444">
        <v>0</v>
      </c>
      <c r="CD444">
        <v>0</v>
      </c>
      <c r="CE444">
        <v>0</v>
      </c>
      <c r="CF444">
        <v>2</v>
      </c>
      <c r="CG444">
        <v>0</v>
      </c>
      <c r="CH444">
        <v>889</v>
      </c>
      <c r="CI444">
        <v>1</v>
      </c>
      <c r="CJ444">
        <v>0</v>
      </c>
      <c r="CK444">
        <v>0</v>
      </c>
      <c r="CL444">
        <v>0</v>
      </c>
      <c r="CM444">
        <v>12</v>
      </c>
      <c r="CN444">
        <v>4</v>
      </c>
      <c r="CO444">
        <v>3</v>
      </c>
      <c r="CP444">
        <v>0</v>
      </c>
      <c r="CQ444">
        <v>19</v>
      </c>
      <c r="CR444">
        <v>17</v>
      </c>
      <c r="CS444">
        <v>903</v>
      </c>
      <c r="CT444">
        <v>0</v>
      </c>
      <c r="CU444">
        <v>0</v>
      </c>
      <c r="CV444">
        <v>0</v>
      </c>
      <c r="CW444">
        <v>2</v>
      </c>
      <c r="CX444">
        <v>10</v>
      </c>
      <c r="CY444">
        <v>20</v>
      </c>
      <c r="CZ444">
        <v>0</v>
      </c>
      <c r="DA444">
        <v>6</v>
      </c>
      <c r="DB444">
        <v>10</v>
      </c>
      <c r="DC444">
        <v>0</v>
      </c>
      <c r="DD444">
        <v>939</v>
      </c>
      <c r="DE444">
        <v>4</v>
      </c>
      <c r="DF444">
        <v>37</v>
      </c>
      <c r="DG444">
        <v>13</v>
      </c>
      <c r="DH444">
        <v>4</v>
      </c>
      <c r="DI444">
        <v>6</v>
      </c>
      <c r="DJ444">
        <v>4</v>
      </c>
      <c r="DK444">
        <v>2</v>
      </c>
      <c r="DL444">
        <v>8</v>
      </c>
      <c r="DM444">
        <v>6</v>
      </c>
      <c r="DN444">
        <v>4</v>
      </c>
      <c r="DO444">
        <v>921</v>
      </c>
      <c r="DP444">
        <v>6</v>
      </c>
      <c r="DQ444">
        <v>0</v>
      </c>
      <c r="DR444">
        <v>4</v>
      </c>
      <c r="DS444">
        <v>0</v>
      </c>
      <c r="DT444">
        <v>3</v>
      </c>
      <c r="DU444">
        <v>1</v>
      </c>
      <c r="DV444">
        <v>4</v>
      </c>
      <c r="DW444">
        <v>0</v>
      </c>
      <c r="DX444">
        <v>0</v>
      </c>
      <c r="DY444">
        <v>1</v>
      </c>
      <c r="DZ444">
        <v>996</v>
      </c>
      <c r="EA444">
        <v>0.95850000000000002</v>
      </c>
      <c r="EB444">
        <v>0.95950629673423304</v>
      </c>
      <c r="EC444">
        <v>0.95842692202785995</v>
      </c>
      <c r="ED444">
        <v>0.95823180003358499</v>
      </c>
      <c r="EE444">
        <f>SUM(Table1[[#This Row],[ratio_0]:[ratio_9]])</f>
        <v>280</v>
      </c>
      <c r="EF444" s="1">
        <f>(Table1[[#This Row],[predicted_0]]-Table1[[#This Row],[actual_0]])/Table1[[#This Row],[actual_0]]</f>
        <v>2.0408163265306121E-2</v>
      </c>
      <c r="EG444" s="1">
        <f>(Table1[[#This Row],[predicted_1]]-Table1[[#This Row],[actual_1]])/Table1[[#This Row],[actual_1]]</f>
        <v>3.1718061674008813E-2</v>
      </c>
      <c r="EH444" s="1">
        <f>(Table1[[#This Row],[predicted_2]]-Table1[[#This Row],[actual_2]])/Table1[[#This Row],[actual_2]]</f>
        <v>8.7209302325581394E-3</v>
      </c>
      <c r="EI444" s="1">
        <f>(Table1[[#This Row],[predicted_3]]-Table1[[#This Row],[actual_3]])/Table1[[#This Row],[actual_3]]</f>
        <v>-3.7623762376237622E-2</v>
      </c>
      <c r="EJ444" s="1">
        <f>(Table1[[#This Row],[predicted_4]]-Table1[[#This Row],[actual_4]])/Table1[[#This Row],[actual_4]]</f>
        <v>-6.008146639511202E-2</v>
      </c>
      <c r="EK444" s="1">
        <f>(Table1[[#This Row],[predicted_5]]-Table1[[#This Row],[actual_5]])/Table1[[#This Row],[actual_5]]</f>
        <v>8.856502242152467E-2</v>
      </c>
      <c r="EL444" s="1">
        <f>(Table1[[#This Row],[predicted_6]]-Table1[[#This Row],[actual_6]])/Table1[[#This Row],[actual_6]]</f>
        <v>-4.07098121085595E-2</v>
      </c>
      <c r="EM444" s="1">
        <f>(Table1[[#This Row],[predicted_7]]-Table1[[#This Row],[actual_7]])/Table1[[#This Row],[actual_7]]</f>
        <v>-7.5875486381322951E-2</v>
      </c>
      <c r="EN444" s="1">
        <f>(Table1[[#This Row],[predicted_8]]-Table1[[#This Row],[actual_8]])/Table1[[#This Row],[actual_8]]</f>
        <v>-2.6694045174537988E-2</v>
      </c>
      <c r="EO444" s="1">
        <f>(Table1[[#This Row],[predicted_9]]-Table1[[#This Row],[actual_9]])/Table1[[#This Row],[actual_9]]</f>
        <v>9.5143706640237857E-2</v>
      </c>
      <c r="EP444" s="1">
        <f>1+(Table1[[#This Row],[error_ratio_0]]-EF$2)</f>
        <v>1.0183673469387755</v>
      </c>
      <c r="EQ444" s="1">
        <f>1+(Table1[[#This Row],[error_ratio_1]]-EG$2)</f>
        <v>1.0299559471365638</v>
      </c>
      <c r="ER444" s="1">
        <f>1+(Table1[[#This Row],[error_ratio_2]]-EH$2)</f>
        <v>1.0135658914728682</v>
      </c>
      <c r="ES444" s="1">
        <f>1+(Table1[[#This Row],[error_ratio_3]]-EI$2)</f>
        <v>0.95247524752475243</v>
      </c>
      <c r="ET444" s="1">
        <f>1+(Table1[[#This Row],[error_ratio_4]]-EJ$2)</f>
        <v>0.93890020366598781</v>
      </c>
      <c r="EU444" s="1">
        <f>1+(Table1[[#This Row],[error_ratio_5]]-EK$2)</f>
        <v>1.0874439461883407</v>
      </c>
      <c r="EV444" s="1">
        <f>1+(Table1[[#This Row],[error_ratio_6]]-EL$2)</f>
        <v>0.96555323590814202</v>
      </c>
      <c r="EW444" s="1">
        <f>1+(Table1[[#This Row],[error_ratio_7]]-EM$2)</f>
        <v>0.9221789883268483</v>
      </c>
      <c r="EX444" s="1">
        <f>1+(Table1[[#This Row],[error_ratio_8]]-EN$2)</f>
        <v>0.97638603696098558</v>
      </c>
      <c r="EY444" s="1">
        <f>1+(Table1[[#This Row],[error_ratio_9]]-EO$2)</f>
        <v>1.0991080277502479</v>
      </c>
    </row>
    <row r="445" spans="1:155" x14ac:dyDescent="0.75">
      <c r="A445">
        <v>100</v>
      </c>
      <c r="B445">
        <v>100</v>
      </c>
      <c r="C445">
        <v>100</v>
      </c>
      <c r="D445">
        <v>100</v>
      </c>
      <c r="E445">
        <v>100</v>
      </c>
      <c r="F445">
        <v>10</v>
      </c>
      <c r="G445">
        <v>10</v>
      </c>
      <c r="H445">
        <v>10</v>
      </c>
      <c r="I445">
        <v>10</v>
      </c>
      <c r="J445">
        <v>100</v>
      </c>
      <c r="K445">
        <v>1013</v>
      </c>
      <c r="L445">
        <v>1134</v>
      </c>
      <c r="M445">
        <v>1063</v>
      </c>
      <c r="N445">
        <v>1085</v>
      </c>
      <c r="O445">
        <v>1010</v>
      </c>
      <c r="P445">
        <v>787</v>
      </c>
      <c r="Q445">
        <v>911</v>
      </c>
      <c r="R445">
        <v>966</v>
      </c>
      <c r="S445">
        <v>959</v>
      </c>
      <c r="T445">
        <v>1072</v>
      </c>
      <c r="U445">
        <v>980</v>
      </c>
      <c r="V445">
        <v>1135</v>
      </c>
      <c r="W445">
        <v>1032</v>
      </c>
      <c r="X445">
        <v>1010</v>
      </c>
      <c r="Y445">
        <v>982</v>
      </c>
      <c r="Z445">
        <v>892</v>
      </c>
      <c r="AA445">
        <v>958</v>
      </c>
      <c r="AB445">
        <v>1028</v>
      </c>
      <c r="AC445">
        <v>974</v>
      </c>
      <c r="AD445">
        <v>1009</v>
      </c>
      <c r="AE445">
        <v>973</v>
      </c>
      <c r="AF445">
        <v>1</v>
      </c>
      <c r="AG445">
        <v>1</v>
      </c>
      <c r="AH445">
        <v>0</v>
      </c>
      <c r="AI445">
        <v>0</v>
      </c>
      <c r="AJ445">
        <v>0</v>
      </c>
      <c r="AK445">
        <v>0</v>
      </c>
      <c r="AL445">
        <v>0</v>
      </c>
      <c r="AM445">
        <v>1</v>
      </c>
      <c r="AN445">
        <v>4</v>
      </c>
      <c r="AO445">
        <v>0</v>
      </c>
      <c r="AP445">
        <v>1126</v>
      </c>
      <c r="AQ445">
        <v>6</v>
      </c>
      <c r="AR445">
        <v>0</v>
      </c>
      <c r="AS445">
        <v>0</v>
      </c>
      <c r="AT445">
        <v>0</v>
      </c>
      <c r="AU445">
        <v>1</v>
      </c>
      <c r="AV445">
        <v>1</v>
      </c>
      <c r="AW445">
        <v>1</v>
      </c>
      <c r="AX445">
        <v>0</v>
      </c>
      <c r="AY445">
        <v>2</v>
      </c>
      <c r="AZ445">
        <v>1</v>
      </c>
      <c r="BA445">
        <v>1023</v>
      </c>
      <c r="BB445">
        <v>0</v>
      </c>
      <c r="BC445">
        <v>1</v>
      </c>
      <c r="BD445">
        <v>0</v>
      </c>
      <c r="BE445">
        <v>0</v>
      </c>
      <c r="BF445">
        <v>5</v>
      </c>
      <c r="BG445">
        <v>0</v>
      </c>
      <c r="BH445">
        <v>0</v>
      </c>
      <c r="BI445">
        <v>0</v>
      </c>
      <c r="BJ445">
        <v>0</v>
      </c>
      <c r="BK445">
        <v>2</v>
      </c>
      <c r="BL445">
        <v>1004</v>
      </c>
      <c r="BM445">
        <v>0</v>
      </c>
      <c r="BN445">
        <v>0</v>
      </c>
      <c r="BO445">
        <v>0</v>
      </c>
      <c r="BP445">
        <v>2</v>
      </c>
      <c r="BQ445">
        <v>0</v>
      </c>
      <c r="BR445">
        <v>2</v>
      </c>
      <c r="BS445">
        <v>0</v>
      </c>
      <c r="BT445">
        <v>0</v>
      </c>
      <c r="BU445">
        <v>1</v>
      </c>
      <c r="BV445">
        <v>0</v>
      </c>
      <c r="BW445">
        <v>978</v>
      </c>
      <c r="BX445">
        <v>0</v>
      </c>
      <c r="BY445">
        <v>1</v>
      </c>
      <c r="BZ445">
        <v>0</v>
      </c>
      <c r="CA445">
        <v>0</v>
      </c>
      <c r="CB445">
        <v>2</v>
      </c>
      <c r="CC445">
        <v>4</v>
      </c>
      <c r="CD445">
        <v>0</v>
      </c>
      <c r="CE445">
        <v>1</v>
      </c>
      <c r="CF445">
        <v>54</v>
      </c>
      <c r="CG445">
        <v>0</v>
      </c>
      <c r="CH445">
        <v>785</v>
      </c>
      <c r="CI445">
        <v>4</v>
      </c>
      <c r="CJ445">
        <v>0</v>
      </c>
      <c r="CK445">
        <v>29</v>
      </c>
      <c r="CL445">
        <v>15</v>
      </c>
      <c r="CM445">
        <v>23</v>
      </c>
      <c r="CN445">
        <v>3</v>
      </c>
      <c r="CO445">
        <v>1</v>
      </c>
      <c r="CP445">
        <v>1</v>
      </c>
      <c r="CQ445">
        <v>14</v>
      </c>
      <c r="CR445">
        <v>2</v>
      </c>
      <c r="CS445">
        <v>905</v>
      </c>
      <c r="CT445">
        <v>0</v>
      </c>
      <c r="CU445">
        <v>8</v>
      </c>
      <c r="CV445">
        <v>1</v>
      </c>
      <c r="CW445">
        <v>3</v>
      </c>
      <c r="CX445">
        <v>3</v>
      </c>
      <c r="CY445">
        <v>19</v>
      </c>
      <c r="CZ445">
        <v>13</v>
      </c>
      <c r="DA445">
        <v>3</v>
      </c>
      <c r="DB445">
        <v>0</v>
      </c>
      <c r="DC445">
        <v>0</v>
      </c>
      <c r="DD445">
        <v>950</v>
      </c>
      <c r="DE445">
        <v>1</v>
      </c>
      <c r="DF445">
        <v>36</v>
      </c>
      <c r="DG445">
        <v>6</v>
      </c>
      <c r="DH445">
        <v>0</v>
      </c>
      <c r="DI445">
        <v>8</v>
      </c>
      <c r="DJ445">
        <v>10</v>
      </c>
      <c r="DK445">
        <v>6</v>
      </c>
      <c r="DL445">
        <v>0</v>
      </c>
      <c r="DM445">
        <v>0</v>
      </c>
      <c r="DN445">
        <v>7</v>
      </c>
      <c r="DO445">
        <v>919</v>
      </c>
      <c r="DP445">
        <v>18</v>
      </c>
      <c r="DQ445">
        <v>2</v>
      </c>
      <c r="DR445">
        <v>0</v>
      </c>
      <c r="DS445">
        <v>1</v>
      </c>
      <c r="DT445">
        <v>3</v>
      </c>
      <c r="DU445">
        <v>8</v>
      </c>
      <c r="DV445">
        <v>0</v>
      </c>
      <c r="DW445">
        <v>0</v>
      </c>
      <c r="DX445">
        <v>1</v>
      </c>
      <c r="DY445">
        <v>0</v>
      </c>
      <c r="DZ445">
        <v>994</v>
      </c>
      <c r="EA445">
        <v>0.9657</v>
      </c>
      <c r="EB445">
        <v>0.96693298351035695</v>
      </c>
      <c r="EC445">
        <v>0.96437041725977402</v>
      </c>
      <c r="ED445">
        <v>0.96484712568909503</v>
      </c>
      <c r="EE445">
        <f>SUM(Table1[[#This Row],[ratio_0]:[ratio_9]])</f>
        <v>640</v>
      </c>
      <c r="EF445" s="1">
        <f>(Table1[[#This Row],[predicted_0]]-Table1[[#This Row],[actual_0]])/Table1[[#This Row],[actual_0]]</f>
        <v>3.3673469387755103E-2</v>
      </c>
      <c r="EG445" s="1">
        <f>(Table1[[#This Row],[predicted_1]]-Table1[[#This Row],[actual_1]])/Table1[[#This Row],[actual_1]]</f>
        <v>-8.81057268722467E-4</v>
      </c>
      <c r="EH445" s="1">
        <f>(Table1[[#This Row],[predicted_2]]-Table1[[#This Row],[actual_2]])/Table1[[#This Row],[actual_2]]</f>
        <v>3.0038759689922482E-2</v>
      </c>
      <c r="EI445" s="1">
        <f>(Table1[[#This Row],[predicted_3]]-Table1[[#This Row],[actual_3]])/Table1[[#This Row],[actual_3]]</f>
        <v>7.4257425742574254E-2</v>
      </c>
      <c r="EJ445" s="1">
        <f>(Table1[[#This Row],[predicted_4]]-Table1[[#This Row],[actual_4]])/Table1[[#This Row],[actual_4]]</f>
        <v>2.8513238289205704E-2</v>
      </c>
      <c r="EK445" s="1">
        <f>(Table1[[#This Row],[predicted_5]]-Table1[[#This Row],[actual_5]])/Table1[[#This Row],[actual_5]]</f>
        <v>-0.11771300448430494</v>
      </c>
      <c r="EL445" s="1">
        <f>(Table1[[#This Row],[predicted_6]]-Table1[[#This Row],[actual_6]])/Table1[[#This Row],[actual_6]]</f>
        <v>-4.9060542797494784E-2</v>
      </c>
      <c r="EM445" s="1">
        <f>(Table1[[#This Row],[predicted_7]]-Table1[[#This Row],[actual_7]])/Table1[[#This Row],[actual_7]]</f>
        <v>-6.0311284046692608E-2</v>
      </c>
      <c r="EN445" s="1">
        <f>(Table1[[#This Row],[predicted_8]]-Table1[[#This Row],[actual_8]])/Table1[[#This Row],[actual_8]]</f>
        <v>-1.5400410677618069E-2</v>
      </c>
      <c r="EO445" s="1">
        <f>(Table1[[#This Row],[predicted_9]]-Table1[[#This Row],[actual_9]])/Table1[[#This Row],[actual_9]]</f>
        <v>6.2438057482656094E-2</v>
      </c>
      <c r="EP445" s="1">
        <f>1+(Table1[[#This Row],[error_ratio_0]]-EF$2)</f>
        <v>1.0316326530612245</v>
      </c>
      <c r="EQ445" s="1">
        <f>1+(Table1[[#This Row],[error_ratio_1]]-EG$2)</f>
        <v>0.99735682819383265</v>
      </c>
      <c r="ER445" s="1">
        <f>1+(Table1[[#This Row],[error_ratio_2]]-EH$2)</f>
        <v>1.0348837209302326</v>
      </c>
      <c r="ES445" s="1">
        <f>1+(Table1[[#This Row],[error_ratio_3]]-EI$2)</f>
        <v>1.0643564356435644</v>
      </c>
      <c r="ET445" s="1">
        <f>1+(Table1[[#This Row],[error_ratio_4]]-EJ$2)</f>
        <v>1.0274949083503055</v>
      </c>
      <c r="EU445" s="1">
        <f>1+(Table1[[#This Row],[error_ratio_5]]-EK$2)</f>
        <v>0.8811659192825112</v>
      </c>
      <c r="EV445" s="1">
        <f>1+(Table1[[#This Row],[error_ratio_6]]-EL$2)</f>
        <v>0.95720250521920669</v>
      </c>
      <c r="EW445" s="1">
        <f>1+(Table1[[#This Row],[error_ratio_7]]-EM$2)</f>
        <v>0.9377431906614786</v>
      </c>
      <c r="EX445" s="1">
        <f>1+(Table1[[#This Row],[error_ratio_8]]-EN$2)</f>
        <v>0.98767967145790558</v>
      </c>
      <c r="EY445" s="1">
        <f>1+(Table1[[#This Row],[error_ratio_9]]-EO$2)</f>
        <v>1.066402378592666</v>
      </c>
    </row>
    <row r="446" spans="1:155" x14ac:dyDescent="0.75">
      <c r="A446">
        <v>10</v>
      </c>
      <c r="B446">
        <v>100</v>
      </c>
      <c r="C446">
        <v>100</v>
      </c>
      <c r="D446">
        <v>100</v>
      </c>
      <c r="E446">
        <v>100</v>
      </c>
      <c r="F446">
        <v>10</v>
      </c>
      <c r="G446">
        <v>10</v>
      </c>
      <c r="H446">
        <v>10</v>
      </c>
      <c r="I446">
        <v>10</v>
      </c>
      <c r="J446">
        <v>100</v>
      </c>
      <c r="K446">
        <v>974</v>
      </c>
      <c r="L446">
        <v>1164</v>
      </c>
      <c r="M446">
        <v>1062</v>
      </c>
      <c r="N446">
        <v>1126</v>
      </c>
      <c r="O446">
        <v>972</v>
      </c>
      <c r="P446">
        <v>828</v>
      </c>
      <c r="Q446">
        <v>940</v>
      </c>
      <c r="R446">
        <v>950</v>
      </c>
      <c r="S446">
        <v>953</v>
      </c>
      <c r="T446">
        <v>1031</v>
      </c>
      <c r="U446">
        <v>980</v>
      </c>
      <c r="V446">
        <v>1135</v>
      </c>
      <c r="W446">
        <v>1032</v>
      </c>
      <c r="X446">
        <v>1010</v>
      </c>
      <c r="Y446">
        <v>982</v>
      </c>
      <c r="Z446">
        <v>892</v>
      </c>
      <c r="AA446">
        <v>958</v>
      </c>
      <c r="AB446">
        <v>1028</v>
      </c>
      <c r="AC446">
        <v>974</v>
      </c>
      <c r="AD446">
        <v>1009</v>
      </c>
      <c r="AE446">
        <v>959</v>
      </c>
      <c r="AF446">
        <v>2</v>
      </c>
      <c r="AG446">
        <v>3</v>
      </c>
      <c r="AH446">
        <v>5</v>
      </c>
      <c r="AI446">
        <v>0</v>
      </c>
      <c r="AJ446">
        <v>2</v>
      </c>
      <c r="AK446">
        <v>3</v>
      </c>
      <c r="AL446">
        <v>1</v>
      </c>
      <c r="AM446">
        <v>5</v>
      </c>
      <c r="AN446">
        <v>0</v>
      </c>
      <c r="AO446">
        <v>0</v>
      </c>
      <c r="AP446">
        <v>1130</v>
      </c>
      <c r="AQ446">
        <v>0</v>
      </c>
      <c r="AR446">
        <v>3</v>
      </c>
      <c r="AS446">
        <v>0</v>
      </c>
      <c r="AT446">
        <v>1</v>
      </c>
      <c r="AU446">
        <v>1</v>
      </c>
      <c r="AV446">
        <v>0</v>
      </c>
      <c r="AW446">
        <v>0</v>
      </c>
      <c r="AX446">
        <v>0</v>
      </c>
      <c r="AY446">
        <v>1</v>
      </c>
      <c r="AZ446">
        <v>2</v>
      </c>
      <c r="BA446">
        <v>1014</v>
      </c>
      <c r="BB446">
        <v>12</v>
      </c>
      <c r="BC446">
        <v>0</v>
      </c>
      <c r="BD446">
        <v>0</v>
      </c>
      <c r="BE446">
        <v>0</v>
      </c>
      <c r="BF446">
        <v>2</v>
      </c>
      <c r="BG446">
        <v>1</v>
      </c>
      <c r="BH446">
        <v>0</v>
      </c>
      <c r="BI446">
        <v>0</v>
      </c>
      <c r="BJ446">
        <v>0</v>
      </c>
      <c r="BK446">
        <v>1</v>
      </c>
      <c r="BL446">
        <v>1006</v>
      </c>
      <c r="BM446">
        <v>0</v>
      </c>
      <c r="BN446">
        <v>1</v>
      </c>
      <c r="BO446">
        <v>0</v>
      </c>
      <c r="BP446">
        <v>0</v>
      </c>
      <c r="BQ446">
        <v>1</v>
      </c>
      <c r="BR446">
        <v>1</v>
      </c>
      <c r="BS446">
        <v>0</v>
      </c>
      <c r="BT446">
        <v>0</v>
      </c>
      <c r="BU446">
        <v>2</v>
      </c>
      <c r="BV446">
        <v>0</v>
      </c>
      <c r="BW446">
        <v>966</v>
      </c>
      <c r="BX446">
        <v>0</v>
      </c>
      <c r="BY446">
        <v>1</v>
      </c>
      <c r="BZ446">
        <v>0</v>
      </c>
      <c r="CA446">
        <v>0</v>
      </c>
      <c r="CB446">
        <v>13</v>
      </c>
      <c r="CC446">
        <v>4</v>
      </c>
      <c r="CD446">
        <v>2</v>
      </c>
      <c r="CE446">
        <v>1</v>
      </c>
      <c r="CF446">
        <v>47</v>
      </c>
      <c r="CG446">
        <v>0</v>
      </c>
      <c r="CH446">
        <v>815</v>
      </c>
      <c r="CI446">
        <v>2</v>
      </c>
      <c r="CJ446">
        <v>1</v>
      </c>
      <c r="CK446">
        <v>16</v>
      </c>
      <c r="CL446">
        <v>4</v>
      </c>
      <c r="CM446">
        <v>3</v>
      </c>
      <c r="CN446">
        <v>5</v>
      </c>
      <c r="CO446">
        <v>2</v>
      </c>
      <c r="CP446">
        <v>1</v>
      </c>
      <c r="CQ446">
        <v>3</v>
      </c>
      <c r="CR446">
        <v>4</v>
      </c>
      <c r="CS446">
        <v>932</v>
      </c>
      <c r="CT446">
        <v>0</v>
      </c>
      <c r="CU446">
        <v>8</v>
      </c>
      <c r="CV446">
        <v>0</v>
      </c>
      <c r="CW446">
        <v>3</v>
      </c>
      <c r="CX446">
        <v>14</v>
      </c>
      <c r="CY446">
        <v>33</v>
      </c>
      <c r="CZ446">
        <v>15</v>
      </c>
      <c r="DA446">
        <v>1</v>
      </c>
      <c r="DB446">
        <v>1</v>
      </c>
      <c r="DC446">
        <v>0</v>
      </c>
      <c r="DD446">
        <v>942</v>
      </c>
      <c r="DE446">
        <v>1</v>
      </c>
      <c r="DF446">
        <v>18</v>
      </c>
      <c r="DG446">
        <v>0</v>
      </c>
      <c r="DH446">
        <v>6</v>
      </c>
      <c r="DI446">
        <v>6</v>
      </c>
      <c r="DJ446">
        <v>25</v>
      </c>
      <c r="DK446">
        <v>1</v>
      </c>
      <c r="DL446">
        <v>1</v>
      </c>
      <c r="DM446">
        <v>0</v>
      </c>
      <c r="DN446">
        <v>2</v>
      </c>
      <c r="DO446">
        <v>921</v>
      </c>
      <c r="DP446">
        <v>12</v>
      </c>
      <c r="DQ446">
        <v>4</v>
      </c>
      <c r="DR446">
        <v>3</v>
      </c>
      <c r="DS446">
        <v>0</v>
      </c>
      <c r="DT446">
        <v>12</v>
      </c>
      <c r="DU446">
        <v>1</v>
      </c>
      <c r="DV446">
        <v>3</v>
      </c>
      <c r="DW446">
        <v>1</v>
      </c>
      <c r="DX446">
        <v>2</v>
      </c>
      <c r="DY446">
        <v>0</v>
      </c>
      <c r="DZ446">
        <v>983</v>
      </c>
      <c r="EA446">
        <v>0.96679999999999999</v>
      </c>
      <c r="EB446">
        <v>0.96846803624170996</v>
      </c>
      <c r="EC446">
        <v>0.96591674028485397</v>
      </c>
      <c r="ED446">
        <v>0.96656358911287699</v>
      </c>
      <c r="EE446">
        <f>SUM(Table1[[#This Row],[ratio_0]:[ratio_9]])</f>
        <v>550</v>
      </c>
      <c r="EF446" s="1">
        <f>(Table1[[#This Row],[predicted_0]]-Table1[[#This Row],[actual_0]])/Table1[[#This Row],[actual_0]]</f>
        <v>-6.1224489795918364E-3</v>
      </c>
      <c r="EG446" s="1">
        <f>(Table1[[#This Row],[predicted_1]]-Table1[[#This Row],[actual_1]])/Table1[[#This Row],[actual_1]]</f>
        <v>2.5550660792951541E-2</v>
      </c>
      <c r="EH446" s="1">
        <f>(Table1[[#This Row],[predicted_2]]-Table1[[#This Row],[actual_2]])/Table1[[#This Row],[actual_2]]</f>
        <v>2.9069767441860465E-2</v>
      </c>
      <c r="EI446" s="1">
        <f>(Table1[[#This Row],[predicted_3]]-Table1[[#This Row],[actual_3]])/Table1[[#This Row],[actual_3]]</f>
        <v>0.11485148514851486</v>
      </c>
      <c r="EJ446" s="1">
        <f>(Table1[[#This Row],[predicted_4]]-Table1[[#This Row],[actual_4]])/Table1[[#This Row],[actual_4]]</f>
        <v>-1.0183299389002037E-2</v>
      </c>
      <c r="EK446" s="1">
        <f>(Table1[[#This Row],[predicted_5]]-Table1[[#This Row],[actual_5]])/Table1[[#This Row],[actual_5]]</f>
        <v>-7.1748878923766815E-2</v>
      </c>
      <c r="EL446" s="1">
        <f>(Table1[[#This Row],[predicted_6]]-Table1[[#This Row],[actual_6]])/Table1[[#This Row],[actual_6]]</f>
        <v>-1.8789144050104383E-2</v>
      </c>
      <c r="EM446" s="1">
        <f>(Table1[[#This Row],[predicted_7]]-Table1[[#This Row],[actual_7]])/Table1[[#This Row],[actual_7]]</f>
        <v>-7.5875486381322951E-2</v>
      </c>
      <c r="EN446" s="1">
        <f>(Table1[[#This Row],[predicted_8]]-Table1[[#This Row],[actual_8]])/Table1[[#This Row],[actual_8]]</f>
        <v>-2.1560574948665298E-2</v>
      </c>
      <c r="EO446" s="1">
        <f>(Table1[[#This Row],[predicted_9]]-Table1[[#This Row],[actual_9]])/Table1[[#This Row],[actual_9]]</f>
        <v>2.1803766105054509E-2</v>
      </c>
      <c r="EP446" s="1">
        <f>1+(Table1[[#This Row],[error_ratio_0]]-EF$2)</f>
        <v>0.99183673469387756</v>
      </c>
      <c r="EQ446" s="1">
        <f>1+(Table1[[#This Row],[error_ratio_1]]-EG$2)</f>
        <v>1.0237885462555065</v>
      </c>
      <c r="ER446" s="1">
        <f>1+(Table1[[#This Row],[error_ratio_2]]-EH$2)</f>
        <v>1.0339147286821706</v>
      </c>
      <c r="ES446" s="1">
        <f>1+(Table1[[#This Row],[error_ratio_3]]-EI$2)</f>
        <v>1.104950495049505</v>
      </c>
      <c r="ET446" s="1">
        <f>1+(Table1[[#This Row],[error_ratio_4]]-EJ$2)</f>
        <v>0.98879837067209775</v>
      </c>
      <c r="EU446" s="1">
        <f>1+(Table1[[#This Row],[error_ratio_5]]-EK$2)</f>
        <v>0.92713004484304928</v>
      </c>
      <c r="EV446" s="1">
        <f>1+(Table1[[#This Row],[error_ratio_6]]-EL$2)</f>
        <v>0.98747390396659707</v>
      </c>
      <c r="EW446" s="1">
        <f>1+(Table1[[#This Row],[error_ratio_7]]-EM$2)</f>
        <v>0.9221789883268483</v>
      </c>
      <c r="EX446" s="1">
        <f>1+(Table1[[#This Row],[error_ratio_8]]-EN$2)</f>
        <v>0.98151950718685832</v>
      </c>
      <c r="EY446" s="1">
        <f>1+(Table1[[#This Row],[error_ratio_9]]-EO$2)</f>
        <v>1.0257680872150645</v>
      </c>
    </row>
    <row r="447" spans="1:155" x14ac:dyDescent="0.75">
      <c r="A447">
        <v>100</v>
      </c>
      <c r="B447">
        <v>10</v>
      </c>
      <c r="C447">
        <v>100</v>
      </c>
      <c r="D447">
        <v>100</v>
      </c>
      <c r="E447">
        <v>100</v>
      </c>
      <c r="F447">
        <v>10</v>
      </c>
      <c r="G447">
        <v>10</v>
      </c>
      <c r="H447">
        <v>10</v>
      </c>
      <c r="I447">
        <v>10</v>
      </c>
      <c r="J447">
        <v>100</v>
      </c>
      <c r="K447">
        <v>1042</v>
      </c>
      <c r="L447">
        <v>1133</v>
      </c>
      <c r="M447">
        <v>1141</v>
      </c>
      <c r="N447">
        <v>1055</v>
      </c>
      <c r="O447">
        <v>988</v>
      </c>
      <c r="P447">
        <v>807</v>
      </c>
      <c r="Q447">
        <v>925</v>
      </c>
      <c r="R447">
        <v>931</v>
      </c>
      <c r="S447">
        <v>905</v>
      </c>
      <c r="T447">
        <v>1073</v>
      </c>
      <c r="U447">
        <v>980</v>
      </c>
      <c r="V447">
        <v>1135</v>
      </c>
      <c r="W447">
        <v>1032</v>
      </c>
      <c r="X447">
        <v>1010</v>
      </c>
      <c r="Y447">
        <v>982</v>
      </c>
      <c r="Z447">
        <v>892</v>
      </c>
      <c r="AA447">
        <v>958</v>
      </c>
      <c r="AB447">
        <v>1028</v>
      </c>
      <c r="AC447">
        <v>974</v>
      </c>
      <c r="AD447">
        <v>1009</v>
      </c>
      <c r="AE447">
        <v>978</v>
      </c>
      <c r="AF447">
        <v>0</v>
      </c>
      <c r="AG447">
        <v>0</v>
      </c>
      <c r="AH447">
        <v>0</v>
      </c>
      <c r="AI447">
        <v>1</v>
      </c>
      <c r="AJ447">
        <v>0</v>
      </c>
      <c r="AK447">
        <v>0</v>
      </c>
      <c r="AL447">
        <v>0</v>
      </c>
      <c r="AM447">
        <v>1</v>
      </c>
      <c r="AN447">
        <v>0</v>
      </c>
      <c r="AO447">
        <v>0</v>
      </c>
      <c r="AP447">
        <v>1123</v>
      </c>
      <c r="AQ447">
        <v>9</v>
      </c>
      <c r="AR447">
        <v>1</v>
      </c>
      <c r="AS447">
        <v>0</v>
      </c>
      <c r="AT447">
        <v>1</v>
      </c>
      <c r="AU447">
        <v>0</v>
      </c>
      <c r="AV447">
        <v>0</v>
      </c>
      <c r="AW447">
        <v>0</v>
      </c>
      <c r="AX447">
        <v>1</v>
      </c>
      <c r="AY447">
        <v>1</v>
      </c>
      <c r="AZ447">
        <v>0</v>
      </c>
      <c r="BA447">
        <v>1030</v>
      </c>
      <c r="BB447">
        <v>1</v>
      </c>
      <c r="BC447">
        <v>0</v>
      </c>
      <c r="BD447">
        <v>0</v>
      </c>
      <c r="BE447">
        <v>0</v>
      </c>
      <c r="BF447">
        <v>0</v>
      </c>
      <c r="BG447">
        <v>0</v>
      </c>
      <c r="BH447">
        <v>0</v>
      </c>
      <c r="BI447">
        <v>3</v>
      </c>
      <c r="BJ447">
        <v>0</v>
      </c>
      <c r="BK447">
        <v>6</v>
      </c>
      <c r="BL447">
        <v>996</v>
      </c>
      <c r="BM447">
        <v>0</v>
      </c>
      <c r="BN447">
        <v>1</v>
      </c>
      <c r="BO447">
        <v>0</v>
      </c>
      <c r="BP447">
        <v>0</v>
      </c>
      <c r="BQ447">
        <v>0</v>
      </c>
      <c r="BR447">
        <v>4</v>
      </c>
      <c r="BS447">
        <v>0</v>
      </c>
      <c r="BT447">
        <v>0</v>
      </c>
      <c r="BU447">
        <v>0</v>
      </c>
      <c r="BV447">
        <v>0</v>
      </c>
      <c r="BW447">
        <v>971</v>
      </c>
      <c r="BX447">
        <v>0</v>
      </c>
      <c r="BY447">
        <v>0</v>
      </c>
      <c r="BZ447">
        <v>0</v>
      </c>
      <c r="CA447">
        <v>0</v>
      </c>
      <c r="CB447">
        <v>11</v>
      </c>
      <c r="CC447">
        <v>15</v>
      </c>
      <c r="CD447">
        <v>1</v>
      </c>
      <c r="CE447">
        <v>3</v>
      </c>
      <c r="CF447">
        <v>36</v>
      </c>
      <c r="CG447">
        <v>0</v>
      </c>
      <c r="CH447">
        <v>797</v>
      </c>
      <c r="CI447">
        <v>2</v>
      </c>
      <c r="CJ447">
        <v>1</v>
      </c>
      <c r="CK447">
        <v>8</v>
      </c>
      <c r="CL447">
        <v>29</v>
      </c>
      <c r="CM447">
        <v>21</v>
      </c>
      <c r="CN447">
        <v>3</v>
      </c>
      <c r="CO447">
        <v>2</v>
      </c>
      <c r="CP447">
        <v>0</v>
      </c>
      <c r="CQ447">
        <v>6</v>
      </c>
      <c r="CR447">
        <v>4</v>
      </c>
      <c r="CS447">
        <v>920</v>
      </c>
      <c r="CT447">
        <v>0</v>
      </c>
      <c r="CU447">
        <v>2</v>
      </c>
      <c r="CV447">
        <v>0</v>
      </c>
      <c r="CW447">
        <v>6</v>
      </c>
      <c r="CX447">
        <v>2</v>
      </c>
      <c r="CY447">
        <v>67</v>
      </c>
      <c r="CZ447">
        <v>7</v>
      </c>
      <c r="DA447">
        <v>3</v>
      </c>
      <c r="DB447">
        <v>0</v>
      </c>
      <c r="DC447">
        <v>0</v>
      </c>
      <c r="DD447">
        <v>927</v>
      </c>
      <c r="DE447">
        <v>0</v>
      </c>
      <c r="DF447">
        <v>16</v>
      </c>
      <c r="DG447">
        <v>15</v>
      </c>
      <c r="DH447">
        <v>3</v>
      </c>
      <c r="DI447">
        <v>22</v>
      </c>
      <c r="DJ447">
        <v>13</v>
      </c>
      <c r="DK447">
        <v>4</v>
      </c>
      <c r="DL447">
        <v>4</v>
      </c>
      <c r="DM447">
        <v>3</v>
      </c>
      <c r="DN447">
        <v>2</v>
      </c>
      <c r="DO447">
        <v>894</v>
      </c>
      <c r="DP447">
        <v>14</v>
      </c>
      <c r="DQ447">
        <v>3</v>
      </c>
      <c r="DR447">
        <v>1</v>
      </c>
      <c r="DS447">
        <v>2</v>
      </c>
      <c r="DT447">
        <v>1</v>
      </c>
      <c r="DU447">
        <v>3</v>
      </c>
      <c r="DV447">
        <v>0</v>
      </c>
      <c r="DW447">
        <v>0</v>
      </c>
      <c r="DX447">
        <v>1</v>
      </c>
      <c r="DY447">
        <v>0</v>
      </c>
      <c r="DZ447">
        <v>998</v>
      </c>
      <c r="EA447">
        <v>0.96340000000000003</v>
      </c>
      <c r="EB447">
        <v>0.96551941814347897</v>
      </c>
      <c r="EC447">
        <v>0.96229308496573995</v>
      </c>
      <c r="ED447">
        <v>0.96281205591709595</v>
      </c>
      <c r="EE447">
        <f>SUM(Table1[[#This Row],[ratio_0]:[ratio_9]])</f>
        <v>550</v>
      </c>
      <c r="EF447" s="1">
        <f>(Table1[[#This Row],[predicted_0]]-Table1[[#This Row],[actual_0]])/Table1[[#This Row],[actual_0]]</f>
        <v>6.3265306122448975E-2</v>
      </c>
      <c r="EG447" s="1">
        <f>(Table1[[#This Row],[predicted_1]]-Table1[[#This Row],[actual_1]])/Table1[[#This Row],[actual_1]]</f>
        <v>-1.762114537444934E-3</v>
      </c>
      <c r="EH447" s="1">
        <f>(Table1[[#This Row],[predicted_2]]-Table1[[#This Row],[actual_2]])/Table1[[#This Row],[actual_2]]</f>
        <v>0.10562015503875968</v>
      </c>
      <c r="EI447" s="1">
        <f>(Table1[[#This Row],[predicted_3]]-Table1[[#This Row],[actual_3]])/Table1[[#This Row],[actual_3]]</f>
        <v>4.4554455445544552E-2</v>
      </c>
      <c r="EJ447" s="1">
        <f>(Table1[[#This Row],[predicted_4]]-Table1[[#This Row],[actual_4]])/Table1[[#This Row],[actual_4]]</f>
        <v>6.1099796334012219E-3</v>
      </c>
      <c r="EK447" s="1">
        <f>(Table1[[#This Row],[predicted_5]]-Table1[[#This Row],[actual_5]])/Table1[[#This Row],[actual_5]]</f>
        <v>-9.52914798206278E-2</v>
      </c>
      <c r="EL447" s="1">
        <f>(Table1[[#This Row],[predicted_6]]-Table1[[#This Row],[actual_6]])/Table1[[#This Row],[actual_6]]</f>
        <v>-3.444676409185804E-2</v>
      </c>
      <c r="EM447" s="1">
        <f>(Table1[[#This Row],[predicted_7]]-Table1[[#This Row],[actual_7]])/Table1[[#This Row],[actual_7]]</f>
        <v>-9.4357976653696496E-2</v>
      </c>
      <c r="EN447" s="1">
        <f>(Table1[[#This Row],[predicted_8]]-Table1[[#This Row],[actual_8]])/Table1[[#This Row],[actual_8]]</f>
        <v>-7.0841889117043116E-2</v>
      </c>
      <c r="EO447" s="1">
        <f>(Table1[[#This Row],[predicted_9]]-Table1[[#This Row],[actual_9]])/Table1[[#This Row],[actual_9]]</f>
        <v>6.3429137760158572E-2</v>
      </c>
      <c r="EP447" s="1">
        <f>1+(Table1[[#This Row],[error_ratio_0]]-EF$2)</f>
        <v>1.0612244897959184</v>
      </c>
      <c r="EQ447" s="1">
        <f>1+(Table1[[#This Row],[error_ratio_1]]-EG$2)</f>
        <v>0.99647577092511008</v>
      </c>
      <c r="ER447" s="1">
        <f>1+(Table1[[#This Row],[error_ratio_2]]-EH$2)</f>
        <v>1.1104651162790697</v>
      </c>
      <c r="ES447" s="1">
        <f>1+(Table1[[#This Row],[error_ratio_3]]-EI$2)</f>
        <v>1.0346534653465347</v>
      </c>
      <c r="ET447" s="1">
        <f>1+(Table1[[#This Row],[error_ratio_4]]-EJ$2)</f>
        <v>1.005091649694501</v>
      </c>
      <c r="EU447" s="1">
        <f>1+(Table1[[#This Row],[error_ratio_5]]-EK$2)</f>
        <v>0.9035874439461884</v>
      </c>
      <c r="EV447" s="1">
        <f>1+(Table1[[#This Row],[error_ratio_6]]-EL$2)</f>
        <v>0.97181628392484343</v>
      </c>
      <c r="EW447" s="1">
        <f>1+(Table1[[#This Row],[error_ratio_7]]-EM$2)</f>
        <v>0.90369649805447472</v>
      </c>
      <c r="EX447" s="1">
        <f>1+(Table1[[#This Row],[error_ratio_8]]-EN$2)</f>
        <v>0.93223819301848054</v>
      </c>
      <c r="EY447" s="1">
        <f>1+(Table1[[#This Row],[error_ratio_9]]-EO$2)</f>
        <v>1.0673934588701686</v>
      </c>
    </row>
    <row r="448" spans="1:155" x14ac:dyDescent="0.75">
      <c r="A448">
        <v>10</v>
      </c>
      <c r="B448">
        <v>10</v>
      </c>
      <c r="C448">
        <v>100</v>
      </c>
      <c r="D448">
        <v>100</v>
      </c>
      <c r="E448">
        <v>100</v>
      </c>
      <c r="F448">
        <v>10</v>
      </c>
      <c r="G448">
        <v>10</v>
      </c>
      <c r="H448">
        <v>10</v>
      </c>
      <c r="I448">
        <v>10</v>
      </c>
      <c r="J448">
        <v>100</v>
      </c>
      <c r="K448">
        <v>932</v>
      </c>
      <c r="L448">
        <v>1162</v>
      </c>
      <c r="M448">
        <v>1058</v>
      </c>
      <c r="N448">
        <v>1004</v>
      </c>
      <c r="O448">
        <v>1029</v>
      </c>
      <c r="P448">
        <v>881</v>
      </c>
      <c r="Q448">
        <v>911</v>
      </c>
      <c r="R448">
        <v>922</v>
      </c>
      <c r="S448">
        <v>862</v>
      </c>
      <c r="T448">
        <v>1239</v>
      </c>
      <c r="U448">
        <v>980</v>
      </c>
      <c r="V448">
        <v>1135</v>
      </c>
      <c r="W448">
        <v>1032</v>
      </c>
      <c r="X448">
        <v>1010</v>
      </c>
      <c r="Y448">
        <v>982</v>
      </c>
      <c r="Z448">
        <v>892</v>
      </c>
      <c r="AA448">
        <v>958</v>
      </c>
      <c r="AB448">
        <v>1028</v>
      </c>
      <c r="AC448">
        <v>974</v>
      </c>
      <c r="AD448">
        <v>1009</v>
      </c>
      <c r="AE448">
        <v>928</v>
      </c>
      <c r="AF448">
        <v>2</v>
      </c>
      <c r="AG448">
        <v>2</v>
      </c>
      <c r="AH448">
        <v>0</v>
      </c>
      <c r="AI448">
        <v>5</v>
      </c>
      <c r="AJ448">
        <v>6</v>
      </c>
      <c r="AK448">
        <v>24</v>
      </c>
      <c r="AL448">
        <v>0</v>
      </c>
      <c r="AM448">
        <v>3</v>
      </c>
      <c r="AN448">
        <v>10</v>
      </c>
      <c r="AO448">
        <v>0</v>
      </c>
      <c r="AP448">
        <v>1126</v>
      </c>
      <c r="AQ448">
        <v>3</v>
      </c>
      <c r="AR448">
        <v>2</v>
      </c>
      <c r="AS448">
        <v>1</v>
      </c>
      <c r="AT448">
        <v>2</v>
      </c>
      <c r="AU448">
        <v>0</v>
      </c>
      <c r="AV448">
        <v>0</v>
      </c>
      <c r="AW448">
        <v>0</v>
      </c>
      <c r="AX448">
        <v>1</v>
      </c>
      <c r="AY448">
        <v>0</v>
      </c>
      <c r="AZ448">
        <v>2</v>
      </c>
      <c r="BA448">
        <v>1018</v>
      </c>
      <c r="BB448">
        <v>1</v>
      </c>
      <c r="BC448">
        <v>5</v>
      </c>
      <c r="BD448">
        <v>0</v>
      </c>
      <c r="BE448">
        <v>2</v>
      </c>
      <c r="BF448">
        <v>2</v>
      </c>
      <c r="BG448">
        <v>1</v>
      </c>
      <c r="BH448">
        <v>1</v>
      </c>
      <c r="BI448">
        <v>0</v>
      </c>
      <c r="BJ448">
        <v>0</v>
      </c>
      <c r="BK448">
        <v>5</v>
      </c>
      <c r="BL448">
        <v>987</v>
      </c>
      <c r="BM448">
        <v>0</v>
      </c>
      <c r="BN448">
        <v>5</v>
      </c>
      <c r="BO448">
        <v>0</v>
      </c>
      <c r="BP448">
        <v>3</v>
      </c>
      <c r="BQ448">
        <v>0</v>
      </c>
      <c r="BR448">
        <v>10</v>
      </c>
      <c r="BS448">
        <v>0</v>
      </c>
      <c r="BT448">
        <v>0</v>
      </c>
      <c r="BU448">
        <v>0</v>
      </c>
      <c r="BV448">
        <v>0</v>
      </c>
      <c r="BW448">
        <v>978</v>
      </c>
      <c r="BX448">
        <v>0</v>
      </c>
      <c r="BY448">
        <v>0</v>
      </c>
      <c r="BZ448">
        <v>0</v>
      </c>
      <c r="CA448">
        <v>0</v>
      </c>
      <c r="CB448">
        <v>4</v>
      </c>
      <c r="CC448">
        <v>0</v>
      </c>
      <c r="CD448">
        <v>0</v>
      </c>
      <c r="CE448">
        <v>0</v>
      </c>
      <c r="CF448">
        <v>6</v>
      </c>
      <c r="CG448">
        <v>0</v>
      </c>
      <c r="CH448">
        <v>801</v>
      </c>
      <c r="CI448">
        <v>0</v>
      </c>
      <c r="CJ448">
        <v>1</v>
      </c>
      <c r="CK448">
        <v>1</v>
      </c>
      <c r="CL448">
        <v>83</v>
      </c>
      <c r="CM448">
        <v>1</v>
      </c>
      <c r="CN448">
        <v>4</v>
      </c>
      <c r="CO448">
        <v>0</v>
      </c>
      <c r="CP448">
        <v>0</v>
      </c>
      <c r="CQ448">
        <v>11</v>
      </c>
      <c r="CR448">
        <v>58</v>
      </c>
      <c r="CS448">
        <v>884</v>
      </c>
      <c r="CT448">
        <v>0</v>
      </c>
      <c r="CU448">
        <v>0</v>
      </c>
      <c r="CV448">
        <v>0</v>
      </c>
      <c r="CW448">
        <v>2</v>
      </c>
      <c r="CX448">
        <v>21</v>
      </c>
      <c r="CY448">
        <v>23</v>
      </c>
      <c r="CZ448">
        <v>3</v>
      </c>
      <c r="DA448">
        <v>6</v>
      </c>
      <c r="DB448">
        <v>0</v>
      </c>
      <c r="DC448">
        <v>0</v>
      </c>
      <c r="DD448">
        <v>915</v>
      </c>
      <c r="DE448">
        <v>0</v>
      </c>
      <c r="DF448">
        <v>58</v>
      </c>
      <c r="DG448">
        <v>1</v>
      </c>
      <c r="DH448">
        <v>5</v>
      </c>
      <c r="DI448">
        <v>7</v>
      </c>
      <c r="DJ448">
        <v>5</v>
      </c>
      <c r="DK448">
        <v>8</v>
      </c>
      <c r="DL448">
        <v>9</v>
      </c>
      <c r="DM448">
        <v>1</v>
      </c>
      <c r="DN448">
        <v>1</v>
      </c>
      <c r="DO448">
        <v>857</v>
      </c>
      <c r="DP448">
        <v>80</v>
      </c>
      <c r="DQ448">
        <v>0</v>
      </c>
      <c r="DR448">
        <v>2</v>
      </c>
      <c r="DS448">
        <v>0</v>
      </c>
      <c r="DT448">
        <v>0</v>
      </c>
      <c r="DU448">
        <v>15</v>
      </c>
      <c r="DV448">
        <v>0</v>
      </c>
      <c r="DW448">
        <v>0</v>
      </c>
      <c r="DX448">
        <v>0</v>
      </c>
      <c r="DY448">
        <v>0</v>
      </c>
      <c r="DZ448">
        <v>992</v>
      </c>
      <c r="EA448">
        <v>0.9486</v>
      </c>
      <c r="EB448">
        <v>0.952723431487281</v>
      </c>
      <c r="EC448">
        <v>0.94724418285518297</v>
      </c>
      <c r="ED448">
        <v>0.94821613758398904</v>
      </c>
      <c r="EE448">
        <f>SUM(Table1[[#This Row],[ratio_0]:[ratio_9]])</f>
        <v>460</v>
      </c>
      <c r="EF448" s="1">
        <f>(Table1[[#This Row],[predicted_0]]-Table1[[#This Row],[actual_0]])/Table1[[#This Row],[actual_0]]</f>
        <v>-4.8979591836734691E-2</v>
      </c>
      <c r="EG448" s="1">
        <f>(Table1[[#This Row],[predicted_1]]-Table1[[#This Row],[actual_1]])/Table1[[#This Row],[actual_1]]</f>
        <v>2.378854625550661E-2</v>
      </c>
      <c r="EH448" s="1">
        <f>(Table1[[#This Row],[predicted_2]]-Table1[[#This Row],[actual_2]])/Table1[[#This Row],[actual_2]]</f>
        <v>2.5193798449612403E-2</v>
      </c>
      <c r="EI448" s="1">
        <f>(Table1[[#This Row],[predicted_3]]-Table1[[#This Row],[actual_3]])/Table1[[#This Row],[actual_3]]</f>
        <v>-5.9405940594059407E-3</v>
      </c>
      <c r="EJ448" s="1">
        <f>(Table1[[#This Row],[predicted_4]]-Table1[[#This Row],[actual_4]])/Table1[[#This Row],[actual_4]]</f>
        <v>4.7861507128309569E-2</v>
      </c>
      <c r="EK448" s="1">
        <f>(Table1[[#This Row],[predicted_5]]-Table1[[#This Row],[actual_5]])/Table1[[#This Row],[actual_5]]</f>
        <v>-1.2331838565022421E-2</v>
      </c>
      <c r="EL448" s="1">
        <f>(Table1[[#This Row],[predicted_6]]-Table1[[#This Row],[actual_6]])/Table1[[#This Row],[actual_6]]</f>
        <v>-4.9060542797494784E-2</v>
      </c>
      <c r="EM448" s="1">
        <f>(Table1[[#This Row],[predicted_7]]-Table1[[#This Row],[actual_7]])/Table1[[#This Row],[actual_7]]</f>
        <v>-0.10311284046692606</v>
      </c>
      <c r="EN448" s="1">
        <f>(Table1[[#This Row],[predicted_8]]-Table1[[#This Row],[actual_8]])/Table1[[#This Row],[actual_8]]</f>
        <v>-0.11498973305954825</v>
      </c>
      <c r="EO448" s="1">
        <f>(Table1[[#This Row],[predicted_9]]-Table1[[#This Row],[actual_9]])/Table1[[#This Row],[actual_9]]</f>
        <v>0.22794846382556988</v>
      </c>
      <c r="EP448" s="1">
        <f>1+(Table1[[#This Row],[error_ratio_0]]-EF$2)</f>
        <v>0.94897959183673475</v>
      </c>
      <c r="EQ448" s="1">
        <f>1+(Table1[[#This Row],[error_ratio_1]]-EG$2)</f>
        <v>1.0220264317180616</v>
      </c>
      <c r="ER448" s="1">
        <f>1+(Table1[[#This Row],[error_ratio_2]]-EH$2)</f>
        <v>1.0300387596899225</v>
      </c>
      <c r="ES448" s="1">
        <f>1+(Table1[[#This Row],[error_ratio_3]]-EI$2)</f>
        <v>0.98415841584158414</v>
      </c>
      <c r="ET448" s="1">
        <f>1+(Table1[[#This Row],[error_ratio_4]]-EJ$2)</f>
        <v>1.0468431771894093</v>
      </c>
      <c r="EU448" s="1">
        <f>1+(Table1[[#This Row],[error_ratio_5]]-EK$2)</f>
        <v>0.98654708520179368</v>
      </c>
      <c r="EV448" s="1">
        <f>1+(Table1[[#This Row],[error_ratio_6]]-EL$2)</f>
        <v>0.95720250521920669</v>
      </c>
      <c r="EW448" s="1">
        <f>1+(Table1[[#This Row],[error_ratio_7]]-EM$2)</f>
        <v>0.89494163424124518</v>
      </c>
      <c r="EX448" s="1">
        <f>1+(Table1[[#This Row],[error_ratio_8]]-EN$2)</f>
        <v>0.88809034907597539</v>
      </c>
      <c r="EY448" s="1">
        <f>1+(Table1[[#This Row],[error_ratio_9]]-EO$2)</f>
        <v>1.2319127849355798</v>
      </c>
    </row>
    <row r="449" spans="1:155" x14ac:dyDescent="0.75">
      <c r="A449">
        <v>100</v>
      </c>
      <c r="B449">
        <v>100</v>
      </c>
      <c r="C449">
        <v>10</v>
      </c>
      <c r="D449">
        <v>100</v>
      </c>
      <c r="E449">
        <v>100</v>
      </c>
      <c r="F449">
        <v>10</v>
      </c>
      <c r="G449">
        <v>10</v>
      </c>
      <c r="H449">
        <v>10</v>
      </c>
      <c r="I449">
        <v>10</v>
      </c>
      <c r="J449">
        <v>100</v>
      </c>
      <c r="K449">
        <v>1014</v>
      </c>
      <c r="L449">
        <v>1155</v>
      </c>
      <c r="M449">
        <v>963</v>
      </c>
      <c r="N449">
        <v>1112</v>
      </c>
      <c r="O449">
        <v>1026</v>
      </c>
      <c r="P449">
        <v>839</v>
      </c>
      <c r="Q449">
        <v>925</v>
      </c>
      <c r="R449">
        <v>976</v>
      </c>
      <c r="S449">
        <v>907</v>
      </c>
      <c r="T449">
        <v>1083</v>
      </c>
      <c r="U449">
        <v>980</v>
      </c>
      <c r="V449">
        <v>1135</v>
      </c>
      <c r="W449">
        <v>1032</v>
      </c>
      <c r="X449">
        <v>1010</v>
      </c>
      <c r="Y449">
        <v>982</v>
      </c>
      <c r="Z449">
        <v>892</v>
      </c>
      <c r="AA449">
        <v>958</v>
      </c>
      <c r="AB449">
        <v>1028</v>
      </c>
      <c r="AC449">
        <v>974</v>
      </c>
      <c r="AD449">
        <v>1009</v>
      </c>
      <c r="AE449">
        <v>966</v>
      </c>
      <c r="AF449">
        <v>0</v>
      </c>
      <c r="AG449">
        <v>0</v>
      </c>
      <c r="AH449">
        <v>0</v>
      </c>
      <c r="AI449">
        <v>4</v>
      </c>
      <c r="AJ449">
        <v>0</v>
      </c>
      <c r="AK449">
        <v>0</v>
      </c>
      <c r="AL449">
        <v>0</v>
      </c>
      <c r="AM449">
        <v>3</v>
      </c>
      <c r="AN449">
        <v>7</v>
      </c>
      <c r="AO449">
        <v>0</v>
      </c>
      <c r="AP449">
        <v>1123</v>
      </c>
      <c r="AQ449">
        <v>2</v>
      </c>
      <c r="AR449">
        <v>4</v>
      </c>
      <c r="AS449">
        <v>0</v>
      </c>
      <c r="AT449">
        <v>0</v>
      </c>
      <c r="AU449">
        <v>6</v>
      </c>
      <c r="AV449">
        <v>0</v>
      </c>
      <c r="AW449">
        <v>0</v>
      </c>
      <c r="AX449">
        <v>0</v>
      </c>
      <c r="AY449">
        <v>12</v>
      </c>
      <c r="AZ449">
        <v>13</v>
      </c>
      <c r="BA449">
        <v>941</v>
      </c>
      <c r="BB449">
        <v>33</v>
      </c>
      <c r="BC449">
        <v>13</v>
      </c>
      <c r="BD449">
        <v>1</v>
      </c>
      <c r="BE449">
        <v>2</v>
      </c>
      <c r="BF449">
        <v>7</v>
      </c>
      <c r="BG449">
        <v>7</v>
      </c>
      <c r="BH449">
        <v>3</v>
      </c>
      <c r="BI449">
        <v>1</v>
      </c>
      <c r="BJ449">
        <v>0</v>
      </c>
      <c r="BK449">
        <v>1</v>
      </c>
      <c r="BL449">
        <v>1002</v>
      </c>
      <c r="BM449">
        <v>0</v>
      </c>
      <c r="BN449">
        <v>2</v>
      </c>
      <c r="BO449">
        <v>0</v>
      </c>
      <c r="BP449">
        <v>1</v>
      </c>
      <c r="BQ449">
        <v>0</v>
      </c>
      <c r="BR449">
        <v>3</v>
      </c>
      <c r="BS449">
        <v>0</v>
      </c>
      <c r="BT449">
        <v>2</v>
      </c>
      <c r="BU449">
        <v>1</v>
      </c>
      <c r="BV449">
        <v>0</v>
      </c>
      <c r="BW449">
        <v>974</v>
      </c>
      <c r="BX449">
        <v>0</v>
      </c>
      <c r="BY449">
        <v>0</v>
      </c>
      <c r="BZ449">
        <v>0</v>
      </c>
      <c r="CA449">
        <v>0</v>
      </c>
      <c r="CB449">
        <v>5</v>
      </c>
      <c r="CC449">
        <v>5</v>
      </c>
      <c r="CD449">
        <v>0</v>
      </c>
      <c r="CE449">
        <v>0</v>
      </c>
      <c r="CF449">
        <v>35</v>
      </c>
      <c r="CG449">
        <v>1</v>
      </c>
      <c r="CH449">
        <v>834</v>
      </c>
      <c r="CI449">
        <v>3</v>
      </c>
      <c r="CJ449">
        <v>1</v>
      </c>
      <c r="CK449">
        <v>4</v>
      </c>
      <c r="CL449">
        <v>9</v>
      </c>
      <c r="CM449">
        <v>19</v>
      </c>
      <c r="CN449">
        <v>3</v>
      </c>
      <c r="CO449">
        <v>2</v>
      </c>
      <c r="CP449">
        <v>0</v>
      </c>
      <c r="CQ449">
        <v>14</v>
      </c>
      <c r="CR449">
        <v>1</v>
      </c>
      <c r="CS449">
        <v>913</v>
      </c>
      <c r="CT449">
        <v>0</v>
      </c>
      <c r="CU449">
        <v>6</v>
      </c>
      <c r="CV449">
        <v>0</v>
      </c>
      <c r="CW449">
        <v>2</v>
      </c>
      <c r="CX449">
        <v>9</v>
      </c>
      <c r="CY449">
        <v>16</v>
      </c>
      <c r="CZ449">
        <v>10</v>
      </c>
      <c r="DA449">
        <v>7</v>
      </c>
      <c r="DB449">
        <v>0</v>
      </c>
      <c r="DC449">
        <v>0</v>
      </c>
      <c r="DD449">
        <v>962</v>
      </c>
      <c r="DE449">
        <v>0</v>
      </c>
      <c r="DF449">
        <v>22</v>
      </c>
      <c r="DG449">
        <v>8</v>
      </c>
      <c r="DH449">
        <v>3</v>
      </c>
      <c r="DI449">
        <v>0</v>
      </c>
      <c r="DJ449">
        <v>25</v>
      </c>
      <c r="DK449">
        <v>10</v>
      </c>
      <c r="DL449">
        <v>1</v>
      </c>
      <c r="DM449">
        <v>1</v>
      </c>
      <c r="DN449">
        <v>4</v>
      </c>
      <c r="DO449">
        <v>887</v>
      </c>
      <c r="DP449">
        <v>35</v>
      </c>
      <c r="DQ449">
        <v>1</v>
      </c>
      <c r="DR449">
        <v>2</v>
      </c>
      <c r="DS449">
        <v>0</v>
      </c>
      <c r="DT449">
        <v>3</v>
      </c>
      <c r="DU449">
        <v>3</v>
      </c>
      <c r="DV449">
        <v>0</v>
      </c>
      <c r="DW449">
        <v>0</v>
      </c>
      <c r="DX449">
        <v>1</v>
      </c>
      <c r="DY449">
        <v>0</v>
      </c>
      <c r="DZ449">
        <v>999</v>
      </c>
      <c r="EA449">
        <v>0.96009999999999995</v>
      </c>
      <c r="EB449">
        <v>0.96196189401359</v>
      </c>
      <c r="EC449">
        <v>0.95954650713400702</v>
      </c>
      <c r="ED449">
        <v>0.95991588815868401</v>
      </c>
      <c r="EE449">
        <f>SUM(Table1[[#This Row],[ratio_0]:[ratio_9]])</f>
        <v>550</v>
      </c>
      <c r="EF449" s="1">
        <f>(Table1[[#This Row],[predicted_0]]-Table1[[#This Row],[actual_0]])/Table1[[#This Row],[actual_0]]</f>
        <v>3.4693877551020408E-2</v>
      </c>
      <c r="EG449" s="1">
        <f>(Table1[[#This Row],[predicted_1]]-Table1[[#This Row],[actual_1]])/Table1[[#This Row],[actual_1]]</f>
        <v>1.7621145374449341E-2</v>
      </c>
      <c r="EH449" s="1">
        <f>(Table1[[#This Row],[predicted_2]]-Table1[[#This Row],[actual_2]])/Table1[[#This Row],[actual_2]]</f>
        <v>-6.6860465116279064E-2</v>
      </c>
      <c r="EI449" s="1">
        <f>(Table1[[#This Row],[predicted_3]]-Table1[[#This Row],[actual_3]])/Table1[[#This Row],[actual_3]]</f>
        <v>0.100990099009901</v>
      </c>
      <c r="EJ449" s="1">
        <f>(Table1[[#This Row],[predicted_4]]-Table1[[#This Row],[actual_4]])/Table1[[#This Row],[actual_4]]</f>
        <v>4.4806517311608958E-2</v>
      </c>
      <c r="EK449" s="1">
        <f>(Table1[[#This Row],[predicted_5]]-Table1[[#This Row],[actual_5]])/Table1[[#This Row],[actual_5]]</f>
        <v>-5.9417040358744393E-2</v>
      </c>
      <c r="EL449" s="1">
        <f>(Table1[[#This Row],[predicted_6]]-Table1[[#This Row],[actual_6]])/Table1[[#This Row],[actual_6]]</f>
        <v>-3.444676409185804E-2</v>
      </c>
      <c r="EM449" s="1">
        <f>(Table1[[#This Row],[predicted_7]]-Table1[[#This Row],[actual_7]])/Table1[[#This Row],[actual_7]]</f>
        <v>-5.0583657587548639E-2</v>
      </c>
      <c r="EN449" s="1">
        <f>(Table1[[#This Row],[predicted_8]]-Table1[[#This Row],[actual_8]])/Table1[[#This Row],[actual_8]]</f>
        <v>-6.8788501026694052E-2</v>
      </c>
      <c r="EO449" s="1">
        <f>(Table1[[#This Row],[predicted_9]]-Table1[[#This Row],[actual_9]])/Table1[[#This Row],[actual_9]]</f>
        <v>7.3339940535183348E-2</v>
      </c>
      <c r="EP449" s="1">
        <f>1+(Table1[[#This Row],[error_ratio_0]]-EF$2)</f>
        <v>1.0326530612244897</v>
      </c>
      <c r="EQ449" s="1">
        <f>1+(Table1[[#This Row],[error_ratio_1]]-EG$2)</f>
        <v>1.0158590308370044</v>
      </c>
      <c r="ER449" s="1">
        <f>1+(Table1[[#This Row],[error_ratio_2]]-EH$2)</f>
        <v>0.93798449612403101</v>
      </c>
      <c r="ES449" s="1">
        <f>1+(Table1[[#This Row],[error_ratio_3]]-EI$2)</f>
        <v>1.0910891089108912</v>
      </c>
      <c r="ET449" s="1">
        <f>1+(Table1[[#This Row],[error_ratio_4]]-EJ$2)</f>
        <v>1.0437881873727088</v>
      </c>
      <c r="EU449" s="1">
        <f>1+(Table1[[#This Row],[error_ratio_5]]-EK$2)</f>
        <v>0.9394618834080718</v>
      </c>
      <c r="EV449" s="1">
        <f>1+(Table1[[#This Row],[error_ratio_6]]-EL$2)</f>
        <v>0.97181628392484343</v>
      </c>
      <c r="EW449" s="1">
        <f>1+(Table1[[#This Row],[error_ratio_7]]-EM$2)</f>
        <v>0.94747081712062253</v>
      </c>
      <c r="EX449" s="1">
        <f>1+(Table1[[#This Row],[error_ratio_8]]-EN$2)</f>
        <v>0.93429158110882959</v>
      </c>
      <c r="EY449" s="1">
        <f>1+(Table1[[#This Row],[error_ratio_9]]-EO$2)</f>
        <v>1.0773042616451933</v>
      </c>
    </row>
    <row r="450" spans="1:155" x14ac:dyDescent="0.75">
      <c r="A450">
        <v>10</v>
      </c>
      <c r="B450">
        <v>100</v>
      </c>
      <c r="C450">
        <v>10</v>
      </c>
      <c r="D450">
        <v>100</v>
      </c>
      <c r="E450">
        <v>100</v>
      </c>
      <c r="F450">
        <v>10</v>
      </c>
      <c r="G450">
        <v>10</v>
      </c>
      <c r="H450">
        <v>10</v>
      </c>
      <c r="I450">
        <v>10</v>
      </c>
      <c r="J450">
        <v>100</v>
      </c>
      <c r="K450">
        <v>977</v>
      </c>
      <c r="L450">
        <v>1237</v>
      </c>
      <c r="M450">
        <v>912</v>
      </c>
      <c r="N450">
        <v>1069</v>
      </c>
      <c r="O450">
        <v>1053</v>
      </c>
      <c r="P450">
        <v>859</v>
      </c>
      <c r="Q450">
        <v>978</v>
      </c>
      <c r="R450">
        <v>935</v>
      </c>
      <c r="S450">
        <v>944</v>
      </c>
      <c r="T450">
        <v>1036</v>
      </c>
      <c r="U450">
        <v>980</v>
      </c>
      <c r="V450">
        <v>1135</v>
      </c>
      <c r="W450">
        <v>1032</v>
      </c>
      <c r="X450">
        <v>1010</v>
      </c>
      <c r="Y450">
        <v>982</v>
      </c>
      <c r="Z450">
        <v>892</v>
      </c>
      <c r="AA450">
        <v>958</v>
      </c>
      <c r="AB450">
        <v>1028</v>
      </c>
      <c r="AC450">
        <v>974</v>
      </c>
      <c r="AD450">
        <v>1009</v>
      </c>
      <c r="AE450">
        <v>955</v>
      </c>
      <c r="AF450">
        <v>2</v>
      </c>
      <c r="AG450">
        <v>0</v>
      </c>
      <c r="AH450">
        <v>1</v>
      </c>
      <c r="AI450">
        <v>3</v>
      </c>
      <c r="AJ450">
        <v>0</v>
      </c>
      <c r="AK450">
        <v>11</v>
      </c>
      <c r="AL450">
        <v>1</v>
      </c>
      <c r="AM450">
        <v>4</v>
      </c>
      <c r="AN450">
        <v>3</v>
      </c>
      <c r="AO450">
        <v>0</v>
      </c>
      <c r="AP450">
        <v>1134</v>
      </c>
      <c r="AQ450">
        <v>0</v>
      </c>
      <c r="AR450">
        <v>0</v>
      </c>
      <c r="AS450">
        <v>0</v>
      </c>
      <c r="AT450">
        <v>0</v>
      </c>
      <c r="AU450">
        <v>1</v>
      </c>
      <c r="AV450">
        <v>0</v>
      </c>
      <c r="AW450">
        <v>0</v>
      </c>
      <c r="AX450">
        <v>0</v>
      </c>
      <c r="AY450">
        <v>5</v>
      </c>
      <c r="AZ450">
        <v>44</v>
      </c>
      <c r="BA450">
        <v>901</v>
      </c>
      <c r="BB450">
        <v>27</v>
      </c>
      <c r="BC450">
        <v>22</v>
      </c>
      <c r="BD450">
        <v>0</v>
      </c>
      <c r="BE450">
        <v>11</v>
      </c>
      <c r="BF450">
        <v>10</v>
      </c>
      <c r="BG450">
        <v>10</v>
      </c>
      <c r="BH450">
        <v>2</v>
      </c>
      <c r="BI450">
        <v>1</v>
      </c>
      <c r="BJ450">
        <v>1</v>
      </c>
      <c r="BK450">
        <v>1</v>
      </c>
      <c r="BL450">
        <v>999</v>
      </c>
      <c r="BM450">
        <v>0</v>
      </c>
      <c r="BN450">
        <v>5</v>
      </c>
      <c r="BO450">
        <v>0</v>
      </c>
      <c r="BP450">
        <v>0</v>
      </c>
      <c r="BQ450">
        <v>1</v>
      </c>
      <c r="BR450">
        <v>2</v>
      </c>
      <c r="BS450">
        <v>0</v>
      </c>
      <c r="BT450">
        <v>0</v>
      </c>
      <c r="BU450">
        <v>0</v>
      </c>
      <c r="BV450">
        <v>0</v>
      </c>
      <c r="BW450">
        <v>973</v>
      </c>
      <c r="BX450">
        <v>0</v>
      </c>
      <c r="BY450">
        <v>0</v>
      </c>
      <c r="BZ450">
        <v>0</v>
      </c>
      <c r="CA450">
        <v>0</v>
      </c>
      <c r="CB450">
        <v>9</v>
      </c>
      <c r="CC450">
        <v>3</v>
      </c>
      <c r="CD450">
        <v>0</v>
      </c>
      <c r="CE450">
        <v>0</v>
      </c>
      <c r="CF450">
        <v>10</v>
      </c>
      <c r="CG450">
        <v>3</v>
      </c>
      <c r="CH450">
        <v>848</v>
      </c>
      <c r="CI450">
        <v>24</v>
      </c>
      <c r="CJ450">
        <v>1</v>
      </c>
      <c r="CK450">
        <v>1</v>
      </c>
      <c r="CL450">
        <v>2</v>
      </c>
      <c r="CM450">
        <v>5</v>
      </c>
      <c r="CN450">
        <v>7</v>
      </c>
      <c r="CO450">
        <v>0</v>
      </c>
      <c r="CP450">
        <v>0</v>
      </c>
      <c r="CQ450">
        <v>26</v>
      </c>
      <c r="CR450">
        <v>1</v>
      </c>
      <c r="CS450">
        <v>919</v>
      </c>
      <c r="CT450">
        <v>0</v>
      </c>
      <c r="CU450">
        <v>0</v>
      </c>
      <c r="CV450">
        <v>0</v>
      </c>
      <c r="CW450">
        <v>2</v>
      </c>
      <c r="CX450">
        <v>44</v>
      </c>
      <c r="CY450">
        <v>7</v>
      </c>
      <c r="CZ450">
        <v>20</v>
      </c>
      <c r="DA450">
        <v>7</v>
      </c>
      <c r="DB450">
        <v>1</v>
      </c>
      <c r="DC450">
        <v>0</v>
      </c>
      <c r="DD450">
        <v>919</v>
      </c>
      <c r="DE450">
        <v>2</v>
      </c>
      <c r="DF450">
        <v>26</v>
      </c>
      <c r="DG450">
        <v>5</v>
      </c>
      <c r="DH450">
        <v>2</v>
      </c>
      <c r="DI450">
        <v>3</v>
      </c>
      <c r="DJ450">
        <v>7</v>
      </c>
      <c r="DK450">
        <v>9</v>
      </c>
      <c r="DL450">
        <v>3</v>
      </c>
      <c r="DM450">
        <v>12</v>
      </c>
      <c r="DN450">
        <v>4</v>
      </c>
      <c r="DO450">
        <v>926</v>
      </c>
      <c r="DP450">
        <v>3</v>
      </c>
      <c r="DQ450">
        <v>1</v>
      </c>
      <c r="DR450">
        <v>3</v>
      </c>
      <c r="DS450">
        <v>0</v>
      </c>
      <c r="DT450">
        <v>5</v>
      </c>
      <c r="DU450">
        <v>10</v>
      </c>
      <c r="DV450">
        <v>1</v>
      </c>
      <c r="DW450">
        <v>0</v>
      </c>
      <c r="DX450">
        <v>0</v>
      </c>
      <c r="DY450">
        <v>0</v>
      </c>
      <c r="DZ450">
        <v>989</v>
      </c>
      <c r="EA450">
        <v>0.95630000000000004</v>
      </c>
      <c r="EB450">
        <v>0.95860198728100998</v>
      </c>
      <c r="EC450">
        <v>0.95614434811027604</v>
      </c>
      <c r="ED450">
        <v>0.95635156597567395</v>
      </c>
      <c r="EE450">
        <f>SUM(Table1[[#This Row],[ratio_0]:[ratio_9]])</f>
        <v>460</v>
      </c>
      <c r="EF450" s="1">
        <f>(Table1[[#This Row],[predicted_0]]-Table1[[#This Row],[actual_0]])/Table1[[#This Row],[actual_0]]</f>
        <v>-3.0612244897959182E-3</v>
      </c>
      <c r="EG450" s="1">
        <f>(Table1[[#This Row],[predicted_1]]-Table1[[#This Row],[actual_1]])/Table1[[#This Row],[actual_1]]</f>
        <v>8.9867841409691632E-2</v>
      </c>
      <c r="EH450" s="1">
        <f>(Table1[[#This Row],[predicted_2]]-Table1[[#This Row],[actual_2]])/Table1[[#This Row],[actual_2]]</f>
        <v>-0.11627906976744186</v>
      </c>
      <c r="EI450" s="1">
        <f>(Table1[[#This Row],[predicted_3]]-Table1[[#This Row],[actual_3]])/Table1[[#This Row],[actual_3]]</f>
        <v>5.8415841584158419E-2</v>
      </c>
      <c r="EJ450" s="1">
        <f>(Table1[[#This Row],[predicted_4]]-Table1[[#This Row],[actual_4]])/Table1[[#This Row],[actual_4]]</f>
        <v>7.2301425661914456E-2</v>
      </c>
      <c r="EK450" s="1">
        <f>(Table1[[#This Row],[predicted_5]]-Table1[[#This Row],[actual_5]])/Table1[[#This Row],[actual_5]]</f>
        <v>-3.6995515695067267E-2</v>
      </c>
      <c r="EL450" s="1">
        <f>(Table1[[#This Row],[predicted_6]]-Table1[[#This Row],[actual_6]])/Table1[[#This Row],[actual_6]]</f>
        <v>2.0876826722338204E-2</v>
      </c>
      <c r="EM450" s="1">
        <f>(Table1[[#This Row],[predicted_7]]-Table1[[#This Row],[actual_7]])/Table1[[#This Row],[actual_7]]</f>
        <v>-9.0466926070038908E-2</v>
      </c>
      <c r="EN450" s="1">
        <f>(Table1[[#This Row],[predicted_8]]-Table1[[#This Row],[actual_8]])/Table1[[#This Row],[actual_8]]</f>
        <v>-3.0800821355236138E-2</v>
      </c>
      <c r="EO450" s="1">
        <f>(Table1[[#This Row],[predicted_9]]-Table1[[#This Row],[actual_9]])/Table1[[#This Row],[actual_9]]</f>
        <v>2.6759167492566897E-2</v>
      </c>
      <c r="EP450" s="1">
        <f>1+(Table1[[#This Row],[error_ratio_0]]-EF$2)</f>
        <v>0.99489795918367352</v>
      </c>
      <c r="EQ450" s="1">
        <f>1+(Table1[[#This Row],[error_ratio_1]]-EG$2)</f>
        <v>1.0881057268722467</v>
      </c>
      <c r="ER450" s="1">
        <f>1+(Table1[[#This Row],[error_ratio_2]]-EH$2)</f>
        <v>0.88856589147286824</v>
      </c>
      <c r="ES450" s="1">
        <f>1+(Table1[[#This Row],[error_ratio_3]]-EI$2)</f>
        <v>1.0485148514851486</v>
      </c>
      <c r="ET450" s="1">
        <f>1+(Table1[[#This Row],[error_ratio_4]]-EJ$2)</f>
        <v>1.0712830957230142</v>
      </c>
      <c r="EU450" s="1">
        <f>1+(Table1[[#This Row],[error_ratio_5]]-EK$2)</f>
        <v>0.96188340807174888</v>
      </c>
      <c r="EV450" s="1">
        <f>1+(Table1[[#This Row],[error_ratio_6]]-EL$2)</f>
        <v>1.0271398747390397</v>
      </c>
      <c r="EW450" s="1">
        <f>1+(Table1[[#This Row],[error_ratio_7]]-EM$2)</f>
        <v>0.90758754863813229</v>
      </c>
      <c r="EX450" s="1">
        <f>1+(Table1[[#This Row],[error_ratio_8]]-EN$2)</f>
        <v>0.97227926078028748</v>
      </c>
      <c r="EY450" s="1">
        <f>1+(Table1[[#This Row],[error_ratio_9]]-EO$2)</f>
        <v>1.0307234886025769</v>
      </c>
    </row>
    <row r="451" spans="1:155" x14ac:dyDescent="0.75">
      <c r="A451">
        <v>100</v>
      </c>
      <c r="B451">
        <v>10</v>
      </c>
      <c r="C451">
        <v>10</v>
      </c>
      <c r="D451">
        <v>100</v>
      </c>
      <c r="E451">
        <v>100</v>
      </c>
      <c r="F451">
        <v>10</v>
      </c>
      <c r="G451">
        <v>10</v>
      </c>
      <c r="H451">
        <v>10</v>
      </c>
      <c r="I451">
        <v>10</v>
      </c>
      <c r="J451">
        <v>100</v>
      </c>
      <c r="K451">
        <v>1097</v>
      </c>
      <c r="L451">
        <v>1136</v>
      </c>
      <c r="M451">
        <v>989</v>
      </c>
      <c r="N451">
        <v>1069</v>
      </c>
      <c r="O451">
        <v>1034</v>
      </c>
      <c r="P451">
        <v>850</v>
      </c>
      <c r="Q451">
        <v>938</v>
      </c>
      <c r="R451">
        <v>984</v>
      </c>
      <c r="S451">
        <v>884</v>
      </c>
      <c r="T451">
        <v>1019</v>
      </c>
      <c r="U451">
        <v>980</v>
      </c>
      <c r="V451">
        <v>1135</v>
      </c>
      <c r="W451">
        <v>1032</v>
      </c>
      <c r="X451">
        <v>1010</v>
      </c>
      <c r="Y451">
        <v>982</v>
      </c>
      <c r="Z451">
        <v>892</v>
      </c>
      <c r="AA451">
        <v>958</v>
      </c>
      <c r="AB451">
        <v>1028</v>
      </c>
      <c r="AC451">
        <v>974</v>
      </c>
      <c r="AD451">
        <v>1009</v>
      </c>
      <c r="AE451">
        <v>979</v>
      </c>
      <c r="AF451">
        <v>0</v>
      </c>
      <c r="AG451">
        <v>0</v>
      </c>
      <c r="AH451">
        <v>0</v>
      </c>
      <c r="AI451">
        <v>0</v>
      </c>
      <c r="AJ451">
        <v>0</v>
      </c>
      <c r="AK451">
        <v>0</v>
      </c>
      <c r="AL451">
        <v>0</v>
      </c>
      <c r="AM451">
        <v>1</v>
      </c>
      <c r="AN451">
        <v>0</v>
      </c>
      <c r="AO451">
        <v>1</v>
      </c>
      <c r="AP451">
        <v>1120</v>
      </c>
      <c r="AQ451">
        <v>0</v>
      </c>
      <c r="AR451">
        <v>6</v>
      </c>
      <c r="AS451">
        <v>1</v>
      </c>
      <c r="AT451">
        <v>1</v>
      </c>
      <c r="AU451">
        <v>4</v>
      </c>
      <c r="AV451">
        <v>1</v>
      </c>
      <c r="AW451">
        <v>0</v>
      </c>
      <c r="AX451">
        <v>1</v>
      </c>
      <c r="AY451">
        <v>24</v>
      </c>
      <c r="AZ451">
        <v>7</v>
      </c>
      <c r="BA451">
        <v>969</v>
      </c>
      <c r="BB451">
        <v>11</v>
      </c>
      <c r="BC451">
        <v>7</v>
      </c>
      <c r="BD451">
        <v>0</v>
      </c>
      <c r="BE451">
        <v>3</v>
      </c>
      <c r="BF451">
        <v>10</v>
      </c>
      <c r="BG451">
        <v>1</v>
      </c>
      <c r="BH451">
        <v>0</v>
      </c>
      <c r="BI451">
        <v>1</v>
      </c>
      <c r="BJ451">
        <v>0</v>
      </c>
      <c r="BK451">
        <v>0</v>
      </c>
      <c r="BL451">
        <v>993</v>
      </c>
      <c r="BM451">
        <v>1</v>
      </c>
      <c r="BN451">
        <v>3</v>
      </c>
      <c r="BO451">
        <v>0</v>
      </c>
      <c r="BP451">
        <v>2</v>
      </c>
      <c r="BQ451">
        <v>2</v>
      </c>
      <c r="BR451">
        <v>8</v>
      </c>
      <c r="BS451">
        <v>0</v>
      </c>
      <c r="BT451">
        <v>0</v>
      </c>
      <c r="BU451">
        <v>0</v>
      </c>
      <c r="BV451">
        <v>0</v>
      </c>
      <c r="BW451">
        <v>980</v>
      </c>
      <c r="BX451">
        <v>0</v>
      </c>
      <c r="BY451">
        <v>0</v>
      </c>
      <c r="BZ451">
        <v>0</v>
      </c>
      <c r="CA451">
        <v>0</v>
      </c>
      <c r="CB451">
        <v>2</v>
      </c>
      <c r="CC451">
        <v>22</v>
      </c>
      <c r="CD451">
        <v>0</v>
      </c>
      <c r="CE451">
        <v>0</v>
      </c>
      <c r="CF451">
        <v>23</v>
      </c>
      <c r="CG451">
        <v>1</v>
      </c>
      <c r="CH451">
        <v>831</v>
      </c>
      <c r="CI451">
        <v>2</v>
      </c>
      <c r="CJ451">
        <v>2</v>
      </c>
      <c r="CK451">
        <v>0</v>
      </c>
      <c r="CL451">
        <v>11</v>
      </c>
      <c r="CM451">
        <v>19</v>
      </c>
      <c r="CN451">
        <v>3</v>
      </c>
      <c r="CO451">
        <v>0</v>
      </c>
      <c r="CP451">
        <v>1</v>
      </c>
      <c r="CQ451">
        <v>9</v>
      </c>
      <c r="CR451">
        <v>5</v>
      </c>
      <c r="CS451">
        <v>921</v>
      </c>
      <c r="CT451">
        <v>0</v>
      </c>
      <c r="CU451">
        <v>0</v>
      </c>
      <c r="CV451">
        <v>0</v>
      </c>
      <c r="CW451">
        <v>5</v>
      </c>
      <c r="CX451">
        <v>3</v>
      </c>
      <c r="CY451">
        <v>13</v>
      </c>
      <c r="CZ451">
        <v>27</v>
      </c>
      <c r="DA451">
        <v>5</v>
      </c>
      <c r="DB451">
        <v>0</v>
      </c>
      <c r="DC451">
        <v>0</v>
      </c>
      <c r="DD451">
        <v>958</v>
      </c>
      <c r="DE451">
        <v>1</v>
      </c>
      <c r="DF451">
        <v>16</v>
      </c>
      <c r="DG451">
        <v>37</v>
      </c>
      <c r="DH451">
        <v>2</v>
      </c>
      <c r="DI451">
        <v>6</v>
      </c>
      <c r="DJ451">
        <v>7</v>
      </c>
      <c r="DK451">
        <v>12</v>
      </c>
      <c r="DL451">
        <v>3</v>
      </c>
      <c r="DM451">
        <v>8</v>
      </c>
      <c r="DN451">
        <v>8</v>
      </c>
      <c r="DO451">
        <v>879</v>
      </c>
      <c r="DP451">
        <v>12</v>
      </c>
      <c r="DQ451">
        <v>9</v>
      </c>
      <c r="DR451">
        <v>1</v>
      </c>
      <c r="DS451">
        <v>1</v>
      </c>
      <c r="DT451">
        <v>1</v>
      </c>
      <c r="DU451">
        <v>18</v>
      </c>
      <c r="DV451">
        <v>7</v>
      </c>
      <c r="DW451">
        <v>0</v>
      </c>
      <c r="DX451">
        <v>3</v>
      </c>
      <c r="DY451">
        <v>0</v>
      </c>
      <c r="DZ451">
        <v>969</v>
      </c>
      <c r="EA451">
        <v>0.95989999999999998</v>
      </c>
      <c r="EB451">
        <v>0.96131849096872601</v>
      </c>
      <c r="EC451">
        <v>0.95935685678656402</v>
      </c>
      <c r="ED451">
        <v>0.95951568842364598</v>
      </c>
      <c r="EE451">
        <f>SUM(Table1[[#This Row],[ratio_0]:[ratio_9]])</f>
        <v>460</v>
      </c>
      <c r="EF451" s="1">
        <f>(Table1[[#This Row],[predicted_0]]-Table1[[#This Row],[actual_0]])/Table1[[#This Row],[actual_0]]</f>
        <v>0.11938775510204082</v>
      </c>
      <c r="EG451" s="1">
        <f>(Table1[[#This Row],[predicted_1]]-Table1[[#This Row],[actual_1]])/Table1[[#This Row],[actual_1]]</f>
        <v>8.81057268722467E-4</v>
      </c>
      <c r="EH451" s="1">
        <f>(Table1[[#This Row],[predicted_2]]-Table1[[#This Row],[actual_2]])/Table1[[#This Row],[actual_2]]</f>
        <v>-4.1666666666666664E-2</v>
      </c>
      <c r="EI451" s="1">
        <f>(Table1[[#This Row],[predicted_3]]-Table1[[#This Row],[actual_3]])/Table1[[#This Row],[actual_3]]</f>
        <v>5.8415841584158419E-2</v>
      </c>
      <c r="EJ451" s="1">
        <f>(Table1[[#This Row],[predicted_4]]-Table1[[#This Row],[actual_4]])/Table1[[#This Row],[actual_4]]</f>
        <v>5.2953156822810592E-2</v>
      </c>
      <c r="EK451" s="1">
        <f>(Table1[[#This Row],[predicted_5]]-Table1[[#This Row],[actual_5]])/Table1[[#This Row],[actual_5]]</f>
        <v>-4.708520179372197E-2</v>
      </c>
      <c r="EL451" s="1">
        <f>(Table1[[#This Row],[predicted_6]]-Table1[[#This Row],[actual_6]])/Table1[[#This Row],[actual_6]]</f>
        <v>-2.0876826722338204E-2</v>
      </c>
      <c r="EM451" s="1">
        <f>(Table1[[#This Row],[predicted_7]]-Table1[[#This Row],[actual_7]])/Table1[[#This Row],[actual_7]]</f>
        <v>-4.2801556420233464E-2</v>
      </c>
      <c r="EN451" s="1">
        <f>(Table1[[#This Row],[predicted_8]]-Table1[[#This Row],[actual_8]])/Table1[[#This Row],[actual_8]]</f>
        <v>-9.2402464065708415E-2</v>
      </c>
      <c r="EO451" s="1">
        <f>(Table1[[#This Row],[predicted_9]]-Table1[[#This Row],[actual_9]])/Table1[[#This Row],[actual_9]]</f>
        <v>9.9108027750247768E-3</v>
      </c>
      <c r="EP451" s="1">
        <f>1+(Table1[[#This Row],[error_ratio_0]]-EF$2)</f>
        <v>1.1173469387755102</v>
      </c>
      <c r="EQ451" s="1">
        <f>1+(Table1[[#This Row],[error_ratio_1]]-EG$2)</f>
        <v>0.99911894273127755</v>
      </c>
      <c r="ER451" s="1">
        <f>1+(Table1[[#This Row],[error_ratio_2]]-EH$2)</f>
        <v>0.96317829457364346</v>
      </c>
      <c r="ES451" s="1">
        <f>1+(Table1[[#This Row],[error_ratio_3]]-EI$2)</f>
        <v>1.0485148514851486</v>
      </c>
      <c r="ET451" s="1">
        <f>1+(Table1[[#This Row],[error_ratio_4]]-EJ$2)</f>
        <v>1.0519348268839104</v>
      </c>
      <c r="EU451" s="1">
        <f>1+(Table1[[#This Row],[error_ratio_5]]-EK$2)</f>
        <v>0.9517937219730942</v>
      </c>
      <c r="EV451" s="1">
        <f>1+(Table1[[#This Row],[error_ratio_6]]-EL$2)</f>
        <v>0.98538622129436326</v>
      </c>
      <c r="EW451" s="1">
        <f>1+(Table1[[#This Row],[error_ratio_7]]-EM$2)</f>
        <v>0.95525291828793779</v>
      </c>
      <c r="EX451" s="1">
        <f>1+(Table1[[#This Row],[error_ratio_8]]-EN$2)</f>
        <v>0.91067761806981518</v>
      </c>
      <c r="EY451" s="1">
        <f>1+(Table1[[#This Row],[error_ratio_9]]-EO$2)</f>
        <v>1.0138751238850348</v>
      </c>
    </row>
    <row r="452" spans="1:155" x14ac:dyDescent="0.75">
      <c r="A452">
        <v>10</v>
      </c>
      <c r="B452">
        <v>10</v>
      </c>
      <c r="C452">
        <v>10</v>
      </c>
      <c r="D452">
        <v>100</v>
      </c>
      <c r="E452">
        <v>100</v>
      </c>
      <c r="F452">
        <v>10</v>
      </c>
      <c r="G452">
        <v>10</v>
      </c>
      <c r="H452">
        <v>10</v>
      </c>
      <c r="I452">
        <v>10</v>
      </c>
      <c r="J452">
        <v>100</v>
      </c>
      <c r="K452">
        <v>978</v>
      </c>
      <c r="L452">
        <v>1139</v>
      </c>
      <c r="M452">
        <v>1058</v>
      </c>
      <c r="N452">
        <v>1058</v>
      </c>
      <c r="O452">
        <v>1008</v>
      </c>
      <c r="P452">
        <v>828</v>
      </c>
      <c r="Q452">
        <v>958</v>
      </c>
      <c r="R452">
        <v>938</v>
      </c>
      <c r="S452">
        <v>902</v>
      </c>
      <c r="T452">
        <v>1133</v>
      </c>
      <c r="U452">
        <v>980</v>
      </c>
      <c r="V452">
        <v>1135</v>
      </c>
      <c r="W452">
        <v>1032</v>
      </c>
      <c r="X452">
        <v>1010</v>
      </c>
      <c r="Y452">
        <v>982</v>
      </c>
      <c r="Z452">
        <v>892</v>
      </c>
      <c r="AA452">
        <v>958</v>
      </c>
      <c r="AB452">
        <v>1028</v>
      </c>
      <c r="AC452">
        <v>974</v>
      </c>
      <c r="AD452">
        <v>1009</v>
      </c>
      <c r="AE452">
        <v>952</v>
      </c>
      <c r="AF452">
        <v>0</v>
      </c>
      <c r="AG452">
        <v>3</v>
      </c>
      <c r="AH452">
        <v>1</v>
      </c>
      <c r="AI452">
        <v>3</v>
      </c>
      <c r="AJ452">
        <v>0</v>
      </c>
      <c r="AK452">
        <v>7</v>
      </c>
      <c r="AL452">
        <v>2</v>
      </c>
      <c r="AM452">
        <v>3</v>
      </c>
      <c r="AN452">
        <v>9</v>
      </c>
      <c r="AO452">
        <v>0</v>
      </c>
      <c r="AP452">
        <v>1123</v>
      </c>
      <c r="AQ452">
        <v>3</v>
      </c>
      <c r="AR452">
        <v>5</v>
      </c>
      <c r="AS452">
        <v>1</v>
      </c>
      <c r="AT452">
        <v>0</v>
      </c>
      <c r="AU452">
        <v>2</v>
      </c>
      <c r="AV452">
        <v>0</v>
      </c>
      <c r="AW452">
        <v>0</v>
      </c>
      <c r="AX452">
        <v>1</v>
      </c>
      <c r="AY452">
        <v>6</v>
      </c>
      <c r="AZ452">
        <v>3</v>
      </c>
      <c r="BA452">
        <v>1002</v>
      </c>
      <c r="BB452">
        <v>5</v>
      </c>
      <c r="BC452">
        <v>3</v>
      </c>
      <c r="BD452">
        <v>0</v>
      </c>
      <c r="BE452">
        <v>3</v>
      </c>
      <c r="BF452">
        <v>5</v>
      </c>
      <c r="BG452">
        <v>3</v>
      </c>
      <c r="BH452">
        <v>2</v>
      </c>
      <c r="BI452">
        <v>0</v>
      </c>
      <c r="BJ452">
        <v>0</v>
      </c>
      <c r="BK452">
        <v>2</v>
      </c>
      <c r="BL452">
        <v>1000</v>
      </c>
      <c r="BM452">
        <v>0</v>
      </c>
      <c r="BN452">
        <v>1</v>
      </c>
      <c r="BO452">
        <v>0</v>
      </c>
      <c r="BP452">
        <v>2</v>
      </c>
      <c r="BQ452">
        <v>1</v>
      </c>
      <c r="BR452">
        <v>4</v>
      </c>
      <c r="BS452">
        <v>0</v>
      </c>
      <c r="BT452">
        <v>0</v>
      </c>
      <c r="BU452">
        <v>1</v>
      </c>
      <c r="BV452">
        <v>0</v>
      </c>
      <c r="BW452">
        <v>972</v>
      </c>
      <c r="BX452">
        <v>0</v>
      </c>
      <c r="BY452">
        <v>2</v>
      </c>
      <c r="BZ452">
        <v>0</v>
      </c>
      <c r="CA452">
        <v>0</v>
      </c>
      <c r="CB452">
        <v>7</v>
      </c>
      <c r="CC452">
        <v>6</v>
      </c>
      <c r="CD452">
        <v>0</v>
      </c>
      <c r="CE452">
        <v>0</v>
      </c>
      <c r="CF452">
        <v>25</v>
      </c>
      <c r="CG452">
        <v>2</v>
      </c>
      <c r="CH452">
        <v>813</v>
      </c>
      <c r="CI452">
        <v>5</v>
      </c>
      <c r="CJ452">
        <v>1</v>
      </c>
      <c r="CK452">
        <v>3</v>
      </c>
      <c r="CL452">
        <v>37</v>
      </c>
      <c r="CM452">
        <v>7</v>
      </c>
      <c r="CN452">
        <v>3</v>
      </c>
      <c r="CO452">
        <v>0</v>
      </c>
      <c r="CP452">
        <v>0</v>
      </c>
      <c r="CQ452">
        <v>2</v>
      </c>
      <c r="CR452">
        <v>10</v>
      </c>
      <c r="CS452">
        <v>936</v>
      </c>
      <c r="CT452">
        <v>0</v>
      </c>
      <c r="CU452">
        <v>0</v>
      </c>
      <c r="CV452">
        <v>0</v>
      </c>
      <c r="CW452">
        <v>1</v>
      </c>
      <c r="CX452">
        <v>6</v>
      </c>
      <c r="CY452">
        <v>36</v>
      </c>
      <c r="CZ452">
        <v>6</v>
      </c>
      <c r="DA452">
        <v>13</v>
      </c>
      <c r="DB452">
        <v>0</v>
      </c>
      <c r="DC452">
        <v>0</v>
      </c>
      <c r="DD452">
        <v>924</v>
      </c>
      <c r="DE452">
        <v>1</v>
      </c>
      <c r="DF452">
        <v>41</v>
      </c>
      <c r="DG452">
        <v>5</v>
      </c>
      <c r="DH452">
        <v>2</v>
      </c>
      <c r="DI452">
        <v>11</v>
      </c>
      <c r="DJ452">
        <v>14</v>
      </c>
      <c r="DK452">
        <v>8</v>
      </c>
      <c r="DL452">
        <v>4</v>
      </c>
      <c r="DM452">
        <v>3</v>
      </c>
      <c r="DN452">
        <v>4</v>
      </c>
      <c r="DO452">
        <v>891</v>
      </c>
      <c r="DP452">
        <v>32</v>
      </c>
      <c r="DQ452">
        <v>1</v>
      </c>
      <c r="DR452">
        <v>2</v>
      </c>
      <c r="DS452">
        <v>0</v>
      </c>
      <c r="DT452">
        <v>2</v>
      </c>
      <c r="DU452">
        <v>4</v>
      </c>
      <c r="DV452">
        <v>0</v>
      </c>
      <c r="DW452">
        <v>0</v>
      </c>
      <c r="DX452">
        <v>0</v>
      </c>
      <c r="DY452">
        <v>0</v>
      </c>
      <c r="DZ452">
        <v>1000</v>
      </c>
      <c r="EA452">
        <v>0.96130000000000004</v>
      </c>
      <c r="EB452">
        <v>0.96303145512003396</v>
      </c>
      <c r="EC452">
        <v>0.96048696520358201</v>
      </c>
      <c r="ED452">
        <v>0.96089260062606896</v>
      </c>
      <c r="EE452">
        <f>SUM(Table1[[#This Row],[ratio_0]:[ratio_9]])</f>
        <v>370</v>
      </c>
      <c r="EF452" s="1">
        <f>(Table1[[#This Row],[predicted_0]]-Table1[[#This Row],[actual_0]])/Table1[[#This Row],[actual_0]]</f>
        <v>-2.0408163265306124E-3</v>
      </c>
      <c r="EG452" s="1">
        <f>(Table1[[#This Row],[predicted_1]]-Table1[[#This Row],[actual_1]])/Table1[[#This Row],[actual_1]]</f>
        <v>3.524229074889868E-3</v>
      </c>
      <c r="EH452" s="1">
        <f>(Table1[[#This Row],[predicted_2]]-Table1[[#This Row],[actual_2]])/Table1[[#This Row],[actual_2]]</f>
        <v>2.5193798449612403E-2</v>
      </c>
      <c r="EI452" s="1">
        <f>(Table1[[#This Row],[predicted_3]]-Table1[[#This Row],[actual_3]])/Table1[[#This Row],[actual_3]]</f>
        <v>4.7524752475247525E-2</v>
      </c>
      <c r="EJ452" s="1">
        <f>(Table1[[#This Row],[predicted_4]]-Table1[[#This Row],[actual_4]])/Table1[[#This Row],[actual_4]]</f>
        <v>2.6476578411405296E-2</v>
      </c>
      <c r="EK452" s="1">
        <f>(Table1[[#This Row],[predicted_5]]-Table1[[#This Row],[actual_5]])/Table1[[#This Row],[actual_5]]</f>
        <v>-7.1748878923766815E-2</v>
      </c>
      <c r="EL452" s="1">
        <f>(Table1[[#This Row],[predicted_6]]-Table1[[#This Row],[actual_6]])/Table1[[#This Row],[actual_6]]</f>
        <v>0</v>
      </c>
      <c r="EM452" s="1">
        <f>(Table1[[#This Row],[predicted_7]]-Table1[[#This Row],[actual_7]])/Table1[[#This Row],[actual_7]]</f>
        <v>-8.7548638132295714E-2</v>
      </c>
      <c r="EN452" s="1">
        <f>(Table1[[#This Row],[predicted_8]]-Table1[[#This Row],[actual_8]])/Table1[[#This Row],[actual_8]]</f>
        <v>-7.3921971252566734E-2</v>
      </c>
      <c r="EO452" s="1">
        <f>(Table1[[#This Row],[predicted_9]]-Table1[[#This Row],[actual_9]])/Table1[[#This Row],[actual_9]]</f>
        <v>0.12289395441030723</v>
      </c>
      <c r="EP452" s="1">
        <f>1+(Table1[[#This Row],[error_ratio_0]]-EF$2)</f>
        <v>0.99591836734693873</v>
      </c>
      <c r="EQ452" s="1">
        <f>1+(Table1[[#This Row],[error_ratio_1]]-EG$2)</f>
        <v>1.0017621145374449</v>
      </c>
      <c r="ER452" s="1">
        <f>1+(Table1[[#This Row],[error_ratio_2]]-EH$2)</f>
        <v>1.0300387596899225</v>
      </c>
      <c r="ES452" s="1">
        <f>1+(Table1[[#This Row],[error_ratio_3]]-EI$2)</f>
        <v>1.0376237623762377</v>
      </c>
      <c r="ET452" s="1">
        <f>1+(Table1[[#This Row],[error_ratio_4]]-EJ$2)</f>
        <v>1.025458248472505</v>
      </c>
      <c r="EU452" s="1">
        <f>1+(Table1[[#This Row],[error_ratio_5]]-EK$2)</f>
        <v>0.92713004484304928</v>
      </c>
      <c r="EV452" s="1">
        <f>1+(Table1[[#This Row],[error_ratio_6]]-EL$2)</f>
        <v>1.0062630480167014</v>
      </c>
      <c r="EW452" s="1">
        <f>1+(Table1[[#This Row],[error_ratio_7]]-EM$2)</f>
        <v>0.91050583657587547</v>
      </c>
      <c r="EX452" s="1">
        <f>1+(Table1[[#This Row],[error_ratio_8]]-EN$2)</f>
        <v>0.92915811088295686</v>
      </c>
      <c r="EY452" s="1">
        <f>1+(Table1[[#This Row],[error_ratio_9]]-EO$2)</f>
        <v>1.1268582755203171</v>
      </c>
    </row>
    <row r="453" spans="1:155" x14ac:dyDescent="0.75">
      <c r="A453">
        <v>100</v>
      </c>
      <c r="B453">
        <v>100</v>
      </c>
      <c r="C453">
        <v>100</v>
      </c>
      <c r="D453">
        <v>10</v>
      </c>
      <c r="E453">
        <v>100</v>
      </c>
      <c r="F453">
        <v>10</v>
      </c>
      <c r="G453">
        <v>10</v>
      </c>
      <c r="H453">
        <v>10</v>
      </c>
      <c r="I453">
        <v>10</v>
      </c>
      <c r="J453">
        <v>100</v>
      </c>
      <c r="K453">
        <v>1063</v>
      </c>
      <c r="L453">
        <v>1145</v>
      </c>
      <c r="M453">
        <v>1133</v>
      </c>
      <c r="N453">
        <v>912</v>
      </c>
      <c r="O453">
        <v>997</v>
      </c>
      <c r="P453">
        <v>988</v>
      </c>
      <c r="Q453">
        <v>901</v>
      </c>
      <c r="R453">
        <v>937</v>
      </c>
      <c r="S453">
        <v>871</v>
      </c>
      <c r="T453">
        <v>1053</v>
      </c>
      <c r="U453">
        <v>980</v>
      </c>
      <c r="V453">
        <v>1135</v>
      </c>
      <c r="W453">
        <v>1032</v>
      </c>
      <c r="X453">
        <v>1010</v>
      </c>
      <c r="Y453">
        <v>982</v>
      </c>
      <c r="Z453">
        <v>892</v>
      </c>
      <c r="AA453">
        <v>958</v>
      </c>
      <c r="AB453">
        <v>1028</v>
      </c>
      <c r="AC453">
        <v>974</v>
      </c>
      <c r="AD453">
        <v>1009</v>
      </c>
      <c r="AE453">
        <v>977</v>
      </c>
      <c r="AF453">
        <v>0</v>
      </c>
      <c r="AG453">
        <v>1</v>
      </c>
      <c r="AH453">
        <v>0</v>
      </c>
      <c r="AI453">
        <v>0</v>
      </c>
      <c r="AJ453">
        <v>0</v>
      </c>
      <c r="AK453">
        <v>0</v>
      </c>
      <c r="AL453">
        <v>1</v>
      </c>
      <c r="AM453">
        <v>1</v>
      </c>
      <c r="AN453">
        <v>0</v>
      </c>
      <c r="AO453">
        <v>5</v>
      </c>
      <c r="AP453">
        <v>1124</v>
      </c>
      <c r="AQ453">
        <v>2</v>
      </c>
      <c r="AR453">
        <v>1</v>
      </c>
      <c r="AS453">
        <v>0</v>
      </c>
      <c r="AT453">
        <v>3</v>
      </c>
      <c r="AU453">
        <v>0</v>
      </c>
      <c r="AV453">
        <v>0</v>
      </c>
      <c r="AW453">
        <v>0</v>
      </c>
      <c r="AX453">
        <v>0</v>
      </c>
      <c r="AY453">
        <v>6</v>
      </c>
      <c r="AZ453">
        <v>3</v>
      </c>
      <c r="BA453">
        <v>1018</v>
      </c>
      <c r="BB453">
        <v>2</v>
      </c>
      <c r="BC453">
        <v>0</v>
      </c>
      <c r="BD453">
        <v>2</v>
      </c>
      <c r="BE453">
        <v>0</v>
      </c>
      <c r="BF453">
        <v>1</v>
      </c>
      <c r="BG453">
        <v>0</v>
      </c>
      <c r="BH453">
        <v>0</v>
      </c>
      <c r="BI453">
        <v>3</v>
      </c>
      <c r="BJ453">
        <v>0</v>
      </c>
      <c r="BK453">
        <v>23</v>
      </c>
      <c r="BL453">
        <v>900</v>
      </c>
      <c r="BM453">
        <v>0</v>
      </c>
      <c r="BN453">
        <v>61</v>
      </c>
      <c r="BO453">
        <v>0</v>
      </c>
      <c r="BP453">
        <v>2</v>
      </c>
      <c r="BQ453">
        <v>5</v>
      </c>
      <c r="BR453">
        <v>16</v>
      </c>
      <c r="BS453">
        <v>0</v>
      </c>
      <c r="BT453">
        <v>0</v>
      </c>
      <c r="BU453">
        <v>2</v>
      </c>
      <c r="BV453">
        <v>0</v>
      </c>
      <c r="BW453">
        <v>974</v>
      </c>
      <c r="BX453">
        <v>0</v>
      </c>
      <c r="BY453">
        <v>1</v>
      </c>
      <c r="BZ453">
        <v>0</v>
      </c>
      <c r="CA453">
        <v>0</v>
      </c>
      <c r="CB453">
        <v>5</v>
      </c>
      <c r="CC453">
        <v>6</v>
      </c>
      <c r="CD453">
        <v>0</v>
      </c>
      <c r="CE453">
        <v>2</v>
      </c>
      <c r="CF453">
        <v>1</v>
      </c>
      <c r="CG453">
        <v>0</v>
      </c>
      <c r="CH453">
        <v>873</v>
      </c>
      <c r="CI453">
        <v>1</v>
      </c>
      <c r="CJ453">
        <v>1</v>
      </c>
      <c r="CK453">
        <v>1</v>
      </c>
      <c r="CL453">
        <v>7</v>
      </c>
      <c r="CM453">
        <v>30</v>
      </c>
      <c r="CN453">
        <v>5</v>
      </c>
      <c r="CO453">
        <v>1</v>
      </c>
      <c r="CP453">
        <v>0</v>
      </c>
      <c r="CQ453">
        <v>10</v>
      </c>
      <c r="CR453">
        <v>18</v>
      </c>
      <c r="CS453">
        <v>894</v>
      </c>
      <c r="CT453">
        <v>0</v>
      </c>
      <c r="CU453">
        <v>0</v>
      </c>
      <c r="CV453">
        <v>0</v>
      </c>
      <c r="CW453">
        <v>3</v>
      </c>
      <c r="CX453">
        <v>11</v>
      </c>
      <c r="CY453">
        <v>51</v>
      </c>
      <c r="CZ453">
        <v>4</v>
      </c>
      <c r="DA453">
        <v>7</v>
      </c>
      <c r="DB453">
        <v>1</v>
      </c>
      <c r="DC453">
        <v>0</v>
      </c>
      <c r="DD453">
        <v>927</v>
      </c>
      <c r="DE453">
        <v>3</v>
      </c>
      <c r="DF453">
        <v>21</v>
      </c>
      <c r="DG453">
        <v>28</v>
      </c>
      <c r="DH453">
        <v>0</v>
      </c>
      <c r="DI453">
        <v>29</v>
      </c>
      <c r="DJ453">
        <v>3</v>
      </c>
      <c r="DK453">
        <v>3</v>
      </c>
      <c r="DL453">
        <v>26</v>
      </c>
      <c r="DM453">
        <v>5</v>
      </c>
      <c r="DN453">
        <v>2</v>
      </c>
      <c r="DO453">
        <v>861</v>
      </c>
      <c r="DP453">
        <v>17</v>
      </c>
      <c r="DQ453">
        <v>5</v>
      </c>
      <c r="DR453">
        <v>2</v>
      </c>
      <c r="DS453">
        <v>4</v>
      </c>
      <c r="DT453">
        <v>1</v>
      </c>
      <c r="DU453">
        <v>3</v>
      </c>
      <c r="DV453">
        <v>4</v>
      </c>
      <c r="DW453">
        <v>0</v>
      </c>
      <c r="DX453">
        <v>3</v>
      </c>
      <c r="DY453">
        <v>0</v>
      </c>
      <c r="DZ453">
        <v>987</v>
      </c>
      <c r="EA453">
        <v>0.95350000000000001</v>
      </c>
      <c r="EB453">
        <v>0.95540313565047597</v>
      </c>
      <c r="EC453">
        <v>0.95324482090919704</v>
      </c>
      <c r="ED453">
        <v>0.95283758048855405</v>
      </c>
      <c r="EE453">
        <f>SUM(Table1[[#This Row],[ratio_0]:[ratio_9]])</f>
        <v>550</v>
      </c>
      <c r="EF453" s="1">
        <f>(Table1[[#This Row],[predicted_0]]-Table1[[#This Row],[actual_0]])/Table1[[#This Row],[actual_0]]</f>
        <v>8.4693877551020411E-2</v>
      </c>
      <c r="EG453" s="1">
        <f>(Table1[[#This Row],[predicted_1]]-Table1[[#This Row],[actual_1]])/Table1[[#This Row],[actual_1]]</f>
        <v>8.8105726872246704E-3</v>
      </c>
      <c r="EH453" s="1">
        <f>(Table1[[#This Row],[predicted_2]]-Table1[[#This Row],[actual_2]])/Table1[[#This Row],[actual_2]]</f>
        <v>9.7868217054263559E-2</v>
      </c>
      <c r="EI453" s="1">
        <f>(Table1[[#This Row],[predicted_3]]-Table1[[#This Row],[actual_3]])/Table1[[#This Row],[actual_3]]</f>
        <v>-9.7029702970297033E-2</v>
      </c>
      <c r="EJ453" s="1">
        <f>(Table1[[#This Row],[predicted_4]]-Table1[[#This Row],[actual_4]])/Table1[[#This Row],[actual_4]]</f>
        <v>1.5274949083503055E-2</v>
      </c>
      <c r="EK453" s="1">
        <f>(Table1[[#This Row],[predicted_5]]-Table1[[#This Row],[actual_5]])/Table1[[#This Row],[actual_5]]</f>
        <v>0.10762331838565023</v>
      </c>
      <c r="EL453" s="1">
        <f>(Table1[[#This Row],[predicted_6]]-Table1[[#This Row],[actual_6]])/Table1[[#This Row],[actual_6]]</f>
        <v>-5.9498956158663886E-2</v>
      </c>
      <c r="EM453" s="1">
        <f>(Table1[[#This Row],[predicted_7]]-Table1[[#This Row],[actual_7]])/Table1[[#This Row],[actual_7]]</f>
        <v>-8.8521400778210121E-2</v>
      </c>
      <c r="EN453" s="1">
        <f>(Table1[[#This Row],[predicted_8]]-Table1[[#This Row],[actual_8]])/Table1[[#This Row],[actual_8]]</f>
        <v>-0.10574948665297741</v>
      </c>
      <c r="EO453" s="1">
        <f>(Table1[[#This Row],[predicted_9]]-Table1[[#This Row],[actual_9]])/Table1[[#This Row],[actual_9]]</f>
        <v>4.3607532210109018E-2</v>
      </c>
      <c r="EP453" s="1">
        <f>1+(Table1[[#This Row],[error_ratio_0]]-EF$2)</f>
        <v>1.0826530612244898</v>
      </c>
      <c r="EQ453" s="1">
        <f>1+(Table1[[#This Row],[error_ratio_1]]-EG$2)</f>
        <v>1.0070484581497798</v>
      </c>
      <c r="ER453" s="1">
        <f>1+(Table1[[#This Row],[error_ratio_2]]-EH$2)</f>
        <v>1.1027131782945736</v>
      </c>
      <c r="ES453" s="1">
        <f>1+(Table1[[#This Row],[error_ratio_3]]-EI$2)</f>
        <v>0.89306930693069309</v>
      </c>
      <c r="ET453" s="1">
        <f>1+(Table1[[#This Row],[error_ratio_4]]-EJ$2)</f>
        <v>1.0142566191446027</v>
      </c>
      <c r="EU453" s="1">
        <f>1+(Table1[[#This Row],[error_ratio_5]]-EK$2)</f>
        <v>1.1065022421524664</v>
      </c>
      <c r="EV453" s="1">
        <f>1+(Table1[[#This Row],[error_ratio_6]]-EL$2)</f>
        <v>0.94676409185803756</v>
      </c>
      <c r="EW453" s="1">
        <f>1+(Table1[[#This Row],[error_ratio_7]]-EM$2)</f>
        <v>0.90953307392996108</v>
      </c>
      <c r="EX453" s="1">
        <f>1+(Table1[[#This Row],[error_ratio_8]]-EN$2)</f>
        <v>0.89733059548254623</v>
      </c>
      <c r="EY453" s="1">
        <f>1+(Table1[[#This Row],[error_ratio_9]]-EO$2)</f>
        <v>1.047571853320119</v>
      </c>
    </row>
    <row r="454" spans="1:155" x14ac:dyDescent="0.75">
      <c r="A454">
        <v>10</v>
      </c>
      <c r="B454">
        <v>100</v>
      </c>
      <c r="C454">
        <v>100</v>
      </c>
      <c r="D454">
        <v>10</v>
      </c>
      <c r="E454">
        <v>100</v>
      </c>
      <c r="F454">
        <v>10</v>
      </c>
      <c r="G454">
        <v>10</v>
      </c>
      <c r="H454">
        <v>10</v>
      </c>
      <c r="I454">
        <v>10</v>
      </c>
      <c r="J454">
        <v>100</v>
      </c>
      <c r="K454">
        <v>982</v>
      </c>
      <c r="L454">
        <v>1143</v>
      </c>
      <c r="M454">
        <v>1148</v>
      </c>
      <c r="N454">
        <v>947</v>
      </c>
      <c r="O454">
        <v>1008</v>
      </c>
      <c r="P454">
        <v>832</v>
      </c>
      <c r="Q454">
        <v>926</v>
      </c>
      <c r="R454">
        <v>973</v>
      </c>
      <c r="S454">
        <v>877</v>
      </c>
      <c r="T454">
        <v>1164</v>
      </c>
      <c r="U454">
        <v>980</v>
      </c>
      <c r="V454">
        <v>1135</v>
      </c>
      <c r="W454">
        <v>1032</v>
      </c>
      <c r="X454">
        <v>1010</v>
      </c>
      <c r="Y454">
        <v>982</v>
      </c>
      <c r="Z454">
        <v>892</v>
      </c>
      <c r="AA454">
        <v>958</v>
      </c>
      <c r="AB454">
        <v>1028</v>
      </c>
      <c r="AC454">
        <v>974</v>
      </c>
      <c r="AD454">
        <v>1009</v>
      </c>
      <c r="AE454">
        <v>958</v>
      </c>
      <c r="AF454">
        <v>1</v>
      </c>
      <c r="AG454">
        <v>2</v>
      </c>
      <c r="AH454">
        <v>0</v>
      </c>
      <c r="AI454">
        <v>3</v>
      </c>
      <c r="AJ454">
        <v>4</v>
      </c>
      <c r="AK454">
        <v>2</v>
      </c>
      <c r="AL454">
        <v>0</v>
      </c>
      <c r="AM454">
        <v>1</v>
      </c>
      <c r="AN454">
        <v>9</v>
      </c>
      <c r="AO454">
        <v>0</v>
      </c>
      <c r="AP454">
        <v>1125</v>
      </c>
      <c r="AQ454">
        <v>2</v>
      </c>
      <c r="AR454">
        <v>0</v>
      </c>
      <c r="AS454">
        <v>2</v>
      </c>
      <c r="AT454">
        <v>1</v>
      </c>
      <c r="AU454">
        <v>2</v>
      </c>
      <c r="AV454">
        <v>1</v>
      </c>
      <c r="AW454">
        <v>2</v>
      </c>
      <c r="AX454">
        <v>0</v>
      </c>
      <c r="AY454">
        <v>1</v>
      </c>
      <c r="AZ454">
        <v>2</v>
      </c>
      <c r="BA454">
        <v>1024</v>
      </c>
      <c r="BB454">
        <v>0</v>
      </c>
      <c r="BC454">
        <v>1</v>
      </c>
      <c r="BD454">
        <v>0</v>
      </c>
      <c r="BE454">
        <v>1</v>
      </c>
      <c r="BF454">
        <v>2</v>
      </c>
      <c r="BG454">
        <v>0</v>
      </c>
      <c r="BH454">
        <v>1</v>
      </c>
      <c r="BI454">
        <v>1</v>
      </c>
      <c r="BJ454">
        <v>0</v>
      </c>
      <c r="BK454">
        <v>19</v>
      </c>
      <c r="BL454">
        <v>943</v>
      </c>
      <c r="BM454">
        <v>0</v>
      </c>
      <c r="BN454">
        <v>10</v>
      </c>
      <c r="BO454">
        <v>0</v>
      </c>
      <c r="BP454">
        <v>6</v>
      </c>
      <c r="BQ454">
        <v>7</v>
      </c>
      <c r="BR454">
        <v>24</v>
      </c>
      <c r="BS454">
        <v>0</v>
      </c>
      <c r="BT454">
        <v>0</v>
      </c>
      <c r="BU454">
        <v>3</v>
      </c>
      <c r="BV454">
        <v>0</v>
      </c>
      <c r="BW454">
        <v>968</v>
      </c>
      <c r="BX454">
        <v>0</v>
      </c>
      <c r="BY454">
        <v>1</v>
      </c>
      <c r="BZ454">
        <v>0</v>
      </c>
      <c r="CA454">
        <v>0</v>
      </c>
      <c r="CB454">
        <v>10</v>
      </c>
      <c r="CC454">
        <v>10</v>
      </c>
      <c r="CD454">
        <v>0</v>
      </c>
      <c r="CE454">
        <v>5</v>
      </c>
      <c r="CF454">
        <v>3</v>
      </c>
      <c r="CG454">
        <v>2</v>
      </c>
      <c r="CH454">
        <v>809</v>
      </c>
      <c r="CI454">
        <v>4</v>
      </c>
      <c r="CJ454">
        <v>1</v>
      </c>
      <c r="CK454">
        <v>11</v>
      </c>
      <c r="CL454">
        <v>47</v>
      </c>
      <c r="CM454">
        <v>5</v>
      </c>
      <c r="CN454">
        <v>4</v>
      </c>
      <c r="CO454">
        <v>5</v>
      </c>
      <c r="CP454">
        <v>0</v>
      </c>
      <c r="CQ454">
        <v>18</v>
      </c>
      <c r="CR454">
        <v>5</v>
      </c>
      <c r="CS454">
        <v>914</v>
      </c>
      <c r="CT454">
        <v>0</v>
      </c>
      <c r="CU454">
        <v>6</v>
      </c>
      <c r="CV454">
        <v>1</v>
      </c>
      <c r="CW454">
        <v>1</v>
      </c>
      <c r="CX454">
        <v>6</v>
      </c>
      <c r="CY454">
        <v>36</v>
      </c>
      <c r="CZ454">
        <v>0</v>
      </c>
      <c r="DA454">
        <v>5</v>
      </c>
      <c r="DB454">
        <v>0</v>
      </c>
      <c r="DC454">
        <v>0</v>
      </c>
      <c r="DD454">
        <v>955</v>
      </c>
      <c r="DE454">
        <v>0</v>
      </c>
      <c r="DF454">
        <v>25</v>
      </c>
      <c r="DG454">
        <v>5</v>
      </c>
      <c r="DH454">
        <v>2</v>
      </c>
      <c r="DI454">
        <v>52</v>
      </c>
      <c r="DJ454">
        <v>1</v>
      </c>
      <c r="DK454">
        <v>5</v>
      </c>
      <c r="DL454">
        <v>3</v>
      </c>
      <c r="DM454">
        <v>2</v>
      </c>
      <c r="DN454">
        <v>6</v>
      </c>
      <c r="DO454">
        <v>850</v>
      </c>
      <c r="DP454">
        <v>48</v>
      </c>
      <c r="DQ454">
        <v>1</v>
      </c>
      <c r="DR454">
        <v>3</v>
      </c>
      <c r="DS454">
        <v>0</v>
      </c>
      <c r="DT454">
        <v>0</v>
      </c>
      <c r="DU454">
        <v>4</v>
      </c>
      <c r="DV454">
        <v>0</v>
      </c>
      <c r="DW454">
        <v>0</v>
      </c>
      <c r="DX454">
        <v>2</v>
      </c>
      <c r="DY454">
        <v>0</v>
      </c>
      <c r="DZ454">
        <v>999</v>
      </c>
      <c r="EA454">
        <v>0.95450000000000002</v>
      </c>
      <c r="EB454">
        <v>0.95762496775820105</v>
      </c>
      <c r="EC454">
        <v>0.95331843732566501</v>
      </c>
      <c r="ED454">
        <v>0.95414993733446496</v>
      </c>
      <c r="EE454">
        <f>SUM(Table1[[#This Row],[ratio_0]:[ratio_9]])</f>
        <v>460</v>
      </c>
      <c r="EF454" s="1">
        <f>(Table1[[#This Row],[predicted_0]]-Table1[[#This Row],[actual_0]])/Table1[[#This Row],[actual_0]]</f>
        <v>2.0408163265306124E-3</v>
      </c>
      <c r="EG454" s="1">
        <f>(Table1[[#This Row],[predicted_1]]-Table1[[#This Row],[actual_1]])/Table1[[#This Row],[actual_1]]</f>
        <v>7.048458149779736E-3</v>
      </c>
      <c r="EH454" s="1">
        <f>(Table1[[#This Row],[predicted_2]]-Table1[[#This Row],[actual_2]])/Table1[[#This Row],[actual_2]]</f>
        <v>0.1124031007751938</v>
      </c>
      <c r="EI454" s="1">
        <f>(Table1[[#This Row],[predicted_3]]-Table1[[#This Row],[actual_3]])/Table1[[#This Row],[actual_3]]</f>
        <v>-6.2376237623762376E-2</v>
      </c>
      <c r="EJ454" s="1">
        <f>(Table1[[#This Row],[predicted_4]]-Table1[[#This Row],[actual_4]])/Table1[[#This Row],[actual_4]]</f>
        <v>2.6476578411405296E-2</v>
      </c>
      <c r="EK454" s="1">
        <f>(Table1[[#This Row],[predicted_5]]-Table1[[#This Row],[actual_5]])/Table1[[#This Row],[actual_5]]</f>
        <v>-6.726457399103139E-2</v>
      </c>
      <c r="EL454" s="1">
        <f>(Table1[[#This Row],[predicted_6]]-Table1[[#This Row],[actual_6]])/Table1[[#This Row],[actual_6]]</f>
        <v>-3.3402922755741124E-2</v>
      </c>
      <c r="EM454" s="1">
        <f>(Table1[[#This Row],[predicted_7]]-Table1[[#This Row],[actual_7]])/Table1[[#This Row],[actual_7]]</f>
        <v>-5.3501945525291826E-2</v>
      </c>
      <c r="EN454" s="1">
        <f>(Table1[[#This Row],[predicted_8]]-Table1[[#This Row],[actual_8]])/Table1[[#This Row],[actual_8]]</f>
        <v>-9.958932238193019E-2</v>
      </c>
      <c r="EO454" s="1">
        <f>(Table1[[#This Row],[predicted_9]]-Table1[[#This Row],[actual_9]])/Table1[[#This Row],[actual_9]]</f>
        <v>0.15361744301288405</v>
      </c>
      <c r="EP454" s="1">
        <f>1+(Table1[[#This Row],[error_ratio_0]]-EF$2)</f>
        <v>1</v>
      </c>
      <c r="EQ454" s="1">
        <f>1+(Table1[[#This Row],[error_ratio_1]]-EG$2)</f>
        <v>1.0052863436123347</v>
      </c>
      <c r="ER454" s="1">
        <f>1+(Table1[[#This Row],[error_ratio_2]]-EH$2)</f>
        <v>1.1172480620155039</v>
      </c>
      <c r="ES454" s="1">
        <f>1+(Table1[[#This Row],[error_ratio_3]]-EI$2)</f>
        <v>0.92772277227722777</v>
      </c>
      <c r="ET454" s="1">
        <f>1+(Table1[[#This Row],[error_ratio_4]]-EJ$2)</f>
        <v>1.025458248472505</v>
      </c>
      <c r="EU454" s="1">
        <f>1+(Table1[[#This Row],[error_ratio_5]]-EK$2)</f>
        <v>0.93161434977578472</v>
      </c>
      <c r="EV454" s="1">
        <f>1+(Table1[[#This Row],[error_ratio_6]]-EL$2)</f>
        <v>0.97286012526096033</v>
      </c>
      <c r="EW454" s="1">
        <f>1+(Table1[[#This Row],[error_ratio_7]]-EM$2)</f>
        <v>0.94455252918287935</v>
      </c>
      <c r="EX454" s="1">
        <f>1+(Table1[[#This Row],[error_ratio_8]]-EN$2)</f>
        <v>0.90349075975359339</v>
      </c>
      <c r="EY454" s="1">
        <f>1+(Table1[[#This Row],[error_ratio_9]]-EO$2)</f>
        <v>1.157581764122894</v>
      </c>
    </row>
    <row r="455" spans="1:155" x14ac:dyDescent="0.75">
      <c r="A455">
        <v>100</v>
      </c>
      <c r="B455">
        <v>10</v>
      </c>
      <c r="C455">
        <v>100</v>
      </c>
      <c r="D455">
        <v>10</v>
      </c>
      <c r="E455">
        <v>100</v>
      </c>
      <c r="F455">
        <v>10</v>
      </c>
      <c r="G455">
        <v>10</v>
      </c>
      <c r="H455">
        <v>10</v>
      </c>
      <c r="I455">
        <v>10</v>
      </c>
      <c r="J455">
        <v>100</v>
      </c>
      <c r="K455">
        <v>1033</v>
      </c>
      <c r="L455">
        <v>1154</v>
      </c>
      <c r="M455">
        <v>1189</v>
      </c>
      <c r="N455">
        <v>926</v>
      </c>
      <c r="O455">
        <v>962</v>
      </c>
      <c r="P455">
        <v>918</v>
      </c>
      <c r="Q455">
        <v>946</v>
      </c>
      <c r="R455">
        <v>761</v>
      </c>
      <c r="S455">
        <v>906</v>
      </c>
      <c r="T455">
        <v>1205</v>
      </c>
      <c r="U455">
        <v>980</v>
      </c>
      <c r="V455">
        <v>1135</v>
      </c>
      <c r="W455">
        <v>1032</v>
      </c>
      <c r="X455">
        <v>1010</v>
      </c>
      <c r="Y455">
        <v>982</v>
      </c>
      <c r="Z455">
        <v>892</v>
      </c>
      <c r="AA455">
        <v>958</v>
      </c>
      <c r="AB455">
        <v>1028</v>
      </c>
      <c r="AC455">
        <v>974</v>
      </c>
      <c r="AD455">
        <v>1009</v>
      </c>
      <c r="AE455">
        <v>976</v>
      </c>
      <c r="AF455">
        <v>1</v>
      </c>
      <c r="AG455">
        <v>1</v>
      </c>
      <c r="AH455">
        <v>0</v>
      </c>
      <c r="AI455">
        <v>0</v>
      </c>
      <c r="AJ455">
        <v>0</v>
      </c>
      <c r="AK455">
        <v>0</v>
      </c>
      <c r="AL455">
        <v>0</v>
      </c>
      <c r="AM455">
        <v>1</v>
      </c>
      <c r="AN455">
        <v>1</v>
      </c>
      <c r="AO455">
        <v>0</v>
      </c>
      <c r="AP455">
        <v>1125</v>
      </c>
      <c r="AQ455">
        <v>6</v>
      </c>
      <c r="AR455">
        <v>0</v>
      </c>
      <c r="AS455">
        <v>0</v>
      </c>
      <c r="AT455">
        <v>1</v>
      </c>
      <c r="AU455">
        <v>1</v>
      </c>
      <c r="AV455">
        <v>0</v>
      </c>
      <c r="AW455">
        <v>1</v>
      </c>
      <c r="AX455">
        <v>1</v>
      </c>
      <c r="AY455">
        <v>1</v>
      </c>
      <c r="AZ455">
        <v>3</v>
      </c>
      <c r="BA455">
        <v>1027</v>
      </c>
      <c r="BB455">
        <v>0</v>
      </c>
      <c r="BC455">
        <v>1</v>
      </c>
      <c r="BD455">
        <v>0</v>
      </c>
      <c r="BE455">
        <v>0</v>
      </c>
      <c r="BF455">
        <v>0</v>
      </c>
      <c r="BG455">
        <v>0</v>
      </c>
      <c r="BH455">
        <v>0</v>
      </c>
      <c r="BI455">
        <v>11</v>
      </c>
      <c r="BJ455">
        <v>0</v>
      </c>
      <c r="BK455">
        <v>12</v>
      </c>
      <c r="BL455">
        <v>895</v>
      </c>
      <c r="BM455">
        <v>0</v>
      </c>
      <c r="BN455">
        <v>50</v>
      </c>
      <c r="BO455">
        <v>2</v>
      </c>
      <c r="BP455">
        <v>0</v>
      </c>
      <c r="BQ455">
        <v>15</v>
      </c>
      <c r="BR455">
        <v>25</v>
      </c>
      <c r="BS455">
        <v>0</v>
      </c>
      <c r="BT455">
        <v>0</v>
      </c>
      <c r="BU455">
        <v>4</v>
      </c>
      <c r="BV455">
        <v>0</v>
      </c>
      <c r="BW455">
        <v>952</v>
      </c>
      <c r="BX455">
        <v>0</v>
      </c>
      <c r="BY455">
        <v>1</v>
      </c>
      <c r="BZ455">
        <v>0</v>
      </c>
      <c r="CA455">
        <v>0</v>
      </c>
      <c r="CB455">
        <v>25</v>
      </c>
      <c r="CC455">
        <v>8</v>
      </c>
      <c r="CD455">
        <v>0</v>
      </c>
      <c r="CE455">
        <v>1</v>
      </c>
      <c r="CF455">
        <v>2</v>
      </c>
      <c r="CG455">
        <v>0</v>
      </c>
      <c r="CH455">
        <v>858</v>
      </c>
      <c r="CI455">
        <v>8</v>
      </c>
      <c r="CJ455">
        <v>0</v>
      </c>
      <c r="CK455">
        <v>7</v>
      </c>
      <c r="CL455">
        <v>8</v>
      </c>
      <c r="CM455">
        <v>13</v>
      </c>
      <c r="CN455">
        <v>4</v>
      </c>
      <c r="CO455">
        <v>2</v>
      </c>
      <c r="CP455">
        <v>0</v>
      </c>
      <c r="CQ455">
        <v>1</v>
      </c>
      <c r="CR455">
        <v>6</v>
      </c>
      <c r="CS455">
        <v>930</v>
      </c>
      <c r="CT455">
        <v>0</v>
      </c>
      <c r="CU455">
        <v>2</v>
      </c>
      <c r="CV455">
        <v>0</v>
      </c>
      <c r="CW455">
        <v>9</v>
      </c>
      <c r="CX455">
        <v>15</v>
      </c>
      <c r="CY455">
        <v>105</v>
      </c>
      <c r="CZ455">
        <v>25</v>
      </c>
      <c r="DA455">
        <v>0</v>
      </c>
      <c r="DB455">
        <v>0</v>
      </c>
      <c r="DC455">
        <v>0</v>
      </c>
      <c r="DD455">
        <v>760</v>
      </c>
      <c r="DE455">
        <v>3</v>
      </c>
      <c r="DF455">
        <v>111</v>
      </c>
      <c r="DG455">
        <v>12</v>
      </c>
      <c r="DH455">
        <v>6</v>
      </c>
      <c r="DI455">
        <v>30</v>
      </c>
      <c r="DJ455">
        <v>4</v>
      </c>
      <c r="DK455">
        <v>6</v>
      </c>
      <c r="DL455">
        <v>3</v>
      </c>
      <c r="DM455">
        <v>4</v>
      </c>
      <c r="DN455">
        <v>1</v>
      </c>
      <c r="DO455">
        <v>877</v>
      </c>
      <c r="DP455">
        <v>31</v>
      </c>
      <c r="DQ455">
        <v>3</v>
      </c>
      <c r="DR455">
        <v>0</v>
      </c>
      <c r="DS455">
        <v>1</v>
      </c>
      <c r="DT455">
        <v>0</v>
      </c>
      <c r="DU455">
        <v>2</v>
      </c>
      <c r="DV455">
        <v>0</v>
      </c>
      <c r="DW455">
        <v>0</v>
      </c>
      <c r="DX455">
        <v>0</v>
      </c>
      <c r="DY455">
        <v>0</v>
      </c>
      <c r="DZ455">
        <v>1003</v>
      </c>
      <c r="EA455">
        <v>0.94030000000000002</v>
      </c>
      <c r="EB455">
        <v>0.94563391047926104</v>
      </c>
      <c r="EC455">
        <v>0.940427120662225</v>
      </c>
      <c r="ED455">
        <v>0.93951030921966405</v>
      </c>
      <c r="EE455">
        <f>SUM(Table1[[#This Row],[ratio_0]:[ratio_9]])</f>
        <v>460</v>
      </c>
      <c r="EF455" s="1">
        <f>(Table1[[#This Row],[predicted_0]]-Table1[[#This Row],[actual_0]])/Table1[[#This Row],[actual_0]]</f>
        <v>5.4081632653061228E-2</v>
      </c>
      <c r="EG455" s="1">
        <f>(Table1[[#This Row],[predicted_1]]-Table1[[#This Row],[actual_1]])/Table1[[#This Row],[actual_1]]</f>
        <v>1.6740088105726872E-2</v>
      </c>
      <c r="EH455" s="1">
        <f>(Table1[[#This Row],[predicted_2]]-Table1[[#This Row],[actual_2]])/Table1[[#This Row],[actual_2]]</f>
        <v>0.15213178294573643</v>
      </c>
      <c r="EI455" s="1">
        <f>(Table1[[#This Row],[predicted_3]]-Table1[[#This Row],[actual_3]])/Table1[[#This Row],[actual_3]]</f>
        <v>-8.3168316831683173E-2</v>
      </c>
      <c r="EJ455" s="1">
        <f>(Table1[[#This Row],[predicted_4]]-Table1[[#This Row],[actual_4]])/Table1[[#This Row],[actual_4]]</f>
        <v>-2.0366598778004074E-2</v>
      </c>
      <c r="EK455" s="1">
        <f>(Table1[[#This Row],[predicted_5]]-Table1[[#This Row],[actual_5]])/Table1[[#This Row],[actual_5]]</f>
        <v>2.914798206278027E-2</v>
      </c>
      <c r="EL455" s="1">
        <f>(Table1[[#This Row],[predicted_6]]-Table1[[#This Row],[actual_6]])/Table1[[#This Row],[actual_6]]</f>
        <v>-1.2526096033402923E-2</v>
      </c>
      <c r="EM455" s="1">
        <f>(Table1[[#This Row],[predicted_7]]-Table1[[#This Row],[actual_7]])/Table1[[#This Row],[actual_7]]</f>
        <v>-0.25972762645914399</v>
      </c>
      <c r="EN455" s="1">
        <f>(Table1[[#This Row],[predicted_8]]-Table1[[#This Row],[actual_8]])/Table1[[#This Row],[actual_8]]</f>
        <v>-6.9815195071868577E-2</v>
      </c>
      <c r="EO455" s="1">
        <f>(Table1[[#This Row],[predicted_9]]-Table1[[#This Row],[actual_9]])/Table1[[#This Row],[actual_9]]</f>
        <v>0.19425173439048563</v>
      </c>
      <c r="EP455" s="1">
        <f>1+(Table1[[#This Row],[error_ratio_0]]-EF$2)</f>
        <v>1.0520408163265307</v>
      </c>
      <c r="EQ455" s="1">
        <f>1+(Table1[[#This Row],[error_ratio_1]]-EG$2)</f>
        <v>1.014977973568282</v>
      </c>
      <c r="ER455" s="1">
        <f>1+(Table1[[#This Row],[error_ratio_2]]-EH$2)</f>
        <v>1.1569767441860466</v>
      </c>
      <c r="ES455" s="1">
        <f>1+(Table1[[#This Row],[error_ratio_3]]-EI$2)</f>
        <v>0.90693069306930696</v>
      </c>
      <c r="ET455" s="1">
        <f>1+(Table1[[#This Row],[error_ratio_4]]-EJ$2)</f>
        <v>0.97861507128309577</v>
      </c>
      <c r="EU455" s="1">
        <f>1+(Table1[[#This Row],[error_ratio_5]]-EK$2)</f>
        <v>1.0280269058295963</v>
      </c>
      <c r="EV455" s="1">
        <f>1+(Table1[[#This Row],[error_ratio_6]]-EL$2)</f>
        <v>0.99373695198329859</v>
      </c>
      <c r="EW455" s="1">
        <f>1+(Table1[[#This Row],[error_ratio_7]]-EM$2)</f>
        <v>0.73832684824902728</v>
      </c>
      <c r="EX455" s="1">
        <f>1+(Table1[[#This Row],[error_ratio_8]]-EN$2)</f>
        <v>0.93326488706365507</v>
      </c>
      <c r="EY455" s="1">
        <f>1+(Table1[[#This Row],[error_ratio_9]]-EO$2)</f>
        <v>1.1982160555004955</v>
      </c>
    </row>
    <row r="456" spans="1:155" x14ac:dyDescent="0.75">
      <c r="A456">
        <v>10</v>
      </c>
      <c r="B456">
        <v>10</v>
      </c>
      <c r="C456">
        <v>100</v>
      </c>
      <c r="D456">
        <v>10</v>
      </c>
      <c r="E456">
        <v>100</v>
      </c>
      <c r="F456">
        <v>10</v>
      </c>
      <c r="G456">
        <v>10</v>
      </c>
      <c r="H456">
        <v>10</v>
      </c>
      <c r="I456">
        <v>10</v>
      </c>
      <c r="J456">
        <v>100</v>
      </c>
      <c r="K456">
        <v>979</v>
      </c>
      <c r="L456">
        <v>1178</v>
      </c>
      <c r="M456">
        <v>1075</v>
      </c>
      <c r="N456">
        <v>967</v>
      </c>
      <c r="O456">
        <v>1071</v>
      </c>
      <c r="P456">
        <v>763</v>
      </c>
      <c r="Q456">
        <v>929</v>
      </c>
      <c r="R456">
        <v>970</v>
      </c>
      <c r="S456">
        <v>920</v>
      </c>
      <c r="T456">
        <v>1148</v>
      </c>
      <c r="U456">
        <v>980</v>
      </c>
      <c r="V456">
        <v>1135</v>
      </c>
      <c r="W456">
        <v>1032</v>
      </c>
      <c r="X456">
        <v>1010</v>
      </c>
      <c r="Y456">
        <v>982</v>
      </c>
      <c r="Z456">
        <v>892</v>
      </c>
      <c r="AA456">
        <v>958</v>
      </c>
      <c r="AB456">
        <v>1028</v>
      </c>
      <c r="AC456">
        <v>974</v>
      </c>
      <c r="AD456">
        <v>1009</v>
      </c>
      <c r="AE456">
        <v>947</v>
      </c>
      <c r="AF456">
        <v>2</v>
      </c>
      <c r="AG456">
        <v>3</v>
      </c>
      <c r="AH456">
        <v>0</v>
      </c>
      <c r="AI456">
        <v>9</v>
      </c>
      <c r="AJ456">
        <v>0</v>
      </c>
      <c r="AK456">
        <v>1</v>
      </c>
      <c r="AL456">
        <v>1</v>
      </c>
      <c r="AM456">
        <v>1</v>
      </c>
      <c r="AN456">
        <v>16</v>
      </c>
      <c r="AO456">
        <v>0</v>
      </c>
      <c r="AP456">
        <v>1129</v>
      </c>
      <c r="AQ456">
        <v>2</v>
      </c>
      <c r="AR456">
        <v>1</v>
      </c>
      <c r="AS456">
        <v>2</v>
      </c>
      <c r="AT456">
        <v>1</v>
      </c>
      <c r="AU456">
        <v>0</v>
      </c>
      <c r="AV456">
        <v>0</v>
      </c>
      <c r="AW456">
        <v>0</v>
      </c>
      <c r="AX456">
        <v>0</v>
      </c>
      <c r="AY456">
        <v>2</v>
      </c>
      <c r="AZ456">
        <v>6</v>
      </c>
      <c r="BA456">
        <v>1013</v>
      </c>
      <c r="BB456">
        <v>0</v>
      </c>
      <c r="BC456">
        <v>8</v>
      </c>
      <c r="BD456">
        <v>0</v>
      </c>
      <c r="BE456">
        <v>1</v>
      </c>
      <c r="BF456">
        <v>2</v>
      </c>
      <c r="BG456">
        <v>0</v>
      </c>
      <c r="BH456">
        <v>0</v>
      </c>
      <c r="BI456">
        <v>1</v>
      </c>
      <c r="BJ456">
        <v>1</v>
      </c>
      <c r="BK456">
        <v>11</v>
      </c>
      <c r="BL456">
        <v>957</v>
      </c>
      <c r="BM456">
        <v>0</v>
      </c>
      <c r="BN456">
        <v>6</v>
      </c>
      <c r="BO456">
        <v>0</v>
      </c>
      <c r="BP456">
        <v>4</v>
      </c>
      <c r="BQ456">
        <v>6</v>
      </c>
      <c r="BR456">
        <v>24</v>
      </c>
      <c r="BS456">
        <v>0</v>
      </c>
      <c r="BT456">
        <v>0</v>
      </c>
      <c r="BU456">
        <v>0</v>
      </c>
      <c r="BV456">
        <v>0</v>
      </c>
      <c r="BW456">
        <v>976</v>
      </c>
      <c r="BX456">
        <v>0</v>
      </c>
      <c r="BY456">
        <v>0</v>
      </c>
      <c r="BZ456">
        <v>0</v>
      </c>
      <c r="CA456">
        <v>0</v>
      </c>
      <c r="CB456">
        <v>6</v>
      </c>
      <c r="CC456">
        <v>12</v>
      </c>
      <c r="CD456">
        <v>2</v>
      </c>
      <c r="CE456">
        <v>2</v>
      </c>
      <c r="CF456">
        <v>7</v>
      </c>
      <c r="CG456">
        <v>8</v>
      </c>
      <c r="CH456">
        <v>755</v>
      </c>
      <c r="CI456">
        <v>9</v>
      </c>
      <c r="CJ456">
        <v>3</v>
      </c>
      <c r="CK456">
        <v>52</v>
      </c>
      <c r="CL456">
        <v>42</v>
      </c>
      <c r="CM456">
        <v>6</v>
      </c>
      <c r="CN456">
        <v>4</v>
      </c>
      <c r="CO456">
        <v>2</v>
      </c>
      <c r="CP456">
        <v>0</v>
      </c>
      <c r="CQ456">
        <v>35</v>
      </c>
      <c r="CR456">
        <v>0</v>
      </c>
      <c r="CS456">
        <v>910</v>
      </c>
      <c r="CT456">
        <v>0</v>
      </c>
      <c r="CU456">
        <v>1</v>
      </c>
      <c r="CV456">
        <v>0</v>
      </c>
      <c r="CW456">
        <v>3</v>
      </c>
      <c r="CX456">
        <v>12</v>
      </c>
      <c r="CY456">
        <v>26</v>
      </c>
      <c r="CZ456">
        <v>2</v>
      </c>
      <c r="DA456">
        <v>4</v>
      </c>
      <c r="DB456">
        <v>0</v>
      </c>
      <c r="DC456">
        <v>0</v>
      </c>
      <c r="DD456">
        <v>953</v>
      </c>
      <c r="DE456">
        <v>1</v>
      </c>
      <c r="DF456">
        <v>27</v>
      </c>
      <c r="DG456">
        <v>7</v>
      </c>
      <c r="DH456">
        <v>21</v>
      </c>
      <c r="DI456">
        <v>16</v>
      </c>
      <c r="DJ456">
        <v>0</v>
      </c>
      <c r="DK456">
        <v>21</v>
      </c>
      <c r="DL456">
        <v>1</v>
      </c>
      <c r="DM456">
        <v>8</v>
      </c>
      <c r="DN456">
        <v>6</v>
      </c>
      <c r="DO456">
        <v>859</v>
      </c>
      <c r="DP456">
        <v>35</v>
      </c>
      <c r="DQ456">
        <v>1</v>
      </c>
      <c r="DR456">
        <v>1</v>
      </c>
      <c r="DS456">
        <v>0</v>
      </c>
      <c r="DT456">
        <v>0</v>
      </c>
      <c r="DU456">
        <v>8</v>
      </c>
      <c r="DV456">
        <v>0</v>
      </c>
      <c r="DW456">
        <v>0</v>
      </c>
      <c r="DX456">
        <v>1</v>
      </c>
      <c r="DY456">
        <v>0</v>
      </c>
      <c r="DZ456">
        <v>998</v>
      </c>
      <c r="EA456">
        <v>0.94969999999999999</v>
      </c>
      <c r="EB456">
        <v>0.95235706633545203</v>
      </c>
      <c r="EC456">
        <v>0.94784233823575903</v>
      </c>
      <c r="ED456">
        <v>0.94868039523284697</v>
      </c>
      <c r="EE456">
        <f>SUM(Table1[[#This Row],[ratio_0]:[ratio_9]])</f>
        <v>370</v>
      </c>
      <c r="EF456" s="1">
        <f>(Table1[[#This Row],[predicted_0]]-Table1[[#This Row],[actual_0]])/Table1[[#This Row],[actual_0]]</f>
        <v>-1.0204081632653062E-3</v>
      </c>
      <c r="EG456" s="1">
        <f>(Table1[[#This Row],[predicted_1]]-Table1[[#This Row],[actual_1]])/Table1[[#This Row],[actual_1]]</f>
        <v>3.7885462555066078E-2</v>
      </c>
      <c r="EH456" s="1">
        <f>(Table1[[#This Row],[predicted_2]]-Table1[[#This Row],[actual_2]])/Table1[[#This Row],[actual_2]]</f>
        <v>4.1666666666666664E-2</v>
      </c>
      <c r="EI456" s="1">
        <f>(Table1[[#This Row],[predicted_3]]-Table1[[#This Row],[actual_3]])/Table1[[#This Row],[actual_3]]</f>
        <v>-4.2574257425742577E-2</v>
      </c>
      <c r="EJ456" s="1">
        <f>(Table1[[#This Row],[predicted_4]]-Table1[[#This Row],[actual_4]])/Table1[[#This Row],[actual_4]]</f>
        <v>9.0631364562118122E-2</v>
      </c>
      <c r="EK456" s="1">
        <f>(Table1[[#This Row],[predicted_5]]-Table1[[#This Row],[actual_5]])/Table1[[#This Row],[actual_5]]</f>
        <v>-0.14461883408071749</v>
      </c>
      <c r="EL456" s="1">
        <f>(Table1[[#This Row],[predicted_6]]-Table1[[#This Row],[actual_6]])/Table1[[#This Row],[actual_6]]</f>
        <v>-3.0271398747390398E-2</v>
      </c>
      <c r="EM456" s="1">
        <f>(Table1[[#This Row],[predicted_7]]-Table1[[#This Row],[actual_7]])/Table1[[#This Row],[actual_7]]</f>
        <v>-5.642023346303502E-2</v>
      </c>
      <c r="EN456" s="1">
        <f>(Table1[[#This Row],[predicted_8]]-Table1[[#This Row],[actual_8]])/Table1[[#This Row],[actual_8]]</f>
        <v>-5.5441478439425054E-2</v>
      </c>
      <c r="EO456" s="1">
        <f>(Table1[[#This Row],[predicted_9]]-Table1[[#This Row],[actual_9]])/Table1[[#This Row],[actual_9]]</f>
        <v>0.1377601585728444</v>
      </c>
      <c r="EP456" s="1">
        <f>1+(Table1[[#This Row],[error_ratio_0]]-EF$2)</f>
        <v>0.99693877551020404</v>
      </c>
      <c r="EQ456" s="1">
        <f>1+(Table1[[#This Row],[error_ratio_1]]-EG$2)</f>
        <v>1.0361233480176211</v>
      </c>
      <c r="ER456" s="1">
        <f>1+(Table1[[#This Row],[error_ratio_2]]-EH$2)</f>
        <v>1.0465116279069768</v>
      </c>
      <c r="ES456" s="1">
        <f>1+(Table1[[#This Row],[error_ratio_3]]-EI$2)</f>
        <v>0.94752475247524748</v>
      </c>
      <c r="ET456" s="1">
        <f>1+(Table1[[#This Row],[error_ratio_4]]-EJ$2)</f>
        <v>1.089613034623218</v>
      </c>
      <c r="EU456" s="1">
        <f>1+(Table1[[#This Row],[error_ratio_5]]-EK$2)</f>
        <v>0.85426008968609868</v>
      </c>
      <c r="EV456" s="1">
        <f>1+(Table1[[#This Row],[error_ratio_6]]-EL$2)</f>
        <v>0.97599164926931103</v>
      </c>
      <c r="EW456" s="1">
        <f>1+(Table1[[#This Row],[error_ratio_7]]-EM$2)</f>
        <v>0.94163424124513617</v>
      </c>
      <c r="EX456" s="1">
        <f>1+(Table1[[#This Row],[error_ratio_8]]-EN$2)</f>
        <v>0.94763860369609854</v>
      </c>
      <c r="EY456" s="1">
        <f>1+(Table1[[#This Row],[error_ratio_9]]-EO$2)</f>
        <v>1.1417244796828543</v>
      </c>
    </row>
    <row r="457" spans="1:155" x14ac:dyDescent="0.75">
      <c r="A457">
        <v>100</v>
      </c>
      <c r="B457">
        <v>100</v>
      </c>
      <c r="C457">
        <v>10</v>
      </c>
      <c r="D457">
        <v>10</v>
      </c>
      <c r="E457">
        <v>100</v>
      </c>
      <c r="F457">
        <v>10</v>
      </c>
      <c r="G457">
        <v>10</v>
      </c>
      <c r="H457">
        <v>10</v>
      </c>
      <c r="I457">
        <v>10</v>
      </c>
      <c r="J457">
        <v>100</v>
      </c>
      <c r="K457">
        <v>1022</v>
      </c>
      <c r="L457">
        <v>1204</v>
      </c>
      <c r="M457">
        <v>972</v>
      </c>
      <c r="N457">
        <v>1010</v>
      </c>
      <c r="O457">
        <v>1167</v>
      </c>
      <c r="P457">
        <v>920</v>
      </c>
      <c r="Q457">
        <v>796</v>
      </c>
      <c r="R457">
        <v>956</v>
      </c>
      <c r="S457">
        <v>867</v>
      </c>
      <c r="T457">
        <v>1086</v>
      </c>
      <c r="U457">
        <v>980</v>
      </c>
      <c r="V457">
        <v>1135</v>
      </c>
      <c r="W457">
        <v>1032</v>
      </c>
      <c r="X457">
        <v>1010</v>
      </c>
      <c r="Y457">
        <v>982</v>
      </c>
      <c r="Z457">
        <v>892</v>
      </c>
      <c r="AA457">
        <v>958</v>
      </c>
      <c r="AB457">
        <v>1028</v>
      </c>
      <c r="AC457">
        <v>974</v>
      </c>
      <c r="AD457">
        <v>1009</v>
      </c>
      <c r="AE457">
        <v>966</v>
      </c>
      <c r="AF457">
        <v>2</v>
      </c>
      <c r="AG457">
        <v>0</v>
      </c>
      <c r="AH457">
        <v>1</v>
      </c>
      <c r="AI457">
        <v>6</v>
      </c>
      <c r="AJ457">
        <v>0</v>
      </c>
      <c r="AK457">
        <v>0</v>
      </c>
      <c r="AL457">
        <v>0</v>
      </c>
      <c r="AM457">
        <v>0</v>
      </c>
      <c r="AN457">
        <v>5</v>
      </c>
      <c r="AO457">
        <v>0</v>
      </c>
      <c r="AP457">
        <v>1132</v>
      </c>
      <c r="AQ457">
        <v>2</v>
      </c>
      <c r="AR457">
        <v>0</v>
      </c>
      <c r="AS457">
        <v>0</v>
      </c>
      <c r="AT457">
        <v>1</v>
      </c>
      <c r="AU457">
        <v>0</v>
      </c>
      <c r="AV457">
        <v>0</v>
      </c>
      <c r="AW457">
        <v>0</v>
      </c>
      <c r="AX457">
        <v>0</v>
      </c>
      <c r="AY457">
        <v>16</v>
      </c>
      <c r="AZ457">
        <v>24</v>
      </c>
      <c r="BA457">
        <v>943</v>
      </c>
      <c r="BB457">
        <v>8</v>
      </c>
      <c r="BC457">
        <v>16</v>
      </c>
      <c r="BD457">
        <v>1</v>
      </c>
      <c r="BE457">
        <v>1</v>
      </c>
      <c r="BF457">
        <v>6</v>
      </c>
      <c r="BG457">
        <v>2</v>
      </c>
      <c r="BH457">
        <v>15</v>
      </c>
      <c r="BI457">
        <v>2</v>
      </c>
      <c r="BJ457">
        <v>0</v>
      </c>
      <c r="BK457">
        <v>4</v>
      </c>
      <c r="BL457">
        <v>984</v>
      </c>
      <c r="BM457">
        <v>0</v>
      </c>
      <c r="BN457">
        <v>9</v>
      </c>
      <c r="BO457">
        <v>0</v>
      </c>
      <c r="BP457">
        <v>5</v>
      </c>
      <c r="BQ457">
        <v>1</v>
      </c>
      <c r="BR457">
        <v>5</v>
      </c>
      <c r="BS457">
        <v>0</v>
      </c>
      <c r="BT457">
        <v>0</v>
      </c>
      <c r="BU457">
        <v>0</v>
      </c>
      <c r="BV457">
        <v>0</v>
      </c>
      <c r="BW457">
        <v>978</v>
      </c>
      <c r="BX457">
        <v>0</v>
      </c>
      <c r="BY457">
        <v>0</v>
      </c>
      <c r="BZ457">
        <v>0</v>
      </c>
      <c r="CA457">
        <v>0</v>
      </c>
      <c r="CB457">
        <v>4</v>
      </c>
      <c r="CC457">
        <v>6</v>
      </c>
      <c r="CD457">
        <v>1</v>
      </c>
      <c r="CE457">
        <v>0</v>
      </c>
      <c r="CF457">
        <v>5</v>
      </c>
      <c r="CG457">
        <v>1</v>
      </c>
      <c r="CH457">
        <v>876</v>
      </c>
      <c r="CI457">
        <v>2</v>
      </c>
      <c r="CJ457">
        <v>1</v>
      </c>
      <c r="CK457">
        <v>0</v>
      </c>
      <c r="CL457">
        <v>0</v>
      </c>
      <c r="CM457">
        <v>10</v>
      </c>
      <c r="CN457">
        <v>7</v>
      </c>
      <c r="CO457">
        <v>0</v>
      </c>
      <c r="CP457">
        <v>0</v>
      </c>
      <c r="CQ457">
        <v>128</v>
      </c>
      <c r="CR457">
        <v>16</v>
      </c>
      <c r="CS457">
        <v>790</v>
      </c>
      <c r="CT457">
        <v>0</v>
      </c>
      <c r="CU457">
        <v>6</v>
      </c>
      <c r="CV457">
        <v>1</v>
      </c>
      <c r="CW457">
        <v>2</v>
      </c>
      <c r="CX457">
        <v>22</v>
      </c>
      <c r="CY457">
        <v>16</v>
      </c>
      <c r="CZ457">
        <v>2</v>
      </c>
      <c r="DA457">
        <v>10</v>
      </c>
      <c r="DB457">
        <v>2</v>
      </c>
      <c r="DC457">
        <v>0</v>
      </c>
      <c r="DD457">
        <v>934</v>
      </c>
      <c r="DE457">
        <v>2</v>
      </c>
      <c r="DF457">
        <v>38</v>
      </c>
      <c r="DG457">
        <v>18</v>
      </c>
      <c r="DH457">
        <v>14</v>
      </c>
      <c r="DI457">
        <v>7</v>
      </c>
      <c r="DJ457">
        <v>9</v>
      </c>
      <c r="DK457">
        <v>17</v>
      </c>
      <c r="DL457">
        <v>12</v>
      </c>
      <c r="DM457">
        <v>3</v>
      </c>
      <c r="DN457">
        <v>9</v>
      </c>
      <c r="DO457">
        <v>856</v>
      </c>
      <c r="DP457">
        <v>29</v>
      </c>
      <c r="DQ457">
        <v>2</v>
      </c>
      <c r="DR457">
        <v>2</v>
      </c>
      <c r="DS457">
        <v>0</v>
      </c>
      <c r="DT457">
        <v>1</v>
      </c>
      <c r="DU457">
        <v>11</v>
      </c>
      <c r="DV457">
        <v>3</v>
      </c>
      <c r="DW457">
        <v>0</v>
      </c>
      <c r="DX457">
        <v>1</v>
      </c>
      <c r="DY457">
        <v>0</v>
      </c>
      <c r="DZ457">
        <v>989</v>
      </c>
      <c r="EA457">
        <v>0.94479999999999997</v>
      </c>
      <c r="EB457">
        <v>0.94874907663092201</v>
      </c>
      <c r="EC457">
        <v>0.94413011540223901</v>
      </c>
      <c r="ED457">
        <v>0.94418359383394501</v>
      </c>
      <c r="EE457">
        <f>SUM(Table1[[#This Row],[ratio_0]:[ratio_9]])</f>
        <v>460</v>
      </c>
      <c r="EF457" s="1">
        <f>(Table1[[#This Row],[predicted_0]]-Table1[[#This Row],[actual_0]])/Table1[[#This Row],[actual_0]]</f>
        <v>4.2857142857142858E-2</v>
      </c>
      <c r="EG457" s="1">
        <f>(Table1[[#This Row],[predicted_1]]-Table1[[#This Row],[actual_1]])/Table1[[#This Row],[actual_1]]</f>
        <v>6.0792951541850222E-2</v>
      </c>
      <c r="EH457" s="1">
        <f>(Table1[[#This Row],[predicted_2]]-Table1[[#This Row],[actual_2]])/Table1[[#This Row],[actual_2]]</f>
        <v>-5.8139534883720929E-2</v>
      </c>
      <c r="EI457" s="1">
        <f>(Table1[[#This Row],[predicted_3]]-Table1[[#This Row],[actual_3]])/Table1[[#This Row],[actual_3]]</f>
        <v>0</v>
      </c>
      <c r="EJ457" s="1">
        <f>(Table1[[#This Row],[predicted_4]]-Table1[[#This Row],[actual_4]])/Table1[[#This Row],[actual_4]]</f>
        <v>0.18839103869653767</v>
      </c>
      <c r="EK457" s="1">
        <f>(Table1[[#This Row],[predicted_5]]-Table1[[#This Row],[actual_5]])/Table1[[#This Row],[actual_5]]</f>
        <v>3.1390134529147982E-2</v>
      </c>
      <c r="EL457" s="1">
        <f>(Table1[[#This Row],[predicted_6]]-Table1[[#This Row],[actual_6]])/Table1[[#This Row],[actual_6]]</f>
        <v>-0.16910229645093947</v>
      </c>
      <c r="EM457" s="1">
        <f>(Table1[[#This Row],[predicted_7]]-Table1[[#This Row],[actual_7]])/Table1[[#This Row],[actual_7]]</f>
        <v>-7.0038910505836577E-2</v>
      </c>
      <c r="EN457" s="1">
        <f>(Table1[[#This Row],[predicted_8]]-Table1[[#This Row],[actual_8]])/Table1[[#This Row],[actual_8]]</f>
        <v>-0.10985626283367557</v>
      </c>
      <c r="EO457" s="1">
        <f>(Table1[[#This Row],[predicted_9]]-Table1[[#This Row],[actual_9]])/Table1[[#This Row],[actual_9]]</f>
        <v>7.6313181367690788E-2</v>
      </c>
      <c r="EP457" s="1">
        <f>1+(Table1[[#This Row],[error_ratio_0]]-EF$2)</f>
        <v>1.0408163265306123</v>
      </c>
      <c r="EQ457" s="1">
        <f>1+(Table1[[#This Row],[error_ratio_1]]-EG$2)</f>
        <v>1.0590308370044053</v>
      </c>
      <c r="ER457" s="1">
        <f>1+(Table1[[#This Row],[error_ratio_2]]-EH$2)</f>
        <v>0.94670542635658916</v>
      </c>
      <c r="ES457" s="1">
        <f>1+(Table1[[#This Row],[error_ratio_3]]-EI$2)</f>
        <v>0.99009900990099009</v>
      </c>
      <c r="ET457" s="1">
        <f>1+(Table1[[#This Row],[error_ratio_4]]-EJ$2)</f>
        <v>1.1873727087576376</v>
      </c>
      <c r="EU457" s="1">
        <f>1+(Table1[[#This Row],[error_ratio_5]]-EK$2)</f>
        <v>1.0302690582959642</v>
      </c>
      <c r="EV457" s="1">
        <f>1+(Table1[[#This Row],[error_ratio_6]]-EL$2)</f>
        <v>0.83716075156576197</v>
      </c>
      <c r="EW457" s="1">
        <f>1+(Table1[[#This Row],[error_ratio_7]]-EM$2)</f>
        <v>0.92801556420233466</v>
      </c>
      <c r="EX457" s="1">
        <f>1+(Table1[[#This Row],[error_ratio_8]]-EN$2)</f>
        <v>0.89322381930184802</v>
      </c>
      <c r="EY457" s="1">
        <f>1+(Table1[[#This Row],[error_ratio_9]]-EO$2)</f>
        <v>1.0802775024777007</v>
      </c>
    </row>
    <row r="458" spans="1:155" x14ac:dyDescent="0.75">
      <c r="A458">
        <v>10</v>
      </c>
      <c r="B458">
        <v>100</v>
      </c>
      <c r="C458">
        <v>10</v>
      </c>
      <c r="D458">
        <v>10</v>
      </c>
      <c r="E458">
        <v>100</v>
      </c>
      <c r="F458">
        <v>10</v>
      </c>
      <c r="G458">
        <v>10</v>
      </c>
      <c r="H458">
        <v>10</v>
      </c>
      <c r="I458">
        <v>10</v>
      </c>
      <c r="J458">
        <v>100</v>
      </c>
      <c r="K458">
        <v>953</v>
      </c>
      <c r="L458">
        <v>1169</v>
      </c>
      <c r="M458">
        <v>1037</v>
      </c>
      <c r="N458">
        <v>1056</v>
      </c>
      <c r="O458">
        <v>1018</v>
      </c>
      <c r="P458">
        <v>921</v>
      </c>
      <c r="Q458">
        <v>853</v>
      </c>
      <c r="R458">
        <v>1003</v>
      </c>
      <c r="S458">
        <v>959</v>
      </c>
      <c r="T458">
        <v>1031</v>
      </c>
      <c r="U458">
        <v>980</v>
      </c>
      <c r="V458">
        <v>1135</v>
      </c>
      <c r="W458">
        <v>1032</v>
      </c>
      <c r="X458">
        <v>1010</v>
      </c>
      <c r="Y458">
        <v>982</v>
      </c>
      <c r="Z458">
        <v>892</v>
      </c>
      <c r="AA458">
        <v>958</v>
      </c>
      <c r="AB458">
        <v>1028</v>
      </c>
      <c r="AC458">
        <v>974</v>
      </c>
      <c r="AD458">
        <v>1009</v>
      </c>
      <c r="AE458">
        <v>937</v>
      </c>
      <c r="AF458">
        <v>2</v>
      </c>
      <c r="AG458">
        <v>0</v>
      </c>
      <c r="AH458">
        <v>4</v>
      </c>
      <c r="AI458">
        <v>7</v>
      </c>
      <c r="AJ458">
        <v>4</v>
      </c>
      <c r="AK458">
        <v>2</v>
      </c>
      <c r="AL458">
        <v>4</v>
      </c>
      <c r="AM458">
        <v>7</v>
      </c>
      <c r="AN458">
        <v>13</v>
      </c>
      <c r="AO458">
        <v>0</v>
      </c>
      <c r="AP458">
        <v>1133</v>
      </c>
      <c r="AQ458">
        <v>0</v>
      </c>
      <c r="AR458">
        <v>0</v>
      </c>
      <c r="AS458">
        <v>0</v>
      </c>
      <c r="AT458">
        <v>0</v>
      </c>
      <c r="AU458">
        <v>0</v>
      </c>
      <c r="AV458">
        <v>0</v>
      </c>
      <c r="AW458">
        <v>1</v>
      </c>
      <c r="AX458">
        <v>1</v>
      </c>
      <c r="AY458">
        <v>2</v>
      </c>
      <c r="AZ458">
        <v>16</v>
      </c>
      <c r="BA458">
        <v>995</v>
      </c>
      <c r="BB458">
        <v>5</v>
      </c>
      <c r="BC458">
        <v>4</v>
      </c>
      <c r="BD458">
        <v>0</v>
      </c>
      <c r="BE458">
        <v>0</v>
      </c>
      <c r="BF458">
        <v>5</v>
      </c>
      <c r="BG458">
        <v>5</v>
      </c>
      <c r="BH458">
        <v>0</v>
      </c>
      <c r="BI458">
        <v>0</v>
      </c>
      <c r="BJ458">
        <v>1</v>
      </c>
      <c r="BK458">
        <v>2</v>
      </c>
      <c r="BL458">
        <v>990</v>
      </c>
      <c r="BM458">
        <v>0</v>
      </c>
      <c r="BN458">
        <v>3</v>
      </c>
      <c r="BO458">
        <v>0</v>
      </c>
      <c r="BP458">
        <v>8</v>
      </c>
      <c r="BQ458">
        <v>3</v>
      </c>
      <c r="BR458">
        <v>3</v>
      </c>
      <c r="BS458">
        <v>0</v>
      </c>
      <c r="BT458">
        <v>0</v>
      </c>
      <c r="BU458">
        <v>2</v>
      </c>
      <c r="BV458">
        <v>0</v>
      </c>
      <c r="BW458">
        <v>968</v>
      </c>
      <c r="BX458">
        <v>0</v>
      </c>
      <c r="BY458">
        <v>0</v>
      </c>
      <c r="BZ458">
        <v>0</v>
      </c>
      <c r="CA458">
        <v>1</v>
      </c>
      <c r="CB458">
        <v>11</v>
      </c>
      <c r="CC458">
        <v>3</v>
      </c>
      <c r="CD458">
        <v>1</v>
      </c>
      <c r="CE458">
        <v>0</v>
      </c>
      <c r="CF458">
        <v>19</v>
      </c>
      <c r="CG458">
        <v>0</v>
      </c>
      <c r="CH458">
        <v>860</v>
      </c>
      <c r="CI458">
        <v>0</v>
      </c>
      <c r="CJ458">
        <v>4</v>
      </c>
      <c r="CK458">
        <v>4</v>
      </c>
      <c r="CL458">
        <v>1</v>
      </c>
      <c r="CM458">
        <v>8</v>
      </c>
      <c r="CN458">
        <v>8</v>
      </c>
      <c r="CO458">
        <v>8</v>
      </c>
      <c r="CP458">
        <v>1</v>
      </c>
      <c r="CQ458">
        <v>31</v>
      </c>
      <c r="CR458">
        <v>38</v>
      </c>
      <c r="CS458">
        <v>851</v>
      </c>
      <c r="CT458">
        <v>0</v>
      </c>
      <c r="CU458">
        <v>13</v>
      </c>
      <c r="CV458">
        <v>0</v>
      </c>
      <c r="CW458">
        <v>2</v>
      </c>
      <c r="CX458">
        <v>8</v>
      </c>
      <c r="CY458">
        <v>16</v>
      </c>
      <c r="CZ458">
        <v>8</v>
      </c>
      <c r="DA458">
        <v>4</v>
      </c>
      <c r="DB458">
        <v>0</v>
      </c>
      <c r="DC458">
        <v>0</v>
      </c>
      <c r="DD458">
        <v>977</v>
      </c>
      <c r="DE458">
        <v>2</v>
      </c>
      <c r="DF458">
        <v>11</v>
      </c>
      <c r="DG458">
        <v>1</v>
      </c>
      <c r="DH458">
        <v>0</v>
      </c>
      <c r="DI458">
        <v>14</v>
      </c>
      <c r="DJ458">
        <v>24</v>
      </c>
      <c r="DK458">
        <v>2</v>
      </c>
      <c r="DL458">
        <v>13</v>
      </c>
      <c r="DM458">
        <v>0</v>
      </c>
      <c r="DN458">
        <v>3</v>
      </c>
      <c r="DO458">
        <v>917</v>
      </c>
      <c r="DP458">
        <v>0</v>
      </c>
      <c r="DQ458">
        <v>0</v>
      </c>
      <c r="DR458">
        <v>0</v>
      </c>
      <c r="DS458">
        <v>0</v>
      </c>
      <c r="DT458">
        <v>5</v>
      </c>
      <c r="DU458">
        <v>2</v>
      </c>
      <c r="DV458">
        <v>3</v>
      </c>
      <c r="DW458">
        <v>0</v>
      </c>
      <c r="DX458">
        <v>2</v>
      </c>
      <c r="DY458">
        <v>6</v>
      </c>
      <c r="DZ458">
        <v>991</v>
      </c>
      <c r="EA458">
        <v>0.96189999999999998</v>
      </c>
      <c r="EB458">
        <v>0.96232058411688404</v>
      </c>
      <c r="EC458">
        <v>0.961091165898321</v>
      </c>
      <c r="ED458">
        <v>0.96121320189597004</v>
      </c>
      <c r="EE458">
        <f>SUM(Table1[[#This Row],[ratio_0]:[ratio_9]])</f>
        <v>370</v>
      </c>
      <c r="EF458" s="1">
        <f>(Table1[[#This Row],[predicted_0]]-Table1[[#This Row],[actual_0]])/Table1[[#This Row],[actual_0]]</f>
        <v>-2.7551020408163266E-2</v>
      </c>
      <c r="EG458" s="1">
        <f>(Table1[[#This Row],[predicted_1]]-Table1[[#This Row],[actual_1]])/Table1[[#This Row],[actual_1]]</f>
        <v>2.9955947136563875E-2</v>
      </c>
      <c r="EH458" s="1">
        <f>(Table1[[#This Row],[predicted_2]]-Table1[[#This Row],[actual_2]])/Table1[[#This Row],[actual_2]]</f>
        <v>4.8449612403100775E-3</v>
      </c>
      <c r="EI458" s="1">
        <f>(Table1[[#This Row],[predicted_3]]-Table1[[#This Row],[actual_3]])/Table1[[#This Row],[actual_3]]</f>
        <v>4.5544554455445543E-2</v>
      </c>
      <c r="EJ458" s="1">
        <f>(Table1[[#This Row],[predicted_4]]-Table1[[#This Row],[actual_4]])/Table1[[#This Row],[actual_4]]</f>
        <v>3.6659877800407331E-2</v>
      </c>
      <c r="EK458" s="1">
        <f>(Table1[[#This Row],[predicted_5]]-Table1[[#This Row],[actual_5]])/Table1[[#This Row],[actual_5]]</f>
        <v>3.2511210762331835E-2</v>
      </c>
      <c r="EL458" s="1">
        <f>(Table1[[#This Row],[predicted_6]]-Table1[[#This Row],[actual_6]])/Table1[[#This Row],[actual_6]]</f>
        <v>-0.10960334029227557</v>
      </c>
      <c r="EM458" s="1">
        <f>(Table1[[#This Row],[predicted_7]]-Table1[[#This Row],[actual_7]])/Table1[[#This Row],[actual_7]]</f>
        <v>-2.4319066147859923E-2</v>
      </c>
      <c r="EN458" s="1">
        <f>(Table1[[#This Row],[predicted_8]]-Table1[[#This Row],[actual_8]])/Table1[[#This Row],[actual_8]]</f>
        <v>-1.5400410677618069E-2</v>
      </c>
      <c r="EO458" s="1">
        <f>(Table1[[#This Row],[predicted_9]]-Table1[[#This Row],[actual_9]])/Table1[[#This Row],[actual_9]]</f>
        <v>2.1803766105054509E-2</v>
      </c>
      <c r="EP458" s="1">
        <f>1+(Table1[[#This Row],[error_ratio_0]]-EF$2)</f>
        <v>0.9704081632653061</v>
      </c>
      <c r="EQ458" s="1">
        <f>1+(Table1[[#This Row],[error_ratio_1]]-EG$2)</f>
        <v>1.0281938325991189</v>
      </c>
      <c r="ER458" s="1">
        <f>1+(Table1[[#This Row],[error_ratio_2]]-EH$2)</f>
        <v>1.0096899224806202</v>
      </c>
      <c r="ES458" s="1">
        <f>1+(Table1[[#This Row],[error_ratio_3]]-EI$2)</f>
        <v>1.0356435643564357</v>
      </c>
      <c r="ET458" s="1">
        <f>1+(Table1[[#This Row],[error_ratio_4]]-EJ$2)</f>
        <v>1.0356415478615071</v>
      </c>
      <c r="EU458" s="1">
        <f>1+(Table1[[#This Row],[error_ratio_5]]-EK$2)</f>
        <v>1.0313901345291481</v>
      </c>
      <c r="EV458" s="1">
        <f>1+(Table1[[#This Row],[error_ratio_6]]-EL$2)</f>
        <v>0.89665970772442594</v>
      </c>
      <c r="EW458" s="1">
        <f>1+(Table1[[#This Row],[error_ratio_7]]-EM$2)</f>
        <v>0.97373540856031127</v>
      </c>
      <c r="EX458" s="1">
        <f>1+(Table1[[#This Row],[error_ratio_8]]-EN$2)</f>
        <v>0.98767967145790558</v>
      </c>
      <c r="EY458" s="1">
        <f>1+(Table1[[#This Row],[error_ratio_9]]-EO$2)</f>
        <v>1.0257680872150645</v>
      </c>
    </row>
    <row r="459" spans="1:155" x14ac:dyDescent="0.75">
      <c r="A459">
        <v>100</v>
      </c>
      <c r="B459">
        <v>10</v>
      </c>
      <c r="C459">
        <v>10</v>
      </c>
      <c r="D459">
        <v>10</v>
      </c>
      <c r="E459">
        <v>100</v>
      </c>
      <c r="F459">
        <v>10</v>
      </c>
      <c r="G459">
        <v>10</v>
      </c>
      <c r="H459">
        <v>10</v>
      </c>
      <c r="I459">
        <v>10</v>
      </c>
      <c r="J459">
        <v>100</v>
      </c>
      <c r="K459">
        <v>1075</v>
      </c>
      <c r="L459">
        <v>1129</v>
      </c>
      <c r="M459">
        <v>1013</v>
      </c>
      <c r="N459">
        <v>958</v>
      </c>
      <c r="O459">
        <v>977</v>
      </c>
      <c r="P459">
        <v>915</v>
      </c>
      <c r="Q459">
        <v>908</v>
      </c>
      <c r="R459">
        <v>924</v>
      </c>
      <c r="S459">
        <v>889</v>
      </c>
      <c r="T459">
        <v>1212</v>
      </c>
      <c r="U459">
        <v>980</v>
      </c>
      <c r="V459">
        <v>1135</v>
      </c>
      <c r="W459">
        <v>1032</v>
      </c>
      <c r="X459">
        <v>1010</v>
      </c>
      <c r="Y459">
        <v>982</v>
      </c>
      <c r="Z459">
        <v>892</v>
      </c>
      <c r="AA459">
        <v>958</v>
      </c>
      <c r="AB459">
        <v>1028</v>
      </c>
      <c r="AC459">
        <v>974</v>
      </c>
      <c r="AD459">
        <v>1009</v>
      </c>
      <c r="AE459">
        <v>979</v>
      </c>
      <c r="AF459">
        <v>0</v>
      </c>
      <c r="AG459">
        <v>0</v>
      </c>
      <c r="AH459">
        <v>0</v>
      </c>
      <c r="AI459">
        <v>0</v>
      </c>
      <c r="AJ459">
        <v>0</v>
      </c>
      <c r="AK459">
        <v>0</v>
      </c>
      <c r="AL459">
        <v>0</v>
      </c>
      <c r="AM459">
        <v>0</v>
      </c>
      <c r="AN459">
        <v>1</v>
      </c>
      <c r="AO459">
        <v>1</v>
      </c>
      <c r="AP459">
        <v>1117</v>
      </c>
      <c r="AQ459">
        <v>0</v>
      </c>
      <c r="AR459">
        <v>5</v>
      </c>
      <c r="AS459">
        <v>2</v>
      </c>
      <c r="AT459">
        <v>1</v>
      </c>
      <c r="AU459">
        <v>1</v>
      </c>
      <c r="AV459">
        <v>0</v>
      </c>
      <c r="AW459">
        <v>6</v>
      </c>
      <c r="AX459">
        <v>2</v>
      </c>
      <c r="AY459">
        <v>19</v>
      </c>
      <c r="AZ459">
        <v>4</v>
      </c>
      <c r="BA459">
        <v>962</v>
      </c>
      <c r="BB459">
        <v>21</v>
      </c>
      <c r="BC459">
        <v>5</v>
      </c>
      <c r="BD459">
        <v>2</v>
      </c>
      <c r="BE459">
        <v>4</v>
      </c>
      <c r="BF459">
        <v>4</v>
      </c>
      <c r="BG459">
        <v>4</v>
      </c>
      <c r="BH459">
        <v>7</v>
      </c>
      <c r="BI459">
        <v>6</v>
      </c>
      <c r="BJ459">
        <v>0</v>
      </c>
      <c r="BK459">
        <v>6</v>
      </c>
      <c r="BL459">
        <v>923</v>
      </c>
      <c r="BM459">
        <v>0</v>
      </c>
      <c r="BN459">
        <v>48</v>
      </c>
      <c r="BO459">
        <v>0</v>
      </c>
      <c r="BP459">
        <v>3</v>
      </c>
      <c r="BQ459">
        <v>2</v>
      </c>
      <c r="BR459">
        <v>22</v>
      </c>
      <c r="BS459">
        <v>4</v>
      </c>
      <c r="BT459">
        <v>0</v>
      </c>
      <c r="BU459">
        <v>4</v>
      </c>
      <c r="BV459">
        <v>0</v>
      </c>
      <c r="BW459">
        <v>949</v>
      </c>
      <c r="BX459">
        <v>0</v>
      </c>
      <c r="BY459">
        <v>0</v>
      </c>
      <c r="BZ459">
        <v>0</v>
      </c>
      <c r="CA459">
        <v>0</v>
      </c>
      <c r="CB459">
        <v>25</v>
      </c>
      <c r="CC459">
        <v>7</v>
      </c>
      <c r="CD459">
        <v>0</v>
      </c>
      <c r="CE459">
        <v>1</v>
      </c>
      <c r="CF459">
        <v>4</v>
      </c>
      <c r="CG459">
        <v>4</v>
      </c>
      <c r="CH459">
        <v>838</v>
      </c>
      <c r="CI459">
        <v>5</v>
      </c>
      <c r="CJ459">
        <v>2</v>
      </c>
      <c r="CK459">
        <v>8</v>
      </c>
      <c r="CL459">
        <v>23</v>
      </c>
      <c r="CM459">
        <v>43</v>
      </c>
      <c r="CN459">
        <v>3</v>
      </c>
      <c r="CO459">
        <v>0</v>
      </c>
      <c r="CP459">
        <v>0</v>
      </c>
      <c r="CQ459">
        <v>4</v>
      </c>
      <c r="CR459">
        <v>6</v>
      </c>
      <c r="CS459">
        <v>898</v>
      </c>
      <c r="CT459">
        <v>0</v>
      </c>
      <c r="CU459">
        <v>4</v>
      </c>
      <c r="CV459">
        <v>0</v>
      </c>
      <c r="CW459">
        <v>4</v>
      </c>
      <c r="CX459">
        <v>4</v>
      </c>
      <c r="CY459">
        <v>36</v>
      </c>
      <c r="CZ459">
        <v>2</v>
      </c>
      <c r="DA459">
        <v>2</v>
      </c>
      <c r="DB459">
        <v>5</v>
      </c>
      <c r="DC459">
        <v>0</v>
      </c>
      <c r="DD459">
        <v>909</v>
      </c>
      <c r="DE459">
        <v>1</v>
      </c>
      <c r="DF459">
        <v>65</v>
      </c>
      <c r="DG459">
        <v>10</v>
      </c>
      <c r="DH459">
        <v>1</v>
      </c>
      <c r="DI459">
        <v>4</v>
      </c>
      <c r="DJ459">
        <v>3</v>
      </c>
      <c r="DK459">
        <v>9</v>
      </c>
      <c r="DL459">
        <v>13</v>
      </c>
      <c r="DM459">
        <v>0</v>
      </c>
      <c r="DN459">
        <v>6</v>
      </c>
      <c r="DO459">
        <v>864</v>
      </c>
      <c r="DP459">
        <v>64</v>
      </c>
      <c r="DQ459">
        <v>2</v>
      </c>
      <c r="DR459">
        <v>0</v>
      </c>
      <c r="DS459">
        <v>0</v>
      </c>
      <c r="DT459">
        <v>0</v>
      </c>
      <c r="DU459">
        <v>2</v>
      </c>
      <c r="DV459">
        <v>2</v>
      </c>
      <c r="DW459">
        <v>0</v>
      </c>
      <c r="DX459">
        <v>0</v>
      </c>
      <c r="DY459">
        <v>0</v>
      </c>
      <c r="DZ459">
        <v>1003</v>
      </c>
      <c r="EA459">
        <v>0.94420000000000004</v>
      </c>
      <c r="EB459">
        <v>0.94725659668607698</v>
      </c>
      <c r="EC459">
        <v>0.943773742353332</v>
      </c>
      <c r="ED459">
        <v>0.94393244621760997</v>
      </c>
      <c r="EE459">
        <f>SUM(Table1[[#This Row],[ratio_0]:[ratio_9]])</f>
        <v>370</v>
      </c>
      <c r="EF459" s="1">
        <f>(Table1[[#This Row],[predicted_0]]-Table1[[#This Row],[actual_0]])/Table1[[#This Row],[actual_0]]</f>
        <v>9.6938775510204078E-2</v>
      </c>
      <c r="EG459" s="1">
        <f>(Table1[[#This Row],[predicted_1]]-Table1[[#This Row],[actual_1]])/Table1[[#This Row],[actual_1]]</f>
        <v>-5.2863436123348016E-3</v>
      </c>
      <c r="EH459" s="1">
        <f>(Table1[[#This Row],[predicted_2]]-Table1[[#This Row],[actual_2]])/Table1[[#This Row],[actual_2]]</f>
        <v>-1.8410852713178296E-2</v>
      </c>
      <c r="EI459" s="1">
        <f>(Table1[[#This Row],[predicted_3]]-Table1[[#This Row],[actual_3]])/Table1[[#This Row],[actual_3]]</f>
        <v>-5.1485148514851482E-2</v>
      </c>
      <c r="EJ459" s="1">
        <f>(Table1[[#This Row],[predicted_4]]-Table1[[#This Row],[actual_4]])/Table1[[#This Row],[actual_4]]</f>
        <v>-5.0916496945010185E-3</v>
      </c>
      <c r="EK459" s="1">
        <f>(Table1[[#This Row],[predicted_5]]-Table1[[#This Row],[actual_5]])/Table1[[#This Row],[actual_5]]</f>
        <v>2.5784753363228701E-2</v>
      </c>
      <c r="EL459" s="1">
        <f>(Table1[[#This Row],[predicted_6]]-Table1[[#This Row],[actual_6]])/Table1[[#This Row],[actual_6]]</f>
        <v>-5.2192066805845511E-2</v>
      </c>
      <c r="EM459" s="1">
        <f>(Table1[[#This Row],[predicted_7]]-Table1[[#This Row],[actual_7]])/Table1[[#This Row],[actual_7]]</f>
        <v>-0.10116731517509728</v>
      </c>
      <c r="EN459" s="1">
        <f>(Table1[[#This Row],[predicted_8]]-Table1[[#This Row],[actual_8]])/Table1[[#This Row],[actual_8]]</f>
        <v>-8.7268993839835732E-2</v>
      </c>
      <c r="EO459" s="1">
        <f>(Table1[[#This Row],[predicted_9]]-Table1[[#This Row],[actual_9]])/Table1[[#This Row],[actual_9]]</f>
        <v>0.20118929633300298</v>
      </c>
      <c r="EP459" s="1">
        <f>1+(Table1[[#This Row],[error_ratio_0]]-EF$2)</f>
        <v>1.0948979591836734</v>
      </c>
      <c r="EQ459" s="1">
        <f>1+(Table1[[#This Row],[error_ratio_1]]-EG$2)</f>
        <v>0.99295154185022028</v>
      </c>
      <c r="ER459" s="1">
        <f>1+(Table1[[#This Row],[error_ratio_2]]-EH$2)</f>
        <v>0.98643410852713176</v>
      </c>
      <c r="ES459" s="1">
        <f>1+(Table1[[#This Row],[error_ratio_3]]-EI$2)</f>
        <v>0.93861386138613856</v>
      </c>
      <c r="ET459" s="1">
        <f>1+(Table1[[#This Row],[error_ratio_4]]-EJ$2)</f>
        <v>0.99389002036659879</v>
      </c>
      <c r="EU459" s="1">
        <f>1+(Table1[[#This Row],[error_ratio_5]]-EK$2)</f>
        <v>1.0246636771300448</v>
      </c>
      <c r="EV459" s="1">
        <f>1+(Table1[[#This Row],[error_ratio_6]]-EL$2)</f>
        <v>0.95407098121085598</v>
      </c>
      <c r="EW459" s="1">
        <f>1+(Table1[[#This Row],[error_ratio_7]]-EM$2)</f>
        <v>0.89688715953307396</v>
      </c>
      <c r="EX459" s="1">
        <f>1+(Table1[[#This Row],[error_ratio_8]]-EN$2)</f>
        <v>0.91581108829568791</v>
      </c>
      <c r="EY459" s="1">
        <f>1+(Table1[[#This Row],[error_ratio_9]]-EO$2)</f>
        <v>1.2051536174430129</v>
      </c>
    </row>
    <row r="460" spans="1:155" x14ac:dyDescent="0.75">
      <c r="A460">
        <v>10</v>
      </c>
      <c r="B460">
        <v>10</v>
      </c>
      <c r="C460">
        <v>10</v>
      </c>
      <c r="D460">
        <v>10</v>
      </c>
      <c r="E460">
        <v>100</v>
      </c>
      <c r="F460">
        <v>10</v>
      </c>
      <c r="G460">
        <v>10</v>
      </c>
      <c r="H460">
        <v>10</v>
      </c>
      <c r="I460">
        <v>10</v>
      </c>
      <c r="J460">
        <v>100</v>
      </c>
      <c r="K460">
        <v>981</v>
      </c>
      <c r="L460">
        <v>1102</v>
      </c>
      <c r="M460">
        <v>1024</v>
      </c>
      <c r="N460">
        <v>941</v>
      </c>
      <c r="O460">
        <v>976</v>
      </c>
      <c r="P460">
        <v>882</v>
      </c>
      <c r="Q460">
        <v>956</v>
      </c>
      <c r="R460">
        <v>996</v>
      </c>
      <c r="S460">
        <v>1049</v>
      </c>
      <c r="T460">
        <v>1093</v>
      </c>
      <c r="U460">
        <v>980</v>
      </c>
      <c r="V460">
        <v>1135</v>
      </c>
      <c r="W460">
        <v>1032</v>
      </c>
      <c r="X460">
        <v>1010</v>
      </c>
      <c r="Y460">
        <v>982</v>
      </c>
      <c r="Z460">
        <v>892</v>
      </c>
      <c r="AA460">
        <v>958</v>
      </c>
      <c r="AB460">
        <v>1028</v>
      </c>
      <c r="AC460">
        <v>974</v>
      </c>
      <c r="AD460">
        <v>1009</v>
      </c>
      <c r="AE460">
        <v>953</v>
      </c>
      <c r="AF460">
        <v>0</v>
      </c>
      <c r="AG460">
        <v>1</v>
      </c>
      <c r="AH460">
        <v>0</v>
      </c>
      <c r="AI460">
        <v>1</v>
      </c>
      <c r="AJ460">
        <v>1</v>
      </c>
      <c r="AK460">
        <v>8</v>
      </c>
      <c r="AL460">
        <v>1</v>
      </c>
      <c r="AM460">
        <v>9</v>
      </c>
      <c r="AN460">
        <v>6</v>
      </c>
      <c r="AO460">
        <v>0</v>
      </c>
      <c r="AP460">
        <v>1094</v>
      </c>
      <c r="AQ460">
        <v>4</v>
      </c>
      <c r="AR460">
        <v>0</v>
      </c>
      <c r="AS460">
        <v>0</v>
      </c>
      <c r="AT460">
        <v>1</v>
      </c>
      <c r="AU460">
        <v>4</v>
      </c>
      <c r="AV460">
        <v>1</v>
      </c>
      <c r="AW460">
        <v>29</v>
      </c>
      <c r="AX460">
        <v>2</v>
      </c>
      <c r="AY460">
        <v>5</v>
      </c>
      <c r="AZ460">
        <v>1</v>
      </c>
      <c r="BA460">
        <v>992</v>
      </c>
      <c r="BB460">
        <v>2</v>
      </c>
      <c r="BC460">
        <v>4</v>
      </c>
      <c r="BD460">
        <v>1</v>
      </c>
      <c r="BE460">
        <v>4</v>
      </c>
      <c r="BF460">
        <v>14</v>
      </c>
      <c r="BG460">
        <v>7</v>
      </c>
      <c r="BH460">
        <v>2</v>
      </c>
      <c r="BI460">
        <v>2</v>
      </c>
      <c r="BJ460">
        <v>0</v>
      </c>
      <c r="BK460">
        <v>7</v>
      </c>
      <c r="BL460">
        <v>931</v>
      </c>
      <c r="BM460">
        <v>0</v>
      </c>
      <c r="BN460">
        <v>25</v>
      </c>
      <c r="BO460">
        <v>0</v>
      </c>
      <c r="BP460">
        <v>10</v>
      </c>
      <c r="BQ460">
        <v>17</v>
      </c>
      <c r="BR460">
        <v>18</v>
      </c>
      <c r="BS460">
        <v>0</v>
      </c>
      <c r="BT460">
        <v>0</v>
      </c>
      <c r="BU460">
        <v>0</v>
      </c>
      <c r="BV460">
        <v>0</v>
      </c>
      <c r="BW460">
        <v>961</v>
      </c>
      <c r="BX460">
        <v>0</v>
      </c>
      <c r="BY460">
        <v>2</v>
      </c>
      <c r="BZ460">
        <v>0</v>
      </c>
      <c r="CA460">
        <v>5</v>
      </c>
      <c r="CB460">
        <v>14</v>
      </c>
      <c r="CC460">
        <v>4</v>
      </c>
      <c r="CD460">
        <v>0</v>
      </c>
      <c r="CE460">
        <v>0</v>
      </c>
      <c r="CF460">
        <v>7</v>
      </c>
      <c r="CG460">
        <v>0</v>
      </c>
      <c r="CH460">
        <v>842</v>
      </c>
      <c r="CI460">
        <v>7</v>
      </c>
      <c r="CJ460">
        <v>1</v>
      </c>
      <c r="CK460">
        <v>14</v>
      </c>
      <c r="CL460">
        <v>17</v>
      </c>
      <c r="CM460">
        <v>6</v>
      </c>
      <c r="CN460">
        <v>3</v>
      </c>
      <c r="CO460">
        <v>2</v>
      </c>
      <c r="CP460">
        <v>0</v>
      </c>
      <c r="CQ460">
        <v>4</v>
      </c>
      <c r="CR460">
        <v>8</v>
      </c>
      <c r="CS460">
        <v>929</v>
      </c>
      <c r="CT460">
        <v>0</v>
      </c>
      <c r="CU460">
        <v>6</v>
      </c>
      <c r="CV460">
        <v>0</v>
      </c>
      <c r="CW460">
        <v>3</v>
      </c>
      <c r="CX460">
        <v>4</v>
      </c>
      <c r="CY460">
        <v>15</v>
      </c>
      <c r="CZ460">
        <v>0</v>
      </c>
      <c r="DA460">
        <v>3</v>
      </c>
      <c r="DB460">
        <v>0</v>
      </c>
      <c r="DC460">
        <v>0</v>
      </c>
      <c r="DD460">
        <v>962</v>
      </c>
      <c r="DE460">
        <v>7</v>
      </c>
      <c r="DF460">
        <v>34</v>
      </c>
      <c r="DG460">
        <v>6</v>
      </c>
      <c r="DH460">
        <v>0</v>
      </c>
      <c r="DI460">
        <v>2</v>
      </c>
      <c r="DJ460">
        <v>0</v>
      </c>
      <c r="DK460">
        <v>2</v>
      </c>
      <c r="DL460">
        <v>1</v>
      </c>
      <c r="DM460">
        <v>1</v>
      </c>
      <c r="DN460">
        <v>4</v>
      </c>
      <c r="DO460">
        <v>952</v>
      </c>
      <c r="DP460">
        <v>6</v>
      </c>
      <c r="DQ460">
        <v>2</v>
      </c>
      <c r="DR460">
        <v>0</v>
      </c>
      <c r="DS460">
        <v>1</v>
      </c>
      <c r="DT460">
        <v>1</v>
      </c>
      <c r="DU460">
        <v>1</v>
      </c>
      <c r="DV460">
        <v>3</v>
      </c>
      <c r="DW460">
        <v>1</v>
      </c>
      <c r="DX460">
        <v>3</v>
      </c>
      <c r="DY460">
        <v>3</v>
      </c>
      <c r="DZ460">
        <v>994</v>
      </c>
      <c r="EA460">
        <v>0.96099999999999997</v>
      </c>
      <c r="EB460">
        <v>0.96161762117906902</v>
      </c>
      <c r="EC460">
        <v>0.96099821729593404</v>
      </c>
      <c r="ED460">
        <v>0.96085699412132997</v>
      </c>
      <c r="EE460">
        <f>SUM(Table1[[#This Row],[ratio_0]:[ratio_9]])</f>
        <v>280</v>
      </c>
      <c r="EF460" s="1">
        <f>(Table1[[#This Row],[predicted_0]]-Table1[[#This Row],[actual_0]])/Table1[[#This Row],[actual_0]]</f>
        <v>1.0204081632653062E-3</v>
      </c>
      <c r="EG460" s="1">
        <f>(Table1[[#This Row],[predicted_1]]-Table1[[#This Row],[actual_1]])/Table1[[#This Row],[actual_1]]</f>
        <v>-2.9074889867841409E-2</v>
      </c>
      <c r="EH460" s="1">
        <f>(Table1[[#This Row],[predicted_2]]-Table1[[#This Row],[actual_2]])/Table1[[#This Row],[actual_2]]</f>
        <v>-7.7519379844961239E-3</v>
      </c>
      <c r="EI460" s="1">
        <f>(Table1[[#This Row],[predicted_3]]-Table1[[#This Row],[actual_3]])/Table1[[#This Row],[actual_3]]</f>
        <v>-6.8316831683168322E-2</v>
      </c>
      <c r="EJ460" s="1">
        <f>(Table1[[#This Row],[predicted_4]]-Table1[[#This Row],[actual_4]])/Table1[[#This Row],[actual_4]]</f>
        <v>-6.1099796334012219E-3</v>
      </c>
      <c r="EK460" s="1">
        <f>(Table1[[#This Row],[predicted_5]]-Table1[[#This Row],[actual_5]])/Table1[[#This Row],[actual_5]]</f>
        <v>-1.1210762331838564E-2</v>
      </c>
      <c r="EL460" s="1">
        <f>(Table1[[#This Row],[predicted_6]]-Table1[[#This Row],[actual_6]])/Table1[[#This Row],[actual_6]]</f>
        <v>-2.0876826722338203E-3</v>
      </c>
      <c r="EM460" s="1">
        <f>(Table1[[#This Row],[predicted_7]]-Table1[[#This Row],[actual_7]])/Table1[[#This Row],[actual_7]]</f>
        <v>-3.1128404669260701E-2</v>
      </c>
      <c r="EN460" s="1">
        <f>(Table1[[#This Row],[predicted_8]]-Table1[[#This Row],[actual_8]])/Table1[[#This Row],[actual_8]]</f>
        <v>7.7002053388090352E-2</v>
      </c>
      <c r="EO460" s="1">
        <f>(Table1[[#This Row],[predicted_9]]-Table1[[#This Row],[actual_9]])/Table1[[#This Row],[actual_9]]</f>
        <v>8.3250743310208125E-2</v>
      </c>
      <c r="EP460" s="1">
        <f>1+(Table1[[#This Row],[error_ratio_0]]-EF$2)</f>
        <v>0.99897959183673468</v>
      </c>
      <c r="EQ460" s="1">
        <f>1+(Table1[[#This Row],[error_ratio_1]]-EG$2)</f>
        <v>0.96916299559471364</v>
      </c>
      <c r="ER460" s="1">
        <f>1+(Table1[[#This Row],[error_ratio_2]]-EH$2)</f>
        <v>0.99709302325581395</v>
      </c>
      <c r="ES460" s="1">
        <f>1+(Table1[[#This Row],[error_ratio_3]]-EI$2)</f>
        <v>0.92178217821782182</v>
      </c>
      <c r="ET460" s="1">
        <f>1+(Table1[[#This Row],[error_ratio_4]]-EJ$2)</f>
        <v>0.99287169042769863</v>
      </c>
      <c r="EU460" s="1">
        <f>1+(Table1[[#This Row],[error_ratio_5]]-EK$2)</f>
        <v>0.9876681614349776</v>
      </c>
      <c r="EV460" s="1">
        <f>1+(Table1[[#This Row],[error_ratio_6]]-EL$2)</f>
        <v>1.0041753653444676</v>
      </c>
      <c r="EW460" s="1">
        <f>1+(Table1[[#This Row],[error_ratio_7]]-EM$2)</f>
        <v>0.96692607003891051</v>
      </c>
      <c r="EX460" s="1">
        <f>1+(Table1[[#This Row],[error_ratio_8]]-EN$2)</f>
        <v>1.0800821355236139</v>
      </c>
      <c r="EY460" s="1">
        <f>1+(Table1[[#This Row],[error_ratio_9]]-EO$2)</f>
        <v>1.0872150644202181</v>
      </c>
    </row>
    <row r="461" spans="1:155" x14ac:dyDescent="0.75">
      <c r="A461">
        <v>100</v>
      </c>
      <c r="B461">
        <v>100</v>
      </c>
      <c r="C461">
        <v>100</v>
      </c>
      <c r="D461">
        <v>100</v>
      </c>
      <c r="E461">
        <v>10</v>
      </c>
      <c r="F461">
        <v>10</v>
      </c>
      <c r="G461">
        <v>10</v>
      </c>
      <c r="H461">
        <v>10</v>
      </c>
      <c r="I461">
        <v>10</v>
      </c>
      <c r="J461">
        <v>100</v>
      </c>
      <c r="K461">
        <v>1017</v>
      </c>
      <c r="L461">
        <v>1150</v>
      </c>
      <c r="M461">
        <v>1077</v>
      </c>
      <c r="N461">
        <v>1032</v>
      </c>
      <c r="O461">
        <v>814</v>
      </c>
      <c r="P461">
        <v>859</v>
      </c>
      <c r="Q461">
        <v>897</v>
      </c>
      <c r="R461">
        <v>1020</v>
      </c>
      <c r="S461">
        <v>906</v>
      </c>
      <c r="T461">
        <v>1228</v>
      </c>
      <c r="U461">
        <v>980</v>
      </c>
      <c r="V461">
        <v>1135</v>
      </c>
      <c r="W461">
        <v>1032</v>
      </c>
      <c r="X461">
        <v>1010</v>
      </c>
      <c r="Y461">
        <v>982</v>
      </c>
      <c r="Z461">
        <v>892</v>
      </c>
      <c r="AA461">
        <v>958</v>
      </c>
      <c r="AB461">
        <v>1028</v>
      </c>
      <c r="AC461">
        <v>974</v>
      </c>
      <c r="AD461">
        <v>1009</v>
      </c>
      <c r="AE461">
        <v>970</v>
      </c>
      <c r="AF461">
        <v>1</v>
      </c>
      <c r="AG461">
        <v>1</v>
      </c>
      <c r="AH461">
        <v>0</v>
      </c>
      <c r="AI461">
        <v>0</v>
      </c>
      <c r="AJ461">
        <v>0</v>
      </c>
      <c r="AK461">
        <v>0</v>
      </c>
      <c r="AL461">
        <v>2</v>
      </c>
      <c r="AM461">
        <v>2</v>
      </c>
      <c r="AN461">
        <v>4</v>
      </c>
      <c r="AO461">
        <v>0</v>
      </c>
      <c r="AP461">
        <v>1133</v>
      </c>
      <c r="AQ461">
        <v>1</v>
      </c>
      <c r="AR461">
        <v>0</v>
      </c>
      <c r="AS461">
        <v>0</v>
      </c>
      <c r="AT461">
        <v>0</v>
      </c>
      <c r="AU461">
        <v>0</v>
      </c>
      <c r="AV461">
        <v>1</v>
      </c>
      <c r="AW461">
        <v>0</v>
      </c>
      <c r="AX461">
        <v>0</v>
      </c>
      <c r="AY461">
        <v>1</v>
      </c>
      <c r="AZ461">
        <v>0</v>
      </c>
      <c r="BA461">
        <v>1023</v>
      </c>
      <c r="BB461">
        <v>0</v>
      </c>
      <c r="BC461">
        <v>0</v>
      </c>
      <c r="BD461">
        <v>0</v>
      </c>
      <c r="BE461">
        <v>0</v>
      </c>
      <c r="BF461">
        <v>7</v>
      </c>
      <c r="BG461">
        <v>0</v>
      </c>
      <c r="BH461">
        <v>1</v>
      </c>
      <c r="BI461">
        <v>0</v>
      </c>
      <c r="BJ461">
        <v>0</v>
      </c>
      <c r="BK461">
        <v>2</v>
      </c>
      <c r="BL461">
        <v>997</v>
      </c>
      <c r="BM461">
        <v>0</v>
      </c>
      <c r="BN461">
        <v>2</v>
      </c>
      <c r="BO461">
        <v>0</v>
      </c>
      <c r="BP461">
        <v>4</v>
      </c>
      <c r="BQ461">
        <v>1</v>
      </c>
      <c r="BR461">
        <v>4</v>
      </c>
      <c r="BS461">
        <v>1</v>
      </c>
      <c r="BT461">
        <v>0</v>
      </c>
      <c r="BU461">
        <v>11</v>
      </c>
      <c r="BV461">
        <v>0</v>
      </c>
      <c r="BW461">
        <v>809</v>
      </c>
      <c r="BX461">
        <v>0</v>
      </c>
      <c r="BY461">
        <v>2</v>
      </c>
      <c r="BZ461">
        <v>1</v>
      </c>
      <c r="CA461">
        <v>1</v>
      </c>
      <c r="CB461">
        <v>157</v>
      </c>
      <c r="CC461">
        <v>5</v>
      </c>
      <c r="CD461">
        <v>0</v>
      </c>
      <c r="CE461">
        <v>1</v>
      </c>
      <c r="CF461">
        <v>17</v>
      </c>
      <c r="CG461">
        <v>0</v>
      </c>
      <c r="CH461">
        <v>846</v>
      </c>
      <c r="CI461">
        <v>1</v>
      </c>
      <c r="CJ461">
        <v>1</v>
      </c>
      <c r="CK461">
        <v>6</v>
      </c>
      <c r="CL461">
        <v>15</v>
      </c>
      <c r="CM461">
        <v>33</v>
      </c>
      <c r="CN461">
        <v>8</v>
      </c>
      <c r="CO461">
        <v>5</v>
      </c>
      <c r="CP461">
        <v>0</v>
      </c>
      <c r="CQ461">
        <v>2</v>
      </c>
      <c r="CR461">
        <v>9</v>
      </c>
      <c r="CS461">
        <v>893</v>
      </c>
      <c r="CT461">
        <v>0</v>
      </c>
      <c r="CU461">
        <v>7</v>
      </c>
      <c r="CV461">
        <v>1</v>
      </c>
      <c r="CW461">
        <v>1</v>
      </c>
      <c r="CX461">
        <v>3</v>
      </c>
      <c r="CY461">
        <v>18</v>
      </c>
      <c r="CZ461">
        <v>5</v>
      </c>
      <c r="DA461">
        <v>0</v>
      </c>
      <c r="DB461">
        <v>0</v>
      </c>
      <c r="DC461">
        <v>0</v>
      </c>
      <c r="DD461">
        <v>986</v>
      </c>
      <c r="DE461">
        <v>1</v>
      </c>
      <c r="DF461">
        <v>14</v>
      </c>
      <c r="DG461">
        <v>4</v>
      </c>
      <c r="DH461">
        <v>2</v>
      </c>
      <c r="DI461">
        <v>14</v>
      </c>
      <c r="DJ461">
        <v>11</v>
      </c>
      <c r="DK461">
        <v>2</v>
      </c>
      <c r="DL461">
        <v>1</v>
      </c>
      <c r="DM461">
        <v>1</v>
      </c>
      <c r="DN461">
        <v>14</v>
      </c>
      <c r="DO461">
        <v>888</v>
      </c>
      <c r="DP461">
        <v>37</v>
      </c>
      <c r="DQ461">
        <v>2</v>
      </c>
      <c r="DR461">
        <v>3</v>
      </c>
      <c r="DS461">
        <v>1</v>
      </c>
      <c r="DT461">
        <v>2</v>
      </c>
      <c r="DU461">
        <v>1</v>
      </c>
      <c r="DV461">
        <v>1</v>
      </c>
      <c r="DW461">
        <v>0</v>
      </c>
      <c r="DX461">
        <v>4</v>
      </c>
      <c r="DY461">
        <v>0</v>
      </c>
      <c r="DZ461">
        <v>995</v>
      </c>
      <c r="EA461">
        <v>0.95399999999999996</v>
      </c>
      <c r="EB461">
        <v>0.95862730426739595</v>
      </c>
      <c r="EC461">
        <v>0.95278244705663895</v>
      </c>
      <c r="ED461">
        <v>0.95369185561540304</v>
      </c>
      <c r="EE461">
        <f>SUM(Table1[[#This Row],[ratio_0]:[ratio_9]])</f>
        <v>550</v>
      </c>
      <c r="EF461" s="1">
        <f>(Table1[[#This Row],[predicted_0]]-Table1[[#This Row],[actual_0]])/Table1[[#This Row],[actual_0]]</f>
        <v>3.7755102040816328E-2</v>
      </c>
      <c r="EG461" s="1">
        <f>(Table1[[#This Row],[predicted_1]]-Table1[[#This Row],[actual_1]])/Table1[[#This Row],[actual_1]]</f>
        <v>1.3215859030837005E-2</v>
      </c>
      <c r="EH461" s="1">
        <f>(Table1[[#This Row],[predicted_2]]-Table1[[#This Row],[actual_2]])/Table1[[#This Row],[actual_2]]</f>
        <v>4.3604651162790699E-2</v>
      </c>
      <c r="EI461" s="1">
        <f>(Table1[[#This Row],[predicted_3]]-Table1[[#This Row],[actual_3]])/Table1[[#This Row],[actual_3]]</f>
        <v>2.1782178217821781E-2</v>
      </c>
      <c r="EJ461" s="1">
        <f>(Table1[[#This Row],[predicted_4]]-Table1[[#This Row],[actual_4]])/Table1[[#This Row],[actual_4]]</f>
        <v>-0.17107942973523421</v>
      </c>
      <c r="EK461" s="1">
        <f>(Table1[[#This Row],[predicted_5]]-Table1[[#This Row],[actual_5]])/Table1[[#This Row],[actual_5]]</f>
        <v>-3.6995515695067267E-2</v>
      </c>
      <c r="EL461" s="1">
        <f>(Table1[[#This Row],[predicted_6]]-Table1[[#This Row],[actual_6]])/Table1[[#This Row],[actual_6]]</f>
        <v>-6.3674321503131528E-2</v>
      </c>
      <c r="EM461" s="1">
        <f>(Table1[[#This Row],[predicted_7]]-Table1[[#This Row],[actual_7]])/Table1[[#This Row],[actual_7]]</f>
        <v>-7.7821011673151752E-3</v>
      </c>
      <c r="EN461" s="1">
        <f>(Table1[[#This Row],[predicted_8]]-Table1[[#This Row],[actual_8]])/Table1[[#This Row],[actual_8]]</f>
        <v>-6.9815195071868577E-2</v>
      </c>
      <c r="EO461" s="1">
        <f>(Table1[[#This Row],[predicted_9]]-Table1[[#This Row],[actual_9]])/Table1[[#This Row],[actual_9]]</f>
        <v>0.21704658077304262</v>
      </c>
      <c r="EP461" s="1">
        <f>1+(Table1[[#This Row],[error_ratio_0]]-EF$2)</f>
        <v>1.0357142857142858</v>
      </c>
      <c r="EQ461" s="1">
        <f>1+(Table1[[#This Row],[error_ratio_1]]-EG$2)</f>
        <v>1.011453744493392</v>
      </c>
      <c r="ER461" s="1">
        <f>1+(Table1[[#This Row],[error_ratio_2]]-EH$2)</f>
        <v>1.0484496124031009</v>
      </c>
      <c r="ES461" s="1">
        <f>1+(Table1[[#This Row],[error_ratio_3]]-EI$2)</f>
        <v>1.0118811881188119</v>
      </c>
      <c r="ET461" s="1">
        <f>1+(Table1[[#This Row],[error_ratio_4]]-EJ$2)</f>
        <v>0.82790224032586557</v>
      </c>
      <c r="EU461" s="1">
        <f>1+(Table1[[#This Row],[error_ratio_5]]-EK$2)</f>
        <v>0.96188340807174888</v>
      </c>
      <c r="EV461" s="1">
        <f>1+(Table1[[#This Row],[error_ratio_6]]-EL$2)</f>
        <v>0.94258872651356995</v>
      </c>
      <c r="EW461" s="1">
        <f>1+(Table1[[#This Row],[error_ratio_7]]-EM$2)</f>
        <v>0.99027237354085607</v>
      </c>
      <c r="EX461" s="1">
        <f>1+(Table1[[#This Row],[error_ratio_8]]-EN$2)</f>
        <v>0.93326488706365507</v>
      </c>
      <c r="EY461" s="1">
        <f>1+(Table1[[#This Row],[error_ratio_9]]-EO$2)</f>
        <v>1.2210109018830526</v>
      </c>
    </row>
    <row r="462" spans="1:155" x14ac:dyDescent="0.75">
      <c r="A462">
        <v>10</v>
      </c>
      <c r="B462">
        <v>100</v>
      </c>
      <c r="C462">
        <v>100</v>
      </c>
      <c r="D462">
        <v>100</v>
      </c>
      <c r="E462">
        <v>10</v>
      </c>
      <c r="F462">
        <v>10</v>
      </c>
      <c r="G462">
        <v>10</v>
      </c>
      <c r="H462">
        <v>10</v>
      </c>
      <c r="I462">
        <v>10</v>
      </c>
      <c r="J462">
        <v>100</v>
      </c>
      <c r="K462">
        <v>1003</v>
      </c>
      <c r="L462">
        <v>1169</v>
      </c>
      <c r="M462">
        <v>1146</v>
      </c>
      <c r="N462">
        <v>1062</v>
      </c>
      <c r="O462">
        <v>863</v>
      </c>
      <c r="P462">
        <v>898</v>
      </c>
      <c r="Q462">
        <v>916</v>
      </c>
      <c r="R462">
        <v>851</v>
      </c>
      <c r="S462">
        <v>899</v>
      </c>
      <c r="T462">
        <v>1193</v>
      </c>
      <c r="U462">
        <v>980</v>
      </c>
      <c r="V462">
        <v>1135</v>
      </c>
      <c r="W462">
        <v>1032</v>
      </c>
      <c r="X462">
        <v>1010</v>
      </c>
      <c r="Y462">
        <v>982</v>
      </c>
      <c r="Z462">
        <v>892</v>
      </c>
      <c r="AA462">
        <v>958</v>
      </c>
      <c r="AB462">
        <v>1028</v>
      </c>
      <c r="AC462">
        <v>974</v>
      </c>
      <c r="AD462">
        <v>1009</v>
      </c>
      <c r="AE462">
        <v>961</v>
      </c>
      <c r="AF462">
        <v>0</v>
      </c>
      <c r="AG462">
        <v>2</v>
      </c>
      <c r="AH462">
        <v>1</v>
      </c>
      <c r="AI462">
        <v>0</v>
      </c>
      <c r="AJ462">
        <v>1</v>
      </c>
      <c r="AK462">
        <v>0</v>
      </c>
      <c r="AL462">
        <v>1</v>
      </c>
      <c r="AM462">
        <v>3</v>
      </c>
      <c r="AN462">
        <v>11</v>
      </c>
      <c r="AO462">
        <v>0</v>
      </c>
      <c r="AP462">
        <v>1131</v>
      </c>
      <c r="AQ462">
        <v>4</v>
      </c>
      <c r="AR462">
        <v>0</v>
      </c>
      <c r="AS462">
        <v>0</v>
      </c>
      <c r="AT462">
        <v>0</v>
      </c>
      <c r="AU462">
        <v>0</v>
      </c>
      <c r="AV462">
        <v>0</v>
      </c>
      <c r="AW462">
        <v>0</v>
      </c>
      <c r="AX462">
        <v>0</v>
      </c>
      <c r="AY462">
        <v>0</v>
      </c>
      <c r="AZ462">
        <v>1</v>
      </c>
      <c r="BA462">
        <v>1028</v>
      </c>
      <c r="BB462">
        <v>1</v>
      </c>
      <c r="BC462">
        <v>0</v>
      </c>
      <c r="BD462">
        <v>0</v>
      </c>
      <c r="BE462">
        <v>0</v>
      </c>
      <c r="BF462">
        <v>0</v>
      </c>
      <c r="BG462">
        <v>1</v>
      </c>
      <c r="BH462">
        <v>1</v>
      </c>
      <c r="BI462">
        <v>1</v>
      </c>
      <c r="BJ462">
        <v>0</v>
      </c>
      <c r="BK462">
        <v>4</v>
      </c>
      <c r="BL462">
        <v>999</v>
      </c>
      <c r="BM462">
        <v>0</v>
      </c>
      <c r="BN462">
        <v>3</v>
      </c>
      <c r="BO462">
        <v>0</v>
      </c>
      <c r="BP462">
        <v>0</v>
      </c>
      <c r="BQ462">
        <v>0</v>
      </c>
      <c r="BR462">
        <v>3</v>
      </c>
      <c r="BS462">
        <v>1</v>
      </c>
      <c r="BT462">
        <v>3</v>
      </c>
      <c r="BU462">
        <v>8</v>
      </c>
      <c r="BV462">
        <v>2</v>
      </c>
      <c r="BW462">
        <v>851</v>
      </c>
      <c r="BX462">
        <v>0</v>
      </c>
      <c r="BY462">
        <v>6</v>
      </c>
      <c r="BZ462">
        <v>0</v>
      </c>
      <c r="CA462">
        <v>2</v>
      </c>
      <c r="CB462">
        <v>109</v>
      </c>
      <c r="CC462">
        <v>3</v>
      </c>
      <c r="CD462">
        <v>1</v>
      </c>
      <c r="CE462">
        <v>1</v>
      </c>
      <c r="CF462">
        <v>24</v>
      </c>
      <c r="CG462">
        <v>0</v>
      </c>
      <c r="CH462">
        <v>858</v>
      </c>
      <c r="CI462">
        <v>2</v>
      </c>
      <c r="CJ462">
        <v>1</v>
      </c>
      <c r="CK462">
        <v>0</v>
      </c>
      <c r="CL462">
        <v>2</v>
      </c>
      <c r="CM462">
        <v>24</v>
      </c>
      <c r="CN462">
        <v>7</v>
      </c>
      <c r="CO462">
        <v>7</v>
      </c>
      <c r="CP462">
        <v>1</v>
      </c>
      <c r="CQ462">
        <v>2</v>
      </c>
      <c r="CR462">
        <v>11</v>
      </c>
      <c r="CS462">
        <v>904</v>
      </c>
      <c r="CT462">
        <v>0</v>
      </c>
      <c r="CU462">
        <v>2</v>
      </c>
      <c r="CV462">
        <v>0</v>
      </c>
      <c r="CW462">
        <v>2</v>
      </c>
      <c r="CX462">
        <v>21</v>
      </c>
      <c r="CY462">
        <v>72</v>
      </c>
      <c r="CZ462">
        <v>12</v>
      </c>
      <c r="DA462">
        <v>10</v>
      </c>
      <c r="DB462">
        <v>0</v>
      </c>
      <c r="DC462">
        <v>0</v>
      </c>
      <c r="DD462">
        <v>846</v>
      </c>
      <c r="DE462">
        <v>8</v>
      </c>
      <c r="DF462">
        <v>57</v>
      </c>
      <c r="DG462">
        <v>10</v>
      </c>
      <c r="DH462">
        <v>4</v>
      </c>
      <c r="DI462">
        <v>19</v>
      </c>
      <c r="DJ462">
        <v>20</v>
      </c>
      <c r="DK462">
        <v>0</v>
      </c>
      <c r="DL462">
        <v>21</v>
      </c>
      <c r="DM462">
        <v>4</v>
      </c>
      <c r="DN462">
        <v>3</v>
      </c>
      <c r="DO462">
        <v>882</v>
      </c>
      <c r="DP462">
        <v>11</v>
      </c>
      <c r="DQ462">
        <v>1</v>
      </c>
      <c r="DR462">
        <v>1</v>
      </c>
      <c r="DS462">
        <v>1</v>
      </c>
      <c r="DT462">
        <v>2</v>
      </c>
      <c r="DU462">
        <v>0</v>
      </c>
      <c r="DV462">
        <v>4</v>
      </c>
      <c r="DW462">
        <v>0</v>
      </c>
      <c r="DX462">
        <v>0</v>
      </c>
      <c r="DY462">
        <v>1</v>
      </c>
      <c r="DZ462">
        <v>999</v>
      </c>
      <c r="EA462">
        <v>0.94589999999999996</v>
      </c>
      <c r="EB462">
        <v>0.95043808869567004</v>
      </c>
      <c r="EC462">
        <v>0.94530262551599098</v>
      </c>
      <c r="ED462">
        <v>0.945485456015565</v>
      </c>
      <c r="EE462">
        <f>SUM(Table1[[#This Row],[ratio_0]:[ratio_9]])</f>
        <v>460</v>
      </c>
      <c r="EF462" s="1">
        <f>(Table1[[#This Row],[predicted_0]]-Table1[[#This Row],[actual_0]])/Table1[[#This Row],[actual_0]]</f>
        <v>2.3469387755102041E-2</v>
      </c>
      <c r="EG462" s="1">
        <f>(Table1[[#This Row],[predicted_1]]-Table1[[#This Row],[actual_1]])/Table1[[#This Row],[actual_1]]</f>
        <v>2.9955947136563875E-2</v>
      </c>
      <c r="EH462" s="1">
        <f>(Table1[[#This Row],[predicted_2]]-Table1[[#This Row],[actual_2]])/Table1[[#This Row],[actual_2]]</f>
        <v>0.11046511627906977</v>
      </c>
      <c r="EI462" s="1">
        <f>(Table1[[#This Row],[predicted_3]]-Table1[[#This Row],[actual_3]])/Table1[[#This Row],[actual_3]]</f>
        <v>5.1485148514851482E-2</v>
      </c>
      <c r="EJ462" s="1">
        <f>(Table1[[#This Row],[predicted_4]]-Table1[[#This Row],[actual_4]])/Table1[[#This Row],[actual_4]]</f>
        <v>-0.12118126272912423</v>
      </c>
      <c r="EK462" s="1">
        <f>(Table1[[#This Row],[predicted_5]]-Table1[[#This Row],[actual_5]])/Table1[[#This Row],[actual_5]]</f>
        <v>6.7264573991031393E-3</v>
      </c>
      <c r="EL462" s="1">
        <f>(Table1[[#This Row],[predicted_6]]-Table1[[#This Row],[actual_6]])/Table1[[#This Row],[actual_6]]</f>
        <v>-4.3841336116910233E-2</v>
      </c>
      <c r="EM462" s="1">
        <f>(Table1[[#This Row],[predicted_7]]-Table1[[#This Row],[actual_7]])/Table1[[#This Row],[actual_7]]</f>
        <v>-0.17217898832684825</v>
      </c>
      <c r="EN462" s="1">
        <f>(Table1[[#This Row],[predicted_8]]-Table1[[#This Row],[actual_8]])/Table1[[#This Row],[actual_8]]</f>
        <v>-7.7002053388090352E-2</v>
      </c>
      <c r="EO462" s="1">
        <f>(Table1[[#This Row],[predicted_9]]-Table1[[#This Row],[actual_9]])/Table1[[#This Row],[actual_9]]</f>
        <v>0.18235877106045589</v>
      </c>
      <c r="EP462" s="1">
        <f>1+(Table1[[#This Row],[error_ratio_0]]-EF$2)</f>
        <v>1.0214285714285714</v>
      </c>
      <c r="EQ462" s="1">
        <f>1+(Table1[[#This Row],[error_ratio_1]]-EG$2)</f>
        <v>1.0281938325991189</v>
      </c>
      <c r="ER462" s="1">
        <f>1+(Table1[[#This Row],[error_ratio_2]]-EH$2)</f>
        <v>1.1153100775193798</v>
      </c>
      <c r="ES462" s="1">
        <f>1+(Table1[[#This Row],[error_ratio_3]]-EI$2)</f>
        <v>1.0415841584158416</v>
      </c>
      <c r="ET462" s="1">
        <f>1+(Table1[[#This Row],[error_ratio_4]]-EJ$2)</f>
        <v>0.87780040733197562</v>
      </c>
      <c r="EU462" s="1">
        <f>1+(Table1[[#This Row],[error_ratio_5]]-EK$2)</f>
        <v>1.0056053811659194</v>
      </c>
      <c r="EV462" s="1">
        <f>1+(Table1[[#This Row],[error_ratio_6]]-EL$2)</f>
        <v>0.9624217118997912</v>
      </c>
      <c r="EW462" s="1">
        <f>1+(Table1[[#This Row],[error_ratio_7]]-EM$2)</f>
        <v>0.82587548638132291</v>
      </c>
      <c r="EX462" s="1">
        <f>1+(Table1[[#This Row],[error_ratio_8]]-EN$2)</f>
        <v>0.92607802874743328</v>
      </c>
      <c r="EY462" s="1">
        <f>1+(Table1[[#This Row],[error_ratio_9]]-EO$2)</f>
        <v>1.1863230921704657</v>
      </c>
    </row>
    <row r="463" spans="1:155" x14ac:dyDescent="0.75">
      <c r="A463">
        <v>100</v>
      </c>
      <c r="B463">
        <v>10</v>
      </c>
      <c r="C463">
        <v>100</v>
      </c>
      <c r="D463">
        <v>100</v>
      </c>
      <c r="E463">
        <v>10</v>
      </c>
      <c r="F463">
        <v>10</v>
      </c>
      <c r="G463">
        <v>10</v>
      </c>
      <c r="H463">
        <v>10</v>
      </c>
      <c r="I463">
        <v>10</v>
      </c>
      <c r="J463">
        <v>100</v>
      </c>
      <c r="K463">
        <v>1005</v>
      </c>
      <c r="L463">
        <v>1115</v>
      </c>
      <c r="M463">
        <v>1143</v>
      </c>
      <c r="N463">
        <v>1070</v>
      </c>
      <c r="O463">
        <v>861</v>
      </c>
      <c r="P463">
        <v>949</v>
      </c>
      <c r="Q463">
        <v>858</v>
      </c>
      <c r="R463">
        <v>948</v>
      </c>
      <c r="S463">
        <v>872</v>
      </c>
      <c r="T463">
        <v>1179</v>
      </c>
      <c r="U463">
        <v>980</v>
      </c>
      <c r="V463">
        <v>1135</v>
      </c>
      <c r="W463">
        <v>1032</v>
      </c>
      <c r="X463">
        <v>1010</v>
      </c>
      <c r="Y463">
        <v>982</v>
      </c>
      <c r="Z463">
        <v>892</v>
      </c>
      <c r="AA463">
        <v>958</v>
      </c>
      <c r="AB463">
        <v>1028</v>
      </c>
      <c r="AC463">
        <v>974</v>
      </c>
      <c r="AD463">
        <v>1009</v>
      </c>
      <c r="AE463">
        <v>969</v>
      </c>
      <c r="AF463">
        <v>0</v>
      </c>
      <c r="AG463">
        <v>2</v>
      </c>
      <c r="AH463">
        <v>0</v>
      </c>
      <c r="AI463">
        <v>0</v>
      </c>
      <c r="AJ463">
        <v>6</v>
      </c>
      <c r="AK463">
        <v>0</v>
      </c>
      <c r="AL463">
        <v>1</v>
      </c>
      <c r="AM463">
        <v>2</v>
      </c>
      <c r="AN463">
        <v>0</v>
      </c>
      <c r="AO463">
        <v>0</v>
      </c>
      <c r="AP463">
        <v>1109</v>
      </c>
      <c r="AQ463">
        <v>9</v>
      </c>
      <c r="AR463">
        <v>0</v>
      </c>
      <c r="AS463">
        <v>0</v>
      </c>
      <c r="AT463">
        <v>2</v>
      </c>
      <c r="AU463">
        <v>0</v>
      </c>
      <c r="AV463">
        <v>0</v>
      </c>
      <c r="AW463">
        <v>14</v>
      </c>
      <c r="AX463">
        <v>1</v>
      </c>
      <c r="AY463">
        <v>1</v>
      </c>
      <c r="AZ463">
        <v>0</v>
      </c>
      <c r="BA463">
        <v>1025</v>
      </c>
      <c r="BB463">
        <v>1</v>
      </c>
      <c r="BC463">
        <v>0</v>
      </c>
      <c r="BD463">
        <v>1</v>
      </c>
      <c r="BE463">
        <v>0</v>
      </c>
      <c r="BF463">
        <v>4</v>
      </c>
      <c r="BG463">
        <v>0</v>
      </c>
      <c r="BH463">
        <v>0</v>
      </c>
      <c r="BI463">
        <v>0</v>
      </c>
      <c r="BJ463">
        <v>0</v>
      </c>
      <c r="BK463">
        <v>5</v>
      </c>
      <c r="BL463">
        <v>992</v>
      </c>
      <c r="BM463">
        <v>0</v>
      </c>
      <c r="BN463">
        <v>9</v>
      </c>
      <c r="BO463">
        <v>0</v>
      </c>
      <c r="BP463">
        <v>3</v>
      </c>
      <c r="BQ463">
        <v>0</v>
      </c>
      <c r="BR463">
        <v>1</v>
      </c>
      <c r="BS463">
        <v>5</v>
      </c>
      <c r="BT463">
        <v>0</v>
      </c>
      <c r="BU463">
        <v>6</v>
      </c>
      <c r="BV463">
        <v>0</v>
      </c>
      <c r="BW463">
        <v>850</v>
      </c>
      <c r="BX463">
        <v>1</v>
      </c>
      <c r="BY463">
        <v>2</v>
      </c>
      <c r="BZ463">
        <v>0</v>
      </c>
      <c r="CA463">
        <v>1</v>
      </c>
      <c r="CB463">
        <v>117</v>
      </c>
      <c r="CC463">
        <v>0</v>
      </c>
      <c r="CD463">
        <v>0</v>
      </c>
      <c r="CE463">
        <v>2</v>
      </c>
      <c r="CF463">
        <v>22</v>
      </c>
      <c r="CG463">
        <v>0</v>
      </c>
      <c r="CH463">
        <v>858</v>
      </c>
      <c r="CI463">
        <v>0</v>
      </c>
      <c r="CJ463">
        <v>1</v>
      </c>
      <c r="CK463">
        <v>1</v>
      </c>
      <c r="CL463">
        <v>8</v>
      </c>
      <c r="CM463">
        <v>25</v>
      </c>
      <c r="CN463">
        <v>3</v>
      </c>
      <c r="CO463">
        <v>19</v>
      </c>
      <c r="CP463">
        <v>0</v>
      </c>
      <c r="CQ463">
        <v>6</v>
      </c>
      <c r="CR463">
        <v>40</v>
      </c>
      <c r="CS463">
        <v>856</v>
      </c>
      <c r="CT463">
        <v>0</v>
      </c>
      <c r="CU463">
        <v>7</v>
      </c>
      <c r="CV463">
        <v>2</v>
      </c>
      <c r="CW463">
        <v>0</v>
      </c>
      <c r="CX463">
        <v>1</v>
      </c>
      <c r="CY463">
        <v>40</v>
      </c>
      <c r="CZ463">
        <v>10</v>
      </c>
      <c r="DA463">
        <v>3</v>
      </c>
      <c r="DB463">
        <v>3</v>
      </c>
      <c r="DC463">
        <v>0</v>
      </c>
      <c r="DD463">
        <v>931</v>
      </c>
      <c r="DE463">
        <v>2</v>
      </c>
      <c r="DF463">
        <v>38</v>
      </c>
      <c r="DG463">
        <v>3</v>
      </c>
      <c r="DH463">
        <v>0</v>
      </c>
      <c r="DI463">
        <v>33</v>
      </c>
      <c r="DJ463">
        <v>41</v>
      </c>
      <c r="DK463">
        <v>1</v>
      </c>
      <c r="DL463">
        <v>26</v>
      </c>
      <c r="DM463">
        <v>0</v>
      </c>
      <c r="DN463">
        <v>7</v>
      </c>
      <c r="DO463">
        <v>845</v>
      </c>
      <c r="DP463">
        <v>18</v>
      </c>
      <c r="DQ463">
        <v>2</v>
      </c>
      <c r="DR463">
        <v>2</v>
      </c>
      <c r="DS463">
        <v>2</v>
      </c>
      <c r="DT463">
        <v>4</v>
      </c>
      <c r="DU463">
        <v>1</v>
      </c>
      <c r="DV463">
        <v>3</v>
      </c>
      <c r="DW463">
        <v>0</v>
      </c>
      <c r="DX463">
        <v>1</v>
      </c>
      <c r="DY463">
        <v>0</v>
      </c>
      <c r="DZ463">
        <v>994</v>
      </c>
      <c r="EA463">
        <v>0.94289999999999996</v>
      </c>
      <c r="EB463">
        <v>0.94658579615670801</v>
      </c>
      <c r="EC463">
        <v>0.94205876205118899</v>
      </c>
      <c r="ED463">
        <v>0.94221105687207096</v>
      </c>
      <c r="EE463">
        <f>SUM(Table1[[#This Row],[ratio_0]:[ratio_9]])</f>
        <v>460</v>
      </c>
      <c r="EF463" s="1">
        <f>(Table1[[#This Row],[predicted_0]]-Table1[[#This Row],[actual_0]])/Table1[[#This Row],[actual_0]]</f>
        <v>2.5510204081632654E-2</v>
      </c>
      <c r="EG463" s="1">
        <f>(Table1[[#This Row],[predicted_1]]-Table1[[#This Row],[actual_1]])/Table1[[#This Row],[actual_1]]</f>
        <v>-1.7621145374449341E-2</v>
      </c>
      <c r="EH463" s="1">
        <f>(Table1[[#This Row],[predicted_2]]-Table1[[#This Row],[actual_2]])/Table1[[#This Row],[actual_2]]</f>
        <v>0.10755813953488372</v>
      </c>
      <c r="EI463" s="1">
        <f>(Table1[[#This Row],[predicted_3]]-Table1[[#This Row],[actual_3]])/Table1[[#This Row],[actual_3]]</f>
        <v>5.9405940594059403E-2</v>
      </c>
      <c r="EJ463" s="1">
        <f>(Table1[[#This Row],[predicted_4]]-Table1[[#This Row],[actual_4]])/Table1[[#This Row],[actual_4]]</f>
        <v>-0.12321792260692464</v>
      </c>
      <c r="EK463" s="1">
        <f>(Table1[[#This Row],[predicted_5]]-Table1[[#This Row],[actual_5]])/Table1[[#This Row],[actual_5]]</f>
        <v>6.3901345291479825E-2</v>
      </c>
      <c r="EL463" s="1">
        <f>(Table1[[#This Row],[predicted_6]]-Table1[[#This Row],[actual_6]])/Table1[[#This Row],[actual_6]]</f>
        <v>-0.10438413361169102</v>
      </c>
      <c r="EM463" s="1">
        <f>(Table1[[#This Row],[predicted_7]]-Table1[[#This Row],[actual_7]])/Table1[[#This Row],[actual_7]]</f>
        <v>-7.7821011673151752E-2</v>
      </c>
      <c r="EN463" s="1">
        <f>(Table1[[#This Row],[predicted_8]]-Table1[[#This Row],[actual_8]])/Table1[[#This Row],[actual_8]]</f>
        <v>-0.10472279260780287</v>
      </c>
      <c r="EO463" s="1">
        <f>(Table1[[#This Row],[predicted_9]]-Table1[[#This Row],[actual_9]])/Table1[[#This Row],[actual_9]]</f>
        <v>0.16848364717542122</v>
      </c>
      <c r="EP463" s="1">
        <f>1+(Table1[[#This Row],[error_ratio_0]]-EF$2)</f>
        <v>1.023469387755102</v>
      </c>
      <c r="EQ463" s="1">
        <f>1+(Table1[[#This Row],[error_ratio_1]]-EG$2)</f>
        <v>0.98061674008810573</v>
      </c>
      <c r="ER463" s="1">
        <f>1+(Table1[[#This Row],[error_ratio_2]]-EH$2)</f>
        <v>1.1124031007751938</v>
      </c>
      <c r="ES463" s="1">
        <f>1+(Table1[[#This Row],[error_ratio_3]]-EI$2)</f>
        <v>1.0495049504950495</v>
      </c>
      <c r="ET463" s="1">
        <f>1+(Table1[[#This Row],[error_ratio_4]]-EJ$2)</f>
        <v>0.87576374745417518</v>
      </c>
      <c r="EU463" s="1">
        <f>1+(Table1[[#This Row],[error_ratio_5]]-EK$2)</f>
        <v>1.0627802690582959</v>
      </c>
      <c r="EV463" s="1">
        <f>1+(Table1[[#This Row],[error_ratio_6]]-EL$2)</f>
        <v>0.90187891440501045</v>
      </c>
      <c r="EW463" s="1">
        <f>1+(Table1[[#This Row],[error_ratio_7]]-EM$2)</f>
        <v>0.92023346303501952</v>
      </c>
      <c r="EX463" s="1">
        <f>1+(Table1[[#This Row],[error_ratio_8]]-EN$2)</f>
        <v>0.89835728952772076</v>
      </c>
      <c r="EY463" s="1">
        <f>1+(Table1[[#This Row],[error_ratio_9]]-EO$2)</f>
        <v>1.1724479682854312</v>
      </c>
    </row>
    <row r="464" spans="1:155" x14ac:dyDescent="0.75">
      <c r="A464">
        <v>100</v>
      </c>
      <c r="B464">
        <v>100</v>
      </c>
      <c r="C464">
        <v>10</v>
      </c>
      <c r="D464">
        <v>100</v>
      </c>
      <c r="E464">
        <v>10</v>
      </c>
      <c r="F464">
        <v>10</v>
      </c>
      <c r="G464">
        <v>10</v>
      </c>
      <c r="H464">
        <v>10</v>
      </c>
      <c r="I464">
        <v>10</v>
      </c>
      <c r="J464">
        <v>100</v>
      </c>
      <c r="K464">
        <v>1023</v>
      </c>
      <c r="L464">
        <v>1192</v>
      </c>
      <c r="M464">
        <v>1017</v>
      </c>
      <c r="N464">
        <v>1072</v>
      </c>
      <c r="O464">
        <v>1022</v>
      </c>
      <c r="P464">
        <v>847</v>
      </c>
      <c r="Q464">
        <v>975</v>
      </c>
      <c r="R464">
        <v>946</v>
      </c>
      <c r="S464">
        <v>822</v>
      </c>
      <c r="T464">
        <v>1084</v>
      </c>
      <c r="U464">
        <v>980</v>
      </c>
      <c r="V464">
        <v>1135</v>
      </c>
      <c r="W464">
        <v>1032</v>
      </c>
      <c r="X464">
        <v>1010</v>
      </c>
      <c r="Y464">
        <v>982</v>
      </c>
      <c r="Z464">
        <v>892</v>
      </c>
      <c r="AA464">
        <v>958</v>
      </c>
      <c r="AB464">
        <v>1028</v>
      </c>
      <c r="AC464">
        <v>974</v>
      </c>
      <c r="AD464">
        <v>1009</v>
      </c>
      <c r="AE464">
        <v>973</v>
      </c>
      <c r="AF464">
        <v>1</v>
      </c>
      <c r="AG464">
        <v>0</v>
      </c>
      <c r="AH464">
        <v>0</v>
      </c>
      <c r="AI464">
        <v>0</v>
      </c>
      <c r="AJ464">
        <v>0</v>
      </c>
      <c r="AK464">
        <v>3</v>
      </c>
      <c r="AL464">
        <v>1</v>
      </c>
      <c r="AM464">
        <v>0</v>
      </c>
      <c r="AN464">
        <v>2</v>
      </c>
      <c r="AO464">
        <v>0</v>
      </c>
      <c r="AP464">
        <v>1129</v>
      </c>
      <c r="AQ464">
        <v>2</v>
      </c>
      <c r="AR464">
        <v>1</v>
      </c>
      <c r="AS464">
        <v>0</v>
      </c>
      <c r="AT464">
        <v>0</v>
      </c>
      <c r="AU464">
        <v>3</v>
      </c>
      <c r="AV464">
        <v>0</v>
      </c>
      <c r="AW464">
        <v>0</v>
      </c>
      <c r="AX464">
        <v>0</v>
      </c>
      <c r="AY464">
        <v>5</v>
      </c>
      <c r="AZ464">
        <v>10</v>
      </c>
      <c r="BA464">
        <v>989</v>
      </c>
      <c r="BB464">
        <v>5</v>
      </c>
      <c r="BC464">
        <v>10</v>
      </c>
      <c r="BD464">
        <v>0</v>
      </c>
      <c r="BE464">
        <v>0</v>
      </c>
      <c r="BF464">
        <v>12</v>
      </c>
      <c r="BG464">
        <v>0</v>
      </c>
      <c r="BH464">
        <v>1</v>
      </c>
      <c r="BI464">
        <v>0</v>
      </c>
      <c r="BJ464">
        <v>0</v>
      </c>
      <c r="BK464">
        <v>2</v>
      </c>
      <c r="BL464">
        <v>1004</v>
      </c>
      <c r="BM464">
        <v>0</v>
      </c>
      <c r="BN464">
        <v>2</v>
      </c>
      <c r="BO464">
        <v>0</v>
      </c>
      <c r="BP464">
        <v>1</v>
      </c>
      <c r="BQ464">
        <v>0</v>
      </c>
      <c r="BR464">
        <v>1</v>
      </c>
      <c r="BS464">
        <v>0</v>
      </c>
      <c r="BT464">
        <v>5</v>
      </c>
      <c r="BU464">
        <v>2</v>
      </c>
      <c r="BV464">
        <v>0</v>
      </c>
      <c r="BW464">
        <v>960</v>
      </c>
      <c r="BX464">
        <v>0</v>
      </c>
      <c r="BY464">
        <v>7</v>
      </c>
      <c r="BZ464">
        <v>0</v>
      </c>
      <c r="CA464">
        <v>0</v>
      </c>
      <c r="CB464">
        <v>8</v>
      </c>
      <c r="CC464">
        <v>5</v>
      </c>
      <c r="CD464">
        <v>2</v>
      </c>
      <c r="CE464">
        <v>1</v>
      </c>
      <c r="CF464">
        <v>29</v>
      </c>
      <c r="CG464">
        <v>1</v>
      </c>
      <c r="CH464">
        <v>834</v>
      </c>
      <c r="CI464">
        <v>16</v>
      </c>
      <c r="CJ464">
        <v>1</v>
      </c>
      <c r="CK464">
        <v>0</v>
      </c>
      <c r="CL464">
        <v>3</v>
      </c>
      <c r="CM464">
        <v>6</v>
      </c>
      <c r="CN464">
        <v>4</v>
      </c>
      <c r="CO464">
        <v>0</v>
      </c>
      <c r="CP464">
        <v>0</v>
      </c>
      <c r="CQ464">
        <v>21</v>
      </c>
      <c r="CR464">
        <v>1</v>
      </c>
      <c r="CS464">
        <v>926</v>
      </c>
      <c r="CT464">
        <v>0</v>
      </c>
      <c r="CU464">
        <v>0</v>
      </c>
      <c r="CV464">
        <v>0</v>
      </c>
      <c r="CW464">
        <v>2</v>
      </c>
      <c r="CX464">
        <v>22</v>
      </c>
      <c r="CY464">
        <v>11</v>
      </c>
      <c r="CZ464">
        <v>13</v>
      </c>
      <c r="DA464">
        <v>10</v>
      </c>
      <c r="DB464">
        <v>0</v>
      </c>
      <c r="DC464">
        <v>0</v>
      </c>
      <c r="DD464">
        <v>924</v>
      </c>
      <c r="DE464">
        <v>0</v>
      </c>
      <c r="DF464">
        <v>46</v>
      </c>
      <c r="DG464">
        <v>31</v>
      </c>
      <c r="DH464">
        <v>17</v>
      </c>
      <c r="DI464">
        <v>10</v>
      </c>
      <c r="DJ464">
        <v>17</v>
      </c>
      <c r="DK464">
        <v>9</v>
      </c>
      <c r="DL464">
        <v>3</v>
      </c>
      <c r="DM464">
        <v>20</v>
      </c>
      <c r="DN464">
        <v>7</v>
      </c>
      <c r="DO464">
        <v>822</v>
      </c>
      <c r="DP464">
        <v>38</v>
      </c>
      <c r="DQ464">
        <v>1</v>
      </c>
      <c r="DR464">
        <v>2</v>
      </c>
      <c r="DS464">
        <v>0</v>
      </c>
      <c r="DT464">
        <v>3</v>
      </c>
      <c r="DU464">
        <v>11</v>
      </c>
      <c r="DV464">
        <v>7</v>
      </c>
      <c r="DW464">
        <v>0</v>
      </c>
      <c r="DX464">
        <v>0</v>
      </c>
      <c r="DY464">
        <v>0</v>
      </c>
      <c r="DZ464">
        <v>985</v>
      </c>
      <c r="EA464">
        <v>0.9546</v>
      </c>
      <c r="EB464">
        <v>0.95664527155180301</v>
      </c>
      <c r="EC464">
        <v>0.95381241988808396</v>
      </c>
      <c r="ED464">
        <v>0.95398193471296799</v>
      </c>
      <c r="EE464">
        <f>SUM(Table1[[#This Row],[ratio_0]:[ratio_9]])</f>
        <v>460</v>
      </c>
      <c r="EF464" s="1">
        <f>(Table1[[#This Row],[predicted_0]]-Table1[[#This Row],[actual_0]])/Table1[[#This Row],[actual_0]]</f>
        <v>4.3877551020408162E-2</v>
      </c>
      <c r="EG464" s="1">
        <f>(Table1[[#This Row],[predicted_1]]-Table1[[#This Row],[actual_1]])/Table1[[#This Row],[actual_1]]</f>
        <v>5.0220264317180616E-2</v>
      </c>
      <c r="EH464" s="1">
        <f>(Table1[[#This Row],[predicted_2]]-Table1[[#This Row],[actual_2]])/Table1[[#This Row],[actual_2]]</f>
        <v>-1.4534883720930232E-2</v>
      </c>
      <c r="EI464" s="1">
        <f>(Table1[[#This Row],[predicted_3]]-Table1[[#This Row],[actual_3]])/Table1[[#This Row],[actual_3]]</f>
        <v>6.1386138613861385E-2</v>
      </c>
      <c r="EJ464" s="1">
        <f>(Table1[[#This Row],[predicted_4]]-Table1[[#This Row],[actual_4]])/Table1[[#This Row],[actual_4]]</f>
        <v>4.0733197556008148E-2</v>
      </c>
      <c r="EK464" s="1">
        <f>(Table1[[#This Row],[predicted_5]]-Table1[[#This Row],[actual_5]])/Table1[[#This Row],[actual_5]]</f>
        <v>-5.0448430493273543E-2</v>
      </c>
      <c r="EL464" s="1">
        <f>(Table1[[#This Row],[predicted_6]]-Table1[[#This Row],[actual_6]])/Table1[[#This Row],[actual_6]]</f>
        <v>1.7745302713987474E-2</v>
      </c>
      <c r="EM464" s="1">
        <f>(Table1[[#This Row],[predicted_7]]-Table1[[#This Row],[actual_7]])/Table1[[#This Row],[actual_7]]</f>
        <v>-7.9766536964980539E-2</v>
      </c>
      <c r="EN464" s="1">
        <f>(Table1[[#This Row],[predicted_8]]-Table1[[#This Row],[actual_8]])/Table1[[#This Row],[actual_8]]</f>
        <v>-0.15605749486652978</v>
      </c>
      <c r="EO464" s="1">
        <f>(Table1[[#This Row],[predicted_9]]-Table1[[#This Row],[actual_9]])/Table1[[#This Row],[actual_9]]</f>
        <v>7.4331020812685833E-2</v>
      </c>
      <c r="EP464" s="1">
        <f>1+(Table1[[#This Row],[error_ratio_0]]-EF$2)</f>
        <v>1.0418367346938775</v>
      </c>
      <c r="EQ464" s="1">
        <f>1+(Table1[[#This Row],[error_ratio_1]]-EG$2)</f>
        <v>1.0484581497797356</v>
      </c>
      <c r="ER464" s="1">
        <f>1+(Table1[[#This Row],[error_ratio_2]]-EH$2)</f>
        <v>0.99031007751937983</v>
      </c>
      <c r="ES464" s="1">
        <f>1+(Table1[[#This Row],[error_ratio_3]]-EI$2)</f>
        <v>1.0514851485148515</v>
      </c>
      <c r="ET464" s="1">
        <f>1+(Table1[[#This Row],[error_ratio_4]]-EJ$2)</f>
        <v>1.039714867617108</v>
      </c>
      <c r="EU464" s="1">
        <f>1+(Table1[[#This Row],[error_ratio_5]]-EK$2)</f>
        <v>0.94843049327354256</v>
      </c>
      <c r="EV464" s="1">
        <f>1+(Table1[[#This Row],[error_ratio_6]]-EL$2)</f>
        <v>1.024008350730689</v>
      </c>
      <c r="EW464" s="1">
        <f>1+(Table1[[#This Row],[error_ratio_7]]-EM$2)</f>
        <v>0.91828793774319073</v>
      </c>
      <c r="EX464" s="1">
        <f>1+(Table1[[#This Row],[error_ratio_8]]-EN$2)</f>
        <v>0.84702258726899382</v>
      </c>
      <c r="EY464" s="1">
        <f>1+(Table1[[#This Row],[error_ratio_9]]-EO$2)</f>
        <v>1.0782953419226957</v>
      </c>
    </row>
    <row r="465" spans="1:155" x14ac:dyDescent="0.75">
      <c r="A465">
        <v>10</v>
      </c>
      <c r="B465">
        <v>100</v>
      </c>
      <c r="C465">
        <v>10</v>
      </c>
      <c r="D465">
        <v>100</v>
      </c>
      <c r="E465">
        <v>10</v>
      </c>
      <c r="F465">
        <v>10</v>
      </c>
      <c r="G465">
        <v>10</v>
      </c>
      <c r="H465">
        <v>10</v>
      </c>
      <c r="I465">
        <v>10</v>
      </c>
      <c r="J465">
        <v>100</v>
      </c>
      <c r="K465">
        <v>988</v>
      </c>
      <c r="L465">
        <v>1240</v>
      </c>
      <c r="M465">
        <v>959</v>
      </c>
      <c r="N465">
        <v>1060</v>
      </c>
      <c r="O465">
        <v>937</v>
      </c>
      <c r="P465">
        <v>878</v>
      </c>
      <c r="Q465">
        <v>958</v>
      </c>
      <c r="R465">
        <v>1042</v>
      </c>
      <c r="S465">
        <v>888</v>
      </c>
      <c r="T465">
        <v>1050</v>
      </c>
      <c r="U465">
        <v>980</v>
      </c>
      <c r="V465">
        <v>1135</v>
      </c>
      <c r="W465">
        <v>1032</v>
      </c>
      <c r="X465">
        <v>1010</v>
      </c>
      <c r="Y465">
        <v>982</v>
      </c>
      <c r="Z465">
        <v>892</v>
      </c>
      <c r="AA465">
        <v>958</v>
      </c>
      <c r="AB465">
        <v>1028</v>
      </c>
      <c r="AC465">
        <v>974</v>
      </c>
      <c r="AD465">
        <v>1009</v>
      </c>
      <c r="AE465">
        <v>957</v>
      </c>
      <c r="AF465">
        <v>2</v>
      </c>
      <c r="AG465">
        <v>1</v>
      </c>
      <c r="AH465">
        <v>1</v>
      </c>
      <c r="AI465">
        <v>0</v>
      </c>
      <c r="AJ465">
        <v>4</v>
      </c>
      <c r="AK465">
        <v>6</v>
      </c>
      <c r="AL465">
        <v>3</v>
      </c>
      <c r="AM465">
        <v>2</v>
      </c>
      <c r="AN465">
        <v>4</v>
      </c>
      <c r="AO465">
        <v>0</v>
      </c>
      <c r="AP465">
        <v>1135</v>
      </c>
      <c r="AQ465">
        <v>0</v>
      </c>
      <c r="AR465">
        <v>0</v>
      </c>
      <c r="AS465">
        <v>0</v>
      </c>
      <c r="AT465">
        <v>0</v>
      </c>
      <c r="AU465">
        <v>0</v>
      </c>
      <c r="AV465">
        <v>0</v>
      </c>
      <c r="AW465">
        <v>0</v>
      </c>
      <c r="AX465">
        <v>0</v>
      </c>
      <c r="AY465">
        <v>10</v>
      </c>
      <c r="AZ465">
        <v>48</v>
      </c>
      <c r="BA465">
        <v>936</v>
      </c>
      <c r="BB465">
        <v>15</v>
      </c>
      <c r="BC465">
        <v>1</v>
      </c>
      <c r="BD465">
        <v>1</v>
      </c>
      <c r="BE465">
        <v>2</v>
      </c>
      <c r="BF465">
        <v>16</v>
      </c>
      <c r="BG465">
        <v>1</v>
      </c>
      <c r="BH465">
        <v>2</v>
      </c>
      <c r="BI465">
        <v>3</v>
      </c>
      <c r="BJ465">
        <v>1</v>
      </c>
      <c r="BK465">
        <v>2</v>
      </c>
      <c r="BL465">
        <v>996</v>
      </c>
      <c r="BM465">
        <v>0</v>
      </c>
      <c r="BN465">
        <v>3</v>
      </c>
      <c r="BO465">
        <v>0</v>
      </c>
      <c r="BP465">
        <v>5</v>
      </c>
      <c r="BQ465">
        <v>0</v>
      </c>
      <c r="BR465">
        <v>0</v>
      </c>
      <c r="BS465">
        <v>0</v>
      </c>
      <c r="BT465">
        <v>12</v>
      </c>
      <c r="BU465">
        <v>2</v>
      </c>
      <c r="BV465">
        <v>0</v>
      </c>
      <c r="BW465">
        <v>926</v>
      </c>
      <c r="BX465">
        <v>0</v>
      </c>
      <c r="BY465">
        <v>9</v>
      </c>
      <c r="BZ465">
        <v>2</v>
      </c>
      <c r="CA465">
        <v>1</v>
      </c>
      <c r="CB465">
        <v>30</v>
      </c>
      <c r="CC465">
        <v>4</v>
      </c>
      <c r="CD465">
        <v>1</v>
      </c>
      <c r="CE465">
        <v>0</v>
      </c>
      <c r="CF465">
        <v>22</v>
      </c>
      <c r="CG465">
        <v>0</v>
      </c>
      <c r="CH465">
        <v>857</v>
      </c>
      <c r="CI465">
        <v>2</v>
      </c>
      <c r="CJ465">
        <v>4</v>
      </c>
      <c r="CK465">
        <v>2</v>
      </c>
      <c r="CL465">
        <v>0</v>
      </c>
      <c r="CM465">
        <v>3</v>
      </c>
      <c r="CN465">
        <v>8</v>
      </c>
      <c r="CO465">
        <v>0</v>
      </c>
      <c r="CP465">
        <v>1</v>
      </c>
      <c r="CQ465">
        <v>5</v>
      </c>
      <c r="CR465">
        <v>7</v>
      </c>
      <c r="CS465">
        <v>934</v>
      </c>
      <c r="CT465">
        <v>0</v>
      </c>
      <c r="CU465">
        <v>0</v>
      </c>
      <c r="CV465">
        <v>0</v>
      </c>
      <c r="CW465">
        <v>3</v>
      </c>
      <c r="CX465">
        <v>14</v>
      </c>
      <c r="CY465">
        <v>13</v>
      </c>
      <c r="CZ465">
        <v>9</v>
      </c>
      <c r="DA465">
        <v>1</v>
      </c>
      <c r="DB465">
        <v>0</v>
      </c>
      <c r="DC465">
        <v>0</v>
      </c>
      <c r="DD465">
        <v>981</v>
      </c>
      <c r="DE465">
        <v>1</v>
      </c>
      <c r="DF465">
        <v>6</v>
      </c>
      <c r="DG465">
        <v>5</v>
      </c>
      <c r="DH465">
        <v>11</v>
      </c>
      <c r="DI465">
        <v>5</v>
      </c>
      <c r="DJ465">
        <v>10</v>
      </c>
      <c r="DK465">
        <v>3</v>
      </c>
      <c r="DL465">
        <v>3</v>
      </c>
      <c r="DM465">
        <v>5</v>
      </c>
      <c r="DN465">
        <v>25</v>
      </c>
      <c r="DO465">
        <v>881</v>
      </c>
      <c r="DP465">
        <v>26</v>
      </c>
      <c r="DQ465">
        <v>3</v>
      </c>
      <c r="DR465">
        <v>8</v>
      </c>
      <c r="DS465">
        <v>0</v>
      </c>
      <c r="DT465">
        <v>6</v>
      </c>
      <c r="DU465">
        <v>1</v>
      </c>
      <c r="DV465">
        <v>3</v>
      </c>
      <c r="DW465">
        <v>0</v>
      </c>
      <c r="DX465">
        <v>6</v>
      </c>
      <c r="DY465">
        <v>0</v>
      </c>
      <c r="DZ465">
        <v>982</v>
      </c>
      <c r="EA465">
        <v>0.95850000000000002</v>
      </c>
      <c r="EB465">
        <v>0.96076895515810601</v>
      </c>
      <c r="EC465">
        <v>0.95803680754339005</v>
      </c>
      <c r="ED465">
        <v>0.95872771934620504</v>
      </c>
      <c r="EE465">
        <f>SUM(Table1[[#This Row],[ratio_0]:[ratio_9]])</f>
        <v>370</v>
      </c>
      <c r="EF465" s="1">
        <f>(Table1[[#This Row],[predicted_0]]-Table1[[#This Row],[actual_0]])/Table1[[#This Row],[actual_0]]</f>
        <v>8.1632653061224497E-3</v>
      </c>
      <c r="EG465" s="1">
        <f>(Table1[[#This Row],[predicted_1]]-Table1[[#This Row],[actual_1]])/Table1[[#This Row],[actual_1]]</f>
        <v>9.2511013215859028E-2</v>
      </c>
      <c r="EH465" s="1">
        <f>(Table1[[#This Row],[predicted_2]]-Table1[[#This Row],[actual_2]])/Table1[[#This Row],[actual_2]]</f>
        <v>-7.0736434108527133E-2</v>
      </c>
      <c r="EI465" s="1">
        <f>(Table1[[#This Row],[predicted_3]]-Table1[[#This Row],[actual_3]])/Table1[[#This Row],[actual_3]]</f>
        <v>4.9504950495049507E-2</v>
      </c>
      <c r="EJ465" s="1">
        <f>(Table1[[#This Row],[predicted_4]]-Table1[[#This Row],[actual_4]])/Table1[[#This Row],[actual_4]]</f>
        <v>-4.5824847250509164E-2</v>
      </c>
      <c r="EK465" s="1">
        <f>(Table1[[#This Row],[predicted_5]]-Table1[[#This Row],[actual_5]])/Table1[[#This Row],[actual_5]]</f>
        <v>-1.5695067264573991E-2</v>
      </c>
      <c r="EL465" s="1">
        <f>(Table1[[#This Row],[predicted_6]]-Table1[[#This Row],[actual_6]])/Table1[[#This Row],[actual_6]]</f>
        <v>0</v>
      </c>
      <c r="EM465" s="1">
        <f>(Table1[[#This Row],[predicted_7]]-Table1[[#This Row],[actual_7]])/Table1[[#This Row],[actual_7]]</f>
        <v>1.3618677042801557E-2</v>
      </c>
      <c r="EN465" s="1">
        <f>(Table1[[#This Row],[predicted_8]]-Table1[[#This Row],[actual_8]])/Table1[[#This Row],[actual_8]]</f>
        <v>-8.8295687885010271E-2</v>
      </c>
      <c r="EO465" s="1">
        <f>(Table1[[#This Row],[predicted_9]]-Table1[[#This Row],[actual_9]])/Table1[[#This Row],[actual_9]]</f>
        <v>4.0634291377601585E-2</v>
      </c>
      <c r="EP465" s="1">
        <f>1+(Table1[[#This Row],[error_ratio_0]]-EF$2)</f>
        <v>1.0061224489795919</v>
      </c>
      <c r="EQ465" s="1">
        <f>1+(Table1[[#This Row],[error_ratio_1]]-EG$2)</f>
        <v>1.0907488986784142</v>
      </c>
      <c r="ER465" s="1">
        <f>1+(Table1[[#This Row],[error_ratio_2]]-EH$2)</f>
        <v>0.93410852713178294</v>
      </c>
      <c r="ES465" s="1">
        <f>1+(Table1[[#This Row],[error_ratio_3]]-EI$2)</f>
        <v>1.0396039603960396</v>
      </c>
      <c r="ET465" s="1">
        <f>1+(Table1[[#This Row],[error_ratio_4]]-EJ$2)</f>
        <v>0.95315682281059066</v>
      </c>
      <c r="EU465" s="1">
        <f>1+(Table1[[#This Row],[error_ratio_5]]-EK$2)</f>
        <v>0.98318385650224216</v>
      </c>
      <c r="EV465" s="1">
        <f>1+(Table1[[#This Row],[error_ratio_6]]-EL$2)</f>
        <v>1.0062630480167014</v>
      </c>
      <c r="EW465" s="1">
        <f>1+(Table1[[#This Row],[error_ratio_7]]-EM$2)</f>
        <v>1.0116731517509727</v>
      </c>
      <c r="EX465" s="1">
        <f>1+(Table1[[#This Row],[error_ratio_8]]-EN$2)</f>
        <v>0.91478439425051339</v>
      </c>
      <c r="EY465" s="1">
        <f>1+(Table1[[#This Row],[error_ratio_9]]-EO$2)</f>
        <v>1.0445986124876114</v>
      </c>
    </row>
    <row r="466" spans="1:155" x14ac:dyDescent="0.75">
      <c r="A466">
        <v>100</v>
      </c>
      <c r="B466">
        <v>10</v>
      </c>
      <c r="C466">
        <v>10</v>
      </c>
      <c r="D466">
        <v>100</v>
      </c>
      <c r="E466">
        <v>10</v>
      </c>
      <c r="F466">
        <v>10</v>
      </c>
      <c r="G466">
        <v>10</v>
      </c>
      <c r="H466">
        <v>10</v>
      </c>
      <c r="I466">
        <v>10</v>
      </c>
      <c r="J466">
        <v>100</v>
      </c>
      <c r="K466">
        <v>1049</v>
      </c>
      <c r="L466">
        <v>1137</v>
      </c>
      <c r="M466">
        <v>1000</v>
      </c>
      <c r="N466">
        <v>1254</v>
      </c>
      <c r="O466">
        <v>901</v>
      </c>
      <c r="P466">
        <v>805</v>
      </c>
      <c r="Q466">
        <v>984</v>
      </c>
      <c r="R466">
        <v>846</v>
      </c>
      <c r="S466">
        <v>852</v>
      </c>
      <c r="T466">
        <v>1172</v>
      </c>
      <c r="U466">
        <v>980</v>
      </c>
      <c r="V466">
        <v>1135</v>
      </c>
      <c r="W466">
        <v>1032</v>
      </c>
      <c r="X466">
        <v>1010</v>
      </c>
      <c r="Y466">
        <v>982</v>
      </c>
      <c r="Z466">
        <v>892</v>
      </c>
      <c r="AA466">
        <v>958</v>
      </c>
      <c r="AB466">
        <v>1028</v>
      </c>
      <c r="AC466">
        <v>974</v>
      </c>
      <c r="AD466">
        <v>1009</v>
      </c>
      <c r="AE466">
        <v>976</v>
      </c>
      <c r="AF466">
        <v>0</v>
      </c>
      <c r="AG466">
        <v>0</v>
      </c>
      <c r="AH466">
        <v>1</v>
      </c>
      <c r="AI466">
        <v>0</v>
      </c>
      <c r="AJ466">
        <v>0</v>
      </c>
      <c r="AK466">
        <v>2</v>
      </c>
      <c r="AL466">
        <v>0</v>
      </c>
      <c r="AM466">
        <v>1</v>
      </c>
      <c r="AN466">
        <v>0</v>
      </c>
      <c r="AO466">
        <v>0</v>
      </c>
      <c r="AP466">
        <v>1119</v>
      </c>
      <c r="AQ466">
        <v>0</v>
      </c>
      <c r="AR466">
        <v>11</v>
      </c>
      <c r="AS466">
        <v>0</v>
      </c>
      <c r="AT466">
        <v>0</v>
      </c>
      <c r="AU466">
        <v>1</v>
      </c>
      <c r="AV466">
        <v>0</v>
      </c>
      <c r="AW466">
        <v>2</v>
      </c>
      <c r="AX466">
        <v>2</v>
      </c>
      <c r="AY466">
        <v>11</v>
      </c>
      <c r="AZ466">
        <v>4</v>
      </c>
      <c r="BA466">
        <v>958</v>
      </c>
      <c r="BB466">
        <v>49</v>
      </c>
      <c r="BC466">
        <v>1</v>
      </c>
      <c r="BD466">
        <v>0</v>
      </c>
      <c r="BE466">
        <v>4</v>
      </c>
      <c r="BF466">
        <v>4</v>
      </c>
      <c r="BG466">
        <v>1</v>
      </c>
      <c r="BH466">
        <v>0</v>
      </c>
      <c r="BI466">
        <v>1</v>
      </c>
      <c r="BJ466">
        <v>0</v>
      </c>
      <c r="BK466">
        <v>0</v>
      </c>
      <c r="BL466">
        <v>1007</v>
      </c>
      <c r="BM466">
        <v>0</v>
      </c>
      <c r="BN466">
        <v>1</v>
      </c>
      <c r="BO466">
        <v>0</v>
      </c>
      <c r="BP466">
        <v>0</v>
      </c>
      <c r="BQ466">
        <v>0</v>
      </c>
      <c r="BR466">
        <v>1</v>
      </c>
      <c r="BS466">
        <v>0</v>
      </c>
      <c r="BT466">
        <v>1</v>
      </c>
      <c r="BU466">
        <v>2</v>
      </c>
      <c r="BV466">
        <v>6</v>
      </c>
      <c r="BW466">
        <v>889</v>
      </c>
      <c r="BX466">
        <v>0</v>
      </c>
      <c r="BY466">
        <v>2</v>
      </c>
      <c r="BZ466">
        <v>0</v>
      </c>
      <c r="CA466">
        <v>0</v>
      </c>
      <c r="CB466">
        <v>82</v>
      </c>
      <c r="CC466">
        <v>9</v>
      </c>
      <c r="CD466">
        <v>0</v>
      </c>
      <c r="CE466">
        <v>0</v>
      </c>
      <c r="CF466">
        <v>53</v>
      </c>
      <c r="CG466">
        <v>1</v>
      </c>
      <c r="CH466">
        <v>795</v>
      </c>
      <c r="CI466">
        <v>19</v>
      </c>
      <c r="CJ466">
        <v>1</v>
      </c>
      <c r="CK466">
        <v>9</v>
      </c>
      <c r="CL466">
        <v>5</v>
      </c>
      <c r="CM466">
        <v>13</v>
      </c>
      <c r="CN466">
        <v>3</v>
      </c>
      <c r="CO466">
        <v>0</v>
      </c>
      <c r="CP466">
        <v>0</v>
      </c>
      <c r="CQ466">
        <v>3</v>
      </c>
      <c r="CR466">
        <v>2</v>
      </c>
      <c r="CS466">
        <v>937</v>
      </c>
      <c r="CT466">
        <v>0</v>
      </c>
      <c r="CU466">
        <v>0</v>
      </c>
      <c r="CV466">
        <v>0</v>
      </c>
      <c r="CW466">
        <v>12</v>
      </c>
      <c r="CX466">
        <v>2</v>
      </c>
      <c r="CY466">
        <v>27</v>
      </c>
      <c r="CZ466">
        <v>73</v>
      </c>
      <c r="DA466">
        <v>1</v>
      </c>
      <c r="DB466">
        <v>0</v>
      </c>
      <c r="DC466">
        <v>0</v>
      </c>
      <c r="DD466">
        <v>837</v>
      </c>
      <c r="DE466">
        <v>0</v>
      </c>
      <c r="DF466">
        <v>76</v>
      </c>
      <c r="DG466">
        <v>23</v>
      </c>
      <c r="DH466">
        <v>8</v>
      </c>
      <c r="DI466">
        <v>12</v>
      </c>
      <c r="DJ466">
        <v>48</v>
      </c>
      <c r="DK466">
        <v>4</v>
      </c>
      <c r="DL466">
        <v>5</v>
      </c>
      <c r="DM466">
        <v>19</v>
      </c>
      <c r="DN466">
        <v>4</v>
      </c>
      <c r="DO466">
        <v>839</v>
      </c>
      <c r="DP466">
        <v>12</v>
      </c>
      <c r="DQ466">
        <v>4</v>
      </c>
      <c r="DR466">
        <v>0</v>
      </c>
      <c r="DS466">
        <v>1</v>
      </c>
      <c r="DT466">
        <v>6</v>
      </c>
      <c r="DU466">
        <v>2</v>
      </c>
      <c r="DV466">
        <v>2</v>
      </c>
      <c r="DW466">
        <v>0</v>
      </c>
      <c r="DX466">
        <v>0</v>
      </c>
      <c r="DY466">
        <v>0</v>
      </c>
      <c r="DZ466">
        <v>994</v>
      </c>
      <c r="EA466">
        <v>0.93510000000000004</v>
      </c>
      <c r="EB466">
        <v>0.94243303128772005</v>
      </c>
      <c r="EC466">
        <v>0.93425084150353199</v>
      </c>
      <c r="ED466">
        <v>0.93494782824203404</v>
      </c>
      <c r="EE466">
        <f>SUM(Table1[[#This Row],[ratio_0]:[ratio_9]])</f>
        <v>370</v>
      </c>
      <c r="EF466" s="1">
        <f>(Table1[[#This Row],[predicted_0]]-Table1[[#This Row],[actual_0]])/Table1[[#This Row],[actual_0]]</f>
        <v>7.040816326530612E-2</v>
      </c>
      <c r="EG466" s="1">
        <f>(Table1[[#This Row],[predicted_1]]-Table1[[#This Row],[actual_1]])/Table1[[#This Row],[actual_1]]</f>
        <v>1.762114537444934E-3</v>
      </c>
      <c r="EH466" s="1">
        <f>(Table1[[#This Row],[predicted_2]]-Table1[[#This Row],[actual_2]])/Table1[[#This Row],[actual_2]]</f>
        <v>-3.1007751937984496E-2</v>
      </c>
      <c r="EI466" s="1">
        <f>(Table1[[#This Row],[predicted_3]]-Table1[[#This Row],[actual_3]])/Table1[[#This Row],[actual_3]]</f>
        <v>0.24158415841584158</v>
      </c>
      <c r="EJ466" s="1">
        <f>(Table1[[#This Row],[predicted_4]]-Table1[[#This Row],[actual_4]])/Table1[[#This Row],[actual_4]]</f>
        <v>-8.2484725050916502E-2</v>
      </c>
      <c r="EK466" s="1">
        <f>(Table1[[#This Row],[predicted_5]]-Table1[[#This Row],[actual_5]])/Table1[[#This Row],[actual_5]]</f>
        <v>-9.753363228699552E-2</v>
      </c>
      <c r="EL466" s="1">
        <f>(Table1[[#This Row],[predicted_6]]-Table1[[#This Row],[actual_6]])/Table1[[#This Row],[actual_6]]</f>
        <v>2.7139874739039668E-2</v>
      </c>
      <c r="EM466" s="1">
        <f>(Table1[[#This Row],[predicted_7]]-Table1[[#This Row],[actual_7]])/Table1[[#This Row],[actual_7]]</f>
        <v>-0.17704280155642024</v>
      </c>
      <c r="EN466" s="1">
        <f>(Table1[[#This Row],[predicted_8]]-Table1[[#This Row],[actual_8]])/Table1[[#This Row],[actual_8]]</f>
        <v>-0.12525667351129363</v>
      </c>
      <c r="EO466" s="1">
        <f>(Table1[[#This Row],[predicted_9]]-Table1[[#This Row],[actual_9]])/Table1[[#This Row],[actual_9]]</f>
        <v>0.16154608523290387</v>
      </c>
      <c r="EP466" s="1">
        <f>1+(Table1[[#This Row],[error_ratio_0]]-EF$2)</f>
        <v>1.0683673469387756</v>
      </c>
      <c r="EQ466" s="1">
        <f>1+(Table1[[#This Row],[error_ratio_1]]-EG$2)</f>
        <v>1</v>
      </c>
      <c r="ER466" s="1">
        <f>1+(Table1[[#This Row],[error_ratio_2]]-EH$2)</f>
        <v>0.97383720930232553</v>
      </c>
      <c r="ES466" s="1">
        <f>1+(Table1[[#This Row],[error_ratio_3]]-EI$2)</f>
        <v>1.2316831683168317</v>
      </c>
      <c r="ET466" s="1">
        <f>1+(Table1[[#This Row],[error_ratio_4]]-EJ$2)</f>
        <v>0.91649694501018331</v>
      </c>
      <c r="EU466" s="1">
        <f>1+(Table1[[#This Row],[error_ratio_5]]-EK$2)</f>
        <v>0.90134529147982057</v>
      </c>
      <c r="EV466" s="1">
        <f>1+(Table1[[#This Row],[error_ratio_6]]-EL$2)</f>
        <v>1.0334029227557411</v>
      </c>
      <c r="EW466" s="1">
        <f>1+(Table1[[#This Row],[error_ratio_7]]-EM$2)</f>
        <v>0.82101167315175094</v>
      </c>
      <c r="EX466" s="1">
        <f>1+(Table1[[#This Row],[error_ratio_8]]-EN$2)</f>
        <v>0.87782340862423003</v>
      </c>
      <c r="EY466" s="1">
        <f>1+(Table1[[#This Row],[error_ratio_9]]-EO$2)</f>
        <v>1.1655104063429138</v>
      </c>
    </row>
    <row r="467" spans="1:155" x14ac:dyDescent="0.75">
      <c r="A467">
        <v>10</v>
      </c>
      <c r="B467">
        <v>10</v>
      </c>
      <c r="C467">
        <v>10</v>
      </c>
      <c r="D467">
        <v>100</v>
      </c>
      <c r="E467">
        <v>10</v>
      </c>
      <c r="F467">
        <v>10</v>
      </c>
      <c r="G467">
        <v>10</v>
      </c>
      <c r="H467">
        <v>10</v>
      </c>
      <c r="I467">
        <v>10</v>
      </c>
      <c r="J467">
        <v>100</v>
      </c>
      <c r="K467">
        <v>922</v>
      </c>
      <c r="L467">
        <v>1163</v>
      </c>
      <c r="M467">
        <v>1032</v>
      </c>
      <c r="N467">
        <v>1067</v>
      </c>
      <c r="O467">
        <v>786</v>
      </c>
      <c r="P467">
        <v>1011</v>
      </c>
      <c r="Q467">
        <v>934</v>
      </c>
      <c r="R467">
        <v>917</v>
      </c>
      <c r="S467">
        <v>905</v>
      </c>
      <c r="T467">
        <v>1263</v>
      </c>
      <c r="U467">
        <v>980</v>
      </c>
      <c r="V467">
        <v>1135</v>
      </c>
      <c r="W467">
        <v>1032</v>
      </c>
      <c r="X467">
        <v>1010</v>
      </c>
      <c r="Y467">
        <v>982</v>
      </c>
      <c r="Z467">
        <v>892</v>
      </c>
      <c r="AA467">
        <v>958</v>
      </c>
      <c r="AB467">
        <v>1028</v>
      </c>
      <c r="AC467">
        <v>974</v>
      </c>
      <c r="AD467">
        <v>1009</v>
      </c>
      <c r="AE467">
        <v>902</v>
      </c>
      <c r="AF467">
        <v>1</v>
      </c>
      <c r="AG467">
        <v>2</v>
      </c>
      <c r="AH467">
        <v>10</v>
      </c>
      <c r="AI467">
        <v>0</v>
      </c>
      <c r="AJ467">
        <v>51</v>
      </c>
      <c r="AK467">
        <v>2</v>
      </c>
      <c r="AL467">
        <v>1</v>
      </c>
      <c r="AM467">
        <v>1</v>
      </c>
      <c r="AN467">
        <v>10</v>
      </c>
      <c r="AO467">
        <v>0</v>
      </c>
      <c r="AP467">
        <v>1121</v>
      </c>
      <c r="AQ467">
        <v>1</v>
      </c>
      <c r="AR467">
        <v>5</v>
      </c>
      <c r="AS467">
        <v>0</v>
      </c>
      <c r="AT467">
        <v>4</v>
      </c>
      <c r="AU467">
        <v>2</v>
      </c>
      <c r="AV467">
        <v>0</v>
      </c>
      <c r="AW467">
        <v>0</v>
      </c>
      <c r="AX467">
        <v>2</v>
      </c>
      <c r="AY467">
        <v>3</v>
      </c>
      <c r="AZ467">
        <v>5</v>
      </c>
      <c r="BA467">
        <v>981</v>
      </c>
      <c r="BB467">
        <v>26</v>
      </c>
      <c r="BC467">
        <v>0</v>
      </c>
      <c r="BD467">
        <v>0</v>
      </c>
      <c r="BE467">
        <v>5</v>
      </c>
      <c r="BF467">
        <v>3</v>
      </c>
      <c r="BG467">
        <v>5</v>
      </c>
      <c r="BH467">
        <v>4</v>
      </c>
      <c r="BI467">
        <v>0</v>
      </c>
      <c r="BJ467">
        <v>0</v>
      </c>
      <c r="BK467">
        <v>2</v>
      </c>
      <c r="BL467">
        <v>975</v>
      </c>
      <c r="BM467">
        <v>0</v>
      </c>
      <c r="BN467">
        <v>28</v>
      </c>
      <c r="BO467">
        <v>0</v>
      </c>
      <c r="BP467">
        <v>2</v>
      </c>
      <c r="BQ467">
        <v>0</v>
      </c>
      <c r="BR467">
        <v>3</v>
      </c>
      <c r="BS467">
        <v>2</v>
      </c>
      <c r="BT467">
        <v>14</v>
      </c>
      <c r="BU467">
        <v>10</v>
      </c>
      <c r="BV467">
        <v>1</v>
      </c>
      <c r="BW467">
        <v>784</v>
      </c>
      <c r="BX467">
        <v>0</v>
      </c>
      <c r="BY467">
        <v>19</v>
      </c>
      <c r="BZ467">
        <v>1</v>
      </c>
      <c r="CA467">
        <v>1</v>
      </c>
      <c r="CB467">
        <v>150</v>
      </c>
      <c r="CC467">
        <v>2</v>
      </c>
      <c r="CD467">
        <v>0</v>
      </c>
      <c r="CE467">
        <v>0</v>
      </c>
      <c r="CF467">
        <v>9</v>
      </c>
      <c r="CG467">
        <v>0</v>
      </c>
      <c r="CH467">
        <v>879</v>
      </c>
      <c r="CI467">
        <v>0</v>
      </c>
      <c r="CJ467">
        <v>0</v>
      </c>
      <c r="CK467">
        <v>1</v>
      </c>
      <c r="CL467">
        <v>1</v>
      </c>
      <c r="CM467">
        <v>12</v>
      </c>
      <c r="CN467">
        <v>3</v>
      </c>
      <c r="CO467">
        <v>3</v>
      </c>
      <c r="CP467">
        <v>5</v>
      </c>
      <c r="CQ467">
        <v>0</v>
      </c>
      <c r="CR467">
        <v>32</v>
      </c>
      <c r="CS467">
        <v>901</v>
      </c>
      <c r="CT467">
        <v>0</v>
      </c>
      <c r="CU467">
        <v>0</v>
      </c>
      <c r="CV467">
        <v>2</v>
      </c>
      <c r="CW467">
        <v>0</v>
      </c>
      <c r="CX467">
        <v>6</v>
      </c>
      <c r="CY467">
        <v>25</v>
      </c>
      <c r="CZ467">
        <v>26</v>
      </c>
      <c r="DA467">
        <v>0</v>
      </c>
      <c r="DB467">
        <v>1</v>
      </c>
      <c r="DC467">
        <v>0</v>
      </c>
      <c r="DD467">
        <v>906</v>
      </c>
      <c r="DE467">
        <v>2</v>
      </c>
      <c r="DF467">
        <v>62</v>
      </c>
      <c r="DG467">
        <v>1</v>
      </c>
      <c r="DH467">
        <v>13</v>
      </c>
      <c r="DI467">
        <v>8</v>
      </c>
      <c r="DJ467">
        <v>9</v>
      </c>
      <c r="DK467">
        <v>1</v>
      </c>
      <c r="DL467">
        <v>14</v>
      </c>
      <c r="DM467">
        <v>5</v>
      </c>
      <c r="DN467">
        <v>2</v>
      </c>
      <c r="DO467">
        <v>895</v>
      </c>
      <c r="DP467">
        <v>26</v>
      </c>
      <c r="DQ467">
        <v>0</v>
      </c>
      <c r="DR467">
        <v>0</v>
      </c>
      <c r="DS467">
        <v>0</v>
      </c>
      <c r="DT467">
        <v>1</v>
      </c>
      <c r="DU467">
        <v>1</v>
      </c>
      <c r="DV467">
        <v>2</v>
      </c>
      <c r="DW467">
        <v>0</v>
      </c>
      <c r="DX467">
        <v>2</v>
      </c>
      <c r="DY467">
        <v>0</v>
      </c>
      <c r="DZ467">
        <v>1003</v>
      </c>
      <c r="EA467">
        <v>0.93469999999999998</v>
      </c>
      <c r="EB467">
        <v>0.94092082058273596</v>
      </c>
      <c r="EC467">
        <v>0.93425666623778303</v>
      </c>
      <c r="ED467">
        <v>0.93438318738470305</v>
      </c>
      <c r="EE467">
        <f>SUM(Table1[[#This Row],[ratio_0]:[ratio_9]])</f>
        <v>280</v>
      </c>
      <c r="EF467" s="1">
        <f>(Table1[[#This Row],[predicted_0]]-Table1[[#This Row],[actual_0]])/Table1[[#This Row],[actual_0]]</f>
        <v>-5.9183673469387757E-2</v>
      </c>
      <c r="EG467" s="1">
        <f>(Table1[[#This Row],[predicted_1]]-Table1[[#This Row],[actual_1]])/Table1[[#This Row],[actual_1]]</f>
        <v>2.4669603524229075E-2</v>
      </c>
      <c r="EH467" s="1">
        <f>(Table1[[#This Row],[predicted_2]]-Table1[[#This Row],[actual_2]])/Table1[[#This Row],[actual_2]]</f>
        <v>0</v>
      </c>
      <c r="EI467" s="1">
        <f>(Table1[[#This Row],[predicted_3]]-Table1[[#This Row],[actual_3]])/Table1[[#This Row],[actual_3]]</f>
        <v>5.6435643564356437E-2</v>
      </c>
      <c r="EJ467" s="1">
        <f>(Table1[[#This Row],[predicted_4]]-Table1[[#This Row],[actual_4]])/Table1[[#This Row],[actual_4]]</f>
        <v>-0.19959266802443992</v>
      </c>
      <c r="EK467" s="1">
        <f>(Table1[[#This Row],[predicted_5]]-Table1[[#This Row],[actual_5]])/Table1[[#This Row],[actual_5]]</f>
        <v>0.13340807174887892</v>
      </c>
      <c r="EL467" s="1">
        <f>(Table1[[#This Row],[predicted_6]]-Table1[[#This Row],[actual_6]])/Table1[[#This Row],[actual_6]]</f>
        <v>-2.5052192066805846E-2</v>
      </c>
      <c r="EM467" s="1">
        <f>(Table1[[#This Row],[predicted_7]]-Table1[[#This Row],[actual_7]])/Table1[[#This Row],[actual_7]]</f>
        <v>-0.10797665369649806</v>
      </c>
      <c r="EN467" s="1">
        <f>(Table1[[#This Row],[predicted_8]]-Table1[[#This Row],[actual_8]])/Table1[[#This Row],[actual_8]]</f>
        <v>-7.0841889117043116E-2</v>
      </c>
      <c r="EO467" s="1">
        <f>(Table1[[#This Row],[predicted_9]]-Table1[[#This Row],[actual_9]])/Table1[[#This Row],[actual_9]]</f>
        <v>0.25173439048562934</v>
      </c>
      <c r="EP467" s="1">
        <f>1+(Table1[[#This Row],[error_ratio_0]]-EF$2)</f>
        <v>0.93877551020408168</v>
      </c>
      <c r="EQ467" s="1">
        <f>1+(Table1[[#This Row],[error_ratio_1]]-EG$2)</f>
        <v>1.0229074889867842</v>
      </c>
      <c r="ER467" s="1">
        <f>1+(Table1[[#This Row],[error_ratio_2]]-EH$2)</f>
        <v>1.0048449612403101</v>
      </c>
      <c r="ES467" s="1">
        <f>1+(Table1[[#This Row],[error_ratio_3]]-EI$2)</f>
        <v>1.0465346534653466</v>
      </c>
      <c r="ET467" s="1">
        <f>1+(Table1[[#This Row],[error_ratio_4]]-EJ$2)</f>
        <v>0.79938900203665986</v>
      </c>
      <c r="EU467" s="1">
        <f>1+(Table1[[#This Row],[error_ratio_5]]-EK$2)</f>
        <v>1.1322869955156951</v>
      </c>
      <c r="EV467" s="1">
        <f>1+(Table1[[#This Row],[error_ratio_6]]-EL$2)</f>
        <v>0.98121085594989566</v>
      </c>
      <c r="EW467" s="1">
        <f>1+(Table1[[#This Row],[error_ratio_7]]-EM$2)</f>
        <v>0.8900778210116731</v>
      </c>
      <c r="EX467" s="1">
        <f>1+(Table1[[#This Row],[error_ratio_8]]-EN$2)</f>
        <v>0.93223819301848054</v>
      </c>
      <c r="EY467" s="1">
        <f>1+(Table1[[#This Row],[error_ratio_9]]-EO$2)</f>
        <v>1.2556987115956393</v>
      </c>
    </row>
    <row r="468" spans="1:155" x14ac:dyDescent="0.75">
      <c r="A468">
        <v>100</v>
      </c>
      <c r="B468">
        <v>100</v>
      </c>
      <c r="C468">
        <v>100</v>
      </c>
      <c r="D468">
        <v>10</v>
      </c>
      <c r="E468">
        <v>10</v>
      </c>
      <c r="F468">
        <v>10</v>
      </c>
      <c r="G468">
        <v>10</v>
      </c>
      <c r="H468">
        <v>10</v>
      </c>
      <c r="I468">
        <v>10</v>
      </c>
      <c r="J468">
        <v>100</v>
      </c>
      <c r="K468">
        <v>1010</v>
      </c>
      <c r="L468">
        <v>1146</v>
      </c>
      <c r="M468">
        <v>1110</v>
      </c>
      <c r="N468">
        <v>950</v>
      </c>
      <c r="O468">
        <v>960</v>
      </c>
      <c r="P468">
        <v>872</v>
      </c>
      <c r="Q468">
        <v>954</v>
      </c>
      <c r="R468">
        <v>961</v>
      </c>
      <c r="S468">
        <v>968</v>
      </c>
      <c r="T468">
        <v>1069</v>
      </c>
      <c r="U468">
        <v>980</v>
      </c>
      <c r="V468">
        <v>1135</v>
      </c>
      <c r="W468">
        <v>1032</v>
      </c>
      <c r="X468">
        <v>1010</v>
      </c>
      <c r="Y468">
        <v>982</v>
      </c>
      <c r="Z468">
        <v>892</v>
      </c>
      <c r="AA468">
        <v>958</v>
      </c>
      <c r="AB468">
        <v>1028</v>
      </c>
      <c r="AC468">
        <v>974</v>
      </c>
      <c r="AD468">
        <v>1009</v>
      </c>
      <c r="AE468">
        <v>973</v>
      </c>
      <c r="AF468">
        <v>0</v>
      </c>
      <c r="AG468">
        <v>1</v>
      </c>
      <c r="AH468">
        <v>0</v>
      </c>
      <c r="AI468">
        <v>0</v>
      </c>
      <c r="AJ468">
        <v>0</v>
      </c>
      <c r="AK468">
        <v>0</v>
      </c>
      <c r="AL468">
        <v>2</v>
      </c>
      <c r="AM468">
        <v>3</v>
      </c>
      <c r="AN468">
        <v>1</v>
      </c>
      <c r="AO468">
        <v>0</v>
      </c>
      <c r="AP468">
        <v>1127</v>
      </c>
      <c r="AQ468">
        <v>2</v>
      </c>
      <c r="AR468">
        <v>0</v>
      </c>
      <c r="AS468">
        <v>1</v>
      </c>
      <c r="AT468">
        <v>0</v>
      </c>
      <c r="AU468">
        <v>0</v>
      </c>
      <c r="AV468">
        <v>0</v>
      </c>
      <c r="AW468">
        <v>4</v>
      </c>
      <c r="AX468">
        <v>1</v>
      </c>
      <c r="AY468">
        <v>2</v>
      </c>
      <c r="AZ468">
        <v>1</v>
      </c>
      <c r="BA468">
        <v>1018</v>
      </c>
      <c r="BB468">
        <v>0</v>
      </c>
      <c r="BC468">
        <v>0</v>
      </c>
      <c r="BD468">
        <v>3</v>
      </c>
      <c r="BE468">
        <v>2</v>
      </c>
      <c r="BF468">
        <v>2</v>
      </c>
      <c r="BG468">
        <v>4</v>
      </c>
      <c r="BH468">
        <v>0</v>
      </c>
      <c r="BI468">
        <v>2</v>
      </c>
      <c r="BJ468">
        <v>2</v>
      </c>
      <c r="BK468">
        <v>20</v>
      </c>
      <c r="BL468">
        <v>939</v>
      </c>
      <c r="BM468">
        <v>0</v>
      </c>
      <c r="BN468">
        <v>11</v>
      </c>
      <c r="BO468">
        <v>0</v>
      </c>
      <c r="BP468">
        <v>10</v>
      </c>
      <c r="BQ468">
        <v>14</v>
      </c>
      <c r="BR468">
        <v>12</v>
      </c>
      <c r="BS468">
        <v>0</v>
      </c>
      <c r="BT468">
        <v>2</v>
      </c>
      <c r="BU468">
        <v>3</v>
      </c>
      <c r="BV468">
        <v>0</v>
      </c>
      <c r="BW468">
        <v>946</v>
      </c>
      <c r="BX468">
        <v>0</v>
      </c>
      <c r="BY468">
        <v>2</v>
      </c>
      <c r="BZ468">
        <v>0</v>
      </c>
      <c r="CA468">
        <v>0</v>
      </c>
      <c r="CB468">
        <v>29</v>
      </c>
      <c r="CC468">
        <v>6</v>
      </c>
      <c r="CD468">
        <v>1</v>
      </c>
      <c r="CE468">
        <v>1</v>
      </c>
      <c r="CF468">
        <v>8</v>
      </c>
      <c r="CG468">
        <v>1</v>
      </c>
      <c r="CH468">
        <v>844</v>
      </c>
      <c r="CI468">
        <v>17</v>
      </c>
      <c r="CJ468">
        <v>1</v>
      </c>
      <c r="CK468">
        <v>8</v>
      </c>
      <c r="CL468">
        <v>5</v>
      </c>
      <c r="CM468">
        <v>21</v>
      </c>
      <c r="CN468">
        <v>5</v>
      </c>
      <c r="CO468">
        <v>4</v>
      </c>
      <c r="CP468">
        <v>0</v>
      </c>
      <c r="CQ468">
        <v>3</v>
      </c>
      <c r="CR468">
        <v>1</v>
      </c>
      <c r="CS468">
        <v>922</v>
      </c>
      <c r="CT468">
        <v>0</v>
      </c>
      <c r="CU468">
        <v>2</v>
      </c>
      <c r="CV468">
        <v>0</v>
      </c>
      <c r="CW468">
        <v>2</v>
      </c>
      <c r="CX468">
        <v>7</v>
      </c>
      <c r="CY468">
        <v>56</v>
      </c>
      <c r="CZ468">
        <v>1</v>
      </c>
      <c r="DA468">
        <v>1</v>
      </c>
      <c r="DB468">
        <v>1</v>
      </c>
      <c r="DC468">
        <v>0</v>
      </c>
      <c r="DD468">
        <v>937</v>
      </c>
      <c r="DE468">
        <v>5</v>
      </c>
      <c r="DF468">
        <v>18</v>
      </c>
      <c r="DG468">
        <v>2</v>
      </c>
      <c r="DH468">
        <v>0</v>
      </c>
      <c r="DI468">
        <v>5</v>
      </c>
      <c r="DJ468">
        <v>1</v>
      </c>
      <c r="DK468">
        <v>3</v>
      </c>
      <c r="DL468">
        <v>4</v>
      </c>
      <c r="DM468">
        <v>11</v>
      </c>
      <c r="DN468">
        <v>6</v>
      </c>
      <c r="DO468">
        <v>926</v>
      </c>
      <c r="DP468">
        <v>16</v>
      </c>
      <c r="DQ468">
        <v>2</v>
      </c>
      <c r="DR468">
        <v>1</v>
      </c>
      <c r="DS468">
        <v>0</v>
      </c>
      <c r="DT468">
        <v>1</v>
      </c>
      <c r="DU468">
        <v>5</v>
      </c>
      <c r="DV468">
        <v>8</v>
      </c>
      <c r="DW468">
        <v>0</v>
      </c>
      <c r="DX468">
        <v>3</v>
      </c>
      <c r="DY468">
        <v>2</v>
      </c>
      <c r="DZ468">
        <v>987</v>
      </c>
      <c r="EA468">
        <v>0.96189999999999998</v>
      </c>
      <c r="EB468">
        <v>0.96270190795575805</v>
      </c>
      <c r="EC468">
        <v>0.96142894573864401</v>
      </c>
      <c r="ED468">
        <v>0.96161238334653398</v>
      </c>
      <c r="EE468">
        <f>SUM(Table1[[#This Row],[ratio_0]:[ratio_9]])</f>
        <v>460</v>
      </c>
      <c r="EF468" s="1">
        <f>(Table1[[#This Row],[predicted_0]]-Table1[[#This Row],[actual_0]])/Table1[[#This Row],[actual_0]]</f>
        <v>3.0612244897959183E-2</v>
      </c>
      <c r="EG468" s="1">
        <f>(Table1[[#This Row],[predicted_1]]-Table1[[#This Row],[actual_1]])/Table1[[#This Row],[actual_1]]</f>
        <v>9.6916299559471359E-3</v>
      </c>
      <c r="EH468" s="1">
        <f>(Table1[[#This Row],[predicted_2]]-Table1[[#This Row],[actual_2]])/Table1[[#This Row],[actual_2]]</f>
        <v>7.5581395348837205E-2</v>
      </c>
      <c r="EI468" s="1">
        <f>(Table1[[#This Row],[predicted_3]]-Table1[[#This Row],[actual_3]])/Table1[[#This Row],[actual_3]]</f>
        <v>-5.9405940594059403E-2</v>
      </c>
      <c r="EJ468" s="1">
        <f>(Table1[[#This Row],[predicted_4]]-Table1[[#This Row],[actual_4]])/Table1[[#This Row],[actual_4]]</f>
        <v>-2.2403258655804479E-2</v>
      </c>
      <c r="EK468" s="1">
        <f>(Table1[[#This Row],[predicted_5]]-Table1[[#This Row],[actual_5]])/Table1[[#This Row],[actual_5]]</f>
        <v>-2.2421524663677129E-2</v>
      </c>
      <c r="EL468" s="1">
        <f>(Table1[[#This Row],[predicted_6]]-Table1[[#This Row],[actual_6]])/Table1[[#This Row],[actual_6]]</f>
        <v>-4.1753653444676405E-3</v>
      </c>
      <c r="EM468" s="1">
        <f>(Table1[[#This Row],[predicted_7]]-Table1[[#This Row],[actual_7]])/Table1[[#This Row],[actual_7]]</f>
        <v>-6.5175097276264596E-2</v>
      </c>
      <c r="EN468" s="1">
        <f>(Table1[[#This Row],[predicted_8]]-Table1[[#This Row],[actual_8]])/Table1[[#This Row],[actual_8]]</f>
        <v>-6.1601642710472282E-3</v>
      </c>
      <c r="EO468" s="1">
        <f>(Table1[[#This Row],[predicted_9]]-Table1[[#This Row],[actual_9]])/Table1[[#This Row],[actual_9]]</f>
        <v>5.9464816650148661E-2</v>
      </c>
      <c r="EP468" s="1">
        <f>1+(Table1[[#This Row],[error_ratio_0]]-EF$2)</f>
        <v>1.0285714285714285</v>
      </c>
      <c r="EQ468" s="1">
        <f>1+(Table1[[#This Row],[error_ratio_1]]-EG$2)</f>
        <v>1.0079295154185022</v>
      </c>
      <c r="ER468" s="1">
        <f>1+(Table1[[#This Row],[error_ratio_2]]-EH$2)</f>
        <v>1.0804263565891472</v>
      </c>
      <c r="ES468" s="1">
        <f>1+(Table1[[#This Row],[error_ratio_3]]-EI$2)</f>
        <v>0.93069306930693074</v>
      </c>
      <c r="ET468" s="1">
        <f>1+(Table1[[#This Row],[error_ratio_4]]-EJ$2)</f>
        <v>0.97657841140529533</v>
      </c>
      <c r="EU468" s="1">
        <f>1+(Table1[[#This Row],[error_ratio_5]]-EK$2)</f>
        <v>0.976457399103139</v>
      </c>
      <c r="EV468" s="1">
        <f>1+(Table1[[#This Row],[error_ratio_6]]-EL$2)</f>
        <v>1.0020876826722338</v>
      </c>
      <c r="EW468" s="1">
        <f>1+(Table1[[#This Row],[error_ratio_7]]-EM$2)</f>
        <v>0.93287937743190663</v>
      </c>
      <c r="EX468" s="1">
        <f>1+(Table1[[#This Row],[error_ratio_8]]-EN$2)</f>
        <v>0.99691991786447642</v>
      </c>
      <c r="EY468" s="1">
        <f>1+(Table1[[#This Row],[error_ratio_9]]-EO$2)</f>
        <v>1.0634291377601586</v>
      </c>
    </row>
    <row r="469" spans="1:155" x14ac:dyDescent="0.75">
      <c r="A469">
        <v>10</v>
      </c>
      <c r="B469">
        <v>100</v>
      </c>
      <c r="C469">
        <v>100</v>
      </c>
      <c r="D469">
        <v>10</v>
      </c>
      <c r="E469">
        <v>10</v>
      </c>
      <c r="F469">
        <v>10</v>
      </c>
      <c r="G469">
        <v>10</v>
      </c>
      <c r="H469">
        <v>10</v>
      </c>
      <c r="I469">
        <v>10</v>
      </c>
      <c r="J469">
        <v>100</v>
      </c>
      <c r="K469">
        <v>944</v>
      </c>
      <c r="L469">
        <v>1157</v>
      </c>
      <c r="M469">
        <v>1088</v>
      </c>
      <c r="N469">
        <v>982</v>
      </c>
      <c r="O469">
        <v>806</v>
      </c>
      <c r="P469">
        <v>982</v>
      </c>
      <c r="Q469">
        <v>941</v>
      </c>
      <c r="R469">
        <v>985</v>
      </c>
      <c r="S469">
        <v>900</v>
      </c>
      <c r="T469">
        <v>1215</v>
      </c>
      <c r="U469">
        <v>980</v>
      </c>
      <c r="V469">
        <v>1135</v>
      </c>
      <c r="W469">
        <v>1032</v>
      </c>
      <c r="X469">
        <v>1010</v>
      </c>
      <c r="Y469">
        <v>982</v>
      </c>
      <c r="Z469">
        <v>892</v>
      </c>
      <c r="AA469">
        <v>958</v>
      </c>
      <c r="AB469">
        <v>1028</v>
      </c>
      <c r="AC469">
        <v>974</v>
      </c>
      <c r="AD469">
        <v>1009</v>
      </c>
      <c r="AE469">
        <v>933</v>
      </c>
      <c r="AF469">
        <v>0</v>
      </c>
      <c r="AG469">
        <v>7</v>
      </c>
      <c r="AH469">
        <v>0</v>
      </c>
      <c r="AI469">
        <v>0</v>
      </c>
      <c r="AJ469">
        <v>13</v>
      </c>
      <c r="AK469">
        <v>5</v>
      </c>
      <c r="AL469">
        <v>1</v>
      </c>
      <c r="AM469">
        <v>2</v>
      </c>
      <c r="AN469">
        <v>19</v>
      </c>
      <c r="AO469">
        <v>0</v>
      </c>
      <c r="AP469">
        <v>1132</v>
      </c>
      <c r="AQ469">
        <v>1</v>
      </c>
      <c r="AR469">
        <v>0</v>
      </c>
      <c r="AS469">
        <v>0</v>
      </c>
      <c r="AT469">
        <v>1</v>
      </c>
      <c r="AU469">
        <v>0</v>
      </c>
      <c r="AV469">
        <v>1</v>
      </c>
      <c r="AW469">
        <v>0</v>
      </c>
      <c r="AX469">
        <v>0</v>
      </c>
      <c r="AY469">
        <v>1</v>
      </c>
      <c r="AZ469">
        <v>5</v>
      </c>
      <c r="BA469">
        <v>1017</v>
      </c>
      <c r="BB469">
        <v>5</v>
      </c>
      <c r="BC469">
        <v>0</v>
      </c>
      <c r="BD469">
        <v>0</v>
      </c>
      <c r="BE469">
        <v>0</v>
      </c>
      <c r="BF469">
        <v>4</v>
      </c>
      <c r="BG469">
        <v>0</v>
      </c>
      <c r="BH469">
        <v>0</v>
      </c>
      <c r="BI469">
        <v>3</v>
      </c>
      <c r="BJ469">
        <v>0</v>
      </c>
      <c r="BK469">
        <v>8</v>
      </c>
      <c r="BL469">
        <v>961</v>
      </c>
      <c r="BM469">
        <v>0</v>
      </c>
      <c r="BN469">
        <v>19</v>
      </c>
      <c r="BO469">
        <v>0</v>
      </c>
      <c r="BP469">
        <v>8</v>
      </c>
      <c r="BQ469">
        <v>1</v>
      </c>
      <c r="BR469">
        <v>10</v>
      </c>
      <c r="BS469">
        <v>1</v>
      </c>
      <c r="BT469">
        <v>4</v>
      </c>
      <c r="BU469">
        <v>17</v>
      </c>
      <c r="BV469">
        <v>0</v>
      </c>
      <c r="BW469">
        <v>804</v>
      </c>
      <c r="BX469">
        <v>0</v>
      </c>
      <c r="BY469">
        <v>16</v>
      </c>
      <c r="BZ469">
        <v>1</v>
      </c>
      <c r="CA469">
        <v>2</v>
      </c>
      <c r="CB469">
        <v>137</v>
      </c>
      <c r="CC469">
        <v>1</v>
      </c>
      <c r="CD469">
        <v>0</v>
      </c>
      <c r="CE469">
        <v>2</v>
      </c>
      <c r="CF469">
        <v>6</v>
      </c>
      <c r="CG469">
        <v>0</v>
      </c>
      <c r="CH469">
        <v>878</v>
      </c>
      <c r="CI469">
        <v>2</v>
      </c>
      <c r="CJ469">
        <v>1</v>
      </c>
      <c r="CK469">
        <v>0</v>
      </c>
      <c r="CL469">
        <v>2</v>
      </c>
      <c r="CM469">
        <v>1</v>
      </c>
      <c r="CN469">
        <v>8</v>
      </c>
      <c r="CO469">
        <v>2</v>
      </c>
      <c r="CP469">
        <v>0</v>
      </c>
      <c r="CQ469">
        <v>0</v>
      </c>
      <c r="CR469">
        <v>26</v>
      </c>
      <c r="CS469">
        <v>917</v>
      </c>
      <c r="CT469">
        <v>0</v>
      </c>
      <c r="CU469">
        <v>2</v>
      </c>
      <c r="CV469">
        <v>2</v>
      </c>
      <c r="CW469">
        <v>2</v>
      </c>
      <c r="CX469">
        <v>5</v>
      </c>
      <c r="CY469">
        <v>22</v>
      </c>
      <c r="CZ469">
        <v>1</v>
      </c>
      <c r="DA469">
        <v>0</v>
      </c>
      <c r="DB469">
        <v>0</v>
      </c>
      <c r="DC469">
        <v>0</v>
      </c>
      <c r="DD469">
        <v>961</v>
      </c>
      <c r="DE469">
        <v>2</v>
      </c>
      <c r="DF469">
        <v>35</v>
      </c>
      <c r="DG469">
        <v>2</v>
      </c>
      <c r="DH469">
        <v>2</v>
      </c>
      <c r="DI469">
        <v>11</v>
      </c>
      <c r="DJ469">
        <v>9</v>
      </c>
      <c r="DK469">
        <v>1</v>
      </c>
      <c r="DL469">
        <v>37</v>
      </c>
      <c r="DM469">
        <v>1</v>
      </c>
      <c r="DN469">
        <v>6</v>
      </c>
      <c r="DO469">
        <v>891</v>
      </c>
      <c r="DP469">
        <v>14</v>
      </c>
      <c r="DQ469">
        <v>0</v>
      </c>
      <c r="DR469">
        <v>1</v>
      </c>
      <c r="DS469">
        <v>1</v>
      </c>
      <c r="DT469">
        <v>0</v>
      </c>
      <c r="DU469">
        <v>1</v>
      </c>
      <c r="DV469">
        <v>8</v>
      </c>
      <c r="DW469">
        <v>0</v>
      </c>
      <c r="DX469">
        <v>2</v>
      </c>
      <c r="DY469">
        <v>0</v>
      </c>
      <c r="DZ469">
        <v>996</v>
      </c>
      <c r="EA469">
        <v>0.94899999999999995</v>
      </c>
      <c r="EB469">
        <v>0.95315926889075797</v>
      </c>
      <c r="EC469">
        <v>0.94833178715113897</v>
      </c>
      <c r="ED469">
        <v>0.94854493107749605</v>
      </c>
      <c r="EE469">
        <f>SUM(Table1[[#This Row],[ratio_0]:[ratio_9]])</f>
        <v>370</v>
      </c>
      <c r="EF469" s="1">
        <f>(Table1[[#This Row],[predicted_0]]-Table1[[#This Row],[actual_0]])/Table1[[#This Row],[actual_0]]</f>
        <v>-3.6734693877551024E-2</v>
      </c>
      <c r="EG469" s="1">
        <f>(Table1[[#This Row],[predicted_1]]-Table1[[#This Row],[actual_1]])/Table1[[#This Row],[actual_1]]</f>
        <v>1.9383259911894272E-2</v>
      </c>
      <c r="EH469" s="1">
        <f>(Table1[[#This Row],[predicted_2]]-Table1[[#This Row],[actual_2]])/Table1[[#This Row],[actual_2]]</f>
        <v>5.4263565891472867E-2</v>
      </c>
      <c r="EI469" s="1">
        <f>(Table1[[#This Row],[predicted_3]]-Table1[[#This Row],[actual_3]])/Table1[[#This Row],[actual_3]]</f>
        <v>-2.7722772277227723E-2</v>
      </c>
      <c r="EJ469" s="1">
        <f>(Table1[[#This Row],[predicted_4]]-Table1[[#This Row],[actual_4]])/Table1[[#This Row],[actual_4]]</f>
        <v>-0.17922606924643583</v>
      </c>
      <c r="EK469" s="1">
        <f>(Table1[[#This Row],[predicted_5]]-Table1[[#This Row],[actual_5]])/Table1[[#This Row],[actual_5]]</f>
        <v>0.10089686098654709</v>
      </c>
      <c r="EL469" s="1">
        <f>(Table1[[#This Row],[predicted_6]]-Table1[[#This Row],[actual_6]])/Table1[[#This Row],[actual_6]]</f>
        <v>-1.7745302713987474E-2</v>
      </c>
      <c r="EM469" s="1">
        <f>(Table1[[#This Row],[predicted_7]]-Table1[[#This Row],[actual_7]])/Table1[[#This Row],[actual_7]]</f>
        <v>-4.1828793774319063E-2</v>
      </c>
      <c r="EN469" s="1">
        <f>(Table1[[#This Row],[predicted_8]]-Table1[[#This Row],[actual_8]])/Table1[[#This Row],[actual_8]]</f>
        <v>-7.5975359342915813E-2</v>
      </c>
      <c r="EO469" s="1">
        <f>(Table1[[#This Row],[predicted_9]]-Table1[[#This Row],[actual_9]])/Table1[[#This Row],[actual_9]]</f>
        <v>0.20416253716551042</v>
      </c>
      <c r="EP469" s="1">
        <f>1+(Table1[[#This Row],[error_ratio_0]]-EF$2)</f>
        <v>0.96122448979591835</v>
      </c>
      <c r="EQ469" s="1">
        <f>1+(Table1[[#This Row],[error_ratio_1]]-EG$2)</f>
        <v>1.0176211453744493</v>
      </c>
      <c r="ER469" s="1">
        <f>1+(Table1[[#This Row],[error_ratio_2]]-EH$2)</f>
        <v>1.0591085271317831</v>
      </c>
      <c r="ES469" s="1">
        <f>1+(Table1[[#This Row],[error_ratio_3]]-EI$2)</f>
        <v>0.96237623762376234</v>
      </c>
      <c r="ET469" s="1">
        <f>1+(Table1[[#This Row],[error_ratio_4]]-EJ$2)</f>
        <v>0.81975560081466403</v>
      </c>
      <c r="EU469" s="1">
        <f>1+(Table1[[#This Row],[error_ratio_5]]-EK$2)</f>
        <v>1.0997757847533631</v>
      </c>
      <c r="EV469" s="1">
        <f>1+(Table1[[#This Row],[error_ratio_6]]-EL$2)</f>
        <v>0.98851774530271397</v>
      </c>
      <c r="EW469" s="1">
        <f>1+(Table1[[#This Row],[error_ratio_7]]-EM$2)</f>
        <v>0.95622568093385218</v>
      </c>
      <c r="EX469" s="1">
        <f>1+(Table1[[#This Row],[error_ratio_8]]-EN$2)</f>
        <v>0.9271047227926078</v>
      </c>
      <c r="EY469" s="1">
        <f>1+(Table1[[#This Row],[error_ratio_9]]-EO$2)</f>
        <v>1.2081268582755202</v>
      </c>
    </row>
    <row r="470" spans="1:155" x14ac:dyDescent="0.75">
      <c r="A470">
        <v>100</v>
      </c>
      <c r="B470">
        <v>10</v>
      </c>
      <c r="C470">
        <v>100</v>
      </c>
      <c r="D470">
        <v>10</v>
      </c>
      <c r="E470">
        <v>10</v>
      </c>
      <c r="F470">
        <v>10</v>
      </c>
      <c r="G470">
        <v>10</v>
      </c>
      <c r="H470">
        <v>10</v>
      </c>
      <c r="I470">
        <v>10</v>
      </c>
      <c r="J470">
        <v>100</v>
      </c>
      <c r="K470">
        <v>1056</v>
      </c>
      <c r="L470">
        <v>1120</v>
      </c>
      <c r="M470">
        <v>1107</v>
      </c>
      <c r="N470">
        <v>998</v>
      </c>
      <c r="O470">
        <v>955</v>
      </c>
      <c r="P470">
        <v>829</v>
      </c>
      <c r="Q470">
        <v>950</v>
      </c>
      <c r="R470">
        <v>972</v>
      </c>
      <c r="S470">
        <v>860</v>
      </c>
      <c r="T470">
        <v>1153</v>
      </c>
      <c r="U470">
        <v>980</v>
      </c>
      <c r="V470">
        <v>1135</v>
      </c>
      <c r="W470">
        <v>1032</v>
      </c>
      <c r="X470">
        <v>1010</v>
      </c>
      <c r="Y470">
        <v>982</v>
      </c>
      <c r="Z470">
        <v>892</v>
      </c>
      <c r="AA470">
        <v>958</v>
      </c>
      <c r="AB470">
        <v>1028</v>
      </c>
      <c r="AC470">
        <v>974</v>
      </c>
      <c r="AD470">
        <v>1009</v>
      </c>
      <c r="AE470">
        <v>971</v>
      </c>
      <c r="AF470">
        <v>0</v>
      </c>
      <c r="AG470">
        <v>1</v>
      </c>
      <c r="AH470">
        <v>0</v>
      </c>
      <c r="AI470">
        <v>0</v>
      </c>
      <c r="AJ470">
        <v>0</v>
      </c>
      <c r="AK470">
        <v>0</v>
      </c>
      <c r="AL470">
        <v>0</v>
      </c>
      <c r="AM470">
        <v>1</v>
      </c>
      <c r="AN470">
        <v>7</v>
      </c>
      <c r="AO470">
        <v>0</v>
      </c>
      <c r="AP470">
        <v>1113</v>
      </c>
      <c r="AQ470">
        <v>8</v>
      </c>
      <c r="AR470">
        <v>0</v>
      </c>
      <c r="AS470">
        <v>1</v>
      </c>
      <c r="AT470">
        <v>1</v>
      </c>
      <c r="AU470">
        <v>4</v>
      </c>
      <c r="AV470">
        <v>8</v>
      </c>
      <c r="AW470">
        <v>0</v>
      </c>
      <c r="AX470">
        <v>0</v>
      </c>
      <c r="AY470">
        <v>5</v>
      </c>
      <c r="AZ470">
        <v>0</v>
      </c>
      <c r="BA470">
        <v>1008</v>
      </c>
      <c r="BB470">
        <v>2</v>
      </c>
      <c r="BC470">
        <v>1</v>
      </c>
      <c r="BD470">
        <v>0</v>
      </c>
      <c r="BE470">
        <v>2</v>
      </c>
      <c r="BF470">
        <v>10</v>
      </c>
      <c r="BG470">
        <v>0</v>
      </c>
      <c r="BH470">
        <v>4</v>
      </c>
      <c r="BI470">
        <v>3</v>
      </c>
      <c r="BJ470">
        <v>0</v>
      </c>
      <c r="BK470">
        <v>8</v>
      </c>
      <c r="BL470">
        <v>963</v>
      </c>
      <c r="BM470">
        <v>0</v>
      </c>
      <c r="BN470">
        <v>7</v>
      </c>
      <c r="BO470">
        <v>2</v>
      </c>
      <c r="BP470">
        <v>4</v>
      </c>
      <c r="BQ470">
        <v>7</v>
      </c>
      <c r="BR470">
        <v>16</v>
      </c>
      <c r="BS470">
        <v>2</v>
      </c>
      <c r="BT470">
        <v>0</v>
      </c>
      <c r="BU470">
        <v>22</v>
      </c>
      <c r="BV470">
        <v>0</v>
      </c>
      <c r="BW470">
        <v>937</v>
      </c>
      <c r="BX470">
        <v>0</v>
      </c>
      <c r="BY470">
        <v>8</v>
      </c>
      <c r="BZ470">
        <v>0</v>
      </c>
      <c r="CA470">
        <v>2</v>
      </c>
      <c r="CB470">
        <v>11</v>
      </c>
      <c r="CC470">
        <v>24</v>
      </c>
      <c r="CD470">
        <v>0</v>
      </c>
      <c r="CE470">
        <v>1</v>
      </c>
      <c r="CF470">
        <v>10</v>
      </c>
      <c r="CG470">
        <v>0</v>
      </c>
      <c r="CH470">
        <v>817</v>
      </c>
      <c r="CI470">
        <v>3</v>
      </c>
      <c r="CJ470">
        <v>2</v>
      </c>
      <c r="CK470">
        <v>4</v>
      </c>
      <c r="CL470">
        <v>31</v>
      </c>
      <c r="CM470">
        <v>36</v>
      </c>
      <c r="CN470">
        <v>2</v>
      </c>
      <c r="CO470">
        <v>1</v>
      </c>
      <c r="CP470">
        <v>0</v>
      </c>
      <c r="CQ470">
        <v>1</v>
      </c>
      <c r="CR470">
        <v>1</v>
      </c>
      <c r="CS470">
        <v>913</v>
      </c>
      <c r="CT470">
        <v>0</v>
      </c>
      <c r="CU470">
        <v>0</v>
      </c>
      <c r="CV470">
        <v>4</v>
      </c>
      <c r="CW470">
        <v>3</v>
      </c>
      <c r="CX470">
        <v>3</v>
      </c>
      <c r="CY470">
        <v>21</v>
      </c>
      <c r="CZ470">
        <v>14</v>
      </c>
      <c r="DA470">
        <v>5</v>
      </c>
      <c r="DB470">
        <v>1</v>
      </c>
      <c r="DC470">
        <v>0</v>
      </c>
      <c r="DD470">
        <v>940</v>
      </c>
      <c r="DE470">
        <v>0</v>
      </c>
      <c r="DF470">
        <v>41</v>
      </c>
      <c r="DG470">
        <v>10</v>
      </c>
      <c r="DH470">
        <v>0</v>
      </c>
      <c r="DI470">
        <v>36</v>
      </c>
      <c r="DJ470">
        <v>8</v>
      </c>
      <c r="DK470">
        <v>3</v>
      </c>
      <c r="DL470">
        <v>2</v>
      </c>
      <c r="DM470">
        <v>18</v>
      </c>
      <c r="DN470">
        <v>7</v>
      </c>
      <c r="DO470">
        <v>845</v>
      </c>
      <c r="DP470">
        <v>45</v>
      </c>
      <c r="DQ470">
        <v>2</v>
      </c>
      <c r="DR470">
        <v>2</v>
      </c>
      <c r="DS470">
        <v>1</v>
      </c>
      <c r="DT470">
        <v>1</v>
      </c>
      <c r="DU470">
        <v>7</v>
      </c>
      <c r="DV470">
        <v>0</v>
      </c>
      <c r="DW470">
        <v>0</v>
      </c>
      <c r="DX470">
        <v>1</v>
      </c>
      <c r="DY470">
        <v>1</v>
      </c>
      <c r="DZ470">
        <v>994</v>
      </c>
      <c r="EA470">
        <v>0.95009999999999994</v>
      </c>
      <c r="EB470">
        <v>0.95282209351382097</v>
      </c>
      <c r="EC470">
        <v>0.94918513255047998</v>
      </c>
      <c r="ED470">
        <v>0.94975791658069497</v>
      </c>
      <c r="EE470">
        <f>SUM(Table1[[#This Row],[ratio_0]:[ratio_9]])</f>
        <v>370</v>
      </c>
      <c r="EF470" s="1">
        <f>(Table1[[#This Row],[predicted_0]]-Table1[[#This Row],[actual_0]])/Table1[[#This Row],[actual_0]]</f>
        <v>7.7551020408163265E-2</v>
      </c>
      <c r="EG470" s="1">
        <f>(Table1[[#This Row],[predicted_1]]-Table1[[#This Row],[actual_1]])/Table1[[#This Row],[actual_1]]</f>
        <v>-1.3215859030837005E-2</v>
      </c>
      <c r="EH470" s="1">
        <f>(Table1[[#This Row],[predicted_2]]-Table1[[#This Row],[actual_2]])/Table1[[#This Row],[actual_2]]</f>
        <v>7.2674418604651167E-2</v>
      </c>
      <c r="EI470" s="1">
        <f>(Table1[[#This Row],[predicted_3]]-Table1[[#This Row],[actual_3]])/Table1[[#This Row],[actual_3]]</f>
        <v>-1.1881188118811881E-2</v>
      </c>
      <c r="EJ470" s="1">
        <f>(Table1[[#This Row],[predicted_4]]-Table1[[#This Row],[actual_4]])/Table1[[#This Row],[actual_4]]</f>
        <v>-2.7494908350305498E-2</v>
      </c>
      <c r="EK470" s="1">
        <f>(Table1[[#This Row],[predicted_5]]-Table1[[#This Row],[actual_5]])/Table1[[#This Row],[actual_5]]</f>
        <v>-7.0627802690582955E-2</v>
      </c>
      <c r="EL470" s="1">
        <f>(Table1[[#This Row],[predicted_6]]-Table1[[#This Row],[actual_6]])/Table1[[#This Row],[actual_6]]</f>
        <v>-8.350730688935281E-3</v>
      </c>
      <c r="EM470" s="1">
        <f>(Table1[[#This Row],[predicted_7]]-Table1[[#This Row],[actual_7]])/Table1[[#This Row],[actual_7]]</f>
        <v>-5.4474708171206226E-2</v>
      </c>
      <c r="EN470" s="1">
        <f>(Table1[[#This Row],[predicted_8]]-Table1[[#This Row],[actual_8]])/Table1[[#This Row],[actual_8]]</f>
        <v>-0.11704312114989733</v>
      </c>
      <c r="EO470" s="1">
        <f>(Table1[[#This Row],[predicted_9]]-Table1[[#This Row],[actual_9]])/Table1[[#This Row],[actual_9]]</f>
        <v>0.14271555996035679</v>
      </c>
      <c r="EP470" s="1">
        <f>1+(Table1[[#This Row],[error_ratio_0]]-EF$2)</f>
        <v>1.0755102040816327</v>
      </c>
      <c r="EQ470" s="1">
        <f>1+(Table1[[#This Row],[error_ratio_1]]-EG$2)</f>
        <v>0.9850220264317181</v>
      </c>
      <c r="ER470" s="1">
        <f>1+(Table1[[#This Row],[error_ratio_2]]-EH$2)</f>
        <v>1.0775193798449612</v>
      </c>
      <c r="ES470" s="1">
        <f>1+(Table1[[#This Row],[error_ratio_3]]-EI$2)</f>
        <v>0.9782178217821782</v>
      </c>
      <c r="ET470" s="1">
        <f>1+(Table1[[#This Row],[error_ratio_4]]-EJ$2)</f>
        <v>0.97148676171079429</v>
      </c>
      <c r="EU470" s="1">
        <f>1+(Table1[[#This Row],[error_ratio_5]]-EK$2)</f>
        <v>0.9282511210762332</v>
      </c>
      <c r="EV470" s="1">
        <f>1+(Table1[[#This Row],[error_ratio_6]]-EL$2)</f>
        <v>0.9979123173277662</v>
      </c>
      <c r="EW470" s="1">
        <f>1+(Table1[[#This Row],[error_ratio_7]]-EM$2)</f>
        <v>0.94357976653696496</v>
      </c>
      <c r="EX470" s="1">
        <f>1+(Table1[[#This Row],[error_ratio_8]]-EN$2)</f>
        <v>0.88603696098562623</v>
      </c>
      <c r="EY470" s="1">
        <f>1+(Table1[[#This Row],[error_ratio_9]]-EO$2)</f>
        <v>1.1466798810703667</v>
      </c>
    </row>
    <row r="471" spans="1:155" x14ac:dyDescent="0.75">
      <c r="A471">
        <v>10</v>
      </c>
      <c r="B471">
        <v>10</v>
      </c>
      <c r="C471">
        <v>100</v>
      </c>
      <c r="D471">
        <v>10</v>
      </c>
      <c r="E471">
        <v>10</v>
      </c>
      <c r="F471">
        <v>10</v>
      </c>
      <c r="G471">
        <v>10</v>
      </c>
      <c r="H471">
        <v>10</v>
      </c>
      <c r="I471">
        <v>10</v>
      </c>
      <c r="J471">
        <v>100</v>
      </c>
      <c r="K471">
        <v>1005</v>
      </c>
      <c r="L471">
        <v>1149</v>
      </c>
      <c r="M471">
        <v>1097</v>
      </c>
      <c r="N471">
        <v>844</v>
      </c>
      <c r="O471">
        <v>984</v>
      </c>
      <c r="P471">
        <v>399</v>
      </c>
      <c r="Q471">
        <v>884</v>
      </c>
      <c r="R471">
        <v>633</v>
      </c>
      <c r="S471">
        <v>963</v>
      </c>
      <c r="T471">
        <v>2042</v>
      </c>
      <c r="U471">
        <v>980</v>
      </c>
      <c r="V471">
        <v>1135</v>
      </c>
      <c r="W471">
        <v>1032</v>
      </c>
      <c r="X471">
        <v>1010</v>
      </c>
      <c r="Y471">
        <v>982</v>
      </c>
      <c r="Z471">
        <v>892</v>
      </c>
      <c r="AA471">
        <v>958</v>
      </c>
      <c r="AB471">
        <v>1028</v>
      </c>
      <c r="AC471">
        <v>974</v>
      </c>
      <c r="AD471">
        <v>1009</v>
      </c>
      <c r="AE471">
        <v>951</v>
      </c>
      <c r="AF471">
        <v>1</v>
      </c>
      <c r="AG471">
        <v>0</v>
      </c>
      <c r="AH471">
        <v>0</v>
      </c>
      <c r="AI471">
        <v>0</v>
      </c>
      <c r="AJ471">
        <v>0</v>
      </c>
      <c r="AK471">
        <v>0</v>
      </c>
      <c r="AL471">
        <v>0</v>
      </c>
      <c r="AM471">
        <v>3</v>
      </c>
      <c r="AN471">
        <v>25</v>
      </c>
      <c r="AO471">
        <v>0</v>
      </c>
      <c r="AP471">
        <v>1124</v>
      </c>
      <c r="AQ471">
        <v>6</v>
      </c>
      <c r="AR471">
        <v>0</v>
      </c>
      <c r="AS471">
        <v>0</v>
      </c>
      <c r="AT471">
        <v>0</v>
      </c>
      <c r="AU471">
        <v>0</v>
      </c>
      <c r="AV471">
        <v>0</v>
      </c>
      <c r="AW471">
        <v>5</v>
      </c>
      <c r="AX471">
        <v>0</v>
      </c>
      <c r="AY471">
        <v>2</v>
      </c>
      <c r="AZ471">
        <v>0</v>
      </c>
      <c r="BA471">
        <v>1002</v>
      </c>
      <c r="BB471">
        <v>0</v>
      </c>
      <c r="BC471">
        <v>2</v>
      </c>
      <c r="BD471">
        <v>0</v>
      </c>
      <c r="BE471">
        <v>1</v>
      </c>
      <c r="BF471">
        <v>1</v>
      </c>
      <c r="BG471">
        <v>2</v>
      </c>
      <c r="BH471">
        <v>22</v>
      </c>
      <c r="BI471">
        <v>2</v>
      </c>
      <c r="BJ471">
        <v>0</v>
      </c>
      <c r="BK471">
        <v>20</v>
      </c>
      <c r="BL471">
        <v>820</v>
      </c>
      <c r="BM471">
        <v>3</v>
      </c>
      <c r="BN471">
        <v>0</v>
      </c>
      <c r="BO471">
        <v>0</v>
      </c>
      <c r="BP471">
        <v>2</v>
      </c>
      <c r="BQ471">
        <v>17</v>
      </c>
      <c r="BR471">
        <v>146</v>
      </c>
      <c r="BS471">
        <v>0</v>
      </c>
      <c r="BT471">
        <v>4</v>
      </c>
      <c r="BU471">
        <v>3</v>
      </c>
      <c r="BV471">
        <v>0</v>
      </c>
      <c r="BW471">
        <v>920</v>
      </c>
      <c r="BX471">
        <v>0</v>
      </c>
      <c r="BY471">
        <v>0</v>
      </c>
      <c r="BZ471">
        <v>0</v>
      </c>
      <c r="CA471">
        <v>2</v>
      </c>
      <c r="CB471">
        <v>53</v>
      </c>
      <c r="CC471">
        <v>15</v>
      </c>
      <c r="CD471">
        <v>2</v>
      </c>
      <c r="CE471">
        <v>5</v>
      </c>
      <c r="CF471">
        <v>23</v>
      </c>
      <c r="CG471">
        <v>9</v>
      </c>
      <c r="CH471">
        <v>398</v>
      </c>
      <c r="CI471">
        <v>8</v>
      </c>
      <c r="CJ471">
        <v>0</v>
      </c>
      <c r="CK471">
        <v>54</v>
      </c>
      <c r="CL471">
        <v>378</v>
      </c>
      <c r="CM471">
        <v>24</v>
      </c>
      <c r="CN471">
        <v>7</v>
      </c>
      <c r="CO471">
        <v>3</v>
      </c>
      <c r="CP471">
        <v>0</v>
      </c>
      <c r="CQ471">
        <v>41</v>
      </c>
      <c r="CR471">
        <v>0</v>
      </c>
      <c r="CS471">
        <v>872</v>
      </c>
      <c r="CT471">
        <v>0</v>
      </c>
      <c r="CU471">
        <v>6</v>
      </c>
      <c r="CV471">
        <v>5</v>
      </c>
      <c r="CW471">
        <v>2</v>
      </c>
      <c r="CX471">
        <v>8</v>
      </c>
      <c r="CY471">
        <v>53</v>
      </c>
      <c r="CZ471">
        <v>0</v>
      </c>
      <c r="DA471">
        <v>3</v>
      </c>
      <c r="DB471">
        <v>0</v>
      </c>
      <c r="DC471">
        <v>0</v>
      </c>
      <c r="DD471">
        <v>629</v>
      </c>
      <c r="DE471">
        <v>7</v>
      </c>
      <c r="DF471">
        <v>326</v>
      </c>
      <c r="DG471">
        <v>8</v>
      </c>
      <c r="DH471">
        <v>1</v>
      </c>
      <c r="DI471">
        <v>5</v>
      </c>
      <c r="DJ471">
        <v>1</v>
      </c>
      <c r="DK471">
        <v>5</v>
      </c>
      <c r="DL471">
        <v>1</v>
      </c>
      <c r="DM471">
        <v>3</v>
      </c>
      <c r="DN471">
        <v>1</v>
      </c>
      <c r="DO471">
        <v>865</v>
      </c>
      <c r="DP471">
        <v>84</v>
      </c>
      <c r="DQ471">
        <v>1</v>
      </c>
      <c r="DR471">
        <v>2</v>
      </c>
      <c r="DS471">
        <v>0</v>
      </c>
      <c r="DT471">
        <v>0</v>
      </c>
      <c r="DU471">
        <v>1</v>
      </c>
      <c r="DV471">
        <v>0</v>
      </c>
      <c r="DW471">
        <v>0</v>
      </c>
      <c r="DX471">
        <v>0</v>
      </c>
      <c r="DY471">
        <v>2</v>
      </c>
      <c r="DZ471">
        <v>1003</v>
      </c>
      <c r="EA471">
        <v>0.85840000000000005</v>
      </c>
      <c r="EB471">
        <v>0.91114538734838801</v>
      </c>
      <c r="EC471">
        <v>0.85308210553667296</v>
      </c>
      <c r="ED471">
        <v>0.85755673304329605</v>
      </c>
      <c r="EE471">
        <f>SUM(Table1[[#This Row],[ratio_0]:[ratio_9]])</f>
        <v>280</v>
      </c>
      <c r="EF471" s="1">
        <f>(Table1[[#This Row],[predicted_0]]-Table1[[#This Row],[actual_0]])/Table1[[#This Row],[actual_0]]</f>
        <v>2.5510204081632654E-2</v>
      </c>
      <c r="EG471" s="1">
        <f>(Table1[[#This Row],[predicted_1]]-Table1[[#This Row],[actual_1]])/Table1[[#This Row],[actual_1]]</f>
        <v>1.2334801762114538E-2</v>
      </c>
      <c r="EH471" s="1">
        <f>(Table1[[#This Row],[predicted_2]]-Table1[[#This Row],[actual_2]])/Table1[[#This Row],[actual_2]]</f>
        <v>6.2984496124031009E-2</v>
      </c>
      <c r="EI471" s="1">
        <f>(Table1[[#This Row],[predicted_3]]-Table1[[#This Row],[actual_3]])/Table1[[#This Row],[actual_3]]</f>
        <v>-0.16435643564356436</v>
      </c>
      <c r="EJ471" s="1">
        <f>(Table1[[#This Row],[predicted_4]]-Table1[[#This Row],[actual_4]])/Table1[[#This Row],[actual_4]]</f>
        <v>2.0366598778004071E-3</v>
      </c>
      <c r="EK471" s="1">
        <f>(Table1[[#This Row],[predicted_5]]-Table1[[#This Row],[actual_5]])/Table1[[#This Row],[actual_5]]</f>
        <v>-0.55269058295964124</v>
      </c>
      <c r="EL471" s="1">
        <f>(Table1[[#This Row],[predicted_6]]-Table1[[#This Row],[actual_6]])/Table1[[#This Row],[actual_6]]</f>
        <v>-7.724425887265135E-2</v>
      </c>
      <c r="EM471" s="1">
        <f>(Table1[[#This Row],[predicted_7]]-Table1[[#This Row],[actual_7]])/Table1[[#This Row],[actual_7]]</f>
        <v>-0.38424124513618679</v>
      </c>
      <c r="EN471" s="1">
        <f>(Table1[[#This Row],[predicted_8]]-Table1[[#This Row],[actual_8]])/Table1[[#This Row],[actual_8]]</f>
        <v>-1.1293634496919919E-2</v>
      </c>
      <c r="EO471" s="1">
        <f>(Table1[[#This Row],[predicted_9]]-Table1[[#This Row],[actual_9]])/Table1[[#This Row],[actual_9]]</f>
        <v>1.0237859266600595</v>
      </c>
      <c r="EP471" s="1">
        <f>1+(Table1[[#This Row],[error_ratio_0]]-EF$2)</f>
        <v>1.023469387755102</v>
      </c>
      <c r="EQ471" s="1">
        <f>1+(Table1[[#This Row],[error_ratio_1]]-EG$2)</f>
        <v>1.0105726872246696</v>
      </c>
      <c r="ER471" s="1">
        <f>1+(Table1[[#This Row],[error_ratio_2]]-EH$2)</f>
        <v>1.067829457364341</v>
      </c>
      <c r="ES471" s="1">
        <f>1+(Table1[[#This Row],[error_ratio_3]]-EI$2)</f>
        <v>0.8257425742574257</v>
      </c>
      <c r="ET471" s="1">
        <f>1+(Table1[[#This Row],[error_ratio_4]]-EJ$2)</f>
        <v>1.0010183299389002</v>
      </c>
      <c r="EU471" s="1">
        <f>1+(Table1[[#This Row],[error_ratio_5]]-EK$2)</f>
        <v>0.44618834080717495</v>
      </c>
      <c r="EV471" s="1">
        <f>1+(Table1[[#This Row],[error_ratio_6]]-EL$2)</f>
        <v>0.92901878914405012</v>
      </c>
      <c r="EW471" s="1">
        <f>1+(Table1[[#This Row],[error_ratio_7]]-EM$2)</f>
        <v>0.61381322957198448</v>
      </c>
      <c r="EX471" s="1">
        <f>1+(Table1[[#This Row],[error_ratio_8]]-EN$2)</f>
        <v>0.99178644763860369</v>
      </c>
      <c r="EY471" s="1">
        <f>1+(Table1[[#This Row],[error_ratio_9]]-EO$2)</f>
        <v>2.0277502477700695</v>
      </c>
    </row>
    <row r="472" spans="1:155" x14ac:dyDescent="0.75">
      <c r="A472">
        <v>100</v>
      </c>
      <c r="B472">
        <v>100</v>
      </c>
      <c r="C472">
        <v>10</v>
      </c>
      <c r="D472">
        <v>10</v>
      </c>
      <c r="E472">
        <v>10</v>
      </c>
      <c r="F472">
        <v>10</v>
      </c>
      <c r="G472">
        <v>10</v>
      </c>
      <c r="H472">
        <v>10</v>
      </c>
      <c r="I472">
        <v>10</v>
      </c>
      <c r="J472">
        <v>100</v>
      </c>
      <c r="K472">
        <v>1036</v>
      </c>
      <c r="L472">
        <v>1144</v>
      </c>
      <c r="M472">
        <v>1071</v>
      </c>
      <c r="N472">
        <v>1106</v>
      </c>
      <c r="O472">
        <v>610</v>
      </c>
      <c r="P472">
        <v>855</v>
      </c>
      <c r="Q472">
        <v>828</v>
      </c>
      <c r="R472">
        <v>1034</v>
      </c>
      <c r="S472">
        <v>778</v>
      </c>
      <c r="T472">
        <v>1538</v>
      </c>
      <c r="U472">
        <v>980</v>
      </c>
      <c r="V472">
        <v>1135</v>
      </c>
      <c r="W472">
        <v>1032</v>
      </c>
      <c r="X472">
        <v>1010</v>
      </c>
      <c r="Y472">
        <v>982</v>
      </c>
      <c r="Z472">
        <v>892</v>
      </c>
      <c r="AA472">
        <v>958</v>
      </c>
      <c r="AB472">
        <v>1028</v>
      </c>
      <c r="AC472">
        <v>974</v>
      </c>
      <c r="AD472">
        <v>1009</v>
      </c>
      <c r="AE472">
        <v>970</v>
      </c>
      <c r="AF472">
        <v>0</v>
      </c>
      <c r="AG472">
        <v>0</v>
      </c>
      <c r="AH472">
        <v>2</v>
      </c>
      <c r="AI472">
        <v>0</v>
      </c>
      <c r="AJ472">
        <v>3</v>
      </c>
      <c r="AK472">
        <v>0</v>
      </c>
      <c r="AL472">
        <v>2</v>
      </c>
      <c r="AM472">
        <v>1</v>
      </c>
      <c r="AN472">
        <v>2</v>
      </c>
      <c r="AO472">
        <v>0</v>
      </c>
      <c r="AP472">
        <v>1125</v>
      </c>
      <c r="AQ472">
        <v>1</v>
      </c>
      <c r="AR472">
        <v>6</v>
      </c>
      <c r="AS472">
        <v>0</v>
      </c>
      <c r="AT472">
        <v>1</v>
      </c>
      <c r="AU472">
        <v>0</v>
      </c>
      <c r="AV472">
        <v>1</v>
      </c>
      <c r="AW472">
        <v>0</v>
      </c>
      <c r="AX472">
        <v>1</v>
      </c>
      <c r="AY472">
        <v>6</v>
      </c>
      <c r="AZ472">
        <v>5</v>
      </c>
      <c r="BA472">
        <v>978</v>
      </c>
      <c r="BB472">
        <v>22</v>
      </c>
      <c r="BC472">
        <v>0</v>
      </c>
      <c r="BD472">
        <v>2</v>
      </c>
      <c r="BE472">
        <v>0</v>
      </c>
      <c r="BF472">
        <v>11</v>
      </c>
      <c r="BG472">
        <v>2</v>
      </c>
      <c r="BH472">
        <v>6</v>
      </c>
      <c r="BI472">
        <v>4</v>
      </c>
      <c r="BJ472">
        <v>0</v>
      </c>
      <c r="BK472">
        <v>4</v>
      </c>
      <c r="BL472">
        <v>981</v>
      </c>
      <c r="BM472">
        <v>0</v>
      </c>
      <c r="BN472">
        <v>7</v>
      </c>
      <c r="BO472">
        <v>0</v>
      </c>
      <c r="BP472">
        <v>8</v>
      </c>
      <c r="BQ472">
        <v>0</v>
      </c>
      <c r="BR472">
        <v>6</v>
      </c>
      <c r="BS472">
        <v>0</v>
      </c>
      <c r="BT472">
        <v>0</v>
      </c>
      <c r="BU472">
        <v>10</v>
      </c>
      <c r="BV472">
        <v>0</v>
      </c>
      <c r="BW472">
        <v>604</v>
      </c>
      <c r="BX472">
        <v>0</v>
      </c>
      <c r="BY472">
        <v>0</v>
      </c>
      <c r="BZ472">
        <v>0</v>
      </c>
      <c r="CA472">
        <v>0</v>
      </c>
      <c r="CB472">
        <v>368</v>
      </c>
      <c r="CC472">
        <v>9</v>
      </c>
      <c r="CD472">
        <v>1</v>
      </c>
      <c r="CE472">
        <v>3</v>
      </c>
      <c r="CF472">
        <v>17</v>
      </c>
      <c r="CG472">
        <v>0</v>
      </c>
      <c r="CH472">
        <v>804</v>
      </c>
      <c r="CI472">
        <v>2</v>
      </c>
      <c r="CJ472">
        <v>1</v>
      </c>
      <c r="CK472">
        <v>1</v>
      </c>
      <c r="CL472">
        <v>54</v>
      </c>
      <c r="CM472">
        <v>39</v>
      </c>
      <c r="CN472">
        <v>5</v>
      </c>
      <c r="CO472">
        <v>55</v>
      </c>
      <c r="CP472">
        <v>0</v>
      </c>
      <c r="CQ472">
        <v>4</v>
      </c>
      <c r="CR472">
        <v>15</v>
      </c>
      <c r="CS472">
        <v>826</v>
      </c>
      <c r="CT472">
        <v>0</v>
      </c>
      <c r="CU472">
        <v>3</v>
      </c>
      <c r="CV472">
        <v>11</v>
      </c>
      <c r="CW472">
        <v>1</v>
      </c>
      <c r="CX472">
        <v>3</v>
      </c>
      <c r="CY472">
        <v>9</v>
      </c>
      <c r="CZ472">
        <v>14</v>
      </c>
      <c r="DA472">
        <v>2</v>
      </c>
      <c r="DB472">
        <v>0</v>
      </c>
      <c r="DC472">
        <v>0</v>
      </c>
      <c r="DD472">
        <v>984</v>
      </c>
      <c r="DE472">
        <v>0</v>
      </c>
      <c r="DF472">
        <v>15</v>
      </c>
      <c r="DG472">
        <v>5</v>
      </c>
      <c r="DH472">
        <v>2</v>
      </c>
      <c r="DI472">
        <v>11</v>
      </c>
      <c r="DJ472">
        <v>63</v>
      </c>
      <c r="DK472">
        <v>0</v>
      </c>
      <c r="DL472">
        <v>23</v>
      </c>
      <c r="DM472">
        <v>0</v>
      </c>
      <c r="DN472">
        <v>23</v>
      </c>
      <c r="DO472">
        <v>771</v>
      </c>
      <c r="DP472">
        <v>76</v>
      </c>
      <c r="DQ472">
        <v>2</v>
      </c>
      <c r="DR472">
        <v>3</v>
      </c>
      <c r="DS472">
        <v>0</v>
      </c>
      <c r="DT472">
        <v>1</v>
      </c>
      <c r="DU472">
        <v>0</v>
      </c>
      <c r="DV472">
        <v>0</v>
      </c>
      <c r="DW472">
        <v>0</v>
      </c>
      <c r="DX472">
        <v>4</v>
      </c>
      <c r="DY472">
        <v>0</v>
      </c>
      <c r="DZ472">
        <v>999</v>
      </c>
      <c r="EA472">
        <v>0.9042</v>
      </c>
      <c r="EB472">
        <v>0.92401213067059895</v>
      </c>
      <c r="EC472">
        <v>0.90174451608400596</v>
      </c>
      <c r="ED472">
        <v>0.90301012173467299</v>
      </c>
      <c r="EE472">
        <f>SUM(Table1[[#This Row],[ratio_0]:[ratio_9]])</f>
        <v>370</v>
      </c>
      <c r="EF472" s="1">
        <f>(Table1[[#This Row],[predicted_0]]-Table1[[#This Row],[actual_0]])/Table1[[#This Row],[actual_0]]</f>
        <v>5.7142857142857141E-2</v>
      </c>
      <c r="EG472" s="1">
        <f>(Table1[[#This Row],[predicted_1]]-Table1[[#This Row],[actual_1]])/Table1[[#This Row],[actual_1]]</f>
        <v>7.9295154185022032E-3</v>
      </c>
      <c r="EH472" s="1">
        <f>(Table1[[#This Row],[predicted_2]]-Table1[[#This Row],[actual_2]])/Table1[[#This Row],[actual_2]]</f>
        <v>3.7790697674418602E-2</v>
      </c>
      <c r="EI472" s="1">
        <f>(Table1[[#This Row],[predicted_3]]-Table1[[#This Row],[actual_3]])/Table1[[#This Row],[actual_3]]</f>
        <v>9.5049504950495051E-2</v>
      </c>
      <c r="EJ472" s="1">
        <f>(Table1[[#This Row],[predicted_4]]-Table1[[#This Row],[actual_4]])/Table1[[#This Row],[actual_4]]</f>
        <v>-0.37881873727087578</v>
      </c>
      <c r="EK472" s="1">
        <f>(Table1[[#This Row],[predicted_5]]-Table1[[#This Row],[actual_5]])/Table1[[#This Row],[actual_5]]</f>
        <v>-4.1479820627802692E-2</v>
      </c>
      <c r="EL472" s="1">
        <f>(Table1[[#This Row],[predicted_6]]-Table1[[#This Row],[actual_6]])/Table1[[#This Row],[actual_6]]</f>
        <v>-0.13569937369519833</v>
      </c>
      <c r="EM472" s="1">
        <f>(Table1[[#This Row],[predicted_7]]-Table1[[#This Row],[actual_7]])/Table1[[#This Row],[actual_7]]</f>
        <v>5.8365758754863814E-3</v>
      </c>
      <c r="EN472" s="1">
        <f>(Table1[[#This Row],[predicted_8]]-Table1[[#This Row],[actual_8]])/Table1[[#This Row],[actual_8]]</f>
        <v>-0.20123203285420946</v>
      </c>
      <c r="EO472" s="1">
        <f>(Table1[[#This Row],[predicted_9]]-Table1[[#This Row],[actual_9]])/Table1[[#This Row],[actual_9]]</f>
        <v>0.52428146679881071</v>
      </c>
      <c r="EP472" s="1">
        <f>1+(Table1[[#This Row],[error_ratio_0]]-EF$2)</f>
        <v>1.0551020408163265</v>
      </c>
      <c r="EQ472" s="1">
        <f>1+(Table1[[#This Row],[error_ratio_1]]-EG$2)</f>
        <v>1.0061674008810573</v>
      </c>
      <c r="ER472" s="1">
        <f>1+(Table1[[#This Row],[error_ratio_2]]-EH$2)</f>
        <v>1.0426356589147288</v>
      </c>
      <c r="ES472" s="1">
        <f>1+(Table1[[#This Row],[error_ratio_3]]-EI$2)</f>
        <v>1.0851485148514852</v>
      </c>
      <c r="ET472" s="1">
        <f>1+(Table1[[#This Row],[error_ratio_4]]-EJ$2)</f>
        <v>0.62016293279022405</v>
      </c>
      <c r="EU472" s="1">
        <f>1+(Table1[[#This Row],[error_ratio_5]]-EK$2)</f>
        <v>0.95739910313901344</v>
      </c>
      <c r="EV472" s="1">
        <f>1+(Table1[[#This Row],[error_ratio_6]]-EL$2)</f>
        <v>0.87056367432150317</v>
      </c>
      <c r="EW472" s="1">
        <f>1+(Table1[[#This Row],[error_ratio_7]]-EM$2)</f>
        <v>1.0038910505836576</v>
      </c>
      <c r="EX472" s="1">
        <f>1+(Table1[[#This Row],[error_ratio_8]]-EN$2)</f>
        <v>0.80184804928131415</v>
      </c>
      <c r="EY472" s="1">
        <f>1+(Table1[[#This Row],[error_ratio_9]]-EO$2)</f>
        <v>1.5282457879088205</v>
      </c>
    </row>
    <row r="473" spans="1:155" x14ac:dyDescent="0.75">
      <c r="A473">
        <v>100</v>
      </c>
      <c r="B473">
        <v>10</v>
      </c>
      <c r="C473">
        <v>10</v>
      </c>
      <c r="D473">
        <v>10</v>
      </c>
      <c r="E473">
        <v>10</v>
      </c>
      <c r="F473">
        <v>10</v>
      </c>
      <c r="G473">
        <v>10</v>
      </c>
      <c r="H473">
        <v>10</v>
      </c>
      <c r="I473">
        <v>10</v>
      </c>
      <c r="J473">
        <v>100</v>
      </c>
      <c r="K473">
        <v>1136</v>
      </c>
      <c r="L473">
        <v>1129</v>
      </c>
      <c r="M473">
        <v>1025</v>
      </c>
      <c r="N473">
        <v>1100</v>
      </c>
      <c r="O473">
        <v>942</v>
      </c>
      <c r="P473">
        <v>766</v>
      </c>
      <c r="Q473">
        <v>907</v>
      </c>
      <c r="R473">
        <v>874</v>
      </c>
      <c r="S473">
        <v>1001</v>
      </c>
      <c r="T473">
        <v>1120</v>
      </c>
      <c r="U473">
        <v>980</v>
      </c>
      <c r="V473">
        <v>1135</v>
      </c>
      <c r="W473">
        <v>1032</v>
      </c>
      <c r="X473">
        <v>1010</v>
      </c>
      <c r="Y473">
        <v>982</v>
      </c>
      <c r="Z473">
        <v>892</v>
      </c>
      <c r="AA473">
        <v>958</v>
      </c>
      <c r="AB473">
        <v>1028</v>
      </c>
      <c r="AC473">
        <v>974</v>
      </c>
      <c r="AD473">
        <v>1009</v>
      </c>
      <c r="AE473">
        <v>977</v>
      </c>
      <c r="AF473">
        <v>0</v>
      </c>
      <c r="AG473">
        <v>0</v>
      </c>
      <c r="AH473">
        <v>0</v>
      </c>
      <c r="AI473">
        <v>0</v>
      </c>
      <c r="AJ473">
        <v>1</v>
      </c>
      <c r="AK473">
        <v>0</v>
      </c>
      <c r="AL473">
        <v>0</v>
      </c>
      <c r="AM473">
        <v>2</v>
      </c>
      <c r="AN473">
        <v>0</v>
      </c>
      <c r="AO473">
        <v>0</v>
      </c>
      <c r="AP473">
        <v>1122</v>
      </c>
      <c r="AQ473">
        <v>2</v>
      </c>
      <c r="AR473">
        <v>6</v>
      </c>
      <c r="AS473">
        <v>0</v>
      </c>
      <c r="AT473">
        <v>0</v>
      </c>
      <c r="AU473">
        <v>0</v>
      </c>
      <c r="AV473">
        <v>1</v>
      </c>
      <c r="AW473">
        <v>4</v>
      </c>
      <c r="AX473">
        <v>0</v>
      </c>
      <c r="AY473">
        <v>27</v>
      </c>
      <c r="AZ473">
        <v>0</v>
      </c>
      <c r="BA473">
        <v>977</v>
      </c>
      <c r="BB473">
        <v>20</v>
      </c>
      <c r="BC473">
        <v>4</v>
      </c>
      <c r="BD473">
        <v>0</v>
      </c>
      <c r="BE473">
        <v>0</v>
      </c>
      <c r="BF473">
        <v>4</v>
      </c>
      <c r="BG473">
        <v>0</v>
      </c>
      <c r="BH473">
        <v>0</v>
      </c>
      <c r="BI473">
        <v>15</v>
      </c>
      <c r="BJ473">
        <v>0</v>
      </c>
      <c r="BK473">
        <v>3</v>
      </c>
      <c r="BL473">
        <v>959</v>
      </c>
      <c r="BM473">
        <v>0</v>
      </c>
      <c r="BN473">
        <v>4</v>
      </c>
      <c r="BO473">
        <v>0</v>
      </c>
      <c r="BP473">
        <v>3</v>
      </c>
      <c r="BQ473">
        <v>10</v>
      </c>
      <c r="BR473">
        <v>16</v>
      </c>
      <c r="BS473">
        <v>1</v>
      </c>
      <c r="BT473">
        <v>1</v>
      </c>
      <c r="BU473">
        <v>8</v>
      </c>
      <c r="BV473">
        <v>1</v>
      </c>
      <c r="BW473">
        <v>924</v>
      </c>
      <c r="BX473">
        <v>0</v>
      </c>
      <c r="BY473">
        <v>2</v>
      </c>
      <c r="BZ473">
        <v>0</v>
      </c>
      <c r="CA473">
        <v>0</v>
      </c>
      <c r="CB473">
        <v>45</v>
      </c>
      <c r="CC473">
        <v>47</v>
      </c>
      <c r="CD473">
        <v>1</v>
      </c>
      <c r="CE473">
        <v>2</v>
      </c>
      <c r="CF473">
        <v>10</v>
      </c>
      <c r="CG473">
        <v>0</v>
      </c>
      <c r="CH473">
        <v>758</v>
      </c>
      <c r="CI473">
        <v>4</v>
      </c>
      <c r="CJ473">
        <v>0</v>
      </c>
      <c r="CK473">
        <v>47</v>
      </c>
      <c r="CL473">
        <v>23</v>
      </c>
      <c r="CM473">
        <v>34</v>
      </c>
      <c r="CN473">
        <v>3</v>
      </c>
      <c r="CO473">
        <v>3</v>
      </c>
      <c r="CP473">
        <v>0</v>
      </c>
      <c r="CQ473">
        <v>9</v>
      </c>
      <c r="CR473">
        <v>1</v>
      </c>
      <c r="CS473">
        <v>900</v>
      </c>
      <c r="CT473">
        <v>0</v>
      </c>
      <c r="CU473">
        <v>8</v>
      </c>
      <c r="CV473">
        <v>0</v>
      </c>
      <c r="CW473">
        <v>16</v>
      </c>
      <c r="CX473">
        <v>1</v>
      </c>
      <c r="CY473">
        <v>26</v>
      </c>
      <c r="CZ473">
        <v>88</v>
      </c>
      <c r="DA473">
        <v>0</v>
      </c>
      <c r="DB473">
        <v>0</v>
      </c>
      <c r="DC473">
        <v>0</v>
      </c>
      <c r="DD473">
        <v>860</v>
      </c>
      <c r="DE473">
        <v>3</v>
      </c>
      <c r="DF473">
        <v>34</v>
      </c>
      <c r="DG473">
        <v>13</v>
      </c>
      <c r="DH473">
        <v>0</v>
      </c>
      <c r="DI473">
        <v>4</v>
      </c>
      <c r="DJ473">
        <v>14</v>
      </c>
      <c r="DK473">
        <v>2</v>
      </c>
      <c r="DL473">
        <v>0</v>
      </c>
      <c r="DM473">
        <v>1</v>
      </c>
      <c r="DN473">
        <v>5</v>
      </c>
      <c r="DO473">
        <v>926</v>
      </c>
      <c r="DP473">
        <v>9</v>
      </c>
      <c r="DQ473">
        <v>6</v>
      </c>
      <c r="DR473">
        <v>1</v>
      </c>
      <c r="DS473">
        <v>0</v>
      </c>
      <c r="DT473">
        <v>2</v>
      </c>
      <c r="DU473">
        <v>3</v>
      </c>
      <c r="DV473">
        <v>2</v>
      </c>
      <c r="DW473">
        <v>0</v>
      </c>
      <c r="DX473">
        <v>1</v>
      </c>
      <c r="DY473">
        <v>1</v>
      </c>
      <c r="DZ473">
        <v>993</v>
      </c>
      <c r="EA473">
        <v>0.93959999999999999</v>
      </c>
      <c r="EB473">
        <v>0.94372178136296503</v>
      </c>
      <c r="EC473">
        <v>0.93833025355487798</v>
      </c>
      <c r="ED473">
        <v>0.93884044927050703</v>
      </c>
      <c r="EE473">
        <f>SUM(Table1[[#This Row],[ratio_0]:[ratio_9]])</f>
        <v>280</v>
      </c>
      <c r="EF473" s="1">
        <f>(Table1[[#This Row],[predicted_0]]-Table1[[#This Row],[actual_0]])/Table1[[#This Row],[actual_0]]</f>
        <v>0.15918367346938775</v>
      </c>
      <c r="EG473" s="1">
        <f>(Table1[[#This Row],[predicted_1]]-Table1[[#This Row],[actual_1]])/Table1[[#This Row],[actual_1]]</f>
        <v>-5.2863436123348016E-3</v>
      </c>
      <c r="EH473" s="1">
        <f>(Table1[[#This Row],[predicted_2]]-Table1[[#This Row],[actual_2]])/Table1[[#This Row],[actual_2]]</f>
        <v>-6.7829457364341084E-3</v>
      </c>
      <c r="EI473" s="1">
        <f>(Table1[[#This Row],[predicted_3]]-Table1[[#This Row],[actual_3]])/Table1[[#This Row],[actual_3]]</f>
        <v>8.9108910891089105E-2</v>
      </c>
      <c r="EJ473" s="1">
        <f>(Table1[[#This Row],[predicted_4]]-Table1[[#This Row],[actual_4]])/Table1[[#This Row],[actual_4]]</f>
        <v>-4.0733197556008148E-2</v>
      </c>
      <c r="EK473" s="1">
        <f>(Table1[[#This Row],[predicted_5]]-Table1[[#This Row],[actual_5]])/Table1[[#This Row],[actual_5]]</f>
        <v>-0.14125560538116591</v>
      </c>
      <c r="EL473" s="1">
        <f>(Table1[[#This Row],[predicted_6]]-Table1[[#This Row],[actual_6]])/Table1[[#This Row],[actual_6]]</f>
        <v>-5.3235908141962419E-2</v>
      </c>
      <c r="EM473" s="1">
        <f>(Table1[[#This Row],[predicted_7]]-Table1[[#This Row],[actual_7]])/Table1[[#This Row],[actual_7]]</f>
        <v>-0.14980544747081712</v>
      </c>
      <c r="EN473" s="1">
        <f>(Table1[[#This Row],[predicted_8]]-Table1[[#This Row],[actual_8]])/Table1[[#This Row],[actual_8]]</f>
        <v>2.7720739219712527E-2</v>
      </c>
      <c r="EO473" s="1">
        <f>(Table1[[#This Row],[predicted_9]]-Table1[[#This Row],[actual_9]])/Table1[[#This Row],[actual_9]]</f>
        <v>0.11000991080277503</v>
      </c>
      <c r="EP473" s="1">
        <f>1+(Table1[[#This Row],[error_ratio_0]]-EF$2)</f>
        <v>1.157142857142857</v>
      </c>
      <c r="EQ473" s="1">
        <f>1+(Table1[[#This Row],[error_ratio_1]]-EG$2)</f>
        <v>0.99295154185022028</v>
      </c>
      <c r="ER473" s="1">
        <f>1+(Table1[[#This Row],[error_ratio_2]]-EH$2)</f>
        <v>0.99806201550387597</v>
      </c>
      <c r="ES473" s="1">
        <f>1+(Table1[[#This Row],[error_ratio_3]]-EI$2)</f>
        <v>1.0792079207920793</v>
      </c>
      <c r="ET473" s="1">
        <f>1+(Table1[[#This Row],[error_ratio_4]]-EJ$2)</f>
        <v>0.9582484725050916</v>
      </c>
      <c r="EU473" s="1">
        <f>1+(Table1[[#This Row],[error_ratio_5]]-EK$2)</f>
        <v>0.8576233183856502</v>
      </c>
      <c r="EV473" s="1">
        <f>1+(Table1[[#This Row],[error_ratio_6]]-EL$2)</f>
        <v>0.95302713987473908</v>
      </c>
      <c r="EW473" s="1">
        <f>1+(Table1[[#This Row],[error_ratio_7]]-EM$2)</f>
        <v>0.84824902723735407</v>
      </c>
      <c r="EX473" s="1">
        <f>1+(Table1[[#This Row],[error_ratio_8]]-EN$2)</f>
        <v>1.0308008213552362</v>
      </c>
      <c r="EY473" s="1">
        <f>1+(Table1[[#This Row],[error_ratio_9]]-EO$2)</f>
        <v>1.113974231912785</v>
      </c>
    </row>
    <row r="474" spans="1:155" x14ac:dyDescent="0.75">
      <c r="A474">
        <v>10</v>
      </c>
      <c r="B474">
        <v>10</v>
      </c>
      <c r="C474">
        <v>10</v>
      </c>
      <c r="D474">
        <v>10</v>
      </c>
      <c r="E474">
        <v>10</v>
      </c>
      <c r="F474">
        <v>10</v>
      </c>
      <c r="G474">
        <v>10</v>
      </c>
      <c r="H474">
        <v>10</v>
      </c>
      <c r="I474">
        <v>10</v>
      </c>
      <c r="J474">
        <v>100</v>
      </c>
      <c r="K474">
        <v>978</v>
      </c>
      <c r="L474">
        <v>1015</v>
      </c>
      <c r="M474">
        <v>985</v>
      </c>
      <c r="N474">
        <v>1037</v>
      </c>
      <c r="O474">
        <v>784</v>
      </c>
      <c r="P474">
        <v>777</v>
      </c>
      <c r="Q474">
        <v>913</v>
      </c>
      <c r="R474">
        <v>823</v>
      </c>
      <c r="S474">
        <v>1130</v>
      </c>
      <c r="T474">
        <v>1558</v>
      </c>
      <c r="U474">
        <v>980</v>
      </c>
      <c r="V474">
        <v>1135</v>
      </c>
      <c r="W474">
        <v>1032</v>
      </c>
      <c r="X474">
        <v>1010</v>
      </c>
      <c r="Y474">
        <v>982</v>
      </c>
      <c r="Z474">
        <v>892</v>
      </c>
      <c r="AA474">
        <v>958</v>
      </c>
      <c r="AB474">
        <v>1028</v>
      </c>
      <c r="AC474">
        <v>974</v>
      </c>
      <c r="AD474">
        <v>1009</v>
      </c>
      <c r="AE474">
        <v>946</v>
      </c>
      <c r="AF474">
        <v>0</v>
      </c>
      <c r="AG474">
        <v>0</v>
      </c>
      <c r="AH474">
        <v>2</v>
      </c>
      <c r="AI474">
        <v>0</v>
      </c>
      <c r="AJ474">
        <v>1</v>
      </c>
      <c r="AK474">
        <v>3</v>
      </c>
      <c r="AL474">
        <v>0</v>
      </c>
      <c r="AM474">
        <v>5</v>
      </c>
      <c r="AN474">
        <v>23</v>
      </c>
      <c r="AO474">
        <v>0</v>
      </c>
      <c r="AP474">
        <v>1012</v>
      </c>
      <c r="AQ474">
        <v>2</v>
      </c>
      <c r="AR474">
        <v>6</v>
      </c>
      <c r="AS474">
        <v>0</v>
      </c>
      <c r="AT474">
        <v>2</v>
      </c>
      <c r="AU474">
        <v>1</v>
      </c>
      <c r="AV474">
        <v>0</v>
      </c>
      <c r="AW474">
        <v>88</v>
      </c>
      <c r="AX474">
        <v>24</v>
      </c>
      <c r="AY474">
        <v>9</v>
      </c>
      <c r="AZ474">
        <v>0</v>
      </c>
      <c r="BA474">
        <v>953</v>
      </c>
      <c r="BB474">
        <v>42</v>
      </c>
      <c r="BC474">
        <v>0</v>
      </c>
      <c r="BD474">
        <v>0</v>
      </c>
      <c r="BE474">
        <v>5</v>
      </c>
      <c r="BF474">
        <v>7</v>
      </c>
      <c r="BG474">
        <v>9</v>
      </c>
      <c r="BH474">
        <v>7</v>
      </c>
      <c r="BI474">
        <v>0</v>
      </c>
      <c r="BJ474">
        <v>0</v>
      </c>
      <c r="BK474">
        <v>0</v>
      </c>
      <c r="BL474">
        <v>953</v>
      </c>
      <c r="BM474">
        <v>0</v>
      </c>
      <c r="BN474">
        <v>4</v>
      </c>
      <c r="BO474">
        <v>0</v>
      </c>
      <c r="BP474">
        <v>2</v>
      </c>
      <c r="BQ474">
        <v>17</v>
      </c>
      <c r="BR474">
        <v>34</v>
      </c>
      <c r="BS474">
        <v>0</v>
      </c>
      <c r="BT474">
        <v>0</v>
      </c>
      <c r="BU474">
        <v>9</v>
      </c>
      <c r="BV474">
        <v>0</v>
      </c>
      <c r="BW474">
        <v>777</v>
      </c>
      <c r="BX474">
        <v>1</v>
      </c>
      <c r="BY474">
        <v>5</v>
      </c>
      <c r="BZ474">
        <v>0</v>
      </c>
      <c r="CA474">
        <v>10</v>
      </c>
      <c r="CB474">
        <v>180</v>
      </c>
      <c r="CC474">
        <v>6</v>
      </c>
      <c r="CD474">
        <v>0</v>
      </c>
      <c r="CE474">
        <v>0</v>
      </c>
      <c r="CF474">
        <v>18</v>
      </c>
      <c r="CG474">
        <v>0</v>
      </c>
      <c r="CH474">
        <v>755</v>
      </c>
      <c r="CI474">
        <v>1</v>
      </c>
      <c r="CJ474">
        <v>1</v>
      </c>
      <c r="CK474">
        <v>39</v>
      </c>
      <c r="CL474">
        <v>72</v>
      </c>
      <c r="CM474">
        <v>10</v>
      </c>
      <c r="CN474">
        <v>3</v>
      </c>
      <c r="CO474">
        <v>1</v>
      </c>
      <c r="CP474">
        <v>1</v>
      </c>
      <c r="CQ474">
        <v>1</v>
      </c>
      <c r="CR474">
        <v>14</v>
      </c>
      <c r="CS474">
        <v>896</v>
      </c>
      <c r="CT474">
        <v>0</v>
      </c>
      <c r="CU474">
        <v>29</v>
      </c>
      <c r="CV474">
        <v>3</v>
      </c>
      <c r="CW474">
        <v>2</v>
      </c>
      <c r="CX474">
        <v>0</v>
      </c>
      <c r="CY474">
        <v>19</v>
      </c>
      <c r="CZ474">
        <v>11</v>
      </c>
      <c r="DA474">
        <v>4</v>
      </c>
      <c r="DB474">
        <v>0</v>
      </c>
      <c r="DC474">
        <v>1</v>
      </c>
      <c r="DD474">
        <v>813</v>
      </c>
      <c r="DE474">
        <v>4</v>
      </c>
      <c r="DF474">
        <v>174</v>
      </c>
      <c r="DG474">
        <v>5</v>
      </c>
      <c r="DH474">
        <v>0</v>
      </c>
      <c r="DI474">
        <v>1</v>
      </c>
      <c r="DJ474">
        <v>4</v>
      </c>
      <c r="DK474">
        <v>0</v>
      </c>
      <c r="DL474">
        <v>0</v>
      </c>
      <c r="DM474">
        <v>1</v>
      </c>
      <c r="DN474">
        <v>0</v>
      </c>
      <c r="DO474">
        <v>928</v>
      </c>
      <c r="DP474">
        <v>35</v>
      </c>
      <c r="DQ474">
        <v>0</v>
      </c>
      <c r="DR474">
        <v>0</v>
      </c>
      <c r="DS474">
        <v>0</v>
      </c>
      <c r="DT474">
        <v>0</v>
      </c>
      <c r="DU474">
        <v>2</v>
      </c>
      <c r="DV474">
        <v>0</v>
      </c>
      <c r="DW474">
        <v>0</v>
      </c>
      <c r="DX474">
        <v>0</v>
      </c>
      <c r="DY474">
        <v>1</v>
      </c>
      <c r="DZ474">
        <v>1006</v>
      </c>
      <c r="EA474">
        <v>0.90390000000000004</v>
      </c>
      <c r="EB474">
        <v>0.92497596466014598</v>
      </c>
      <c r="EC474">
        <v>0.903754166719275</v>
      </c>
      <c r="ED474">
        <v>0.90706063053933195</v>
      </c>
      <c r="EE474">
        <f>SUM(Table1[[#This Row],[ratio_0]:[ratio_9]])</f>
        <v>190</v>
      </c>
      <c r="EF474" s="1">
        <f>(Table1[[#This Row],[predicted_0]]-Table1[[#This Row],[actual_0]])/Table1[[#This Row],[actual_0]]</f>
        <v>-2.0408163265306124E-3</v>
      </c>
      <c r="EG474" s="1">
        <f>(Table1[[#This Row],[predicted_1]]-Table1[[#This Row],[actual_1]])/Table1[[#This Row],[actual_1]]</f>
        <v>-0.10572687224669604</v>
      </c>
      <c r="EH474" s="1">
        <f>(Table1[[#This Row],[predicted_2]]-Table1[[#This Row],[actual_2]])/Table1[[#This Row],[actual_2]]</f>
        <v>-4.5542635658914726E-2</v>
      </c>
      <c r="EI474" s="1">
        <f>(Table1[[#This Row],[predicted_3]]-Table1[[#This Row],[actual_3]])/Table1[[#This Row],[actual_3]]</f>
        <v>2.6732673267326732E-2</v>
      </c>
      <c r="EJ474" s="1">
        <f>(Table1[[#This Row],[predicted_4]]-Table1[[#This Row],[actual_4]])/Table1[[#This Row],[actual_4]]</f>
        <v>-0.20162932790224034</v>
      </c>
      <c r="EK474" s="1">
        <f>(Table1[[#This Row],[predicted_5]]-Table1[[#This Row],[actual_5]])/Table1[[#This Row],[actual_5]]</f>
        <v>-0.12892376681614351</v>
      </c>
      <c r="EL474" s="1">
        <f>(Table1[[#This Row],[predicted_6]]-Table1[[#This Row],[actual_6]])/Table1[[#This Row],[actual_6]]</f>
        <v>-4.697286012526096E-2</v>
      </c>
      <c r="EM474" s="1">
        <f>(Table1[[#This Row],[predicted_7]]-Table1[[#This Row],[actual_7]])/Table1[[#This Row],[actual_7]]</f>
        <v>-0.19941634241245138</v>
      </c>
      <c r="EN474" s="1">
        <f>(Table1[[#This Row],[predicted_8]]-Table1[[#This Row],[actual_8]])/Table1[[#This Row],[actual_8]]</f>
        <v>0.16016427104722791</v>
      </c>
      <c r="EO474" s="1">
        <f>(Table1[[#This Row],[predicted_9]]-Table1[[#This Row],[actual_9]])/Table1[[#This Row],[actual_9]]</f>
        <v>0.54410307234886024</v>
      </c>
      <c r="EP474" s="1">
        <f>1+(Table1[[#This Row],[error_ratio_0]]-EF$2)</f>
        <v>0.99591836734693873</v>
      </c>
      <c r="EQ474" s="1">
        <f>1+(Table1[[#This Row],[error_ratio_1]]-EG$2)</f>
        <v>0.89251101321585902</v>
      </c>
      <c r="ER474" s="1">
        <f>1+(Table1[[#This Row],[error_ratio_2]]-EH$2)</f>
        <v>0.95930232558139539</v>
      </c>
      <c r="ES474" s="1">
        <f>1+(Table1[[#This Row],[error_ratio_3]]-EI$2)</f>
        <v>1.0168316831683168</v>
      </c>
      <c r="ET474" s="1">
        <f>1+(Table1[[#This Row],[error_ratio_4]]-EJ$2)</f>
        <v>0.79735234215885953</v>
      </c>
      <c r="EU474" s="1">
        <f>1+(Table1[[#This Row],[error_ratio_5]]-EK$2)</f>
        <v>0.8699551569506726</v>
      </c>
      <c r="EV474" s="1">
        <f>1+(Table1[[#This Row],[error_ratio_6]]-EL$2)</f>
        <v>0.95929018789144049</v>
      </c>
      <c r="EW474" s="1">
        <f>1+(Table1[[#This Row],[error_ratio_7]]-EM$2)</f>
        <v>0.79863813229571989</v>
      </c>
      <c r="EX474" s="1">
        <f>1+(Table1[[#This Row],[error_ratio_8]]-EN$2)</f>
        <v>1.1632443531827514</v>
      </c>
      <c r="EY474" s="1">
        <f>1+(Table1[[#This Row],[error_ratio_9]]-EO$2)</f>
        <v>1.54806739345887</v>
      </c>
    </row>
    <row r="475" spans="1:155" x14ac:dyDescent="0.75">
      <c r="A475">
        <v>100</v>
      </c>
      <c r="B475">
        <v>100</v>
      </c>
      <c r="C475">
        <v>100</v>
      </c>
      <c r="D475">
        <v>100</v>
      </c>
      <c r="E475">
        <v>100</v>
      </c>
      <c r="F475">
        <v>100</v>
      </c>
      <c r="G475">
        <v>100</v>
      </c>
      <c r="H475">
        <v>100</v>
      </c>
      <c r="I475">
        <v>100</v>
      </c>
      <c r="J475">
        <v>10</v>
      </c>
      <c r="K475">
        <v>987</v>
      </c>
      <c r="L475">
        <v>1145</v>
      </c>
      <c r="M475">
        <v>1034</v>
      </c>
      <c r="N475">
        <v>1021</v>
      </c>
      <c r="O475">
        <v>998</v>
      </c>
      <c r="P475">
        <v>894</v>
      </c>
      <c r="Q475">
        <v>968</v>
      </c>
      <c r="R475">
        <v>1032</v>
      </c>
      <c r="S475">
        <v>983</v>
      </c>
      <c r="T475">
        <v>938</v>
      </c>
      <c r="U475">
        <v>980</v>
      </c>
      <c r="V475">
        <v>1135</v>
      </c>
      <c r="W475">
        <v>1032</v>
      </c>
      <c r="X475">
        <v>1010</v>
      </c>
      <c r="Y475">
        <v>982</v>
      </c>
      <c r="Z475">
        <v>892</v>
      </c>
      <c r="AA475">
        <v>958</v>
      </c>
      <c r="AB475">
        <v>1028</v>
      </c>
      <c r="AC475">
        <v>974</v>
      </c>
      <c r="AD475">
        <v>1009</v>
      </c>
      <c r="AE475">
        <v>971</v>
      </c>
      <c r="AF475">
        <v>0</v>
      </c>
      <c r="AG475">
        <v>0</v>
      </c>
      <c r="AH475">
        <v>0</v>
      </c>
      <c r="AI475">
        <v>0</v>
      </c>
      <c r="AJ475">
        <v>0</v>
      </c>
      <c r="AK475">
        <v>6</v>
      </c>
      <c r="AL475">
        <v>2</v>
      </c>
      <c r="AM475">
        <v>1</v>
      </c>
      <c r="AN475">
        <v>0</v>
      </c>
      <c r="AO475">
        <v>0</v>
      </c>
      <c r="AP475">
        <v>1132</v>
      </c>
      <c r="AQ475">
        <v>1</v>
      </c>
      <c r="AR475">
        <v>0</v>
      </c>
      <c r="AS475">
        <v>0</v>
      </c>
      <c r="AT475">
        <v>1</v>
      </c>
      <c r="AU475">
        <v>1</v>
      </c>
      <c r="AV475">
        <v>0</v>
      </c>
      <c r="AW475">
        <v>0</v>
      </c>
      <c r="AX475">
        <v>0</v>
      </c>
      <c r="AY475">
        <v>1</v>
      </c>
      <c r="AZ475">
        <v>1</v>
      </c>
      <c r="BA475">
        <v>1022</v>
      </c>
      <c r="BB475">
        <v>0</v>
      </c>
      <c r="BC475">
        <v>0</v>
      </c>
      <c r="BD475">
        <v>0</v>
      </c>
      <c r="BE475">
        <v>1</v>
      </c>
      <c r="BF475">
        <v>4</v>
      </c>
      <c r="BG475">
        <v>3</v>
      </c>
      <c r="BH475">
        <v>0</v>
      </c>
      <c r="BI475">
        <v>0</v>
      </c>
      <c r="BJ475">
        <v>0</v>
      </c>
      <c r="BK475">
        <v>1</v>
      </c>
      <c r="BL475">
        <v>1003</v>
      </c>
      <c r="BM475">
        <v>0</v>
      </c>
      <c r="BN475">
        <v>2</v>
      </c>
      <c r="BO475">
        <v>0</v>
      </c>
      <c r="BP475">
        <v>1</v>
      </c>
      <c r="BQ475">
        <v>3</v>
      </c>
      <c r="BR475">
        <v>0</v>
      </c>
      <c r="BS475">
        <v>0</v>
      </c>
      <c r="BT475">
        <v>0</v>
      </c>
      <c r="BU475">
        <v>0</v>
      </c>
      <c r="BV475">
        <v>0</v>
      </c>
      <c r="BW475">
        <v>978</v>
      </c>
      <c r="BX475">
        <v>0</v>
      </c>
      <c r="BY475">
        <v>3</v>
      </c>
      <c r="BZ475">
        <v>0</v>
      </c>
      <c r="CA475">
        <v>1</v>
      </c>
      <c r="CB475">
        <v>0</v>
      </c>
      <c r="CC475">
        <v>2</v>
      </c>
      <c r="CD475">
        <v>0</v>
      </c>
      <c r="CE475">
        <v>0</v>
      </c>
      <c r="CF475">
        <v>6</v>
      </c>
      <c r="CG475">
        <v>0</v>
      </c>
      <c r="CH475">
        <v>881</v>
      </c>
      <c r="CI475">
        <v>2</v>
      </c>
      <c r="CJ475">
        <v>0</v>
      </c>
      <c r="CK475">
        <v>1</v>
      </c>
      <c r="CL475">
        <v>0</v>
      </c>
      <c r="CM475">
        <v>2</v>
      </c>
      <c r="CN475">
        <v>2</v>
      </c>
      <c r="CO475">
        <v>0</v>
      </c>
      <c r="CP475">
        <v>0</v>
      </c>
      <c r="CQ475">
        <v>1</v>
      </c>
      <c r="CR475">
        <v>1</v>
      </c>
      <c r="CS475">
        <v>952</v>
      </c>
      <c r="CT475">
        <v>0</v>
      </c>
      <c r="CU475">
        <v>0</v>
      </c>
      <c r="CV475">
        <v>0</v>
      </c>
      <c r="CW475">
        <v>1</v>
      </c>
      <c r="CX475">
        <v>5</v>
      </c>
      <c r="CY475">
        <v>7</v>
      </c>
      <c r="CZ475">
        <v>0</v>
      </c>
      <c r="DA475">
        <v>0</v>
      </c>
      <c r="DB475">
        <v>0</v>
      </c>
      <c r="DC475">
        <v>0</v>
      </c>
      <c r="DD475">
        <v>1013</v>
      </c>
      <c r="DE475">
        <v>1</v>
      </c>
      <c r="DF475">
        <v>1</v>
      </c>
      <c r="DG475">
        <v>3</v>
      </c>
      <c r="DH475">
        <v>0</v>
      </c>
      <c r="DI475">
        <v>3</v>
      </c>
      <c r="DJ475">
        <v>0</v>
      </c>
      <c r="DK475">
        <v>0</v>
      </c>
      <c r="DL475">
        <v>0</v>
      </c>
      <c r="DM475">
        <v>3</v>
      </c>
      <c r="DN475">
        <v>3</v>
      </c>
      <c r="DO475">
        <v>960</v>
      </c>
      <c r="DP475">
        <v>2</v>
      </c>
      <c r="DQ475">
        <v>7</v>
      </c>
      <c r="DR475">
        <v>5</v>
      </c>
      <c r="DS475">
        <v>0</v>
      </c>
      <c r="DT475">
        <v>12</v>
      </c>
      <c r="DU475">
        <v>19</v>
      </c>
      <c r="DV475">
        <v>9</v>
      </c>
      <c r="DW475">
        <v>0</v>
      </c>
      <c r="DX475">
        <v>9</v>
      </c>
      <c r="DY475">
        <v>13</v>
      </c>
      <c r="DZ475">
        <v>935</v>
      </c>
      <c r="EA475">
        <v>0.98470000000000002</v>
      </c>
      <c r="EB475">
        <v>0.98470830562889999</v>
      </c>
      <c r="EC475">
        <v>0.98465792359808502</v>
      </c>
      <c r="ED475">
        <v>0.98453738761646303</v>
      </c>
      <c r="EE475">
        <f>SUM(Table1[[#This Row],[ratio_0]:[ratio_9]])</f>
        <v>910</v>
      </c>
      <c r="EF475" s="1">
        <f>(Table1[[#This Row],[predicted_0]]-Table1[[#This Row],[actual_0]])/Table1[[#This Row],[actual_0]]</f>
        <v>7.1428571428571426E-3</v>
      </c>
      <c r="EG475" s="1">
        <f>(Table1[[#This Row],[predicted_1]]-Table1[[#This Row],[actual_1]])/Table1[[#This Row],[actual_1]]</f>
        <v>8.8105726872246704E-3</v>
      </c>
      <c r="EH475" s="1">
        <f>(Table1[[#This Row],[predicted_2]]-Table1[[#This Row],[actual_2]])/Table1[[#This Row],[actual_2]]</f>
        <v>1.937984496124031E-3</v>
      </c>
      <c r="EI475" s="1">
        <f>(Table1[[#This Row],[predicted_3]]-Table1[[#This Row],[actual_3]])/Table1[[#This Row],[actual_3]]</f>
        <v>1.089108910891089E-2</v>
      </c>
      <c r="EJ475" s="1">
        <f>(Table1[[#This Row],[predicted_4]]-Table1[[#This Row],[actual_4]])/Table1[[#This Row],[actual_4]]</f>
        <v>1.6293279022403257E-2</v>
      </c>
      <c r="EK475" s="1">
        <f>(Table1[[#This Row],[predicted_5]]-Table1[[#This Row],[actual_5]])/Table1[[#This Row],[actual_5]]</f>
        <v>2.242152466367713E-3</v>
      </c>
      <c r="EL475" s="1">
        <f>(Table1[[#This Row],[predicted_6]]-Table1[[#This Row],[actual_6]])/Table1[[#This Row],[actual_6]]</f>
        <v>1.0438413361169102E-2</v>
      </c>
      <c r="EM475" s="1">
        <f>(Table1[[#This Row],[predicted_7]]-Table1[[#This Row],[actual_7]])/Table1[[#This Row],[actual_7]]</f>
        <v>3.8910505836575876E-3</v>
      </c>
      <c r="EN475" s="1">
        <f>(Table1[[#This Row],[predicted_8]]-Table1[[#This Row],[actual_8]])/Table1[[#This Row],[actual_8]]</f>
        <v>9.2402464065708418E-3</v>
      </c>
      <c r="EO475" s="1">
        <f>(Table1[[#This Row],[predicted_9]]-Table1[[#This Row],[actual_9]])/Table1[[#This Row],[actual_9]]</f>
        <v>-7.0366699702675922E-2</v>
      </c>
      <c r="EP475" s="1">
        <f>1+(Table1[[#This Row],[error_ratio_0]]-EF$2)</f>
        <v>1.0051020408163265</v>
      </c>
      <c r="EQ475" s="1">
        <f>1+(Table1[[#This Row],[error_ratio_1]]-EG$2)</f>
        <v>1.0070484581497798</v>
      </c>
      <c r="ER475" s="1">
        <f>1+(Table1[[#This Row],[error_ratio_2]]-EH$2)</f>
        <v>1.0067829457364341</v>
      </c>
      <c r="ES475" s="1">
        <f>1+(Table1[[#This Row],[error_ratio_3]]-EI$2)</f>
        <v>1.000990099009901</v>
      </c>
      <c r="ET475" s="1">
        <f>1+(Table1[[#This Row],[error_ratio_4]]-EJ$2)</f>
        <v>1.0152749490835031</v>
      </c>
      <c r="EU475" s="1">
        <f>1+(Table1[[#This Row],[error_ratio_5]]-EK$2)</f>
        <v>1.0011210762331839</v>
      </c>
      <c r="EV475" s="1">
        <f>1+(Table1[[#This Row],[error_ratio_6]]-EL$2)</f>
        <v>1.0167014613778707</v>
      </c>
      <c r="EW475" s="1">
        <f>1+(Table1[[#This Row],[error_ratio_7]]-EM$2)</f>
        <v>1.0019455252918288</v>
      </c>
      <c r="EX475" s="1">
        <f>1+(Table1[[#This Row],[error_ratio_8]]-EN$2)</f>
        <v>1.0123203285420945</v>
      </c>
      <c r="EY475" s="1">
        <f>1+(Table1[[#This Row],[error_ratio_9]]-EO$2)</f>
        <v>0.93359762140733404</v>
      </c>
    </row>
    <row r="476" spans="1:155" x14ac:dyDescent="0.75">
      <c r="A476">
        <v>10</v>
      </c>
      <c r="B476">
        <v>100</v>
      </c>
      <c r="C476">
        <v>100</v>
      </c>
      <c r="D476">
        <v>100</v>
      </c>
      <c r="E476">
        <v>100</v>
      </c>
      <c r="F476">
        <v>100</v>
      </c>
      <c r="G476">
        <v>100</v>
      </c>
      <c r="H476">
        <v>100</v>
      </c>
      <c r="I476">
        <v>100</v>
      </c>
      <c r="J476">
        <v>10</v>
      </c>
      <c r="K476">
        <v>956</v>
      </c>
      <c r="L476">
        <v>1136</v>
      </c>
      <c r="M476">
        <v>1037</v>
      </c>
      <c r="N476">
        <v>1024</v>
      </c>
      <c r="O476">
        <v>993</v>
      </c>
      <c r="P476">
        <v>901</v>
      </c>
      <c r="Q476">
        <v>959</v>
      </c>
      <c r="R476">
        <v>1053</v>
      </c>
      <c r="S476">
        <v>988</v>
      </c>
      <c r="T476">
        <v>953</v>
      </c>
      <c r="U476">
        <v>980</v>
      </c>
      <c r="V476">
        <v>1135</v>
      </c>
      <c r="W476">
        <v>1032</v>
      </c>
      <c r="X476">
        <v>1010</v>
      </c>
      <c r="Y476">
        <v>982</v>
      </c>
      <c r="Z476">
        <v>892</v>
      </c>
      <c r="AA476">
        <v>958</v>
      </c>
      <c r="AB476">
        <v>1028</v>
      </c>
      <c r="AC476">
        <v>974</v>
      </c>
      <c r="AD476">
        <v>1009</v>
      </c>
      <c r="AE476">
        <v>948</v>
      </c>
      <c r="AF476">
        <v>0</v>
      </c>
      <c r="AG476">
        <v>6</v>
      </c>
      <c r="AH476">
        <v>0</v>
      </c>
      <c r="AI476">
        <v>3</v>
      </c>
      <c r="AJ476">
        <v>1</v>
      </c>
      <c r="AK476">
        <v>6</v>
      </c>
      <c r="AL476">
        <v>4</v>
      </c>
      <c r="AM476">
        <v>8</v>
      </c>
      <c r="AN476">
        <v>4</v>
      </c>
      <c r="AO476">
        <v>0</v>
      </c>
      <c r="AP476">
        <v>1126</v>
      </c>
      <c r="AQ476">
        <v>1</v>
      </c>
      <c r="AR476">
        <v>2</v>
      </c>
      <c r="AS476">
        <v>0</v>
      </c>
      <c r="AT476">
        <v>1</v>
      </c>
      <c r="AU476">
        <v>2</v>
      </c>
      <c r="AV476">
        <v>0</v>
      </c>
      <c r="AW476">
        <v>3</v>
      </c>
      <c r="AX476">
        <v>0</v>
      </c>
      <c r="AY476">
        <v>0</v>
      </c>
      <c r="AZ476">
        <v>3</v>
      </c>
      <c r="BA476">
        <v>1022</v>
      </c>
      <c r="BB476">
        <v>2</v>
      </c>
      <c r="BC476">
        <v>0</v>
      </c>
      <c r="BD476">
        <v>0</v>
      </c>
      <c r="BE476">
        <v>0</v>
      </c>
      <c r="BF476">
        <v>3</v>
      </c>
      <c r="BG476">
        <v>2</v>
      </c>
      <c r="BH476">
        <v>0</v>
      </c>
      <c r="BI476">
        <v>0</v>
      </c>
      <c r="BJ476">
        <v>0</v>
      </c>
      <c r="BK476">
        <v>2</v>
      </c>
      <c r="BL476">
        <v>1003</v>
      </c>
      <c r="BM476">
        <v>0</v>
      </c>
      <c r="BN476">
        <v>1</v>
      </c>
      <c r="BO476">
        <v>0</v>
      </c>
      <c r="BP476">
        <v>4</v>
      </c>
      <c r="BQ476">
        <v>0</v>
      </c>
      <c r="BR476">
        <v>0</v>
      </c>
      <c r="BS476">
        <v>0</v>
      </c>
      <c r="BT476">
        <v>0</v>
      </c>
      <c r="BU476">
        <v>1</v>
      </c>
      <c r="BV476">
        <v>0</v>
      </c>
      <c r="BW476">
        <v>978</v>
      </c>
      <c r="BX476">
        <v>0</v>
      </c>
      <c r="BY476">
        <v>1</v>
      </c>
      <c r="BZ476">
        <v>0</v>
      </c>
      <c r="CA476">
        <v>0</v>
      </c>
      <c r="CB476">
        <v>2</v>
      </c>
      <c r="CC476">
        <v>1</v>
      </c>
      <c r="CD476">
        <v>0</v>
      </c>
      <c r="CE476">
        <v>0</v>
      </c>
      <c r="CF476">
        <v>3</v>
      </c>
      <c r="CG476">
        <v>0</v>
      </c>
      <c r="CH476">
        <v>885</v>
      </c>
      <c r="CI476">
        <v>1</v>
      </c>
      <c r="CJ476">
        <v>1</v>
      </c>
      <c r="CK476">
        <v>1</v>
      </c>
      <c r="CL476">
        <v>0</v>
      </c>
      <c r="CM476">
        <v>2</v>
      </c>
      <c r="CN476">
        <v>2</v>
      </c>
      <c r="CO476">
        <v>1</v>
      </c>
      <c r="CP476">
        <v>0</v>
      </c>
      <c r="CQ476">
        <v>1</v>
      </c>
      <c r="CR476">
        <v>4</v>
      </c>
      <c r="CS476">
        <v>948</v>
      </c>
      <c r="CT476">
        <v>0</v>
      </c>
      <c r="CU476">
        <v>0</v>
      </c>
      <c r="CV476">
        <v>0</v>
      </c>
      <c r="CW476">
        <v>1</v>
      </c>
      <c r="CX476">
        <v>2</v>
      </c>
      <c r="CY476">
        <v>3</v>
      </c>
      <c r="CZ476">
        <v>1</v>
      </c>
      <c r="DA476">
        <v>0</v>
      </c>
      <c r="DB476">
        <v>0</v>
      </c>
      <c r="DC476">
        <v>0</v>
      </c>
      <c r="DD476">
        <v>1020</v>
      </c>
      <c r="DE476">
        <v>1</v>
      </c>
      <c r="DF476">
        <v>0</v>
      </c>
      <c r="DG476">
        <v>1</v>
      </c>
      <c r="DH476">
        <v>0</v>
      </c>
      <c r="DI476">
        <v>1</v>
      </c>
      <c r="DJ476">
        <v>3</v>
      </c>
      <c r="DK476">
        <v>0</v>
      </c>
      <c r="DL476">
        <v>1</v>
      </c>
      <c r="DM476">
        <v>1</v>
      </c>
      <c r="DN476">
        <v>2</v>
      </c>
      <c r="DO476">
        <v>964</v>
      </c>
      <c r="DP476">
        <v>1</v>
      </c>
      <c r="DQ476">
        <v>3</v>
      </c>
      <c r="DR476">
        <v>3</v>
      </c>
      <c r="DS476">
        <v>0</v>
      </c>
      <c r="DT476">
        <v>10</v>
      </c>
      <c r="DU476">
        <v>11</v>
      </c>
      <c r="DV476">
        <v>8</v>
      </c>
      <c r="DW476">
        <v>0</v>
      </c>
      <c r="DX476">
        <v>19</v>
      </c>
      <c r="DY476">
        <v>9</v>
      </c>
      <c r="DZ476">
        <v>946</v>
      </c>
      <c r="EA476">
        <v>0.98399999999999999</v>
      </c>
      <c r="EB476">
        <v>0.98405465441898898</v>
      </c>
      <c r="EC476">
        <v>0.98399504419563</v>
      </c>
      <c r="ED476">
        <v>0.98390116394496396</v>
      </c>
      <c r="EE476">
        <f>SUM(Table1[[#This Row],[ratio_0]:[ratio_9]])</f>
        <v>820</v>
      </c>
      <c r="EF476" s="1">
        <f>(Table1[[#This Row],[predicted_0]]-Table1[[#This Row],[actual_0]])/Table1[[#This Row],[actual_0]]</f>
        <v>-2.4489795918367346E-2</v>
      </c>
      <c r="EG476" s="1">
        <f>(Table1[[#This Row],[predicted_1]]-Table1[[#This Row],[actual_1]])/Table1[[#This Row],[actual_1]]</f>
        <v>8.81057268722467E-4</v>
      </c>
      <c r="EH476" s="1">
        <f>(Table1[[#This Row],[predicted_2]]-Table1[[#This Row],[actual_2]])/Table1[[#This Row],[actual_2]]</f>
        <v>4.8449612403100775E-3</v>
      </c>
      <c r="EI476" s="1">
        <f>(Table1[[#This Row],[predicted_3]]-Table1[[#This Row],[actual_3]])/Table1[[#This Row],[actual_3]]</f>
        <v>1.3861386138613862E-2</v>
      </c>
      <c r="EJ476" s="1">
        <f>(Table1[[#This Row],[predicted_4]]-Table1[[#This Row],[actual_4]])/Table1[[#This Row],[actual_4]]</f>
        <v>1.1201629327902239E-2</v>
      </c>
      <c r="EK476" s="1">
        <f>(Table1[[#This Row],[predicted_5]]-Table1[[#This Row],[actual_5]])/Table1[[#This Row],[actual_5]]</f>
        <v>1.0089686098654708E-2</v>
      </c>
      <c r="EL476" s="1">
        <f>(Table1[[#This Row],[predicted_6]]-Table1[[#This Row],[actual_6]])/Table1[[#This Row],[actual_6]]</f>
        <v>1.0438413361169101E-3</v>
      </c>
      <c r="EM476" s="1">
        <f>(Table1[[#This Row],[predicted_7]]-Table1[[#This Row],[actual_7]])/Table1[[#This Row],[actual_7]]</f>
        <v>2.4319066147859923E-2</v>
      </c>
      <c r="EN476" s="1">
        <f>(Table1[[#This Row],[predicted_8]]-Table1[[#This Row],[actual_8]])/Table1[[#This Row],[actual_8]]</f>
        <v>1.4373716632443531E-2</v>
      </c>
      <c r="EO476" s="1">
        <f>(Table1[[#This Row],[predicted_9]]-Table1[[#This Row],[actual_9]])/Table1[[#This Row],[actual_9]]</f>
        <v>-5.550049554013875E-2</v>
      </c>
      <c r="EP476" s="1">
        <f>1+(Table1[[#This Row],[error_ratio_0]]-EF$2)</f>
        <v>0.97346938775510206</v>
      </c>
      <c r="EQ476" s="1">
        <f>1+(Table1[[#This Row],[error_ratio_1]]-EG$2)</f>
        <v>0.99911894273127755</v>
      </c>
      <c r="ER476" s="1">
        <f>1+(Table1[[#This Row],[error_ratio_2]]-EH$2)</f>
        <v>1.0096899224806202</v>
      </c>
      <c r="ES476" s="1">
        <f>1+(Table1[[#This Row],[error_ratio_3]]-EI$2)</f>
        <v>1.003960396039604</v>
      </c>
      <c r="ET476" s="1">
        <f>1+(Table1[[#This Row],[error_ratio_4]]-EJ$2)</f>
        <v>1.0101832993890021</v>
      </c>
      <c r="EU476" s="1">
        <f>1+(Table1[[#This Row],[error_ratio_5]]-EK$2)</f>
        <v>1.0089686098654709</v>
      </c>
      <c r="EV476" s="1">
        <f>1+(Table1[[#This Row],[error_ratio_6]]-EL$2)</f>
        <v>1.0073068893528183</v>
      </c>
      <c r="EW476" s="1">
        <f>1+(Table1[[#This Row],[error_ratio_7]]-EM$2)</f>
        <v>1.022373540856031</v>
      </c>
      <c r="EX476" s="1">
        <f>1+(Table1[[#This Row],[error_ratio_8]]-EN$2)</f>
        <v>1.017453798767967</v>
      </c>
      <c r="EY476" s="1">
        <f>1+(Table1[[#This Row],[error_ratio_9]]-EO$2)</f>
        <v>0.94846382556987119</v>
      </c>
    </row>
    <row r="477" spans="1:155" x14ac:dyDescent="0.75">
      <c r="A477">
        <v>100</v>
      </c>
      <c r="B477">
        <v>10</v>
      </c>
      <c r="C477">
        <v>100</v>
      </c>
      <c r="D477">
        <v>100</v>
      </c>
      <c r="E477">
        <v>100</v>
      </c>
      <c r="F477">
        <v>100</v>
      </c>
      <c r="G477">
        <v>100</v>
      </c>
      <c r="H477">
        <v>100</v>
      </c>
      <c r="I477">
        <v>100</v>
      </c>
      <c r="J477">
        <v>10</v>
      </c>
      <c r="K477">
        <v>994</v>
      </c>
      <c r="L477">
        <v>1115</v>
      </c>
      <c r="M477">
        <v>1040</v>
      </c>
      <c r="N477">
        <v>1027</v>
      </c>
      <c r="O477">
        <v>1008</v>
      </c>
      <c r="P477">
        <v>899</v>
      </c>
      <c r="Q477">
        <v>954</v>
      </c>
      <c r="R477">
        <v>1063</v>
      </c>
      <c r="S477">
        <v>974</v>
      </c>
      <c r="T477">
        <v>926</v>
      </c>
      <c r="U477">
        <v>980</v>
      </c>
      <c r="V477">
        <v>1135</v>
      </c>
      <c r="W477">
        <v>1032</v>
      </c>
      <c r="X477">
        <v>1010</v>
      </c>
      <c r="Y477">
        <v>982</v>
      </c>
      <c r="Z477">
        <v>892</v>
      </c>
      <c r="AA477">
        <v>958</v>
      </c>
      <c r="AB477">
        <v>1028</v>
      </c>
      <c r="AC477">
        <v>974</v>
      </c>
      <c r="AD477">
        <v>1009</v>
      </c>
      <c r="AE477">
        <v>974</v>
      </c>
      <c r="AF477">
        <v>0</v>
      </c>
      <c r="AG477">
        <v>0</v>
      </c>
      <c r="AH477">
        <v>0</v>
      </c>
      <c r="AI477">
        <v>0</v>
      </c>
      <c r="AJ477">
        <v>1</v>
      </c>
      <c r="AK477">
        <v>1</v>
      </c>
      <c r="AL477">
        <v>2</v>
      </c>
      <c r="AM477">
        <v>2</v>
      </c>
      <c r="AN477">
        <v>0</v>
      </c>
      <c r="AO477">
        <v>0</v>
      </c>
      <c r="AP477">
        <v>1109</v>
      </c>
      <c r="AQ477">
        <v>3</v>
      </c>
      <c r="AR477">
        <v>8</v>
      </c>
      <c r="AS477">
        <v>0</v>
      </c>
      <c r="AT477">
        <v>1</v>
      </c>
      <c r="AU477">
        <v>3</v>
      </c>
      <c r="AV477">
        <v>8</v>
      </c>
      <c r="AW477">
        <v>3</v>
      </c>
      <c r="AX477">
        <v>0</v>
      </c>
      <c r="AY477">
        <v>2</v>
      </c>
      <c r="AZ477">
        <v>0</v>
      </c>
      <c r="BA477">
        <v>1024</v>
      </c>
      <c r="BB477">
        <v>0</v>
      </c>
      <c r="BC477">
        <v>0</v>
      </c>
      <c r="BD477">
        <v>0</v>
      </c>
      <c r="BE477">
        <v>0</v>
      </c>
      <c r="BF477">
        <v>5</v>
      </c>
      <c r="BG477">
        <v>1</v>
      </c>
      <c r="BH477">
        <v>0</v>
      </c>
      <c r="BI477">
        <v>0</v>
      </c>
      <c r="BJ477">
        <v>0</v>
      </c>
      <c r="BK477">
        <v>2</v>
      </c>
      <c r="BL477">
        <v>1001</v>
      </c>
      <c r="BM477">
        <v>0</v>
      </c>
      <c r="BN477">
        <v>4</v>
      </c>
      <c r="BO477">
        <v>0</v>
      </c>
      <c r="BP477">
        <v>2</v>
      </c>
      <c r="BQ477">
        <v>1</v>
      </c>
      <c r="BR477">
        <v>0</v>
      </c>
      <c r="BS477">
        <v>1</v>
      </c>
      <c r="BT477">
        <v>0</v>
      </c>
      <c r="BU477">
        <v>1</v>
      </c>
      <c r="BV477">
        <v>0</v>
      </c>
      <c r="BW477">
        <v>975</v>
      </c>
      <c r="BX477">
        <v>0</v>
      </c>
      <c r="BY477">
        <v>4</v>
      </c>
      <c r="BZ477">
        <v>0</v>
      </c>
      <c r="CA477">
        <v>1</v>
      </c>
      <c r="CB477">
        <v>0</v>
      </c>
      <c r="CC477">
        <v>2</v>
      </c>
      <c r="CD477">
        <v>0</v>
      </c>
      <c r="CE477">
        <v>1</v>
      </c>
      <c r="CF477">
        <v>7</v>
      </c>
      <c r="CG477">
        <v>0</v>
      </c>
      <c r="CH477">
        <v>879</v>
      </c>
      <c r="CI477">
        <v>2</v>
      </c>
      <c r="CJ477">
        <v>1</v>
      </c>
      <c r="CK477">
        <v>0</v>
      </c>
      <c r="CL477">
        <v>0</v>
      </c>
      <c r="CM477">
        <v>7</v>
      </c>
      <c r="CN477">
        <v>2</v>
      </c>
      <c r="CO477">
        <v>0</v>
      </c>
      <c r="CP477">
        <v>0</v>
      </c>
      <c r="CQ477">
        <v>1</v>
      </c>
      <c r="CR477">
        <v>3</v>
      </c>
      <c r="CS477">
        <v>944</v>
      </c>
      <c r="CT477">
        <v>0</v>
      </c>
      <c r="CU477">
        <v>1</v>
      </c>
      <c r="CV477">
        <v>0</v>
      </c>
      <c r="CW477">
        <v>1</v>
      </c>
      <c r="CX477">
        <v>1</v>
      </c>
      <c r="CY477">
        <v>8</v>
      </c>
      <c r="CZ477">
        <v>0</v>
      </c>
      <c r="DA477">
        <v>0</v>
      </c>
      <c r="DB477">
        <v>0</v>
      </c>
      <c r="DC477">
        <v>0</v>
      </c>
      <c r="DD477">
        <v>1015</v>
      </c>
      <c r="DE477">
        <v>2</v>
      </c>
      <c r="DF477">
        <v>1</v>
      </c>
      <c r="DG477">
        <v>1</v>
      </c>
      <c r="DH477">
        <v>0</v>
      </c>
      <c r="DI477">
        <v>1</v>
      </c>
      <c r="DJ477">
        <v>2</v>
      </c>
      <c r="DK477">
        <v>1</v>
      </c>
      <c r="DL477">
        <v>2</v>
      </c>
      <c r="DM477">
        <v>0</v>
      </c>
      <c r="DN477">
        <v>10</v>
      </c>
      <c r="DO477">
        <v>955</v>
      </c>
      <c r="DP477">
        <v>2</v>
      </c>
      <c r="DQ477">
        <v>6</v>
      </c>
      <c r="DR477">
        <v>3</v>
      </c>
      <c r="DS477">
        <v>0</v>
      </c>
      <c r="DT477">
        <v>9</v>
      </c>
      <c r="DU477">
        <v>31</v>
      </c>
      <c r="DV477">
        <v>9</v>
      </c>
      <c r="DW477">
        <v>0</v>
      </c>
      <c r="DX477">
        <v>20</v>
      </c>
      <c r="DY477">
        <v>8</v>
      </c>
      <c r="DZ477">
        <v>923</v>
      </c>
      <c r="EA477">
        <v>0.97989999999999999</v>
      </c>
      <c r="EB477">
        <v>0.98004276733251305</v>
      </c>
      <c r="EC477">
        <v>0.98006051485302703</v>
      </c>
      <c r="ED477">
        <v>0.97980884817017999</v>
      </c>
      <c r="EE477">
        <f>SUM(Table1[[#This Row],[ratio_0]:[ratio_9]])</f>
        <v>820</v>
      </c>
      <c r="EF477" s="1">
        <f>(Table1[[#This Row],[predicted_0]]-Table1[[#This Row],[actual_0]])/Table1[[#This Row],[actual_0]]</f>
        <v>1.4285714285714285E-2</v>
      </c>
      <c r="EG477" s="1">
        <f>(Table1[[#This Row],[predicted_1]]-Table1[[#This Row],[actual_1]])/Table1[[#This Row],[actual_1]]</f>
        <v>-1.7621145374449341E-2</v>
      </c>
      <c r="EH477" s="1">
        <f>(Table1[[#This Row],[predicted_2]]-Table1[[#This Row],[actual_2]])/Table1[[#This Row],[actual_2]]</f>
        <v>7.7519379844961239E-3</v>
      </c>
      <c r="EI477" s="1">
        <f>(Table1[[#This Row],[predicted_3]]-Table1[[#This Row],[actual_3]])/Table1[[#This Row],[actual_3]]</f>
        <v>1.6831683168316833E-2</v>
      </c>
      <c r="EJ477" s="1">
        <f>(Table1[[#This Row],[predicted_4]]-Table1[[#This Row],[actual_4]])/Table1[[#This Row],[actual_4]]</f>
        <v>2.6476578411405296E-2</v>
      </c>
      <c r="EK477" s="1">
        <f>(Table1[[#This Row],[predicted_5]]-Table1[[#This Row],[actual_5]])/Table1[[#This Row],[actual_5]]</f>
        <v>7.8475336322869956E-3</v>
      </c>
      <c r="EL477" s="1">
        <f>(Table1[[#This Row],[predicted_6]]-Table1[[#This Row],[actual_6]])/Table1[[#This Row],[actual_6]]</f>
        <v>-4.1753653444676405E-3</v>
      </c>
      <c r="EM477" s="1">
        <f>(Table1[[#This Row],[predicted_7]]-Table1[[#This Row],[actual_7]])/Table1[[#This Row],[actual_7]]</f>
        <v>3.4046692607003888E-2</v>
      </c>
      <c r="EN477" s="1">
        <f>(Table1[[#This Row],[predicted_8]]-Table1[[#This Row],[actual_8]])/Table1[[#This Row],[actual_8]]</f>
        <v>0</v>
      </c>
      <c r="EO477" s="1">
        <f>(Table1[[#This Row],[predicted_9]]-Table1[[#This Row],[actual_9]])/Table1[[#This Row],[actual_9]]</f>
        <v>-8.2259663032705654E-2</v>
      </c>
      <c r="EP477" s="1">
        <f>1+(Table1[[#This Row],[error_ratio_0]]-EF$2)</f>
        <v>1.0122448979591836</v>
      </c>
      <c r="EQ477" s="1">
        <f>1+(Table1[[#This Row],[error_ratio_1]]-EG$2)</f>
        <v>0.98061674008810573</v>
      </c>
      <c r="ER477" s="1">
        <f>1+(Table1[[#This Row],[error_ratio_2]]-EH$2)</f>
        <v>1.0125968992248062</v>
      </c>
      <c r="ES477" s="1">
        <f>1+(Table1[[#This Row],[error_ratio_3]]-EI$2)</f>
        <v>1.0069306930693069</v>
      </c>
      <c r="ET477" s="1">
        <f>1+(Table1[[#This Row],[error_ratio_4]]-EJ$2)</f>
        <v>1.025458248472505</v>
      </c>
      <c r="EU477" s="1">
        <f>1+(Table1[[#This Row],[error_ratio_5]]-EK$2)</f>
        <v>1.006726457399103</v>
      </c>
      <c r="EV477" s="1">
        <f>1+(Table1[[#This Row],[error_ratio_6]]-EL$2)</f>
        <v>1.0020876826722338</v>
      </c>
      <c r="EW477" s="1">
        <f>1+(Table1[[#This Row],[error_ratio_7]]-EM$2)</f>
        <v>1.032101167315175</v>
      </c>
      <c r="EX477" s="1">
        <f>1+(Table1[[#This Row],[error_ratio_8]]-EN$2)</f>
        <v>1.0030800821355237</v>
      </c>
      <c r="EY477" s="1">
        <f>1+(Table1[[#This Row],[error_ratio_9]]-EO$2)</f>
        <v>0.92170465807730428</v>
      </c>
    </row>
    <row r="478" spans="1:155" x14ac:dyDescent="0.75">
      <c r="A478">
        <v>10</v>
      </c>
      <c r="B478">
        <v>10</v>
      </c>
      <c r="C478">
        <v>100</v>
      </c>
      <c r="D478">
        <v>100</v>
      </c>
      <c r="E478">
        <v>100</v>
      </c>
      <c r="F478">
        <v>100</v>
      </c>
      <c r="G478">
        <v>100</v>
      </c>
      <c r="H478">
        <v>100</v>
      </c>
      <c r="I478">
        <v>100</v>
      </c>
      <c r="J478">
        <v>10</v>
      </c>
      <c r="K478">
        <v>971</v>
      </c>
      <c r="L478">
        <v>1107</v>
      </c>
      <c r="M478">
        <v>1021</v>
      </c>
      <c r="N478">
        <v>1031</v>
      </c>
      <c r="O478">
        <v>1007</v>
      </c>
      <c r="P478">
        <v>924</v>
      </c>
      <c r="Q478">
        <v>952</v>
      </c>
      <c r="R478">
        <v>1091</v>
      </c>
      <c r="S478">
        <v>999</v>
      </c>
      <c r="T478">
        <v>897</v>
      </c>
      <c r="U478">
        <v>980</v>
      </c>
      <c r="V478">
        <v>1135</v>
      </c>
      <c r="W478">
        <v>1032</v>
      </c>
      <c r="X478">
        <v>1010</v>
      </c>
      <c r="Y478">
        <v>982</v>
      </c>
      <c r="Z478">
        <v>892</v>
      </c>
      <c r="AA478">
        <v>958</v>
      </c>
      <c r="AB478">
        <v>1028</v>
      </c>
      <c r="AC478">
        <v>974</v>
      </c>
      <c r="AD478">
        <v>1009</v>
      </c>
      <c r="AE478">
        <v>957</v>
      </c>
      <c r="AF478">
        <v>1</v>
      </c>
      <c r="AG478">
        <v>1</v>
      </c>
      <c r="AH478">
        <v>0</v>
      </c>
      <c r="AI478">
        <v>0</v>
      </c>
      <c r="AJ478">
        <v>11</v>
      </c>
      <c r="AK478">
        <v>3</v>
      </c>
      <c r="AL478">
        <v>1</v>
      </c>
      <c r="AM478">
        <v>3</v>
      </c>
      <c r="AN478">
        <v>3</v>
      </c>
      <c r="AO478">
        <v>0</v>
      </c>
      <c r="AP478">
        <v>1104</v>
      </c>
      <c r="AQ478">
        <v>2</v>
      </c>
      <c r="AR478">
        <v>5</v>
      </c>
      <c r="AS478">
        <v>0</v>
      </c>
      <c r="AT478">
        <v>4</v>
      </c>
      <c r="AU478">
        <v>2</v>
      </c>
      <c r="AV478">
        <v>12</v>
      </c>
      <c r="AW478">
        <v>6</v>
      </c>
      <c r="AX478">
        <v>0</v>
      </c>
      <c r="AY478">
        <v>3</v>
      </c>
      <c r="AZ478">
        <v>0</v>
      </c>
      <c r="BA478">
        <v>1011</v>
      </c>
      <c r="BB478">
        <v>1</v>
      </c>
      <c r="BC478">
        <v>3</v>
      </c>
      <c r="BD478">
        <v>0</v>
      </c>
      <c r="BE478">
        <v>0</v>
      </c>
      <c r="BF478">
        <v>12</v>
      </c>
      <c r="BG478">
        <v>2</v>
      </c>
      <c r="BH478">
        <v>0</v>
      </c>
      <c r="BI478">
        <v>0</v>
      </c>
      <c r="BJ478">
        <v>0</v>
      </c>
      <c r="BK478">
        <v>2</v>
      </c>
      <c r="BL478">
        <v>1000</v>
      </c>
      <c r="BM478">
        <v>0</v>
      </c>
      <c r="BN478">
        <v>3</v>
      </c>
      <c r="BO478">
        <v>0</v>
      </c>
      <c r="BP478">
        <v>4</v>
      </c>
      <c r="BQ478">
        <v>1</v>
      </c>
      <c r="BR478">
        <v>0</v>
      </c>
      <c r="BS478">
        <v>0</v>
      </c>
      <c r="BT478">
        <v>0</v>
      </c>
      <c r="BU478">
        <v>0</v>
      </c>
      <c r="BV478">
        <v>0</v>
      </c>
      <c r="BW478">
        <v>976</v>
      </c>
      <c r="BX478">
        <v>0</v>
      </c>
      <c r="BY478">
        <v>3</v>
      </c>
      <c r="BZ478">
        <v>2</v>
      </c>
      <c r="CA478">
        <v>1</v>
      </c>
      <c r="CB478">
        <v>0</v>
      </c>
      <c r="CC478">
        <v>0</v>
      </c>
      <c r="CD478">
        <v>0</v>
      </c>
      <c r="CE478">
        <v>0</v>
      </c>
      <c r="CF478">
        <v>12</v>
      </c>
      <c r="CG478">
        <v>0</v>
      </c>
      <c r="CH478">
        <v>877</v>
      </c>
      <c r="CI478">
        <v>1</v>
      </c>
      <c r="CJ478">
        <v>0</v>
      </c>
      <c r="CK478">
        <v>2</v>
      </c>
      <c r="CL478">
        <v>0</v>
      </c>
      <c r="CM478">
        <v>4</v>
      </c>
      <c r="CN478">
        <v>2</v>
      </c>
      <c r="CO478">
        <v>0</v>
      </c>
      <c r="CP478">
        <v>0</v>
      </c>
      <c r="CQ478">
        <v>3</v>
      </c>
      <c r="CR478">
        <v>5</v>
      </c>
      <c r="CS478">
        <v>943</v>
      </c>
      <c r="CT478">
        <v>0</v>
      </c>
      <c r="CU478">
        <v>1</v>
      </c>
      <c r="CV478">
        <v>0</v>
      </c>
      <c r="CW478">
        <v>1</v>
      </c>
      <c r="CX478">
        <v>0</v>
      </c>
      <c r="CY478">
        <v>1</v>
      </c>
      <c r="CZ478">
        <v>1</v>
      </c>
      <c r="DA478">
        <v>0</v>
      </c>
      <c r="DB478">
        <v>0</v>
      </c>
      <c r="DC478">
        <v>0</v>
      </c>
      <c r="DD478">
        <v>1025</v>
      </c>
      <c r="DE478">
        <v>0</v>
      </c>
      <c r="DF478">
        <v>0</v>
      </c>
      <c r="DG478">
        <v>2</v>
      </c>
      <c r="DH478">
        <v>0</v>
      </c>
      <c r="DI478">
        <v>4</v>
      </c>
      <c r="DJ478">
        <v>2</v>
      </c>
      <c r="DK478">
        <v>0</v>
      </c>
      <c r="DL478">
        <v>1</v>
      </c>
      <c r="DM478">
        <v>0</v>
      </c>
      <c r="DN478">
        <v>6</v>
      </c>
      <c r="DO478">
        <v>959</v>
      </c>
      <c r="DP478">
        <v>0</v>
      </c>
      <c r="DQ478">
        <v>4</v>
      </c>
      <c r="DR478">
        <v>0</v>
      </c>
      <c r="DS478">
        <v>0</v>
      </c>
      <c r="DT478">
        <v>10</v>
      </c>
      <c r="DU478">
        <v>25</v>
      </c>
      <c r="DV478">
        <v>23</v>
      </c>
      <c r="DW478">
        <v>0</v>
      </c>
      <c r="DX478">
        <v>29</v>
      </c>
      <c r="DY478">
        <v>24</v>
      </c>
      <c r="DZ478">
        <v>894</v>
      </c>
      <c r="EA478">
        <v>0.97460000000000002</v>
      </c>
      <c r="EB478">
        <v>0.97480260614957703</v>
      </c>
      <c r="EC478">
        <v>0.97480913359051302</v>
      </c>
      <c r="ED478">
        <v>0.974302494379923</v>
      </c>
      <c r="EE478">
        <f>SUM(Table1[[#This Row],[ratio_0]:[ratio_9]])</f>
        <v>730</v>
      </c>
      <c r="EF478" s="1">
        <f>(Table1[[#This Row],[predicted_0]]-Table1[[#This Row],[actual_0]])/Table1[[#This Row],[actual_0]]</f>
        <v>-9.1836734693877559E-3</v>
      </c>
      <c r="EG478" s="1">
        <f>(Table1[[#This Row],[predicted_1]]-Table1[[#This Row],[actual_1]])/Table1[[#This Row],[actual_1]]</f>
        <v>-2.4669603524229075E-2</v>
      </c>
      <c r="EH478" s="1">
        <f>(Table1[[#This Row],[predicted_2]]-Table1[[#This Row],[actual_2]])/Table1[[#This Row],[actual_2]]</f>
        <v>-1.065891472868217E-2</v>
      </c>
      <c r="EI478" s="1">
        <f>(Table1[[#This Row],[predicted_3]]-Table1[[#This Row],[actual_3]])/Table1[[#This Row],[actual_3]]</f>
        <v>2.0792079207920793E-2</v>
      </c>
      <c r="EJ478" s="1">
        <f>(Table1[[#This Row],[predicted_4]]-Table1[[#This Row],[actual_4]])/Table1[[#This Row],[actual_4]]</f>
        <v>2.5458248472505093E-2</v>
      </c>
      <c r="EK478" s="1">
        <f>(Table1[[#This Row],[predicted_5]]-Table1[[#This Row],[actual_5]])/Table1[[#This Row],[actual_5]]</f>
        <v>3.5874439461883408E-2</v>
      </c>
      <c r="EL478" s="1">
        <f>(Table1[[#This Row],[predicted_6]]-Table1[[#This Row],[actual_6]])/Table1[[#This Row],[actual_6]]</f>
        <v>-6.2630480167014616E-3</v>
      </c>
      <c r="EM478" s="1">
        <f>(Table1[[#This Row],[predicted_7]]-Table1[[#This Row],[actual_7]])/Table1[[#This Row],[actual_7]]</f>
        <v>6.1284046692607001E-2</v>
      </c>
      <c r="EN478" s="1">
        <f>(Table1[[#This Row],[predicted_8]]-Table1[[#This Row],[actual_8]])/Table1[[#This Row],[actual_8]]</f>
        <v>2.5667351129363448E-2</v>
      </c>
      <c r="EO478" s="1">
        <f>(Table1[[#This Row],[predicted_9]]-Table1[[#This Row],[actual_9]])/Table1[[#This Row],[actual_9]]</f>
        <v>-0.1110009910802775</v>
      </c>
      <c r="EP478" s="1">
        <f>1+(Table1[[#This Row],[error_ratio_0]]-EF$2)</f>
        <v>0.98877551020408161</v>
      </c>
      <c r="EQ478" s="1">
        <f>1+(Table1[[#This Row],[error_ratio_1]]-EG$2)</f>
        <v>0.97356828193832601</v>
      </c>
      <c r="ER478" s="1">
        <f>1+(Table1[[#This Row],[error_ratio_2]]-EH$2)</f>
        <v>0.9941860465116279</v>
      </c>
      <c r="ES478" s="1">
        <f>1+(Table1[[#This Row],[error_ratio_3]]-EI$2)</f>
        <v>1.0108910891089109</v>
      </c>
      <c r="ET478" s="1">
        <f>1+(Table1[[#This Row],[error_ratio_4]]-EJ$2)</f>
        <v>1.0244399185336048</v>
      </c>
      <c r="EU478" s="1">
        <f>1+(Table1[[#This Row],[error_ratio_5]]-EK$2)</f>
        <v>1.0347533632286996</v>
      </c>
      <c r="EV478" s="1">
        <f>1+(Table1[[#This Row],[error_ratio_6]]-EL$2)</f>
        <v>1</v>
      </c>
      <c r="EW478" s="1">
        <f>1+(Table1[[#This Row],[error_ratio_7]]-EM$2)</f>
        <v>1.0593385214007782</v>
      </c>
      <c r="EX478" s="1">
        <f>1+(Table1[[#This Row],[error_ratio_8]]-EN$2)</f>
        <v>1.0287474332648872</v>
      </c>
      <c r="EY478" s="1">
        <f>1+(Table1[[#This Row],[error_ratio_9]]-EO$2)</f>
        <v>0.89296333002973238</v>
      </c>
    </row>
    <row r="479" spans="1:155" x14ac:dyDescent="0.75">
      <c r="A479">
        <v>100</v>
      </c>
      <c r="B479">
        <v>100</v>
      </c>
      <c r="C479">
        <v>10</v>
      </c>
      <c r="D479">
        <v>100</v>
      </c>
      <c r="E479">
        <v>100</v>
      </c>
      <c r="F479">
        <v>100</v>
      </c>
      <c r="G479">
        <v>100</v>
      </c>
      <c r="H479">
        <v>100</v>
      </c>
      <c r="I479">
        <v>100</v>
      </c>
      <c r="J479">
        <v>10</v>
      </c>
      <c r="K479">
        <v>996</v>
      </c>
      <c r="L479">
        <v>1150</v>
      </c>
      <c r="M479">
        <v>970</v>
      </c>
      <c r="N479">
        <v>1029</v>
      </c>
      <c r="O479">
        <v>1019</v>
      </c>
      <c r="P479">
        <v>912</v>
      </c>
      <c r="Q479">
        <v>953</v>
      </c>
      <c r="R479">
        <v>1043</v>
      </c>
      <c r="S479">
        <v>985</v>
      </c>
      <c r="T479">
        <v>943</v>
      </c>
      <c r="U479">
        <v>980</v>
      </c>
      <c r="V479">
        <v>1135</v>
      </c>
      <c r="W479">
        <v>1032</v>
      </c>
      <c r="X479">
        <v>1010</v>
      </c>
      <c r="Y479">
        <v>982</v>
      </c>
      <c r="Z479">
        <v>892</v>
      </c>
      <c r="AA479">
        <v>958</v>
      </c>
      <c r="AB479">
        <v>1028</v>
      </c>
      <c r="AC479">
        <v>974</v>
      </c>
      <c r="AD479">
        <v>1009</v>
      </c>
      <c r="AE479">
        <v>974</v>
      </c>
      <c r="AF479">
        <v>0</v>
      </c>
      <c r="AG479">
        <v>0</v>
      </c>
      <c r="AH479">
        <v>0</v>
      </c>
      <c r="AI479">
        <v>0</v>
      </c>
      <c r="AJ479">
        <v>0</v>
      </c>
      <c r="AK479">
        <v>2</v>
      </c>
      <c r="AL479">
        <v>1</v>
      </c>
      <c r="AM479">
        <v>3</v>
      </c>
      <c r="AN479">
        <v>0</v>
      </c>
      <c r="AO479">
        <v>0</v>
      </c>
      <c r="AP479">
        <v>1129</v>
      </c>
      <c r="AQ479">
        <v>0</v>
      </c>
      <c r="AR479">
        <v>1</v>
      </c>
      <c r="AS479">
        <v>0</v>
      </c>
      <c r="AT479">
        <v>2</v>
      </c>
      <c r="AU479">
        <v>2</v>
      </c>
      <c r="AV479">
        <v>0</v>
      </c>
      <c r="AW479">
        <v>1</v>
      </c>
      <c r="AX479">
        <v>0</v>
      </c>
      <c r="AY479">
        <v>8</v>
      </c>
      <c r="AZ479">
        <v>9</v>
      </c>
      <c r="BA479">
        <v>965</v>
      </c>
      <c r="BB479">
        <v>8</v>
      </c>
      <c r="BC479">
        <v>7</v>
      </c>
      <c r="BD479">
        <v>1</v>
      </c>
      <c r="BE479">
        <v>4</v>
      </c>
      <c r="BF479">
        <v>17</v>
      </c>
      <c r="BG479">
        <v>13</v>
      </c>
      <c r="BH479">
        <v>0</v>
      </c>
      <c r="BI479">
        <v>0</v>
      </c>
      <c r="BJ479">
        <v>0</v>
      </c>
      <c r="BK479">
        <v>1</v>
      </c>
      <c r="BL479">
        <v>1000</v>
      </c>
      <c r="BM479">
        <v>0</v>
      </c>
      <c r="BN479">
        <v>5</v>
      </c>
      <c r="BO479">
        <v>0</v>
      </c>
      <c r="BP479">
        <v>2</v>
      </c>
      <c r="BQ479">
        <v>2</v>
      </c>
      <c r="BR479">
        <v>0</v>
      </c>
      <c r="BS479">
        <v>0</v>
      </c>
      <c r="BT479">
        <v>0</v>
      </c>
      <c r="BU479">
        <v>0</v>
      </c>
      <c r="BV479">
        <v>0</v>
      </c>
      <c r="BW479">
        <v>982</v>
      </c>
      <c r="BX479">
        <v>0</v>
      </c>
      <c r="BY479">
        <v>0</v>
      </c>
      <c r="BZ479">
        <v>0</v>
      </c>
      <c r="CA479">
        <v>0</v>
      </c>
      <c r="CB479">
        <v>0</v>
      </c>
      <c r="CC479">
        <v>2</v>
      </c>
      <c r="CD479">
        <v>0</v>
      </c>
      <c r="CE479">
        <v>0</v>
      </c>
      <c r="CF479">
        <v>6</v>
      </c>
      <c r="CG479">
        <v>0</v>
      </c>
      <c r="CH479">
        <v>883</v>
      </c>
      <c r="CI479">
        <v>1</v>
      </c>
      <c r="CJ479">
        <v>0</v>
      </c>
      <c r="CK479">
        <v>0</v>
      </c>
      <c r="CL479">
        <v>0</v>
      </c>
      <c r="CM479">
        <v>6</v>
      </c>
      <c r="CN479">
        <v>2</v>
      </c>
      <c r="CO479">
        <v>0</v>
      </c>
      <c r="CP479">
        <v>0</v>
      </c>
      <c r="CQ479">
        <v>3</v>
      </c>
      <c r="CR479">
        <v>4</v>
      </c>
      <c r="CS479">
        <v>943</v>
      </c>
      <c r="CT479">
        <v>0</v>
      </c>
      <c r="CU479">
        <v>0</v>
      </c>
      <c r="CV479">
        <v>0</v>
      </c>
      <c r="CW479">
        <v>0</v>
      </c>
      <c r="CX479">
        <v>5</v>
      </c>
      <c r="CY479">
        <v>3</v>
      </c>
      <c r="CZ479">
        <v>1</v>
      </c>
      <c r="DA479">
        <v>0</v>
      </c>
      <c r="DB479">
        <v>1</v>
      </c>
      <c r="DC479">
        <v>0</v>
      </c>
      <c r="DD479">
        <v>1016</v>
      </c>
      <c r="DE479">
        <v>1</v>
      </c>
      <c r="DF479">
        <v>1</v>
      </c>
      <c r="DG479">
        <v>1</v>
      </c>
      <c r="DH479">
        <v>0</v>
      </c>
      <c r="DI479">
        <v>1</v>
      </c>
      <c r="DJ479">
        <v>0</v>
      </c>
      <c r="DK479">
        <v>2</v>
      </c>
      <c r="DL479">
        <v>1</v>
      </c>
      <c r="DM479">
        <v>1</v>
      </c>
      <c r="DN479">
        <v>2</v>
      </c>
      <c r="DO479">
        <v>962</v>
      </c>
      <c r="DP479">
        <v>4</v>
      </c>
      <c r="DQ479">
        <v>5</v>
      </c>
      <c r="DR479">
        <v>5</v>
      </c>
      <c r="DS479">
        <v>0</v>
      </c>
      <c r="DT479">
        <v>13</v>
      </c>
      <c r="DU479">
        <v>25</v>
      </c>
      <c r="DV479">
        <v>15</v>
      </c>
      <c r="DW479">
        <v>0</v>
      </c>
      <c r="DX479">
        <v>5</v>
      </c>
      <c r="DY479">
        <v>3</v>
      </c>
      <c r="DZ479">
        <v>938</v>
      </c>
      <c r="EA479">
        <v>0.97919999999999996</v>
      </c>
      <c r="EB479">
        <v>0.97931725576419404</v>
      </c>
      <c r="EC479">
        <v>0.97936602505527504</v>
      </c>
      <c r="ED479">
        <v>0.97906533289251296</v>
      </c>
      <c r="EE479">
        <f>SUM(Table1[[#This Row],[ratio_0]:[ratio_9]])</f>
        <v>820</v>
      </c>
      <c r="EF479" s="1">
        <f>(Table1[[#This Row],[predicted_0]]-Table1[[#This Row],[actual_0]])/Table1[[#This Row],[actual_0]]</f>
        <v>1.6326530612244899E-2</v>
      </c>
      <c r="EG479" s="1">
        <f>(Table1[[#This Row],[predicted_1]]-Table1[[#This Row],[actual_1]])/Table1[[#This Row],[actual_1]]</f>
        <v>1.3215859030837005E-2</v>
      </c>
      <c r="EH479" s="1">
        <f>(Table1[[#This Row],[predicted_2]]-Table1[[#This Row],[actual_2]])/Table1[[#This Row],[actual_2]]</f>
        <v>-6.0077519379844964E-2</v>
      </c>
      <c r="EI479" s="1">
        <f>(Table1[[#This Row],[predicted_3]]-Table1[[#This Row],[actual_3]])/Table1[[#This Row],[actual_3]]</f>
        <v>1.8811881188118811E-2</v>
      </c>
      <c r="EJ479" s="1">
        <f>(Table1[[#This Row],[predicted_4]]-Table1[[#This Row],[actual_4]])/Table1[[#This Row],[actual_4]]</f>
        <v>3.7678207739307537E-2</v>
      </c>
      <c r="EK479" s="1">
        <f>(Table1[[#This Row],[predicted_5]]-Table1[[#This Row],[actual_5]])/Table1[[#This Row],[actual_5]]</f>
        <v>2.2421524663677129E-2</v>
      </c>
      <c r="EL479" s="1">
        <f>(Table1[[#This Row],[predicted_6]]-Table1[[#This Row],[actual_6]])/Table1[[#This Row],[actual_6]]</f>
        <v>-5.2192066805845511E-3</v>
      </c>
      <c r="EM479" s="1">
        <f>(Table1[[#This Row],[predicted_7]]-Table1[[#This Row],[actual_7]])/Table1[[#This Row],[actual_7]]</f>
        <v>1.4591439688715954E-2</v>
      </c>
      <c r="EN479" s="1">
        <f>(Table1[[#This Row],[predicted_8]]-Table1[[#This Row],[actual_8]])/Table1[[#This Row],[actual_8]]</f>
        <v>1.1293634496919919E-2</v>
      </c>
      <c r="EO479" s="1">
        <f>(Table1[[#This Row],[predicted_9]]-Table1[[#This Row],[actual_9]])/Table1[[#This Row],[actual_9]]</f>
        <v>-6.5411298315163527E-2</v>
      </c>
      <c r="EP479" s="1">
        <f>1+(Table1[[#This Row],[error_ratio_0]]-EF$2)</f>
        <v>1.0142857142857142</v>
      </c>
      <c r="EQ479" s="1">
        <f>1+(Table1[[#This Row],[error_ratio_1]]-EG$2)</f>
        <v>1.011453744493392</v>
      </c>
      <c r="ER479" s="1">
        <f>1+(Table1[[#This Row],[error_ratio_2]]-EH$2)</f>
        <v>0.94476744186046513</v>
      </c>
      <c r="ES479" s="1">
        <f>1+(Table1[[#This Row],[error_ratio_3]]-EI$2)</f>
        <v>1.0089108910891089</v>
      </c>
      <c r="ET479" s="1">
        <f>1+(Table1[[#This Row],[error_ratio_4]]-EJ$2)</f>
        <v>1.0366598778004072</v>
      </c>
      <c r="EU479" s="1">
        <f>1+(Table1[[#This Row],[error_ratio_5]]-EK$2)</f>
        <v>1.0213004484304933</v>
      </c>
      <c r="EV479" s="1">
        <f>1+(Table1[[#This Row],[error_ratio_6]]-EL$2)</f>
        <v>1.0010438413361169</v>
      </c>
      <c r="EW479" s="1">
        <f>1+(Table1[[#This Row],[error_ratio_7]]-EM$2)</f>
        <v>1.0126459143968871</v>
      </c>
      <c r="EX479" s="1">
        <f>1+(Table1[[#This Row],[error_ratio_8]]-EN$2)</f>
        <v>1.0143737166324436</v>
      </c>
      <c r="EY479" s="1">
        <f>1+(Table1[[#This Row],[error_ratio_9]]-EO$2)</f>
        <v>0.93855302279484643</v>
      </c>
    </row>
    <row r="480" spans="1:155" x14ac:dyDescent="0.75">
      <c r="A480">
        <v>10</v>
      </c>
      <c r="B480">
        <v>100</v>
      </c>
      <c r="C480">
        <v>10</v>
      </c>
      <c r="D480">
        <v>100</v>
      </c>
      <c r="E480">
        <v>100</v>
      </c>
      <c r="F480">
        <v>100</v>
      </c>
      <c r="G480">
        <v>100</v>
      </c>
      <c r="H480">
        <v>100</v>
      </c>
      <c r="I480">
        <v>100</v>
      </c>
      <c r="J480">
        <v>10</v>
      </c>
      <c r="K480">
        <v>972</v>
      </c>
      <c r="L480">
        <v>1161</v>
      </c>
      <c r="M480">
        <v>931</v>
      </c>
      <c r="N480">
        <v>1013</v>
      </c>
      <c r="O480">
        <v>1011</v>
      </c>
      <c r="P480">
        <v>919</v>
      </c>
      <c r="Q480">
        <v>952</v>
      </c>
      <c r="R480">
        <v>1086</v>
      </c>
      <c r="S480">
        <v>1006</v>
      </c>
      <c r="T480">
        <v>949</v>
      </c>
      <c r="U480">
        <v>980</v>
      </c>
      <c r="V480">
        <v>1135</v>
      </c>
      <c r="W480">
        <v>1032</v>
      </c>
      <c r="X480">
        <v>1010</v>
      </c>
      <c r="Y480">
        <v>982</v>
      </c>
      <c r="Z480">
        <v>892</v>
      </c>
      <c r="AA480">
        <v>958</v>
      </c>
      <c r="AB480">
        <v>1028</v>
      </c>
      <c r="AC480">
        <v>974</v>
      </c>
      <c r="AD480">
        <v>1009</v>
      </c>
      <c r="AE480">
        <v>956</v>
      </c>
      <c r="AF480">
        <v>0</v>
      </c>
      <c r="AG480">
        <v>1</v>
      </c>
      <c r="AH480">
        <v>1</v>
      </c>
      <c r="AI480">
        <v>0</v>
      </c>
      <c r="AJ480">
        <v>7</v>
      </c>
      <c r="AK480">
        <v>3</v>
      </c>
      <c r="AL480">
        <v>2</v>
      </c>
      <c r="AM480">
        <v>4</v>
      </c>
      <c r="AN480">
        <v>6</v>
      </c>
      <c r="AO480">
        <v>0</v>
      </c>
      <c r="AP480">
        <v>1133</v>
      </c>
      <c r="AQ480">
        <v>0</v>
      </c>
      <c r="AR480">
        <v>1</v>
      </c>
      <c r="AS480">
        <v>0</v>
      </c>
      <c r="AT480">
        <v>1</v>
      </c>
      <c r="AU480">
        <v>0</v>
      </c>
      <c r="AV480">
        <v>0</v>
      </c>
      <c r="AW480">
        <v>0</v>
      </c>
      <c r="AX480">
        <v>0</v>
      </c>
      <c r="AY480">
        <v>6</v>
      </c>
      <c r="AZ480">
        <v>16</v>
      </c>
      <c r="BA480">
        <v>930</v>
      </c>
      <c r="BB480">
        <v>6</v>
      </c>
      <c r="BC480">
        <v>5</v>
      </c>
      <c r="BD480">
        <v>1</v>
      </c>
      <c r="BE480">
        <v>2</v>
      </c>
      <c r="BF480">
        <v>48</v>
      </c>
      <c r="BG480">
        <v>17</v>
      </c>
      <c r="BH480">
        <v>1</v>
      </c>
      <c r="BI480">
        <v>0</v>
      </c>
      <c r="BJ480">
        <v>0</v>
      </c>
      <c r="BK480">
        <v>0</v>
      </c>
      <c r="BL480">
        <v>997</v>
      </c>
      <c r="BM480">
        <v>0</v>
      </c>
      <c r="BN480">
        <v>7</v>
      </c>
      <c r="BO480">
        <v>0</v>
      </c>
      <c r="BP480">
        <v>4</v>
      </c>
      <c r="BQ480">
        <v>2</v>
      </c>
      <c r="BR480">
        <v>0</v>
      </c>
      <c r="BS480">
        <v>0</v>
      </c>
      <c r="BT480">
        <v>0</v>
      </c>
      <c r="BU480">
        <v>0</v>
      </c>
      <c r="BV480">
        <v>0</v>
      </c>
      <c r="BW480">
        <v>978</v>
      </c>
      <c r="BX480">
        <v>0</v>
      </c>
      <c r="BY480">
        <v>3</v>
      </c>
      <c r="BZ480">
        <v>0</v>
      </c>
      <c r="CA480">
        <v>0</v>
      </c>
      <c r="CB480">
        <v>1</v>
      </c>
      <c r="CC480">
        <v>1</v>
      </c>
      <c r="CD480">
        <v>0</v>
      </c>
      <c r="CE480">
        <v>0</v>
      </c>
      <c r="CF480">
        <v>2</v>
      </c>
      <c r="CG480">
        <v>0</v>
      </c>
      <c r="CH480">
        <v>887</v>
      </c>
      <c r="CI480">
        <v>1</v>
      </c>
      <c r="CJ480">
        <v>0</v>
      </c>
      <c r="CK480">
        <v>1</v>
      </c>
      <c r="CL480">
        <v>0</v>
      </c>
      <c r="CM480">
        <v>4</v>
      </c>
      <c r="CN480">
        <v>3</v>
      </c>
      <c r="CO480">
        <v>0</v>
      </c>
      <c r="CP480">
        <v>0</v>
      </c>
      <c r="CQ480">
        <v>2</v>
      </c>
      <c r="CR480">
        <v>4</v>
      </c>
      <c r="CS480">
        <v>943</v>
      </c>
      <c r="CT480">
        <v>0</v>
      </c>
      <c r="CU480">
        <v>2</v>
      </c>
      <c r="CV480">
        <v>0</v>
      </c>
      <c r="CW480">
        <v>1</v>
      </c>
      <c r="CX480">
        <v>4</v>
      </c>
      <c r="CY480">
        <v>0</v>
      </c>
      <c r="CZ480">
        <v>0</v>
      </c>
      <c r="DA480">
        <v>0</v>
      </c>
      <c r="DB480">
        <v>1</v>
      </c>
      <c r="DC480">
        <v>0</v>
      </c>
      <c r="DD480">
        <v>1020</v>
      </c>
      <c r="DE480">
        <v>1</v>
      </c>
      <c r="DF480">
        <v>1</v>
      </c>
      <c r="DG480">
        <v>1</v>
      </c>
      <c r="DH480">
        <v>0</v>
      </c>
      <c r="DI480">
        <v>0</v>
      </c>
      <c r="DJ480">
        <v>1</v>
      </c>
      <c r="DK480">
        <v>0</v>
      </c>
      <c r="DL480">
        <v>2</v>
      </c>
      <c r="DM480">
        <v>0</v>
      </c>
      <c r="DN480">
        <v>2</v>
      </c>
      <c r="DO480">
        <v>968</v>
      </c>
      <c r="DP480">
        <v>0</v>
      </c>
      <c r="DQ480">
        <v>3</v>
      </c>
      <c r="DR480">
        <v>5</v>
      </c>
      <c r="DS480">
        <v>0</v>
      </c>
      <c r="DT480">
        <v>5</v>
      </c>
      <c r="DU480">
        <v>26</v>
      </c>
      <c r="DV480">
        <v>9</v>
      </c>
      <c r="DW480">
        <v>0</v>
      </c>
      <c r="DX480">
        <v>10</v>
      </c>
      <c r="DY480">
        <v>11</v>
      </c>
      <c r="DZ480">
        <v>940</v>
      </c>
      <c r="EA480">
        <v>0.97519999999999996</v>
      </c>
      <c r="EB480">
        <v>0.97576074754909603</v>
      </c>
      <c r="EC480">
        <v>0.975437646756384</v>
      </c>
      <c r="ED480">
        <v>0.97510114964730199</v>
      </c>
      <c r="EE480">
        <f>SUM(Table1[[#This Row],[ratio_0]:[ratio_9]])</f>
        <v>730</v>
      </c>
      <c r="EF480" s="1">
        <f>(Table1[[#This Row],[predicted_0]]-Table1[[#This Row],[actual_0]])/Table1[[#This Row],[actual_0]]</f>
        <v>-8.1632653061224497E-3</v>
      </c>
      <c r="EG480" s="1">
        <f>(Table1[[#This Row],[predicted_1]]-Table1[[#This Row],[actual_1]])/Table1[[#This Row],[actual_1]]</f>
        <v>2.2907488986784141E-2</v>
      </c>
      <c r="EH480" s="1">
        <f>(Table1[[#This Row],[predicted_2]]-Table1[[#This Row],[actual_2]])/Table1[[#This Row],[actual_2]]</f>
        <v>-9.7868217054263559E-2</v>
      </c>
      <c r="EI480" s="1">
        <f>(Table1[[#This Row],[predicted_3]]-Table1[[#This Row],[actual_3]])/Table1[[#This Row],[actual_3]]</f>
        <v>2.9702970297029703E-3</v>
      </c>
      <c r="EJ480" s="1">
        <f>(Table1[[#This Row],[predicted_4]]-Table1[[#This Row],[actual_4]])/Table1[[#This Row],[actual_4]]</f>
        <v>2.9531568228105907E-2</v>
      </c>
      <c r="EK480" s="1">
        <f>(Table1[[#This Row],[predicted_5]]-Table1[[#This Row],[actual_5]])/Table1[[#This Row],[actual_5]]</f>
        <v>3.0269058295964126E-2</v>
      </c>
      <c r="EL480" s="1">
        <f>(Table1[[#This Row],[predicted_6]]-Table1[[#This Row],[actual_6]])/Table1[[#This Row],[actual_6]]</f>
        <v>-6.2630480167014616E-3</v>
      </c>
      <c r="EM480" s="1">
        <f>(Table1[[#This Row],[predicted_7]]-Table1[[#This Row],[actual_7]])/Table1[[#This Row],[actual_7]]</f>
        <v>5.642023346303502E-2</v>
      </c>
      <c r="EN480" s="1">
        <f>(Table1[[#This Row],[predicted_8]]-Table1[[#This Row],[actual_8]])/Table1[[#This Row],[actual_8]]</f>
        <v>3.2854209445585217E-2</v>
      </c>
      <c r="EO480" s="1">
        <f>(Table1[[#This Row],[predicted_9]]-Table1[[#This Row],[actual_9]])/Table1[[#This Row],[actual_9]]</f>
        <v>-5.9464816650148661E-2</v>
      </c>
      <c r="EP480" s="1">
        <f>1+(Table1[[#This Row],[error_ratio_0]]-EF$2)</f>
        <v>0.98979591836734693</v>
      </c>
      <c r="EQ480" s="1">
        <f>1+(Table1[[#This Row],[error_ratio_1]]-EG$2)</f>
        <v>1.0211453744493393</v>
      </c>
      <c r="ER480" s="1">
        <f>1+(Table1[[#This Row],[error_ratio_2]]-EH$2)</f>
        <v>0.90697674418604657</v>
      </c>
      <c r="ES480" s="1">
        <f>1+(Table1[[#This Row],[error_ratio_3]]-EI$2)</f>
        <v>0.99306930693069306</v>
      </c>
      <c r="ET480" s="1">
        <f>1+(Table1[[#This Row],[error_ratio_4]]-EJ$2)</f>
        <v>1.0285132382892057</v>
      </c>
      <c r="EU480" s="1">
        <f>1+(Table1[[#This Row],[error_ratio_5]]-EK$2)</f>
        <v>1.0291479820627802</v>
      </c>
      <c r="EV480" s="1">
        <f>1+(Table1[[#This Row],[error_ratio_6]]-EL$2)</f>
        <v>1</v>
      </c>
      <c r="EW480" s="1">
        <f>1+(Table1[[#This Row],[error_ratio_7]]-EM$2)</f>
        <v>1.0544747081712063</v>
      </c>
      <c r="EX480" s="1">
        <f>1+(Table1[[#This Row],[error_ratio_8]]-EN$2)</f>
        <v>1.0359342915811087</v>
      </c>
      <c r="EY480" s="1">
        <f>1+(Table1[[#This Row],[error_ratio_9]]-EO$2)</f>
        <v>0.94449950445986119</v>
      </c>
    </row>
    <row r="481" spans="1:155" x14ac:dyDescent="0.75">
      <c r="A481">
        <v>100</v>
      </c>
      <c r="B481">
        <v>10</v>
      </c>
      <c r="C481">
        <v>10</v>
      </c>
      <c r="D481">
        <v>100</v>
      </c>
      <c r="E481">
        <v>100</v>
      </c>
      <c r="F481">
        <v>100</v>
      </c>
      <c r="G481">
        <v>100</v>
      </c>
      <c r="H481">
        <v>100</v>
      </c>
      <c r="I481">
        <v>100</v>
      </c>
      <c r="J481">
        <v>10</v>
      </c>
      <c r="K481">
        <v>998</v>
      </c>
      <c r="L481">
        <v>1064</v>
      </c>
      <c r="M481">
        <v>933</v>
      </c>
      <c r="N481">
        <v>1029</v>
      </c>
      <c r="O481">
        <v>987</v>
      </c>
      <c r="P481">
        <v>890</v>
      </c>
      <c r="Q481">
        <v>962</v>
      </c>
      <c r="R481">
        <v>1103</v>
      </c>
      <c r="S481">
        <v>1127</v>
      </c>
      <c r="T481">
        <v>907</v>
      </c>
      <c r="U481">
        <v>980</v>
      </c>
      <c r="V481">
        <v>1135</v>
      </c>
      <c r="W481">
        <v>1032</v>
      </c>
      <c r="X481">
        <v>1010</v>
      </c>
      <c r="Y481">
        <v>982</v>
      </c>
      <c r="Z481">
        <v>892</v>
      </c>
      <c r="AA481">
        <v>958</v>
      </c>
      <c r="AB481">
        <v>1028</v>
      </c>
      <c r="AC481">
        <v>974</v>
      </c>
      <c r="AD481">
        <v>1009</v>
      </c>
      <c r="AE481">
        <v>974</v>
      </c>
      <c r="AF481">
        <v>0</v>
      </c>
      <c r="AG481">
        <v>0</v>
      </c>
      <c r="AH481">
        <v>0</v>
      </c>
      <c r="AI481">
        <v>0</v>
      </c>
      <c r="AJ481">
        <v>0</v>
      </c>
      <c r="AK481">
        <v>0</v>
      </c>
      <c r="AL481">
        <v>2</v>
      </c>
      <c r="AM481">
        <v>4</v>
      </c>
      <c r="AN481">
        <v>0</v>
      </c>
      <c r="AO481">
        <v>0</v>
      </c>
      <c r="AP481">
        <v>1062</v>
      </c>
      <c r="AQ481">
        <v>2</v>
      </c>
      <c r="AR481">
        <v>3</v>
      </c>
      <c r="AS481">
        <v>1</v>
      </c>
      <c r="AT481">
        <v>1</v>
      </c>
      <c r="AU481">
        <v>6</v>
      </c>
      <c r="AV481">
        <v>10</v>
      </c>
      <c r="AW481">
        <v>50</v>
      </c>
      <c r="AX481">
        <v>0</v>
      </c>
      <c r="AY481">
        <v>7</v>
      </c>
      <c r="AZ481">
        <v>1</v>
      </c>
      <c r="BA481">
        <v>930</v>
      </c>
      <c r="BB481">
        <v>12</v>
      </c>
      <c r="BC481">
        <v>4</v>
      </c>
      <c r="BD481">
        <v>0</v>
      </c>
      <c r="BE481">
        <v>4</v>
      </c>
      <c r="BF481">
        <v>26</v>
      </c>
      <c r="BG481">
        <v>48</v>
      </c>
      <c r="BH481">
        <v>0</v>
      </c>
      <c r="BI481">
        <v>0</v>
      </c>
      <c r="BJ481">
        <v>0</v>
      </c>
      <c r="BK481">
        <v>0</v>
      </c>
      <c r="BL481">
        <v>1002</v>
      </c>
      <c r="BM481">
        <v>0</v>
      </c>
      <c r="BN481">
        <v>2</v>
      </c>
      <c r="BO481">
        <v>0</v>
      </c>
      <c r="BP481">
        <v>1</v>
      </c>
      <c r="BQ481">
        <v>5</v>
      </c>
      <c r="BR481">
        <v>0</v>
      </c>
      <c r="BS481">
        <v>0</v>
      </c>
      <c r="BT481">
        <v>0</v>
      </c>
      <c r="BU481">
        <v>0</v>
      </c>
      <c r="BV481">
        <v>0</v>
      </c>
      <c r="BW481">
        <v>968</v>
      </c>
      <c r="BX481">
        <v>0</v>
      </c>
      <c r="BY481">
        <v>4</v>
      </c>
      <c r="BZ481">
        <v>4</v>
      </c>
      <c r="CA481">
        <v>4</v>
      </c>
      <c r="CB481">
        <v>2</v>
      </c>
      <c r="CC481">
        <v>2</v>
      </c>
      <c r="CD481">
        <v>0</v>
      </c>
      <c r="CE481">
        <v>0</v>
      </c>
      <c r="CF481">
        <v>3</v>
      </c>
      <c r="CG481">
        <v>0</v>
      </c>
      <c r="CH481">
        <v>876</v>
      </c>
      <c r="CI481">
        <v>3</v>
      </c>
      <c r="CJ481">
        <v>1</v>
      </c>
      <c r="CK481">
        <v>7</v>
      </c>
      <c r="CL481">
        <v>0</v>
      </c>
      <c r="CM481">
        <v>7</v>
      </c>
      <c r="CN481">
        <v>1</v>
      </c>
      <c r="CO481">
        <v>0</v>
      </c>
      <c r="CP481">
        <v>0</v>
      </c>
      <c r="CQ481">
        <v>2</v>
      </c>
      <c r="CR481">
        <v>2</v>
      </c>
      <c r="CS481">
        <v>943</v>
      </c>
      <c r="CT481">
        <v>0</v>
      </c>
      <c r="CU481">
        <v>3</v>
      </c>
      <c r="CV481">
        <v>0</v>
      </c>
      <c r="CW481">
        <v>0</v>
      </c>
      <c r="CX481">
        <v>0</v>
      </c>
      <c r="CY481">
        <v>1</v>
      </c>
      <c r="CZ481">
        <v>2</v>
      </c>
      <c r="DA481">
        <v>0</v>
      </c>
      <c r="DB481">
        <v>0</v>
      </c>
      <c r="DC481">
        <v>0</v>
      </c>
      <c r="DD481">
        <v>1021</v>
      </c>
      <c r="DE481">
        <v>4</v>
      </c>
      <c r="DF481">
        <v>0</v>
      </c>
      <c r="DG481">
        <v>3</v>
      </c>
      <c r="DH481">
        <v>0</v>
      </c>
      <c r="DI481">
        <v>0</v>
      </c>
      <c r="DJ481">
        <v>0</v>
      </c>
      <c r="DK481">
        <v>0</v>
      </c>
      <c r="DL481">
        <v>0</v>
      </c>
      <c r="DM481">
        <v>1</v>
      </c>
      <c r="DN481">
        <v>2</v>
      </c>
      <c r="DO481">
        <v>968</v>
      </c>
      <c r="DP481">
        <v>0</v>
      </c>
      <c r="DQ481">
        <v>5</v>
      </c>
      <c r="DR481">
        <v>0</v>
      </c>
      <c r="DS481">
        <v>0</v>
      </c>
      <c r="DT481">
        <v>7</v>
      </c>
      <c r="DU481">
        <v>12</v>
      </c>
      <c r="DV481">
        <v>9</v>
      </c>
      <c r="DW481">
        <v>1</v>
      </c>
      <c r="DX481">
        <v>36</v>
      </c>
      <c r="DY481">
        <v>34</v>
      </c>
      <c r="DZ481">
        <v>905</v>
      </c>
      <c r="EA481">
        <v>0.96489999999999998</v>
      </c>
      <c r="EB481">
        <v>0.967225629994661</v>
      </c>
      <c r="EC481">
        <v>0.96589090584521298</v>
      </c>
      <c r="ED481">
        <v>0.96532011824294295</v>
      </c>
      <c r="EE481">
        <f>SUM(Table1[[#This Row],[ratio_0]:[ratio_9]])</f>
        <v>730</v>
      </c>
      <c r="EF481" s="1">
        <f>(Table1[[#This Row],[predicted_0]]-Table1[[#This Row],[actual_0]])/Table1[[#This Row],[actual_0]]</f>
        <v>1.8367346938775512E-2</v>
      </c>
      <c r="EG481" s="1">
        <f>(Table1[[#This Row],[predicted_1]]-Table1[[#This Row],[actual_1]])/Table1[[#This Row],[actual_1]]</f>
        <v>-6.255506607929516E-2</v>
      </c>
      <c r="EH481" s="1">
        <f>(Table1[[#This Row],[predicted_2]]-Table1[[#This Row],[actual_2]])/Table1[[#This Row],[actual_2]]</f>
        <v>-9.5930232558139539E-2</v>
      </c>
      <c r="EI481" s="1">
        <f>(Table1[[#This Row],[predicted_3]]-Table1[[#This Row],[actual_3]])/Table1[[#This Row],[actual_3]]</f>
        <v>1.8811881188118811E-2</v>
      </c>
      <c r="EJ481" s="1">
        <f>(Table1[[#This Row],[predicted_4]]-Table1[[#This Row],[actual_4]])/Table1[[#This Row],[actual_4]]</f>
        <v>5.0916496945010185E-3</v>
      </c>
      <c r="EK481" s="1">
        <f>(Table1[[#This Row],[predicted_5]]-Table1[[#This Row],[actual_5]])/Table1[[#This Row],[actual_5]]</f>
        <v>-2.242152466367713E-3</v>
      </c>
      <c r="EL481" s="1">
        <f>(Table1[[#This Row],[predicted_6]]-Table1[[#This Row],[actual_6]])/Table1[[#This Row],[actual_6]]</f>
        <v>4.1753653444676405E-3</v>
      </c>
      <c r="EM481" s="1">
        <f>(Table1[[#This Row],[predicted_7]]-Table1[[#This Row],[actual_7]])/Table1[[#This Row],[actual_7]]</f>
        <v>7.2957198443579771E-2</v>
      </c>
      <c r="EN481" s="1">
        <f>(Table1[[#This Row],[predicted_8]]-Table1[[#This Row],[actual_8]])/Table1[[#This Row],[actual_8]]</f>
        <v>0.15708418891170431</v>
      </c>
      <c r="EO481" s="1">
        <f>(Table1[[#This Row],[predicted_9]]-Table1[[#This Row],[actual_9]])/Table1[[#This Row],[actual_9]]</f>
        <v>-0.10109018830525272</v>
      </c>
      <c r="EP481" s="1">
        <f>1+(Table1[[#This Row],[error_ratio_0]]-EF$2)</f>
        <v>1.0163265306122449</v>
      </c>
      <c r="EQ481" s="1">
        <f>1+(Table1[[#This Row],[error_ratio_1]]-EG$2)</f>
        <v>0.93568281938325992</v>
      </c>
      <c r="ER481" s="1">
        <f>1+(Table1[[#This Row],[error_ratio_2]]-EH$2)</f>
        <v>0.90891472868217049</v>
      </c>
      <c r="ES481" s="1">
        <f>1+(Table1[[#This Row],[error_ratio_3]]-EI$2)</f>
        <v>1.0089108910891089</v>
      </c>
      <c r="ET481" s="1">
        <f>1+(Table1[[#This Row],[error_ratio_4]]-EJ$2)</f>
        <v>1.0040733197556009</v>
      </c>
      <c r="EU481" s="1">
        <f>1+(Table1[[#This Row],[error_ratio_5]]-EK$2)</f>
        <v>0.99663677130044848</v>
      </c>
      <c r="EV481" s="1">
        <f>1+(Table1[[#This Row],[error_ratio_6]]-EL$2)</f>
        <v>1.010438413361169</v>
      </c>
      <c r="EW481" s="1">
        <f>1+(Table1[[#This Row],[error_ratio_7]]-EM$2)</f>
        <v>1.0710116731517509</v>
      </c>
      <c r="EX481" s="1">
        <f>1+(Table1[[#This Row],[error_ratio_8]]-EN$2)</f>
        <v>1.160164271047228</v>
      </c>
      <c r="EY481" s="1">
        <f>1+(Table1[[#This Row],[error_ratio_9]]-EO$2)</f>
        <v>0.90287413280475715</v>
      </c>
    </row>
    <row r="482" spans="1:155" x14ac:dyDescent="0.75">
      <c r="A482">
        <v>10</v>
      </c>
      <c r="B482">
        <v>10</v>
      </c>
      <c r="C482">
        <v>10</v>
      </c>
      <c r="D482">
        <v>100</v>
      </c>
      <c r="E482">
        <v>100</v>
      </c>
      <c r="F482">
        <v>100</v>
      </c>
      <c r="G482">
        <v>100</v>
      </c>
      <c r="H482">
        <v>100</v>
      </c>
      <c r="I482">
        <v>100</v>
      </c>
      <c r="J482">
        <v>10</v>
      </c>
      <c r="K482">
        <v>929</v>
      </c>
      <c r="L482">
        <v>1097</v>
      </c>
      <c r="M482">
        <v>961</v>
      </c>
      <c r="N482">
        <v>1091</v>
      </c>
      <c r="O482">
        <v>1013</v>
      </c>
      <c r="P482">
        <v>887</v>
      </c>
      <c r="Q482">
        <v>1007</v>
      </c>
      <c r="R482">
        <v>1033</v>
      </c>
      <c r="S482">
        <v>1068</v>
      </c>
      <c r="T482">
        <v>914</v>
      </c>
      <c r="U482">
        <v>980</v>
      </c>
      <c r="V482">
        <v>1135</v>
      </c>
      <c r="W482">
        <v>1032</v>
      </c>
      <c r="X482">
        <v>1010</v>
      </c>
      <c r="Y482">
        <v>982</v>
      </c>
      <c r="Z482">
        <v>892</v>
      </c>
      <c r="AA482">
        <v>958</v>
      </c>
      <c r="AB482">
        <v>1028</v>
      </c>
      <c r="AC482">
        <v>974</v>
      </c>
      <c r="AD482">
        <v>1009</v>
      </c>
      <c r="AE482">
        <v>923</v>
      </c>
      <c r="AF482">
        <v>0</v>
      </c>
      <c r="AG482">
        <v>1</v>
      </c>
      <c r="AH482">
        <v>1</v>
      </c>
      <c r="AI482">
        <v>1</v>
      </c>
      <c r="AJ482">
        <v>7</v>
      </c>
      <c r="AK482">
        <v>35</v>
      </c>
      <c r="AL482">
        <v>3</v>
      </c>
      <c r="AM482">
        <v>8</v>
      </c>
      <c r="AN482">
        <v>1</v>
      </c>
      <c r="AO482">
        <v>0</v>
      </c>
      <c r="AP482">
        <v>1095</v>
      </c>
      <c r="AQ482">
        <v>0</v>
      </c>
      <c r="AR482">
        <v>7</v>
      </c>
      <c r="AS482">
        <v>1</v>
      </c>
      <c r="AT482">
        <v>0</v>
      </c>
      <c r="AU482">
        <v>16</v>
      </c>
      <c r="AV482">
        <v>5</v>
      </c>
      <c r="AW482">
        <v>11</v>
      </c>
      <c r="AX482">
        <v>0</v>
      </c>
      <c r="AY482">
        <v>3</v>
      </c>
      <c r="AZ482">
        <v>1</v>
      </c>
      <c r="BA482">
        <v>955</v>
      </c>
      <c r="BB482">
        <v>28</v>
      </c>
      <c r="BC482">
        <v>5</v>
      </c>
      <c r="BD482">
        <v>0</v>
      </c>
      <c r="BE482">
        <v>5</v>
      </c>
      <c r="BF482">
        <v>19</v>
      </c>
      <c r="BG482">
        <v>16</v>
      </c>
      <c r="BH482">
        <v>0</v>
      </c>
      <c r="BI482">
        <v>0</v>
      </c>
      <c r="BJ482">
        <v>0</v>
      </c>
      <c r="BK482">
        <v>0</v>
      </c>
      <c r="BL482">
        <v>1006</v>
      </c>
      <c r="BM482">
        <v>0</v>
      </c>
      <c r="BN482">
        <v>2</v>
      </c>
      <c r="BO482">
        <v>0</v>
      </c>
      <c r="BP482">
        <v>0</v>
      </c>
      <c r="BQ482">
        <v>2</v>
      </c>
      <c r="BR482">
        <v>0</v>
      </c>
      <c r="BS482">
        <v>0</v>
      </c>
      <c r="BT482">
        <v>0</v>
      </c>
      <c r="BU482">
        <v>0</v>
      </c>
      <c r="BV482">
        <v>0</v>
      </c>
      <c r="BW482">
        <v>976</v>
      </c>
      <c r="BX482">
        <v>0</v>
      </c>
      <c r="BY482">
        <v>1</v>
      </c>
      <c r="BZ482">
        <v>0</v>
      </c>
      <c r="CA482">
        <v>3</v>
      </c>
      <c r="CB482">
        <v>2</v>
      </c>
      <c r="CC482">
        <v>0</v>
      </c>
      <c r="CD482">
        <v>0</v>
      </c>
      <c r="CE482">
        <v>0</v>
      </c>
      <c r="CF482">
        <v>7</v>
      </c>
      <c r="CG482">
        <v>0</v>
      </c>
      <c r="CH482">
        <v>870</v>
      </c>
      <c r="CI482">
        <v>3</v>
      </c>
      <c r="CJ482">
        <v>0</v>
      </c>
      <c r="CK482">
        <v>12</v>
      </c>
      <c r="CL482">
        <v>0</v>
      </c>
      <c r="CM482">
        <v>0</v>
      </c>
      <c r="CN482">
        <v>1</v>
      </c>
      <c r="CO482">
        <v>0</v>
      </c>
      <c r="CP482">
        <v>0</v>
      </c>
      <c r="CQ482">
        <v>4</v>
      </c>
      <c r="CR482">
        <v>1</v>
      </c>
      <c r="CS482">
        <v>945</v>
      </c>
      <c r="CT482">
        <v>0</v>
      </c>
      <c r="CU482">
        <v>7</v>
      </c>
      <c r="CV482">
        <v>0</v>
      </c>
      <c r="CW482">
        <v>1</v>
      </c>
      <c r="CX482">
        <v>0</v>
      </c>
      <c r="CY482">
        <v>4</v>
      </c>
      <c r="CZ482">
        <v>23</v>
      </c>
      <c r="DA482">
        <v>0</v>
      </c>
      <c r="DB482">
        <v>0</v>
      </c>
      <c r="DC482">
        <v>0</v>
      </c>
      <c r="DD482">
        <v>998</v>
      </c>
      <c r="DE482">
        <v>2</v>
      </c>
      <c r="DF482">
        <v>0</v>
      </c>
      <c r="DG482">
        <v>0</v>
      </c>
      <c r="DH482">
        <v>0</v>
      </c>
      <c r="DI482">
        <v>1</v>
      </c>
      <c r="DJ482">
        <v>0</v>
      </c>
      <c r="DK482">
        <v>0</v>
      </c>
      <c r="DL482">
        <v>0</v>
      </c>
      <c r="DM482">
        <v>1</v>
      </c>
      <c r="DN482">
        <v>0</v>
      </c>
      <c r="DO482">
        <v>972</v>
      </c>
      <c r="DP482">
        <v>0</v>
      </c>
      <c r="DQ482">
        <v>2</v>
      </c>
      <c r="DR482">
        <v>0</v>
      </c>
      <c r="DS482">
        <v>0</v>
      </c>
      <c r="DT482">
        <v>19</v>
      </c>
      <c r="DU482">
        <v>26</v>
      </c>
      <c r="DV482">
        <v>7</v>
      </c>
      <c r="DW482">
        <v>1</v>
      </c>
      <c r="DX482">
        <v>8</v>
      </c>
      <c r="DY482">
        <v>35</v>
      </c>
      <c r="DZ482">
        <v>911</v>
      </c>
      <c r="EA482">
        <v>0.96509999999999996</v>
      </c>
      <c r="EB482">
        <v>0.96632528874914503</v>
      </c>
      <c r="EC482">
        <v>0.96553159160086099</v>
      </c>
      <c r="ED482">
        <v>0.96504780777454302</v>
      </c>
      <c r="EE482">
        <f>SUM(Table1[[#This Row],[ratio_0]:[ratio_9]])</f>
        <v>640</v>
      </c>
      <c r="EF482" s="1">
        <f>(Table1[[#This Row],[predicted_0]]-Table1[[#This Row],[actual_0]])/Table1[[#This Row],[actual_0]]</f>
        <v>-5.2040816326530612E-2</v>
      </c>
      <c r="EG482" s="1">
        <f>(Table1[[#This Row],[predicted_1]]-Table1[[#This Row],[actual_1]])/Table1[[#This Row],[actual_1]]</f>
        <v>-3.3480176211453744E-2</v>
      </c>
      <c r="EH482" s="1">
        <f>(Table1[[#This Row],[predicted_2]]-Table1[[#This Row],[actual_2]])/Table1[[#This Row],[actual_2]]</f>
        <v>-6.8798449612403098E-2</v>
      </c>
      <c r="EI482" s="1">
        <f>(Table1[[#This Row],[predicted_3]]-Table1[[#This Row],[actual_3]])/Table1[[#This Row],[actual_3]]</f>
        <v>8.01980198019802E-2</v>
      </c>
      <c r="EJ482" s="1">
        <f>(Table1[[#This Row],[predicted_4]]-Table1[[#This Row],[actual_4]])/Table1[[#This Row],[actual_4]]</f>
        <v>3.1568228105906315E-2</v>
      </c>
      <c r="EK482" s="1">
        <f>(Table1[[#This Row],[predicted_5]]-Table1[[#This Row],[actual_5]])/Table1[[#This Row],[actual_5]]</f>
        <v>-5.6053811659192822E-3</v>
      </c>
      <c r="EL482" s="1">
        <f>(Table1[[#This Row],[predicted_6]]-Table1[[#This Row],[actual_6]])/Table1[[#This Row],[actual_6]]</f>
        <v>5.1148225469728602E-2</v>
      </c>
      <c r="EM482" s="1">
        <f>(Table1[[#This Row],[predicted_7]]-Table1[[#This Row],[actual_7]])/Table1[[#This Row],[actual_7]]</f>
        <v>4.8638132295719845E-3</v>
      </c>
      <c r="EN482" s="1">
        <f>(Table1[[#This Row],[predicted_8]]-Table1[[#This Row],[actual_8]])/Table1[[#This Row],[actual_8]]</f>
        <v>9.6509240246406572E-2</v>
      </c>
      <c r="EO482" s="1">
        <f>(Table1[[#This Row],[predicted_9]]-Table1[[#This Row],[actual_9]])/Table1[[#This Row],[actual_9]]</f>
        <v>-9.4152626362735387E-2</v>
      </c>
      <c r="EP482" s="1">
        <f>1+(Table1[[#This Row],[error_ratio_0]]-EF$2)</f>
        <v>0.94591836734693879</v>
      </c>
      <c r="EQ482" s="1">
        <f>1+(Table1[[#This Row],[error_ratio_1]]-EG$2)</f>
        <v>0.96475770925110127</v>
      </c>
      <c r="ER482" s="1">
        <f>1+(Table1[[#This Row],[error_ratio_2]]-EH$2)</f>
        <v>0.93604651162790697</v>
      </c>
      <c r="ES482" s="1">
        <f>1+(Table1[[#This Row],[error_ratio_3]]-EI$2)</f>
        <v>1.0702970297029704</v>
      </c>
      <c r="ET482" s="1">
        <f>1+(Table1[[#This Row],[error_ratio_4]]-EJ$2)</f>
        <v>1.030549898167006</v>
      </c>
      <c r="EU482" s="1">
        <f>1+(Table1[[#This Row],[error_ratio_5]]-EK$2)</f>
        <v>0.99327354260089684</v>
      </c>
      <c r="EV482" s="1">
        <f>1+(Table1[[#This Row],[error_ratio_6]]-EL$2)</f>
        <v>1.05741127348643</v>
      </c>
      <c r="EW482" s="1">
        <f>1+(Table1[[#This Row],[error_ratio_7]]-EM$2)</f>
        <v>1.0029182879377432</v>
      </c>
      <c r="EX482" s="1">
        <f>1+(Table1[[#This Row],[error_ratio_8]]-EN$2)</f>
        <v>1.0995893223819302</v>
      </c>
      <c r="EY482" s="1">
        <f>1+(Table1[[#This Row],[error_ratio_9]]-EO$2)</f>
        <v>0.90981169474727452</v>
      </c>
    </row>
    <row r="483" spans="1:155" x14ac:dyDescent="0.75">
      <c r="A483">
        <v>100</v>
      </c>
      <c r="B483">
        <v>100</v>
      </c>
      <c r="C483">
        <v>100</v>
      </c>
      <c r="D483">
        <v>10</v>
      </c>
      <c r="E483">
        <v>100</v>
      </c>
      <c r="F483">
        <v>100</v>
      </c>
      <c r="G483">
        <v>100</v>
      </c>
      <c r="H483">
        <v>100</v>
      </c>
      <c r="I483">
        <v>100</v>
      </c>
      <c r="J483">
        <v>10</v>
      </c>
      <c r="K483">
        <v>988</v>
      </c>
      <c r="L483">
        <v>1139</v>
      </c>
      <c r="M483">
        <v>1037</v>
      </c>
      <c r="N483">
        <v>962</v>
      </c>
      <c r="O483">
        <v>990</v>
      </c>
      <c r="P483">
        <v>938</v>
      </c>
      <c r="Q483">
        <v>948</v>
      </c>
      <c r="R483">
        <v>1044</v>
      </c>
      <c r="S483">
        <v>1011</v>
      </c>
      <c r="T483">
        <v>943</v>
      </c>
      <c r="U483">
        <v>980</v>
      </c>
      <c r="V483">
        <v>1135</v>
      </c>
      <c r="W483">
        <v>1032</v>
      </c>
      <c r="X483">
        <v>1010</v>
      </c>
      <c r="Y483">
        <v>982</v>
      </c>
      <c r="Z483">
        <v>892</v>
      </c>
      <c r="AA483">
        <v>958</v>
      </c>
      <c r="AB483">
        <v>1028</v>
      </c>
      <c r="AC483">
        <v>974</v>
      </c>
      <c r="AD483">
        <v>1009</v>
      </c>
      <c r="AE483">
        <v>974</v>
      </c>
      <c r="AF483">
        <v>1</v>
      </c>
      <c r="AG483">
        <v>0</v>
      </c>
      <c r="AH483">
        <v>0</v>
      </c>
      <c r="AI483">
        <v>0</v>
      </c>
      <c r="AJ483">
        <v>0</v>
      </c>
      <c r="AK483">
        <v>2</v>
      </c>
      <c r="AL483">
        <v>2</v>
      </c>
      <c r="AM483">
        <v>1</v>
      </c>
      <c r="AN483">
        <v>0</v>
      </c>
      <c r="AO483">
        <v>0</v>
      </c>
      <c r="AP483">
        <v>1131</v>
      </c>
      <c r="AQ483">
        <v>0</v>
      </c>
      <c r="AR483">
        <v>1</v>
      </c>
      <c r="AS483">
        <v>0</v>
      </c>
      <c r="AT483">
        <v>1</v>
      </c>
      <c r="AU483">
        <v>1</v>
      </c>
      <c r="AV483">
        <v>1</v>
      </c>
      <c r="AW483">
        <v>0</v>
      </c>
      <c r="AX483">
        <v>0</v>
      </c>
      <c r="AY483">
        <v>1</v>
      </c>
      <c r="AZ483">
        <v>1</v>
      </c>
      <c r="BA483">
        <v>1019</v>
      </c>
      <c r="BB483">
        <v>1</v>
      </c>
      <c r="BC483">
        <v>0</v>
      </c>
      <c r="BD483">
        <v>0</v>
      </c>
      <c r="BE483">
        <v>0</v>
      </c>
      <c r="BF483">
        <v>6</v>
      </c>
      <c r="BG483">
        <v>4</v>
      </c>
      <c r="BH483">
        <v>0</v>
      </c>
      <c r="BI483">
        <v>0</v>
      </c>
      <c r="BJ483">
        <v>0</v>
      </c>
      <c r="BK483">
        <v>4</v>
      </c>
      <c r="BL483">
        <v>955</v>
      </c>
      <c r="BM483">
        <v>1</v>
      </c>
      <c r="BN483">
        <v>31</v>
      </c>
      <c r="BO483">
        <v>0</v>
      </c>
      <c r="BP483">
        <v>9</v>
      </c>
      <c r="BQ483">
        <v>10</v>
      </c>
      <c r="BR483">
        <v>0</v>
      </c>
      <c r="BS483">
        <v>0</v>
      </c>
      <c r="BT483">
        <v>0</v>
      </c>
      <c r="BU483">
        <v>1</v>
      </c>
      <c r="BV483">
        <v>0</v>
      </c>
      <c r="BW483">
        <v>974</v>
      </c>
      <c r="BX483">
        <v>0</v>
      </c>
      <c r="BY483">
        <v>0</v>
      </c>
      <c r="BZ483">
        <v>0</v>
      </c>
      <c r="CA483">
        <v>3</v>
      </c>
      <c r="CB483">
        <v>4</v>
      </c>
      <c r="CC483">
        <v>2</v>
      </c>
      <c r="CD483">
        <v>0</v>
      </c>
      <c r="CE483">
        <v>1</v>
      </c>
      <c r="CF483">
        <v>2</v>
      </c>
      <c r="CG483">
        <v>0</v>
      </c>
      <c r="CH483">
        <v>885</v>
      </c>
      <c r="CI483">
        <v>1</v>
      </c>
      <c r="CJ483">
        <v>1</v>
      </c>
      <c r="CK483">
        <v>0</v>
      </c>
      <c r="CL483">
        <v>0</v>
      </c>
      <c r="CM483">
        <v>4</v>
      </c>
      <c r="CN483">
        <v>2</v>
      </c>
      <c r="CO483">
        <v>1</v>
      </c>
      <c r="CP483">
        <v>0</v>
      </c>
      <c r="CQ483">
        <v>6</v>
      </c>
      <c r="CR483">
        <v>1</v>
      </c>
      <c r="CS483">
        <v>944</v>
      </c>
      <c r="CT483">
        <v>0</v>
      </c>
      <c r="CU483">
        <v>0</v>
      </c>
      <c r="CV483">
        <v>0</v>
      </c>
      <c r="CW483">
        <v>1</v>
      </c>
      <c r="CX483">
        <v>2</v>
      </c>
      <c r="CY483">
        <v>8</v>
      </c>
      <c r="CZ483">
        <v>0</v>
      </c>
      <c r="DA483">
        <v>0</v>
      </c>
      <c r="DB483">
        <v>1</v>
      </c>
      <c r="DC483">
        <v>0</v>
      </c>
      <c r="DD483">
        <v>1014</v>
      </c>
      <c r="DE483">
        <v>1</v>
      </c>
      <c r="DF483">
        <v>1</v>
      </c>
      <c r="DG483">
        <v>1</v>
      </c>
      <c r="DH483">
        <v>0</v>
      </c>
      <c r="DI483">
        <v>3</v>
      </c>
      <c r="DJ483">
        <v>0</v>
      </c>
      <c r="DK483">
        <v>0</v>
      </c>
      <c r="DL483">
        <v>2</v>
      </c>
      <c r="DM483">
        <v>0</v>
      </c>
      <c r="DN483">
        <v>2</v>
      </c>
      <c r="DO483">
        <v>964</v>
      </c>
      <c r="DP483">
        <v>2</v>
      </c>
      <c r="DQ483">
        <v>5</v>
      </c>
      <c r="DR483">
        <v>2</v>
      </c>
      <c r="DS483">
        <v>0</v>
      </c>
      <c r="DT483">
        <v>3</v>
      </c>
      <c r="DU483">
        <v>9</v>
      </c>
      <c r="DV483">
        <v>17</v>
      </c>
      <c r="DW483">
        <v>0</v>
      </c>
      <c r="DX483">
        <v>9</v>
      </c>
      <c r="DY483">
        <v>28</v>
      </c>
      <c r="DZ483">
        <v>936</v>
      </c>
      <c r="EA483">
        <v>0.97960000000000003</v>
      </c>
      <c r="EB483">
        <v>0.97946403857004805</v>
      </c>
      <c r="EC483">
        <v>0.97964585475748001</v>
      </c>
      <c r="ED483">
        <v>0.97928014824683596</v>
      </c>
      <c r="EE483">
        <f>SUM(Table1[[#This Row],[ratio_0]:[ratio_9]])</f>
        <v>820</v>
      </c>
      <c r="EF483" s="1">
        <f>(Table1[[#This Row],[predicted_0]]-Table1[[#This Row],[actual_0]])/Table1[[#This Row],[actual_0]]</f>
        <v>8.1632653061224497E-3</v>
      </c>
      <c r="EG483" s="1">
        <f>(Table1[[#This Row],[predicted_1]]-Table1[[#This Row],[actual_1]])/Table1[[#This Row],[actual_1]]</f>
        <v>3.524229074889868E-3</v>
      </c>
      <c r="EH483" s="1">
        <f>(Table1[[#This Row],[predicted_2]]-Table1[[#This Row],[actual_2]])/Table1[[#This Row],[actual_2]]</f>
        <v>4.8449612403100775E-3</v>
      </c>
      <c r="EI483" s="1">
        <f>(Table1[[#This Row],[predicted_3]]-Table1[[#This Row],[actual_3]])/Table1[[#This Row],[actual_3]]</f>
        <v>-4.7524752475247525E-2</v>
      </c>
      <c r="EJ483" s="1">
        <f>(Table1[[#This Row],[predicted_4]]-Table1[[#This Row],[actual_4]])/Table1[[#This Row],[actual_4]]</f>
        <v>8.1466395112016286E-3</v>
      </c>
      <c r="EK483" s="1">
        <f>(Table1[[#This Row],[predicted_5]]-Table1[[#This Row],[actual_5]])/Table1[[#This Row],[actual_5]]</f>
        <v>5.1569506726457402E-2</v>
      </c>
      <c r="EL483" s="1">
        <f>(Table1[[#This Row],[predicted_6]]-Table1[[#This Row],[actual_6]])/Table1[[#This Row],[actual_6]]</f>
        <v>-1.0438413361169102E-2</v>
      </c>
      <c r="EM483" s="1">
        <f>(Table1[[#This Row],[predicted_7]]-Table1[[#This Row],[actual_7]])/Table1[[#This Row],[actual_7]]</f>
        <v>1.556420233463035E-2</v>
      </c>
      <c r="EN483" s="1">
        <f>(Table1[[#This Row],[predicted_8]]-Table1[[#This Row],[actual_8]])/Table1[[#This Row],[actual_8]]</f>
        <v>3.7987679671457907E-2</v>
      </c>
      <c r="EO483" s="1">
        <f>(Table1[[#This Row],[predicted_9]]-Table1[[#This Row],[actual_9]])/Table1[[#This Row],[actual_9]]</f>
        <v>-6.5411298315163527E-2</v>
      </c>
      <c r="EP483" s="1">
        <f>1+(Table1[[#This Row],[error_ratio_0]]-EF$2)</f>
        <v>1.0061224489795919</v>
      </c>
      <c r="EQ483" s="1">
        <f>1+(Table1[[#This Row],[error_ratio_1]]-EG$2)</f>
        <v>1.0017621145374449</v>
      </c>
      <c r="ER483" s="1">
        <f>1+(Table1[[#This Row],[error_ratio_2]]-EH$2)</f>
        <v>1.0096899224806202</v>
      </c>
      <c r="ES483" s="1">
        <f>1+(Table1[[#This Row],[error_ratio_3]]-EI$2)</f>
        <v>0.94257425742574252</v>
      </c>
      <c r="ET483" s="1">
        <f>1+(Table1[[#This Row],[error_ratio_4]]-EJ$2)</f>
        <v>1.0071283095723014</v>
      </c>
      <c r="EU483" s="1">
        <f>1+(Table1[[#This Row],[error_ratio_5]]-EK$2)</f>
        <v>1.0504484304932735</v>
      </c>
      <c r="EV483" s="1">
        <f>1+(Table1[[#This Row],[error_ratio_6]]-EL$2)</f>
        <v>0.99582463465553239</v>
      </c>
      <c r="EW483" s="1">
        <f>1+(Table1[[#This Row],[error_ratio_7]]-EM$2)</f>
        <v>1.0136186770428015</v>
      </c>
      <c r="EX483" s="1">
        <f>1+(Table1[[#This Row],[error_ratio_8]]-EN$2)</f>
        <v>1.0410677618069815</v>
      </c>
      <c r="EY483" s="1">
        <f>1+(Table1[[#This Row],[error_ratio_9]]-EO$2)</f>
        <v>0.93855302279484643</v>
      </c>
    </row>
    <row r="484" spans="1:155" x14ac:dyDescent="0.75">
      <c r="A484">
        <v>10</v>
      </c>
      <c r="B484">
        <v>100</v>
      </c>
      <c r="C484">
        <v>100</v>
      </c>
      <c r="D484">
        <v>10</v>
      </c>
      <c r="E484">
        <v>100</v>
      </c>
      <c r="F484">
        <v>100</v>
      </c>
      <c r="G484">
        <v>100</v>
      </c>
      <c r="H484">
        <v>100</v>
      </c>
      <c r="I484">
        <v>100</v>
      </c>
      <c r="J484">
        <v>10</v>
      </c>
      <c r="K484">
        <v>941</v>
      </c>
      <c r="L484">
        <v>1138</v>
      </c>
      <c r="M484">
        <v>1082</v>
      </c>
      <c r="N484">
        <v>995</v>
      </c>
      <c r="O484">
        <v>1028</v>
      </c>
      <c r="P484">
        <v>922</v>
      </c>
      <c r="Q484">
        <v>956</v>
      </c>
      <c r="R484">
        <v>1047</v>
      </c>
      <c r="S484">
        <v>975</v>
      </c>
      <c r="T484">
        <v>916</v>
      </c>
      <c r="U484">
        <v>980</v>
      </c>
      <c r="V484">
        <v>1135</v>
      </c>
      <c r="W484">
        <v>1032</v>
      </c>
      <c r="X484">
        <v>1010</v>
      </c>
      <c r="Y484">
        <v>982</v>
      </c>
      <c r="Z484">
        <v>892</v>
      </c>
      <c r="AA484">
        <v>958</v>
      </c>
      <c r="AB484">
        <v>1028</v>
      </c>
      <c r="AC484">
        <v>974</v>
      </c>
      <c r="AD484">
        <v>1009</v>
      </c>
      <c r="AE484">
        <v>936</v>
      </c>
      <c r="AF484">
        <v>2</v>
      </c>
      <c r="AG484">
        <v>9</v>
      </c>
      <c r="AH484">
        <v>0</v>
      </c>
      <c r="AI484">
        <v>12</v>
      </c>
      <c r="AJ484">
        <v>5</v>
      </c>
      <c r="AK484">
        <v>10</v>
      </c>
      <c r="AL484">
        <v>3</v>
      </c>
      <c r="AM484">
        <v>3</v>
      </c>
      <c r="AN484">
        <v>0</v>
      </c>
      <c r="AO484">
        <v>0</v>
      </c>
      <c r="AP484">
        <v>1128</v>
      </c>
      <c r="AQ484">
        <v>4</v>
      </c>
      <c r="AR484">
        <v>1</v>
      </c>
      <c r="AS484">
        <v>0</v>
      </c>
      <c r="AT484">
        <v>1</v>
      </c>
      <c r="AU484">
        <v>0</v>
      </c>
      <c r="AV484">
        <v>1</v>
      </c>
      <c r="AW484">
        <v>0</v>
      </c>
      <c r="AX484">
        <v>0</v>
      </c>
      <c r="AY484">
        <v>0</v>
      </c>
      <c r="AZ484">
        <v>1</v>
      </c>
      <c r="BA484">
        <v>1029</v>
      </c>
      <c r="BB484">
        <v>0</v>
      </c>
      <c r="BC484">
        <v>0</v>
      </c>
      <c r="BD484">
        <v>0</v>
      </c>
      <c r="BE484">
        <v>0</v>
      </c>
      <c r="BF484">
        <v>2</v>
      </c>
      <c r="BG484">
        <v>0</v>
      </c>
      <c r="BH484">
        <v>0</v>
      </c>
      <c r="BI484">
        <v>0</v>
      </c>
      <c r="BJ484">
        <v>0</v>
      </c>
      <c r="BK484">
        <v>10</v>
      </c>
      <c r="BL484">
        <v>977</v>
      </c>
      <c r="BM484">
        <v>0</v>
      </c>
      <c r="BN484">
        <v>11</v>
      </c>
      <c r="BO484">
        <v>0</v>
      </c>
      <c r="BP484">
        <v>9</v>
      </c>
      <c r="BQ484">
        <v>3</v>
      </c>
      <c r="BR484">
        <v>0</v>
      </c>
      <c r="BS484">
        <v>0</v>
      </c>
      <c r="BT484">
        <v>0</v>
      </c>
      <c r="BU484">
        <v>2</v>
      </c>
      <c r="BV484">
        <v>0</v>
      </c>
      <c r="BW484">
        <v>978</v>
      </c>
      <c r="BX484">
        <v>0</v>
      </c>
      <c r="BY484">
        <v>0</v>
      </c>
      <c r="BZ484">
        <v>1</v>
      </c>
      <c r="CA484">
        <v>0</v>
      </c>
      <c r="CB484">
        <v>1</v>
      </c>
      <c r="CC484">
        <v>0</v>
      </c>
      <c r="CD484">
        <v>0</v>
      </c>
      <c r="CE484">
        <v>1</v>
      </c>
      <c r="CF484">
        <v>5</v>
      </c>
      <c r="CG484">
        <v>0</v>
      </c>
      <c r="CH484">
        <v>881</v>
      </c>
      <c r="CI484">
        <v>4</v>
      </c>
      <c r="CJ484">
        <v>0</v>
      </c>
      <c r="CK484">
        <v>1</v>
      </c>
      <c r="CL484">
        <v>0</v>
      </c>
      <c r="CM484">
        <v>0</v>
      </c>
      <c r="CN484">
        <v>2</v>
      </c>
      <c r="CO484">
        <v>1</v>
      </c>
      <c r="CP484">
        <v>0</v>
      </c>
      <c r="CQ484">
        <v>12</v>
      </c>
      <c r="CR484">
        <v>1</v>
      </c>
      <c r="CS484">
        <v>942</v>
      </c>
      <c r="CT484">
        <v>0</v>
      </c>
      <c r="CU484">
        <v>0</v>
      </c>
      <c r="CV484">
        <v>0</v>
      </c>
      <c r="CW484">
        <v>0</v>
      </c>
      <c r="CX484">
        <v>1</v>
      </c>
      <c r="CY484">
        <v>12</v>
      </c>
      <c r="CZ484">
        <v>0</v>
      </c>
      <c r="DA484">
        <v>0</v>
      </c>
      <c r="DB484">
        <v>0</v>
      </c>
      <c r="DC484">
        <v>0</v>
      </c>
      <c r="DD484">
        <v>1014</v>
      </c>
      <c r="DE484">
        <v>1</v>
      </c>
      <c r="DF484">
        <v>0</v>
      </c>
      <c r="DG484">
        <v>1</v>
      </c>
      <c r="DH484">
        <v>0</v>
      </c>
      <c r="DI484">
        <v>12</v>
      </c>
      <c r="DJ484">
        <v>2</v>
      </c>
      <c r="DK484">
        <v>1</v>
      </c>
      <c r="DL484">
        <v>2</v>
      </c>
      <c r="DM484">
        <v>0</v>
      </c>
      <c r="DN484">
        <v>4</v>
      </c>
      <c r="DO484">
        <v>951</v>
      </c>
      <c r="DP484">
        <v>1</v>
      </c>
      <c r="DQ484">
        <v>4</v>
      </c>
      <c r="DR484">
        <v>4</v>
      </c>
      <c r="DS484">
        <v>2</v>
      </c>
      <c r="DT484">
        <v>10</v>
      </c>
      <c r="DU484">
        <v>25</v>
      </c>
      <c r="DV484">
        <v>21</v>
      </c>
      <c r="DW484">
        <v>0</v>
      </c>
      <c r="DX484">
        <v>13</v>
      </c>
      <c r="DY484">
        <v>16</v>
      </c>
      <c r="DZ484">
        <v>914</v>
      </c>
      <c r="EA484">
        <v>0.97499999999999998</v>
      </c>
      <c r="EB484">
        <v>0.97527568953275601</v>
      </c>
      <c r="EC484">
        <v>0.97488625097213</v>
      </c>
      <c r="ED484">
        <v>0.97467261461288202</v>
      </c>
      <c r="EE484">
        <f>SUM(Table1[[#This Row],[ratio_0]:[ratio_9]])</f>
        <v>730</v>
      </c>
      <c r="EF484" s="1">
        <f>(Table1[[#This Row],[predicted_0]]-Table1[[#This Row],[actual_0]])/Table1[[#This Row],[actual_0]]</f>
        <v>-3.9795918367346937E-2</v>
      </c>
      <c r="EG484" s="1">
        <f>(Table1[[#This Row],[predicted_1]]-Table1[[#This Row],[actual_1]])/Table1[[#This Row],[actual_1]]</f>
        <v>2.6431718061674008E-3</v>
      </c>
      <c r="EH484" s="1">
        <f>(Table1[[#This Row],[predicted_2]]-Table1[[#This Row],[actual_2]])/Table1[[#This Row],[actual_2]]</f>
        <v>4.8449612403100778E-2</v>
      </c>
      <c r="EI484" s="1">
        <f>(Table1[[#This Row],[predicted_3]]-Table1[[#This Row],[actual_3]])/Table1[[#This Row],[actual_3]]</f>
        <v>-1.4851485148514851E-2</v>
      </c>
      <c r="EJ484" s="1">
        <f>(Table1[[#This Row],[predicted_4]]-Table1[[#This Row],[actual_4]])/Table1[[#This Row],[actual_4]]</f>
        <v>4.684317718940937E-2</v>
      </c>
      <c r="EK484" s="1">
        <f>(Table1[[#This Row],[predicted_5]]-Table1[[#This Row],[actual_5]])/Table1[[#This Row],[actual_5]]</f>
        <v>3.3632286995515695E-2</v>
      </c>
      <c r="EL484" s="1">
        <f>(Table1[[#This Row],[predicted_6]]-Table1[[#This Row],[actual_6]])/Table1[[#This Row],[actual_6]]</f>
        <v>-2.0876826722338203E-3</v>
      </c>
      <c r="EM484" s="1">
        <f>(Table1[[#This Row],[predicted_7]]-Table1[[#This Row],[actual_7]])/Table1[[#This Row],[actual_7]]</f>
        <v>1.8482490272373541E-2</v>
      </c>
      <c r="EN484" s="1">
        <f>(Table1[[#This Row],[predicted_8]]-Table1[[#This Row],[actual_8]])/Table1[[#This Row],[actual_8]]</f>
        <v>1.026694045174538E-3</v>
      </c>
      <c r="EO484" s="1">
        <f>(Table1[[#This Row],[predicted_9]]-Table1[[#This Row],[actual_9]])/Table1[[#This Row],[actual_9]]</f>
        <v>-9.2170465807730431E-2</v>
      </c>
      <c r="EP484" s="1">
        <f>1+(Table1[[#This Row],[error_ratio_0]]-EF$2)</f>
        <v>0.9581632653061225</v>
      </c>
      <c r="EQ484" s="1">
        <f>1+(Table1[[#This Row],[error_ratio_1]]-EG$2)</f>
        <v>1.0008810572687226</v>
      </c>
      <c r="ER484" s="1">
        <f>1+(Table1[[#This Row],[error_ratio_2]]-EH$2)</f>
        <v>1.0532945736434109</v>
      </c>
      <c r="ES484" s="1">
        <f>1+(Table1[[#This Row],[error_ratio_3]]-EI$2)</f>
        <v>0.97524752475247523</v>
      </c>
      <c r="ET484" s="1">
        <f>1+(Table1[[#This Row],[error_ratio_4]]-EJ$2)</f>
        <v>1.0458248472505092</v>
      </c>
      <c r="EU484" s="1">
        <f>1+(Table1[[#This Row],[error_ratio_5]]-EK$2)</f>
        <v>1.0325112107623318</v>
      </c>
      <c r="EV484" s="1">
        <f>1+(Table1[[#This Row],[error_ratio_6]]-EL$2)</f>
        <v>1.0041753653444676</v>
      </c>
      <c r="EW484" s="1">
        <f>1+(Table1[[#This Row],[error_ratio_7]]-EM$2)</f>
        <v>1.0165369649805447</v>
      </c>
      <c r="EX484" s="1">
        <f>1+(Table1[[#This Row],[error_ratio_8]]-EN$2)</f>
        <v>1.0041067761806981</v>
      </c>
      <c r="EY484" s="1">
        <f>1+(Table1[[#This Row],[error_ratio_9]]-EO$2)</f>
        <v>0.91179385530227952</v>
      </c>
    </row>
    <row r="485" spans="1:155" x14ac:dyDescent="0.75">
      <c r="A485">
        <v>100</v>
      </c>
      <c r="B485">
        <v>10</v>
      </c>
      <c r="C485">
        <v>100</v>
      </c>
      <c r="D485">
        <v>10</v>
      </c>
      <c r="E485">
        <v>100</v>
      </c>
      <c r="F485">
        <v>100</v>
      </c>
      <c r="G485">
        <v>100</v>
      </c>
      <c r="H485">
        <v>100</v>
      </c>
      <c r="I485">
        <v>100</v>
      </c>
      <c r="J485">
        <v>10</v>
      </c>
      <c r="K485">
        <v>992</v>
      </c>
      <c r="L485">
        <v>1129</v>
      </c>
      <c r="M485">
        <v>1028</v>
      </c>
      <c r="N485">
        <v>943</v>
      </c>
      <c r="O485">
        <v>1015</v>
      </c>
      <c r="P485">
        <v>936</v>
      </c>
      <c r="Q485">
        <v>967</v>
      </c>
      <c r="R485">
        <v>1053</v>
      </c>
      <c r="S485">
        <v>1006</v>
      </c>
      <c r="T485">
        <v>931</v>
      </c>
      <c r="U485">
        <v>980</v>
      </c>
      <c r="V485">
        <v>1135</v>
      </c>
      <c r="W485">
        <v>1032</v>
      </c>
      <c r="X485">
        <v>1010</v>
      </c>
      <c r="Y485">
        <v>982</v>
      </c>
      <c r="Z485">
        <v>892</v>
      </c>
      <c r="AA485">
        <v>958</v>
      </c>
      <c r="AB485">
        <v>1028</v>
      </c>
      <c r="AC485">
        <v>974</v>
      </c>
      <c r="AD485">
        <v>1009</v>
      </c>
      <c r="AE485">
        <v>973</v>
      </c>
      <c r="AF485">
        <v>0</v>
      </c>
      <c r="AG485">
        <v>0</v>
      </c>
      <c r="AH485">
        <v>0</v>
      </c>
      <c r="AI485">
        <v>0</v>
      </c>
      <c r="AJ485">
        <v>0</v>
      </c>
      <c r="AK485">
        <v>4</v>
      </c>
      <c r="AL485">
        <v>2</v>
      </c>
      <c r="AM485">
        <v>1</v>
      </c>
      <c r="AN485">
        <v>0</v>
      </c>
      <c r="AO485">
        <v>0</v>
      </c>
      <c r="AP485">
        <v>1122</v>
      </c>
      <c r="AQ485">
        <v>2</v>
      </c>
      <c r="AR485">
        <v>2</v>
      </c>
      <c r="AS485">
        <v>1</v>
      </c>
      <c r="AT485">
        <v>2</v>
      </c>
      <c r="AU485">
        <v>3</v>
      </c>
      <c r="AV485">
        <v>2</v>
      </c>
      <c r="AW485">
        <v>1</v>
      </c>
      <c r="AX485">
        <v>0</v>
      </c>
      <c r="AY485">
        <v>3</v>
      </c>
      <c r="AZ485">
        <v>0</v>
      </c>
      <c r="BA485">
        <v>1013</v>
      </c>
      <c r="BB485">
        <v>0</v>
      </c>
      <c r="BC485">
        <v>3</v>
      </c>
      <c r="BD485">
        <v>0</v>
      </c>
      <c r="BE485">
        <v>4</v>
      </c>
      <c r="BF485">
        <v>7</v>
      </c>
      <c r="BG485">
        <v>2</v>
      </c>
      <c r="BH485">
        <v>0</v>
      </c>
      <c r="BI485">
        <v>2</v>
      </c>
      <c r="BJ485">
        <v>0</v>
      </c>
      <c r="BK485">
        <v>6</v>
      </c>
      <c r="BL485">
        <v>934</v>
      </c>
      <c r="BM485">
        <v>1</v>
      </c>
      <c r="BN485">
        <v>39</v>
      </c>
      <c r="BO485">
        <v>0</v>
      </c>
      <c r="BP485">
        <v>11</v>
      </c>
      <c r="BQ485">
        <v>17</v>
      </c>
      <c r="BR485">
        <v>0</v>
      </c>
      <c r="BS485">
        <v>0</v>
      </c>
      <c r="BT485">
        <v>0</v>
      </c>
      <c r="BU485">
        <v>0</v>
      </c>
      <c r="BV485">
        <v>0</v>
      </c>
      <c r="BW485">
        <v>978</v>
      </c>
      <c r="BX485">
        <v>0</v>
      </c>
      <c r="BY485">
        <v>1</v>
      </c>
      <c r="BZ485">
        <v>1</v>
      </c>
      <c r="CA485">
        <v>1</v>
      </c>
      <c r="CB485">
        <v>1</v>
      </c>
      <c r="CC485">
        <v>2</v>
      </c>
      <c r="CD485">
        <v>0</v>
      </c>
      <c r="CE485">
        <v>0</v>
      </c>
      <c r="CF485">
        <v>2</v>
      </c>
      <c r="CG485">
        <v>0</v>
      </c>
      <c r="CH485">
        <v>882</v>
      </c>
      <c r="CI485">
        <v>4</v>
      </c>
      <c r="CJ485">
        <v>1</v>
      </c>
      <c r="CK485">
        <v>1</v>
      </c>
      <c r="CL485">
        <v>0</v>
      </c>
      <c r="CM485">
        <v>3</v>
      </c>
      <c r="CN485">
        <v>2</v>
      </c>
      <c r="CO485">
        <v>0</v>
      </c>
      <c r="CP485">
        <v>0</v>
      </c>
      <c r="CQ485">
        <v>1</v>
      </c>
      <c r="CR485">
        <v>2</v>
      </c>
      <c r="CS485">
        <v>949</v>
      </c>
      <c r="CT485">
        <v>0</v>
      </c>
      <c r="CU485">
        <v>1</v>
      </c>
      <c r="CV485">
        <v>0</v>
      </c>
      <c r="CW485">
        <v>0</v>
      </c>
      <c r="CX485">
        <v>2</v>
      </c>
      <c r="CY485">
        <v>4</v>
      </c>
      <c r="CZ485">
        <v>0</v>
      </c>
      <c r="DA485">
        <v>2</v>
      </c>
      <c r="DB485">
        <v>0</v>
      </c>
      <c r="DC485">
        <v>0</v>
      </c>
      <c r="DD485">
        <v>1018</v>
      </c>
      <c r="DE485">
        <v>1</v>
      </c>
      <c r="DF485">
        <v>1</v>
      </c>
      <c r="DG485">
        <v>3</v>
      </c>
      <c r="DH485">
        <v>0</v>
      </c>
      <c r="DI485">
        <v>3</v>
      </c>
      <c r="DJ485">
        <v>0</v>
      </c>
      <c r="DK485">
        <v>1</v>
      </c>
      <c r="DL485">
        <v>1</v>
      </c>
      <c r="DM485">
        <v>1</v>
      </c>
      <c r="DN485">
        <v>1</v>
      </c>
      <c r="DO485">
        <v>964</v>
      </c>
      <c r="DP485">
        <v>0</v>
      </c>
      <c r="DQ485">
        <v>6</v>
      </c>
      <c r="DR485">
        <v>3</v>
      </c>
      <c r="DS485">
        <v>0</v>
      </c>
      <c r="DT485">
        <v>5</v>
      </c>
      <c r="DU485">
        <v>28</v>
      </c>
      <c r="DV485">
        <v>10</v>
      </c>
      <c r="DW485">
        <v>1</v>
      </c>
      <c r="DX485">
        <v>10</v>
      </c>
      <c r="DY485">
        <v>17</v>
      </c>
      <c r="DZ485">
        <v>929</v>
      </c>
      <c r="EA485">
        <v>0.97619999999999996</v>
      </c>
      <c r="EB485">
        <v>0.97606152710035998</v>
      </c>
      <c r="EC485">
        <v>0.97637853776745098</v>
      </c>
      <c r="ED485">
        <v>0.97582312559683504</v>
      </c>
      <c r="EE485">
        <f>SUM(Table1[[#This Row],[ratio_0]:[ratio_9]])</f>
        <v>730</v>
      </c>
      <c r="EF485" s="1">
        <f>(Table1[[#This Row],[predicted_0]]-Table1[[#This Row],[actual_0]])/Table1[[#This Row],[actual_0]]</f>
        <v>1.2244897959183673E-2</v>
      </c>
      <c r="EG485" s="1">
        <f>(Table1[[#This Row],[predicted_1]]-Table1[[#This Row],[actual_1]])/Table1[[#This Row],[actual_1]]</f>
        <v>-5.2863436123348016E-3</v>
      </c>
      <c r="EH485" s="1">
        <f>(Table1[[#This Row],[predicted_2]]-Table1[[#This Row],[actual_2]])/Table1[[#This Row],[actual_2]]</f>
        <v>-3.875968992248062E-3</v>
      </c>
      <c r="EI485" s="1">
        <f>(Table1[[#This Row],[predicted_3]]-Table1[[#This Row],[actual_3]])/Table1[[#This Row],[actual_3]]</f>
        <v>-6.633663366336634E-2</v>
      </c>
      <c r="EJ485" s="1">
        <f>(Table1[[#This Row],[predicted_4]]-Table1[[#This Row],[actual_4]])/Table1[[#This Row],[actual_4]]</f>
        <v>3.360488798370672E-2</v>
      </c>
      <c r="EK485" s="1">
        <f>(Table1[[#This Row],[predicted_5]]-Table1[[#This Row],[actual_5]])/Table1[[#This Row],[actual_5]]</f>
        <v>4.9327354260089683E-2</v>
      </c>
      <c r="EL485" s="1">
        <f>(Table1[[#This Row],[predicted_6]]-Table1[[#This Row],[actual_6]])/Table1[[#This Row],[actual_6]]</f>
        <v>9.3945720250521916E-3</v>
      </c>
      <c r="EM485" s="1">
        <f>(Table1[[#This Row],[predicted_7]]-Table1[[#This Row],[actual_7]])/Table1[[#This Row],[actual_7]]</f>
        <v>2.4319066147859923E-2</v>
      </c>
      <c r="EN485" s="1">
        <f>(Table1[[#This Row],[predicted_8]]-Table1[[#This Row],[actual_8]])/Table1[[#This Row],[actual_8]]</f>
        <v>3.2854209445585217E-2</v>
      </c>
      <c r="EO485" s="1">
        <f>(Table1[[#This Row],[predicted_9]]-Table1[[#This Row],[actual_9]])/Table1[[#This Row],[actual_9]]</f>
        <v>-7.7304261645193259E-2</v>
      </c>
      <c r="EP485" s="1">
        <f>1+(Table1[[#This Row],[error_ratio_0]]-EF$2)</f>
        <v>1.010204081632653</v>
      </c>
      <c r="EQ485" s="1">
        <f>1+(Table1[[#This Row],[error_ratio_1]]-EG$2)</f>
        <v>0.99295154185022028</v>
      </c>
      <c r="ER485" s="1">
        <f>1+(Table1[[#This Row],[error_ratio_2]]-EH$2)</f>
        <v>1.000968992248062</v>
      </c>
      <c r="ES485" s="1">
        <f>1+(Table1[[#This Row],[error_ratio_3]]-EI$2)</f>
        <v>0.92376237623762381</v>
      </c>
      <c r="ET485" s="1">
        <f>1+(Table1[[#This Row],[error_ratio_4]]-EJ$2)</f>
        <v>1.0325865580448066</v>
      </c>
      <c r="EU485" s="1">
        <f>1+(Table1[[#This Row],[error_ratio_5]]-EK$2)</f>
        <v>1.0482062780269059</v>
      </c>
      <c r="EV485" s="1">
        <f>1+(Table1[[#This Row],[error_ratio_6]]-EL$2)</f>
        <v>1.0156576200417538</v>
      </c>
      <c r="EW485" s="1">
        <f>1+(Table1[[#This Row],[error_ratio_7]]-EM$2)</f>
        <v>1.022373540856031</v>
      </c>
      <c r="EX485" s="1">
        <f>1+(Table1[[#This Row],[error_ratio_8]]-EN$2)</f>
        <v>1.0359342915811087</v>
      </c>
      <c r="EY485" s="1">
        <f>1+(Table1[[#This Row],[error_ratio_9]]-EO$2)</f>
        <v>0.92666005946481667</v>
      </c>
    </row>
    <row r="486" spans="1:155" x14ac:dyDescent="0.75">
      <c r="A486">
        <v>10</v>
      </c>
      <c r="B486">
        <v>10</v>
      </c>
      <c r="C486">
        <v>100</v>
      </c>
      <c r="D486">
        <v>10</v>
      </c>
      <c r="E486">
        <v>100</v>
      </c>
      <c r="F486">
        <v>100</v>
      </c>
      <c r="G486">
        <v>100</v>
      </c>
      <c r="H486">
        <v>100</v>
      </c>
      <c r="I486">
        <v>100</v>
      </c>
      <c r="J486">
        <v>10</v>
      </c>
      <c r="K486">
        <v>947</v>
      </c>
      <c r="L486">
        <v>1084</v>
      </c>
      <c r="M486">
        <v>1076</v>
      </c>
      <c r="N486">
        <v>960</v>
      </c>
      <c r="O486">
        <v>977</v>
      </c>
      <c r="P486">
        <v>979</v>
      </c>
      <c r="Q486">
        <v>969</v>
      </c>
      <c r="R486">
        <v>1027</v>
      </c>
      <c r="S486">
        <v>1027</v>
      </c>
      <c r="T486">
        <v>954</v>
      </c>
      <c r="U486">
        <v>980</v>
      </c>
      <c r="V486">
        <v>1135</v>
      </c>
      <c r="W486">
        <v>1032</v>
      </c>
      <c r="X486">
        <v>1010</v>
      </c>
      <c r="Y486">
        <v>982</v>
      </c>
      <c r="Z486">
        <v>892</v>
      </c>
      <c r="AA486">
        <v>958</v>
      </c>
      <c r="AB486">
        <v>1028</v>
      </c>
      <c r="AC486">
        <v>974</v>
      </c>
      <c r="AD486">
        <v>1009</v>
      </c>
      <c r="AE486">
        <v>944</v>
      </c>
      <c r="AF486">
        <v>0</v>
      </c>
      <c r="AG486">
        <v>5</v>
      </c>
      <c r="AH486">
        <v>0</v>
      </c>
      <c r="AI486">
        <v>2</v>
      </c>
      <c r="AJ486">
        <v>5</v>
      </c>
      <c r="AK486">
        <v>12</v>
      </c>
      <c r="AL486">
        <v>2</v>
      </c>
      <c r="AM486">
        <v>5</v>
      </c>
      <c r="AN486">
        <v>5</v>
      </c>
      <c r="AO486">
        <v>0</v>
      </c>
      <c r="AP486">
        <v>1082</v>
      </c>
      <c r="AQ486">
        <v>12</v>
      </c>
      <c r="AR486">
        <v>4</v>
      </c>
      <c r="AS486">
        <v>1</v>
      </c>
      <c r="AT486">
        <v>3</v>
      </c>
      <c r="AU486">
        <v>7</v>
      </c>
      <c r="AV486">
        <v>1</v>
      </c>
      <c r="AW486">
        <v>25</v>
      </c>
      <c r="AX486">
        <v>0</v>
      </c>
      <c r="AY486">
        <v>0</v>
      </c>
      <c r="AZ486">
        <v>0</v>
      </c>
      <c r="BA486">
        <v>1029</v>
      </c>
      <c r="BB486">
        <v>0</v>
      </c>
      <c r="BC486">
        <v>1</v>
      </c>
      <c r="BD486">
        <v>0</v>
      </c>
      <c r="BE486">
        <v>0</v>
      </c>
      <c r="BF486">
        <v>2</v>
      </c>
      <c r="BG486">
        <v>0</v>
      </c>
      <c r="BH486">
        <v>0</v>
      </c>
      <c r="BI486">
        <v>0</v>
      </c>
      <c r="BJ486">
        <v>0</v>
      </c>
      <c r="BK486">
        <v>4</v>
      </c>
      <c r="BL486">
        <v>947</v>
      </c>
      <c r="BM486">
        <v>0</v>
      </c>
      <c r="BN486">
        <v>48</v>
      </c>
      <c r="BO486">
        <v>0</v>
      </c>
      <c r="BP486">
        <v>5</v>
      </c>
      <c r="BQ486">
        <v>6</v>
      </c>
      <c r="BR486">
        <v>0</v>
      </c>
      <c r="BS486">
        <v>0</v>
      </c>
      <c r="BT486">
        <v>0</v>
      </c>
      <c r="BU486">
        <v>1</v>
      </c>
      <c r="BV486">
        <v>0</v>
      </c>
      <c r="BW486">
        <v>966</v>
      </c>
      <c r="BX486">
        <v>0</v>
      </c>
      <c r="BY486">
        <v>2</v>
      </c>
      <c r="BZ486">
        <v>3</v>
      </c>
      <c r="CA486">
        <v>3</v>
      </c>
      <c r="CB486">
        <v>7</v>
      </c>
      <c r="CC486">
        <v>0</v>
      </c>
      <c r="CD486">
        <v>0</v>
      </c>
      <c r="CE486">
        <v>1</v>
      </c>
      <c r="CF486">
        <v>2</v>
      </c>
      <c r="CG486">
        <v>0</v>
      </c>
      <c r="CH486">
        <v>888</v>
      </c>
      <c r="CI486">
        <v>1</v>
      </c>
      <c r="CJ486">
        <v>0</v>
      </c>
      <c r="CK486">
        <v>0</v>
      </c>
      <c r="CL486">
        <v>0</v>
      </c>
      <c r="CM486">
        <v>0</v>
      </c>
      <c r="CN486">
        <v>0</v>
      </c>
      <c r="CO486">
        <v>4</v>
      </c>
      <c r="CP486">
        <v>0</v>
      </c>
      <c r="CQ486">
        <v>1</v>
      </c>
      <c r="CR486">
        <v>5</v>
      </c>
      <c r="CS486">
        <v>946</v>
      </c>
      <c r="CT486">
        <v>0</v>
      </c>
      <c r="CU486">
        <v>2</v>
      </c>
      <c r="CV486">
        <v>0</v>
      </c>
      <c r="CW486">
        <v>1</v>
      </c>
      <c r="CX486">
        <v>1</v>
      </c>
      <c r="CY486">
        <v>16</v>
      </c>
      <c r="CZ486">
        <v>0</v>
      </c>
      <c r="DA486">
        <v>0</v>
      </c>
      <c r="DB486">
        <v>0</v>
      </c>
      <c r="DC486">
        <v>0</v>
      </c>
      <c r="DD486">
        <v>1005</v>
      </c>
      <c r="DE486">
        <v>2</v>
      </c>
      <c r="DF486">
        <v>3</v>
      </c>
      <c r="DG486">
        <v>1</v>
      </c>
      <c r="DH486">
        <v>0</v>
      </c>
      <c r="DI486">
        <v>4</v>
      </c>
      <c r="DJ486">
        <v>2</v>
      </c>
      <c r="DK486">
        <v>0</v>
      </c>
      <c r="DL486">
        <v>4</v>
      </c>
      <c r="DM486">
        <v>0</v>
      </c>
      <c r="DN486">
        <v>1</v>
      </c>
      <c r="DO486">
        <v>962</v>
      </c>
      <c r="DP486">
        <v>0</v>
      </c>
      <c r="DQ486">
        <v>1</v>
      </c>
      <c r="DR486">
        <v>1</v>
      </c>
      <c r="DS486">
        <v>0</v>
      </c>
      <c r="DT486">
        <v>5</v>
      </c>
      <c r="DU486">
        <v>6</v>
      </c>
      <c r="DV486">
        <v>26</v>
      </c>
      <c r="DW486">
        <v>1</v>
      </c>
      <c r="DX486">
        <v>8</v>
      </c>
      <c r="DY486">
        <v>22</v>
      </c>
      <c r="DZ486">
        <v>939</v>
      </c>
      <c r="EA486">
        <v>0.9708</v>
      </c>
      <c r="EB486">
        <v>0.97093823348894204</v>
      </c>
      <c r="EC486">
        <v>0.971391288770036</v>
      </c>
      <c r="ED486">
        <v>0.970627738610498</v>
      </c>
      <c r="EE486">
        <f>SUM(Table1[[#This Row],[ratio_0]:[ratio_9]])</f>
        <v>640</v>
      </c>
      <c r="EF486" s="1">
        <f>(Table1[[#This Row],[predicted_0]]-Table1[[#This Row],[actual_0]])/Table1[[#This Row],[actual_0]]</f>
        <v>-3.3673469387755103E-2</v>
      </c>
      <c r="EG486" s="1">
        <f>(Table1[[#This Row],[predicted_1]]-Table1[[#This Row],[actual_1]])/Table1[[#This Row],[actual_1]]</f>
        <v>-4.4933920704845816E-2</v>
      </c>
      <c r="EH486" s="1">
        <f>(Table1[[#This Row],[predicted_2]]-Table1[[#This Row],[actual_2]])/Table1[[#This Row],[actual_2]]</f>
        <v>4.2635658914728682E-2</v>
      </c>
      <c r="EI486" s="1">
        <f>(Table1[[#This Row],[predicted_3]]-Table1[[#This Row],[actual_3]])/Table1[[#This Row],[actual_3]]</f>
        <v>-4.9504950495049507E-2</v>
      </c>
      <c r="EJ486" s="1">
        <f>(Table1[[#This Row],[predicted_4]]-Table1[[#This Row],[actual_4]])/Table1[[#This Row],[actual_4]]</f>
        <v>-5.0916496945010185E-3</v>
      </c>
      <c r="EK486" s="1">
        <f>(Table1[[#This Row],[predicted_5]]-Table1[[#This Row],[actual_5]])/Table1[[#This Row],[actual_5]]</f>
        <v>9.753363228699552E-2</v>
      </c>
      <c r="EL486" s="1">
        <f>(Table1[[#This Row],[predicted_6]]-Table1[[#This Row],[actual_6]])/Table1[[#This Row],[actual_6]]</f>
        <v>1.1482254697286013E-2</v>
      </c>
      <c r="EM486" s="1">
        <f>(Table1[[#This Row],[predicted_7]]-Table1[[#This Row],[actual_7]])/Table1[[#This Row],[actual_7]]</f>
        <v>-9.727626459143969E-4</v>
      </c>
      <c r="EN486" s="1">
        <f>(Table1[[#This Row],[predicted_8]]-Table1[[#This Row],[actual_8]])/Table1[[#This Row],[actual_8]]</f>
        <v>5.4414784394250515E-2</v>
      </c>
      <c r="EO486" s="1">
        <f>(Table1[[#This Row],[predicted_9]]-Table1[[#This Row],[actual_9]])/Table1[[#This Row],[actual_9]]</f>
        <v>-5.4509415262636272E-2</v>
      </c>
      <c r="EP486" s="1">
        <f>1+(Table1[[#This Row],[error_ratio_0]]-EF$2)</f>
        <v>0.9642857142857143</v>
      </c>
      <c r="EQ486" s="1">
        <f>1+(Table1[[#This Row],[error_ratio_1]]-EG$2)</f>
        <v>0.95330396475770929</v>
      </c>
      <c r="ER486" s="1">
        <f>1+(Table1[[#This Row],[error_ratio_2]]-EH$2)</f>
        <v>1.0474806201550388</v>
      </c>
      <c r="ES486" s="1">
        <f>1+(Table1[[#This Row],[error_ratio_3]]-EI$2)</f>
        <v>0.94059405940594054</v>
      </c>
      <c r="ET486" s="1">
        <f>1+(Table1[[#This Row],[error_ratio_4]]-EJ$2)</f>
        <v>0.99389002036659879</v>
      </c>
      <c r="EU486" s="1">
        <f>1+(Table1[[#This Row],[error_ratio_5]]-EK$2)</f>
        <v>1.0964125560538116</v>
      </c>
      <c r="EV486" s="1">
        <f>1+(Table1[[#This Row],[error_ratio_6]]-EL$2)</f>
        <v>1.0177453027139876</v>
      </c>
      <c r="EW486" s="1">
        <f>1+(Table1[[#This Row],[error_ratio_7]]-EM$2)</f>
        <v>0.99708171206225682</v>
      </c>
      <c r="EX486" s="1">
        <f>1+(Table1[[#This Row],[error_ratio_8]]-EN$2)</f>
        <v>1.0574948665297741</v>
      </c>
      <c r="EY486" s="1">
        <f>1+(Table1[[#This Row],[error_ratio_9]]-EO$2)</f>
        <v>0.94945490584737369</v>
      </c>
    </row>
    <row r="487" spans="1:155" x14ac:dyDescent="0.75">
      <c r="A487">
        <v>100</v>
      </c>
      <c r="B487">
        <v>100</v>
      </c>
      <c r="C487">
        <v>10</v>
      </c>
      <c r="D487">
        <v>10</v>
      </c>
      <c r="E487">
        <v>100</v>
      </c>
      <c r="F487">
        <v>100</v>
      </c>
      <c r="G487">
        <v>100</v>
      </c>
      <c r="H487">
        <v>100</v>
      </c>
      <c r="I487">
        <v>100</v>
      </c>
      <c r="J487">
        <v>10</v>
      </c>
      <c r="K487">
        <v>992</v>
      </c>
      <c r="L487">
        <v>1151</v>
      </c>
      <c r="M487">
        <v>989</v>
      </c>
      <c r="N487">
        <v>965</v>
      </c>
      <c r="O487">
        <v>984</v>
      </c>
      <c r="P487">
        <v>866</v>
      </c>
      <c r="Q487">
        <v>984</v>
      </c>
      <c r="R487">
        <v>1032</v>
      </c>
      <c r="S487">
        <v>1042</v>
      </c>
      <c r="T487">
        <v>995</v>
      </c>
      <c r="U487">
        <v>980</v>
      </c>
      <c r="V487">
        <v>1135</v>
      </c>
      <c r="W487">
        <v>1032</v>
      </c>
      <c r="X487">
        <v>1010</v>
      </c>
      <c r="Y487">
        <v>982</v>
      </c>
      <c r="Z487">
        <v>892</v>
      </c>
      <c r="AA487">
        <v>958</v>
      </c>
      <c r="AB487">
        <v>1028</v>
      </c>
      <c r="AC487">
        <v>974</v>
      </c>
      <c r="AD487">
        <v>1009</v>
      </c>
      <c r="AE487">
        <v>970</v>
      </c>
      <c r="AF487">
        <v>1</v>
      </c>
      <c r="AG487">
        <v>0</v>
      </c>
      <c r="AH487">
        <v>0</v>
      </c>
      <c r="AI487">
        <v>0</v>
      </c>
      <c r="AJ487">
        <v>0</v>
      </c>
      <c r="AK487">
        <v>5</v>
      </c>
      <c r="AL487">
        <v>1</v>
      </c>
      <c r="AM487">
        <v>3</v>
      </c>
      <c r="AN487">
        <v>0</v>
      </c>
      <c r="AO487">
        <v>0</v>
      </c>
      <c r="AP487">
        <v>1122</v>
      </c>
      <c r="AQ487">
        <v>0</v>
      </c>
      <c r="AR487">
        <v>2</v>
      </c>
      <c r="AS487">
        <v>0</v>
      </c>
      <c r="AT487">
        <v>1</v>
      </c>
      <c r="AU487">
        <v>6</v>
      </c>
      <c r="AV487">
        <v>0</v>
      </c>
      <c r="AW487">
        <v>4</v>
      </c>
      <c r="AX487">
        <v>0</v>
      </c>
      <c r="AY487">
        <v>6</v>
      </c>
      <c r="AZ487">
        <v>7</v>
      </c>
      <c r="BA487">
        <v>977</v>
      </c>
      <c r="BB487">
        <v>3</v>
      </c>
      <c r="BC487">
        <v>12</v>
      </c>
      <c r="BD487">
        <v>0</v>
      </c>
      <c r="BE487">
        <v>6</v>
      </c>
      <c r="BF487">
        <v>12</v>
      </c>
      <c r="BG487">
        <v>9</v>
      </c>
      <c r="BH487">
        <v>0</v>
      </c>
      <c r="BI487">
        <v>1</v>
      </c>
      <c r="BJ487">
        <v>0</v>
      </c>
      <c r="BK487">
        <v>2</v>
      </c>
      <c r="BL487">
        <v>952</v>
      </c>
      <c r="BM487">
        <v>0</v>
      </c>
      <c r="BN487">
        <v>19</v>
      </c>
      <c r="BO487">
        <v>0</v>
      </c>
      <c r="BP487">
        <v>5</v>
      </c>
      <c r="BQ487">
        <v>22</v>
      </c>
      <c r="BR487">
        <v>9</v>
      </c>
      <c r="BS487">
        <v>0</v>
      </c>
      <c r="BT487">
        <v>5</v>
      </c>
      <c r="BU487">
        <v>0</v>
      </c>
      <c r="BV487">
        <v>0</v>
      </c>
      <c r="BW487">
        <v>959</v>
      </c>
      <c r="BX487">
        <v>0</v>
      </c>
      <c r="BY487">
        <v>7</v>
      </c>
      <c r="BZ487">
        <v>0</v>
      </c>
      <c r="CA487">
        <v>3</v>
      </c>
      <c r="CB487">
        <v>8</v>
      </c>
      <c r="CC487">
        <v>2</v>
      </c>
      <c r="CD487">
        <v>0</v>
      </c>
      <c r="CE487">
        <v>0</v>
      </c>
      <c r="CF487">
        <v>2</v>
      </c>
      <c r="CG487">
        <v>0</v>
      </c>
      <c r="CH487">
        <v>845</v>
      </c>
      <c r="CI487">
        <v>9</v>
      </c>
      <c r="CJ487">
        <v>1</v>
      </c>
      <c r="CK487">
        <v>22</v>
      </c>
      <c r="CL487">
        <v>11</v>
      </c>
      <c r="CM487">
        <v>5</v>
      </c>
      <c r="CN487">
        <v>2</v>
      </c>
      <c r="CO487">
        <v>0</v>
      </c>
      <c r="CP487">
        <v>0</v>
      </c>
      <c r="CQ487">
        <v>1</v>
      </c>
      <c r="CR487">
        <v>0</v>
      </c>
      <c r="CS487">
        <v>948</v>
      </c>
      <c r="CT487">
        <v>0</v>
      </c>
      <c r="CU487">
        <v>2</v>
      </c>
      <c r="CV487">
        <v>0</v>
      </c>
      <c r="CW487">
        <v>1</v>
      </c>
      <c r="CX487">
        <v>10</v>
      </c>
      <c r="CY487">
        <v>8</v>
      </c>
      <c r="CZ487">
        <v>3</v>
      </c>
      <c r="DA487">
        <v>0</v>
      </c>
      <c r="DB487">
        <v>0</v>
      </c>
      <c r="DC487">
        <v>0</v>
      </c>
      <c r="DD487">
        <v>1002</v>
      </c>
      <c r="DE487">
        <v>2</v>
      </c>
      <c r="DF487">
        <v>2</v>
      </c>
      <c r="DG487">
        <v>0</v>
      </c>
      <c r="DH487">
        <v>0</v>
      </c>
      <c r="DI487">
        <v>2</v>
      </c>
      <c r="DJ487">
        <v>0</v>
      </c>
      <c r="DK487">
        <v>0</v>
      </c>
      <c r="DL487">
        <v>0</v>
      </c>
      <c r="DM487">
        <v>0</v>
      </c>
      <c r="DN487">
        <v>2</v>
      </c>
      <c r="DO487">
        <v>966</v>
      </c>
      <c r="DP487">
        <v>4</v>
      </c>
      <c r="DQ487">
        <v>7</v>
      </c>
      <c r="DR487">
        <v>4</v>
      </c>
      <c r="DS487">
        <v>0</v>
      </c>
      <c r="DT487">
        <v>3</v>
      </c>
      <c r="DU487">
        <v>12</v>
      </c>
      <c r="DV487">
        <v>1</v>
      </c>
      <c r="DW487">
        <v>3</v>
      </c>
      <c r="DX487">
        <v>9</v>
      </c>
      <c r="DY487">
        <v>9</v>
      </c>
      <c r="DZ487">
        <v>961</v>
      </c>
      <c r="EA487">
        <v>0.97019999999999995</v>
      </c>
      <c r="EB487">
        <v>0.97046035531820096</v>
      </c>
      <c r="EC487">
        <v>0.96999940382654803</v>
      </c>
      <c r="ED487">
        <v>0.96997472524203898</v>
      </c>
      <c r="EE487">
        <f>SUM(Table1[[#This Row],[ratio_0]:[ratio_9]])</f>
        <v>730</v>
      </c>
      <c r="EF487" s="1">
        <f>(Table1[[#This Row],[predicted_0]]-Table1[[#This Row],[actual_0]])/Table1[[#This Row],[actual_0]]</f>
        <v>1.2244897959183673E-2</v>
      </c>
      <c r="EG487" s="1">
        <f>(Table1[[#This Row],[predicted_1]]-Table1[[#This Row],[actual_1]])/Table1[[#This Row],[actual_1]]</f>
        <v>1.4096916299559472E-2</v>
      </c>
      <c r="EH487" s="1">
        <f>(Table1[[#This Row],[predicted_2]]-Table1[[#This Row],[actual_2]])/Table1[[#This Row],[actual_2]]</f>
        <v>-4.1666666666666664E-2</v>
      </c>
      <c r="EI487" s="1">
        <f>(Table1[[#This Row],[predicted_3]]-Table1[[#This Row],[actual_3]])/Table1[[#This Row],[actual_3]]</f>
        <v>-4.4554455445544552E-2</v>
      </c>
      <c r="EJ487" s="1">
        <f>(Table1[[#This Row],[predicted_4]]-Table1[[#This Row],[actual_4]])/Table1[[#This Row],[actual_4]]</f>
        <v>2.0366598778004071E-3</v>
      </c>
      <c r="EK487" s="1">
        <f>(Table1[[#This Row],[predicted_5]]-Table1[[#This Row],[actual_5]])/Table1[[#This Row],[actual_5]]</f>
        <v>-2.914798206278027E-2</v>
      </c>
      <c r="EL487" s="1">
        <f>(Table1[[#This Row],[predicted_6]]-Table1[[#This Row],[actual_6]])/Table1[[#This Row],[actual_6]]</f>
        <v>2.7139874739039668E-2</v>
      </c>
      <c r="EM487" s="1">
        <f>(Table1[[#This Row],[predicted_7]]-Table1[[#This Row],[actual_7]])/Table1[[#This Row],[actual_7]]</f>
        <v>3.8910505836575876E-3</v>
      </c>
      <c r="EN487" s="1">
        <f>(Table1[[#This Row],[predicted_8]]-Table1[[#This Row],[actual_8]])/Table1[[#This Row],[actual_8]]</f>
        <v>6.9815195071868577E-2</v>
      </c>
      <c r="EO487" s="1">
        <f>(Table1[[#This Row],[predicted_9]]-Table1[[#This Row],[actual_9]])/Table1[[#This Row],[actual_9]]</f>
        <v>-1.3875123885034688E-2</v>
      </c>
      <c r="EP487" s="1">
        <f>1+(Table1[[#This Row],[error_ratio_0]]-EF$2)</f>
        <v>1.010204081632653</v>
      </c>
      <c r="EQ487" s="1">
        <f>1+(Table1[[#This Row],[error_ratio_1]]-EG$2)</f>
        <v>1.0123348017621145</v>
      </c>
      <c r="ER487" s="1">
        <f>1+(Table1[[#This Row],[error_ratio_2]]-EH$2)</f>
        <v>0.96317829457364346</v>
      </c>
      <c r="ES487" s="1">
        <f>1+(Table1[[#This Row],[error_ratio_3]]-EI$2)</f>
        <v>0.9455445544554455</v>
      </c>
      <c r="ET487" s="1">
        <f>1+(Table1[[#This Row],[error_ratio_4]]-EJ$2)</f>
        <v>1.0010183299389002</v>
      </c>
      <c r="EU487" s="1">
        <f>1+(Table1[[#This Row],[error_ratio_5]]-EK$2)</f>
        <v>0.96973094170403584</v>
      </c>
      <c r="EV487" s="1">
        <f>1+(Table1[[#This Row],[error_ratio_6]]-EL$2)</f>
        <v>1.0334029227557411</v>
      </c>
      <c r="EW487" s="1">
        <f>1+(Table1[[#This Row],[error_ratio_7]]-EM$2)</f>
        <v>1.0019455252918288</v>
      </c>
      <c r="EX487" s="1">
        <f>1+(Table1[[#This Row],[error_ratio_8]]-EN$2)</f>
        <v>1.0728952772073921</v>
      </c>
      <c r="EY487" s="1">
        <f>1+(Table1[[#This Row],[error_ratio_9]]-EO$2)</f>
        <v>0.99008919722497524</v>
      </c>
    </row>
    <row r="488" spans="1:155" x14ac:dyDescent="0.75">
      <c r="A488">
        <v>10</v>
      </c>
      <c r="B488">
        <v>100</v>
      </c>
      <c r="C488">
        <v>10</v>
      </c>
      <c r="D488">
        <v>10</v>
      </c>
      <c r="E488">
        <v>100</v>
      </c>
      <c r="F488">
        <v>100</v>
      </c>
      <c r="G488">
        <v>100</v>
      </c>
      <c r="H488">
        <v>100</v>
      </c>
      <c r="I488">
        <v>100</v>
      </c>
      <c r="J488">
        <v>10</v>
      </c>
      <c r="K488">
        <v>976</v>
      </c>
      <c r="L488">
        <v>1116</v>
      </c>
      <c r="M488">
        <v>967</v>
      </c>
      <c r="N488">
        <v>960</v>
      </c>
      <c r="O488">
        <v>979</v>
      </c>
      <c r="P488">
        <v>951</v>
      </c>
      <c r="Q488">
        <v>955</v>
      </c>
      <c r="R488">
        <v>1074</v>
      </c>
      <c r="S488">
        <v>1070</v>
      </c>
      <c r="T488">
        <v>952</v>
      </c>
      <c r="U488">
        <v>980</v>
      </c>
      <c r="V488">
        <v>1135</v>
      </c>
      <c r="W488">
        <v>1032</v>
      </c>
      <c r="X488">
        <v>1010</v>
      </c>
      <c r="Y488">
        <v>982</v>
      </c>
      <c r="Z488">
        <v>892</v>
      </c>
      <c r="AA488">
        <v>958</v>
      </c>
      <c r="AB488">
        <v>1028</v>
      </c>
      <c r="AC488">
        <v>974</v>
      </c>
      <c r="AD488">
        <v>1009</v>
      </c>
      <c r="AE488">
        <v>950</v>
      </c>
      <c r="AF488">
        <v>0</v>
      </c>
      <c r="AG488">
        <v>0</v>
      </c>
      <c r="AH488">
        <v>0</v>
      </c>
      <c r="AI488">
        <v>0</v>
      </c>
      <c r="AJ488">
        <v>7</v>
      </c>
      <c r="AK488">
        <v>5</v>
      </c>
      <c r="AL488">
        <v>2</v>
      </c>
      <c r="AM488">
        <v>16</v>
      </c>
      <c r="AN488">
        <v>0</v>
      </c>
      <c r="AO488">
        <v>0</v>
      </c>
      <c r="AP488">
        <v>1110</v>
      </c>
      <c r="AQ488">
        <v>0</v>
      </c>
      <c r="AR488">
        <v>5</v>
      </c>
      <c r="AS488">
        <v>0</v>
      </c>
      <c r="AT488">
        <v>3</v>
      </c>
      <c r="AU488">
        <v>1</v>
      </c>
      <c r="AV488">
        <v>3</v>
      </c>
      <c r="AW488">
        <v>13</v>
      </c>
      <c r="AX488">
        <v>0</v>
      </c>
      <c r="AY488">
        <v>9</v>
      </c>
      <c r="AZ488">
        <v>1</v>
      </c>
      <c r="BA488">
        <v>959</v>
      </c>
      <c r="BB488">
        <v>3</v>
      </c>
      <c r="BC488">
        <v>5</v>
      </c>
      <c r="BD488">
        <v>3</v>
      </c>
      <c r="BE488">
        <v>4</v>
      </c>
      <c r="BF488">
        <v>25</v>
      </c>
      <c r="BG488">
        <v>23</v>
      </c>
      <c r="BH488">
        <v>0</v>
      </c>
      <c r="BI488">
        <v>1</v>
      </c>
      <c r="BJ488">
        <v>0</v>
      </c>
      <c r="BK488">
        <v>6</v>
      </c>
      <c r="BL488">
        <v>946</v>
      </c>
      <c r="BM488">
        <v>0</v>
      </c>
      <c r="BN488">
        <v>25</v>
      </c>
      <c r="BO488">
        <v>0</v>
      </c>
      <c r="BP488">
        <v>9</v>
      </c>
      <c r="BQ488">
        <v>21</v>
      </c>
      <c r="BR488">
        <v>2</v>
      </c>
      <c r="BS488">
        <v>0</v>
      </c>
      <c r="BT488">
        <v>0</v>
      </c>
      <c r="BU488">
        <v>1</v>
      </c>
      <c r="BV488">
        <v>0</v>
      </c>
      <c r="BW488">
        <v>964</v>
      </c>
      <c r="BX488">
        <v>0</v>
      </c>
      <c r="BY488">
        <v>2</v>
      </c>
      <c r="BZ488">
        <v>1</v>
      </c>
      <c r="CA488">
        <v>0</v>
      </c>
      <c r="CB488">
        <v>14</v>
      </c>
      <c r="CC488">
        <v>2</v>
      </c>
      <c r="CD488">
        <v>0</v>
      </c>
      <c r="CE488">
        <v>0</v>
      </c>
      <c r="CF488">
        <v>1</v>
      </c>
      <c r="CG488">
        <v>0</v>
      </c>
      <c r="CH488">
        <v>887</v>
      </c>
      <c r="CI488">
        <v>1</v>
      </c>
      <c r="CJ488">
        <v>0</v>
      </c>
      <c r="CK488">
        <v>1</v>
      </c>
      <c r="CL488">
        <v>0</v>
      </c>
      <c r="CM488">
        <v>8</v>
      </c>
      <c r="CN488">
        <v>2</v>
      </c>
      <c r="CO488">
        <v>0</v>
      </c>
      <c r="CP488">
        <v>0</v>
      </c>
      <c r="CQ488">
        <v>1</v>
      </c>
      <c r="CR488">
        <v>2</v>
      </c>
      <c r="CS488">
        <v>941</v>
      </c>
      <c r="CT488">
        <v>0</v>
      </c>
      <c r="CU488">
        <v>4</v>
      </c>
      <c r="CV488">
        <v>0</v>
      </c>
      <c r="CW488">
        <v>1</v>
      </c>
      <c r="CX488">
        <v>1</v>
      </c>
      <c r="CY488">
        <v>1</v>
      </c>
      <c r="CZ488">
        <v>0</v>
      </c>
      <c r="DA488">
        <v>0</v>
      </c>
      <c r="DB488">
        <v>1</v>
      </c>
      <c r="DC488">
        <v>0</v>
      </c>
      <c r="DD488">
        <v>1020</v>
      </c>
      <c r="DE488">
        <v>4</v>
      </c>
      <c r="DF488">
        <v>0</v>
      </c>
      <c r="DG488">
        <v>0</v>
      </c>
      <c r="DH488">
        <v>0</v>
      </c>
      <c r="DI488">
        <v>0</v>
      </c>
      <c r="DJ488">
        <v>0</v>
      </c>
      <c r="DK488">
        <v>2</v>
      </c>
      <c r="DL488">
        <v>1</v>
      </c>
      <c r="DM488">
        <v>1</v>
      </c>
      <c r="DN488">
        <v>2</v>
      </c>
      <c r="DO488">
        <v>968</v>
      </c>
      <c r="DP488">
        <v>0</v>
      </c>
      <c r="DQ488">
        <v>5</v>
      </c>
      <c r="DR488">
        <v>2</v>
      </c>
      <c r="DS488">
        <v>0</v>
      </c>
      <c r="DT488">
        <v>5</v>
      </c>
      <c r="DU488">
        <v>7</v>
      </c>
      <c r="DV488">
        <v>22</v>
      </c>
      <c r="DW488">
        <v>0</v>
      </c>
      <c r="DX488">
        <v>12</v>
      </c>
      <c r="DY488">
        <v>20</v>
      </c>
      <c r="DZ488">
        <v>936</v>
      </c>
      <c r="EA488">
        <v>0.96809999999999996</v>
      </c>
      <c r="EB488">
        <v>0.96854357896576304</v>
      </c>
      <c r="EC488">
        <v>0.96852868041656304</v>
      </c>
      <c r="ED488">
        <v>0.96792939970783598</v>
      </c>
      <c r="EE488">
        <f>SUM(Table1[[#This Row],[ratio_0]:[ratio_9]])</f>
        <v>640</v>
      </c>
      <c r="EF488" s="1">
        <f>(Table1[[#This Row],[predicted_0]]-Table1[[#This Row],[actual_0]])/Table1[[#This Row],[actual_0]]</f>
        <v>-4.0816326530612249E-3</v>
      </c>
      <c r="EG488" s="1">
        <f>(Table1[[#This Row],[predicted_1]]-Table1[[#This Row],[actual_1]])/Table1[[#This Row],[actual_1]]</f>
        <v>-1.6740088105726872E-2</v>
      </c>
      <c r="EH488" s="1">
        <f>(Table1[[#This Row],[predicted_2]]-Table1[[#This Row],[actual_2]])/Table1[[#This Row],[actual_2]]</f>
        <v>-6.2984496124031009E-2</v>
      </c>
      <c r="EI488" s="1">
        <f>(Table1[[#This Row],[predicted_3]]-Table1[[#This Row],[actual_3]])/Table1[[#This Row],[actual_3]]</f>
        <v>-4.9504950495049507E-2</v>
      </c>
      <c r="EJ488" s="1">
        <f>(Table1[[#This Row],[predicted_4]]-Table1[[#This Row],[actual_4]])/Table1[[#This Row],[actual_4]]</f>
        <v>-3.0549898167006109E-3</v>
      </c>
      <c r="EK488" s="1">
        <f>(Table1[[#This Row],[predicted_5]]-Table1[[#This Row],[actual_5]])/Table1[[#This Row],[actual_5]]</f>
        <v>6.614349775784753E-2</v>
      </c>
      <c r="EL488" s="1">
        <f>(Table1[[#This Row],[predicted_6]]-Table1[[#This Row],[actual_6]])/Table1[[#This Row],[actual_6]]</f>
        <v>-3.1315240083507308E-3</v>
      </c>
      <c r="EM488" s="1">
        <f>(Table1[[#This Row],[predicted_7]]-Table1[[#This Row],[actual_7]])/Table1[[#This Row],[actual_7]]</f>
        <v>4.4747081712062257E-2</v>
      </c>
      <c r="EN488" s="1">
        <f>(Table1[[#This Row],[predicted_8]]-Table1[[#This Row],[actual_8]])/Table1[[#This Row],[actual_8]]</f>
        <v>9.856262833675565E-2</v>
      </c>
      <c r="EO488" s="1">
        <f>(Table1[[#This Row],[predicted_9]]-Table1[[#This Row],[actual_9]])/Table1[[#This Row],[actual_9]]</f>
        <v>-5.6491575817641228E-2</v>
      </c>
      <c r="EP488" s="1">
        <f>1+(Table1[[#This Row],[error_ratio_0]]-EF$2)</f>
        <v>0.9938775510204082</v>
      </c>
      <c r="EQ488" s="1">
        <f>1+(Table1[[#This Row],[error_ratio_1]]-EG$2)</f>
        <v>0.98149779735682818</v>
      </c>
      <c r="ER488" s="1">
        <f>1+(Table1[[#This Row],[error_ratio_2]]-EH$2)</f>
        <v>0.94186046511627908</v>
      </c>
      <c r="ES488" s="1">
        <f>1+(Table1[[#This Row],[error_ratio_3]]-EI$2)</f>
        <v>0.94059405940594054</v>
      </c>
      <c r="ET488" s="1">
        <f>1+(Table1[[#This Row],[error_ratio_4]]-EJ$2)</f>
        <v>0.99592668024439923</v>
      </c>
      <c r="EU488" s="1">
        <f>1+(Table1[[#This Row],[error_ratio_5]]-EK$2)</f>
        <v>1.0650224215246638</v>
      </c>
      <c r="EV488" s="1">
        <f>1+(Table1[[#This Row],[error_ratio_6]]-EL$2)</f>
        <v>1.0031315240083507</v>
      </c>
      <c r="EW488" s="1">
        <f>1+(Table1[[#This Row],[error_ratio_7]]-EM$2)</f>
        <v>1.0428015564202335</v>
      </c>
      <c r="EX488" s="1">
        <f>1+(Table1[[#This Row],[error_ratio_8]]-EN$2)</f>
        <v>1.1016427104722792</v>
      </c>
      <c r="EY488" s="1">
        <f>1+(Table1[[#This Row],[error_ratio_9]]-EO$2)</f>
        <v>0.94747274529236869</v>
      </c>
    </row>
    <row r="489" spans="1:155" x14ac:dyDescent="0.75">
      <c r="A489">
        <v>100</v>
      </c>
      <c r="B489">
        <v>10</v>
      </c>
      <c r="C489">
        <v>10</v>
      </c>
      <c r="D489">
        <v>10</v>
      </c>
      <c r="E489">
        <v>100</v>
      </c>
      <c r="F489">
        <v>100</v>
      </c>
      <c r="G489">
        <v>100</v>
      </c>
      <c r="H489">
        <v>100</v>
      </c>
      <c r="I489">
        <v>100</v>
      </c>
      <c r="J489">
        <v>10</v>
      </c>
      <c r="K489">
        <v>981</v>
      </c>
      <c r="L489">
        <v>1123</v>
      </c>
      <c r="M489">
        <v>975</v>
      </c>
      <c r="N489">
        <v>953</v>
      </c>
      <c r="O489">
        <v>993</v>
      </c>
      <c r="P489">
        <v>930</v>
      </c>
      <c r="Q489">
        <v>972</v>
      </c>
      <c r="R489">
        <v>1088</v>
      </c>
      <c r="S489">
        <v>1035</v>
      </c>
      <c r="T489">
        <v>950</v>
      </c>
      <c r="U489">
        <v>980</v>
      </c>
      <c r="V489">
        <v>1135</v>
      </c>
      <c r="W489">
        <v>1032</v>
      </c>
      <c r="X489">
        <v>1010</v>
      </c>
      <c r="Y489">
        <v>982</v>
      </c>
      <c r="Z489">
        <v>892</v>
      </c>
      <c r="AA489">
        <v>958</v>
      </c>
      <c r="AB489">
        <v>1028</v>
      </c>
      <c r="AC489">
        <v>974</v>
      </c>
      <c r="AD489">
        <v>1009</v>
      </c>
      <c r="AE489">
        <v>965</v>
      </c>
      <c r="AF489">
        <v>0</v>
      </c>
      <c r="AG489">
        <v>0</v>
      </c>
      <c r="AH489">
        <v>0</v>
      </c>
      <c r="AI489">
        <v>0</v>
      </c>
      <c r="AJ489">
        <v>2</v>
      </c>
      <c r="AK489">
        <v>8</v>
      </c>
      <c r="AL489">
        <v>2</v>
      </c>
      <c r="AM489">
        <v>3</v>
      </c>
      <c r="AN489">
        <v>0</v>
      </c>
      <c r="AO489">
        <v>0</v>
      </c>
      <c r="AP489">
        <v>1116</v>
      </c>
      <c r="AQ489">
        <v>3</v>
      </c>
      <c r="AR489">
        <v>2</v>
      </c>
      <c r="AS489">
        <v>0</v>
      </c>
      <c r="AT489">
        <v>3</v>
      </c>
      <c r="AU489">
        <v>4</v>
      </c>
      <c r="AV489">
        <v>4</v>
      </c>
      <c r="AW489">
        <v>3</v>
      </c>
      <c r="AX489">
        <v>0</v>
      </c>
      <c r="AY489">
        <v>6</v>
      </c>
      <c r="AZ489">
        <v>1</v>
      </c>
      <c r="BA489">
        <v>969</v>
      </c>
      <c r="BB489">
        <v>1</v>
      </c>
      <c r="BC489">
        <v>5</v>
      </c>
      <c r="BD489">
        <v>0</v>
      </c>
      <c r="BE489">
        <v>4</v>
      </c>
      <c r="BF489">
        <v>28</v>
      </c>
      <c r="BG489">
        <v>18</v>
      </c>
      <c r="BH489">
        <v>0</v>
      </c>
      <c r="BI489">
        <v>2</v>
      </c>
      <c r="BJ489">
        <v>0</v>
      </c>
      <c r="BK489">
        <v>1</v>
      </c>
      <c r="BL489">
        <v>942</v>
      </c>
      <c r="BM489">
        <v>1</v>
      </c>
      <c r="BN489">
        <v>31</v>
      </c>
      <c r="BO489">
        <v>0</v>
      </c>
      <c r="BP489">
        <v>12</v>
      </c>
      <c r="BQ489">
        <v>20</v>
      </c>
      <c r="BR489">
        <v>1</v>
      </c>
      <c r="BS489">
        <v>0</v>
      </c>
      <c r="BT489">
        <v>0</v>
      </c>
      <c r="BU489">
        <v>0</v>
      </c>
      <c r="BV489">
        <v>0</v>
      </c>
      <c r="BW489">
        <v>974</v>
      </c>
      <c r="BX489">
        <v>0</v>
      </c>
      <c r="BY489">
        <v>1</v>
      </c>
      <c r="BZ489">
        <v>2</v>
      </c>
      <c r="CA489">
        <v>1</v>
      </c>
      <c r="CB489">
        <v>4</v>
      </c>
      <c r="CC489">
        <v>3</v>
      </c>
      <c r="CD489">
        <v>0</v>
      </c>
      <c r="CE489">
        <v>0</v>
      </c>
      <c r="CF489">
        <v>2</v>
      </c>
      <c r="CG489">
        <v>0</v>
      </c>
      <c r="CH489">
        <v>880</v>
      </c>
      <c r="CI489">
        <v>4</v>
      </c>
      <c r="CJ489">
        <v>0</v>
      </c>
      <c r="CK489">
        <v>3</v>
      </c>
      <c r="CL489">
        <v>0</v>
      </c>
      <c r="CM489">
        <v>2</v>
      </c>
      <c r="CN489">
        <v>1</v>
      </c>
      <c r="CO489">
        <v>0</v>
      </c>
      <c r="CP489">
        <v>0</v>
      </c>
      <c r="CQ489">
        <v>2</v>
      </c>
      <c r="CR489">
        <v>2</v>
      </c>
      <c r="CS489">
        <v>949</v>
      </c>
      <c r="CT489">
        <v>0</v>
      </c>
      <c r="CU489">
        <v>2</v>
      </c>
      <c r="CV489">
        <v>0</v>
      </c>
      <c r="CW489">
        <v>0</v>
      </c>
      <c r="CX489">
        <v>2</v>
      </c>
      <c r="CY489">
        <v>1</v>
      </c>
      <c r="CZ489">
        <v>0</v>
      </c>
      <c r="DA489">
        <v>0</v>
      </c>
      <c r="DB489">
        <v>1</v>
      </c>
      <c r="DC489">
        <v>0</v>
      </c>
      <c r="DD489">
        <v>1019</v>
      </c>
      <c r="DE489">
        <v>1</v>
      </c>
      <c r="DF489">
        <v>4</v>
      </c>
      <c r="DG489">
        <v>1</v>
      </c>
      <c r="DH489">
        <v>0</v>
      </c>
      <c r="DI489">
        <v>1</v>
      </c>
      <c r="DJ489">
        <v>0</v>
      </c>
      <c r="DK489">
        <v>0</v>
      </c>
      <c r="DL489">
        <v>1</v>
      </c>
      <c r="DM489">
        <v>1</v>
      </c>
      <c r="DN489">
        <v>4</v>
      </c>
      <c r="DO489">
        <v>965</v>
      </c>
      <c r="DP489">
        <v>1</v>
      </c>
      <c r="DQ489">
        <v>2</v>
      </c>
      <c r="DR489">
        <v>3</v>
      </c>
      <c r="DS489">
        <v>0</v>
      </c>
      <c r="DT489">
        <v>6</v>
      </c>
      <c r="DU489">
        <v>11</v>
      </c>
      <c r="DV489">
        <v>10</v>
      </c>
      <c r="DW489">
        <v>1</v>
      </c>
      <c r="DX489">
        <v>17</v>
      </c>
      <c r="DY489">
        <v>19</v>
      </c>
      <c r="DZ489">
        <v>940</v>
      </c>
      <c r="EA489">
        <v>0.97189999999999999</v>
      </c>
      <c r="EB489">
        <v>0.97216222514074302</v>
      </c>
      <c r="EC489">
        <v>0.97222067694421799</v>
      </c>
      <c r="ED489">
        <v>0.97172614449766503</v>
      </c>
      <c r="EE489">
        <f>SUM(Table1[[#This Row],[ratio_0]:[ratio_9]])</f>
        <v>640</v>
      </c>
      <c r="EF489" s="1">
        <f>(Table1[[#This Row],[predicted_0]]-Table1[[#This Row],[actual_0]])/Table1[[#This Row],[actual_0]]</f>
        <v>1.0204081632653062E-3</v>
      </c>
      <c r="EG489" s="1">
        <f>(Table1[[#This Row],[predicted_1]]-Table1[[#This Row],[actual_1]])/Table1[[#This Row],[actual_1]]</f>
        <v>-1.0572687224669603E-2</v>
      </c>
      <c r="EH489" s="1">
        <f>(Table1[[#This Row],[predicted_2]]-Table1[[#This Row],[actual_2]])/Table1[[#This Row],[actual_2]]</f>
        <v>-5.5232558139534885E-2</v>
      </c>
      <c r="EI489" s="1">
        <f>(Table1[[#This Row],[predicted_3]]-Table1[[#This Row],[actual_3]])/Table1[[#This Row],[actual_3]]</f>
        <v>-5.6435643564356437E-2</v>
      </c>
      <c r="EJ489" s="1">
        <f>(Table1[[#This Row],[predicted_4]]-Table1[[#This Row],[actual_4]])/Table1[[#This Row],[actual_4]]</f>
        <v>1.1201629327902239E-2</v>
      </c>
      <c r="EK489" s="1">
        <f>(Table1[[#This Row],[predicted_5]]-Table1[[#This Row],[actual_5]])/Table1[[#This Row],[actual_5]]</f>
        <v>4.2600896860986545E-2</v>
      </c>
      <c r="EL489" s="1">
        <f>(Table1[[#This Row],[predicted_6]]-Table1[[#This Row],[actual_6]])/Table1[[#This Row],[actual_6]]</f>
        <v>1.4613778705636743E-2</v>
      </c>
      <c r="EM489" s="1">
        <f>(Table1[[#This Row],[predicted_7]]-Table1[[#This Row],[actual_7]])/Table1[[#This Row],[actual_7]]</f>
        <v>5.8365758754863814E-2</v>
      </c>
      <c r="EN489" s="1">
        <f>(Table1[[#This Row],[predicted_8]]-Table1[[#This Row],[actual_8]])/Table1[[#This Row],[actual_8]]</f>
        <v>6.2628336755646816E-2</v>
      </c>
      <c r="EO489" s="1">
        <f>(Table1[[#This Row],[predicted_9]]-Table1[[#This Row],[actual_9]])/Table1[[#This Row],[actual_9]]</f>
        <v>-5.8473736372646183E-2</v>
      </c>
      <c r="EP489" s="1">
        <f>1+(Table1[[#This Row],[error_ratio_0]]-EF$2)</f>
        <v>0.99897959183673468</v>
      </c>
      <c r="EQ489" s="1">
        <f>1+(Table1[[#This Row],[error_ratio_1]]-EG$2)</f>
        <v>0.98766519823788546</v>
      </c>
      <c r="ER489" s="1">
        <f>1+(Table1[[#This Row],[error_ratio_2]]-EH$2)</f>
        <v>0.94961240310077522</v>
      </c>
      <c r="ES489" s="1">
        <f>1+(Table1[[#This Row],[error_ratio_3]]-EI$2)</f>
        <v>0.9336633663366336</v>
      </c>
      <c r="ET489" s="1">
        <f>1+(Table1[[#This Row],[error_ratio_4]]-EJ$2)</f>
        <v>1.0101832993890021</v>
      </c>
      <c r="EU489" s="1">
        <f>1+(Table1[[#This Row],[error_ratio_5]]-EK$2)</f>
        <v>1.0414798206278026</v>
      </c>
      <c r="EV489" s="1">
        <f>1+(Table1[[#This Row],[error_ratio_6]]-EL$2)</f>
        <v>1.0208768267223383</v>
      </c>
      <c r="EW489" s="1">
        <f>1+(Table1[[#This Row],[error_ratio_7]]-EM$2)</f>
        <v>1.056420233463035</v>
      </c>
      <c r="EX489" s="1">
        <f>1+(Table1[[#This Row],[error_ratio_8]]-EN$2)</f>
        <v>1.0657084188911705</v>
      </c>
      <c r="EY489" s="1">
        <f>1+(Table1[[#This Row],[error_ratio_9]]-EO$2)</f>
        <v>0.94549058473736369</v>
      </c>
    </row>
    <row r="490" spans="1:155" x14ac:dyDescent="0.75">
      <c r="A490">
        <v>10</v>
      </c>
      <c r="B490">
        <v>10</v>
      </c>
      <c r="C490">
        <v>10</v>
      </c>
      <c r="D490">
        <v>10</v>
      </c>
      <c r="E490">
        <v>100</v>
      </c>
      <c r="F490">
        <v>100</v>
      </c>
      <c r="G490">
        <v>100</v>
      </c>
      <c r="H490">
        <v>100</v>
      </c>
      <c r="I490">
        <v>100</v>
      </c>
      <c r="J490">
        <v>10</v>
      </c>
      <c r="K490">
        <v>950</v>
      </c>
      <c r="L490">
        <v>1130</v>
      </c>
      <c r="M490">
        <v>947</v>
      </c>
      <c r="N490">
        <v>990</v>
      </c>
      <c r="O490">
        <v>1031</v>
      </c>
      <c r="P490">
        <v>963</v>
      </c>
      <c r="Q490">
        <v>931</v>
      </c>
      <c r="R490">
        <v>1110</v>
      </c>
      <c r="S490">
        <v>990</v>
      </c>
      <c r="T490">
        <v>958</v>
      </c>
      <c r="U490">
        <v>980</v>
      </c>
      <c r="V490">
        <v>1135</v>
      </c>
      <c r="W490">
        <v>1032</v>
      </c>
      <c r="X490">
        <v>1010</v>
      </c>
      <c r="Y490">
        <v>982</v>
      </c>
      <c r="Z490">
        <v>892</v>
      </c>
      <c r="AA490">
        <v>958</v>
      </c>
      <c r="AB490">
        <v>1028</v>
      </c>
      <c r="AC490">
        <v>974</v>
      </c>
      <c r="AD490">
        <v>1009</v>
      </c>
      <c r="AE490">
        <v>928</v>
      </c>
      <c r="AF490">
        <v>0</v>
      </c>
      <c r="AG490">
        <v>1</v>
      </c>
      <c r="AH490">
        <v>1</v>
      </c>
      <c r="AI490">
        <v>22</v>
      </c>
      <c r="AJ490">
        <v>9</v>
      </c>
      <c r="AK490">
        <v>9</v>
      </c>
      <c r="AL490">
        <v>2</v>
      </c>
      <c r="AM490">
        <v>6</v>
      </c>
      <c r="AN490">
        <v>2</v>
      </c>
      <c r="AO490">
        <v>0</v>
      </c>
      <c r="AP490">
        <v>1116</v>
      </c>
      <c r="AQ490">
        <v>2</v>
      </c>
      <c r="AR490">
        <v>5</v>
      </c>
      <c r="AS490">
        <v>1</v>
      </c>
      <c r="AT490">
        <v>1</v>
      </c>
      <c r="AU490">
        <v>3</v>
      </c>
      <c r="AV490">
        <v>3</v>
      </c>
      <c r="AW490">
        <v>3</v>
      </c>
      <c r="AX490">
        <v>1</v>
      </c>
      <c r="AY490">
        <v>12</v>
      </c>
      <c r="AZ490">
        <v>10</v>
      </c>
      <c r="BA490">
        <v>928</v>
      </c>
      <c r="BB490">
        <v>11</v>
      </c>
      <c r="BC490">
        <v>5</v>
      </c>
      <c r="BD490">
        <v>2</v>
      </c>
      <c r="BE490">
        <v>1</v>
      </c>
      <c r="BF490">
        <v>55</v>
      </c>
      <c r="BG490">
        <v>8</v>
      </c>
      <c r="BH490">
        <v>0</v>
      </c>
      <c r="BI490">
        <v>1</v>
      </c>
      <c r="BJ490">
        <v>0</v>
      </c>
      <c r="BK490">
        <v>2</v>
      </c>
      <c r="BL490">
        <v>959</v>
      </c>
      <c r="BM490">
        <v>0</v>
      </c>
      <c r="BN490">
        <v>35</v>
      </c>
      <c r="BO490">
        <v>0</v>
      </c>
      <c r="BP490">
        <v>9</v>
      </c>
      <c r="BQ490">
        <v>3</v>
      </c>
      <c r="BR490">
        <v>1</v>
      </c>
      <c r="BS490">
        <v>0</v>
      </c>
      <c r="BT490">
        <v>0</v>
      </c>
      <c r="BU490">
        <v>9</v>
      </c>
      <c r="BV490">
        <v>0</v>
      </c>
      <c r="BW490">
        <v>965</v>
      </c>
      <c r="BX490">
        <v>0</v>
      </c>
      <c r="BY490">
        <v>0</v>
      </c>
      <c r="BZ490">
        <v>2</v>
      </c>
      <c r="CA490">
        <v>2</v>
      </c>
      <c r="CB490">
        <v>4</v>
      </c>
      <c r="CC490">
        <v>1</v>
      </c>
      <c r="CD490">
        <v>0</v>
      </c>
      <c r="CE490">
        <v>0</v>
      </c>
      <c r="CF490">
        <v>2</v>
      </c>
      <c r="CG490">
        <v>0</v>
      </c>
      <c r="CH490">
        <v>884</v>
      </c>
      <c r="CI490">
        <v>3</v>
      </c>
      <c r="CJ490">
        <v>0</v>
      </c>
      <c r="CK490">
        <v>2</v>
      </c>
      <c r="CL490">
        <v>0</v>
      </c>
      <c r="CM490">
        <v>4</v>
      </c>
      <c r="CN490">
        <v>2</v>
      </c>
      <c r="CO490">
        <v>1</v>
      </c>
      <c r="CP490">
        <v>0</v>
      </c>
      <c r="CQ490">
        <v>25</v>
      </c>
      <c r="CR490">
        <v>9</v>
      </c>
      <c r="CS490">
        <v>914</v>
      </c>
      <c r="CT490">
        <v>0</v>
      </c>
      <c r="CU490">
        <v>3</v>
      </c>
      <c r="CV490">
        <v>0</v>
      </c>
      <c r="CW490">
        <v>1</v>
      </c>
      <c r="CX490">
        <v>1</v>
      </c>
      <c r="CY490">
        <v>3</v>
      </c>
      <c r="CZ490">
        <v>1</v>
      </c>
      <c r="DA490">
        <v>0</v>
      </c>
      <c r="DB490">
        <v>1</v>
      </c>
      <c r="DC490">
        <v>0</v>
      </c>
      <c r="DD490">
        <v>1019</v>
      </c>
      <c r="DE490">
        <v>1</v>
      </c>
      <c r="DF490">
        <v>1</v>
      </c>
      <c r="DG490">
        <v>1</v>
      </c>
      <c r="DH490">
        <v>0</v>
      </c>
      <c r="DI490">
        <v>1</v>
      </c>
      <c r="DJ490">
        <v>2</v>
      </c>
      <c r="DK490">
        <v>2</v>
      </c>
      <c r="DL490">
        <v>3</v>
      </c>
      <c r="DM490">
        <v>1</v>
      </c>
      <c r="DN490">
        <v>6</v>
      </c>
      <c r="DO490">
        <v>955</v>
      </c>
      <c r="DP490">
        <v>3</v>
      </c>
      <c r="DQ490">
        <v>2</v>
      </c>
      <c r="DR490">
        <v>1</v>
      </c>
      <c r="DS490">
        <v>0</v>
      </c>
      <c r="DT490">
        <v>9</v>
      </c>
      <c r="DU490">
        <v>11</v>
      </c>
      <c r="DV490">
        <v>19</v>
      </c>
      <c r="DW490">
        <v>0</v>
      </c>
      <c r="DX490">
        <v>14</v>
      </c>
      <c r="DY490">
        <v>7</v>
      </c>
      <c r="DZ490">
        <v>946</v>
      </c>
      <c r="EA490">
        <v>0.96140000000000003</v>
      </c>
      <c r="EB490">
        <v>0.961890386127637</v>
      </c>
      <c r="EC490">
        <v>0.96160190983309501</v>
      </c>
      <c r="ED490">
        <v>0.96111146888833399</v>
      </c>
      <c r="EE490">
        <f>SUM(Table1[[#This Row],[ratio_0]:[ratio_9]])</f>
        <v>550</v>
      </c>
      <c r="EF490" s="1">
        <f>(Table1[[#This Row],[predicted_0]]-Table1[[#This Row],[actual_0]])/Table1[[#This Row],[actual_0]]</f>
        <v>-3.0612244897959183E-2</v>
      </c>
      <c r="EG490" s="1">
        <f>(Table1[[#This Row],[predicted_1]]-Table1[[#This Row],[actual_1]])/Table1[[#This Row],[actual_1]]</f>
        <v>-4.4052863436123352E-3</v>
      </c>
      <c r="EH490" s="1">
        <f>(Table1[[#This Row],[predicted_2]]-Table1[[#This Row],[actual_2]])/Table1[[#This Row],[actual_2]]</f>
        <v>-8.2364341085271311E-2</v>
      </c>
      <c r="EI490" s="1">
        <f>(Table1[[#This Row],[predicted_3]]-Table1[[#This Row],[actual_3]])/Table1[[#This Row],[actual_3]]</f>
        <v>-1.9801980198019802E-2</v>
      </c>
      <c r="EJ490" s="1">
        <f>(Table1[[#This Row],[predicted_4]]-Table1[[#This Row],[actual_4]])/Table1[[#This Row],[actual_4]]</f>
        <v>4.9898167006109981E-2</v>
      </c>
      <c r="EK490" s="1">
        <f>(Table1[[#This Row],[predicted_5]]-Table1[[#This Row],[actual_5]])/Table1[[#This Row],[actual_5]]</f>
        <v>7.9596412556053805E-2</v>
      </c>
      <c r="EL490" s="1">
        <f>(Table1[[#This Row],[predicted_6]]-Table1[[#This Row],[actual_6]])/Table1[[#This Row],[actual_6]]</f>
        <v>-2.8183716075156576E-2</v>
      </c>
      <c r="EM490" s="1">
        <f>(Table1[[#This Row],[predicted_7]]-Table1[[#This Row],[actual_7]])/Table1[[#This Row],[actual_7]]</f>
        <v>7.9766536964980539E-2</v>
      </c>
      <c r="EN490" s="1">
        <f>(Table1[[#This Row],[predicted_8]]-Table1[[#This Row],[actual_8]])/Table1[[#This Row],[actual_8]]</f>
        <v>1.6427104722792608E-2</v>
      </c>
      <c r="EO490" s="1">
        <f>(Table1[[#This Row],[predicted_9]]-Table1[[#This Row],[actual_9]])/Table1[[#This Row],[actual_9]]</f>
        <v>-5.0545094152626362E-2</v>
      </c>
      <c r="EP490" s="1">
        <f>1+(Table1[[#This Row],[error_ratio_0]]-EF$2)</f>
        <v>0.96734693877551026</v>
      </c>
      <c r="EQ490" s="1">
        <f>1+(Table1[[#This Row],[error_ratio_1]]-EG$2)</f>
        <v>0.99383259911894273</v>
      </c>
      <c r="ER490" s="1">
        <f>1+(Table1[[#This Row],[error_ratio_2]]-EH$2)</f>
        <v>0.92248062015503873</v>
      </c>
      <c r="ES490" s="1">
        <f>1+(Table1[[#This Row],[error_ratio_3]]-EI$2)</f>
        <v>0.97029702970297027</v>
      </c>
      <c r="ET490" s="1">
        <f>1+(Table1[[#This Row],[error_ratio_4]]-EJ$2)</f>
        <v>1.0488798370672097</v>
      </c>
      <c r="EU490" s="1">
        <f>1+(Table1[[#This Row],[error_ratio_5]]-EK$2)</f>
        <v>1.0784753363228698</v>
      </c>
      <c r="EV490" s="1">
        <f>1+(Table1[[#This Row],[error_ratio_6]]-EL$2)</f>
        <v>0.97807933194154484</v>
      </c>
      <c r="EW490" s="1">
        <f>1+(Table1[[#This Row],[error_ratio_7]]-EM$2)</f>
        <v>1.0778210116731517</v>
      </c>
      <c r="EX490" s="1">
        <f>1+(Table1[[#This Row],[error_ratio_8]]-EN$2)</f>
        <v>1.0195071868583163</v>
      </c>
      <c r="EY490" s="1">
        <f>1+(Table1[[#This Row],[error_ratio_9]]-EO$2)</f>
        <v>0.95341922695738357</v>
      </c>
    </row>
    <row r="491" spans="1:155" x14ac:dyDescent="0.75">
      <c r="A491">
        <v>100</v>
      </c>
      <c r="B491">
        <v>100</v>
      </c>
      <c r="C491">
        <v>100</v>
      </c>
      <c r="D491">
        <v>100</v>
      </c>
      <c r="E491">
        <v>10</v>
      </c>
      <c r="F491">
        <v>100</v>
      </c>
      <c r="G491">
        <v>100</v>
      </c>
      <c r="H491">
        <v>100</v>
      </c>
      <c r="I491">
        <v>100</v>
      </c>
      <c r="J491">
        <v>10</v>
      </c>
      <c r="K491">
        <v>985</v>
      </c>
      <c r="L491">
        <v>1148</v>
      </c>
      <c r="M491">
        <v>1045</v>
      </c>
      <c r="N491">
        <v>1027</v>
      </c>
      <c r="O491">
        <v>942</v>
      </c>
      <c r="P491">
        <v>902</v>
      </c>
      <c r="Q491">
        <v>959</v>
      </c>
      <c r="R491">
        <v>1040</v>
      </c>
      <c r="S491">
        <v>990</v>
      </c>
      <c r="T491">
        <v>962</v>
      </c>
      <c r="U491">
        <v>980</v>
      </c>
      <c r="V491">
        <v>1135</v>
      </c>
      <c r="W491">
        <v>1032</v>
      </c>
      <c r="X491">
        <v>1010</v>
      </c>
      <c r="Y491">
        <v>982</v>
      </c>
      <c r="Z491">
        <v>892</v>
      </c>
      <c r="AA491">
        <v>958</v>
      </c>
      <c r="AB491">
        <v>1028</v>
      </c>
      <c r="AC491">
        <v>974</v>
      </c>
      <c r="AD491">
        <v>1009</v>
      </c>
      <c r="AE491">
        <v>975</v>
      </c>
      <c r="AF491">
        <v>2</v>
      </c>
      <c r="AG491">
        <v>0</v>
      </c>
      <c r="AH491">
        <v>0</v>
      </c>
      <c r="AI491">
        <v>0</v>
      </c>
      <c r="AJ491">
        <v>0</v>
      </c>
      <c r="AK491">
        <v>1</v>
      </c>
      <c r="AL491">
        <v>1</v>
      </c>
      <c r="AM491">
        <v>1</v>
      </c>
      <c r="AN491">
        <v>0</v>
      </c>
      <c r="AO491">
        <v>0</v>
      </c>
      <c r="AP491">
        <v>1130</v>
      </c>
      <c r="AQ491">
        <v>1</v>
      </c>
      <c r="AR491">
        <v>1</v>
      </c>
      <c r="AS491">
        <v>0</v>
      </c>
      <c r="AT491">
        <v>1</v>
      </c>
      <c r="AU491">
        <v>0</v>
      </c>
      <c r="AV491">
        <v>1</v>
      </c>
      <c r="AW491">
        <v>1</v>
      </c>
      <c r="AX491">
        <v>0</v>
      </c>
      <c r="AY491">
        <v>0</v>
      </c>
      <c r="AZ491">
        <v>2</v>
      </c>
      <c r="BA491">
        <v>1026</v>
      </c>
      <c r="BB491">
        <v>0</v>
      </c>
      <c r="BC491">
        <v>0</v>
      </c>
      <c r="BD491">
        <v>0</v>
      </c>
      <c r="BE491">
        <v>0</v>
      </c>
      <c r="BF491">
        <v>4</v>
      </c>
      <c r="BG491">
        <v>0</v>
      </c>
      <c r="BH491">
        <v>0</v>
      </c>
      <c r="BI491">
        <v>0</v>
      </c>
      <c r="BJ491">
        <v>0</v>
      </c>
      <c r="BK491">
        <v>2</v>
      </c>
      <c r="BL491">
        <v>1004</v>
      </c>
      <c r="BM491">
        <v>0</v>
      </c>
      <c r="BN491">
        <v>3</v>
      </c>
      <c r="BO491">
        <v>0</v>
      </c>
      <c r="BP491">
        <v>0</v>
      </c>
      <c r="BQ491">
        <v>1</v>
      </c>
      <c r="BR491">
        <v>0</v>
      </c>
      <c r="BS491">
        <v>1</v>
      </c>
      <c r="BT491">
        <v>5</v>
      </c>
      <c r="BU491">
        <v>5</v>
      </c>
      <c r="BV491">
        <v>0</v>
      </c>
      <c r="BW491">
        <v>940</v>
      </c>
      <c r="BX491">
        <v>0</v>
      </c>
      <c r="BY491">
        <v>10</v>
      </c>
      <c r="BZ491">
        <v>5</v>
      </c>
      <c r="CA491">
        <v>7</v>
      </c>
      <c r="CB491">
        <v>9</v>
      </c>
      <c r="CC491">
        <v>1</v>
      </c>
      <c r="CD491">
        <v>0</v>
      </c>
      <c r="CE491">
        <v>1</v>
      </c>
      <c r="CF491">
        <v>7</v>
      </c>
      <c r="CG491">
        <v>0</v>
      </c>
      <c r="CH491">
        <v>882</v>
      </c>
      <c r="CI491">
        <v>1</v>
      </c>
      <c r="CJ491">
        <v>0</v>
      </c>
      <c r="CK491">
        <v>0</v>
      </c>
      <c r="CL491">
        <v>0</v>
      </c>
      <c r="CM491">
        <v>3</v>
      </c>
      <c r="CN491">
        <v>2</v>
      </c>
      <c r="CO491">
        <v>1</v>
      </c>
      <c r="CP491">
        <v>1</v>
      </c>
      <c r="CQ491">
        <v>1</v>
      </c>
      <c r="CR491">
        <v>2</v>
      </c>
      <c r="CS491">
        <v>946</v>
      </c>
      <c r="CT491">
        <v>0</v>
      </c>
      <c r="CU491">
        <v>2</v>
      </c>
      <c r="CV491">
        <v>0</v>
      </c>
      <c r="CW491">
        <v>0</v>
      </c>
      <c r="CX491">
        <v>2</v>
      </c>
      <c r="CY491">
        <v>7</v>
      </c>
      <c r="CZ491">
        <v>0</v>
      </c>
      <c r="DA491">
        <v>0</v>
      </c>
      <c r="DB491">
        <v>1</v>
      </c>
      <c r="DC491">
        <v>0</v>
      </c>
      <c r="DD491">
        <v>1018</v>
      </c>
      <c r="DE491">
        <v>0</v>
      </c>
      <c r="DF491">
        <v>0</v>
      </c>
      <c r="DG491">
        <v>0</v>
      </c>
      <c r="DH491">
        <v>0</v>
      </c>
      <c r="DI491">
        <v>2</v>
      </c>
      <c r="DJ491">
        <v>1</v>
      </c>
      <c r="DK491">
        <v>0</v>
      </c>
      <c r="DL491">
        <v>1</v>
      </c>
      <c r="DM491">
        <v>0</v>
      </c>
      <c r="DN491">
        <v>1</v>
      </c>
      <c r="DO491">
        <v>968</v>
      </c>
      <c r="DP491">
        <v>1</v>
      </c>
      <c r="DQ491">
        <v>5</v>
      </c>
      <c r="DR491">
        <v>5</v>
      </c>
      <c r="DS491">
        <v>0</v>
      </c>
      <c r="DT491">
        <v>13</v>
      </c>
      <c r="DU491">
        <v>1</v>
      </c>
      <c r="DV491">
        <v>12</v>
      </c>
      <c r="DW491">
        <v>1</v>
      </c>
      <c r="DX491">
        <v>10</v>
      </c>
      <c r="DY491">
        <v>10</v>
      </c>
      <c r="DZ491">
        <v>952</v>
      </c>
      <c r="EA491">
        <v>0.98409999999999997</v>
      </c>
      <c r="EB491">
        <v>0.98419681715504703</v>
      </c>
      <c r="EC491">
        <v>0.98398520429453995</v>
      </c>
      <c r="ED491">
        <v>0.98396626899814099</v>
      </c>
      <c r="EE491">
        <f>SUM(Table1[[#This Row],[ratio_0]:[ratio_9]])</f>
        <v>820</v>
      </c>
      <c r="EF491" s="1">
        <f>(Table1[[#This Row],[predicted_0]]-Table1[[#This Row],[actual_0]])/Table1[[#This Row],[actual_0]]</f>
        <v>5.1020408163265302E-3</v>
      </c>
      <c r="EG491" s="1">
        <f>(Table1[[#This Row],[predicted_1]]-Table1[[#This Row],[actual_1]])/Table1[[#This Row],[actual_1]]</f>
        <v>1.145374449339207E-2</v>
      </c>
      <c r="EH491" s="1">
        <f>(Table1[[#This Row],[predicted_2]]-Table1[[#This Row],[actual_2]])/Table1[[#This Row],[actual_2]]</f>
        <v>1.2596899224806201E-2</v>
      </c>
      <c r="EI491" s="1">
        <f>(Table1[[#This Row],[predicted_3]]-Table1[[#This Row],[actual_3]])/Table1[[#This Row],[actual_3]]</f>
        <v>1.6831683168316833E-2</v>
      </c>
      <c r="EJ491" s="1">
        <f>(Table1[[#This Row],[predicted_4]]-Table1[[#This Row],[actual_4]])/Table1[[#This Row],[actual_4]]</f>
        <v>-4.0733197556008148E-2</v>
      </c>
      <c r="EK491" s="1">
        <f>(Table1[[#This Row],[predicted_5]]-Table1[[#This Row],[actual_5]])/Table1[[#This Row],[actual_5]]</f>
        <v>1.1210762331838564E-2</v>
      </c>
      <c r="EL491" s="1">
        <f>(Table1[[#This Row],[predicted_6]]-Table1[[#This Row],[actual_6]])/Table1[[#This Row],[actual_6]]</f>
        <v>1.0438413361169101E-3</v>
      </c>
      <c r="EM491" s="1">
        <f>(Table1[[#This Row],[predicted_7]]-Table1[[#This Row],[actual_7]])/Table1[[#This Row],[actual_7]]</f>
        <v>1.1673151750972763E-2</v>
      </c>
      <c r="EN491" s="1">
        <f>(Table1[[#This Row],[predicted_8]]-Table1[[#This Row],[actual_8]])/Table1[[#This Row],[actual_8]]</f>
        <v>1.6427104722792608E-2</v>
      </c>
      <c r="EO491" s="1">
        <f>(Table1[[#This Row],[predicted_9]]-Table1[[#This Row],[actual_9]])/Table1[[#This Row],[actual_9]]</f>
        <v>-4.6580773042616451E-2</v>
      </c>
      <c r="EP491" s="1">
        <f>1+(Table1[[#This Row],[error_ratio_0]]-EF$2)</f>
        <v>1.0030612244897958</v>
      </c>
      <c r="EQ491" s="1">
        <f>1+(Table1[[#This Row],[error_ratio_1]]-EG$2)</f>
        <v>1.0096916299559471</v>
      </c>
      <c r="ER491" s="1">
        <f>1+(Table1[[#This Row],[error_ratio_2]]-EH$2)</f>
        <v>1.0174418604651163</v>
      </c>
      <c r="ES491" s="1">
        <f>1+(Table1[[#This Row],[error_ratio_3]]-EI$2)</f>
        <v>1.0069306930693069</v>
      </c>
      <c r="ET491" s="1">
        <f>1+(Table1[[#This Row],[error_ratio_4]]-EJ$2)</f>
        <v>0.9582484725050916</v>
      </c>
      <c r="EU491" s="1">
        <f>1+(Table1[[#This Row],[error_ratio_5]]-EK$2)</f>
        <v>1.0100896860986548</v>
      </c>
      <c r="EV491" s="1">
        <f>1+(Table1[[#This Row],[error_ratio_6]]-EL$2)</f>
        <v>1.0073068893528183</v>
      </c>
      <c r="EW491" s="1">
        <f>1+(Table1[[#This Row],[error_ratio_7]]-EM$2)</f>
        <v>1.0097276264591439</v>
      </c>
      <c r="EX491" s="1">
        <f>1+(Table1[[#This Row],[error_ratio_8]]-EN$2)</f>
        <v>1.0195071868583163</v>
      </c>
      <c r="EY491" s="1">
        <f>1+(Table1[[#This Row],[error_ratio_9]]-EO$2)</f>
        <v>0.95738354806739345</v>
      </c>
    </row>
    <row r="492" spans="1:155" x14ac:dyDescent="0.75">
      <c r="A492">
        <v>10</v>
      </c>
      <c r="B492">
        <v>100</v>
      </c>
      <c r="C492">
        <v>100</v>
      </c>
      <c r="D492">
        <v>100</v>
      </c>
      <c r="E492">
        <v>10</v>
      </c>
      <c r="F492">
        <v>100</v>
      </c>
      <c r="G492">
        <v>100</v>
      </c>
      <c r="H492">
        <v>100</v>
      </c>
      <c r="I492">
        <v>100</v>
      </c>
      <c r="J492">
        <v>10</v>
      </c>
      <c r="K492">
        <v>959</v>
      </c>
      <c r="L492">
        <v>1163</v>
      </c>
      <c r="M492">
        <v>1027</v>
      </c>
      <c r="N492">
        <v>1032</v>
      </c>
      <c r="O492">
        <v>920</v>
      </c>
      <c r="P492">
        <v>898</v>
      </c>
      <c r="Q492">
        <v>989</v>
      </c>
      <c r="R492">
        <v>1013</v>
      </c>
      <c r="S492">
        <v>1056</v>
      </c>
      <c r="T492">
        <v>943</v>
      </c>
      <c r="U492">
        <v>980</v>
      </c>
      <c r="V492">
        <v>1135</v>
      </c>
      <c r="W492">
        <v>1032</v>
      </c>
      <c r="X492">
        <v>1010</v>
      </c>
      <c r="Y492">
        <v>982</v>
      </c>
      <c r="Z492">
        <v>892</v>
      </c>
      <c r="AA492">
        <v>958</v>
      </c>
      <c r="AB492">
        <v>1028</v>
      </c>
      <c r="AC492">
        <v>974</v>
      </c>
      <c r="AD492">
        <v>1009</v>
      </c>
      <c r="AE492">
        <v>950</v>
      </c>
      <c r="AF492">
        <v>0</v>
      </c>
      <c r="AG492">
        <v>3</v>
      </c>
      <c r="AH492">
        <v>0</v>
      </c>
      <c r="AI492">
        <v>0</v>
      </c>
      <c r="AJ492">
        <v>1</v>
      </c>
      <c r="AK492">
        <v>16</v>
      </c>
      <c r="AL492">
        <v>2</v>
      </c>
      <c r="AM492">
        <v>8</v>
      </c>
      <c r="AN492">
        <v>0</v>
      </c>
      <c r="AO492">
        <v>0</v>
      </c>
      <c r="AP492">
        <v>1129</v>
      </c>
      <c r="AQ492">
        <v>0</v>
      </c>
      <c r="AR492">
        <v>1</v>
      </c>
      <c r="AS492">
        <v>0</v>
      </c>
      <c r="AT492">
        <v>3</v>
      </c>
      <c r="AU492">
        <v>2</v>
      </c>
      <c r="AV492">
        <v>0</v>
      </c>
      <c r="AW492">
        <v>0</v>
      </c>
      <c r="AX492">
        <v>0</v>
      </c>
      <c r="AY492">
        <v>1</v>
      </c>
      <c r="AZ492">
        <v>8</v>
      </c>
      <c r="BA492">
        <v>1009</v>
      </c>
      <c r="BB492">
        <v>1</v>
      </c>
      <c r="BC492">
        <v>0</v>
      </c>
      <c r="BD492">
        <v>0</v>
      </c>
      <c r="BE492">
        <v>5</v>
      </c>
      <c r="BF492">
        <v>5</v>
      </c>
      <c r="BG492">
        <v>3</v>
      </c>
      <c r="BH492">
        <v>0</v>
      </c>
      <c r="BI492">
        <v>0</v>
      </c>
      <c r="BJ492">
        <v>0</v>
      </c>
      <c r="BK492">
        <v>1</v>
      </c>
      <c r="BL492">
        <v>1001</v>
      </c>
      <c r="BM492">
        <v>0</v>
      </c>
      <c r="BN492">
        <v>3</v>
      </c>
      <c r="BO492">
        <v>0</v>
      </c>
      <c r="BP492">
        <v>0</v>
      </c>
      <c r="BQ492">
        <v>5</v>
      </c>
      <c r="BR492">
        <v>0</v>
      </c>
      <c r="BS492">
        <v>0</v>
      </c>
      <c r="BT492">
        <v>11</v>
      </c>
      <c r="BU492">
        <v>4</v>
      </c>
      <c r="BV492">
        <v>0</v>
      </c>
      <c r="BW492">
        <v>917</v>
      </c>
      <c r="BX492">
        <v>0</v>
      </c>
      <c r="BY492">
        <v>7</v>
      </c>
      <c r="BZ492">
        <v>4</v>
      </c>
      <c r="CA492">
        <v>17</v>
      </c>
      <c r="CB492">
        <v>22</v>
      </c>
      <c r="CC492">
        <v>0</v>
      </c>
      <c r="CD492">
        <v>0</v>
      </c>
      <c r="CE492">
        <v>0</v>
      </c>
      <c r="CF492">
        <v>10</v>
      </c>
      <c r="CG492">
        <v>0</v>
      </c>
      <c r="CH492">
        <v>874</v>
      </c>
      <c r="CI492">
        <v>5</v>
      </c>
      <c r="CJ492">
        <v>0</v>
      </c>
      <c r="CK492">
        <v>3</v>
      </c>
      <c r="CL492">
        <v>0</v>
      </c>
      <c r="CM492">
        <v>0</v>
      </c>
      <c r="CN492">
        <v>1</v>
      </c>
      <c r="CO492">
        <v>0</v>
      </c>
      <c r="CP492">
        <v>0</v>
      </c>
      <c r="CQ492">
        <v>1</v>
      </c>
      <c r="CR492">
        <v>3</v>
      </c>
      <c r="CS492">
        <v>953</v>
      </c>
      <c r="CT492">
        <v>0</v>
      </c>
      <c r="CU492">
        <v>0</v>
      </c>
      <c r="CV492">
        <v>0</v>
      </c>
      <c r="CW492">
        <v>1</v>
      </c>
      <c r="CX492">
        <v>9</v>
      </c>
      <c r="CY492">
        <v>9</v>
      </c>
      <c r="CZ492">
        <v>5</v>
      </c>
      <c r="DA492">
        <v>0</v>
      </c>
      <c r="DB492">
        <v>1</v>
      </c>
      <c r="DC492">
        <v>0</v>
      </c>
      <c r="DD492">
        <v>996</v>
      </c>
      <c r="DE492">
        <v>5</v>
      </c>
      <c r="DF492">
        <v>2</v>
      </c>
      <c r="DG492">
        <v>0</v>
      </c>
      <c r="DH492">
        <v>0</v>
      </c>
      <c r="DI492">
        <v>1</v>
      </c>
      <c r="DJ492">
        <v>0</v>
      </c>
      <c r="DK492">
        <v>0</v>
      </c>
      <c r="DL492">
        <v>1</v>
      </c>
      <c r="DM492">
        <v>0</v>
      </c>
      <c r="DN492">
        <v>1</v>
      </c>
      <c r="DO492">
        <v>971</v>
      </c>
      <c r="DP492">
        <v>0</v>
      </c>
      <c r="DQ492">
        <v>7</v>
      </c>
      <c r="DR492">
        <v>5</v>
      </c>
      <c r="DS492">
        <v>0</v>
      </c>
      <c r="DT492">
        <v>14</v>
      </c>
      <c r="DU492">
        <v>2</v>
      </c>
      <c r="DV492">
        <v>12</v>
      </c>
      <c r="DW492">
        <v>1</v>
      </c>
      <c r="DX492">
        <v>5</v>
      </c>
      <c r="DY492">
        <v>44</v>
      </c>
      <c r="DZ492">
        <v>919</v>
      </c>
      <c r="EA492">
        <v>0.97189999999999999</v>
      </c>
      <c r="EB492">
        <v>0.97247026681514404</v>
      </c>
      <c r="EC492">
        <v>0.97179079620087505</v>
      </c>
      <c r="ED492">
        <v>0.97169460838993804</v>
      </c>
      <c r="EE492">
        <f>SUM(Table1[[#This Row],[ratio_0]:[ratio_9]])</f>
        <v>730</v>
      </c>
      <c r="EF492" s="1">
        <f>(Table1[[#This Row],[predicted_0]]-Table1[[#This Row],[actual_0]])/Table1[[#This Row],[actual_0]]</f>
        <v>-2.1428571428571429E-2</v>
      </c>
      <c r="EG492" s="1">
        <f>(Table1[[#This Row],[predicted_1]]-Table1[[#This Row],[actual_1]])/Table1[[#This Row],[actual_1]]</f>
        <v>2.4669603524229075E-2</v>
      </c>
      <c r="EH492" s="1">
        <f>(Table1[[#This Row],[predicted_2]]-Table1[[#This Row],[actual_2]])/Table1[[#This Row],[actual_2]]</f>
        <v>-4.8449612403100775E-3</v>
      </c>
      <c r="EI492" s="1">
        <f>(Table1[[#This Row],[predicted_3]]-Table1[[#This Row],[actual_3]])/Table1[[#This Row],[actual_3]]</f>
        <v>2.1782178217821781E-2</v>
      </c>
      <c r="EJ492" s="1">
        <f>(Table1[[#This Row],[predicted_4]]-Table1[[#This Row],[actual_4]])/Table1[[#This Row],[actual_4]]</f>
        <v>-6.313645621181263E-2</v>
      </c>
      <c r="EK492" s="1">
        <f>(Table1[[#This Row],[predicted_5]]-Table1[[#This Row],[actual_5]])/Table1[[#This Row],[actual_5]]</f>
        <v>6.7264573991031393E-3</v>
      </c>
      <c r="EL492" s="1">
        <f>(Table1[[#This Row],[predicted_6]]-Table1[[#This Row],[actual_6]])/Table1[[#This Row],[actual_6]]</f>
        <v>3.2359081419624215E-2</v>
      </c>
      <c r="EM492" s="1">
        <f>(Table1[[#This Row],[predicted_7]]-Table1[[#This Row],[actual_7]])/Table1[[#This Row],[actual_7]]</f>
        <v>-1.4591439688715954E-2</v>
      </c>
      <c r="EN492" s="1">
        <f>(Table1[[#This Row],[predicted_8]]-Table1[[#This Row],[actual_8]])/Table1[[#This Row],[actual_8]]</f>
        <v>8.4188911704312114E-2</v>
      </c>
      <c r="EO492" s="1">
        <f>(Table1[[#This Row],[predicted_9]]-Table1[[#This Row],[actual_9]])/Table1[[#This Row],[actual_9]]</f>
        <v>-6.5411298315163527E-2</v>
      </c>
      <c r="EP492" s="1">
        <f>1+(Table1[[#This Row],[error_ratio_0]]-EF$2)</f>
        <v>0.97653061224489801</v>
      </c>
      <c r="EQ492" s="1">
        <f>1+(Table1[[#This Row],[error_ratio_1]]-EG$2)</f>
        <v>1.0229074889867842</v>
      </c>
      <c r="ER492" s="1">
        <f>1+(Table1[[#This Row],[error_ratio_2]]-EH$2)</f>
        <v>1</v>
      </c>
      <c r="ES492" s="1">
        <f>1+(Table1[[#This Row],[error_ratio_3]]-EI$2)</f>
        <v>1.0118811881188119</v>
      </c>
      <c r="ET492" s="1">
        <f>1+(Table1[[#This Row],[error_ratio_4]]-EJ$2)</f>
        <v>0.93584521384928721</v>
      </c>
      <c r="EU492" s="1">
        <f>1+(Table1[[#This Row],[error_ratio_5]]-EK$2)</f>
        <v>1.0056053811659194</v>
      </c>
      <c r="EV492" s="1">
        <f>1+(Table1[[#This Row],[error_ratio_6]]-EL$2)</f>
        <v>1.0386221294363256</v>
      </c>
      <c r="EW492" s="1">
        <f>1+(Table1[[#This Row],[error_ratio_7]]-EM$2)</f>
        <v>0.9834630350194552</v>
      </c>
      <c r="EX492" s="1">
        <f>1+(Table1[[#This Row],[error_ratio_8]]-EN$2)</f>
        <v>1.0872689938398357</v>
      </c>
      <c r="EY492" s="1">
        <f>1+(Table1[[#This Row],[error_ratio_9]]-EO$2)</f>
        <v>0.93855302279484643</v>
      </c>
    </row>
    <row r="493" spans="1:155" x14ac:dyDescent="0.75">
      <c r="A493">
        <v>10</v>
      </c>
      <c r="B493">
        <v>10</v>
      </c>
      <c r="C493">
        <v>100</v>
      </c>
      <c r="D493">
        <v>100</v>
      </c>
      <c r="E493">
        <v>10</v>
      </c>
      <c r="F493">
        <v>100</v>
      </c>
      <c r="G493">
        <v>100</v>
      </c>
      <c r="H493">
        <v>100</v>
      </c>
      <c r="I493">
        <v>100</v>
      </c>
      <c r="J493">
        <v>10</v>
      </c>
      <c r="K493">
        <v>961</v>
      </c>
      <c r="L493">
        <v>1110</v>
      </c>
      <c r="M493">
        <v>1027</v>
      </c>
      <c r="N493">
        <v>1035</v>
      </c>
      <c r="O493">
        <v>927</v>
      </c>
      <c r="P493">
        <v>898</v>
      </c>
      <c r="Q493">
        <v>978</v>
      </c>
      <c r="R493">
        <v>1083</v>
      </c>
      <c r="S493">
        <v>994</v>
      </c>
      <c r="T493">
        <v>987</v>
      </c>
      <c r="U493">
        <v>980</v>
      </c>
      <c r="V493">
        <v>1135</v>
      </c>
      <c r="W493">
        <v>1032</v>
      </c>
      <c r="X493">
        <v>1010</v>
      </c>
      <c r="Y493">
        <v>982</v>
      </c>
      <c r="Z493">
        <v>892</v>
      </c>
      <c r="AA493">
        <v>958</v>
      </c>
      <c r="AB493">
        <v>1028</v>
      </c>
      <c r="AC493">
        <v>974</v>
      </c>
      <c r="AD493">
        <v>1009</v>
      </c>
      <c r="AE493">
        <v>954</v>
      </c>
      <c r="AF493">
        <v>0</v>
      </c>
      <c r="AG493">
        <v>2</v>
      </c>
      <c r="AH493">
        <v>0</v>
      </c>
      <c r="AI493">
        <v>0</v>
      </c>
      <c r="AJ493">
        <v>1</v>
      </c>
      <c r="AK493">
        <v>12</v>
      </c>
      <c r="AL493">
        <v>4</v>
      </c>
      <c r="AM493">
        <v>6</v>
      </c>
      <c r="AN493">
        <v>1</v>
      </c>
      <c r="AO493">
        <v>0</v>
      </c>
      <c r="AP493">
        <v>1105</v>
      </c>
      <c r="AQ493">
        <v>1</v>
      </c>
      <c r="AR493">
        <v>9</v>
      </c>
      <c r="AS493">
        <v>0</v>
      </c>
      <c r="AT493">
        <v>1</v>
      </c>
      <c r="AU493">
        <v>2</v>
      </c>
      <c r="AV493">
        <v>12</v>
      </c>
      <c r="AW493">
        <v>5</v>
      </c>
      <c r="AX493">
        <v>0</v>
      </c>
      <c r="AY493">
        <v>0</v>
      </c>
      <c r="AZ493">
        <v>0</v>
      </c>
      <c r="BA493">
        <v>1008</v>
      </c>
      <c r="BB493">
        <v>1</v>
      </c>
      <c r="BC493">
        <v>0</v>
      </c>
      <c r="BD493">
        <v>0</v>
      </c>
      <c r="BE493">
        <v>2</v>
      </c>
      <c r="BF493">
        <v>17</v>
      </c>
      <c r="BG493">
        <v>4</v>
      </c>
      <c r="BH493">
        <v>0</v>
      </c>
      <c r="BI493">
        <v>0</v>
      </c>
      <c r="BJ493">
        <v>0</v>
      </c>
      <c r="BK493">
        <v>1</v>
      </c>
      <c r="BL493">
        <v>1004</v>
      </c>
      <c r="BM493">
        <v>0</v>
      </c>
      <c r="BN493">
        <v>2</v>
      </c>
      <c r="BO493">
        <v>0</v>
      </c>
      <c r="BP493">
        <v>1</v>
      </c>
      <c r="BQ493">
        <v>1</v>
      </c>
      <c r="BR493">
        <v>1</v>
      </c>
      <c r="BS493">
        <v>0</v>
      </c>
      <c r="BT493">
        <v>3</v>
      </c>
      <c r="BU493">
        <v>9</v>
      </c>
      <c r="BV493">
        <v>0</v>
      </c>
      <c r="BW493">
        <v>924</v>
      </c>
      <c r="BX493">
        <v>0</v>
      </c>
      <c r="BY493">
        <v>10</v>
      </c>
      <c r="BZ493">
        <v>7</v>
      </c>
      <c r="CA493">
        <v>3</v>
      </c>
      <c r="CB493">
        <v>26</v>
      </c>
      <c r="CC493">
        <v>0</v>
      </c>
      <c r="CD493">
        <v>0</v>
      </c>
      <c r="CE493">
        <v>0</v>
      </c>
      <c r="CF493">
        <v>9</v>
      </c>
      <c r="CG493">
        <v>0</v>
      </c>
      <c r="CH493">
        <v>879</v>
      </c>
      <c r="CI493">
        <v>2</v>
      </c>
      <c r="CJ493">
        <v>0</v>
      </c>
      <c r="CK493">
        <v>2</v>
      </c>
      <c r="CL493">
        <v>0</v>
      </c>
      <c r="CM493">
        <v>4</v>
      </c>
      <c r="CN493">
        <v>2</v>
      </c>
      <c r="CO493">
        <v>0</v>
      </c>
      <c r="CP493">
        <v>0</v>
      </c>
      <c r="CQ493">
        <v>1</v>
      </c>
      <c r="CR493">
        <v>3</v>
      </c>
      <c r="CS493">
        <v>946</v>
      </c>
      <c r="CT493">
        <v>0</v>
      </c>
      <c r="CU493">
        <v>2</v>
      </c>
      <c r="CV493">
        <v>0</v>
      </c>
      <c r="CW493">
        <v>1</v>
      </c>
      <c r="CX493">
        <v>0</v>
      </c>
      <c r="CY493">
        <v>2</v>
      </c>
      <c r="CZ493">
        <v>1</v>
      </c>
      <c r="DA493">
        <v>0</v>
      </c>
      <c r="DB493">
        <v>0</v>
      </c>
      <c r="DC493">
        <v>0</v>
      </c>
      <c r="DD493">
        <v>1024</v>
      </c>
      <c r="DE493">
        <v>0</v>
      </c>
      <c r="DF493">
        <v>0</v>
      </c>
      <c r="DG493">
        <v>0</v>
      </c>
      <c r="DH493">
        <v>0</v>
      </c>
      <c r="DI493">
        <v>3</v>
      </c>
      <c r="DJ493">
        <v>1</v>
      </c>
      <c r="DK493">
        <v>0</v>
      </c>
      <c r="DL493">
        <v>2</v>
      </c>
      <c r="DM493">
        <v>0</v>
      </c>
      <c r="DN493">
        <v>4</v>
      </c>
      <c r="DO493">
        <v>960</v>
      </c>
      <c r="DP493">
        <v>4</v>
      </c>
      <c r="DQ493">
        <v>2</v>
      </c>
      <c r="DR493">
        <v>0</v>
      </c>
      <c r="DS493">
        <v>1</v>
      </c>
      <c r="DT493">
        <v>10</v>
      </c>
      <c r="DU493">
        <v>2</v>
      </c>
      <c r="DV493">
        <v>10</v>
      </c>
      <c r="DW493">
        <v>4</v>
      </c>
      <c r="DX493">
        <v>14</v>
      </c>
      <c r="DY493">
        <v>11</v>
      </c>
      <c r="DZ493">
        <v>955</v>
      </c>
      <c r="EA493">
        <v>0.97589999999999999</v>
      </c>
      <c r="EB493">
        <v>0.97615400155695597</v>
      </c>
      <c r="EC493">
        <v>0.97598949359582898</v>
      </c>
      <c r="ED493">
        <v>0.97585530576927904</v>
      </c>
      <c r="EE493">
        <f>SUM(Table1[[#This Row],[ratio_0]:[ratio_9]])</f>
        <v>640</v>
      </c>
      <c r="EF493" s="1">
        <f>(Table1[[#This Row],[predicted_0]]-Table1[[#This Row],[actual_0]])/Table1[[#This Row],[actual_0]]</f>
        <v>-1.9387755102040816E-2</v>
      </c>
      <c r="EG493" s="1">
        <f>(Table1[[#This Row],[predicted_1]]-Table1[[#This Row],[actual_1]])/Table1[[#This Row],[actual_1]]</f>
        <v>-2.2026431718061675E-2</v>
      </c>
      <c r="EH493" s="1">
        <f>(Table1[[#This Row],[predicted_2]]-Table1[[#This Row],[actual_2]])/Table1[[#This Row],[actual_2]]</f>
        <v>-4.8449612403100775E-3</v>
      </c>
      <c r="EI493" s="1">
        <f>(Table1[[#This Row],[predicted_3]]-Table1[[#This Row],[actual_3]])/Table1[[#This Row],[actual_3]]</f>
        <v>2.4752475247524754E-2</v>
      </c>
      <c r="EJ493" s="1">
        <f>(Table1[[#This Row],[predicted_4]]-Table1[[#This Row],[actual_4]])/Table1[[#This Row],[actual_4]]</f>
        <v>-5.6008146639511203E-2</v>
      </c>
      <c r="EK493" s="1">
        <f>(Table1[[#This Row],[predicted_5]]-Table1[[#This Row],[actual_5]])/Table1[[#This Row],[actual_5]]</f>
        <v>6.7264573991031393E-3</v>
      </c>
      <c r="EL493" s="1">
        <f>(Table1[[#This Row],[predicted_6]]-Table1[[#This Row],[actual_6]])/Table1[[#This Row],[actual_6]]</f>
        <v>2.0876826722338204E-2</v>
      </c>
      <c r="EM493" s="1">
        <f>(Table1[[#This Row],[predicted_7]]-Table1[[#This Row],[actual_7]])/Table1[[#This Row],[actual_7]]</f>
        <v>5.3501945525291826E-2</v>
      </c>
      <c r="EN493" s="1">
        <f>(Table1[[#This Row],[predicted_8]]-Table1[[#This Row],[actual_8]])/Table1[[#This Row],[actual_8]]</f>
        <v>2.0533880903490759E-2</v>
      </c>
      <c r="EO493" s="1">
        <f>(Table1[[#This Row],[predicted_9]]-Table1[[#This Row],[actual_9]])/Table1[[#This Row],[actual_9]]</f>
        <v>-2.1803766105054509E-2</v>
      </c>
      <c r="EP493" s="1">
        <f>1+(Table1[[#This Row],[error_ratio_0]]-EF$2)</f>
        <v>0.97857142857142854</v>
      </c>
      <c r="EQ493" s="1">
        <f>1+(Table1[[#This Row],[error_ratio_1]]-EG$2)</f>
        <v>0.97621145374449336</v>
      </c>
      <c r="ER493" s="1">
        <f>1+(Table1[[#This Row],[error_ratio_2]]-EH$2)</f>
        <v>1</v>
      </c>
      <c r="ES493" s="1">
        <f>1+(Table1[[#This Row],[error_ratio_3]]-EI$2)</f>
        <v>1.0148514851485149</v>
      </c>
      <c r="ET493" s="1">
        <f>1+(Table1[[#This Row],[error_ratio_4]]-EJ$2)</f>
        <v>0.94297352342158858</v>
      </c>
      <c r="EU493" s="1">
        <f>1+(Table1[[#This Row],[error_ratio_5]]-EK$2)</f>
        <v>1.0056053811659194</v>
      </c>
      <c r="EV493" s="1">
        <f>1+(Table1[[#This Row],[error_ratio_6]]-EL$2)</f>
        <v>1.0271398747390397</v>
      </c>
      <c r="EW493" s="1">
        <f>1+(Table1[[#This Row],[error_ratio_7]]-EM$2)</f>
        <v>1.0515564202334631</v>
      </c>
      <c r="EX493" s="1">
        <f>1+(Table1[[#This Row],[error_ratio_8]]-EN$2)</f>
        <v>1.0236139630390144</v>
      </c>
      <c r="EY493" s="1">
        <f>1+(Table1[[#This Row],[error_ratio_9]]-EO$2)</f>
        <v>0.98216055500495536</v>
      </c>
    </row>
    <row r="494" spans="1:155" x14ac:dyDescent="0.75">
      <c r="A494">
        <v>100</v>
      </c>
      <c r="B494">
        <v>10</v>
      </c>
      <c r="C494">
        <v>10</v>
      </c>
      <c r="D494">
        <v>100</v>
      </c>
      <c r="E494">
        <v>10</v>
      </c>
      <c r="F494">
        <v>100</v>
      </c>
      <c r="G494">
        <v>100</v>
      </c>
      <c r="H494">
        <v>100</v>
      </c>
      <c r="I494">
        <v>100</v>
      </c>
      <c r="J494">
        <v>10</v>
      </c>
      <c r="K494">
        <v>996</v>
      </c>
      <c r="L494">
        <v>1129</v>
      </c>
      <c r="M494">
        <v>981</v>
      </c>
      <c r="N494">
        <v>1030</v>
      </c>
      <c r="O494">
        <v>942</v>
      </c>
      <c r="P494">
        <v>890</v>
      </c>
      <c r="Q494">
        <v>963</v>
      </c>
      <c r="R494">
        <v>1051</v>
      </c>
      <c r="S494">
        <v>1018</v>
      </c>
      <c r="T494">
        <v>1000</v>
      </c>
      <c r="U494">
        <v>980</v>
      </c>
      <c r="V494">
        <v>1135</v>
      </c>
      <c r="W494">
        <v>1032</v>
      </c>
      <c r="X494">
        <v>1010</v>
      </c>
      <c r="Y494">
        <v>982</v>
      </c>
      <c r="Z494">
        <v>892</v>
      </c>
      <c r="AA494">
        <v>958</v>
      </c>
      <c r="AB494">
        <v>1028</v>
      </c>
      <c r="AC494">
        <v>974</v>
      </c>
      <c r="AD494">
        <v>1009</v>
      </c>
      <c r="AE494">
        <v>972</v>
      </c>
      <c r="AF494">
        <v>0</v>
      </c>
      <c r="AG494">
        <v>0</v>
      </c>
      <c r="AH494">
        <v>0</v>
      </c>
      <c r="AI494">
        <v>0</v>
      </c>
      <c r="AJ494">
        <v>0</v>
      </c>
      <c r="AK494">
        <v>1</v>
      </c>
      <c r="AL494">
        <v>1</v>
      </c>
      <c r="AM494">
        <v>3</v>
      </c>
      <c r="AN494">
        <v>3</v>
      </c>
      <c r="AO494">
        <v>0</v>
      </c>
      <c r="AP494">
        <v>1117</v>
      </c>
      <c r="AQ494">
        <v>0</v>
      </c>
      <c r="AR494">
        <v>7</v>
      </c>
      <c r="AS494">
        <v>0</v>
      </c>
      <c r="AT494">
        <v>3</v>
      </c>
      <c r="AU494">
        <v>3</v>
      </c>
      <c r="AV494">
        <v>0</v>
      </c>
      <c r="AW494">
        <v>5</v>
      </c>
      <c r="AX494">
        <v>0</v>
      </c>
      <c r="AY494">
        <v>8</v>
      </c>
      <c r="AZ494">
        <v>1</v>
      </c>
      <c r="BA494">
        <v>975</v>
      </c>
      <c r="BB494">
        <v>9</v>
      </c>
      <c r="BC494">
        <v>2</v>
      </c>
      <c r="BD494">
        <v>0</v>
      </c>
      <c r="BE494">
        <v>5</v>
      </c>
      <c r="BF494">
        <v>16</v>
      </c>
      <c r="BG494">
        <v>16</v>
      </c>
      <c r="BH494">
        <v>0</v>
      </c>
      <c r="BI494">
        <v>0</v>
      </c>
      <c r="BJ494">
        <v>0</v>
      </c>
      <c r="BK494">
        <v>1</v>
      </c>
      <c r="BL494">
        <v>998</v>
      </c>
      <c r="BM494">
        <v>0</v>
      </c>
      <c r="BN494">
        <v>2</v>
      </c>
      <c r="BO494">
        <v>0</v>
      </c>
      <c r="BP494">
        <v>4</v>
      </c>
      <c r="BQ494">
        <v>4</v>
      </c>
      <c r="BR494">
        <v>1</v>
      </c>
      <c r="BS494">
        <v>2</v>
      </c>
      <c r="BT494">
        <v>2</v>
      </c>
      <c r="BU494">
        <v>2</v>
      </c>
      <c r="BV494">
        <v>0</v>
      </c>
      <c r="BW494">
        <v>930</v>
      </c>
      <c r="BX494">
        <v>0</v>
      </c>
      <c r="BY494">
        <v>7</v>
      </c>
      <c r="BZ494">
        <v>6</v>
      </c>
      <c r="CA494">
        <v>8</v>
      </c>
      <c r="CB494">
        <v>25</v>
      </c>
      <c r="CC494">
        <v>2</v>
      </c>
      <c r="CD494">
        <v>0</v>
      </c>
      <c r="CE494">
        <v>0</v>
      </c>
      <c r="CF494">
        <v>6</v>
      </c>
      <c r="CG494">
        <v>0</v>
      </c>
      <c r="CH494">
        <v>878</v>
      </c>
      <c r="CI494">
        <v>1</v>
      </c>
      <c r="CJ494">
        <v>1</v>
      </c>
      <c r="CK494">
        <v>4</v>
      </c>
      <c r="CL494">
        <v>0</v>
      </c>
      <c r="CM494">
        <v>6</v>
      </c>
      <c r="CN494">
        <v>2</v>
      </c>
      <c r="CO494">
        <v>0</v>
      </c>
      <c r="CP494">
        <v>0</v>
      </c>
      <c r="CQ494">
        <v>1</v>
      </c>
      <c r="CR494">
        <v>2</v>
      </c>
      <c r="CS494">
        <v>945</v>
      </c>
      <c r="CT494">
        <v>0</v>
      </c>
      <c r="CU494">
        <v>1</v>
      </c>
      <c r="CV494">
        <v>1</v>
      </c>
      <c r="CW494">
        <v>1</v>
      </c>
      <c r="CX494">
        <v>3</v>
      </c>
      <c r="CY494">
        <v>2</v>
      </c>
      <c r="CZ494">
        <v>1</v>
      </c>
      <c r="DA494">
        <v>0</v>
      </c>
      <c r="DB494">
        <v>0</v>
      </c>
      <c r="DC494">
        <v>0</v>
      </c>
      <c r="DD494">
        <v>1014</v>
      </c>
      <c r="DE494">
        <v>3</v>
      </c>
      <c r="DF494">
        <v>4</v>
      </c>
      <c r="DG494">
        <v>1</v>
      </c>
      <c r="DH494">
        <v>0</v>
      </c>
      <c r="DI494">
        <v>1</v>
      </c>
      <c r="DJ494">
        <v>0</v>
      </c>
      <c r="DK494">
        <v>2</v>
      </c>
      <c r="DL494">
        <v>1</v>
      </c>
      <c r="DM494">
        <v>1</v>
      </c>
      <c r="DN494">
        <v>2</v>
      </c>
      <c r="DO494">
        <v>963</v>
      </c>
      <c r="DP494">
        <v>3</v>
      </c>
      <c r="DQ494">
        <v>4</v>
      </c>
      <c r="DR494">
        <v>4</v>
      </c>
      <c r="DS494">
        <v>0</v>
      </c>
      <c r="DT494">
        <v>9</v>
      </c>
      <c r="DU494">
        <v>7</v>
      </c>
      <c r="DV494">
        <v>4</v>
      </c>
      <c r="DW494">
        <v>0</v>
      </c>
      <c r="DX494">
        <v>7</v>
      </c>
      <c r="DY494">
        <v>11</v>
      </c>
      <c r="DZ494">
        <v>963</v>
      </c>
      <c r="EA494">
        <v>0.97550000000000003</v>
      </c>
      <c r="EB494">
        <v>0.97569449098847805</v>
      </c>
      <c r="EC494">
        <v>0.97561437918367799</v>
      </c>
      <c r="ED494">
        <v>0.97547201340206302</v>
      </c>
      <c r="EE494">
        <f>SUM(Table1[[#This Row],[ratio_0]:[ratio_9]])</f>
        <v>640</v>
      </c>
      <c r="EF494" s="1">
        <f>(Table1[[#This Row],[predicted_0]]-Table1[[#This Row],[actual_0]])/Table1[[#This Row],[actual_0]]</f>
        <v>1.6326530612244899E-2</v>
      </c>
      <c r="EG494" s="1">
        <f>(Table1[[#This Row],[predicted_1]]-Table1[[#This Row],[actual_1]])/Table1[[#This Row],[actual_1]]</f>
        <v>-5.2863436123348016E-3</v>
      </c>
      <c r="EH494" s="1">
        <f>(Table1[[#This Row],[predicted_2]]-Table1[[#This Row],[actual_2]])/Table1[[#This Row],[actual_2]]</f>
        <v>-4.9418604651162788E-2</v>
      </c>
      <c r="EI494" s="1">
        <f>(Table1[[#This Row],[predicted_3]]-Table1[[#This Row],[actual_3]])/Table1[[#This Row],[actual_3]]</f>
        <v>1.9801980198019802E-2</v>
      </c>
      <c r="EJ494" s="1">
        <f>(Table1[[#This Row],[predicted_4]]-Table1[[#This Row],[actual_4]])/Table1[[#This Row],[actual_4]]</f>
        <v>-4.0733197556008148E-2</v>
      </c>
      <c r="EK494" s="1">
        <f>(Table1[[#This Row],[predicted_5]]-Table1[[#This Row],[actual_5]])/Table1[[#This Row],[actual_5]]</f>
        <v>-2.242152466367713E-3</v>
      </c>
      <c r="EL494" s="1">
        <f>(Table1[[#This Row],[predicted_6]]-Table1[[#This Row],[actual_6]])/Table1[[#This Row],[actual_6]]</f>
        <v>5.2192066805845511E-3</v>
      </c>
      <c r="EM494" s="1">
        <f>(Table1[[#This Row],[predicted_7]]-Table1[[#This Row],[actual_7]])/Table1[[#This Row],[actual_7]]</f>
        <v>2.2373540856031129E-2</v>
      </c>
      <c r="EN494" s="1">
        <f>(Table1[[#This Row],[predicted_8]]-Table1[[#This Row],[actual_8]])/Table1[[#This Row],[actual_8]]</f>
        <v>4.5174537987679675E-2</v>
      </c>
      <c r="EO494" s="1">
        <f>(Table1[[#This Row],[predicted_9]]-Table1[[#This Row],[actual_9]])/Table1[[#This Row],[actual_9]]</f>
        <v>-8.9197224975222991E-3</v>
      </c>
      <c r="EP494" s="1">
        <f>1+(Table1[[#This Row],[error_ratio_0]]-EF$2)</f>
        <v>1.0142857142857142</v>
      </c>
      <c r="EQ494" s="1">
        <f>1+(Table1[[#This Row],[error_ratio_1]]-EG$2)</f>
        <v>0.99295154185022028</v>
      </c>
      <c r="ER494" s="1">
        <f>1+(Table1[[#This Row],[error_ratio_2]]-EH$2)</f>
        <v>0.95542635658914732</v>
      </c>
      <c r="ES494" s="1">
        <f>1+(Table1[[#This Row],[error_ratio_3]]-EI$2)</f>
        <v>1.0099009900990099</v>
      </c>
      <c r="ET494" s="1">
        <f>1+(Table1[[#This Row],[error_ratio_4]]-EJ$2)</f>
        <v>0.9582484725050916</v>
      </c>
      <c r="EU494" s="1">
        <f>1+(Table1[[#This Row],[error_ratio_5]]-EK$2)</f>
        <v>0.99663677130044848</v>
      </c>
      <c r="EV494" s="1">
        <f>1+(Table1[[#This Row],[error_ratio_6]]-EL$2)</f>
        <v>1.0114822546972859</v>
      </c>
      <c r="EW494" s="1">
        <f>1+(Table1[[#This Row],[error_ratio_7]]-EM$2)</f>
        <v>1.0204280155642023</v>
      </c>
      <c r="EX494" s="1">
        <f>1+(Table1[[#This Row],[error_ratio_8]]-EN$2)</f>
        <v>1.0482546201232033</v>
      </c>
      <c r="EY494" s="1">
        <f>1+(Table1[[#This Row],[error_ratio_9]]-EO$2)</f>
        <v>0.99504459861248762</v>
      </c>
    </row>
    <row r="495" spans="1:155" x14ac:dyDescent="0.75">
      <c r="A495">
        <v>10</v>
      </c>
      <c r="B495">
        <v>10</v>
      </c>
      <c r="C495">
        <v>10</v>
      </c>
      <c r="D495">
        <v>100</v>
      </c>
      <c r="E495">
        <v>10</v>
      </c>
      <c r="F495">
        <v>100</v>
      </c>
      <c r="G495">
        <v>100</v>
      </c>
      <c r="H495">
        <v>100</v>
      </c>
      <c r="I495">
        <v>100</v>
      </c>
      <c r="J495">
        <v>10</v>
      </c>
      <c r="K495">
        <v>1002</v>
      </c>
      <c r="L495">
        <v>1107</v>
      </c>
      <c r="M495">
        <v>1027</v>
      </c>
      <c r="N495">
        <v>1043</v>
      </c>
      <c r="O495">
        <v>953</v>
      </c>
      <c r="P495">
        <v>905</v>
      </c>
      <c r="Q495">
        <v>973</v>
      </c>
      <c r="R495">
        <v>1109</v>
      </c>
      <c r="S495">
        <v>998</v>
      </c>
      <c r="T495">
        <v>883</v>
      </c>
      <c r="U495">
        <v>980</v>
      </c>
      <c r="V495">
        <v>1135</v>
      </c>
      <c r="W495">
        <v>1032</v>
      </c>
      <c r="X495">
        <v>1010</v>
      </c>
      <c r="Y495">
        <v>982</v>
      </c>
      <c r="Z495">
        <v>892</v>
      </c>
      <c r="AA495">
        <v>958</v>
      </c>
      <c r="AB495">
        <v>1028</v>
      </c>
      <c r="AC495">
        <v>974</v>
      </c>
      <c r="AD495">
        <v>1009</v>
      </c>
      <c r="AE495">
        <v>970</v>
      </c>
      <c r="AF495">
        <v>0</v>
      </c>
      <c r="AG495">
        <v>1</v>
      </c>
      <c r="AH495">
        <v>0</v>
      </c>
      <c r="AI495">
        <v>0</v>
      </c>
      <c r="AJ495">
        <v>0</v>
      </c>
      <c r="AK495">
        <v>4</v>
      </c>
      <c r="AL495">
        <v>2</v>
      </c>
      <c r="AM495">
        <v>3</v>
      </c>
      <c r="AN495">
        <v>0</v>
      </c>
      <c r="AO495">
        <v>0</v>
      </c>
      <c r="AP495">
        <v>1105</v>
      </c>
      <c r="AQ495">
        <v>5</v>
      </c>
      <c r="AR495">
        <v>5</v>
      </c>
      <c r="AS495">
        <v>0</v>
      </c>
      <c r="AT495">
        <v>3</v>
      </c>
      <c r="AU495">
        <v>4</v>
      </c>
      <c r="AV495">
        <v>7</v>
      </c>
      <c r="AW495">
        <v>6</v>
      </c>
      <c r="AX495">
        <v>0</v>
      </c>
      <c r="AY495">
        <v>7</v>
      </c>
      <c r="AZ495">
        <v>0</v>
      </c>
      <c r="BA495">
        <v>998</v>
      </c>
      <c r="BB495">
        <v>6</v>
      </c>
      <c r="BC495">
        <v>0</v>
      </c>
      <c r="BD495">
        <v>0</v>
      </c>
      <c r="BE495">
        <v>1</v>
      </c>
      <c r="BF495">
        <v>15</v>
      </c>
      <c r="BG495">
        <v>5</v>
      </c>
      <c r="BH495">
        <v>0</v>
      </c>
      <c r="BI495">
        <v>0</v>
      </c>
      <c r="BJ495">
        <v>0</v>
      </c>
      <c r="BK495">
        <v>4</v>
      </c>
      <c r="BL495">
        <v>998</v>
      </c>
      <c r="BM495">
        <v>0</v>
      </c>
      <c r="BN495">
        <v>3</v>
      </c>
      <c r="BO495">
        <v>0</v>
      </c>
      <c r="BP495">
        <v>5</v>
      </c>
      <c r="BQ495">
        <v>0</v>
      </c>
      <c r="BR495">
        <v>0</v>
      </c>
      <c r="BS495">
        <v>2</v>
      </c>
      <c r="BT495">
        <v>0</v>
      </c>
      <c r="BU495">
        <v>7</v>
      </c>
      <c r="BV495">
        <v>1</v>
      </c>
      <c r="BW495">
        <v>940</v>
      </c>
      <c r="BX495">
        <v>0</v>
      </c>
      <c r="BY495">
        <v>17</v>
      </c>
      <c r="BZ495">
        <v>7</v>
      </c>
      <c r="CA495">
        <v>3</v>
      </c>
      <c r="CB495">
        <v>5</v>
      </c>
      <c r="CC495">
        <v>3</v>
      </c>
      <c r="CD495">
        <v>0</v>
      </c>
      <c r="CE495">
        <v>0</v>
      </c>
      <c r="CF495">
        <v>7</v>
      </c>
      <c r="CG495">
        <v>0</v>
      </c>
      <c r="CH495">
        <v>879</v>
      </c>
      <c r="CI495">
        <v>2</v>
      </c>
      <c r="CJ495">
        <v>0</v>
      </c>
      <c r="CK495">
        <v>1</v>
      </c>
      <c r="CL495">
        <v>0</v>
      </c>
      <c r="CM495">
        <v>9</v>
      </c>
      <c r="CN495">
        <v>2</v>
      </c>
      <c r="CO495">
        <v>1</v>
      </c>
      <c r="CP495">
        <v>0</v>
      </c>
      <c r="CQ495">
        <v>1</v>
      </c>
      <c r="CR495">
        <v>2</v>
      </c>
      <c r="CS495">
        <v>943</v>
      </c>
      <c r="CT495">
        <v>0</v>
      </c>
      <c r="CU495">
        <v>0</v>
      </c>
      <c r="CV495">
        <v>0</v>
      </c>
      <c r="CW495">
        <v>1</v>
      </c>
      <c r="CX495">
        <v>0</v>
      </c>
      <c r="CY495">
        <v>5</v>
      </c>
      <c r="CZ495">
        <v>0</v>
      </c>
      <c r="DA495">
        <v>0</v>
      </c>
      <c r="DB495">
        <v>1</v>
      </c>
      <c r="DC495">
        <v>0</v>
      </c>
      <c r="DD495">
        <v>1020</v>
      </c>
      <c r="DE495">
        <v>1</v>
      </c>
      <c r="DF495">
        <v>0</v>
      </c>
      <c r="DG495">
        <v>4</v>
      </c>
      <c r="DH495">
        <v>0</v>
      </c>
      <c r="DI495">
        <v>3</v>
      </c>
      <c r="DJ495">
        <v>1</v>
      </c>
      <c r="DK495">
        <v>0</v>
      </c>
      <c r="DL495">
        <v>1</v>
      </c>
      <c r="DM495">
        <v>1</v>
      </c>
      <c r="DN495">
        <v>7</v>
      </c>
      <c r="DO495">
        <v>956</v>
      </c>
      <c r="DP495">
        <v>1</v>
      </c>
      <c r="DQ495">
        <v>6</v>
      </c>
      <c r="DR495">
        <v>0</v>
      </c>
      <c r="DS495">
        <v>3</v>
      </c>
      <c r="DT495">
        <v>25</v>
      </c>
      <c r="DU495">
        <v>12</v>
      </c>
      <c r="DV495">
        <v>16</v>
      </c>
      <c r="DW495">
        <v>1</v>
      </c>
      <c r="DX495">
        <v>46</v>
      </c>
      <c r="DY495">
        <v>23</v>
      </c>
      <c r="DZ495">
        <v>877</v>
      </c>
      <c r="EA495">
        <v>0.96860000000000002</v>
      </c>
      <c r="EB495">
        <v>0.969254027069132</v>
      </c>
      <c r="EC495">
        <v>0.96884506166350104</v>
      </c>
      <c r="ED495">
        <v>0.96839887025536997</v>
      </c>
      <c r="EE495">
        <f>SUM(Table1[[#This Row],[ratio_0]:[ratio_9]])</f>
        <v>550</v>
      </c>
      <c r="EF495" s="1">
        <f>(Table1[[#This Row],[predicted_0]]-Table1[[#This Row],[actual_0]])/Table1[[#This Row],[actual_0]]</f>
        <v>2.2448979591836733E-2</v>
      </c>
      <c r="EG495" s="1">
        <f>(Table1[[#This Row],[predicted_1]]-Table1[[#This Row],[actual_1]])/Table1[[#This Row],[actual_1]]</f>
        <v>-2.4669603524229075E-2</v>
      </c>
      <c r="EH495" s="1">
        <f>(Table1[[#This Row],[predicted_2]]-Table1[[#This Row],[actual_2]])/Table1[[#This Row],[actual_2]]</f>
        <v>-4.8449612403100775E-3</v>
      </c>
      <c r="EI495" s="1">
        <f>(Table1[[#This Row],[predicted_3]]-Table1[[#This Row],[actual_3]])/Table1[[#This Row],[actual_3]]</f>
        <v>3.2673267326732675E-2</v>
      </c>
      <c r="EJ495" s="1">
        <f>(Table1[[#This Row],[predicted_4]]-Table1[[#This Row],[actual_4]])/Table1[[#This Row],[actual_4]]</f>
        <v>-2.9531568228105907E-2</v>
      </c>
      <c r="EK495" s="1">
        <f>(Table1[[#This Row],[predicted_5]]-Table1[[#This Row],[actual_5]])/Table1[[#This Row],[actual_5]]</f>
        <v>1.4573991031390135E-2</v>
      </c>
      <c r="EL495" s="1">
        <f>(Table1[[#This Row],[predicted_6]]-Table1[[#This Row],[actual_6]])/Table1[[#This Row],[actual_6]]</f>
        <v>1.5657620041753653E-2</v>
      </c>
      <c r="EM495" s="1">
        <f>(Table1[[#This Row],[predicted_7]]-Table1[[#This Row],[actual_7]])/Table1[[#This Row],[actual_7]]</f>
        <v>7.8793774319066145E-2</v>
      </c>
      <c r="EN495" s="1">
        <f>(Table1[[#This Row],[predicted_8]]-Table1[[#This Row],[actual_8]])/Table1[[#This Row],[actual_8]]</f>
        <v>2.4640657084188913E-2</v>
      </c>
      <c r="EO495" s="1">
        <f>(Table1[[#This Row],[predicted_9]]-Table1[[#This Row],[actual_9]])/Table1[[#This Row],[actual_9]]</f>
        <v>-0.12487611496531219</v>
      </c>
      <c r="EP495" s="1">
        <f>1+(Table1[[#This Row],[error_ratio_0]]-EF$2)</f>
        <v>1.0204081632653061</v>
      </c>
      <c r="EQ495" s="1">
        <f>1+(Table1[[#This Row],[error_ratio_1]]-EG$2)</f>
        <v>0.97356828193832601</v>
      </c>
      <c r="ER495" s="1">
        <f>1+(Table1[[#This Row],[error_ratio_2]]-EH$2)</f>
        <v>1</v>
      </c>
      <c r="ES495" s="1">
        <f>1+(Table1[[#This Row],[error_ratio_3]]-EI$2)</f>
        <v>1.0227722772277228</v>
      </c>
      <c r="ET495" s="1">
        <f>1+(Table1[[#This Row],[error_ratio_4]]-EJ$2)</f>
        <v>0.96945010183299385</v>
      </c>
      <c r="EU495" s="1">
        <f>1+(Table1[[#This Row],[error_ratio_5]]-EK$2)</f>
        <v>1.0134529147982063</v>
      </c>
      <c r="EV495" s="1">
        <f>1+(Table1[[#This Row],[error_ratio_6]]-EL$2)</f>
        <v>1.0219206680584552</v>
      </c>
      <c r="EW495" s="1">
        <f>1+(Table1[[#This Row],[error_ratio_7]]-EM$2)</f>
        <v>1.0768482490272373</v>
      </c>
      <c r="EX495" s="1">
        <f>1+(Table1[[#This Row],[error_ratio_8]]-EN$2)</f>
        <v>1.0277207392197125</v>
      </c>
      <c r="EY495" s="1">
        <f>1+(Table1[[#This Row],[error_ratio_9]]-EO$2)</f>
        <v>0.87908820614469774</v>
      </c>
    </row>
    <row r="496" spans="1:155" x14ac:dyDescent="0.75">
      <c r="A496">
        <v>100</v>
      </c>
      <c r="B496">
        <v>100</v>
      </c>
      <c r="C496">
        <v>100</v>
      </c>
      <c r="D496">
        <v>10</v>
      </c>
      <c r="E496">
        <v>10</v>
      </c>
      <c r="F496">
        <v>100</v>
      </c>
      <c r="G496">
        <v>100</v>
      </c>
      <c r="H496">
        <v>100</v>
      </c>
      <c r="I496">
        <v>100</v>
      </c>
      <c r="J496">
        <v>10</v>
      </c>
      <c r="K496">
        <v>992</v>
      </c>
      <c r="L496">
        <v>1140</v>
      </c>
      <c r="M496">
        <v>1051</v>
      </c>
      <c r="N496">
        <v>1002</v>
      </c>
      <c r="O496">
        <v>944</v>
      </c>
      <c r="P496">
        <v>934</v>
      </c>
      <c r="Q496">
        <v>944</v>
      </c>
      <c r="R496">
        <v>1070</v>
      </c>
      <c r="S496">
        <v>984</v>
      </c>
      <c r="T496">
        <v>939</v>
      </c>
      <c r="U496">
        <v>980</v>
      </c>
      <c r="V496">
        <v>1135</v>
      </c>
      <c r="W496">
        <v>1032</v>
      </c>
      <c r="X496">
        <v>1010</v>
      </c>
      <c r="Y496">
        <v>982</v>
      </c>
      <c r="Z496">
        <v>892</v>
      </c>
      <c r="AA496">
        <v>958</v>
      </c>
      <c r="AB496">
        <v>1028</v>
      </c>
      <c r="AC496">
        <v>974</v>
      </c>
      <c r="AD496">
        <v>1009</v>
      </c>
      <c r="AE496">
        <v>972</v>
      </c>
      <c r="AF496">
        <v>1</v>
      </c>
      <c r="AG496">
        <v>2</v>
      </c>
      <c r="AH496">
        <v>0</v>
      </c>
      <c r="AI496">
        <v>0</v>
      </c>
      <c r="AJ496">
        <v>1</v>
      </c>
      <c r="AK496">
        <v>0</v>
      </c>
      <c r="AL496">
        <v>2</v>
      </c>
      <c r="AM496">
        <v>2</v>
      </c>
      <c r="AN496">
        <v>0</v>
      </c>
      <c r="AO496">
        <v>0</v>
      </c>
      <c r="AP496">
        <v>1127</v>
      </c>
      <c r="AQ496">
        <v>1</v>
      </c>
      <c r="AR496">
        <v>3</v>
      </c>
      <c r="AS496">
        <v>0</v>
      </c>
      <c r="AT496">
        <v>1</v>
      </c>
      <c r="AU496">
        <v>1</v>
      </c>
      <c r="AV496">
        <v>2</v>
      </c>
      <c r="AW496">
        <v>0</v>
      </c>
      <c r="AX496">
        <v>0</v>
      </c>
      <c r="AY496">
        <v>0</v>
      </c>
      <c r="AZ496">
        <v>3</v>
      </c>
      <c r="BA496">
        <v>1023</v>
      </c>
      <c r="BB496">
        <v>0</v>
      </c>
      <c r="BC496">
        <v>0</v>
      </c>
      <c r="BD496">
        <v>0</v>
      </c>
      <c r="BE496">
        <v>0</v>
      </c>
      <c r="BF496">
        <v>6</v>
      </c>
      <c r="BG496">
        <v>0</v>
      </c>
      <c r="BH496">
        <v>0</v>
      </c>
      <c r="BI496">
        <v>2</v>
      </c>
      <c r="BJ496">
        <v>0</v>
      </c>
      <c r="BK496">
        <v>3</v>
      </c>
      <c r="BL496">
        <v>981</v>
      </c>
      <c r="BM496">
        <v>0</v>
      </c>
      <c r="BN496">
        <v>17</v>
      </c>
      <c r="BO496">
        <v>0</v>
      </c>
      <c r="BP496">
        <v>4</v>
      </c>
      <c r="BQ496">
        <v>3</v>
      </c>
      <c r="BR496">
        <v>0</v>
      </c>
      <c r="BS496">
        <v>0</v>
      </c>
      <c r="BT496">
        <v>2</v>
      </c>
      <c r="BU496">
        <v>10</v>
      </c>
      <c r="BV496">
        <v>0</v>
      </c>
      <c r="BW496">
        <v>939</v>
      </c>
      <c r="BX496">
        <v>0</v>
      </c>
      <c r="BY496">
        <v>2</v>
      </c>
      <c r="BZ496">
        <v>17</v>
      </c>
      <c r="CA496">
        <v>5</v>
      </c>
      <c r="CB496">
        <v>7</v>
      </c>
      <c r="CC496">
        <v>2</v>
      </c>
      <c r="CD496">
        <v>0</v>
      </c>
      <c r="CE496">
        <v>0</v>
      </c>
      <c r="CF496">
        <v>4</v>
      </c>
      <c r="CG496">
        <v>0</v>
      </c>
      <c r="CH496">
        <v>885</v>
      </c>
      <c r="CI496">
        <v>1</v>
      </c>
      <c r="CJ496">
        <v>0</v>
      </c>
      <c r="CK496">
        <v>0</v>
      </c>
      <c r="CL496">
        <v>0</v>
      </c>
      <c r="CM496">
        <v>10</v>
      </c>
      <c r="CN496">
        <v>2</v>
      </c>
      <c r="CO496">
        <v>1</v>
      </c>
      <c r="CP496">
        <v>0</v>
      </c>
      <c r="CQ496">
        <v>1</v>
      </c>
      <c r="CR496">
        <v>3</v>
      </c>
      <c r="CS496">
        <v>938</v>
      </c>
      <c r="CT496">
        <v>0</v>
      </c>
      <c r="CU496">
        <v>3</v>
      </c>
      <c r="CV496">
        <v>0</v>
      </c>
      <c r="CW496">
        <v>1</v>
      </c>
      <c r="CX496">
        <v>1</v>
      </c>
      <c r="CY496">
        <v>7</v>
      </c>
      <c r="CZ496">
        <v>1</v>
      </c>
      <c r="DA496">
        <v>0</v>
      </c>
      <c r="DB496">
        <v>1</v>
      </c>
      <c r="DC496">
        <v>0</v>
      </c>
      <c r="DD496">
        <v>1016</v>
      </c>
      <c r="DE496">
        <v>1</v>
      </c>
      <c r="DF496">
        <v>0</v>
      </c>
      <c r="DG496">
        <v>2</v>
      </c>
      <c r="DH496">
        <v>0</v>
      </c>
      <c r="DI496">
        <v>3</v>
      </c>
      <c r="DJ496">
        <v>4</v>
      </c>
      <c r="DK496">
        <v>0</v>
      </c>
      <c r="DL496">
        <v>3</v>
      </c>
      <c r="DM496">
        <v>0</v>
      </c>
      <c r="DN496">
        <v>2</v>
      </c>
      <c r="DO496">
        <v>957</v>
      </c>
      <c r="DP496">
        <v>3</v>
      </c>
      <c r="DQ496">
        <v>3</v>
      </c>
      <c r="DR496">
        <v>4</v>
      </c>
      <c r="DS496">
        <v>1</v>
      </c>
      <c r="DT496">
        <v>9</v>
      </c>
      <c r="DU496">
        <v>4</v>
      </c>
      <c r="DV496">
        <v>23</v>
      </c>
      <c r="DW496">
        <v>2</v>
      </c>
      <c r="DX496">
        <v>21</v>
      </c>
      <c r="DY496">
        <v>13</v>
      </c>
      <c r="DZ496">
        <v>929</v>
      </c>
      <c r="EA496">
        <v>0.97670000000000001</v>
      </c>
      <c r="EB496">
        <v>0.97681648125550502</v>
      </c>
      <c r="EC496">
        <v>0.97664285545779295</v>
      </c>
      <c r="ED496">
        <v>0.97645649703659099</v>
      </c>
      <c r="EE496">
        <f>SUM(Table1[[#This Row],[ratio_0]:[ratio_9]])</f>
        <v>730</v>
      </c>
      <c r="EF496" s="1">
        <f>(Table1[[#This Row],[predicted_0]]-Table1[[#This Row],[actual_0]])/Table1[[#This Row],[actual_0]]</f>
        <v>1.2244897959183673E-2</v>
      </c>
      <c r="EG496" s="1">
        <f>(Table1[[#This Row],[predicted_1]]-Table1[[#This Row],[actual_1]])/Table1[[#This Row],[actual_1]]</f>
        <v>4.4052863436123352E-3</v>
      </c>
      <c r="EH496" s="1">
        <f>(Table1[[#This Row],[predicted_2]]-Table1[[#This Row],[actual_2]])/Table1[[#This Row],[actual_2]]</f>
        <v>1.8410852713178296E-2</v>
      </c>
      <c r="EI496" s="1">
        <f>(Table1[[#This Row],[predicted_3]]-Table1[[#This Row],[actual_3]])/Table1[[#This Row],[actual_3]]</f>
        <v>-7.9207920792079209E-3</v>
      </c>
      <c r="EJ496" s="1">
        <f>(Table1[[#This Row],[predicted_4]]-Table1[[#This Row],[actual_4]])/Table1[[#This Row],[actual_4]]</f>
        <v>-3.8696537678207736E-2</v>
      </c>
      <c r="EK496" s="1">
        <f>(Table1[[#This Row],[predicted_5]]-Table1[[#This Row],[actual_5]])/Table1[[#This Row],[actual_5]]</f>
        <v>4.708520179372197E-2</v>
      </c>
      <c r="EL496" s="1">
        <f>(Table1[[#This Row],[predicted_6]]-Table1[[#This Row],[actual_6]])/Table1[[#This Row],[actual_6]]</f>
        <v>-1.4613778705636743E-2</v>
      </c>
      <c r="EM496" s="1">
        <f>(Table1[[#This Row],[predicted_7]]-Table1[[#This Row],[actual_7]])/Table1[[#This Row],[actual_7]]</f>
        <v>4.085603112840467E-2</v>
      </c>
      <c r="EN496" s="1">
        <f>(Table1[[#This Row],[predicted_8]]-Table1[[#This Row],[actual_8]])/Table1[[#This Row],[actual_8]]</f>
        <v>1.0266940451745379E-2</v>
      </c>
      <c r="EO496" s="1">
        <f>(Table1[[#This Row],[predicted_9]]-Table1[[#This Row],[actual_9]])/Table1[[#This Row],[actual_9]]</f>
        <v>-6.9375619425173438E-2</v>
      </c>
      <c r="EP496" s="1">
        <f>1+(Table1[[#This Row],[error_ratio_0]]-EF$2)</f>
        <v>1.010204081632653</v>
      </c>
      <c r="EQ496" s="1">
        <f>1+(Table1[[#This Row],[error_ratio_1]]-EG$2)</f>
        <v>1.0026431718061675</v>
      </c>
      <c r="ER496" s="1">
        <f>1+(Table1[[#This Row],[error_ratio_2]]-EH$2)</f>
        <v>1.0232558139534884</v>
      </c>
      <c r="ES496" s="1">
        <f>1+(Table1[[#This Row],[error_ratio_3]]-EI$2)</f>
        <v>0.98217821782178216</v>
      </c>
      <c r="ET496" s="1">
        <f>1+(Table1[[#This Row],[error_ratio_4]]-EJ$2)</f>
        <v>0.96028513238289204</v>
      </c>
      <c r="EU496" s="1">
        <f>1+(Table1[[#This Row],[error_ratio_5]]-EK$2)</f>
        <v>1.0459641255605381</v>
      </c>
      <c r="EV496" s="1">
        <f>1+(Table1[[#This Row],[error_ratio_6]]-EL$2)</f>
        <v>0.99164926931106467</v>
      </c>
      <c r="EW496" s="1">
        <f>1+(Table1[[#This Row],[error_ratio_7]]-EM$2)</f>
        <v>1.038910505836576</v>
      </c>
      <c r="EX496" s="1">
        <f>1+(Table1[[#This Row],[error_ratio_8]]-EN$2)</f>
        <v>1.0133470225872689</v>
      </c>
      <c r="EY496" s="1">
        <f>1+(Table1[[#This Row],[error_ratio_9]]-EO$2)</f>
        <v>0.93458870168483643</v>
      </c>
    </row>
    <row r="497" spans="1:155" x14ac:dyDescent="0.75">
      <c r="A497">
        <v>10</v>
      </c>
      <c r="B497">
        <v>100</v>
      </c>
      <c r="C497">
        <v>100</v>
      </c>
      <c r="D497">
        <v>10</v>
      </c>
      <c r="E497">
        <v>10</v>
      </c>
      <c r="F497">
        <v>100</v>
      </c>
      <c r="G497">
        <v>100</v>
      </c>
      <c r="H497">
        <v>100</v>
      </c>
      <c r="I497">
        <v>100</v>
      </c>
      <c r="J497">
        <v>10</v>
      </c>
      <c r="K497">
        <v>938</v>
      </c>
      <c r="L497">
        <v>1135</v>
      </c>
      <c r="M497">
        <v>1080</v>
      </c>
      <c r="N497">
        <v>911</v>
      </c>
      <c r="O497">
        <v>929</v>
      </c>
      <c r="P497">
        <v>904</v>
      </c>
      <c r="Q497">
        <v>1015</v>
      </c>
      <c r="R497">
        <v>1046</v>
      </c>
      <c r="S497">
        <v>1058</v>
      </c>
      <c r="T497">
        <v>984</v>
      </c>
      <c r="U497">
        <v>980</v>
      </c>
      <c r="V497">
        <v>1135</v>
      </c>
      <c r="W497">
        <v>1032</v>
      </c>
      <c r="X497">
        <v>1010</v>
      </c>
      <c r="Y497">
        <v>982</v>
      </c>
      <c r="Z497">
        <v>892</v>
      </c>
      <c r="AA497">
        <v>958</v>
      </c>
      <c r="AB497">
        <v>1028</v>
      </c>
      <c r="AC497">
        <v>974</v>
      </c>
      <c r="AD497">
        <v>1009</v>
      </c>
      <c r="AE497">
        <v>931</v>
      </c>
      <c r="AF497">
        <v>0</v>
      </c>
      <c r="AG497">
        <v>10</v>
      </c>
      <c r="AH497">
        <v>0</v>
      </c>
      <c r="AI497">
        <v>0</v>
      </c>
      <c r="AJ497">
        <v>1</v>
      </c>
      <c r="AK497">
        <v>28</v>
      </c>
      <c r="AL497">
        <v>4</v>
      </c>
      <c r="AM497">
        <v>6</v>
      </c>
      <c r="AN497">
        <v>0</v>
      </c>
      <c r="AO497">
        <v>0</v>
      </c>
      <c r="AP497">
        <v>1123</v>
      </c>
      <c r="AQ497">
        <v>2</v>
      </c>
      <c r="AR497">
        <v>1</v>
      </c>
      <c r="AS497">
        <v>0</v>
      </c>
      <c r="AT497">
        <v>3</v>
      </c>
      <c r="AU497">
        <v>3</v>
      </c>
      <c r="AV497">
        <v>1</v>
      </c>
      <c r="AW497">
        <v>2</v>
      </c>
      <c r="AX497">
        <v>0</v>
      </c>
      <c r="AY497">
        <v>0</v>
      </c>
      <c r="AZ497">
        <v>2</v>
      </c>
      <c r="BA497">
        <v>1022</v>
      </c>
      <c r="BB497">
        <v>0</v>
      </c>
      <c r="BC497">
        <v>0</v>
      </c>
      <c r="BD497">
        <v>0</v>
      </c>
      <c r="BE497">
        <v>4</v>
      </c>
      <c r="BF497">
        <v>2</v>
      </c>
      <c r="BG497">
        <v>2</v>
      </c>
      <c r="BH497">
        <v>0</v>
      </c>
      <c r="BI497">
        <v>0</v>
      </c>
      <c r="BJ497">
        <v>0</v>
      </c>
      <c r="BK497">
        <v>21</v>
      </c>
      <c r="BL497">
        <v>907</v>
      </c>
      <c r="BM497">
        <v>0</v>
      </c>
      <c r="BN497">
        <v>26</v>
      </c>
      <c r="BO497">
        <v>0</v>
      </c>
      <c r="BP497">
        <v>10</v>
      </c>
      <c r="BQ497">
        <v>42</v>
      </c>
      <c r="BR497">
        <v>4</v>
      </c>
      <c r="BS497">
        <v>1</v>
      </c>
      <c r="BT497">
        <v>3</v>
      </c>
      <c r="BU497">
        <v>7</v>
      </c>
      <c r="BV497">
        <v>0</v>
      </c>
      <c r="BW497">
        <v>925</v>
      </c>
      <c r="BX497">
        <v>0</v>
      </c>
      <c r="BY497">
        <v>13</v>
      </c>
      <c r="BZ497">
        <v>6</v>
      </c>
      <c r="CA497">
        <v>4</v>
      </c>
      <c r="CB497">
        <v>23</v>
      </c>
      <c r="CC497">
        <v>2</v>
      </c>
      <c r="CD497">
        <v>0</v>
      </c>
      <c r="CE497">
        <v>0</v>
      </c>
      <c r="CF497">
        <v>1</v>
      </c>
      <c r="CG497">
        <v>0</v>
      </c>
      <c r="CH497">
        <v>869</v>
      </c>
      <c r="CI497">
        <v>10</v>
      </c>
      <c r="CJ497">
        <v>1</v>
      </c>
      <c r="CK497">
        <v>9</v>
      </c>
      <c r="CL497">
        <v>0</v>
      </c>
      <c r="CM497">
        <v>0</v>
      </c>
      <c r="CN497">
        <v>2</v>
      </c>
      <c r="CO497">
        <v>0</v>
      </c>
      <c r="CP497">
        <v>0</v>
      </c>
      <c r="CQ497">
        <v>1</v>
      </c>
      <c r="CR497">
        <v>1</v>
      </c>
      <c r="CS497">
        <v>954</v>
      </c>
      <c r="CT497">
        <v>0</v>
      </c>
      <c r="CU497">
        <v>0</v>
      </c>
      <c r="CV497">
        <v>0</v>
      </c>
      <c r="CW497">
        <v>0</v>
      </c>
      <c r="CX497">
        <v>3</v>
      </c>
      <c r="CY497">
        <v>12</v>
      </c>
      <c r="CZ497">
        <v>0</v>
      </c>
      <c r="DA497">
        <v>0</v>
      </c>
      <c r="DB497">
        <v>0</v>
      </c>
      <c r="DC497">
        <v>0</v>
      </c>
      <c r="DD497">
        <v>1009</v>
      </c>
      <c r="DE497">
        <v>1</v>
      </c>
      <c r="DF497">
        <v>3</v>
      </c>
      <c r="DG497">
        <v>0</v>
      </c>
      <c r="DH497">
        <v>0</v>
      </c>
      <c r="DI497">
        <v>3</v>
      </c>
      <c r="DJ497">
        <v>0</v>
      </c>
      <c r="DK497">
        <v>0</v>
      </c>
      <c r="DL497">
        <v>1</v>
      </c>
      <c r="DM497">
        <v>1</v>
      </c>
      <c r="DN497">
        <v>1</v>
      </c>
      <c r="DO497">
        <v>968</v>
      </c>
      <c r="DP497">
        <v>0</v>
      </c>
      <c r="DQ497">
        <v>4</v>
      </c>
      <c r="DR497">
        <v>2</v>
      </c>
      <c r="DS497">
        <v>3</v>
      </c>
      <c r="DT497">
        <v>2</v>
      </c>
      <c r="DU497">
        <v>3</v>
      </c>
      <c r="DV497">
        <v>3</v>
      </c>
      <c r="DW497">
        <v>2</v>
      </c>
      <c r="DX497">
        <v>12</v>
      </c>
      <c r="DY497">
        <v>24</v>
      </c>
      <c r="DZ497">
        <v>954</v>
      </c>
      <c r="EA497">
        <v>0.96619999999999995</v>
      </c>
      <c r="EB497">
        <v>0.96698222853578297</v>
      </c>
      <c r="EC497">
        <v>0.96606001972438404</v>
      </c>
      <c r="ED497">
        <v>0.96582795740454797</v>
      </c>
      <c r="EE497">
        <f>SUM(Table1[[#This Row],[ratio_0]:[ratio_9]])</f>
        <v>640</v>
      </c>
      <c r="EF497" s="1">
        <f>(Table1[[#This Row],[predicted_0]]-Table1[[#This Row],[actual_0]])/Table1[[#This Row],[actual_0]]</f>
        <v>-4.2857142857142858E-2</v>
      </c>
      <c r="EG497" s="1">
        <f>(Table1[[#This Row],[predicted_1]]-Table1[[#This Row],[actual_1]])/Table1[[#This Row],[actual_1]]</f>
        <v>0</v>
      </c>
      <c r="EH497" s="1">
        <f>(Table1[[#This Row],[predicted_2]]-Table1[[#This Row],[actual_2]])/Table1[[#This Row],[actual_2]]</f>
        <v>4.6511627906976744E-2</v>
      </c>
      <c r="EI497" s="1">
        <f>(Table1[[#This Row],[predicted_3]]-Table1[[#This Row],[actual_3]])/Table1[[#This Row],[actual_3]]</f>
        <v>-9.8019801980198024E-2</v>
      </c>
      <c r="EJ497" s="1">
        <f>(Table1[[#This Row],[predicted_4]]-Table1[[#This Row],[actual_4]])/Table1[[#This Row],[actual_4]]</f>
        <v>-5.3971486761710798E-2</v>
      </c>
      <c r="EK497" s="1">
        <f>(Table1[[#This Row],[predicted_5]]-Table1[[#This Row],[actual_5]])/Table1[[#This Row],[actual_5]]</f>
        <v>1.3452914798206279E-2</v>
      </c>
      <c r="EL497" s="1">
        <f>(Table1[[#This Row],[predicted_6]]-Table1[[#This Row],[actual_6]])/Table1[[#This Row],[actual_6]]</f>
        <v>5.9498956158663886E-2</v>
      </c>
      <c r="EM497" s="1">
        <f>(Table1[[#This Row],[predicted_7]]-Table1[[#This Row],[actual_7]])/Table1[[#This Row],[actual_7]]</f>
        <v>1.7509727626459144E-2</v>
      </c>
      <c r="EN497" s="1">
        <f>(Table1[[#This Row],[predicted_8]]-Table1[[#This Row],[actual_8]])/Table1[[#This Row],[actual_8]]</f>
        <v>8.6242299794661192E-2</v>
      </c>
      <c r="EO497" s="1">
        <f>(Table1[[#This Row],[predicted_9]]-Table1[[#This Row],[actual_9]])/Table1[[#This Row],[actual_9]]</f>
        <v>-2.4777006937561942E-2</v>
      </c>
      <c r="EP497" s="1">
        <f>1+(Table1[[#This Row],[error_ratio_0]]-EF$2)</f>
        <v>0.95510204081632655</v>
      </c>
      <c r="EQ497" s="1">
        <f>1+(Table1[[#This Row],[error_ratio_1]]-EG$2)</f>
        <v>0.9982378854625551</v>
      </c>
      <c r="ER497" s="1">
        <f>1+(Table1[[#This Row],[error_ratio_2]]-EH$2)</f>
        <v>1.0513565891472869</v>
      </c>
      <c r="ES497" s="1">
        <f>1+(Table1[[#This Row],[error_ratio_3]]-EI$2)</f>
        <v>0.89207920792079209</v>
      </c>
      <c r="ET497" s="1">
        <f>1+(Table1[[#This Row],[error_ratio_4]]-EJ$2)</f>
        <v>0.94501018329938902</v>
      </c>
      <c r="EU497" s="1">
        <f>1+(Table1[[#This Row],[error_ratio_5]]-EK$2)</f>
        <v>1.0123318385650224</v>
      </c>
      <c r="EV497" s="1">
        <f>1+(Table1[[#This Row],[error_ratio_6]]-EL$2)</f>
        <v>1.0657620041753653</v>
      </c>
      <c r="EW497" s="1">
        <f>1+(Table1[[#This Row],[error_ratio_7]]-EM$2)</f>
        <v>1.0155642023346303</v>
      </c>
      <c r="EX497" s="1">
        <f>1+(Table1[[#This Row],[error_ratio_8]]-EN$2)</f>
        <v>1.0893223819301847</v>
      </c>
      <c r="EY497" s="1">
        <f>1+(Table1[[#This Row],[error_ratio_9]]-EO$2)</f>
        <v>0.97918731417244798</v>
      </c>
    </row>
    <row r="498" spans="1:155" x14ac:dyDescent="0.75">
      <c r="A498">
        <v>100</v>
      </c>
      <c r="B498">
        <v>10</v>
      </c>
      <c r="C498">
        <v>100</v>
      </c>
      <c r="D498">
        <v>10</v>
      </c>
      <c r="E498">
        <v>10</v>
      </c>
      <c r="F498">
        <v>100</v>
      </c>
      <c r="G498">
        <v>100</v>
      </c>
      <c r="H498">
        <v>100</v>
      </c>
      <c r="I498">
        <v>100</v>
      </c>
      <c r="J498">
        <v>10</v>
      </c>
      <c r="K498">
        <v>988</v>
      </c>
      <c r="L498">
        <v>1097</v>
      </c>
      <c r="M498">
        <v>1020</v>
      </c>
      <c r="N498">
        <v>943</v>
      </c>
      <c r="O498">
        <v>987</v>
      </c>
      <c r="P498">
        <v>937</v>
      </c>
      <c r="Q498">
        <v>986</v>
      </c>
      <c r="R498">
        <v>1120</v>
      </c>
      <c r="S498">
        <v>1008</v>
      </c>
      <c r="T498">
        <v>914</v>
      </c>
      <c r="U498">
        <v>980</v>
      </c>
      <c r="V498">
        <v>1135</v>
      </c>
      <c r="W498">
        <v>1032</v>
      </c>
      <c r="X498">
        <v>1010</v>
      </c>
      <c r="Y498">
        <v>982</v>
      </c>
      <c r="Z498">
        <v>892</v>
      </c>
      <c r="AA498">
        <v>958</v>
      </c>
      <c r="AB498">
        <v>1028</v>
      </c>
      <c r="AC498">
        <v>974</v>
      </c>
      <c r="AD498">
        <v>1009</v>
      </c>
      <c r="AE498">
        <v>968</v>
      </c>
      <c r="AF498">
        <v>0</v>
      </c>
      <c r="AG498">
        <v>1</v>
      </c>
      <c r="AH498">
        <v>0</v>
      </c>
      <c r="AI498">
        <v>0</v>
      </c>
      <c r="AJ498">
        <v>3</v>
      </c>
      <c r="AK498">
        <v>5</v>
      </c>
      <c r="AL498">
        <v>2</v>
      </c>
      <c r="AM498">
        <v>1</v>
      </c>
      <c r="AN498">
        <v>0</v>
      </c>
      <c r="AO498">
        <v>0</v>
      </c>
      <c r="AP498">
        <v>1093</v>
      </c>
      <c r="AQ498">
        <v>3</v>
      </c>
      <c r="AR498">
        <v>1</v>
      </c>
      <c r="AS498">
        <v>2</v>
      </c>
      <c r="AT498">
        <v>2</v>
      </c>
      <c r="AU498">
        <v>6</v>
      </c>
      <c r="AV498">
        <v>17</v>
      </c>
      <c r="AW498">
        <v>11</v>
      </c>
      <c r="AX498">
        <v>0</v>
      </c>
      <c r="AY498">
        <v>3</v>
      </c>
      <c r="AZ498">
        <v>0</v>
      </c>
      <c r="BA498">
        <v>1004</v>
      </c>
      <c r="BB498">
        <v>0</v>
      </c>
      <c r="BC498">
        <v>1</v>
      </c>
      <c r="BD498">
        <v>0</v>
      </c>
      <c r="BE498">
        <v>2</v>
      </c>
      <c r="BF498">
        <v>20</v>
      </c>
      <c r="BG498">
        <v>2</v>
      </c>
      <c r="BH498">
        <v>0</v>
      </c>
      <c r="BI498">
        <v>0</v>
      </c>
      <c r="BJ498">
        <v>0</v>
      </c>
      <c r="BK498">
        <v>5</v>
      </c>
      <c r="BL498">
        <v>938</v>
      </c>
      <c r="BM498">
        <v>0</v>
      </c>
      <c r="BN498">
        <v>28</v>
      </c>
      <c r="BO498">
        <v>0</v>
      </c>
      <c r="BP498">
        <v>16</v>
      </c>
      <c r="BQ498">
        <v>22</v>
      </c>
      <c r="BR498">
        <v>1</v>
      </c>
      <c r="BS498">
        <v>2</v>
      </c>
      <c r="BT498">
        <v>0</v>
      </c>
      <c r="BU498">
        <v>1</v>
      </c>
      <c r="BV498">
        <v>0</v>
      </c>
      <c r="BW498">
        <v>958</v>
      </c>
      <c r="BX498">
        <v>0</v>
      </c>
      <c r="BY498">
        <v>13</v>
      </c>
      <c r="BZ498">
        <v>5</v>
      </c>
      <c r="CA498">
        <v>3</v>
      </c>
      <c r="CB498">
        <v>0</v>
      </c>
      <c r="CC498">
        <v>2</v>
      </c>
      <c r="CD498">
        <v>0</v>
      </c>
      <c r="CE498">
        <v>0</v>
      </c>
      <c r="CF498">
        <v>2</v>
      </c>
      <c r="CG498">
        <v>0</v>
      </c>
      <c r="CH498">
        <v>881</v>
      </c>
      <c r="CI498">
        <v>6</v>
      </c>
      <c r="CJ498">
        <v>0</v>
      </c>
      <c r="CK498">
        <v>1</v>
      </c>
      <c r="CL498">
        <v>0</v>
      </c>
      <c r="CM498">
        <v>6</v>
      </c>
      <c r="CN498">
        <v>1</v>
      </c>
      <c r="CO498">
        <v>0</v>
      </c>
      <c r="CP498">
        <v>0</v>
      </c>
      <c r="CQ498">
        <v>1</v>
      </c>
      <c r="CR498">
        <v>1</v>
      </c>
      <c r="CS498">
        <v>949</v>
      </c>
      <c r="CT498">
        <v>0</v>
      </c>
      <c r="CU498">
        <v>0</v>
      </c>
      <c r="CV498">
        <v>0</v>
      </c>
      <c r="CW498">
        <v>0</v>
      </c>
      <c r="CX498">
        <v>0</v>
      </c>
      <c r="CY498">
        <v>4</v>
      </c>
      <c r="CZ498">
        <v>0</v>
      </c>
      <c r="DA498">
        <v>0</v>
      </c>
      <c r="DB498">
        <v>0</v>
      </c>
      <c r="DC498">
        <v>0</v>
      </c>
      <c r="DD498">
        <v>1024</v>
      </c>
      <c r="DE498">
        <v>0</v>
      </c>
      <c r="DF498">
        <v>0</v>
      </c>
      <c r="DG498">
        <v>2</v>
      </c>
      <c r="DH498">
        <v>0</v>
      </c>
      <c r="DI498">
        <v>2</v>
      </c>
      <c r="DJ498">
        <v>0</v>
      </c>
      <c r="DK498">
        <v>0</v>
      </c>
      <c r="DL498">
        <v>1</v>
      </c>
      <c r="DM498">
        <v>3</v>
      </c>
      <c r="DN498">
        <v>6</v>
      </c>
      <c r="DO498">
        <v>960</v>
      </c>
      <c r="DP498">
        <v>0</v>
      </c>
      <c r="DQ498">
        <v>5</v>
      </c>
      <c r="DR498">
        <v>3</v>
      </c>
      <c r="DS498">
        <v>0</v>
      </c>
      <c r="DT498">
        <v>2</v>
      </c>
      <c r="DU498">
        <v>25</v>
      </c>
      <c r="DV498">
        <v>21</v>
      </c>
      <c r="DW498">
        <v>2</v>
      </c>
      <c r="DX498">
        <v>30</v>
      </c>
      <c r="DY498">
        <v>8</v>
      </c>
      <c r="DZ498">
        <v>913</v>
      </c>
      <c r="EA498">
        <v>0.96879999999999999</v>
      </c>
      <c r="EB498">
        <v>0.96940223215922905</v>
      </c>
      <c r="EC498">
        <v>0.96927569821158399</v>
      </c>
      <c r="ED498">
        <v>0.96867712060022604</v>
      </c>
      <c r="EE498">
        <f>SUM(Table1[[#This Row],[ratio_0]:[ratio_9]])</f>
        <v>640</v>
      </c>
      <c r="EF498" s="1">
        <f>(Table1[[#This Row],[predicted_0]]-Table1[[#This Row],[actual_0]])/Table1[[#This Row],[actual_0]]</f>
        <v>8.1632653061224497E-3</v>
      </c>
      <c r="EG498" s="1">
        <f>(Table1[[#This Row],[predicted_1]]-Table1[[#This Row],[actual_1]])/Table1[[#This Row],[actual_1]]</f>
        <v>-3.3480176211453744E-2</v>
      </c>
      <c r="EH498" s="1">
        <f>(Table1[[#This Row],[predicted_2]]-Table1[[#This Row],[actual_2]])/Table1[[#This Row],[actual_2]]</f>
        <v>-1.1627906976744186E-2</v>
      </c>
      <c r="EI498" s="1">
        <f>(Table1[[#This Row],[predicted_3]]-Table1[[#This Row],[actual_3]])/Table1[[#This Row],[actual_3]]</f>
        <v>-6.633663366336634E-2</v>
      </c>
      <c r="EJ498" s="1">
        <f>(Table1[[#This Row],[predicted_4]]-Table1[[#This Row],[actual_4]])/Table1[[#This Row],[actual_4]]</f>
        <v>5.0916496945010185E-3</v>
      </c>
      <c r="EK498" s="1">
        <f>(Table1[[#This Row],[predicted_5]]-Table1[[#This Row],[actual_5]])/Table1[[#This Row],[actual_5]]</f>
        <v>5.0448430493273543E-2</v>
      </c>
      <c r="EL498" s="1">
        <f>(Table1[[#This Row],[predicted_6]]-Table1[[#This Row],[actual_6]])/Table1[[#This Row],[actual_6]]</f>
        <v>2.9227557411273485E-2</v>
      </c>
      <c r="EM498" s="1">
        <f>(Table1[[#This Row],[predicted_7]]-Table1[[#This Row],[actual_7]])/Table1[[#This Row],[actual_7]]</f>
        <v>8.9494163424124515E-2</v>
      </c>
      <c r="EN498" s="1">
        <f>(Table1[[#This Row],[predicted_8]]-Table1[[#This Row],[actual_8]])/Table1[[#This Row],[actual_8]]</f>
        <v>3.4907597535934289E-2</v>
      </c>
      <c r="EO498" s="1">
        <f>(Table1[[#This Row],[predicted_9]]-Table1[[#This Row],[actual_9]])/Table1[[#This Row],[actual_9]]</f>
        <v>-9.4152626362735387E-2</v>
      </c>
      <c r="EP498" s="1">
        <f>1+(Table1[[#This Row],[error_ratio_0]]-EF$2)</f>
        <v>1.0061224489795919</v>
      </c>
      <c r="EQ498" s="1">
        <f>1+(Table1[[#This Row],[error_ratio_1]]-EG$2)</f>
        <v>0.96475770925110127</v>
      </c>
      <c r="ER498" s="1">
        <f>1+(Table1[[#This Row],[error_ratio_2]]-EH$2)</f>
        <v>0.99321705426356588</v>
      </c>
      <c r="ES498" s="1">
        <f>1+(Table1[[#This Row],[error_ratio_3]]-EI$2)</f>
        <v>0.92376237623762381</v>
      </c>
      <c r="ET498" s="1">
        <f>1+(Table1[[#This Row],[error_ratio_4]]-EJ$2)</f>
        <v>1.0040733197556009</v>
      </c>
      <c r="EU498" s="1">
        <f>1+(Table1[[#This Row],[error_ratio_5]]-EK$2)</f>
        <v>1.0493273542600896</v>
      </c>
      <c r="EV498" s="1">
        <f>1+(Table1[[#This Row],[error_ratio_6]]-EL$2)</f>
        <v>1.0354906054279749</v>
      </c>
      <c r="EW498" s="1">
        <f>1+(Table1[[#This Row],[error_ratio_7]]-EM$2)</f>
        <v>1.0875486381322956</v>
      </c>
      <c r="EX498" s="1">
        <f>1+(Table1[[#This Row],[error_ratio_8]]-EN$2)</f>
        <v>1.037987679671458</v>
      </c>
      <c r="EY498" s="1">
        <f>1+(Table1[[#This Row],[error_ratio_9]]-EO$2)</f>
        <v>0.90981169474727452</v>
      </c>
    </row>
    <row r="499" spans="1:155" x14ac:dyDescent="0.75">
      <c r="A499">
        <v>10</v>
      </c>
      <c r="B499">
        <v>10</v>
      </c>
      <c r="C499">
        <v>100</v>
      </c>
      <c r="D499">
        <v>10</v>
      </c>
      <c r="E499">
        <v>10</v>
      </c>
      <c r="F499">
        <v>100</v>
      </c>
      <c r="G499">
        <v>100</v>
      </c>
      <c r="H499">
        <v>100</v>
      </c>
      <c r="I499">
        <v>100</v>
      </c>
      <c r="J499">
        <v>10</v>
      </c>
      <c r="K499">
        <v>975</v>
      </c>
      <c r="L499">
        <v>1132</v>
      </c>
      <c r="M499">
        <v>1053</v>
      </c>
      <c r="N499">
        <v>996</v>
      </c>
      <c r="O499">
        <v>949</v>
      </c>
      <c r="P499">
        <v>891</v>
      </c>
      <c r="Q499">
        <v>987</v>
      </c>
      <c r="R499">
        <v>1058</v>
      </c>
      <c r="S499">
        <v>987</v>
      </c>
      <c r="T499">
        <v>972</v>
      </c>
      <c r="U499">
        <v>980</v>
      </c>
      <c r="V499">
        <v>1135</v>
      </c>
      <c r="W499">
        <v>1032</v>
      </c>
      <c r="X499">
        <v>1010</v>
      </c>
      <c r="Y499">
        <v>982</v>
      </c>
      <c r="Z499">
        <v>892</v>
      </c>
      <c r="AA499">
        <v>958</v>
      </c>
      <c r="AB499">
        <v>1028</v>
      </c>
      <c r="AC499">
        <v>974</v>
      </c>
      <c r="AD499">
        <v>1009</v>
      </c>
      <c r="AE499">
        <v>955</v>
      </c>
      <c r="AF499">
        <v>1</v>
      </c>
      <c r="AG499">
        <v>0</v>
      </c>
      <c r="AH499">
        <v>0</v>
      </c>
      <c r="AI499">
        <v>0</v>
      </c>
      <c r="AJ499">
        <v>1</v>
      </c>
      <c r="AK499">
        <v>17</v>
      </c>
      <c r="AL499">
        <v>3</v>
      </c>
      <c r="AM499">
        <v>3</v>
      </c>
      <c r="AN499">
        <v>0</v>
      </c>
      <c r="AO499">
        <v>0</v>
      </c>
      <c r="AP499">
        <v>1124</v>
      </c>
      <c r="AQ499">
        <v>3</v>
      </c>
      <c r="AR499">
        <v>5</v>
      </c>
      <c r="AS499">
        <v>0</v>
      </c>
      <c r="AT499">
        <v>0</v>
      </c>
      <c r="AU499">
        <v>2</v>
      </c>
      <c r="AV499">
        <v>1</v>
      </c>
      <c r="AW499">
        <v>0</v>
      </c>
      <c r="AX499">
        <v>0</v>
      </c>
      <c r="AY499">
        <v>2</v>
      </c>
      <c r="AZ499">
        <v>0</v>
      </c>
      <c r="BA499">
        <v>1023</v>
      </c>
      <c r="BB499">
        <v>0</v>
      </c>
      <c r="BC499">
        <v>0</v>
      </c>
      <c r="BD499">
        <v>0</v>
      </c>
      <c r="BE499">
        <v>1</v>
      </c>
      <c r="BF499">
        <v>4</v>
      </c>
      <c r="BG499">
        <v>2</v>
      </c>
      <c r="BH499">
        <v>0</v>
      </c>
      <c r="BI499">
        <v>5</v>
      </c>
      <c r="BJ499">
        <v>0</v>
      </c>
      <c r="BK499">
        <v>9</v>
      </c>
      <c r="BL499">
        <v>973</v>
      </c>
      <c r="BM499">
        <v>0</v>
      </c>
      <c r="BN499">
        <v>6</v>
      </c>
      <c r="BO499">
        <v>0</v>
      </c>
      <c r="BP499">
        <v>12</v>
      </c>
      <c r="BQ499">
        <v>3</v>
      </c>
      <c r="BR499">
        <v>2</v>
      </c>
      <c r="BS499">
        <v>1</v>
      </c>
      <c r="BT499">
        <v>0</v>
      </c>
      <c r="BU499">
        <v>1</v>
      </c>
      <c r="BV499">
        <v>0</v>
      </c>
      <c r="BW499">
        <v>938</v>
      </c>
      <c r="BX499">
        <v>0</v>
      </c>
      <c r="BY499">
        <v>11</v>
      </c>
      <c r="BZ499">
        <v>6</v>
      </c>
      <c r="CA499">
        <v>1</v>
      </c>
      <c r="CB499">
        <v>24</v>
      </c>
      <c r="CC499">
        <v>2</v>
      </c>
      <c r="CD499">
        <v>0</v>
      </c>
      <c r="CE499">
        <v>0</v>
      </c>
      <c r="CF499">
        <v>9</v>
      </c>
      <c r="CG499">
        <v>0</v>
      </c>
      <c r="CH499">
        <v>872</v>
      </c>
      <c r="CI499">
        <v>3</v>
      </c>
      <c r="CJ499">
        <v>2</v>
      </c>
      <c r="CK499">
        <v>4</v>
      </c>
      <c r="CL499">
        <v>0</v>
      </c>
      <c r="CM499">
        <v>3</v>
      </c>
      <c r="CN499">
        <v>1</v>
      </c>
      <c r="CO499">
        <v>1</v>
      </c>
      <c r="CP499">
        <v>0</v>
      </c>
      <c r="CQ499">
        <v>1</v>
      </c>
      <c r="CR499">
        <v>1</v>
      </c>
      <c r="CS499">
        <v>950</v>
      </c>
      <c r="CT499">
        <v>0</v>
      </c>
      <c r="CU499">
        <v>1</v>
      </c>
      <c r="CV499">
        <v>0</v>
      </c>
      <c r="CW499">
        <v>1</v>
      </c>
      <c r="CX499">
        <v>3</v>
      </c>
      <c r="CY499">
        <v>13</v>
      </c>
      <c r="CZ499">
        <v>0</v>
      </c>
      <c r="DA499">
        <v>0</v>
      </c>
      <c r="DB499">
        <v>0</v>
      </c>
      <c r="DC499">
        <v>0</v>
      </c>
      <c r="DD499">
        <v>1007</v>
      </c>
      <c r="DE499">
        <v>2</v>
      </c>
      <c r="DF499">
        <v>2</v>
      </c>
      <c r="DG499">
        <v>1</v>
      </c>
      <c r="DH499">
        <v>0</v>
      </c>
      <c r="DI499">
        <v>2</v>
      </c>
      <c r="DJ499">
        <v>1</v>
      </c>
      <c r="DK499">
        <v>1</v>
      </c>
      <c r="DL499">
        <v>0</v>
      </c>
      <c r="DM499">
        <v>2</v>
      </c>
      <c r="DN499">
        <v>3</v>
      </c>
      <c r="DO499">
        <v>961</v>
      </c>
      <c r="DP499">
        <v>3</v>
      </c>
      <c r="DQ499">
        <v>5</v>
      </c>
      <c r="DR499">
        <v>3</v>
      </c>
      <c r="DS499">
        <v>1</v>
      </c>
      <c r="DT499">
        <v>8</v>
      </c>
      <c r="DU499">
        <v>9</v>
      </c>
      <c r="DV499">
        <v>11</v>
      </c>
      <c r="DW499">
        <v>1</v>
      </c>
      <c r="DX499">
        <v>20</v>
      </c>
      <c r="DY499">
        <v>10</v>
      </c>
      <c r="DZ499">
        <v>941</v>
      </c>
      <c r="EA499">
        <v>0.97440000000000004</v>
      </c>
      <c r="EB499">
        <v>0.97439951903354705</v>
      </c>
      <c r="EC499">
        <v>0.97426963026776603</v>
      </c>
      <c r="ED499">
        <v>0.974211513368761</v>
      </c>
      <c r="EE499">
        <f>SUM(Table1[[#This Row],[ratio_0]:[ratio_9]])</f>
        <v>550</v>
      </c>
      <c r="EF499" s="1">
        <f>(Table1[[#This Row],[predicted_0]]-Table1[[#This Row],[actual_0]])/Table1[[#This Row],[actual_0]]</f>
        <v>-5.1020408163265302E-3</v>
      </c>
      <c r="EG499" s="1">
        <f>(Table1[[#This Row],[predicted_1]]-Table1[[#This Row],[actual_1]])/Table1[[#This Row],[actual_1]]</f>
        <v>-2.6431718061674008E-3</v>
      </c>
      <c r="EH499" s="1">
        <f>(Table1[[#This Row],[predicted_2]]-Table1[[#This Row],[actual_2]])/Table1[[#This Row],[actual_2]]</f>
        <v>2.0348837209302327E-2</v>
      </c>
      <c r="EI499" s="1">
        <f>(Table1[[#This Row],[predicted_3]]-Table1[[#This Row],[actual_3]])/Table1[[#This Row],[actual_3]]</f>
        <v>-1.3861386138613862E-2</v>
      </c>
      <c r="EJ499" s="1">
        <f>(Table1[[#This Row],[predicted_4]]-Table1[[#This Row],[actual_4]])/Table1[[#This Row],[actual_4]]</f>
        <v>-3.360488798370672E-2</v>
      </c>
      <c r="EK499" s="1">
        <f>(Table1[[#This Row],[predicted_5]]-Table1[[#This Row],[actual_5]])/Table1[[#This Row],[actual_5]]</f>
        <v>-1.1210762331838565E-3</v>
      </c>
      <c r="EL499" s="1">
        <f>(Table1[[#This Row],[predicted_6]]-Table1[[#This Row],[actual_6]])/Table1[[#This Row],[actual_6]]</f>
        <v>3.0271398747390398E-2</v>
      </c>
      <c r="EM499" s="1">
        <f>(Table1[[#This Row],[predicted_7]]-Table1[[#This Row],[actual_7]])/Table1[[#This Row],[actual_7]]</f>
        <v>2.9182879377431907E-2</v>
      </c>
      <c r="EN499" s="1">
        <f>(Table1[[#This Row],[predicted_8]]-Table1[[#This Row],[actual_8]])/Table1[[#This Row],[actual_8]]</f>
        <v>1.3347022587268994E-2</v>
      </c>
      <c r="EO499" s="1">
        <f>(Table1[[#This Row],[predicted_9]]-Table1[[#This Row],[actual_9]])/Table1[[#This Row],[actual_9]]</f>
        <v>-3.6669970267591674E-2</v>
      </c>
      <c r="EP499" s="1">
        <f>1+(Table1[[#This Row],[error_ratio_0]]-EF$2)</f>
        <v>0.99285714285714288</v>
      </c>
      <c r="EQ499" s="1">
        <f>1+(Table1[[#This Row],[error_ratio_1]]-EG$2)</f>
        <v>0.99559471365638763</v>
      </c>
      <c r="ER499" s="1">
        <f>1+(Table1[[#This Row],[error_ratio_2]]-EH$2)</f>
        <v>1.0251937984496124</v>
      </c>
      <c r="ES499" s="1">
        <f>1+(Table1[[#This Row],[error_ratio_3]]-EI$2)</f>
        <v>0.97623762376237622</v>
      </c>
      <c r="ET499" s="1">
        <f>1+(Table1[[#This Row],[error_ratio_4]]-EJ$2)</f>
        <v>0.96537678207739308</v>
      </c>
      <c r="EU499" s="1">
        <f>1+(Table1[[#This Row],[error_ratio_5]]-EK$2)</f>
        <v>0.99775784753363228</v>
      </c>
      <c r="EV499" s="1">
        <f>1+(Table1[[#This Row],[error_ratio_6]]-EL$2)</f>
        <v>1.0365344467640918</v>
      </c>
      <c r="EW499" s="1">
        <f>1+(Table1[[#This Row],[error_ratio_7]]-EM$2)</f>
        <v>1.027237354085603</v>
      </c>
      <c r="EX499" s="1">
        <f>1+(Table1[[#This Row],[error_ratio_8]]-EN$2)</f>
        <v>1.0164271047227926</v>
      </c>
      <c r="EY499" s="1">
        <f>1+(Table1[[#This Row],[error_ratio_9]]-EO$2)</f>
        <v>0.96729435084241822</v>
      </c>
    </row>
    <row r="500" spans="1:155" x14ac:dyDescent="0.75">
      <c r="A500">
        <v>10</v>
      </c>
      <c r="B500">
        <v>10</v>
      </c>
      <c r="C500">
        <v>10</v>
      </c>
      <c r="D500">
        <v>10</v>
      </c>
      <c r="E500">
        <v>10</v>
      </c>
      <c r="F500">
        <v>100</v>
      </c>
      <c r="G500">
        <v>100</v>
      </c>
      <c r="H500">
        <v>100</v>
      </c>
      <c r="I500">
        <v>100</v>
      </c>
      <c r="J500">
        <v>10</v>
      </c>
      <c r="K500">
        <v>967</v>
      </c>
      <c r="L500">
        <v>1115</v>
      </c>
      <c r="M500">
        <v>1014</v>
      </c>
      <c r="N500">
        <v>922</v>
      </c>
      <c r="O500">
        <v>1009</v>
      </c>
      <c r="P500">
        <v>1098</v>
      </c>
      <c r="Q500">
        <v>944</v>
      </c>
      <c r="R500">
        <v>1222</v>
      </c>
      <c r="S500">
        <v>976</v>
      </c>
      <c r="T500">
        <v>733</v>
      </c>
      <c r="U500">
        <v>980</v>
      </c>
      <c r="V500">
        <v>1135</v>
      </c>
      <c r="W500">
        <v>1032</v>
      </c>
      <c r="X500">
        <v>1010</v>
      </c>
      <c r="Y500">
        <v>982</v>
      </c>
      <c r="Z500">
        <v>892</v>
      </c>
      <c r="AA500">
        <v>958</v>
      </c>
      <c r="AB500">
        <v>1028</v>
      </c>
      <c r="AC500">
        <v>974</v>
      </c>
      <c r="AD500">
        <v>1009</v>
      </c>
      <c r="AE500">
        <v>950</v>
      </c>
      <c r="AF500">
        <v>0</v>
      </c>
      <c r="AG500">
        <v>0</v>
      </c>
      <c r="AH500">
        <v>0</v>
      </c>
      <c r="AI500">
        <v>0</v>
      </c>
      <c r="AJ500">
        <v>15</v>
      </c>
      <c r="AK500">
        <v>5</v>
      </c>
      <c r="AL500">
        <v>3</v>
      </c>
      <c r="AM500">
        <v>5</v>
      </c>
      <c r="AN500">
        <v>2</v>
      </c>
      <c r="AO500">
        <v>0</v>
      </c>
      <c r="AP500">
        <v>1107</v>
      </c>
      <c r="AQ500">
        <v>5</v>
      </c>
      <c r="AR500">
        <v>2</v>
      </c>
      <c r="AS500">
        <v>0</v>
      </c>
      <c r="AT500">
        <v>4</v>
      </c>
      <c r="AU500">
        <v>2</v>
      </c>
      <c r="AV500">
        <v>6</v>
      </c>
      <c r="AW500">
        <v>9</v>
      </c>
      <c r="AX500">
        <v>0</v>
      </c>
      <c r="AY500">
        <v>3</v>
      </c>
      <c r="AZ500">
        <v>1</v>
      </c>
      <c r="BA500">
        <v>988</v>
      </c>
      <c r="BB500">
        <v>4</v>
      </c>
      <c r="BC500">
        <v>0</v>
      </c>
      <c r="BD500">
        <v>5</v>
      </c>
      <c r="BE500">
        <v>4</v>
      </c>
      <c r="BF500">
        <v>17</v>
      </c>
      <c r="BG500">
        <v>10</v>
      </c>
      <c r="BH500">
        <v>0</v>
      </c>
      <c r="BI500">
        <v>1</v>
      </c>
      <c r="BJ500">
        <v>0</v>
      </c>
      <c r="BK500">
        <v>4</v>
      </c>
      <c r="BL500">
        <v>909</v>
      </c>
      <c r="BM500">
        <v>0</v>
      </c>
      <c r="BN500">
        <v>76</v>
      </c>
      <c r="BO500">
        <v>0</v>
      </c>
      <c r="BP500">
        <v>17</v>
      </c>
      <c r="BQ500">
        <v>3</v>
      </c>
      <c r="BR500">
        <v>0</v>
      </c>
      <c r="BS500">
        <v>0</v>
      </c>
      <c r="BT500">
        <v>1</v>
      </c>
      <c r="BU500">
        <v>8</v>
      </c>
      <c r="BV500">
        <v>0</v>
      </c>
      <c r="BW500">
        <v>926</v>
      </c>
      <c r="BX500">
        <v>1</v>
      </c>
      <c r="BY500">
        <v>11</v>
      </c>
      <c r="BZ500">
        <v>22</v>
      </c>
      <c r="CA500">
        <v>2</v>
      </c>
      <c r="CB500">
        <v>11</v>
      </c>
      <c r="CC500">
        <v>1</v>
      </c>
      <c r="CD500">
        <v>0</v>
      </c>
      <c r="CE500">
        <v>0</v>
      </c>
      <c r="CF500">
        <v>0</v>
      </c>
      <c r="CG500">
        <v>0</v>
      </c>
      <c r="CH500">
        <v>889</v>
      </c>
      <c r="CI500">
        <v>1</v>
      </c>
      <c r="CJ500">
        <v>1</v>
      </c>
      <c r="CK500">
        <v>0</v>
      </c>
      <c r="CL500">
        <v>0</v>
      </c>
      <c r="CM500">
        <v>5</v>
      </c>
      <c r="CN500">
        <v>1</v>
      </c>
      <c r="CO500">
        <v>0</v>
      </c>
      <c r="CP500">
        <v>0</v>
      </c>
      <c r="CQ500">
        <v>3</v>
      </c>
      <c r="CR500">
        <v>32</v>
      </c>
      <c r="CS500">
        <v>917</v>
      </c>
      <c r="CT500">
        <v>0</v>
      </c>
      <c r="CU500">
        <v>0</v>
      </c>
      <c r="CV500">
        <v>0</v>
      </c>
      <c r="CW500">
        <v>1</v>
      </c>
      <c r="CX500">
        <v>1</v>
      </c>
      <c r="CY500">
        <v>5</v>
      </c>
      <c r="CZ500">
        <v>0</v>
      </c>
      <c r="DA500">
        <v>0</v>
      </c>
      <c r="DB500">
        <v>0</v>
      </c>
      <c r="DC500">
        <v>0</v>
      </c>
      <c r="DD500">
        <v>1020</v>
      </c>
      <c r="DE500">
        <v>1</v>
      </c>
      <c r="DF500">
        <v>0</v>
      </c>
      <c r="DG500">
        <v>3</v>
      </c>
      <c r="DH500">
        <v>0</v>
      </c>
      <c r="DI500">
        <v>2</v>
      </c>
      <c r="DJ500">
        <v>1</v>
      </c>
      <c r="DK500">
        <v>2</v>
      </c>
      <c r="DL500">
        <v>19</v>
      </c>
      <c r="DM500">
        <v>1</v>
      </c>
      <c r="DN500">
        <v>7</v>
      </c>
      <c r="DO500">
        <v>938</v>
      </c>
      <c r="DP500">
        <v>1</v>
      </c>
      <c r="DQ500">
        <v>3</v>
      </c>
      <c r="DR500">
        <v>4</v>
      </c>
      <c r="DS500">
        <v>2</v>
      </c>
      <c r="DT500">
        <v>6</v>
      </c>
      <c r="DU500">
        <v>78</v>
      </c>
      <c r="DV500">
        <v>57</v>
      </c>
      <c r="DW500">
        <v>3</v>
      </c>
      <c r="DX500">
        <v>129</v>
      </c>
      <c r="DY500">
        <v>8</v>
      </c>
      <c r="DZ500">
        <v>719</v>
      </c>
      <c r="EA500">
        <v>0.93630000000000002</v>
      </c>
      <c r="EB500">
        <v>0.94109599175953795</v>
      </c>
      <c r="EC500">
        <v>0.93667389253350097</v>
      </c>
      <c r="ED500">
        <v>0.93487482143720801</v>
      </c>
      <c r="EE500">
        <f>SUM(Table1[[#This Row],[ratio_0]:[ratio_9]])</f>
        <v>460</v>
      </c>
      <c r="EF500" s="1">
        <f>(Table1[[#This Row],[predicted_0]]-Table1[[#This Row],[actual_0]])/Table1[[#This Row],[actual_0]]</f>
        <v>-1.3265306122448979E-2</v>
      </c>
      <c r="EG500" s="1">
        <f>(Table1[[#This Row],[predicted_1]]-Table1[[#This Row],[actual_1]])/Table1[[#This Row],[actual_1]]</f>
        <v>-1.7621145374449341E-2</v>
      </c>
      <c r="EH500" s="1">
        <f>(Table1[[#This Row],[predicted_2]]-Table1[[#This Row],[actual_2]])/Table1[[#This Row],[actual_2]]</f>
        <v>-1.7441860465116279E-2</v>
      </c>
      <c r="EI500" s="1">
        <f>(Table1[[#This Row],[predicted_3]]-Table1[[#This Row],[actual_3]])/Table1[[#This Row],[actual_3]]</f>
        <v>-8.7128712871287123E-2</v>
      </c>
      <c r="EJ500" s="1">
        <f>(Table1[[#This Row],[predicted_4]]-Table1[[#This Row],[actual_4]])/Table1[[#This Row],[actual_4]]</f>
        <v>2.7494908350305498E-2</v>
      </c>
      <c r="EK500" s="1">
        <f>(Table1[[#This Row],[predicted_5]]-Table1[[#This Row],[actual_5]])/Table1[[#This Row],[actual_5]]</f>
        <v>0.23094170403587444</v>
      </c>
      <c r="EL500" s="1">
        <f>(Table1[[#This Row],[predicted_6]]-Table1[[#This Row],[actual_6]])/Table1[[#This Row],[actual_6]]</f>
        <v>-1.4613778705636743E-2</v>
      </c>
      <c r="EM500" s="1">
        <f>(Table1[[#This Row],[predicted_7]]-Table1[[#This Row],[actual_7]])/Table1[[#This Row],[actual_7]]</f>
        <v>0.18871595330739299</v>
      </c>
      <c r="EN500" s="1">
        <f>(Table1[[#This Row],[predicted_8]]-Table1[[#This Row],[actual_8]])/Table1[[#This Row],[actual_8]]</f>
        <v>2.0533880903490761E-3</v>
      </c>
      <c r="EO500" s="1">
        <f>(Table1[[#This Row],[predicted_9]]-Table1[[#This Row],[actual_9]])/Table1[[#This Row],[actual_9]]</f>
        <v>-0.27353815659068387</v>
      </c>
      <c r="EP500" s="1">
        <f>1+(Table1[[#This Row],[error_ratio_0]]-EF$2)</f>
        <v>0.98469387755102045</v>
      </c>
      <c r="EQ500" s="1">
        <f>1+(Table1[[#This Row],[error_ratio_1]]-EG$2)</f>
        <v>0.98061674008810573</v>
      </c>
      <c r="ER500" s="1">
        <f>1+(Table1[[#This Row],[error_ratio_2]]-EH$2)</f>
        <v>0.98740310077519378</v>
      </c>
      <c r="ES500" s="1">
        <f>1+(Table1[[#This Row],[error_ratio_3]]-EI$2)</f>
        <v>0.902970297029703</v>
      </c>
      <c r="ET500" s="1">
        <f>1+(Table1[[#This Row],[error_ratio_4]]-EJ$2)</f>
        <v>1.0264765784114054</v>
      </c>
      <c r="EU500" s="1">
        <f>1+(Table1[[#This Row],[error_ratio_5]]-EK$2)</f>
        <v>1.2298206278026906</v>
      </c>
      <c r="EV500" s="1">
        <f>1+(Table1[[#This Row],[error_ratio_6]]-EL$2)</f>
        <v>0.99164926931106467</v>
      </c>
      <c r="EW500" s="1">
        <f>1+(Table1[[#This Row],[error_ratio_7]]-EM$2)</f>
        <v>1.1867704280155642</v>
      </c>
      <c r="EX500" s="1">
        <f>1+(Table1[[#This Row],[error_ratio_8]]-EN$2)</f>
        <v>1.0051334702258727</v>
      </c>
      <c r="EY500" s="1">
        <f>1+(Table1[[#This Row],[error_ratio_9]]-EO$2)</f>
        <v>0.73042616451932607</v>
      </c>
    </row>
    <row r="501" spans="1:155" x14ac:dyDescent="0.75">
      <c r="A501">
        <v>100</v>
      </c>
      <c r="B501">
        <v>100</v>
      </c>
      <c r="C501">
        <v>100</v>
      </c>
      <c r="D501">
        <v>100</v>
      </c>
      <c r="E501">
        <v>100</v>
      </c>
      <c r="F501">
        <v>10</v>
      </c>
      <c r="G501">
        <v>100</v>
      </c>
      <c r="H501">
        <v>100</v>
      </c>
      <c r="I501">
        <v>100</v>
      </c>
      <c r="J501">
        <v>10</v>
      </c>
      <c r="K501">
        <v>995</v>
      </c>
      <c r="L501">
        <v>1148</v>
      </c>
      <c r="M501">
        <v>1031</v>
      </c>
      <c r="N501">
        <v>1041</v>
      </c>
      <c r="O501">
        <v>985</v>
      </c>
      <c r="P501">
        <v>849</v>
      </c>
      <c r="Q501">
        <v>969</v>
      </c>
      <c r="R501">
        <v>1039</v>
      </c>
      <c r="S501">
        <v>1000</v>
      </c>
      <c r="T501">
        <v>943</v>
      </c>
      <c r="U501">
        <v>980</v>
      </c>
      <c r="V501">
        <v>1135</v>
      </c>
      <c r="W501">
        <v>1032</v>
      </c>
      <c r="X501">
        <v>1010</v>
      </c>
      <c r="Y501">
        <v>982</v>
      </c>
      <c r="Z501">
        <v>892</v>
      </c>
      <c r="AA501">
        <v>958</v>
      </c>
      <c r="AB501">
        <v>1028</v>
      </c>
      <c r="AC501">
        <v>974</v>
      </c>
      <c r="AD501">
        <v>1009</v>
      </c>
      <c r="AE501">
        <v>976</v>
      </c>
      <c r="AF501">
        <v>0</v>
      </c>
      <c r="AG501">
        <v>0</v>
      </c>
      <c r="AH501">
        <v>0</v>
      </c>
      <c r="AI501">
        <v>0</v>
      </c>
      <c r="AJ501">
        <v>0</v>
      </c>
      <c r="AK501">
        <v>1</v>
      </c>
      <c r="AL501">
        <v>1</v>
      </c>
      <c r="AM501">
        <v>2</v>
      </c>
      <c r="AN501">
        <v>0</v>
      </c>
      <c r="AO501">
        <v>0</v>
      </c>
      <c r="AP501">
        <v>1133</v>
      </c>
      <c r="AQ501">
        <v>0</v>
      </c>
      <c r="AR501">
        <v>0</v>
      </c>
      <c r="AS501">
        <v>0</v>
      </c>
      <c r="AT501">
        <v>0</v>
      </c>
      <c r="AU501">
        <v>2</v>
      </c>
      <c r="AV501">
        <v>0</v>
      </c>
      <c r="AW501">
        <v>0</v>
      </c>
      <c r="AX501">
        <v>0</v>
      </c>
      <c r="AY501">
        <v>2</v>
      </c>
      <c r="AZ501">
        <v>2</v>
      </c>
      <c r="BA501">
        <v>1022</v>
      </c>
      <c r="BB501">
        <v>0</v>
      </c>
      <c r="BC501">
        <v>0</v>
      </c>
      <c r="BD501">
        <v>0</v>
      </c>
      <c r="BE501">
        <v>2</v>
      </c>
      <c r="BF501">
        <v>3</v>
      </c>
      <c r="BG501">
        <v>1</v>
      </c>
      <c r="BH501">
        <v>0</v>
      </c>
      <c r="BI501">
        <v>0</v>
      </c>
      <c r="BJ501">
        <v>0</v>
      </c>
      <c r="BK501">
        <v>1</v>
      </c>
      <c r="BL501">
        <v>1005</v>
      </c>
      <c r="BM501">
        <v>0</v>
      </c>
      <c r="BN501">
        <v>2</v>
      </c>
      <c r="BO501">
        <v>0</v>
      </c>
      <c r="BP501">
        <v>1</v>
      </c>
      <c r="BQ501">
        <v>1</v>
      </c>
      <c r="BR501">
        <v>0</v>
      </c>
      <c r="BS501">
        <v>0</v>
      </c>
      <c r="BT501">
        <v>0</v>
      </c>
      <c r="BU501">
        <v>0</v>
      </c>
      <c r="BV501">
        <v>0</v>
      </c>
      <c r="BW501">
        <v>976</v>
      </c>
      <c r="BX501">
        <v>0</v>
      </c>
      <c r="BY501">
        <v>4</v>
      </c>
      <c r="BZ501">
        <v>0</v>
      </c>
      <c r="CA501">
        <v>1</v>
      </c>
      <c r="CB501">
        <v>1</v>
      </c>
      <c r="CC501">
        <v>4</v>
      </c>
      <c r="CD501">
        <v>0</v>
      </c>
      <c r="CE501">
        <v>1</v>
      </c>
      <c r="CF501">
        <v>24</v>
      </c>
      <c r="CG501">
        <v>0</v>
      </c>
      <c r="CH501">
        <v>840</v>
      </c>
      <c r="CI501">
        <v>9</v>
      </c>
      <c r="CJ501">
        <v>1</v>
      </c>
      <c r="CK501">
        <v>13</v>
      </c>
      <c r="CL501">
        <v>0</v>
      </c>
      <c r="CM501">
        <v>4</v>
      </c>
      <c r="CN501">
        <v>2</v>
      </c>
      <c r="CO501">
        <v>0</v>
      </c>
      <c r="CP501">
        <v>0</v>
      </c>
      <c r="CQ501">
        <v>1</v>
      </c>
      <c r="CR501">
        <v>1</v>
      </c>
      <c r="CS501">
        <v>950</v>
      </c>
      <c r="CT501">
        <v>0</v>
      </c>
      <c r="CU501">
        <v>0</v>
      </c>
      <c r="CV501">
        <v>0</v>
      </c>
      <c r="CW501">
        <v>0</v>
      </c>
      <c r="CX501">
        <v>6</v>
      </c>
      <c r="CY501">
        <v>4</v>
      </c>
      <c r="CZ501">
        <v>0</v>
      </c>
      <c r="DA501">
        <v>0</v>
      </c>
      <c r="DB501">
        <v>0</v>
      </c>
      <c r="DC501">
        <v>0</v>
      </c>
      <c r="DD501">
        <v>1017</v>
      </c>
      <c r="DE501">
        <v>1</v>
      </c>
      <c r="DF501">
        <v>0</v>
      </c>
      <c r="DG501">
        <v>1</v>
      </c>
      <c r="DH501">
        <v>0</v>
      </c>
      <c r="DI501">
        <v>2</v>
      </c>
      <c r="DJ501">
        <v>2</v>
      </c>
      <c r="DK501">
        <v>0</v>
      </c>
      <c r="DL501">
        <v>0</v>
      </c>
      <c r="DM501">
        <v>1</v>
      </c>
      <c r="DN501">
        <v>3</v>
      </c>
      <c r="DO501">
        <v>965</v>
      </c>
      <c r="DP501">
        <v>0</v>
      </c>
      <c r="DQ501">
        <v>8</v>
      </c>
      <c r="DR501">
        <v>5</v>
      </c>
      <c r="DS501">
        <v>1</v>
      </c>
      <c r="DT501">
        <v>10</v>
      </c>
      <c r="DU501">
        <v>8</v>
      </c>
      <c r="DV501">
        <v>6</v>
      </c>
      <c r="DW501">
        <v>0</v>
      </c>
      <c r="DX501">
        <v>13</v>
      </c>
      <c r="DY501">
        <v>16</v>
      </c>
      <c r="DZ501">
        <v>942</v>
      </c>
      <c r="EA501">
        <v>0.98260000000000003</v>
      </c>
      <c r="EB501">
        <v>0.98279465419719103</v>
      </c>
      <c r="EC501">
        <v>0.982041614672717</v>
      </c>
      <c r="ED501">
        <v>0.98219423735178701</v>
      </c>
      <c r="EE501">
        <f>SUM(Table1[[#This Row],[ratio_0]:[ratio_9]])</f>
        <v>820</v>
      </c>
      <c r="EF501" s="1">
        <f>(Table1[[#This Row],[predicted_0]]-Table1[[#This Row],[actual_0]])/Table1[[#This Row],[actual_0]]</f>
        <v>1.5306122448979591E-2</v>
      </c>
      <c r="EG501" s="1">
        <f>(Table1[[#This Row],[predicted_1]]-Table1[[#This Row],[actual_1]])/Table1[[#This Row],[actual_1]]</f>
        <v>1.145374449339207E-2</v>
      </c>
      <c r="EH501" s="1">
        <f>(Table1[[#This Row],[predicted_2]]-Table1[[#This Row],[actual_2]])/Table1[[#This Row],[actual_2]]</f>
        <v>-9.6899224806201549E-4</v>
      </c>
      <c r="EI501" s="1">
        <f>(Table1[[#This Row],[predicted_3]]-Table1[[#This Row],[actual_3]])/Table1[[#This Row],[actual_3]]</f>
        <v>3.0693069306930693E-2</v>
      </c>
      <c r="EJ501" s="1">
        <f>(Table1[[#This Row],[predicted_4]]-Table1[[#This Row],[actual_4]])/Table1[[#This Row],[actual_4]]</f>
        <v>3.0549898167006109E-3</v>
      </c>
      <c r="EK501" s="1">
        <f>(Table1[[#This Row],[predicted_5]]-Table1[[#This Row],[actual_5]])/Table1[[#This Row],[actual_5]]</f>
        <v>-4.820627802690583E-2</v>
      </c>
      <c r="EL501" s="1">
        <f>(Table1[[#This Row],[predicted_6]]-Table1[[#This Row],[actual_6]])/Table1[[#This Row],[actual_6]]</f>
        <v>1.1482254697286013E-2</v>
      </c>
      <c r="EM501" s="1">
        <f>(Table1[[#This Row],[predicted_7]]-Table1[[#This Row],[actual_7]])/Table1[[#This Row],[actual_7]]</f>
        <v>1.0700389105058366E-2</v>
      </c>
      <c r="EN501" s="1">
        <f>(Table1[[#This Row],[predicted_8]]-Table1[[#This Row],[actual_8]])/Table1[[#This Row],[actual_8]]</f>
        <v>2.6694045174537988E-2</v>
      </c>
      <c r="EO501" s="1">
        <f>(Table1[[#This Row],[predicted_9]]-Table1[[#This Row],[actual_9]])/Table1[[#This Row],[actual_9]]</f>
        <v>-6.5411298315163527E-2</v>
      </c>
      <c r="EP501" s="1">
        <f>1+(Table1[[#This Row],[error_ratio_0]]-EF$2)</f>
        <v>1.013265306122449</v>
      </c>
      <c r="EQ501" s="1">
        <f>1+(Table1[[#This Row],[error_ratio_1]]-EG$2)</f>
        <v>1.0096916299559471</v>
      </c>
      <c r="ER501" s="1">
        <f>1+(Table1[[#This Row],[error_ratio_2]]-EH$2)</f>
        <v>1.0038759689922481</v>
      </c>
      <c r="ES501" s="1">
        <f>1+(Table1[[#This Row],[error_ratio_3]]-EI$2)</f>
        <v>1.0207920792079208</v>
      </c>
      <c r="ET501" s="1">
        <f>1+(Table1[[#This Row],[error_ratio_4]]-EJ$2)</f>
        <v>1.0020366598778003</v>
      </c>
      <c r="EU501" s="1">
        <f>1+(Table1[[#This Row],[error_ratio_5]]-EK$2)</f>
        <v>0.95067264573991028</v>
      </c>
      <c r="EV501" s="1">
        <f>1+(Table1[[#This Row],[error_ratio_6]]-EL$2)</f>
        <v>1.0177453027139876</v>
      </c>
      <c r="EW501" s="1">
        <f>1+(Table1[[#This Row],[error_ratio_7]]-EM$2)</f>
        <v>1.0087548638132295</v>
      </c>
      <c r="EX501" s="1">
        <f>1+(Table1[[#This Row],[error_ratio_8]]-EN$2)</f>
        <v>1.0297741273100616</v>
      </c>
      <c r="EY501" s="1">
        <f>1+(Table1[[#This Row],[error_ratio_9]]-EO$2)</f>
        <v>0.93855302279484643</v>
      </c>
    </row>
    <row r="502" spans="1:155" x14ac:dyDescent="0.75">
      <c r="A502">
        <v>10</v>
      </c>
      <c r="B502">
        <v>100</v>
      </c>
      <c r="C502">
        <v>100</v>
      </c>
      <c r="D502">
        <v>100</v>
      </c>
      <c r="E502">
        <v>100</v>
      </c>
      <c r="F502">
        <v>10</v>
      </c>
      <c r="G502">
        <v>100</v>
      </c>
      <c r="H502">
        <v>100</v>
      </c>
      <c r="I502">
        <v>100</v>
      </c>
      <c r="J502">
        <v>10</v>
      </c>
      <c r="K502">
        <v>946</v>
      </c>
      <c r="L502">
        <v>1138</v>
      </c>
      <c r="M502">
        <v>1040</v>
      </c>
      <c r="N502">
        <v>1049</v>
      </c>
      <c r="O502">
        <v>1006</v>
      </c>
      <c r="P502">
        <v>877</v>
      </c>
      <c r="Q502">
        <v>964</v>
      </c>
      <c r="R502">
        <v>1031</v>
      </c>
      <c r="S502">
        <v>1082</v>
      </c>
      <c r="T502">
        <v>867</v>
      </c>
      <c r="U502">
        <v>980</v>
      </c>
      <c r="V502">
        <v>1135</v>
      </c>
      <c r="W502">
        <v>1032</v>
      </c>
      <c r="X502">
        <v>1010</v>
      </c>
      <c r="Y502">
        <v>982</v>
      </c>
      <c r="Z502">
        <v>892</v>
      </c>
      <c r="AA502">
        <v>958</v>
      </c>
      <c r="AB502">
        <v>1028</v>
      </c>
      <c r="AC502">
        <v>974</v>
      </c>
      <c r="AD502">
        <v>1009</v>
      </c>
      <c r="AE502">
        <v>942</v>
      </c>
      <c r="AF502">
        <v>0</v>
      </c>
      <c r="AG502">
        <v>6</v>
      </c>
      <c r="AH502">
        <v>1</v>
      </c>
      <c r="AI502">
        <v>0</v>
      </c>
      <c r="AJ502">
        <v>2</v>
      </c>
      <c r="AK502">
        <v>11</v>
      </c>
      <c r="AL502">
        <v>2</v>
      </c>
      <c r="AM502">
        <v>16</v>
      </c>
      <c r="AN502">
        <v>0</v>
      </c>
      <c r="AO502">
        <v>0</v>
      </c>
      <c r="AP502">
        <v>1126</v>
      </c>
      <c r="AQ502">
        <v>1</v>
      </c>
      <c r="AR502">
        <v>1</v>
      </c>
      <c r="AS502">
        <v>0</v>
      </c>
      <c r="AT502">
        <v>1</v>
      </c>
      <c r="AU502">
        <v>2</v>
      </c>
      <c r="AV502">
        <v>0</v>
      </c>
      <c r="AW502">
        <v>4</v>
      </c>
      <c r="AX502">
        <v>0</v>
      </c>
      <c r="AY502">
        <v>0</v>
      </c>
      <c r="AZ502">
        <v>3</v>
      </c>
      <c r="BA502">
        <v>1019</v>
      </c>
      <c r="BB502">
        <v>2</v>
      </c>
      <c r="BC502">
        <v>0</v>
      </c>
      <c r="BD502">
        <v>0</v>
      </c>
      <c r="BE502">
        <v>0</v>
      </c>
      <c r="BF502">
        <v>4</v>
      </c>
      <c r="BG502">
        <v>4</v>
      </c>
      <c r="BH502">
        <v>0</v>
      </c>
      <c r="BI502">
        <v>0</v>
      </c>
      <c r="BJ502">
        <v>0</v>
      </c>
      <c r="BK502">
        <v>0</v>
      </c>
      <c r="BL502">
        <v>1004</v>
      </c>
      <c r="BM502">
        <v>0</v>
      </c>
      <c r="BN502">
        <v>2</v>
      </c>
      <c r="BO502">
        <v>0</v>
      </c>
      <c r="BP502">
        <v>1</v>
      </c>
      <c r="BQ502">
        <v>3</v>
      </c>
      <c r="BR502">
        <v>0</v>
      </c>
      <c r="BS502">
        <v>0</v>
      </c>
      <c r="BT502">
        <v>1</v>
      </c>
      <c r="BU502">
        <v>1</v>
      </c>
      <c r="BV502">
        <v>0</v>
      </c>
      <c r="BW502">
        <v>972</v>
      </c>
      <c r="BX502">
        <v>0</v>
      </c>
      <c r="BY502">
        <v>5</v>
      </c>
      <c r="BZ502">
        <v>0</v>
      </c>
      <c r="CA502">
        <v>2</v>
      </c>
      <c r="CB502">
        <v>1</v>
      </c>
      <c r="CC502">
        <v>1</v>
      </c>
      <c r="CD502">
        <v>0</v>
      </c>
      <c r="CE502">
        <v>1</v>
      </c>
      <c r="CF502">
        <v>18</v>
      </c>
      <c r="CG502">
        <v>0</v>
      </c>
      <c r="CH502">
        <v>855</v>
      </c>
      <c r="CI502">
        <v>1</v>
      </c>
      <c r="CJ502">
        <v>0</v>
      </c>
      <c r="CK502">
        <v>16</v>
      </c>
      <c r="CL502">
        <v>0</v>
      </c>
      <c r="CM502">
        <v>1</v>
      </c>
      <c r="CN502">
        <v>2</v>
      </c>
      <c r="CO502">
        <v>0</v>
      </c>
      <c r="CP502">
        <v>1</v>
      </c>
      <c r="CQ502">
        <v>1</v>
      </c>
      <c r="CR502">
        <v>2</v>
      </c>
      <c r="CS502">
        <v>944</v>
      </c>
      <c r="CT502">
        <v>0</v>
      </c>
      <c r="CU502">
        <v>7</v>
      </c>
      <c r="CV502">
        <v>0</v>
      </c>
      <c r="CW502">
        <v>0</v>
      </c>
      <c r="CX502">
        <v>3</v>
      </c>
      <c r="CY502">
        <v>9</v>
      </c>
      <c r="CZ502">
        <v>0</v>
      </c>
      <c r="DA502">
        <v>0</v>
      </c>
      <c r="DB502">
        <v>0</v>
      </c>
      <c r="DC502">
        <v>0</v>
      </c>
      <c r="DD502">
        <v>1014</v>
      </c>
      <c r="DE502">
        <v>2</v>
      </c>
      <c r="DF502">
        <v>0</v>
      </c>
      <c r="DG502">
        <v>0</v>
      </c>
      <c r="DH502">
        <v>0</v>
      </c>
      <c r="DI502">
        <v>2</v>
      </c>
      <c r="DJ502">
        <v>8</v>
      </c>
      <c r="DK502">
        <v>0</v>
      </c>
      <c r="DL502">
        <v>1</v>
      </c>
      <c r="DM502">
        <v>0</v>
      </c>
      <c r="DN502">
        <v>0</v>
      </c>
      <c r="DO502">
        <v>963</v>
      </c>
      <c r="DP502">
        <v>0</v>
      </c>
      <c r="DQ502">
        <v>2</v>
      </c>
      <c r="DR502">
        <v>3</v>
      </c>
      <c r="DS502">
        <v>1</v>
      </c>
      <c r="DT502">
        <v>14</v>
      </c>
      <c r="DU502">
        <v>33</v>
      </c>
      <c r="DV502">
        <v>14</v>
      </c>
      <c r="DW502">
        <v>1</v>
      </c>
      <c r="DX502">
        <v>10</v>
      </c>
      <c r="DY502">
        <v>65</v>
      </c>
      <c r="DZ502">
        <v>866</v>
      </c>
      <c r="EA502">
        <v>0.97050000000000003</v>
      </c>
      <c r="EB502">
        <v>0.97148831614281395</v>
      </c>
      <c r="EC502">
        <v>0.97018437911481803</v>
      </c>
      <c r="ED502">
        <v>0.96995563175143196</v>
      </c>
      <c r="EE502">
        <f>SUM(Table1[[#This Row],[ratio_0]:[ratio_9]])</f>
        <v>730</v>
      </c>
      <c r="EF502" s="1">
        <f>(Table1[[#This Row],[predicted_0]]-Table1[[#This Row],[actual_0]])/Table1[[#This Row],[actual_0]]</f>
        <v>-3.4693877551020408E-2</v>
      </c>
      <c r="EG502" s="1">
        <f>(Table1[[#This Row],[predicted_1]]-Table1[[#This Row],[actual_1]])/Table1[[#This Row],[actual_1]]</f>
        <v>2.6431718061674008E-3</v>
      </c>
      <c r="EH502" s="1">
        <f>(Table1[[#This Row],[predicted_2]]-Table1[[#This Row],[actual_2]])/Table1[[#This Row],[actual_2]]</f>
        <v>7.7519379844961239E-3</v>
      </c>
      <c r="EI502" s="1">
        <f>(Table1[[#This Row],[predicted_3]]-Table1[[#This Row],[actual_3]])/Table1[[#This Row],[actual_3]]</f>
        <v>3.8613861386138613E-2</v>
      </c>
      <c r="EJ502" s="1">
        <f>(Table1[[#This Row],[predicted_4]]-Table1[[#This Row],[actual_4]])/Table1[[#This Row],[actual_4]]</f>
        <v>2.4439918533604887E-2</v>
      </c>
      <c r="EK502" s="1">
        <f>(Table1[[#This Row],[predicted_5]]-Table1[[#This Row],[actual_5]])/Table1[[#This Row],[actual_5]]</f>
        <v>-1.6816143497757848E-2</v>
      </c>
      <c r="EL502" s="1">
        <f>(Table1[[#This Row],[predicted_6]]-Table1[[#This Row],[actual_6]])/Table1[[#This Row],[actual_6]]</f>
        <v>6.2630480167014616E-3</v>
      </c>
      <c r="EM502" s="1">
        <f>(Table1[[#This Row],[predicted_7]]-Table1[[#This Row],[actual_7]])/Table1[[#This Row],[actual_7]]</f>
        <v>2.9182879377431907E-3</v>
      </c>
      <c r="EN502" s="1">
        <f>(Table1[[#This Row],[predicted_8]]-Table1[[#This Row],[actual_8]])/Table1[[#This Row],[actual_8]]</f>
        <v>0.11088295687885011</v>
      </c>
      <c r="EO502" s="1">
        <f>(Table1[[#This Row],[predicted_9]]-Table1[[#This Row],[actual_9]])/Table1[[#This Row],[actual_9]]</f>
        <v>-0.14073339940535184</v>
      </c>
      <c r="EP502" s="1">
        <f>1+(Table1[[#This Row],[error_ratio_0]]-EF$2)</f>
        <v>0.96326530612244898</v>
      </c>
      <c r="EQ502" s="1">
        <f>1+(Table1[[#This Row],[error_ratio_1]]-EG$2)</f>
        <v>1.0008810572687226</v>
      </c>
      <c r="ER502" s="1">
        <f>1+(Table1[[#This Row],[error_ratio_2]]-EH$2)</f>
        <v>1.0125968992248062</v>
      </c>
      <c r="ES502" s="1">
        <f>1+(Table1[[#This Row],[error_ratio_3]]-EI$2)</f>
        <v>1.0287128712871287</v>
      </c>
      <c r="ET502" s="1">
        <f>1+(Table1[[#This Row],[error_ratio_4]]-EJ$2)</f>
        <v>1.0234215885947047</v>
      </c>
      <c r="EU502" s="1">
        <f>1+(Table1[[#This Row],[error_ratio_5]]-EK$2)</f>
        <v>0.98206278026905824</v>
      </c>
      <c r="EV502" s="1">
        <f>1+(Table1[[#This Row],[error_ratio_6]]-EL$2)</f>
        <v>1.0125260960334028</v>
      </c>
      <c r="EW502" s="1">
        <f>1+(Table1[[#This Row],[error_ratio_7]]-EM$2)</f>
        <v>1.0009727626459144</v>
      </c>
      <c r="EX502" s="1">
        <f>1+(Table1[[#This Row],[error_ratio_8]]-EN$2)</f>
        <v>1.1139630390143738</v>
      </c>
      <c r="EY502" s="1">
        <f>1+(Table1[[#This Row],[error_ratio_9]]-EO$2)</f>
        <v>0.86323092170465809</v>
      </c>
    </row>
    <row r="503" spans="1:155" x14ac:dyDescent="0.75">
      <c r="A503">
        <v>100</v>
      </c>
      <c r="B503">
        <v>10</v>
      </c>
      <c r="C503">
        <v>100</v>
      </c>
      <c r="D503">
        <v>100</v>
      </c>
      <c r="E503">
        <v>100</v>
      </c>
      <c r="F503">
        <v>10</v>
      </c>
      <c r="G503">
        <v>100</v>
      </c>
      <c r="H503">
        <v>100</v>
      </c>
      <c r="I503">
        <v>100</v>
      </c>
      <c r="J503">
        <v>10</v>
      </c>
      <c r="K503">
        <v>1003</v>
      </c>
      <c r="L503">
        <v>1123</v>
      </c>
      <c r="M503">
        <v>1027</v>
      </c>
      <c r="N503">
        <v>997</v>
      </c>
      <c r="O503">
        <v>1002</v>
      </c>
      <c r="P503">
        <v>866</v>
      </c>
      <c r="Q503">
        <v>992</v>
      </c>
      <c r="R503">
        <v>1067</v>
      </c>
      <c r="S503">
        <v>1014</v>
      </c>
      <c r="T503">
        <v>909</v>
      </c>
      <c r="U503">
        <v>980</v>
      </c>
      <c r="V503">
        <v>1135</v>
      </c>
      <c r="W503">
        <v>1032</v>
      </c>
      <c r="X503">
        <v>1010</v>
      </c>
      <c r="Y503">
        <v>982</v>
      </c>
      <c r="Z503">
        <v>892</v>
      </c>
      <c r="AA503">
        <v>958</v>
      </c>
      <c r="AB503">
        <v>1028</v>
      </c>
      <c r="AC503">
        <v>974</v>
      </c>
      <c r="AD503">
        <v>1009</v>
      </c>
      <c r="AE503">
        <v>976</v>
      </c>
      <c r="AF503">
        <v>0</v>
      </c>
      <c r="AG503">
        <v>0</v>
      </c>
      <c r="AH503">
        <v>0</v>
      </c>
      <c r="AI503">
        <v>0</v>
      </c>
      <c r="AJ503">
        <v>0</v>
      </c>
      <c r="AK503">
        <v>2</v>
      </c>
      <c r="AL503">
        <v>1</v>
      </c>
      <c r="AM503">
        <v>1</v>
      </c>
      <c r="AN503">
        <v>0</v>
      </c>
      <c r="AO503">
        <v>0</v>
      </c>
      <c r="AP503">
        <v>1113</v>
      </c>
      <c r="AQ503">
        <v>4</v>
      </c>
      <c r="AR503">
        <v>1</v>
      </c>
      <c r="AS503">
        <v>0</v>
      </c>
      <c r="AT503">
        <v>1</v>
      </c>
      <c r="AU503">
        <v>5</v>
      </c>
      <c r="AV503">
        <v>2</v>
      </c>
      <c r="AW503">
        <v>9</v>
      </c>
      <c r="AX503">
        <v>0</v>
      </c>
      <c r="AY503">
        <v>2</v>
      </c>
      <c r="AZ503">
        <v>0</v>
      </c>
      <c r="BA503">
        <v>1015</v>
      </c>
      <c r="BB503">
        <v>0</v>
      </c>
      <c r="BC503">
        <v>3</v>
      </c>
      <c r="BD503">
        <v>0</v>
      </c>
      <c r="BE503">
        <v>1</v>
      </c>
      <c r="BF503">
        <v>10</v>
      </c>
      <c r="BG503">
        <v>1</v>
      </c>
      <c r="BH503">
        <v>0</v>
      </c>
      <c r="BI503">
        <v>0</v>
      </c>
      <c r="BJ503">
        <v>0</v>
      </c>
      <c r="BK503">
        <v>2</v>
      </c>
      <c r="BL503">
        <v>985</v>
      </c>
      <c r="BM503">
        <v>0</v>
      </c>
      <c r="BN503">
        <v>11</v>
      </c>
      <c r="BO503">
        <v>0</v>
      </c>
      <c r="BP503">
        <v>7</v>
      </c>
      <c r="BQ503">
        <v>5</v>
      </c>
      <c r="BR503">
        <v>0</v>
      </c>
      <c r="BS503">
        <v>0</v>
      </c>
      <c r="BT503">
        <v>0</v>
      </c>
      <c r="BU503">
        <v>0</v>
      </c>
      <c r="BV503">
        <v>0</v>
      </c>
      <c r="BW503">
        <v>976</v>
      </c>
      <c r="BX503">
        <v>0</v>
      </c>
      <c r="BY503">
        <v>4</v>
      </c>
      <c r="BZ503">
        <v>0</v>
      </c>
      <c r="CA503">
        <v>0</v>
      </c>
      <c r="CB503">
        <v>2</v>
      </c>
      <c r="CC503">
        <v>6</v>
      </c>
      <c r="CD503">
        <v>1</v>
      </c>
      <c r="CE503">
        <v>1</v>
      </c>
      <c r="CF503">
        <v>6</v>
      </c>
      <c r="CG503">
        <v>0</v>
      </c>
      <c r="CH503">
        <v>843</v>
      </c>
      <c r="CI503">
        <v>25</v>
      </c>
      <c r="CJ503">
        <v>2</v>
      </c>
      <c r="CK503">
        <v>8</v>
      </c>
      <c r="CL503">
        <v>0</v>
      </c>
      <c r="CM503">
        <v>5</v>
      </c>
      <c r="CN503">
        <v>2</v>
      </c>
      <c r="CO503">
        <v>0</v>
      </c>
      <c r="CP503">
        <v>0</v>
      </c>
      <c r="CQ503">
        <v>1</v>
      </c>
      <c r="CR503">
        <v>1</v>
      </c>
      <c r="CS503">
        <v>949</v>
      </c>
      <c r="CT503">
        <v>0</v>
      </c>
      <c r="CU503">
        <v>0</v>
      </c>
      <c r="CV503">
        <v>0</v>
      </c>
      <c r="CW503">
        <v>1</v>
      </c>
      <c r="CX503">
        <v>4</v>
      </c>
      <c r="CY503">
        <v>3</v>
      </c>
      <c r="CZ503">
        <v>0</v>
      </c>
      <c r="DA503">
        <v>0</v>
      </c>
      <c r="DB503">
        <v>0</v>
      </c>
      <c r="DC503">
        <v>0</v>
      </c>
      <c r="DD503">
        <v>1019</v>
      </c>
      <c r="DE503">
        <v>1</v>
      </c>
      <c r="DF503">
        <v>0</v>
      </c>
      <c r="DG503">
        <v>5</v>
      </c>
      <c r="DH503">
        <v>0</v>
      </c>
      <c r="DI503">
        <v>1</v>
      </c>
      <c r="DJ503">
        <v>0</v>
      </c>
      <c r="DK503">
        <v>0</v>
      </c>
      <c r="DL503">
        <v>0</v>
      </c>
      <c r="DM503">
        <v>5</v>
      </c>
      <c r="DN503">
        <v>3</v>
      </c>
      <c r="DO503">
        <v>960</v>
      </c>
      <c r="DP503">
        <v>0</v>
      </c>
      <c r="DQ503">
        <v>8</v>
      </c>
      <c r="DR503">
        <v>3</v>
      </c>
      <c r="DS503">
        <v>1</v>
      </c>
      <c r="DT503">
        <v>5</v>
      </c>
      <c r="DU503">
        <v>22</v>
      </c>
      <c r="DV503">
        <v>10</v>
      </c>
      <c r="DW503">
        <v>1</v>
      </c>
      <c r="DX503">
        <v>23</v>
      </c>
      <c r="DY503">
        <v>29</v>
      </c>
      <c r="DZ503">
        <v>907</v>
      </c>
      <c r="EA503">
        <v>0.97430000000000005</v>
      </c>
      <c r="EB503">
        <v>0.97441610426609604</v>
      </c>
      <c r="EC503">
        <v>0.97406537081350697</v>
      </c>
      <c r="ED503">
        <v>0.97382879561091196</v>
      </c>
      <c r="EE503">
        <f>SUM(Table1[[#This Row],[ratio_0]:[ratio_9]])</f>
        <v>730</v>
      </c>
      <c r="EF503" s="1">
        <f>(Table1[[#This Row],[predicted_0]]-Table1[[#This Row],[actual_0]])/Table1[[#This Row],[actual_0]]</f>
        <v>2.3469387755102041E-2</v>
      </c>
      <c r="EG503" s="1">
        <f>(Table1[[#This Row],[predicted_1]]-Table1[[#This Row],[actual_1]])/Table1[[#This Row],[actual_1]]</f>
        <v>-1.0572687224669603E-2</v>
      </c>
      <c r="EH503" s="1">
        <f>(Table1[[#This Row],[predicted_2]]-Table1[[#This Row],[actual_2]])/Table1[[#This Row],[actual_2]]</f>
        <v>-4.8449612403100775E-3</v>
      </c>
      <c r="EI503" s="1">
        <f>(Table1[[#This Row],[predicted_3]]-Table1[[#This Row],[actual_3]])/Table1[[#This Row],[actual_3]]</f>
        <v>-1.2871287128712871E-2</v>
      </c>
      <c r="EJ503" s="1">
        <f>(Table1[[#This Row],[predicted_4]]-Table1[[#This Row],[actual_4]])/Table1[[#This Row],[actual_4]]</f>
        <v>2.0366598778004074E-2</v>
      </c>
      <c r="EK503" s="1">
        <f>(Table1[[#This Row],[predicted_5]]-Table1[[#This Row],[actual_5]])/Table1[[#This Row],[actual_5]]</f>
        <v>-2.914798206278027E-2</v>
      </c>
      <c r="EL503" s="1">
        <f>(Table1[[#This Row],[predicted_6]]-Table1[[#This Row],[actual_6]])/Table1[[#This Row],[actual_6]]</f>
        <v>3.5490605427974949E-2</v>
      </c>
      <c r="EM503" s="1">
        <f>(Table1[[#This Row],[predicted_7]]-Table1[[#This Row],[actual_7]])/Table1[[#This Row],[actual_7]]</f>
        <v>3.7937743190661476E-2</v>
      </c>
      <c r="EN503" s="1">
        <f>(Table1[[#This Row],[predicted_8]]-Table1[[#This Row],[actual_8]])/Table1[[#This Row],[actual_8]]</f>
        <v>4.1067761806981518E-2</v>
      </c>
      <c r="EO503" s="1">
        <f>(Table1[[#This Row],[predicted_9]]-Table1[[#This Row],[actual_9]])/Table1[[#This Row],[actual_9]]</f>
        <v>-9.9108027750247768E-2</v>
      </c>
      <c r="EP503" s="1">
        <f>1+(Table1[[#This Row],[error_ratio_0]]-EF$2)</f>
        <v>1.0214285714285714</v>
      </c>
      <c r="EQ503" s="1">
        <f>1+(Table1[[#This Row],[error_ratio_1]]-EG$2)</f>
        <v>0.98766519823788546</v>
      </c>
      <c r="ER503" s="1">
        <f>1+(Table1[[#This Row],[error_ratio_2]]-EH$2)</f>
        <v>1</v>
      </c>
      <c r="ES503" s="1">
        <f>1+(Table1[[#This Row],[error_ratio_3]]-EI$2)</f>
        <v>0.97722772277227721</v>
      </c>
      <c r="ET503" s="1">
        <f>1+(Table1[[#This Row],[error_ratio_4]]-EJ$2)</f>
        <v>1.0193482688391038</v>
      </c>
      <c r="EU503" s="1">
        <f>1+(Table1[[#This Row],[error_ratio_5]]-EK$2)</f>
        <v>0.96973094170403584</v>
      </c>
      <c r="EV503" s="1">
        <f>1+(Table1[[#This Row],[error_ratio_6]]-EL$2)</f>
        <v>1.0417536534446765</v>
      </c>
      <c r="EW503" s="1">
        <f>1+(Table1[[#This Row],[error_ratio_7]]-EM$2)</f>
        <v>1.0359922178988328</v>
      </c>
      <c r="EX503" s="1">
        <f>1+(Table1[[#This Row],[error_ratio_8]]-EN$2)</f>
        <v>1.0441478439425051</v>
      </c>
      <c r="EY503" s="1">
        <f>1+(Table1[[#This Row],[error_ratio_9]]-EO$2)</f>
        <v>0.90485629335976214</v>
      </c>
    </row>
    <row r="504" spans="1:155" x14ac:dyDescent="0.75">
      <c r="A504">
        <v>10</v>
      </c>
      <c r="B504">
        <v>10</v>
      </c>
      <c r="C504">
        <v>100</v>
      </c>
      <c r="D504">
        <v>100</v>
      </c>
      <c r="E504">
        <v>100</v>
      </c>
      <c r="F504">
        <v>10</v>
      </c>
      <c r="G504">
        <v>100</v>
      </c>
      <c r="H504">
        <v>100</v>
      </c>
      <c r="I504">
        <v>100</v>
      </c>
      <c r="J504">
        <v>10</v>
      </c>
      <c r="K504">
        <v>954</v>
      </c>
      <c r="L504">
        <v>1116</v>
      </c>
      <c r="M504">
        <v>1051</v>
      </c>
      <c r="N504">
        <v>1037</v>
      </c>
      <c r="O504">
        <v>988</v>
      </c>
      <c r="P504">
        <v>842</v>
      </c>
      <c r="Q504">
        <v>981</v>
      </c>
      <c r="R504">
        <v>1081</v>
      </c>
      <c r="S504">
        <v>999</v>
      </c>
      <c r="T504">
        <v>951</v>
      </c>
      <c r="U504">
        <v>980</v>
      </c>
      <c r="V504">
        <v>1135</v>
      </c>
      <c r="W504">
        <v>1032</v>
      </c>
      <c r="X504">
        <v>1010</v>
      </c>
      <c r="Y504">
        <v>982</v>
      </c>
      <c r="Z504">
        <v>892</v>
      </c>
      <c r="AA504">
        <v>958</v>
      </c>
      <c r="AB504">
        <v>1028</v>
      </c>
      <c r="AC504">
        <v>974</v>
      </c>
      <c r="AD504">
        <v>1009</v>
      </c>
      <c r="AE504">
        <v>947</v>
      </c>
      <c r="AF504">
        <v>0</v>
      </c>
      <c r="AG504">
        <v>9</v>
      </c>
      <c r="AH504">
        <v>0</v>
      </c>
      <c r="AI504">
        <v>3</v>
      </c>
      <c r="AJ504">
        <v>0</v>
      </c>
      <c r="AK504">
        <v>10</v>
      </c>
      <c r="AL504">
        <v>7</v>
      </c>
      <c r="AM504">
        <v>4</v>
      </c>
      <c r="AN504">
        <v>0</v>
      </c>
      <c r="AO504">
        <v>0</v>
      </c>
      <c r="AP504">
        <v>1113</v>
      </c>
      <c r="AQ504">
        <v>5</v>
      </c>
      <c r="AR504">
        <v>7</v>
      </c>
      <c r="AS504">
        <v>0</v>
      </c>
      <c r="AT504">
        <v>0</v>
      </c>
      <c r="AU504">
        <v>2</v>
      </c>
      <c r="AV504">
        <v>6</v>
      </c>
      <c r="AW504">
        <v>2</v>
      </c>
      <c r="AX504">
        <v>0</v>
      </c>
      <c r="AY504">
        <v>0</v>
      </c>
      <c r="AZ504">
        <v>0</v>
      </c>
      <c r="BA504">
        <v>1019</v>
      </c>
      <c r="BB504">
        <v>0</v>
      </c>
      <c r="BC504">
        <v>1</v>
      </c>
      <c r="BD504">
        <v>0</v>
      </c>
      <c r="BE504">
        <v>1</v>
      </c>
      <c r="BF504">
        <v>11</v>
      </c>
      <c r="BG504">
        <v>0</v>
      </c>
      <c r="BH504">
        <v>0</v>
      </c>
      <c r="BI504">
        <v>0</v>
      </c>
      <c r="BJ504">
        <v>0</v>
      </c>
      <c r="BK504">
        <v>6</v>
      </c>
      <c r="BL504">
        <v>997</v>
      </c>
      <c r="BM504">
        <v>0</v>
      </c>
      <c r="BN504">
        <v>1</v>
      </c>
      <c r="BO504">
        <v>0</v>
      </c>
      <c r="BP504">
        <v>6</v>
      </c>
      <c r="BQ504">
        <v>0</v>
      </c>
      <c r="BR504">
        <v>0</v>
      </c>
      <c r="BS504">
        <v>0</v>
      </c>
      <c r="BT504">
        <v>0</v>
      </c>
      <c r="BU504">
        <v>2</v>
      </c>
      <c r="BV504">
        <v>0</v>
      </c>
      <c r="BW504">
        <v>970</v>
      </c>
      <c r="BX504">
        <v>0</v>
      </c>
      <c r="BY504">
        <v>2</v>
      </c>
      <c r="BZ504">
        <v>2</v>
      </c>
      <c r="CA504">
        <v>1</v>
      </c>
      <c r="CB504">
        <v>5</v>
      </c>
      <c r="CC504">
        <v>0</v>
      </c>
      <c r="CD504">
        <v>0</v>
      </c>
      <c r="CE504">
        <v>2</v>
      </c>
      <c r="CF504">
        <v>22</v>
      </c>
      <c r="CG504">
        <v>0</v>
      </c>
      <c r="CH504">
        <v>838</v>
      </c>
      <c r="CI504">
        <v>15</v>
      </c>
      <c r="CJ504">
        <v>2</v>
      </c>
      <c r="CK504">
        <v>8</v>
      </c>
      <c r="CL504">
        <v>5</v>
      </c>
      <c r="CM504">
        <v>3</v>
      </c>
      <c r="CN504">
        <v>2</v>
      </c>
      <c r="CO504">
        <v>1</v>
      </c>
      <c r="CP504">
        <v>0</v>
      </c>
      <c r="CQ504">
        <v>1</v>
      </c>
      <c r="CR504">
        <v>1</v>
      </c>
      <c r="CS504">
        <v>949</v>
      </c>
      <c r="CT504">
        <v>0</v>
      </c>
      <c r="CU504">
        <v>1</v>
      </c>
      <c r="CV504">
        <v>0</v>
      </c>
      <c r="CW504">
        <v>0</v>
      </c>
      <c r="CX504">
        <v>0</v>
      </c>
      <c r="CY504">
        <v>3</v>
      </c>
      <c r="CZ504">
        <v>1</v>
      </c>
      <c r="DA504">
        <v>0</v>
      </c>
      <c r="DB504">
        <v>0</v>
      </c>
      <c r="DC504">
        <v>0</v>
      </c>
      <c r="DD504">
        <v>1024</v>
      </c>
      <c r="DE504">
        <v>0</v>
      </c>
      <c r="DF504">
        <v>0</v>
      </c>
      <c r="DG504">
        <v>2</v>
      </c>
      <c r="DH504">
        <v>0</v>
      </c>
      <c r="DI504">
        <v>2</v>
      </c>
      <c r="DJ504">
        <v>1</v>
      </c>
      <c r="DK504">
        <v>0</v>
      </c>
      <c r="DL504">
        <v>0</v>
      </c>
      <c r="DM504">
        <v>1</v>
      </c>
      <c r="DN504">
        <v>2</v>
      </c>
      <c r="DO504">
        <v>964</v>
      </c>
      <c r="DP504">
        <v>2</v>
      </c>
      <c r="DQ504">
        <v>2</v>
      </c>
      <c r="DR504">
        <v>1</v>
      </c>
      <c r="DS504">
        <v>2</v>
      </c>
      <c r="DT504">
        <v>9</v>
      </c>
      <c r="DU504">
        <v>13</v>
      </c>
      <c r="DV504">
        <v>2</v>
      </c>
      <c r="DW504">
        <v>1</v>
      </c>
      <c r="DX504">
        <v>21</v>
      </c>
      <c r="DY504">
        <v>19</v>
      </c>
      <c r="DZ504">
        <v>939</v>
      </c>
      <c r="EA504">
        <v>0.97599999999999998</v>
      </c>
      <c r="EB504">
        <v>0.97649830231488499</v>
      </c>
      <c r="EC504">
        <v>0.97557888260024705</v>
      </c>
      <c r="ED504">
        <v>0.97573259745556695</v>
      </c>
      <c r="EE504">
        <f>SUM(Table1[[#This Row],[ratio_0]:[ratio_9]])</f>
        <v>640</v>
      </c>
      <c r="EF504" s="1">
        <f>(Table1[[#This Row],[predicted_0]]-Table1[[#This Row],[actual_0]])/Table1[[#This Row],[actual_0]]</f>
        <v>-2.6530612244897958E-2</v>
      </c>
      <c r="EG504" s="1">
        <f>(Table1[[#This Row],[predicted_1]]-Table1[[#This Row],[actual_1]])/Table1[[#This Row],[actual_1]]</f>
        <v>-1.6740088105726872E-2</v>
      </c>
      <c r="EH504" s="1">
        <f>(Table1[[#This Row],[predicted_2]]-Table1[[#This Row],[actual_2]])/Table1[[#This Row],[actual_2]]</f>
        <v>1.8410852713178296E-2</v>
      </c>
      <c r="EI504" s="1">
        <f>(Table1[[#This Row],[predicted_3]]-Table1[[#This Row],[actual_3]])/Table1[[#This Row],[actual_3]]</f>
        <v>2.6732673267326732E-2</v>
      </c>
      <c r="EJ504" s="1">
        <f>(Table1[[#This Row],[predicted_4]]-Table1[[#This Row],[actual_4]])/Table1[[#This Row],[actual_4]]</f>
        <v>6.1099796334012219E-3</v>
      </c>
      <c r="EK504" s="1">
        <f>(Table1[[#This Row],[predicted_5]]-Table1[[#This Row],[actual_5]])/Table1[[#This Row],[actual_5]]</f>
        <v>-5.6053811659192827E-2</v>
      </c>
      <c r="EL504" s="1">
        <f>(Table1[[#This Row],[predicted_6]]-Table1[[#This Row],[actual_6]])/Table1[[#This Row],[actual_6]]</f>
        <v>2.4008350730688934E-2</v>
      </c>
      <c r="EM504" s="1">
        <f>(Table1[[#This Row],[predicted_7]]-Table1[[#This Row],[actual_7]])/Table1[[#This Row],[actual_7]]</f>
        <v>5.1556420233463032E-2</v>
      </c>
      <c r="EN504" s="1">
        <f>(Table1[[#This Row],[predicted_8]]-Table1[[#This Row],[actual_8]])/Table1[[#This Row],[actual_8]]</f>
        <v>2.5667351129363448E-2</v>
      </c>
      <c r="EO504" s="1">
        <f>(Table1[[#This Row],[predicted_9]]-Table1[[#This Row],[actual_9]])/Table1[[#This Row],[actual_9]]</f>
        <v>-5.7482656095143705E-2</v>
      </c>
      <c r="EP504" s="1">
        <f>1+(Table1[[#This Row],[error_ratio_0]]-EF$2)</f>
        <v>0.97142857142857142</v>
      </c>
      <c r="EQ504" s="1">
        <f>1+(Table1[[#This Row],[error_ratio_1]]-EG$2)</f>
        <v>0.98149779735682818</v>
      </c>
      <c r="ER504" s="1">
        <f>1+(Table1[[#This Row],[error_ratio_2]]-EH$2)</f>
        <v>1.0232558139534884</v>
      </c>
      <c r="ES504" s="1">
        <f>1+(Table1[[#This Row],[error_ratio_3]]-EI$2)</f>
        <v>1.0168316831683168</v>
      </c>
      <c r="ET504" s="1">
        <f>1+(Table1[[#This Row],[error_ratio_4]]-EJ$2)</f>
        <v>1.005091649694501</v>
      </c>
      <c r="EU504" s="1">
        <f>1+(Table1[[#This Row],[error_ratio_5]]-EK$2)</f>
        <v>0.94282511210762332</v>
      </c>
      <c r="EV504" s="1">
        <f>1+(Table1[[#This Row],[error_ratio_6]]-EL$2)</f>
        <v>1.0302713987473904</v>
      </c>
      <c r="EW504" s="1">
        <f>1+(Table1[[#This Row],[error_ratio_7]]-EM$2)</f>
        <v>1.0496108949416343</v>
      </c>
      <c r="EX504" s="1">
        <f>1+(Table1[[#This Row],[error_ratio_8]]-EN$2)</f>
        <v>1.0287474332648872</v>
      </c>
      <c r="EY504" s="1">
        <f>1+(Table1[[#This Row],[error_ratio_9]]-EO$2)</f>
        <v>0.94648166501486619</v>
      </c>
    </row>
    <row r="505" spans="1:155" x14ac:dyDescent="0.75">
      <c r="A505">
        <v>100</v>
      </c>
      <c r="B505">
        <v>100</v>
      </c>
      <c r="C505">
        <v>10</v>
      </c>
      <c r="D505">
        <v>100</v>
      </c>
      <c r="E505">
        <v>100</v>
      </c>
      <c r="F505">
        <v>10</v>
      </c>
      <c r="G505">
        <v>100</v>
      </c>
      <c r="H505">
        <v>100</v>
      </c>
      <c r="I505">
        <v>100</v>
      </c>
      <c r="J505">
        <v>10</v>
      </c>
      <c r="K505">
        <v>1002</v>
      </c>
      <c r="L505">
        <v>1135</v>
      </c>
      <c r="M505">
        <v>957</v>
      </c>
      <c r="N505">
        <v>1075</v>
      </c>
      <c r="O505">
        <v>976</v>
      </c>
      <c r="P505">
        <v>855</v>
      </c>
      <c r="Q505">
        <v>973</v>
      </c>
      <c r="R505">
        <v>1070</v>
      </c>
      <c r="S505">
        <v>992</v>
      </c>
      <c r="T505">
        <v>965</v>
      </c>
      <c r="U505">
        <v>980</v>
      </c>
      <c r="V505">
        <v>1135</v>
      </c>
      <c r="W505">
        <v>1032</v>
      </c>
      <c r="X505">
        <v>1010</v>
      </c>
      <c r="Y505">
        <v>982</v>
      </c>
      <c r="Z505">
        <v>892</v>
      </c>
      <c r="AA505">
        <v>958</v>
      </c>
      <c r="AB505">
        <v>1028</v>
      </c>
      <c r="AC505">
        <v>974</v>
      </c>
      <c r="AD505">
        <v>1009</v>
      </c>
      <c r="AE505">
        <v>973</v>
      </c>
      <c r="AF505">
        <v>0</v>
      </c>
      <c r="AG505">
        <v>0</v>
      </c>
      <c r="AH505">
        <v>0</v>
      </c>
      <c r="AI505">
        <v>0</v>
      </c>
      <c r="AJ505">
        <v>0</v>
      </c>
      <c r="AK505">
        <v>3</v>
      </c>
      <c r="AL505">
        <v>2</v>
      </c>
      <c r="AM505">
        <v>2</v>
      </c>
      <c r="AN505">
        <v>0</v>
      </c>
      <c r="AO505">
        <v>0</v>
      </c>
      <c r="AP505">
        <v>1128</v>
      </c>
      <c r="AQ505">
        <v>0</v>
      </c>
      <c r="AR505">
        <v>2</v>
      </c>
      <c r="AS505">
        <v>0</v>
      </c>
      <c r="AT505">
        <v>2</v>
      </c>
      <c r="AU505">
        <v>1</v>
      </c>
      <c r="AV505">
        <v>1</v>
      </c>
      <c r="AW505">
        <v>1</v>
      </c>
      <c r="AX505">
        <v>0</v>
      </c>
      <c r="AY505">
        <v>10</v>
      </c>
      <c r="AZ505">
        <v>2</v>
      </c>
      <c r="BA505">
        <v>953</v>
      </c>
      <c r="BB505">
        <v>19</v>
      </c>
      <c r="BC505">
        <v>1</v>
      </c>
      <c r="BD505">
        <v>1</v>
      </c>
      <c r="BE505">
        <v>2</v>
      </c>
      <c r="BF505">
        <v>31</v>
      </c>
      <c r="BG505">
        <v>13</v>
      </c>
      <c r="BH505">
        <v>0</v>
      </c>
      <c r="BI505">
        <v>0</v>
      </c>
      <c r="BJ505">
        <v>0</v>
      </c>
      <c r="BK505">
        <v>0</v>
      </c>
      <c r="BL505">
        <v>1006</v>
      </c>
      <c r="BM505">
        <v>0</v>
      </c>
      <c r="BN505">
        <v>1</v>
      </c>
      <c r="BO505">
        <v>0</v>
      </c>
      <c r="BP505">
        <v>1</v>
      </c>
      <c r="BQ505">
        <v>2</v>
      </c>
      <c r="BR505">
        <v>0</v>
      </c>
      <c r="BS505">
        <v>0</v>
      </c>
      <c r="BT505">
        <v>0</v>
      </c>
      <c r="BU505">
        <v>2</v>
      </c>
      <c r="BV505">
        <v>0</v>
      </c>
      <c r="BW505">
        <v>969</v>
      </c>
      <c r="BX505">
        <v>0</v>
      </c>
      <c r="BY505">
        <v>6</v>
      </c>
      <c r="BZ505">
        <v>0</v>
      </c>
      <c r="CA505">
        <v>1</v>
      </c>
      <c r="CB505">
        <v>4</v>
      </c>
      <c r="CC505">
        <v>5</v>
      </c>
      <c r="CD505">
        <v>0</v>
      </c>
      <c r="CE505">
        <v>0</v>
      </c>
      <c r="CF505">
        <v>32</v>
      </c>
      <c r="CG505">
        <v>0</v>
      </c>
      <c r="CH505">
        <v>840</v>
      </c>
      <c r="CI505">
        <v>10</v>
      </c>
      <c r="CJ505">
        <v>2</v>
      </c>
      <c r="CK505">
        <v>2</v>
      </c>
      <c r="CL505">
        <v>1</v>
      </c>
      <c r="CM505">
        <v>7</v>
      </c>
      <c r="CN505">
        <v>1</v>
      </c>
      <c r="CO505">
        <v>0</v>
      </c>
      <c r="CP505">
        <v>0</v>
      </c>
      <c r="CQ505">
        <v>1</v>
      </c>
      <c r="CR505">
        <v>1</v>
      </c>
      <c r="CS505">
        <v>948</v>
      </c>
      <c r="CT505">
        <v>0</v>
      </c>
      <c r="CU505">
        <v>0</v>
      </c>
      <c r="CV505">
        <v>0</v>
      </c>
      <c r="CW505">
        <v>1</v>
      </c>
      <c r="CX505">
        <v>2</v>
      </c>
      <c r="CY505">
        <v>1</v>
      </c>
      <c r="CZ505">
        <v>0</v>
      </c>
      <c r="DA505">
        <v>0</v>
      </c>
      <c r="DB505">
        <v>0</v>
      </c>
      <c r="DC505">
        <v>0</v>
      </c>
      <c r="DD505">
        <v>1023</v>
      </c>
      <c r="DE505">
        <v>1</v>
      </c>
      <c r="DF505">
        <v>0</v>
      </c>
      <c r="DG505">
        <v>1</v>
      </c>
      <c r="DH505">
        <v>0</v>
      </c>
      <c r="DI505">
        <v>1</v>
      </c>
      <c r="DJ505">
        <v>3</v>
      </c>
      <c r="DK505">
        <v>0</v>
      </c>
      <c r="DL505">
        <v>0</v>
      </c>
      <c r="DM505">
        <v>1</v>
      </c>
      <c r="DN505">
        <v>2</v>
      </c>
      <c r="DO505">
        <v>965</v>
      </c>
      <c r="DP505">
        <v>1</v>
      </c>
      <c r="DQ505">
        <v>5</v>
      </c>
      <c r="DR505">
        <v>2</v>
      </c>
      <c r="DS505">
        <v>0</v>
      </c>
      <c r="DT505">
        <v>13</v>
      </c>
      <c r="DU505">
        <v>5</v>
      </c>
      <c r="DV505">
        <v>10</v>
      </c>
      <c r="DW505">
        <v>2</v>
      </c>
      <c r="DX505">
        <v>8</v>
      </c>
      <c r="DY505">
        <v>5</v>
      </c>
      <c r="DZ505">
        <v>959</v>
      </c>
      <c r="EA505">
        <v>0.97640000000000005</v>
      </c>
      <c r="EB505">
        <v>0.97687543948341704</v>
      </c>
      <c r="EC505">
        <v>0.97605482181358805</v>
      </c>
      <c r="ED505">
        <v>0.97607707409450695</v>
      </c>
      <c r="EE505">
        <f>SUM(Table1[[#This Row],[ratio_0]:[ratio_9]])</f>
        <v>730</v>
      </c>
      <c r="EF505" s="1">
        <f>(Table1[[#This Row],[predicted_0]]-Table1[[#This Row],[actual_0]])/Table1[[#This Row],[actual_0]]</f>
        <v>2.2448979591836733E-2</v>
      </c>
      <c r="EG505" s="1">
        <f>(Table1[[#This Row],[predicted_1]]-Table1[[#This Row],[actual_1]])/Table1[[#This Row],[actual_1]]</f>
        <v>0</v>
      </c>
      <c r="EH505" s="1">
        <f>(Table1[[#This Row],[predicted_2]]-Table1[[#This Row],[actual_2]])/Table1[[#This Row],[actual_2]]</f>
        <v>-7.2674418604651167E-2</v>
      </c>
      <c r="EI505" s="1">
        <f>(Table1[[#This Row],[predicted_3]]-Table1[[#This Row],[actual_3]])/Table1[[#This Row],[actual_3]]</f>
        <v>6.4356435643564358E-2</v>
      </c>
      <c r="EJ505" s="1">
        <f>(Table1[[#This Row],[predicted_4]]-Table1[[#This Row],[actual_4]])/Table1[[#This Row],[actual_4]]</f>
        <v>-6.1099796334012219E-3</v>
      </c>
      <c r="EK505" s="1">
        <f>(Table1[[#This Row],[predicted_5]]-Table1[[#This Row],[actual_5]])/Table1[[#This Row],[actual_5]]</f>
        <v>-4.1479820627802692E-2</v>
      </c>
      <c r="EL505" s="1">
        <f>(Table1[[#This Row],[predicted_6]]-Table1[[#This Row],[actual_6]])/Table1[[#This Row],[actual_6]]</f>
        <v>1.5657620041753653E-2</v>
      </c>
      <c r="EM505" s="1">
        <f>(Table1[[#This Row],[predicted_7]]-Table1[[#This Row],[actual_7]])/Table1[[#This Row],[actual_7]]</f>
        <v>4.085603112840467E-2</v>
      </c>
      <c r="EN505" s="1">
        <f>(Table1[[#This Row],[predicted_8]]-Table1[[#This Row],[actual_8]])/Table1[[#This Row],[actual_8]]</f>
        <v>1.8480492813141684E-2</v>
      </c>
      <c r="EO505" s="1">
        <f>(Table1[[#This Row],[predicted_9]]-Table1[[#This Row],[actual_9]])/Table1[[#This Row],[actual_9]]</f>
        <v>-4.3607532210109018E-2</v>
      </c>
      <c r="EP505" s="1">
        <f>1+(Table1[[#This Row],[error_ratio_0]]-EF$2)</f>
        <v>1.0204081632653061</v>
      </c>
      <c r="EQ505" s="1">
        <f>1+(Table1[[#This Row],[error_ratio_1]]-EG$2)</f>
        <v>0.9982378854625551</v>
      </c>
      <c r="ER505" s="1">
        <f>1+(Table1[[#This Row],[error_ratio_2]]-EH$2)</f>
        <v>0.93217054263565891</v>
      </c>
      <c r="ES505" s="1">
        <f>1+(Table1[[#This Row],[error_ratio_3]]-EI$2)</f>
        <v>1.0544554455445545</v>
      </c>
      <c r="ET505" s="1">
        <f>1+(Table1[[#This Row],[error_ratio_4]]-EJ$2)</f>
        <v>0.99287169042769863</v>
      </c>
      <c r="EU505" s="1">
        <f>1+(Table1[[#This Row],[error_ratio_5]]-EK$2)</f>
        <v>0.95739910313901344</v>
      </c>
      <c r="EV505" s="1">
        <f>1+(Table1[[#This Row],[error_ratio_6]]-EL$2)</f>
        <v>1.0219206680584552</v>
      </c>
      <c r="EW505" s="1">
        <f>1+(Table1[[#This Row],[error_ratio_7]]-EM$2)</f>
        <v>1.038910505836576</v>
      </c>
      <c r="EX505" s="1">
        <f>1+(Table1[[#This Row],[error_ratio_8]]-EN$2)</f>
        <v>1.0215605749486654</v>
      </c>
      <c r="EY505" s="1">
        <f>1+(Table1[[#This Row],[error_ratio_9]]-EO$2)</f>
        <v>0.96035678889990095</v>
      </c>
    </row>
    <row r="506" spans="1:155" x14ac:dyDescent="0.75">
      <c r="A506">
        <v>10</v>
      </c>
      <c r="B506">
        <v>100</v>
      </c>
      <c r="C506">
        <v>10</v>
      </c>
      <c r="D506">
        <v>100</v>
      </c>
      <c r="E506">
        <v>100</v>
      </c>
      <c r="F506">
        <v>10</v>
      </c>
      <c r="G506">
        <v>100</v>
      </c>
      <c r="H506">
        <v>100</v>
      </c>
      <c r="I506">
        <v>100</v>
      </c>
      <c r="J506">
        <v>10</v>
      </c>
      <c r="K506">
        <v>905</v>
      </c>
      <c r="L506">
        <v>1137</v>
      </c>
      <c r="M506">
        <v>926</v>
      </c>
      <c r="N506">
        <v>1051</v>
      </c>
      <c r="O506">
        <v>1019</v>
      </c>
      <c r="P506">
        <v>840</v>
      </c>
      <c r="Q506">
        <v>1012</v>
      </c>
      <c r="R506">
        <v>1069</v>
      </c>
      <c r="S506">
        <v>1143</v>
      </c>
      <c r="T506">
        <v>898</v>
      </c>
      <c r="U506">
        <v>980</v>
      </c>
      <c r="V506">
        <v>1135</v>
      </c>
      <c r="W506">
        <v>1032</v>
      </c>
      <c r="X506">
        <v>1010</v>
      </c>
      <c r="Y506">
        <v>982</v>
      </c>
      <c r="Z506">
        <v>892</v>
      </c>
      <c r="AA506">
        <v>958</v>
      </c>
      <c r="AB506">
        <v>1028</v>
      </c>
      <c r="AC506">
        <v>974</v>
      </c>
      <c r="AD506">
        <v>1009</v>
      </c>
      <c r="AE506">
        <v>901</v>
      </c>
      <c r="AF506">
        <v>0</v>
      </c>
      <c r="AG506">
        <v>1</v>
      </c>
      <c r="AH506">
        <v>1</v>
      </c>
      <c r="AI506">
        <v>19</v>
      </c>
      <c r="AJ506">
        <v>1</v>
      </c>
      <c r="AK506">
        <v>35</v>
      </c>
      <c r="AL506">
        <v>3</v>
      </c>
      <c r="AM506">
        <v>18</v>
      </c>
      <c r="AN506">
        <v>1</v>
      </c>
      <c r="AO506">
        <v>0</v>
      </c>
      <c r="AP506">
        <v>1123</v>
      </c>
      <c r="AQ506">
        <v>0</v>
      </c>
      <c r="AR506">
        <v>1</v>
      </c>
      <c r="AS506">
        <v>0</v>
      </c>
      <c r="AT506">
        <v>1</v>
      </c>
      <c r="AU506">
        <v>2</v>
      </c>
      <c r="AV506">
        <v>1</v>
      </c>
      <c r="AW506">
        <v>7</v>
      </c>
      <c r="AX506">
        <v>0</v>
      </c>
      <c r="AY506">
        <v>1</v>
      </c>
      <c r="AZ506">
        <v>9</v>
      </c>
      <c r="BA506">
        <v>922</v>
      </c>
      <c r="BB506">
        <v>6</v>
      </c>
      <c r="BC506">
        <v>7</v>
      </c>
      <c r="BD506">
        <v>0</v>
      </c>
      <c r="BE506">
        <v>8</v>
      </c>
      <c r="BF506">
        <v>34</v>
      </c>
      <c r="BG506">
        <v>45</v>
      </c>
      <c r="BH506">
        <v>0</v>
      </c>
      <c r="BI506">
        <v>0</v>
      </c>
      <c r="BJ506">
        <v>0</v>
      </c>
      <c r="BK506">
        <v>1</v>
      </c>
      <c r="BL506">
        <v>1003</v>
      </c>
      <c r="BM506">
        <v>0</v>
      </c>
      <c r="BN506">
        <v>2</v>
      </c>
      <c r="BO506">
        <v>0</v>
      </c>
      <c r="BP506">
        <v>1</v>
      </c>
      <c r="BQ506">
        <v>3</v>
      </c>
      <c r="BR506">
        <v>0</v>
      </c>
      <c r="BS506">
        <v>0</v>
      </c>
      <c r="BT506">
        <v>0</v>
      </c>
      <c r="BU506">
        <v>1</v>
      </c>
      <c r="BV506">
        <v>0</v>
      </c>
      <c r="BW506">
        <v>975</v>
      </c>
      <c r="BX506">
        <v>0</v>
      </c>
      <c r="BY506">
        <v>1</v>
      </c>
      <c r="BZ506">
        <v>2</v>
      </c>
      <c r="CA506">
        <v>2</v>
      </c>
      <c r="CB506">
        <v>1</v>
      </c>
      <c r="CC506">
        <v>1</v>
      </c>
      <c r="CD506">
        <v>0</v>
      </c>
      <c r="CE506">
        <v>0</v>
      </c>
      <c r="CF506">
        <v>29</v>
      </c>
      <c r="CG506">
        <v>0</v>
      </c>
      <c r="CH506">
        <v>828</v>
      </c>
      <c r="CI506">
        <v>14</v>
      </c>
      <c r="CJ506">
        <v>0</v>
      </c>
      <c r="CK506">
        <v>20</v>
      </c>
      <c r="CL506">
        <v>0</v>
      </c>
      <c r="CM506">
        <v>1</v>
      </c>
      <c r="CN506">
        <v>1</v>
      </c>
      <c r="CO506">
        <v>0</v>
      </c>
      <c r="CP506">
        <v>0</v>
      </c>
      <c r="CQ506">
        <v>2</v>
      </c>
      <c r="CR506">
        <v>1</v>
      </c>
      <c r="CS506">
        <v>951</v>
      </c>
      <c r="CT506">
        <v>0</v>
      </c>
      <c r="CU506">
        <v>2</v>
      </c>
      <c r="CV506">
        <v>0</v>
      </c>
      <c r="CW506">
        <v>0</v>
      </c>
      <c r="CX506">
        <v>2</v>
      </c>
      <c r="CY506">
        <v>1</v>
      </c>
      <c r="CZ506">
        <v>2</v>
      </c>
      <c r="DA506">
        <v>0</v>
      </c>
      <c r="DB506">
        <v>0</v>
      </c>
      <c r="DC506">
        <v>0</v>
      </c>
      <c r="DD506">
        <v>1018</v>
      </c>
      <c r="DE506">
        <v>5</v>
      </c>
      <c r="DF506">
        <v>0</v>
      </c>
      <c r="DG506">
        <v>0</v>
      </c>
      <c r="DH506">
        <v>0</v>
      </c>
      <c r="DI506">
        <v>0</v>
      </c>
      <c r="DJ506">
        <v>0</v>
      </c>
      <c r="DK506">
        <v>0</v>
      </c>
      <c r="DL506">
        <v>0</v>
      </c>
      <c r="DM506">
        <v>0</v>
      </c>
      <c r="DN506">
        <v>2</v>
      </c>
      <c r="DO506">
        <v>972</v>
      </c>
      <c r="DP506">
        <v>0</v>
      </c>
      <c r="DQ506">
        <v>1</v>
      </c>
      <c r="DR506">
        <v>2</v>
      </c>
      <c r="DS506">
        <v>0</v>
      </c>
      <c r="DT506">
        <v>9</v>
      </c>
      <c r="DU506">
        <v>16</v>
      </c>
      <c r="DV506">
        <v>7</v>
      </c>
      <c r="DW506">
        <v>1</v>
      </c>
      <c r="DX506">
        <v>8</v>
      </c>
      <c r="DY506">
        <v>69</v>
      </c>
      <c r="DZ506">
        <v>896</v>
      </c>
      <c r="EA506">
        <v>0.95889999999999997</v>
      </c>
      <c r="EB506">
        <v>0.96159929705733604</v>
      </c>
      <c r="EC506">
        <v>0.95853380637650798</v>
      </c>
      <c r="ED506">
        <v>0.95846180944679005</v>
      </c>
      <c r="EE506">
        <f>SUM(Table1[[#This Row],[ratio_0]:[ratio_9]])</f>
        <v>640</v>
      </c>
      <c r="EF506" s="1">
        <f>(Table1[[#This Row],[predicted_0]]-Table1[[#This Row],[actual_0]])/Table1[[#This Row],[actual_0]]</f>
        <v>-7.6530612244897961E-2</v>
      </c>
      <c r="EG506" s="1">
        <f>(Table1[[#This Row],[predicted_1]]-Table1[[#This Row],[actual_1]])/Table1[[#This Row],[actual_1]]</f>
        <v>1.762114537444934E-3</v>
      </c>
      <c r="EH506" s="1">
        <f>(Table1[[#This Row],[predicted_2]]-Table1[[#This Row],[actual_2]])/Table1[[#This Row],[actual_2]]</f>
        <v>-0.10271317829457365</v>
      </c>
      <c r="EI506" s="1">
        <f>(Table1[[#This Row],[predicted_3]]-Table1[[#This Row],[actual_3]])/Table1[[#This Row],[actual_3]]</f>
        <v>4.0594059405940595E-2</v>
      </c>
      <c r="EJ506" s="1">
        <f>(Table1[[#This Row],[predicted_4]]-Table1[[#This Row],[actual_4]])/Table1[[#This Row],[actual_4]]</f>
        <v>3.7678207739307537E-2</v>
      </c>
      <c r="EK506" s="1">
        <f>(Table1[[#This Row],[predicted_5]]-Table1[[#This Row],[actual_5]])/Table1[[#This Row],[actual_5]]</f>
        <v>-5.829596412556054E-2</v>
      </c>
      <c r="EL506" s="1">
        <f>(Table1[[#This Row],[predicted_6]]-Table1[[#This Row],[actual_6]])/Table1[[#This Row],[actual_6]]</f>
        <v>5.6367432150313153E-2</v>
      </c>
      <c r="EM506" s="1">
        <f>(Table1[[#This Row],[predicted_7]]-Table1[[#This Row],[actual_7]])/Table1[[#This Row],[actual_7]]</f>
        <v>3.9883268482490269E-2</v>
      </c>
      <c r="EN506" s="1">
        <f>(Table1[[#This Row],[predicted_8]]-Table1[[#This Row],[actual_8]])/Table1[[#This Row],[actual_8]]</f>
        <v>0.17351129363449691</v>
      </c>
      <c r="EO506" s="1">
        <f>(Table1[[#This Row],[predicted_9]]-Table1[[#This Row],[actual_9]])/Table1[[#This Row],[actual_9]]</f>
        <v>-0.11000991080277503</v>
      </c>
      <c r="EP506" s="1">
        <f>1+(Table1[[#This Row],[error_ratio_0]]-EF$2)</f>
        <v>0.92142857142857149</v>
      </c>
      <c r="EQ506" s="1">
        <f>1+(Table1[[#This Row],[error_ratio_1]]-EG$2)</f>
        <v>1</v>
      </c>
      <c r="ER506" s="1">
        <f>1+(Table1[[#This Row],[error_ratio_2]]-EH$2)</f>
        <v>0.90213178294573648</v>
      </c>
      <c r="ES506" s="1">
        <f>1+(Table1[[#This Row],[error_ratio_3]]-EI$2)</f>
        <v>1.0306930693069307</v>
      </c>
      <c r="ET506" s="1">
        <f>1+(Table1[[#This Row],[error_ratio_4]]-EJ$2)</f>
        <v>1.0366598778004072</v>
      </c>
      <c r="EU506" s="1">
        <f>1+(Table1[[#This Row],[error_ratio_5]]-EK$2)</f>
        <v>0.9405829596412556</v>
      </c>
      <c r="EV506" s="1">
        <f>1+(Table1[[#This Row],[error_ratio_6]]-EL$2)</f>
        <v>1.0626304801670146</v>
      </c>
      <c r="EW506" s="1">
        <f>1+(Table1[[#This Row],[error_ratio_7]]-EM$2)</f>
        <v>1.0379377431906616</v>
      </c>
      <c r="EX506" s="1">
        <f>1+(Table1[[#This Row],[error_ratio_8]]-EN$2)</f>
        <v>1.1765913757700206</v>
      </c>
      <c r="EY506" s="1">
        <f>1+(Table1[[#This Row],[error_ratio_9]]-EO$2)</f>
        <v>0.89395441030723488</v>
      </c>
    </row>
    <row r="507" spans="1:155" x14ac:dyDescent="0.75">
      <c r="A507">
        <v>100</v>
      </c>
      <c r="B507">
        <v>10</v>
      </c>
      <c r="C507">
        <v>10</v>
      </c>
      <c r="D507">
        <v>100</v>
      </c>
      <c r="E507">
        <v>100</v>
      </c>
      <c r="F507">
        <v>10</v>
      </c>
      <c r="G507">
        <v>100</v>
      </c>
      <c r="H507">
        <v>100</v>
      </c>
      <c r="I507">
        <v>100</v>
      </c>
      <c r="J507">
        <v>10</v>
      </c>
      <c r="K507">
        <v>986</v>
      </c>
      <c r="L507">
        <v>1114</v>
      </c>
      <c r="M507">
        <v>977</v>
      </c>
      <c r="N507">
        <v>1082</v>
      </c>
      <c r="O507">
        <v>984</v>
      </c>
      <c r="P507">
        <v>842</v>
      </c>
      <c r="Q507">
        <v>987</v>
      </c>
      <c r="R507">
        <v>1072</v>
      </c>
      <c r="S507">
        <v>1027</v>
      </c>
      <c r="T507">
        <v>929</v>
      </c>
      <c r="U507">
        <v>980</v>
      </c>
      <c r="V507">
        <v>1135</v>
      </c>
      <c r="W507">
        <v>1032</v>
      </c>
      <c r="X507">
        <v>1010</v>
      </c>
      <c r="Y507">
        <v>982</v>
      </c>
      <c r="Z507">
        <v>892</v>
      </c>
      <c r="AA507">
        <v>958</v>
      </c>
      <c r="AB507">
        <v>1028</v>
      </c>
      <c r="AC507">
        <v>974</v>
      </c>
      <c r="AD507">
        <v>1009</v>
      </c>
      <c r="AE507">
        <v>967</v>
      </c>
      <c r="AF507">
        <v>0</v>
      </c>
      <c r="AG507">
        <v>0</v>
      </c>
      <c r="AH507">
        <v>0</v>
      </c>
      <c r="AI507">
        <v>0</v>
      </c>
      <c r="AJ507">
        <v>0</v>
      </c>
      <c r="AK507">
        <v>8</v>
      </c>
      <c r="AL507">
        <v>2</v>
      </c>
      <c r="AM507">
        <v>3</v>
      </c>
      <c r="AN507">
        <v>0</v>
      </c>
      <c r="AO507">
        <v>0</v>
      </c>
      <c r="AP507">
        <v>1110</v>
      </c>
      <c r="AQ507">
        <v>1</v>
      </c>
      <c r="AR507">
        <v>6</v>
      </c>
      <c r="AS507">
        <v>0</v>
      </c>
      <c r="AT507">
        <v>0</v>
      </c>
      <c r="AU507">
        <v>6</v>
      </c>
      <c r="AV507">
        <v>8</v>
      </c>
      <c r="AW507">
        <v>4</v>
      </c>
      <c r="AX507">
        <v>0</v>
      </c>
      <c r="AY507">
        <v>5</v>
      </c>
      <c r="AZ507">
        <v>0</v>
      </c>
      <c r="BA507">
        <v>970</v>
      </c>
      <c r="BB507">
        <v>10</v>
      </c>
      <c r="BC507">
        <v>3</v>
      </c>
      <c r="BD507">
        <v>0</v>
      </c>
      <c r="BE507">
        <v>5</v>
      </c>
      <c r="BF507">
        <v>19</v>
      </c>
      <c r="BG507">
        <v>20</v>
      </c>
      <c r="BH507">
        <v>0</v>
      </c>
      <c r="BI507">
        <v>0</v>
      </c>
      <c r="BJ507">
        <v>0</v>
      </c>
      <c r="BK507">
        <v>1</v>
      </c>
      <c r="BL507">
        <v>1006</v>
      </c>
      <c r="BM507">
        <v>0</v>
      </c>
      <c r="BN507">
        <v>0</v>
      </c>
      <c r="BO507">
        <v>0</v>
      </c>
      <c r="BP507">
        <v>1</v>
      </c>
      <c r="BQ507">
        <v>1</v>
      </c>
      <c r="BR507">
        <v>1</v>
      </c>
      <c r="BS507">
        <v>0</v>
      </c>
      <c r="BT507">
        <v>0</v>
      </c>
      <c r="BU507">
        <v>0</v>
      </c>
      <c r="BV507">
        <v>0</v>
      </c>
      <c r="BW507">
        <v>973</v>
      </c>
      <c r="BX507">
        <v>0</v>
      </c>
      <c r="BY507">
        <v>3</v>
      </c>
      <c r="BZ507">
        <v>1</v>
      </c>
      <c r="CA507">
        <v>3</v>
      </c>
      <c r="CB507">
        <v>2</v>
      </c>
      <c r="CC507">
        <v>3</v>
      </c>
      <c r="CD507">
        <v>0</v>
      </c>
      <c r="CE507">
        <v>0</v>
      </c>
      <c r="CF507">
        <v>34</v>
      </c>
      <c r="CG507">
        <v>0</v>
      </c>
      <c r="CH507">
        <v>830</v>
      </c>
      <c r="CI507">
        <v>12</v>
      </c>
      <c r="CJ507">
        <v>1</v>
      </c>
      <c r="CK507">
        <v>12</v>
      </c>
      <c r="CL507">
        <v>0</v>
      </c>
      <c r="CM507">
        <v>4</v>
      </c>
      <c r="CN507">
        <v>1</v>
      </c>
      <c r="CO507">
        <v>0</v>
      </c>
      <c r="CP507">
        <v>0</v>
      </c>
      <c r="CQ507">
        <v>1</v>
      </c>
      <c r="CR507">
        <v>1</v>
      </c>
      <c r="CS507">
        <v>951</v>
      </c>
      <c r="CT507">
        <v>0</v>
      </c>
      <c r="CU507">
        <v>0</v>
      </c>
      <c r="CV507">
        <v>0</v>
      </c>
      <c r="CW507">
        <v>0</v>
      </c>
      <c r="CX507">
        <v>0</v>
      </c>
      <c r="CY507">
        <v>5</v>
      </c>
      <c r="CZ507">
        <v>1</v>
      </c>
      <c r="DA507">
        <v>0</v>
      </c>
      <c r="DB507">
        <v>0</v>
      </c>
      <c r="DC507">
        <v>0</v>
      </c>
      <c r="DD507">
        <v>1021</v>
      </c>
      <c r="DE507">
        <v>1</v>
      </c>
      <c r="DF507">
        <v>0</v>
      </c>
      <c r="DG507">
        <v>2</v>
      </c>
      <c r="DH507">
        <v>0</v>
      </c>
      <c r="DI507">
        <v>0</v>
      </c>
      <c r="DJ507">
        <v>2</v>
      </c>
      <c r="DK507">
        <v>0</v>
      </c>
      <c r="DL507">
        <v>1</v>
      </c>
      <c r="DM507">
        <v>1</v>
      </c>
      <c r="DN507">
        <v>3</v>
      </c>
      <c r="DO507">
        <v>965</v>
      </c>
      <c r="DP507">
        <v>0</v>
      </c>
      <c r="DQ507">
        <v>5</v>
      </c>
      <c r="DR507">
        <v>3</v>
      </c>
      <c r="DS507">
        <v>0</v>
      </c>
      <c r="DT507">
        <v>23</v>
      </c>
      <c r="DU507">
        <v>7</v>
      </c>
      <c r="DV507">
        <v>10</v>
      </c>
      <c r="DW507">
        <v>1</v>
      </c>
      <c r="DX507">
        <v>16</v>
      </c>
      <c r="DY507">
        <v>18</v>
      </c>
      <c r="DZ507">
        <v>926</v>
      </c>
      <c r="EA507">
        <v>0.97189999999999999</v>
      </c>
      <c r="EB507">
        <v>0.97266557501360096</v>
      </c>
      <c r="EC507">
        <v>0.97163825135190396</v>
      </c>
      <c r="ED507">
        <v>0.97158085584214704</v>
      </c>
      <c r="EE507">
        <f>SUM(Table1[[#This Row],[ratio_0]:[ratio_9]])</f>
        <v>640</v>
      </c>
      <c r="EF507" s="1">
        <f>(Table1[[#This Row],[predicted_0]]-Table1[[#This Row],[actual_0]])/Table1[[#This Row],[actual_0]]</f>
        <v>6.1224489795918364E-3</v>
      </c>
      <c r="EG507" s="1">
        <f>(Table1[[#This Row],[predicted_1]]-Table1[[#This Row],[actual_1]])/Table1[[#This Row],[actual_1]]</f>
        <v>-1.8502202643171806E-2</v>
      </c>
      <c r="EH507" s="1">
        <f>(Table1[[#This Row],[predicted_2]]-Table1[[#This Row],[actual_2]])/Table1[[#This Row],[actual_2]]</f>
        <v>-5.329457364341085E-2</v>
      </c>
      <c r="EI507" s="1">
        <f>(Table1[[#This Row],[predicted_3]]-Table1[[#This Row],[actual_3]])/Table1[[#This Row],[actual_3]]</f>
        <v>7.1287128712871281E-2</v>
      </c>
      <c r="EJ507" s="1">
        <f>(Table1[[#This Row],[predicted_4]]-Table1[[#This Row],[actual_4]])/Table1[[#This Row],[actual_4]]</f>
        <v>2.0366598778004071E-3</v>
      </c>
      <c r="EK507" s="1">
        <f>(Table1[[#This Row],[predicted_5]]-Table1[[#This Row],[actual_5]])/Table1[[#This Row],[actual_5]]</f>
        <v>-5.6053811659192827E-2</v>
      </c>
      <c r="EL507" s="1">
        <f>(Table1[[#This Row],[predicted_6]]-Table1[[#This Row],[actual_6]])/Table1[[#This Row],[actual_6]]</f>
        <v>3.0271398747390398E-2</v>
      </c>
      <c r="EM507" s="1">
        <f>(Table1[[#This Row],[predicted_7]]-Table1[[#This Row],[actual_7]])/Table1[[#This Row],[actual_7]]</f>
        <v>4.2801556420233464E-2</v>
      </c>
      <c r="EN507" s="1">
        <f>(Table1[[#This Row],[predicted_8]]-Table1[[#This Row],[actual_8]])/Table1[[#This Row],[actual_8]]</f>
        <v>5.4414784394250515E-2</v>
      </c>
      <c r="EO507" s="1">
        <f>(Table1[[#This Row],[predicted_9]]-Table1[[#This Row],[actual_9]])/Table1[[#This Row],[actual_9]]</f>
        <v>-7.9286422200198214E-2</v>
      </c>
      <c r="EP507" s="1">
        <f>1+(Table1[[#This Row],[error_ratio_0]]-EF$2)</f>
        <v>1.0040816326530613</v>
      </c>
      <c r="EQ507" s="1">
        <f>1+(Table1[[#This Row],[error_ratio_1]]-EG$2)</f>
        <v>0.97973568281938328</v>
      </c>
      <c r="ER507" s="1">
        <f>1+(Table1[[#This Row],[error_ratio_2]]-EH$2)</f>
        <v>0.95155038759689925</v>
      </c>
      <c r="ES507" s="1">
        <f>1+(Table1[[#This Row],[error_ratio_3]]-EI$2)</f>
        <v>1.0613861386138614</v>
      </c>
      <c r="ET507" s="1">
        <f>1+(Table1[[#This Row],[error_ratio_4]]-EJ$2)</f>
        <v>1.0010183299389002</v>
      </c>
      <c r="EU507" s="1">
        <f>1+(Table1[[#This Row],[error_ratio_5]]-EK$2)</f>
        <v>0.94282511210762332</v>
      </c>
      <c r="EV507" s="1">
        <f>1+(Table1[[#This Row],[error_ratio_6]]-EL$2)</f>
        <v>1.0365344467640918</v>
      </c>
      <c r="EW507" s="1">
        <f>1+(Table1[[#This Row],[error_ratio_7]]-EM$2)</f>
        <v>1.0408560311284047</v>
      </c>
      <c r="EX507" s="1">
        <f>1+(Table1[[#This Row],[error_ratio_8]]-EN$2)</f>
        <v>1.0574948665297741</v>
      </c>
      <c r="EY507" s="1">
        <f>1+(Table1[[#This Row],[error_ratio_9]]-EO$2)</f>
        <v>0.92467789890981167</v>
      </c>
    </row>
    <row r="508" spans="1:155" x14ac:dyDescent="0.75">
      <c r="A508">
        <v>100</v>
      </c>
      <c r="B508">
        <v>100</v>
      </c>
      <c r="C508">
        <v>100</v>
      </c>
      <c r="D508">
        <v>10</v>
      </c>
      <c r="E508">
        <v>100</v>
      </c>
      <c r="F508">
        <v>10</v>
      </c>
      <c r="G508">
        <v>100</v>
      </c>
      <c r="H508">
        <v>100</v>
      </c>
      <c r="I508">
        <v>100</v>
      </c>
      <c r="J508">
        <v>10</v>
      </c>
      <c r="K508">
        <v>1029</v>
      </c>
      <c r="L508">
        <v>1136</v>
      </c>
      <c r="M508">
        <v>1117</v>
      </c>
      <c r="N508">
        <v>937</v>
      </c>
      <c r="O508">
        <v>990</v>
      </c>
      <c r="P508">
        <v>871</v>
      </c>
      <c r="Q508">
        <v>953</v>
      </c>
      <c r="R508">
        <v>1028</v>
      </c>
      <c r="S508">
        <v>999</v>
      </c>
      <c r="T508">
        <v>940</v>
      </c>
      <c r="U508">
        <v>980</v>
      </c>
      <c r="V508">
        <v>1135</v>
      </c>
      <c r="W508">
        <v>1032</v>
      </c>
      <c r="X508">
        <v>1010</v>
      </c>
      <c r="Y508">
        <v>982</v>
      </c>
      <c r="Z508">
        <v>892</v>
      </c>
      <c r="AA508">
        <v>958</v>
      </c>
      <c r="AB508">
        <v>1028</v>
      </c>
      <c r="AC508">
        <v>974</v>
      </c>
      <c r="AD508">
        <v>1009</v>
      </c>
      <c r="AE508">
        <v>978</v>
      </c>
      <c r="AF508">
        <v>1</v>
      </c>
      <c r="AG508">
        <v>0</v>
      </c>
      <c r="AH508">
        <v>0</v>
      </c>
      <c r="AI508">
        <v>0</v>
      </c>
      <c r="AJ508">
        <v>0</v>
      </c>
      <c r="AK508">
        <v>0</v>
      </c>
      <c r="AL508">
        <v>1</v>
      </c>
      <c r="AM508">
        <v>0</v>
      </c>
      <c r="AN508">
        <v>0</v>
      </c>
      <c r="AO508">
        <v>0</v>
      </c>
      <c r="AP508">
        <v>1127</v>
      </c>
      <c r="AQ508">
        <v>4</v>
      </c>
      <c r="AR508">
        <v>0</v>
      </c>
      <c r="AS508">
        <v>0</v>
      </c>
      <c r="AT508">
        <v>2</v>
      </c>
      <c r="AU508">
        <v>2</v>
      </c>
      <c r="AV508">
        <v>0</v>
      </c>
      <c r="AW508">
        <v>0</v>
      </c>
      <c r="AX508">
        <v>0</v>
      </c>
      <c r="AY508">
        <v>1</v>
      </c>
      <c r="AZ508">
        <v>0</v>
      </c>
      <c r="BA508">
        <v>1028</v>
      </c>
      <c r="BB508">
        <v>0</v>
      </c>
      <c r="BC508">
        <v>0</v>
      </c>
      <c r="BD508">
        <v>0</v>
      </c>
      <c r="BE508">
        <v>0</v>
      </c>
      <c r="BF508">
        <v>3</v>
      </c>
      <c r="BG508">
        <v>0</v>
      </c>
      <c r="BH508">
        <v>0</v>
      </c>
      <c r="BI508">
        <v>4</v>
      </c>
      <c r="BJ508">
        <v>0</v>
      </c>
      <c r="BK508">
        <v>42</v>
      </c>
      <c r="BL508">
        <v>932</v>
      </c>
      <c r="BM508">
        <v>0</v>
      </c>
      <c r="BN508">
        <v>19</v>
      </c>
      <c r="BO508">
        <v>0</v>
      </c>
      <c r="BP508">
        <v>6</v>
      </c>
      <c r="BQ508">
        <v>3</v>
      </c>
      <c r="BR508">
        <v>4</v>
      </c>
      <c r="BS508">
        <v>0</v>
      </c>
      <c r="BT508">
        <v>0</v>
      </c>
      <c r="BU508">
        <v>2</v>
      </c>
      <c r="BV508">
        <v>0</v>
      </c>
      <c r="BW508">
        <v>971</v>
      </c>
      <c r="BX508">
        <v>0</v>
      </c>
      <c r="BY508">
        <v>4</v>
      </c>
      <c r="BZ508">
        <v>0</v>
      </c>
      <c r="CA508">
        <v>2</v>
      </c>
      <c r="CB508">
        <v>3</v>
      </c>
      <c r="CC508">
        <v>12</v>
      </c>
      <c r="CD508">
        <v>0</v>
      </c>
      <c r="CE508">
        <v>2</v>
      </c>
      <c r="CF508">
        <v>3</v>
      </c>
      <c r="CG508">
        <v>0</v>
      </c>
      <c r="CH508">
        <v>845</v>
      </c>
      <c r="CI508">
        <v>10</v>
      </c>
      <c r="CJ508">
        <v>2</v>
      </c>
      <c r="CK508">
        <v>18</v>
      </c>
      <c r="CL508">
        <v>0</v>
      </c>
      <c r="CM508">
        <v>16</v>
      </c>
      <c r="CN508">
        <v>2</v>
      </c>
      <c r="CO508">
        <v>2</v>
      </c>
      <c r="CP508">
        <v>0</v>
      </c>
      <c r="CQ508">
        <v>1</v>
      </c>
      <c r="CR508">
        <v>1</v>
      </c>
      <c r="CS508">
        <v>936</v>
      </c>
      <c r="CT508">
        <v>0</v>
      </c>
      <c r="CU508">
        <v>0</v>
      </c>
      <c r="CV508">
        <v>0</v>
      </c>
      <c r="CW508">
        <v>1</v>
      </c>
      <c r="CX508">
        <v>1</v>
      </c>
      <c r="CY508">
        <v>21</v>
      </c>
      <c r="CZ508">
        <v>0</v>
      </c>
      <c r="DA508">
        <v>0</v>
      </c>
      <c r="DB508">
        <v>0</v>
      </c>
      <c r="DC508">
        <v>0</v>
      </c>
      <c r="DD508">
        <v>1003</v>
      </c>
      <c r="DE508">
        <v>0</v>
      </c>
      <c r="DF508">
        <v>2</v>
      </c>
      <c r="DG508">
        <v>12</v>
      </c>
      <c r="DH508">
        <v>0</v>
      </c>
      <c r="DI508">
        <v>12</v>
      </c>
      <c r="DJ508">
        <v>1</v>
      </c>
      <c r="DK508">
        <v>0</v>
      </c>
      <c r="DL508">
        <v>0</v>
      </c>
      <c r="DM508">
        <v>1</v>
      </c>
      <c r="DN508">
        <v>1</v>
      </c>
      <c r="DO508">
        <v>946</v>
      </c>
      <c r="DP508">
        <v>1</v>
      </c>
      <c r="DQ508">
        <v>5</v>
      </c>
      <c r="DR508">
        <v>5</v>
      </c>
      <c r="DS508">
        <v>4</v>
      </c>
      <c r="DT508">
        <v>1</v>
      </c>
      <c r="DU508">
        <v>18</v>
      </c>
      <c r="DV508">
        <v>4</v>
      </c>
      <c r="DW508">
        <v>0</v>
      </c>
      <c r="DX508">
        <v>12</v>
      </c>
      <c r="DY508">
        <v>30</v>
      </c>
      <c r="DZ508">
        <v>930</v>
      </c>
      <c r="EA508">
        <v>0.96960000000000002</v>
      </c>
      <c r="EB508">
        <v>0.970260940755998</v>
      </c>
      <c r="EC508">
        <v>0.96915884707416</v>
      </c>
      <c r="ED508">
        <v>0.969216181792668</v>
      </c>
      <c r="EE508">
        <f>SUM(Table1[[#This Row],[ratio_0]:[ratio_9]])</f>
        <v>730</v>
      </c>
      <c r="EF508" s="1">
        <f>(Table1[[#This Row],[predicted_0]]-Table1[[#This Row],[actual_0]])/Table1[[#This Row],[actual_0]]</f>
        <v>0.05</v>
      </c>
      <c r="EG508" s="1">
        <f>(Table1[[#This Row],[predicted_1]]-Table1[[#This Row],[actual_1]])/Table1[[#This Row],[actual_1]]</f>
        <v>8.81057268722467E-4</v>
      </c>
      <c r="EH508" s="1">
        <f>(Table1[[#This Row],[predicted_2]]-Table1[[#This Row],[actual_2]])/Table1[[#This Row],[actual_2]]</f>
        <v>8.2364341085271311E-2</v>
      </c>
      <c r="EI508" s="1">
        <f>(Table1[[#This Row],[predicted_3]]-Table1[[#This Row],[actual_3]])/Table1[[#This Row],[actual_3]]</f>
        <v>-7.2277227722772272E-2</v>
      </c>
      <c r="EJ508" s="1">
        <f>(Table1[[#This Row],[predicted_4]]-Table1[[#This Row],[actual_4]])/Table1[[#This Row],[actual_4]]</f>
        <v>8.1466395112016286E-3</v>
      </c>
      <c r="EK508" s="1">
        <f>(Table1[[#This Row],[predicted_5]]-Table1[[#This Row],[actual_5]])/Table1[[#This Row],[actual_5]]</f>
        <v>-2.3542600896860985E-2</v>
      </c>
      <c r="EL508" s="1">
        <f>(Table1[[#This Row],[predicted_6]]-Table1[[#This Row],[actual_6]])/Table1[[#This Row],[actual_6]]</f>
        <v>-5.2192066805845511E-3</v>
      </c>
      <c r="EM508" s="1">
        <f>(Table1[[#This Row],[predicted_7]]-Table1[[#This Row],[actual_7]])/Table1[[#This Row],[actual_7]]</f>
        <v>0</v>
      </c>
      <c r="EN508" s="1">
        <f>(Table1[[#This Row],[predicted_8]]-Table1[[#This Row],[actual_8]])/Table1[[#This Row],[actual_8]]</f>
        <v>2.5667351129363448E-2</v>
      </c>
      <c r="EO508" s="1">
        <f>(Table1[[#This Row],[predicted_9]]-Table1[[#This Row],[actual_9]])/Table1[[#This Row],[actual_9]]</f>
        <v>-6.8384539147670967E-2</v>
      </c>
      <c r="EP508" s="1">
        <f>1+(Table1[[#This Row],[error_ratio_0]]-EF$2)</f>
        <v>1.0479591836734694</v>
      </c>
      <c r="EQ508" s="1">
        <f>1+(Table1[[#This Row],[error_ratio_1]]-EG$2)</f>
        <v>0.99911894273127755</v>
      </c>
      <c r="ER508" s="1">
        <f>1+(Table1[[#This Row],[error_ratio_2]]-EH$2)</f>
        <v>1.0872093023255813</v>
      </c>
      <c r="ES508" s="1">
        <f>1+(Table1[[#This Row],[error_ratio_3]]-EI$2)</f>
        <v>0.91782178217821786</v>
      </c>
      <c r="ET508" s="1">
        <f>1+(Table1[[#This Row],[error_ratio_4]]-EJ$2)</f>
        <v>1.0071283095723014</v>
      </c>
      <c r="EU508" s="1">
        <f>1+(Table1[[#This Row],[error_ratio_5]]-EK$2)</f>
        <v>0.9753363228699552</v>
      </c>
      <c r="EV508" s="1">
        <f>1+(Table1[[#This Row],[error_ratio_6]]-EL$2)</f>
        <v>1.0010438413361169</v>
      </c>
      <c r="EW508" s="1">
        <f>1+(Table1[[#This Row],[error_ratio_7]]-EM$2)</f>
        <v>0.99805447470817121</v>
      </c>
      <c r="EX508" s="1">
        <f>1+(Table1[[#This Row],[error_ratio_8]]-EN$2)</f>
        <v>1.0287474332648872</v>
      </c>
      <c r="EY508" s="1">
        <f>1+(Table1[[#This Row],[error_ratio_9]]-EO$2)</f>
        <v>0.93557978196233893</v>
      </c>
    </row>
    <row r="509" spans="1:155" x14ac:dyDescent="0.75">
      <c r="A509">
        <v>10</v>
      </c>
      <c r="B509">
        <v>100</v>
      </c>
      <c r="C509">
        <v>100</v>
      </c>
      <c r="D509">
        <v>10</v>
      </c>
      <c r="E509">
        <v>100</v>
      </c>
      <c r="F509">
        <v>10</v>
      </c>
      <c r="G509">
        <v>100</v>
      </c>
      <c r="H509">
        <v>100</v>
      </c>
      <c r="I509">
        <v>100</v>
      </c>
      <c r="J509">
        <v>10</v>
      </c>
      <c r="K509">
        <v>970</v>
      </c>
      <c r="L509">
        <v>1143</v>
      </c>
      <c r="M509">
        <v>1042</v>
      </c>
      <c r="N509">
        <v>994</v>
      </c>
      <c r="O509">
        <v>1038</v>
      </c>
      <c r="P509">
        <v>882</v>
      </c>
      <c r="Q509">
        <v>980</v>
      </c>
      <c r="R509">
        <v>1055</v>
      </c>
      <c r="S509">
        <v>994</v>
      </c>
      <c r="T509">
        <v>902</v>
      </c>
      <c r="U509">
        <v>980</v>
      </c>
      <c r="V509">
        <v>1135</v>
      </c>
      <c r="W509">
        <v>1032</v>
      </c>
      <c r="X509">
        <v>1010</v>
      </c>
      <c r="Y509">
        <v>982</v>
      </c>
      <c r="Z509">
        <v>892</v>
      </c>
      <c r="AA509">
        <v>958</v>
      </c>
      <c r="AB509">
        <v>1028</v>
      </c>
      <c r="AC509">
        <v>974</v>
      </c>
      <c r="AD509">
        <v>1009</v>
      </c>
      <c r="AE509">
        <v>955</v>
      </c>
      <c r="AF509">
        <v>1</v>
      </c>
      <c r="AG509">
        <v>2</v>
      </c>
      <c r="AH509">
        <v>0</v>
      </c>
      <c r="AI509">
        <v>0</v>
      </c>
      <c r="AJ509">
        <v>0</v>
      </c>
      <c r="AK509">
        <v>15</v>
      </c>
      <c r="AL509">
        <v>3</v>
      </c>
      <c r="AM509">
        <v>4</v>
      </c>
      <c r="AN509">
        <v>0</v>
      </c>
      <c r="AO509">
        <v>0</v>
      </c>
      <c r="AP509">
        <v>1131</v>
      </c>
      <c r="AQ509">
        <v>0</v>
      </c>
      <c r="AR509">
        <v>0</v>
      </c>
      <c r="AS509">
        <v>0</v>
      </c>
      <c r="AT509">
        <v>1</v>
      </c>
      <c r="AU509">
        <v>2</v>
      </c>
      <c r="AV509">
        <v>0</v>
      </c>
      <c r="AW509">
        <v>1</v>
      </c>
      <c r="AX509">
        <v>0</v>
      </c>
      <c r="AY509">
        <v>0</v>
      </c>
      <c r="AZ509">
        <v>2</v>
      </c>
      <c r="BA509">
        <v>1023</v>
      </c>
      <c r="BB509">
        <v>0</v>
      </c>
      <c r="BC509">
        <v>1</v>
      </c>
      <c r="BD509">
        <v>0</v>
      </c>
      <c r="BE509">
        <v>0</v>
      </c>
      <c r="BF509">
        <v>5</v>
      </c>
      <c r="BG509">
        <v>1</v>
      </c>
      <c r="BH509">
        <v>0</v>
      </c>
      <c r="BI509">
        <v>1</v>
      </c>
      <c r="BJ509">
        <v>0</v>
      </c>
      <c r="BK509">
        <v>4</v>
      </c>
      <c r="BL509">
        <v>978</v>
      </c>
      <c r="BM509">
        <v>1</v>
      </c>
      <c r="BN509">
        <v>13</v>
      </c>
      <c r="BO509">
        <v>0</v>
      </c>
      <c r="BP509">
        <v>7</v>
      </c>
      <c r="BQ509">
        <v>6</v>
      </c>
      <c r="BR509">
        <v>0</v>
      </c>
      <c r="BS509">
        <v>0</v>
      </c>
      <c r="BT509">
        <v>0</v>
      </c>
      <c r="BU509">
        <v>1</v>
      </c>
      <c r="BV509">
        <v>0</v>
      </c>
      <c r="BW509">
        <v>978</v>
      </c>
      <c r="BX509">
        <v>0</v>
      </c>
      <c r="BY509">
        <v>2</v>
      </c>
      <c r="BZ509">
        <v>1</v>
      </c>
      <c r="CA509">
        <v>0</v>
      </c>
      <c r="CB509">
        <v>0</v>
      </c>
      <c r="CC509">
        <v>3</v>
      </c>
      <c r="CD509">
        <v>0</v>
      </c>
      <c r="CE509">
        <v>1</v>
      </c>
      <c r="CF509">
        <v>7</v>
      </c>
      <c r="CG509">
        <v>1</v>
      </c>
      <c r="CH509">
        <v>862</v>
      </c>
      <c r="CI509">
        <v>10</v>
      </c>
      <c r="CJ509">
        <v>2</v>
      </c>
      <c r="CK509">
        <v>4</v>
      </c>
      <c r="CL509">
        <v>2</v>
      </c>
      <c r="CM509">
        <v>3</v>
      </c>
      <c r="CN509">
        <v>2</v>
      </c>
      <c r="CO509">
        <v>0</v>
      </c>
      <c r="CP509">
        <v>0</v>
      </c>
      <c r="CQ509">
        <v>1</v>
      </c>
      <c r="CR509">
        <v>1</v>
      </c>
      <c r="CS509">
        <v>950</v>
      </c>
      <c r="CT509">
        <v>0</v>
      </c>
      <c r="CU509">
        <v>1</v>
      </c>
      <c r="CV509">
        <v>0</v>
      </c>
      <c r="CW509">
        <v>1</v>
      </c>
      <c r="CX509">
        <v>3</v>
      </c>
      <c r="CY509">
        <v>6</v>
      </c>
      <c r="CZ509">
        <v>1</v>
      </c>
      <c r="DA509">
        <v>0</v>
      </c>
      <c r="DB509">
        <v>0</v>
      </c>
      <c r="DC509">
        <v>0</v>
      </c>
      <c r="DD509">
        <v>1016</v>
      </c>
      <c r="DE509">
        <v>1</v>
      </c>
      <c r="DF509">
        <v>0</v>
      </c>
      <c r="DG509">
        <v>1</v>
      </c>
      <c r="DH509">
        <v>0</v>
      </c>
      <c r="DI509">
        <v>3</v>
      </c>
      <c r="DJ509">
        <v>1</v>
      </c>
      <c r="DK509">
        <v>1</v>
      </c>
      <c r="DL509">
        <v>0</v>
      </c>
      <c r="DM509">
        <v>1</v>
      </c>
      <c r="DN509">
        <v>3</v>
      </c>
      <c r="DO509">
        <v>963</v>
      </c>
      <c r="DP509">
        <v>1</v>
      </c>
      <c r="DQ509">
        <v>6</v>
      </c>
      <c r="DR509">
        <v>4</v>
      </c>
      <c r="DS509">
        <v>2</v>
      </c>
      <c r="DT509">
        <v>7</v>
      </c>
      <c r="DU509">
        <v>55</v>
      </c>
      <c r="DV509">
        <v>5</v>
      </c>
      <c r="DW509">
        <v>0</v>
      </c>
      <c r="DX509">
        <v>18</v>
      </c>
      <c r="DY509">
        <v>13</v>
      </c>
      <c r="DZ509">
        <v>899</v>
      </c>
      <c r="EA509">
        <v>0.97550000000000003</v>
      </c>
      <c r="EB509">
        <v>0.97571353104673397</v>
      </c>
      <c r="EC509">
        <v>0.97525195140808696</v>
      </c>
      <c r="ED509">
        <v>0.97505782664757801</v>
      </c>
      <c r="EE509">
        <f>SUM(Table1[[#This Row],[ratio_0]:[ratio_9]])</f>
        <v>640</v>
      </c>
      <c r="EF509" s="1">
        <f>(Table1[[#This Row],[predicted_0]]-Table1[[#This Row],[actual_0]])/Table1[[#This Row],[actual_0]]</f>
        <v>-1.020408163265306E-2</v>
      </c>
      <c r="EG509" s="1">
        <f>(Table1[[#This Row],[predicted_1]]-Table1[[#This Row],[actual_1]])/Table1[[#This Row],[actual_1]]</f>
        <v>7.048458149779736E-3</v>
      </c>
      <c r="EH509" s="1">
        <f>(Table1[[#This Row],[predicted_2]]-Table1[[#This Row],[actual_2]])/Table1[[#This Row],[actual_2]]</f>
        <v>9.6899224806201549E-3</v>
      </c>
      <c r="EI509" s="1">
        <f>(Table1[[#This Row],[predicted_3]]-Table1[[#This Row],[actual_3]])/Table1[[#This Row],[actual_3]]</f>
        <v>-1.5841584158415842E-2</v>
      </c>
      <c r="EJ509" s="1">
        <f>(Table1[[#This Row],[predicted_4]]-Table1[[#This Row],[actual_4]])/Table1[[#This Row],[actual_4]]</f>
        <v>5.7026476578411409E-2</v>
      </c>
      <c r="EK509" s="1">
        <f>(Table1[[#This Row],[predicted_5]]-Table1[[#This Row],[actual_5]])/Table1[[#This Row],[actual_5]]</f>
        <v>-1.1210762331838564E-2</v>
      </c>
      <c r="EL509" s="1">
        <f>(Table1[[#This Row],[predicted_6]]-Table1[[#This Row],[actual_6]])/Table1[[#This Row],[actual_6]]</f>
        <v>2.2964509394572025E-2</v>
      </c>
      <c r="EM509" s="1">
        <f>(Table1[[#This Row],[predicted_7]]-Table1[[#This Row],[actual_7]])/Table1[[#This Row],[actual_7]]</f>
        <v>2.6264591439688716E-2</v>
      </c>
      <c r="EN509" s="1">
        <f>(Table1[[#This Row],[predicted_8]]-Table1[[#This Row],[actual_8]])/Table1[[#This Row],[actual_8]]</f>
        <v>2.0533880903490759E-2</v>
      </c>
      <c r="EO509" s="1">
        <f>(Table1[[#This Row],[predicted_9]]-Table1[[#This Row],[actual_9]])/Table1[[#This Row],[actual_9]]</f>
        <v>-0.10604558969276512</v>
      </c>
      <c r="EP509" s="1">
        <f>1+(Table1[[#This Row],[error_ratio_0]]-EF$2)</f>
        <v>0.98775510204081629</v>
      </c>
      <c r="EQ509" s="1">
        <f>1+(Table1[[#This Row],[error_ratio_1]]-EG$2)</f>
        <v>1.0052863436123347</v>
      </c>
      <c r="ER509" s="1">
        <f>1+(Table1[[#This Row],[error_ratio_2]]-EH$2)</f>
        <v>1.0145348837209303</v>
      </c>
      <c r="ES509" s="1">
        <f>1+(Table1[[#This Row],[error_ratio_3]]-EI$2)</f>
        <v>0.97425742574257423</v>
      </c>
      <c r="ET509" s="1">
        <f>1+(Table1[[#This Row],[error_ratio_4]]-EJ$2)</f>
        <v>1.0560081466395113</v>
      </c>
      <c r="EU509" s="1">
        <f>1+(Table1[[#This Row],[error_ratio_5]]-EK$2)</f>
        <v>0.9876681614349776</v>
      </c>
      <c r="EV509" s="1">
        <f>1+(Table1[[#This Row],[error_ratio_6]]-EL$2)</f>
        <v>1.0292275574112735</v>
      </c>
      <c r="EW509" s="1">
        <f>1+(Table1[[#This Row],[error_ratio_7]]-EM$2)</f>
        <v>1.0243190661478598</v>
      </c>
      <c r="EX509" s="1">
        <f>1+(Table1[[#This Row],[error_ratio_8]]-EN$2)</f>
        <v>1.0236139630390144</v>
      </c>
      <c r="EY509" s="1">
        <f>1+(Table1[[#This Row],[error_ratio_9]]-EO$2)</f>
        <v>0.89791873141724476</v>
      </c>
    </row>
    <row r="510" spans="1:155" x14ac:dyDescent="0.75">
      <c r="A510">
        <v>100</v>
      </c>
      <c r="B510">
        <v>10</v>
      </c>
      <c r="C510">
        <v>100</v>
      </c>
      <c r="D510">
        <v>10</v>
      </c>
      <c r="E510">
        <v>100</v>
      </c>
      <c r="F510">
        <v>10</v>
      </c>
      <c r="G510">
        <v>100</v>
      </c>
      <c r="H510">
        <v>100</v>
      </c>
      <c r="I510">
        <v>100</v>
      </c>
      <c r="J510">
        <v>10</v>
      </c>
      <c r="K510">
        <v>980</v>
      </c>
      <c r="L510">
        <v>1111</v>
      </c>
      <c r="M510">
        <v>1075</v>
      </c>
      <c r="N510">
        <v>952</v>
      </c>
      <c r="O510">
        <v>1012</v>
      </c>
      <c r="P510">
        <v>873</v>
      </c>
      <c r="Q510">
        <v>976</v>
      </c>
      <c r="R510">
        <v>1026</v>
      </c>
      <c r="S510">
        <v>1032</v>
      </c>
      <c r="T510">
        <v>963</v>
      </c>
      <c r="U510">
        <v>980</v>
      </c>
      <c r="V510">
        <v>1135</v>
      </c>
      <c r="W510">
        <v>1032</v>
      </c>
      <c r="X510">
        <v>1010</v>
      </c>
      <c r="Y510">
        <v>982</v>
      </c>
      <c r="Z510">
        <v>892</v>
      </c>
      <c r="AA510">
        <v>958</v>
      </c>
      <c r="AB510">
        <v>1028</v>
      </c>
      <c r="AC510">
        <v>974</v>
      </c>
      <c r="AD510">
        <v>1009</v>
      </c>
      <c r="AE510">
        <v>971</v>
      </c>
      <c r="AF510">
        <v>0</v>
      </c>
      <c r="AG510">
        <v>0</v>
      </c>
      <c r="AH510">
        <v>0</v>
      </c>
      <c r="AI510">
        <v>0</v>
      </c>
      <c r="AJ510">
        <v>0</v>
      </c>
      <c r="AK510">
        <v>3</v>
      </c>
      <c r="AL510">
        <v>3</v>
      </c>
      <c r="AM510">
        <v>3</v>
      </c>
      <c r="AN510">
        <v>0</v>
      </c>
      <c r="AO510">
        <v>0</v>
      </c>
      <c r="AP510">
        <v>1107</v>
      </c>
      <c r="AQ510">
        <v>10</v>
      </c>
      <c r="AR510">
        <v>1</v>
      </c>
      <c r="AS510">
        <v>0</v>
      </c>
      <c r="AT510">
        <v>2</v>
      </c>
      <c r="AU510">
        <v>6</v>
      </c>
      <c r="AV510">
        <v>4</v>
      </c>
      <c r="AW510">
        <v>5</v>
      </c>
      <c r="AX510">
        <v>0</v>
      </c>
      <c r="AY510">
        <v>1</v>
      </c>
      <c r="AZ510">
        <v>0</v>
      </c>
      <c r="BA510">
        <v>1027</v>
      </c>
      <c r="BB510">
        <v>0</v>
      </c>
      <c r="BC510">
        <v>1</v>
      </c>
      <c r="BD510">
        <v>0</v>
      </c>
      <c r="BE510">
        <v>1</v>
      </c>
      <c r="BF510">
        <v>1</v>
      </c>
      <c r="BG510">
        <v>1</v>
      </c>
      <c r="BH510">
        <v>0</v>
      </c>
      <c r="BI510">
        <v>0</v>
      </c>
      <c r="BJ510">
        <v>0</v>
      </c>
      <c r="BK510">
        <v>14</v>
      </c>
      <c r="BL510">
        <v>945</v>
      </c>
      <c r="BM510">
        <v>0</v>
      </c>
      <c r="BN510">
        <v>16</v>
      </c>
      <c r="BO510">
        <v>0</v>
      </c>
      <c r="BP510">
        <v>8</v>
      </c>
      <c r="BQ510">
        <v>24</v>
      </c>
      <c r="BR510">
        <v>3</v>
      </c>
      <c r="BS510">
        <v>0</v>
      </c>
      <c r="BT510">
        <v>0</v>
      </c>
      <c r="BU510">
        <v>3</v>
      </c>
      <c r="BV510">
        <v>0</v>
      </c>
      <c r="BW510">
        <v>977</v>
      </c>
      <c r="BX510">
        <v>0</v>
      </c>
      <c r="BY510">
        <v>1</v>
      </c>
      <c r="BZ510">
        <v>0</v>
      </c>
      <c r="CA510">
        <v>1</v>
      </c>
      <c r="CB510">
        <v>0</v>
      </c>
      <c r="CC510">
        <v>3</v>
      </c>
      <c r="CD510">
        <v>0</v>
      </c>
      <c r="CE510">
        <v>0</v>
      </c>
      <c r="CF510">
        <v>4</v>
      </c>
      <c r="CG510">
        <v>0</v>
      </c>
      <c r="CH510">
        <v>848</v>
      </c>
      <c r="CI510">
        <v>17</v>
      </c>
      <c r="CJ510">
        <v>1</v>
      </c>
      <c r="CK510">
        <v>17</v>
      </c>
      <c r="CL510">
        <v>2</v>
      </c>
      <c r="CM510">
        <v>1</v>
      </c>
      <c r="CN510">
        <v>1</v>
      </c>
      <c r="CO510">
        <v>2</v>
      </c>
      <c r="CP510">
        <v>0</v>
      </c>
      <c r="CQ510">
        <v>3</v>
      </c>
      <c r="CR510">
        <v>1</v>
      </c>
      <c r="CS510">
        <v>947</v>
      </c>
      <c r="CT510">
        <v>0</v>
      </c>
      <c r="CU510">
        <v>3</v>
      </c>
      <c r="CV510">
        <v>0</v>
      </c>
      <c r="CW510">
        <v>1</v>
      </c>
      <c r="CX510">
        <v>1</v>
      </c>
      <c r="CY510">
        <v>16</v>
      </c>
      <c r="CZ510">
        <v>0</v>
      </c>
      <c r="DA510">
        <v>0</v>
      </c>
      <c r="DB510">
        <v>0</v>
      </c>
      <c r="DC510">
        <v>0</v>
      </c>
      <c r="DD510">
        <v>1006</v>
      </c>
      <c r="DE510">
        <v>1</v>
      </c>
      <c r="DF510">
        <v>3</v>
      </c>
      <c r="DG510">
        <v>1</v>
      </c>
      <c r="DH510">
        <v>0</v>
      </c>
      <c r="DI510">
        <v>2</v>
      </c>
      <c r="DJ510">
        <v>0</v>
      </c>
      <c r="DK510">
        <v>1</v>
      </c>
      <c r="DL510">
        <v>0</v>
      </c>
      <c r="DM510">
        <v>1</v>
      </c>
      <c r="DN510">
        <v>1</v>
      </c>
      <c r="DO510">
        <v>965</v>
      </c>
      <c r="DP510">
        <v>3</v>
      </c>
      <c r="DQ510">
        <v>2</v>
      </c>
      <c r="DR510">
        <v>2</v>
      </c>
      <c r="DS510">
        <v>1</v>
      </c>
      <c r="DT510">
        <v>2</v>
      </c>
      <c r="DU510">
        <v>30</v>
      </c>
      <c r="DV510">
        <v>6</v>
      </c>
      <c r="DW510">
        <v>0</v>
      </c>
      <c r="DX510">
        <v>2</v>
      </c>
      <c r="DY510">
        <v>12</v>
      </c>
      <c r="DZ510">
        <v>952</v>
      </c>
      <c r="EA510">
        <v>0.97450000000000003</v>
      </c>
      <c r="EB510">
        <v>0.97464385876302695</v>
      </c>
      <c r="EC510">
        <v>0.97439114670363003</v>
      </c>
      <c r="ED510">
        <v>0.97420640855260998</v>
      </c>
      <c r="EE510">
        <f>SUM(Table1[[#This Row],[ratio_0]:[ratio_9]])</f>
        <v>640</v>
      </c>
      <c r="EF510" s="1">
        <f>(Table1[[#This Row],[predicted_0]]-Table1[[#This Row],[actual_0]])/Table1[[#This Row],[actual_0]]</f>
        <v>0</v>
      </c>
      <c r="EG510" s="1">
        <f>(Table1[[#This Row],[predicted_1]]-Table1[[#This Row],[actual_1]])/Table1[[#This Row],[actual_1]]</f>
        <v>-2.1145374449339206E-2</v>
      </c>
      <c r="EH510" s="1">
        <f>(Table1[[#This Row],[predicted_2]]-Table1[[#This Row],[actual_2]])/Table1[[#This Row],[actual_2]]</f>
        <v>4.1666666666666664E-2</v>
      </c>
      <c r="EI510" s="1">
        <f>(Table1[[#This Row],[predicted_3]]-Table1[[#This Row],[actual_3]])/Table1[[#This Row],[actual_3]]</f>
        <v>-5.7425742574257428E-2</v>
      </c>
      <c r="EJ510" s="1">
        <f>(Table1[[#This Row],[predicted_4]]-Table1[[#This Row],[actual_4]])/Table1[[#This Row],[actual_4]]</f>
        <v>3.0549898167006109E-2</v>
      </c>
      <c r="EK510" s="1">
        <f>(Table1[[#This Row],[predicted_5]]-Table1[[#This Row],[actual_5]])/Table1[[#This Row],[actual_5]]</f>
        <v>-2.1300448430493273E-2</v>
      </c>
      <c r="EL510" s="1">
        <f>(Table1[[#This Row],[predicted_6]]-Table1[[#This Row],[actual_6]])/Table1[[#This Row],[actual_6]]</f>
        <v>1.8789144050104383E-2</v>
      </c>
      <c r="EM510" s="1">
        <f>(Table1[[#This Row],[predicted_7]]-Table1[[#This Row],[actual_7]])/Table1[[#This Row],[actual_7]]</f>
        <v>-1.9455252918287938E-3</v>
      </c>
      <c r="EN510" s="1">
        <f>(Table1[[#This Row],[predicted_8]]-Table1[[#This Row],[actual_8]])/Table1[[#This Row],[actual_8]]</f>
        <v>5.9548254620123205E-2</v>
      </c>
      <c r="EO510" s="1">
        <f>(Table1[[#This Row],[predicted_9]]-Table1[[#This Row],[actual_9]])/Table1[[#This Row],[actual_9]]</f>
        <v>-4.5589692765113973E-2</v>
      </c>
      <c r="EP510" s="1">
        <f>1+(Table1[[#This Row],[error_ratio_0]]-EF$2)</f>
        <v>0.99795918367346936</v>
      </c>
      <c r="EQ510" s="1">
        <f>1+(Table1[[#This Row],[error_ratio_1]]-EG$2)</f>
        <v>0.97709251101321581</v>
      </c>
      <c r="ER510" s="1">
        <f>1+(Table1[[#This Row],[error_ratio_2]]-EH$2)</f>
        <v>1.0465116279069768</v>
      </c>
      <c r="ES510" s="1">
        <f>1+(Table1[[#This Row],[error_ratio_3]]-EI$2)</f>
        <v>0.93267326732673261</v>
      </c>
      <c r="ET510" s="1">
        <f>1+(Table1[[#This Row],[error_ratio_4]]-EJ$2)</f>
        <v>1.0295315682281059</v>
      </c>
      <c r="EU510" s="1">
        <f>1+(Table1[[#This Row],[error_ratio_5]]-EK$2)</f>
        <v>0.97757847533632292</v>
      </c>
      <c r="EV510" s="1">
        <f>1+(Table1[[#This Row],[error_ratio_6]]-EL$2)</f>
        <v>1.0250521920668059</v>
      </c>
      <c r="EW510" s="1">
        <f>1+(Table1[[#This Row],[error_ratio_7]]-EM$2)</f>
        <v>0.99610894941634243</v>
      </c>
      <c r="EX510" s="1">
        <f>1+(Table1[[#This Row],[error_ratio_8]]-EN$2)</f>
        <v>1.0626283367556468</v>
      </c>
      <c r="EY510" s="1">
        <f>1+(Table1[[#This Row],[error_ratio_9]]-EO$2)</f>
        <v>0.95837462834489595</v>
      </c>
    </row>
    <row r="511" spans="1:155" x14ac:dyDescent="0.75">
      <c r="A511">
        <v>10</v>
      </c>
      <c r="B511">
        <v>10</v>
      </c>
      <c r="C511">
        <v>100</v>
      </c>
      <c r="D511">
        <v>10</v>
      </c>
      <c r="E511">
        <v>100</v>
      </c>
      <c r="F511">
        <v>10</v>
      </c>
      <c r="G511">
        <v>100</v>
      </c>
      <c r="H511">
        <v>100</v>
      </c>
      <c r="I511">
        <v>100</v>
      </c>
      <c r="J511">
        <v>10</v>
      </c>
      <c r="K511">
        <v>969</v>
      </c>
      <c r="L511">
        <v>1030</v>
      </c>
      <c r="M511">
        <v>1039</v>
      </c>
      <c r="N511">
        <v>885</v>
      </c>
      <c r="O511">
        <v>960</v>
      </c>
      <c r="P511">
        <v>892</v>
      </c>
      <c r="Q511">
        <v>1001</v>
      </c>
      <c r="R511">
        <v>1099</v>
      </c>
      <c r="S511">
        <v>1220</v>
      </c>
      <c r="T511">
        <v>905</v>
      </c>
      <c r="U511">
        <v>980</v>
      </c>
      <c r="V511">
        <v>1135</v>
      </c>
      <c r="W511">
        <v>1032</v>
      </c>
      <c r="X511">
        <v>1010</v>
      </c>
      <c r="Y511">
        <v>982</v>
      </c>
      <c r="Z511">
        <v>892</v>
      </c>
      <c r="AA511">
        <v>958</v>
      </c>
      <c r="AB511">
        <v>1028</v>
      </c>
      <c r="AC511">
        <v>974</v>
      </c>
      <c r="AD511">
        <v>1009</v>
      </c>
      <c r="AE511">
        <v>955</v>
      </c>
      <c r="AF511">
        <v>0</v>
      </c>
      <c r="AG511">
        <v>3</v>
      </c>
      <c r="AH511">
        <v>0</v>
      </c>
      <c r="AI511">
        <v>0</v>
      </c>
      <c r="AJ511">
        <v>1</v>
      </c>
      <c r="AK511">
        <v>9</v>
      </c>
      <c r="AL511">
        <v>3</v>
      </c>
      <c r="AM511">
        <v>9</v>
      </c>
      <c r="AN511">
        <v>0</v>
      </c>
      <c r="AO511">
        <v>0</v>
      </c>
      <c r="AP511">
        <v>1029</v>
      </c>
      <c r="AQ511">
        <v>4</v>
      </c>
      <c r="AR511">
        <v>1</v>
      </c>
      <c r="AS511">
        <v>4</v>
      </c>
      <c r="AT511">
        <v>1</v>
      </c>
      <c r="AU511">
        <v>9</v>
      </c>
      <c r="AV511">
        <v>9</v>
      </c>
      <c r="AW511">
        <v>78</v>
      </c>
      <c r="AX511">
        <v>0</v>
      </c>
      <c r="AY511">
        <v>0</v>
      </c>
      <c r="AZ511">
        <v>0</v>
      </c>
      <c r="BA511">
        <v>1005</v>
      </c>
      <c r="BB511">
        <v>0</v>
      </c>
      <c r="BC511">
        <v>0</v>
      </c>
      <c r="BD511">
        <v>0</v>
      </c>
      <c r="BE511">
        <v>10</v>
      </c>
      <c r="BF511">
        <v>7</v>
      </c>
      <c r="BG511">
        <v>10</v>
      </c>
      <c r="BH511">
        <v>0</v>
      </c>
      <c r="BI511">
        <v>4</v>
      </c>
      <c r="BJ511">
        <v>0</v>
      </c>
      <c r="BK511">
        <v>19</v>
      </c>
      <c r="BL511">
        <v>878</v>
      </c>
      <c r="BM511">
        <v>0</v>
      </c>
      <c r="BN511">
        <v>39</v>
      </c>
      <c r="BO511">
        <v>2</v>
      </c>
      <c r="BP511">
        <v>17</v>
      </c>
      <c r="BQ511">
        <v>50</v>
      </c>
      <c r="BR511">
        <v>1</v>
      </c>
      <c r="BS511">
        <v>0</v>
      </c>
      <c r="BT511">
        <v>0</v>
      </c>
      <c r="BU511">
        <v>0</v>
      </c>
      <c r="BV511">
        <v>0</v>
      </c>
      <c r="BW511">
        <v>947</v>
      </c>
      <c r="BX511">
        <v>0</v>
      </c>
      <c r="BY511">
        <v>6</v>
      </c>
      <c r="BZ511">
        <v>2</v>
      </c>
      <c r="CA511">
        <v>9</v>
      </c>
      <c r="CB511">
        <v>18</v>
      </c>
      <c r="CC511">
        <v>2</v>
      </c>
      <c r="CD511">
        <v>0</v>
      </c>
      <c r="CE511">
        <v>0</v>
      </c>
      <c r="CF511">
        <v>4</v>
      </c>
      <c r="CG511">
        <v>0</v>
      </c>
      <c r="CH511">
        <v>836</v>
      </c>
      <c r="CI511">
        <v>15</v>
      </c>
      <c r="CJ511">
        <v>1</v>
      </c>
      <c r="CK511">
        <v>34</v>
      </c>
      <c r="CL511">
        <v>0</v>
      </c>
      <c r="CM511">
        <v>3</v>
      </c>
      <c r="CN511">
        <v>1</v>
      </c>
      <c r="CO511">
        <v>0</v>
      </c>
      <c r="CP511">
        <v>0</v>
      </c>
      <c r="CQ511">
        <v>1</v>
      </c>
      <c r="CR511">
        <v>2</v>
      </c>
      <c r="CS511">
        <v>948</v>
      </c>
      <c r="CT511">
        <v>0</v>
      </c>
      <c r="CU511">
        <v>3</v>
      </c>
      <c r="CV511">
        <v>0</v>
      </c>
      <c r="CW511">
        <v>0</v>
      </c>
      <c r="CX511">
        <v>0</v>
      </c>
      <c r="CY511">
        <v>7</v>
      </c>
      <c r="CZ511">
        <v>0</v>
      </c>
      <c r="DA511">
        <v>0</v>
      </c>
      <c r="DB511">
        <v>0</v>
      </c>
      <c r="DC511">
        <v>0</v>
      </c>
      <c r="DD511">
        <v>1020</v>
      </c>
      <c r="DE511">
        <v>1</v>
      </c>
      <c r="DF511">
        <v>0</v>
      </c>
      <c r="DG511">
        <v>0</v>
      </c>
      <c r="DH511">
        <v>0</v>
      </c>
      <c r="DI511">
        <v>0</v>
      </c>
      <c r="DJ511">
        <v>0</v>
      </c>
      <c r="DK511">
        <v>0</v>
      </c>
      <c r="DL511">
        <v>1</v>
      </c>
      <c r="DM511">
        <v>1</v>
      </c>
      <c r="DN511">
        <v>4</v>
      </c>
      <c r="DO511">
        <v>968</v>
      </c>
      <c r="DP511">
        <v>0</v>
      </c>
      <c r="DQ511">
        <v>5</v>
      </c>
      <c r="DR511">
        <v>0</v>
      </c>
      <c r="DS511">
        <v>1</v>
      </c>
      <c r="DT511">
        <v>2</v>
      </c>
      <c r="DU511">
        <v>8</v>
      </c>
      <c r="DV511">
        <v>12</v>
      </c>
      <c r="DW511">
        <v>1</v>
      </c>
      <c r="DX511">
        <v>36</v>
      </c>
      <c r="DY511">
        <v>58</v>
      </c>
      <c r="DZ511">
        <v>886</v>
      </c>
      <c r="EA511">
        <v>0.94720000000000004</v>
      </c>
      <c r="EB511">
        <v>0.95152434930768004</v>
      </c>
      <c r="EC511">
        <v>0.947953649557704</v>
      </c>
      <c r="ED511">
        <v>0.94754191972587198</v>
      </c>
      <c r="EE511">
        <f>SUM(Table1[[#This Row],[ratio_0]:[ratio_9]])</f>
        <v>550</v>
      </c>
      <c r="EF511" s="1">
        <f>(Table1[[#This Row],[predicted_0]]-Table1[[#This Row],[actual_0]])/Table1[[#This Row],[actual_0]]</f>
        <v>-1.1224489795918367E-2</v>
      </c>
      <c r="EG511" s="1">
        <f>(Table1[[#This Row],[predicted_1]]-Table1[[#This Row],[actual_1]])/Table1[[#This Row],[actual_1]]</f>
        <v>-9.2511013215859028E-2</v>
      </c>
      <c r="EH511" s="1">
        <f>(Table1[[#This Row],[predicted_2]]-Table1[[#This Row],[actual_2]])/Table1[[#This Row],[actual_2]]</f>
        <v>6.7829457364341084E-3</v>
      </c>
      <c r="EI511" s="1">
        <f>(Table1[[#This Row],[predicted_3]]-Table1[[#This Row],[actual_3]])/Table1[[#This Row],[actual_3]]</f>
        <v>-0.12376237623762376</v>
      </c>
      <c r="EJ511" s="1">
        <f>(Table1[[#This Row],[predicted_4]]-Table1[[#This Row],[actual_4]])/Table1[[#This Row],[actual_4]]</f>
        <v>-2.2403258655804479E-2</v>
      </c>
      <c r="EK511" s="1">
        <f>(Table1[[#This Row],[predicted_5]]-Table1[[#This Row],[actual_5]])/Table1[[#This Row],[actual_5]]</f>
        <v>0</v>
      </c>
      <c r="EL511" s="1">
        <f>(Table1[[#This Row],[predicted_6]]-Table1[[#This Row],[actual_6]])/Table1[[#This Row],[actual_6]]</f>
        <v>4.4885177453027142E-2</v>
      </c>
      <c r="EM511" s="1">
        <f>(Table1[[#This Row],[predicted_7]]-Table1[[#This Row],[actual_7]])/Table1[[#This Row],[actual_7]]</f>
        <v>6.9066147859922183E-2</v>
      </c>
      <c r="EN511" s="1">
        <f>(Table1[[#This Row],[predicted_8]]-Table1[[#This Row],[actual_8]])/Table1[[#This Row],[actual_8]]</f>
        <v>0.25256673511293637</v>
      </c>
      <c r="EO511" s="1">
        <f>(Table1[[#This Row],[predicted_9]]-Table1[[#This Row],[actual_9]])/Table1[[#This Row],[actual_9]]</f>
        <v>-0.10307234886025768</v>
      </c>
      <c r="EP511" s="1">
        <f>1+(Table1[[#This Row],[error_ratio_0]]-EF$2)</f>
        <v>0.98673469387755097</v>
      </c>
      <c r="EQ511" s="1">
        <f>1+(Table1[[#This Row],[error_ratio_1]]-EG$2)</f>
        <v>0.90572687224669601</v>
      </c>
      <c r="ER511" s="1">
        <f>1+(Table1[[#This Row],[error_ratio_2]]-EH$2)</f>
        <v>1.0116279069767442</v>
      </c>
      <c r="ES511" s="1">
        <f>1+(Table1[[#This Row],[error_ratio_3]]-EI$2)</f>
        <v>0.86633663366336633</v>
      </c>
      <c r="ET511" s="1">
        <f>1+(Table1[[#This Row],[error_ratio_4]]-EJ$2)</f>
        <v>0.97657841140529533</v>
      </c>
      <c r="EU511" s="1">
        <f>1+(Table1[[#This Row],[error_ratio_5]]-EK$2)</f>
        <v>0.9988789237668162</v>
      </c>
      <c r="EV511" s="1">
        <f>1+(Table1[[#This Row],[error_ratio_6]]-EL$2)</f>
        <v>1.0511482254697286</v>
      </c>
      <c r="EW511" s="1">
        <f>1+(Table1[[#This Row],[error_ratio_7]]-EM$2)</f>
        <v>1.0671206225680934</v>
      </c>
      <c r="EX511" s="1">
        <f>1+(Table1[[#This Row],[error_ratio_8]]-EN$2)</f>
        <v>1.2556468172484601</v>
      </c>
      <c r="EY511" s="1">
        <f>1+(Table1[[#This Row],[error_ratio_9]]-EO$2)</f>
        <v>0.90089197224975226</v>
      </c>
    </row>
    <row r="512" spans="1:155" x14ac:dyDescent="0.75">
      <c r="A512">
        <v>100</v>
      </c>
      <c r="B512">
        <v>100</v>
      </c>
      <c r="C512">
        <v>10</v>
      </c>
      <c r="D512">
        <v>10</v>
      </c>
      <c r="E512">
        <v>100</v>
      </c>
      <c r="F512">
        <v>10</v>
      </c>
      <c r="G512">
        <v>100</v>
      </c>
      <c r="H512">
        <v>100</v>
      </c>
      <c r="I512">
        <v>100</v>
      </c>
      <c r="J512">
        <v>10</v>
      </c>
      <c r="K512">
        <v>987</v>
      </c>
      <c r="L512">
        <v>1156</v>
      </c>
      <c r="M512">
        <v>961</v>
      </c>
      <c r="N512">
        <v>982</v>
      </c>
      <c r="O512">
        <v>1002</v>
      </c>
      <c r="P512">
        <v>895</v>
      </c>
      <c r="Q512">
        <v>962</v>
      </c>
      <c r="R512">
        <v>1106</v>
      </c>
      <c r="S512">
        <v>998</v>
      </c>
      <c r="T512">
        <v>951</v>
      </c>
      <c r="U512">
        <v>980</v>
      </c>
      <c r="V512">
        <v>1135</v>
      </c>
      <c r="W512">
        <v>1032</v>
      </c>
      <c r="X512">
        <v>1010</v>
      </c>
      <c r="Y512">
        <v>982</v>
      </c>
      <c r="Z512">
        <v>892</v>
      </c>
      <c r="AA512">
        <v>958</v>
      </c>
      <c r="AB512">
        <v>1028</v>
      </c>
      <c r="AC512">
        <v>974</v>
      </c>
      <c r="AD512">
        <v>1009</v>
      </c>
      <c r="AE512">
        <v>972</v>
      </c>
      <c r="AF512">
        <v>0</v>
      </c>
      <c r="AG512">
        <v>0</v>
      </c>
      <c r="AH512">
        <v>0</v>
      </c>
      <c r="AI512">
        <v>0</v>
      </c>
      <c r="AJ512">
        <v>0</v>
      </c>
      <c r="AK512">
        <v>1</v>
      </c>
      <c r="AL512">
        <v>3</v>
      </c>
      <c r="AM512">
        <v>4</v>
      </c>
      <c r="AN512">
        <v>0</v>
      </c>
      <c r="AO512">
        <v>0</v>
      </c>
      <c r="AP512">
        <v>1132</v>
      </c>
      <c r="AQ512">
        <v>0</v>
      </c>
      <c r="AR512">
        <v>0</v>
      </c>
      <c r="AS512">
        <v>0</v>
      </c>
      <c r="AT512">
        <v>1</v>
      </c>
      <c r="AU512">
        <v>0</v>
      </c>
      <c r="AV512">
        <v>0</v>
      </c>
      <c r="AW512">
        <v>2</v>
      </c>
      <c r="AX512">
        <v>0</v>
      </c>
      <c r="AY512">
        <v>1</v>
      </c>
      <c r="AZ512">
        <v>15</v>
      </c>
      <c r="BA512">
        <v>958</v>
      </c>
      <c r="BB512">
        <v>1</v>
      </c>
      <c r="BC512">
        <v>7</v>
      </c>
      <c r="BD512">
        <v>0</v>
      </c>
      <c r="BE512">
        <v>4</v>
      </c>
      <c r="BF512">
        <v>41</v>
      </c>
      <c r="BG512">
        <v>5</v>
      </c>
      <c r="BH512">
        <v>0</v>
      </c>
      <c r="BI512">
        <v>1</v>
      </c>
      <c r="BJ512">
        <v>0</v>
      </c>
      <c r="BK512">
        <v>1</v>
      </c>
      <c r="BL512">
        <v>968</v>
      </c>
      <c r="BM512">
        <v>0</v>
      </c>
      <c r="BN512">
        <v>13</v>
      </c>
      <c r="BO512">
        <v>0</v>
      </c>
      <c r="BP512">
        <v>14</v>
      </c>
      <c r="BQ512">
        <v>12</v>
      </c>
      <c r="BR512">
        <v>1</v>
      </c>
      <c r="BS512">
        <v>0</v>
      </c>
      <c r="BT512">
        <v>0</v>
      </c>
      <c r="BU512">
        <v>0</v>
      </c>
      <c r="BV512">
        <v>0</v>
      </c>
      <c r="BW512">
        <v>979</v>
      </c>
      <c r="BX512">
        <v>0</v>
      </c>
      <c r="BY512">
        <v>2</v>
      </c>
      <c r="BZ512">
        <v>0</v>
      </c>
      <c r="CA512">
        <v>0</v>
      </c>
      <c r="CB512">
        <v>1</v>
      </c>
      <c r="CC512">
        <v>3</v>
      </c>
      <c r="CD512">
        <v>0</v>
      </c>
      <c r="CE512">
        <v>0</v>
      </c>
      <c r="CF512">
        <v>4</v>
      </c>
      <c r="CG512">
        <v>0</v>
      </c>
      <c r="CH512">
        <v>869</v>
      </c>
      <c r="CI512">
        <v>6</v>
      </c>
      <c r="CJ512">
        <v>3</v>
      </c>
      <c r="CK512">
        <v>6</v>
      </c>
      <c r="CL512">
        <v>1</v>
      </c>
      <c r="CM512">
        <v>5</v>
      </c>
      <c r="CN512">
        <v>3</v>
      </c>
      <c r="CO512">
        <v>1</v>
      </c>
      <c r="CP512">
        <v>0</v>
      </c>
      <c r="CQ512">
        <v>2</v>
      </c>
      <c r="CR512">
        <v>1</v>
      </c>
      <c r="CS512">
        <v>946</v>
      </c>
      <c r="CT512">
        <v>0</v>
      </c>
      <c r="CU512">
        <v>0</v>
      </c>
      <c r="CV512">
        <v>0</v>
      </c>
      <c r="CW512">
        <v>0</v>
      </c>
      <c r="CX512">
        <v>3</v>
      </c>
      <c r="CY512">
        <v>1</v>
      </c>
      <c r="CZ512">
        <v>0</v>
      </c>
      <c r="DA512">
        <v>0</v>
      </c>
      <c r="DB512">
        <v>0</v>
      </c>
      <c r="DC512">
        <v>0</v>
      </c>
      <c r="DD512">
        <v>1024</v>
      </c>
      <c r="DE512">
        <v>0</v>
      </c>
      <c r="DF512">
        <v>0</v>
      </c>
      <c r="DG512">
        <v>1</v>
      </c>
      <c r="DH512">
        <v>0</v>
      </c>
      <c r="DI512">
        <v>0</v>
      </c>
      <c r="DJ512">
        <v>1</v>
      </c>
      <c r="DK512">
        <v>2</v>
      </c>
      <c r="DL512">
        <v>0</v>
      </c>
      <c r="DM512">
        <v>2</v>
      </c>
      <c r="DN512">
        <v>3</v>
      </c>
      <c r="DO512">
        <v>964</v>
      </c>
      <c r="DP512">
        <v>1</v>
      </c>
      <c r="DQ512">
        <v>4</v>
      </c>
      <c r="DR512">
        <v>3</v>
      </c>
      <c r="DS512">
        <v>0</v>
      </c>
      <c r="DT512">
        <v>8</v>
      </c>
      <c r="DU512">
        <v>12</v>
      </c>
      <c r="DV512">
        <v>11</v>
      </c>
      <c r="DW512">
        <v>1</v>
      </c>
      <c r="DX512">
        <v>18</v>
      </c>
      <c r="DY512">
        <v>5</v>
      </c>
      <c r="DZ512">
        <v>947</v>
      </c>
      <c r="EA512">
        <v>0.97589999999999999</v>
      </c>
      <c r="EB512">
        <v>0.97656111468941598</v>
      </c>
      <c r="EC512">
        <v>0.97589331706613902</v>
      </c>
      <c r="ED512">
        <v>0.97583799685511297</v>
      </c>
      <c r="EE512">
        <f>SUM(Table1[[#This Row],[ratio_0]:[ratio_9]])</f>
        <v>640</v>
      </c>
      <c r="EF512" s="1">
        <f>(Table1[[#This Row],[predicted_0]]-Table1[[#This Row],[actual_0]])/Table1[[#This Row],[actual_0]]</f>
        <v>7.1428571428571426E-3</v>
      </c>
      <c r="EG512" s="1">
        <f>(Table1[[#This Row],[predicted_1]]-Table1[[#This Row],[actual_1]])/Table1[[#This Row],[actual_1]]</f>
        <v>1.8502202643171806E-2</v>
      </c>
      <c r="EH512" s="1">
        <f>(Table1[[#This Row],[predicted_2]]-Table1[[#This Row],[actual_2]])/Table1[[#This Row],[actual_2]]</f>
        <v>-6.8798449612403098E-2</v>
      </c>
      <c r="EI512" s="1">
        <f>(Table1[[#This Row],[predicted_3]]-Table1[[#This Row],[actual_3]])/Table1[[#This Row],[actual_3]]</f>
        <v>-2.7722772277227723E-2</v>
      </c>
      <c r="EJ512" s="1">
        <f>(Table1[[#This Row],[predicted_4]]-Table1[[#This Row],[actual_4]])/Table1[[#This Row],[actual_4]]</f>
        <v>2.0366598778004074E-2</v>
      </c>
      <c r="EK512" s="1">
        <f>(Table1[[#This Row],[predicted_5]]-Table1[[#This Row],[actual_5]])/Table1[[#This Row],[actual_5]]</f>
        <v>3.3632286995515697E-3</v>
      </c>
      <c r="EL512" s="1">
        <f>(Table1[[#This Row],[predicted_6]]-Table1[[#This Row],[actual_6]])/Table1[[#This Row],[actual_6]]</f>
        <v>4.1753653444676405E-3</v>
      </c>
      <c r="EM512" s="1">
        <f>(Table1[[#This Row],[predicted_7]]-Table1[[#This Row],[actual_7]])/Table1[[#This Row],[actual_7]]</f>
        <v>7.5875486381322951E-2</v>
      </c>
      <c r="EN512" s="1">
        <f>(Table1[[#This Row],[predicted_8]]-Table1[[#This Row],[actual_8]])/Table1[[#This Row],[actual_8]]</f>
        <v>2.4640657084188913E-2</v>
      </c>
      <c r="EO512" s="1">
        <f>(Table1[[#This Row],[predicted_9]]-Table1[[#This Row],[actual_9]])/Table1[[#This Row],[actual_9]]</f>
        <v>-5.7482656095143705E-2</v>
      </c>
      <c r="EP512" s="1">
        <f>1+(Table1[[#This Row],[error_ratio_0]]-EF$2)</f>
        <v>1.0051020408163265</v>
      </c>
      <c r="EQ512" s="1">
        <f>1+(Table1[[#This Row],[error_ratio_1]]-EG$2)</f>
        <v>1.0167400881057269</v>
      </c>
      <c r="ER512" s="1">
        <f>1+(Table1[[#This Row],[error_ratio_2]]-EH$2)</f>
        <v>0.93604651162790697</v>
      </c>
      <c r="ES512" s="1">
        <f>1+(Table1[[#This Row],[error_ratio_3]]-EI$2)</f>
        <v>0.96237623762376234</v>
      </c>
      <c r="ET512" s="1">
        <f>1+(Table1[[#This Row],[error_ratio_4]]-EJ$2)</f>
        <v>1.0193482688391038</v>
      </c>
      <c r="EU512" s="1">
        <f>1+(Table1[[#This Row],[error_ratio_5]]-EK$2)</f>
        <v>1.0022421524663676</v>
      </c>
      <c r="EV512" s="1">
        <f>1+(Table1[[#This Row],[error_ratio_6]]-EL$2)</f>
        <v>1.010438413361169</v>
      </c>
      <c r="EW512" s="1">
        <f>1+(Table1[[#This Row],[error_ratio_7]]-EM$2)</f>
        <v>1.0739299610894941</v>
      </c>
      <c r="EX512" s="1">
        <f>1+(Table1[[#This Row],[error_ratio_8]]-EN$2)</f>
        <v>1.0277207392197125</v>
      </c>
      <c r="EY512" s="1">
        <f>1+(Table1[[#This Row],[error_ratio_9]]-EO$2)</f>
        <v>0.94648166501486619</v>
      </c>
    </row>
    <row r="513" spans="1:155" x14ac:dyDescent="0.75">
      <c r="A513">
        <v>10</v>
      </c>
      <c r="B513">
        <v>100</v>
      </c>
      <c r="C513">
        <v>10</v>
      </c>
      <c r="D513">
        <v>10</v>
      </c>
      <c r="E513">
        <v>100</v>
      </c>
      <c r="F513">
        <v>10</v>
      </c>
      <c r="G513">
        <v>100</v>
      </c>
      <c r="H513">
        <v>100</v>
      </c>
      <c r="I513">
        <v>100</v>
      </c>
      <c r="J513">
        <v>10</v>
      </c>
      <c r="K513">
        <v>981</v>
      </c>
      <c r="L513">
        <v>1140</v>
      </c>
      <c r="M513">
        <v>1070</v>
      </c>
      <c r="N513">
        <v>949</v>
      </c>
      <c r="O513">
        <v>1006</v>
      </c>
      <c r="P513">
        <v>714</v>
      </c>
      <c r="Q513">
        <v>946</v>
      </c>
      <c r="R513">
        <v>1074</v>
      </c>
      <c r="S513">
        <v>1172</v>
      </c>
      <c r="T513">
        <v>948</v>
      </c>
      <c r="U513">
        <v>980</v>
      </c>
      <c r="V513">
        <v>1135</v>
      </c>
      <c r="W513">
        <v>1032</v>
      </c>
      <c r="X513">
        <v>1010</v>
      </c>
      <c r="Y513">
        <v>982</v>
      </c>
      <c r="Z513">
        <v>892</v>
      </c>
      <c r="AA513">
        <v>958</v>
      </c>
      <c r="AB513">
        <v>1028</v>
      </c>
      <c r="AC513">
        <v>974</v>
      </c>
      <c r="AD513">
        <v>1009</v>
      </c>
      <c r="AE513">
        <v>955</v>
      </c>
      <c r="AF513">
        <v>1</v>
      </c>
      <c r="AG513">
        <v>3</v>
      </c>
      <c r="AH513">
        <v>0</v>
      </c>
      <c r="AI513">
        <v>7</v>
      </c>
      <c r="AJ513">
        <v>0</v>
      </c>
      <c r="AK513">
        <v>2</v>
      </c>
      <c r="AL513">
        <v>5</v>
      </c>
      <c r="AM513">
        <v>7</v>
      </c>
      <c r="AN513">
        <v>0</v>
      </c>
      <c r="AO513">
        <v>0</v>
      </c>
      <c r="AP513">
        <v>1125</v>
      </c>
      <c r="AQ513">
        <v>1</v>
      </c>
      <c r="AR513">
        <v>1</v>
      </c>
      <c r="AS513">
        <v>1</v>
      </c>
      <c r="AT513">
        <v>1</v>
      </c>
      <c r="AU513">
        <v>0</v>
      </c>
      <c r="AV513">
        <v>3</v>
      </c>
      <c r="AW513">
        <v>3</v>
      </c>
      <c r="AX513">
        <v>0</v>
      </c>
      <c r="AY513">
        <v>2</v>
      </c>
      <c r="AZ513">
        <v>7</v>
      </c>
      <c r="BA513">
        <v>1009</v>
      </c>
      <c r="BB513">
        <v>0</v>
      </c>
      <c r="BC513">
        <v>3</v>
      </c>
      <c r="BD513">
        <v>0</v>
      </c>
      <c r="BE513">
        <v>1</v>
      </c>
      <c r="BF513">
        <v>9</v>
      </c>
      <c r="BG513">
        <v>1</v>
      </c>
      <c r="BH513">
        <v>0</v>
      </c>
      <c r="BI513">
        <v>6</v>
      </c>
      <c r="BJ513">
        <v>1</v>
      </c>
      <c r="BK513">
        <v>37</v>
      </c>
      <c r="BL513">
        <v>920</v>
      </c>
      <c r="BM513">
        <v>0</v>
      </c>
      <c r="BN513">
        <v>4</v>
      </c>
      <c r="BO513">
        <v>0</v>
      </c>
      <c r="BP513">
        <v>9</v>
      </c>
      <c r="BQ513">
        <v>30</v>
      </c>
      <c r="BR513">
        <v>3</v>
      </c>
      <c r="BS513">
        <v>0</v>
      </c>
      <c r="BT513">
        <v>0</v>
      </c>
      <c r="BU513">
        <v>1</v>
      </c>
      <c r="BV513">
        <v>0</v>
      </c>
      <c r="BW513">
        <v>962</v>
      </c>
      <c r="BX513">
        <v>0</v>
      </c>
      <c r="BY513">
        <v>4</v>
      </c>
      <c r="BZ513">
        <v>7</v>
      </c>
      <c r="CA513">
        <v>2</v>
      </c>
      <c r="CB513">
        <v>6</v>
      </c>
      <c r="CC513">
        <v>6</v>
      </c>
      <c r="CD513">
        <v>0</v>
      </c>
      <c r="CE513">
        <v>2</v>
      </c>
      <c r="CF513">
        <v>21</v>
      </c>
      <c r="CG513">
        <v>1</v>
      </c>
      <c r="CH513">
        <v>704</v>
      </c>
      <c r="CI513">
        <v>9</v>
      </c>
      <c r="CJ513">
        <v>3</v>
      </c>
      <c r="CK513">
        <v>142</v>
      </c>
      <c r="CL513">
        <v>4</v>
      </c>
      <c r="CM513">
        <v>9</v>
      </c>
      <c r="CN513">
        <v>3</v>
      </c>
      <c r="CO513">
        <v>2</v>
      </c>
      <c r="CP513">
        <v>0</v>
      </c>
      <c r="CQ513">
        <v>5</v>
      </c>
      <c r="CR513">
        <v>0</v>
      </c>
      <c r="CS513">
        <v>930</v>
      </c>
      <c r="CT513">
        <v>0</v>
      </c>
      <c r="CU513">
        <v>9</v>
      </c>
      <c r="CV513">
        <v>0</v>
      </c>
      <c r="CW513">
        <v>0</v>
      </c>
      <c r="CX513">
        <v>1</v>
      </c>
      <c r="CY513">
        <v>11</v>
      </c>
      <c r="CZ513">
        <v>0</v>
      </c>
      <c r="DA513">
        <v>1</v>
      </c>
      <c r="DB513">
        <v>0</v>
      </c>
      <c r="DC513">
        <v>0</v>
      </c>
      <c r="DD513">
        <v>1015</v>
      </c>
      <c r="DE513">
        <v>0</v>
      </c>
      <c r="DF513">
        <v>0</v>
      </c>
      <c r="DG513">
        <v>0</v>
      </c>
      <c r="DH513">
        <v>0</v>
      </c>
      <c r="DI513">
        <v>3</v>
      </c>
      <c r="DJ513">
        <v>1</v>
      </c>
      <c r="DK513">
        <v>0</v>
      </c>
      <c r="DL513">
        <v>0</v>
      </c>
      <c r="DM513">
        <v>0</v>
      </c>
      <c r="DN513">
        <v>3</v>
      </c>
      <c r="DO513">
        <v>963</v>
      </c>
      <c r="DP513">
        <v>4</v>
      </c>
      <c r="DQ513">
        <v>3</v>
      </c>
      <c r="DR513">
        <v>2</v>
      </c>
      <c r="DS513">
        <v>1</v>
      </c>
      <c r="DT513">
        <v>6</v>
      </c>
      <c r="DU513">
        <v>26</v>
      </c>
      <c r="DV513">
        <v>5</v>
      </c>
      <c r="DW513">
        <v>0</v>
      </c>
      <c r="DX513">
        <v>20</v>
      </c>
      <c r="DY513">
        <v>15</v>
      </c>
      <c r="DZ513">
        <v>931</v>
      </c>
      <c r="EA513">
        <v>0.95140000000000002</v>
      </c>
      <c r="EB513">
        <v>0.95469192554411098</v>
      </c>
      <c r="EC513">
        <v>0.94926831920677801</v>
      </c>
      <c r="ED513">
        <v>0.94983934656741897</v>
      </c>
      <c r="EE513">
        <f>SUM(Table1[[#This Row],[ratio_0]:[ratio_9]])</f>
        <v>550</v>
      </c>
      <c r="EF513" s="1">
        <f>(Table1[[#This Row],[predicted_0]]-Table1[[#This Row],[actual_0]])/Table1[[#This Row],[actual_0]]</f>
        <v>1.0204081632653062E-3</v>
      </c>
      <c r="EG513" s="1">
        <f>(Table1[[#This Row],[predicted_1]]-Table1[[#This Row],[actual_1]])/Table1[[#This Row],[actual_1]]</f>
        <v>4.4052863436123352E-3</v>
      </c>
      <c r="EH513" s="1">
        <f>(Table1[[#This Row],[predicted_2]]-Table1[[#This Row],[actual_2]])/Table1[[#This Row],[actual_2]]</f>
        <v>3.6821705426356592E-2</v>
      </c>
      <c r="EI513" s="1">
        <f>(Table1[[#This Row],[predicted_3]]-Table1[[#This Row],[actual_3]])/Table1[[#This Row],[actual_3]]</f>
        <v>-6.0396039603960394E-2</v>
      </c>
      <c r="EJ513" s="1">
        <f>(Table1[[#This Row],[predicted_4]]-Table1[[#This Row],[actual_4]])/Table1[[#This Row],[actual_4]]</f>
        <v>2.4439918533604887E-2</v>
      </c>
      <c r="EK513" s="1">
        <f>(Table1[[#This Row],[predicted_5]]-Table1[[#This Row],[actual_5]])/Table1[[#This Row],[actual_5]]</f>
        <v>-0.19955156950672645</v>
      </c>
      <c r="EL513" s="1">
        <f>(Table1[[#This Row],[predicted_6]]-Table1[[#This Row],[actual_6]])/Table1[[#This Row],[actual_6]]</f>
        <v>-1.2526096033402923E-2</v>
      </c>
      <c r="EM513" s="1">
        <f>(Table1[[#This Row],[predicted_7]]-Table1[[#This Row],[actual_7]])/Table1[[#This Row],[actual_7]]</f>
        <v>4.4747081712062257E-2</v>
      </c>
      <c r="EN513" s="1">
        <f>(Table1[[#This Row],[predicted_8]]-Table1[[#This Row],[actual_8]])/Table1[[#This Row],[actual_8]]</f>
        <v>0.20328542094455851</v>
      </c>
      <c r="EO513" s="1">
        <f>(Table1[[#This Row],[predicted_9]]-Table1[[#This Row],[actual_9]])/Table1[[#This Row],[actual_9]]</f>
        <v>-6.0455896927651138E-2</v>
      </c>
      <c r="EP513" s="1">
        <f>1+(Table1[[#This Row],[error_ratio_0]]-EF$2)</f>
        <v>0.99897959183673468</v>
      </c>
      <c r="EQ513" s="1">
        <f>1+(Table1[[#This Row],[error_ratio_1]]-EG$2)</f>
        <v>1.0026431718061675</v>
      </c>
      <c r="ER513" s="1">
        <f>1+(Table1[[#This Row],[error_ratio_2]]-EH$2)</f>
        <v>1.0416666666666667</v>
      </c>
      <c r="ES513" s="1">
        <f>1+(Table1[[#This Row],[error_ratio_3]]-EI$2)</f>
        <v>0.92970297029702975</v>
      </c>
      <c r="ET513" s="1">
        <f>1+(Table1[[#This Row],[error_ratio_4]]-EJ$2)</f>
        <v>1.0234215885947047</v>
      </c>
      <c r="EU513" s="1">
        <f>1+(Table1[[#This Row],[error_ratio_5]]-EK$2)</f>
        <v>0.79932735426008972</v>
      </c>
      <c r="EV513" s="1">
        <f>1+(Table1[[#This Row],[error_ratio_6]]-EL$2)</f>
        <v>0.99373695198329859</v>
      </c>
      <c r="EW513" s="1">
        <f>1+(Table1[[#This Row],[error_ratio_7]]-EM$2)</f>
        <v>1.0428015564202335</v>
      </c>
      <c r="EX513" s="1">
        <f>1+(Table1[[#This Row],[error_ratio_8]]-EN$2)</f>
        <v>1.2063655030800822</v>
      </c>
      <c r="EY513" s="1">
        <f>1+(Table1[[#This Row],[error_ratio_9]]-EO$2)</f>
        <v>0.94350842418235881</v>
      </c>
    </row>
    <row r="514" spans="1:155" x14ac:dyDescent="0.75">
      <c r="A514">
        <v>100</v>
      </c>
      <c r="B514">
        <v>10</v>
      </c>
      <c r="C514">
        <v>10</v>
      </c>
      <c r="D514">
        <v>10</v>
      </c>
      <c r="E514">
        <v>100</v>
      </c>
      <c r="F514">
        <v>10</v>
      </c>
      <c r="G514">
        <v>100</v>
      </c>
      <c r="H514">
        <v>100</v>
      </c>
      <c r="I514">
        <v>100</v>
      </c>
      <c r="J514">
        <v>10</v>
      </c>
      <c r="K514">
        <v>1042</v>
      </c>
      <c r="L514">
        <v>1139</v>
      </c>
      <c r="M514">
        <v>993</v>
      </c>
      <c r="N514">
        <v>1004</v>
      </c>
      <c r="O514">
        <v>1060</v>
      </c>
      <c r="P514">
        <v>777</v>
      </c>
      <c r="Q514">
        <v>953</v>
      </c>
      <c r="R514">
        <v>1124</v>
      </c>
      <c r="S514">
        <v>1014</v>
      </c>
      <c r="T514">
        <v>894</v>
      </c>
      <c r="U514">
        <v>980</v>
      </c>
      <c r="V514">
        <v>1135</v>
      </c>
      <c r="W514">
        <v>1032</v>
      </c>
      <c r="X514">
        <v>1010</v>
      </c>
      <c r="Y514">
        <v>982</v>
      </c>
      <c r="Z514">
        <v>892</v>
      </c>
      <c r="AA514">
        <v>958</v>
      </c>
      <c r="AB514">
        <v>1028</v>
      </c>
      <c r="AC514">
        <v>974</v>
      </c>
      <c r="AD514">
        <v>1009</v>
      </c>
      <c r="AE514">
        <v>970</v>
      </c>
      <c r="AF514">
        <v>0</v>
      </c>
      <c r="AG514">
        <v>0</v>
      </c>
      <c r="AH514">
        <v>0</v>
      </c>
      <c r="AI514">
        <v>1</v>
      </c>
      <c r="AJ514">
        <v>0</v>
      </c>
      <c r="AK514">
        <v>1</v>
      </c>
      <c r="AL514">
        <v>5</v>
      </c>
      <c r="AM514">
        <v>2</v>
      </c>
      <c r="AN514">
        <v>1</v>
      </c>
      <c r="AO514">
        <v>0</v>
      </c>
      <c r="AP514">
        <v>1123</v>
      </c>
      <c r="AQ514">
        <v>6</v>
      </c>
      <c r="AR514">
        <v>2</v>
      </c>
      <c r="AS514">
        <v>0</v>
      </c>
      <c r="AT514">
        <v>0</v>
      </c>
      <c r="AU514">
        <v>0</v>
      </c>
      <c r="AV514">
        <v>3</v>
      </c>
      <c r="AW514">
        <v>1</v>
      </c>
      <c r="AX514">
        <v>0</v>
      </c>
      <c r="AY514">
        <v>21</v>
      </c>
      <c r="AZ514">
        <v>1</v>
      </c>
      <c r="BA514">
        <v>975</v>
      </c>
      <c r="BB514">
        <v>5</v>
      </c>
      <c r="BC514">
        <v>10</v>
      </c>
      <c r="BD514">
        <v>0</v>
      </c>
      <c r="BE514">
        <v>2</v>
      </c>
      <c r="BF514">
        <v>13</v>
      </c>
      <c r="BG514">
        <v>5</v>
      </c>
      <c r="BH514">
        <v>0</v>
      </c>
      <c r="BI514">
        <v>12</v>
      </c>
      <c r="BJ514">
        <v>1</v>
      </c>
      <c r="BK514">
        <v>4</v>
      </c>
      <c r="BL514">
        <v>958</v>
      </c>
      <c r="BM514">
        <v>1</v>
      </c>
      <c r="BN514">
        <v>2</v>
      </c>
      <c r="BO514">
        <v>0</v>
      </c>
      <c r="BP514">
        <v>19</v>
      </c>
      <c r="BQ514">
        <v>11</v>
      </c>
      <c r="BR514">
        <v>2</v>
      </c>
      <c r="BS514">
        <v>0</v>
      </c>
      <c r="BT514">
        <v>0</v>
      </c>
      <c r="BU514">
        <v>0</v>
      </c>
      <c r="BV514">
        <v>0</v>
      </c>
      <c r="BW514">
        <v>982</v>
      </c>
      <c r="BX514">
        <v>0</v>
      </c>
      <c r="BY514">
        <v>0</v>
      </c>
      <c r="BZ514">
        <v>0</v>
      </c>
      <c r="CA514">
        <v>0</v>
      </c>
      <c r="CB514">
        <v>0</v>
      </c>
      <c r="CC514">
        <v>18</v>
      </c>
      <c r="CD514">
        <v>4</v>
      </c>
      <c r="CE514">
        <v>2</v>
      </c>
      <c r="CF514">
        <v>30</v>
      </c>
      <c r="CG514">
        <v>5</v>
      </c>
      <c r="CH514">
        <v>773</v>
      </c>
      <c r="CI514">
        <v>15</v>
      </c>
      <c r="CJ514">
        <v>9</v>
      </c>
      <c r="CK514">
        <v>30</v>
      </c>
      <c r="CL514">
        <v>6</v>
      </c>
      <c r="CM514">
        <v>11</v>
      </c>
      <c r="CN514">
        <v>3</v>
      </c>
      <c r="CO514">
        <v>1</v>
      </c>
      <c r="CP514">
        <v>0</v>
      </c>
      <c r="CQ514">
        <v>5</v>
      </c>
      <c r="CR514">
        <v>1</v>
      </c>
      <c r="CS514">
        <v>934</v>
      </c>
      <c r="CT514">
        <v>0</v>
      </c>
      <c r="CU514">
        <v>3</v>
      </c>
      <c r="CV514">
        <v>0</v>
      </c>
      <c r="CW514">
        <v>0</v>
      </c>
      <c r="CX514">
        <v>2</v>
      </c>
      <c r="CY514">
        <v>5</v>
      </c>
      <c r="CZ514">
        <v>0</v>
      </c>
      <c r="DA514">
        <v>0</v>
      </c>
      <c r="DB514">
        <v>0</v>
      </c>
      <c r="DC514">
        <v>0</v>
      </c>
      <c r="DD514">
        <v>1020</v>
      </c>
      <c r="DE514">
        <v>1</v>
      </c>
      <c r="DF514">
        <v>0</v>
      </c>
      <c r="DG514">
        <v>6</v>
      </c>
      <c r="DH514">
        <v>0</v>
      </c>
      <c r="DI514">
        <v>0</v>
      </c>
      <c r="DJ514">
        <v>0</v>
      </c>
      <c r="DK514">
        <v>4</v>
      </c>
      <c r="DL514">
        <v>0</v>
      </c>
      <c r="DM514">
        <v>0</v>
      </c>
      <c r="DN514">
        <v>8</v>
      </c>
      <c r="DO514">
        <v>954</v>
      </c>
      <c r="DP514">
        <v>2</v>
      </c>
      <c r="DQ514">
        <v>4</v>
      </c>
      <c r="DR514">
        <v>5</v>
      </c>
      <c r="DS514">
        <v>0</v>
      </c>
      <c r="DT514">
        <v>9</v>
      </c>
      <c r="DU514">
        <v>52</v>
      </c>
      <c r="DV514">
        <v>1</v>
      </c>
      <c r="DW514">
        <v>1</v>
      </c>
      <c r="DX514">
        <v>47</v>
      </c>
      <c r="DY514">
        <v>7</v>
      </c>
      <c r="DZ514">
        <v>883</v>
      </c>
      <c r="EA514">
        <v>0.95720000000000005</v>
      </c>
      <c r="EB514">
        <v>0.95902385897146802</v>
      </c>
      <c r="EC514">
        <v>0.95608531636364802</v>
      </c>
      <c r="ED514">
        <v>0.95627629384774804</v>
      </c>
      <c r="EE514">
        <f>SUM(Table1[[#This Row],[ratio_0]:[ratio_9]])</f>
        <v>550</v>
      </c>
      <c r="EF514" s="1">
        <f>(Table1[[#This Row],[predicted_0]]-Table1[[#This Row],[actual_0]])/Table1[[#This Row],[actual_0]]</f>
        <v>6.3265306122448975E-2</v>
      </c>
      <c r="EG514" s="1">
        <f>(Table1[[#This Row],[predicted_1]]-Table1[[#This Row],[actual_1]])/Table1[[#This Row],[actual_1]]</f>
        <v>3.524229074889868E-3</v>
      </c>
      <c r="EH514" s="1">
        <f>(Table1[[#This Row],[predicted_2]]-Table1[[#This Row],[actual_2]])/Table1[[#This Row],[actual_2]]</f>
        <v>-3.7790697674418602E-2</v>
      </c>
      <c r="EI514" s="1">
        <f>(Table1[[#This Row],[predicted_3]]-Table1[[#This Row],[actual_3]])/Table1[[#This Row],[actual_3]]</f>
        <v>-5.9405940594059407E-3</v>
      </c>
      <c r="EJ514" s="1">
        <f>(Table1[[#This Row],[predicted_4]]-Table1[[#This Row],[actual_4]])/Table1[[#This Row],[actual_4]]</f>
        <v>7.9429735234215884E-2</v>
      </c>
      <c r="EK514" s="1">
        <f>(Table1[[#This Row],[predicted_5]]-Table1[[#This Row],[actual_5]])/Table1[[#This Row],[actual_5]]</f>
        <v>-0.12892376681614351</v>
      </c>
      <c r="EL514" s="1">
        <f>(Table1[[#This Row],[predicted_6]]-Table1[[#This Row],[actual_6]])/Table1[[#This Row],[actual_6]]</f>
        <v>-5.2192066805845511E-3</v>
      </c>
      <c r="EM514" s="1">
        <f>(Table1[[#This Row],[predicted_7]]-Table1[[#This Row],[actual_7]])/Table1[[#This Row],[actual_7]]</f>
        <v>9.3385214007782102E-2</v>
      </c>
      <c r="EN514" s="1">
        <f>(Table1[[#This Row],[predicted_8]]-Table1[[#This Row],[actual_8]])/Table1[[#This Row],[actual_8]]</f>
        <v>4.1067761806981518E-2</v>
      </c>
      <c r="EO514" s="1">
        <f>(Table1[[#This Row],[predicted_9]]-Table1[[#This Row],[actual_9]])/Table1[[#This Row],[actual_9]]</f>
        <v>-0.11397423191278494</v>
      </c>
      <c r="EP514" s="1">
        <f>1+(Table1[[#This Row],[error_ratio_0]]-EF$2)</f>
        <v>1.0612244897959184</v>
      </c>
      <c r="EQ514" s="1">
        <f>1+(Table1[[#This Row],[error_ratio_1]]-EG$2)</f>
        <v>1.0017621145374449</v>
      </c>
      <c r="ER514" s="1">
        <f>1+(Table1[[#This Row],[error_ratio_2]]-EH$2)</f>
        <v>0.96705426356589153</v>
      </c>
      <c r="ES514" s="1">
        <f>1+(Table1[[#This Row],[error_ratio_3]]-EI$2)</f>
        <v>0.98415841584158414</v>
      </c>
      <c r="ET514" s="1">
        <f>1+(Table1[[#This Row],[error_ratio_4]]-EJ$2)</f>
        <v>1.0784114052953158</v>
      </c>
      <c r="EU514" s="1">
        <f>1+(Table1[[#This Row],[error_ratio_5]]-EK$2)</f>
        <v>0.8699551569506726</v>
      </c>
      <c r="EV514" s="1">
        <f>1+(Table1[[#This Row],[error_ratio_6]]-EL$2)</f>
        <v>1.0010438413361169</v>
      </c>
      <c r="EW514" s="1">
        <f>1+(Table1[[#This Row],[error_ratio_7]]-EM$2)</f>
        <v>1.0914396887159534</v>
      </c>
      <c r="EX514" s="1">
        <f>1+(Table1[[#This Row],[error_ratio_8]]-EN$2)</f>
        <v>1.0441478439425051</v>
      </c>
      <c r="EY514" s="1">
        <f>1+(Table1[[#This Row],[error_ratio_9]]-EO$2)</f>
        <v>0.889990089197225</v>
      </c>
    </row>
    <row r="515" spans="1:155" x14ac:dyDescent="0.75">
      <c r="A515">
        <v>10</v>
      </c>
      <c r="B515">
        <v>10</v>
      </c>
      <c r="C515">
        <v>10</v>
      </c>
      <c r="D515">
        <v>10</v>
      </c>
      <c r="E515">
        <v>100</v>
      </c>
      <c r="F515">
        <v>10</v>
      </c>
      <c r="G515">
        <v>100</v>
      </c>
      <c r="H515">
        <v>100</v>
      </c>
      <c r="I515">
        <v>100</v>
      </c>
      <c r="J515">
        <v>10</v>
      </c>
      <c r="K515">
        <v>969</v>
      </c>
      <c r="L515">
        <v>1074</v>
      </c>
      <c r="M515">
        <v>958</v>
      </c>
      <c r="N515">
        <v>990</v>
      </c>
      <c r="O515">
        <v>1155</v>
      </c>
      <c r="P515">
        <v>805</v>
      </c>
      <c r="Q515">
        <v>949</v>
      </c>
      <c r="R515">
        <v>1075</v>
      </c>
      <c r="S515">
        <v>1181</v>
      </c>
      <c r="T515">
        <v>844</v>
      </c>
      <c r="U515">
        <v>980</v>
      </c>
      <c r="V515">
        <v>1135</v>
      </c>
      <c r="W515">
        <v>1032</v>
      </c>
      <c r="X515">
        <v>1010</v>
      </c>
      <c r="Y515">
        <v>982</v>
      </c>
      <c r="Z515">
        <v>892</v>
      </c>
      <c r="AA515">
        <v>958</v>
      </c>
      <c r="AB515">
        <v>1028</v>
      </c>
      <c r="AC515">
        <v>974</v>
      </c>
      <c r="AD515">
        <v>1009</v>
      </c>
      <c r="AE515">
        <v>952</v>
      </c>
      <c r="AF515">
        <v>0</v>
      </c>
      <c r="AG515">
        <v>0</v>
      </c>
      <c r="AH515">
        <v>0</v>
      </c>
      <c r="AI515">
        <v>4</v>
      </c>
      <c r="AJ515">
        <v>0</v>
      </c>
      <c r="AK515">
        <v>5</v>
      </c>
      <c r="AL515">
        <v>2</v>
      </c>
      <c r="AM515">
        <v>17</v>
      </c>
      <c r="AN515">
        <v>0</v>
      </c>
      <c r="AO515">
        <v>0</v>
      </c>
      <c r="AP515">
        <v>1071</v>
      </c>
      <c r="AQ515">
        <v>2</v>
      </c>
      <c r="AR515">
        <v>6</v>
      </c>
      <c r="AS515">
        <v>12</v>
      </c>
      <c r="AT515">
        <v>0</v>
      </c>
      <c r="AU515">
        <v>5</v>
      </c>
      <c r="AV515">
        <v>3</v>
      </c>
      <c r="AW515">
        <v>36</v>
      </c>
      <c r="AX515">
        <v>0</v>
      </c>
      <c r="AY515">
        <v>3</v>
      </c>
      <c r="AZ515">
        <v>0</v>
      </c>
      <c r="BA515">
        <v>948</v>
      </c>
      <c r="BB515">
        <v>3</v>
      </c>
      <c r="BC515">
        <v>23</v>
      </c>
      <c r="BD515">
        <v>0</v>
      </c>
      <c r="BE515">
        <v>0</v>
      </c>
      <c r="BF515">
        <v>23</v>
      </c>
      <c r="BG515">
        <v>32</v>
      </c>
      <c r="BH515">
        <v>0</v>
      </c>
      <c r="BI515">
        <v>2</v>
      </c>
      <c r="BJ515">
        <v>0</v>
      </c>
      <c r="BK515">
        <v>2</v>
      </c>
      <c r="BL515">
        <v>951</v>
      </c>
      <c r="BM515">
        <v>1</v>
      </c>
      <c r="BN515">
        <v>4</v>
      </c>
      <c r="BO515">
        <v>0</v>
      </c>
      <c r="BP515">
        <v>14</v>
      </c>
      <c r="BQ515">
        <v>33</v>
      </c>
      <c r="BR515">
        <v>3</v>
      </c>
      <c r="BS515">
        <v>0</v>
      </c>
      <c r="BT515">
        <v>0</v>
      </c>
      <c r="BU515">
        <v>0</v>
      </c>
      <c r="BV515">
        <v>0</v>
      </c>
      <c r="BW515">
        <v>982</v>
      </c>
      <c r="BX515">
        <v>0</v>
      </c>
      <c r="BY515">
        <v>0</v>
      </c>
      <c r="BZ515">
        <v>0</v>
      </c>
      <c r="CA515">
        <v>0</v>
      </c>
      <c r="CB515">
        <v>0</v>
      </c>
      <c r="CC515">
        <v>3</v>
      </c>
      <c r="CD515">
        <v>1</v>
      </c>
      <c r="CE515">
        <v>0</v>
      </c>
      <c r="CF515">
        <v>20</v>
      </c>
      <c r="CG515">
        <v>2</v>
      </c>
      <c r="CH515">
        <v>798</v>
      </c>
      <c r="CI515">
        <v>8</v>
      </c>
      <c r="CJ515">
        <v>2</v>
      </c>
      <c r="CK515">
        <v>55</v>
      </c>
      <c r="CL515">
        <v>3</v>
      </c>
      <c r="CM515">
        <v>4</v>
      </c>
      <c r="CN515">
        <v>0</v>
      </c>
      <c r="CO515">
        <v>1</v>
      </c>
      <c r="CP515">
        <v>0</v>
      </c>
      <c r="CQ515">
        <v>13</v>
      </c>
      <c r="CR515">
        <v>1</v>
      </c>
      <c r="CS515">
        <v>930</v>
      </c>
      <c r="CT515">
        <v>0</v>
      </c>
      <c r="CU515">
        <v>9</v>
      </c>
      <c r="CV515">
        <v>0</v>
      </c>
      <c r="CW515">
        <v>0</v>
      </c>
      <c r="CX515">
        <v>1</v>
      </c>
      <c r="CY515">
        <v>4</v>
      </c>
      <c r="CZ515">
        <v>0</v>
      </c>
      <c r="DA515">
        <v>2</v>
      </c>
      <c r="DB515">
        <v>0</v>
      </c>
      <c r="DC515">
        <v>0</v>
      </c>
      <c r="DD515">
        <v>1017</v>
      </c>
      <c r="DE515">
        <v>4</v>
      </c>
      <c r="DF515">
        <v>0</v>
      </c>
      <c r="DG515">
        <v>1</v>
      </c>
      <c r="DH515">
        <v>0</v>
      </c>
      <c r="DI515">
        <v>1</v>
      </c>
      <c r="DJ515">
        <v>0</v>
      </c>
      <c r="DK515">
        <v>1</v>
      </c>
      <c r="DL515">
        <v>0</v>
      </c>
      <c r="DM515">
        <v>1</v>
      </c>
      <c r="DN515">
        <v>1</v>
      </c>
      <c r="DO515">
        <v>968</v>
      </c>
      <c r="DP515">
        <v>1</v>
      </c>
      <c r="DQ515">
        <v>4</v>
      </c>
      <c r="DR515">
        <v>1</v>
      </c>
      <c r="DS515">
        <v>0</v>
      </c>
      <c r="DT515">
        <v>10</v>
      </c>
      <c r="DU515">
        <v>115</v>
      </c>
      <c r="DV515">
        <v>2</v>
      </c>
      <c r="DW515">
        <v>0</v>
      </c>
      <c r="DX515">
        <v>13</v>
      </c>
      <c r="DY515">
        <v>27</v>
      </c>
      <c r="DZ515">
        <v>837</v>
      </c>
      <c r="EA515">
        <v>0.94540000000000002</v>
      </c>
      <c r="EB515">
        <v>0.95087272566773295</v>
      </c>
      <c r="EC515">
        <v>0.94532946313718702</v>
      </c>
      <c r="ED515">
        <v>0.94541926359376305</v>
      </c>
      <c r="EE515">
        <f>SUM(Table1[[#This Row],[ratio_0]:[ratio_9]])</f>
        <v>460</v>
      </c>
      <c r="EF515" s="1">
        <f>(Table1[[#This Row],[predicted_0]]-Table1[[#This Row],[actual_0]])/Table1[[#This Row],[actual_0]]</f>
        <v>-1.1224489795918367E-2</v>
      </c>
      <c r="EG515" s="1">
        <f>(Table1[[#This Row],[predicted_1]]-Table1[[#This Row],[actual_1]])/Table1[[#This Row],[actual_1]]</f>
        <v>-5.3744493392070485E-2</v>
      </c>
      <c r="EH515" s="1">
        <f>(Table1[[#This Row],[predicted_2]]-Table1[[#This Row],[actual_2]])/Table1[[#This Row],[actual_2]]</f>
        <v>-7.170542635658915E-2</v>
      </c>
      <c r="EI515" s="1">
        <f>(Table1[[#This Row],[predicted_3]]-Table1[[#This Row],[actual_3]])/Table1[[#This Row],[actual_3]]</f>
        <v>-1.9801980198019802E-2</v>
      </c>
      <c r="EJ515" s="1">
        <f>(Table1[[#This Row],[predicted_4]]-Table1[[#This Row],[actual_4]])/Table1[[#This Row],[actual_4]]</f>
        <v>0.17617107942973523</v>
      </c>
      <c r="EK515" s="1">
        <f>(Table1[[#This Row],[predicted_5]]-Table1[[#This Row],[actual_5]])/Table1[[#This Row],[actual_5]]</f>
        <v>-9.753363228699552E-2</v>
      </c>
      <c r="EL515" s="1">
        <f>(Table1[[#This Row],[predicted_6]]-Table1[[#This Row],[actual_6]])/Table1[[#This Row],[actual_6]]</f>
        <v>-9.3945720250521916E-3</v>
      </c>
      <c r="EM515" s="1">
        <f>(Table1[[#This Row],[predicted_7]]-Table1[[#This Row],[actual_7]])/Table1[[#This Row],[actual_7]]</f>
        <v>4.5719844357976651E-2</v>
      </c>
      <c r="EN515" s="1">
        <f>(Table1[[#This Row],[predicted_8]]-Table1[[#This Row],[actual_8]])/Table1[[#This Row],[actual_8]]</f>
        <v>0.21252566735112938</v>
      </c>
      <c r="EO515" s="1">
        <f>(Table1[[#This Row],[predicted_9]]-Table1[[#This Row],[actual_9]])/Table1[[#This Row],[actual_9]]</f>
        <v>-0.16352824578790881</v>
      </c>
      <c r="EP515" s="1">
        <f>1+(Table1[[#This Row],[error_ratio_0]]-EF$2)</f>
        <v>0.98673469387755097</v>
      </c>
      <c r="EQ515" s="1">
        <f>1+(Table1[[#This Row],[error_ratio_1]]-EG$2)</f>
        <v>0.94449339207048455</v>
      </c>
      <c r="ER515" s="1">
        <f>1+(Table1[[#This Row],[error_ratio_2]]-EH$2)</f>
        <v>0.93313953488372092</v>
      </c>
      <c r="ES515" s="1">
        <f>1+(Table1[[#This Row],[error_ratio_3]]-EI$2)</f>
        <v>0.97029702970297027</v>
      </c>
      <c r="ET515" s="1">
        <f>1+(Table1[[#This Row],[error_ratio_4]]-EJ$2)</f>
        <v>1.1751527494908349</v>
      </c>
      <c r="EU515" s="1">
        <f>1+(Table1[[#This Row],[error_ratio_5]]-EK$2)</f>
        <v>0.90134529147982057</v>
      </c>
      <c r="EV515" s="1">
        <f>1+(Table1[[#This Row],[error_ratio_6]]-EL$2)</f>
        <v>0.99686847599164929</v>
      </c>
      <c r="EW515" s="1">
        <f>1+(Table1[[#This Row],[error_ratio_7]]-EM$2)</f>
        <v>1.0437743190661479</v>
      </c>
      <c r="EX515" s="1">
        <f>1+(Table1[[#This Row],[error_ratio_8]]-EN$2)</f>
        <v>1.215605749486653</v>
      </c>
      <c r="EY515" s="1">
        <f>1+(Table1[[#This Row],[error_ratio_9]]-EO$2)</f>
        <v>0.84043607532210107</v>
      </c>
    </row>
    <row r="516" spans="1:155" x14ac:dyDescent="0.75">
      <c r="A516">
        <v>100</v>
      </c>
      <c r="B516">
        <v>100</v>
      </c>
      <c r="C516">
        <v>100</v>
      </c>
      <c r="D516">
        <v>100</v>
      </c>
      <c r="E516">
        <v>10</v>
      </c>
      <c r="F516">
        <v>10</v>
      </c>
      <c r="G516">
        <v>100</v>
      </c>
      <c r="H516">
        <v>100</v>
      </c>
      <c r="I516">
        <v>100</v>
      </c>
      <c r="J516">
        <v>10</v>
      </c>
      <c r="K516">
        <v>1018</v>
      </c>
      <c r="L516">
        <v>1162</v>
      </c>
      <c r="M516">
        <v>1055</v>
      </c>
      <c r="N516">
        <v>1081</v>
      </c>
      <c r="O516">
        <v>927</v>
      </c>
      <c r="P516">
        <v>719</v>
      </c>
      <c r="Q516">
        <v>975</v>
      </c>
      <c r="R516">
        <v>1071</v>
      </c>
      <c r="S516">
        <v>1055</v>
      </c>
      <c r="T516">
        <v>937</v>
      </c>
      <c r="U516">
        <v>980</v>
      </c>
      <c r="V516">
        <v>1135</v>
      </c>
      <c r="W516">
        <v>1032</v>
      </c>
      <c r="X516">
        <v>1010</v>
      </c>
      <c r="Y516">
        <v>982</v>
      </c>
      <c r="Z516">
        <v>892</v>
      </c>
      <c r="AA516">
        <v>958</v>
      </c>
      <c r="AB516">
        <v>1028</v>
      </c>
      <c r="AC516">
        <v>974</v>
      </c>
      <c r="AD516">
        <v>1009</v>
      </c>
      <c r="AE516">
        <v>974</v>
      </c>
      <c r="AF516">
        <v>0</v>
      </c>
      <c r="AG516">
        <v>0</v>
      </c>
      <c r="AH516">
        <v>0</v>
      </c>
      <c r="AI516">
        <v>0</v>
      </c>
      <c r="AJ516">
        <v>0</v>
      </c>
      <c r="AK516">
        <v>1</v>
      </c>
      <c r="AL516">
        <v>3</v>
      </c>
      <c r="AM516">
        <v>2</v>
      </c>
      <c r="AN516">
        <v>0</v>
      </c>
      <c r="AO516">
        <v>0</v>
      </c>
      <c r="AP516">
        <v>1132</v>
      </c>
      <c r="AQ516">
        <v>1</v>
      </c>
      <c r="AR516">
        <v>1</v>
      </c>
      <c r="AS516">
        <v>0</v>
      </c>
      <c r="AT516">
        <v>0</v>
      </c>
      <c r="AU516">
        <v>1</v>
      </c>
      <c r="AV516">
        <v>0</v>
      </c>
      <c r="AW516">
        <v>0</v>
      </c>
      <c r="AX516">
        <v>0</v>
      </c>
      <c r="AY516">
        <v>2</v>
      </c>
      <c r="AZ516">
        <v>3</v>
      </c>
      <c r="BA516">
        <v>1018</v>
      </c>
      <c r="BB516">
        <v>2</v>
      </c>
      <c r="BC516">
        <v>0</v>
      </c>
      <c r="BD516">
        <v>0</v>
      </c>
      <c r="BE516">
        <v>0</v>
      </c>
      <c r="BF516">
        <v>5</v>
      </c>
      <c r="BG516">
        <v>2</v>
      </c>
      <c r="BH516">
        <v>0</v>
      </c>
      <c r="BI516">
        <v>1</v>
      </c>
      <c r="BJ516">
        <v>0</v>
      </c>
      <c r="BK516">
        <v>4</v>
      </c>
      <c r="BL516">
        <v>1001</v>
      </c>
      <c r="BM516">
        <v>0</v>
      </c>
      <c r="BN516">
        <v>0</v>
      </c>
      <c r="BO516">
        <v>0</v>
      </c>
      <c r="BP516">
        <v>3</v>
      </c>
      <c r="BQ516">
        <v>1</v>
      </c>
      <c r="BR516">
        <v>0</v>
      </c>
      <c r="BS516">
        <v>10</v>
      </c>
      <c r="BT516">
        <v>14</v>
      </c>
      <c r="BU516">
        <v>11</v>
      </c>
      <c r="BV516">
        <v>1</v>
      </c>
      <c r="BW516">
        <v>921</v>
      </c>
      <c r="BX516">
        <v>0</v>
      </c>
      <c r="BY516">
        <v>9</v>
      </c>
      <c r="BZ516">
        <v>4</v>
      </c>
      <c r="CA516">
        <v>3</v>
      </c>
      <c r="CB516">
        <v>9</v>
      </c>
      <c r="CC516">
        <v>14</v>
      </c>
      <c r="CD516">
        <v>2</v>
      </c>
      <c r="CE516">
        <v>2</v>
      </c>
      <c r="CF516">
        <v>61</v>
      </c>
      <c r="CG516">
        <v>0</v>
      </c>
      <c r="CH516">
        <v>717</v>
      </c>
      <c r="CI516">
        <v>17</v>
      </c>
      <c r="CJ516">
        <v>13</v>
      </c>
      <c r="CK516">
        <v>62</v>
      </c>
      <c r="CL516">
        <v>4</v>
      </c>
      <c r="CM516">
        <v>8</v>
      </c>
      <c r="CN516">
        <v>3</v>
      </c>
      <c r="CO516">
        <v>0</v>
      </c>
      <c r="CP516">
        <v>0</v>
      </c>
      <c r="CQ516">
        <v>1</v>
      </c>
      <c r="CR516">
        <v>0</v>
      </c>
      <c r="CS516">
        <v>946</v>
      </c>
      <c r="CT516">
        <v>0</v>
      </c>
      <c r="CU516">
        <v>0</v>
      </c>
      <c r="CV516">
        <v>0</v>
      </c>
      <c r="CW516">
        <v>0</v>
      </c>
      <c r="CX516">
        <v>3</v>
      </c>
      <c r="CY516">
        <v>13</v>
      </c>
      <c r="CZ516">
        <v>0</v>
      </c>
      <c r="DA516">
        <v>0</v>
      </c>
      <c r="DB516">
        <v>0</v>
      </c>
      <c r="DC516">
        <v>0</v>
      </c>
      <c r="DD516">
        <v>1011</v>
      </c>
      <c r="DE516">
        <v>1</v>
      </c>
      <c r="DF516">
        <v>0</v>
      </c>
      <c r="DG516">
        <v>4</v>
      </c>
      <c r="DH516">
        <v>0</v>
      </c>
      <c r="DI516">
        <v>3</v>
      </c>
      <c r="DJ516">
        <v>1</v>
      </c>
      <c r="DK516">
        <v>1</v>
      </c>
      <c r="DL516">
        <v>0</v>
      </c>
      <c r="DM516">
        <v>0</v>
      </c>
      <c r="DN516">
        <v>4</v>
      </c>
      <c r="DO516">
        <v>961</v>
      </c>
      <c r="DP516">
        <v>0</v>
      </c>
      <c r="DQ516">
        <v>5</v>
      </c>
      <c r="DR516">
        <v>5</v>
      </c>
      <c r="DS516">
        <v>3</v>
      </c>
      <c r="DT516">
        <v>14</v>
      </c>
      <c r="DU516">
        <v>4</v>
      </c>
      <c r="DV516">
        <v>2</v>
      </c>
      <c r="DW516">
        <v>1</v>
      </c>
      <c r="DX516">
        <v>28</v>
      </c>
      <c r="DY516">
        <v>23</v>
      </c>
      <c r="DZ516">
        <v>924</v>
      </c>
      <c r="EA516">
        <v>0.96050000000000002</v>
      </c>
      <c r="EB516">
        <v>0.96238900756491896</v>
      </c>
      <c r="EC516">
        <v>0.95837992223832502</v>
      </c>
      <c r="ED516">
        <v>0.95876517579436005</v>
      </c>
      <c r="EE516">
        <f>SUM(Table1[[#This Row],[ratio_0]:[ratio_9]])</f>
        <v>730</v>
      </c>
      <c r="EF516" s="1">
        <f>(Table1[[#This Row],[predicted_0]]-Table1[[#This Row],[actual_0]])/Table1[[#This Row],[actual_0]]</f>
        <v>3.8775510204081633E-2</v>
      </c>
      <c r="EG516" s="1">
        <f>(Table1[[#This Row],[predicted_1]]-Table1[[#This Row],[actual_1]])/Table1[[#This Row],[actual_1]]</f>
        <v>2.378854625550661E-2</v>
      </c>
      <c r="EH516" s="1">
        <f>(Table1[[#This Row],[predicted_2]]-Table1[[#This Row],[actual_2]])/Table1[[#This Row],[actual_2]]</f>
        <v>2.2286821705426358E-2</v>
      </c>
      <c r="EI516" s="1">
        <f>(Table1[[#This Row],[predicted_3]]-Table1[[#This Row],[actual_3]])/Table1[[#This Row],[actual_3]]</f>
        <v>7.0297029702970304E-2</v>
      </c>
      <c r="EJ516" s="1">
        <f>(Table1[[#This Row],[predicted_4]]-Table1[[#This Row],[actual_4]])/Table1[[#This Row],[actual_4]]</f>
        <v>-5.6008146639511203E-2</v>
      </c>
      <c r="EK516" s="1">
        <f>(Table1[[#This Row],[predicted_5]]-Table1[[#This Row],[actual_5]])/Table1[[#This Row],[actual_5]]</f>
        <v>-0.19394618834080718</v>
      </c>
      <c r="EL516" s="1">
        <f>(Table1[[#This Row],[predicted_6]]-Table1[[#This Row],[actual_6]])/Table1[[#This Row],[actual_6]]</f>
        <v>1.7745302713987474E-2</v>
      </c>
      <c r="EM516" s="1">
        <f>(Table1[[#This Row],[predicted_7]]-Table1[[#This Row],[actual_7]])/Table1[[#This Row],[actual_7]]</f>
        <v>4.1828793774319063E-2</v>
      </c>
      <c r="EN516" s="1">
        <f>(Table1[[#This Row],[predicted_8]]-Table1[[#This Row],[actual_8]])/Table1[[#This Row],[actual_8]]</f>
        <v>8.3162217659137574E-2</v>
      </c>
      <c r="EO516" s="1">
        <f>(Table1[[#This Row],[predicted_9]]-Table1[[#This Row],[actual_9]])/Table1[[#This Row],[actual_9]]</f>
        <v>-7.1357779980178393E-2</v>
      </c>
      <c r="EP516" s="1">
        <f>1+(Table1[[#This Row],[error_ratio_0]]-EF$2)</f>
        <v>1.036734693877551</v>
      </c>
      <c r="EQ516" s="1">
        <f>1+(Table1[[#This Row],[error_ratio_1]]-EG$2)</f>
        <v>1.0220264317180616</v>
      </c>
      <c r="ER516" s="1">
        <f>1+(Table1[[#This Row],[error_ratio_2]]-EH$2)</f>
        <v>1.0271317829457365</v>
      </c>
      <c r="ES516" s="1">
        <f>1+(Table1[[#This Row],[error_ratio_3]]-EI$2)</f>
        <v>1.0603960396039604</v>
      </c>
      <c r="ET516" s="1">
        <f>1+(Table1[[#This Row],[error_ratio_4]]-EJ$2)</f>
        <v>0.94297352342158858</v>
      </c>
      <c r="EU516" s="1">
        <f>1+(Table1[[#This Row],[error_ratio_5]]-EK$2)</f>
        <v>0.80493273542600896</v>
      </c>
      <c r="EV516" s="1">
        <f>1+(Table1[[#This Row],[error_ratio_6]]-EL$2)</f>
        <v>1.024008350730689</v>
      </c>
      <c r="EW516" s="1">
        <f>1+(Table1[[#This Row],[error_ratio_7]]-EM$2)</f>
        <v>1.0398832684824904</v>
      </c>
      <c r="EX516" s="1">
        <f>1+(Table1[[#This Row],[error_ratio_8]]-EN$2)</f>
        <v>1.0862422997946612</v>
      </c>
      <c r="EY516" s="1">
        <f>1+(Table1[[#This Row],[error_ratio_9]]-EO$2)</f>
        <v>0.93260654112983155</v>
      </c>
    </row>
    <row r="517" spans="1:155" x14ac:dyDescent="0.75">
      <c r="A517">
        <v>10</v>
      </c>
      <c r="B517">
        <v>100</v>
      </c>
      <c r="C517">
        <v>100</v>
      </c>
      <c r="D517">
        <v>100</v>
      </c>
      <c r="E517">
        <v>10</v>
      </c>
      <c r="F517">
        <v>10</v>
      </c>
      <c r="G517">
        <v>100</v>
      </c>
      <c r="H517">
        <v>100</v>
      </c>
      <c r="I517">
        <v>100</v>
      </c>
      <c r="J517">
        <v>10</v>
      </c>
      <c r="K517">
        <v>989</v>
      </c>
      <c r="L517">
        <v>1144</v>
      </c>
      <c r="M517">
        <v>1029</v>
      </c>
      <c r="N517">
        <v>1073</v>
      </c>
      <c r="O517">
        <v>933</v>
      </c>
      <c r="P517">
        <v>830</v>
      </c>
      <c r="Q517">
        <v>976</v>
      </c>
      <c r="R517">
        <v>1049</v>
      </c>
      <c r="S517">
        <v>1031</v>
      </c>
      <c r="T517">
        <v>946</v>
      </c>
      <c r="U517">
        <v>980</v>
      </c>
      <c r="V517">
        <v>1135</v>
      </c>
      <c r="W517">
        <v>1032</v>
      </c>
      <c r="X517">
        <v>1010</v>
      </c>
      <c r="Y517">
        <v>982</v>
      </c>
      <c r="Z517">
        <v>892</v>
      </c>
      <c r="AA517">
        <v>958</v>
      </c>
      <c r="AB517">
        <v>1028</v>
      </c>
      <c r="AC517">
        <v>974</v>
      </c>
      <c r="AD517">
        <v>1009</v>
      </c>
      <c r="AE517">
        <v>969</v>
      </c>
      <c r="AF517">
        <v>0</v>
      </c>
      <c r="AG517">
        <v>0</v>
      </c>
      <c r="AH517">
        <v>0</v>
      </c>
      <c r="AI517">
        <v>0</v>
      </c>
      <c r="AJ517">
        <v>0</v>
      </c>
      <c r="AK517">
        <v>4</v>
      </c>
      <c r="AL517">
        <v>3</v>
      </c>
      <c r="AM517">
        <v>4</v>
      </c>
      <c r="AN517">
        <v>0</v>
      </c>
      <c r="AO517">
        <v>0</v>
      </c>
      <c r="AP517">
        <v>1131</v>
      </c>
      <c r="AQ517">
        <v>1</v>
      </c>
      <c r="AR517">
        <v>0</v>
      </c>
      <c r="AS517">
        <v>0</v>
      </c>
      <c r="AT517">
        <v>1</v>
      </c>
      <c r="AU517">
        <v>0</v>
      </c>
      <c r="AV517">
        <v>1</v>
      </c>
      <c r="AW517">
        <v>1</v>
      </c>
      <c r="AX517">
        <v>0</v>
      </c>
      <c r="AY517">
        <v>1</v>
      </c>
      <c r="AZ517">
        <v>0</v>
      </c>
      <c r="BA517">
        <v>1017</v>
      </c>
      <c r="BB517">
        <v>4</v>
      </c>
      <c r="BC517">
        <v>0</v>
      </c>
      <c r="BD517">
        <v>0</v>
      </c>
      <c r="BE517">
        <v>2</v>
      </c>
      <c r="BF517">
        <v>2</v>
      </c>
      <c r="BG517">
        <v>6</v>
      </c>
      <c r="BH517">
        <v>0</v>
      </c>
      <c r="BI517">
        <v>0</v>
      </c>
      <c r="BJ517">
        <v>0</v>
      </c>
      <c r="BK517">
        <v>0</v>
      </c>
      <c r="BL517">
        <v>1008</v>
      </c>
      <c r="BM517">
        <v>0</v>
      </c>
      <c r="BN517">
        <v>0</v>
      </c>
      <c r="BO517">
        <v>0</v>
      </c>
      <c r="BP517">
        <v>0</v>
      </c>
      <c r="BQ517">
        <v>2</v>
      </c>
      <c r="BR517">
        <v>0</v>
      </c>
      <c r="BS517">
        <v>3</v>
      </c>
      <c r="BT517">
        <v>4</v>
      </c>
      <c r="BU517">
        <v>1</v>
      </c>
      <c r="BV517">
        <v>0</v>
      </c>
      <c r="BW517">
        <v>930</v>
      </c>
      <c r="BX517">
        <v>0</v>
      </c>
      <c r="BY517">
        <v>11</v>
      </c>
      <c r="BZ517">
        <v>7</v>
      </c>
      <c r="CA517">
        <v>8</v>
      </c>
      <c r="CB517">
        <v>18</v>
      </c>
      <c r="CC517">
        <v>3</v>
      </c>
      <c r="CD517">
        <v>0</v>
      </c>
      <c r="CE517">
        <v>0</v>
      </c>
      <c r="CF517">
        <v>36</v>
      </c>
      <c r="CG517">
        <v>0</v>
      </c>
      <c r="CH517">
        <v>824</v>
      </c>
      <c r="CI517">
        <v>11</v>
      </c>
      <c r="CJ517">
        <v>2</v>
      </c>
      <c r="CK517">
        <v>16</v>
      </c>
      <c r="CL517">
        <v>0</v>
      </c>
      <c r="CM517">
        <v>4</v>
      </c>
      <c r="CN517">
        <v>2</v>
      </c>
      <c r="CO517">
        <v>0</v>
      </c>
      <c r="CP517">
        <v>0</v>
      </c>
      <c r="CQ517">
        <v>1</v>
      </c>
      <c r="CR517">
        <v>1</v>
      </c>
      <c r="CS517">
        <v>946</v>
      </c>
      <c r="CT517">
        <v>0</v>
      </c>
      <c r="CU517">
        <v>4</v>
      </c>
      <c r="CV517">
        <v>0</v>
      </c>
      <c r="CW517">
        <v>1</v>
      </c>
      <c r="CX517">
        <v>4</v>
      </c>
      <c r="CY517">
        <v>8</v>
      </c>
      <c r="CZ517">
        <v>6</v>
      </c>
      <c r="DA517">
        <v>0</v>
      </c>
      <c r="DB517">
        <v>0</v>
      </c>
      <c r="DC517">
        <v>0</v>
      </c>
      <c r="DD517">
        <v>1007</v>
      </c>
      <c r="DE517">
        <v>2</v>
      </c>
      <c r="DF517">
        <v>0</v>
      </c>
      <c r="DG517">
        <v>1</v>
      </c>
      <c r="DH517">
        <v>0</v>
      </c>
      <c r="DI517">
        <v>1</v>
      </c>
      <c r="DJ517">
        <v>2</v>
      </c>
      <c r="DK517">
        <v>0</v>
      </c>
      <c r="DL517">
        <v>0</v>
      </c>
      <c r="DM517">
        <v>1</v>
      </c>
      <c r="DN517">
        <v>2</v>
      </c>
      <c r="DO517">
        <v>967</v>
      </c>
      <c r="DP517">
        <v>0</v>
      </c>
      <c r="DQ517">
        <v>7</v>
      </c>
      <c r="DR517">
        <v>3</v>
      </c>
      <c r="DS517">
        <v>1</v>
      </c>
      <c r="DT517">
        <v>17</v>
      </c>
      <c r="DU517">
        <v>2</v>
      </c>
      <c r="DV517">
        <v>4</v>
      </c>
      <c r="DW517">
        <v>1</v>
      </c>
      <c r="DX517">
        <v>25</v>
      </c>
      <c r="DY517">
        <v>21</v>
      </c>
      <c r="DZ517">
        <v>928</v>
      </c>
      <c r="EA517">
        <v>0.97270000000000001</v>
      </c>
      <c r="EB517">
        <v>0.973385096487552</v>
      </c>
      <c r="EC517">
        <v>0.97191313863176099</v>
      </c>
      <c r="ED517">
        <v>0.97217373420008002</v>
      </c>
      <c r="EE517">
        <f>SUM(Table1[[#This Row],[ratio_0]:[ratio_9]])</f>
        <v>640</v>
      </c>
      <c r="EF517" s="1">
        <f>(Table1[[#This Row],[predicted_0]]-Table1[[#This Row],[actual_0]])/Table1[[#This Row],[actual_0]]</f>
        <v>9.1836734693877559E-3</v>
      </c>
      <c r="EG517" s="1">
        <f>(Table1[[#This Row],[predicted_1]]-Table1[[#This Row],[actual_1]])/Table1[[#This Row],[actual_1]]</f>
        <v>7.9295154185022032E-3</v>
      </c>
      <c r="EH517" s="1">
        <f>(Table1[[#This Row],[predicted_2]]-Table1[[#This Row],[actual_2]])/Table1[[#This Row],[actual_2]]</f>
        <v>-2.9069767441860465E-3</v>
      </c>
      <c r="EI517" s="1">
        <f>(Table1[[#This Row],[predicted_3]]-Table1[[#This Row],[actual_3]])/Table1[[#This Row],[actual_3]]</f>
        <v>6.2376237623762376E-2</v>
      </c>
      <c r="EJ517" s="1">
        <f>(Table1[[#This Row],[predicted_4]]-Table1[[#This Row],[actual_4]])/Table1[[#This Row],[actual_4]]</f>
        <v>-4.9898167006109981E-2</v>
      </c>
      <c r="EK517" s="1">
        <f>(Table1[[#This Row],[predicted_5]]-Table1[[#This Row],[actual_5]])/Table1[[#This Row],[actual_5]]</f>
        <v>-6.9506726457399109E-2</v>
      </c>
      <c r="EL517" s="1">
        <f>(Table1[[#This Row],[predicted_6]]-Table1[[#This Row],[actual_6]])/Table1[[#This Row],[actual_6]]</f>
        <v>1.8789144050104383E-2</v>
      </c>
      <c r="EM517" s="1">
        <f>(Table1[[#This Row],[predicted_7]]-Table1[[#This Row],[actual_7]])/Table1[[#This Row],[actual_7]]</f>
        <v>2.0428015564202335E-2</v>
      </c>
      <c r="EN517" s="1">
        <f>(Table1[[#This Row],[predicted_8]]-Table1[[#This Row],[actual_8]])/Table1[[#This Row],[actual_8]]</f>
        <v>5.8521560574948665E-2</v>
      </c>
      <c r="EO517" s="1">
        <f>(Table1[[#This Row],[predicted_9]]-Table1[[#This Row],[actual_9]])/Table1[[#This Row],[actual_9]]</f>
        <v>-6.2438057482656094E-2</v>
      </c>
      <c r="EP517" s="1">
        <f>1+(Table1[[#This Row],[error_ratio_0]]-EF$2)</f>
        <v>1.0071428571428571</v>
      </c>
      <c r="EQ517" s="1">
        <f>1+(Table1[[#This Row],[error_ratio_1]]-EG$2)</f>
        <v>1.0061674008810573</v>
      </c>
      <c r="ER517" s="1">
        <f>1+(Table1[[#This Row],[error_ratio_2]]-EH$2)</f>
        <v>1.001937984496124</v>
      </c>
      <c r="ES517" s="1">
        <f>1+(Table1[[#This Row],[error_ratio_3]]-EI$2)</f>
        <v>1.0524752475247525</v>
      </c>
      <c r="ET517" s="1">
        <f>1+(Table1[[#This Row],[error_ratio_4]]-EJ$2)</f>
        <v>0.94908350305498979</v>
      </c>
      <c r="EU517" s="1">
        <f>1+(Table1[[#This Row],[error_ratio_5]]-EK$2)</f>
        <v>0.929372197309417</v>
      </c>
      <c r="EV517" s="1">
        <f>1+(Table1[[#This Row],[error_ratio_6]]-EL$2)</f>
        <v>1.0250521920668059</v>
      </c>
      <c r="EW517" s="1">
        <f>1+(Table1[[#This Row],[error_ratio_7]]-EM$2)</f>
        <v>1.0184824902723735</v>
      </c>
      <c r="EX517" s="1">
        <f>1+(Table1[[#This Row],[error_ratio_8]]-EN$2)</f>
        <v>1.0616016427104722</v>
      </c>
      <c r="EY517" s="1">
        <f>1+(Table1[[#This Row],[error_ratio_9]]-EO$2)</f>
        <v>0.94152626362735381</v>
      </c>
    </row>
    <row r="518" spans="1:155" x14ac:dyDescent="0.75">
      <c r="A518">
        <v>100</v>
      </c>
      <c r="B518">
        <v>10</v>
      </c>
      <c r="C518">
        <v>100</v>
      </c>
      <c r="D518">
        <v>100</v>
      </c>
      <c r="E518">
        <v>10</v>
      </c>
      <c r="F518">
        <v>10</v>
      </c>
      <c r="G518">
        <v>100</v>
      </c>
      <c r="H518">
        <v>100</v>
      </c>
      <c r="I518">
        <v>100</v>
      </c>
      <c r="J518">
        <v>10</v>
      </c>
      <c r="K518">
        <v>990</v>
      </c>
      <c r="L518">
        <v>1139</v>
      </c>
      <c r="M518">
        <v>1055</v>
      </c>
      <c r="N518">
        <v>1089</v>
      </c>
      <c r="O518">
        <v>911</v>
      </c>
      <c r="P518">
        <v>818</v>
      </c>
      <c r="Q518">
        <v>936</v>
      </c>
      <c r="R518">
        <v>1051</v>
      </c>
      <c r="S518">
        <v>987</v>
      </c>
      <c r="T518">
        <v>1024</v>
      </c>
      <c r="U518">
        <v>980</v>
      </c>
      <c r="V518">
        <v>1135</v>
      </c>
      <c r="W518">
        <v>1032</v>
      </c>
      <c r="X518">
        <v>1010</v>
      </c>
      <c r="Y518">
        <v>982</v>
      </c>
      <c r="Z518">
        <v>892</v>
      </c>
      <c r="AA518">
        <v>958</v>
      </c>
      <c r="AB518">
        <v>1028</v>
      </c>
      <c r="AC518">
        <v>974</v>
      </c>
      <c r="AD518">
        <v>1009</v>
      </c>
      <c r="AE518">
        <v>974</v>
      </c>
      <c r="AF518">
        <v>0</v>
      </c>
      <c r="AG518">
        <v>0</v>
      </c>
      <c r="AH518">
        <v>0</v>
      </c>
      <c r="AI518">
        <v>0</v>
      </c>
      <c r="AJ518">
        <v>0</v>
      </c>
      <c r="AK518">
        <v>1</v>
      </c>
      <c r="AL518">
        <v>2</v>
      </c>
      <c r="AM518">
        <v>3</v>
      </c>
      <c r="AN518">
        <v>0</v>
      </c>
      <c r="AO518">
        <v>0</v>
      </c>
      <c r="AP518">
        <v>1121</v>
      </c>
      <c r="AQ518">
        <v>3</v>
      </c>
      <c r="AR518">
        <v>5</v>
      </c>
      <c r="AS518">
        <v>0</v>
      </c>
      <c r="AT518">
        <v>2</v>
      </c>
      <c r="AU518">
        <v>0</v>
      </c>
      <c r="AV518">
        <v>2</v>
      </c>
      <c r="AW518">
        <v>2</v>
      </c>
      <c r="AX518">
        <v>0</v>
      </c>
      <c r="AY518">
        <v>2</v>
      </c>
      <c r="AZ518">
        <v>1</v>
      </c>
      <c r="BA518">
        <v>1022</v>
      </c>
      <c r="BB518">
        <v>3</v>
      </c>
      <c r="BC518">
        <v>0</v>
      </c>
      <c r="BD518">
        <v>0</v>
      </c>
      <c r="BE518">
        <v>0</v>
      </c>
      <c r="BF518">
        <v>4</v>
      </c>
      <c r="BG518">
        <v>0</v>
      </c>
      <c r="BH518">
        <v>0</v>
      </c>
      <c r="BI518">
        <v>0</v>
      </c>
      <c r="BJ518">
        <v>0</v>
      </c>
      <c r="BK518">
        <v>2</v>
      </c>
      <c r="BL518">
        <v>1005</v>
      </c>
      <c r="BM518">
        <v>0</v>
      </c>
      <c r="BN518">
        <v>1</v>
      </c>
      <c r="BO518">
        <v>0</v>
      </c>
      <c r="BP518">
        <v>1</v>
      </c>
      <c r="BQ518">
        <v>1</v>
      </c>
      <c r="BR518">
        <v>0</v>
      </c>
      <c r="BS518">
        <v>3</v>
      </c>
      <c r="BT518">
        <v>9</v>
      </c>
      <c r="BU518">
        <v>10</v>
      </c>
      <c r="BV518">
        <v>0</v>
      </c>
      <c r="BW518">
        <v>907</v>
      </c>
      <c r="BX518">
        <v>0</v>
      </c>
      <c r="BY518">
        <v>2</v>
      </c>
      <c r="BZ518">
        <v>9</v>
      </c>
      <c r="CA518">
        <v>3</v>
      </c>
      <c r="CB518">
        <v>39</v>
      </c>
      <c r="CC518">
        <v>2</v>
      </c>
      <c r="CD518">
        <v>0</v>
      </c>
      <c r="CE518">
        <v>1</v>
      </c>
      <c r="CF518">
        <v>54</v>
      </c>
      <c r="CG518">
        <v>0</v>
      </c>
      <c r="CH518">
        <v>806</v>
      </c>
      <c r="CI518">
        <v>1</v>
      </c>
      <c r="CJ518">
        <v>3</v>
      </c>
      <c r="CK518">
        <v>11</v>
      </c>
      <c r="CL518">
        <v>14</v>
      </c>
      <c r="CM518">
        <v>5</v>
      </c>
      <c r="CN518">
        <v>2</v>
      </c>
      <c r="CO518">
        <v>2</v>
      </c>
      <c r="CP518">
        <v>1</v>
      </c>
      <c r="CQ518">
        <v>0</v>
      </c>
      <c r="CR518">
        <v>6</v>
      </c>
      <c r="CS518">
        <v>932</v>
      </c>
      <c r="CT518">
        <v>0</v>
      </c>
      <c r="CU518">
        <v>9</v>
      </c>
      <c r="CV518">
        <v>1</v>
      </c>
      <c r="CW518">
        <v>0</v>
      </c>
      <c r="CX518">
        <v>1</v>
      </c>
      <c r="CY518">
        <v>9</v>
      </c>
      <c r="CZ518">
        <v>3</v>
      </c>
      <c r="DA518">
        <v>0</v>
      </c>
      <c r="DB518">
        <v>0</v>
      </c>
      <c r="DC518">
        <v>0</v>
      </c>
      <c r="DD518">
        <v>1014</v>
      </c>
      <c r="DE518">
        <v>0</v>
      </c>
      <c r="DF518">
        <v>1</v>
      </c>
      <c r="DG518">
        <v>0</v>
      </c>
      <c r="DH518">
        <v>0</v>
      </c>
      <c r="DI518">
        <v>3</v>
      </c>
      <c r="DJ518">
        <v>7</v>
      </c>
      <c r="DK518">
        <v>0</v>
      </c>
      <c r="DL518">
        <v>2</v>
      </c>
      <c r="DM518">
        <v>0</v>
      </c>
      <c r="DN518">
        <v>3</v>
      </c>
      <c r="DO518">
        <v>956</v>
      </c>
      <c r="DP518">
        <v>3</v>
      </c>
      <c r="DQ518">
        <v>4</v>
      </c>
      <c r="DR518">
        <v>5</v>
      </c>
      <c r="DS518">
        <v>3</v>
      </c>
      <c r="DT518">
        <v>11</v>
      </c>
      <c r="DU518">
        <v>4</v>
      </c>
      <c r="DV518">
        <v>1</v>
      </c>
      <c r="DW518">
        <v>0</v>
      </c>
      <c r="DX518">
        <v>13</v>
      </c>
      <c r="DY518">
        <v>2</v>
      </c>
      <c r="DZ518">
        <v>966</v>
      </c>
      <c r="EA518">
        <v>0.97030000000000005</v>
      </c>
      <c r="EB518">
        <v>0.97130327301292896</v>
      </c>
      <c r="EC518">
        <v>0.96922595337292505</v>
      </c>
      <c r="ED518">
        <v>0.96976748014088998</v>
      </c>
      <c r="EE518">
        <f>SUM(Table1[[#This Row],[ratio_0]:[ratio_9]])</f>
        <v>640</v>
      </c>
      <c r="EF518" s="1">
        <f>(Table1[[#This Row],[predicted_0]]-Table1[[#This Row],[actual_0]])/Table1[[#This Row],[actual_0]]</f>
        <v>1.020408163265306E-2</v>
      </c>
      <c r="EG518" s="1">
        <f>(Table1[[#This Row],[predicted_1]]-Table1[[#This Row],[actual_1]])/Table1[[#This Row],[actual_1]]</f>
        <v>3.524229074889868E-3</v>
      </c>
      <c r="EH518" s="1">
        <f>(Table1[[#This Row],[predicted_2]]-Table1[[#This Row],[actual_2]])/Table1[[#This Row],[actual_2]]</f>
        <v>2.2286821705426358E-2</v>
      </c>
      <c r="EI518" s="1">
        <f>(Table1[[#This Row],[predicted_3]]-Table1[[#This Row],[actual_3]])/Table1[[#This Row],[actual_3]]</f>
        <v>7.8217821782178218E-2</v>
      </c>
      <c r="EJ518" s="1">
        <f>(Table1[[#This Row],[predicted_4]]-Table1[[#This Row],[actual_4]])/Table1[[#This Row],[actual_4]]</f>
        <v>-7.2301425661914456E-2</v>
      </c>
      <c r="EK518" s="1">
        <f>(Table1[[#This Row],[predicted_5]]-Table1[[#This Row],[actual_5]])/Table1[[#This Row],[actual_5]]</f>
        <v>-8.2959641255605385E-2</v>
      </c>
      <c r="EL518" s="1">
        <f>(Table1[[#This Row],[predicted_6]]-Table1[[#This Row],[actual_6]])/Table1[[#This Row],[actual_6]]</f>
        <v>-2.2964509394572025E-2</v>
      </c>
      <c r="EM518" s="1">
        <f>(Table1[[#This Row],[predicted_7]]-Table1[[#This Row],[actual_7]])/Table1[[#This Row],[actual_7]]</f>
        <v>2.2373540856031129E-2</v>
      </c>
      <c r="EN518" s="1">
        <f>(Table1[[#This Row],[predicted_8]]-Table1[[#This Row],[actual_8]])/Table1[[#This Row],[actual_8]]</f>
        <v>1.3347022587268994E-2</v>
      </c>
      <c r="EO518" s="1">
        <f>(Table1[[#This Row],[predicted_9]]-Table1[[#This Row],[actual_9]])/Table1[[#This Row],[actual_9]]</f>
        <v>1.4866204162537165E-2</v>
      </c>
      <c r="EP518" s="1">
        <f>1+(Table1[[#This Row],[error_ratio_0]]-EF$2)</f>
        <v>1.0081632653061225</v>
      </c>
      <c r="EQ518" s="1">
        <f>1+(Table1[[#This Row],[error_ratio_1]]-EG$2)</f>
        <v>1.0017621145374449</v>
      </c>
      <c r="ER518" s="1">
        <f>1+(Table1[[#This Row],[error_ratio_2]]-EH$2)</f>
        <v>1.0271317829457365</v>
      </c>
      <c r="ES518" s="1">
        <f>1+(Table1[[#This Row],[error_ratio_3]]-EI$2)</f>
        <v>1.0683168316831684</v>
      </c>
      <c r="ET518" s="1">
        <f>1+(Table1[[#This Row],[error_ratio_4]]-EJ$2)</f>
        <v>0.92668024439918528</v>
      </c>
      <c r="EU518" s="1">
        <f>1+(Table1[[#This Row],[error_ratio_5]]-EK$2)</f>
        <v>0.9159192825112108</v>
      </c>
      <c r="EV518" s="1">
        <f>1+(Table1[[#This Row],[error_ratio_6]]-EL$2)</f>
        <v>0.98329853862212946</v>
      </c>
      <c r="EW518" s="1">
        <f>1+(Table1[[#This Row],[error_ratio_7]]-EM$2)</f>
        <v>1.0204280155642023</v>
      </c>
      <c r="EX518" s="1">
        <f>1+(Table1[[#This Row],[error_ratio_8]]-EN$2)</f>
        <v>1.0164271047227926</v>
      </c>
      <c r="EY518" s="1">
        <f>1+(Table1[[#This Row],[error_ratio_9]]-EO$2)</f>
        <v>1.0188305252725471</v>
      </c>
    </row>
    <row r="519" spans="1:155" x14ac:dyDescent="0.75">
      <c r="A519">
        <v>10</v>
      </c>
      <c r="B519">
        <v>10</v>
      </c>
      <c r="C519">
        <v>100</v>
      </c>
      <c r="D519">
        <v>100</v>
      </c>
      <c r="E519">
        <v>10</v>
      </c>
      <c r="F519">
        <v>10</v>
      </c>
      <c r="G519">
        <v>100</v>
      </c>
      <c r="H519">
        <v>100</v>
      </c>
      <c r="I519">
        <v>100</v>
      </c>
      <c r="J519">
        <v>10</v>
      </c>
      <c r="K519">
        <v>988</v>
      </c>
      <c r="L519">
        <v>1095</v>
      </c>
      <c r="M519">
        <v>1043</v>
      </c>
      <c r="N519">
        <v>1053</v>
      </c>
      <c r="O519">
        <v>874</v>
      </c>
      <c r="P519">
        <v>879</v>
      </c>
      <c r="Q519">
        <v>978</v>
      </c>
      <c r="R519">
        <v>1123</v>
      </c>
      <c r="S519">
        <v>1024</v>
      </c>
      <c r="T519">
        <v>943</v>
      </c>
      <c r="U519">
        <v>980</v>
      </c>
      <c r="V519">
        <v>1135</v>
      </c>
      <c r="W519">
        <v>1032</v>
      </c>
      <c r="X519">
        <v>1010</v>
      </c>
      <c r="Y519">
        <v>982</v>
      </c>
      <c r="Z519">
        <v>892</v>
      </c>
      <c r="AA519">
        <v>958</v>
      </c>
      <c r="AB519">
        <v>1028</v>
      </c>
      <c r="AC519">
        <v>974</v>
      </c>
      <c r="AD519">
        <v>1009</v>
      </c>
      <c r="AE519">
        <v>965</v>
      </c>
      <c r="AF519">
        <v>0</v>
      </c>
      <c r="AG519">
        <v>3</v>
      </c>
      <c r="AH519">
        <v>1</v>
      </c>
      <c r="AI519">
        <v>0</v>
      </c>
      <c r="AJ519">
        <v>1</v>
      </c>
      <c r="AK519">
        <v>3</v>
      </c>
      <c r="AL519">
        <v>3</v>
      </c>
      <c r="AM519">
        <v>4</v>
      </c>
      <c r="AN519">
        <v>0</v>
      </c>
      <c r="AO519">
        <v>0</v>
      </c>
      <c r="AP519">
        <v>1091</v>
      </c>
      <c r="AQ519">
        <v>18</v>
      </c>
      <c r="AR519">
        <v>6</v>
      </c>
      <c r="AS519">
        <v>0</v>
      </c>
      <c r="AT519">
        <v>4</v>
      </c>
      <c r="AU519">
        <v>5</v>
      </c>
      <c r="AV519">
        <v>7</v>
      </c>
      <c r="AW519">
        <v>4</v>
      </c>
      <c r="AX519">
        <v>0</v>
      </c>
      <c r="AY519">
        <v>1</v>
      </c>
      <c r="AZ519">
        <v>0</v>
      </c>
      <c r="BA519">
        <v>1006</v>
      </c>
      <c r="BB519">
        <v>1</v>
      </c>
      <c r="BC519">
        <v>0</v>
      </c>
      <c r="BD519">
        <v>0</v>
      </c>
      <c r="BE519">
        <v>1</v>
      </c>
      <c r="BF519">
        <v>22</v>
      </c>
      <c r="BG519">
        <v>1</v>
      </c>
      <c r="BH519">
        <v>0</v>
      </c>
      <c r="BI519">
        <v>0</v>
      </c>
      <c r="BJ519">
        <v>0</v>
      </c>
      <c r="BK519">
        <v>0</v>
      </c>
      <c r="BL519">
        <v>1003</v>
      </c>
      <c r="BM519">
        <v>0</v>
      </c>
      <c r="BN519">
        <v>2</v>
      </c>
      <c r="BO519">
        <v>0</v>
      </c>
      <c r="BP519">
        <v>4</v>
      </c>
      <c r="BQ519">
        <v>1</v>
      </c>
      <c r="BR519">
        <v>0</v>
      </c>
      <c r="BS519">
        <v>6</v>
      </c>
      <c r="BT519">
        <v>0</v>
      </c>
      <c r="BU519">
        <v>7</v>
      </c>
      <c r="BV519">
        <v>0</v>
      </c>
      <c r="BW519">
        <v>870</v>
      </c>
      <c r="BX519">
        <v>0</v>
      </c>
      <c r="BY519">
        <v>16</v>
      </c>
      <c r="BZ519">
        <v>27</v>
      </c>
      <c r="CA519">
        <v>14</v>
      </c>
      <c r="CB519">
        <v>42</v>
      </c>
      <c r="CC519">
        <v>4</v>
      </c>
      <c r="CD519">
        <v>0</v>
      </c>
      <c r="CE519">
        <v>0</v>
      </c>
      <c r="CF519">
        <v>32</v>
      </c>
      <c r="CG519">
        <v>0</v>
      </c>
      <c r="CH519">
        <v>843</v>
      </c>
      <c r="CI519">
        <v>4</v>
      </c>
      <c r="CJ519">
        <v>0</v>
      </c>
      <c r="CK519">
        <v>8</v>
      </c>
      <c r="CL519">
        <v>1</v>
      </c>
      <c r="CM519">
        <v>6</v>
      </c>
      <c r="CN519">
        <v>2</v>
      </c>
      <c r="CO519">
        <v>1</v>
      </c>
      <c r="CP519">
        <v>1</v>
      </c>
      <c r="CQ519">
        <v>1</v>
      </c>
      <c r="CR519">
        <v>1</v>
      </c>
      <c r="CS519">
        <v>946</v>
      </c>
      <c r="CT519">
        <v>0</v>
      </c>
      <c r="CU519">
        <v>0</v>
      </c>
      <c r="CV519">
        <v>0</v>
      </c>
      <c r="CW519">
        <v>0</v>
      </c>
      <c r="CX519">
        <v>0</v>
      </c>
      <c r="CY519">
        <v>4</v>
      </c>
      <c r="CZ519">
        <v>0</v>
      </c>
      <c r="DA519">
        <v>0</v>
      </c>
      <c r="DB519">
        <v>0</v>
      </c>
      <c r="DC519">
        <v>0</v>
      </c>
      <c r="DD519">
        <v>1023</v>
      </c>
      <c r="DE519">
        <v>1</v>
      </c>
      <c r="DF519">
        <v>0</v>
      </c>
      <c r="DG519">
        <v>1</v>
      </c>
      <c r="DH519">
        <v>0</v>
      </c>
      <c r="DI519">
        <v>4</v>
      </c>
      <c r="DJ519">
        <v>1</v>
      </c>
      <c r="DK519">
        <v>0</v>
      </c>
      <c r="DL519">
        <v>1</v>
      </c>
      <c r="DM519">
        <v>1</v>
      </c>
      <c r="DN519">
        <v>4</v>
      </c>
      <c r="DO519">
        <v>962</v>
      </c>
      <c r="DP519">
        <v>0</v>
      </c>
      <c r="DQ519">
        <v>5</v>
      </c>
      <c r="DR519">
        <v>2</v>
      </c>
      <c r="DS519">
        <v>0</v>
      </c>
      <c r="DT519">
        <v>8</v>
      </c>
      <c r="DU519">
        <v>3</v>
      </c>
      <c r="DV519">
        <v>27</v>
      </c>
      <c r="DW519">
        <v>2</v>
      </c>
      <c r="DX519">
        <v>33</v>
      </c>
      <c r="DY519">
        <v>29</v>
      </c>
      <c r="DZ519">
        <v>900</v>
      </c>
      <c r="EA519">
        <v>0.96089999999999998</v>
      </c>
      <c r="EB519">
        <v>0.96166643579023703</v>
      </c>
      <c r="EC519">
        <v>0.96070791895726404</v>
      </c>
      <c r="ED519">
        <v>0.96042321320318103</v>
      </c>
      <c r="EE519">
        <f>SUM(Table1[[#This Row],[ratio_0]:[ratio_9]])</f>
        <v>550</v>
      </c>
      <c r="EF519" s="1">
        <f>(Table1[[#This Row],[predicted_0]]-Table1[[#This Row],[actual_0]])/Table1[[#This Row],[actual_0]]</f>
        <v>8.1632653061224497E-3</v>
      </c>
      <c r="EG519" s="1">
        <f>(Table1[[#This Row],[predicted_1]]-Table1[[#This Row],[actual_1]])/Table1[[#This Row],[actual_1]]</f>
        <v>-3.5242290748898682E-2</v>
      </c>
      <c r="EH519" s="1">
        <f>(Table1[[#This Row],[predicted_2]]-Table1[[#This Row],[actual_2]])/Table1[[#This Row],[actual_2]]</f>
        <v>1.065891472868217E-2</v>
      </c>
      <c r="EI519" s="1">
        <f>(Table1[[#This Row],[predicted_3]]-Table1[[#This Row],[actual_3]])/Table1[[#This Row],[actual_3]]</f>
        <v>4.2574257425742577E-2</v>
      </c>
      <c r="EJ519" s="1">
        <f>(Table1[[#This Row],[predicted_4]]-Table1[[#This Row],[actual_4]])/Table1[[#This Row],[actual_4]]</f>
        <v>-0.10997963340122199</v>
      </c>
      <c r="EK519" s="1">
        <f>(Table1[[#This Row],[predicted_5]]-Table1[[#This Row],[actual_5]])/Table1[[#This Row],[actual_5]]</f>
        <v>-1.4573991031390135E-2</v>
      </c>
      <c r="EL519" s="1">
        <f>(Table1[[#This Row],[predicted_6]]-Table1[[#This Row],[actual_6]])/Table1[[#This Row],[actual_6]]</f>
        <v>2.0876826722338204E-2</v>
      </c>
      <c r="EM519" s="1">
        <f>(Table1[[#This Row],[predicted_7]]-Table1[[#This Row],[actual_7]])/Table1[[#This Row],[actual_7]]</f>
        <v>9.2412451361867709E-2</v>
      </c>
      <c r="EN519" s="1">
        <f>(Table1[[#This Row],[predicted_8]]-Table1[[#This Row],[actual_8]])/Table1[[#This Row],[actual_8]]</f>
        <v>5.1334702258726897E-2</v>
      </c>
      <c r="EO519" s="1">
        <f>(Table1[[#This Row],[predicted_9]]-Table1[[#This Row],[actual_9]])/Table1[[#This Row],[actual_9]]</f>
        <v>-6.5411298315163527E-2</v>
      </c>
      <c r="EP519" s="1">
        <f>1+(Table1[[#This Row],[error_ratio_0]]-EF$2)</f>
        <v>1.0061224489795919</v>
      </c>
      <c r="EQ519" s="1">
        <f>1+(Table1[[#This Row],[error_ratio_1]]-EG$2)</f>
        <v>0.96299559471365637</v>
      </c>
      <c r="ER519" s="1">
        <f>1+(Table1[[#This Row],[error_ratio_2]]-EH$2)</f>
        <v>1.0155038759689923</v>
      </c>
      <c r="ES519" s="1">
        <f>1+(Table1[[#This Row],[error_ratio_3]]-EI$2)</f>
        <v>1.0326732673267327</v>
      </c>
      <c r="ET519" s="1">
        <f>1+(Table1[[#This Row],[error_ratio_4]]-EJ$2)</f>
        <v>0.88900203665987776</v>
      </c>
      <c r="EU519" s="1">
        <f>1+(Table1[[#This Row],[error_ratio_5]]-EK$2)</f>
        <v>0.98430493273542596</v>
      </c>
      <c r="EV519" s="1">
        <f>1+(Table1[[#This Row],[error_ratio_6]]-EL$2)</f>
        <v>1.0271398747390397</v>
      </c>
      <c r="EW519" s="1">
        <f>1+(Table1[[#This Row],[error_ratio_7]]-EM$2)</f>
        <v>1.090466926070039</v>
      </c>
      <c r="EX519" s="1">
        <f>1+(Table1[[#This Row],[error_ratio_8]]-EN$2)</f>
        <v>1.0544147843942504</v>
      </c>
      <c r="EY519" s="1">
        <f>1+(Table1[[#This Row],[error_ratio_9]]-EO$2)</f>
        <v>0.93855302279484643</v>
      </c>
    </row>
    <row r="520" spans="1:155" x14ac:dyDescent="0.75">
      <c r="A520">
        <v>100</v>
      </c>
      <c r="B520">
        <v>100</v>
      </c>
      <c r="C520">
        <v>10</v>
      </c>
      <c r="D520">
        <v>100</v>
      </c>
      <c r="E520">
        <v>10</v>
      </c>
      <c r="F520">
        <v>10</v>
      </c>
      <c r="G520">
        <v>100</v>
      </c>
      <c r="H520">
        <v>100</v>
      </c>
      <c r="I520">
        <v>100</v>
      </c>
      <c r="J520">
        <v>10</v>
      </c>
      <c r="K520">
        <v>989</v>
      </c>
      <c r="L520">
        <v>1156</v>
      </c>
      <c r="M520">
        <v>977</v>
      </c>
      <c r="N520">
        <v>1040</v>
      </c>
      <c r="O520">
        <v>958</v>
      </c>
      <c r="P520">
        <v>831</v>
      </c>
      <c r="Q520">
        <v>988</v>
      </c>
      <c r="R520">
        <v>1082</v>
      </c>
      <c r="S520">
        <v>1014</v>
      </c>
      <c r="T520">
        <v>965</v>
      </c>
      <c r="U520">
        <v>980</v>
      </c>
      <c r="V520">
        <v>1135</v>
      </c>
      <c r="W520">
        <v>1032</v>
      </c>
      <c r="X520">
        <v>1010</v>
      </c>
      <c r="Y520">
        <v>982</v>
      </c>
      <c r="Z520">
        <v>892</v>
      </c>
      <c r="AA520">
        <v>958</v>
      </c>
      <c r="AB520">
        <v>1028</v>
      </c>
      <c r="AC520">
        <v>974</v>
      </c>
      <c r="AD520">
        <v>1009</v>
      </c>
      <c r="AE520">
        <v>971</v>
      </c>
      <c r="AF520">
        <v>0</v>
      </c>
      <c r="AG520">
        <v>0</v>
      </c>
      <c r="AH520">
        <v>0</v>
      </c>
      <c r="AI520">
        <v>0</v>
      </c>
      <c r="AJ520">
        <v>0</v>
      </c>
      <c r="AK520">
        <v>4</v>
      </c>
      <c r="AL520">
        <v>3</v>
      </c>
      <c r="AM520">
        <v>2</v>
      </c>
      <c r="AN520">
        <v>0</v>
      </c>
      <c r="AO520">
        <v>0</v>
      </c>
      <c r="AP520">
        <v>1131</v>
      </c>
      <c r="AQ520">
        <v>0</v>
      </c>
      <c r="AR520">
        <v>1</v>
      </c>
      <c r="AS520">
        <v>0</v>
      </c>
      <c r="AT520">
        <v>0</v>
      </c>
      <c r="AU520">
        <v>2</v>
      </c>
      <c r="AV520">
        <v>0</v>
      </c>
      <c r="AW520">
        <v>1</v>
      </c>
      <c r="AX520">
        <v>0</v>
      </c>
      <c r="AY520">
        <v>7</v>
      </c>
      <c r="AZ520">
        <v>10</v>
      </c>
      <c r="BA520">
        <v>974</v>
      </c>
      <c r="BB520">
        <v>5</v>
      </c>
      <c r="BC520">
        <v>2</v>
      </c>
      <c r="BD520">
        <v>0</v>
      </c>
      <c r="BE520">
        <v>8</v>
      </c>
      <c r="BF520">
        <v>17</v>
      </c>
      <c r="BG520">
        <v>9</v>
      </c>
      <c r="BH520">
        <v>0</v>
      </c>
      <c r="BI520">
        <v>0</v>
      </c>
      <c r="BJ520">
        <v>0</v>
      </c>
      <c r="BK520">
        <v>0</v>
      </c>
      <c r="BL520">
        <v>1004</v>
      </c>
      <c r="BM520">
        <v>0</v>
      </c>
      <c r="BN520">
        <v>1</v>
      </c>
      <c r="BO520">
        <v>0</v>
      </c>
      <c r="BP520">
        <v>4</v>
      </c>
      <c r="BQ520">
        <v>1</v>
      </c>
      <c r="BR520">
        <v>0</v>
      </c>
      <c r="BS520">
        <v>1</v>
      </c>
      <c r="BT520">
        <v>1</v>
      </c>
      <c r="BU520">
        <v>0</v>
      </c>
      <c r="BV520">
        <v>1</v>
      </c>
      <c r="BW520">
        <v>950</v>
      </c>
      <c r="BX520">
        <v>0</v>
      </c>
      <c r="BY520">
        <v>11</v>
      </c>
      <c r="BZ520">
        <v>7</v>
      </c>
      <c r="CA520">
        <v>4</v>
      </c>
      <c r="CB520">
        <v>7</v>
      </c>
      <c r="CC520">
        <v>3</v>
      </c>
      <c r="CD520">
        <v>2</v>
      </c>
      <c r="CE520">
        <v>1</v>
      </c>
      <c r="CF520">
        <v>18</v>
      </c>
      <c r="CG520">
        <v>0</v>
      </c>
      <c r="CH520">
        <v>826</v>
      </c>
      <c r="CI520">
        <v>14</v>
      </c>
      <c r="CJ520">
        <v>3</v>
      </c>
      <c r="CK520">
        <v>23</v>
      </c>
      <c r="CL520">
        <v>2</v>
      </c>
      <c r="CM520">
        <v>3</v>
      </c>
      <c r="CN520">
        <v>3</v>
      </c>
      <c r="CO520">
        <v>0</v>
      </c>
      <c r="CP520">
        <v>0</v>
      </c>
      <c r="CQ520">
        <v>1</v>
      </c>
      <c r="CR520">
        <v>0</v>
      </c>
      <c r="CS520">
        <v>947</v>
      </c>
      <c r="CT520">
        <v>0</v>
      </c>
      <c r="CU520">
        <v>4</v>
      </c>
      <c r="CV520">
        <v>0</v>
      </c>
      <c r="CW520">
        <v>0</v>
      </c>
      <c r="CX520">
        <v>5</v>
      </c>
      <c r="CY520">
        <v>1</v>
      </c>
      <c r="CZ520">
        <v>1</v>
      </c>
      <c r="DA520">
        <v>0</v>
      </c>
      <c r="DB520">
        <v>0</v>
      </c>
      <c r="DC520">
        <v>0</v>
      </c>
      <c r="DD520">
        <v>1020</v>
      </c>
      <c r="DE520">
        <v>1</v>
      </c>
      <c r="DF520">
        <v>0</v>
      </c>
      <c r="DG520">
        <v>1</v>
      </c>
      <c r="DH520">
        <v>0</v>
      </c>
      <c r="DI520">
        <v>1</v>
      </c>
      <c r="DJ520">
        <v>1</v>
      </c>
      <c r="DK520">
        <v>0</v>
      </c>
      <c r="DL520">
        <v>0</v>
      </c>
      <c r="DM520">
        <v>1</v>
      </c>
      <c r="DN520">
        <v>2</v>
      </c>
      <c r="DO520">
        <v>964</v>
      </c>
      <c r="DP520">
        <v>4</v>
      </c>
      <c r="DQ520">
        <v>3</v>
      </c>
      <c r="DR520">
        <v>4</v>
      </c>
      <c r="DS520">
        <v>0</v>
      </c>
      <c r="DT520">
        <v>9</v>
      </c>
      <c r="DU520">
        <v>5</v>
      </c>
      <c r="DV520">
        <v>4</v>
      </c>
      <c r="DW520">
        <v>1</v>
      </c>
      <c r="DX520">
        <v>26</v>
      </c>
      <c r="DY520">
        <v>5</v>
      </c>
      <c r="DZ520">
        <v>952</v>
      </c>
      <c r="EA520">
        <v>0.97389999999999999</v>
      </c>
      <c r="EB520">
        <v>0.97465394764673396</v>
      </c>
      <c r="EC520">
        <v>0.97325494914397903</v>
      </c>
      <c r="ED520">
        <v>0.97354133896899797</v>
      </c>
      <c r="EE520">
        <f>SUM(Table1[[#This Row],[ratio_0]:[ratio_9]])</f>
        <v>640</v>
      </c>
      <c r="EF520" s="1">
        <f>(Table1[[#This Row],[predicted_0]]-Table1[[#This Row],[actual_0]])/Table1[[#This Row],[actual_0]]</f>
        <v>9.1836734693877559E-3</v>
      </c>
      <c r="EG520" s="1">
        <f>(Table1[[#This Row],[predicted_1]]-Table1[[#This Row],[actual_1]])/Table1[[#This Row],[actual_1]]</f>
        <v>1.8502202643171806E-2</v>
      </c>
      <c r="EH520" s="1">
        <f>(Table1[[#This Row],[predicted_2]]-Table1[[#This Row],[actual_2]])/Table1[[#This Row],[actual_2]]</f>
        <v>-5.329457364341085E-2</v>
      </c>
      <c r="EI520" s="1">
        <f>(Table1[[#This Row],[predicted_3]]-Table1[[#This Row],[actual_3]])/Table1[[#This Row],[actual_3]]</f>
        <v>2.9702970297029702E-2</v>
      </c>
      <c r="EJ520" s="1">
        <f>(Table1[[#This Row],[predicted_4]]-Table1[[#This Row],[actual_4]])/Table1[[#This Row],[actual_4]]</f>
        <v>-2.4439918533604887E-2</v>
      </c>
      <c r="EK520" s="1">
        <f>(Table1[[#This Row],[predicted_5]]-Table1[[#This Row],[actual_5]])/Table1[[#This Row],[actual_5]]</f>
        <v>-6.838565022421525E-2</v>
      </c>
      <c r="EL520" s="1">
        <f>(Table1[[#This Row],[predicted_6]]-Table1[[#This Row],[actual_6]])/Table1[[#This Row],[actual_6]]</f>
        <v>3.1315240083507306E-2</v>
      </c>
      <c r="EM520" s="1">
        <f>(Table1[[#This Row],[predicted_7]]-Table1[[#This Row],[actual_7]])/Table1[[#This Row],[actual_7]]</f>
        <v>5.2529182879377433E-2</v>
      </c>
      <c r="EN520" s="1">
        <f>(Table1[[#This Row],[predicted_8]]-Table1[[#This Row],[actual_8]])/Table1[[#This Row],[actual_8]]</f>
        <v>4.1067761806981518E-2</v>
      </c>
      <c r="EO520" s="1">
        <f>(Table1[[#This Row],[predicted_9]]-Table1[[#This Row],[actual_9]])/Table1[[#This Row],[actual_9]]</f>
        <v>-4.3607532210109018E-2</v>
      </c>
      <c r="EP520" s="1">
        <f>1+(Table1[[#This Row],[error_ratio_0]]-EF$2)</f>
        <v>1.0071428571428571</v>
      </c>
      <c r="EQ520" s="1">
        <f>1+(Table1[[#This Row],[error_ratio_1]]-EG$2)</f>
        <v>1.0167400881057269</v>
      </c>
      <c r="ER520" s="1">
        <f>1+(Table1[[#This Row],[error_ratio_2]]-EH$2)</f>
        <v>0.95155038759689925</v>
      </c>
      <c r="ES520" s="1">
        <f>1+(Table1[[#This Row],[error_ratio_3]]-EI$2)</f>
        <v>1.0198019801980198</v>
      </c>
      <c r="ET520" s="1">
        <f>1+(Table1[[#This Row],[error_ratio_4]]-EJ$2)</f>
        <v>0.97454175152749489</v>
      </c>
      <c r="EU520" s="1">
        <f>1+(Table1[[#This Row],[error_ratio_5]]-EK$2)</f>
        <v>0.93049327354260092</v>
      </c>
      <c r="EV520" s="1">
        <f>1+(Table1[[#This Row],[error_ratio_6]]-EL$2)</f>
        <v>1.0375782881002087</v>
      </c>
      <c r="EW520" s="1">
        <f>1+(Table1[[#This Row],[error_ratio_7]]-EM$2)</f>
        <v>1.0505836575875487</v>
      </c>
      <c r="EX520" s="1">
        <f>1+(Table1[[#This Row],[error_ratio_8]]-EN$2)</f>
        <v>1.0441478439425051</v>
      </c>
      <c r="EY520" s="1">
        <f>1+(Table1[[#This Row],[error_ratio_9]]-EO$2)</f>
        <v>0.96035678889990095</v>
      </c>
    </row>
    <row r="521" spans="1:155" x14ac:dyDescent="0.75">
      <c r="A521">
        <v>10</v>
      </c>
      <c r="B521">
        <v>100</v>
      </c>
      <c r="C521">
        <v>10</v>
      </c>
      <c r="D521">
        <v>100</v>
      </c>
      <c r="E521">
        <v>10</v>
      </c>
      <c r="F521">
        <v>10</v>
      </c>
      <c r="G521">
        <v>100</v>
      </c>
      <c r="H521">
        <v>100</v>
      </c>
      <c r="I521">
        <v>100</v>
      </c>
      <c r="J521">
        <v>10</v>
      </c>
      <c r="K521">
        <v>977</v>
      </c>
      <c r="L521">
        <v>1154</v>
      </c>
      <c r="M521">
        <v>1000</v>
      </c>
      <c r="N521">
        <v>1096</v>
      </c>
      <c r="O521">
        <v>1003</v>
      </c>
      <c r="P521">
        <v>813</v>
      </c>
      <c r="Q521">
        <v>988</v>
      </c>
      <c r="R521">
        <v>1058</v>
      </c>
      <c r="S521">
        <v>990</v>
      </c>
      <c r="T521">
        <v>921</v>
      </c>
      <c r="U521">
        <v>980</v>
      </c>
      <c r="V521">
        <v>1135</v>
      </c>
      <c r="W521">
        <v>1032</v>
      </c>
      <c r="X521">
        <v>1010</v>
      </c>
      <c r="Y521">
        <v>982</v>
      </c>
      <c r="Z521">
        <v>892</v>
      </c>
      <c r="AA521">
        <v>958</v>
      </c>
      <c r="AB521">
        <v>1028</v>
      </c>
      <c r="AC521">
        <v>974</v>
      </c>
      <c r="AD521">
        <v>1009</v>
      </c>
      <c r="AE521">
        <v>956</v>
      </c>
      <c r="AF521">
        <v>1</v>
      </c>
      <c r="AG521">
        <v>0</v>
      </c>
      <c r="AH521">
        <v>1</v>
      </c>
      <c r="AI521">
        <v>2</v>
      </c>
      <c r="AJ521">
        <v>1</v>
      </c>
      <c r="AK521">
        <v>11</v>
      </c>
      <c r="AL521">
        <v>3</v>
      </c>
      <c r="AM521">
        <v>3</v>
      </c>
      <c r="AN521">
        <v>2</v>
      </c>
      <c r="AO521">
        <v>0</v>
      </c>
      <c r="AP521">
        <v>1133</v>
      </c>
      <c r="AQ521">
        <v>1</v>
      </c>
      <c r="AR521">
        <v>0</v>
      </c>
      <c r="AS521">
        <v>0</v>
      </c>
      <c r="AT521">
        <v>0</v>
      </c>
      <c r="AU521">
        <v>0</v>
      </c>
      <c r="AV521">
        <v>0</v>
      </c>
      <c r="AW521">
        <v>1</v>
      </c>
      <c r="AX521">
        <v>0</v>
      </c>
      <c r="AY521">
        <v>4</v>
      </c>
      <c r="AZ521">
        <v>7</v>
      </c>
      <c r="BA521">
        <v>993</v>
      </c>
      <c r="BB521">
        <v>6</v>
      </c>
      <c r="BC521">
        <v>4</v>
      </c>
      <c r="BD521">
        <v>0</v>
      </c>
      <c r="BE521">
        <v>8</v>
      </c>
      <c r="BF521">
        <v>10</v>
      </c>
      <c r="BG521">
        <v>0</v>
      </c>
      <c r="BH521">
        <v>0</v>
      </c>
      <c r="BI521">
        <v>1</v>
      </c>
      <c r="BJ521">
        <v>0</v>
      </c>
      <c r="BK521">
        <v>1</v>
      </c>
      <c r="BL521">
        <v>1008</v>
      </c>
      <c r="BM521">
        <v>0</v>
      </c>
      <c r="BN521">
        <v>0</v>
      </c>
      <c r="BO521">
        <v>0</v>
      </c>
      <c r="BP521">
        <v>0</v>
      </c>
      <c r="BQ521">
        <v>0</v>
      </c>
      <c r="BR521">
        <v>0</v>
      </c>
      <c r="BS521">
        <v>0</v>
      </c>
      <c r="BT521">
        <v>0</v>
      </c>
      <c r="BU521">
        <v>0</v>
      </c>
      <c r="BV521">
        <v>0</v>
      </c>
      <c r="BW521">
        <v>960</v>
      </c>
      <c r="BX521">
        <v>0</v>
      </c>
      <c r="BY521">
        <v>10</v>
      </c>
      <c r="BZ521">
        <v>3</v>
      </c>
      <c r="CA521">
        <v>3</v>
      </c>
      <c r="CB521">
        <v>6</v>
      </c>
      <c r="CC521">
        <v>2</v>
      </c>
      <c r="CD521">
        <v>1</v>
      </c>
      <c r="CE521">
        <v>0</v>
      </c>
      <c r="CF521">
        <v>54</v>
      </c>
      <c r="CG521">
        <v>0</v>
      </c>
      <c r="CH521">
        <v>809</v>
      </c>
      <c r="CI521">
        <v>8</v>
      </c>
      <c r="CJ521">
        <v>1</v>
      </c>
      <c r="CK521">
        <v>17</v>
      </c>
      <c r="CL521">
        <v>0</v>
      </c>
      <c r="CM521">
        <v>3</v>
      </c>
      <c r="CN521">
        <v>3</v>
      </c>
      <c r="CO521">
        <v>0</v>
      </c>
      <c r="CP521">
        <v>0</v>
      </c>
      <c r="CQ521">
        <v>1</v>
      </c>
      <c r="CR521">
        <v>1</v>
      </c>
      <c r="CS521">
        <v>948</v>
      </c>
      <c r="CT521">
        <v>0</v>
      </c>
      <c r="CU521">
        <v>2</v>
      </c>
      <c r="CV521">
        <v>0</v>
      </c>
      <c r="CW521">
        <v>1</v>
      </c>
      <c r="CX521">
        <v>3</v>
      </c>
      <c r="CY521">
        <v>2</v>
      </c>
      <c r="CZ521">
        <v>2</v>
      </c>
      <c r="DA521">
        <v>0</v>
      </c>
      <c r="DB521">
        <v>0</v>
      </c>
      <c r="DC521">
        <v>0</v>
      </c>
      <c r="DD521">
        <v>1017</v>
      </c>
      <c r="DE521">
        <v>2</v>
      </c>
      <c r="DF521">
        <v>1</v>
      </c>
      <c r="DG521">
        <v>6</v>
      </c>
      <c r="DH521">
        <v>0</v>
      </c>
      <c r="DI521">
        <v>3</v>
      </c>
      <c r="DJ521">
        <v>7</v>
      </c>
      <c r="DK521">
        <v>2</v>
      </c>
      <c r="DL521">
        <v>0</v>
      </c>
      <c r="DM521">
        <v>2</v>
      </c>
      <c r="DN521">
        <v>3</v>
      </c>
      <c r="DO521">
        <v>950</v>
      </c>
      <c r="DP521">
        <v>1</v>
      </c>
      <c r="DQ521">
        <v>4</v>
      </c>
      <c r="DR521">
        <v>6</v>
      </c>
      <c r="DS521">
        <v>0</v>
      </c>
      <c r="DT521">
        <v>18</v>
      </c>
      <c r="DU521">
        <v>34</v>
      </c>
      <c r="DV521">
        <v>2</v>
      </c>
      <c r="DW521">
        <v>1</v>
      </c>
      <c r="DX521">
        <v>21</v>
      </c>
      <c r="DY521">
        <v>12</v>
      </c>
      <c r="DZ521">
        <v>911</v>
      </c>
      <c r="EA521">
        <v>0.96850000000000003</v>
      </c>
      <c r="EB521">
        <v>0.96947246533619802</v>
      </c>
      <c r="EC521">
        <v>0.96756192810942399</v>
      </c>
      <c r="ED521">
        <v>0.96786458119770702</v>
      </c>
      <c r="EE521">
        <f>SUM(Table1[[#This Row],[ratio_0]:[ratio_9]])</f>
        <v>550</v>
      </c>
      <c r="EF521" s="1">
        <f>(Table1[[#This Row],[predicted_0]]-Table1[[#This Row],[actual_0]])/Table1[[#This Row],[actual_0]]</f>
        <v>-3.0612244897959182E-3</v>
      </c>
      <c r="EG521" s="1">
        <f>(Table1[[#This Row],[predicted_1]]-Table1[[#This Row],[actual_1]])/Table1[[#This Row],[actual_1]]</f>
        <v>1.6740088105726872E-2</v>
      </c>
      <c r="EH521" s="1">
        <f>(Table1[[#This Row],[predicted_2]]-Table1[[#This Row],[actual_2]])/Table1[[#This Row],[actual_2]]</f>
        <v>-3.1007751937984496E-2</v>
      </c>
      <c r="EI521" s="1">
        <f>(Table1[[#This Row],[predicted_3]]-Table1[[#This Row],[actual_3]])/Table1[[#This Row],[actual_3]]</f>
        <v>8.5148514851485155E-2</v>
      </c>
      <c r="EJ521" s="1">
        <f>(Table1[[#This Row],[predicted_4]]-Table1[[#This Row],[actual_4]])/Table1[[#This Row],[actual_4]]</f>
        <v>2.1384928716904276E-2</v>
      </c>
      <c r="EK521" s="1">
        <f>(Table1[[#This Row],[predicted_5]]-Table1[[#This Row],[actual_5]])/Table1[[#This Row],[actual_5]]</f>
        <v>-8.856502242152467E-2</v>
      </c>
      <c r="EL521" s="1">
        <f>(Table1[[#This Row],[predicted_6]]-Table1[[#This Row],[actual_6]])/Table1[[#This Row],[actual_6]]</f>
        <v>3.1315240083507306E-2</v>
      </c>
      <c r="EM521" s="1">
        <f>(Table1[[#This Row],[predicted_7]]-Table1[[#This Row],[actual_7]])/Table1[[#This Row],[actual_7]]</f>
        <v>2.9182879377431907E-2</v>
      </c>
      <c r="EN521" s="1">
        <f>(Table1[[#This Row],[predicted_8]]-Table1[[#This Row],[actual_8]])/Table1[[#This Row],[actual_8]]</f>
        <v>1.6427104722792608E-2</v>
      </c>
      <c r="EO521" s="1">
        <f>(Table1[[#This Row],[predicted_9]]-Table1[[#This Row],[actual_9]])/Table1[[#This Row],[actual_9]]</f>
        <v>-8.7215064420218036E-2</v>
      </c>
      <c r="EP521" s="1">
        <f>1+(Table1[[#This Row],[error_ratio_0]]-EF$2)</f>
        <v>0.99489795918367352</v>
      </c>
      <c r="EQ521" s="1">
        <f>1+(Table1[[#This Row],[error_ratio_1]]-EG$2)</f>
        <v>1.014977973568282</v>
      </c>
      <c r="ER521" s="1">
        <f>1+(Table1[[#This Row],[error_ratio_2]]-EH$2)</f>
        <v>0.97383720930232553</v>
      </c>
      <c r="ES521" s="1">
        <f>1+(Table1[[#This Row],[error_ratio_3]]-EI$2)</f>
        <v>1.0752475247524753</v>
      </c>
      <c r="ET521" s="1">
        <f>1+(Table1[[#This Row],[error_ratio_4]]-EJ$2)</f>
        <v>1.0203665987780042</v>
      </c>
      <c r="EU521" s="1">
        <f>1+(Table1[[#This Row],[error_ratio_5]]-EK$2)</f>
        <v>0.91031390134529144</v>
      </c>
      <c r="EV521" s="1">
        <f>1+(Table1[[#This Row],[error_ratio_6]]-EL$2)</f>
        <v>1.0375782881002087</v>
      </c>
      <c r="EW521" s="1">
        <f>1+(Table1[[#This Row],[error_ratio_7]]-EM$2)</f>
        <v>1.027237354085603</v>
      </c>
      <c r="EX521" s="1">
        <f>1+(Table1[[#This Row],[error_ratio_8]]-EN$2)</f>
        <v>1.0195071868583163</v>
      </c>
      <c r="EY521" s="1">
        <f>1+(Table1[[#This Row],[error_ratio_9]]-EO$2)</f>
        <v>0.9167492566897919</v>
      </c>
    </row>
    <row r="522" spans="1:155" x14ac:dyDescent="0.75">
      <c r="A522">
        <v>100</v>
      </c>
      <c r="B522">
        <v>10</v>
      </c>
      <c r="C522">
        <v>10</v>
      </c>
      <c r="D522">
        <v>100</v>
      </c>
      <c r="E522">
        <v>10</v>
      </c>
      <c r="F522">
        <v>10</v>
      </c>
      <c r="G522">
        <v>100</v>
      </c>
      <c r="H522">
        <v>100</v>
      </c>
      <c r="I522">
        <v>100</v>
      </c>
      <c r="J522">
        <v>10</v>
      </c>
      <c r="K522">
        <v>1010</v>
      </c>
      <c r="L522">
        <v>1123</v>
      </c>
      <c r="M522">
        <v>940</v>
      </c>
      <c r="N522">
        <v>1057</v>
      </c>
      <c r="O522">
        <v>909</v>
      </c>
      <c r="P522">
        <v>843</v>
      </c>
      <c r="Q522">
        <v>1005</v>
      </c>
      <c r="R522">
        <v>1102</v>
      </c>
      <c r="S522">
        <v>1033</v>
      </c>
      <c r="T522">
        <v>978</v>
      </c>
      <c r="U522">
        <v>980</v>
      </c>
      <c r="V522">
        <v>1135</v>
      </c>
      <c r="W522">
        <v>1032</v>
      </c>
      <c r="X522">
        <v>1010</v>
      </c>
      <c r="Y522">
        <v>982</v>
      </c>
      <c r="Z522">
        <v>892</v>
      </c>
      <c r="AA522">
        <v>958</v>
      </c>
      <c r="AB522">
        <v>1028</v>
      </c>
      <c r="AC522">
        <v>974</v>
      </c>
      <c r="AD522">
        <v>1009</v>
      </c>
      <c r="AE522">
        <v>974</v>
      </c>
      <c r="AF522">
        <v>0</v>
      </c>
      <c r="AG522">
        <v>0</v>
      </c>
      <c r="AH522">
        <v>0</v>
      </c>
      <c r="AI522">
        <v>0</v>
      </c>
      <c r="AJ522">
        <v>0</v>
      </c>
      <c r="AK522">
        <v>2</v>
      </c>
      <c r="AL522">
        <v>1</v>
      </c>
      <c r="AM522">
        <v>3</v>
      </c>
      <c r="AN522">
        <v>0</v>
      </c>
      <c r="AO522">
        <v>0</v>
      </c>
      <c r="AP522">
        <v>1112</v>
      </c>
      <c r="AQ522">
        <v>1</v>
      </c>
      <c r="AR522">
        <v>5</v>
      </c>
      <c r="AS522">
        <v>0</v>
      </c>
      <c r="AT522">
        <v>1</v>
      </c>
      <c r="AU522">
        <v>6</v>
      </c>
      <c r="AV522">
        <v>6</v>
      </c>
      <c r="AW522">
        <v>4</v>
      </c>
      <c r="AX522">
        <v>0</v>
      </c>
      <c r="AY522">
        <v>19</v>
      </c>
      <c r="AZ522">
        <v>1</v>
      </c>
      <c r="BA522">
        <v>934</v>
      </c>
      <c r="BB522">
        <v>10</v>
      </c>
      <c r="BC522">
        <v>7</v>
      </c>
      <c r="BD522">
        <v>0</v>
      </c>
      <c r="BE522">
        <v>16</v>
      </c>
      <c r="BF522">
        <v>20</v>
      </c>
      <c r="BG522">
        <v>25</v>
      </c>
      <c r="BH522">
        <v>0</v>
      </c>
      <c r="BI522">
        <v>0</v>
      </c>
      <c r="BJ522">
        <v>0</v>
      </c>
      <c r="BK522">
        <v>1</v>
      </c>
      <c r="BL522">
        <v>1004</v>
      </c>
      <c r="BM522">
        <v>0</v>
      </c>
      <c r="BN522">
        <v>1</v>
      </c>
      <c r="BO522">
        <v>0</v>
      </c>
      <c r="BP522">
        <v>2</v>
      </c>
      <c r="BQ522">
        <v>2</v>
      </c>
      <c r="BR522">
        <v>0</v>
      </c>
      <c r="BS522">
        <v>2</v>
      </c>
      <c r="BT522">
        <v>2</v>
      </c>
      <c r="BU522">
        <v>1</v>
      </c>
      <c r="BV522">
        <v>0</v>
      </c>
      <c r="BW522">
        <v>898</v>
      </c>
      <c r="BX522">
        <v>1</v>
      </c>
      <c r="BY522">
        <v>16</v>
      </c>
      <c r="BZ522">
        <v>20</v>
      </c>
      <c r="CA522">
        <v>6</v>
      </c>
      <c r="CB522">
        <v>36</v>
      </c>
      <c r="CC522">
        <v>5</v>
      </c>
      <c r="CD522">
        <v>0</v>
      </c>
      <c r="CE522">
        <v>0</v>
      </c>
      <c r="CF522">
        <v>27</v>
      </c>
      <c r="CG522">
        <v>0</v>
      </c>
      <c r="CH522">
        <v>838</v>
      </c>
      <c r="CI522">
        <v>12</v>
      </c>
      <c r="CJ522">
        <v>2</v>
      </c>
      <c r="CK522">
        <v>7</v>
      </c>
      <c r="CL522">
        <v>1</v>
      </c>
      <c r="CM522">
        <v>3</v>
      </c>
      <c r="CN522">
        <v>2</v>
      </c>
      <c r="CO522">
        <v>0</v>
      </c>
      <c r="CP522">
        <v>0</v>
      </c>
      <c r="CQ522">
        <v>0</v>
      </c>
      <c r="CR522">
        <v>0</v>
      </c>
      <c r="CS522">
        <v>951</v>
      </c>
      <c r="CT522">
        <v>0</v>
      </c>
      <c r="CU522">
        <v>0</v>
      </c>
      <c r="CV522">
        <v>2</v>
      </c>
      <c r="CW522">
        <v>1</v>
      </c>
      <c r="CX522">
        <v>1</v>
      </c>
      <c r="CY522">
        <v>3</v>
      </c>
      <c r="CZ522">
        <v>0</v>
      </c>
      <c r="DA522">
        <v>0</v>
      </c>
      <c r="DB522">
        <v>0</v>
      </c>
      <c r="DC522">
        <v>0</v>
      </c>
      <c r="DD522">
        <v>1021</v>
      </c>
      <c r="DE522">
        <v>2</v>
      </c>
      <c r="DF522">
        <v>0</v>
      </c>
      <c r="DG522">
        <v>0</v>
      </c>
      <c r="DH522">
        <v>0</v>
      </c>
      <c r="DI522">
        <v>0</v>
      </c>
      <c r="DJ522">
        <v>0</v>
      </c>
      <c r="DK522">
        <v>0</v>
      </c>
      <c r="DL522">
        <v>0</v>
      </c>
      <c r="DM522">
        <v>0</v>
      </c>
      <c r="DN522">
        <v>3</v>
      </c>
      <c r="DO522">
        <v>969</v>
      </c>
      <c r="DP522">
        <v>2</v>
      </c>
      <c r="DQ522">
        <v>6</v>
      </c>
      <c r="DR522">
        <v>5</v>
      </c>
      <c r="DS522">
        <v>0</v>
      </c>
      <c r="DT522">
        <v>11</v>
      </c>
      <c r="DU522">
        <v>4</v>
      </c>
      <c r="DV522">
        <v>2</v>
      </c>
      <c r="DW522">
        <v>2</v>
      </c>
      <c r="DX522">
        <v>27</v>
      </c>
      <c r="DY522">
        <v>15</v>
      </c>
      <c r="DZ522">
        <v>937</v>
      </c>
      <c r="EA522">
        <v>0.96379999999999999</v>
      </c>
      <c r="EB522">
        <v>0.96488921206751199</v>
      </c>
      <c r="EC522">
        <v>0.96360260899304895</v>
      </c>
      <c r="ED522">
        <v>0.96346722830324405</v>
      </c>
      <c r="EE522">
        <f>SUM(Table1[[#This Row],[ratio_0]:[ratio_9]])</f>
        <v>550</v>
      </c>
      <c r="EF522" s="1">
        <f>(Table1[[#This Row],[predicted_0]]-Table1[[#This Row],[actual_0]])/Table1[[#This Row],[actual_0]]</f>
        <v>3.0612244897959183E-2</v>
      </c>
      <c r="EG522" s="1">
        <f>(Table1[[#This Row],[predicted_1]]-Table1[[#This Row],[actual_1]])/Table1[[#This Row],[actual_1]]</f>
        <v>-1.0572687224669603E-2</v>
      </c>
      <c r="EH522" s="1">
        <f>(Table1[[#This Row],[predicted_2]]-Table1[[#This Row],[actual_2]])/Table1[[#This Row],[actual_2]]</f>
        <v>-8.9147286821705432E-2</v>
      </c>
      <c r="EI522" s="1">
        <f>(Table1[[#This Row],[predicted_3]]-Table1[[#This Row],[actual_3]])/Table1[[#This Row],[actual_3]]</f>
        <v>4.6534653465346534E-2</v>
      </c>
      <c r="EJ522" s="1">
        <f>(Table1[[#This Row],[predicted_4]]-Table1[[#This Row],[actual_4]])/Table1[[#This Row],[actual_4]]</f>
        <v>-7.4338085539714868E-2</v>
      </c>
      <c r="EK522" s="1">
        <f>(Table1[[#This Row],[predicted_5]]-Table1[[#This Row],[actual_5]])/Table1[[#This Row],[actual_5]]</f>
        <v>-5.4932735426008968E-2</v>
      </c>
      <c r="EL522" s="1">
        <f>(Table1[[#This Row],[predicted_6]]-Table1[[#This Row],[actual_6]])/Table1[[#This Row],[actual_6]]</f>
        <v>4.9060542797494784E-2</v>
      </c>
      <c r="EM522" s="1">
        <f>(Table1[[#This Row],[predicted_7]]-Table1[[#This Row],[actual_7]])/Table1[[#This Row],[actual_7]]</f>
        <v>7.1984435797665364E-2</v>
      </c>
      <c r="EN522" s="1">
        <f>(Table1[[#This Row],[predicted_8]]-Table1[[#This Row],[actual_8]])/Table1[[#This Row],[actual_8]]</f>
        <v>6.0574948665297744E-2</v>
      </c>
      <c r="EO522" s="1">
        <f>(Table1[[#This Row],[predicted_9]]-Table1[[#This Row],[actual_9]])/Table1[[#This Row],[actual_9]]</f>
        <v>-3.0723488602576808E-2</v>
      </c>
      <c r="EP522" s="1">
        <f>1+(Table1[[#This Row],[error_ratio_0]]-EF$2)</f>
        <v>1.0285714285714285</v>
      </c>
      <c r="EQ522" s="1">
        <f>1+(Table1[[#This Row],[error_ratio_1]]-EG$2)</f>
        <v>0.98766519823788546</v>
      </c>
      <c r="ER522" s="1">
        <f>1+(Table1[[#This Row],[error_ratio_2]]-EH$2)</f>
        <v>0.91569767441860461</v>
      </c>
      <c r="ES522" s="1">
        <f>1+(Table1[[#This Row],[error_ratio_3]]-EI$2)</f>
        <v>1.0366336633663367</v>
      </c>
      <c r="ET522" s="1">
        <f>1+(Table1[[#This Row],[error_ratio_4]]-EJ$2)</f>
        <v>0.92464358452138495</v>
      </c>
      <c r="EU522" s="1">
        <f>1+(Table1[[#This Row],[error_ratio_5]]-EK$2)</f>
        <v>0.94394618834080712</v>
      </c>
      <c r="EV522" s="1">
        <f>1+(Table1[[#This Row],[error_ratio_6]]-EL$2)</f>
        <v>1.0553235908141962</v>
      </c>
      <c r="EW522" s="1">
        <f>1+(Table1[[#This Row],[error_ratio_7]]-EM$2)</f>
        <v>1.0700389105058365</v>
      </c>
      <c r="EX522" s="1">
        <f>1+(Table1[[#This Row],[error_ratio_8]]-EN$2)</f>
        <v>1.0636550308008212</v>
      </c>
      <c r="EY522" s="1">
        <f>1+(Table1[[#This Row],[error_ratio_9]]-EO$2)</f>
        <v>0.9732408325074331</v>
      </c>
    </row>
    <row r="523" spans="1:155" x14ac:dyDescent="0.75">
      <c r="A523">
        <v>10</v>
      </c>
      <c r="B523">
        <v>10</v>
      </c>
      <c r="C523">
        <v>10</v>
      </c>
      <c r="D523">
        <v>100</v>
      </c>
      <c r="E523">
        <v>10</v>
      </c>
      <c r="F523">
        <v>10</v>
      </c>
      <c r="G523">
        <v>100</v>
      </c>
      <c r="H523">
        <v>100</v>
      </c>
      <c r="I523">
        <v>100</v>
      </c>
      <c r="J523">
        <v>10</v>
      </c>
      <c r="K523">
        <v>950</v>
      </c>
      <c r="L523">
        <v>1124</v>
      </c>
      <c r="M523">
        <v>933</v>
      </c>
      <c r="N523">
        <v>1031</v>
      </c>
      <c r="O523">
        <v>885</v>
      </c>
      <c r="P523">
        <v>881</v>
      </c>
      <c r="Q523">
        <v>1024</v>
      </c>
      <c r="R523">
        <v>1108</v>
      </c>
      <c r="S523">
        <v>1050</v>
      </c>
      <c r="T523">
        <v>1014</v>
      </c>
      <c r="U523">
        <v>980</v>
      </c>
      <c r="V523">
        <v>1135</v>
      </c>
      <c r="W523">
        <v>1032</v>
      </c>
      <c r="X523">
        <v>1010</v>
      </c>
      <c r="Y523">
        <v>982</v>
      </c>
      <c r="Z523">
        <v>892</v>
      </c>
      <c r="AA523">
        <v>958</v>
      </c>
      <c r="AB523">
        <v>1028</v>
      </c>
      <c r="AC523">
        <v>974</v>
      </c>
      <c r="AD523">
        <v>1009</v>
      </c>
      <c r="AE523">
        <v>939</v>
      </c>
      <c r="AF523">
        <v>0</v>
      </c>
      <c r="AG523">
        <v>0</v>
      </c>
      <c r="AH523">
        <v>0</v>
      </c>
      <c r="AI523">
        <v>0</v>
      </c>
      <c r="AJ523">
        <v>2</v>
      </c>
      <c r="AK523">
        <v>27</v>
      </c>
      <c r="AL523">
        <v>1</v>
      </c>
      <c r="AM523">
        <v>6</v>
      </c>
      <c r="AN523">
        <v>5</v>
      </c>
      <c r="AO523">
        <v>0</v>
      </c>
      <c r="AP523">
        <v>1103</v>
      </c>
      <c r="AQ523">
        <v>2</v>
      </c>
      <c r="AR523">
        <v>6</v>
      </c>
      <c r="AS523">
        <v>0</v>
      </c>
      <c r="AT523">
        <v>3</v>
      </c>
      <c r="AU523">
        <v>1</v>
      </c>
      <c r="AV523">
        <v>12</v>
      </c>
      <c r="AW523">
        <v>8</v>
      </c>
      <c r="AX523">
        <v>0</v>
      </c>
      <c r="AY523">
        <v>5</v>
      </c>
      <c r="AZ523">
        <v>18</v>
      </c>
      <c r="BA523">
        <v>916</v>
      </c>
      <c r="BB523">
        <v>6</v>
      </c>
      <c r="BC523">
        <v>0</v>
      </c>
      <c r="BD523">
        <v>2</v>
      </c>
      <c r="BE523">
        <v>7</v>
      </c>
      <c r="BF523">
        <v>42</v>
      </c>
      <c r="BG523">
        <v>36</v>
      </c>
      <c r="BH523">
        <v>0</v>
      </c>
      <c r="BI523">
        <v>0</v>
      </c>
      <c r="BJ523">
        <v>0</v>
      </c>
      <c r="BK523">
        <v>1</v>
      </c>
      <c r="BL523">
        <v>1001</v>
      </c>
      <c r="BM523">
        <v>0</v>
      </c>
      <c r="BN523">
        <v>4</v>
      </c>
      <c r="BO523">
        <v>0</v>
      </c>
      <c r="BP523">
        <v>2</v>
      </c>
      <c r="BQ523">
        <v>2</v>
      </c>
      <c r="BR523">
        <v>0</v>
      </c>
      <c r="BS523">
        <v>0</v>
      </c>
      <c r="BT523">
        <v>0</v>
      </c>
      <c r="BU523">
        <v>9</v>
      </c>
      <c r="BV523">
        <v>0</v>
      </c>
      <c r="BW523">
        <v>884</v>
      </c>
      <c r="BX523">
        <v>0</v>
      </c>
      <c r="BY523">
        <v>22</v>
      </c>
      <c r="BZ523">
        <v>15</v>
      </c>
      <c r="CA523">
        <v>13</v>
      </c>
      <c r="CB523">
        <v>39</v>
      </c>
      <c r="CC523">
        <v>2</v>
      </c>
      <c r="CD523">
        <v>0</v>
      </c>
      <c r="CE523">
        <v>0</v>
      </c>
      <c r="CF523">
        <v>8</v>
      </c>
      <c r="CG523">
        <v>0</v>
      </c>
      <c r="CH523">
        <v>861</v>
      </c>
      <c r="CI523">
        <v>11</v>
      </c>
      <c r="CJ523">
        <v>0</v>
      </c>
      <c r="CK523">
        <v>7</v>
      </c>
      <c r="CL523">
        <v>3</v>
      </c>
      <c r="CM523">
        <v>1</v>
      </c>
      <c r="CN523">
        <v>2</v>
      </c>
      <c r="CO523">
        <v>0</v>
      </c>
      <c r="CP523">
        <v>0</v>
      </c>
      <c r="CQ523">
        <v>1</v>
      </c>
      <c r="CR523">
        <v>1</v>
      </c>
      <c r="CS523">
        <v>952</v>
      </c>
      <c r="CT523">
        <v>0</v>
      </c>
      <c r="CU523">
        <v>1</v>
      </c>
      <c r="CV523">
        <v>0</v>
      </c>
      <c r="CW523">
        <v>1</v>
      </c>
      <c r="CX523">
        <v>0</v>
      </c>
      <c r="CY523">
        <v>5</v>
      </c>
      <c r="CZ523">
        <v>0</v>
      </c>
      <c r="DA523">
        <v>0</v>
      </c>
      <c r="DB523">
        <v>0</v>
      </c>
      <c r="DC523">
        <v>0</v>
      </c>
      <c r="DD523">
        <v>1021</v>
      </c>
      <c r="DE523">
        <v>1</v>
      </c>
      <c r="DF523">
        <v>0</v>
      </c>
      <c r="DG523">
        <v>0</v>
      </c>
      <c r="DH523">
        <v>0</v>
      </c>
      <c r="DI523">
        <v>0</v>
      </c>
      <c r="DJ523">
        <v>0</v>
      </c>
      <c r="DK523">
        <v>0</v>
      </c>
      <c r="DL523">
        <v>0</v>
      </c>
      <c r="DM523">
        <v>1</v>
      </c>
      <c r="DN523">
        <v>2</v>
      </c>
      <c r="DO523">
        <v>965</v>
      </c>
      <c r="DP523">
        <v>6</v>
      </c>
      <c r="DQ523">
        <v>2</v>
      </c>
      <c r="DR523">
        <v>1</v>
      </c>
      <c r="DS523">
        <v>0</v>
      </c>
      <c r="DT523">
        <v>10</v>
      </c>
      <c r="DU523">
        <v>0</v>
      </c>
      <c r="DV523">
        <v>8</v>
      </c>
      <c r="DW523">
        <v>3</v>
      </c>
      <c r="DX523">
        <v>13</v>
      </c>
      <c r="DY523">
        <v>11</v>
      </c>
      <c r="DZ523">
        <v>961</v>
      </c>
      <c r="EA523">
        <v>0.96030000000000004</v>
      </c>
      <c r="EB523">
        <v>0.961653462210451</v>
      </c>
      <c r="EC523">
        <v>0.96042212573369901</v>
      </c>
      <c r="ED523">
        <v>0.96012812579768503</v>
      </c>
      <c r="EE523">
        <f>SUM(Table1[[#This Row],[ratio_0]:[ratio_9]])</f>
        <v>460</v>
      </c>
      <c r="EF523" s="1">
        <f>(Table1[[#This Row],[predicted_0]]-Table1[[#This Row],[actual_0]])/Table1[[#This Row],[actual_0]]</f>
        <v>-3.0612244897959183E-2</v>
      </c>
      <c r="EG523" s="1">
        <f>(Table1[[#This Row],[predicted_1]]-Table1[[#This Row],[actual_1]])/Table1[[#This Row],[actual_1]]</f>
        <v>-9.6916299559471359E-3</v>
      </c>
      <c r="EH523" s="1">
        <f>(Table1[[#This Row],[predicted_2]]-Table1[[#This Row],[actual_2]])/Table1[[#This Row],[actual_2]]</f>
        <v>-9.5930232558139539E-2</v>
      </c>
      <c r="EI523" s="1">
        <f>(Table1[[#This Row],[predicted_3]]-Table1[[#This Row],[actual_3]])/Table1[[#This Row],[actual_3]]</f>
        <v>2.0792079207920793E-2</v>
      </c>
      <c r="EJ523" s="1">
        <f>(Table1[[#This Row],[predicted_4]]-Table1[[#This Row],[actual_4]])/Table1[[#This Row],[actual_4]]</f>
        <v>-9.8778004073319756E-2</v>
      </c>
      <c r="EK523" s="1">
        <f>(Table1[[#This Row],[predicted_5]]-Table1[[#This Row],[actual_5]])/Table1[[#This Row],[actual_5]]</f>
        <v>-1.2331838565022421E-2</v>
      </c>
      <c r="EL523" s="1">
        <f>(Table1[[#This Row],[predicted_6]]-Table1[[#This Row],[actual_6]])/Table1[[#This Row],[actual_6]]</f>
        <v>6.889352818371608E-2</v>
      </c>
      <c r="EM523" s="1">
        <f>(Table1[[#This Row],[predicted_7]]-Table1[[#This Row],[actual_7]])/Table1[[#This Row],[actual_7]]</f>
        <v>7.7821011673151752E-2</v>
      </c>
      <c r="EN523" s="1">
        <f>(Table1[[#This Row],[predicted_8]]-Table1[[#This Row],[actual_8]])/Table1[[#This Row],[actual_8]]</f>
        <v>7.8028747433264892E-2</v>
      </c>
      <c r="EO523" s="1">
        <f>(Table1[[#This Row],[predicted_9]]-Table1[[#This Row],[actual_9]])/Table1[[#This Row],[actual_9]]</f>
        <v>4.9554013875123884E-3</v>
      </c>
      <c r="EP523" s="1">
        <f>1+(Table1[[#This Row],[error_ratio_0]]-EF$2)</f>
        <v>0.96734693877551026</v>
      </c>
      <c r="EQ523" s="1">
        <f>1+(Table1[[#This Row],[error_ratio_1]]-EG$2)</f>
        <v>0.98854625550660791</v>
      </c>
      <c r="ER523" s="1">
        <f>1+(Table1[[#This Row],[error_ratio_2]]-EH$2)</f>
        <v>0.90891472868217049</v>
      </c>
      <c r="ES523" s="1">
        <f>1+(Table1[[#This Row],[error_ratio_3]]-EI$2)</f>
        <v>1.0108910891089109</v>
      </c>
      <c r="ET523" s="1">
        <f>1+(Table1[[#This Row],[error_ratio_4]]-EJ$2)</f>
        <v>0.90020366598778001</v>
      </c>
      <c r="EU523" s="1">
        <f>1+(Table1[[#This Row],[error_ratio_5]]-EK$2)</f>
        <v>0.98654708520179368</v>
      </c>
      <c r="EV523" s="1">
        <f>1+(Table1[[#This Row],[error_ratio_6]]-EL$2)</f>
        <v>1.0751565762004176</v>
      </c>
      <c r="EW523" s="1">
        <f>1+(Table1[[#This Row],[error_ratio_7]]-EM$2)</f>
        <v>1.0758754863813229</v>
      </c>
      <c r="EX523" s="1">
        <f>1+(Table1[[#This Row],[error_ratio_8]]-EN$2)</f>
        <v>1.0811088295687885</v>
      </c>
      <c r="EY523" s="1">
        <f>1+(Table1[[#This Row],[error_ratio_9]]-EO$2)</f>
        <v>1.0089197224975224</v>
      </c>
    </row>
    <row r="524" spans="1:155" x14ac:dyDescent="0.75">
      <c r="A524">
        <v>100</v>
      </c>
      <c r="B524">
        <v>100</v>
      </c>
      <c r="C524">
        <v>100</v>
      </c>
      <c r="D524">
        <v>10</v>
      </c>
      <c r="E524">
        <v>10</v>
      </c>
      <c r="F524">
        <v>10</v>
      </c>
      <c r="G524">
        <v>100</v>
      </c>
      <c r="H524">
        <v>100</v>
      </c>
      <c r="I524">
        <v>100</v>
      </c>
      <c r="J524">
        <v>10</v>
      </c>
      <c r="K524">
        <v>1004</v>
      </c>
      <c r="L524">
        <v>1152</v>
      </c>
      <c r="M524">
        <v>1050</v>
      </c>
      <c r="N524">
        <v>964</v>
      </c>
      <c r="O524">
        <v>933</v>
      </c>
      <c r="P524">
        <v>901</v>
      </c>
      <c r="Q524">
        <v>983</v>
      </c>
      <c r="R524">
        <v>1050</v>
      </c>
      <c r="S524">
        <v>992</v>
      </c>
      <c r="T524">
        <v>971</v>
      </c>
      <c r="U524">
        <v>980</v>
      </c>
      <c r="V524">
        <v>1135</v>
      </c>
      <c r="W524">
        <v>1032</v>
      </c>
      <c r="X524">
        <v>1010</v>
      </c>
      <c r="Y524">
        <v>982</v>
      </c>
      <c r="Z524">
        <v>892</v>
      </c>
      <c r="AA524">
        <v>958</v>
      </c>
      <c r="AB524">
        <v>1028</v>
      </c>
      <c r="AC524">
        <v>974</v>
      </c>
      <c r="AD524">
        <v>1009</v>
      </c>
      <c r="AE524">
        <v>975</v>
      </c>
      <c r="AF524">
        <v>1</v>
      </c>
      <c r="AG524">
        <v>1</v>
      </c>
      <c r="AH524">
        <v>0</v>
      </c>
      <c r="AI524">
        <v>0</v>
      </c>
      <c r="AJ524">
        <v>0</v>
      </c>
      <c r="AK524">
        <v>2</v>
      </c>
      <c r="AL524">
        <v>1</v>
      </c>
      <c r="AM524">
        <v>0</v>
      </c>
      <c r="AN524">
        <v>0</v>
      </c>
      <c r="AO524">
        <v>0</v>
      </c>
      <c r="AP524">
        <v>1134</v>
      </c>
      <c r="AQ524">
        <v>0</v>
      </c>
      <c r="AR524">
        <v>1</v>
      </c>
      <c r="AS524">
        <v>0</v>
      </c>
      <c r="AT524">
        <v>0</v>
      </c>
      <c r="AU524">
        <v>0</v>
      </c>
      <c r="AV524">
        <v>0</v>
      </c>
      <c r="AW524">
        <v>0</v>
      </c>
      <c r="AX524">
        <v>0</v>
      </c>
      <c r="AY524">
        <v>1</v>
      </c>
      <c r="AZ524">
        <v>2</v>
      </c>
      <c r="BA524">
        <v>1021</v>
      </c>
      <c r="BB524">
        <v>0</v>
      </c>
      <c r="BC524">
        <v>0</v>
      </c>
      <c r="BD524">
        <v>0</v>
      </c>
      <c r="BE524">
        <v>1</v>
      </c>
      <c r="BF524">
        <v>4</v>
      </c>
      <c r="BG524">
        <v>3</v>
      </c>
      <c r="BH524">
        <v>0</v>
      </c>
      <c r="BI524">
        <v>1</v>
      </c>
      <c r="BJ524">
        <v>0</v>
      </c>
      <c r="BK524">
        <v>12</v>
      </c>
      <c r="BL524">
        <v>954</v>
      </c>
      <c r="BM524">
        <v>0</v>
      </c>
      <c r="BN524">
        <v>22</v>
      </c>
      <c r="BO524">
        <v>0</v>
      </c>
      <c r="BP524">
        <v>8</v>
      </c>
      <c r="BQ524">
        <v>12</v>
      </c>
      <c r="BR524">
        <v>1</v>
      </c>
      <c r="BS524">
        <v>3</v>
      </c>
      <c r="BT524">
        <v>2</v>
      </c>
      <c r="BU524">
        <v>4</v>
      </c>
      <c r="BV524">
        <v>0</v>
      </c>
      <c r="BW524">
        <v>927</v>
      </c>
      <c r="BX524">
        <v>0</v>
      </c>
      <c r="BY524">
        <v>20</v>
      </c>
      <c r="BZ524">
        <v>5</v>
      </c>
      <c r="CA524">
        <v>2</v>
      </c>
      <c r="CB524">
        <v>19</v>
      </c>
      <c r="CC524">
        <v>7</v>
      </c>
      <c r="CD524">
        <v>1</v>
      </c>
      <c r="CE524">
        <v>1</v>
      </c>
      <c r="CF524">
        <v>3</v>
      </c>
      <c r="CG524">
        <v>0</v>
      </c>
      <c r="CH524">
        <v>860</v>
      </c>
      <c r="CI524">
        <v>11</v>
      </c>
      <c r="CJ524">
        <v>2</v>
      </c>
      <c r="CK524">
        <v>4</v>
      </c>
      <c r="CL524">
        <v>3</v>
      </c>
      <c r="CM524">
        <v>6</v>
      </c>
      <c r="CN524">
        <v>3</v>
      </c>
      <c r="CO524">
        <v>1</v>
      </c>
      <c r="CP524">
        <v>0</v>
      </c>
      <c r="CQ524">
        <v>1</v>
      </c>
      <c r="CR524">
        <v>1</v>
      </c>
      <c r="CS524">
        <v>945</v>
      </c>
      <c r="CT524">
        <v>0</v>
      </c>
      <c r="CU524">
        <v>1</v>
      </c>
      <c r="CV524">
        <v>0</v>
      </c>
      <c r="CW524">
        <v>0</v>
      </c>
      <c r="CX524">
        <v>4</v>
      </c>
      <c r="CY524">
        <v>6</v>
      </c>
      <c r="CZ524">
        <v>0</v>
      </c>
      <c r="DA524">
        <v>0</v>
      </c>
      <c r="DB524">
        <v>0</v>
      </c>
      <c r="DC524">
        <v>0</v>
      </c>
      <c r="DD524">
        <v>1016</v>
      </c>
      <c r="DE524">
        <v>1</v>
      </c>
      <c r="DF524">
        <v>1</v>
      </c>
      <c r="DG524">
        <v>5</v>
      </c>
      <c r="DH524">
        <v>0</v>
      </c>
      <c r="DI524">
        <v>3</v>
      </c>
      <c r="DJ524">
        <v>0</v>
      </c>
      <c r="DK524">
        <v>0</v>
      </c>
      <c r="DL524">
        <v>0</v>
      </c>
      <c r="DM524">
        <v>2</v>
      </c>
      <c r="DN524">
        <v>1</v>
      </c>
      <c r="DO524">
        <v>963</v>
      </c>
      <c r="DP524">
        <v>0</v>
      </c>
      <c r="DQ524">
        <v>6</v>
      </c>
      <c r="DR524">
        <v>5</v>
      </c>
      <c r="DS524">
        <v>1</v>
      </c>
      <c r="DT524">
        <v>6</v>
      </c>
      <c r="DU524">
        <v>5</v>
      </c>
      <c r="DV524">
        <v>18</v>
      </c>
      <c r="DW524">
        <v>2</v>
      </c>
      <c r="DX524">
        <v>13</v>
      </c>
      <c r="DY524">
        <v>6</v>
      </c>
      <c r="DZ524">
        <v>947</v>
      </c>
      <c r="EA524">
        <v>0.97419999999999995</v>
      </c>
      <c r="EB524">
        <v>0.97405734015392498</v>
      </c>
      <c r="EC524">
        <v>0.97380461557078501</v>
      </c>
      <c r="ED524">
        <v>0.97371484476245196</v>
      </c>
      <c r="EE524">
        <f>SUM(Table1[[#This Row],[ratio_0]:[ratio_9]])</f>
        <v>640</v>
      </c>
      <c r="EF524" s="1">
        <f>(Table1[[#This Row],[predicted_0]]-Table1[[#This Row],[actual_0]])/Table1[[#This Row],[actual_0]]</f>
        <v>2.4489795918367346E-2</v>
      </c>
      <c r="EG524" s="1">
        <f>(Table1[[#This Row],[predicted_1]]-Table1[[#This Row],[actual_1]])/Table1[[#This Row],[actual_1]]</f>
        <v>1.4977973568281937E-2</v>
      </c>
      <c r="EH524" s="1">
        <f>(Table1[[#This Row],[predicted_2]]-Table1[[#This Row],[actual_2]])/Table1[[#This Row],[actual_2]]</f>
        <v>1.7441860465116279E-2</v>
      </c>
      <c r="EI524" s="1">
        <f>(Table1[[#This Row],[predicted_3]]-Table1[[#This Row],[actual_3]])/Table1[[#This Row],[actual_3]]</f>
        <v>-4.5544554455445543E-2</v>
      </c>
      <c r="EJ524" s="1">
        <f>(Table1[[#This Row],[predicted_4]]-Table1[[#This Row],[actual_4]])/Table1[[#This Row],[actual_4]]</f>
        <v>-4.9898167006109981E-2</v>
      </c>
      <c r="EK524" s="1">
        <f>(Table1[[#This Row],[predicted_5]]-Table1[[#This Row],[actual_5]])/Table1[[#This Row],[actual_5]]</f>
        <v>1.0089686098654708E-2</v>
      </c>
      <c r="EL524" s="1">
        <f>(Table1[[#This Row],[predicted_6]]-Table1[[#This Row],[actual_6]])/Table1[[#This Row],[actual_6]]</f>
        <v>2.6096033402922755E-2</v>
      </c>
      <c r="EM524" s="1">
        <f>(Table1[[#This Row],[predicted_7]]-Table1[[#This Row],[actual_7]])/Table1[[#This Row],[actual_7]]</f>
        <v>2.1400778210116732E-2</v>
      </c>
      <c r="EN524" s="1">
        <f>(Table1[[#This Row],[predicted_8]]-Table1[[#This Row],[actual_8]])/Table1[[#This Row],[actual_8]]</f>
        <v>1.8480492813141684E-2</v>
      </c>
      <c r="EO524" s="1">
        <f>(Table1[[#This Row],[predicted_9]]-Table1[[#This Row],[actual_9]])/Table1[[#This Row],[actual_9]]</f>
        <v>-3.7661050545094152E-2</v>
      </c>
      <c r="EP524" s="1">
        <f>1+(Table1[[#This Row],[error_ratio_0]]-EF$2)</f>
        <v>1.0224489795918368</v>
      </c>
      <c r="EQ524" s="1">
        <f>1+(Table1[[#This Row],[error_ratio_1]]-EG$2)</f>
        <v>1.0132158590308371</v>
      </c>
      <c r="ER524" s="1">
        <f>1+(Table1[[#This Row],[error_ratio_2]]-EH$2)</f>
        <v>1.0222868217054264</v>
      </c>
      <c r="ES524" s="1">
        <f>1+(Table1[[#This Row],[error_ratio_3]]-EI$2)</f>
        <v>0.94455445544554451</v>
      </c>
      <c r="ET524" s="1">
        <f>1+(Table1[[#This Row],[error_ratio_4]]-EJ$2)</f>
        <v>0.94908350305498979</v>
      </c>
      <c r="EU524" s="1">
        <f>1+(Table1[[#This Row],[error_ratio_5]]-EK$2)</f>
        <v>1.0089686098654709</v>
      </c>
      <c r="EV524" s="1">
        <f>1+(Table1[[#This Row],[error_ratio_6]]-EL$2)</f>
        <v>1.0323590814196242</v>
      </c>
      <c r="EW524" s="1">
        <f>1+(Table1[[#This Row],[error_ratio_7]]-EM$2)</f>
        <v>1.0194552529182879</v>
      </c>
      <c r="EX524" s="1">
        <f>1+(Table1[[#This Row],[error_ratio_8]]-EN$2)</f>
        <v>1.0215605749486654</v>
      </c>
      <c r="EY524" s="1">
        <f>1+(Table1[[#This Row],[error_ratio_9]]-EO$2)</f>
        <v>0.96630327056491572</v>
      </c>
    </row>
    <row r="525" spans="1:155" x14ac:dyDescent="0.75">
      <c r="A525">
        <v>10</v>
      </c>
      <c r="B525">
        <v>100</v>
      </c>
      <c r="C525">
        <v>100</v>
      </c>
      <c r="D525">
        <v>10</v>
      </c>
      <c r="E525">
        <v>10</v>
      </c>
      <c r="F525">
        <v>10</v>
      </c>
      <c r="G525">
        <v>100</v>
      </c>
      <c r="H525">
        <v>100</v>
      </c>
      <c r="I525">
        <v>100</v>
      </c>
      <c r="J525">
        <v>10</v>
      </c>
      <c r="K525">
        <v>954</v>
      </c>
      <c r="L525">
        <v>1163</v>
      </c>
      <c r="M525">
        <v>1087</v>
      </c>
      <c r="N525">
        <v>840</v>
      </c>
      <c r="O525">
        <v>893</v>
      </c>
      <c r="P525">
        <v>934</v>
      </c>
      <c r="Q525">
        <v>972</v>
      </c>
      <c r="R525">
        <v>1319</v>
      </c>
      <c r="S525">
        <v>1031</v>
      </c>
      <c r="T525">
        <v>807</v>
      </c>
      <c r="U525">
        <v>980</v>
      </c>
      <c r="V525">
        <v>1135</v>
      </c>
      <c r="W525">
        <v>1032</v>
      </c>
      <c r="X525">
        <v>1010</v>
      </c>
      <c r="Y525">
        <v>982</v>
      </c>
      <c r="Z525">
        <v>892</v>
      </c>
      <c r="AA525">
        <v>958</v>
      </c>
      <c r="AB525">
        <v>1028</v>
      </c>
      <c r="AC525">
        <v>974</v>
      </c>
      <c r="AD525">
        <v>1009</v>
      </c>
      <c r="AE525">
        <v>941</v>
      </c>
      <c r="AF525">
        <v>2</v>
      </c>
      <c r="AG525">
        <v>17</v>
      </c>
      <c r="AH525">
        <v>0</v>
      </c>
      <c r="AI525">
        <v>0</v>
      </c>
      <c r="AJ525">
        <v>0</v>
      </c>
      <c r="AK525">
        <v>5</v>
      </c>
      <c r="AL525">
        <v>10</v>
      </c>
      <c r="AM525">
        <v>5</v>
      </c>
      <c r="AN525">
        <v>0</v>
      </c>
      <c r="AO525">
        <v>0</v>
      </c>
      <c r="AP525">
        <v>1134</v>
      </c>
      <c r="AQ525">
        <v>0</v>
      </c>
      <c r="AR525">
        <v>0</v>
      </c>
      <c r="AS525">
        <v>0</v>
      </c>
      <c r="AT525">
        <v>0</v>
      </c>
      <c r="AU525">
        <v>0</v>
      </c>
      <c r="AV525">
        <v>1</v>
      </c>
      <c r="AW525">
        <v>0</v>
      </c>
      <c r="AX525">
        <v>0</v>
      </c>
      <c r="AY525">
        <v>0</v>
      </c>
      <c r="AZ525">
        <v>1</v>
      </c>
      <c r="BA525">
        <v>1012</v>
      </c>
      <c r="BB525">
        <v>0</v>
      </c>
      <c r="BC525">
        <v>0</v>
      </c>
      <c r="BD525">
        <v>0</v>
      </c>
      <c r="BE525">
        <v>0</v>
      </c>
      <c r="BF525">
        <v>18</v>
      </c>
      <c r="BG525">
        <v>1</v>
      </c>
      <c r="BH525">
        <v>0</v>
      </c>
      <c r="BI525">
        <v>2</v>
      </c>
      <c r="BJ525">
        <v>4</v>
      </c>
      <c r="BK525">
        <v>30</v>
      </c>
      <c r="BL525">
        <v>838</v>
      </c>
      <c r="BM525">
        <v>1</v>
      </c>
      <c r="BN525">
        <v>63</v>
      </c>
      <c r="BO525">
        <v>0</v>
      </c>
      <c r="BP525">
        <v>31</v>
      </c>
      <c r="BQ525">
        <v>39</v>
      </c>
      <c r="BR525">
        <v>2</v>
      </c>
      <c r="BS525">
        <v>0</v>
      </c>
      <c r="BT525">
        <v>9</v>
      </c>
      <c r="BU525">
        <v>10</v>
      </c>
      <c r="BV525">
        <v>0</v>
      </c>
      <c r="BW525">
        <v>881</v>
      </c>
      <c r="BX525">
        <v>0</v>
      </c>
      <c r="BY525">
        <v>15</v>
      </c>
      <c r="BZ525">
        <v>51</v>
      </c>
      <c r="CA525">
        <v>3</v>
      </c>
      <c r="CB525">
        <v>13</v>
      </c>
      <c r="CC525">
        <v>3</v>
      </c>
      <c r="CD525">
        <v>1</v>
      </c>
      <c r="CE525">
        <v>2</v>
      </c>
      <c r="CF525">
        <v>1</v>
      </c>
      <c r="CG525">
        <v>0</v>
      </c>
      <c r="CH525">
        <v>854</v>
      </c>
      <c r="CI525">
        <v>4</v>
      </c>
      <c r="CJ525">
        <v>6</v>
      </c>
      <c r="CK525">
        <v>19</v>
      </c>
      <c r="CL525">
        <v>2</v>
      </c>
      <c r="CM525">
        <v>3</v>
      </c>
      <c r="CN525">
        <v>2</v>
      </c>
      <c r="CO525">
        <v>2</v>
      </c>
      <c r="CP525">
        <v>0</v>
      </c>
      <c r="CQ525">
        <v>1</v>
      </c>
      <c r="CR525">
        <v>1</v>
      </c>
      <c r="CS525">
        <v>947</v>
      </c>
      <c r="CT525">
        <v>0</v>
      </c>
      <c r="CU525">
        <v>2</v>
      </c>
      <c r="CV525">
        <v>0</v>
      </c>
      <c r="CW525">
        <v>0</v>
      </c>
      <c r="CX525">
        <v>6</v>
      </c>
      <c r="CY525">
        <v>5</v>
      </c>
      <c r="CZ525">
        <v>0</v>
      </c>
      <c r="DA525">
        <v>0</v>
      </c>
      <c r="DB525">
        <v>0</v>
      </c>
      <c r="DC525">
        <v>0</v>
      </c>
      <c r="DD525">
        <v>1016</v>
      </c>
      <c r="DE525">
        <v>1</v>
      </c>
      <c r="DF525">
        <v>0</v>
      </c>
      <c r="DG525">
        <v>2</v>
      </c>
      <c r="DH525">
        <v>0</v>
      </c>
      <c r="DI525">
        <v>4</v>
      </c>
      <c r="DJ525">
        <v>0</v>
      </c>
      <c r="DK525">
        <v>0</v>
      </c>
      <c r="DL525">
        <v>1</v>
      </c>
      <c r="DM525">
        <v>0</v>
      </c>
      <c r="DN525">
        <v>9</v>
      </c>
      <c r="DO525">
        <v>955</v>
      </c>
      <c r="DP525">
        <v>3</v>
      </c>
      <c r="DQ525">
        <v>3</v>
      </c>
      <c r="DR525">
        <v>4</v>
      </c>
      <c r="DS525">
        <v>5</v>
      </c>
      <c r="DT525">
        <v>1</v>
      </c>
      <c r="DU525">
        <v>10</v>
      </c>
      <c r="DV525">
        <v>15</v>
      </c>
      <c r="DW525">
        <v>1</v>
      </c>
      <c r="DX525">
        <v>177</v>
      </c>
      <c r="DY525">
        <v>6</v>
      </c>
      <c r="DZ525">
        <v>787</v>
      </c>
      <c r="EA525">
        <v>0.9365</v>
      </c>
      <c r="EB525">
        <v>0.94370308701622196</v>
      </c>
      <c r="EC525">
        <v>0.93615115140976801</v>
      </c>
      <c r="ED525">
        <v>0.93627743778931405</v>
      </c>
      <c r="EE525">
        <f>SUM(Table1[[#This Row],[ratio_0]:[ratio_9]])</f>
        <v>550</v>
      </c>
      <c r="EF525" s="1">
        <f>(Table1[[#This Row],[predicted_0]]-Table1[[#This Row],[actual_0]])/Table1[[#This Row],[actual_0]]</f>
        <v>-2.6530612244897958E-2</v>
      </c>
      <c r="EG525" s="1">
        <f>(Table1[[#This Row],[predicted_1]]-Table1[[#This Row],[actual_1]])/Table1[[#This Row],[actual_1]]</f>
        <v>2.4669603524229075E-2</v>
      </c>
      <c r="EH525" s="1">
        <f>(Table1[[#This Row],[predicted_2]]-Table1[[#This Row],[actual_2]])/Table1[[#This Row],[actual_2]]</f>
        <v>5.329457364341085E-2</v>
      </c>
      <c r="EI525" s="1">
        <f>(Table1[[#This Row],[predicted_3]]-Table1[[#This Row],[actual_3]])/Table1[[#This Row],[actual_3]]</f>
        <v>-0.16831683168316833</v>
      </c>
      <c r="EJ525" s="1">
        <f>(Table1[[#This Row],[predicted_4]]-Table1[[#This Row],[actual_4]])/Table1[[#This Row],[actual_4]]</f>
        <v>-9.0631364562118122E-2</v>
      </c>
      <c r="EK525" s="1">
        <f>(Table1[[#This Row],[predicted_5]]-Table1[[#This Row],[actual_5]])/Table1[[#This Row],[actual_5]]</f>
        <v>4.708520179372197E-2</v>
      </c>
      <c r="EL525" s="1">
        <f>(Table1[[#This Row],[predicted_6]]-Table1[[#This Row],[actual_6]])/Table1[[#This Row],[actual_6]]</f>
        <v>1.4613778705636743E-2</v>
      </c>
      <c r="EM525" s="1">
        <f>(Table1[[#This Row],[predicted_7]]-Table1[[#This Row],[actual_7]])/Table1[[#This Row],[actual_7]]</f>
        <v>0.28307392996108949</v>
      </c>
      <c r="EN525" s="1">
        <f>(Table1[[#This Row],[predicted_8]]-Table1[[#This Row],[actual_8]])/Table1[[#This Row],[actual_8]]</f>
        <v>5.8521560574948665E-2</v>
      </c>
      <c r="EO525" s="1">
        <f>(Table1[[#This Row],[predicted_9]]-Table1[[#This Row],[actual_9]])/Table1[[#This Row],[actual_9]]</f>
        <v>-0.20019821605550051</v>
      </c>
      <c r="EP525" s="1">
        <f>1+(Table1[[#This Row],[error_ratio_0]]-EF$2)</f>
        <v>0.97142857142857142</v>
      </c>
      <c r="EQ525" s="1">
        <f>1+(Table1[[#This Row],[error_ratio_1]]-EG$2)</f>
        <v>1.0229074889867842</v>
      </c>
      <c r="ER525" s="1">
        <f>1+(Table1[[#This Row],[error_ratio_2]]-EH$2)</f>
        <v>1.058139534883721</v>
      </c>
      <c r="ES525" s="1">
        <f>1+(Table1[[#This Row],[error_ratio_3]]-EI$2)</f>
        <v>0.82178217821782173</v>
      </c>
      <c r="ET525" s="1">
        <f>1+(Table1[[#This Row],[error_ratio_4]]-EJ$2)</f>
        <v>0.90835030549898166</v>
      </c>
      <c r="EU525" s="1">
        <f>1+(Table1[[#This Row],[error_ratio_5]]-EK$2)</f>
        <v>1.0459641255605381</v>
      </c>
      <c r="EV525" s="1">
        <f>1+(Table1[[#This Row],[error_ratio_6]]-EL$2)</f>
        <v>1.0208768267223383</v>
      </c>
      <c r="EW525" s="1">
        <f>1+(Table1[[#This Row],[error_ratio_7]]-EM$2)</f>
        <v>1.2811284046692606</v>
      </c>
      <c r="EX525" s="1">
        <f>1+(Table1[[#This Row],[error_ratio_8]]-EN$2)</f>
        <v>1.0616016427104722</v>
      </c>
      <c r="EY525" s="1">
        <f>1+(Table1[[#This Row],[error_ratio_9]]-EO$2)</f>
        <v>0.80376610505450941</v>
      </c>
    </row>
    <row r="526" spans="1:155" x14ac:dyDescent="0.75">
      <c r="A526">
        <v>100</v>
      </c>
      <c r="B526">
        <v>10</v>
      </c>
      <c r="C526">
        <v>100</v>
      </c>
      <c r="D526">
        <v>10</v>
      </c>
      <c r="E526">
        <v>10</v>
      </c>
      <c r="F526">
        <v>10</v>
      </c>
      <c r="G526">
        <v>100</v>
      </c>
      <c r="H526">
        <v>100</v>
      </c>
      <c r="I526">
        <v>100</v>
      </c>
      <c r="J526">
        <v>10</v>
      </c>
      <c r="K526">
        <v>1007</v>
      </c>
      <c r="L526">
        <v>1077</v>
      </c>
      <c r="M526">
        <v>1027</v>
      </c>
      <c r="N526">
        <v>949</v>
      </c>
      <c r="O526">
        <v>947</v>
      </c>
      <c r="P526">
        <v>919</v>
      </c>
      <c r="Q526">
        <v>955</v>
      </c>
      <c r="R526">
        <v>1161</v>
      </c>
      <c r="S526">
        <v>1023</v>
      </c>
      <c r="T526">
        <v>935</v>
      </c>
      <c r="U526">
        <v>980</v>
      </c>
      <c r="V526">
        <v>1135</v>
      </c>
      <c r="W526">
        <v>1032</v>
      </c>
      <c r="X526">
        <v>1010</v>
      </c>
      <c r="Y526">
        <v>982</v>
      </c>
      <c r="Z526">
        <v>892</v>
      </c>
      <c r="AA526">
        <v>958</v>
      </c>
      <c r="AB526">
        <v>1028</v>
      </c>
      <c r="AC526">
        <v>974</v>
      </c>
      <c r="AD526">
        <v>1009</v>
      </c>
      <c r="AE526">
        <v>970</v>
      </c>
      <c r="AF526">
        <v>0</v>
      </c>
      <c r="AG526">
        <v>0</v>
      </c>
      <c r="AH526">
        <v>0</v>
      </c>
      <c r="AI526">
        <v>0</v>
      </c>
      <c r="AJ526">
        <v>2</v>
      </c>
      <c r="AK526">
        <v>4</v>
      </c>
      <c r="AL526">
        <v>2</v>
      </c>
      <c r="AM526">
        <v>2</v>
      </c>
      <c r="AN526">
        <v>0</v>
      </c>
      <c r="AO526">
        <v>0</v>
      </c>
      <c r="AP526">
        <v>1075</v>
      </c>
      <c r="AQ526">
        <v>2</v>
      </c>
      <c r="AR526">
        <v>8</v>
      </c>
      <c r="AS526">
        <v>0</v>
      </c>
      <c r="AT526">
        <v>0</v>
      </c>
      <c r="AU526">
        <v>3</v>
      </c>
      <c r="AV526">
        <v>34</v>
      </c>
      <c r="AW526">
        <v>13</v>
      </c>
      <c r="AX526">
        <v>0</v>
      </c>
      <c r="AY526">
        <v>5</v>
      </c>
      <c r="AZ526">
        <v>0</v>
      </c>
      <c r="BA526">
        <v>1003</v>
      </c>
      <c r="BB526">
        <v>1</v>
      </c>
      <c r="BC526">
        <v>1</v>
      </c>
      <c r="BD526">
        <v>3</v>
      </c>
      <c r="BE526">
        <v>2</v>
      </c>
      <c r="BF526">
        <v>9</v>
      </c>
      <c r="BG526">
        <v>8</v>
      </c>
      <c r="BH526">
        <v>0</v>
      </c>
      <c r="BI526">
        <v>9</v>
      </c>
      <c r="BJ526">
        <v>0</v>
      </c>
      <c r="BK526">
        <v>6</v>
      </c>
      <c r="BL526">
        <v>931</v>
      </c>
      <c r="BM526">
        <v>0</v>
      </c>
      <c r="BN526">
        <v>29</v>
      </c>
      <c r="BO526">
        <v>0</v>
      </c>
      <c r="BP526">
        <v>15</v>
      </c>
      <c r="BQ526">
        <v>19</v>
      </c>
      <c r="BR526">
        <v>1</v>
      </c>
      <c r="BS526">
        <v>1</v>
      </c>
      <c r="BT526">
        <v>1</v>
      </c>
      <c r="BU526">
        <v>6</v>
      </c>
      <c r="BV526">
        <v>0</v>
      </c>
      <c r="BW526">
        <v>931</v>
      </c>
      <c r="BX526">
        <v>0</v>
      </c>
      <c r="BY526">
        <v>4</v>
      </c>
      <c r="BZ526">
        <v>19</v>
      </c>
      <c r="CA526">
        <v>3</v>
      </c>
      <c r="CB526">
        <v>17</v>
      </c>
      <c r="CC526">
        <v>4</v>
      </c>
      <c r="CD526">
        <v>0</v>
      </c>
      <c r="CE526">
        <v>1</v>
      </c>
      <c r="CF526">
        <v>6</v>
      </c>
      <c r="CG526">
        <v>0</v>
      </c>
      <c r="CH526">
        <v>859</v>
      </c>
      <c r="CI526">
        <v>5</v>
      </c>
      <c r="CJ526">
        <v>3</v>
      </c>
      <c r="CK526">
        <v>12</v>
      </c>
      <c r="CL526">
        <v>2</v>
      </c>
      <c r="CM526">
        <v>5</v>
      </c>
      <c r="CN526">
        <v>1</v>
      </c>
      <c r="CO526">
        <v>2</v>
      </c>
      <c r="CP526">
        <v>0</v>
      </c>
      <c r="CQ526">
        <v>7</v>
      </c>
      <c r="CR526">
        <v>2</v>
      </c>
      <c r="CS526">
        <v>935</v>
      </c>
      <c r="CT526">
        <v>1</v>
      </c>
      <c r="CU526">
        <v>5</v>
      </c>
      <c r="CV526">
        <v>0</v>
      </c>
      <c r="CW526">
        <v>1</v>
      </c>
      <c r="CX526">
        <v>0</v>
      </c>
      <c r="CY526">
        <v>4</v>
      </c>
      <c r="CZ526">
        <v>0</v>
      </c>
      <c r="DA526">
        <v>0</v>
      </c>
      <c r="DB526">
        <v>0</v>
      </c>
      <c r="DC526">
        <v>0</v>
      </c>
      <c r="DD526">
        <v>1023</v>
      </c>
      <c r="DE526">
        <v>0</v>
      </c>
      <c r="DF526">
        <v>0</v>
      </c>
      <c r="DG526">
        <v>6</v>
      </c>
      <c r="DH526">
        <v>0</v>
      </c>
      <c r="DI526">
        <v>2</v>
      </c>
      <c r="DJ526">
        <v>1</v>
      </c>
      <c r="DK526">
        <v>1</v>
      </c>
      <c r="DL526">
        <v>0</v>
      </c>
      <c r="DM526">
        <v>2</v>
      </c>
      <c r="DN526">
        <v>6</v>
      </c>
      <c r="DO526">
        <v>954</v>
      </c>
      <c r="DP526">
        <v>2</v>
      </c>
      <c r="DQ526">
        <v>6</v>
      </c>
      <c r="DR526">
        <v>0</v>
      </c>
      <c r="DS526">
        <v>1</v>
      </c>
      <c r="DT526">
        <v>2</v>
      </c>
      <c r="DU526">
        <v>7</v>
      </c>
      <c r="DV526">
        <v>24</v>
      </c>
      <c r="DW526">
        <v>0</v>
      </c>
      <c r="DX526">
        <v>49</v>
      </c>
      <c r="DY526">
        <v>7</v>
      </c>
      <c r="DZ526">
        <v>913</v>
      </c>
      <c r="EA526">
        <v>0.95940000000000003</v>
      </c>
      <c r="EB526">
        <v>0.96060964534819604</v>
      </c>
      <c r="EC526">
        <v>0.95971337911850496</v>
      </c>
      <c r="ED526">
        <v>0.95939048865033905</v>
      </c>
      <c r="EE526">
        <f>SUM(Table1[[#This Row],[ratio_0]:[ratio_9]])</f>
        <v>550</v>
      </c>
      <c r="EF526" s="1">
        <f>(Table1[[#This Row],[predicted_0]]-Table1[[#This Row],[actual_0]])/Table1[[#This Row],[actual_0]]</f>
        <v>2.7551020408163266E-2</v>
      </c>
      <c r="EG526" s="1">
        <f>(Table1[[#This Row],[predicted_1]]-Table1[[#This Row],[actual_1]])/Table1[[#This Row],[actual_1]]</f>
        <v>-5.1101321585903081E-2</v>
      </c>
      <c r="EH526" s="1">
        <f>(Table1[[#This Row],[predicted_2]]-Table1[[#This Row],[actual_2]])/Table1[[#This Row],[actual_2]]</f>
        <v>-4.8449612403100775E-3</v>
      </c>
      <c r="EI526" s="1">
        <f>(Table1[[#This Row],[predicted_3]]-Table1[[#This Row],[actual_3]])/Table1[[#This Row],[actual_3]]</f>
        <v>-6.0396039603960394E-2</v>
      </c>
      <c r="EJ526" s="1">
        <f>(Table1[[#This Row],[predicted_4]]-Table1[[#This Row],[actual_4]])/Table1[[#This Row],[actual_4]]</f>
        <v>-3.5641547861507125E-2</v>
      </c>
      <c r="EK526" s="1">
        <f>(Table1[[#This Row],[predicted_5]]-Table1[[#This Row],[actual_5]])/Table1[[#This Row],[actual_5]]</f>
        <v>3.0269058295964126E-2</v>
      </c>
      <c r="EL526" s="1">
        <f>(Table1[[#This Row],[predicted_6]]-Table1[[#This Row],[actual_6]])/Table1[[#This Row],[actual_6]]</f>
        <v>-3.1315240083507308E-3</v>
      </c>
      <c r="EM526" s="1">
        <f>(Table1[[#This Row],[predicted_7]]-Table1[[#This Row],[actual_7]])/Table1[[#This Row],[actual_7]]</f>
        <v>0.1293774319066148</v>
      </c>
      <c r="EN526" s="1">
        <f>(Table1[[#This Row],[predicted_8]]-Table1[[#This Row],[actual_8]])/Table1[[#This Row],[actual_8]]</f>
        <v>5.0308008213552365E-2</v>
      </c>
      <c r="EO526" s="1">
        <f>(Table1[[#This Row],[predicted_9]]-Table1[[#This Row],[actual_9]])/Table1[[#This Row],[actual_9]]</f>
        <v>-7.3339940535183348E-2</v>
      </c>
      <c r="EP526" s="1">
        <f>1+(Table1[[#This Row],[error_ratio_0]]-EF$2)</f>
        <v>1.0255102040816326</v>
      </c>
      <c r="EQ526" s="1">
        <f>1+(Table1[[#This Row],[error_ratio_1]]-EG$2)</f>
        <v>0.94713656387665202</v>
      </c>
      <c r="ER526" s="1">
        <f>1+(Table1[[#This Row],[error_ratio_2]]-EH$2)</f>
        <v>1</v>
      </c>
      <c r="ES526" s="1">
        <f>1+(Table1[[#This Row],[error_ratio_3]]-EI$2)</f>
        <v>0.92970297029702975</v>
      </c>
      <c r="ET526" s="1">
        <f>1+(Table1[[#This Row],[error_ratio_4]]-EJ$2)</f>
        <v>0.96334012219959264</v>
      </c>
      <c r="EU526" s="1">
        <f>1+(Table1[[#This Row],[error_ratio_5]]-EK$2)</f>
        <v>1.0291479820627802</v>
      </c>
      <c r="EV526" s="1">
        <f>1+(Table1[[#This Row],[error_ratio_6]]-EL$2)</f>
        <v>1.0031315240083507</v>
      </c>
      <c r="EW526" s="1">
        <f>1+(Table1[[#This Row],[error_ratio_7]]-EM$2)</f>
        <v>1.127431906614786</v>
      </c>
      <c r="EX526" s="1">
        <f>1+(Table1[[#This Row],[error_ratio_8]]-EN$2)</f>
        <v>1.053388090349076</v>
      </c>
      <c r="EY526" s="1">
        <f>1+(Table1[[#This Row],[error_ratio_9]]-EO$2)</f>
        <v>0.93062438057482655</v>
      </c>
    </row>
    <row r="527" spans="1:155" x14ac:dyDescent="0.75">
      <c r="A527">
        <v>10</v>
      </c>
      <c r="B527">
        <v>10</v>
      </c>
      <c r="C527">
        <v>100</v>
      </c>
      <c r="D527">
        <v>10</v>
      </c>
      <c r="E527">
        <v>10</v>
      </c>
      <c r="F527">
        <v>10</v>
      </c>
      <c r="G527">
        <v>100</v>
      </c>
      <c r="H527">
        <v>100</v>
      </c>
      <c r="I527">
        <v>100</v>
      </c>
      <c r="J527">
        <v>10</v>
      </c>
      <c r="K527">
        <v>952</v>
      </c>
      <c r="L527">
        <v>1096</v>
      </c>
      <c r="M527">
        <v>1037</v>
      </c>
      <c r="N527">
        <v>884</v>
      </c>
      <c r="O527">
        <v>886</v>
      </c>
      <c r="P527">
        <v>752</v>
      </c>
      <c r="Q527">
        <v>1096</v>
      </c>
      <c r="R527">
        <v>1051</v>
      </c>
      <c r="S527">
        <v>1352</v>
      </c>
      <c r="T527">
        <v>894</v>
      </c>
      <c r="U527">
        <v>980</v>
      </c>
      <c r="V527">
        <v>1135</v>
      </c>
      <c r="W527">
        <v>1032</v>
      </c>
      <c r="X527">
        <v>1010</v>
      </c>
      <c r="Y527">
        <v>982</v>
      </c>
      <c r="Z527">
        <v>892</v>
      </c>
      <c r="AA527">
        <v>958</v>
      </c>
      <c r="AB527">
        <v>1028</v>
      </c>
      <c r="AC527">
        <v>974</v>
      </c>
      <c r="AD527">
        <v>1009</v>
      </c>
      <c r="AE527">
        <v>935</v>
      </c>
      <c r="AF527">
        <v>0</v>
      </c>
      <c r="AG527">
        <v>3</v>
      </c>
      <c r="AH527">
        <v>0</v>
      </c>
      <c r="AI527">
        <v>0</v>
      </c>
      <c r="AJ527">
        <v>0</v>
      </c>
      <c r="AK527">
        <v>23</v>
      </c>
      <c r="AL527">
        <v>1</v>
      </c>
      <c r="AM527">
        <v>17</v>
      </c>
      <c r="AN527">
        <v>1</v>
      </c>
      <c r="AO527">
        <v>0</v>
      </c>
      <c r="AP527">
        <v>1086</v>
      </c>
      <c r="AQ527">
        <v>6</v>
      </c>
      <c r="AR527">
        <v>1</v>
      </c>
      <c r="AS527">
        <v>0</v>
      </c>
      <c r="AT527">
        <v>1</v>
      </c>
      <c r="AU527">
        <v>6</v>
      </c>
      <c r="AV527">
        <v>0</v>
      </c>
      <c r="AW527">
        <v>35</v>
      </c>
      <c r="AX527">
        <v>0</v>
      </c>
      <c r="AY527">
        <v>0</v>
      </c>
      <c r="AZ527">
        <v>0</v>
      </c>
      <c r="BA527">
        <v>1011</v>
      </c>
      <c r="BB527">
        <v>1</v>
      </c>
      <c r="BC527">
        <v>0</v>
      </c>
      <c r="BD527">
        <v>0</v>
      </c>
      <c r="BE527">
        <v>1</v>
      </c>
      <c r="BF527">
        <v>2</v>
      </c>
      <c r="BG527">
        <v>17</v>
      </c>
      <c r="BH527">
        <v>0</v>
      </c>
      <c r="BI527">
        <v>2</v>
      </c>
      <c r="BJ527">
        <v>0</v>
      </c>
      <c r="BK527">
        <v>3</v>
      </c>
      <c r="BL527">
        <v>876</v>
      </c>
      <c r="BM527">
        <v>0</v>
      </c>
      <c r="BN527">
        <v>7</v>
      </c>
      <c r="BO527">
        <v>2</v>
      </c>
      <c r="BP527">
        <v>6</v>
      </c>
      <c r="BQ527">
        <v>113</v>
      </c>
      <c r="BR527">
        <v>1</v>
      </c>
      <c r="BS527">
        <v>1</v>
      </c>
      <c r="BT527">
        <v>2</v>
      </c>
      <c r="BU527">
        <v>3</v>
      </c>
      <c r="BV527">
        <v>0</v>
      </c>
      <c r="BW527">
        <v>881</v>
      </c>
      <c r="BX527">
        <v>0</v>
      </c>
      <c r="BY527">
        <v>33</v>
      </c>
      <c r="BZ527">
        <v>24</v>
      </c>
      <c r="CA527">
        <v>15</v>
      </c>
      <c r="CB527">
        <v>23</v>
      </c>
      <c r="CC527">
        <v>7</v>
      </c>
      <c r="CD527">
        <v>0</v>
      </c>
      <c r="CE527">
        <v>0</v>
      </c>
      <c r="CF527">
        <v>5</v>
      </c>
      <c r="CG527">
        <v>0</v>
      </c>
      <c r="CH527">
        <v>737</v>
      </c>
      <c r="CI527">
        <v>73</v>
      </c>
      <c r="CJ527">
        <v>2</v>
      </c>
      <c r="CK527">
        <v>68</v>
      </c>
      <c r="CL527">
        <v>0</v>
      </c>
      <c r="CM527">
        <v>3</v>
      </c>
      <c r="CN527">
        <v>0</v>
      </c>
      <c r="CO527">
        <v>1</v>
      </c>
      <c r="CP527">
        <v>0</v>
      </c>
      <c r="CQ527">
        <v>1</v>
      </c>
      <c r="CR527">
        <v>0</v>
      </c>
      <c r="CS527">
        <v>951</v>
      </c>
      <c r="CT527">
        <v>0</v>
      </c>
      <c r="CU527">
        <v>2</v>
      </c>
      <c r="CV527">
        <v>0</v>
      </c>
      <c r="CW527">
        <v>0</v>
      </c>
      <c r="CX527">
        <v>6</v>
      </c>
      <c r="CY527">
        <v>7</v>
      </c>
      <c r="CZ527">
        <v>0</v>
      </c>
      <c r="DA527">
        <v>0</v>
      </c>
      <c r="DB527">
        <v>0</v>
      </c>
      <c r="DC527">
        <v>0</v>
      </c>
      <c r="DD527">
        <v>997</v>
      </c>
      <c r="DE527">
        <v>16</v>
      </c>
      <c r="DF527">
        <v>2</v>
      </c>
      <c r="DG527">
        <v>0</v>
      </c>
      <c r="DH527">
        <v>0</v>
      </c>
      <c r="DI527">
        <v>1</v>
      </c>
      <c r="DJ527">
        <v>0</v>
      </c>
      <c r="DK527">
        <v>0</v>
      </c>
      <c r="DL527">
        <v>0</v>
      </c>
      <c r="DM527">
        <v>1</v>
      </c>
      <c r="DN527">
        <v>1</v>
      </c>
      <c r="DO527">
        <v>971</v>
      </c>
      <c r="DP527">
        <v>0</v>
      </c>
      <c r="DQ527">
        <v>4</v>
      </c>
      <c r="DR527">
        <v>2</v>
      </c>
      <c r="DS527">
        <v>2</v>
      </c>
      <c r="DT527">
        <v>1</v>
      </c>
      <c r="DU527">
        <v>4</v>
      </c>
      <c r="DV527">
        <v>7</v>
      </c>
      <c r="DW527">
        <v>6</v>
      </c>
      <c r="DX527">
        <v>18</v>
      </c>
      <c r="DY527">
        <v>98</v>
      </c>
      <c r="DZ527">
        <v>867</v>
      </c>
      <c r="EA527">
        <v>0.93120000000000003</v>
      </c>
      <c r="EB527">
        <v>0.94176215378936901</v>
      </c>
      <c r="EC527">
        <v>0.92999935690601598</v>
      </c>
      <c r="ED527">
        <v>0.93148375469571698</v>
      </c>
      <c r="EE527">
        <f>SUM(Table1[[#This Row],[ratio_0]:[ratio_9]])</f>
        <v>460</v>
      </c>
      <c r="EF527" s="1">
        <f>(Table1[[#This Row],[predicted_0]]-Table1[[#This Row],[actual_0]])/Table1[[#This Row],[actual_0]]</f>
        <v>-2.8571428571428571E-2</v>
      </c>
      <c r="EG527" s="1">
        <f>(Table1[[#This Row],[predicted_1]]-Table1[[#This Row],[actual_1]])/Table1[[#This Row],[actual_1]]</f>
        <v>-3.4361233480176209E-2</v>
      </c>
      <c r="EH527" s="1">
        <f>(Table1[[#This Row],[predicted_2]]-Table1[[#This Row],[actual_2]])/Table1[[#This Row],[actual_2]]</f>
        <v>4.8449612403100775E-3</v>
      </c>
      <c r="EI527" s="1">
        <f>(Table1[[#This Row],[predicted_3]]-Table1[[#This Row],[actual_3]])/Table1[[#This Row],[actual_3]]</f>
        <v>-0.12475247524752475</v>
      </c>
      <c r="EJ527" s="1">
        <f>(Table1[[#This Row],[predicted_4]]-Table1[[#This Row],[actual_4]])/Table1[[#This Row],[actual_4]]</f>
        <v>-9.775967413441955E-2</v>
      </c>
      <c r="EK527" s="1">
        <f>(Table1[[#This Row],[predicted_5]]-Table1[[#This Row],[actual_5]])/Table1[[#This Row],[actual_5]]</f>
        <v>-0.15695067264573992</v>
      </c>
      <c r="EL527" s="1">
        <f>(Table1[[#This Row],[predicted_6]]-Table1[[#This Row],[actual_6]])/Table1[[#This Row],[actual_6]]</f>
        <v>0.1440501043841336</v>
      </c>
      <c r="EM527" s="1">
        <f>(Table1[[#This Row],[predicted_7]]-Table1[[#This Row],[actual_7]])/Table1[[#This Row],[actual_7]]</f>
        <v>2.2373540856031129E-2</v>
      </c>
      <c r="EN527" s="1">
        <f>(Table1[[#This Row],[predicted_8]]-Table1[[#This Row],[actual_8]])/Table1[[#This Row],[actual_8]]</f>
        <v>0.38809034907597534</v>
      </c>
      <c r="EO527" s="1">
        <f>(Table1[[#This Row],[predicted_9]]-Table1[[#This Row],[actual_9]])/Table1[[#This Row],[actual_9]]</f>
        <v>-0.11397423191278494</v>
      </c>
      <c r="EP527" s="1">
        <f>1+(Table1[[#This Row],[error_ratio_0]]-EF$2)</f>
        <v>0.96938775510204078</v>
      </c>
      <c r="EQ527" s="1">
        <f>1+(Table1[[#This Row],[error_ratio_1]]-EG$2)</f>
        <v>0.96387665198237882</v>
      </c>
      <c r="ER527" s="1">
        <f>1+(Table1[[#This Row],[error_ratio_2]]-EH$2)</f>
        <v>1.0096899224806202</v>
      </c>
      <c r="ES527" s="1">
        <f>1+(Table1[[#This Row],[error_ratio_3]]-EI$2)</f>
        <v>0.86534653465346534</v>
      </c>
      <c r="ET527" s="1">
        <f>1+(Table1[[#This Row],[error_ratio_4]]-EJ$2)</f>
        <v>0.90122199592668029</v>
      </c>
      <c r="EU527" s="1">
        <f>1+(Table1[[#This Row],[error_ratio_5]]-EK$2)</f>
        <v>0.84192825112107617</v>
      </c>
      <c r="EV527" s="1">
        <f>1+(Table1[[#This Row],[error_ratio_6]]-EL$2)</f>
        <v>1.150313152400835</v>
      </c>
      <c r="EW527" s="1">
        <f>1+(Table1[[#This Row],[error_ratio_7]]-EM$2)</f>
        <v>1.0204280155642023</v>
      </c>
      <c r="EX527" s="1">
        <f>1+(Table1[[#This Row],[error_ratio_8]]-EN$2)</f>
        <v>1.391170431211499</v>
      </c>
      <c r="EY527" s="1">
        <f>1+(Table1[[#This Row],[error_ratio_9]]-EO$2)</f>
        <v>0.889990089197225</v>
      </c>
    </row>
    <row r="528" spans="1:155" x14ac:dyDescent="0.75">
      <c r="A528">
        <v>10</v>
      </c>
      <c r="B528">
        <v>100</v>
      </c>
      <c r="C528">
        <v>10</v>
      </c>
      <c r="D528">
        <v>10</v>
      </c>
      <c r="E528">
        <v>10</v>
      </c>
      <c r="F528">
        <v>10</v>
      </c>
      <c r="G528">
        <v>100</v>
      </c>
      <c r="H528">
        <v>100</v>
      </c>
      <c r="I528">
        <v>100</v>
      </c>
      <c r="J528">
        <v>10</v>
      </c>
      <c r="K528">
        <v>984</v>
      </c>
      <c r="L528">
        <v>1133</v>
      </c>
      <c r="M528">
        <v>967</v>
      </c>
      <c r="N528">
        <v>977</v>
      </c>
      <c r="O528">
        <v>925</v>
      </c>
      <c r="P528">
        <v>874</v>
      </c>
      <c r="Q528">
        <v>979</v>
      </c>
      <c r="R528">
        <v>1118</v>
      </c>
      <c r="S528">
        <v>1072</v>
      </c>
      <c r="T528">
        <v>971</v>
      </c>
      <c r="U528">
        <v>980</v>
      </c>
      <c r="V528">
        <v>1135</v>
      </c>
      <c r="W528">
        <v>1032</v>
      </c>
      <c r="X528">
        <v>1010</v>
      </c>
      <c r="Y528">
        <v>982</v>
      </c>
      <c r="Z528">
        <v>892</v>
      </c>
      <c r="AA528">
        <v>958</v>
      </c>
      <c r="AB528">
        <v>1028</v>
      </c>
      <c r="AC528">
        <v>974</v>
      </c>
      <c r="AD528">
        <v>1009</v>
      </c>
      <c r="AE528">
        <v>960</v>
      </c>
      <c r="AF528">
        <v>0</v>
      </c>
      <c r="AG528">
        <v>2</v>
      </c>
      <c r="AH528">
        <v>1</v>
      </c>
      <c r="AI528">
        <v>0</v>
      </c>
      <c r="AJ528">
        <v>3</v>
      </c>
      <c r="AK528">
        <v>4</v>
      </c>
      <c r="AL528">
        <v>5</v>
      </c>
      <c r="AM528">
        <v>5</v>
      </c>
      <c r="AN528">
        <v>0</v>
      </c>
      <c r="AO528">
        <v>0</v>
      </c>
      <c r="AP528">
        <v>1123</v>
      </c>
      <c r="AQ528">
        <v>3</v>
      </c>
      <c r="AR528">
        <v>2</v>
      </c>
      <c r="AS528">
        <v>0</v>
      </c>
      <c r="AT528">
        <v>0</v>
      </c>
      <c r="AU528">
        <v>0</v>
      </c>
      <c r="AV528">
        <v>1</v>
      </c>
      <c r="AW528">
        <v>6</v>
      </c>
      <c r="AX528">
        <v>0</v>
      </c>
      <c r="AY528">
        <v>10</v>
      </c>
      <c r="AZ528">
        <v>3</v>
      </c>
      <c r="BA528">
        <v>946</v>
      </c>
      <c r="BB528">
        <v>5</v>
      </c>
      <c r="BC528">
        <v>1</v>
      </c>
      <c r="BD528">
        <v>0</v>
      </c>
      <c r="BE528">
        <v>2</v>
      </c>
      <c r="BF528">
        <v>46</v>
      </c>
      <c r="BG528">
        <v>19</v>
      </c>
      <c r="BH528">
        <v>0</v>
      </c>
      <c r="BI528">
        <v>1</v>
      </c>
      <c r="BJ528">
        <v>0</v>
      </c>
      <c r="BK528">
        <v>3</v>
      </c>
      <c r="BL528">
        <v>960</v>
      </c>
      <c r="BM528">
        <v>0</v>
      </c>
      <c r="BN528">
        <v>17</v>
      </c>
      <c r="BO528">
        <v>0</v>
      </c>
      <c r="BP528">
        <v>9</v>
      </c>
      <c r="BQ528">
        <v>20</v>
      </c>
      <c r="BR528">
        <v>0</v>
      </c>
      <c r="BS528">
        <v>1</v>
      </c>
      <c r="BT528">
        <v>1</v>
      </c>
      <c r="BU528">
        <v>8</v>
      </c>
      <c r="BV528">
        <v>0</v>
      </c>
      <c r="BW528">
        <v>919</v>
      </c>
      <c r="BX528">
        <v>0</v>
      </c>
      <c r="BY528">
        <v>5</v>
      </c>
      <c r="BZ528">
        <v>13</v>
      </c>
      <c r="CA528">
        <v>7</v>
      </c>
      <c r="CB528">
        <v>28</v>
      </c>
      <c r="CC528">
        <v>3</v>
      </c>
      <c r="CD528">
        <v>0</v>
      </c>
      <c r="CE528">
        <v>1</v>
      </c>
      <c r="CF528">
        <v>3</v>
      </c>
      <c r="CG528">
        <v>0</v>
      </c>
      <c r="CH528">
        <v>839</v>
      </c>
      <c r="CI528">
        <v>18</v>
      </c>
      <c r="CJ528">
        <v>3</v>
      </c>
      <c r="CK528">
        <v>23</v>
      </c>
      <c r="CL528">
        <v>2</v>
      </c>
      <c r="CM528">
        <v>2</v>
      </c>
      <c r="CN528">
        <v>1</v>
      </c>
      <c r="CO528">
        <v>1</v>
      </c>
      <c r="CP528">
        <v>0</v>
      </c>
      <c r="CQ528">
        <v>1</v>
      </c>
      <c r="CR528">
        <v>0</v>
      </c>
      <c r="CS528">
        <v>948</v>
      </c>
      <c r="CT528">
        <v>0</v>
      </c>
      <c r="CU528">
        <v>5</v>
      </c>
      <c r="CV528">
        <v>0</v>
      </c>
      <c r="CW528">
        <v>0</v>
      </c>
      <c r="CX528">
        <v>3</v>
      </c>
      <c r="CY528">
        <v>3</v>
      </c>
      <c r="CZ528">
        <v>0</v>
      </c>
      <c r="DA528">
        <v>0</v>
      </c>
      <c r="DB528">
        <v>0</v>
      </c>
      <c r="DC528">
        <v>0</v>
      </c>
      <c r="DD528">
        <v>1020</v>
      </c>
      <c r="DE528">
        <v>2</v>
      </c>
      <c r="DF528">
        <v>0</v>
      </c>
      <c r="DG528">
        <v>0</v>
      </c>
      <c r="DH528">
        <v>0</v>
      </c>
      <c r="DI528">
        <v>0</v>
      </c>
      <c r="DJ528">
        <v>1</v>
      </c>
      <c r="DK528">
        <v>0</v>
      </c>
      <c r="DL528">
        <v>0</v>
      </c>
      <c r="DM528">
        <v>1</v>
      </c>
      <c r="DN528">
        <v>5</v>
      </c>
      <c r="DO528">
        <v>963</v>
      </c>
      <c r="DP528">
        <v>4</v>
      </c>
      <c r="DQ528">
        <v>7</v>
      </c>
      <c r="DR528">
        <v>2</v>
      </c>
      <c r="DS528">
        <v>0</v>
      </c>
      <c r="DT528">
        <v>5</v>
      </c>
      <c r="DU528">
        <v>4</v>
      </c>
      <c r="DV528">
        <v>15</v>
      </c>
      <c r="DW528">
        <v>1</v>
      </c>
      <c r="DX528">
        <v>16</v>
      </c>
      <c r="DY528">
        <v>22</v>
      </c>
      <c r="DZ528">
        <v>937</v>
      </c>
      <c r="EA528">
        <v>0.96150000000000002</v>
      </c>
      <c r="EB528">
        <v>0.96251184773145804</v>
      </c>
      <c r="EC528">
        <v>0.96117371101666005</v>
      </c>
      <c r="ED528">
        <v>0.96118906623590605</v>
      </c>
      <c r="EE528">
        <f>SUM(Table1[[#This Row],[ratio_0]:[ratio_9]])</f>
        <v>460</v>
      </c>
      <c r="EF528" s="1">
        <f>(Table1[[#This Row],[predicted_0]]-Table1[[#This Row],[actual_0]])/Table1[[#This Row],[actual_0]]</f>
        <v>4.0816326530612249E-3</v>
      </c>
      <c r="EG528" s="1">
        <f>(Table1[[#This Row],[predicted_1]]-Table1[[#This Row],[actual_1]])/Table1[[#This Row],[actual_1]]</f>
        <v>-1.762114537444934E-3</v>
      </c>
      <c r="EH528" s="1">
        <f>(Table1[[#This Row],[predicted_2]]-Table1[[#This Row],[actual_2]])/Table1[[#This Row],[actual_2]]</f>
        <v>-6.2984496124031009E-2</v>
      </c>
      <c r="EI528" s="1">
        <f>(Table1[[#This Row],[predicted_3]]-Table1[[#This Row],[actual_3]])/Table1[[#This Row],[actual_3]]</f>
        <v>-3.2673267326732675E-2</v>
      </c>
      <c r="EJ528" s="1">
        <f>(Table1[[#This Row],[predicted_4]]-Table1[[#This Row],[actual_4]])/Table1[[#This Row],[actual_4]]</f>
        <v>-5.8044806517311608E-2</v>
      </c>
      <c r="EK528" s="1">
        <f>(Table1[[#This Row],[predicted_5]]-Table1[[#This Row],[actual_5]])/Table1[[#This Row],[actual_5]]</f>
        <v>-2.0179372197309416E-2</v>
      </c>
      <c r="EL528" s="1">
        <f>(Table1[[#This Row],[predicted_6]]-Table1[[#This Row],[actual_6]])/Table1[[#This Row],[actual_6]]</f>
        <v>2.1920668058455117E-2</v>
      </c>
      <c r="EM528" s="1">
        <f>(Table1[[#This Row],[predicted_7]]-Table1[[#This Row],[actual_7]])/Table1[[#This Row],[actual_7]]</f>
        <v>8.7548638132295714E-2</v>
      </c>
      <c r="EN528" s="1">
        <f>(Table1[[#This Row],[predicted_8]]-Table1[[#This Row],[actual_8]])/Table1[[#This Row],[actual_8]]</f>
        <v>0.10061601642710473</v>
      </c>
      <c r="EO528" s="1">
        <f>(Table1[[#This Row],[predicted_9]]-Table1[[#This Row],[actual_9]])/Table1[[#This Row],[actual_9]]</f>
        <v>-3.7661050545094152E-2</v>
      </c>
      <c r="EP528" s="1">
        <f>1+(Table1[[#This Row],[error_ratio_0]]-EF$2)</f>
        <v>1.0020408163265306</v>
      </c>
      <c r="EQ528" s="1">
        <f>1+(Table1[[#This Row],[error_ratio_1]]-EG$2)</f>
        <v>0.99647577092511008</v>
      </c>
      <c r="ER528" s="1">
        <f>1+(Table1[[#This Row],[error_ratio_2]]-EH$2)</f>
        <v>0.94186046511627908</v>
      </c>
      <c r="ES528" s="1">
        <f>1+(Table1[[#This Row],[error_ratio_3]]-EI$2)</f>
        <v>0.95742574257425739</v>
      </c>
      <c r="ET528" s="1">
        <f>1+(Table1[[#This Row],[error_ratio_4]]-EJ$2)</f>
        <v>0.94093686354378814</v>
      </c>
      <c r="EU528" s="1">
        <f>1+(Table1[[#This Row],[error_ratio_5]]-EK$2)</f>
        <v>0.97869955156950672</v>
      </c>
      <c r="EV528" s="1">
        <f>1+(Table1[[#This Row],[error_ratio_6]]-EL$2)</f>
        <v>1.0281837160751566</v>
      </c>
      <c r="EW528" s="1">
        <f>1+(Table1[[#This Row],[error_ratio_7]]-EM$2)</f>
        <v>1.0856031128404668</v>
      </c>
      <c r="EX528" s="1">
        <f>1+(Table1[[#This Row],[error_ratio_8]]-EN$2)</f>
        <v>1.1036960985626283</v>
      </c>
      <c r="EY528" s="1">
        <f>1+(Table1[[#This Row],[error_ratio_9]]-EO$2)</f>
        <v>0.96630327056491572</v>
      </c>
    </row>
    <row r="529" spans="1:155" x14ac:dyDescent="0.75">
      <c r="A529">
        <v>100</v>
      </c>
      <c r="B529">
        <v>100</v>
      </c>
      <c r="C529">
        <v>100</v>
      </c>
      <c r="D529">
        <v>100</v>
      </c>
      <c r="E529">
        <v>100</v>
      </c>
      <c r="F529">
        <v>100</v>
      </c>
      <c r="G529">
        <v>10</v>
      </c>
      <c r="H529">
        <v>100</v>
      </c>
      <c r="I529">
        <v>100</v>
      </c>
      <c r="J529">
        <v>10</v>
      </c>
      <c r="K529">
        <v>998</v>
      </c>
      <c r="L529">
        <v>1140</v>
      </c>
      <c r="M529">
        <v>1031</v>
      </c>
      <c r="N529">
        <v>1015</v>
      </c>
      <c r="O529">
        <v>1017</v>
      </c>
      <c r="P529">
        <v>919</v>
      </c>
      <c r="Q529">
        <v>925</v>
      </c>
      <c r="R529">
        <v>1045</v>
      </c>
      <c r="S529">
        <v>992</v>
      </c>
      <c r="T529">
        <v>918</v>
      </c>
      <c r="U529">
        <v>980</v>
      </c>
      <c r="V529">
        <v>1135</v>
      </c>
      <c r="W529">
        <v>1032</v>
      </c>
      <c r="X529">
        <v>1010</v>
      </c>
      <c r="Y529">
        <v>982</v>
      </c>
      <c r="Z529">
        <v>892</v>
      </c>
      <c r="AA529">
        <v>958</v>
      </c>
      <c r="AB529">
        <v>1028</v>
      </c>
      <c r="AC529">
        <v>974</v>
      </c>
      <c r="AD529">
        <v>1009</v>
      </c>
      <c r="AE529">
        <v>975</v>
      </c>
      <c r="AF529">
        <v>1</v>
      </c>
      <c r="AG529">
        <v>0</v>
      </c>
      <c r="AH529">
        <v>0</v>
      </c>
      <c r="AI529">
        <v>0</v>
      </c>
      <c r="AJ529">
        <v>0</v>
      </c>
      <c r="AK529">
        <v>1</v>
      </c>
      <c r="AL529">
        <v>1</v>
      </c>
      <c r="AM529">
        <v>2</v>
      </c>
      <c r="AN529">
        <v>0</v>
      </c>
      <c r="AO529">
        <v>0</v>
      </c>
      <c r="AP529">
        <v>1128</v>
      </c>
      <c r="AQ529">
        <v>2</v>
      </c>
      <c r="AR529">
        <v>2</v>
      </c>
      <c r="AS529">
        <v>0</v>
      </c>
      <c r="AT529">
        <v>0</v>
      </c>
      <c r="AU529">
        <v>2</v>
      </c>
      <c r="AV529">
        <v>1</v>
      </c>
      <c r="AW529">
        <v>0</v>
      </c>
      <c r="AX529">
        <v>0</v>
      </c>
      <c r="AY529">
        <v>2</v>
      </c>
      <c r="AZ529">
        <v>1</v>
      </c>
      <c r="BA529">
        <v>1021</v>
      </c>
      <c r="BB529">
        <v>2</v>
      </c>
      <c r="BC529">
        <v>0</v>
      </c>
      <c r="BD529">
        <v>0</v>
      </c>
      <c r="BE529">
        <v>0</v>
      </c>
      <c r="BF529">
        <v>3</v>
      </c>
      <c r="BG529">
        <v>3</v>
      </c>
      <c r="BH529">
        <v>0</v>
      </c>
      <c r="BI529">
        <v>0</v>
      </c>
      <c r="BJ529">
        <v>0</v>
      </c>
      <c r="BK529">
        <v>1</v>
      </c>
      <c r="BL529">
        <v>1001</v>
      </c>
      <c r="BM529">
        <v>0</v>
      </c>
      <c r="BN529">
        <v>3</v>
      </c>
      <c r="BO529">
        <v>0</v>
      </c>
      <c r="BP529">
        <v>2</v>
      </c>
      <c r="BQ529">
        <v>2</v>
      </c>
      <c r="BR529">
        <v>1</v>
      </c>
      <c r="BS529">
        <v>0</v>
      </c>
      <c r="BT529">
        <v>0</v>
      </c>
      <c r="BU529">
        <v>1</v>
      </c>
      <c r="BV529">
        <v>0</v>
      </c>
      <c r="BW529">
        <v>980</v>
      </c>
      <c r="BX529">
        <v>0</v>
      </c>
      <c r="BY529">
        <v>1</v>
      </c>
      <c r="BZ529">
        <v>0</v>
      </c>
      <c r="CA529">
        <v>0</v>
      </c>
      <c r="CB529">
        <v>0</v>
      </c>
      <c r="CC529">
        <v>2</v>
      </c>
      <c r="CD529">
        <v>0</v>
      </c>
      <c r="CE529">
        <v>0</v>
      </c>
      <c r="CF529">
        <v>5</v>
      </c>
      <c r="CG529">
        <v>0</v>
      </c>
      <c r="CH529">
        <v>884</v>
      </c>
      <c r="CI529">
        <v>0</v>
      </c>
      <c r="CJ529">
        <v>0</v>
      </c>
      <c r="CK529">
        <v>1</v>
      </c>
      <c r="CL529">
        <v>0</v>
      </c>
      <c r="CM529">
        <v>12</v>
      </c>
      <c r="CN529">
        <v>3</v>
      </c>
      <c r="CO529">
        <v>0</v>
      </c>
      <c r="CP529">
        <v>0</v>
      </c>
      <c r="CQ529">
        <v>7</v>
      </c>
      <c r="CR529">
        <v>10</v>
      </c>
      <c r="CS529">
        <v>921</v>
      </c>
      <c r="CT529">
        <v>0</v>
      </c>
      <c r="CU529">
        <v>5</v>
      </c>
      <c r="CV529">
        <v>0</v>
      </c>
      <c r="CW529">
        <v>1</v>
      </c>
      <c r="CX529">
        <v>2</v>
      </c>
      <c r="CY529">
        <v>5</v>
      </c>
      <c r="CZ529">
        <v>1</v>
      </c>
      <c r="DA529">
        <v>0</v>
      </c>
      <c r="DB529">
        <v>0</v>
      </c>
      <c r="DC529">
        <v>0</v>
      </c>
      <c r="DD529">
        <v>1017</v>
      </c>
      <c r="DE529">
        <v>2</v>
      </c>
      <c r="DF529">
        <v>0</v>
      </c>
      <c r="DG529">
        <v>2</v>
      </c>
      <c r="DH529">
        <v>0</v>
      </c>
      <c r="DI529">
        <v>1</v>
      </c>
      <c r="DJ529">
        <v>0</v>
      </c>
      <c r="DK529">
        <v>0</v>
      </c>
      <c r="DL529">
        <v>1</v>
      </c>
      <c r="DM529">
        <v>0</v>
      </c>
      <c r="DN529">
        <v>2</v>
      </c>
      <c r="DO529">
        <v>966</v>
      </c>
      <c r="DP529">
        <v>2</v>
      </c>
      <c r="DQ529">
        <v>4</v>
      </c>
      <c r="DR529">
        <v>5</v>
      </c>
      <c r="DS529">
        <v>0</v>
      </c>
      <c r="DT529">
        <v>4</v>
      </c>
      <c r="DU529">
        <v>30</v>
      </c>
      <c r="DV529">
        <v>21</v>
      </c>
      <c r="DW529">
        <v>0</v>
      </c>
      <c r="DX529">
        <v>19</v>
      </c>
      <c r="DY529">
        <v>11</v>
      </c>
      <c r="DZ529">
        <v>915</v>
      </c>
      <c r="EA529">
        <v>0.98080000000000001</v>
      </c>
      <c r="EB529">
        <v>0.98078725444356496</v>
      </c>
      <c r="EC529">
        <v>0.98074578657535305</v>
      </c>
      <c r="ED529">
        <v>0.98044833316603697</v>
      </c>
      <c r="EE529">
        <f>SUM(Table1[[#This Row],[ratio_0]:[ratio_9]])</f>
        <v>820</v>
      </c>
      <c r="EF529" s="1">
        <f>(Table1[[#This Row],[predicted_0]]-Table1[[#This Row],[actual_0]])/Table1[[#This Row],[actual_0]]</f>
        <v>1.8367346938775512E-2</v>
      </c>
      <c r="EG529" s="1">
        <f>(Table1[[#This Row],[predicted_1]]-Table1[[#This Row],[actual_1]])/Table1[[#This Row],[actual_1]]</f>
        <v>4.4052863436123352E-3</v>
      </c>
      <c r="EH529" s="1">
        <f>(Table1[[#This Row],[predicted_2]]-Table1[[#This Row],[actual_2]])/Table1[[#This Row],[actual_2]]</f>
        <v>-9.6899224806201549E-4</v>
      </c>
      <c r="EI529" s="1">
        <f>(Table1[[#This Row],[predicted_3]]-Table1[[#This Row],[actual_3]])/Table1[[#This Row],[actual_3]]</f>
        <v>4.9504950495049506E-3</v>
      </c>
      <c r="EJ529" s="1">
        <f>(Table1[[#This Row],[predicted_4]]-Table1[[#This Row],[actual_4]])/Table1[[#This Row],[actual_4]]</f>
        <v>3.5641547861507125E-2</v>
      </c>
      <c r="EK529" s="1">
        <f>(Table1[[#This Row],[predicted_5]]-Table1[[#This Row],[actual_5]])/Table1[[#This Row],[actual_5]]</f>
        <v>3.0269058295964126E-2</v>
      </c>
      <c r="EL529" s="1">
        <f>(Table1[[#This Row],[predicted_6]]-Table1[[#This Row],[actual_6]])/Table1[[#This Row],[actual_6]]</f>
        <v>-3.444676409185804E-2</v>
      </c>
      <c r="EM529" s="1">
        <f>(Table1[[#This Row],[predicted_7]]-Table1[[#This Row],[actual_7]])/Table1[[#This Row],[actual_7]]</f>
        <v>1.6536964980544747E-2</v>
      </c>
      <c r="EN529" s="1">
        <f>(Table1[[#This Row],[predicted_8]]-Table1[[#This Row],[actual_8]])/Table1[[#This Row],[actual_8]]</f>
        <v>1.8480492813141684E-2</v>
      </c>
      <c r="EO529" s="1">
        <f>(Table1[[#This Row],[predicted_9]]-Table1[[#This Row],[actual_9]])/Table1[[#This Row],[actual_9]]</f>
        <v>-9.0188305252725476E-2</v>
      </c>
      <c r="EP529" s="1">
        <f>1+(Table1[[#This Row],[error_ratio_0]]-EF$2)</f>
        <v>1.0163265306122449</v>
      </c>
      <c r="EQ529" s="1">
        <f>1+(Table1[[#This Row],[error_ratio_1]]-EG$2)</f>
        <v>1.0026431718061675</v>
      </c>
      <c r="ER529" s="1">
        <f>1+(Table1[[#This Row],[error_ratio_2]]-EH$2)</f>
        <v>1.0038759689922481</v>
      </c>
      <c r="ES529" s="1">
        <f>1+(Table1[[#This Row],[error_ratio_3]]-EI$2)</f>
        <v>0.99504950495049505</v>
      </c>
      <c r="ET529" s="1">
        <f>1+(Table1[[#This Row],[error_ratio_4]]-EJ$2)</f>
        <v>1.0346232179226069</v>
      </c>
      <c r="EU529" s="1">
        <f>1+(Table1[[#This Row],[error_ratio_5]]-EK$2)</f>
        <v>1.0291479820627802</v>
      </c>
      <c r="EV529" s="1">
        <f>1+(Table1[[#This Row],[error_ratio_6]]-EL$2)</f>
        <v>0.97181628392484343</v>
      </c>
      <c r="EW529" s="1">
        <f>1+(Table1[[#This Row],[error_ratio_7]]-EM$2)</f>
        <v>1.0145914396887159</v>
      </c>
      <c r="EX529" s="1">
        <f>1+(Table1[[#This Row],[error_ratio_8]]-EN$2)</f>
        <v>1.0215605749486654</v>
      </c>
      <c r="EY529" s="1">
        <f>1+(Table1[[#This Row],[error_ratio_9]]-EO$2)</f>
        <v>0.91377601585728441</v>
      </c>
    </row>
    <row r="530" spans="1:155" x14ac:dyDescent="0.75">
      <c r="A530">
        <v>10</v>
      </c>
      <c r="B530">
        <v>100</v>
      </c>
      <c r="C530">
        <v>100</v>
      </c>
      <c r="D530">
        <v>100</v>
      </c>
      <c r="E530">
        <v>100</v>
      </c>
      <c r="F530">
        <v>100</v>
      </c>
      <c r="G530">
        <v>10</v>
      </c>
      <c r="H530">
        <v>100</v>
      </c>
      <c r="I530">
        <v>100</v>
      </c>
      <c r="J530">
        <v>10</v>
      </c>
      <c r="K530">
        <v>959</v>
      </c>
      <c r="L530">
        <v>1145</v>
      </c>
      <c r="M530">
        <v>1001</v>
      </c>
      <c r="N530">
        <v>1032</v>
      </c>
      <c r="O530">
        <v>976</v>
      </c>
      <c r="P530">
        <v>895</v>
      </c>
      <c r="Q530">
        <v>930</v>
      </c>
      <c r="R530">
        <v>1052</v>
      </c>
      <c r="S530">
        <v>1030</v>
      </c>
      <c r="T530">
        <v>980</v>
      </c>
      <c r="U530">
        <v>980</v>
      </c>
      <c r="V530">
        <v>1135</v>
      </c>
      <c r="W530">
        <v>1032</v>
      </c>
      <c r="X530">
        <v>1010</v>
      </c>
      <c r="Y530">
        <v>982</v>
      </c>
      <c r="Z530">
        <v>892</v>
      </c>
      <c r="AA530">
        <v>958</v>
      </c>
      <c r="AB530">
        <v>1028</v>
      </c>
      <c r="AC530">
        <v>974</v>
      </c>
      <c r="AD530">
        <v>1009</v>
      </c>
      <c r="AE530">
        <v>947</v>
      </c>
      <c r="AF530">
        <v>0</v>
      </c>
      <c r="AG530">
        <v>0</v>
      </c>
      <c r="AH530">
        <v>0</v>
      </c>
      <c r="AI530">
        <v>3</v>
      </c>
      <c r="AJ530">
        <v>0</v>
      </c>
      <c r="AK530">
        <v>10</v>
      </c>
      <c r="AL530">
        <v>5</v>
      </c>
      <c r="AM530">
        <v>10</v>
      </c>
      <c r="AN530">
        <v>5</v>
      </c>
      <c r="AO530">
        <v>0</v>
      </c>
      <c r="AP530">
        <v>1131</v>
      </c>
      <c r="AQ530">
        <v>0</v>
      </c>
      <c r="AR530">
        <v>1</v>
      </c>
      <c r="AS530">
        <v>0</v>
      </c>
      <c r="AT530">
        <v>1</v>
      </c>
      <c r="AU530">
        <v>0</v>
      </c>
      <c r="AV530">
        <v>0</v>
      </c>
      <c r="AW530">
        <v>2</v>
      </c>
      <c r="AX530">
        <v>0</v>
      </c>
      <c r="AY530">
        <v>1</v>
      </c>
      <c r="AZ530">
        <v>4</v>
      </c>
      <c r="BA530">
        <v>997</v>
      </c>
      <c r="BB530">
        <v>4</v>
      </c>
      <c r="BC530">
        <v>2</v>
      </c>
      <c r="BD530">
        <v>0</v>
      </c>
      <c r="BE530">
        <v>1</v>
      </c>
      <c r="BF530">
        <v>6</v>
      </c>
      <c r="BG530">
        <v>17</v>
      </c>
      <c r="BH530">
        <v>0</v>
      </c>
      <c r="BI530">
        <v>0</v>
      </c>
      <c r="BJ530">
        <v>0</v>
      </c>
      <c r="BK530">
        <v>1</v>
      </c>
      <c r="BL530">
        <v>1006</v>
      </c>
      <c r="BM530">
        <v>0</v>
      </c>
      <c r="BN530">
        <v>0</v>
      </c>
      <c r="BO530">
        <v>0</v>
      </c>
      <c r="BP530">
        <v>1</v>
      </c>
      <c r="BQ530">
        <v>2</v>
      </c>
      <c r="BR530">
        <v>0</v>
      </c>
      <c r="BS530">
        <v>0</v>
      </c>
      <c r="BT530">
        <v>0</v>
      </c>
      <c r="BU530">
        <v>0</v>
      </c>
      <c r="BV530">
        <v>0</v>
      </c>
      <c r="BW530">
        <v>963</v>
      </c>
      <c r="BX530">
        <v>0</v>
      </c>
      <c r="BY530">
        <v>0</v>
      </c>
      <c r="BZ530">
        <v>5</v>
      </c>
      <c r="CA530">
        <v>1</v>
      </c>
      <c r="CB530">
        <v>13</v>
      </c>
      <c r="CC530">
        <v>2</v>
      </c>
      <c r="CD530">
        <v>0</v>
      </c>
      <c r="CE530">
        <v>0</v>
      </c>
      <c r="CF530">
        <v>9</v>
      </c>
      <c r="CG530">
        <v>0</v>
      </c>
      <c r="CH530">
        <v>875</v>
      </c>
      <c r="CI530">
        <v>0</v>
      </c>
      <c r="CJ530">
        <v>2</v>
      </c>
      <c r="CK530">
        <v>3</v>
      </c>
      <c r="CL530">
        <v>1</v>
      </c>
      <c r="CM530">
        <v>8</v>
      </c>
      <c r="CN530">
        <v>3</v>
      </c>
      <c r="CO530">
        <v>0</v>
      </c>
      <c r="CP530">
        <v>0</v>
      </c>
      <c r="CQ530">
        <v>4</v>
      </c>
      <c r="CR530">
        <v>12</v>
      </c>
      <c r="CS530">
        <v>918</v>
      </c>
      <c r="CT530">
        <v>0</v>
      </c>
      <c r="CU530">
        <v>13</v>
      </c>
      <c r="CV530">
        <v>0</v>
      </c>
      <c r="CW530">
        <v>0</v>
      </c>
      <c r="CX530">
        <v>4</v>
      </c>
      <c r="CY530">
        <v>3</v>
      </c>
      <c r="CZ530">
        <v>1</v>
      </c>
      <c r="DA530">
        <v>0</v>
      </c>
      <c r="DB530">
        <v>0</v>
      </c>
      <c r="DC530">
        <v>0</v>
      </c>
      <c r="DD530">
        <v>1017</v>
      </c>
      <c r="DE530">
        <v>3</v>
      </c>
      <c r="DF530">
        <v>0</v>
      </c>
      <c r="DG530">
        <v>0</v>
      </c>
      <c r="DH530">
        <v>0</v>
      </c>
      <c r="DI530">
        <v>0</v>
      </c>
      <c r="DJ530">
        <v>0</v>
      </c>
      <c r="DK530">
        <v>0</v>
      </c>
      <c r="DL530">
        <v>1</v>
      </c>
      <c r="DM530">
        <v>0</v>
      </c>
      <c r="DN530">
        <v>3</v>
      </c>
      <c r="DO530">
        <v>967</v>
      </c>
      <c r="DP530">
        <v>3</v>
      </c>
      <c r="DQ530">
        <v>1</v>
      </c>
      <c r="DR530">
        <v>3</v>
      </c>
      <c r="DS530">
        <v>0</v>
      </c>
      <c r="DT530">
        <v>11</v>
      </c>
      <c r="DU530">
        <v>4</v>
      </c>
      <c r="DV530">
        <v>6</v>
      </c>
      <c r="DW530">
        <v>1</v>
      </c>
      <c r="DX530">
        <v>13</v>
      </c>
      <c r="DY530">
        <v>12</v>
      </c>
      <c r="DZ530">
        <v>958</v>
      </c>
      <c r="EA530">
        <v>0.97789999999999999</v>
      </c>
      <c r="EB530">
        <v>0.97806168321423304</v>
      </c>
      <c r="EC530">
        <v>0.97763346169937604</v>
      </c>
      <c r="ED530">
        <v>0.97766844152863797</v>
      </c>
      <c r="EE530">
        <f>SUM(Table1[[#This Row],[ratio_0]:[ratio_9]])</f>
        <v>730</v>
      </c>
      <c r="EF530" s="1">
        <f>(Table1[[#This Row],[predicted_0]]-Table1[[#This Row],[actual_0]])/Table1[[#This Row],[actual_0]]</f>
        <v>-2.1428571428571429E-2</v>
      </c>
      <c r="EG530" s="1">
        <f>(Table1[[#This Row],[predicted_1]]-Table1[[#This Row],[actual_1]])/Table1[[#This Row],[actual_1]]</f>
        <v>8.8105726872246704E-3</v>
      </c>
      <c r="EH530" s="1">
        <f>(Table1[[#This Row],[predicted_2]]-Table1[[#This Row],[actual_2]])/Table1[[#This Row],[actual_2]]</f>
        <v>-3.0038759689922482E-2</v>
      </c>
      <c r="EI530" s="1">
        <f>(Table1[[#This Row],[predicted_3]]-Table1[[#This Row],[actual_3]])/Table1[[#This Row],[actual_3]]</f>
        <v>2.1782178217821781E-2</v>
      </c>
      <c r="EJ530" s="1">
        <f>(Table1[[#This Row],[predicted_4]]-Table1[[#This Row],[actual_4]])/Table1[[#This Row],[actual_4]]</f>
        <v>-6.1099796334012219E-3</v>
      </c>
      <c r="EK530" s="1">
        <f>(Table1[[#This Row],[predicted_5]]-Table1[[#This Row],[actual_5]])/Table1[[#This Row],[actual_5]]</f>
        <v>3.3632286995515697E-3</v>
      </c>
      <c r="EL530" s="1">
        <f>(Table1[[#This Row],[predicted_6]]-Table1[[#This Row],[actual_6]])/Table1[[#This Row],[actual_6]]</f>
        <v>-2.9227557411273485E-2</v>
      </c>
      <c r="EM530" s="1">
        <f>(Table1[[#This Row],[predicted_7]]-Table1[[#This Row],[actual_7]])/Table1[[#This Row],[actual_7]]</f>
        <v>2.3346303501945526E-2</v>
      </c>
      <c r="EN530" s="1">
        <f>(Table1[[#This Row],[predicted_8]]-Table1[[#This Row],[actual_8]])/Table1[[#This Row],[actual_8]]</f>
        <v>5.7494866529774126E-2</v>
      </c>
      <c r="EO530" s="1">
        <f>(Table1[[#This Row],[predicted_9]]-Table1[[#This Row],[actual_9]])/Table1[[#This Row],[actual_9]]</f>
        <v>-2.8741328047571853E-2</v>
      </c>
      <c r="EP530" s="1">
        <f>1+(Table1[[#This Row],[error_ratio_0]]-EF$2)</f>
        <v>0.97653061224489801</v>
      </c>
      <c r="EQ530" s="1">
        <f>1+(Table1[[#This Row],[error_ratio_1]]-EG$2)</f>
        <v>1.0070484581497798</v>
      </c>
      <c r="ER530" s="1">
        <f>1+(Table1[[#This Row],[error_ratio_2]]-EH$2)</f>
        <v>0.97480620155038755</v>
      </c>
      <c r="ES530" s="1">
        <f>1+(Table1[[#This Row],[error_ratio_3]]-EI$2)</f>
        <v>1.0118811881188119</v>
      </c>
      <c r="ET530" s="1">
        <f>1+(Table1[[#This Row],[error_ratio_4]]-EJ$2)</f>
        <v>0.99287169042769863</v>
      </c>
      <c r="EU530" s="1">
        <f>1+(Table1[[#This Row],[error_ratio_5]]-EK$2)</f>
        <v>1.0022421524663676</v>
      </c>
      <c r="EV530" s="1">
        <f>1+(Table1[[#This Row],[error_ratio_6]]-EL$2)</f>
        <v>0.97703549060542794</v>
      </c>
      <c r="EW530" s="1">
        <f>1+(Table1[[#This Row],[error_ratio_7]]-EM$2)</f>
        <v>1.0214007782101167</v>
      </c>
      <c r="EX530" s="1">
        <f>1+(Table1[[#This Row],[error_ratio_8]]-EN$2)</f>
        <v>1.0605749486652978</v>
      </c>
      <c r="EY530" s="1">
        <f>1+(Table1[[#This Row],[error_ratio_9]]-EO$2)</f>
        <v>0.97522299306243809</v>
      </c>
    </row>
    <row r="531" spans="1:155" x14ac:dyDescent="0.75">
      <c r="A531">
        <v>100</v>
      </c>
      <c r="B531">
        <v>10</v>
      </c>
      <c r="C531">
        <v>100</v>
      </c>
      <c r="D531">
        <v>100</v>
      </c>
      <c r="E531">
        <v>100</v>
      </c>
      <c r="F531">
        <v>100</v>
      </c>
      <c r="G531">
        <v>10</v>
      </c>
      <c r="H531">
        <v>100</v>
      </c>
      <c r="I531">
        <v>100</v>
      </c>
      <c r="J531">
        <v>10</v>
      </c>
      <c r="K531">
        <v>986</v>
      </c>
      <c r="L531">
        <v>1128</v>
      </c>
      <c r="M531">
        <v>1013</v>
      </c>
      <c r="N531">
        <v>1020</v>
      </c>
      <c r="O531">
        <v>1102</v>
      </c>
      <c r="P531">
        <v>918</v>
      </c>
      <c r="Q531">
        <v>914</v>
      </c>
      <c r="R531">
        <v>1051</v>
      </c>
      <c r="S531">
        <v>1004</v>
      </c>
      <c r="T531">
        <v>864</v>
      </c>
      <c r="U531">
        <v>980</v>
      </c>
      <c r="V531">
        <v>1135</v>
      </c>
      <c r="W531">
        <v>1032</v>
      </c>
      <c r="X531">
        <v>1010</v>
      </c>
      <c r="Y531">
        <v>982</v>
      </c>
      <c r="Z531">
        <v>892</v>
      </c>
      <c r="AA531">
        <v>958</v>
      </c>
      <c r="AB531">
        <v>1028</v>
      </c>
      <c r="AC531">
        <v>974</v>
      </c>
      <c r="AD531">
        <v>1009</v>
      </c>
      <c r="AE531">
        <v>971</v>
      </c>
      <c r="AF531">
        <v>0</v>
      </c>
      <c r="AG531">
        <v>0</v>
      </c>
      <c r="AH531">
        <v>0</v>
      </c>
      <c r="AI531">
        <v>5</v>
      </c>
      <c r="AJ531">
        <v>0</v>
      </c>
      <c r="AK531">
        <v>1</v>
      </c>
      <c r="AL531">
        <v>1</v>
      </c>
      <c r="AM531">
        <v>2</v>
      </c>
      <c r="AN531">
        <v>0</v>
      </c>
      <c r="AO531">
        <v>0</v>
      </c>
      <c r="AP531">
        <v>1121</v>
      </c>
      <c r="AQ531">
        <v>1</v>
      </c>
      <c r="AR531">
        <v>3</v>
      </c>
      <c r="AS531">
        <v>3</v>
      </c>
      <c r="AT531">
        <v>2</v>
      </c>
      <c r="AU531">
        <v>2</v>
      </c>
      <c r="AV531">
        <v>1</v>
      </c>
      <c r="AW531">
        <v>2</v>
      </c>
      <c r="AX531">
        <v>0</v>
      </c>
      <c r="AY531">
        <v>1</v>
      </c>
      <c r="AZ531">
        <v>0</v>
      </c>
      <c r="BA531">
        <v>1007</v>
      </c>
      <c r="BB531">
        <v>2</v>
      </c>
      <c r="BC531">
        <v>7</v>
      </c>
      <c r="BD531">
        <v>0</v>
      </c>
      <c r="BE531">
        <v>1</v>
      </c>
      <c r="BF531">
        <v>7</v>
      </c>
      <c r="BG531">
        <v>7</v>
      </c>
      <c r="BH531">
        <v>0</v>
      </c>
      <c r="BI531">
        <v>0</v>
      </c>
      <c r="BJ531">
        <v>0</v>
      </c>
      <c r="BK531">
        <v>1</v>
      </c>
      <c r="BL531">
        <v>1000</v>
      </c>
      <c r="BM531">
        <v>0</v>
      </c>
      <c r="BN531">
        <v>7</v>
      </c>
      <c r="BO531">
        <v>0</v>
      </c>
      <c r="BP531">
        <v>1</v>
      </c>
      <c r="BQ531">
        <v>1</v>
      </c>
      <c r="BR531">
        <v>0</v>
      </c>
      <c r="BS531">
        <v>0</v>
      </c>
      <c r="BT531">
        <v>0</v>
      </c>
      <c r="BU531">
        <v>0</v>
      </c>
      <c r="BV531">
        <v>0</v>
      </c>
      <c r="BW531">
        <v>981</v>
      </c>
      <c r="BX531">
        <v>0</v>
      </c>
      <c r="BY531">
        <v>0</v>
      </c>
      <c r="BZ531">
        <v>1</v>
      </c>
      <c r="CA531">
        <v>0</v>
      </c>
      <c r="CB531">
        <v>0</v>
      </c>
      <c r="CC531">
        <v>2</v>
      </c>
      <c r="CD531">
        <v>0</v>
      </c>
      <c r="CE531">
        <v>0</v>
      </c>
      <c r="CF531">
        <v>5</v>
      </c>
      <c r="CG531">
        <v>0</v>
      </c>
      <c r="CH531">
        <v>883</v>
      </c>
      <c r="CI531">
        <v>1</v>
      </c>
      <c r="CJ531">
        <v>0</v>
      </c>
      <c r="CK531">
        <v>1</v>
      </c>
      <c r="CL531">
        <v>0</v>
      </c>
      <c r="CM531">
        <v>7</v>
      </c>
      <c r="CN531">
        <v>3</v>
      </c>
      <c r="CO531">
        <v>1</v>
      </c>
      <c r="CP531">
        <v>0</v>
      </c>
      <c r="CQ531">
        <v>24</v>
      </c>
      <c r="CR531">
        <v>13</v>
      </c>
      <c r="CS531">
        <v>909</v>
      </c>
      <c r="CT531">
        <v>0</v>
      </c>
      <c r="CU531">
        <v>1</v>
      </c>
      <c r="CV531">
        <v>0</v>
      </c>
      <c r="CW531">
        <v>0</v>
      </c>
      <c r="CX531">
        <v>1</v>
      </c>
      <c r="CY531">
        <v>3</v>
      </c>
      <c r="CZ531">
        <v>0</v>
      </c>
      <c r="DA531">
        <v>1</v>
      </c>
      <c r="DB531">
        <v>0</v>
      </c>
      <c r="DC531">
        <v>0</v>
      </c>
      <c r="DD531">
        <v>1022</v>
      </c>
      <c r="DE531">
        <v>1</v>
      </c>
      <c r="DF531">
        <v>0</v>
      </c>
      <c r="DG531">
        <v>2</v>
      </c>
      <c r="DH531">
        <v>0</v>
      </c>
      <c r="DI531">
        <v>0</v>
      </c>
      <c r="DJ531">
        <v>1</v>
      </c>
      <c r="DK531">
        <v>2</v>
      </c>
      <c r="DL531">
        <v>3</v>
      </c>
      <c r="DM531">
        <v>0</v>
      </c>
      <c r="DN531">
        <v>2</v>
      </c>
      <c r="DO531">
        <v>963</v>
      </c>
      <c r="DP531">
        <v>1</v>
      </c>
      <c r="DQ531">
        <v>3</v>
      </c>
      <c r="DR531">
        <v>3</v>
      </c>
      <c r="DS531">
        <v>0</v>
      </c>
      <c r="DT531">
        <v>9</v>
      </c>
      <c r="DU531">
        <v>79</v>
      </c>
      <c r="DV531">
        <v>10</v>
      </c>
      <c r="DW531">
        <v>0</v>
      </c>
      <c r="DX531">
        <v>16</v>
      </c>
      <c r="DY531">
        <v>26</v>
      </c>
      <c r="DZ531">
        <v>863</v>
      </c>
      <c r="EA531">
        <v>0.97199999999999998</v>
      </c>
      <c r="EB531">
        <v>0.97300664866360198</v>
      </c>
      <c r="EC531">
        <v>0.97202715560728803</v>
      </c>
      <c r="ED531">
        <v>0.97152707788107195</v>
      </c>
      <c r="EE531">
        <f>SUM(Table1[[#This Row],[ratio_0]:[ratio_9]])</f>
        <v>730</v>
      </c>
      <c r="EF531" s="1">
        <f>(Table1[[#This Row],[predicted_0]]-Table1[[#This Row],[actual_0]])/Table1[[#This Row],[actual_0]]</f>
        <v>6.1224489795918364E-3</v>
      </c>
      <c r="EG531" s="1">
        <f>(Table1[[#This Row],[predicted_1]]-Table1[[#This Row],[actual_1]])/Table1[[#This Row],[actual_1]]</f>
        <v>-6.1674008810572688E-3</v>
      </c>
      <c r="EH531" s="1">
        <f>(Table1[[#This Row],[predicted_2]]-Table1[[#This Row],[actual_2]])/Table1[[#This Row],[actual_2]]</f>
        <v>-1.8410852713178296E-2</v>
      </c>
      <c r="EI531" s="1">
        <f>(Table1[[#This Row],[predicted_3]]-Table1[[#This Row],[actual_3]])/Table1[[#This Row],[actual_3]]</f>
        <v>9.9009900990099011E-3</v>
      </c>
      <c r="EJ531" s="1">
        <f>(Table1[[#This Row],[predicted_4]]-Table1[[#This Row],[actual_4]])/Table1[[#This Row],[actual_4]]</f>
        <v>0.12219959266802444</v>
      </c>
      <c r="EK531" s="1">
        <f>(Table1[[#This Row],[predicted_5]]-Table1[[#This Row],[actual_5]])/Table1[[#This Row],[actual_5]]</f>
        <v>2.914798206278027E-2</v>
      </c>
      <c r="EL531" s="1">
        <f>(Table1[[#This Row],[predicted_6]]-Table1[[#This Row],[actual_6]])/Table1[[#This Row],[actual_6]]</f>
        <v>-4.5929018789144051E-2</v>
      </c>
      <c r="EM531" s="1">
        <f>(Table1[[#This Row],[predicted_7]]-Table1[[#This Row],[actual_7]])/Table1[[#This Row],[actual_7]]</f>
        <v>2.2373540856031129E-2</v>
      </c>
      <c r="EN531" s="1">
        <f>(Table1[[#This Row],[predicted_8]]-Table1[[#This Row],[actual_8]])/Table1[[#This Row],[actual_8]]</f>
        <v>3.0800821355236138E-2</v>
      </c>
      <c r="EO531" s="1">
        <f>(Table1[[#This Row],[predicted_9]]-Table1[[#This Row],[actual_9]])/Table1[[#This Row],[actual_9]]</f>
        <v>-0.14370664023785926</v>
      </c>
      <c r="EP531" s="1">
        <f>1+(Table1[[#This Row],[error_ratio_0]]-EF$2)</f>
        <v>1.0040816326530613</v>
      </c>
      <c r="EQ531" s="1">
        <f>1+(Table1[[#This Row],[error_ratio_1]]-EG$2)</f>
        <v>0.99207048458149782</v>
      </c>
      <c r="ER531" s="1">
        <f>1+(Table1[[#This Row],[error_ratio_2]]-EH$2)</f>
        <v>0.98643410852713176</v>
      </c>
      <c r="ES531" s="1">
        <f>1+(Table1[[#This Row],[error_ratio_3]]-EI$2)</f>
        <v>1</v>
      </c>
      <c r="ET531" s="1">
        <f>1+(Table1[[#This Row],[error_ratio_4]]-EJ$2)</f>
        <v>1.1211812627291242</v>
      </c>
      <c r="EU531" s="1">
        <f>1+(Table1[[#This Row],[error_ratio_5]]-EK$2)</f>
        <v>1.0280269058295963</v>
      </c>
      <c r="EV531" s="1">
        <f>1+(Table1[[#This Row],[error_ratio_6]]-EL$2)</f>
        <v>0.9603340292275574</v>
      </c>
      <c r="EW531" s="1">
        <f>1+(Table1[[#This Row],[error_ratio_7]]-EM$2)</f>
        <v>1.0204280155642023</v>
      </c>
      <c r="EX531" s="1">
        <f>1+(Table1[[#This Row],[error_ratio_8]]-EN$2)</f>
        <v>1.0338809034907597</v>
      </c>
      <c r="EY531" s="1">
        <f>1+(Table1[[#This Row],[error_ratio_9]]-EO$2)</f>
        <v>0.86025768087215071</v>
      </c>
    </row>
    <row r="532" spans="1:155" x14ac:dyDescent="0.75">
      <c r="A532">
        <v>10</v>
      </c>
      <c r="B532">
        <v>10</v>
      </c>
      <c r="C532">
        <v>100</v>
      </c>
      <c r="D532">
        <v>100</v>
      </c>
      <c r="E532">
        <v>100</v>
      </c>
      <c r="F532">
        <v>100</v>
      </c>
      <c r="G532">
        <v>10</v>
      </c>
      <c r="H532">
        <v>100</v>
      </c>
      <c r="I532">
        <v>100</v>
      </c>
      <c r="J532">
        <v>10</v>
      </c>
      <c r="K532">
        <v>970</v>
      </c>
      <c r="L532">
        <v>1103</v>
      </c>
      <c r="M532">
        <v>1059</v>
      </c>
      <c r="N532">
        <v>1015</v>
      </c>
      <c r="O532">
        <v>1001</v>
      </c>
      <c r="P532">
        <v>944</v>
      </c>
      <c r="Q532">
        <v>884</v>
      </c>
      <c r="R532">
        <v>1037</v>
      </c>
      <c r="S532">
        <v>1028</v>
      </c>
      <c r="T532">
        <v>959</v>
      </c>
      <c r="U532">
        <v>980</v>
      </c>
      <c r="V532">
        <v>1135</v>
      </c>
      <c r="W532">
        <v>1032</v>
      </c>
      <c r="X532">
        <v>1010</v>
      </c>
      <c r="Y532">
        <v>982</v>
      </c>
      <c r="Z532">
        <v>892</v>
      </c>
      <c r="AA532">
        <v>958</v>
      </c>
      <c r="AB532">
        <v>1028</v>
      </c>
      <c r="AC532">
        <v>974</v>
      </c>
      <c r="AD532">
        <v>1009</v>
      </c>
      <c r="AE532">
        <v>955</v>
      </c>
      <c r="AF532">
        <v>0</v>
      </c>
      <c r="AG532">
        <v>7</v>
      </c>
      <c r="AH532">
        <v>0</v>
      </c>
      <c r="AI532">
        <v>1</v>
      </c>
      <c r="AJ532">
        <v>1</v>
      </c>
      <c r="AK532">
        <v>1</v>
      </c>
      <c r="AL532">
        <v>6</v>
      </c>
      <c r="AM532">
        <v>8</v>
      </c>
      <c r="AN532">
        <v>1</v>
      </c>
      <c r="AO532">
        <v>0</v>
      </c>
      <c r="AP532">
        <v>1098</v>
      </c>
      <c r="AQ532">
        <v>7</v>
      </c>
      <c r="AR532">
        <v>4</v>
      </c>
      <c r="AS532">
        <v>1</v>
      </c>
      <c r="AT532">
        <v>3</v>
      </c>
      <c r="AU532">
        <v>2</v>
      </c>
      <c r="AV532">
        <v>2</v>
      </c>
      <c r="AW532">
        <v>18</v>
      </c>
      <c r="AX532">
        <v>0</v>
      </c>
      <c r="AY532">
        <v>0</v>
      </c>
      <c r="AZ532">
        <v>0</v>
      </c>
      <c r="BA532">
        <v>1023</v>
      </c>
      <c r="BB532">
        <v>0</v>
      </c>
      <c r="BC532">
        <v>1</v>
      </c>
      <c r="BD532">
        <v>0</v>
      </c>
      <c r="BE532">
        <v>0</v>
      </c>
      <c r="BF532">
        <v>4</v>
      </c>
      <c r="BG532">
        <v>4</v>
      </c>
      <c r="BH532">
        <v>0</v>
      </c>
      <c r="BI532">
        <v>0</v>
      </c>
      <c r="BJ532">
        <v>0</v>
      </c>
      <c r="BK532">
        <v>4</v>
      </c>
      <c r="BL532">
        <v>1000</v>
      </c>
      <c r="BM532">
        <v>0</v>
      </c>
      <c r="BN532">
        <v>3</v>
      </c>
      <c r="BO532">
        <v>0</v>
      </c>
      <c r="BP532">
        <v>3</v>
      </c>
      <c r="BQ532">
        <v>0</v>
      </c>
      <c r="BR532">
        <v>0</v>
      </c>
      <c r="BS532">
        <v>0</v>
      </c>
      <c r="BT532">
        <v>0</v>
      </c>
      <c r="BU532">
        <v>1</v>
      </c>
      <c r="BV532">
        <v>0</v>
      </c>
      <c r="BW532">
        <v>972</v>
      </c>
      <c r="BX532">
        <v>0</v>
      </c>
      <c r="BY532">
        <v>2</v>
      </c>
      <c r="BZ532">
        <v>0</v>
      </c>
      <c r="CA532">
        <v>3</v>
      </c>
      <c r="CB532">
        <v>4</v>
      </c>
      <c r="CC532">
        <v>1</v>
      </c>
      <c r="CD532">
        <v>0</v>
      </c>
      <c r="CE532">
        <v>1</v>
      </c>
      <c r="CF532">
        <v>4</v>
      </c>
      <c r="CG532">
        <v>0</v>
      </c>
      <c r="CH532">
        <v>885</v>
      </c>
      <c r="CI532">
        <v>0</v>
      </c>
      <c r="CJ532">
        <v>0</v>
      </c>
      <c r="CK532">
        <v>1</v>
      </c>
      <c r="CL532">
        <v>0</v>
      </c>
      <c r="CM532">
        <v>9</v>
      </c>
      <c r="CN532">
        <v>3</v>
      </c>
      <c r="CO532">
        <v>3</v>
      </c>
      <c r="CP532">
        <v>0</v>
      </c>
      <c r="CQ532">
        <v>16</v>
      </c>
      <c r="CR532">
        <v>38</v>
      </c>
      <c r="CS532">
        <v>879</v>
      </c>
      <c r="CT532">
        <v>0</v>
      </c>
      <c r="CU532">
        <v>10</v>
      </c>
      <c r="CV532">
        <v>0</v>
      </c>
      <c r="CW532">
        <v>1</v>
      </c>
      <c r="CX532">
        <v>1</v>
      </c>
      <c r="CY532">
        <v>12</v>
      </c>
      <c r="CZ532">
        <v>2</v>
      </c>
      <c r="DA532">
        <v>0</v>
      </c>
      <c r="DB532">
        <v>0</v>
      </c>
      <c r="DC532">
        <v>0</v>
      </c>
      <c r="DD532">
        <v>1011</v>
      </c>
      <c r="DE532">
        <v>1</v>
      </c>
      <c r="DF532">
        <v>0</v>
      </c>
      <c r="DG532">
        <v>1</v>
      </c>
      <c r="DH532">
        <v>0</v>
      </c>
      <c r="DI532">
        <v>0</v>
      </c>
      <c r="DJ532">
        <v>0</v>
      </c>
      <c r="DK532">
        <v>0</v>
      </c>
      <c r="DL532">
        <v>2</v>
      </c>
      <c r="DM532">
        <v>0</v>
      </c>
      <c r="DN532">
        <v>2</v>
      </c>
      <c r="DO532">
        <v>969</v>
      </c>
      <c r="DP532">
        <v>0</v>
      </c>
      <c r="DQ532">
        <v>3</v>
      </c>
      <c r="DR532">
        <v>1</v>
      </c>
      <c r="DS532">
        <v>1</v>
      </c>
      <c r="DT532">
        <v>5</v>
      </c>
      <c r="DU532">
        <v>10</v>
      </c>
      <c r="DV532">
        <v>12</v>
      </c>
      <c r="DW532">
        <v>0</v>
      </c>
      <c r="DX532">
        <v>9</v>
      </c>
      <c r="DY532">
        <v>14</v>
      </c>
      <c r="DZ532">
        <v>954</v>
      </c>
      <c r="EA532">
        <v>0.97460000000000002</v>
      </c>
      <c r="EB532">
        <v>0.97464241094783099</v>
      </c>
      <c r="EC532">
        <v>0.97465946076004895</v>
      </c>
      <c r="ED532">
        <v>0.97423573703666</v>
      </c>
      <c r="EE532">
        <f>SUM(Table1[[#This Row],[ratio_0]:[ratio_9]])</f>
        <v>640</v>
      </c>
      <c r="EF532" s="1">
        <f>(Table1[[#This Row],[predicted_0]]-Table1[[#This Row],[actual_0]])/Table1[[#This Row],[actual_0]]</f>
        <v>-1.020408163265306E-2</v>
      </c>
      <c r="EG532" s="1">
        <f>(Table1[[#This Row],[predicted_1]]-Table1[[#This Row],[actual_1]])/Table1[[#This Row],[actual_1]]</f>
        <v>-2.8193832599118944E-2</v>
      </c>
      <c r="EH532" s="1">
        <f>(Table1[[#This Row],[predicted_2]]-Table1[[#This Row],[actual_2]])/Table1[[#This Row],[actual_2]]</f>
        <v>2.616279069767442E-2</v>
      </c>
      <c r="EI532" s="1">
        <f>(Table1[[#This Row],[predicted_3]]-Table1[[#This Row],[actual_3]])/Table1[[#This Row],[actual_3]]</f>
        <v>4.9504950495049506E-3</v>
      </c>
      <c r="EJ532" s="1">
        <f>(Table1[[#This Row],[predicted_4]]-Table1[[#This Row],[actual_4]])/Table1[[#This Row],[actual_4]]</f>
        <v>1.9348268839103868E-2</v>
      </c>
      <c r="EK532" s="1">
        <f>(Table1[[#This Row],[predicted_5]]-Table1[[#This Row],[actual_5]])/Table1[[#This Row],[actual_5]]</f>
        <v>5.829596412556054E-2</v>
      </c>
      <c r="EL532" s="1">
        <f>(Table1[[#This Row],[predicted_6]]-Table1[[#This Row],[actual_6]])/Table1[[#This Row],[actual_6]]</f>
        <v>-7.724425887265135E-2</v>
      </c>
      <c r="EM532" s="1">
        <f>(Table1[[#This Row],[predicted_7]]-Table1[[#This Row],[actual_7]])/Table1[[#This Row],[actual_7]]</f>
        <v>8.7548638132295721E-3</v>
      </c>
      <c r="EN532" s="1">
        <f>(Table1[[#This Row],[predicted_8]]-Table1[[#This Row],[actual_8]])/Table1[[#This Row],[actual_8]]</f>
        <v>5.5441478439425054E-2</v>
      </c>
      <c r="EO532" s="1">
        <f>(Table1[[#This Row],[predicted_9]]-Table1[[#This Row],[actual_9]])/Table1[[#This Row],[actual_9]]</f>
        <v>-4.9554013875123884E-2</v>
      </c>
      <c r="EP532" s="1">
        <f>1+(Table1[[#This Row],[error_ratio_0]]-EF$2)</f>
        <v>0.98775510204081629</v>
      </c>
      <c r="EQ532" s="1">
        <f>1+(Table1[[#This Row],[error_ratio_1]]-EG$2)</f>
        <v>0.97004405286343609</v>
      </c>
      <c r="ER532" s="1">
        <f>1+(Table1[[#This Row],[error_ratio_2]]-EH$2)</f>
        <v>1.0310077519379846</v>
      </c>
      <c r="ES532" s="1">
        <f>1+(Table1[[#This Row],[error_ratio_3]]-EI$2)</f>
        <v>0.99504950495049505</v>
      </c>
      <c r="ET532" s="1">
        <f>1+(Table1[[#This Row],[error_ratio_4]]-EJ$2)</f>
        <v>1.0183299389002036</v>
      </c>
      <c r="EU532" s="1">
        <f>1+(Table1[[#This Row],[error_ratio_5]]-EK$2)</f>
        <v>1.0571748878923768</v>
      </c>
      <c r="EV532" s="1">
        <f>1+(Table1[[#This Row],[error_ratio_6]]-EL$2)</f>
        <v>0.92901878914405012</v>
      </c>
      <c r="EW532" s="1">
        <f>1+(Table1[[#This Row],[error_ratio_7]]-EM$2)</f>
        <v>1.0068093385214008</v>
      </c>
      <c r="EX532" s="1">
        <f>1+(Table1[[#This Row],[error_ratio_8]]-EN$2)</f>
        <v>1.0585215605749487</v>
      </c>
      <c r="EY532" s="1">
        <f>1+(Table1[[#This Row],[error_ratio_9]]-EO$2)</f>
        <v>0.95441030723488607</v>
      </c>
    </row>
    <row r="533" spans="1:155" x14ac:dyDescent="0.75">
      <c r="A533">
        <v>100</v>
      </c>
      <c r="B533">
        <v>100</v>
      </c>
      <c r="C533">
        <v>10</v>
      </c>
      <c r="D533">
        <v>100</v>
      </c>
      <c r="E533">
        <v>100</v>
      </c>
      <c r="F533">
        <v>100</v>
      </c>
      <c r="G533">
        <v>10</v>
      </c>
      <c r="H533">
        <v>100</v>
      </c>
      <c r="I533">
        <v>100</v>
      </c>
      <c r="J533">
        <v>10</v>
      </c>
      <c r="K533">
        <v>1012</v>
      </c>
      <c r="L533">
        <v>1170</v>
      </c>
      <c r="M533">
        <v>1003</v>
      </c>
      <c r="N533">
        <v>1002</v>
      </c>
      <c r="O533">
        <v>1037</v>
      </c>
      <c r="P533">
        <v>931</v>
      </c>
      <c r="Q533">
        <v>897</v>
      </c>
      <c r="R533">
        <v>1021</v>
      </c>
      <c r="S533">
        <v>979</v>
      </c>
      <c r="T533">
        <v>948</v>
      </c>
      <c r="U533">
        <v>980</v>
      </c>
      <c r="V533">
        <v>1135</v>
      </c>
      <c r="W533">
        <v>1032</v>
      </c>
      <c r="X533">
        <v>1010</v>
      </c>
      <c r="Y533">
        <v>982</v>
      </c>
      <c r="Z533">
        <v>892</v>
      </c>
      <c r="AA533">
        <v>958</v>
      </c>
      <c r="AB533">
        <v>1028</v>
      </c>
      <c r="AC533">
        <v>974</v>
      </c>
      <c r="AD533">
        <v>1009</v>
      </c>
      <c r="AE533">
        <v>976</v>
      </c>
      <c r="AF533">
        <v>1</v>
      </c>
      <c r="AG533">
        <v>0</v>
      </c>
      <c r="AH533">
        <v>0</v>
      </c>
      <c r="AI533">
        <v>0</v>
      </c>
      <c r="AJ533">
        <v>0</v>
      </c>
      <c r="AK533">
        <v>1</v>
      </c>
      <c r="AL533">
        <v>1</v>
      </c>
      <c r="AM533">
        <v>1</v>
      </c>
      <c r="AN533">
        <v>0</v>
      </c>
      <c r="AO533">
        <v>0</v>
      </c>
      <c r="AP533">
        <v>1135</v>
      </c>
      <c r="AQ533">
        <v>0</v>
      </c>
      <c r="AR533">
        <v>0</v>
      </c>
      <c r="AS533">
        <v>0</v>
      </c>
      <c r="AT533">
        <v>0</v>
      </c>
      <c r="AU533">
        <v>0</v>
      </c>
      <c r="AV533">
        <v>0</v>
      </c>
      <c r="AW533">
        <v>0</v>
      </c>
      <c r="AX533">
        <v>0</v>
      </c>
      <c r="AY533">
        <v>11</v>
      </c>
      <c r="AZ533">
        <v>14</v>
      </c>
      <c r="BA533">
        <v>988</v>
      </c>
      <c r="BB533">
        <v>1</v>
      </c>
      <c r="BC533">
        <v>4</v>
      </c>
      <c r="BD533">
        <v>0</v>
      </c>
      <c r="BE533">
        <v>2</v>
      </c>
      <c r="BF533">
        <v>5</v>
      </c>
      <c r="BG533">
        <v>7</v>
      </c>
      <c r="BH533">
        <v>0</v>
      </c>
      <c r="BI533">
        <v>0</v>
      </c>
      <c r="BJ533">
        <v>1</v>
      </c>
      <c r="BK533">
        <v>3</v>
      </c>
      <c r="BL533">
        <v>994</v>
      </c>
      <c r="BM533">
        <v>0</v>
      </c>
      <c r="BN533">
        <v>9</v>
      </c>
      <c r="BO533">
        <v>0</v>
      </c>
      <c r="BP533">
        <v>1</v>
      </c>
      <c r="BQ533">
        <v>2</v>
      </c>
      <c r="BR533">
        <v>0</v>
      </c>
      <c r="BS533">
        <v>0</v>
      </c>
      <c r="BT533">
        <v>0</v>
      </c>
      <c r="BU533">
        <v>0</v>
      </c>
      <c r="BV533">
        <v>0</v>
      </c>
      <c r="BW533">
        <v>981</v>
      </c>
      <c r="BX533">
        <v>0</v>
      </c>
      <c r="BY533">
        <v>0</v>
      </c>
      <c r="BZ533">
        <v>0</v>
      </c>
      <c r="CA533">
        <v>0</v>
      </c>
      <c r="CB533">
        <v>1</v>
      </c>
      <c r="CC533">
        <v>2</v>
      </c>
      <c r="CD533">
        <v>0</v>
      </c>
      <c r="CE533">
        <v>0</v>
      </c>
      <c r="CF533">
        <v>3</v>
      </c>
      <c r="CG533">
        <v>0</v>
      </c>
      <c r="CH533">
        <v>885</v>
      </c>
      <c r="CI533">
        <v>0</v>
      </c>
      <c r="CJ533">
        <v>1</v>
      </c>
      <c r="CK533">
        <v>1</v>
      </c>
      <c r="CL533">
        <v>0</v>
      </c>
      <c r="CM533">
        <v>14</v>
      </c>
      <c r="CN533">
        <v>6</v>
      </c>
      <c r="CO533">
        <v>0</v>
      </c>
      <c r="CP533">
        <v>0</v>
      </c>
      <c r="CQ533">
        <v>30</v>
      </c>
      <c r="CR533">
        <v>13</v>
      </c>
      <c r="CS533">
        <v>894</v>
      </c>
      <c r="CT533">
        <v>0</v>
      </c>
      <c r="CU533">
        <v>1</v>
      </c>
      <c r="CV533">
        <v>0</v>
      </c>
      <c r="CW533">
        <v>1</v>
      </c>
      <c r="CX533">
        <v>7</v>
      </c>
      <c r="CY533">
        <v>11</v>
      </c>
      <c r="CZ533">
        <v>0</v>
      </c>
      <c r="DA533">
        <v>0</v>
      </c>
      <c r="DB533">
        <v>1</v>
      </c>
      <c r="DC533">
        <v>0</v>
      </c>
      <c r="DD533">
        <v>1003</v>
      </c>
      <c r="DE533">
        <v>2</v>
      </c>
      <c r="DF533">
        <v>3</v>
      </c>
      <c r="DG533">
        <v>1</v>
      </c>
      <c r="DH533">
        <v>0</v>
      </c>
      <c r="DI533">
        <v>1</v>
      </c>
      <c r="DJ533">
        <v>0</v>
      </c>
      <c r="DK533">
        <v>1</v>
      </c>
      <c r="DL533">
        <v>4</v>
      </c>
      <c r="DM533">
        <v>0</v>
      </c>
      <c r="DN533">
        <v>2</v>
      </c>
      <c r="DO533">
        <v>962</v>
      </c>
      <c r="DP533">
        <v>3</v>
      </c>
      <c r="DQ533">
        <v>7</v>
      </c>
      <c r="DR533">
        <v>6</v>
      </c>
      <c r="DS533">
        <v>0</v>
      </c>
      <c r="DT533">
        <v>4</v>
      </c>
      <c r="DU533">
        <v>21</v>
      </c>
      <c r="DV533">
        <v>19</v>
      </c>
      <c r="DW533">
        <v>0</v>
      </c>
      <c r="DX533">
        <v>8</v>
      </c>
      <c r="DY533">
        <v>3</v>
      </c>
      <c r="DZ533">
        <v>941</v>
      </c>
      <c r="EA533">
        <v>0.97589999999999999</v>
      </c>
      <c r="EB533">
        <v>0.97624391346091799</v>
      </c>
      <c r="EC533">
        <v>0.97577365616309997</v>
      </c>
      <c r="ED533">
        <v>0.97562321232124005</v>
      </c>
      <c r="EE533">
        <f>SUM(Table1[[#This Row],[ratio_0]:[ratio_9]])</f>
        <v>730</v>
      </c>
      <c r="EF533" s="1">
        <f>(Table1[[#This Row],[predicted_0]]-Table1[[#This Row],[actual_0]])/Table1[[#This Row],[actual_0]]</f>
        <v>3.2653061224489799E-2</v>
      </c>
      <c r="EG533" s="1">
        <f>(Table1[[#This Row],[predicted_1]]-Table1[[#This Row],[actual_1]])/Table1[[#This Row],[actual_1]]</f>
        <v>3.0837004405286344E-2</v>
      </c>
      <c r="EH533" s="1">
        <f>(Table1[[#This Row],[predicted_2]]-Table1[[#This Row],[actual_2]])/Table1[[#This Row],[actual_2]]</f>
        <v>-2.8100775193798451E-2</v>
      </c>
      <c r="EI533" s="1">
        <f>(Table1[[#This Row],[predicted_3]]-Table1[[#This Row],[actual_3]])/Table1[[#This Row],[actual_3]]</f>
        <v>-7.9207920792079209E-3</v>
      </c>
      <c r="EJ533" s="1">
        <f>(Table1[[#This Row],[predicted_4]]-Table1[[#This Row],[actual_4]])/Table1[[#This Row],[actual_4]]</f>
        <v>5.6008146639511203E-2</v>
      </c>
      <c r="EK533" s="1">
        <f>(Table1[[#This Row],[predicted_5]]-Table1[[#This Row],[actual_5]])/Table1[[#This Row],[actual_5]]</f>
        <v>4.3721973094170405E-2</v>
      </c>
      <c r="EL533" s="1">
        <f>(Table1[[#This Row],[predicted_6]]-Table1[[#This Row],[actual_6]])/Table1[[#This Row],[actual_6]]</f>
        <v>-6.3674321503131528E-2</v>
      </c>
      <c r="EM533" s="1">
        <f>(Table1[[#This Row],[predicted_7]]-Table1[[#This Row],[actual_7]])/Table1[[#This Row],[actual_7]]</f>
        <v>-6.8093385214007783E-3</v>
      </c>
      <c r="EN533" s="1">
        <f>(Table1[[#This Row],[predicted_8]]-Table1[[#This Row],[actual_8]])/Table1[[#This Row],[actual_8]]</f>
        <v>5.1334702258726897E-3</v>
      </c>
      <c r="EO533" s="1">
        <f>(Table1[[#This Row],[predicted_9]]-Table1[[#This Row],[actual_9]])/Table1[[#This Row],[actual_9]]</f>
        <v>-6.0455896927651138E-2</v>
      </c>
      <c r="EP533" s="1">
        <f>1+(Table1[[#This Row],[error_ratio_0]]-EF$2)</f>
        <v>1.0306122448979591</v>
      </c>
      <c r="EQ533" s="1">
        <f>1+(Table1[[#This Row],[error_ratio_1]]-EG$2)</f>
        <v>1.0290748898678415</v>
      </c>
      <c r="ER533" s="1">
        <f>1+(Table1[[#This Row],[error_ratio_2]]-EH$2)</f>
        <v>0.97674418604651159</v>
      </c>
      <c r="ES533" s="1">
        <f>1+(Table1[[#This Row],[error_ratio_3]]-EI$2)</f>
        <v>0.98217821782178216</v>
      </c>
      <c r="ET533" s="1">
        <f>1+(Table1[[#This Row],[error_ratio_4]]-EJ$2)</f>
        <v>1.0549898167006111</v>
      </c>
      <c r="EU533" s="1">
        <f>1+(Table1[[#This Row],[error_ratio_5]]-EK$2)</f>
        <v>1.0426008968609866</v>
      </c>
      <c r="EV533" s="1">
        <f>1+(Table1[[#This Row],[error_ratio_6]]-EL$2)</f>
        <v>0.94258872651356995</v>
      </c>
      <c r="EW533" s="1">
        <f>1+(Table1[[#This Row],[error_ratio_7]]-EM$2)</f>
        <v>0.99124513618677046</v>
      </c>
      <c r="EX533" s="1">
        <f>1+(Table1[[#This Row],[error_ratio_8]]-EN$2)</f>
        <v>1.0082135523613962</v>
      </c>
      <c r="EY533" s="1">
        <f>1+(Table1[[#This Row],[error_ratio_9]]-EO$2)</f>
        <v>0.94350842418235881</v>
      </c>
    </row>
    <row r="534" spans="1:155" x14ac:dyDescent="0.75">
      <c r="A534">
        <v>10</v>
      </c>
      <c r="B534">
        <v>100</v>
      </c>
      <c r="C534">
        <v>10</v>
      </c>
      <c r="D534">
        <v>100</v>
      </c>
      <c r="E534">
        <v>100</v>
      </c>
      <c r="F534">
        <v>100</v>
      </c>
      <c r="G534">
        <v>10</v>
      </c>
      <c r="H534">
        <v>100</v>
      </c>
      <c r="I534">
        <v>100</v>
      </c>
      <c r="J534">
        <v>10</v>
      </c>
      <c r="K534">
        <v>939</v>
      </c>
      <c r="L534">
        <v>1194</v>
      </c>
      <c r="M534">
        <v>914</v>
      </c>
      <c r="N534">
        <v>1032</v>
      </c>
      <c r="O534">
        <v>1172</v>
      </c>
      <c r="P534">
        <v>953</v>
      </c>
      <c r="Q534">
        <v>891</v>
      </c>
      <c r="R534">
        <v>1038</v>
      </c>
      <c r="S534">
        <v>1057</v>
      </c>
      <c r="T534">
        <v>810</v>
      </c>
      <c r="U534">
        <v>980</v>
      </c>
      <c r="V534">
        <v>1135</v>
      </c>
      <c r="W534">
        <v>1032</v>
      </c>
      <c r="X534">
        <v>1010</v>
      </c>
      <c r="Y534">
        <v>982</v>
      </c>
      <c r="Z534">
        <v>892</v>
      </c>
      <c r="AA534">
        <v>958</v>
      </c>
      <c r="AB534">
        <v>1028</v>
      </c>
      <c r="AC534">
        <v>974</v>
      </c>
      <c r="AD534">
        <v>1009</v>
      </c>
      <c r="AE534">
        <v>929</v>
      </c>
      <c r="AF534">
        <v>2</v>
      </c>
      <c r="AG534">
        <v>0</v>
      </c>
      <c r="AH534">
        <v>1</v>
      </c>
      <c r="AI534">
        <v>9</v>
      </c>
      <c r="AJ534">
        <v>25</v>
      </c>
      <c r="AK534">
        <v>4</v>
      </c>
      <c r="AL534">
        <v>2</v>
      </c>
      <c r="AM534">
        <v>7</v>
      </c>
      <c r="AN534">
        <v>1</v>
      </c>
      <c r="AO534">
        <v>0</v>
      </c>
      <c r="AP534">
        <v>1133</v>
      </c>
      <c r="AQ534">
        <v>0</v>
      </c>
      <c r="AR534">
        <v>1</v>
      </c>
      <c r="AS534">
        <v>0</v>
      </c>
      <c r="AT534">
        <v>1</v>
      </c>
      <c r="AU534">
        <v>0</v>
      </c>
      <c r="AV534">
        <v>0</v>
      </c>
      <c r="AW534">
        <v>0</v>
      </c>
      <c r="AX534">
        <v>0</v>
      </c>
      <c r="AY534">
        <v>3</v>
      </c>
      <c r="AZ534">
        <v>32</v>
      </c>
      <c r="BA534">
        <v>911</v>
      </c>
      <c r="BB534">
        <v>11</v>
      </c>
      <c r="BC534">
        <v>10</v>
      </c>
      <c r="BD534">
        <v>2</v>
      </c>
      <c r="BE534">
        <v>1</v>
      </c>
      <c r="BF534">
        <v>12</v>
      </c>
      <c r="BG534">
        <v>50</v>
      </c>
      <c r="BH534">
        <v>0</v>
      </c>
      <c r="BI534">
        <v>0</v>
      </c>
      <c r="BJ534">
        <v>0</v>
      </c>
      <c r="BK534">
        <v>1</v>
      </c>
      <c r="BL534">
        <v>1002</v>
      </c>
      <c r="BM534">
        <v>0</v>
      </c>
      <c r="BN534">
        <v>3</v>
      </c>
      <c r="BO534">
        <v>0</v>
      </c>
      <c r="BP534">
        <v>1</v>
      </c>
      <c r="BQ534">
        <v>3</v>
      </c>
      <c r="BR534">
        <v>0</v>
      </c>
      <c r="BS534">
        <v>0</v>
      </c>
      <c r="BT534">
        <v>0</v>
      </c>
      <c r="BU534">
        <v>0</v>
      </c>
      <c r="BV534">
        <v>0</v>
      </c>
      <c r="BW534">
        <v>982</v>
      </c>
      <c r="BX534">
        <v>0</v>
      </c>
      <c r="BY534">
        <v>0</v>
      </c>
      <c r="BZ534">
        <v>0</v>
      </c>
      <c r="CA534">
        <v>0</v>
      </c>
      <c r="CB534">
        <v>0</v>
      </c>
      <c r="CC534">
        <v>0</v>
      </c>
      <c r="CD534">
        <v>0</v>
      </c>
      <c r="CE534">
        <v>0</v>
      </c>
      <c r="CF534">
        <v>8</v>
      </c>
      <c r="CG534">
        <v>0</v>
      </c>
      <c r="CH534">
        <v>877</v>
      </c>
      <c r="CI534">
        <v>1</v>
      </c>
      <c r="CJ534">
        <v>1</v>
      </c>
      <c r="CK534">
        <v>5</v>
      </c>
      <c r="CL534">
        <v>0</v>
      </c>
      <c r="CM534">
        <v>5</v>
      </c>
      <c r="CN534">
        <v>8</v>
      </c>
      <c r="CO534">
        <v>0</v>
      </c>
      <c r="CP534">
        <v>0</v>
      </c>
      <c r="CQ534">
        <v>24</v>
      </c>
      <c r="CR534">
        <v>23</v>
      </c>
      <c r="CS534">
        <v>885</v>
      </c>
      <c r="CT534">
        <v>0</v>
      </c>
      <c r="CU534">
        <v>13</v>
      </c>
      <c r="CV534">
        <v>0</v>
      </c>
      <c r="CW534">
        <v>0</v>
      </c>
      <c r="CX534">
        <v>11</v>
      </c>
      <c r="CY534">
        <v>2</v>
      </c>
      <c r="CZ534">
        <v>0</v>
      </c>
      <c r="DA534">
        <v>1</v>
      </c>
      <c r="DB534">
        <v>0</v>
      </c>
      <c r="DC534">
        <v>0</v>
      </c>
      <c r="DD534">
        <v>1013</v>
      </c>
      <c r="DE534">
        <v>1</v>
      </c>
      <c r="DF534">
        <v>0</v>
      </c>
      <c r="DG534">
        <v>0</v>
      </c>
      <c r="DH534">
        <v>0</v>
      </c>
      <c r="DI534">
        <v>0</v>
      </c>
      <c r="DJ534">
        <v>0</v>
      </c>
      <c r="DK534">
        <v>3</v>
      </c>
      <c r="DL534">
        <v>1</v>
      </c>
      <c r="DM534">
        <v>0</v>
      </c>
      <c r="DN534">
        <v>1</v>
      </c>
      <c r="DO534">
        <v>969</v>
      </c>
      <c r="DP534">
        <v>0</v>
      </c>
      <c r="DQ534">
        <v>2</v>
      </c>
      <c r="DR534">
        <v>8</v>
      </c>
      <c r="DS534">
        <v>0</v>
      </c>
      <c r="DT534">
        <v>9</v>
      </c>
      <c r="DU534">
        <v>143</v>
      </c>
      <c r="DV534">
        <v>21</v>
      </c>
      <c r="DW534">
        <v>0</v>
      </c>
      <c r="DX534">
        <v>8</v>
      </c>
      <c r="DY534">
        <v>9</v>
      </c>
      <c r="DZ534">
        <v>809</v>
      </c>
      <c r="EA534">
        <v>0.95099999999999996</v>
      </c>
      <c r="EB534">
        <v>0.95487375008094699</v>
      </c>
      <c r="EC534">
        <v>0.95100706885919295</v>
      </c>
      <c r="ED534">
        <v>0.95029248294099</v>
      </c>
      <c r="EE534">
        <f>SUM(Table1[[#This Row],[ratio_0]:[ratio_9]])</f>
        <v>640</v>
      </c>
      <c r="EF534" s="1">
        <f>(Table1[[#This Row],[predicted_0]]-Table1[[#This Row],[actual_0]])/Table1[[#This Row],[actual_0]]</f>
        <v>-4.1836734693877553E-2</v>
      </c>
      <c r="EG534" s="1">
        <f>(Table1[[#This Row],[predicted_1]]-Table1[[#This Row],[actual_1]])/Table1[[#This Row],[actual_1]]</f>
        <v>5.1982378854625554E-2</v>
      </c>
      <c r="EH534" s="1">
        <f>(Table1[[#This Row],[predicted_2]]-Table1[[#This Row],[actual_2]])/Table1[[#This Row],[actual_2]]</f>
        <v>-0.11434108527131782</v>
      </c>
      <c r="EI534" s="1">
        <f>(Table1[[#This Row],[predicted_3]]-Table1[[#This Row],[actual_3]])/Table1[[#This Row],[actual_3]]</f>
        <v>2.1782178217821781E-2</v>
      </c>
      <c r="EJ534" s="1">
        <f>(Table1[[#This Row],[predicted_4]]-Table1[[#This Row],[actual_4]])/Table1[[#This Row],[actual_4]]</f>
        <v>0.19348268839103869</v>
      </c>
      <c r="EK534" s="1">
        <f>(Table1[[#This Row],[predicted_5]]-Table1[[#This Row],[actual_5]])/Table1[[#This Row],[actual_5]]</f>
        <v>6.838565022421525E-2</v>
      </c>
      <c r="EL534" s="1">
        <f>(Table1[[#This Row],[predicted_6]]-Table1[[#This Row],[actual_6]])/Table1[[#This Row],[actual_6]]</f>
        <v>-6.9937369519832981E-2</v>
      </c>
      <c r="EM534" s="1">
        <f>(Table1[[#This Row],[predicted_7]]-Table1[[#This Row],[actual_7]])/Table1[[#This Row],[actual_7]]</f>
        <v>9.727626459143969E-3</v>
      </c>
      <c r="EN534" s="1">
        <f>(Table1[[#This Row],[predicted_8]]-Table1[[#This Row],[actual_8]])/Table1[[#This Row],[actual_8]]</f>
        <v>8.5215605749486653E-2</v>
      </c>
      <c r="EO534" s="1">
        <f>(Table1[[#This Row],[predicted_9]]-Table1[[#This Row],[actual_9]])/Table1[[#This Row],[actual_9]]</f>
        <v>-0.19722497522299307</v>
      </c>
      <c r="EP534" s="1">
        <f>1+(Table1[[#This Row],[error_ratio_0]]-EF$2)</f>
        <v>0.95612244897959187</v>
      </c>
      <c r="EQ534" s="1">
        <f>1+(Table1[[#This Row],[error_ratio_1]]-EG$2)</f>
        <v>1.0502202643171805</v>
      </c>
      <c r="ER534" s="1">
        <f>1+(Table1[[#This Row],[error_ratio_2]]-EH$2)</f>
        <v>0.89050387596899228</v>
      </c>
      <c r="ES534" s="1">
        <f>1+(Table1[[#This Row],[error_ratio_3]]-EI$2)</f>
        <v>1.0118811881188119</v>
      </c>
      <c r="ET534" s="1">
        <f>1+(Table1[[#This Row],[error_ratio_4]]-EJ$2)</f>
        <v>1.1924643584521384</v>
      </c>
      <c r="EU534" s="1">
        <f>1+(Table1[[#This Row],[error_ratio_5]]-EK$2)</f>
        <v>1.0672645739910314</v>
      </c>
      <c r="EV534" s="1">
        <f>1+(Table1[[#This Row],[error_ratio_6]]-EL$2)</f>
        <v>0.93632567849686854</v>
      </c>
      <c r="EW534" s="1">
        <f>1+(Table1[[#This Row],[error_ratio_7]]-EM$2)</f>
        <v>1.0077821011673151</v>
      </c>
      <c r="EX534" s="1">
        <f>1+(Table1[[#This Row],[error_ratio_8]]-EN$2)</f>
        <v>1.0882956878850103</v>
      </c>
      <c r="EY534" s="1">
        <f>1+(Table1[[#This Row],[error_ratio_9]]-EO$2)</f>
        <v>0.8067393458870169</v>
      </c>
    </row>
    <row r="535" spans="1:155" x14ac:dyDescent="0.75">
      <c r="A535">
        <v>100</v>
      </c>
      <c r="B535">
        <v>10</v>
      </c>
      <c r="C535">
        <v>10</v>
      </c>
      <c r="D535">
        <v>100</v>
      </c>
      <c r="E535">
        <v>100</v>
      </c>
      <c r="F535">
        <v>100</v>
      </c>
      <c r="G535">
        <v>10</v>
      </c>
      <c r="H535">
        <v>100</v>
      </c>
      <c r="I535">
        <v>100</v>
      </c>
      <c r="J535">
        <v>10</v>
      </c>
      <c r="K535">
        <v>1017</v>
      </c>
      <c r="L535">
        <v>1132</v>
      </c>
      <c r="M535">
        <v>924</v>
      </c>
      <c r="N535">
        <v>1049</v>
      </c>
      <c r="O535">
        <v>1047</v>
      </c>
      <c r="P535">
        <v>933</v>
      </c>
      <c r="Q535">
        <v>903</v>
      </c>
      <c r="R535">
        <v>1093</v>
      </c>
      <c r="S535">
        <v>1023</v>
      </c>
      <c r="T535">
        <v>879</v>
      </c>
      <c r="U535">
        <v>980</v>
      </c>
      <c r="V535">
        <v>1135</v>
      </c>
      <c r="W535">
        <v>1032</v>
      </c>
      <c r="X535">
        <v>1010</v>
      </c>
      <c r="Y535">
        <v>982</v>
      </c>
      <c r="Z535">
        <v>892</v>
      </c>
      <c r="AA535">
        <v>958</v>
      </c>
      <c r="AB535">
        <v>1028</v>
      </c>
      <c r="AC535">
        <v>974</v>
      </c>
      <c r="AD535">
        <v>1009</v>
      </c>
      <c r="AE535">
        <v>973</v>
      </c>
      <c r="AF535">
        <v>0</v>
      </c>
      <c r="AG535">
        <v>0</v>
      </c>
      <c r="AH535">
        <v>0</v>
      </c>
      <c r="AI535">
        <v>0</v>
      </c>
      <c r="AJ535">
        <v>1</v>
      </c>
      <c r="AK535">
        <v>0</v>
      </c>
      <c r="AL535">
        <v>3</v>
      </c>
      <c r="AM535">
        <v>3</v>
      </c>
      <c r="AN535">
        <v>0</v>
      </c>
      <c r="AO535">
        <v>0</v>
      </c>
      <c r="AP535">
        <v>1123</v>
      </c>
      <c r="AQ535">
        <v>0</v>
      </c>
      <c r="AR535">
        <v>7</v>
      </c>
      <c r="AS535">
        <v>2</v>
      </c>
      <c r="AT535">
        <v>0</v>
      </c>
      <c r="AU535">
        <v>0</v>
      </c>
      <c r="AV535">
        <v>1</v>
      </c>
      <c r="AW535">
        <v>2</v>
      </c>
      <c r="AX535">
        <v>0</v>
      </c>
      <c r="AY535">
        <v>17</v>
      </c>
      <c r="AZ535">
        <v>1</v>
      </c>
      <c r="BA535">
        <v>919</v>
      </c>
      <c r="BB535">
        <v>26</v>
      </c>
      <c r="BC535">
        <v>8</v>
      </c>
      <c r="BD535">
        <v>0</v>
      </c>
      <c r="BE535">
        <v>1</v>
      </c>
      <c r="BF535">
        <v>26</v>
      </c>
      <c r="BG535">
        <v>34</v>
      </c>
      <c r="BH535">
        <v>0</v>
      </c>
      <c r="BI535">
        <v>0</v>
      </c>
      <c r="BJ535">
        <v>0</v>
      </c>
      <c r="BK535">
        <v>1</v>
      </c>
      <c r="BL535">
        <v>995</v>
      </c>
      <c r="BM535">
        <v>0</v>
      </c>
      <c r="BN535">
        <v>6</v>
      </c>
      <c r="BO535">
        <v>0</v>
      </c>
      <c r="BP535">
        <v>6</v>
      </c>
      <c r="BQ535">
        <v>1</v>
      </c>
      <c r="BR535">
        <v>1</v>
      </c>
      <c r="BS535">
        <v>0</v>
      </c>
      <c r="BT535">
        <v>0</v>
      </c>
      <c r="BU535">
        <v>0</v>
      </c>
      <c r="BV535">
        <v>0</v>
      </c>
      <c r="BW535">
        <v>980</v>
      </c>
      <c r="BX535">
        <v>0</v>
      </c>
      <c r="BY535">
        <v>0</v>
      </c>
      <c r="BZ535">
        <v>1</v>
      </c>
      <c r="CA535">
        <v>1</v>
      </c>
      <c r="CB535">
        <v>0</v>
      </c>
      <c r="CC535">
        <v>2</v>
      </c>
      <c r="CD535">
        <v>0</v>
      </c>
      <c r="CE535">
        <v>0</v>
      </c>
      <c r="CF535">
        <v>4</v>
      </c>
      <c r="CG535">
        <v>0</v>
      </c>
      <c r="CH535">
        <v>885</v>
      </c>
      <c r="CI535">
        <v>1</v>
      </c>
      <c r="CJ535">
        <v>0</v>
      </c>
      <c r="CK535">
        <v>0</v>
      </c>
      <c r="CL535">
        <v>0</v>
      </c>
      <c r="CM535">
        <v>18</v>
      </c>
      <c r="CN535">
        <v>3</v>
      </c>
      <c r="CO535">
        <v>1</v>
      </c>
      <c r="CP535">
        <v>1</v>
      </c>
      <c r="CQ535">
        <v>15</v>
      </c>
      <c r="CR535">
        <v>14</v>
      </c>
      <c r="CS535">
        <v>901</v>
      </c>
      <c r="CT535">
        <v>0</v>
      </c>
      <c r="CU535">
        <v>5</v>
      </c>
      <c r="CV535">
        <v>0</v>
      </c>
      <c r="CW535">
        <v>0</v>
      </c>
      <c r="CX535">
        <v>2</v>
      </c>
      <c r="CY535">
        <v>3</v>
      </c>
      <c r="CZ535">
        <v>2</v>
      </c>
      <c r="DA535">
        <v>0</v>
      </c>
      <c r="DB535">
        <v>1</v>
      </c>
      <c r="DC535">
        <v>0</v>
      </c>
      <c r="DD535">
        <v>1017</v>
      </c>
      <c r="DE535">
        <v>3</v>
      </c>
      <c r="DF535">
        <v>0</v>
      </c>
      <c r="DG535">
        <v>2</v>
      </c>
      <c r="DH535">
        <v>0</v>
      </c>
      <c r="DI535">
        <v>0</v>
      </c>
      <c r="DJ535">
        <v>2</v>
      </c>
      <c r="DK535">
        <v>1</v>
      </c>
      <c r="DL535">
        <v>2</v>
      </c>
      <c r="DM535">
        <v>0</v>
      </c>
      <c r="DN535">
        <v>4</v>
      </c>
      <c r="DO535">
        <v>963</v>
      </c>
      <c r="DP535">
        <v>0</v>
      </c>
      <c r="DQ535">
        <v>5</v>
      </c>
      <c r="DR535">
        <v>3</v>
      </c>
      <c r="DS535">
        <v>0</v>
      </c>
      <c r="DT535">
        <v>12</v>
      </c>
      <c r="DU535">
        <v>41</v>
      </c>
      <c r="DV535">
        <v>24</v>
      </c>
      <c r="DW535">
        <v>0</v>
      </c>
      <c r="DX535">
        <v>35</v>
      </c>
      <c r="DY535">
        <v>11</v>
      </c>
      <c r="DZ535">
        <v>878</v>
      </c>
      <c r="EA535">
        <v>0.96340000000000003</v>
      </c>
      <c r="EB535">
        <v>0.96449198923684798</v>
      </c>
      <c r="EC535">
        <v>0.96367281568293905</v>
      </c>
      <c r="ED535">
        <v>0.96290254939272901</v>
      </c>
      <c r="EE535">
        <f>SUM(Table1[[#This Row],[ratio_0]:[ratio_9]])</f>
        <v>640</v>
      </c>
      <c r="EF535" s="1">
        <f>(Table1[[#This Row],[predicted_0]]-Table1[[#This Row],[actual_0]])/Table1[[#This Row],[actual_0]]</f>
        <v>3.7755102040816328E-2</v>
      </c>
      <c r="EG535" s="1">
        <f>(Table1[[#This Row],[predicted_1]]-Table1[[#This Row],[actual_1]])/Table1[[#This Row],[actual_1]]</f>
        <v>-2.6431718061674008E-3</v>
      </c>
      <c r="EH535" s="1">
        <f>(Table1[[#This Row],[predicted_2]]-Table1[[#This Row],[actual_2]])/Table1[[#This Row],[actual_2]]</f>
        <v>-0.10465116279069768</v>
      </c>
      <c r="EI535" s="1">
        <f>(Table1[[#This Row],[predicted_3]]-Table1[[#This Row],[actual_3]])/Table1[[#This Row],[actual_3]]</f>
        <v>3.8613861386138613E-2</v>
      </c>
      <c r="EJ535" s="1">
        <f>(Table1[[#This Row],[predicted_4]]-Table1[[#This Row],[actual_4]])/Table1[[#This Row],[actual_4]]</f>
        <v>6.6191446028513234E-2</v>
      </c>
      <c r="EK535" s="1">
        <f>(Table1[[#This Row],[predicted_5]]-Table1[[#This Row],[actual_5]])/Table1[[#This Row],[actual_5]]</f>
        <v>4.5964125560538117E-2</v>
      </c>
      <c r="EL535" s="1">
        <f>(Table1[[#This Row],[predicted_6]]-Table1[[#This Row],[actual_6]])/Table1[[#This Row],[actual_6]]</f>
        <v>-5.7411273486430062E-2</v>
      </c>
      <c r="EM535" s="1">
        <f>(Table1[[#This Row],[predicted_7]]-Table1[[#This Row],[actual_7]])/Table1[[#This Row],[actual_7]]</f>
        <v>6.3229571984435795E-2</v>
      </c>
      <c r="EN535" s="1">
        <f>(Table1[[#This Row],[predicted_8]]-Table1[[#This Row],[actual_8]])/Table1[[#This Row],[actual_8]]</f>
        <v>5.0308008213552365E-2</v>
      </c>
      <c r="EO535" s="1">
        <f>(Table1[[#This Row],[predicted_9]]-Table1[[#This Row],[actual_9]])/Table1[[#This Row],[actual_9]]</f>
        <v>-0.12884043607532211</v>
      </c>
      <c r="EP535" s="1">
        <f>1+(Table1[[#This Row],[error_ratio_0]]-EF$2)</f>
        <v>1.0357142857142858</v>
      </c>
      <c r="EQ535" s="1">
        <f>1+(Table1[[#This Row],[error_ratio_1]]-EG$2)</f>
        <v>0.99559471365638763</v>
      </c>
      <c r="ER535" s="1">
        <f>1+(Table1[[#This Row],[error_ratio_2]]-EH$2)</f>
        <v>0.90019379844961245</v>
      </c>
      <c r="ES535" s="1">
        <f>1+(Table1[[#This Row],[error_ratio_3]]-EI$2)</f>
        <v>1.0287128712871287</v>
      </c>
      <c r="ET535" s="1">
        <f>1+(Table1[[#This Row],[error_ratio_4]]-EJ$2)</f>
        <v>1.065173116089613</v>
      </c>
      <c r="EU535" s="1">
        <f>1+(Table1[[#This Row],[error_ratio_5]]-EK$2)</f>
        <v>1.0448430493273542</v>
      </c>
      <c r="EV535" s="1">
        <f>1+(Table1[[#This Row],[error_ratio_6]]-EL$2)</f>
        <v>0.94885177453027136</v>
      </c>
      <c r="EW535" s="1">
        <f>1+(Table1[[#This Row],[error_ratio_7]]-EM$2)</f>
        <v>1.061284046692607</v>
      </c>
      <c r="EX535" s="1">
        <f>1+(Table1[[#This Row],[error_ratio_8]]-EN$2)</f>
        <v>1.053388090349076</v>
      </c>
      <c r="EY535" s="1">
        <f>1+(Table1[[#This Row],[error_ratio_9]]-EO$2)</f>
        <v>0.87512388503468785</v>
      </c>
    </row>
    <row r="536" spans="1:155" x14ac:dyDescent="0.75">
      <c r="A536">
        <v>10</v>
      </c>
      <c r="B536">
        <v>10</v>
      </c>
      <c r="C536">
        <v>10</v>
      </c>
      <c r="D536">
        <v>100</v>
      </c>
      <c r="E536">
        <v>100</v>
      </c>
      <c r="F536">
        <v>100</v>
      </c>
      <c r="G536">
        <v>10</v>
      </c>
      <c r="H536">
        <v>100</v>
      </c>
      <c r="I536">
        <v>100</v>
      </c>
      <c r="J536">
        <v>10</v>
      </c>
      <c r="K536">
        <v>960</v>
      </c>
      <c r="L536">
        <v>932</v>
      </c>
      <c r="M536">
        <v>1074</v>
      </c>
      <c r="N536">
        <v>1044</v>
      </c>
      <c r="O536">
        <v>1066</v>
      </c>
      <c r="P536">
        <v>938</v>
      </c>
      <c r="Q536">
        <v>924</v>
      </c>
      <c r="R536">
        <v>1004</v>
      </c>
      <c r="S536">
        <v>1220</v>
      </c>
      <c r="T536">
        <v>838</v>
      </c>
      <c r="U536">
        <v>980</v>
      </c>
      <c r="V536">
        <v>1135</v>
      </c>
      <c r="W536">
        <v>1032</v>
      </c>
      <c r="X536">
        <v>1010</v>
      </c>
      <c r="Y536">
        <v>982</v>
      </c>
      <c r="Z536">
        <v>892</v>
      </c>
      <c r="AA536">
        <v>958</v>
      </c>
      <c r="AB536">
        <v>1028</v>
      </c>
      <c r="AC536">
        <v>974</v>
      </c>
      <c r="AD536">
        <v>1009</v>
      </c>
      <c r="AE536">
        <v>952</v>
      </c>
      <c r="AF536">
        <v>0</v>
      </c>
      <c r="AG536">
        <v>4</v>
      </c>
      <c r="AH536">
        <v>0</v>
      </c>
      <c r="AI536">
        <v>2</v>
      </c>
      <c r="AJ536">
        <v>5</v>
      </c>
      <c r="AK536">
        <v>6</v>
      </c>
      <c r="AL536">
        <v>1</v>
      </c>
      <c r="AM536">
        <v>10</v>
      </c>
      <c r="AN536">
        <v>0</v>
      </c>
      <c r="AO536">
        <v>0</v>
      </c>
      <c r="AP536">
        <v>930</v>
      </c>
      <c r="AQ536">
        <v>5</v>
      </c>
      <c r="AR536">
        <v>3</v>
      </c>
      <c r="AS536">
        <v>0</v>
      </c>
      <c r="AT536">
        <v>2</v>
      </c>
      <c r="AU536">
        <v>2</v>
      </c>
      <c r="AV536">
        <v>5</v>
      </c>
      <c r="AW536">
        <v>188</v>
      </c>
      <c r="AX536">
        <v>0</v>
      </c>
      <c r="AY536">
        <v>1</v>
      </c>
      <c r="AZ536">
        <v>0</v>
      </c>
      <c r="BA536">
        <v>1005</v>
      </c>
      <c r="BB536">
        <v>7</v>
      </c>
      <c r="BC536">
        <v>2</v>
      </c>
      <c r="BD536">
        <v>0</v>
      </c>
      <c r="BE536">
        <v>0</v>
      </c>
      <c r="BF536">
        <v>7</v>
      </c>
      <c r="BG536">
        <v>10</v>
      </c>
      <c r="BH536">
        <v>0</v>
      </c>
      <c r="BI536">
        <v>0</v>
      </c>
      <c r="BJ536">
        <v>0</v>
      </c>
      <c r="BK536">
        <v>2</v>
      </c>
      <c r="BL536">
        <v>999</v>
      </c>
      <c r="BM536">
        <v>0</v>
      </c>
      <c r="BN536">
        <v>3</v>
      </c>
      <c r="BO536">
        <v>0</v>
      </c>
      <c r="BP536">
        <v>1</v>
      </c>
      <c r="BQ536">
        <v>5</v>
      </c>
      <c r="BR536">
        <v>0</v>
      </c>
      <c r="BS536">
        <v>0</v>
      </c>
      <c r="BT536">
        <v>0</v>
      </c>
      <c r="BU536">
        <v>1</v>
      </c>
      <c r="BV536">
        <v>0</v>
      </c>
      <c r="BW536">
        <v>978</v>
      </c>
      <c r="BX536">
        <v>0</v>
      </c>
      <c r="BY536">
        <v>1</v>
      </c>
      <c r="BZ536">
        <v>0</v>
      </c>
      <c r="CA536">
        <v>2</v>
      </c>
      <c r="CB536">
        <v>0</v>
      </c>
      <c r="CC536">
        <v>0</v>
      </c>
      <c r="CD536">
        <v>0</v>
      </c>
      <c r="CE536">
        <v>1</v>
      </c>
      <c r="CF536">
        <v>13</v>
      </c>
      <c r="CG536">
        <v>0</v>
      </c>
      <c r="CH536">
        <v>871</v>
      </c>
      <c r="CI536">
        <v>1</v>
      </c>
      <c r="CJ536">
        <v>0</v>
      </c>
      <c r="CK536">
        <v>6</v>
      </c>
      <c r="CL536">
        <v>0</v>
      </c>
      <c r="CM536">
        <v>2</v>
      </c>
      <c r="CN536">
        <v>1</v>
      </c>
      <c r="CO536">
        <v>15</v>
      </c>
      <c r="CP536">
        <v>0</v>
      </c>
      <c r="CQ536">
        <v>9</v>
      </c>
      <c r="CR536">
        <v>14</v>
      </c>
      <c r="CS536">
        <v>914</v>
      </c>
      <c r="CT536">
        <v>0</v>
      </c>
      <c r="CU536">
        <v>3</v>
      </c>
      <c r="CV536">
        <v>0</v>
      </c>
      <c r="CW536">
        <v>1</v>
      </c>
      <c r="CX536">
        <v>1</v>
      </c>
      <c r="CY536">
        <v>36</v>
      </c>
      <c r="CZ536">
        <v>6</v>
      </c>
      <c r="DA536">
        <v>0</v>
      </c>
      <c r="DB536">
        <v>0</v>
      </c>
      <c r="DC536">
        <v>0</v>
      </c>
      <c r="DD536">
        <v>977</v>
      </c>
      <c r="DE536">
        <v>6</v>
      </c>
      <c r="DF536">
        <v>1</v>
      </c>
      <c r="DG536">
        <v>1</v>
      </c>
      <c r="DH536">
        <v>0</v>
      </c>
      <c r="DI536">
        <v>0</v>
      </c>
      <c r="DJ536">
        <v>1</v>
      </c>
      <c r="DK536">
        <v>1</v>
      </c>
      <c r="DL536">
        <v>5</v>
      </c>
      <c r="DM536">
        <v>0</v>
      </c>
      <c r="DN536">
        <v>0</v>
      </c>
      <c r="DO536">
        <v>966</v>
      </c>
      <c r="DP536">
        <v>0</v>
      </c>
      <c r="DQ536">
        <v>3</v>
      </c>
      <c r="DR536">
        <v>0</v>
      </c>
      <c r="DS536">
        <v>5</v>
      </c>
      <c r="DT536">
        <v>15</v>
      </c>
      <c r="DU536">
        <v>74</v>
      </c>
      <c r="DV536">
        <v>38</v>
      </c>
      <c r="DW536">
        <v>0</v>
      </c>
      <c r="DX536">
        <v>13</v>
      </c>
      <c r="DY536">
        <v>24</v>
      </c>
      <c r="DZ536">
        <v>837</v>
      </c>
      <c r="EA536">
        <v>0.94289999999999996</v>
      </c>
      <c r="EB536">
        <v>0.94810863395775602</v>
      </c>
      <c r="EC536">
        <v>0.94519227570588105</v>
      </c>
      <c r="ED536">
        <v>0.943528023269956</v>
      </c>
      <c r="EE536">
        <f>SUM(Table1[[#This Row],[ratio_0]:[ratio_9]])</f>
        <v>550</v>
      </c>
      <c r="EF536" s="1">
        <f>(Table1[[#This Row],[predicted_0]]-Table1[[#This Row],[actual_0]])/Table1[[#This Row],[actual_0]]</f>
        <v>-2.0408163265306121E-2</v>
      </c>
      <c r="EG536" s="1">
        <f>(Table1[[#This Row],[predicted_1]]-Table1[[#This Row],[actual_1]])/Table1[[#This Row],[actual_1]]</f>
        <v>-0.17885462555066078</v>
      </c>
      <c r="EH536" s="1">
        <f>(Table1[[#This Row],[predicted_2]]-Table1[[#This Row],[actual_2]])/Table1[[#This Row],[actual_2]]</f>
        <v>4.0697674418604654E-2</v>
      </c>
      <c r="EI536" s="1">
        <f>(Table1[[#This Row],[predicted_3]]-Table1[[#This Row],[actual_3]])/Table1[[#This Row],[actual_3]]</f>
        <v>3.3663366336633666E-2</v>
      </c>
      <c r="EJ536" s="1">
        <f>(Table1[[#This Row],[predicted_4]]-Table1[[#This Row],[actual_4]])/Table1[[#This Row],[actual_4]]</f>
        <v>8.5539714867617106E-2</v>
      </c>
      <c r="EK536" s="1">
        <f>(Table1[[#This Row],[predicted_5]]-Table1[[#This Row],[actual_5]])/Table1[[#This Row],[actual_5]]</f>
        <v>5.1569506726457402E-2</v>
      </c>
      <c r="EL536" s="1">
        <f>(Table1[[#This Row],[predicted_6]]-Table1[[#This Row],[actual_6]])/Table1[[#This Row],[actual_6]]</f>
        <v>-3.5490605427974949E-2</v>
      </c>
      <c r="EM536" s="1">
        <f>(Table1[[#This Row],[predicted_7]]-Table1[[#This Row],[actual_7]])/Table1[[#This Row],[actual_7]]</f>
        <v>-2.3346303501945526E-2</v>
      </c>
      <c r="EN536" s="1">
        <f>(Table1[[#This Row],[predicted_8]]-Table1[[#This Row],[actual_8]])/Table1[[#This Row],[actual_8]]</f>
        <v>0.25256673511293637</v>
      </c>
      <c r="EO536" s="1">
        <f>(Table1[[#This Row],[predicted_9]]-Table1[[#This Row],[actual_9]])/Table1[[#This Row],[actual_9]]</f>
        <v>-0.16947472745292369</v>
      </c>
      <c r="EP536" s="1">
        <f>1+(Table1[[#This Row],[error_ratio_0]]-EF$2)</f>
        <v>0.97755102040816322</v>
      </c>
      <c r="EQ536" s="1">
        <f>1+(Table1[[#This Row],[error_ratio_1]]-EG$2)</f>
        <v>0.81938325991189431</v>
      </c>
      <c r="ER536" s="1">
        <f>1+(Table1[[#This Row],[error_ratio_2]]-EH$2)</f>
        <v>1.0455426356589148</v>
      </c>
      <c r="ES536" s="1">
        <f>1+(Table1[[#This Row],[error_ratio_3]]-EI$2)</f>
        <v>1.0237623762376238</v>
      </c>
      <c r="ET536" s="1">
        <f>1+(Table1[[#This Row],[error_ratio_4]]-EJ$2)</f>
        <v>1.084521384928717</v>
      </c>
      <c r="EU536" s="1">
        <f>1+(Table1[[#This Row],[error_ratio_5]]-EK$2)</f>
        <v>1.0504484304932735</v>
      </c>
      <c r="EV536" s="1">
        <f>1+(Table1[[#This Row],[error_ratio_6]]-EL$2)</f>
        <v>0.97077244258872653</v>
      </c>
      <c r="EW536" s="1">
        <f>1+(Table1[[#This Row],[error_ratio_7]]-EM$2)</f>
        <v>0.97470817120622566</v>
      </c>
      <c r="EX536" s="1">
        <f>1+(Table1[[#This Row],[error_ratio_8]]-EN$2)</f>
        <v>1.2556468172484601</v>
      </c>
      <c r="EY536" s="1">
        <f>1+(Table1[[#This Row],[error_ratio_9]]-EO$2)</f>
        <v>0.83448959365708619</v>
      </c>
    </row>
    <row r="537" spans="1:155" x14ac:dyDescent="0.75">
      <c r="A537">
        <v>10</v>
      </c>
      <c r="B537">
        <v>100</v>
      </c>
      <c r="C537">
        <v>100</v>
      </c>
      <c r="D537">
        <v>10</v>
      </c>
      <c r="E537">
        <v>100</v>
      </c>
      <c r="F537">
        <v>100</v>
      </c>
      <c r="G537">
        <v>10</v>
      </c>
      <c r="H537">
        <v>100</v>
      </c>
      <c r="I537">
        <v>100</v>
      </c>
      <c r="J537">
        <v>10</v>
      </c>
      <c r="K537">
        <v>981</v>
      </c>
      <c r="L537">
        <v>1141</v>
      </c>
      <c r="M537">
        <v>1030</v>
      </c>
      <c r="N537">
        <v>980</v>
      </c>
      <c r="O537">
        <v>1049</v>
      </c>
      <c r="P537">
        <v>888</v>
      </c>
      <c r="Q537">
        <v>925</v>
      </c>
      <c r="R537">
        <v>1069</v>
      </c>
      <c r="S537">
        <v>1042</v>
      </c>
      <c r="T537">
        <v>895</v>
      </c>
      <c r="U537">
        <v>980</v>
      </c>
      <c r="V537">
        <v>1135</v>
      </c>
      <c r="W537">
        <v>1032</v>
      </c>
      <c r="X537">
        <v>1010</v>
      </c>
      <c r="Y537">
        <v>982</v>
      </c>
      <c r="Z537">
        <v>892</v>
      </c>
      <c r="AA537">
        <v>958</v>
      </c>
      <c r="AB537">
        <v>1028</v>
      </c>
      <c r="AC537">
        <v>974</v>
      </c>
      <c r="AD537">
        <v>1009</v>
      </c>
      <c r="AE537">
        <v>957</v>
      </c>
      <c r="AF537">
        <v>1</v>
      </c>
      <c r="AG537">
        <v>2</v>
      </c>
      <c r="AH537">
        <v>0</v>
      </c>
      <c r="AI537">
        <v>4</v>
      </c>
      <c r="AJ537">
        <v>1</v>
      </c>
      <c r="AK537">
        <v>0</v>
      </c>
      <c r="AL537">
        <v>7</v>
      </c>
      <c r="AM537">
        <v>6</v>
      </c>
      <c r="AN537">
        <v>2</v>
      </c>
      <c r="AO537">
        <v>0</v>
      </c>
      <c r="AP537">
        <v>1130</v>
      </c>
      <c r="AQ537">
        <v>3</v>
      </c>
      <c r="AR537">
        <v>1</v>
      </c>
      <c r="AS537">
        <v>0</v>
      </c>
      <c r="AT537">
        <v>0</v>
      </c>
      <c r="AU537">
        <v>0</v>
      </c>
      <c r="AV537">
        <v>0</v>
      </c>
      <c r="AW537">
        <v>1</v>
      </c>
      <c r="AX537">
        <v>0</v>
      </c>
      <c r="AY537">
        <v>2</v>
      </c>
      <c r="AZ537">
        <v>1</v>
      </c>
      <c r="BA537">
        <v>1003</v>
      </c>
      <c r="BB537">
        <v>0</v>
      </c>
      <c r="BC537">
        <v>2</v>
      </c>
      <c r="BD537">
        <v>0</v>
      </c>
      <c r="BE537">
        <v>0</v>
      </c>
      <c r="BF537">
        <v>9</v>
      </c>
      <c r="BG537">
        <v>15</v>
      </c>
      <c r="BH537">
        <v>0</v>
      </c>
      <c r="BI537">
        <v>0</v>
      </c>
      <c r="BJ537">
        <v>0</v>
      </c>
      <c r="BK537">
        <v>9</v>
      </c>
      <c r="BL537">
        <v>966</v>
      </c>
      <c r="BM537">
        <v>0</v>
      </c>
      <c r="BN537">
        <v>9</v>
      </c>
      <c r="BO537">
        <v>0</v>
      </c>
      <c r="BP537">
        <v>13</v>
      </c>
      <c r="BQ537">
        <v>12</v>
      </c>
      <c r="BR537">
        <v>1</v>
      </c>
      <c r="BS537">
        <v>0</v>
      </c>
      <c r="BT537">
        <v>1</v>
      </c>
      <c r="BU537">
        <v>1</v>
      </c>
      <c r="BV537">
        <v>0</v>
      </c>
      <c r="BW537">
        <v>978</v>
      </c>
      <c r="BX537">
        <v>0</v>
      </c>
      <c r="BY537">
        <v>2</v>
      </c>
      <c r="BZ537">
        <v>0</v>
      </c>
      <c r="CA537">
        <v>0</v>
      </c>
      <c r="CB537">
        <v>0</v>
      </c>
      <c r="CC537">
        <v>2</v>
      </c>
      <c r="CD537">
        <v>0</v>
      </c>
      <c r="CE537">
        <v>0</v>
      </c>
      <c r="CF537">
        <v>5</v>
      </c>
      <c r="CG537">
        <v>0</v>
      </c>
      <c r="CH537">
        <v>871</v>
      </c>
      <c r="CI537">
        <v>1</v>
      </c>
      <c r="CJ537">
        <v>1</v>
      </c>
      <c r="CK537">
        <v>11</v>
      </c>
      <c r="CL537">
        <v>1</v>
      </c>
      <c r="CM537">
        <v>13</v>
      </c>
      <c r="CN537">
        <v>3</v>
      </c>
      <c r="CO537">
        <v>3</v>
      </c>
      <c r="CP537">
        <v>0</v>
      </c>
      <c r="CQ537">
        <v>10</v>
      </c>
      <c r="CR537">
        <v>4</v>
      </c>
      <c r="CS537">
        <v>922</v>
      </c>
      <c r="CT537">
        <v>0</v>
      </c>
      <c r="CU537">
        <v>3</v>
      </c>
      <c r="CV537">
        <v>0</v>
      </c>
      <c r="CW537">
        <v>0</v>
      </c>
      <c r="CX537">
        <v>1</v>
      </c>
      <c r="CY537">
        <v>5</v>
      </c>
      <c r="CZ537">
        <v>0</v>
      </c>
      <c r="DA537">
        <v>1</v>
      </c>
      <c r="DB537">
        <v>0</v>
      </c>
      <c r="DC537">
        <v>0</v>
      </c>
      <c r="DD537">
        <v>1019</v>
      </c>
      <c r="DE537">
        <v>2</v>
      </c>
      <c r="DF537">
        <v>0</v>
      </c>
      <c r="DG537">
        <v>5</v>
      </c>
      <c r="DH537">
        <v>0</v>
      </c>
      <c r="DI537">
        <v>2</v>
      </c>
      <c r="DJ537">
        <v>0</v>
      </c>
      <c r="DK537">
        <v>0</v>
      </c>
      <c r="DL537">
        <v>0</v>
      </c>
      <c r="DM537">
        <v>0</v>
      </c>
      <c r="DN537">
        <v>4</v>
      </c>
      <c r="DO537">
        <v>963</v>
      </c>
      <c r="DP537">
        <v>0</v>
      </c>
      <c r="DQ537">
        <v>2</v>
      </c>
      <c r="DR537">
        <v>4</v>
      </c>
      <c r="DS537">
        <v>2</v>
      </c>
      <c r="DT537">
        <v>8</v>
      </c>
      <c r="DU537">
        <v>54</v>
      </c>
      <c r="DV537">
        <v>3</v>
      </c>
      <c r="DW537">
        <v>0</v>
      </c>
      <c r="DX537">
        <v>16</v>
      </c>
      <c r="DY537">
        <v>29</v>
      </c>
      <c r="DZ537">
        <v>891</v>
      </c>
      <c r="EA537">
        <v>0.97</v>
      </c>
      <c r="EB537">
        <v>0.97082666026456099</v>
      </c>
      <c r="EC537">
        <v>0.96982700144637302</v>
      </c>
      <c r="ED537">
        <v>0.96968574460477297</v>
      </c>
      <c r="EE537">
        <f>SUM(Table1[[#This Row],[ratio_0]:[ratio_9]])</f>
        <v>640</v>
      </c>
      <c r="EF537" s="1">
        <f>(Table1[[#This Row],[predicted_0]]-Table1[[#This Row],[actual_0]])/Table1[[#This Row],[actual_0]]</f>
        <v>1.0204081632653062E-3</v>
      </c>
      <c r="EG537" s="1">
        <f>(Table1[[#This Row],[predicted_1]]-Table1[[#This Row],[actual_1]])/Table1[[#This Row],[actual_1]]</f>
        <v>5.2863436123348016E-3</v>
      </c>
      <c r="EH537" s="1">
        <f>(Table1[[#This Row],[predicted_2]]-Table1[[#This Row],[actual_2]])/Table1[[#This Row],[actual_2]]</f>
        <v>-1.937984496124031E-3</v>
      </c>
      <c r="EI537" s="1">
        <f>(Table1[[#This Row],[predicted_3]]-Table1[[#This Row],[actual_3]])/Table1[[#This Row],[actual_3]]</f>
        <v>-2.9702970297029702E-2</v>
      </c>
      <c r="EJ537" s="1">
        <f>(Table1[[#This Row],[predicted_4]]-Table1[[#This Row],[actual_4]])/Table1[[#This Row],[actual_4]]</f>
        <v>6.8228105906313646E-2</v>
      </c>
      <c r="EK537" s="1">
        <f>(Table1[[#This Row],[predicted_5]]-Table1[[#This Row],[actual_5]])/Table1[[#This Row],[actual_5]]</f>
        <v>-4.4843049327354259E-3</v>
      </c>
      <c r="EL537" s="1">
        <f>(Table1[[#This Row],[predicted_6]]-Table1[[#This Row],[actual_6]])/Table1[[#This Row],[actual_6]]</f>
        <v>-3.444676409185804E-2</v>
      </c>
      <c r="EM537" s="1">
        <f>(Table1[[#This Row],[predicted_7]]-Table1[[#This Row],[actual_7]])/Table1[[#This Row],[actual_7]]</f>
        <v>3.9883268482490269E-2</v>
      </c>
      <c r="EN537" s="1">
        <f>(Table1[[#This Row],[predicted_8]]-Table1[[#This Row],[actual_8]])/Table1[[#This Row],[actual_8]]</f>
        <v>6.9815195071868577E-2</v>
      </c>
      <c r="EO537" s="1">
        <f>(Table1[[#This Row],[predicted_9]]-Table1[[#This Row],[actual_9]])/Table1[[#This Row],[actual_9]]</f>
        <v>-0.11298315163528246</v>
      </c>
      <c r="EP537" s="1">
        <f>1+(Table1[[#This Row],[error_ratio_0]]-EF$2)</f>
        <v>0.99897959183673468</v>
      </c>
      <c r="EQ537" s="1">
        <f>1+(Table1[[#This Row],[error_ratio_1]]-EG$2)</f>
        <v>1.0035242290748898</v>
      </c>
      <c r="ER537" s="1">
        <f>1+(Table1[[#This Row],[error_ratio_2]]-EH$2)</f>
        <v>1.0029069767441861</v>
      </c>
      <c r="ES537" s="1">
        <f>1+(Table1[[#This Row],[error_ratio_3]]-EI$2)</f>
        <v>0.96039603960396036</v>
      </c>
      <c r="ET537" s="1">
        <f>1+(Table1[[#This Row],[error_ratio_4]]-EJ$2)</f>
        <v>1.0672097759674135</v>
      </c>
      <c r="EU537" s="1">
        <f>1+(Table1[[#This Row],[error_ratio_5]]-EK$2)</f>
        <v>0.99439461883408076</v>
      </c>
      <c r="EV537" s="1">
        <f>1+(Table1[[#This Row],[error_ratio_6]]-EL$2)</f>
        <v>0.97181628392484343</v>
      </c>
      <c r="EW537" s="1">
        <f>1+(Table1[[#This Row],[error_ratio_7]]-EM$2)</f>
        <v>1.0379377431906616</v>
      </c>
      <c r="EX537" s="1">
        <f>1+(Table1[[#This Row],[error_ratio_8]]-EN$2)</f>
        <v>1.0728952772073921</v>
      </c>
      <c r="EY537" s="1">
        <f>1+(Table1[[#This Row],[error_ratio_9]]-EO$2)</f>
        <v>0.8909811694747275</v>
      </c>
    </row>
    <row r="538" spans="1:155" x14ac:dyDescent="0.75">
      <c r="A538">
        <v>10</v>
      </c>
      <c r="B538">
        <v>10</v>
      </c>
      <c r="C538">
        <v>100</v>
      </c>
      <c r="D538">
        <v>10</v>
      </c>
      <c r="E538">
        <v>100</v>
      </c>
      <c r="F538">
        <v>100</v>
      </c>
      <c r="G538">
        <v>10</v>
      </c>
      <c r="H538">
        <v>100</v>
      </c>
      <c r="I538">
        <v>100</v>
      </c>
      <c r="J538">
        <v>10</v>
      </c>
      <c r="K538">
        <v>925</v>
      </c>
      <c r="L538">
        <v>1109</v>
      </c>
      <c r="M538">
        <v>1111</v>
      </c>
      <c r="N538">
        <v>900</v>
      </c>
      <c r="O538">
        <v>971</v>
      </c>
      <c r="P538">
        <v>975</v>
      </c>
      <c r="Q538">
        <v>956</v>
      </c>
      <c r="R538">
        <v>1059</v>
      </c>
      <c r="S538">
        <v>1037</v>
      </c>
      <c r="T538">
        <v>957</v>
      </c>
      <c r="U538">
        <v>980</v>
      </c>
      <c r="V538">
        <v>1135</v>
      </c>
      <c r="W538">
        <v>1032</v>
      </c>
      <c r="X538">
        <v>1010</v>
      </c>
      <c r="Y538">
        <v>982</v>
      </c>
      <c r="Z538">
        <v>892</v>
      </c>
      <c r="AA538">
        <v>958</v>
      </c>
      <c r="AB538">
        <v>1028</v>
      </c>
      <c r="AC538">
        <v>974</v>
      </c>
      <c r="AD538">
        <v>1009</v>
      </c>
      <c r="AE538">
        <v>917</v>
      </c>
      <c r="AF538">
        <v>0</v>
      </c>
      <c r="AG538">
        <v>8</v>
      </c>
      <c r="AH538">
        <v>0</v>
      </c>
      <c r="AI538">
        <v>2</v>
      </c>
      <c r="AJ538">
        <v>13</v>
      </c>
      <c r="AK538">
        <v>14</v>
      </c>
      <c r="AL538">
        <v>5</v>
      </c>
      <c r="AM538">
        <v>14</v>
      </c>
      <c r="AN538">
        <v>7</v>
      </c>
      <c r="AO538">
        <v>0</v>
      </c>
      <c r="AP538">
        <v>1103</v>
      </c>
      <c r="AQ538">
        <v>11</v>
      </c>
      <c r="AR538">
        <v>0</v>
      </c>
      <c r="AS538">
        <v>0</v>
      </c>
      <c r="AT538">
        <v>2</v>
      </c>
      <c r="AU538">
        <v>2</v>
      </c>
      <c r="AV538">
        <v>2</v>
      </c>
      <c r="AW538">
        <v>15</v>
      </c>
      <c r="AX538">
        <v>0</v>
      </c>
      <c r="AY538">
        <v>0</v>
      </c>
      <c r="AZ538">
        <v>0</v>
      </c>
      <c r="BA538">
        <v>1027</v>
      </c>
      <c r="BB538">
        <v>0</v>
      </c>
      <c r="BC538">
        <v>0</v>
      </c>
      <c r="BD538">
        <v>0</v>
      </c>
      <c r="BE538">
        <v>1</v>
      </c>
      <c r="BF538">
        <v>3</v>
      </c>
      <c r="BG538">
        <v>1</v>
      </c>
      <c r="BH538">
        <v>0</v>
      </c>
      <c r="BI538">
        <v>1</v>
      </c>
      <c r="BJ538">
        <v>0</v>
      </c>
      <c r="BK538">
        <v>42</v>
      </c>
      <c r="BL538">
        <v>896</v>
      </c>
      <c r="BM538">
        <v>0</v>
      </c>
      <c r="BN538">
        <v>46</v>
      </c>
      <c r="BO538">
        <v>0</v>
      </c>
      <c r="BP538">
        <v>15</v>
      </c>
      <c r="BQ538">
        <v>9</v>
      </c>
      <c r="BR538">
        <v>1</v>
      </c>
      <c r="BS538">
        <v>0</v>
      </c>
      <c r="BT538">
        <v>0</v>
      </c>
      <c r="BU538">
        <v>1</v>
      </c>
      <c r="BV538">
        <v>0</v>
      </c>
      <c r="BW538">
        <v>956</v>
      </c>
      <c r="BX538">
        <v>0</v>
      </c>
      <c r="BY538">
        <v>0</v>
      </c>
      <c r="BZ538">
        <v>6</v>
      </c>
      <c r="CA538">
        <v>4</v>
      </c>
      <c r="CB538">
        <v>15</v>
      </c>
      <c r="CC538">
        <v>2</v>
      </c>
      <c r="CD538">
        <v>0</v>
      </c>
      <c r="CE538">
        <v>0</v>
      </c>
      <c r="CF538">
        <v>1</v>
      </c>
      <c r="CG538">
        <v>0</v>
      </c>
      <c r="CH538">
        <v>885</v>
      </c>
      <c r="CI538">
        <v>2</v>
      </c>
      <c r="CJ538">
        <v>1</v>
      </c>
      <c r="CK538">
        <v>1</v>
      </c>
      <c r="CL538">
        <v>0</v>
      </c>
      <c r="CM538">
        <v>2</v>
      </c>
      <c r="CN538">
        <v>2</v>
      </c>
      <c r="CO538">
        <v>2</v>
      </c>
      <c r="CP538">
        <v>0</v>
      </c>
      <c r="CQ538">
        <v>6</v>
      </c>
      <c r="CR538">
        <v>6</v>
      </c>
      <c r="CS538">
        <v>936</v>
      </c>
      <c r="CT538">
        <v>0</v>
      </c>
      <c r="CU538">
        <v>3</v>
      </c>
      <c r="CV538">
        <v>1</v>
      </c>
      <c r="CW538">
        <v>1</v>
      </c>
      <c r="CX538">
        <v>1</v>
      </c>
      <c r="CY538">
        <v>11</v>
      </c>
      <c r="CZ538">
        <v>0</v>
      </c>
      <c r="DA538">
        <v>0</v>
      </c>
      <c r="DB538">
        <v>0</v>
      </c>
      <c r="DC538">
        <v>0</v>
      </c>
      <c r="DD538">
        <v>1013</v>
      </c>
      <c r="DE538">
        <v>1</v>
      </c>
      <c r="DF538">
        <v>1</v>
      </c>
      <c r="DG538">
        <v>1</v>
      </c>
      <c r="DH538">
        <v>0</v>
      </c>
      <c r="DI538">
        <v>6</v>
      </c>
      <c r="DJ538">
        <v>0</v>
      </c>
      <c r="DK538">
        <v>0</v>
      </c>
      <c r="DL538">
        <v>3</v>
      </c>
      <c r="DM538">
        <v>0</v>
      </c>
      <c r="DN538">
        <v>2</v>
      </c>
      <c r="DO538">
        <v>962</v>
      </c>
      <c r="DP538">
        <v>0</v>
      </c>
      <c r="DQ538">
        <v>1</v>
      </c>
      <c r="DR538">
        <v>3</v>
      </c>
      <c r="DS538">
        <v>3</v>
      </c>
      <c r="DT538">
        <v>3</v>
      </c>
      <c r="DU538">
        <v>7</v>
      </c>
      <c r="DV538">
        <v>20</v>
      </c>
      <c r="DW538">
        <v>1</v>
      </c>
      <c r="DX538">
        <v>12</v>
      </c>
      <c r="DY538">
        <v>27</v>
      </c>
      <c r="DZ538">
        <v>932</v>
      </c>
      <c r="EA538">
        <v>0.9627</v>
      </c>
      <c r="EB538">
        <v>0.96353283619913999</v>
      </c>
      <c r="EC538">
        <v>0.96292906337093698</v>
      </c>
      <c r="ED538">
        <v>0.96232204075178995</v>
      </c>
      <c r="EE538">
        <f>SUM(Table1[[#This Row],[ratio_0]:[ratio_9]])</f>
        <v>550</v>
      </c>
      <c r="EF538" s="1">
        <f>(Table1[[#This Row],[predicted_0]]-Table1[[#This Row],[actual_0]])/Table1[[#This Row],[actual_0]]</f>
        <v>-5.6122448979591837E-2</v>
      </c>
      <c r="EG538" s="1">
        <f>(Table1[[#This Row],[predicted_1]]-Table1[[#This Row],[actual_1]])/Table1[[#This Row],[actual_1]]</f>
        <v>-2.2907488986784141E-2</v>
      </c>
      <c r="EH538" s="1">
        <f>(Table1[[#This Row],[predicted_2]]-Table1[[#This Row],[actual_2]])/Table1[[#This Row],[actual_2]]</f>
        <v>7.6550387596899222E-2</v>
      </c>
      <c r="EI538" s="1">
        <f>(Table1[[#This Row],[predicted_3]]-Table1[[#This Row],[actual_3]])/Table1[[#This Row],[actual_3]]</f>
        <v>-0.10891089108910891</v>
      </c>
      <c r="EJ538" s="1">
        <f>(Table1[[#This Row],[predicted_4]]-Table1[[#This Row],[actual_4]])/Table1[[#This Row],[actual_4]]</f>
        <v>-1.1201629327902239E-2</v>
      </c>
      <c r="EK538" s="1">
        <f>(Table1[[#This Row],[predicted_5]]-Table1[[#This Row],[actual_5]])/Table1[[#This Row],[actual_5]]</f>
        <v>9.3049327354260095E-2</v>
      </c>
      <c r="EL538" s="1">
        <f>(Table1[[#This Row],[predicted_6]]-Table1[[#This Row],[actual_6]])/Table1[[#This Row],[actual_6]]</f>
        <v>-2.0876826722338203E-3</v>
      </c>
      <c r="EM538" s="1">
        <f>(Table1[[#This Row],[predicted_7]]-Table1[[#This Row],[actual_7]])/Table1[[#This Row],[actual_7]]</f>
        <v>3.0155642023346304E-2</v>
      </c>
      <c r="EN538" s="1">
        <f>(Table1[[#This Row],[predicted_8]]-Table1[[#This Row],[actual_8]])/Table1[[#This Row],[actual_8]]</f>
        <v>6.4681724845995894E-2</v>
      </c>
      <c r="EO538" s="1">
        <f>(Table1[[#This Row],[predicted_9]]-Table1[[#This Row],[actual_9]])/Table1[[#This Row],[actual_9]]</f>
        <v>-5.1536174430128839E-2</v>
      </c>
      <c r="EP538" s="1">
        <f>1+(Table1[[#This Row],[error_ratio_0]]-EF$2)</f>
        <v>0.94183673469387752</v>
      </c>
      <c r="EQ538" s="1">
        <f>1+(Table1[[#This Row],[error_ratio_1]]-EG$2)</f>
        <v>0.97533039647577091</v>
      </c>
      <c r="ER538" s="1">
        <f>1+(Table1[[#This Row],[error_ratio_2]]-EH$2)</f>
        <v>1.0813953488372092</v>
      </c>
      <c r="ES538" s="1">
        <f>1+(Table1[[#This Row],[error_ratio_3]]-EI$2)</f>
        <v>0.88118811881188119</v>
      </c>
      <c r="ET538" s="1">
        <f>1+(Table1[[#This Row],[error_ratio_4]]-EJ$2)</f>
        <v>0.98778004073319758</v>
      </c>
      <c r="EU538" s="1">
        <f>1+(Table1[[#This Row],[error_ratio_5]]-EK$2)</f>
        <v>1.0919282511210762</v>
      </c>
      <c r="EV538" s="1">
        <f>1+(Table1[[#This Row],[error_ratio_6]]-EL$2)</f>
        <v>1.0041753653444676</v>
      </c>
      <c r="EW538" s="1">
        <f>1+(Table1[[#This Row],[error_ratio_7]]-EM$2)</f>
        <v>1.0282101167315174</v>
      </c>
      <c r="EX538" s="1">
        <f>1+(Table1[[#This Row],[error_ratio_8]]-EN$2)</f>
        <v>1.0677618069815196</v>
      </c>
      <c r="EY538" s="1">
        <f>1+(Table1[[#This Row],[error_ratio_9]]-EO$2)</f>
        <v>0.95242814667988107</v>
      </c>
    </row>
    <row r="539" spans="1:155" x14ac:dyDescent="0.75">
      <c r="A539">
        <v>100</v>
      </c>
      <c r="B539">
        <v>100</v>
      </c>
      <c r="C539">
        <v>10</v>
      </c>
      <c r="D539">
        <v>10</v>
      </c>
      <c r="E539">
        <v>100</v>
      </c>
      <c r="F539">
        <v>100</v>
      </c>
      <c r="G539">
        <v>10</v>
      </c>
      <c r="H539">
        <v>100</v>
      </c>
      <c r="I539">
        <v>100</v>
      </c>
      <c r="J539">
        <v>10</v>
      </c>
      <c r="K539">
        <v>1009</v>
      </c>
      <c r="L539">
        <v>1153</v>
      </c>
      <c r="M539">
        <v>934</v>
      </c>
      <c r="N539">
        <v>940</v>
      </c>
      <c r="O539">
        <v>1027</v>
      </c>
      <c r="P539">
        <v>896</v>
      </c>
      <c r="Q539">
        <v>908</v>
      </c>
      <c r="R539">
        <v>1106</v>
      </c>
      <c r="S539">
        <v>1096</v>
      </c>
      <c r="T539">
        <v>931</v>
      </c>
      <c r="U539">
        <v>980</v>
      </c>
      <c r="V539">
        <v>1135</v>
      </c>
      <c r="W539">
        <v>1032</v>
      </c>
      <c r="X539">
        <v>1010</v>
      </c>
      <c r="Y539">
        <v>982</v>
      </c>
      <c r="Z539">
        <v>892</v>
      </c>
      <c r="AA539">
        <v>958</v>
      </c>
      <c r="AB539">
        <v>1028</v>
      </c>
      <c r="AC539">
        <v>974</v>
      </c>
      <c r="AD539">
        <v>1009</v>
      </c>
      <c r="AE539">
        <v>974</v>
      </c>
      <c r="AF539">
        <v>0</v>
      </c>
      <c r="AG539">
        <v>0</v>
      </c>
      <c r="AH539">
        <v>0</v>
      </c>
      <c r="AI539">
        <v>0</v>
      </c>
      <c r="AJ539">
        <v>0</v>
      </c>
      <c r="AK539">
        <v>0</v>
      </c>
      <c r="AL539">
        <v>2</v>
      </c>
      <c r="AM539">
        <v>3</v>
      </c>
      <c r="AN539">
        <v>1</v>
      </c>
      <c r="AO539">
        <v>0</v>
      </c>
      <c r="AP539">
        <v>1133</v>
      </c>
      <c r="AQ539">
        <v>0</v>
      </c>
      <c r="AR539">
        <v>1</v>
      </c>
      <c r="AS539">
        <v>0</v>
      </c>
      <c r="AT539">
        <v>0</v>
      </c>
      <c r="AU539">
        <v>0</v>
      </c>
      <c r="AV539">
        <v>0</v>
      </c>
      <c r="AW539">
        <v>1</v>
      </c>
      <c r="AX539">
        <v>0</v>
      </c>
      <c r="AY539">
        <v>9</v>
      </c>
      <c r="AZ539">
        <v>8</v>
      </c>
      <c r="BA539">
        <v>933</v>
      </c>
      <c r="BB539">
        <v>1</v>
      </c>
      <c r="BC539">
        <v>8</v>
      </c>
      <c r="BD539">
        <v>1</v>
      </c>
      <c r="BE539">
        <v>2</v>
      </c>
      <c r="BF539">
        <v>38</v>
      </c>
      <c r="BG539">
        <v>32</v>
      </c>
      <c r="BH539">
        <v>0</v>
      </c>
      <c r="BI539">
        <v>1</v>
      </c>
      <c r="BJ539">
        <v>0</v>
      </c>
      <c r="BK539">
        <v>0</v>
      </c>
      <c r="BL539">
        <v>935</v>
      </c>
      <c r="BM539">
        <v>2</v>
      </c>
      <c r="BN539">
        <v>20</v>
      </c>
      <c r="BO539">
        <v>0</v>
      </c>
      <c r="BP539">
        <v>13</v>
      </c>
      <c r="BQ539">
        <v>35</v>
      </c>
      <c r="BR539">
        <v>4</v>
      </c>
      <c r="BS539">
        <v>0</v>
      </c>
      <c r="BT539">
        <v>0</v>
      </c>
      <c r="BU539">
        <v>1</v>
      </c>
      <c r="BV539">
        <v>0</v>
      </c>
      <c r="BW539">
        <v>981</v>
      </c>
      <c r="BX539">
        <v>0</v>
      </c>
      <c r="BY539">
        <v>0</v>
      </c>
      <c r="BZ539">
        <v>0</v>
      </c>
      <c r="CA539">
        <v>0</v>
      </c>
      <c r="CB539">
        <v>0</v>
      </c>
      <c r="CC539">
        <v>3</v>
      </c>
      <c r="CD539">
        <v>0</v>
      </c>
      <c r="CE539">
        <v>0</v>
      </c>
      <c r="CF539">
        <v>1</v>
      </c>
      <c r="CG539">
        <v>0</v>
      </c>
      <c r="CH539">
        <v>863</v>
      </c>
      <c r="CI539">
        <v>1</v>
      </c>
      <c r="CJ539">
        <v>0</v>
      </c>
      <c r="CK539">
        <v>24</v>
      </c>
      <c r="CL539">
        <v>0</v>
      </c>
      <c r="CM539">
        <v>16</v>
      </c>
      <c r="CN539">
        <v>4</v>
      </c>
      <c r="CO539">
        <v>0</v>
      </c>
      <c r="CP539">
        <v>0</v>
      </c>
      <c r="CQ539">
        <v>11</v>
      </c>
      <c r="CR539">
        <v>4</v>
      </c>
      <c r="CS539">
        <v>905</v>
      </c>
      <c r="CT539">
        <v>0</v>
      </c>
      <c r="CU539">
        <v>18</v>
      </c>
      <c r="CV539">
        <v>0</v>
      </c>
      <c r="CW539">
        <v>1</v>
      </c>
      <c r="CX539">
        <v>3</v>
      </c>
      <c r="CY539">
        <v>0</v>
      </c>
      <c r="CZ539">
        <v>0</v>
      </c>
      <c r="DA539">
        <v>0</v>
      </c>
      <c r="DB539">
        <v>0</v>
      </c>
      <c r="DC539">
        <v>0</v>
      </c>
      <c r="DD539">
        <v>1024</v>
      </c>
      <c r="DE539">
        <v>0</v>
      </c>
      <c r="DF539">
        <v>0</v>
      </c>
      <c r="DG539">
        <v>2</v>
      </c>
      <c r="DH539">
        <v>0</v>
      </c>
      <c r="DI539">
        <v>0</v>
      </c>
      <c r="DJ539">
        <v>0</v>
      </c>
      <c r="DK539">
        <v>0</v>
      </c>
      <c r="DL539">
        <v>0</v>
      </c>
      <c r="DM539">
        <v>0</v>
      </c>
      <c r="DN539">
        <v>3</v>
      </c>
      <c r="DO539">
        <v>967</v>
      </c>
      <c r="DP539">
        <v>2</v>
      </c>
      <c r="DQ539">
        <v>3</v>
      </c>
      <c r="DR539">
        <v>5</v>
      </c>
      <c r="DS539">
        <v>0</v>
      </c>
      <c r="DT539">
        <v>2</v>
      </c>
      <c r="DU539">
        <v>25</v>
      </c>
      <c r="DV539">
        <v>8</v>
      </c>
      <c r="DW539">
        <v>0</v>
      </c>
      <c r="DX539">
        <v>26</v>
      </c>
      <c r="DY539">
        <v>16</v>
      </c>
      <c r="DZ539">
        <v>924</v>
      </c>
      <c r="EA539">
        <v>0.96389999999999998</v>
      </c>
      <c r="EB539">
        <v>0.96572907737366698</v>
      </c>
      <c r="EC539">
        <v>0.96377549141792296</v>
      </c>
      <c r="ED539">
        <v>0.96363767740534101</v>
      </c>
      <c r="EE539">
        <f>SUM(Table1[[#This Row],[ratio_0]:[ratio_9]])</f>
        <v>640</v>
      </c>
      <c r="EF539" s="1">
        <f>(Table1[[#This Row],[predicted_0]]-Table1[[#This Row],[actual_0]])/Table1[[#This Row],[actual_0]]</f>
        <v>2.9591836734693878E-2</v>
      </c>
      <c r="EG539" s="1">
        <f>(Table1[[#This Row],[predicted_1]]-Table1[[#This Row],[actual_1]])/Table1[[#This Row],[actual_1]]</f>
        <v>1.5859030837004406E-2</v>
      </c>
      <c r="EH539" s="1">
        <f>(Table1[[#This Row],[predicted_2]]-Table1[[#This Row],[actual_2]])/Table1[[#This Row],[actual_2]]</f>
        <v>-9.4961240310077522E-2</v>
      </c>
      <c r="EI539" s="1">
        <f>(Table1[[#This Row],[predicted_3]]-Table1[[#This Row],[actual_3]])/Table1[[#This Row],[actual_3]]</f>
        <v>-6.9306930693069313E-2</v>
      </c>
      <c r="EJ539" s="1">
        <f>(Table1[[#This Row],[predicted_4]]-Table1[[#This Row],[actual_4]])/Table1[[#This Row],[actual_4]]</f>
        <v>4.5824847250509164E-2</v>
      </c>
      <c r="EK539" s="1">
        <f>(Table1[[#This Row],[predicted_5]]-Table1[[#This Row],[actual_5]])/Table1[[#This Row],[actual_5]]</f>
        <v>4.4843049327354259E-3</v>
      </c>
      <c r="EL539" s="1">
        <f>(Table1[[#This Row],[predicted_6]]-Table1[[#This Row],[actual_6]])/Table1[[#This Row],[actual_6]]</f>
        <v>-5.2192066805845511E-2</v>
      </c>
      <c r="EM539" s="1">
        <f>(Table1[[#This Row],[predicted_7]]-Table1[[#This Row],[actual_7]])/Table1[[#This Row],[actual_7]]</f>
        <v>7.5875486381322951E-2</v>
      </c>
      <c r="EN539" s="1">
        <f>(Table1[[#This Row],[predicted_8]]-Table1[[#This Row],[actual_8]])/Table1[[#This Row],[actual_8]]</f>
        <v>0.12525667351129363</v>
      </c>
      <c r="EO539" s="1">
        <f>(Table1[[#This Row],[predicted_9]]-Table1[[#This Row],[actual_9]])/Table1[[#This Row],[actual_9]]</f>
        <v>-7.7304261645193259E-2</v>
      </c>
      <c r="EP539" s="1">
        <f>1+(Table1[[#This Row],[error_ratio_0]]-EF$2)</f>
        <v>1.0275510204081633</v>
      </c>
      <c r="EQ539" s="1">
        <f>1+(Table1[[#This Row],[error_ratio_1]]-EG$2)</f>
        <v>1.0140969162995594</v>
      </c>
      <c r="ER539" s="1">
        <f>1+(Table1[[#This Row],[error_ratio_2]]-EH$2)</f>
        <v>0.90988372093023251</v>
      </c>
      <c r="ES539" s="1">
        <f>1+(Table1[[#This Row],[error_ratio_3]]-EI$2)</f>
        <v>0.92079207920792083</v>
      </c>
      <c r="ET539" s="1">
        <f>1+(Table1[[#This Row],[error_ratio_4]]-EJ$2)</f>
        <v>1.044806517311609</v>
      </c>
      <c r="EU539" s="1">
        <f>1+(Table1[[#This Row],[error_ratio_5]]-EK$2)</f>
        <v>1.0033632286995515</v>
      </c>
      <c r="EV539" s="1">
        <f>1+(Table1[[#This Row],[error_ratio_6]]-EL$2)</f>
        <v>0.95407098121085598</v>
      </c>
      <c r="EW539" s="1">
        <f>1+(Table1[[#This Row],[error_ratio_7]]-EM$2)</f>
        <v>1.0739299610894941</v>
      </c>
      <c r="EX539" s="1">
        <f>1+(Table1[[#This Row],[error_ratio_8]]-EN$2)</f>
        <v>1.1283367556468171</v>
      </c>
      <c r="EY539" s="1">
        <f>1+(Table1[[#This Row],[error_ratio_9]]-EO$2)</f>
        <v>0.92666005946481667</v>
      </c>
    </row>
    <row r="540" spans="1:155" x14ac:dyDescent="0.75">
      <c r="A540">
        <v>10</v>
      </c>
      <c r="B540">
        <v>100</v>
      </c>
      <c r="C540">
        <v>10</v>
      </c>
      <c r="D540">
        <v>10</v>
      </c>
      <c r="E540">
        <v>100</v>
      </c>
      <c r="F540">
        <v>100</v>
      </c>
      <c r="G540">
        <v>10</v>
      </c>
      <c r="H540">
        <v>100</v>
      </c>
      <c r="I540">
        <v>100</v>
      </c>
      <c r="J540">
        <v>10</v>
      </c>
      <c r="K540">
        <v>1038</v>
      </c>
      <c r="L540">
        <v>1150</v>
      </c>
      <c r="M540">
        <v>928</v>
      </c>
      <c r="N540">
        <v>963</v>
      </c>
      <c r="O540">
        <v>960</v>
      </c>
      <c r="P540">
        <v>1070</v>
      </c>
      <c r="Q540">
        <v>814</v>
      </c>
      <c r="R540">
        <v>1072</v>
      </c>
      <c r="S540">
        <v>1017</v>
      </c>
      <c r="T540">
        <v>988</v>
      </c>
      <c r="U540">
        <v>980</v>
      </c>
      <c r="V540">
        <v>1135</v>
      </c>
      <c r="W540">
        <v>1032</v>
      </c>
      <c r="X540">
        <v>1010</v>
      </c>
      <c r="Y540">
        <v>982</v>
      </c>
      <c r="Z540">
        <v>892</v>
      </c>
      <c r="AA540">
        <v>958</v>
      </c>
      <c r="AB540">
        <v>1028</v>
      </c>
      <c r="AC540">
        <v>974</v>
      </c>
      <c r="AD540">
        <v>1009</v>
      </c>
      <c r="AE540">
        <v>948</v>
      </c>
      <c r="AF540">
        <v>0</v>
      </c>
      <c r="AG540">
        <v>1</v>
      </c>
      <c r="AH540">
        <v>0</v>
      </c>
      <c r="AI540">
        <v>1</v>
      </c>
      <c r="AJ540">
        <v>18</v>
      </c>
      <c r="AK540">
        <v>0</v>
      </c>
      <c r="AL540">
        <v>3</v>
      </c>
      <c r="AM540">
        <v>4</v>
      </c>
      <c r="AN540">
        <v>5</v>
      </c>
      <c r="AO540">
        <v>0</v>
      </c>
      <c r="AP540">
        <v>1125</v>
      </c>
      <c r="AQ540">
        <v>0</v>
      </c>
      <c r="AR540">
        <v>1</v>
      </c>
      <c r="AS540">
        <v>0</v>
      </c>
      <c r="AT540">
        <v>1</v>
      </c>
      <c r="AU540">
        <v>0</v>
      </c>
      <c r="AV540">
        <v>0</v>
      </c>
      <c r="AW540">
        <v>8</v>
      </c>
      <c r="AX540">
        <v>0</v>
      </c>
      <c r="AY540">
        <v>20</v>
      </c>
      <c r="AZ540">
        <v>11</v>
      </c>
      <c r="BA540">
        <v>923</v>
      </c>
      <c r="BB540">
        <v>26</v>
      </c>
      <c r="BC540">
        <v>0</v>
      </c>
      <c r="BD540">
        <v>7</v>
      </c>
      <c r="BE540">
        <v>0</v>
      </c>
      <c r="BF540">
        <v>35</v>
      </c>
      <c r="BG540">
        <v>10</v>
      </c>
      <c r="BH540">
        <v>0</v>
      </c>
      <c r="BI540">
        <v>3</v>
      </c>
      <c r="BJ540">
        <v>0</v>
      </c>
      <c r="BK540">
        <v>0</v>
      </c>
      <c r="BL540">
        <v>927</v>
      </c>
      <c r="BM540">
        <v>0</v>
      </c>
      <c r="BN540">
        <v>60</v>
      </c>
      <c r="BO540">
        <v>0</v>
      </c>
      <c r="BP540">
        <v>6</v>
      </c>
      <c r="BQ540">
        <v>9</v>
      </c>
      <c r="BR540">
        <v>5</v>
      </c>
      <c r="BS540">
        <v>1</v>
      </c>
      <c r="BT540">
        <v>2</v>
      </c>
      <c r="BU540">
        <v>3</v>
      </c>
      <c r="BV540">
        <v>0</v>
      </c>
      <c r="BW540">
        <v>944</v>
      </c>
      <c r="BX540">
        <v>2</v>
      </c>
      <c r="BY540">
        <v>4</v>
      </c>
      <c r="BZ540">
        <v>5</v>
      </c>
      <c r="CA540">
        <v>5</v>
      </c>
      <c r="CB540">
        <v>16</v>
      </c>
      <c r="CC540">
        <v>1</v>
      </c>
      <c r="CD540">
        <v>0</v>
      </c>
      <c r="CE540">
        <v>0</v>
      </c>
      <c r="CF540">
        <v>0</v>
      </c>
      <c r="CG540">
        <v>0</v>
      </c>
      <c r="CH540">
        <v>890</v>
      </c>
      <c r="CI540">
        <v>0</v>
      </c>
      <c r="CJ540">
        <v>0</v>
      </c>
      <c r="CK540">
        <v>0</v>
      </c>
      <c r="CL540">
        <v>1</v>
      </c>
      <c r="CM540">
        <v>57</v>
      </c>
      <c r="CN540">
        <v>6</v>
      </c>
      <c r="CO540">
        <v>1</v>
      </c>
      <c r="CP540">
        <v>0</v>
      </c>
      <c r="CQ540">
        <v>12</v>
      </c>
      <c r="CR540">
        <v>61</v>
      </c>
      <c r="CS540">
        <v>810</v>
      </c>
      <c r="CT540">
        <v>0</v>
      </c>
      <c r="CU540">
        <v>11</v>
      </c>
      <c r="CV540">
        <v>0</v>
      </c>
      <c r="CW540">
        <v>1</v>
      </c>
      <c r="CX540">
        <v>3</v>
      </c>
      <c r="CY540">
        <v>0</v>
      </c>
      <c r="CZ540">
        <v>3</v>
      </c>
      <c r="DA540">
        <v>0</v>
      </c>
      <c r="DB540">
        <v>1</v>
      </c>
      <c r="DC540">
        <v>0</v>
      </c>
      <c r="DD540">
        <v>1017</v>
      </c>
      <c r="DE540">
        <v>1</v>
      </c>
      <c r="DF540">
        <v>2</v>
      </c>
      <c r="DG540">
        <v>3</v>
      </c>
      <c r="DH540">
        <v>0</v>
      </c>
      <c r="DI540">
        <v>0</v>
      </c>
      <c r="DJ540">
        <v>3</v>
      </c>
      <c r="DK540">
        <v>0</v>
      </c>
      <c r="DL540">
        <v>8</v>
      </c>
      <c r="DM540">
        <v>0</v>
      </c>
      <c r="DN540">
        <v>1</v>
      </c>
      <c r="DO540">
        <v>959</v>
      </c>
      <c r="DP540">
        <v>0</v>
      </c>
      <c r="DQ540">
        <v>4</v>
      </c>
      <c r="DR540">
        <v>3</v>
      </c>
      <c r="DS540">
        <v>0</v>
      </c>
      <c r="DT540">
        <v>3</v>
      </c>
      <c r="DU540">
        <v>3</v>
      </c>
      <c r="DV540">
        <v>22</v>
      </c>
      <c r="DW540">
        <v>0</v>
      </c>
      <c r="DX540">
        <v>5</v>
      </c>
      <c r="DY540">
        <v>10</v>
      </c>
      <c r="DZ540">
        <v>959</v>
      </c>
      <c r="EA540">
        <v>0.95020000000000004</v>
      </c>
      <c r="EB540">
        <v>0.95212909093232601</v>
      </c>
      <c r="EC540">
        <v>0.94996559716800599</v>
      </c>
      <c r="ED540">
        <v>0.94917487524741095</v>
      </c>
      <c r="EE540">
        <f>SUM(Table1[[#This Row],[ratio_0]:[ratio_9]])</f>
        <v>550</v>
      </c>
      <c r="EF540" s="1">
        <f>(Table1[[#This Row],[predicted_0]]-Table1[[#This Row],[actual_0]])/Table1[[#This Row],[actual_0]]</f>
        <v>5.9183673469387757E-2</v>
      </c>
      <c r="EG540" s="1">
        <f>(Table1[[#This Row],[predicted_1]]-Table1[[#This Row],[actual_1]])/Table1[[#This Row],[actual_1]]</f>
        <v>1.3215859030837005E-2</v>
      </c>
      <c r="EH540" s="1">
        <f>(Table1[[#This Row],[predicted_2]]-Table1[[#This Row],[actual_2]])/Table1[[#This Row],[actual_2]]</f>
        <v>-0.10077519379844961</v>
      </c>
      <c r="EI540" s="1">
        <f>(Table1[[#This Row],[predicted_3]]-Table1[[#This Row],[actual_3]])/Table1[[#This Row],[actual_3]]</f>
        <v>-4.6534653465346534E-2</v>
      </c>
      <c r="EJ540" s="1">
        <f>(Table1[[#This Row],[predicted_4]]-Table1[[#This Row],[actual_4]])/Table1[[#This Row],[actual_4]]</f>
        <v>-2.2403258655804479E-2</v>
      </c>
      <c r="EK540" s="1">
        <f>(Table1[[#This Row],[predicted_5]]-Table1[[#This Row],[actual_5]])/Table1[[#This Row],[actual_5]]</f>
        <v>0.19955156950672645</v>
      </c>
      <c r="EL540" s="1">
        <f>(Table1[[#This Row],[predicted_6]]-Table1[[#This Row],[actual_6]])/Table1[[#This Row],[actual_6]]</f>
        <v>-0.15031315240083507</v>
      </c>
      <c r="EM540" s="1">
        <f>(Table1[[#This Row],[predicted_7]]-Table1[[#This Row],[actual_7]])/Table1[[#This Row],[actual_7]]</f>
        <v>4.2801556420233464E-2</v>
      </c>
      <c r="EN540" s="1">
        <f>(Table1[[#This Row],[predicted_8]]-Table1[[#This Row],[actual_8]])/Table1[[#This Row],[actual_8]]</f>
        <v>4.4147843942505136E-2</v>
      </c>
      <c r="EO540" s="1">
        <f>(Table1[[#This Row],[predicted_9]]-Table1[[#This Row],[actual_9]])/Table1[[#This Row],[actual_9]]</f>
        <v>-2.0812685827552031E-2</v>
      </c>
      <c r="EP540" s="1">
        <f>1+(Table1[[#This Row],[error_ratio_0]]-EF$2)</f>
        <v>1.0571428571428572</v>
      </c>
      <c r="EQ540" s="1">
        <f>1+(Table1[[#This Row],[error_ratio_1]]-EG$2)</f>
        <v>1.011453744493392</v>
      </c>
      <c r="ER540" s="1">
        <f>1+(Table1[[#This Row],[error_ratio_2]]-EH$2)</f>
        <v>0.90406976744186052</v>
      </c>
      <c r="ES540" s="1">
        <f>1+(Table1[[#This Row],[error_ratio_3]]-EI$2)</f>
        <v>0.94356435643564351</v>
      </c>
      <c r="ET540" s="1">
        <f>1+(Table1[[#This Row],[error_ratio_4]]-EJ$2)</f>
        <v>0.97657841140529533</v>
      </c>
      <c r="EU540" s="1">
        <f>1+(Table1[[#This Row],[error_ratio_5]]-EK$2)</f>
        <v>1.1984304932735426</v>
      </c>
      <c r="EV540" s="1">
        <f>1+(Table1[[#This Row],[error_ratio_6]]-EL$2)</f>
        <v>0.85594989561586643</v>
      </c>
      <c r="EW540" s="1">
        <f>1+(Table1[[#This Row],[error_ratio_7]]-EM$2)</f>
        <v>1.0408560311284047</v>
      </c>
      <c r="EX540" s="1">
        <f>1+(Table1[[#This Row],[error_ratio_8]]-EN$2)</f>
        <v>1.0472279260780288</v>
      </c>
      <c r="EY540" s="1">
        <f>1+(Table1[[#This Row],[error_ratio_9]]-EO$2)</f>
        <v>0.98315163528245786</v>
      </c>
    </row>
    <row r="541" spans="1:155" x14ac:dyDescent="0.75">
      <c r="A541">
        <v>100</v>
      </c>
      <c r="B541">
        <v>10</v>
      </c>
      <c r="C541">
        <v>10</v>
      </c>
      <c r="D541">
        <v>10</v>
      </c>
      <c r="E541">
        <v>100</v>
      </c>
      <c r="F541">
        <v>100</v>
      </c>
      <c r="G541">
        <v>10</v>
      </c>
      <c r="H541">
        <v>100</v>
      </c>
      <c r="I541">
        <v>100</v>
      </c>
      <c r="J541">
        <v>10</v>
      </c>
      <c r="K541">
        <v>1076</v>
      </c>
      <c r="L541">
        <v>1121</v>
      </c>
      <c r="M541">
        <v>962</v>
      </c>
      <c r="N541">
        <v>931</v>
      </c>
      <c r="O541">
        <v>1094</v>
      </c>
      <c r="P541">
        <v>972</v>
      </c>
      <c r="Q541">
        <v>880</v>
      </c>
      <c r="R541">
        <v>1076</v>
      </c>
      <c r="S541">
        <v>1021</v>
      </c>
      <c r="T541">
        <v>867</v>
      </c>
      <c r="U541">
        <v>980</v>
      </c>
      <c r="V541">
        <v>1135</v>
      </c>
      <c r="W541">
        <v>1032</v>
      </c>
      <c r="X541">
        <v>1010</v>
      </c>
      <c r="Y541">
        <v>982</v>
      </c>
      <c r="Z541">
        <v>892</v>
      </c>
      <c r="AA541">
        <v>958</v>
      </c>
      <c r="AB541">
        <v>1028</v>
      </c>
      <c r="AC541">
        <v>974</v>
      </c>
      <c r="AD541">
        <v>1009</v>
      </c>
      <c r="AE541">
        <v>979</v>
      </c>
      <c r="AF541">
        <v>0</v>
      </c>
      <c r="AG541">
        <v>0</v>
      </c>
      <c r="AH541">
        <v>0</v>
      </c>
      <c r="AI541">
        <v>0</v>
      </c>
      <c r="AJ541">
        <v>0</v>
      </c>
      <c r="AK541">
        <v>0</v>
      </c>
      <c r="AL541">
        <v>1</v>
      </c>
      <c r="AM541">
        <v>0</v>
      </c>
      <c r="AN541">
        <v>0</v>
      </c>
      <c r="AO541">
        <v>1</v>
      </c>
      <c r="AP541">
        <v>1112</v>
      </c>
      <c r="AQ541">
        <v>4</v>
      </c>
      <c r="AR541">
        <v>1</v>
      </c>
      <c r="AS541">
        <v>0</v>
      </c>
      <c r="AT541">
        <v>4</v>
      </c>
      <c r="AU541">
        <v>3</v>
      </c>
      <c r="AV541">
        <v>8</v>
      </c>
      <c r="AW541">
        <v>2</v>
      </c>
      <c r="AX541">
        <v>0</v>
      </c>
      <c r="AY541">
        <v>32</v>
      </c>
      <c r="AZ541">
        <v>2</v>
      </c>
      <c r="BA541">
        <v>949</v>
      </c>
      <c r="BB541">
        <v>1</v>
      </c>
      <c r="BC541">
        <v>9</v>
      </c>
      <c r="BD541">
        <v>0</v>
      </c>
      <c r="BE541">
        <v>1</v>
      </c>
      <c r="BF541">
        <v>21</v>
      </c>
      <c r="BG541">
        <v>17</v>
      </c>
      <c r="BH541">
        <v>0</v>
      </c>
      <c r="BI541">
        <v>12</v>
      </c>
      <c r="BJ541">
        <v>0</v>
      </c>
      <c r="BK541">
        <v>3</v>
      </c>
      <c r="BL541">
        <v>923</v>
      </c>
      <c r="BM541">
        <v>0</v>
      </c>
      <c r="BN541">
        <v>37</v>
      </c>
      <c r="BO541">
        <v>0</v>
      </c>
      <c r="BP541">
        <v>11</v>
      </c>
      <c r="BQ541">
        <v>24</v>
      </c>
      <c r="BR541">
        <v>0</v>
      </c>
      <c r="BS541">
        <v>0</v>
      </c>
      <c r="BT541">
        <v>0</v>
      </c>
      <c r="BU541">
        <v>0</v>
      </c>
      <c r="BV541">
        <v>0</v>
      </c>
      <c r="BW541">
        <v>982</v>
      </c>
      <c r="BX541">
        <v>0</v>
      </c>
      <c r="BY541">
        <v>0</v>
      </c>
      <c r="BZ541">
        <v>0</v>
      </c>
      <c r="CA541">
        <v>0</v>
      </c>
      <c r="CB541">
        <v>0</v>
      </c>
      <c r="CC541">
        <v>2</v>
      </c>
      <c r="CD541">
        <v>0</v>
      </c>
      <c r="CE541">
        <v>0</v>
      </c>
      <c r="CF541">
        <v>1</v>
      </c>
      <c r="CG541">
        <v>0</v>
      </c>
      <c r="CH541">
        <v>885</v>
      </c>
      <c r="CI541">
        <v>0</v>
      </c>
      <c r="CJ541">
        <v>1</v>
      </c>
      <c r="CK541">
        <v>3</v>
      </c>
      <c r="CL541">
        <v>0</v>
      </c>
      <c r="CM541">
        <v>30</v>
      </c>
      <c r="CN541">
        <v>3</v>
      </c>
      <c r="CO541">
        <v>1</v>
      </c>
      <c r="CP541">
        <v>0</v>
      </c>
      <c r="CQ541">
        <v>30</v>
      </c>
      <c r="CR541">
        <v>17</v>
      </c>
      <c r="CS541">
        <v>875</v>
      </c>
      <c r="CT541">
        <v>0</v>
      </c>
      <c r="CU541">
        <v>2</v>
      </c>
      <c r="CV541">
        <v>0</v>
      </c>
      <c r="CW541">
        <v>0</v>
      </c>
      <c r="CX541">
        <v>2</v>
      </c>
      <c r="CY541">
        <v>5</v>
      </c>
      <c r="CZ541">
        <v>1</v>
      </c>
      <c r="DA541">
        <v>4</v>
      </c>
      <c r="DB541">
        <v>0</v>
      </c>
      <c r="DC541">
        <v>0</v>
      </c>
      <c r="DD541">
        <v>1016</v>
      </c>
      <c r="DE541">
        <v>0</v>
      </c>
      <c r="DF541">
        <v>0</v>
      </c>
      <c r="DG541">
        <v>9</v>
      </c>
      <c r="DH541">
        <v>0</v>
      </c>
      <c r="DI541">
        <v>0</v>
      </c>
      <c r="DJ541">
        <v>0</v>
      </c>
      <c r="DK541">
        <v>4</v>
      </c>
      <c r="DL541">
        <v>12</v>
      </c>
      <c r="DM541">
        <v>1</v>
      </c>
      <c r="DN541">
        <v>2</v>
      </c>
      <c r="DO541">
        <v>946</v>
      </c>
      <c r="DP541">
        <v>0</v>
      </c>
      <c r="DQ541">
        <v>11</v>
      </c>
      <c r="DR541">
        <v>2</v>
      </c>
      <c r="DS541">
        <v>0</v>
      </c>
      <c r="DT541">
        <v>4</v>
      </c>
      <c r="DU541">
        <v>65</v>
      </c>
      <c r="DV541">
        <v>17</v>
      </c>
      <c r="DW541">
        <v>0</v>
      </c>
      <c r="DX541">
        <v>16</v>
      </c>
      <c r="DY541">
        <v>27</v>
      </c>
      <c r="DZ541">
        <v>867</v>
      </c>
      <c r="EA541">
        <v>0.95340000000000003</v>
      </c>
      <c r="EB541">
        <v>0.95529322636609004</v>
      </c>
      <c r="EC541">
        <v>0.95365099552543797</v>
      </c>
      <c r="ED541">
        <v>0.95272621711430305</v>
      </c>
      <c r="EE541">
        <f>SUM(Table1[[#This Row],[ratio_0]:[ratio_9]])</f>
        <v>550</v>
      </c>
      <c r="EF541" s="1">
        <f>(Table1[[#This Row],[predicted_0]]-Table1[[#This Row],[actual_0]])/Table1[[#This Row],[actual_0]]</f>
        <v>9.7959183673469383E-2</v>
      </c>
      <c r="EG541" s="1">
        <f>(Table1[[#This Row],[predicted_1]]-Table1[[#This Row],[actual_1]])/Table1[[#This Row],[actual_1]]</f>
        <v>-1.2334801762114538E-2</v>
      </c>
      <c r="EH541" s="1">
        <f>(Table1[[#This Row],[predicted_2]]-Table1[[#This Row],[actual_2]])/Table1[[#This Row],[actual_2]]</f>
        <v>-6.7829457364341081E-2</v>
      </c>
      <c r="EI541" s="1">
        <f>(Table1[[#This Row],[predicted_3]]-Table1[[#This Row],[actual_3]])/Table1[[#This Row],[actual_3]]</f>
        <v>-7.8217821782178218E-2</v>
      </c>
      <c r="EJ541" s="1">
        <f>(Table1[[#This Row],[predicted_4]]-Table1[[#This Row],[actual_4]])/Table1[[#This Row],[actual_4]]</f>
        <v>0.11405295315682282</v>
      </c>
      <c r="EK541" s="1">
        <f>(Table1[[#This Row],[predicted_5]]-Table1[[#This Row],[actual_5]])/Table1[[#This Row],[actual_5]]</f>
        <v>8.9686098654708515E-2</v>
      </c>
      <c r="EL541" s="1">
        <f>(Table1[[#This Row],[predicted_6]]-Table1[[#This Row],[actual_6]])/Table1[[#This Row],[actual_6]]</f>
        <v>-8.1419624217118999E-2</v>
      </c>
      <c r="EM541" s="1">
        <f>(Table1[[#This Row],[predicted_7]]-Table1[[#This Row],[actual_7]])/Table1[[#This Row],[actual_7]]</f>
        <v>4.6692607003891051E-2</v>
      </c>
      <c r="EN541" s="1">
        <f>(Table1[[#This Row],[predicted_8]]-Table1[[#This Row],[actual_8]])/Table1[[#This Row],[actual_8]]</f>
        <v>4.8254620123203286E-2</v>
      </c>
      <c r="EO541" s="1">
        <f>(Table1[[#This Row],[predicted_9]]-Table1[[#This Row],[actual_9]])/Table1[[#This Row],[actual_9]]</f>
        <v>-0.14073339940535184</v>
      </c>
      <c r="EP541" s="1">
        <f>1+(Table1[[#This Row],[error_ratio_0]]-EF$2)</f>
        <v>1.0959183673469388</v>
      </c>
      <c r="EQ541" s="1">
        <f>1+(Table1[[#This Row],[error_ratio_1]]-EG$2)</f>
        <v>0.98590308370044055</v>
      </c>
      <c r="ER541" s="1">
        <f>1+(Table1[[#This Row],[error_ratio_2]]-EH$2)</f>
        <v>0.93701550387596899</v>
      </c>
      <c r="ES541" s="1">
        <f>1+(Table1[[#This Row],[error_ratio_3]]-EI$2)</f>
        <v>0.91188118811881191</v>
      </c>
      <c r="ET541" s="1">
        <f>1+(Table1[[#This Row],[error_ratio_4]]-EJ$2)</f>
        <v>1.1130346232179227</v>
      </c>
      <c r="EU541" s="1">
        <f>1+(Table1[[#This Row],[error_ratio_5]]-EK$2)</f>
        <v>1.0885650224215246</v>
      </c>
      <c r="EV541" s="1">
        <f>1+(Table1[[#This Row],[error_ratio_6]]-EL$2)</f>
        <v>0.92484342379958251</v>
      </c>
      <c r="EW541" s="1">
        <f>1+(Table1[[#This Row],[error_ratio_7]]-EM$2)</f>
        <v>1.0447470817120623</v>
      </c>
      <c r="EX541" s="1">
        <f>1+(Table1[[#This Row],[error_ratio_8]]-EN$2)</f>
        <v>1.0513347022587269</v>
      </c>
      <c r="EY541" s="1">
        <f>1+(Table1[[#This Row],[error_ratio_9]]-EO$2)</f>
        <v>0.86323092170465809</v>
      </c>
    </row>
    <row r="542" spans="1:155" x14ac:dyDescent="0.75">
      <c r="A542">
        <v>10</v>
      </c>
      <c r="B542">
        <v>10</v>
      </c>
      <c r="C542">
        <v>10</v>
      </c>
      <c r="D542">
        <v>10</v>
      </c>
      <c r="E542">
        <v>100</v>
      </c>
      <c r="F542">
        <v>100</v>
      </c>
      <c r="G542">
        <v>10</v>
      </c>
      <c r="H542">
        <v>100</v>
      </c>
      <c r="I542">
        <v>100</v>
      </c>
      <c r="J542">
        <v>10</v>
      </c>
      <c r="K542">
        <v>1022</v>
      </c>
      <c r="L542">
        <v>1077</v>
      </c>
      <c r="M542">
        <v>984</v>
      </c>
      <c r="N542">
        <v>928</v>
      </c>
      <c r="O542">
        <v>1534</v>
      </c>
      <c r="P542">
        <v>916</v>
      </c>
      <c r="Q542">
        <v>895</v>
      </c>
      <c r="R542">
        <v>1124</v>
      </c>
      <c r="S542">
        <v>1106</v>
      </c>
      <c r="T542">
        <v>414</v>
      </c>
      <c r="U542">
        <v>980</v>
      </c>
      <c r="V542">
        <v>1135</v>
      </c>
      <c r="W542">
        <v>1032</v>
      </c>
      <c r="X542">
        <v>1010</v>
      </c>
      <c r="Y542">
        <v>982</v>
      </c>
      <c r="Z542">
        <v>892</v>
      </c>
      <c r="AA542">
        <v>958</v>
      </c>
      <c r="AB542">
        <v>1028</v>
      </c>
      <c r="AC542">
        <v>974</v>
      </c>
      <c r="AD542">
        <v>1009</v>
      </c>
      <c r="AE542">
        <v>959</v>
      </c>
      <c r="AF542">
        <v>0</v>
      </c>
      <c r="AG542">
        <v>1</v>
      </c>
      <c r="AH542">
        <v>0</v>
      </c>
      <c r="AI542">
        <v>0</v>
      </c>
      <c r="AJ542">
        <v>4</v>
      </c>
      <c r="AK542">
        <v>1</v>
      </c>
      <c r="AL542">
        <v>5</v>
      </c>
      <c r="AM542">
        <v>10</v>
      </c>
      <c r="AN542">
        <v>0</v>
      </c>
      <c r="AO542">
        <v>0</v>
      </c>
      <c r="AP542">
        <v>1071</v>
      </c>
      <c r="AQ542">
        <v>4</v>
      </c>
      <c r="AR542">
        <v>1</v>
      </c>
      <c r="AS542">
        <v>4</v>
      </c>
      <c r="AT542">
        <v>3</v>
      </c>
      <c r="AU542">
        <v>0</v>
      </c>
      <c r="AV542">
        <v>15</v>
      </c>
      <c r="AW542">
        <v>37</v>
      </c>
      <c r="AX542">
        <v>0</v>
      </c>
      <c r="AY542">
        <v>14</v>
      </c>
      <c r="AZ542">
        <v>0</v>
      </c>
      <c r="BA542">
        <v>964</v>
      </c>
      <c r="BB542">
        <v>0</v>
      </c>
      <c r="BC542">
        <v>6</v>
      </c>
      <c r="BD542">
        <v>1</v>
      </c>
      <c r="BE542">
        <v>2</v>
      </c>
      <c r="BF542">
        <v>16</v>
      </c>
      <c r="BG542">
        <v>29</v>
      </c>
      <c r="BH542">
        <v>0</v>
      </c>
      <c r="BI542">
        <v>0</v>
      </c>
      <c r="BJ542">
        <v>0</v>
      </c>
      <c r="BK542">
        <v>5</v>
      </c>
      <c r="BL542">
        <v>923</v>
      </c>
      <c r="BM542">
        <v>5</v>
      </c>
      <c r="BN542">
        <v>12</v>
      </c>
      <c r="BO542">
        <v>0</v>
      </c>
      <c r="BP542">
        <v>29</v>
      </c>
      <c r="BQ542">
        <v>35</v>
      </c>
      <c r="BR542">
        <v>1</v>
      </c>
      <c r="BS542">
        <v>2</v>
      </c>
      <c r="BT542">
        <v>0</v>
      </c>
      <c r="BU542">
        <v>2</v>
      </c>
      <c r="BV542">
        <v>0</v>
      </c>
      <c r="BW542">
        <v>977</v>
      </c>
      <c r="BX542">
        <v>0</v>
      </c>
      <c r="BY542">
        <v>0</v>
      </c>
      <c r="BZ542">
        <v>1</v>
      </c>
      <c r="CA542">
        <v>0</v>
      </c>
      <c r="CB542">
        <v>0</v>
      </c>
      <c r="CC542">
        <v>2</v>
      </c>
      <c r="CD542">
        <v>0</v>
      </c>
      <c r="CE542">
        <v>0</v>
      </c>
      <c r="CF542">
        <v>2</v>
      </c>
      <c r="CG542">
        <v>1</v>
      </c>
      <c r="CH542">
        <v>879</v>
      </c>
      <c r="CI542">
        <v>3</v>
      </c>
      <c r="CJ542">
        <v>0</v>
      </c>
      <c r="CK542">
        <v>5</v>
      </c>
      <c r="CL542">
        <v>0</v>
      </c>
      <c r="CM542">
        <v>29</v>
      </c>
      <c r="CN542">
        <v>5</v>
      </c>
      <c r="CO542">
        <v>1</v>
      </c>
      <c r="CP542">
        <v>0</v>
      </c>
      <c r="CQ542">
        <v>19</v>
      </c>
      <c r="CR542">
        <v>7</v>
      </c>
      <c r="CS542">
        <v>889</v>
      </c>
      <c r="CT542">
        <v>0</v>
      </c>
      <c r="CU542">
        <v>8</v>
      </c>
      <c r="CV542">
        <v>0</v>
      </c>
      <c r="CW542">
        <v>0</v>
      </c>
      <c r="CX542">
        <v>1</v>
      </c>
      <c r="CY542">
        <v>6</v>
      </c>
      <c r="CZ542">
        <v>0</v>
      </c>
      <c r="DA542">
        <v>3</v>
      </c>
      <c r="DB542">
        <v>0</v>
      </c>
      <c r="DC542">
        <v>0</v>
      </c>
      <c r="DD542">
        <v>1016</v>
      </c>
      <c r="DE542">
        <v>2</v>
      </c>
      <c r="DF542">
        <v>0</v>
      </c>
      <c r="DG542">
        <v>8</v>
      </c>
      <c r="DH542">
        <v>0</v>
      </c>
      <c r="DI542">
        <v>1</v>
      </c>
      <c r="DJ542">
        <v>0</v>
      </c>
      <c r="DK542">
        <v>4</v>
      </c>
      <c r="DL542">
        <v>2</v>
      </c>
      <c r="DM542">
        <v>0</v>
      </c>
      <c r="DN542">
        <v>1</v>
      </c>
      <c r="DO542">
        <v>958</v>
      </c>
      <c r="DP542">
        <v>0</v>
      </c>
      <c r="DQ542">
        <v>8</v>
      </c>
      <c r="DR542">
        <v>0</v>
      </c>
      <c r="DS542">
        <v>0</v>
      </c>
      <c r="DT542">
        <v>2</v>
      </c>
      <c r="DU542">
        <v>515</v>
      </c>
      <c r="DV542">
        <v>8</v>
      </c>
      <c r="DW542">
        <v>0</v>
      </c>
      <c r="DX542">
        <v>41</v>
      </c>
      <c r="DY542">
        <v>22</v>
      </c>
      <c r="DZ542">
        <v>413</v>
      </c>
      <c r="EA542">
        <v>0.90490000000000004</v>
      </c>
      <c r="EB542">
        <v>0.92645556573182597</v>
      </c>
      <c r="EC542">
        <v>0.90596788818603802</v>
      </c>
      <c r="ED542">
        <v>0.89896293456998899</v>
      </c>
      <c r="EE542">
        <f>SUM(Table1[[#This Row],[ratio_0]:[ratio_9]])</f>
        <v>460</v>
      </c>
      <c r="EF542" s="1">
        <f>(Table1[[#This Row],[predicted_0]]-Table1[[#This Row],[actual_0]])/Table1[[#This Row],[actual_0]]</f>
        <v>4.2857142857142858E-2</v>
      </c>
      <c r="EG542" s="1">
        <f>(Table1[[#This Row],[predicted_1]]-Table1[[#This Row],[actual_1]])/Table1[[#This Row],[actual_1]]</f>
        <v>-5.1101321585903081E-2</v>
      </c>
      <c r="EH542" s="1">
        <f>(Table1[[#This Row],[predicted_2]]-Table1[[#This Row],[actual_2]])/Table1[[#This Row],[actual_2]]</f>
        <v>-4.6511627906976744E-2</v>
      </c>
      <c r="EI542" s="1">
        <f>(Table1[[#This Row],[predicted_3]]-Table1[[#This Row],[actual_3]])/Table1[[#This Row],[actual_3]]</f>
        <v>-8.1188118811881191E-2</v>
      </c>
      <c r="EJ542" s="1">
        <f>(Table1[[#This Row],[predicted_4]]-Table1[[#This Row],[actual_4]])/Table1[[#This Row],[actual_4]]</f>
        <v>0.56211812627291247</v>
      </c>
      <c r="EK542" s="1">
        <f>(Table1[[#This Row],[predicted_5]]-Table1[[#This Row],[actual_5]])/Table1[[#This Row],[actual_5]]</f>
        <v>2.6905829596412557E-2</v>
      </c>
      <c r="EL542" s="1">
        <f>(Table1[[#This Row],[predicted_6]]-Table1[[#This Row],[actual_6]])/Table1[[#This Row],[actual_6]]</f>
        <v>-6.5762004175365346E-2</v>
      </c>
      <c r="EM542" s="1">
        <f>(Table1[[#This Row],[predicted_7]]-Table1[[#This Row],[actual_7]])/Table1[[#This Row],[actual_7]]</f>
        <v>9.3385214007782102E-2</v>
      </c>
      <c r="EN542" s="1">
        <f>(Table1[[#This Row],[predicted_8]]-Table1[[#This Row],[actual_8]])/Table1[[#This Row],[actual_8]]</f>
        <v>0.13552361396303902</v>
      </c>
      <c r="EO542" s="1">
        <f>(Table1[[#This Row],[predicted_9]]-Table1[[#This Row],[actual_9]])/Table1[[#This Row],[actual_9]]</f>
        <v>-0.58969276511397428</v>
      </c>
      <c r="EP542" s="1">
        <f>1+(Table1[[#This Row],[error_ratio_0]]-EF$2)</f>
        <v>1.0408163265306123</v>
      </c>
      <c r="EQ542" s="1">
        <f>1+(Table1[[#This Row],[error_ratio_1]]-EG$2)</f>
        <v>0.94713656387665202</v>
      </c>
      <c r="ER542" s="1">
        <f>1+(Table1[[#This Row],[error_ratio_2]]-EH$2)</f>
        <v>0.95833333333333337</v>
      </c>
      <c r="ES542" s="1">
        <f>1+(Table1[[#This Row],[error_ratio_3]]-EI$2)</f>
        <v>0.90891089108910894</v>
      </c>
      <c r="ET542" s="1">
        <f>1+(Table1[[#This Row],[error_ratio_4]]-EJ$2)</f>
        <v>1.5610997963340123</v>
      </c>
      <c r="EU542" s="1">
        <f>1+(Table1[[#This Row],[error_ratio_5]]-EK$2)</f>
        <v>1.0257847533632287</v>
      </c>
      <c r="EV542" s="1">
        <f>1+(Table1[[#This Row],[error_ratio_6]]-EL$2)</f>
        <v>0.94050104384133615</v>
      </c>
      <c r="EW542" s="1">
        <f>1+(Table1[[#This Row],[error_ratio_7]]-EM$2)</f>
        <v>1.0914396887159534</v>
      </c>
      <c r="EX542" s="1">
        <f>1+(Table1[[#This Row],[error_ratio_8]]-EN$2)</f>
        <v>1.1386036960985626</v>
      </c>
      <c r="EY542" s="1">
        <f>1+(Table1[[#This Row],[error_ratio_9]]-EO$2)</f>
        <v>0.4142715559960356</v>
      </c>
    </row>
    <row r="543" spans="1:155" x14ac:dyDescent="0.75">
      <c r="A543">
        <v>100</v>
      </c>
      <c r="B543">
        <v>100</v>
      </c>
      <c r="C543">
        <v>100</v>
      </c>
      <c r="D543">
        <v>100</v>
      </c>
      <c r="E543">
        <v>10</v>
      </c>
      <c r="F543">
        <v>100</v>
      </c>
      <c r="G543">
        <v>10</v>
      </c>
      <c r="H543">
        <v>100</v>
      </c>
      <c r="I543">
        <v>100</v>
      </c>
      <c r="J543">
        <v>10</v>
      </c>
      <c r="K543">
        <v>1031</v>
      </c>
      <c r="L543">
        <v>1154</v>
      </c>
      <c r="M543">
        <v>1042</v>
      </c>
      <c r="N543">
        <v>1028</v>
      </c>
      <c r="O543">
        <v>913</v>
      </c>
      <c r="P543">
        <v>918</v>
      </c>
      <c r="Q543">
        <v>875</v>
      </c>
      <c r="R543">
        <v>1062</v>
      </c>
      <c r="S543">
        <v>983</v>
      </c>
      <c r="T543">
        <v>994</v>
      </c>
      <c r="U543">
        <v>980</v>
      </c>
      <c r="V543">
        <v>1135</v>
      </c>
      <c r="W543">
        <v>1032</v>
      </c>
      <c r="X543">
        <v>1010</v>
      </c>
      <c r="Y543">
        <v>982</v>
      </c>
      <c r="Z543">
        <v>892</v>
      </c>
      <c r="AA543">
        <v>958</v>
      </c>
      <c r="AB543">
        <v>1028</v>
      </c>
      <c r="AC543">
        <v>974</v>
      </c>
      <c r="AD543">
        <v>1009</v>
      </c>
      <c r="AE543">
        <v>975</v>
      </c>
      <c r="AF543">
        <v>1</v>
      </c>
      <c r="AG543">
        <v>0</v>
      </c>
      <c r="AH543">
        <v>0</v>
      </c>
      <c r="AI543">
        <v>0</v>
      </c>
      <c r="AJ543">
        <v>0</v>
      </c>
      <c r="AK543">
        <v>0</v>
      </c>
      <c r="AL543">
        <v>2</v>
      </c>
      <c r="AM543">
        <v>2</v>
      </c>
      <c r="AN543">
        <v>0</v>
      </c>
      <c r="AO543">
        <v>0</v>
      </c>
      <c r="AP543">
        <v>1132</v>
      </c>
      <c r="AQ543">
        <v>0</v>
      </c>
      <c r="AR543">
        <v>2</v>
      </c>
      <c r="AS543">
        <v>0</v>
      </c>
      <c r="AT543">
        <v>1</v>
      </c>
      <c r="AU543">
        <v>0</v>
      </c>
      <c r="AV543">
        <v>0</v>
      </c>
      <c r="AW543">
        <v>0</v>
      </c>
      <c r="AX543">
        <v>0</v>
      </c>
      <c r="AY543">
        <v>2</v>
      </c>
      <c r="AZ543">
        <v>2</v>
      </c>
      <c r="BA543">
        <v>1019</v>
      </c>
      <c r="BB543">
        <v>2</v>
      </c>
      <c r="BC543">
        <v>0</v>
      </c>
      <c r="BD543">
        <v>0</v>
      </c>
      <c r="BE543">
        <v>0</v>
      </c>
      <c r="BF543">
        <v>5</v>
      </c>
      <c r="BG543">
        <v>2</v>
      </c>
      <c r="BH543">
        <v>0</v>
      </c>
      <c r="BI543">
        <v>0</v>
      </c>
      <c r="BJ543">
        <v>0</v>
      </c>
      <c r="BK543">
        <v>1</v>
      </c>
      <c r="BL543">
        <v>1003</v>
      </c>
      <c r="BM543">
        <v>0</v>
      </c>
      <c r="BN543">
        <v>3</v>
      </c>
      <c r="BO543">
        <v>0</v>
      </c>
      <c r="BP543">
        <v>2</v>
      </c>
      <c r="BQ543">
        <v>1</v>
      </c>
      <c r="BR543">
        <v>0</v>
      </c>
      <c r="BS543">
        <v>5</v>
      </c>
      <c r="BT543">
        <v>4</v>
      </c>
      <c r="BU543">
        <v>7</v>
      </c>
      <c r="BV543">
        <v>0</v>
      </c>
      <c r="BW543">
        <v>910</v>
      </c>
      <c r="BX543">
        <v>0</v>
      </c>
      <c r="BY543">
        <v>1</v>
      </c>
      <c r="BZ543">
        <v>15</v>
      </c>
      <c r="CA543">
        <v>7</v>
      </c>
      <c r="CB543">
        <v>33</v>
      </c>
      <c r="CC543">
        <v>3</v>
      </c>
      <c r="CD543">
        <v>0</v>
      </c>
      <c r="CE543">
        <v>0</v>
      </c>
      <c r="CF543">
        <v>7</v>
      </c>
      <c r="CG543">
        <v>0</v>
      </c>
      <c r="CH543">
        <v>879</v>
      </c>
      <c r="CI543">
        <v>0</v>
      </c>
      <c r="CJ543">
        <v>1</v>
      </c>
      <c r="CK543">
        <v>2</v>
      </c>
      <c r="CL543">
        <v>0</v>
      </c>
      <c r="CM543">
        <v>36</v>
      </c>
      <c r="CN543">
        <v>6</v>
      </c>
      <c r="CO543">
        <v>5</v>
      </c>
      <c r="CP543">
        <v>1</v>
      </c>
      <c r="CQ543">
        <v>2</v>
      </c>
      <c r="CR543">
        <v>26</v>
      </c>
      <c r="CS543">
        <v>874</v>
      </c>
      <c r="CT543">
        <v>0</v>
      </c>
      <c r="CU543">
        <v>8</v>
      </c>
      <c r="CV543">
        <v>0</v>
      </c>
      <c r="CW543">
        <v>1</v>
      </c>
      <c r="CX543">
        <v>4</v>
      </c>
      <c r="CY543">
        <v>4</v>
      </c>
      <c r="CZ543">
        <v>0</v>
      </c>
      <c r="DA543">
        <v>0</v>
      </c>
      <c r="DB543">
        <v>0</v>
      </c>
      <c r="DC543">
        <v>0</v>
      </c>
      <c r="DD543">
        <v>1018</v>
      </c>
      <c r="DE543">
        <v>0</v>
      </c>
      <c r="DF543">
        <v>1</v>
      </c>
      <c r="DG543">
        <v>2</v>
      </c>
      <c r="DH543">
        <v>0</v>
      </c>
      <c r="DI543">
        <v>4</v>
      </c>
      <c r="DJ543">
        <v>0</v>
      </c>
      <c r="DK543">
        <v>0</v>
      </c>
      <c r="DL543">
        <v>0</v>
      </c>
      <c r="DM543">
        <v>0</v>
      </c>
      <c r="DN543">
        <v>4</v>
      </c>
      <c r="DO543">
        <v>958</v>
      </c>
      <c r="DP543">
        <v>6</v>
      </c>
      <c r="DQ543">
        <v>7</v>
      </c>
      <c r="DR543">
        <v>5</v>
      </c>
      <c r="DS543">
        <v>2</v>
      </c>
      <c r="DT543">
        <v>13</v>
      </c>
      <c r="DU543">
        <v>1</v>
      </c>
      <c r="DV543">
        <v>9</v>
      </c>
      <c r="DW543">
        <v>0</v>
      </c>
      <c r="DX543">
        <v>15</v>
      </c>
      <c r="DY543">
        <v>3</v>
      </c>
      <c r="DZ543">
        <v>954</v>
      </c>
      <c r="EA543">
        <v>0.97219999999999995</v>
      </c>
      <c r="EB543">
        <v>0.97262102261015004</v>
      </c>
      <c r="EC543">
        <v>0.97164866297727903</v>
      </c>
      <c r="ED543">
        <v>0.97167898039739597</v>
      </c>
      <c r="EE543">
        <f>SUM(Table1[[#This Row],[ratio_0]:[ratio_9]])</f>
        <v>730</v>
      </c>
      <c r="EF543" s="1">
        <f>(Table1[[#This Row],[predicted_0]]-Table1[[#This Row],[actual_0]])/Table1[[#This Row],[actual_0]]</f>
        <v>5.2040816326530612E-2</v>
      </c>
      <c r="EG543" s="1">
        <f>(Table1[[#This Row],[predicted_1]]-Table1[[#This Row],[actual_1]])/Table1[[#This Row],[actual_1]]</f>
        <v>1.6740088105726872E-2</v>
      </c>
      <c r="EH543" s="1">
        <f>(Table1[[#This Row],[predicted_2]]-Table1[[#This Row],[actual_2]])/Table1[[#This Row],[actual_2]]</f>
        <v>9.6899224806201549E-3</v>
      </c>
      <c r="EI543" s="1">
        <f>(Table1[[#This Row],[predicted_3]]-Table1[[#This Row],[actual_3]])/Table1[[#This Row],[actual_3]]</f>
        <v>1.782178217821782E-2</v>
      </c>
      <c r="EJ543" s="1">
        <f>(Table1[[#This Row],[predicted_4]]-Table1[[#This Row],[actual_4]])/Table1[[#This Row],[actual_4]]</f>
        <v>-7.0264765784114058E-2</v>
      </c>
      <c r="EK543" s="1">
        <f>(Table1[[#This Row],[predicted_5]]-Table1[[#This Row],[actual_5]])/Table1[[#This Row],[actual_5]]</f>
        <v>2.914798206278027E-2</v>
      </c>
      <c r="EL543" s="1">
        <f>(Table1[[#This Row],[predicted_6]]-Table1[[#This Row],[actual_6]])/Table1[[#This Row],[actual_6]]</f>
        <v>-8.663883089770355E-2</v>
      </c>
      <c r="EM543" s="1">
        <f>(Table1[[#This Row],[predicted_7]]-Table1[[#This Row],[actual_7]])/Table1[[#This Row],[actual_7]]</f>
        <v>3.3073929961089495E-2</v>
      </c>
      <c r="EN543" s="1">
        <f>(Table1[[#This Row],[predicted_8]]-Table1[[#This Row],[actual_8]])/Table1[[#This Row],[actual_8]]</f>
        <v>9.2402464065708418E-3</v>
      </c>
      <c r="EO543" s="1">
        <f>(Table1[[#This Row],[predicted_9]]-Table1[[#This Row],[actual_9]])/Table1[[#This Row],[actual_9]]</f>
        <v>-1.4866204162537165E-2</v>
      </c>
      <c r="EP543" s="1">
        <f>1+(Table1[[#This Row],[error_ratio_0]]-EF$2)</f>
        <v>1.05</v>
      </c>
      <c r="EQ543" s="1">
        <f>1+(Table1[[#This Row],[error_ratio_1]]-EG$2)</f>
        <v>1.014977973568282</v>
      </c>
      <c r="ER543" s="1">
        <f>1+(Table1[[#This Row],[error_ratio_2]]-EH$2)</f>
        <v>1.0145348837209303</v>
      </c>
      <c r="ES543" s="1">
        <f>1+(Table1[[#This Row],[error_ratio_3]]-EI$2)</f>
        <v>1.0079207920792079</v>
      </c>
      <c r="ET543" s="1">
        <f>1+(Table1[[#This Row],[error_ratio_4]]-EJ$2)</f>
        <v>0.92871690427698572</v>
      </c>
      <c r="EU543" s="1">
        <f>1+(Table1[[#This Row],[error_ratio_5]]-EK$2)</f>
        <v>1.0280269058295963</v>
      </c>
      <c r="EV543" s="1">
        <f>1+(Table1[[#This Row],[error_ratio_6]]-EL$2)</f>
        <v>0.91962421711899789</v>
      </c>
      <c r="EW543" s="1">
        <f>1+(Table1[[#This Row],[error_ratio_7]]-EM$2)</f>
        <v>1.0311284046692606</v>
      </c>
      <c r="EX543" s="1">
        <f>1+(Table1[[#This Row],[error_ratio_8]]-EN$2)</f>
        <v>1.0123203285420945</v>
      </c>
      <c r="EY543" s="1">
        <f>1+(Table1[[#This Row],[error_ratio_9]]-EO$2)</f>
        <v>0.98909811694747274</v>
      </c>
    </row>
    <row r="544" spans="1:155" x14ac:dyDescent="0.75">
      <c r="A544">
        <v>10</v>
      </c>
      <c r="B544">
        <v>100</v>
      </c>
      <c r="C544">
        <v>100</v>
      </c>
      <c r="D544">
        <v>100</v>
      </c>
      <c r="E544">
        <v>10</v>
      </c>
      <c r="F544">
        <v>100</v>
      </c>
      <c r="G544">
        <v>10</v>
      </c>
      <c r="H544">
        <v>100</v>
      </c>
      <c r="I544">
        <v>100</v>
      </c>
      <c r="J544">
        <v>10</v>
      </c>
      <c r="K544">
        <v>971</v>
      </c>
      <c r="L544">
        <v>1149</v>
      </c>
      <c r="M544">
        <v>1075</v>
      </c>
      <c r="N544">
        <v>1021</v>
      </c>
      <c r="O544">
        <v>977</v>
      </c>
      <c r="P544">
        <v>998</v>
      </c>
      <c r="Q544">
        <v>887</v>
      </c>
      <c r="R544">
        <v>1009</v>
      </c>
      <c r="S544">
        <v>979</v>
      </c>
      <c r="T544">
        <v>934</v>
      </c>
      <c r="U544">
        <v>980</v>
      </c>
      <c r="V544">
        <v>1135</v>
      </c>
      <c r="W544">
        <v>1032</v>
      </c>
      <c r="X544">
        <v>1010</v>
      </c>
      <c r="Y544">
        <v>982</v>
      </c>
      <c r="Z544">
        <v>892</v>
      </c>
      <c r="AA544">
        <v>958</v>
      </c>
      <c r="AB544">
        <v>1028</v>
      </c>
      <c r="AC544">
        <v>974</v>
      </c>
      <c r="AD544">
        <v>1009</v>
      </c>
      <c r="AE544">
        <v>953</v>
      </c>
      <c r="AF544">
        <v>1</v>
      </c>
      <c r="AG544">
        <v>16</v>
      </c>
      <c r="AH544">
        <v>1</v>
      </c>
      <c r="AI544">
        <v>0</v>
      </c>
      <c r="AJ544">
        <v>5</v>
      </c>
      <c r="AK544">
        <v>0</v>
      </c>
      <c r="AL544">
        <v>2</v>
      </c>
      <c r="AM544">
        <v>2</v>
      </c>
      <c r="AN544">
        <v>0</v>
      </c>
      <c r="AO544">
        <v>0</v>
      </c>
      <c r="AP544">
        <v>1130</v>
      </c>
      <c r="AQ544">
        <v>0</v>
      </c>
      <c r="AR544">
        <v>1</v>
      </c>
      <c r="AS544">
        <v>0</v>
      </c>
      <c r="AT544">
        <v>3</v>
      </c>
      <c r="AU544">
        <v>1</v>
      </c>
      <c r="AV544">
        <v>0</v>
      </c>
      <c r="AW544">
        <v>0</v>
      </c>
      <c r="AX544">
        <v>0</v>
      </c>
      <c r="AY544">
        <v>0</v>
      </c>
      <c r="AZ544">
        <v>1</v>
      </c>
      <c r="BA544">
        <v>1026</v>
      </c>
      <c r="BB544">
        <v>4</v>
      </c>
      <c r="BC544">
        <v>0</v>
      </c>
      <c r="BD544">
        <v>0</v>
      </c>
      <c r="BE544">
        <v>0</v>
      </c>
      <c r="BF544">
        <v>1</v>
      </c>
      <c r="BG544">
        <v>0</v>
      </c>
      <c r="BH544">
        <v>0</v>
      </c>
      <c r="BI544">
        <v>0</v>
      </c>
      <c r="BJ544">
        <v>0</v>
      </c>
      <c r="BK544">
        <v>2</v>
      </c>
      <c r="BL544">
        <v>998</v>
      </c>
      <c r="BM544">
        <v>0</v>
      </c>
      <c r="BN544">
        <v>8</v>
      </c>
      <c r="BO544">
        <v>0</v>
      </c>
      <c r="BP544">
        <v>0</v>
      </c>
      <c r="BQ544">
        <v>2</v>
      </c>
      <c r="BR544">
        <v>0</v>
      </c>
      <c r="BS544">
        <v>3</v>
      </c>
      <c r="BT544">
        <v>2</v>
      </c>
      <c r="BU544">
        <v>6</v>
      </c>
      <c r="BV544">
        <v>0</v>
      </c>
      <c r="BW544">
        <v>960</v>
      </c>
      <c r="BX544">
        <v>1</v>
      </c>
      <c r="BY544">
        <v>0</v>
      </c>
      <c r="BZ544">
        <v>3</v>
      </c>
      <c r="CA544">
        <v>3</v>
      </c>
      <c r="CB544">
        <v>4</v>
      </c>
      <c r="CC544">
        <v>1</v>
      </c>
      <c r="CD544">
        <v>0</v>
      </c>
      <c r="CE544">
        <v>0</v>
      </c>
      <c r="CF544">
        <v>2</v>
      </c>
      <c r="CG544">
        <v>0</v>
      </c>
      <c r="CH544">
        <v>889</v>
      </c>
      <c r="CI544">
        <v>0</v>
      </c>
      <c r="CJ544">
        <v>0</v>
      </c>
      <c r="CK544">
        <v>0</v>
      </c>
      <c r="CL544">
        <v>0</v>
      </c>
      <c r="CM544">
        <v>8</v>
      </c>
      <c r="CN544">
        <v>4</v>
      </c>
      <c r="CO544">
        <v>3</v>
      </c>
      <c r="CP544">
        <v>1</v>
      </c>
      <c r="CQ544">
        <v>8</v>
      </c>
      <c r="CR544">
        <v>46</v>
      </c>
      <c r="CS544">
        <v>886</v>
      </c>
      <c r="CT544">
        <v>0</v>
      </c>
      <c r="CU544">
        <v>2</v>
      </c>
      <c r="CV544">
        <v>0</v>
      </c>
      <c r="CW544">
        <v>1</v>
      </c>
      <c r="CX544">
        <v>6</v>
      </c>
      <c r="CY544">
        <v>17</v>
      </c>
      <c r="CZ544">
        <v>4</v>
      </c>
      <c r="DA544">
        <v>0</v>
      </c>
      <c r="DB544">
        <v>1</v>
      </c>
      <c r="DC544">
        <v>0</v>
      </c>
      <c r="DD544">
        <v>996</v>
      </c>
      <c r="DE544">
        <v>0</v>
      </c>
      <c r="DF544">
        <v>3</v>
      </c>
      <c r="DG544">
        <v>1</v>
      </c>
      <c r="DH544">
        <v>0</v>
      </c>
      <c r="DI544">
        <v>4</v>
      </c>
      <c r="DJ544">
        <v>1</v>
      </c>
      <c r="DK544">
        <v>0</v>
      </c>
      <c r="DL544">
        <v>6</v>
      </c>
      <c r="DM544">
        <v>0</v>
      </c>
      <c r="DN544">
        <v>0</v>
      </c>
      <c r="DO544">
        <v>960</v>
      </c>
      <c r="DP544">
        <v>2</v>
      </c>
      <c r="DQ544">
        <v>4</v>
      </c>
      <c r="DR544">
        <v>5</v>
      </c>
      <c r="DS544">
        <v>1</v>
      </c>
      <c r="DT544">
        <v>9</v>
      </c>
      <c r="DU544">
        <v>9</v>
      </c>
      <c r="DV544">
        <v>39</v>
      </c>
      <c r="DW544">
        <v>0</v>
      </c>
      <c r="DX544">
        <v>7</v>
      </c>
      <c r="DY544">
        <v>10</v>
      </c>
      <c r="DZ544">
        <v>925</v>
      </c>
      <c r="EA544">
        <v>0.97230000000000005</v>
      </c>
      <c r="EB544">
        <v>0.97271443478530795</v>
      </c>
      <c r="EC544">
        <v>0.97206726234733498</v>
      </c>
      <c r="ED544">
        <v>0.97175043783114901</v>
      </c>
      <c r="EE544">
        <f>SUM(Table1[[#This Row],[ratio_0]:[ratio_9]])</f>
        <v>640</v>
      </c>
      <c r="EF544" s="1">
        <f>(Table1[[#This Row],[predicted_0]]-Table1[[#This Row],[actual_0]])/Table1[[#This Row],[actual_0]]</f>
        <v>-9.1836734693877559E-3</v>
      </c>
      <c r="EG544" s="1">
        <f>(Table1[[#This Row],[predicted_1]]-Table1[[#This Row],[actual_1]])/Table1[[#This Row],[actual_1]]</f>
        <v>1.2334801762114538E-2</v>
      </c>
      <c r="EH544" s="1">
        <f>(Table1[[#This Row],[predicted_2]]-Table1[[#This Row],[actual_2]])/Table1[[#This Row],[actual_2]]</f>
        <v>4.1666666666666664E-2</v>
      </c>
      <c r="EI544" s="1">
        <f>(Table1[[#This Row],[predicted_3]]-Table1[[#This Row],[actual_3]])/Table1[[#This Row],[actual_3]]</f>
        <v>1.089108910891089E-2</v>
      </c>
      <c r="EJ544" s="1">
        <f>(Table1[[#This Row],[predicted_4]]-Table1[[#This Row],[actual_4]])/Table1[[#This Row],[actual_4]]</f>
        <v>-5.0916496945010185E-3</v>
      </c>
      <c r="EK544" s="1">
        <f>(Table1[[#This Row],[predicted_5]]-Table1[[#This Row],[actual_5]])/Table1[[#This Row],[actual_5]]</f>
        <v>0.11883408071748879</v>
      </c>
      <c r="EL544" s="1">
        <f>(Table1[[#This Row],[predicted_6]]-Table1[[#This Row],[actual_6]])/Table1[[#This Row],[actual_6]]</f>
        <v>-7.4112734864300631E-2</v>
      </c>
      <c r="EM544" s="1">
        <f>(Table1[[#This Row],[predicted_7]]-Table1[[#This Row],[actual_7]])/Table1[[#This Row],[actual_7]]</f>
        <v>-1.8482490272373541E-2</v>
      </c>
      <c r="EN544" s="1">
        <f>(Table1[[#This Row],[predicted_8]]-Table1[[#This Row],[actual_8]])/Table1[[#This Row],[actual_8]]</f>
        <v>5.1334702258726897E-3</v>
      </c>
      <c r="EO544" s="1">
        <f>(Table1[[#This Row],[predicted_9]]-Table1[[#This Row],[actual_9]])/Table1[[#This Row],[actual_9]]</f>
        <v>-7.4331020812685833E-2</v>
      </c>
      <c r="EP544" s="1">
        <f>1+(Table1[[#This Row],[error_ratio_0]]-EF$2)</f>
        <v>0.98877551020408161</v>
      </c>
      <c r="EQ544" s="1">
        <f>1+(Table1[[#This Row],[error_ratio_1]]-EG$2)</f>
        <v>1.0105726872246696</v>
      </c>
      <c r="ER544" s="1">
        <f>1+(Table1[[#This Row],[error_ratio_2]]-EH$2)</f>
        <v>1.0465116279069768</v>
      </c>
      <c r="ES544" s="1">
        <f>1+(Table1[[#This Row],[error_ratio_3]]-EI$2)</f>
        <v>1.000990099009901</v>
      </c>
      <c r="ET544" s="1">
        <f>1+(Table1[[#This Row],[error_ratio_4]]-EJ$2)</f>
        <v>0.99389002036659879</v>
      </c>
      <c r="EU544" s="1">
        <f>1+(Table1[[#This Row],[error_ratio_5]]-EK$2)</f>
        <v>1.1177130044843049</v>
      </c>
      <c r="EV544" s="1">
        <f>1+(Table1[[#This Row],[error_ratio_6]]-EL$2)</f>
        <v>0.93215031315240082</v>
      </c>
      <c r="EW544" s="1">
        <f>1+(Table1[[#This Row],[error_ratio_7]]-EM$2)</f>
        <v>0.97957198443579763</v>
      </c>
      <c r="EX544" s="1">
        <f>1+(Table1[[#This Row],[error_ratio_8]]-EN$2)</f>
        <v>1.0082135523613962</v>
      </c>
      <c r="EY544" s="1">
        <f>1+(Table1[[#This Row],[error_ratio_9]]-EO$2)</f>
        <v>0.92963330029732405</v>
      </c>
    </row>
    <row r="545" spans="1:155" x14ac:dyDescent="0.75">
      <c r="A545">
        <v>100</v>
      </c>
      <c r="B545">
        <v>10</v>
      </c>
      <c r="C545">
        <v>100</v>
      </c>
      <c r="D545">
        <v>100</v>
      </c>
      <c r="E545">
        <v>10</v>
      </c>
      <c r="F545">
        <v>100</v>
      </c>
      <c r="G545">
        <v>10</v>
      </c>
      <c r="H545">
        <v>100</v>
      </c>
      <c r="I545">
        <v>100</v>
      </c>
      <c r="J545">
        <v>10</v>
      </c>
      <c r="K545">
        <v>1016</v>
      </c>
      <c r="L545">
        <v>1124</v>
      </c>
      <c r="M545">
        <v>1038</v>
      </c>
      <c r="N545">
        <v>1022</v>
      </c>
      <c r="O545">
        <v>951</v>
      </c>
      <c r="P545">
        <v>932</v>
      </c>
      <c r="Q545">
        <v>921</v>
      </c>
      <c r="R545">
        <v>1070</v>
      </c>
      <c r="S545">
        <v>1014</v>
      </c>
      <c r="T545">
        <v>912</v>
      </c>
      <c r="U545">
        <v>980</v>
      </c>
      <c r="V545">
        <v>1135</v>
      </c>
      <c r="W545">
        <v>1032</v>
      </c>
      <c r="X545">
        <v>1010</v>
      </c>
      <c r="Y545">
        <v>982</v>
      </c>
      <c r="Z545">
        <v>892</v>
      </c>
      <c r="AA545">
        <v>958</v>
      </c>
      <c r="AB545">
        <v>1028</v>
      </c>
      <c r="AC545">
        <v>974</v>
      </c>
      <c r="AD545">
        <v>1009</v>
      </c>
      <c r="AE545">
        <v>978</v>
      </c>
      <c r="AF545">
        <v>0</v>
      </c>
      <c r="AG545">
        <v>0</v>
      </c>
      <c r="AH545">
        <v>0</v>
      </c>
      <c r="AI545">
        <v>0</v>
      </c>
      <c r="AJ545">
        <v>0</v>
      </c>
      <c r="AK545">
        <v>0</v>
      </c>
      <c r="AL545">
        <v>1</v>
      </c>
      <c r="AM545">
        <v>1</v>
      </c>
      <c r="AN545">
        <v>0</v>
      </c>
      <c r="AO545">
        <v>0</v>
      </c>
      <c r="AP545">
        <v>1116</v>
      </c>
      <c r="AQ545">
        <v>3</v>
      </c>
      <c r="AR545">
        <v>2</v>
      </c>
      <c r="AS545">
        <v>0</v>
      </c>
      <c r="AT545">
        <v>2</v>
      </c>
      <c r="AU545">
        <v>3</v>
      </c>
      <c r="AV545">
        <v>0</v>
      </c>
      <c r="AW545">
        <v>9</v>
      </c>
      <c r="AX545">
        <v>0</v>
      </c>
      <c r="AY545">
        <v>1</v>
      </c>
      <c r="AZ545">
        <v>0</v>
      </c>
      <c r="BA545">
        <v>1026</v>
      </c>
      <c r="BB545">
        <v>0</v>
      </c>
      <c r="BC545">
        <v>0</v>
      </c>
      <c r="BD545">
        <v>0</v>
      </c>
      <c r="BE545">
        <v>0</v>
      </c>
      <c r="BF545">
        <v>2</v>
      </c>
      <c r="BG545">
        <v>3</v>
      </c>
      <c r="BH545">
        <v>0</v>
      </c>
      <c r="BI545">
        <v>0</v>
      </c>
      <c r="BJ545">
        <v>0</v>
      </c>
      <c r="BK545">
        <v>1</v>
      </c>
      <c r="BL545">
        <v>1001</v>
      </c>
      <c r="BM545">
        <v>0</v>
      </c>
      <c r="BN545">
        <v>3</v>
      </c>
      <c r="BO545">
        <v>0</v>
      </c>
      <c r="BP545">
        <v>5</v>
      </c>
      <c r="BQ545">
        <v>0</v>
      </c>
      <c r="BR545">
        <v>0</v>
      </c>
      <c r="BS545">
        <v>4</v>
      </c>
      <c r="BT545">
        <v>1</v>
      </c>
      <c r="BU545">
        <v>1</v>
      </c>
      <c r="BV545">
        <v>0</v>
      </c>
      <c r="BW545">
        <v>944</v>
      </c>
      <c r="BX545">
        <v>2</v>
      </c>
      <c r="BY545">
        <v>6</v>
      </c>
      <c r="BZ545">
        <v>7</v>
      </c>
      <c r="CA545">
        <v>8</v>
      </c>
      <c r="CB545">
        <v>9</v>
      </c>
      <c r="CC545">
        <v>2</v>
      </c>
      <c r="CD545">
        <v>0</v>
      </c>
      <c r="CE545">
        <v>0</v>
      </c>
      <c r="CF545">
        <v>7</v>
      </c>
      <c r="CG545">
        <v>0</v>
      </c>
      <c r="CH545">
        <v>882</v>
      </c>
      <c r="CI545">
        <v>0</v>
      </c>
      <c r="CJ545">
        <v>1</v>
      </c>
      <c r="CK545">
        <v>0</v>
      </c>
      <c r="CL545">
        <v>0</v>
      </c>
      <c r="CM545">
        <v>19</v>
      </c>
      <c r="CN545">
        <v>3</v>
      </c>
      <c r="CO545">
        <v>0</v>
      </c>
      <c r="CP545">
        <v>1</v>
      </c>
      <c r="CQ545">
        <v>4</v>
      </c>
      <c r="CR545">
        <v>16</v>
      </c>
      <c r="CS545">
        <v>911</v>
      </c>
      <c r="CT545">
        <v>0</v>
      </c>
      <c r="CU545">
        <v>4</v>
      </c>
      <c r="CV545">
        <v>0</v>
      </c>
      <c r="CW545">
        <v>1</v>
      </c>
      <c r="CX545">
        <v>2</v>
      </c>
      <c r="CY545">
        <v>4</v>
      </c>
      <c r="CZ545">
        <v>0</v>
      </c>
      <c r="DA545">
        <v>0</v>
      </c>
      <c r="DB545">
        <v>0</v>
      </c>
      <c r="DC545">
        <v>0</v>
      </c>
      <c r="DD545">
        <v>1019</v>
      </c>
      <c r="DE545">
        <v>2</v>
      </c>
      <c r="DF545">
        <v>0</v>
      </c>
      <c r="DG545">
        <v>4</v>
      </c>
      <c r="DH545">
        <v>0</v>
      </c>
      <c r="DI545">
        <v>2</v>
      </c>
      <c r="DJ545">
        <v>1</v>
      </c>
      <c r="DK545">
        <v>0</v>
      </c>
      <c r="DL545">
        <v>5</v>
      </c>
      <c r="DM545">
        <v>0</v>
      </c>
      <c r="DN545">
        <v>2</v>
      </c>
      <c r="DO545">
        <v>960</v>
      </c>
      <c r="DP545">
        <v>0</v>
      </c>
      <c r="DQ545">
        <v>7</v>
      </c>
      <c r="DR545">
        <v>2</v>
      </c>
      <c r="DS545">
        <v>1</v>
      </c>
      <c r="DT545">
        <v>10</v>
      </c>
      <c r="DU545">
        <v>3</v>
      </c>
      <c r="DV545">
        <v>22</v>
      </c>
      <c r="DW545">
        <v>1</v>
      </c>
      <c r="DX545">
        <v>33</v>
      </c>
      <c r="DY545">
        <v>27</v>
      </c>
      <c r="DZ545">
        <v>903</v>
      </c>
      <c r="EA545">
        <v>0.97399999999999998</v>
      </c>
      <c r="EB545">
        <v>0.97407194333569003</v>
      </c>
      <c r="EC545">
        <v>0.97393433183217804</v>
      </c>
      <c r="ED545">
        <v>0.97353698488843798</v>
      </c>
      <c r="EE545">
        <f>SUM(Table1[[#This Row],[ratio_0]:[ratio_9]])</f>
        <v>640</v>
      </c>
      <c r="EF545" s="1">
        <f>(Table1[[#This Row],[predicted_0]]-Table1[[#This Row],[actual_0]])/Table1[[#This Row],[actual_0]]</f>
        <v>3.6734693877551024E-2</v>
      </c>
      <c r="EG545" s="1">
        <f>(Table1[[#This Row],[predicted_1]]-Table1[[#This Row],[actual_1]])/Table1[[#This Row],[actual_1]]</f>
        <v>-9.6916299559471359E-3</v>
      </c>
      <c r="EH545" s="1">
        <f>(Table1[[#This Row],[predicted_2]]-Table1[[#This Row],[actual_2]])/Table1[[#This Row],[actual_2]]</f>
        <v>5.8139534883720929E-3</v>
      </c>
      <c r="EI545" s="1">
        <f>(Table1[[#This Row],[predicted_3]]-Table1[[#This Row],[actual_3]])/Table1[[#This Row],[actual_3]]</f>
        <v>1.1881188118811881E-2</v>
      </c>
      <c r="EJ545" s="1">
        <f>(Table1[[#This Row],[predicted_4]]-Table1[[#This Row],[actual_4]])/Table1[[#This Row],[actual_4]]</f>
        <v>-3.1568228105906315E-2</v>
      </c>
      <c r="EK545" s="1">
        <f>(Table1[[#This Row],[predicted_5]]-Table1[[#This Row],[actual_5]])/Table1[[#This Row],[actual_5]]</f>
        <v>4.4843049327354258E-2</v>
      </c>
      <c r="EL545" s="1">
        <f>(Table1[[#This Row],[predicted_6]]-Table1[[#This Row],[actual_6]])/Table1[[#This Row],[actual_6]]</f>
        <v>-3.8622129436325675E-2</v>
      </c>
      <c r="EM545" s="1">
        <f>(Table1[[#This Row],[predicted_7]]-Table1[[#This Row],[actual_7]])/Table1[[#This Row],[actual_7]]</f>
        <v>4.085603112840467E-2</v>
      </c>
      <c r="EN545" s="1">
        <f>(Table1[[#This Row],[predicted_8]]-Table1[[#This Row],[actual_8]])/Table1[[#This Row],[actual_8]]</f>
        <v>4.1067761806981518E-2</v>
      </c>
      <c r="EO545" s="1">
        <f>(Table1[[#This Row],[predicted_9]]-Table1[[#This Row],[actual_9]])/Table1[[#This Row],[actual_9]]</f>
        <v>-9.6134786917740342E-2</v>
      </c>
      <c r="EP545" s="1">
        <f>1+(Table1[[#This Row],[error_ratio_0]]-EF$2)</f>
        <v>1.0346938775510204</v>
      </c>
      <c r="EQ545" s="1">
        <f>1+(Table1[[#This Row],[error_ratio_1]]-EG$2)</f>
        <v>0.98854625550660791</v>
      </c>
      <c r="ER545" s="1">
        <f>1+(Table1[[#This Row],[error_ratio_2]]-EH$2)</f>
        <v>1.0106589147286822</v>
      </c>
      <c r="ES545" s="1">
        <f>1+(Table1[[#This Row],[error_ratio_3]]-EI$2)</f>
        <v>1.001980198019802</v>
      </c>
      <c r="ET545" s="1">
        <f>1+(Table1[[#This Row],[error_ratio_4]]-EJ$2)</f>
        <v>0.96741344195519352</v>
      </c>
      <c r="EU545" s="1">
        <f>1+(Table1[[#This Row],[error_ratio_5]]-EK$2)</f>
        <v>1.0437219730941705</v>
      </c>
      <c r="EV545" s="1">
        <f>1+(Table1[[#This Row],[error_ratio_6]]-EL$2)</f>
        <v>0.96764091858037582</v>
      </c>
      <c r="EW545" s="1">
        <f>1+(Table1[[#This Row],[error_ratio_7]]-EM$2)</f>
        <v>1.038910505836576</v>
      </c>
      <c r="EX545" s="1">
        <f>1+(Table1[[#This Row],[error_ratio_8]]-EN$2)</f>
        <v>1.0441478439425051</v>
      </c>
      <c r="EY545" s="1">
        <f>1+(Table1[[#This Row],[error_ratio_9]]-EO$2)</f>
        <v>0.90782953419226953</v>
      </c>
    </row>
    <row r="546" spans="1:155" x14ac:dyDescent="0.75">
      <c r="A546">
        <v>10</v>
      </c>
      <c r="B546">
        <v>10</v>
      </c>
      <c r="C546">
        <v>100</v>
      </c>
      <c r="D546">
        <v>100</v>
      </c>
      <c r="E546">
        <v>10</v>
      </c>
      <c r="F546">
        <v>100</v>
      </c>
      <c r="G546">
        <v>10</v>
      </c>
      <c r="H546">
        <v>100</v>
      </c>
      <c r="I546">
        <v>100</v>
      </c>
      <c r="J546">
        <v>10</v>
      </c>
      <c r="K546">
        <v>988</v>
      </c>
      <c r="L546">
        <v>1109</v>
      </c>
      <c r="M546">
        <v>1050</v>
      </c>
      <c r="N546">
        <v>1047</v>
      </c>
      <c r="O546">
        <v>967</v>
      </c>
      <c r="P546">
        <v>903</v>
      </c>
      <c r="Q546">
        <v>910</v>
      </c>
      <c r="R546">
        <v>1016</v>
      </c>
      <c r="S546">
        <v>1065</v>
      </c>
      <c r="T546">
        <v>945</v>
      </c>
      <c r="U546">
        <v>980</v>
      </c>
      <c r="V546">
        <v>1135</v>
      </c>
      <c r="W546">
        <v>1032</v>
      </c>
      <c r="X546">
        <v>1010</v>
      </c>
      <c r="Y546">
        <v>982</v>
      </c>
      <c r="Z546">
        <v>892</v>
      </c>
      <c r="AA546">
        <v>958</v>
      </c>
      <c r="AB546">
        <v>1028</v>
      </c>
      <c r="AC546">
        <v>974</v>
      </c>
      <c r="AD546">
        <v>1009</v>
      </c>
      <c r="AE546">
        <v>962</v>
      </c>
      <c r="AF546">
        <v>0</v>
      </c>
      <c r="AG546">
        <v>3</v>
      </c>
      <c r="AH546">
        <v>0</v>
      </c>
      <c r="AI546">
        <v>0</v>
      </c>
      <c r="AJ546">
        <v>2</v>
      </c>
      <c r="AK546">
        <v>3</v>
      </c>
      <c r="AL546">
        <v>1</v>
      </c>
      <c r="AM546">
        <v>9</v>
      </c>
      <c r="AN546">
        <v>0</v>
      </c>
      <c r="AO546">
        <v>0</v>
      </c>
      <c r="AP546">
        <v>1102</v>
      </c>
      <c r="AQ546">
        <v>5</v>
      </c>
      <c r="AR546">
        <v>6</v>
      </c>
      <c r="AS546">
        <v>0</v>
      </c>
      <c r="AT546">
        <v>2</v>
      </c>
      <c r="AU546">
        <v>0</v>
      </c>
      <c r="AV546">
        <v>2</v>
      </c>
      <c r="AW546">
        <v>18</v>
      </c>
      <c r="AX546">
        <v>0</v>
      </c>
      <c r="AY546">
        <v>2</v>
      </c>
      <c r="AZ546">
        <v>0</v>
      </c>
      <c r="BA546">
        <v>1005</v>
      </c>
      <c r="BB546">
        <v>12</v>
      </c>
      <c r="BC546">
        <v>0</v>
      </c>
      <c r="BD546">
        <v>1</v>
      </c>
      <c r="BE546">
        <v>0</v>
      </c>
      <c r="BF546">
        <v>1</v>
      </c>
      <c r="BG546">
        <v>11</v>
      </c>
      <c r="BH546">
        <v>0</v>
      </c>
      <c r="BI546">
        <v>0</v>
      </c>
      <c r="BJ546">
        <v>0</v>
      </c>
      <c r="BK546">
        <v>1</v>
      </c>
      <c r="BL546">
        <v>1004</v>
      </c>
      <c r="BM546">
        <v>0</v>
      </c>
      <c r="BN546">
        <v>3</v>
      </c>
      <c r="BO546">
        <v>0</v>
      </c>
      <c r="BP546">
        <v>0</v>
      </c>
      <c r="BQ546">
        <v>2</v>
      </c>
      <c r="BR546">
        <v>0</v>
      </c>
      <c r="BS546">
        <v>0</v>
      </c>
      <c r="BT546">
        <v>2</v>
      </c>
      <c r="BU546">
        <v>12</v>
      </c>
      <c r="BV546">
        <v>0</v>
      </c>
      <c r="BW546">
        <v>941</v>
      </c>
      <c r="BX546">
        <v>1</v>
      </c>
      <c r="BY546">
        <v>7</v>
      </c>
      <c r="BZ546">
        <v>3</v>
      </c>
      <c r="CA546">
        <v>9</v>
      </c>
      <c r="CB546">
        <v>7</v>
      </c>
      <c r="CC546">
        <v>2</v>
      </c>
      <c r="CD546">
        <v>0</v>
      </c>
      <c r="CE546">
        <v>1</v>
      </c>
      <c r="CF546">
        <v>11</v>
      </c>
      <c r="CG546">
        <v>0</v>
      </c>
      <c r="CH546">
        <v>874</v>
      </c>
      <c r="CI546">
        <v>0</v>
      </c>
      <c r="CJ546">
        <v>1</v>
      </c>
      <c r="CK546">
        <v>1</v>
      </c>
      <c r="CL546">
        <v>2</v>
      </c>
      <c r="CM546">
        <v>14</v>
      </c>
      <c r="CN546">
        <v>2</v>
      </c>
      <c r="CO546">
        <v>1</v>
      </c>
      <c r="CP546">
        <v>1</v>
      </c>
      <c r="CQ546">
        <v>1</v>
      </c>
      <c r="CR546">
        <v>12</v>
      </c>
      <c r="CS546">
        <v>900</v>
      </c>
      <c r="CT546">
        <v>0</v>
      </c>
      <c r="CU546">
        <v>27</v>
      </c>
      <c r="CV546">
        <v>0</v>
      </c>
      <c r="CW546">
        <v>1</v>
      </c>
      <c r="CX546">
        <v>3</v>
      </c>
      <c r="CY546">
        <v>18</v>
      </c>
      <c r="CZ546">
        <v>4</v>
      </c>
      <c r="DA546">
        <v>0</v>
      </c>
      <c r="DB546">
        <v>0</v>
      </c>
      <c r="DC546">
        <v>0</v>
      </c>
      <c r="DD546">
        <v>995</v>
      </c>
      <c r="DE546">
        <v>3</v>
      </c>
      <c r="DF546">
        <v>4</v>
      </c>
      <c r="DG546">
        <v>0</v>
      </c>
      <c r="DH546">
        <v>0</v>
      </c>
      <c r="DI546">
        <v>1</v>
      </c>
      <c r="DJ546">
        <v>1</v>
      </c>
      <c r="DK546">
        <v>0</v>
      </c>
      <c r="DL546">
        <v>1</v>
      </c>
      <c r="DM546">
        <v>0</v>
      </c>
      <c r="DN546">
        <v>1</v>
      </c>
      <c r="DO546">
        <v>969</v>
      </c>
      <c r="DP546">
        <v>1</v>
      </c>
      <c r="DQ546">
        <v>7</v>
      </c>
      <c r="DR546">
        <v>0</v>
      </c>
      <c r="DS546">
        <v>3</v>
      </c>
      <c r="DT546">
        <v>8</v>
      </c>
      <c r="DU546">
        <v>25</v>
      </c>
      <c r="DV546">
        <v>7</v>
      </c>
      <c r="DW546">
        <v>0</v>
      </c>
      <c r="DX546">
        <v>12</v>
      </c>
      <c r="DY546">
        <v>16</v>
      </c>
      <c r="DZ546">
        <v>931</v>
      </c>
      <c r="EA546">
        <v>0.96830000000000005</v>
      </c>
      <c r="EB546">
        <v>0.96878289377536497</v>
      </c>
      <c r="EC546">
        <v>0.96834417820630603</v>
      </c>
      <c r="ED546">
        <v>0.96814149373504699</v>
      </c>
      <c r="EE546">
        <f>SUM(Table1[[#This Row],[ratio_0]:[ratio_9]])</f>
        <v>550</v>
      </c>
      <c r="EF546" s="1">
        <f>(Table1[[#This Row],[predicted_0]]-Table1[[#This Row],[actual_0]])/Table1[[#This Row],[actual_0]]</f>
        <v>8.1632653061224497E-3</v>
      </c>
      <c r="EG546" s="1">
        <f>(Table1[[#This Row],[predicted_1]]-Table1[[#This Row],[actual_1]])/Table1[[#This Row],[actual_1]]</f>
        <v>-2.2907488986784141E-2</v>
      </c>
      <c r="EH546" s="1">
        <f>(Table1[[#This Row],[predicted_2]]-Table1[[#This Row],[actual_2]])/Table1[[#This Row],[actual_2]]</f>
        <v>1.7441860465116279E-2</v>
      </c>
      <c r="EI546" s="1">
        <f>(Table1[[#This Row],[predicted_3]]-Table1[[#This Row],[actual_3]])/Table1[[#This Row],[actual_3]]</f>
        <v>3.6633663366336632E-2</v>
      </c>
      <c r="EJ546" s="1">
        <f>(Table1[[#This Row],[predicted_4]]-Table1[[#This Row],[actual_4]])/Table1[[#This Row],[actual_4]]</f>
        <v>-1.5274949083503055E-2</v>
      </c>
      <c r="EK546" s="1">
        <f>(Table1[[#This Row],[predicted_5]]-Table1[[#This Row],[actual_5]])/Table1[[#This Row],[actual_5]]</f>
        <v>1.2331838565022421E-2</v>
      </c>
      <c r="EL546" s="1">
        <f>(Table1[[#This Row],[predicted_6]]-Table1[[#This Row],[actual_6]])/Table1[[#This Row],[actual_6]]</f>
        <v>-5.0104384133611693E-2</v>
      </c>
      <c r="EM546" s="1">
        <f>(Table1[[#This Row],[predicted_7]]-Table1[[#This Row],[actual_7]])/Table1[[#This Row],[actual_7]]</f>
        <v>-1.1673151750972763E-2</v>
      </c>
      <c r="EN546" s="1">
        <f>(Table1[[#This Row],[predicted_8]]-Table1[[#This Row],[actual_8]])/Table1[[#This Row],[actual_8]]</f>
        <v>9.3429158110882954E-2</v>
      </c>
      <c r="EO546" s="1">
        <f>(Table1[[#This Row],[predicted_9]]-Table1[[#This Row],[actual_9]])/Table1[[#This Row],[actual_9]]</f>
        <v>-6.3429137760158572E-2</v>
      </c>
      <c r="EP546" s="1">
        <f>1+(Table1[[#This Row],[error_ratio_0]]-EF$2)</f>
        <v>1.0061224489795919</v>
      </c>
      <c r="EQ546" s="1">
        <f>1+(Table1[[#This Row],[error_ratio_1]]-EG$2)</f>
        <v>0.97533039647577091</v>
      </c>
      <c r="ER546" s="1">
        <f>1+(Table1[[#This Row],[error_ratio_2]]-EH$2)</f>
        <v>1.0222868217054264</v>
      </c>
      <c r="ES546" s="1">
        <f>1+(Table1[[#This Row],[error_ratio_3]]-EI$2)</f>
        <v>1.0267326732673268</v>
      </c>
      <c r="ET546" s="1">
        <f>1+(Table1[[#This Row],[error_ratio_4]]-EJ$2)</f>
        <v>0.9837067209775967</v>
      </c>
      <c r="EU546" s="1">
        <f>1+(Table1[[#This Row],[error_ratio_5]]-EK$2)</f>
        <v>1.0112107623318385</v>
      </c>
      <c r="EV546" s="1">
        <f>1+(Table1[[#This Row],[error_ratio_6]]-EL$2)</f>
        <v>0.95615866388308979</v>
      </c>
      <c r="EW546" s="1">
        <f>1+(Table1[[#This Row],[error_ratio_7]]-EM$2)</f>
        <v>0.98638132295719849</v>
      </c>
      <c r="EX546" s="1">
        <f>1+(Table1[[#This Row],[error_ratio_8]]-EN$2)</f>
        <v>1.0965092402464065</v>
      </c>
      <c r="EY546" s="1">
        <f>1+(Table1[[#This Row],[error_ratio_9]]-EO$2)</f>
        <v>0.94053518334985131</v>
      </c>
    </row>
    <row r="547" spans="1:155" x14ac:dyDescent="0.75">
      <c r="A547">
        <v>100</v>
      </c>
      <c r="B547">
        <v>100</v>
      </c>
      <c r="C547">
        <v>10</v>
      </c>
      <c r="D547">
        <v>100</v>
      </c>
      <c r="E547">
        <v>10</v>
      </c>
      <c r="F547">
        <v>100</v>
      </c>
      <c r="G547">
        <v>10</v>
      </c>
      <c r="H547">
        <v>100</v>
      </c>
      <c r="I547">
        <v>100</v>
      </c>
      <c r="J547">
        <v>10</v>
      </c>
      <c r="K547">
        <v>1011</v>
      </c>
      <c r="L547">
        <v>1182</v>
      </c>
      <c r="M547">
        <v>994</v>
      </c>
      <c r="N547">
        <v>1025</v>
      </c>
      <c r="O547">
        <v>943</v>
      </c>
      <c r="P547">
        <v>933</v>
      </c>
      <c r="Q547">
        <v>917</v>
      </c>
      <c r="R547">
        <v>1055</v>
      </c>
      <c r="S547">
        <v>979</v>
      </c>
      <c r="T547">
        <v>961</v>
      </c>
      <c r="U547">
        <v>980</v>
      </c>
      <c r="V547">
        <v>1135</v>
      </c>
      <c r="W547">
        <v>1032</v>
      </c>
      <c r="X547">
        <v>1010</v>
      </c>
      <c r="Y547">
        <v>982</v>
      </c>
      <c r="Z547">
        <v>892</v>
      </c>
      <c r="AA547">
        <v>958</v>
      </c>
      <c r="AB547">
        <v>1028</v>
      </c>
      <c r="AC547">
        <v>974</v>
      </c>
      <c r="AD547">
        <v>1009</v>
      </c>
      <c r="AE547">
        <v>976</v>
      </c>
      <c r="AF547">
        <v>1</v>
      </c>
      <c r="AG547">
        <v>0</v>
      </c>
      <c r="AH547">
        <v>0</v>
      </c>
      <c r="AI547">
        <v>0</v>
      </c>
      <c r="AJ547">
        <v>0</v>
      </c>
      <c r="AK547">
        <v>0</v>
      </c>
      <c r="AL547">
        <v>1</v>
      </c>
      <c r="AM547">
        <v>1</v>
      </c>
      <c r="AN547">
        <v>1</v>
      </c>
      <c r="AO547">
        <v>0</v>
      </c>
      <c r="AP547">
        <v>1134</v>
      </c>
      <c r="AQ547">
        <v>0</v>
      </c>
      <c r="AR547">
        <v>0</v>
      </c>
      <c r="AS547">
        <v>0</v>
      </c>
      <c r="AT547">
        <v>1</v>
      </c>
      <c r="AU547">
        <v>0</v>
      </c>
      <c r="AV547">
        <v>0</v>
      </c>
      <c r="AW547">
        <v>0</v>
      </c>
      <c r="AX547">
        <v>0</v>
      </c>
      <c r="AY547">
        <v>6</v>
      </c>
      <c r="AZ547">
        <v>6</v>
      </c>
      <c r="BA547">
        <v>977</v>
      </c>
      <c r="BB547">
        <v>7</v>
      </c>
      <c r="BC547">
        <v>0</v>
      </c>
      <c r="BD547">
        <v>1</v>
      </c>
      <c r="BE547">
        <v>1</v>
      </c>
      <c r="BF547">
        <v>25</v>
      </c>
      <c r="BG547">
        <v>9</v>
      </c>
      <c r="BH547">
        <v>0</v>
      </c>
      <c r="BI547">
        <v>0</v>
      </c>
      <c r="BJ547">
        <v>0</v>
      </c>
      <c r="BK547">
        <v>0</v>
      </c>
      <c r="BL547">
        <v>1004</v>
      </c>
      <c r="BM547">
        <v>0</v>
      </c>
      <c r="BN547">
        <v>4</v>
      </c>
      <c r="BO547">
        <v>0</v>
      </c>
      <c r="BP547">
        <v>1</v>
      </c>
      <c r="BQ547">
        <v>1</v>
      </c>
      <c r="BR547">
        <v>0</v>
      </c>
      <c r="BS547">
        <v>7</v>
      </c>
      <c r="BT547">
        <v>15</v>
      </c>
      <c r="BU547">
        <v>11</v>
      </c>
      <c r="BV547">
        <v>0</v>
      </c>
      <c r="BW547">
        <v>929</v>
      </c>
      <c r="BX547">
        <v>1</v>
      </c>
      <c r="BY547">
        <v>8</v>
      </c>
      <c r="BZ547">
        <v>3</v>
      </c>
      <c r="CA547">
        <v>2</v>
      </c>
      <c r="CB547">
        <v>6</v>
      </c>
      <c r="CC547">
        <v>2</v>
      </c>
      <c r="CD547">
        <v>0</v>
      </c>
      <c r="CE547">
        <v>0</v>
      </c>
      <c r="CF547">
        <v>2</v>
      </c>
      <c r="CG547">
        <v>0</v>
      </c>
      <c r="CH547">
        <v>888</v>
      </c>
      <c r="CI547">
        <v>0</v>
      </c>
      <c r="CJ547">
        <v>0</v>
      </c>
      <c r="CK547">
        <v>0</v>
      </c>
      <c r="CL547">
        <v>0</v>
      </c>
      <c r="CM547">
        <v>14</v>
      </c>
      <c r="CN547">
        <v>7</v>
      </c>
      <c r="CO547">
        <v>1</v>
      </c>
      <c r="CP547">
        <v>1</v>
      </c>
      <c r="CQ547">
        <v>2</v>
      </c>
      <c r="CR547">
        <v>21</v>
      </c>
      <c r="CS547">
        <v>907</v>
      </c>
      <c r="CT547">
        <v>0</v>
      </c>
      <c r="CU547">
        <v>3</v>
      </c>
      <c r="CV547">
        <v>2</v>
      </c>
      <c r="CW547">
        <v>1</v>
      </c>
      <c r="CX547">
        <v>8</v>
      </c>
      <c r="CY547">
        <v>2</v>
      </c>
      <c r="CZ547">
        <v>0</v>
      </c>
      <c r="DA547">
        <v>0</v>
      </c>
      <c r="DB547">
        <v>0</v>
      </c>
      <c r="DC547">
        <v>0</v>
      </c>
      <c r="DD547">
        <v>1015</v>
      </c>
      <c r="DE547">
        <v>1</v>
      </c>
      <c r="DF547">
        <v>1</v>
      </c>
      <c r="DG547">
        <v>1</v>
      </c>
      <c r="DH547">
        <v>0</v>
      </c>
      <c r="DI547">
        <v>3</v>
      </c>
      <c r="DJ547">
        <v>2</v>
      </c>
      <c r="DK547">
        <v>2</v>
      </c>
      <c r="DL547">
        <v>3</v>
      </c>
      <c r="DM547">
        <v>0</v>
      </c>
      <c r="DN547">
        <v>4</v>
      </c>
      <c r="DO547">
        <v>957</v>
      </c>
      <c r="DP547">
        <v>2</v>
      </c>
      <c r="DQ547">
        <v>4</v>
      </c>
      <c r="DR547">
        <v>11</v>
      </c>
      <c r="DS547">
        <v>0</v>
      </c>
      <c r="DT547">
        <v>9</v>
      </c>
      <c r="DU547">
        <v>10</v>
      </c>
      <c r="DV547">
        <v>14</v>
      </c>
      <c r="DW547">
        <v>1</v>
      </c>
      <c r="DX547">
        <v>6</v>
      </c>
      <c r="DY547">
        <v>5</v>
      </c>
      <c r="DZ547">
        <v>949</v>
      </c>
      <c r="EA547">
        <v>0.97360000000000002</v>
      </c>
      <c r="EB547">
        <v>0.97403247865968401</v>
      </c>
      <c r="EC547">
        <v>0.97345459127239797</v>
      </c>
      <c r="ED547">
        <v>0.97343085822529996</v>
      </c>
      <c r="EE547">
        <f>SUM(Table1[[#This Row],[ratio_0]:[ratio_9]])</f>
        <v>640</v>
      </c>
      <c r="EF547" s="1">
        <f>(Table1[[#This Row],[predicted_0]]-Table1[[#This Row],[actual_0]])/Table1[[#This Row],[actual_0]]</f>
        <v>3.1632653061224487E-2</v>
      </c>
      <c r="EG547" s="1">
        <f>(Table1[[#This Row],[predicted_1]]-Table1[[#This Row],[actual_1]])/Table1[[#This Row],[actual_1]]</f>
        <v>4.1409691629955947E-2</v>
      </c>
      <c r="EH547" s="1">
        <f>(Table1[[#This Row],[predicted_2]]-Table1[[#This Row],[actual_2]])/Table1[[#This Row],[actual_2]]</f>
        <v>-3.6821705426356592E-2</v>
      </c>
      <c r="EI547" s="1">
        <f>(Table1[[#This Row],[predicted_3]]-Table1[[#This Row],[actual_3]])/Table1[[#This Row],[actual_3]]</f>
        <v>1.4851485148514851E-2</v>
      </c>
      <c r="EJ547" s="1">
        <f>(Table1[[#This Row],[predicted_4]]-Table1[[#This Row],[actual_4]])/Table1[[#This Row],[actual_4]]</f>
        <v>-3.9714867617107942E-2</v>
      </c>
      <c r="EK547" s="1">
        <f>(Table1[[#This Row],[predicted_5]]-Table1[[#This Row],[actual_5]])/Table1[[#This Row],[actual_5]]</f>
        <v>4.5964125560538117E-2</v>
      </c>
      <c r="EL547" s="1">
        <f>(Table1[[#This Row],[predicted_6]]-Table1[[#This Row],[actual_6]])/Table1[[#This Row],[actual_6]]</f>
        <v>-4.2797494780793317E-2</v>
      </c>
      <c r="EM547" s="1">
        <f>(Table1[[#This Row],[predicted_7]]-Table1[[#This Row],[actual_7]])/Table1[[#This Row],[actual_7]]</f>
        <v>2.6264591439688716E-2</v>
      </c>
      <c r="EN547" s="1">
        <f>(Table1[[#This Row],[predicted_8]]-Table1[[#This Row],[actual_8]])/Table1[[#This Row],[actual_8]]</f>
        <v>5.1334702258726897E-3</v>
      </c>
      <c r="EO547" s="1">
        <f>(Table1[[#This Row],[predicted_9]]-Table1[[#This Row],[actual_9]])/Table1[[#This Row],[actual_9]]</f>
        <v>-4.7571853320118929E-2</v>
      </c>
      <c r="EP547" s="1">
        <f>1+(Table1[[#This Row],[error_ratio_0]]-EF$2)</f>
        <v>1.0295918367346939</v>
      </c>
      <c r="EQ547" s="1">
        <f>1+(Table1[[#This Row],[error_ratio_1]]-EG$2)</f>
        <v>1.0396475770925111</v>
      </c>
      <c r="ER547" s="1">
        <f>1+(Table1[[#This Row],[error_ratio_2]]-EH$2)</f>
        <v>0.96802325581395343</v>
      </c>
      <c r="ES547" s="1">
        <f>1+(Table1[[#This Row],[error_ratio_3]]-EI$2)</f>
        <v>1.004950495049505</v>
      </c>
      <c r="ET547" s="1">
        <f>1+(Table1[[#This Row],[error_ratio_4]]-EJ$2)</f>
        <v>0.95926680244399187</v>
      </c>
      <c r="EU547" s="1">
        <f>1+(Table1[[#This Row],[error_ratio_5]]-EK$2)</f>
        <v>1.0448430493273542</v>
      </c>
      <c r="EV547" s="1">
        <f>1+(Table1[[#This Row],[error_ratio_6]]-EL$2)</f>
        <v>0.9634655532359081</v>
      </c>
      <c r="EW547" s="1">
        <f>1+(Table1[[#This Row],[error_ratio_7]]-EM$2)</f>
        <v>1.0243190661478598</v>
      </c>
      <c r="EX547" s="1">
        <f>1+(Table1[[#This Row],[error_ratio_8]]-EN$2)</f>
        <v>1.0082135523613962</v>
      </c>
      <c r="EY547" s="1">
        <f>1+(Table1[[#This Row],[error_ratio_9]]-EO$2)</f>
        <v>0.95639246778989095</v>
      </c>
    </row>
    <row r="548" spans="1:155" x14ac:dyDescent="0.75">
      <c r="A548">
        <v>10</v>
      </c>
      <c r="B548">
        <v>100</v>
      </c>
      <c r="C548">
        <v>10</v>
      </c>
      <c r="D548">
        <v>100</v>
      </c>
      <c r="E548">
        <v>10</v>
      </c>
      <c r="F548">
        <v>100</v>
      </c>
      <c r="G548">
        <v>10</v>
      </c>
      <c r="H548">
        <v>100</v>
      </c>
      <c r="I548">
        <v>100</v>
      </c>
      <c r="J548">
        <v>10</v>
      </c>
      <c r="K548">
        <v>1010</v>
      </c>
      <c r="L548">
        <v>1193</v>
      </c>
      <c r="M548">
        <v>946</v>
      </c>
      <c r="N548">
        <v>1043</v>
      </c>
      <c r="O548">
        <v>903</v>
      </c>
      <c r="P548">
        <v>923</v>
      </c>
      <c r="Q548">
        <v>914</v>
      </c>
      <c r="R548">
        <v>1069</v>
      </c>
      <c r="S548">
        <v>1037</v>
      </c>
      <c r="T548">
        <v>962</v>
      </c>
      <c r="U548">
        <v>980</v>
      </c>
      <c r="V548">
        <v>1135</v>
      </c>
      <c r="W548">
        <v>1032</v>
      </c>
      <c r="X548">
        <v>1010</v>
      </c>
      <c r="Y548">
        <v>982</v>
      </c>
      <c r="Z548">
        <v>892</v>
      </c>
      <c r="AA548">
        <v>958</v>
      </c>
      <c r="AB548">
        <v>1028</v>
      </c>
      <c r="AC548">
        <v>974</v>
      </c>
      <c r="AD548">
        <v>1009</v>
      </c>
      <c r="AE548">
        <v>967</v>
      </c>
      <c r="AF548">
        <v>2</v>
      </c>
      <c r="AG548">
        <v>0</v>
      </c>
      <c r="AH548">
        <v>1</v>
      </c>
      <c r="AI548">
        <v>0</v>
      </c>
      <c r="AJ548">
        <v>2</v>
      </c>
      <c r="AK548">
        <v>3</v>
      </c>
      <c r="AL548">
        <v>1</v>
      </c>
      <c r="AM548">
        <v>4</v>
      </c>
      <c r="AN548">
        <v>0</v>
      </c>
      <c r="AO548">
        <v>0</v>
      </c>
      <c r="AP548">
        <v>1128</v>
      </c>
      <c r="AQ548">
        <v>0</v>
      </c>
      <c r="AR548">
        <v>1</v>
      </c>
      <c r="AS548">
        <v>0</v>
      </c>
      <c r="AT548">
        <v>0</v>
      </c>
      <c r="AU548">
        <v>0</v>
      </c>
      <c r="AV548">
        <v>3</v>
      </c>
      <c r="AW548">
        <v>3</v>
      </c>
      <c r="AX548">
        <v>0</v>
      </c>
      <c r="AY548">
        <v>7</v>
      </c>
      <c r="AZ548">
        <v>39</v>
      </c>
      <c r="BA548">
        <v>915</v>
      </c>
      <c r="BB548">
        <v>9</v>
      </c>
      <c r="BC548">
        <v>0</v>
      </c>
      <c r="BD548">
        <v>1</v>
      </c>
      <c r="BE548">
        <v>3</v>
      </c>
      <c r="BF548">
        <v>29</v>
      </c>
      <c r="BG548">
        <v>29</v>
      </c>
      <c r="BH548">
        <v>0</v>
      </c>
      <c r="BI548">
        <v>0</v>
      </c>
      <c r="BJ548">
        <v>0</v>
      </c>
      <c r="BK548">
        <v>0</v>
      </c>
      <c r="BL548">
        <v>999</v>
      </c>
      <c r="BM548">
        <v>0</v>
      </c>
      <c r="BN548">
        <v>2</v>
      </c>
      <c r="BO548">
        <v>0</v>
      </c>
      <c r="BP548">
        <v>4</v>
      </c>
      <c r="BQ548">
        <v>5</v>
      </c>
      <c r="BR548">
        <v>0</v>
      </c>
      <c r="BS548">
        <v>3</v>
      </c>
      <c r="BT548">
        <v>12</v>
      </c>
      <c r="BU548">
        <v>22</v>
      </c>
      <c r="BV548">
        <v>0</v>
      </c>
      <c r="BW548">
        <v>899</v>
      </c>
      <c r="BX548">
        <v>0</v>
      </c>
      <c r="BY548">
        <v>9</v>
      </c>
      <c r="BZ548">
        <v>3</v>
      </c>
      <c r="CA548">
        <v>8</v>
      </c>
      <c r="CB548">
        <v>26</v>
      </c>
      <c r="CC548">
        <v>1</v>
      </c>
      <c r="CD548">
        <v>0</v>
      </c>
      <c r="CE548">
        <v>0</v>
      </c>
      <c r="CF548">
        <v>9</v>
      </c>
      <c r="CG548">
        <v>0</v>
      </c>
      <c r="CH548">
        <v>881</v>
      </c>
      <c r="CI548">
        <v>0</v>
      </c>
      <c r="CJ548">
        <v>0</v>
      </c>
      <c r="CK548">
        <v>1</v>
      </c>
      <c r="CL548">
        <v>0</v>
      </c>
      <c r="CM548">
        <v>23</v>
      </c>
      <c r="CN548">
        <v>5</v>
      </c>
      <c r="CO548">
        <v>2</v>
      </c>
      <c r="CP548">
        <v>1</v>
      </c>
      <c r="CQ548">
        <v>3</v>
      </c>
      <c r="CR548">
        <v>19</v>
      </c>
      <c r="CS548">
        <v>898</v>
      </c>
      <c r="CT548">
        <v>0</v>
      </c>
      <c r="CU548">
        <v>7</v>
      </c>
      <c r="CV548">
        <v>0</v>
      </c>
      <c r="CW548">
        <v>1</v>
      </c>
      <c r="CX548">
        <v>3</v>
      </c>
      <c r="CY548">
        <v>4</v>
      </c>
      <c r="CZ548">
        <v>3</v>
      </c>
      <c r="DA548">
        <v>0</v>
      </c>
      <c r="DB548">
        <v>0</v>
      </c>
      <c r="DC548">
        <v>0</v>
      </c>
      <c r="DD548">
        <v>1016</v>
      </c>
      <c r="DE548">
        <v>1</v>
      </c>
      <c r="DF548">
        <v>0</v>
      </c>
      <c r="DG548">
        <v>0</v>
      </c>
      <c r="DH548">
        <v>0</v>
      </c>
      <c r="DI548">
        <v>2</v>
      </c>
      <c r="DJ548">
        <v>4</v>
      </c>
      <c r="DK548">
        <v>0</v>
      </c>
      <c r="DL548">
        <v>2</v>
      </c>
      <c r="DM548">
        <v>0</v>
      </c>
      <c r="DN548">
        <v>2</v>
      </c>
      <c r="DO548">
        <v>964</v>
      </c>
      <c r="DP548">
        <v>0</v>
      </c>
      <c r="DQ548">
        <v>8</v>
      </c>
      <c r="DR548">
        <v>4</v>
      </c>
      <c r="DS548">
        <v>1</v>
      </c>
      <c r="DT548">
        <v>16</v>
      </c>
      <c r="DU548">
        <v>1</v>
      </c>
      <c r="DV548">
        <v>16</v>
      </c>
      <c r="DW548">
        <v>1</v>
      </c>
      <c r="DX548">
        <v>11</v>
      </c>
      <c r="DY548">
        <v>15</v>
      </c>
      <c r="DZ548">
        <v>936</v>
      </c>
      <c r="EA548">
        <v>0.96030000000000004</v>
      </c>
      <c r="EB548">
        <v>0.96135453063382503</v>
      </c>
      <c r="EC548">
        <v>0.96025314547431695</v>
      </c>
      <c r="ED548">
        <v>0.96008671349304597</v>
      </c>
      <c r="EE548">
        <f>SUM(Table1[[#This Row],[ratio_0]:[ratio_9]])</f>
        <v>550</v>
      </c>
      <c r="EF548" s="1">
        <f>(Table1[[#This Row],[predicted_0]]-Table1[[#This Row],[actual_0]])/Table1[[#This Row],[actual_0]]</f>
        <v>3.0612244897959183E-2</v>
      </c>
      <c r="EG548" s="1">
        <f>(Table1[[#This Row],[predicted_1]]-Table1[[#This Row],[actual_1]])/Table1[[#This Row],[actual_1]]</f>
        <v>5.1101321585903081E-2</v>
      </c>
      <c r="EH548" s="1">
        <f>(Table1[[#This Row],[predicted_2]]-Table1[[#This Row],[actual_2]])/Table1[[#This Row],[actual_2]]</f>
        <v>-8.3333333333333329E-2</v>
      </c>
      <c r="EI548" s="1">
        <f>(Table1[[#This Row],[predicted_3]]-Table1[[#This Row],[actual_3]])/Table1[[#This Row],[actual_3]]</f>
        <v>3.2673267326732675E-2</v>
      </c>
      <c r="EJ548" s="1">
        <f>(Table1[[#This Row],[predicted_4]]-Table1[[#This Row],[actual_4]])/Table1[[#This Row],[actual_4]]</f>
        <v>-8.044806517311609E-2</v>
      </c>
      <c r="EK548" s="1">
        <f>(Table1[[#This Row],[predicted_5]]-Table1[[#This Row],[actual_5]])/Table1[[#This Row],[actual_5]]</f>
        <v>3.4753363228699555E-2</v>
      </c>
      <c r="EL548" s="1">
        <f>(Table1[[#This Row],[predicted_6]]-Table1[[#This Row],[actual_6]])/Table1[[#This Row],[actual_6]]</f>
        <v>-4.5929018789144051E-2</v>
      </c>
      <c r="EM548" s="1">
        <f>(Table1[[#This Row],[predicted_7]]-Table1[[#This Row],[actual_7]])/Table1[[#This Row],[actual_7]]</f>
        <v>3.9883268482490269E-2</v>
      </c>
      <c r="EN548" s="1">
        <f>(Table1[[#This Row],[predicted_8]]-Table1[[#This Row],[actual_8]])/Table1[[#This Row],[actual_8]]</f>
        <v>6.4681724845995894E-2</v>
      </c>
      <c r="EO548" s="1">
        <f>(Table1[[#This Row],[predicted_9]]-Table1[[#This Row],[actual_9]])/Table1[[#This Row],[actual_9]]</f>
        <v>-4.6580773042616451E-2</v>
      </c>
      <c r="EP548" s="1">
        <f>1+(Table1[[#This Row],[error_ratio_0]]-EF$2)</f>
        <v>1.0285714285714285</v>
      </c>
      <c r="EQ548" s="1">
        <f>1+(Table1[[#This Row],[error_ratio_1]]-EG$2)</f>
        <v>1.0493392070484582</v>
      </c>
      <c r="ER548" s="1">
        <f>1+(Table1[[#This Row],[error_ratio_2]]-EH$2)</f>
        <v>0.92151162790697672</v>
      </c>
      <c r="ES548" s="1">
        <f>1+(Table1[[#This Row],[error_ratio_3]]-EI$2)</f>
        <v>1.0227722772277228</v>
      </c>
      <c r="ET548" s="1">
        <f>1+(Table1[[#This Row],[error_ratio_4]]-EJ$2)</f>
        <v>0.91853360488798375</v>
      </c>
      <c r="EU548" s="1">
        <f>1+(Table1[[#This Row],[error_ratio_5]]-EK$2)</f>
        <v>1.0336322869955157</v>
      </c>
      <c r="EV548" s="1">
        <f>1+(Table1[[#This Row],[error_ratio_6]]-EL$2)</f>
        <v>0.9603340292275574</v>
      </c>
      <c r="EW548" s="1">
        <f>1+(Table1[[#This Row],[error_ratio_7]]-EM$2)</f>
        <v>1.0379377431906616</v>
      </c>
      <c r="EX548" s="1">
        <f>1+(Table1[[#This Row],[error_ratio_8]]-EN$2)</f>
        <v>1.0677618069815196</v>
      </c>
      <c r="EY548" s="1">
        <f>1+(Table1[[#This Row],[error_ratio_9]]-EO$2)</f>
        <v>0.95738354806739345</v>
      </c>
    </row>
    <row r="549" spans="1:155" x14ac:dyDescent="0.75">
      <c r="A549">
        <v>100</v>
      </c>
      <c r="B549">
        <v>10</v>
      </c>
      <c r="C549">
        <v>10</v>
      </c>
      <c r="D549">
        <v>100</v>
      </c>
      <c r="E549">
        <v>10</v>
      </c>
      <c r="F549">
        <v>100</v>
      </c>
      <c r="G549">
        <v>10</v>
      </c>
      <c r="H549">
        <v>100</v>
      </c>
      <c r="I549">
        <v>100</v>
      </c>
      <c r="J549">
        <v>10</v>
      </c>
      <c r="K549">
        <v>1023</v>
      </c>
      <c r="L549">
        <v>1068</v>
      </c>
      <c r="M549">
        <v>986</v>
      </c>
      <c r="N549">
        <v>1126</v>
      </c>
      <c r="O549">
        <v>917</v>
      </c>
      <c r="P549">
        <v>913</v>
      </c>
      <c r="Q549">
        <v>906</v>
      </c>
      <c r="R549">
        <v>1016</v>
      </c>
      <c r="S549">
        <v>1179</v>
      </c>
      <c r="T549">
        <v>866</v>
      </c>
      <c r="U549">
        <v>980</v>
      </c>
      <c r="V549">
        <v>1135</v>
      </c>
      <c r="W549">
        <v>1032</v>
      </c>
      <c r="X549">
        <v>1010</v>
      </c>
      <c r="Y549">
        <v>982</v>
      </c>
      <c r="Z549">
        <v>892</v>
      </c>
      <c r="AA549">
        <v>958</v>
      </c>
      <c r="AB549">
        <v>1028</v>
      </c>
      <c r="AC549">
        <v>974</v>
      </c>
      <c r="AD549">
        <v>1009</v>
      </c>
      <c r="AE549">
        <v>973</v>
      </c>
      <c r="AF549">
        <v>0</v>
      </c>
      <c r="AG549">
        <v>0</v>
      </c>
      <c r="AH549">
        <v>0</v>
      </c>
      <c r="AI549">
        <v>0</v>
      </c>
      <c r="AJ549">
        <v>2</v>
      </c>
      <c r="AK549">
        <v>0</v>
      </c>
      <c r="AL549">
        <v>1</v>
      </c>
      <c r="AM549">
        <v>4</v>
      </c>
      <c r="AN549">
        <v>0</v>
      </c>
      <c r="AO549">
        <v>0</v>
      </c>
      <c r="AP549">
        <v>1065</v>
      </c>
      <c r="AQ549">
        <v>2</v>
      </c>
      <c r="AR549">
        <v>8</v>
      </c>
      <c r="AS549">
        <v>0</v>
      </c>
      <c r="AT549">
        <v>0</v>
      </c>
      <c r="AU549">
        <v>2</v>
      </c>
      <c r="AV549">
        <v>8</v>
      </c>
      <c r="AW549">
        <v>50</v>
      </c>
      <c r="AX549">
        <v>0</v>
      </c>
      <c r="AY549">
        <v>4</v>
      </c>
      <c r="AZ549">
        <v>0</v>
      </c>
      <c r="BA549">
        <v>968</v>
      </c>
      <c r="BB549">
        <v>20</v>
      </c>
      <c r="BC549">
        <v>0</v>
      </c>
      <c r="BD549">
        <v>2</v>
      </c>
      <c r="BE549">
        <v>4</v>
      </c>
      <c r="BF549">
        <v>1</v>
      </c>
      <c r="BG549">
        <v>33</v>
      </c>
      <c r="BH549">
        <v>0</v>
      </c>
      <c r="BI549">
        <v>0</v>
      </c>
      <c r="BJ549">
        <v>0</v>
      </c>
      <c r="BK549">
        <v>1</v>
      </c>
      <c r="BL549">
        <v>1007</v>
      </c>
      <c r="BM549">
        <v>0</v>
      </c>
      <c r="BN549">
        <v>0</v>
      </c>
      <c r="BO549">
        <v>0</v>
      </c>
      <c r="BP549">
        <v>0</v>
      </c>
      <c r="BQ549">
        <v>2</v>
      </c>
      <c r="BR549">
        <v>0</v>
      </c>
      <c r="BS549">
        <v>10</v>
      </c>
      <c r="BT549">
        <v>1</v>
      </c>
      <c r="BU549">
        <v>2</v>
      </c>
      <c r="BV549">
        <v>8</v>
      </c>
      <c r="BW549">
        <v>909</v>
      </c>
      <c r="BX549">
        <v>1</v>
      </c>
      <c r="BY549">
        <v>5</v>
      </c>
      <c r="BZ549">
        <v>2</v>
      </c>
      <c r="CA549">
        <v>35</v>
      </c>
      <c r="CB549">
        <v>9</v>
      </c>
      <c r="CC549">
        <v>1</v>
      </c>
      <c r="CD549">
        <v>0</v>
      </c>
      <c r="CE549">
        <v>0</v>
      </c>
      <c r="CF549">
        <v>22</v>
      </c>
      <c r="CG549">
        <v>0</v>
      </c>
      <c r="CH549">
        <v>865</v>
      </c>
      <c r="CI549">
        <v>0</v>
      </c>
      <c r="CJ549">
        <v>1</v>
      </c>
      <c r="CK549">
        <v>3</v>
      </c>
      <c r="CL549">
        <v>0</v>
      </c>
      <c r="CM549">
        <v>22</v>
      </c>
      <c r="CN549">
        <v>2</v>
      </c>
      <c r="CO549">
        <v>2</v>
      </c>
      <c r="CP549">
        <v>1</v>
      </c>
      <c r="CQ549">
        <v>3</v>
      </c>
      <c r="CR549">
        <v>12</v>
      </c>
      <c r="CS549">
        <v>895</v>
      </c>
      <c r="CT549">
        <v>0</v>
      </c>
      <c r="CU549">
        <v>21</v>
      </c>
      <c r="CV549">
        <v>0</v>
      </c>
      <c r="CW549">
        <v>1</v>
      </c>
      <c r="CX549">
        <v>0</v>
      </c>
      <c r="CY549">
        <v>11</v>
      </c>
      <c r="CZ549">
        <v>8</v>
      </c>
      <c r="DA549">
        <v>0</v>
      </c>
      <c r="DB549">
        <v>1</v>
      </c>
      <c r="DC549">
        <v>0</v>
      </c>
      <c r="DD549">
        <v>994</v>
      </c>
      <c r="DE549">
        <v>11</v>
      </c>
      <c r="DF549">
        <v>2</v>
      </c>
      <c r="DG549">
        <v>2</v>
      </c>
      <c r="DH549">
        <v>0</v>
      </c>
      <c r="DI549">
        <v>0</v>
      </c>
      <c r="DJ549">
        <v>6</v>
      </c>
      <c r="DK549">
        <v>0</v>
      </c>
      <c r="DL549">
        <v>1</v>
      </c>
      <c r="DM549">
        <v>0</v>
      </c>
      <c r="DN549">
        <v>0</v>
      </c>
      <c r="DO549">
        <v>965</v>
      </c>
      <c r="DP549">
        <v>0</v>
      </c>
      <c r="DQ549">
        <v>10</v>
      </c>
      <c r="DR549">
        <v>0</v>
      </c>
      <c r="DS549">
        <v>0</v>
      </c>
      <c r="DT549">
        <v>46</v>
      </c>
      <c r="DU549">
        <v>5</v>
      </c>
      <c r="DV549">
        <v>29</v>
      </c>
      <c r="DW549">
        <v>0</v>
      </c>
      <c r="DX549">
        <v>9</v>
      </c>
      <c r="DY549">
        <v>55</v>
      </c>
      <c r="DZ549">
        <v>855</v>
      </c>
      <c r="EA549">
        <v>0.9496</v>
      </c>
      <c r="EB549">
        <v>0.95350710525952598</v>
      </c>
      <c r="EC549">
        <v>0.95008876460268099</v>
      </c>
      <c r="ED549">
        <v>0.949777714677979</v>
      </c>
      <c r="EE549">
        <f>SUM(Table1[[#This Row],[ratio_0]:[ratio_9]])</f>
        <v>550</v>
      </c>
      <c r="EF549" s="1">
        <f>(Table1[[#This Row],[predicted_0]]-Table1[[#This Row],[actual_0]])/Table1[[#This Row],[actual_0]]</f>
        <v>4.3877551020408162E-2</v>
      </c>
      <c r="EG549" s="1">
        <f>(Table1[[#This Row],[predicted_1]]-Table1[[#This Row],[actual_1]])/Table1[[#This Row],[actual_1]]</f>
        <v>-5.9030837004405284E-2</v>
      </c>
      <c r="EH549" s="1">
        <f>(Table1[[#This Row],[predicted_2]]-Table1[[#This Row],[actual_2]])/Table1[[#This Row],[actual_2]]</f>
        <v>-4.4573643410852716E-2</v>
      </c>
      <c r="EI549" s="1">
        <f>(Table1[[#This Row],[predicted_3]]-Table1[[#This Row],[actual_3]])/Table1[[#This Row],[actual_3]]</f>
        <v>0.11485148514851486</v>
      </c>
      <c r="EJ549" s="1">
        <f>(Table1[[#This Row],[predicted_4]]-Table1[[#This Row],[actual_4]])/Table1[[#This Row],[actual_4]]</f>
        <v>-6.6191446028513234E-2</v>
      </c>
      <c r="EK549" s="1">
        <f>(Table1[[#This Row],[predicted_5]]-Table1[[#This Row],[actual_5]])/Table1[[#This Row],[actual_5]]</f>
        <v>2.3542600896860985E-2</v>
      </c>
      <c r="EL549" s="1">
        <f>(Table1[[#This Row],[predicted_6]]-Table1[[#This Row],[actual_6]])/Table1[[#This Row],[actual_6]]</f>
        <v>-5.4279749478079335E-2</v>
      </c>
      <c r="EM549" s="1">
        <f>(Table1[[#This Row],[predicted_7]]-Table1[[#This Row],[actual_7]])/Table1[[#This Row],[actual_7]]</f>
        <v>-1.1673151750972763E-2</v>
      </c>
      <c r="EN549" s="1">
        <f>(Table1[[#This Row],[predicted_8]]-Table1[[#This Row],[actual_8]])/Table1[[#This Row],[actual_8]]</f>
        <v>0.2104722792607803</v>
      </c>
      <c r="EO549" s="1">
        <f>(Table1[[#This Row],[predicted_9]]-Table1[[#This Row],[actual_9]])/Table1[[#This Row],[actual_9]]</f>
        <v>-0.14172447968285432</v>
      </c>
      <c r="EP549" s="1">
        <f>1+(Table1[[#This Row],[error_ratio_0]]-EF$2)</f>
        <v>1.0418367346938775</v>
      </c>
      <c r="EQ549" s="1">
        <f>1+(Table1[[#This Row],[error_ratio_1]]-EG$2)</f>
        <v>0.93920704845814984</v>
      </c>
      <c r="ER549" s="1">
        <f>1+(Table1[[#This Row],[error_ratio_2]]-EH$2)</f>
        <v>0.9602713178294574</v>
      </c>
      <c r="ES549" s="1">
        <f>1+(Table1[[#This Row],[error_ratio_3]]-EI$2)</f>
        <v>1.104950495049505</v>
      </c>
      <c r="ET549" s="1">
        <f>1+(Table1[[#This Row],[error_ratio_4]]-EJ$2)</f>
        <v>0.9327902240325866</v>
      </c>
      <c r="EU549" s="1">
        <f>1+(Table1[[#This Row],[error_ratio_5]]-EK$2)</f>
        <v>1.0224215246636772</v>
      </c>
      <c r="EV549" s="1">
        <f>1+(Table1[[#This Row],[error_ratio_6]]-EL$2)</f>
        <v>0.95198329853862207</v>
      </c>
      <c r="EW549" s="1">
        <f>1+(Table1[[#This Row],[error_ratio_7]]-EM$2)</f>
        <v>0.98638132295719849</v>
      </c>
      <c r="EX549" s="1">
        <f>1+(Table1[[#This Row],[error_ratio_8]]-EN$2)</f>
        <v>1.213552361396304</v>
      </c>
      <c r="EY549" s="1">
        <f>1+(Table1[[#This Row],[error_ratio_9]]-EO$2)</f>
        <v>0.8622398414271556</v>
      </c>
    </row>
    <row r="550" spans="1:155" x14ac:dyDescent="0.75">
      <c r="A550">
        <v>10</v>
      </c>
      <c r="B550">
        <v>10</v>
      </c>
      <c r="C550">
        <v>10</v>
      </c>
      <c r="D550">
        <v>100</v>
      </c>
      <c r="E550">
        <v>10</v>
      </c>
      <c r="F550">
        <v>100</v>
      </c>
      <c r="G550">
        <v>10</v>
      </c>
      <c r="H550">
        <v>100</v>
      </c>
      <c r="I550">
        <v>100</v>
      </c>
      <c r="J550">
        <v>10</v>
      </c>
      <c r="K550">
        <v>1002</v>
      </c>
      <c r="L550">
        <v>1143</v>
      </c>
      <c r="M550">
        <v>943</v>
      </c>
      <c r="N550">
        <v>1088</v>
      </c>
      <c r="O550">
        <v>973</v>
      </c>
      <c r="P550">
        <v>968</v>
      </c>
      <c r="Q550">
        <v>879</v>
      </c>
      <c r="R550">
        <v>1074</v>
      </c>
      <c r="S550">
        <v>967</v>
      </c>
      <c r="T550">
        <v>963</v>
      </c>
      <c r="U550">
        <v>980</v>
      </c>
      <c r="V550">
        <v>1135</v>
      </c>
      <c r="W550">
        <v>1032</v>
      </c>
      <c r="X550">
        <v>1010</v>
      </c>
      <c r="Y550">
        <v>982</v>
      </c>
      <c r="Z550">
        <v>892</v>
      </c>
      <c r="AA550">
        <v>958</v>
      </c>
      <c r="AB550">
        <v>1028</v>
      </c>
      <c r="AC550">
        <v>974</v>
      </c>
      <c r="AD550">
        <v>1009</v>
      </c>
      <c r="AE550">
        <v>966</v>
      </c>
      <c r="AF550">
        <v>0</v>
      </c>
      <c r="AG550">
        <v>0</v>
      </c>
      <c r="AH550">
        <v>0</v>
      </c>
      <c r="AI550">
        <v>0</v>
      </c>
      <c r="AJ550">
        <v>7</v>
      </c>
      <c r="AK550">
        <v>1</v>
      </c>
      <c r="AL550">
        <v>4</v>
      </c>
      <c r="AM550">
        <v>2</v>
      </c>
      <c r="AN550">
        <v>0</v>
      </c>
      <c r="AO550">
        <v>0</v>
      </c>
      <c r="AP550">
        <v>1121</v>
      </c>
      <c r="AQ550">
        <v>0</v>
      </c>
      <c r="AR550">
        <v>7</v>
      </c>
      <c r="AS550">
        <v>0</v>
      </c>
      <c r="AT550">
        <v>3</v>
      </c>
      <c r="AU550">
        <v>3</v>
      </c>
      <c r="AV550">
        <v>1</v>
      </c>
      <c r="AW550">
        <v>0</v>
      </c>
      <c r="AX550">
        <v>0</v>
      </c>
      <c r="AY550">
        <v>5</v>
      </c>
      <c r="AZ550">
        <v>4</v>
      </c>
      <c r="BA550">
        <v>936</v>
      </c>
      <c r="BB550">
        <v>50</v>
      </c>
      <c r="BC550">
        <v>3</v>
      </c>
      <c r="BD550">
        <v>1</v>
      </c>
      <c r="BE550">
        <v>1</v>
      </c>
      <c r="BF550">
        <v>24</v>
      </c>
      <c r="BG550">
        <v>8</v>
      </c>
      <c r="BH550">
        <v>0</v>
      </c>
      <c r="BI550">
        <v>0</v>
      </c>
      <c r="BJ550">
        <v>0</v>
      </c>
      <c r="BK550">
        <v>0</v>
      </c>
      <c r="BL550">
        <v>1006</v>
      </c>
      <c r="BM550">
        <v>0</v>
      </c>
      <c r="BN550">
        <v>3</v>
      </c>
      <c r="BO550">
        <v>0</v>
      </c>
      <c r="BP550">
        <v>1</v>
      </c>
      <c r="BQ550">
        <v>0</v>
      </c>
      <c r="BR550">
        <v>0</v>
      </c>
      <c r="BS550">
        <v>1</v>
      </c>
      <c r="BT550">
        <v>3</v>
      </c>
      <c r="BU550">
        <v>3</v>
      </c>
      <c r="BV550">
        <v>0</v>
      </c>
      <c r="BW550">
        <v>952</v>
      </c>
      <c r="BX550">
        <v>0</v>
      </c>
      <c r="BY550">
        <v>1</v>
      </c>
      <c r="BZ550">
        <v>6</v>
      </c>
      <c r="CA550">
        <v>2</v>
      </c>
      <c r="CB550">
        <v>14</v>
      </c>
      <c r="CC550">
        <v>0</v>
      </c>
      <c r="CD550">
        <v>0</v>
      </c>
      <c r="CE550">
        <v>0</v>
      </c>
      <c r="CF550">
        <v>4</v>
      </c>
      <c r="CG550">
        <v>0</v>
      </c>
      <c r="CH550">
        <v>887</v>
      </c>
      <c r="CI550">
        <v>0</v>
      </c>
      <c r="CJ550">
        <v>0</v>
      </c>
      <c r="CK550">
        <v>1</v>
      </c>
      <c r="CL550">
        <v>0</v>
      </c>
      <c r="CM550">
        <v>21</v>
      </c>
      <c r="CN550">
        <v>4</v>
      </c>
      <c r="CO550">
        <v>2</v>
      </c>
      <c r="CP550">
        <v>2</v>
      </c>
      <c r="CQ550">
        <v>10</v>
      </c>
      <c r="CR550">
        <v>45</v>
      </c>
      <c r="CS550">
        <v>873</v>
      </c>
      <c r="CT550">
        <v>1</v>
      </c>
      <c r="CU550">
        <v>0</v>
      </c>
      <c r="CV550">
        <v>0</v>
      </c>
      <c r="CW550">
        <v>1</v>
      </c>
      <c r="CX550">
        <v>4</v>
      </c>
      <c r="CY550">
        <v>1</v>
      </c>
      <c r="CZ550">
        <v>1</v>
      </c>
      <c r="DA550">
        <v>0</v>
      </c>
      <c r="DB550">
        <v>0</v>
      </c>
      <c r="DC550">
        <v>0</v>
      </c>
      <c r="DD550">
        <v>1020</v>
      </c>
      <c r="DE550">
        <v>0</v>
      </c>
      <c r="DF550">
        <v>1</v>
      </c>
      <c r="DG550">
        <v>3</v>
      </c>
      <c r="DH550">
        <v>0</v>
      </c>
      <c r="DI550">
        <v>1</v>
      </c>
      <c r="DJ550">
        <v>5</v>
      </c>
      <c r="DK550">
        <v>0</v>
      </c>
      <c r="DL550">
        <v>10</v>
      </c>
      <c r="DM550">
        <v>0</v>
      </c>
      <c r="DN550">
        <v>4</v>
      </c>
      <c r="DO550">
        <v>948</v>
      </c>
      <c r="DP550">
        <v>3</v>
      </c>
      <c r="DQ550">
        <v>5</v>
      </c>
      <c r="DR550">
        <v>7</v>
      </c>
      <c r="DS550">
        <v>0</v>
      </c>
      <c r="DT550">
        <v>13</v>
      </c>
      <c r="DU550">
        <v>8</v>
      </c>
      <c r="DV550">
        <v>12</v>
      </c>
      <c r="DW550">
        <v>0</v>
      </c>
      <c r="DX550">
        <v>13</v>
      </c>
      <c r="DY550">
        <v>6</v>
      </c>
      <c r="DZ550">
        <v>945</v>
      </c>
      <c r="EA550">
        <v>0.96540000000000004</v>
      </c>
      <c r="EB550">
        <v>0.96613278236400701</v>
      </c>
      <c r="EC550">
        <v>0.965360875509373</v>
      </c>
      <c r="ED550">
        <v>0.96497037022189502</v>
      </c>
      <c r="EE550">
        <f>SUM(Table1[[#This Row],[ratio_0]:[ratio_9]])</f>
        <v>460</v>
      </c>
      <c r="EF550" s="1">
        <f>(Table1[[#This Row],[predicted_0]]-Table1[[#This Row],[actual_0]])/Table1[[#This Row],[actual_0]]</f>
        <v>2.2448979591836733E-2</v>
      </c>
      <c r="EG550" s="1">
        <f>(Table1[[#This Row],[predicted_1]]-Table1[[#This Row],[actual_1]])/Table1[[#This Row],[actual_1]]</f>
        <v>7.048458149779736E-3</v>
      </c>
      <c r="EH550" s="1">
        <f>(Table1[[#This Row],[predicted_2]]-Table1[[#This Row],[actual_2]])/Table1[[#This Row],[actual_2]]</f>
        <v>-8.624031007751938E-2</v>
      </c>
      <c r="EI550" s="1">
        <f>(Table1[[#This Row],[predicted_3]]-Table1[[#This Row],[actual_3]])/Table1[[#This Row],[actual_3]]</f>
        <v>7.7227722772277227E-2</v>
      </c>
      <c r="EJ550" s="1">
        <f>(Table1[[#This Row],[predicted_4]]-Table1[[#This Row],[actual_4]])/Table1[[#This Row],[actual_4]]</f>
        <v>-9.1649694501018328E-3</v>
      </c>
      <c r="EK550" s="1">
        <f>(Table1[[#This Row],[predicted_5]]-Table1[[#This Row],[actual_5]])/Table1[[#This Row],[actual_5]]</f>
        <v>8.520179372197309E-2</v>
      </c>
      <c r="EL550" s="1">
        <f>(Table1[[#This Row],[predicted_6]]-Table1[[#This Row],[actual_6]])/Table1[[#This Row],[actual_6]]</f>
        <v>-8.2463465553235901E-2</v>
      </c>
      <c r="EM550" s="1">
        <f>(Table1[[#This Row],[predicted_7]]-Table1[[#This Row],[actual_7]])/Table1[[#This Row],[actual_7]]</f>
        <v>4.4747081712062257E-2</v>
      </c>
      <c r="EN550" s="1">
        <f>(Table1[[#This Row],[predicted_8]]-Table1[[#This Row],[actual_8]])/Table1[[#This Row],[actual_8]]</f>
        <v>-7.1868583162217657E-3</v>
      </c>
      <c r="EO550" s="1">
        <f>(Table1[[#This Row],[predicted_9]]-Table1[[#This Row],[actual_9]])/Table1[[#This Row],[actual_9]]</f>
        <v>-4.5589692765113973E-2</v>
      </c>
      <c r="EP550" s="1">
        <f>1+(Table1[[#This Row],[error_ratio_0]]-EF$2)</f>
        <v>1.0204081632653061</v>
      </c>
      <c r="EQ550" s="1">
        <f>1+(Table1[[#This Row],[error_ratio_1]]-EG$2)</f>
        <v>1.0052863436123347</v>
      </c>
      <c r="ER550" s="1">
        <f>1+(Table1[[#This Row],[error_ratio_2]]-EH$2)</f>
        <v>0.91860465116279066</v>
      </c>
      <c r="ES550" s="1">
        <f>1+(Table1[[#This Row],[error_ratio_3]]-EI$2)</f>
        <v>1.0673267326732674</v>
      </c>
      <c r="ET550" s="1">
        <f>1+(Table1[[#This Row],[error_ratio_4]]-EJ$2)</f>
        <v>0.98981670061099791</v>
      </c>
      <c r="EU550" s="1">
        <f>1+(Table1[[#This Row],[error_ratio_5]]-EK$2)</f>
        <v>1.0840807174887892</v>
      </c>
      <c r="EV550" s="1">
        <f>1+(Table1[[#This Row],[error_ratio_6]]-EL$2)</f>
        <v>0.92379958246346561</v>
      </c>
      <c r="EW550" s="1">
        <f>1+(Table1[[#This Row],[error_ratio_7]]-EM$2)</f>
        <v>1.0428015564202335</v>
      </c>
      <c r="EX550" s="1">
        <f>1+(Table1[[#This Row],[error_ratio_8]]-EN$2)</f>
        <v>0.9958932238193019</v>
      </c>
      <c r="EY550" s="1">
        <f>1+(Table1[[#This Row],[error_ratio_9]]-EO$2)</f>
        <v>0.95837462834489595</v>
      </c>
    </row>
    <row r="551" spans="1:155" x14ac:dyDescent="0.75">
      <c r="A551">
        <v>100</v>
      </c>
      <c r="B551">
        <v>100</v>
      </c>
      <c r="C551">
        <v>100</v>
      </c>
      <c r="D551">
        <v>10</v>
      </c>
      <c r="E551">
        <v>10</v>
      </c>
      <c r="F551">
        <v>100</v>
      </c>
      <c r="G551">
        <v>10</v>
      </c>
      <c r="H551">
        <v>100</v>
      </c>
      <c r="I551">
        <v>100</v>
      </c>
      <c r="J551">
        <v>10</v>
      </c>
      <c r="K551">
        <v>1001</v>
      </c>
      <c r="L551">
        <v>1128</v>
      </c>
      <c r="M551">
        <v>1043</v>
      </c>
      <c r="N551">
        <v>958</v>
      </c>
      <c r="O551">
        <v>936</v>
      </c>
      <c r="P551">
        <v>915</v>
      </c>
      <c r="Q551">
        <v>935</v>
      </c>
      <c r="R551">
        <v>1061</v>
      </c>
      <c r="S551">
        <v>1051</v>
      </c>
      <c r="T551">
        <v>972</v>
      </c>
      <c r="U551">
        <v>980</v>
      </c>
      <c r="V551">
        <v>1135</v>
      </c>
      <c r="W551">
        <v>1032</v>
      </c>
      <c r="X551">
        <v>1010</v>
      </c>
      <c r="Y551">
        <v>982</v>
      </c>
      <c r="Z551">
        <v>892</v>
      </c>
      <c r="AA551">
        <v>958</v>
      </c>
      <c r="AB551">
        <v>1028</v>
      </c>
      <c r="AC551">
        <v>974</v>
      </c>
      <c r="AD551">
        <v>1009</v>
      </c>
      <c r="AE551">
        <v>974</v>
      </c>
      <c r="AF551">
        <v>0</v>
      </c>
      <c r="AG551">
        <v>0</v>
      </c>
      <c r="AH551">
        <v>0</v>
      </c>
      <c r="AI551">
        <v>0</v>
      </c>
      <c r="AJ551">
        <v>0</v>
      </c>
      <c r="AK551">
        <v>1</v>
      </c>
      <c r="AL551">
        <v>2</v>
      </c>
      <c r="AM551">
        <v>3</v>
      </c>
      <c r="AN551">
        <v>0</v>
      </c>
      <c r="AO551">
        <v>0</v>
      </c>
      <c r="AP551">
        <v>1120</v>
      </c>
      <c r="AQ551">
        <v>1</v>
      </c>
      <c r="AR551">
        <v>1</v>
      </c>
      <c r="AS551">
        <v>0</v>
      </c>
      <c r="AT551">
        <v>0</v>
      </c>
      <c r="AU551">
        <v>2</v>
      </c>
      <c r="AV551">
        <v>6</v>
      </c>
      <c r="AW551">
        <v>5</v>
      </c>
      <c r="AX551">
        <v>0</v>
      </c>
      <c r="AY551">
        <v>3</v>
      </c>
      <c r="AZ551">
        <v>0</v>
      </c>
      <c r="BA551">
        <v>1019</v>
      </c>
      <c r="BB551">
        <v>0</v>
      </c>
      <c r="BC551">
        <v>0</v>
      </c>
      <c r="BD551">
        <v>0</v>
      </c>
      <c r="BE551">
        <v>0</v>
      </c>
      <c r="BF551">
        <v>4</v>
      </c>
      <c r="BG551">
        <v>6</v>
      </c>
      <c r="BH551">
        <v>0</v>
      </c>
      <c r="BI551">
        <v>0</v>
      </c>
      <c r="BJ551">
        <v>0</v>
      </c>
      <c r="BK551">
        <v>6</v>
      </c>
      <c r="BL551">
        <v>952</v>
      </c>
      <c r="BM551">
        <v>0</v>
      </c>
      <c r="BN551">
        <v>18</v>
      </c>
      <c r="BO551">
        <v>0</v>
      </c>
      <c r="BP551">
        <v>12</v>
      </c>
      <c r="BQ551">
        <v>21</v>
      </c>
      <c r="BR551">
        <v>1</v>
      </c>
      <c r="BS551">
        <v>4</v>
      </c>
      <c r="BT551">
        <v>2</v>
      </c>
      <c r="BU551">
        <v>7</v>
      </c>
      <c r="BV551">
        <v>0</v>
      </c>
      <c r="BW551">
        <v>931</v>
      </c>
      <c r="BX551">
        <v>0</v>
      </c>
      <c r="BY551">
        <v>6</v>
      </c>
      <c r="BZ551">
        <v>7</v>
      </c>
      <c r="CA551">
        <v>7</v>
      </c>
      <c r="CB551">
        <v>18</v>
      </c>
      <c r="CC551">
        <v>3</v>
      </c>
      <c r="CD551">
        <v>0</v>
      </c>
      <c r="CE551">
        <v>0</v>
      </c>
      <c r="CF551">
        <v>2</v>
      </c>
      <c r="CG551">
        <v>0</v>
      </c>
      <c r="CH551">
        <v>879</v>
      </c>
      <c r="CI551">
        <v>1</v>
      </c>
      <c r="CJ551">
        <v>1</v>
      </c>
      <c r="CK551">
        <v>5</v>
      </c>
      <c r="CL551">
        <v>1</v>
      </c>
      <c r="CM551">
        <v>11</v>
      </c>
      <c r="CN551">
        <v>3</v>
      </c>
      <c r="CO551">
        <v>1</v>
      </c>
      <c r="CP551">
        <v>0</v>
      </c>
      <c r="CQ551">
        <v>4</v>
      </c>
      <c r="CR551">
        <v>8</v>
      </c>
      <c r="CS551">
        <v>925</v>
      </c>
      <c r="CT551">
        <v>0</v>
      </c>
      <c r="CU551">
        <v>6</v>
      </c>
      <c r="CV551">
        <v>0</v>
      </c>
      <c r="CW551">
        <v>0</v>
      </c>
      <c r="CX551">
        <v>0</v>
      </c>
      <c r="CY551">
        <v>9</v>
      </c>
      <c r="CZ551">
        <v>0</v>
      </c>
      <c r="DA551">
        <v>0</v>
      </c>
      <c r="DB551">
        <v>0</v>
      </c>
      <c r="DC551">
        <v>0</v>
      </c>
      <c r="DD551">
        <v>1018</v>
      </c>
      <c r="DE551">
        <v>1</v>
      </c>
      <c r="DF551">
        <v>0</v>
      </c>
      <c r="DG551">
        <v>1</v>
      </c>
      <c r="DH551">
        <v>0</v>
      </c>
      <c r="DI551">
        <v>0</v>
      </c>
      <c r="DJ551">
        <v>0</v>
      </c>
      <c r="DK551">
        <v>0</v>
      </c>
      <c r="DL551">
        <v>0</v>
      </c>
      <c r="DM551">
        <v>0</v>
      </c>
      <c r="DN551">
        <v>2</v>
      </c>
      <c r="DO551">
        <v>971</v>
      </c>
      <c r="DP551">
        <v>0</v>
      </c>
      <c r="DQ551">
        <v>5</v>
      </c>
      <c r="DR551">
        <v>3</v>
      </c>
      <c r="DS551">
        <v>0</v>
      </c>
      <c r="DT551">
        <v>3</v>
      </c>
      <c r="DU551">
        <v>1</v>
      </c>
      <c r="DV551">
        <v>10</v>
      </c>
      <c r="DW551">
        <v>0</v>
      </c>
      <c r="DX551">
        <v>9</v>
      </c>
      <c r="DY551">
        <v>26</v>
      </c>
      <c r="DZ551">
        <v>952</v>
      </c>
      <c r="EA551">
        <v>0.97409999999999997</v>
      </c>
      <c r="EB551">
        <v>0.97440579316062603</v>
      </c>
      <c r="EC551">
        <v>0.97403841837710403</v>
      </c>
      <c r="ED551">
        <v>0.97385695779446002</v>
      </c>
      <c r="EE551">
        <f>SUM(Table1[[#This Row],[ratio_0]:[ratio_9]])</f>
        <v>640</v>
      </c>
      <c r="EF551" s="1">
        <f>(Table1[[#This Row],[predicted_0]]-Table1[[#This Row],[actual_0]])/Table1[[#This Row],[actual_0]]</f>
        <v>2.1428571428571429E-2</v>
      </c>
      <c r="EG551" s="1">
        <f>(Table1[[#This Row],[predicted_1]]-Table1[[#This Row],[actual_1]])/Table1[[#This Row],[actual_1]]</f>
        <v>-6.1674008810572688E-3</v>
      </c>
      <c r="EH551" s="1">
        <f>(Table1[[#This Row],[predicted_2]]-Table1[[#This Row],[actual_2]])/Table1[[#This Row],[actual_2]]</f>
        <v>1.065891472868217E-2</v>
      </c>
      <c r="EI551" s="1">
        <f>(Table1[[#This Row],[predicted_3]]-Table1[[#This Row],[actual_3]])/Table1[[#This Row],[actual_3]]</f>
        <v>-5.1485148514851482E-2</v>
      </c>
      <c r="EJ551" s="1">
        <f>(Table1[[#This Row],[predicted_4]]-Table1[[#This Row],[actual_4]])/Table1[[#This Row],[actual_4]]</f>
        <v>-4.684317718940937E-2</v>
      </c>
      <c r="EK551" s="1">
        <f>(Table1[[#This Row],[predicted_5]]-Table1[[#This Row],[actual_5]])/Table1[[#This Row],[actual_5]]</f>
        <v>2.5784753363228701E-2</v>
      </c>
      <c r="EL551" s="1">
        <f>(Table1[[#This Row],[predicted_6]]-Table1[[#This Row],[actual_6]])/Table1[[#This Row],[actual_6]]</f>
        <v>-2.4008350730688934E-2</v>
      </c>
      <c r="EM551" s="1">
        <f>(Table1[[#This Row],[predicted_7]]-Table1[[#This Row],[actual_7]])/Table1[[#This Row],[actual_7]]</f>
        <v>3.2101167315175094E-2</v>
      </c>
      <c r="EN551" s="1">
        <f>(Table1[[#This Row],[predicted_8]]-Table1[[#This Row],[actual_8]])/Table1[[#This Row],[actual_8]]</f>
        <v>7.9055441478439431E-2</v>
      </c>
      <c r="EO551" s="1">
        <f>(Table1[[#This Row],[predicted_9]]-Table1[[#This Row],[actual_9]])/Table1[[#This Row],[actual_9]]</f>
        <v>-3.6669970267591674E-2</v>
      </c>
      <c r="EP551" s="1">
        <f>1+(Table1[[#This Row],[error_ratio_0]]-EF$2)</f>
        <v>1.0193877551020407</v>
      </c>
      <c r="EQ551" s="1">
        <f>1+(Table1[[#This Row],[error_ratio_1]]-EG$2)</f>
        <v>0.99207048458149782</v>
      </c>
      <c r="ER551" s="1">
        <f>1+(Table1[[#This Row],[error_ratio_2]]-EH$2)</f>
        <v>1.0155038759689923</v>
      </c>
      <c r="ES551" s="1">
        <f>1+(Table1[[#This Row],[error_ratio_3]]-EI$2)</f>
        <v>0.93861386138613856</v>
      </c>
      <c r="ET551" s="1">
        <f>1+(Table1[[#This Row],[error_ratio_4]]-EJ$2)</f>
        <v>0.95213849287169039</v>
      </c>
      <c r="EU551" s="1">
        <f>1+(Table1[[#This Row],[error_ratio_5]]-EK$2)</f>
        <v>1.0246636771300448</v>
      </c>
      <c r="EV551" s="1">
        <f>1+(Table1[[#This Row],[error_ratio_6]]-EL$2)</f>
        <v>0.98225469728601256</v>
      </c>
      <c r="EW551" s="1">
        <f>1+(Table1[[#This Row],[error_ratio_7]]-EM$2)</f>
        <v>1.0301556420233462</v>
      </c>
      <c r="EX551" s="1">
        <f>1+(Table1[[#This Row],[error_ratio_8]]-EN$2)</f>
        <v>1.0821355236139631</v>
      </c>
      <c r="EY551" s="1">
        <f>1+(Table1[[#This Row],[error_ratio_9]]-EO$2)</f>
        <v>0.96729435084241822</v>
      </c>
    </row>
    <row r="552" spans="1:155" x14ac:dyDescent="0.75">
      <c r="A552">
        <v>10</v>
      </c>
      <c r="B552">
        <v>100</v>
      </c>
      <c r="C552">
        <v>100</v>
      </c>
      <c r="D552">
        <v>10</v>
      </c>
      <c r="E552">
        <v>10</v>
      </c>
      <c r="F552">
        <v>100</v>
      </c>
      <c r="G552">
        <v>10</v>
      </c>
      <c r="H552">
        <v>100</v>
      </c>
      <c r="I552">
        <v>100</v>
      </c>
      <c r="J552">
        <v>10</v>
      </c>
      <c r="K552">
        <v>942</v>
      </c>
      <c r="L552">
        <v>1157</v>
      </c>
      <c r="M552">
        <v>1056</v>
      </c>
      <c r="N552">
        <v>981</v>
      </c>
      <c r="O552">
        <v>932</v>
      </c>
      <c r="P552">
        <v>940</v>
      </c>
      <c r="Q552">
        <v>945</v>
      </c>
      <c r="R552">
        <v>1044</v>
      </c>
      <c r="S552">
        <v>1020</v>
      </c>
      <c r="T552">
        <v>983</v>
      </c>
      <c r="U552">
        <v>980</v>
      </c>
      <c r="V552">
        <v>1135</v>
      </c>
      <c r="W552">
        <v>1032</v>
      </c>
      <c r="X552">
        <v>1010</v>
      </c>
      <c r="Y552">
        <v>982</v>
      </c>
      <c r="Z552">
        <v>892</v>
      </c>
      <c r="AA552">
        <v>958</v>
      </c>
      <c r="AB552">
        <v>1028</v>
      </c>
      <c r="AC552">
        <v>974</v>
      </c>
      <c r="AD552">
        <v>1009</v>
      </c>
      <c r="AE552">
        <v>935</v>
      </c>
      <c r="AF552">
        <v>0</v>
      </c>
      <c r="AG552">
        <v>9</v>
      </c>
      <c r="AH552">
        <v>0</v>
      </c>
      <c r="AI552">
        <v>5</v>
      </c>
      <c r="AJ552">
        <v>10</v>
      </c>
      <c r="AK552">
        <v>10</v>
      </c>
      <c r="AL552">
        <v>4</v>
      </c>
      <c r="AM552">
        <v>5</v>
      </c>
      <c r="AN552">
        <v>2</v>
      </c>
      <c r="AO552">
        <v>0</v>
      </c>
      <c r="AP552">
        <v>1130</v>
      </c>
      <c r="AQ552">
        <v>1</v>
      </c>
      <c r="AR552">
        <v>1</v>
      </c>
      <c r="AS552">
        <v>0</v>
      </c>
      <c r="AT552">
        <v>2</v>
      </c>
      <c r="AU552">
        <v>0</v>
      </c>
      <c r="AV552">
        <v>0</v>
      </c>
      <c r="AW552">
        <v>1</v>
      </c>
      <c r="AX552">
        <v>0</v>
      </c>
      <c r="AY552">
        <v>1</v>
      </c>
      <c r="AZ552">
        <v>3</v>
      </c>
      <c r="BA552">
        <v>1018</v>
      </c>
      <c r="BB552">
        <v>0</v>
      </c>
      <c r="BC552">
        <v>0</v>
      </c>
      <c r="BD552">
        <v>0</v>
      </c>
      <c r="BE552">
        <v>3</v>
      </c>
      <c r="BF552">
        <v>6</v>
      </c>
      <c r="BG552">
        <v>1</v>
      </c>
      <c r="BH552">
        <v>0</v>
      </c>
      <c r="BI552">
        <v>0</v>
      </c>
      <c r="BJ552">
        <v>0</v>
      </c>
      <c r="BK552">
        <v>4</v>
      </c>
      <c r="BL552">
        <v>965</v>
      </c>
      <c r="BM552">
        <v>0</v>
      </c>
      <c r="BN552">
        <v>25</v>
      </c>
      <c r="BO552">
        <v>1</v>
      </c>
      <c r="BP552">
        <v>9</v>
      </c>
      <c r="BQ552">
        <v>5</v>
      </c>
      <c r="BR552">
        <v>1</v>
      </c>
      <c r="BS552">
        <v>0</v>
      </c>
      <c r="BT552">
        <v>10</v>
      </c>
      <c r="BU552">
        <v>1</v>
      </c>
      <c r="BV552">
        <v>0</v>
      </c>
      <c r="BW552">
        <v>910</v>
      </c>
      <c r="BX552">
        <v>0</v>
      </c>
      <c r="BY552">
        <v>2</v>
      </c>
      <c r="BZ552">
        <v>4</v>
      </c>
      <c r="CA552">
        <v>17</v>
      </c>
      <c r="CB552">
        <v>38</v>
      </c>
      <c r="CC552">
        <v>1</v>
      </c>
      <c r="CD552">
        <v>0</v>
      </c>
      <c r="CE552">
        <v>0</v>
      </c>
      <c r="CF552">
        <v>4</v>
      </c>
      <c r="CG552">
        <v>0</v>
      </c>
      <c r="CH552">
        <v>880</v>
      </c>
      <c r="CI552">
        <v>1</v>
      </c>
      <c r="CJ552">
        <v>1</v>
      </c>
      <c r="CK552">
        <v>2</v>
      </c>
      <c r="CL552">
        <v>3</v>
      </c>
      <c r="CM552">
        <v>2</v>
      </c>
      <c r="CN552">
        <v>5</v>
      </c>
      <c r="CO552">
        <v>1</v>
      </c>
      <c r="CP552">
        <v>0</v>
      </c>
      <c r="CQ552">
        <v>9</v>
      </c>
      <c r="CR552">
        <v>12</v>
      </c>
      <c r="CS552">
        <v>927</v>
      </c>
      <c r="CT552">
        <v>0</v>
      </c>
      <c r="CU552">
        <v>1</v>
      </c>
      <c r="CV552">
        <v>1</v>
      </c>
      <c r="CW552">
        <v>0</v>
      </c>
      <c r="CX552">
        <v>3</v>
      </c>
      <c r="CY552">
        <v>15</v>
      </c>
      <c r="CZ552">
        <v>0</v>
      </c>
      <c r="DA552">
        <v>0</v>
      </c>
      <c r="DB552">
        <v>1</v>
      </c>
      <c r="DC552">
        <v>0</v>
      </c>
      <c r="DD552">
        <v>1007</v>
      </c>
      <c r="DE552">
        <v>1</v>
      </c>
      <c r="DF552">
        <v>1</v>
      </c>
      <c r="DG552">
        <v>1</v>
      </c>
      <c r="DH552">
        <v>0</v>
      </c>
      <c r="DI552">
        <v>3</v>
      </c>
      <c r="DJ552">
        <v>3</v>
      </c>
      <c r="DK552">
        <v>0</v>
      </c>
      <c r="DL552">
        <v>1</v>
      </c>
      <c r="DM552">
        <v>1</v>
      </c>
      <c r="DN552">
        <v>3</v>
      </c>
      <c r="DO552">
        <v>960</v>
      </c>
      <c r="DP552">
        <v>2</v>
      </c>
      <c r="DQ552">
        <v>2</v>
      </c>
      <c r="DR552">
        <v>6</v>
      </c>
      <c r="DS552">
        <v>4</v>
      </c>
      <c r="DT552">
        <v>8</v>
      </c>
      <c r="DU552">
        <v>8</v>
      </c>
      <c r="DV552">
        <v>9</v>
      </c>
      <c r="DW552">
        <v>0</v>
      </c>
      <c r="DX552">
        <v>10</v>
      </c>
      <c r="DY552">
        <v>27</v>
      </c>
      <c r="DZ552">
        <v>935</v>
      </c>
      <c r="EA552">
        <v>0.9667</v>
      </c>
      <c r="EB552">
        <v>0.96673612405841403</v>
      </c>
      <c r="EC552">
        <v>0.96642825748405603</v>
      </c>
      <c r="ED552">
        <v>0.96629306312081398</v>
      </c>
      <c r="EE552">
        <f>SUM(Table1[[#This Row],[ratio_0]:[ratio_9]])</f>
        <v>550</v>
      </c>
      <c r="EF552" s="1">
        <f>(Table1[[#This Row],[predicted_0]]-Table1[[#This Row],[actual_0]])/Table1[[#This Row],[actual_0]]</f>
        <v>-3.8775510204081633E-2</v>
      </c>
      <c r="EG552" s="1">
        <f>(Table1[[#This Row],[predicted_1]]-Table1[[#This Row],[actual_1]])/Table1[[#This Row],[actual_1]]</f>
        <v>1.9383259911894272E-2</v>
      </c>
      <c r="EH552" s="1">
        <f>(Table1[[#This Row],[predicted_2]]-Table1[[#This Row],[actual_2]])/Table1[[#This Row],[actual_2]]</f>
        <v>2.3255813953488372E-2</v>
      </c>
      <c r="EI552" s="1">
        <f>(Table1[[#This Row],[predicted_3]]-Table1[[#This Row],[actual_3]])/Table1[[#This Row],[actual_3]]</f>
        <v>-2.8712871287128714E-2</v>
      </c>
      <c r="EJ552" s="1">
        <f>(Table1[[#This Row],[predicted_4]]-Table1[[#This Row],[actual_4]])/Table1[[#This Row],[actual_4]]</f>
        <v>-5.0916496945010187E-2</v>
      </c>
      <c r="EK552" s="1">
        <f>(Table1[[#This Row],[predicted_5]]-Table1[[#This Row],[actual_5]])/Table1[[#This Row],[actual_5]]</f>
        <v>5.3811659192825115E-2</v>
      </c>
      <c r="EL552" s="1">
        <f>(Table1[[#This Row],[predicted_6]]-Table1[[#This Row],[actual_6]])/Table1[[#This Row],[actual_6]]</f>
        <v>-1.3569937369519834E-2</v>
      </c>
      <c r="EM552" s="1">
        <f>(Table1[[#This Row],[predicted_7]]-Table1[[#This Row],[actual_7]])/Table1[[#This Row],[actual_7]]</f>
        <v>1.556420233463035E-2</v>
      </c>
      <c r="EN552" s="1">
        <f>(Table1[[#This Row],[predicted_8]]-Table1[[#This Row],[actual_8]])/Table1[[#This Row],[actual_8]]</f>
        <v>4.7227926078028747E-2</v>
      </c>
      <c r="EO552" s="1">
        <f>(Table1[[#This Row],[predicted_9]]-Table1[[#This Row],[actual_9]])/Table1[[#This Row],[actual_9]]</f>
        <v>-2.576808721506442E-2</v>
      </c>
      <c r="EP552" s="1">
        <f>1+(Table1[[#This Row],[error_ratio_0]]-EF$2)</f>
        <v>0.95918367346938771</v>
      </c>
      <c r="EQ552" s="1">
        <f>1+(Table1[[#This Row],[error_ratio_1]]-EG$2)</f>
        <v>1.0176211453744493</v>
      </c>
      <c r="ER552" s="1">
        <f>1+(Table1[[#This Row],[error_ratio_2]]-EH$2)</f>
        <v>1.0281007751937985</v>
      </c>
      <c r="ES552" s="1">
        <f>1+(Table1[[#This Row],[error_ratio_3]]-EI$2)</f>
        <v>0.96138613861386135</v>
      </c>
      <c r="ET552" s="1">
        <f>1+(Table1[[#This Row],[error_ratio_4]]-EJ$2)</f>
        <v>0.94806517311608962</v>
      </c>
      <c r="EU552" s="1">
        <f>1+(Table1[[#This Row],[error_ratio_5]]-EK$2)</f>
        <v>1.0526905829596414</v>
      </c>
      <c r="EV552" s="1">
        <f>1+(Table1[[#This Row],[error_ratio_6]]-EL$2)</f>
        <v>0.99269311064718158</v>
      </c>
      <c r="EW552" s="1">
        <f>1+(Table1[[#This Row],[error_ratio_7]]-EM$2)</f>
        <v>1.0136186770428015</v>
      </c>
      <c r="EX552" s="1">
        <f>1+(Table1[[#This Row],[error_ratio_8]]-EN$2)</f>
        <v>1.0503080082135523</v>
      </c>
      <c r="EY552" s="1">
        <f>1+(Table1[[#This Row],[error_ratio_9]]-EO$2)</f>
        <v>0.97819623389494548</v>
      </c>
    </row>
    <row r="553" spans="1:155" x14ac:dyDescent="0.75">
      <c r="A553">
        <v>100</v>
      </c>
      <c r="B553">
        <v>10</v>
      </c>
      <c r="C553">
        <v>100</v>
      </c>
      <c r="D553">
        <v>10</v>
      </c>
      <c r="E553">
        <v>10</v>
      </c>
      <c r="F553">
        <v>100</v>
      </c>
      <c r="G553">
        <v>10</v>
      </c>
      <c r="H553">
        <v>100</v>
      </c>
      <c r="I553">
        <v>100</v>
      </c>
      <c r="J553">
        <v>10</v>
      </c>
      <c r="K553">
        <v>1030</v>
      </c>
      <c r="L553">
        <v>1133</v>
      </c>
      <c r="M553">
        <v>1061</v>
      </c>
      <c r="N553">
        <v>920</v>
      </c>
      <c r="O553">
        <v>958</v>
      </c>
      <c r="P553">
        <v>912</v>
      </c>
      <c r="Q553">
        <v>928</v>
      </c>
      <c r="R553">
        <v>1078</v>
      </c>
      <c r="S553">
        <v>1035</v>
      </c>
      <c r="T553">
        <v>945</v>
      </c>
      <c r="U553">
        <v>980</v>
      </c>
      <c r="V553">
        <v>1135</v>
      </c>
      <c r="W553">
        <v>1032</v>
      </c>
      <c r="X553">
        <v>1010</v>
      </c>
      <c r="Y553">
        <v>982</v>
      </c>
      <c r="Z553">
        <v>892</v>
      </c>
      <c r="AA553">
        <v>958</v>
      </c>
      <c r="AB553">
        <v>1028</v>
      </c>
      <c r="AC553">
        <v>974</v>
      </c>
      <c r="AD553">
        <v>1009</v>
      </c>
      <c r="AE553">
        <v>974</v>
      </c>
      <c r="AF553">
        <v>1</v>
      </c>
      <c r="AG553">
        <v>0</v>
      </c>
      <c r="AH553">
        <v>0</v>
      </c>
      <c r="AI553">
        <v>0</v>
      </c>
      <c r="AJ553">
        <v>1</v>
      </c>
      <c r="AK553">
        <v>1</v>
      </c>
      <c r="AL553">
        <v>2</v>
      </c>
      <c r="AM553">
        <v>1</v>
      </c>
      <c r="AN553">
        <v>0</v>
      </c>
      <c r="AO553">
        <v>0</v>
      </c>
      <c r="AP553">
        <v>1119</v>
      </c>
      <c r="AQ553">
        <v>8</v>
      </c>
      <c r="AR553">
        <v>1</v>
      </c>
      <c r="AS553">
        <v>0</v>
      </c>
      <c r="AT553">
        <v>1</v>
      </c>
      <c r="AU553">
        <v>0</v>
      </c>
      <c r="AV553">
        <v>2</v>
      </c>
      <c r="AW553">
        <v>4</v>
      </c>
      <c r="AX553">
        <v>0</v>
      </c>
      <c r="AY553">
        <v>7</v>
      </c>
      <c r="AZ553">
        <v>2</v>
      </c>
      <c r="BA553">
        <v>1010</v>
      </c>
      <c r="BB553">
        <v>0</v>
      </c>
      <c r="BC553">
        <v>1</v>
      </c>
      <c r="BD553">
        <v>0</v>
      </c>
      <c r="BE553">
        <v>1</v>
      </c>
      <c r="BF553">
        <v>7</v>
      </c>
      <c r="BG553">
        <v>4</v>
      </c>
      <c r="BH553">
        <v>0</v>
      </c>
      <c r="BI553">
        <v>10</v>
      </c>
      <c r="BJ553">
        <v>0</v>
      </c>
      <c r="BK553">
        <v>28</v>
      </c>
      <c r="BL553">
        <v>916</v>
      </c>
      <c r="BM553">
        <v>0</v>
      </c>
      <c r="BN553">
        <v>21</v>
      </c>
      <c r="BO553">
        <v>0</v>
      </c>
      <c r="BP553">
        <v>17</v>
      </c>
      <c r="BQ553">
        <v>18</v>
      </c>
      <c r="BR553">
        <v>0</v>
      </c>
      <c r="BS553">
        <v>0</v>
      </c>
      <c r="BT553">
        <v>3</v>
      </c>
      <c r="BU553">
        <v>2</v>
      </c>
      <c r="BV553">
        <v>0</v>
      </c>
      <c r="BW553">
        <v>940</v>
      </c>
      <c r="BX553">
        <v>0</v>
      </c>
      <c r="BY553">
        <v>5</v>
      </c>
      <c r="BZ553">
        <v>5</v>
      </c>
      <c r="CA553">
        <v>10</v>
      </c>
      <c r="CB553">
        <v>17</v>
      </c>
      <c r="CC553">
        <v>7</v>
      </c>
      <c r="CD553">
        <v>1</v>
      </c>
      <c r="CE553">
        <v>0</v>
      </c>
      <c r="CF553">
        <v>1</v>
      </c>
      <c r="CG553">
        <v>0</v>
      </c>
      <c r="CH553">
        <v>875</v>
      </c>
      <c r="CI553">
        <v>1</v>
      </c>
      <c r="CJ553">
        <v>2</v>
      </c>
      <c r="CK553">
        <v>4</v>
      </c>
      <c r="CL553">
        <v>1</v>
      </c>
      <c r="CM553">
        <v>22</v>
      </c>
      <c r="CN553">
        <v>3</v>
      </c>
      <c r="CO553">
        <v>0</v>
      </c>
      <c r="CP553">
        <v>0</v>
      </c>
      <c r="CQ553">
        <v>5</v>
      </c>
      <c r="CR553">
        <v>6</v>
      </c>
      <c r="CS553">
        <v>919</v>
      </c>
      <c r="CT553">
        <v>0</v>
      </c>
      <c r="CU553">
        <v>1</v>
      </c>
      <c r="CV553">
        <v>2</v>
      </c>
      <c r="CW553">
        <v>0</v>
      </c>
      <c r="CX553">
        <v>2</v>
      </c>
      <c r="CY553">
        <v>9</v>
      </c>
      <c r="CZ553">
        <v>0</v>
      </c>
      <c r="DA553">
        <v>0</v>
      </c>
      <c r="DB553">
        <v>0</v>
      </c>
      <c r="DC553">
        <v>0</v>
      </c>
      <c r="DD553">
        <v>1015</v>
      </c>
      <c r="DE553">
        <v>2</v>
      </c>
      <c r="DF553">
        <v>0</v>
      </c>
      <c r="DG553">
        <v>5</v>
      </c>
      <c r="DH553">
        <v>0</v>
      </c>
      <c r="DI553">
        <v>2</v>
      </c>
      <c r="DJ553">
        <v>0</v>
      </c>
      <c r="DK553">
        <v>2</v>
      </c>
      <c r="DL553">
        <v>2</v>
      </c>
      <c r="DM553">
        <v>0</v>
      </c>
      <c r="DN553">
        <v>3</v>
      </c>
      <c r="DO553">
        <v>958</v>
      </c>
      <c r="DP553">
        <v>2</v>
      </c>
      <c r="DQ553">
        <v>5</v>
      </c>
      <c r="DR553">
        <v>2</v>
      </c>
      <c r="DS553">
        <v>2</v>
      </c>
      <c r="DT553">
        <v>2</v>
      </c>
      <c r="DU553">
        <v>10</v>
      </c>
      <c r="DV553">
        <v>6</v>
      </c>
      <c r="DW553">
        <v>1</v>
      </c>
      <c r="DX553">
        <v>25</v>
      </c>
      <c r="DY553">
        <v>33</v>
      </c>
      <c r="DZ553">
        <v>923</v>
      </c>
      <c r="EA553">
        <v>0.96489999999999998</v>
      </c>
      <c r="EB553">
        <v>0.96556830935634297</v>
      </c>
      <c r="EC553">
        <v>0.96485496098414003</v>
      </c>
      <c r="ED553">
        <v>0.96463090474361401</v>
      </c>
      <c r="EE553">
        <f>SUM(Table1[[#This Row],[ratio_0]:[ratio_9]])</f>
        <v>550</v>
      </c>
      <c r="EF553" s="1">
        <f>(Table1[[#This Row],[predicted_0]]-Table1[[#This Row],[actual_0]])/Table1[[#This Row],[actual_0]]</f>
        <v>5.1020408163265307E-2</v>
      </c>
      <c r="EG553" s="1">
        <f>(Table1[[#This Row],[predicted_1]]-Table1[[#This Row],[actual_1]])/Table1[[#This Row],[actual_1]]</f>
        <v>-1.762114537444934E-3</v>
      </c>
      <c r="EH553" s="1">
        <f>(Table1[[#This Row],[predicted_2]]-Table1[[#This Row],[actual_2]])/Table1[[#This Row],[actual_2]]</f>
        <v>2.8100775193798451E-2</v>
      </c>
      <c r="EI553" s="1">
        <f>(Table1[[#This Row],[predicted_3]]-Table1[[#This Row],[actual_3]])/Table1[[#This Row],[actual_3]]</f>
        <v>-8.9108910891089105E-2</v>
      </c>
      <c r="EJ553" s="1">
        <f>(Table1[[#This Row],[predicted_4]]-Table1[[#This Row],[actual_4]])/Table1[[#This Row],[actual_4]]</f>
        <v>-2.4439918533604887E-2</v>
      </c>
      <c r="EK553" s="1">
        <f>(Table1[[#This Row],[predicted_5]]-Table1[[#This Row],[actual_5]])/Table1[[#This Row],[actual_5]]</f>
        <v>2.2421524663677129E-2</v>
      </c>
      <c r="EL553" s="1">
        <f>(Table1[[#This Row],[predicted_6]]-Table1[[#This Row],[actual_6]])/Table1[[#This Row],[actual_6]]</f>
        <v>-3.1315240083507306E-2</v>
      </c>
      <c r="EM553" s="1">
        <f>(Table1[[#This Row],[predicted_7]]-Table1[[#This Row],[actual_7]])/Table1[[#This Row],[actual_7]]</f>
        <v>4.8638132295719845E-2</v>
      </c>
      <c r="EN553" s="1">
        <f>(Table1[[#This Row],[predicted_8]]-Table1[[#This Row],[actual_8]])/Table1[[#This Row],[actual_8]]</f>
        <v>6.2628336755646816E-2</v>
      </c>
      <c r="EO553" s="1">
        <f>(Table1[[#This Row],[predicted_9]]-Table1[[#This Row],[actual_9]])/Table1[[#This Row],[actual_9]]</f>
        <v>-6.3429137760158572E-2</v>
      </c>
      <c r="EP553" s="1">
        <f>1+(Table1[[#This Row],[error_ratio_0]]-EF$2)</f>
        <v>1.0489795918367346</v>
      </c>
      <c r="EQ553" s="1">
        <f>1+(Table1[[#This Row],[error_ratio_1]]-EG$2)</f>
        <v>0.99647577092511008</v>
      </c>
      <c r="ER553" s="1">
        <f>1+(Table1[[#This Row],[error_ratio_2]]-EH$2)</f>
        <v>1.0329457364341086</v>
      </c>
      <c r="ES553" s="1">
        <f>1+(Table1[[#This Row],[error_ratio_3]]-EI$2)</f>
        <v>0.90099009900990101</v>
      </c>
      <c r="ET553" s="1">
        <f>1+(Table1[[#This Row],[error_ratio_4]]-EJ$2)</f>
        <v>0.97454175152749489</v>
      </c>
      <c r="EU553" s="1">
        <f>1+(Table1[[#This Row],[error_ratio_5]]-EK$2)</f>
        <v>1.0213004484304933</v>
      </c>
      <c r="EV553" s="1">
        <f>1+(Table1[[#This Row],[error_ratio_6]]-EL$2)</f>
        <v>0.97494780793319413</v>
      </c>
      <c r="EW553" s="1">
        <f>1+(Table1[[#This Row],[error_ratio_7]]-EM$2)</f>
        <v>1.0466926070038911</v>
      </c>
      <c r="EX553" s="1">
        <f>1+(Table1[[#This Row],[error_ratio_8]]-EN$2)</f>
        <v>1.0657084188911705</v>
      </c>
      <c r="EY553" s="1">
        <f>1+(Table1[[#This Row],[error_ratio_9]]-EO$2)</f>
        <v>0.94053518334985131</v>
      </c>
    </row>
    <row r="554" spans="1:155" x14ac:dyDescent="0.75">
      <c r="A554">
        <v>10</v>
      </c>
      <c r="B554">
        <v>10</v>
      </c>
      <c r="C554">
        <v>100</v>
      </c>
      <c r="D554">
        <v>10</v>
      </c>
      <c r="E554">
        <v>10</v>
      </c>
      <c r="F554">
        <v>100</v>
      </c>
      <c r="G554">
        <v>10</v>
      </c>
      <c r="H554">
        <v>100</v>
      </c>
      <c r="I554">
        <v>100</v>
      </c>
      <c r="J554">
        <v>10</v>
      </c>
      <c r="K554">
        <v>982</v>
      </c>
      <c r="L554">
        <v>1113</v>
      </c>
      <c r="M554">
        <v>1094</v>
      </c>
      <c r="N554">
        <v>988</v>
      </c>
      <c r="O554">
        <v>987</v>
      </c>
      <c r="P554">
        <v>1001</v>
      </c>
      <c r="Q554">
        <v>887</v>
      </c>
      <c r="R554">
        <v>1075</v>
      </c>
      <c r="S554">
        <v>933</v>
      </c>
      <c r="T554">
        <v>940</v>
      </c>
      <c r="U554">
        <v>980</v>
      </c>
      <c r="V554">
        <v>1135</v>
      </c>
      <c r="W554">
        <v>1032</v>
      </c>
      <c r="X554">
        <v>1010</v>
      </c>
      <c r="Y554">
        <v>982</v>
      </c>
      <c r="Z554">
        <v>892</v>
      </c>
      <c r="AA554">
        <v>958</v>
      </c>
      <c r="AB554">
        <v>1028</v>
      </c>
      <c r="AC554">
        <v>974</v>
      </c>
      <c r="AD554">
        <v>1009</v>
      </c>
      <c r="AE554">
        <v>959</v>
      </c>
      <c r="AF554">
        <v>1</v>
      </c>
      <c r="AG554">
        <v>6</v>
      </c>
      <c r="AH554">
        <v>0</v>
      </c>
      <c r="AI554">
        <v>0</v>
      </c>
      <c r="AJ554">
        <v>10</v>
      </c>
      <c r="AK554">
        <v>1</v>
      </c>
      <c r="AL554">
        <v>2</v>
      </c>
      <c r="AM554">
        <v>1</v>
      </c>
      <c r="AN554">
        <v>0</v>
      </c>
      <c r="AO554">
        <v>0</v>
      </c>
      <c r="AP554">
        <v>1108</v>
      </c>
      <c r="AQ554">
        <v>5</v>
      </c>
      <c r="AR554">
        <v>9</v>
      </c>
      <c r="AS554">
        <v>0</v>
      </c>
      <c r="AT554">
        <v>2</v>
      </c>
      <c r="AU554">
        <v>0</v>
      </c>
      <c r="AV554">
        <v>7</v>
      </c>
      <c r="AW554">
        <v>4</v>
      </c>
      <c r="AX554">
        <v>0</v>
      </c>
      <c r="AY554">
        <v>0</v>
      </c>
      <c r="AZ554">
        <v>0</v>
      </c>
      <c r="BA554">
        <v>1027</v>
      </c>
      <c r="BB554">
        <v>1</v>
      </c>
      <c r="BC554">
        <v>0</v>
      </c>
      <c r="BD554">
        <v>0</v>
      </c>
      <c r="BE554">
        <v>0</v>
      </c>
      <c r="BF554">
        <v>4</v>
      </c>
      <c r="BG554">
        <v>0</v>
      </c>
      <c r="BH554">
        <v>0</v>
      </c>
      <c r="BI554">
        <v>3</v>
      </c>
      <c r="BJ554">
        <v>0</v>
      </c>
      <c r="BK554">
        <v>10</v>
      </c>
      <c r="BL554">
        <v>950</v>
      </c>
      <c r="BM554">
        <v>0</v>
      </c>
      <c r="BN554">
        <v>41</v>
      </c>
      <c r="BO554">
        <v>0</v>
      </c>
      <c r="BP554">
        <v>5</v>
      </c>
      <c r="BQ554">
        <v>0</v>
      </c>
      <c r="BR554">
        <v>1</v>
      </c>
      <c r="BS554">
        <v>0</v>
      </c>
      <c r="BT554">
        <v>1</v>
      </c>
      <c r="BU554">
        <v>11</v>
      </c>
      <c r="BV554">
        <v>0</v>
      </c>
      <c r="BW554">
        <v>950</v>
      </c>
      <c r="BX554">
        <v>0</v>
      </c>
      <c r="BY554">
        <v>1</v>
      </c>
      <c r="BZ554">
        <v>8</v>
      </c>
      <c r="CA554">
        <v>1</v>
      </c>
      <c r="CB554">
        <v>10</v>
      </c>
      <c r="CC554">
        <v>0</v>
      </c>
      <c r="CD554">
        <v>0</v>
      </c>
      <c r="CE554">
        <v>0</v>
      </c>
      <c r="CF554">
        <v>1</v>
      </c>
      <c r="CG554">
        <v>0</v>
      </c>
      <c r="CH554">
        <v>890</v>
      </c>
      <c r="CI554">
        <v>0</v>
      </c>
      <c r="CJ554">
        <v>0</v>
      </c>
      <c r="CK554">
        <v>1</v>
      </c>
      <c r="CL554">
        <v>0</v>
      </c>
      <c r="CM554">
        <v>11</v>
      </c>
      <c r="CN554">
        <v>3</v>
      </c>
      <c r="CO554">
        <v>11</v>
      </c>
      <c r="CP554">
        <v>2</v>
      </c>
      <c r="CQ554">
        <v>11</v>
      </c>
      <c r="CR554">
        <v>34</v>
      </c>
      <c r="CS554">
        <v>885</v>
      </c>
      <c r="CT554">
        <v>0</v>
      </c>
      <c r="CU554">
        <v>1</v>
      </c>
      <c r="CV554">
        <v>0</v>
      </c>
      <c r="CW554">
        <v>0</v>
      </c>
      <c r="CX554">
        <v>0</v>
      </c>
      <c r="CY554">
        <v>12</v>
      </c>
      <c r="CZ554">
        <v>1</v>
      </c>
      <c r="DA554">
        <v>0</v>
      </c>
      <c r="DB554">
        <v>0</v>
      </c>
      <c r="DC554">
        <v>0</v>
      </c>
      <c r="DD554">
        <v>1014</v>
      </c>
      <c r="DE554">
        <v>0</v>
      </c>
      <c r="DF554">
        <v>1</v>
      </c>
      <c r="DG554">
        <v>5</v>
      </c>
      <c r="DH554">
        <v>0</v>
      </c>
      <c r="DI554">
        <v>10</v>
      </c>
      <c r="DJ554">
        <v>13</v>
      </c>
      <c r="DK554">
        <v>4</v>
      </c>
      <c r="DL554">
        <v>13</v>
      </c>
      <c r="DM554">
        <v>0</v>
      </c>
      <c r="DN554">
        <v>2</v>
      </c>
      <c r="DO554">
        <v>921</v>
      </c>
      <c r="DP554">
        <v>6</v>
      </c>
      <c r="DQ554">
        <v>4</v>
      </c>
      <c r="DR554">
        <v>0</v>
      </c>
      <c r="DS554">
        <v>2</v>
      </c>
      <c r="DT554">
        <v>11</v>
      </c>
      <c r="DU554">
        <v>22</v>
      </c>
      <c r="DV554">
        <v>11</v>
      </c>
      <c r="DW554">
        <v>0</v>
      </c>
      <c r="DX554">
        <v>33</v>
      </c>
      <c r="DY554">
        <v>4</v>
      </c>
      <c r="DZ554">
        <v>922</v>
      </c>
      <c r="EA554">
        <v>0.96260000000000001</v>
      </c>
      <c r="EB554">
        <v>0.96329952693049803</v>
      </c>
      <c r="EC554">
        <v>0.96252454068540705</v>
      </c>
      <c r="ED554">
        <v>0.96214143105278105</v>
      </c>
      <c r="EE554">
        <f>SUM(Table1[[#This Row],[ratio_0]:[ratio_9]])</f>
        <v>460</v>
      </c>
      <c r="EF554" s="1">
        <f>(Table1[[#This Row],[predicted_0]]-Table1[[#This Row],[actual_0]])/Table1[[#This Row],[actual_0]]</f>
        <v>2.0408163265306124E-3</v>
      </c>
      <c r="EG554" s="1">
        <f>(Table1[[#This Row],[predicted_1]]-Table1[[#This Row],[actual_1]])/Table1[[#This Row],[actual_1]]</f>
        <v>-1.9383259911894272E-2</v>
      </c>
      <c r="EH554" s="1">
        <f>(Table1[[#This Row],[predicted_2]]-Table1[[#This Row],[actual_2]])/Table1[[#This Row],[actual_2]]</f>
        <v>6.0077519379844964E-2</v>
      </c>
      <c r="EI554" s="1">
        <f>(Table1[[#This Row],[predicted_3]]-Table1[[#This Row],[actual_3]])/Table1[[#This Row],[actual_3]]</f>
        <v>-2.1782178217821781E-2</v>
      </c>
      <c r="EJ554" s="1">
        <f>(Table1[[#This Row],[predicted_4]]-Table1[[#This Row],[actual_4]])/Table1[[#This Row],[actual_4]]</f>
        <v>5.0916496945010185E-3</v>
      </c>
      <c r="EK554" s="1">
        <f>(Table1[[#This Row],[predicted_5]]-Table1[[#This Row],[actual_5]])/Table1[[#This Row],[actual_5]]</f>
        <v>0.12219730941704036</v>
      </c>
      <c r="EL554" s="1">
        <f>(Table1[[#This Row],[predicted_6]]-Table1[[#This Row],[actual_6]])/Table1[[#This Row],[actual_6]]</f>
        <v>-7.4112734864300631E-2</v>
      </c>
      <c r="EM554" s="1">
        <f>(Table1[[#This Row],[predicted_7]]-Table1[[#This Row],[actual_7]])/Table1[[#This Row],[actual_7]]</f>
        <v>4.5719844357976651E-2</v>
      </c>
      <c r="EN554" s="1">
        <f>(Table1[[#This Row],[predicted_8]]-Table1[[#This Row],[actual_8]])/Table1[[#This Row],[actual_8]]</f>
        <v>-4.2094455852156057E-2</v>
      </c>
      <c r="EO554" s="1">
        <f>(Table1[[#This Row],[predicted_9]]-Table1[[#This Row],[actual_9]])/Table1[[#This Row],[actual_9]]</f>
        <v>-6.8384539147670967E-2</v>
      </c>
      <c r="EP554" s="1">
        <f>1+(Table1[[#This Row],[error_ratio_0]]-EF$2)</f>
        <v>1</v>
      </c>
      <c r="EQ554" s="1">
        <f>1+(Table1[[#This Row],[error_ratio_1]]-EG$2)</f>
        <v>0.97885462555066083</v>
      </c>
      <c r="ER554" s="1">
        <f>1+(Table1[[#This Row],[error_ratio_2]]-EH$2)</f>
        <v>1.0649224806201549</v>
      </c>
      <c r="ES554" s="1">
        <f>1+(Table1[[#This Row],[error_ratio_3]]-EI$2)</f>
        <v>0.96831683168316829</v>
      </c>
      <c r="ET554" s="1">
        <f>1+(Table1[[#This Row],[error_ratio_4]]-EJ$2)</f>
        <v>1.0040733197556009</v>
      </c>
      <c r="EU554" s="1">
        <f>1+(Table1[[#This Row],[error_ratio_5]]-EK$2)</f>
        <v>1.1210762331838564</v>
      </c>
      <c r="EV554" s="1">
        <f>1+(Table1[[#This Row],[error_ratio_6]]-EL$2)</f>
        <v>0.93215031315240082</v>
      </c>
      <c r="EW554" s="1">
        <f>1+(Table1[[#This Row],[error_ratio_7]]-EM$2)</f>
        <v>1.0437743190661479</v>
      </c>
      <c r="EX554" s="1">
        <f>1+(Table1[[#This Row],[error_ratio_8]]-EN$2)</f>
        <v>0.96098562628336759</v>
      </c>
      <c r="EY554" s="1">
        <f>1+(Table1[[#This Row],[error_ratio_9]]-EO$2)</f>
        <v>0.93557978196233893</v>
      </c>
    </row>
    <row r="555" spans="1:155" x14ac:dyDescent="0.75">
      <c r="A555">
        <v>100</v>
      </c>
      <c r="B555">
        <v>100</v>
      </c>
      <c r="C555">
        <v>10</v>
      </c>
      <c r="D555">
        <v>10</v>
      </c>
      <c r="E555">
        <v>10</v>
      </c>
      <c r="F555">
        <v>100</v>
      </c>
      <c r="G555">
        <v>10</v>
      </c>
      <c r="H555">
        <v>100</v>
      </c>
      <c r="I555">
        <v>100</v>
      </c>
      <c r="J555">
        <v>10</v>
      </c>
      <c r="K555">
        <v>1014</v>
      </c>
      <c r="L555">
        <v>1165</v>
      </c>
      <c r="M555">
        <v>1019</v>
      </c>
      <c r="N555">
        <v>1005</v>
      </c>
      <c r="O555">
        <v>811</v>
      </c>
      <c r="P555">
        <v>967</v>
      </c>
      <c r="Q555">
        <v>873</v>
      </c>
      <c r="R555">
        <v>1067</v>
      </c>
      <c r="S555">
        <v>1112</v>
      </c>
      <c r="T555">
        <v>967</v>
      </c>
      <c r="U555">
        <v>980</v>
      </c>
      <c r="V555">
        <v>1135</v>
      </c>
      <c r="W555">
        <v>1032</v>
      </c>
      <c r="X555">
        <v>1010</v>
      </c>
      <c r="Y555">
        <v>982</v>
      </c>
      <c r="Z555">
        <v>892</v>
      </c>
      <c r="AA555">
        <v>958</v>
      </c>
      <c r="AB555">
        <v>1028</v>
      </c>
      <c r="AC555">
        <v>974</v>
      </c>
      <c r="AD555">
        <v>1009</v>
      </c>
      <c r="AE555">
        <v>973</v>
      </c>
      <c r="AF555">
        <v>0</v>
      </c>
      <c r="AG555">
        <v>1</v>
      </c>
      <c r="AH555">
        <v>0</v>
      </c>
      <c r="AI555">
        <v>0</v>
      </c>
      <c r="AJ555">
        <v>0</v>
      </c>
      <c r="AK555">
        <v>0</v>
      </c>
      <c r="AL555">
        <v>1</v>
      </c>
      <c r="AM555">
        <v>5</v>
      </c>
      <c r="AN555">
        <v>0</v>
      </c>
      <c r="AO555">
        <v>0</v>
      </c>
      <c r="AP555">
        <v>1127</v>
      </c>
      <c r="AQ555">
        <v>0</v>
      </c>
      <c r="AR555">
        <v>4</v>
      </c>
      <c r="AS555">
        <v>0</v>
      </c>
      <c r="AT555">
        <v>1</v>
      </c>
      <c r="AU555">
        <v>0</v>
      </c>
      <c r="AV555">
        <v>0</v>
      </c>
      <c r="AW555">
        <v>3</v>
      </c>
      <c r="AX555">
        <v>0</v>
      </c>
      <c r="AY555">
        <v>10</v>
      </c>
      <c r="AZ555">
        <v>6</v>
      </c>
      <c r="BA555">
        <v>993</v>
      </c>
      <c r="BB555">
        <v>0</v>
      </c>
      <c r="BC555">
        <v>0</v>
      </c>
      <c r="BD555">
        <v>0</v>
      </c>
      <c r="BE555">
        <v>1</v>
      </c>
      <c r="BF555">
        <v>7</v>
      </c>
      <c r="BG555">
        <v>15</v>
      </c>
      <c r="BH555">
        <v>0</v>
      </c>
      <c r="BI555">
        <v>3</v>
      </c>
      <c r="BJ555">
        <v>0</v>
      </c>
      <c r="BK555">
        <v>5</v>
      </c>
      <c r="BL555">
        <v>981</v>
      </c>
      <c r="BM555">
        <v>0</v>
      </c>
      <c r="BN555">
        <v>4</v>
      </c>
      <c r="BO555">
        <v>0</v>
      </c>
      <c r="BP555">
        <v>8</v>
      </c>
      <c r="BQ555">
        <v>9</v>
      </c>
      <c r="BR555">
        <v>0</v>
      </c>
      <c r="BS555">
        <v>0</v>
      </c>
      <c r="BT555">
        <v>16</v>
      </c>
      <c r="BU555">
        <v>8</v>
      </c>
      <c r="BV555">
        <v>2</v>
      </c>
      <c r="BW555">
        <v>811</v>
      </c>
      <c r="BX555">
        <v>5</v>
      </c>
      <c r="BY555">
        <v>10</v>
      </c>
      <c r="BZ555">
        <v>23</v>
      </c>
      <c r="CA555">
        <v>60</v>
      </c>
      <c r="CB555">
        <v>47</v>
      </c>
      <c r="CC555">
        <v>3</v>
      </c>
      <c r="CD555">
        <v>0</v>
      </c>
      <c r="CE555">
        <v>0</v>
      </c>
      <c r="CF555">
        <v>5</v>
      </c>
      <c r="CG555">
        <v>0</v>
      </c>
      <c r="CH555">
        <v>882</v>
      </c>
      <c r="CI555">
        <v>1</v>
      </c>
      <c r="CJ555">
        <v>0</v>
      </c>
      <c r="CK555">
        <v>1</v>
      </c>
      <c r="CL555">
        <v>0</v>
      </c>
      <c r="CM555">
        <v>18</v>
      </c>
      <c r="CN555">
        <v>7</v>
      </c>
      <c r="CO555">
        <v>2</v>
      </c>
      <c r="CP555">
        <v>0</v>
      </c>
      <c r="CQ555">
        <v>0</v>
      </c>
      <c r="CR555">
        <v>40</v>
      </c>
      <c r="CS555">
        <v>860</v>
      </c>
      <c r="CT555">
        <v>0</v>
      </c>
      <c r="CU555">
        <v>30</v>
      </c>
      <c r="CV555">
        <v>1</v>
      </c>
      <c r="CW555">
        <v>1</v>
      </c>
      <c r="CX555">
        <v>4</v>
      </c>
      <c r="CY555">
        <v>8</v>
      </c>
      <c r="CZ555">
        <v>2</v>
      </c>
      <c r="DA555">
        <v>0</v>
      </c>
      <c r="DB555">
        <v>2</v>
      </c>
      <c r="DC555">
        <v>0</v>
      </c>
      <c r="DD555">
        <v>1010</v>
      </c>
      <c r="DE555">
        <v>1</v>
      </c>
      <c r="DF555">
        <v>0</v>
      </c>
      <c r="DG555">
        <v>1</v>
      </c>
      <c r="DH555">
        <v>0</v>
      </c>
      <c r="DI555">
        <v>2</v>
      </c>
      <c r="DJ555">
        <v>3</v>
      </c>
      <c r="DK555">
        <v>0</v>
      </c>
      <c r="DL555">
        <v>3</v>
      </c>
      <c r="DM555">
        <v>0</v>
      </c>
      <c r="DN555">
        <v>3</v>
      </c>
      <c r="DO555">
        <v>962</v>
      </c>
      <c r="DP555">
        <v>0</v>
      </c>
      <c r="DQ555">
        <v>5</v>
      </c>
      <c r="DR555">
        <v>5</v>
      </c>
      <c r="DS555">
        <v>0</v>
      </c>
      <c r="DT555">
        <v>8</v>
      </c>
      <c r="DU555">
        <v>0</v>
      </c>
      <c r="DV555">
        <v>30</v>
      </c>
      <c r="DW555">
        <v>1</v>
      </c>
      <c r="DX555">
        <v>15</v>
      </c>
      <c r="DY555">
        <v>26</v>
      </c>
      <c r="DZ555">
        <v>919</v>
      </c>
      <c r="EA555">
        <v>0.95179999999999998</v>
      </c>
      <c r="EB555">
        <v>0.95368093892937</v>
      </c>
      <c r="EC555">
        <v>0.95126362017788002</v>
      </c>
      <c r="ED555">
        <v>0.95075387816111101</v>
      </c>
      <c r="EE555">
        <f>SUM(Table1[[#This Row],[ratio_0]:[ratio_9]])</f>
        <v>550</v>
      </c>
      <c r="EF555" s="1">
        <f>(Table1[[#This Row],[predicted_0]]-Table1[[#This Row],[actual_0]])/Table1[[#This Row],[actual_0]]</f>
        <v>3.4693877551020408E-2</v>
      </c>
      <c r="EG555" s="1">
        <f>(Table1[[#This Row],[predicted_1]]-Table1[[#This Row],[actual_1]])/Table1[[#This Row],[actual_1]]</f>
        <v>2.643171806167401E-2</v>
      </c>
      <c r="EH555" s="1">
        <f>(Table1[[#This Row],[predicted_2]]-Table1[[#This Row],[actual_2]])/Table1[[#This Row],[actual_2]]</f>
        <v>-1.2596899224806201E-2</v>
      </c>
      <c r="EI555" s="1">
        <f>(Table1[[#This Row],[predicted_3]]-Table1[[#This Row],[actual_3]])/Table1[[#This Row],[actual_3]]</f>
        <v>-4.9504950495049506E-3</v>
      </c>
      <c r="EJ555" s="1">
        <f>(Table1[[#This Row],[predicted_4]]-Table1[[#This Row],[actual_4]])/Table1[[#This Row],[actual_4]]</f>
        <v>-0.17413441955193482</v>
      </c>
      <c r="EK555" s="1">
        <f>(Table1[[#This Row],[predicted_5]]-Table1[[#This Row],[actual_5]])/Table1[[#This Row],[actual_5]]</f>
        <v>8.4080717488789244E-2</v>
      </c>
      <c r="EL555" s="1">
        <f>(Table1[[#This Row],[predicted_6]]-Table1[[#This Row],[actual_6]])/Table1[[#This Row],[actual_6]]</f>
        <v>-8.8726513569937368E-2</v>
      </c>
      <c r="EM555" s="1">
        <f>(Table1[[#This Row],[predicted_7]]-Table1[[#This Row],[actual_7]])/Table1[[#This Row],[actual_7]]</f>
        <v>3.7937743190661476E-2</v>
      </c>
      <c r="EN555" s="1">
        <f>(Table1[[#This Row],[predicted_8]]-Table1[[#This Row],[actual_8]])/Table1[[#This Row],[actual_8]]</f>
        <v>0.14168377823408623</v>
      </c>
      <c r="EO555" s="1">
        <f>(Table1[[#This Row],[predicted_9]]-Table1[[#This Row],[actual_9]])/Table1[[#This Row],[actual_9]]</f>
        <v>-4.1625371655104063E-2</v>
      </c>
      <c r="EP555" s="1">
        <f>1+(Table1[[#This Row],[error_ratio_0]]-EF$2)</f>
        <v>1.0326530612244897</v>
      </c>
      <c r="EQ555" s="1">
        <f>1+(Table1[[#This Row],[error_ratio_1]]-EG$2)</f>
        <v>1.0246696035242291</v>
      </c>
      <c r="ER555" s="1">
        <f>1+(Table1[[#This Row],[error_ratio_2]]-EH$2)</f>
        <v>0.99224806201550386</v>
      </c>
      <c r="ES555" s="1">
        <f>1+(Table1[[#This Row],[error_ratio_3]]-EI$2)</f>
        <v>0.98514851485148514</v>
      </c>
      <c r="ET555" s="1">
        <f>1+(Table1[[#This Row],[error_ratio_4]]-EJ$2)</f>
        <v>0.82484725050916496</v>
      </c>
      <c r="EU555" s="1">
        <f>1+(Table1[[#This Row],[error_ratio_5]]-EK$2)</f>
        <v>1.0829596412556053</v>
      </c>
      <c r="EV555" s="1">
        <f>1+(Table1[[#This Row],[error_ratio_6]]-EL$2)</f>
        <v>0.91753653444676408</v>
      </c>
      <c r="EW555" s="1">
        <f>1+(Table1[[#This Row],[error_ratio_7]]-EM$2)</f>
        <v>1.0359922178988328</v>
      </c>
      <c r="EX555" s="1">
        <f>1+(Table1[[#This Row],[error_ratio_8]]-EN$2)</f>
        <v>1.1447638603696098</v>
      </c>
      <c r="EY555" s="1">
        <f>1+(Table1[[#This Row],[error_ratio_9]]-EO$2)</f>
        <v>0.96233894945490583</v>
      </c>
    </row>
    <row r="556" spans="1:155" x14ac:dyDescent="0.75">
      <c r="A556">
        <v>100</v>
      </c>
      <c r="B556">
        <v>10</v>
      </c>
      <c r="C556">
        <v>10</v>
      </c>
      <c r="D556">
        <v>10</v>
      </c>
      <c r="E556">
        <v>10</v>
      </c>
      <c r="F556">
        <v>100</v>
      </c>
      <c r="G556">
        <v>10</v>
      </c>
      <c r="H556">
        <v>100</v>
      </c>
      <c r="I556">
        <v>100</v>
      </c>
      <c r="J556">
        <v>10</v>
      </c>
      <c r="K556">
        <v>1045</v>
      </c>
      <c r="L556">
        <v>1134</v>
      </c>
      <c r="M556">
        <v>1025</v>
      </c>
      <c r="N556">
        <v>977</v>
      </c>
      <c r="O556">
        <v>1030</v>
      </c>
      <c r="P556">
        <v>911</v>
      </c>
      <c r="Q556">
        <v>870</v>
      </c>
      <c r="R556">
        <v>1111</v>
      </c>
      <c r="S556">
        <v>1005</v>
      </c>
      <c r="T556">
        <v>892</v>
      </c>
      <c r="U556">
        <v>980</v>
      </c>
      <c r="V556">
        <v>1135</v>
      </c>
      <c r="W556">
        <v>1032</v>
      </c>
      <c r="X556">
        <v>1010</v>
      </c>
      <c r="Y556">
        <v>982</v>
      </c>
      <c r="Z556">
        <v>892</v>
      </c>
      <c r="AA556">
        <v>958</v>
      </c>
      <c r="AB556">
        <v>1028</v>
      </c>
      <c r="AC556">
        <v>974</v>
      </c>
      <c r="AD556">
        <v>1009</v>
      </c>
      <c r="AE556">
        <v>974</v>
      </c>
      <c r="AF556">
        <v>0</v>
      </c>
      <c r="AG556">
        <v>1</v>
      </c>
      <c r="AH556">
        <v>0</v>
      </c>
      <c r="AI556">
        <v>0</v>
      </c>
      <c r="AJ556">
        <v>0</v>
      </c>
      <c r="AK556">
        <v>1</v>
      </c>
      <c r="AL556">
        <v>2</v>
      </c>
      <c r="AM556">
        <v>2</v>
      </c>
      <c r="AN556">
        <v>0</v>
      </c>
      <c r="AO556">
        <v>0</v>
      </c>
      <c r="AP556">
        <v>1118</v>
      </c>
      <c r="AQ556">
        <v>6</v>
      </c>
      <c r="AR556">
        <v>4</v>
      </c>
      <c r="AS556">
        <v>0</v>
      </c>
      <c r="AT556">
        <v>1</v>
      </c>
      <c r="AU556">
        <v>0</v>
      </c>
      <c r="AV556">
        <v>6</v>
      </c>
      <c r="AW556">
        <v>0</v>
      </c>
      <c r="AX556">
        <v>0</v>
      </c>
      <c r="AY556">
        <v>15</v>
      </c>
      <c r="AZ556">
        <v>0</v>
      </c>
      <c r="BA556">
        <v>983</v>
      </c>
      <c r="BB556">
        <v>0</v>
      </c>
      <c r="BC556">
        <v>1</v>
      </c>
      <c r="BD556">
        <v>0</v>
      </c>
      <c r="BE556">
        <v>0</v>
      </c>
      <c r="BF556">
        <v>29</v>
      </c>
      <c r="BG556">
        <v>4</v>
      </c>
      <c r="BH556">
        <v>0</v>
      </c>
      <c r="BI556">
        <v>6</v>
      </c>
      <c r="BJ556">
        <v>0</v>
      </c>
      <c r="BK556">
        <v>11</v>
      </c>
      <c r="BL556">
        <v>953</v>
      </c>
      <c r="BM556">
        <v>0</v>
      </c>
      <c r="BN556">
        <v>8</v>
      </c>
      <c r="BO556">
        <v>0</v>
      </c>
      <c r="BP556">
        <v>13</v>
      </c>
      <c r="BQ556">
        <v>19</v>
      </c>
      <c r="BR556">
        <v>0</v>
      </c>
      <c r="BS556">
        <v>5</v>
      </c>
      <c r="BT556">
        <v>2</v>
      </c>
      <c r="BU556">
        <v>4</v>
      </c>
      <c r="BV556">
        <v>0</v>
      </c>
      <c r="BW556">
        <v>956</v>
      </c>
      <c r="BX556">
        <v>0</v>
      </c>
      <c r="BY556">
        <v>2</v>
      </c>
      <c r="BZ556">
        <v>2</v>
      </c>
      <c r="CA556">
        <v>2</v>
      </c>
      <c r="CB556">
        <v>9</v>
      </c>
      <c r="CC556">
        <v>6</v>
      </c>
      <c r="CD556">
        <v>0</v>
      </c>
      <c r="CE556">
        <v>1</v>
      </c>
      <c r="CF556">
        <v>9</v>
      </c>
      <c r="CG556">
        <v>0</v>
      </c>
      <c r="CH556">
        <v>852</v>
      </c>
      <c r="CI556">
        <v>1</v>
      </c>
      <c r="CJ556">
        <v>1</v>
      </c>
      <c r="CK556">
        <v>22</v>
      </c>
      <c r="CL556">
        <v>0</v>
      </c>
      <c r="CM556">
        <v>29</v>
      </c>
      <c r="CN556">
        <v>7</v>
      </c>
      <c r="CO556">
        <v>3</v>
      </c>
      <c r="CP556">
        <v>0</v>
      </c>
      <c r="CQ556">
        <v>23</v>
      </c>
      <c r="CR556">
        <v>27</v>
      </c>
      <c r="CS556">
        <v>866</v>
      </c>
      <c r="CT556">
        <v>0</v>
      </c>
      <c r="CU556">
        <v>3</v>
      </c>
      <c r="CV556">
        <v>0</v>
      </c>
      <c r="CW556">
        <v>1</v>
      </c>
      <c r="CX556">
        <v>1</v>
      </c>
      <c r="CY556">
        <v>4</v>
      </c>
      <c r="CZ556">
        <v>0</v>
      </c>
      <c r="DA556">
        <v>0</v>
      </c>
      <c r="DB556">
        <v>0</v>
      </c>
      <c r="DC556">
        <v>0</v>
      </c>
      <c r="DD556">
        <v>1022</v>
      </c>
      <c r="DE556">
        <v>0</v>
      </c>
      <c r="DF556">
        <v>0</v>
      </c>
      <c r="DG556">
        <v>2</v>
      </c>
      <c r="DH556">
        <v>0</v>
      </c>
      <c r="DI556">
        <v>12</v>
      </c>
      <c r="DJ556">
        <v>2</v>
      </c>
      <c r="DK556">
        <v>1</v>
      </c>
      <c r="DL556">
        <v>0</v>
      </c>
      <c r="DM556">
        <v>0</v>
      </c>
      <c r="DN556">
        <v>11</v>
      </c>
      <c r="DO556">
        <v>945</v>
      </c>
      <c r="DP556">
        <v>1</v>
      </c>
      <c r="DQ556">
        <v>7</v>
      </c>
      <c r="DR556">
        <v>6</v>
      </c>
      <c r="DS556">
        <v>0</v>
      </c>
      <c r="DT556">
        <v>9</v>
      </c>
      <c r="DU556">
        <v>49</v>
      </c>
      <c r="DV556">
        <v>23</v>
      </c>
      <c r="DW556">
        <v>0</v>
      </c>
      <c r="DX556">
        <v>25</v>
      </c>
      <c r="DY556">
        <v>8</v>
      </c>
      <c r="DZ556">
        <v>882</v>
      </c>
      <c r="EA556">
        <v>0.95509999999999995</v>
      </c>
      <c r="EB556">
        <v>0.95601808415638101</v>
      </c>
      <c r="EC556">
        <v>0.95461523846428498</v>
      </c>
      <c r="ED556">
        <v>0.95438477962273105</v>
      </c>
      <c r="EE556">
        <f>SUM(Table1[[#This Row],[ratio_0]:[ratio_9]])</f>
        <v>460</v>
      </c>
      <c r="EF556" s="1">
        <f>(Table1[[#This Row],[predicted_0]]-Table1[[#This Row],[actual_0]])/Table1[[#This Row],[actual_0]]</f>
        <v>6.6326530612244902E-2</v>
      </c>
      <c r="EG556" s="1">
        <f>(Table1[[#This Row],[predicted_1]]-Table1[[#This Row],[actual_1]])/Table1[[#This Row],[actual_1]]</f>
        <v>-8.81057268722467E-4</v>
      </c>
      <c r="EH556" s="1">
        <f>(Table1[[#This Row],[predicted_2]]-Table1[[#This Row],[actual_2]])/Table1[[#This Row],[actual_2]]</f>
        <v>-6.7829457364341084E-3</v>
      </c>
      <c r="EI556" s="1">
        <f>(Table1[[#This Row],[predicted_3]]-Table1[[#This Row],[actual_3]])/Table1[[#This Row],[actual_3]]</f>
        <v>-3.2673267326732675E-2</v>
      </c>
      <c r="EJ556" s="1">
        <f>(Table1[[#This Row],[predicted_4]]-Table1[[#This Row],[actual_4]])/Table1[[#This Row],[actual_4]]</f>
        <v>4.8879837067209775E-2</v>
      </c>
      <c r="EK556" s="1">
        <f>(Table1[[#This Row],[predicted_5]]-Table1[[#This Row],[actual_5]])/Table1[[#This Row],[actual_5]]</f>
        <v>2.1300448430493273E-2</v>
      </c>
      <c r="EL556" s="1">
        <f>(Table1[[#This Row],[predicted_6]]-Table1[[#This Row],[actual_6]])/Table1[[#This Row],[actual_6]]</f>
        <v>-9.1858037578288101E-2</v>
      </c>
      <c r="EM556" s="1">
        <f>(Table1[[#This Row],[predicted_7]]-Table1[[#This Row],[actual_7]])/Table1[[#This Row],[actual_7]]</f>
        <v>8.0739299610894946E-2</v>
      </c>
      <c r="EN556" s="1">
        <f>(Table1[[#This Row],[predicted_8]]-Table1[[#This Row],[actual_8]])/Table1[[#This Row],[actual_8]]</f>
        <v>3.1827515400410678E-2</v>
      </c>
      <c r="EO556" s="1">
        <f>(Table1[[#This Row],[predicted_9]]-Table1[[#This Row],[actual_9]])/Table1[[#This Row],[actual_9]]</f>
        <v>-0.1159563924677899</v>
      </c>
      <c r="EP556" s="1">
        <f>1+(Table1[[#This Row],[error_ratio_0]]-EF$2)</f>
        <v>1.0642857142857143</v>
      </c>
      <c r="EQ556" s="1">
        <f>1+(Table1[[#This Row],[error_ratio_1]]-EG$2)</f>
        <v>0.99735682819383265</v>
      </c>
      <c r="ER556" s="1">
        <f>1+(Table1[[#This Row],[error_ratio_2]]-EH$2)</f>
        <v>0.99806201550387597</v>
      </c>
      <c r="ES556" s="1">
        <f>1+(Table1[[#This Row],[error_ratio_3]]-EI$2)</f>
        <v>0.95742574257425739</v>
      </c>
      <c r="ET556" s="1">
        <f>1+(Table1[[#This Row],[error_ratio_4]]-EJ$2)</f>
        <v>1.0478615071283095</v>
      </c>
      <c r="EU556" s="1">
        <f>1+(Table1[[#This Row],[error_ratio_5]]-EK$2)</f>
        <v>1.0201793721973094</v>
      </c>
      <c r="EV556" s="1">
        <f>1+(Table1[[#This Row],[error_ratio_6]]-EL$2)</f>
        <v>0.91440501043841338</v>
      </c>
      <c r="EW556" s="1">
        <f>1+(Table1[[#This Row],[error_ratio_7]]-EM$2)</f>
        <v>1.0787937743190661</v>
      </c>
      <c r="EX556" s="1">
        <f>1+(Table1[[#This Row],[error_ratio_8]]-EN$2)</f>
        <v>1.0349075975359343</v>
      </c>
      <c r="EY556" s="1">
        <f>1+(Table1[[#This Row],[error_ratio_9]]-EO$2)</f>
        <v>0.88800792864222</v>
      </c>
    </row>
    <row r="557" spans="1:155" x14ac:dyDescent="0.75">
      <c r="A557">
        <v>10</v>
      </c>
      <c r="B557">
        <v>10</v>
      </c>
      <c r="C557">
        <v>10</v>
      </c>
      <c r="D557">
        <v>10</v>
      </c>
      <c r="E557">
        <v>10</v>
      </c>
      <c r="F557">
        <v>100</v>
      </c>
      <c r="G557">
        <v>10</v>
      </c>
      <c r="H557">
        <v>100</v>
      </c>
      <c r="I557">
        <v>100</v>
      </c>
      <c r="J557">
        <v>10</v>
      </c>
      <c r="K557">
        <v>972</v>
      </c>
      <c r="L557">
        <v>1126</v>
      </c>
      <c r="M557">
        <v>1024</v>
      </c>
      <c r="N557">
        <v>963</v>
      </c>
      <c r="O557">
        <v>973</v>
      </c>
      <c r="P557">
        <v>987</v>
      </c>
      <c r="Q557">
        <v>926</v>
      </c>
      <c r="R557">
        <v>1062</v>
      </c>
      <c r="S557">
        <v>1066</v>
      </c>
      <c r="T557">
        <v>901</v>
      </c>
      <c r="U557">
        <v>980</v>
      </c>
      <c r="V557">
        <v>1135</v>
      </c>
      <c r="W557">
        <v>1032</v>
      </c>
      <c r="X557">
        <v>1010</v>
      </c>
      <c r="Y557">
        <v>982</v>
      </c>
      <c r="Z557">
        <v>892</v>
      </c>
      <c r="AA557">
        <v>958</v>
      </c>
      <c r="AB557">
        <v>1028</v>
      </c>
      <c r="AC557">
        <v>974</v>
      </c>
      <c r="AD557">
        <v>1009</v>
      </c>
      <c r="AE557">
        <v>953</v>
      </c>
      <c r="AF557">
        <v>0</v>
      </c>
      <c r="AG557">
        <v>0</v>
      </c>
      <c r="AH557">
        <v>0</v>
      </c>
      <c r="AI557">
        <v>1</v>
      </c>
      <c r="AJ557">
        <v>7</v>
      </c>
      <c r="AK557">
        <v>8</v>
      </c>
      <c r="AL557">
        <v>3</v>
      </c>
      <c r="AM557">
        <v>7</v>
      </c>
      <c r="AN557">
        <v>1</v>
      </c>
      <c r="AO557">
        <v>0</v>
      </c>
      <c r="AP557">
        <v>1115</v>
      </c>
      <c r="AQ557">
        <v>2</v>
      </c>
      <c r="AR557">
        <v>3</v>
      </c>
      <c r="AS557">
        <v>0</v>
      </c>
      <c r="AT557">
        <v>6</v>
      </c>
      <c r="AU557">
        <v>2</v>
      </c>
      <c r="AV557">
        <v>1</v>
      </c>
      <c r="AW557">
        <v>6</v>
      </c>
      <c r="AX557">
        <v>0</v>
      </c>
      <c r="AY557">
        <v>5</v>
      </c>
      <c r="AZ557">
        <v>0</v>
      </c>
      <c r="BA557">
        <v>996</v>
      </c>
      <c r="BB557">
        <v>4</v>
      </c>
      <c r="BC557">
        <v>0</v>
      </c>
      <c r="BD557">
        <v>1</v>
      </c>
      <c r="BE557">
        <v>2</v>
      </c>
      <c r="BF557">
        <v>7</v>
      </c>
      <c r="BG557">
        <v>17</v>
      </c>
      <c r="BH557">
        <v>0</v>
      </c>
      <c r="BI557">
        <v>1</v>
      </c>
      <c r="BJ557">
        <v>0</v>
      </c>
      <c r="BK557">
        <v>5</v>
      </c>
      <c r="BL557">
        <v>948</v>
      </c>
      <c r="BM557">
        <v>0</v>
      </c>
      <c r="BN557">
        <v>39</v>
      </c>
      <c r="BO557">
        <v>0</v>
      </c>
      <c r="BP557">
        <v>6</v>
      </c>
      <c r="BQ557">
        <v>11</v>
      </c>
      <c r="BR557">
        <v>0</v>
      </c>
      <c r="BS557">
        <v>0</v>
      </c>
      <c r="BT557">
        <v>1</v>
      </c>
      <c r="BU557">
        <v>6</v>
      </c>
      <c r="BV557">
        <v>0</v>
      </c>
      <c r="BW557">
        <v>939</v>
      </c>
      <c r="BX557">
        <v>2</v>
      </c>
      <c r="BY557">
        <v>5</v>
      </c>
      <c r="BZ557">
        <v>8</v>
      </c>
      <c r="CA557">
        <v>12</v>
      </c>
      <c r="CB557">
        <v>9</v>
      </c>
      <c r="CC557">
        <v>1</v>
      </c>
      <c r="CD557">
        <v>0</v>
      </c>
      <c r="CE557">
        <v>0</v>
      </c>
      <c r="CF557">
        <v>1</v>
      </c>
      <c r="CG557">
        <v>0</v>
      </c>
      <c r="CH557">
        <v>887</v>
      </c>
      <c r="CI557">
        <v>1</v>
      </c>
      <c r="CJ557">
        <v>0</v>
      </c>
      <c r="CK557">
        <v>2</v>
      </c>
      <c r="CL557">
        <v>0</v>
      </c>
      <c r="CM557">
        <v>7</v>
      </c>
      <c r="CN557">
        <v>3</v>
      </c>
      <c r="CO557">
        <v>1</v>
      </c>
      <c r="CP557">
        <v>0</v>
      </c>
      <c r="CQ557">
        <v>24</v>
      </c>
      <c r="CR557">
        <v>10</v>
      </c>
      <c r="CS557">
        <v>907</v>
      </c>
      <c r="CT557">
        <v>0</v>
      </c>
      <c r="CU557">
        <v>6</v>
      </c>
      <c r="CV557">
        <v>0</v>
      </c>
      <c r="CW557">
        <v>1</v>
      </c>
      <c r="CX557">
        <v>4</v>
      </c>
      <c r="CY557">
        <v>12</v>
      </c>
      <c r="CZ557">
        <v>0</v>
      </c>
      <c r="DA557">
        <v>0</v>
      </c>
      <c r="DB557">
        <v>0</v>
      </c>
      <c r="DC557">
        <v>0</v>
      </c>
      <c r="DD557">
        <v>1006</v>
      </c>
      <c r="DE557">
        <v>5</v>
      </c>
      <c r="DF557">
        <v>0</v>
      </c>
      <c r="DG557">
        <v>1</v>
      </c>
      <c r="DH557">
        <v>0</v>
      </c>
      <c r="DI557">
        <v>1</v>
      </c>
      <c r="DJ557">
        <v>1</v>
      </c>
      <c r="DK557">
        <v>0</v>
      </c>
      <c r="DL557">
        <v>1</v>
      </c>
      <c r="DM557">
        <v>0</v>
      </c>
      <c r="DN557">
        <v>2</v>
      </c>
      <c r="DO557">
        <v>968</v>
      </c>
      <c r="DP557">
        <v>0</v>
      </c>
      <c r="DQ557">
        <v>3</v>
      </c>
      <c r="DR557">
        <v>3</v>
      </c>
      <c r="DS557">
        <v>1</v>
      </c>
      <c r="DT557">
        <v>6</v>
      </c>
      <c r="DU557">
        <v>9</v>
      </c>
      <c r="DV557">
        <v>34</v>
      </c>
      <c r="DW557">
        <v>1</v>
      </c>
      <c r="DX557">
        <v>29</v>
      </c>
      <c r="DY557">
        <v>32</v>
      </c>
      <c r="DZ557">
        <v>891</v>
      </c>
      <c r="EA557">
        <v>0.96099999999999997</v>
      </c>
      <c r="EB557">
        <v>0.96152226181347</v>
      </c>
      <c r="EC557">
        <v>0.96114200827662399</v>
      </c>
      <c r="ED557">
        <v>0.96048297720362197</v>
      </c>
      <c r="EE557">
        <f>SUM(Table1[[#This Row],[ratio_0]:[ratio_9]])</f>
        <v>370</v>
      </c>
      <c r="EF557" s="1">
        <f>(Table1[[#This Row],[predicted_0]]-Table1[[#This Row],[actual_0]])/Table1[[#This Row],[actual_0]]</f>
        <v>-8.1632653061224497E-3</v>
      </c>
      <c r="EG557" s="1">
        <f>(Table1[[#This Row],[predicted_1]]-Table1[[#This Row],[actual_1]])/Table1[[#This Row],[actual_1]]</f>
        <v>-7.9295154185022032E-3</v>
      </c>
      <c r="EH557" s="1">
        <f>(Table1[[#This Row],[predicted_2]]-Table1[[#This Row],[actual_2]])/Table1[[#This Row],[actual_2]]</f>
        <v>-7.7519379844961239E-3</v>
      </c>
      <c r="EI557" s="1">
        <f>(Table1[[#This Row],[predicted_3]]-Table1[[#This Row],[actual_3]])/Table1[[#This Row],[actual_3]]</f>
        <v>-4.6534653465346534E-2</v>
      </c>
      <c r="EJ557" s="1">
        <f>(Table1[[#This Row],[predicted_4]]-Table1[[#This Row],[actual_4]])/Table1[[#This Row],[actual_4]]</f>
        <v>-9.1649694501018328E-3</v>
      </c>
      <c r="EK557" s="1">
        <f>(Table1[[#This Row],[predicted_5]]-Table1[[#This Row],[actual_5]])/Table1[[#This Row],[actual_5]]</f>
        <v>0.10650224215246637</v>
      </c>
      <c r="EL557" s="1">
        <f>(Table1[[#This Row],[predicted_6]]-Table1[[#This Row],[actual_6]])/Table1[[#This Row],[actual_6]]</f>
        <v>-3.3402922755741124E-2</v>
      </c>
      <c r="EM557" s="1">
        <f>(Table1[[#This Row],[predicted_7]]-Table1[[#This Row],[actual_7]])/Table1[[#This Row],[actual_7]]</f>
        <v>3.3073929961089495E-2</v>
      </c>
      <c r="EN557" s="1">
        <f>(Table1[[#This Row],[predicted_8]]-Table1[[#This Row],[actual_8]])/Table1[[#This Row],[actual_8]]</f>
        <v>9.4455852156057493E-2</v>
      </c>
      <c r="EO557" s="1">
        <f>(Table1[[#This Row],[predicted_9]]-Table1[[#This Row],[actual_9]])/Table1[[#This Row],[actual_9]]</f>
        <v>-0.10703666997026759</v>
      </c>
      <c r="EP557" s="1">
        <f>1+(Table1[[#This Row],[error_ratio_0]]-EF$2)</f>
        <v>0.98979591836734693</v>
      </c>
      <c r="EQ557" s="1">
        <f>1+(Table1[[#This Row],[error_ratio_1]]-EG$2)</f>
        <v>0.99030837004405281</v>
      </c>
      <c r="ER557" s="1">
        <f>1+(Table1[[#This Row],[error_ratio_2]]-EH$2)</f>
        <v>0.99709302325581395</v>
      </c>
      <c r="ES557" s="1">
        <f>1+(Table1[[#This Row],[error_ratio_3]]-EI$2)</f>
        <v>0.94356435643564351</v>
      </c>
      <c r="ET557" s="1">
        <f>1+(Table1[[#This Row],[error_ratio_4]]-EJ$2)</f>
        <v>0.98981670061099791</v>
      </c>
      <c r="EU557" s="1">
        <f>1+(Table1[[#This Row],[error_ratio_5]]-EK$2)</f>
        <v>1.1053811659192825</v>
      </c>
      <c r="EV557" s="1">
        <f>1+(Table1[[#This Row],[error_ratio_6]]-EL$2)</f>
        <v>0.97286012526096033</v>
      </c>
      <c r="EW557" s="1">
        <f>1+(Table1[[#This Row],[error_ratio_7]]-EM$2)</f>
        <v>1.0311284046692606</v>
      </c>
      <c r="EX557" s="1">
        <f>1+(Table1[[#This Row],[error_ratio_8]]-EN$2)</f>
        <v>1.0975359342915811</v>
      </c>
      <c r="EY557" s="1">
        <f>1+(Table1[[#This Row],[error_ratio_9]]-EO$2)</f>
        <v>0.89692765113974238</v>
      </c>
    </row>
    <row r="558" spans="1:155" x14ac:dyDescent="0.75">
      <c r="A558">
        <v>100</v>
      </c>
      <c r="B558">
        <v>100</v>
      </c>
      <c r="C558">
        <v>100</v>
      </c>
      <c r="D558">
        <v>100</v>
      </c>
      <c r="E558">
        <v>100</v>
      </c>
      <c r="F558">
        <v>10</v>
      </c>
      <c r="G558">
        <v>10</v>
      </c>
      <c r="H558">
        <v>100</v>
      </c>
      <c r="I558">
        <v>100</v>
      </c>
      <c r="J558">
        <v>10</v>
      </c>
      <c r="K558">
        <v>997</v>
      </c>
      <c r="L558">
        <v>1146</v>
      </c>
      <c r="M558">
        <v>1021</v>
      </c>
      <c r="N558">
        <v>1005</v>
      </c>
      <c r="O558">
        <v>978</v>
      </c>
      <c r="P558">
        <v>887</v>
      </c>
      <c r="Q558">
        <v>918</v>
      </c>
      <c r="R558">
        <v>1084</v>
      </c>
      <c r="S558">
        <v>1026</v>
      </c>
      <c r="T558">
        <v>938</v>
      </c>
      <c r="U558">
        <v>980</v>
      </c>
      <c r="V558">
        <v>1135</v>
      </c>
      <c r="W558">
        <v>1032</v>
      </c>
      <c r="X558">
        <v>1010</v>
      </c>
      <c r="Y558">
        <v>982</v>
      </c>
      <c r="Z558">
        <v>892</v>
      </c>
      <c r="AA558">
        <v>958</v>
      </c>
      <c r="AB558">
        <v>1028</v>
      </c>
      <c r="AC558">
        <v>974</v>
      </c>
      <c r="AD558">
        <v>1009</v>
      </c>
      <c r="AE558">
        <v>974</v>
      </c>
      <c r="AF558">
        <v>1</v>
      </c>
      <c r="AG558">
        <v>0</v>
      </c>
      <c r="AH558">
        <v>0</v>
      </c>
      <c r="AI558">
        <v>0</v>
      </c>
      <c r="AJ558">
        <v>0</v>
      </c>
      <c r="AK558">
        <v>0</v>
      </c>
      <c r="AL558">
        <v>2</v>
      </c>
      <c r="AM558">
        <v>3</v>
      </c>
      <c r="AN558">
        <v>0</v>
      </c>
      <c r="AO558">
        <v>0</v>
      </c>
      <c r="AP558">
        <v>1128</v>
      </c>
      <c r="AQ558">
        <v>0</v>
      </c>
      <c r="AR558">
        <v>1</v>
      </c>
      <c r="AS558">
        <v>0</v>
      </c>
      <c r="AT558">
        <v>1</v>
      </c>
      <c r="AU558">
        <v>0</v>
      </c>
      <c r="AV558">
        <v>1</v>
      </c>
      <c r="AW558">
        <v>4</v>
      </c>
      <c r="AX558">
        <v>0</v>
      </c>
      <c r="AY558">
        <v>1</v>
      </c>
      <c r="AZ558">
        <v>4</v>
      </c>
      <c r="BA558">
        <v>1012</v>
      </c>
      <c r="BB558">
        <v>0</v>
      </c>
      <c r="BC558">
        <v>1</v>
      </c>
      <c r="BD558">
        <v>0</v>
      </c>
      <c r="BE558">
        <v>0</v>
      </c>
      <c r="BF558">
        <v>11</v>
      </c>
      <c r="BG558">
        <v>3</v>
      </c>
      <c r="BH558">
        <v>0</v>
      </c>
      <c r="BI558">
        <v>0</v>
      </c>
      <c r="BJ558">
        <v>0</v>
      </c>
      <c r="BK558">
        <v>1</v>
      </c>
      <c r="BL558">
        <v>987</v>
      </c>
      <c r="BM558">
        <v>0</v>
      </c>
      <c r="BN558">
        <v>7</v>
      </c>
      <c r="BO558">
        <v>0</v>
      </c>
      <c r="BP558">
        <v>7</v>
      </c>
      <c r="BQ558">
        <v>8</v>
      </c>
      <c r="BR558">
        <v>0</v>
      </c>
      <c r="BS558">
        <v>1</v>
      </c>
      <c r="BT558">
        <v>1</v>
      </c>
      <c r="BU558">
        <v>2</v>
      </c>
      <c r="BV558">
        <v>0</v>
      </c>
      <c r="BW558">
        <v>964</v>
      </c>
      <c r="BX558">
        <v>0</v>
      </c>
      <c r="BY558">
        <v>1</v>
      </c>
      <c r="BZ558">
        <v>6</v>
      </c>
      <c r="CA558">
        <v>1</v>
      </c>
      <c r="CB558">
        <v>6</v>
      </c>
      <c r="CC558">
        <v>3</v>
      </c>
      <c r="CD558">
        <v>1</v>
      </c>
      <c r="CE558">
        <v>1</v>
      </c>
      <c r="CF558">
        <v>9</v>
      </c>
      <c r="CG558">
        <v>0</v>
      </c>
      <c r="CH558">
        <v>857</v>
      </c>
      <c r="CI558">
        <v>1</v>
      </c>
      <c r="CJ558">
        <v>4</v>
      </c>
      <c r="CK558">
        <v>16</v>
      </c>
      <c r="CL558">
        <v>0</v>
      </c>
      <c r="CM558">
        <v>13</v>
      </c>
      <c r="CN558">
        <v>7</v>
      </c>
      <c r="CO558">
        <v>3</v>
      </c>
      <c r="CP558">
        <v>1</v>
      </c>
      <c r="CQ558">
        <v>4</v>
      </c>
      <c r="CR558">
        <v>4</v>
      </c>
      <c r="CS558">
        <v>916</v>
      </c>
      <c r="CT558">
        <v>0</v>
      </c>
      <c r="CU558">
        <v>10</v>
      </c>
      <c r="CV558">
        <v>0</v>
      </c>
      <c r="CW558">
        <v>1</v>
      </c>
      <c r="CX558">
        <v>2</v>
      </c>
      <c r="CY558">
        <v>1</v>
      </c>
      <c r="CZ558">
        <v>0</v>
      </c>
      <c r="DA558">
        <v>0</v>
      </c>
      <c r="DB558">
        <v>0</v>
      </c>
      <c r="DC558">
        <v>0</v>
      </c>
      <c r="DD558">
        <v>1023</v>
      </c>
      <c r="DE558">
        <v>1</v>
      </c>
      <c r="DF558">
        <v>0</v>
      </c>
      <c r="DG558">
        <v>0</v>
      </c>
      <c r="DH558">
        <v>0</v>
      </c>
      <c r="DI558">
        <v>1</v>
      </c>
      <c r="DJ558">
        <v>0</v>
      </c>
      <c r="DK558">
        <v>0</v>
      </c>
      <c r="DL558">
        <v>1</v>
      </c>
      <c r="DM558">
        <v>0</v>
      </c>
      <c r="DN558">
        <v>5</v>
      </c>
      <c r="DO558">
        <v>967</v>
      </c>
      <c r="DP558">
        <v>0</v>
      </c>
      <c r="DQ558">
        <v>4</v>
      </c>
      <c r="DR558">
        <v>2</v>
      </c>
      <c r="DS558">
        <v>0</v>
      </c>
      <c r="DT558">
        <v>7</v>
      </c>
      <c r="DU558">
        <v>9</v>
      </c>
      <c r="DV558">
        <v>17</v>
      </c>
      <c r="DW558">
        <v>0</v>
      </c>
      <c r="DX558">
        <v>25</v>
      </c>
      <c r="DY558">
        <v>13</v>
      </c>
      <c r="DZ558">
        <v>932</v>
      </c>
      <c r="EA558">
        <v>0.97599999999999998</v>
      </c>
      <c r="EB558">
        <v>0.97640086773170498</v>
      </c>
      <c r="EC558">
        <v>0.97557852318583504</v>
      </c>
      <c r="ED558">
        <v>0.97567003849130995</v>
      </c>
      <c r="EE558">
        <f>SUM(Table1[[#This Row],[ratio_0]:[ratio_9]])</f>
        <v>730</v>
      </c>
      <c r="EF558" s="1">
        <f>(Table1[[#This Row],[predicted_0]]-Table1[[#This Row],[actual_0]])/Table1[[#This Row],[actual_0]]</f>
        <v>1.7346938775510204E-2</v>
      </c>
      <c r="EG558" s="1">
        <f>(Table1[[#This Row],[predicted_1]]-Table1[[#This Row],[actual_1]])/Table1[[#This Row],[actual_1]]</f>
        <v>9.6916299559471359E-3</v>
      </c>
      <c r="EH558" s="1">
        <f>(Table1[[#This Row],[predicted_2]]-Table1[[#This Row],[actual_2]])/Table1[[#This Row],[actual_2]]</f>
        <v>-1.065891472868217E-2</v>
      </c>
      <c r="EI558" s="1">
        <f>(Table1[[#This Row],[predicted_3]]-Table1[[#This Row],[actual_3]])/Table1[[#This Row],[actual_3]]</f>
        <v>-4.9504950495049506E-3</v>
      </c>
      <c r="EJ558" s="1">
        <f>(Table1[[#This Row],[predicted_4]]-Table1[[#This Row],[actual_4]])/Table1[[#This Row],[actual_4]]</f>
        <v>-4.0733197556008143E-3</v>
      </c>
      <c r="EK558" s="1">
        <f>(Table1[[#This Row],[predicted_5]]-Table1[[#This Row],[actual_5]])/Table1[[#This Row],[actual_5]]</f>
        <v>-5.6053811659192822E-3</v>
      </c>
      <c r="EL558" s="1">
        <f>(Table1[[#This Row],[predicted_6]]-Table1[[#This Row],[actual_6]])/Table1[[#This Row],[actual_6]]</f>
        <v>-4.1753653444676408E-2</v>
      </c>
      <c r="EM558" s="1">
        <f>(Table1[[#This Row],[predicted_7]]-Table1[[#This Row],[actual_7]])/Table1[[#This Row],[actual_7]]</f>
        <v>5.4474708171206226E-2</v>
      </c>
      <c r="EN558" s="1">
        <f>(Table1[[#This Row],[predicted_8]]-Table1[[#This Row],[actual_8]])/Table1[[#This Row],[actual_8]]</f>
        <v>5.3388090349075976E-2</v>
      </c>
      <c r="EO558" s="1">
        <f>(Table1[[#This Row],[predicted_9]]-Table1[[#This Row],[actual_9]])/Table1[[#This Row],[actual_9]]</f>
        <v>-7.0366699702675922E-2</v>
      </c>
      <c r="EP558" s="1">
        <f>1+(Table1[[#This Row],[error_ratio_0]]-EF$2)</f>
        <v>1.0153061224489797</v>
      </c>
      <c r="EQ558" s="1">
        <f>1+(Table1[[#This Row],[error_ratio_1]]-EG$2)</f>
        <v>1.0079295154185022</v>
      </c>
      <c r="ER558" s="1">
        <f>1+(Table1[[#This Row],[error_ratio_2]]-EH$2)</f>
        <v>0.9941860465116279</v>
      </c>
      <c r="ES558" s="1">
        <f>1+(Table1[[#This Row],[error_ratio_3]]-EI$2)</f>
        <v>0.98514851485148514</v>
      </c>
      <c r="ET558" s="1">
        <f>1+(Table1[[#This Row],[error_ratio_4]]-EJ$2)</f>
        <v>0.99490835030549896</v>
      </c>
      <c r="EU558" s="1">
        <f>1+(Table1[[#This Row],[error_ratio_5]]-EK$2)</f>
        <v>0.99327354260089684</v>
      </c>
      <c r="EV558" s="1">
        <f>1+(Table1[[#This Row],[error_ratio_6]]-EL$2)</f>
        <v>0.964509394572025</v>
      </c>
      <c r="EW558" s="1">
        <f>1+(Table1[[#This Row],[error_ratio_7]]-EM$2)</f>
        <v>1.0525291828793775</v>
      </c>
      <c r="EX558" s="1">
        <f>1+(Table1[[#This Row],[error_ratio_8]]-EN$2)</f>
        <v>1.0564681724845997</v>
      </c>
      <c r="EY558" s="1">
        <f>1+(Table1[[#This Row],[error_ratio_9]]-EO$2)</f>
        <v>0.93359762140733404</v>
      </c>
    </row>
    <row r="559" spans="1:155" x14ac:dyDescent="0.75">
      <c r="A559">
        <v>100</v>
      </c>
      <c r="B559">
        <v>10</v>
      </c>
      <c r="C559">
        <v>100</v>
      </c>
      <c r="D559">
        <v>100</v>
      </c>
      <c r="E559">
        <v>100</v>
      </c>
      <c r="F559">
        <v>10</v>
      </c>
      <c r="G559">
        <v>10</v>
      </c>
      <c r="H559">
        <v>100</v>
      </c>
      <c r="I559">
        <v>100</v>
      </c>
      <c r="J559">
        <v>10</v>
      </c>
      <c r="K559">
        <v>1010</v>
      </c>
      <c r="L559">
        <v>1127</v>
      </c>
      <c r="M559">
        <v>1046</v>
      </c>
      <c r="N559">
        <v>1041</v>
      </c>
      <c r="O559">
        <v>995</v>
      </c>
      <c r="P559">
        <v>870</v>
      </c>
      <c r="Q559">
        <v>899</v>
      </c>
      <c r="R559">
        <v>1035</v>
      </c>
      <c r="S559">
        <v>1046</v>
      </c>
      <c r="T559">
        <v>931</v>
      </c>
      <c r="U559">
        <v>980</v>
      </c>
      <c r="V559">
        <v>1135</v>
      </c>
      <c r="W559">
        <v>1032</v>
      </c>
      <c r="X559">
        <v>1010</v>
      </c>
      <c r="Y559">
        <v>982</v>
      </c>
      <c r="Z559">
        <v>892</v>
      </c>
      <c r="AA559">
        <v>958</v>
      </c>
      <c r="AB559">
        <v>1028</v>
      </c>
      <c r="AC559">
        <v>974</v>
      </c>
      <c r="AD559">
        <v>1009</v>
      </c>
      <c r="AE559">
        <v>976</v>
      </c>
      <c r="AF559">
        <v>0</v>
      </c>
      <c r="AG559">
        <v>0</v>
      </c>
      <c r="AH559">
        <v>0</v>
      </c>
      <c r="AI559">
        <v>0</v>
      </c>
      <c r="AJ559">
        <v>0</v>
      </c>
      <c r="AK559">
        <v>0</v>
      </c>
      <c r="AL559">
        <v>1</v>
      </c>
      <c r="AM559">
        <v>3</v>
      </c>
      <c r="AN559">
        <v>0</v>
      </c>
      <c r="AO559">
        <v>0</v>
      </c>
      <c r="AP559">
        <v>1120</v>
      </c>
      <c r="AQ559">
        <v>5</v>
      </c>
      <c r="AR559">
        <v>6</v>
      </c>
      <c r="AS559">
        <v>0</v>
      </c>
      <c r="AT559">
        <v>0</v>
      </c>
      <c r="AU559">
        <v>0</v>
      </c>
      <c r="AV559">
        <v>2</v>
      </c>
      <c r="AW559">
        <v>2</v>
      </c>
      <c r="AX559">
        <v>0</v>
      </c>
      <c r="AY559">
        <v>1</v>
      </c>
      <c r="AZ559">
        <v>0</v>
      </c>
      <c r="BA559">
        <v>1019</v>
      </c>
      <c r="BB559">
        <v>4</v>
      </c>
      <c r="BC559">
        <v>1</v>
      </c>
      <c r="BD559">
        <v>0</v>
      </c>
      <c r="BE559">
        <v>0</v>
      </c>
      <c r="BF559">
        <v>3</v>
      </c>
      <c r="BG559">
        <v>4</v>
      </c>
      <c r="BH559">
        <v>0</v>
      </c>
      <c r="BI559">
        <v>0</v>
      </c>
      <c r="BJ559">
        <v>0</v>
      </c>
      <c r="BK559">
        <v>1</v>
      </c>
      <c r="BL559">
        <v>999</v>
      </c>
      <c r="BM559">
        <v>0</v>
      </c>
      <c r="BN559">
        <v>3</v>
      </c>
      <c r="BO559">
        <v>0</v>
      </c>
      <c r="BP559">
        <v>2</v>
      </c>
      <c r="BQ559">
        <v>5</v>
      </c>
      <c r="BR559">
        <v>0</v>
      </c>
      <c r="BS559">
        <v>0</v>
      </c>
      <c r="BT559">
        <v>1</v>
      </c>
      <c r="BU559">
        <v>5</v>
      </c>
      <c r="BV559">
        <v>0</v>
      </c>
      <c r="BW559">
        <v>964</v>
      </c>
      <c r="BX559">
        <v>0</v>
      </c>
      <c r="BY559">
        <v>0</v>
      </c>
      <c r="BZ559">
        <v>4</v>
      </c>
      <c r="CA559">
        <v>5</v>
      </c>
      <c r="CB559">
        <v>3</v>
      </c>
      <c r="CC559">
        <v>3</v>
      </c>
      <c r="CD559">
        <v>0</v>
      </c>
      <c r="CE559">
        <v>1</v>
      </c>
      <c r="CF559">
        <v>21</v>
      </c>
      <c r="CG559">
        <v>0</v>
      </c>
      <c r="CH559">
        <v>839</v>
      </c>
      <c r="CI559">
        <v>1</v>
      </c>
      <c r="CJ559">
        <v>1</v>
      </c>
      <c r="CK559">
        <v>25</v>
      </c>
      <c r="CL559">
        <v>1</v>
      </c>
      <c r="CM559">
        <v>15</v>
      </c>
      <c r="CN559">
        <v>4</v>
      </c>
      <c r="CO559">
        <v>4</v>
      </c>
      <c r="CP559">
        <v>1</v>
      </c>
      <c r="CQ559">
        <v>17</v>
      </c>
      <c r="CR559">
        <v>11</v>
      </c>
      <c r="CS559">
        <v>897</v>
      </c>
      <c r="CT559">
        <v>0</v>
      </c>
      <c r="CU559">
        <v>9</v>
      </c>
      <c r="CV559">
        <v>0</v>
      </c>
      <c r="CW559">
        <v>1</v>
      </c>
      <c r="CX559">
        <v>1</v>
      </c>
      <c r="CY559">
        <v>6</v>
      </c>
      <c r="CZ559">
        <v>0</v>
      </c>
      <c r="DA559">
        <v>0</v>
      </c>
      <c r="DB559">
        <v>0</v>
      </c>
      <c r="DC559">
        <v>0</v>
      </c>
      <c r="DD559">
        <v>1016</v>
      </c>
      <c r="DE559">
        <v>1</v>
      </c>
      <c r="DF559">
        <v>3</v>
      </c>
      <c r="DG559">
        <v>5</v>
      </c>
      <c r="DH559">
        <v>0</v>
      </c>
      <c r="DI559">
        <v>3</v>
      </c>
      <c r="DJ559">
        <v>1</v>
      </c>
      <c r="DK559">
        <v>0</v>
      </c>
      <c r="DL559">
        <v>0</v>
      </c>
      <c r="DM559">
        <v>1</v>
      </c>
      <c r="DN559">
        <v>1</v>
      </c>
      <c r="DO559">
        <v>962</v>
      </c>
      <c r="DP559">
        <v>1</v>
      </c>
      <c r="DQ559">
        <v>9</v>
      </c>
      <c r="DR559">
        <v>1</v>
      </c>
      <c r="DS559">
        <v>2</v>
      </c>
      <c r="DT559">
        <v>9</v>
      </c>
      <c r="DU559">
        <v>13</v>
      </c>
      <c r="DV559">
        <v>17</v>
      </c>
      <c r="DW559">
        <v>0</v>
      </c>
      <c r="DX559">
        <v>5</v>
      </c>
      <c r="DY559">
        <v>30</v>
      </c>
      <c r="DZ559">
        <v>923</v>
      </c>
      <c r="EA559">
        <v>0.97150000000000003</v>
      </c>
      <c r="EB559">
        <v>0.97176980296900295</v>
      </c>
      <c r="EC559">
        <v>0.97085668350620202</v>
      </c>
      <c r="ED559">
        <v>0.97086994509496705</v>
      </c>
      <c r="EE559">
        <f>SUM(Table1[[#This Row],[ratio_0]:[ratio_9]])</f>
        <v>640</v>
      </c>
      <c r="EF559" s="1">
        <f>(Table1[[#This Row],[predicted_0]]-Table1[[#This Row],[actual_0]])/Table1[[#This Row],[actual_0]]</f>
        <v>3.0612244897959183E-2</v>
      </c>
      <c r="EG559" s="1">
        <f>(Table1[[#This Row],[predicted_1]]-Table1[[#This Row],[actual_1]])/Table1[[#This Row],[actual_1]]</f>
        <v>-7.048458149779736E-3</v>
      </c>
      <c r="EH559" s="1">
        <f>(Table1[[#This Row],[predicted_2]]-Table1[[#This Row],[actual_2]])/Table1[[#This Row],[actual_2]]</f>
        <v>1.3565891472868217E-2</v>
      </c>
      <c r="EI559" s="1">
        <f>(Table1[[#This Row],[predicted_3]]-Table1[[#This Row],[actual_3]])/Table1[[#This Row],[actual_3]]</f>
        <v>3.0693069306930693E-2</v>
      </c>
      <c r="EJ559" s="1">
        <f>(Table1[[#This Row],[predicted_4]]-Table1[[#This Row],[actual_4]])/Table1[[#This Row],[actual_4]]</f>
        <v>1.3238289205702648E-2</v>
      </c>
      <c r="EK559" s="1">
        <f>(Table1[[#This Row],[predicted_5]]-Table1[[#This Row],[actual_5]])/Table1[[#This Row],[actual_5]]</f>
        <v>-2.4663677130044841E-2</v>
      </c>
      <c r="EL559" s="1">
        <f>(Table1[[#This Row],[predicted_6]]-Table1[[#This Row],[actual_6]])/Table1[[#This Row],[actual_6]]</f>
        <v>-6.1586638830897704E-2</v>
      </c>
      <c r="EM559" s="1">
        <f>(Table1[[#This Row],[predicted_7]]-Table1[[#This Row],[actual_7]])/Table1[[#This Row],[actual_7]]</f>
        <v>6.8093385214007783E-3</v>
      </c>
      <c r="EN559" s="1">
        <f>(Table1[[#This Row],[predicted_8]]-Table1[[#This Row],[actual_8]])/Table1[[#This Row],[actual_8]]</f>
        <v>7.3921971252566734E-2</v>
      </c>
      <c r="EO559" s="1">
        <f>(Table1[[#This Row],[predicted_9]]-Table1[[#This Row],[actual_9]])/Table1[[#This Row],[actual_9]]</f>
        <v>-7.7304261645193259E-2</v>
      </c>
      <c r="EP559" s="1">
        <f>1+(Table1[[#This Row],[error_ratio_0]]-EF$2)</f>
        <v>1.0285714285714285</v>
      </c>
      <c r="EQ559" s="1">
        <f>1+(Table1[[#This Row],[error_ratio_1]]-EG$2)</f>
        <v>0.99118942731277537</v>
      </c>
      <c r="ER559" s="1">
        <f>1+(Table1[[#This Row],[error_ratio_2]]-EH$2)</f>
        <v>1.0184108527131783</v>
      </c>
      <c r="ES559" s="1">
        <f>1+(Table1[[#This Row],[error_ratio_3]]-EI$2)</f>
        <v>1.0207920792079208</v>
      </c>
      <c r="ET559" s="1">
        <f>1+(Table1[[#This Row],[error_ratio_4]]-EJ$2)</f>
        <v>1.0122199592668024</v>
      </c>
      <c r="EU559" s="1">
        <f>1+(Table1[[#This Row],[error_ratio_5]]-EK$2)</f>
        <v>0.97421524663677128</v>
      </c>
      <c r="EV559" s="1">
        <f>1+(Table1[[#This Row],[error_ratio_6]]-EL$2)</f>
        <v>0.94467640918580376</v>
      </c>
      <c r="EW559" s="1">
        <f>1+(Table1[[#This Row],[error_ratio_7]]-EM$2)</f>
        <v>1.004863813229572</v>
      </c>
      <c r="EX559" s="1">
        <f>1+(Table1[[#This Row],[error_ratio_8]]-EN$2)</f>
        <v>1.0770020533880904</v>
      </c>
      <c r="EY559" s="1">
        <f>1+(Table1[[#This Row],[error_ratio_9]]-EO$2)</f>
        <v>0.92666005946481667</v>
      </c>
    </row>
    <row r="560" spans="1:155" x14ac:dyDescent="0.75">
      <c r="A560">
        <v>10</v>
      </c>
      <c r="B560">
        <v>10</v>
      </c>
      <c r="C560">
        <v>100</v>
      </c>
      <c r="D560">
        <v>100</v>
      </c>
      <c r="E560">
        <v>100</v>
      </c>
      <c r="F560">
        <v>10</v>
      </c>
      <c r="G560">
        <v>10</v>
      </c>
      <c r="H560">
        <v>100</v>
      </c>
      <c r="I560">
        <v>100</v>
      </c>
      <c r="J560">
        <v>10</v>
      </c>
      <c r="K560">
        <v>984</v>
      </c>
      <c r="L560">
        <v>1078</v>
      </c>
      <c r="M560">
        <v>1021</v>
      </c>
      <c r="N560">
        <v>1049</v>
      </c>
      <c r="O560">
        <v>1143</v>
      </c>
      <c r="P560">
        <v>751</v>
      </c>
      <c r="Q560">
        <v>942</v>
      </c>
      <c r="R560">
        <v>1065</v>
      </c>
      <c r="S560">
        <v>1117</v>
      </c>
      <c r="T560">
        <v>850</v>
      </c>
      <c r="U560">
        <v>980</v>
      </c>
      <c r="V560">
        <v>1135</v>
      </c>
      <c r="W560">
        <v>1032</v>
      </c>
      <c r="X560">
        <v>1010</v>
      </c>
      <c r="Y560">
        <v>982</v>
      </c>
      <c r="Z560">
        <v>892</v>
      </c>
      <c r="AA560">
        <v>958</v>
      </c>
      <c r="AB560">
        <v>1028</v>
      </c>
      <c r="AC560">
        <v>974</v>
      </c>
      <c r="AD560">
        <v>1009</v>
      </c>
      <c r="AE560">
        <v>961</v>
      </c>
      <c r="AF560">
        <v>0</v>
      </c>
      <c r="AG560">
        <v>2</v>
      </c>
      <c r="AH560">
        <v>0</v>
      </c>
      <c r="AI560">
        <v>1</v>
      </c>
      <c r="AJ560">
        <v>0</v>
      </c>
      <c r="AK560">
        <v>3</v>
      </c>
      <c r="AL560">
        <v>1</v>
      </c>
      <c r="AM560">
        <v>12</v>
      </c>
      <c r="AN560">
        <v>0</v>
      </c>
      <c r="AO560">
        <v>0</v>
      </c>
      <c r="AP560">
        <v>1077</v>
      </c>
      <c r="AQ560">
        <v>1</v>
      </c>
      <c r="AR560">
        <v>8</v>
      </c>
      <c r="AS560">
        <v>13</v>
      </c>
      <c r="AT560">
        <v>1</v>
      </c>
      <c r="AU560">
        <v>4</v>
      </c>
      <c r="AV560">
        <v>4</v>
      </c>
      <c r="AW560">
        <v>27</v>
      </c>
      <c r="AX560">
        <v>0</v>
      </c>
      <c r="AY560">
        <v>0</v>
      </c>
      <c r="AZ560">
        <v>0</v>
      </c>
      <c r="BA560">
        <v>1008</v>
      </c>
      <c r="BB560">
        <v>2</v>
      </c>
      <c r="BC560">
        <v>3</v>
      </c>
      <c r="BD560">
        <v>0</v>
      </c>
      <c r="BE560">
        <v>1</v>
      </c>
      <c r="BF560">
        <v>10</v>
      </c>
      <c r="BG560">
        <v>8</v>
      </c>
      <c r="BH560">
        <v>0</v>
      </c>
      <c r="BI560">
        <v>0</v>
      </c>
      <c r="BJ560">
        <v>0</v>
      </c>
      <c r="BK560">
        <v>1</v>
      </c>
      <c r="BL560">
        <v>990</v>
      </c>
      <c r="BM560">
        <v>0</v>
      </c>
      <c r="BN560">
        <v>0</v>
      </c>
      <c r="BO560">
        <v>0</v>
      </c>
      <c r="BP560">
        <v>5</v>
      </c>
      <c r="BQ560">
        <v>14</v>
      </c>
      <c r="BR560">
        <v>0</v>
      </c>
      <c r="BS560">
        <v>0</v>
      </c>
      <c r="BT560">
        <v>0</v>
      </c>
      <c r="BU560">
        <v>1</v>
      </c>
      <c r="BV560">
        <v>0</v>
      </c>
      <c r="BW560">
        <v>975</v>
      </c>
      <c r="BX560">
        <v>0</v>
      </c>
      <c r="BY560">
        <v>4</v>
      </c>
      <c r="BZ560">
        <v>1</v>
      </c>
      <c r="CA560">
        <v>0</v>
      </c>
      <c r="CB560">
        <v>1</v>
      </c>
      <c r="CC560">
        <v>10</v>
      </c>
      <c r="CD560">
        <v>0</v>
      </c>
      <c r="CE560">
        <v>1</v>
      </c>
      <c r="CF560">
        <v>45</v>
      </c>
      <c r="CG560">
        <v>0</v>
      </c>
      <c r="CH560">
        <v>748</v>
      </c>
      <c r="CI560">
        <v>11</v>
      </c>
      <c r="CJ560">
        <v>4</v>
      </c>
      <c r="CK560">
        <v>72</v>
      </c>
      <c r="CL560">
        <v>1</v>
      </c>
      <c r="CM560">
        <v>8</v>
      </c>
      <c r="CN560">
        <v>1</v>
      </c>
      <c r="CO560">
        <v>0</v>
      </c>
      <c r="CP560">
        <v>0</v>
      </c>
      <c r="CQ560">
        <v>20</v>
      </c>
      <c r="CR560">
        <v>1</v>
      </c>
      <c r="CS560">
        <v>918</v>
      </c>
      <c r="CT560">
        <v>0</v>
      </c>
      <c r="CU560">
        <v>10</v>
      </c>
      <c r="CV560">
        <v>0</v>
      </c>
      <c r="CW560">
        <v>0</v>
      </c>
      <c r="CX560">
        <v>0</v>
      </c>
      <c r="CY560">
        <v>5</v>
      </c>
      <c r="CZ560">
        <v>0</v>
      </c>
      <c r="DA560">
        <v>8</v>
      </c>
      <c r="DB560">
        <v>0</v>
      </c>
      <c r="DC560">
        <v>0</v>
      </c>
      <c r="DD560">
        <v>1014</v>
      </c>
      <c r="DE560">
        <v>1</v>
      </c>
      <c r="DF560">
        <v>0</v>
      </c>
      <c r="DG560">
        <v>1</v>
      </c>
      <c r="DH560">
        <v>0</v>
      </c>
      <c r="DI560">
        <v>1</v>
      </c>
      <c r="DJ560">
        <v>0</v>
      </c>
      <c r="DK560">
        <v>4</v>
      </c>
      <c r="DL560">
        <v>0</v>
      </c>
      <c r="DM560">
        <v>0</v>
      </c>
      <c r="DN560">
        <v>5</v>
      </c>
      <c r="DO560">
        <v>959</v>
      </c>
      <c r="DP560">
        <v>4</v>
      </c>
      <c r="DQ560">
        <v>4</v>
      </c>
      <c r="DR560">
        <v>0</v>
      </c>
      <c r="DS560">
        <v>1</v>
      </c>
      <c r="DT560">
        <v>4</v>
      </c>
      <c r="DU560">
        <v>119</v>
      </c>
      <c r="DV560">
        <v>1</v>
      </c>
      <c r="DW560">
        <v>1</v>
      </c>
      <c r="DX560">
        <v>21</v>
      </c>
      <c r="DY560">
        <v>14</v>
      </c>
      <c r="DZ560">
        <v>844</v>
      </c>
      <c r="EA560">
        <v>0.94940000000000002</v>
      </c>
      <c r="EB560">
        <v>0.95338712465637698</v>
      </c>
      <c r="EC560">
        <v>0.94835888550567604</v>
      </c>
      <c r="ED560">
        <v>0.94842798789835603</v>
      </c>
      <c r="EE560">
        <f>SUM(Table1[[#This Row],[ratio_0]:[ratio_9]])</f>
        <v>550</v>
      </c>
      <c r="EF560" s="1">
        <f>(Table1[[#This Row],[predicted_0]]-Table1[[#This Row],[actual_0]])/Table1[[#This Row],[actual_0]]</f>
        <v>4.0816326530612249E-3</v>
      </c>
      <c r="EG560" s="1">
        <f>(Table1[[#This Row],[predicted_1]]-Table1[[#This Row],[actual_1]])/Table1[[#This Row],[actual_1]]</f>
        <v>-5.0220264317180616E-2</v>
      </c>
      <c r="EH560" s="1">
        <f>(Table1[[#This Row],[predicted_2]]-Table1[[#This Row],[actual_2]])/Table1[[#This Row],[actual_2]]</f>
        <v>-1.065891472868217E-2</v>
      </c>
      <c r="EI560" s="1">
        <f>(Table1[[#This Row],[predicted_3]]-Table1[[#This Row],[actual_3]])/Table1[[#This Row],[actual_3]]</f>
        <v>3.8613861386138613E-2</v>
      </c>
      <c r="EJ560" s="1">
        <f>(Table1[[#This Row],[predicted_4]]-Table1[[#This Row],[actual_4]])/Table1[[#This Row],[actual_4]]</f>
        <v>0.16395112016293278</v>
      </c>
      <c r="EK560" s="1">
        <f>(Table1[[#This Row],[predicted_5]]-Table1[[#This Row],[actual_5]])/Table1[[#This Row],[actual_5]]</f>
        <v>-0.15807174887892378</v>
      </c>
      <c r="EL560" s="1">
        <f>(Table1[[#This Row],[predicted_6]]-Table1[[#This Row],[actual_6]])/Table1[[#This Row],[actual_6]]</f>
        <v>-1.6701461377870562E-2</v>
      </c>
      <c r="EM560" s="1">
        <f>(Table1[[#This Row],[predicted_7]]-Table1[[#This Row],[actual_7]])/Table1[[#This Row],[actual_7]]</f>
        <v>3.5992217898832682E-2</v>
      </c>
      <c r="EN560" s="1">
        <f>(Table1[[#This Row],[predicted_8]]-Table1[[#This Row],[actual_8]])/Table1[[#This Row],[actual_8]]</f>
        <v>0.14681724845995894</v>
      </c>
      <c r="EO560" s="1">
        <f>(Table1[[#This Row],[predicted_9]]-Table1[[#This Row],[actual_9]])/Table1[[#This Row],[actual_9]]</f>
        <v>-0.15758176412289396</v>
      </c>
      <c r="EP560" s="1">
        <f>1+(Table1[[#This Row],[error_ratio_0]]-EF$2)</f>
        <v>1.0020408163265306</v>
      </c>
      <c r="EQ560" s="1">
        <f>1+(Table1[[#This Row],[error_ratio_1]]-EG$2)</f>
        <v>0.94801762114537447</v>
      </c>
      <c r="ER560" s="1">
        <f>1+(Table1[[#This Row],[error_ratio_2]]-EH$2)</f>
        <v>0.9941860465116279</v>
      </c>
      <c r="ES560" s="1">
        <f>1+(Table1[[#This Row],[error_ratio_3]]-EI$2)</f>
        <v>1.0287128712871287</v>
      </c>
      <c r="ET560" s="1">
        <f>1+(Table1[[#This Row],[error_ratio_4]]-EJ$2)</f>
        <v>1.1629327902240325</v>
      </c>
      <c r="EU560" s="1">
        <f>1+(Table1[[#This Row],[error_ratio_5]]-EK$2)</f>
        <v>0.84080717488789236</v>
      </c>
      <c r="EV560" s="1">
        <f>1+(Table1[[#This Row],[error_ratio_6]]-EL$2)</f>
        <v>0.98956158663883087</v>
      </c>
      <c r="EW560" s="1">
        <f>1+(Table1[[#This Row],[error_ratio_7]]-EM$2)</f>
        <v>1.034046692607004</v>
      </c>
      <c r="EX560" s="1">
        <f>1+(Table1[[#This Row],[error_ratio_8]]-EN$2)</f>
        <v>1.1498973305954825</v>
      </c>
      <c r="EY560" s="1">
        <f>1+(Table1[[#This Row],[error_ratio_9]]-EO$2)</f>
        <v>0.84638255698711595</v>
      </c>
    </row>
    <row r="561" spans="1:155" x14ac:dyDescent="0.75">
      <c r="A561">
        <v>100</v>
      </c>
      <c r="B561">
        <v>100</v>
      </c>
      <c r="C561">
        <v>10</v>
      </c>
      <c r="D561">
        <v>100</v>
      </c>
      <c r="E561">
        <v>100</v>
      </c>
      <c r="F561">
        <v>10</v>
      </c>
      <c r="G561">
        <v>10</v>
      </c>
      <c r="H561">
        <v>100</v>
      </c>
      <c r="I561">
        <v>100</v>
      </c>
      <c r="J561">
        <v>10</v>
      </c>
      <c r="K561">
        <v>1009</v>
      </c>
      <c r="L561">
        <v>1148</v>
      </c>
      <c r="M561">
        <v>950</v>
      </c>
      <c r="N561">
        <v>1132</v>
      </c>
      <c r="O561">
        <v>999</v>
      </c>
      <c r="P561">
        <v>766</v>
      </c>
      <c r="Q561">
        <v>915</v>
      </c>
      <c r="R561">
        <v>1034</v>
      </c>
      <c r="S561">
        <v>1115</v>
      </c>
      <c r="T561">
        <v>932</v>
      </c>
      <c r="U561">
        <v>980</v>
      </c>
      <c r="V561">
        <v>1135</v>
      </c>
      <c r="W561">
        <v>1032</v>
      </c>
      <c r="X561">
        <v>1010</v>
      </c>
      <c r="Y561">
        <v>982</v>
      </c>
      <c r="Z561">
        <v>892</v>
      </c>
      <c r="AA561">
        <v>958</v>
      </c>
      <c r="AB561">
        <v>1028</v>
      </c>
      <c r="AC561">
        <v>974</v>
      </c>
      <c r="AD561">
        <v>1009</v>
      </c>
      <c r="AE561">
        <v>974</v>
      </c>
      <c r="AF561">
        <v>0</v>
      </c>
      <c r="AG561">
        <v>0</v>
      </c>
      <c r="AH561">
        <v>0</v>
      </c>
      <c r="AI561">
        <v>0</v>
      </c>
      <c r="AJ561">
        <v>0</v>
      </c>
      <c r="AK561">
        <v>0</v>
      </c>
      <c r="AL561">
        <v>1</v>
      </c>
      <c r="AM561">
        <v>5</v>
      </c>
      <c r="AN561">
        <v>0</v>
      </c>
      <c r="AO561">
        <v>0</v>
      </c>
      <c r="AP561">
        <v>1129</v>
      </c>
      <c r="AQ561">
        <v>0</v>
      </c>
      <c r="AR561">
        <v>1</v>
      </c>
      <c r="AS561">
        <v>0</v>
      </c>
      <c r="AT561">
        <v>0</v>
      </c>
      <c r="AU561">
        <v>0</v>
      </c>
      <c r="AV561">
        <v>1</v>
      </c>
      <c r="AW561">
        <v>4</v>
      </c>
      <c r="AX561">
        <v>0</v>
      </c>
      <c r="AY561">
        <v>9</v>
      </c>
      <c r="AZ561">
        <v>3</v>
      </c>
      <c r="BA561">
        <v>946</v>
      </c>
      <c r="BB561">
        <v>27</v>
      </c>
      <c r="BC561">
        <v>3</v>
      </c>
      <c r="BD561">
        <v>0</v>
      </c>
      <c r="BE561">
        <v>2</v>
      </c>
      <c r="BF561">
        <v>9</v>
      </c>
      <c r="BG561">
        <v>33</v>
      </c>
      <c r="BH561">
        <v>0</v>
      </c>
      <c r="BI561">
        <v>0</v>
      </c>
      <c r="BJ561">
        <v>0</v>
      </c>
      <c r="BK561">
        <v>1</v>
      </c>
      <c r="BL561">
        <v>1007</v>
      </c>
      <c r="BM561">
        <v>0</v>
      </c>
      <c r="BN561">
        <v>0</v>
      </c>
      <c r="BO561">
        <v>0</v>
      </c>
      <c r="BP561">
        <v>1</v>
      </c>
      <c r="BQ561">
        <v>1</v>
      </c>
      <c r="BR561">
        <v>0</v>
      </c>
      <c r="BS561">
        <v>1</v>
      </c>
      <c r="BT561">
        <v>2</v>
      </c>
      <c r="BU561">
        <v>0</v>
      </c>
      <c r="BV561">
        <v>0</v>
      </c>
      <c r="BW561">
        <v>975</v>
      </c>
      <c r="BX561">
        <v>0</v>
      </c>
      <c r="BY561">
        <v>1</v>
      </c>
      <c r="BZ561">
        <v>1</v>
      </c>
      <c r="CA561">
        <v>1</v>
      </c>
      <c r="CB561">
        <v>1</v>
      </c>
      <c r="CC561">
        <v>5</v>
      </c>
      <c r="CD561">
        <v>1</v>
      </c>
      <c r="CE561">
        <v>0</v>
      </c>
      <c r="CF561">
        <v>69</v>
      </c>
      <c r="CG561">
        <v>0</v>
      </c>
      <c r="CH561">
        <v>764</v>
      </c>
      <c r="CI561">
        <v>4</v>
      </c>
      <c r="CJ561">
        <v>1</v>
      </c>
      <c r="CK561">
        <v>48</v>
      </c>
      <c r="CL561">
        <v>0</v>
      </c>
      <c r="CM561">
        <v>12</v>
      </c>
      <c r="CN561">
        <v>2</v>
      </c>
      <c r="CO561">
        <v>0</v>
      </c>
      <c r="CP561">
        <v>1</v>
      </c>
      <c r="CQ561">
        <v>8</v>
      </c>
      <c r="CR561">
        <v>0</v>
      </c>
      <c r="CS561">
        <v>908</v>
      </c>
      <c r="CT561">
        <v>0</v>
      </c>
      <c r="CU561">
        <v>27</v>
      </c>
      <c r="CV561">
        <v>0</v>
      </c>
      <c r="CW561">
        <v>1</v>
      </c>
      <c r="CX561">
        <v>6</v>
      </c>
      <c r="CY561">
        <v>3</v>
      </c>
      <c r="CZ561">
        <v>2</v>
      </c>
      <c r="DA561">
        <v>0</v>
      </c>
      <c r="DB561">
        <v>0</v>
      </c>
      <c r="DC561">
        <v>0</v>
      </c>
      <c r="DD561">
        <v>1011</v>
      </c>
      <c r="DE561">
        <v>2</v>
      </c>
      <c r="DF561">
        <v>3</v>
      </c>
      <c r="DG561">
        <v>0</v>
      </c>
      <c r="DH561">
        <v>0</v>
      </c>
      <c r="DI561">
        <v>0</v>
      </c>
      <c r="DJ561">
        <v>0</v>
      </c>
      <c r="DK561">
        <v>0</v>
      </c>
      <c r="DL561">
        <v>0</v>
      </c>
      <c r="DM561">
        <v>0</v>
      </c>
      <c r="DN561">
        <v>1</v>
      </c>
      <c r="DO561">
        <v>973</v>
      </c>
      <c r="DP561">
        <v>0</v>
      </c>
      <c r="DQ561">
        <v>7</v>
      </c>
      <c r="DR561">
        <v>5</v>
      </c>
      <c r="DS561">
        <v>0</v>
      </c>
      <c r="DT561">
        <v>25</v>
      </c>
      <c r="DU561">
        <v>13</v>
      </c>
      <c r="DV561">
        <v>2</v>
      </c>
      <c r="DW561">
        <v>0</v>
      </c>
      <c r="DX561">
        <v>8</v>
      </c>
      <c r="DY561">
        <v>21</v>
      </c>
      <c r="DZ561">
        <v>928</v>
      </c>
      <c r="EA561">
        <v>0.96150000000000002</v>
      </c>
      <c r="EB561">
        <v>0.96459520304331503</v>
      </c>
      <c r="EC561">
        <v>0.96016282813159304</v>
      </c>
      <c r="ED561">
        <v>0.960713705705322</v>
      </c>
      <c r="EE561">
        <f>SUM(Table1[[#This Row],[ratio_0]:[ratio_9]])</f>
        <v>640</v>
      </c>
      <c r="EF561" s="1">
        <f>(Table1[[#This Row],[predicted_0]]-Table1[[#This Row],[actual_0]])/Table1[[#This Row],[actual_0]]</f>
        <v>2.9591836734693878E-2</v>
      </c>
      <c r="EG561" s="1">
        <f>(Table1[[#This Row],[predicted_1]]-Table1[[#This Row],[actual_1]])/Table1[[#This Row],[actual_1]]</f>
        <v>1.145374449339207E-2</v>
      </c>
      <c r="EH561" s="1">
        <f>(Table1[[#This Row],[predicted_2]]-Table1[[#This Row],[actual_2]])/Table1[[#This Row],[actual_2]]</f>
        <v>-7.9457364341085274E-2</v>
      </c>
      <c r="EI561" s="1">
        <f>(Table1[[#This Row],[predicted_3]]-Table1[[#This Row],[actual_3]])/Table1[[#This Row],[actual_3]]</f>
        <v>0.12079207920792079</v>
      </c>
      <c r="EJ561" s="1">
        <f>(Table1[[#This Row],[predicted_4]]-Table1[[#This Row],[actual_4]])/Table1[[#This Row],[actual_4]]</f>
        <v>1.7311608961303463E-2</v>
      </c>
      <c r="EK561" s="1">
        <f>(Table1[[#This Row],[predicted_5]]-Table1[[#This Row],[actual_5]])/Table1[[#This Row],[actual_5]]</f>
        <v>-0.14125560538116591</v>
      </c>
      <c r="EL561" s="1">
        <f>(Table1[[#This Row],[predicted_6]]-Table1[[#This Row],[actual_6]])/Table1[[#This Row],[actual_6]]</f>
        <v>-4.4885177453027142E-2</v>
      </c>
      <c r="EM561" s="1">
        <f>(Table1[[#This Row],[predicted_7]]-Table1[[#This Row],[actual_7]])/Table1[[#This Row],[actual_7]]</f>
        <v>5.8365758754863814E-3</v>
      </c>
      <c r="EN561" s="1">
        <f>(Table1[[#This Row],[predicted_8]]-Table1[[#This Row],[actual_8]])/Table1[[#This Row],[actual_8]]</f>
        <v>0.14476386036960986</v>
      </c>
      <c r="EO561" s="1">
        <f>(Table1[[#This Row],[predicted_9]]-Table1[[#This Row],[actual_9]])/Table1[[#This Row],[actual_9]]</f>
        <v>-7.6313181367690788E-2</v>
      </c>
      <c r="EP561" s="1">
        <f>1+(Table1[[#This Row],[error_ratio_0]]-EF$2)</f>
        <v>1.0275510204081633</v>
      </c>
      <c r="EQ561" s="1">
        <f>1+(Table1[[#This Row],[error_ratio_1]]-EG$2)</f>
        <v>1.0096916299559471</v>
      </c>
      <c r="ER561" s="1">
        <f>1+(Table1[[#This Row],[error_ratio_2]]-EH$2)</f>
        <v>0.92538759689922478</v>
      </c>
      <c r="ES561" s="1">
        <f>1+(Table1[[#This Row],[error_ratio_3]]-EI$2)</f>
        <v>1.110891089108911</v>
      </c>
      <c r="ET561" s="1">
        <f>1+(Table1[[#This Row],[error_ratio_4]]-EJ$2)</f>
        <v>1.0162932790224033</v>
      </c>
      <c r="EU561" s="1">
        <f>1+(Table1[[#This Row],[error_ratio_5]]-EK$2)</f>
        <v>0.8576233183856502</v>
      </c>
      <c r="EV561" s="1">
        <f>1+(Table1[[#This Row],[error_ratio_6]]-EL$2)</f>
        <v>0.9613778705636743</v>
      </c>
      <c r="EW561" s="1">
        <f>1+(Table1[[#This Row],[error_ratio_7]]-EM$2)</f>
        <v>1.0038910505836576</v>
      </c>
      <c r="EX561" s="1">
        <f>1+(Table1[[#This Row],[error_ratio_8]]-EN$2)</f>
        <v>1.1478439425051334</v>
      </c>
      <c r="EY561" s="1">
        <f>1+(Table1[[#This Row],[error_ratio_9]]-EO$2)</f>
        <v>0.92765113974231916</v>
      </c>
    </row>
    <row r="562" spans="1:155" x14ac:dyDescent="0.75">
      <c r="A562">
        <v>100</v>
      </c>
      <c r="B562">
        <v>10</v>
      </c>
      <c r="C562">
        <v>10</v>
      </c>
      <c r="D562">
        <v>100</v>
      </c>
      <c r="E562">
        <v>100</v>
      </c>
      <c r="F562">
        <v>10</v>
      </c>
      <c r="G562">
        <v>10</v>
      </c>
      <c r="H562">
        <v>100</v>
      </c>
      <c r="I562">
        <v>100</v>
      </c>
      <c r="J562">
        <v>10</v>
      </c>
      <c r="K562">
        <v>1020</v>
      </c>
      <c r="L562">
        <v>1160</v>
      </c>
      <c r="M562">
        <v>879</v>
      </c>
      <c r="N562">
        <v>1092</v>
      </c>
      <c r="O562">
        <v>1010</v>
      </c>
      <c r="P562">
        <v>861</v>
      </c>
      <c r="Q562">
        <v>970</v>
      </c>
      <c r="R562">
        <v>1042</v>
      </c>
      <c r="S562">
        <v>1071</v>
      </c>
      <c r="T562">
        <v>895</v>
      </c>
      <c r="U562">
        <v>980</v>
      </c>
      <c r="V562">
        <v>1135</v>
      </c>
      <c r="W562">
        <v>1032</v>
      </c>
      <c r="X562">
        <v>1010</v>
      </c>
      <c r="Y562">
        <v>982</v>
      </c>
      <c r="Z562">
        <v>892</v>
      </c>
      <c r="AA562">
        <v>958</v>
      </c>
      <c r="AB562">
        <v>1028</v>
      </c>
      <c r="AC562">
        <v>974</v>
      </c>
      <c r="AD562">
        <v>1009</v>
      </c>
      <c r="AE562">
        <v>974</v>
      </c>
      <c r="AF562">
        <v>0</v>
      </c>
      <c r="AG562">
        <v>0</v>
      </c>
      <c r="AH562">
        <v>0</v>
      </c>
      <c r="AI562">
        <v>0</v>
      </c>
      <c r="AJ562">
        <v>0</v>
      </c>
      <c r="AK562">
        <v>0</v>
      </c>
      <c r="AL562">
        <v>2</v>
      </c>
      <c r="AM562">
        <v>4</v>
      </c>
      <c r="AN562">
        <v>0</v>
      </c>
      <c r="AO562">
        <v>0</v>
      </c>
      <c r="AP562">
        <v>1102</v>
      </c>
      <c r="AQ562">
        <v>2</v>
      </c>
      <c r="AR562">
        <v>1</v>
      </c>
      <c r="AS562">
        <v>1</v>
      </c>
      <c r="AT562">
        <v>0</v>
      </c>
      <c r="AU562">
        <v>6</v>
      </c>
      <c r="AV562">
        <v>0</v>
      </c>
      <c r="AW562">
        <v>23</v>
      </c>
      <c r="AX562">
        <v>0</v>
      </c>
      <c r="AY562">
        <v>10</v>
      </c>
      <c r="AZ562">
        <v>42</v>
      </c>
      <c r="BA562">
        <v>865</v>
      </c>
      <c r="BB562">
        <v>52</v>
      </c>
      <c r="BC562">
        <v>7</v>
      </c>
      <c r="BD562">
        <v>0</v>
      </c>
      <c r="BE562">
        <v>21</v>
      </c>
      <c r="BF562">
        <v>16</v>
      </c>
      <c r="BG562">
        <v>19</v>
      </c>
      <c r="BH562">
        <v>0</v>
      </c>
      <c r="BI562">
        <v>0</v>
      </c>
      <c r="BJ562">
        <v>0</v>
      </c>
      <c r="BK562">
        <v>1</v>
      </c>
      <c r="BL562">
        <v>1000</v>
      </c>
      <c r="BM562">
        <v>0</v>
      </c>
      <c r="BN562">
        <v>3</v>
      </c>
      <c r="BO562">
        <v>0</v>
      </c>
      <c r="BP562">
        <v>2</v>
      </c>
      <c r="BQ562">
        <v>4</v>
      </c>
      <c r="BR562">
        <v>0</v>
      </c>
      <c r="BS562">
        <v>0</v>
      </c>
      <c r="BT562">
        <v>0</v>
      </c>
      <c r="BU562">
        <v>0</v>
      </c>
      <c r="BV562">
        <v>0</v>
      </c>
      <c r="BW562">
        <v>969</v>
      </c>
      <c r="BX562">
        <v>0</v>
      </c>
      <c r="BY562">
        <v>4</v>
      </c>
      <c r="BZ562">
        <v>4</v>
      </c>
      <c r="CA562">
        <v>4</v>
      </c>
      <c r="CB562">
        <v>1</v>
      </c>
      <c r="CC562">
        <v>8</v>
      </c>
      <c r="CD562">
        <v>0</v>
      </c>
      <c r="CE562">
        <v>0</v>
      </c>
      <c r="CF562">
        <v>20</v>
      </c>
      <c r="CG562">
        <v>0</v>
      </c>
      <c r="CH562">
        <v>849</v>
      </c>
      <c r="CI562">
        <v>7</v>
      </c>
      <c r="CJ562">
        <v>1</v>
      </c>
      <c r="CK562">
        <v>5</v>
      </c>
      <c r="CL562">
        <v>2</v>
      </c>
      <c r="CM562">
        <v>15</v>
      </c>
      <c r="CN562">
        <v>3</v>
      </c>
      <c r="CO562">
        <v>1</v>
      </c>
      <c r="CP562">
        <v>0</v>
      </c>
      <c r="CQ562">
        <v>2</v>
      </c>
      <c r="CR562">
        <v>2</v>
      </c>
      <c r="CS562">
        <v>932</v>
      </c>
      <c r="CT562">
        <v>0</v>
      </c>
      <c r="CU562">
        <v>3</v>
      </c>
      <c r="CV562">
        <v>0</v>
      </c>
      <c r="CW562">
        <v>1</v>
      </c>
      <c r="CX562">
        <v>7</v>
      </c>
      <c r="CY562">
        <v>10</v>
      </c>
      <c r="CZ562">
        <v>4</v>
      </c>
      <c r="DA562">
        <v>1</v>
      </c>
      <c r="DB562">
        <v>0</v>
      </c>
      <c r="DC562">
        <v>0</v>
      </c>
      <c r="DD562">
        <v>1001</v>
      </c>
      <c r="DE562">
        <v>4</v>
      </c>
      <c r="DF562">
        <v>0</v>
      </c>
      <c r="DG562">
        <v>6</v>
      </c>
      <c r="DH562">
        <v>0</v>
      </c>
      <c r="DI562">
        <v>0</v>
      </c>
      <c r="DJ562">
        <v>1</v>
      </c>
      <c r="DK562">
        <v>0</v>
      </c>
      <c r="DL562">
        <v>1</v>
      </c>
      <c r="DM562">
        <v>0</v>
      </c>
      <c r="DN562">
        <v>0</v>
      </c>
      <c r="DO562">
        <v>966</v>
      </c>
      <c r="DP562">
        <v>0</v>
      </c>
      <c r="DQ562">
        <v>6</v>
      </c>
      <c r="DR562">
        <v>6</v>
      </c>
      <c r="DS562">
        <v>0</v>
      </c>
      <c r="DT562">
        <v>14</v>
      </c>
      <c r="DU562">
        <v>30</v>
      </c>
      <c r="DV562">
        <v>6</v>
      </c>
      <c r="DW562">
        <v>0</v>
      </c>
      <c r="DX562">
        <v>16</v>
      </c>
      <c r="DY562">
        <v>39</v>
      </c>
      <c r="DZ562">
        <v>892</v>
      </c>
      <c r="EA562">
        <v>0.95499999999999996</v>
      </c>
      <c r="EB562">
        <v>0.95702805073560204</v>
      </c>
      <c r="EC562">
        <v>0.955406098738667</v>
      </c>
      <c r="ED562">
        <v>0.95482981448865001</v>
      </c>
      <c r="EE562">
        <f>SUM(Table1[[#This Row],[ratio_0]:[ratio_9]])</f>
        <v>550</v>
      </c>
      <c r="EF562" s="1">
        <f>(Table1[[#This Row],[predicted_0]]-Table1[[#This Row],[actual_0]])/Table1[[#This Row],[actual_0]]</f>
        <v>4.0816326530612242E-2</v>
      </c>
      <c r="EG562" s="1">
        <f>(Table1[[#This Row],[predicted_1]]-Table1[[#This Row],[actual_1]])/Table1[[#This Row],[actual_1]]</f>
        <v>2.2026431718061675E-2</v>
      </c>
      <c r="EH562" s="1">
        <f>(Table1[[#This Row],[predicted_2]]-Table1[[#This Row],[actual_2]])/Table1[[#This Row],[actual_2]]</f>
        <v>-0.14825581395348839</v>
      </c>
      <c r="EI562" s="1">
        <f>(Table1[[#This Row],[predicted_3]]-Table1[[#This Row],[actual_3]])/Table1[[#This Row],[actual_3]]</f>
        <v>8.1188118811881191E-2</v>
      </c>
      <c r="EJ562" s="1">
        <f>(Table1[[#This Row],[predicted_4]]-Table1[[#This Row],[actual_4]])/Table1[[#This Row],[actual_4]]</f>
        <v>2.8513238289205704E-2</v>
      </c>
      <c r="EK562" s="1">
        <f>(Table1[[#This Row],[predicted_5]]-Table1[[#This Row],[actual_5]])/Table1[[#This Row],[actual_5]]</f>
        <v>-3.4753363228699555E-2</v>
      </c>
      <c r="EL562" s="1">
        <f>(Table1[[#This Row],[predicted_6]]-Table1[[#This Row],[actual_6]])/Table1[[#This Row],[actual_6]]</f>
        <v>1.2526096033402923E-2</v>
      </c>
      <c r="EM562" s="1">
        <f>(Table1[[#This Row],[predicted_7]]-Table1[[#This Row],[actual_7]])/Table1[[#This Row],[actual_7]]</f>
        <v>1.3618677042801557E-2</v>
      </c>
      <c r="EN562" s="1">
        <f>(Table1[[#This Row],[predicted_8]]-Table1[[#This Row],[actual_8]])/Table1[[#This Row],[actual_8]]</f>
        <v>9.958932238193019E-2</v>
      </c>
      <c r="EO562" s="1">
        <f>(Table1[[#This Row],[predicted_9]]-Table1[[#This Row],[actual_9]])/Table1[[#This Row],[actual_9]]</f>
        <v>-0.11298315163528246</v>
      </c>
      <c r="EP562" s="1">
        <f>1+(Table1[[#This Row],[error_ratio_0]]-EF$2)</f>
        <v>1.0387755102040817</v>
      </c>
      <c r="EQ562" s="1">
        <f>1+(Table1[[#This Row],[error_ratio_1]]-EG$2)</f>
        <v>1.0202643171806167</v>
      </c>
      <c r="ER562" s="1">
        <f>1+(Table1[[#This Row],[error_ratio_2]]-EH$2)</f>
        <v>0.85658914728682167</v>
      </c>
      <c r="ES562" s="1">
        <f>1+(Table1[[#This Row],[error_ratio_3]]-EI$2)</f>
        <v>1.0712871287128714</v>
      </c>
      <c r="ET562" s="1">
        <f>1+(Table1[[#This Row],[error_ratio_4]]-EJ$2)</f>
        <v>1.0274949083503055</v>
      </c>
      <c r="EU562" s="1">
        <f>1+(Table1[[#This Row],[error_ratio_5]]-EK$2)</f>
        <v>0.9641255605381166</v>
      </c>
      <c r="EV562" s="1">
        <f>1+(Table1[[#This Row],[error_ratio_6]]-EL$2)</f>
        <v>1.0187891440501045</v>
      </c>
      <c r="EW562" s="1">
        <f>1+(Table1[[#This Row],[error_ratio_7]]-EM$2)</f>
        <v>1.0116731517509727</v>
      </c>
      <c r="EX562" s="1">
        <f>1+(Table1[[#This Row],[error_ratio_8]]-EN$2)</f>
        <v>1.1026694045174539</v>
      </c>
      <c r="EY562" s="1">
        <f>1+(Table1[[#This Row],[error_ratio_9]]-EO$2)</f>
        <v>0.8909811694747275</v>
      </c>
    </row>
    <row r="563" spans="1:155" x14ac:dyDescent="0.75">
      <c r="A563">
        <v>10</v>
      </c>
      <c r="B563">
        <v>10</v>
      </c>
      <c r="C563">
        <v>10</v>
      </c>
      <c r="D563">
        <v>100</v>
      </c>
      <c r="E563">
        <v>100</v>
      </c>
      <c r="F563">
        <v>10</v>
      </c>
      <c r="G563">
        <v>10</v>
      </c>
      <c r="H563">
        <v>100</v>
      </c>
      <c r="I563">
        <v>100</v>
      </c>
      <c r="J563">
        <v>10</v>
      </c>
      <c r="K563">
        <v>957</v>
      </c>
      <c r="L563">
        <v>1169</v>
      </c>
      <c r="M563">
        <v>996</v>
      </c>
      <c r="N563">
        <v>1035</v>
      </c>
      <c r="O563">
        <v>1059</v>
      </c>
      <c r="P563">
        <v>881</v>
      </c>
      <c r="Q563">
        <v>967</v>
      </c>
      <c r="R563">
        <v>1076</v>
      </c>
      <c r="S563">
        <v>992</v>
      </c>
      <c r="T563">
        <v>868</v>
      </c>
      <c r="U563">
        <v>980</v>
      </c>
      <c r="V563">
        <v>1135</v>
      </c>
      <c r="W563">
        <v>1032</v>
      </c>
      <c r="X563">
        <v>1010</v>
      </c>
      <c r="Y563">
        <v>982</v>
      </c>
      <c r="Z563">
        <v>892</v>
      </c>
      <c r="AA563">
        <v>958</v>
      </c>
      <c r="AB563">
        <v>1028</v>
      </c>
      <c r="AC563">
        <v>974</v>
      </c>
      <c r="AD563">
        <v>1009</v>
      </c>
      <c r="AE563">
        <v>943</v>
      </c>
      <c r="AF563">
        <v>2</v>
      </c>
      <c r="AG563">
        <v>5</v>
      </c>
      <c r="AH563">
        <v>0</v>
      </c>
      <c r="AI563">
        <v>9</v>
      </c>
      <c r="AJ563">
        <v>8</v>
      </c>
      <c r="AK563">
        <v>6</v>
      </c>
      <c r="AL563">
        <v>4</v>
      </c>
      <c r="AM563">
        <v>1</v>
      </c>
      <c r="AN563">
        <v>2</v>
      </c>
      <c r="AO563">
        <v>0</v>
      </c>
      <c r="AP563">
        <v>1127</v>
      </c>
      <c r="AQ563">
        <v>3</v>
      </c>
      <c r="AR563">
        <v>2</v>
      </c>
      <c r="AS563">
        <v>0</v>
      </c>
      <c r="AT563">
        <v>0</v>
      </c>
      <c r="AU563">
        <v>3</v>
      </c>
      <c r="AV563">
        <v>0</v>
      </c>
      <c r="AW563">
        <v>0</v>
      </c>
      <c r="AX563">
        <v>0</v>
      </c>
      <c r="AY563">
        <v>6</v>
      </c>
      <c r="AZ563">
        <v>7</v>
      </c>
      <c r="BA563">
        <v>979</v>
      </c>
      <c r="BB563">
        <v>2</v>
      </c>
      <c r="BC563">
        <v>6</v>
      </c>
      <c r="BD563">
        <v>1</v>
      </c>
      <c r="BE563">
        <v>4</v>
      </c>
      <c r="BF563">
        <v>16</v>
      </c>
      <c r="BG563">
        <v>11</v>
      </c>
      <c r="BH563">
        <v>0</v>
      </c>
      <c r="BI563">
        <v>0</v>
      </c>
      <c r="BJ563">
        <v>0</v>
      </c>
      <c r="BK563">
        <v>2</v>
      </c>
      <c r="BL563">
        <v>998</v>
      </c>
      <c r="BM563">
        <v>0</v>
      </c>
      <c r="BN563">
        <v>4</v>
      </c>
      <c r="BO563">
        <v>0</v>
      </c>
      <c r="BP563">
        <v>5</v>
      </c>
      <c r="BQ563">
        <v>1</v>
      </c>
      <c r="BR563">
        <v>0</v>
      </c>
      <c r="BS563">
        <v>0</v>
      </c>
      <c r="BT563">
        <v>5</v>
      </c>
      <c r="BU563">
        <v>0</v>
      </c>
      <c r="BV563">
        <v>0</v>
      </c>
      <c r="BW563">
        <v>972</v>
      </c>
      <c r="BX563">
        <v>0</v>
      </c>
      <c r="BY563">
        <v>4</v>
      </c>
      <c r="BZ563">
        <v>0</v>
      </c>
      <c r="CA563">
        <v>1</v>
      </c>
      <c r="CB563">
        <v>0</v>
      </c>
      <c r="CC563">
        <v>1</v>
      </c>
      <c r="CD563">
        <v>1</v>
      </c>
      <c r="CE563">
        <v>1</v>
      </c>
      <c r="CF563">
        <v>24</v>
      </c>
      <c r="CG563">
        <v>0</v>
      </c>
      <c r="CH563">
        <v>847</v>
      </c>
      <c r="CI563">
        <v>10</v>
      </c>
      <c r="CJ563">
        <v>2</v>
      </c>
      <c r="CK563">
        <v>6</v>
      </c>
      <c r="CL563">
        <v>0</v>
      </c>
      <c r="CM563">
        <v>2</v>
      </c>
      <c r="CN563">
        <v>8</v>
      </c>
      <c r="CO563">
        <v>2</v>
      </c>
      <c r="CP563">
        <v>0</v>
      </c>
      <c r="CQ563">
        <v>9</v>
      </c>
      <c r="CR563">
        <v>2</v>
      </c>
      <c r="CS563">
        <v>935</v>
      </c>
      <c r="CT563">
        <v>0</v>
      </c>
      <c r="CU563">
        <v>0</v>
      </c>
      <c r="CV563">
        <v>0</v>
      </c>
      <c r="CW563">
        <v>0</v>
      </c>
      <c r="CX563">
        <v>6</v>
      </c>
      <c r="CY563">
        <v>2</v>
      </c>
      <c r="CZ563">
        <v>0</v>
      </c>
      <c r="DA563">
        <v>2</v>
      </c>
      <c r="DB563">
        <v>0</v>
      </c>
      <c r="DC563">
        <v>0</v>
      </c>
      <c r="DD563">
        <v>1016</v>
      </c>
      <c r="DE563">
        <v>2</v>
      </c>
      <c r="DF563">
        <v>0</v>
      </c>
      <c r="DG563">
        <v>1</v>
      </c>
      <c r="DH563">
        <v>3</v>
      </c>
      <c r="DI563">
        <v>1</v>
      </c>
      <c r="DJ563">
        <v>3</v>
      </c>
      <c r="DK563">
        <v>2</v>
      </c>
      <c r="DL563">
        <v>4</v>
      </c>
      <c r="DM563">
        <v>5</v>
      </c>
      <c r="DN563">
        <v>2</v>
      </c>
      <c r="DO563">
        <v>952</v>
      </c>
      <c r="DP563">
        <v>1</v>
      </c>
      <c r="DQ563">
        <v>4</v>
      </c>
      <c r="DR563">
        <v>10</v>
      </c>
      <c r="DS563">
        <v>1</v>
      </c>
      <c r="DT563">
        <v>6</v>
      </c>
      <c r="DU563">
        <v>59</v>
      </c>
      <c r="DV563">
        <v>15</v>
      </c>
      <c r="DW563">
        <v>0</v>
      </c>
      <c r="DX563">
        <v>31</v>
      </c>
      <c r="DY563">
        <v>18</v>
      </c>
      <c r="DZ563">
        <v>865</v>
      </c>
      <c r="EA563">
        <v>0.96340000000000003</v>
      </c>
      <c r="EB563">
        <v>0.96432473379391603</v>
      </c>
      <c r="EC563">
        <v>0.96303426012251703</v>
      </c>
      <c r="ED563">
        <v>0.962876408275114</v>
      </c>
      <c r="EE563">
        <f>SUM(Table1[[#This Row],[ratio_0]:[ratio_9]])</f>
        <v>460</v>
      </c>
      <c r="EF563" s="1">
        <f>(Table1[[#This Row],[predicted_0]]-Table1[[#This Row],[actual_0]])/Table1[[#This Row],[actual_0]]</f>
        <v>-2.3469387755102041E-2</v>
      </c>
      <c r="EG563" s="1">
        <f>(Table1[[#This Row],[predicted_1]]-Table1[[#This Row],[actual_1]])/Table1[[#This Row],[actual_1]]</f>
        <v>2.9955947136563875E-2</v>
      </c>
      <c r="EH563" s="1">
        <f>(Table1[[#This Row],[predicted_2]]-Table1[[#This Row],[actual_2]])/Table1[[#This Row],[actual_2]]</f>
        <v>-3.4883720930232558E-2</v>
      </c>
      <c r="EI563" s="1">
        <f>(Table1[[#This Row],[predicted_3]]-Table1[[#This Row],[actual_3]])/Table1[[#This Row],[actual_3]]</f>
        <v>2.4752475247524754E-2</v>
      </c>
      <c r="EJ563" s="1">
        <f>(Table1[[#This Row],[predicted_4]]-Table1[[#This Row],[actual_4]])/Table1[[#This Row],[actual_4]]</f>
        <v>7.8411405295315678E-2</v>
      </c>
      <c r="EK563" s="1">
        <f>(Table1[[#This Row],[predicted_5]]-Table1[[#This Row],[actual_5]])/Table1[[#This Row],[actual_5]]</f>
        <v>-1.2331838565022421E-2</v>
      </c>
      <c r="EL563" s="1">
        <f>(Table1[[#This Row],[predicted_6]]-Table1[[#This Row],[actual_6]])/Table1[[#This Row],[actual_6]]</f>
        <v>9.3945720250521916E-3</v>
      </c>
      <c r="EM563" s="1">
        <f>(Table1[[#This Row],[predicted_7]]-Table1[[#This Row],[actual_7]])/Table1[[#This Row],[actual_7]]</f>
        <v>4.6692607003891051E-2</v>
      </c>
      <c r="EN563" s="1">
        <f>(Table1[[#This Row],[predicted_8]]-Table1[[#This Row],[actual_8]])/Table1[[#This Row],[actual_8]]</f>
        <v>1.8480492813141684E-2</v>
      </c>
      <c r="EO563" s="1">
        <f>(Table1[[#This Row],[predicted_9]]-Table1[[#This Row],[actual_9]])/Table1[[#This Row],[actual_9]]</f>
        <v>-0.13974231912784935</v>
      </c>
      <c r="EP563" s="1">
        <f>1+(Table1[[#This Row],[error_ratio_0]]-EF$2)</f>
        <v>0.97448979591836737</v>
      </c>
      <c r="EQ563" s="1">
        <f>1+(Table1[[#This Row],[error_ratio_1]]-EG$2)</f>
        <v>1.0281938325991189</v>
      </c>
      <c r="ER563" s="1">
        <f>1+(Table1[[#This Row],[error_ratio_2]]-EH$2)</f>
        <v>0.96996124031007747</v>
      </c>
      <c r="ES563" s="1">
        <f>1+(Table1[[#This Row],[error_ratio_3]]-EI$2)</f>
        <v>1.0148514851485149</v>
      </c>
      <c r="ET563" s="1">
        <f>1+(Table1[[#This Row],[error_ratio_4]]-EJ$2)</f>
        <v>1.0773930753564154</v>
      </c>
      <c r="EU563" s="1">
        <f>1+(Table1[[#This Row],[error_ratio_5]]-EK$2)</f>
        <v>0.98654708520179368</v>
      </c>
      <c r="EV563" s="1">
        <f>1+(Table1[[#This Row],[error_ratio_6]]-EL$2)</f>
        <v>1.0156576200417538</v>
      </c>
      <c r="EW563" s="1">
        <f>1+(Table1[[#This Row],[error_ratio_7]]-EM$2)</f>
        <v>1.0447470817120623</v>
      </c>
      <c r="EX563" s="1">
        <f>1+(Table1[[#This Row],[error_ratio_8]]-EN$2)</f>
        <v>1.0215605749486654</v>
      </c>
      <c r="EY563" s="1">
        <f>1+(Table1[[#This Row],[error_ratio_9]]-EO$2)</f>
        <v>0.86422200198216059</v>
      </c>
    </row>
    <row r="564" spans="1:155" x14ac:dyDescent="0.75">
      <c r="A564">
        <v>100</v>
      </c>
      <c r="B564">
        <v>100</v>
      </c>
      <c r="C564">
        <v>100</v>
      </c>
      <c r="D564">
        <v>10</v>
      </c>
      <c r="E564">
        <v>100</v>
      </c>
      <c r="F564">
        <v>10</v>
      </c>
      <c r="G564">
        <v>10</v>
      </c>
      <c r="H564">
        <v>100</v>
      </c>
      <c r="I564">
        <v>100</v>
      </c>
      <c r="J564">
        <v>10</v>
      </c>
      <c r="K564">
        <v>1008</v>
      </c>
      <c r="L564">
        <v>1159</v>
      </c>
      <c r="M564">
        <v>1047</v>
      </c>
      <c r="N564">
        <v>969</v>
      </c>
      <c r="O564">
        <v>1042</v>
      </c>
      <c r="P564">
        <v>912</v>
      </c>
      <c r="Q564">
        <v>926</v>
      </c>
      <c r="R564">
        <v>1037</v>
      </c>
      <c r="S564">
        <v>1015</v>
      </c>
      <c r="T564">
        <v>885</v>
      </c>
      <c r="U564">
        <v>980</v>
      </c>
      <c r="V564">
        <v>1135</v>
      </c>
      <c r="W564">
        <v>1032</v>
      </c>
      <c r="X564">
        <v>1010</v>
      </c>
      <c r="Y564">
        <v>982</v>
      </c>
      <c r="Z564">
        <v>892</v>
      </c>
      <c r="AA564">
        <v>958</v>
      </c>
      <c r="AB564">
        <v>1028</v>
      </c>
      <c r="AC564">
        <v>974</v>
      </c>
      <c r="AD564">
        <v>1009</v>
      </c>
      <c r="AE564">
        <v>977</v>
      </c>
      <c r="AF564">
        <v>1</v>
      </c>
      <c r="AG564">
        <v>0</v>
      </c>
      <c r="AH564">
        <v>0</v>
      </c>
      <c r="AI564">
        <v>0</v>
      </c>
      <c r="AJ564">
        <v>0</v>
      </c>
      <c r="AK564">
        <v>1</v>
      </c>
      <c r="AL564">
        <v>1</v>
      </c>
      <c r="AM564">
        <v>0</v>
      </c>
      <c r="AN564">
        <v>0</v>
      </c>
      <c r="AO564">
        <v>0</v>
      </c>
      <c r="AP564">
        <v>1133</v>
      </c>
      <c r="AQ564">
        <v>1</v>
      </c>
      <c r="AR564">
        <v>1</v>
      </c>
      <c r="AS564">
        <v>0</v>
      </c>
      <c r="AT564">
        <v>0</v>
      </c>
      <c r="AU564">
        <v>0</v>
      </c>
      <c r="AV564">
        <v>0</v>
      </c>
      <c r="AW564">
        <v>0</v>
      </c>
      <c r="AX564">
        <v>0</v>
      </c>
      <c r="AY564">
        <v>2</v>
      </c>
      <c r="AZ564">
        <v>2</v>
      </c>
      <c r="BA564">
        <v>1023</v>
      </c>
      <c r="BB564">
        <v>0</v>
      </c>
      <c r="BC564">
        <v>3</v>
      </c>
      <c r="BD564">
        <v>0</v>
      </c>
      <c r="BE564">
        <v>1</v>
      </c>
      <c r="BF564">
        <v>1</v>
      </c>
      <c r="BG564">
        <v>0</v>
      </c>
      <c r="BH564">
        <v>0</v>
      </c>
      <c r="BI564">
        <v>0</v>
      </c>
      <c r="BJ564">
        <v>0</v>
      </c>
      <c r="BK564">
        <v>8</v>
      </c>
      <c r="BL564">
        <v>956</v>
      </c>
      <c r="BM564">
        <v>0</v>
      </c>
      <c r="BN564">
        <v>28</v>
      </c>
      <c r="BO564">
        <v>0</v>
      </c>
      <c r="BP564">
        <v>7</v>
      </c>
      <c r="BQ564">
        <v>10</v>
      </c>
      <c r="BR564">
        <v>1</v>
      </c>
      <c r="BS564">
        <v>0</v>
      </c>
      <c r="BT564">
        <v>1</v>
      </c>
      <c r="BU564">
        <v>0</v>
      </c>
      <c r="BV564">
        <v>0</v>
      </c>
      <c r="BW564">
        <v>981</v>
      </c>
      <c r="BX564">
        <v>0</v>
      </c>
      <c r="BY564">
        <v>0</v>
      </c>
      <c r="BZ564">
        <v>0</v>
      </c>
      <c r="CA564">
        <v>0</v>
      </c>
      <c r="CB564">
        <v>0</v>
      </c>
      <c r="CC564">
        <v>8</v>
      </c>
      <c r="CD564">
        <v>3</v>
      </c>
      <c r="CE564">
        <v>0</v>
      </c>
      <c r="CF564">
        <v>5</v>
      </c>
      <c r="CG564">
        <v>0</v>
      </c>
      <c r="CH564">
        <v>866</v>
      </c>
      <c r="CI564">
        <v>4</v>
      </c>
      <c r="CJ564">
        <v>1</v>
      </c>
      <c r="CK564">
        <v>5</v>
      </c>
      <c r="CL564">
        <v>0</v>
      </c>
      <c r="CM564">
        <v>11</v>
      </c>
      <c r="CN564">
        <v>5</v>
      </c>
      <c r="CO564">
        <v>0</v>
      </c>
      <c r="CP564">
        <v>0</v>
      </c>
      <c r="CQ564">
        <v>12</v>
      </c>
      <c r="CR564">
        <v>4</v>
      </c>
      <c r="CS564">
        <v>919</v>
      </c>
      <c r="CT564">
        <v>0</v>
      </c>
      <c r="CU564">
        <v>7</v>
      </c>
      <c r="CV564">
        <v>0</v>
      </c>
      <c r="CW564">
        <v>1</v>
      </c>
      <c r="CX564">
        <v>6</v>
      </c>
      <c r="CY564">
        <v>11</v>
      </c>
      <c r="CZ564">
        <v>3</v>
      </c>
      <c r="DA564">
        <v>1</v>
      </c>
      <c r="DB564">
        <v>0</v>
      </c>
      <c r="DC564">
        <v>0</v>
      </c>
      <c r="DD564">
        <v>1006</v>
      </c>
      <c r="DE564">
        <v>0</v>
      </c>
      <c r="DF564">
        <v>0</v>
      </c>
      <c r="DG564">
        <v>2</v>
      </c>
      <c r="DH564">
        <v>1</v>
      </c>
      <c r="DI564">
        <v>3</v>
      </c>
      <c r="DJ564">
        <v>1</v>
      </c>
      <c r="DK564">
        <v>1</v>
      </c>
      <c r="DL564">
        <v>0</v>
      </c>
      <c r="DM564">
        <v>1</v>
      </c>
      <c r="DN564">
        <v>4</v>
      </c>
      <c r="DO564">
        <v>961</v>
      </c>
      <c r="DP564">
        <v>0</v>
      </c>
      <c r="DQ564">
        <v>7</v>
      </c>
      <c r="DR564">
        <v>7</v>
      </c>
      <c r="DS564">
        <v>1</v>
      </c>
      <c r="DT564">
        <v>3</v>
      </c>
      <c r="DU564">
        <v>44</v>
      </c>
      <c r="DV564">
        <v>14</v>
      </c>
      <c r="DW564">
        <v>0</v>
      </c>
      <c r="DX564">
        <v>17</v>
      </c>
      <c r="DY564">
        <v>32</v>
      </c>
      <c r="DZ564">
        <v>884</v>
      </c>
      <c r="EA564">
        <v>0.97060000000000002</v>
      </c>
      <c r="EB564">
        <v>0.97097092736962298</v>
      </c>
      <c r="EC564">
        <v>0.97034814246101098</v>
      </c>
      <c r="ED564">
        <v>0.97001262768566598</v>
      </c>
      <c r="EE564">
        <f>SUM(Table1[[#This Row],[ratio_0]:[ratio_9]])</f>
        <v>640</v>
      </c>
      <c r="EF564" s="1">
        <f>(Table1[[#This Row],[predicted_0]]-Table1[[#This Row],[actual_0]])/Table1[[#This Row],[actual_0]]</f>
        <v>2.8571428571428571E-2</v>
      </c>
      <c r="EG564" s="1">
        <f>(Table1[[#This Row],[predicted_1]]-Table1[[#This Row],[actual_1]])/Table1[[#This Row],[actual_1]]</f>
        <v>2.1145374449339206E-2</v>
      </c>
      <c r="EH564" s="1">
        <f>(Table1[[#This Row],[predicted_2]]-Table1[[#This Row],[actual_2]])/Table1[[#This Row],[actual_2]]</f>
        <v>1.4534883720930232E-2</v>
      </c>
      <c r="EI564" s="1">
        <f>(Table1[[#This Row],[predicted_3]]-Table1[[#This Row],[actual_3]])/Table1[[#This Row],[actual_3]]</f>
        <v>-4.0594059405940595E-2</v>
      </c>
      <c r="EJ564" s="1">
        <f>(Table1[[#This Row],[predicted_4]]-Table1[[#This Row],[actual_4]])/Table1[[#This Row],[actual_4]]</f>
        <v>6.1099796334012219E-2</v>
      </c>
      <c r="EK564" s="1">
        <f>(Table1[[#This Row],[predicted_5]]-Table1[[#This Row],[actual_5]])/Table1[[#This Row],[actual_5]]</f>
        <v>2.2421524663677129E-2</v>
      </c>
      <c r="EL564" s="1">
        <f>(Table1[[#This Row],[predicted_6]]-Table1[[#This Row],[actual_6]])/Table1[[#This Row],[actual_6]]</f>
        <v>-3.3402922755741124E-2</v>
      </c>
      <c r="EM564" s="1">
        <f>(Table1[[#This Row],[predicted_7]]-Table1[[#This Row],[actual_7]])/Table1[[#This Row],[actual_7]]</f>
        <v>8.7548638132295721E-3</v>
      </c>
      <c r="EN564" s="1">
        <f>(Table1[[#This Row],[predicted_8]]-Table1[[#This Row],[actual_8]])/Table1[[#This Row],[actual_8]]</f>
        <v>4.2094455852156057E-2</v>
      </c>
      <c r="EO564" s="1">
        <f>(Table1[[#This Row],[predicted_9]]-Table1[[#This Row],[actual_9]])/Table1[[#This Row],[actual_9]]</f>
        <v>-0.12289395441030723</v>
      </c>
      <c r="EP564" s="1">
        <f>1+(Table1[[#This Row],[error_ratio_0]]-EF$2)</f>
        <v>1.0265306122448981</v>
      </c>
      <c r="EQ564" s="1">
        <f>1+(Table1[[#This Row],[error_ratio_1]]-EG$2)</f>
        <v>1.0193832599118944</v>
      </c>
      <c r="ER564" s="1">
        <f>1+(Table1[[#This Row],[error_ratio_2]]-EH$2)</f>
        <v>1.0193798449612403</v>
      </c>
      <c r="ES564" s="1">
        <f>1+(Table1[[#This Row],[error_ratio_3]]-EI$2)</f>
        <v>0.94950495049504946</v>
      </c>
      <c r="ET564" s="1">
        <f>1+(Table1[[#This Row],[error_ratio_4]]-EJ$2)</f>
        <v>1.0600814663951119</v>
      </c>
      <c r="EU564" s="1">
        <f>1+(Table1[[#This Row],[error_ratio_5]]-EK$2)</f>
        <v>1.0213004484304933</v>
      </c>
      <c r="EV564" s="1">
        <f>1+(Table1[[#This Row],[error_ratio_6]]-EL$2)</f>
        <v>0.97286012526096033</v>
      </c>
      <c r="EW564" s="1">
        <f>1+(Table1[[#This Row],[error_ratio_7]]-EM$2)</f>
        <v>1.0068093385214008</v>
      </c>
      <c r="EX564" s="1">
        <f>1+(Table1[[#This Row],[error_ratio_8]]-EN$2)</f>
        <v>1.0451745379876796</v>
      </c>
      <c r="EY564" s="1">
        <f>1+(Table1[[#This Row],[error_ratio_9]]-EO$2)</f>
        <v>0.88107036669970262</v>
      </c>
    </row>
    <row r="565" spans="1:155" x14ac:dyDescent="0.75">
      <c r="A565">
        <v>10</v>
      </c>
      <c r="B565">
        <v>100</v>
      </c>
      <c r="C565">
        <v>100</v>
      </c>
      <c r="D565">
        <v>10</v>
      </c>
      <c r="E565">
        <v>100</v>
      </c>
      <c r="F565">
        <v>10</v>
      </c>
      <c r="G565">
        <v>10</v>
      </c>
      <c r="H565">
        <v>100</v>
      </c>
      <c r="I565">
        <v>100</v>
      </c>
      <c r="J565">
        <v>10</v>
      </c>
      <c r="K565">
        <v>997</v>
      </c>
      <c r="L565">
        <v>1152</v>
      </c>
      <c r="M565">
        <v>1045</v>
      </c>
      <c r="N565">
        <v>949</v>
      </c>
      <c r="O565">
        <v>996</v>
      </c>
      <c r="P565">
        <v>833</v>
      </c>
      <c r="Q565">
        <v>946</v>
      </c>
      <c r="R565">
        <v>1064</v>
      </c>
      <c r="S565">
        <v>1115</v>
      </c>
      <c r="T565">
        <v>903</v>
      </c>
      <c r="U565">
        <v>980</v>
      </c>
      <c r="V565">
        <v>1135</v>
      </c>
      <c r="W565">
        <v>1032</v>
      </c>
      <c r="X565">
        <v>1010</v>
      </c>
      <c r="Y565">
        <v>982</v>
      </c>
      <c r="Z565">
        <v>892</v>
      </c>
      <c r="AA565">
        <v>958</v>
      </c>
      <c r="AB565">
        <v>1028</v>
      </c>
      <c r="AC565">
        <v>974</v>
      </c>
      <c r="AD565">
        <v>1009</v>
      </c>
      <c r="AE565">
        <v>965</v>
      </c>
      <c r="AF565">
        <v>1</v>
      </c>
      <c r="AG565">
        <v>2</v>
      </c>
      <c r="AH565">
        <v>0</v>
      </c>
      <c r="AI565">
        <v>1</v>
      </c>
      <c r="AJ565">
        <v>0</v>
      </c>
      <c r="AK565">
        <v>1</v>
      </c>
      <c r="AL565">
        <v>6</v>
      </c>
      <c r="AM565">
        <v>4</v>
      </c>
      <c r="AN565">
        <v>0</v>
      </c>
      <c r="AO565">
        <v>0</v>
      </c>
      <c r="AP565">
        <v>1130</v>
      </c>
      <c r="AQ565">
        <v>3</v>
      </c>
      <c r="AR565">
        <v>0</v>
      </c>
      <c r="AS565">
        <v>0</v>
      </c>
      <c r="AT565">
        <v>1</v>
      </c>
      <c r="AU565">
        <v>0</v>
      </c>
      <c r="AV565">
        <v>0</v>
      </c>
      <c r="AW565">
        <v>1</v>
      </c>
      <c r="AX565">
        <v>0</v>
      </c>
      <c r="AY565">
        <v>0</v>
      </c>
      <c r="AZ565">
        <v>1</v>
      </c>
      <c r="BA565">
        <v>1017</v>
      </c>
      <c r="BB565">
        <v>1</v>
      </c>
      <c r="BC565">
        <v>1</v>
      </c>
      <c r="BD565">
        <v>0</v>
      </c>
      <c r="BE565">
        <v>1</v>
      </c>
      <c r="BF565">
        <v>3</v>
      </c>
      <c r="BG565">
        <v>8</v>
      </c>
      <c r="BH565">
        <v>0</v>
      </c>
      <c r="BI565">
        <v>7</v>
      </c>
      <c r="BJ565">
        <v>0</v>
      </c>
      <c r="BK565">
        <v>10</v>
      </c>
      <c r="BL565">
        <v>941</v>
      </c>
      <c r="BM565">
        <v>0</v>
      </c>
      <c r="BN565">
        <v>16</v>
      </c>
      <c r="BO565">
        <v>2</v>
      </c>
      <c r="BP565">
        <v>9</v>
      </c>
      <c r="BQ565">
        <v>24</v>
      </c>
      <c r="BR565">
        <v>1</v>
      </c>
      <c r="BS565">
        <v>0</v>
      </c>
      <c r="BT565">
        <v>1</v>
      </c>
      <c r="BU565">
        <v>2</v>
      </c>
      <c r="BV565">
        <v>0</v>
      </c>
      <c r="BW565">
        <v>966</v>
      </c>
      <c r="BX565">
        <v>0</v>
      </c>
      <c r="BY565">
        <v>4</v>
      </c>
      <c r="BZ565">
        <v>5</v>
      </c>
      <c r="CA565">
        <v>3</v>
      </c>
      <c r="CB565">
        <v>1</v>
      </c>
      <c r="CC565">
        <v>8</v>
      </c>
      <c r="CD565">
        <v>1</v>
      </c>
      <c r="CE565">
        <v>1</v>
      </c>
      <c r="CF565">
        <v>6</v>
      </c>
      <c r="CG565">
        <v>0</v>
      </c>
      <c r="CH565">
        <v>810</v>
      </c>
      <c r="CI565">
        <v>13</v>
      </c>
      <c r="CJ565">
        <v>10</v>
      </c>
      <c r="CK565">
        <v>42</v>
      </c>
      <c r="CL565">
        <v>1</v>
      </c>
      <c r="CM565">
        <v>8</v>
      </c>
      <c r="CN565">
        <v>3</v>
      </c>
      <c r="CO565">
        <v>0</v>
      </c>
      <c r="CP565">
        <v>0</v>
      </c>
      <c r="CQ565">
        <v>17</v>
      </c>
      <c r="CR565">
        <v>1</v>
      </c>
      <c r="CS565">
        <v>924</v>
      </c>
      <c r="CT565">
        <v>0</v>
      </c>
      <c r="CU565">
        <v>5</v>
      </c>
      <c r="CV565">
        <v>0</v>
      </c>
      <c r="CW565">
        <v>0</v>
      </c>
      <c r="CX565">
        <v>6</v>
      </c>
      <c r="CY565">
        <v>9</v>
      </c>
      <c r="CZ565">
        <v>0</v>
      </c>
      <c r="DA565">
        <v>0</v>
      </c>
      <c r="DB565">
        <v>0</v>
      </c>
      <c r="DC565">
        <v>0</v>
      </c>
      <c r="DD565">
        <v>1008</v>
      </c>
      <c r="DE565">
        <v>5</v>
      </c>
      <c r="DF565">
        <v>0</v>
      </c>
      <c r="DG565">
        <v>4</v>
      </c>
      <c r="DH565">
        <v>1</v>
      </c>
      <c r="DI565">
        <v>1</v>
      </c>
      <c r="DJ565">
        <v>0</v>
      </c>
      <c r="DK565">
        <v>0</v>
      </c>
      <c r="DL565">
        <v>0</v>
      </c>
      <c r="DM565">
        <v>1</v>
      </c>
      <c r="DN565">
        <v>1</v>
      </c>
      <c r="DO565">
        <v>966</v>
      </c>
      <c r="DP565">
        <v>0</v>
      </c>
      <c r="DQ565">
        <v>5</v>
      </c>
      <c r="DR565">
        <v>8</v>
      </c>
      <c r="DS565">
        <v>0</v>
      </c>
      <c r="DT565">
        <v>1</v>
      </c>
      <c r="DU565">
        <v>11</v>
      </c>
      <c r="DV565">
        <v>5</v>
      </c>
      <c r="DW565">
        <v>0</v>
      </c>
      <c r="DX565">
        <v>22</v>
      </c>
      <c r="DY565">
        <v>57</v>
      </c>
      <c r="DZ565">
        <v>900</v>
      </c>
      <c r="EA565">
        <v>0.9627</v>
      </c>
      <c r="EB565">
        <v>0.96430088389217605</v>
      </c>
      <c r="EC565">
        <v>0.96180281847044002</v>
      </c>
      <c r="ED565">
        <v>0.96208130431286198</v>
      </c>
      <c r="EE565">
        <f>SUM(Table1[[#This Row],[ratio_0]:[ratio_9]])</f>
        <v>550</v>
      </c>
      <c r="EF565" s="1">
        <f>(Table1[[#This Row],[predicted_0]]-Table1[[#This Row],[actual_0]])/Table1[[#This Row],[actual_0]]</f>
        <v>1.7346938775510204E-2</v>
      </c>
      <c r="EG565" s="1">
        <f>(Table1[[#This Row],[predicted_1]]-Table1[[#This Row],[actual_1]])/Table1[[#This Row],[actual_1]]</f>
        <v>1.4977973568281937E-2</v>
      </c>
      <c r="EH565" s="1">
        <f>(Table1[[#This Row],[predicted_2]]-Table1[[#This Row],[actual_2]])/Table1[[#This Row],[actual_2]]</f>
        <v>1.2596899224806201E-2</v>
      </c>
      <c r="EI565" s="1">
        <f>(Table1[[#This Row],[predicted_3]]-Table1[[#This Row],[actual_3]])/Table1[[#This Row],[actual_3]]</f>
        <v>-6.0396039603960394E-2</v>
      </c>
      <c r="EJ565" s="1">
        <f>(Table1[[#This Row],[predicted_4]]-Table1[[#This Row],[actual_4]])/Table1[[#This Row],[actual_4]]</f>
        <v>1.4256619144602852E-2</v>
      </c>
      <c r="EK565" s="1">
        <f>(Table1[[#This Row],[predicted_5]]-Table1[[#This Row],[actual_5]])/Table1[[#This Row],[actual_5]]</f>
        <v>-6.614349775784753E-2</v>
      </c>
      <c r="EL565" s="1">
        <f>(Table1[[#This Row],[predicted_6]]-Table1[[#This Row],[actual_6]])/Table1[[#This Row],[actual_6]]</f>
        <v>-1.2526096033402923E-2</v>
      </c>
      <c r="EM565" s="1">
        <f>(Table1[[#This Row],[predicted_7]]-Table1[[#This Row],[actual_7]])/Table1[[#This Row],[actual_7]]</f>
        <v>3.5019455252918288E-2</v>
      </c>
      <c r="EN565" s="1">
        <f>(Table1[[#This Row],[predicted_8]]-Table1[[#This Row],[actual_8]])/Table1[[#This Row],[actual_8]]</f>
        <v>0.14476386036960986</v>
      </c>
      <c r="EO565" s="1">
        <f>(Table1[[#This Row],[predicted_9]]-Table1[[#This Row],[actual_9]])/Table1[[#This Row],[actual_9]]</f>
        <v>-0.10505450941526263</v>
      </c>
      <c r="EP565" s="1">
        <f>1+(Table1[[#This Row],[error_ratio_0]]-EF$2)</f>
        <v>1.0153061224489797</v>
      </c>
      <c r="EQ565" s="1">
        <f>1+(Table1[[#This Row],[error_ratio_1]]-EG$2)</f>
        <v>1.0132158590308371</v>
      </c>
      <c r="ER565" s="1">
        <f>1+(Table1[[#This Row],[error_ratio_2]]-EH$2)</f>
        <v>1.0174418604651163</v>
      </c>
      <c r="ES565" s="1">
        <f>1+(Table1[[#This Row],[error_ratio_3]]-EI$2)</f>
        <v>0.92970297029702975</v>
      </c>
      <c r="ET565" s="1">
        <f>1+(Table1[[#This Row],[error_ratio_4]]-EJ$2)</f>
        <v>1.0132382892057026</v>
      </c>
      <c r="EU565" s="1">
        <f>1+(Table1[[#This Row],[error_ratio_5]]-EK$2)</f>
        <v>0.93273542600896864</v>
      </c>
      <c r="EV565" s="1">
        <f>1+(Table1[[#This Row],[error_ratio_6]]-EL$2)</f>
        <v>0.99373695198329859</v>
      </c>
      <c r="EW565" s="1">
        <f>1+(Table1[[#This Row],[error_ratio_7]]-EM$2)</f>
        <v>1.0330739299610896</v>
      </c>
      <c r="EX565" s="1">
        <f>1+(Table1[[#This Row],[error_ratio_8]]-EN$2)</f>
        <v>1.1478439425051334</v>
      </c>
      <c r="EY565" s="1">
        <f>1+(Table1[[#This Row],[error_ratio_9]]-EO$2)</f>
        <v>0.89890981169474726</v>
      </c>
    </row>
    <row r="566" spans="1:155" x14ac:dyDescent="0.75">
      <c r="A566">
        <v>100</v>
      </c>
      <c r="B566">
        <v>10</v>
      </c>
      <c r="C566">
        <v>100</v>
      </c>
      <c r="D566">
        <v>10</v>
      </c>
      <c r="E566">
        <v>100</v>
      </c>
      <c r="F566">
        <v>10</v>
      </c>
      <c r="G566">
        <v>10</v>
      </c>
      <c r="H566">
        <v>100</v>
      </c>
      <c r="I566">
        <v>100</v>
      </c>
      <c r="J566">
        <v>10</v>
      </c>
      <c r="K566">
        <v>1008</v>
      </c>
      <c r="L566">
        <v>1112</v>
      </c>
      <c r="M566">
        <v>1063</v>
      </c>
      <c r="N566">
        <v>937</v>
      </c>
      <c r="O566">
        <v>1066</v>
      </c>
      <c r="P566">
        <v>817</v>
      </c>
      <c r="Q566">
        <v>906</v>
      </c>
      <c r="R566">
        <v>1071</v>
      </c>
      <c r="S566">
        <v>1167</v>
      </c>
      <c r="T566">
        <v>853</v>
      </c>
      <c r="U566">
        <v>980</v>
      </c>
      <c r="V566">
        <v>1135</v>
      </c>
      <c r="W566">
        <v>1032</v>
      </c>
      <c r="X566">
        <v>1010</v>
      </c>
      <c r="Y566">
        <v>982</v>
      </c>
      <c r="Z566">
        <v>892</v>
      </c>
      <c r="AA566">
        <v>958</v>
      </c>
      <c r="AB566">
        <v>1028</v>
      </c>
      <c r="AC566">
        <v>974</v>
      </c>
      <c r="AD566">
        <v>1009</v>
      </c>
      <c r="AE566">
        <v>974</v>
      </c>
      <c r="AF566">
        <v>0</v>
      </c>
      <c r="AG566">
        <v>0</v>
      </c>
      <c r="AH566">
        <v>0</v>
      </c>
      <c r="AI566">
        <v>1</v>
      </c>
      <c r="AJ566">
        <v>0</v>
      </c>
      <c r="AK566">
        <v>0</v>
      </c>
      <c r="AL566">
        <v>2</v>
      </c>
      <c r="AM566">
        <v>3</v>
      </c>
      <c r="AN566">
        <v>0</v>
      </c>
      <c r="AO566">
        <v>0</v>
      </c>
      <c r="AP566">
        <v>1105</v>
      </c>
      <c r="AQ566">
        <v>4</v>
      </c>
      <c r="AR566">
        <v>4</v>
      </c>
      <c r="AS566">
        <v>1</v>
      </c>
      <c r="AT566">
        <v>1</v>
      </c>
      <c r="AU566">
        <v>1</v>
      </c>
      <c r="AV566">
        <v>11</v>
      </c>
      <c r="AW566">
        <v>8</v>
      </c>
      <c r="AX566">
        <v>0</v>
      </c>
      <c r="AY566">
        <v>1</v>
      </c>
      <c r="AZ566">
        <v>1</v>
      </c>
      <c r="BA566">
        <v>1017</v>
      </c>
      <c r="BB566">
        <v>0</v>
      </c>
      <c r="BC566">
        <v>2</v>
      </c>
      <c r="BD566">
        <v>0</v>
      </c>
      <c r="BE566">
        <v>0</v>
      </c>
      <c r="BF566">
        <v>5</v>
      </c>
      <c r="BG566">
        <v>6</v>
      </c>
      <c r="BH566">
        <v>0</v>
      </c>
      <c r="BI566">
        <v>4</v>
      </c>
      <c r="BJ566">
        <v>0</v>
      </c>
      <c r="BK566">
        <v>21</v>
      </c>
      <c r="BL566">
        <v>923</v>
      </c>
      <c r="BM566">
        <v>1</v>
      </c>
      <c r="BN566">
        <v>33</v>
      </c>
      <c r="BO566">
        <v>0</v>
      </c>
      <c r="BP566">
        <v>11</v>
      </c>
      <c r="BQ566">
        <v>17</v>
      </c>
      <c r="BR566">
        <v>0</v>
      </c>
      <c r="BS566">
        <v>0</v>
      </c>
      <c r="BT566">
        <v>0</v>
      </c>
      <c r="BU566">
        <v>0</v>
      </c>
      <c r="BV566">
        <v>0</v>
      </c>
      <c r="BW566">
        <v>978</v>
      </c>
      <c r="BX566">
        <v>0</v>
      </c>
      <c r="BY566">
        <v>1</v>
      </c>
      <c r="BZ566">
        <v>1</v>
      </c>
      <c r="CA566">
        <v>2</v>
      </c>
      <c r="CB566">
        <v>0</v>
      </c>
      <c r="CC566">
        <v>9</v>
      </c>
      <c r="CD566">
        <v>0</v>
      </c>
      <c r="CE566">
        <v>1</v>
      </c>
      <c r="CF566">
        <v>3</v>
      </c>
      <c r="CG566">
        <v>3</v>
      </c>
      <c r="CH566">
        <v>779</v>
      </c>
      <c r="CI566">
        <v>5</v>
      </c>
      <c r="CJ566">
        <v>4</v>
      </c>
      <c r="CK566">
        <v>86</v>
      </c>
      <c r="CL566">
        <v>2</v>
      </c>
      <c r="CM566">
        <v>12</v>
      </c>
      <c r="CN566">
        <v>3</v>
      </c>
      <c r="CO566">
        <v>0</v>
      </c>
      <c r="CP566">
        <v>0</v>
      </c>
      <c r="CQ566">
        <v>17</v>
      </c>
      <c r="CR566">
        <v>0</v>
      </c>
      <c r="CS566">
        <v>899</v>
      </c>
      <c r="CT566">
        <v>0</v>
      </c>
      <c r="CU566">
        <v>27</v>
      </c>
      <c r="CV566">
        <v>0</v>
      </c>
      <c r="CW566">
        <v>0</v>
      </c>
      <c r="CX566">
        <v>1</v>
      </c>
      <c r="CY566">
        <v>18</v>
      </c>
      <c r="CZ566">
        <v>0</v>
      </c>
      <c r="DA566">
        <v>1</v>
      </c>
      <c r="DB566">
        <v>0</v>
      </c>
      <c r="DC566">
        <v>0</v>
      </c>
      <c r="DD566">
        <v>1007</v>
      </c>
      <c r="DE566">
        <v>1</v>
      </c>
      <c r="DF566">
        <v>0</v>
      </c>
      <c r="DG566">
        <v>4</v>
      </c>
      <c r="DH566">
        <v>0</v>
      </c>
      <c r="DI566">
        <v>1</v>
      </c>
      <c r="DJ566">
        <v>0</v>
      </c>
      <c r="DK566">
        <v>0</v>
      </c>
      <c r="DL566">
        <v>0</v>
      </c>
      <c r="DM566">
        <v>0</v>
      </c>
      <c r="DN566">
        <v>8</v>
      </c>
      <c r="DO566">
        <v>961</v>
      </c>
      <c r="DP566">
        <v>0</v>
      </c>
      <c r="DQ566">
        <v>4</v>
      </c>
      <c r="DR566">
        <v>2</v>
      </c>
      <c r="DS566">
        <v>1</v>
      </c>
      <c r="DT566">
        <v>7</v>
      </c>
      <c r="DU566">
        <v>62</v>
      </c>
      <c r="DV566">
        <v>4</v>
      </c>
      <c r="DW566">
        <v>0</v>
      </c>
      <c r="DX566">
        <v>22</v>
      </c>
      <c r="DY566">
        <v>56</v>
      </c>
      <c r="DZ566">
        <v>851</v>
      </c>
      <c r="EA566">
        <v>0.94940000000000002</v>
      </c>
      <c r="EB566">
        <v>0.95263474336015397</v>
      </c>
      <c r="EC566">
        <v>0.94840650404432802</v>
      </c>
      <c r="ED566">
        <v>0.94850226552986605</v>
      </c>
      <c r="EE566">
        <f>SUM(Table1[[#This Row],[ratio_0]:[ratio_9]])</f>
        <v>550</v>
      </c>
      <c r="EF566" s="1">
        <f>(Table1[[#This Row],[predicted_0]]-Table1[[#This Row],[actual_0]])/Table1[[#This Row],[actual_0]]</f>
        <v>2.8571428571428571E-2</v>
      </c>
      <c r="EG566" s="1">
        <f>(Table1[[#This Row],[predicted_1]]-Table1[[#This Row],[actual_1]])/Table1[[#This Row],[actual_1]]</f>
        <v>-2.0264317180616741E-2</v>
      </c>
      <c r="EH566" s="1">
        <f>(Table1[[#This Row],[predicted_2]]-Table1[[#This Row],[actual_2]])/Table1[[#This Row],[actual_2]]</f>
        <v>3.0038759689922482E-2</v>
      </c>
      <c r="EI566" s="1">
        <f>(Table1[[#This Row],[predicted_3]]-Table1[[#This Row],[actual_3]])/Table1[[#This Row],[actual_3]]</f>
        <v>-7.2277227722772272E-2</v>
      </c>
      <c r="EJ566" s="1">
        <f>(Table1[[#This Row],[predicted_4]]-Table1[[#This Row],[actual_4]])/Table1[[#This Row],[actual_4]]</f>
        <v>8.5539714867617106E-2</v>
      </c>
      <c r="EK566" s="1">
        <f>(Table1[[#This Row],[predicted_5]]-Table1[[#This Row],[actual_5]])/Table1[[#This Row],[actual_5]]</f>
        <v>-8.4080717488789244E-2</v>
      </c>
      <c r="EL566" s="1">
        <f>(Table1[[#This Row],[predicted_6]]-Table1[[#This Row],[actual_6]])/Table1[[#This Row],[actual_6]]</f>
        <v>-5.4279749478079335E-2</v>
      </c>
      <c r="EM566" s="1">
        <f>(Table1[[#This Row],[predicted_7]]-Table1[[#This Row],[actual_7]])/Table1[[#This Row],[actual_7]]</f>
        <v>4.1828793774319063E-2</v>
      </c>
      <c r="EN566" s="1">
        <f>(Table1[[#This Row],[predicted_8]]-Table1[[#This Row],[actual_8]])/Table1[[#This Row],[actual_8]]</f>
        <v>0.19815195071868583</v>
      </c>
      <c r="EO566" s="1">
        <f>(Table1[[#This Row],[predicted_9]]-Table1[[#This Row],[actual_9]])/Table1[[#This Row],[actual_9]]</f>
        <v>-0.15460852329038652</v>
      </c>
      <c r="EP566" s="1">
        <f>1+(Table1[[#This Row],[error_ratio_0]]-EF$2)</f>
        <v>1.0265306122448981</v>
      </c>
      <c r="EQ566" s="1">
        <f>1+(Table1[[#This Row],[error_ratio_1]]-EG$2)</f>
        <v>0.97797356828193838</v>
      </c>
      <c r="ER566" s="1">
        <f>1+(Table1[[#This Row],[error_ratio_2]]-EH$2)</f>
        <v>1.0348837209302326</v>
      </c>
      <c r="ES566" s="1">
        <f>1+(Table1[[#This Row],[error_ratio_3]]-EI$2)</f>
        <v>0.91782178217821786</v>
      </c>
      <c r="ET566" s="1">
        <f>1+(Table1[[#This Row],[error_ratio_4]]-EJ$2)</f>
        <v>1.084521384928717</v>
      </c>
      <c r="EU566" s="1">
        <f>1+(Table1[[#This Row],[error_ratio_5]]-EK$2)</f>
        <v>0.91479820627802688</v>
      </c>
      <c r="EV566" s="1">
        <f>1+(Table1[[#This Row],[error_ratio_6]]-EL$2)</f>
        <v>0.95198329853862207</v>
      </c>
      <c r="EW566" s="1">
        <f>1+(Table1[[#This Row],[error_ratio_7]]-EM$2)</f>
        <v>1.0398832684824904</v>
      </c>
      <c r="EX566" s="1">
        <f>1+(Table1[[#This Row],[error_ratio_8]]-EN$2)</f>
        <v>1.2012320328542094</v>
      </c>
      <c r="EY566" s="1">
        <f>1+(Table1[[#This Row],[error_ratio_9]]-EO$2)</f>
        <v>0.84935579781962334</v>
      </c>
    </row>
    <row r="567" spans="1:155" x14ac:dyDescent="0.75">
      <c r="A567">
        <v>10</v>
      </c>
      <c r="B567">
        <v>10</v>
      </c>
      <c r="C567">
        <v>100</v>
      </c>
      <c r="D567">
        <v>10</v>
      </c>
      <c r="E567">
        <v>100</v>
      </c>
      <c r="F567">
        <v>10</v>
      </c>
      <c r="G567">
        <v>10</v>
      </c>
      <c r="H567">
        <v>100</v>
      </c>
      <c r="I567">
        <v>100</v>
      </c>
      <c r="J567">
        <v>10</v>
      </c>
      <c r="K567">
        <v>969</v>
      </c>
      <c r="L567">
        <v>1113</v>
      </c>
      <c r="M567">
        <v>1144</v>
      </c>
      <c r="N567">
        <v>968</v>
      </c>
      <c r="O567">
        <v>1038</v>
      </c>
      <c r="P567">
        <v>842</v>
      </c>
      <c r="Q567">
        <v>922</v>
      </c>
      <c r="R567">
        <v>1087</v>
      </c>
      <c r="S567">
        <v>1045</v>
      </c>
      <c r="T567">
        <v>872</v>
      </c>
      <c r="U567">
        <v>980</v>
      </c>
      <c r="V567">
        <v>1135</v>
      </c>
      <c r="W567">
        <v>1032</v>
      </c>
      <c r="X567">
        <v>1010</v>
      </c>
      <c r="Y567">
        <v>982</v>
      </c>
      <c r="Z567">
        <v>892</v>
      </c>
      <c r="AA567">
        <v>958</v>
      </c>
      <c r="AB567">
        <v>1028</v>
      </c>
      <c r="AC567">
        <v>974</v>
      </c>
      <c r="AD567">
        <v>1009</v>
      </c>
      <c r="AE567">
        <v>953</v>
      </c>
      <c r="AF567">
        <v>0</v>
      </c>
      <c r="AG567">
        <v>13</v>
      </c>
      <c r="AH567">
        <v>0</v>
      </c>
      <c r="AI567">
        <v>0</v>
      </c>
      <c r="AJ567">
        <v>0</v>
      </c>
      <c r="AK567">
        <v>3</v>
      </c>
      <c r="AL567">
        <v>7</v>
      </c>
      <c r="AM567">
        <v>4</v>
      </c>
      <c r="AN567">
        <v>0</v>
      </c>
      <c r="AO567">
        <v>0</v>
      </c>
      <c r="AP567">
        <v>1109</v>
      </c>
      <c r="AQ567">
        <v>7</v>
      </c>
      <c r="AR567">
        <v>4</v>
      </c>
      <c r="AS567">
        <v>8</v>
      </c>
      <c r="AT567">
        <v>0</v>
      </c>
      <c r="AU567">
        <v>0</v>
      </c>
      <c r="AV567">
        <v>5</v>
      </c>
      <c r="AW567">
        <v>2</v>
      </c>
      <c r="AX567">
        <v>0</v>
      </c>
      <c r="AY567">
        <v>0</v>
      </c>
      <c r="AZ567">
        <v>0</v>
      </c>
      <c r="BA567">
        <v>1028</v>
      </c>
      <c r="BB567">
        <v>0</v>
      </c>
      <c r="BC567">
        <v>1</v>
      </c>
      <c r="BD567">
        <v>0</v>
      </c>
      <c r="BE567">
        <v>0</v>
      </c>
      <c r="BF567">
        <v>2</v>
      </c>
      <c r="BG567">
        <v>1</v>
      </c>
      <c r="BH567">
        <v>0</v>
      </c>
      <c r="BI567">
        <v>0</v>
      </c>
      <c r="BJ567">
        <v>0</v>
      </c>
      <c r="BK567">
        <v>43</v>
      </c>
      <c r="BL567">
        <v>932</v>
      </c>
      <c r="BM567">
        <v>0</v>
      </c>
      <c r="BN567">
        <v>2</v>
      </c>
      <c r="BO567">
        <v>0</v>
      </c>
      <c r="BP567">
        <v>13</v>
      </c>
      <c r="BQ567">
        <v>20</v>
      </c>
      <c r="BR567">
        <v>0</v>
      </c>
      <c r="BS567">
        <v>0</v>
      </c>
      <c r="BT567">
        <v>0</v>
      </c>
      <c r="BU567">
        <v>3</v>
      </c>
      <c r="BV567">
        <v>0</v>
      </c>
      <c r="BW567">
        <v>974</v>
      </c>
      <c r="BX567">
        <v>0</v>
      </c>
      <c r="BY567">
        <v>3</v>
      </c>
      <c r="BZ567">
        <v>2</v>
      </c>
      <c r="CA567">
        <v>0</v>
      </c>
      <c r="CB567">
        <v>0</v>
      </c>
      <c r="CC567">
        <v>4</v>
      </c>
      <c r="CD567">
        <v>0</v>
      </c>
      <c r="CE567">
        <v>3</v>
      </c>
      <c r="CF567">
        <v>24</v>
      </c>
      <c r="CG567">
        <v>0</v>
      </c>
      <c r="CH567">
        <v>823</v>
      </c>
      <c r="CI567">
        <v>4</v>
      </c>
      <c r="CJ567">
        <v>9</v>
      </c>
      <c r="CK567">
        <v>25</v>
      </c>
      <c r="CL567">
        <v>0</v>
      </c>
      <c r="CM567">
        <v>8</v>
      </c>
      <c r="CN567">
        <v>4</v>
      </c>
      <c r="CO567">
        <v>13</v>
      </c>
      <c r="CP567">
        <v>0</v>
      </c>
      <c r="CQ567">
        <v>2</v>
      </c>
      <c r="CR567">
        <v>3</v>
      </c>
      <c r="CS567">
        <v>911</v>
      </c>
      <c r="CT567">
        <v>0</v>
      </c>
      <c r="CU567">
        <v>17</v>
      </c>
      <c r="CV567">
        <v>0</v>
      </c>
      <c r="CW567">
        <v>0</v>
      </c>
      <c r="CX567">
        <v>0</v>
      </c>
      <c r="CY567">
        <v>27</v>
      </c>
      <c r="CZ567">
        <v>0</v>
      </c>
      <c r="DA567">
        <v>0</v>
      </c>
      <c r="DB567">
        <v>0</v>
      </c>
      <c r="DC567">
        <v>0</v>
      </c>
      <c r="DD567">
        <v>1000</v>
      </c>
      <c r="DE567">
        <v>1</v>
      </c>
      <c r="DF567">
        <v>0</v>
      </c>
      <c r="DG567">
        <v>0</v>
      </c>
      <c r="DH567">
        <v>0</v>
      </c>
      <c r="DI567">
        <v>2</v>
      </c>
      <c r="DJ567">
        <v>0</v>
      </c>
      <c r="DK567">
        <v>3</v>
      </c>
      <c r="DL567">
        <v>0</v>
      </c>
      <c r="DM567">
        <v>0</v>
      </c>
      <c r="DN567">
        <v>7</v>
      </c>
      <c r="DO567">
        <v>961</v>
      </c>
      <c r="DP567">
        <v>1</v>
      </c>
      <c r="DQ567">
        <v>4</v>
      </c>
      <c r="DR567">
        <v>0</v>
      </c>
      <c r="DS567">
        <v>5</v>
      </c>
      <c r="DT567">
        <v>8</v>
      </c>
      <c r="DU567">
        <v>50</v>
      </c>
      <c r="DV567">
        <v>14</v>
      </c>
      <c r="DW567">
        <v>1</v>
      </c>
      <c r="DX567">
        <v>42</v>
      </c>
      <c r="DY567">
        <v>14</v>
      </c>
      <c r="DZ567">
        <v>871</v>
      </c>
      <c r="EA567">
        <v>0.95620000000000005</v>
      </c>
      <c r="EB567">
        <v>0.95835862559231899</v>
      </c>
      <c r="EC567">
        <v>0.95565229014739295</v>
      </c>
      <c r="ED567">
        <v>0.95582528639345299</v>
      </c>
      <c r="EE567">
        <f>SUM(Table1[[#This Row],[ratio_0]:[ratio_9]])</f>
        <v>460</v>
      </c>
      <c r="EF567" s="1">
        <f>(Table1[[#This Row],[predicted_0]]-Table1[[#This Row],[actual_0]])/Table1[[#This Row],[actual_0]]</f>
        <v>-1.1224489795918367E-2</v>
      </c>
      <c r="EG567" s="1">
        <f>(Table1[[#This Row],[predicted_1]]-Table1[[#This Row],[actual_1]])/Table1[[#This Row],[actual_1]]</f>
        <v>-1.9383259911894272E-2</v>
      </c>
      <c r="EH567" s="1">
        <f>(Table1[[#This Row],[predicted_2]]-Table1[[#This Row],[actual_2]])/Table1[[#This Row],[actual_2]]</f>
        <v>0.10852713178294573</v>
      </c>
      <c r="EI567" s="1">
        <f>(Table1[[#This Row],[predicted_3]]-Table1[[#This Row],[actual_3]])/Table1[[#This Row],[actual_3]]</f>
        <v>-4.1584158415841586E-2</v>
      </c>
      <c r="EJ567" s="1">
        <f>(Table1[[#This Row],[predicted_4]]-Table1[[#This Row],[actual_4]])/Table1[[#This Row],[actual_4]]</f>
        <v>5.7026476578411409E-2</v>
      </c>
      <c r="EK567" s="1">
        <f>(Table1[[#This Row],[predicted_5]]-Table1[[#This Row],[actual_5]])/Table1[[#This Row],[actual_5]]</f>
        <v>-5.6053811659192827E-2</v>
      </c>
      <c r="EL567" s="1">
        <f>(Table1[[#This Row],[predicted_6]]-Table1[[#This Row],[actual_6]])/Table1[[#This Row],[actual_6]]</f>
        <v>-3.7578288100208766E-2</v>
      </c>
      <c r="EM567" s="1">
        <f>(Table1[[#This Row],[predicted_7]]-Table1[[#This Row],[actual_7]])/Table1[[#This Row],[actual_7]]</f>
        <v>5.7392996108949414E-2</v>
      </c>
      <c r="EN567" s="1">
        <f>(Table1[[#This Row],[predicted_8]]-Table1[[#This Row],[actual_8]])/Table1[[#This Row],[actual_8]]</f>
        <v>7.2895277207392195E-2</v>
      </c>
      <c r="EO567" s="1">
        <f>(Table1[[#This Row],[predicted_9]]-Table1[[#This Row],[actual_9]])/Table1[[#This Row],[actual_9]]</f>
        <v>-0.13577799801783944</v>
      </c>
      <c r="EP567" s="1">
        <f>1+(Table1[[#This Row],[error_ratio_0]]-EF$2)</f>
        <v>0.98673469387755097</v>
      </c>
      <c r="EQ567" s="1">
        <f>1+(Table1[[#This Row],[error_ratio_1]]-EG$2)</f>
        <v>0.97885462555066083</v>
      </c>
      <c r="ER567" s="1">
        <f>1+(Table1[[#This Row],[error_ratio_2]]-EH$2)</f>
        <v>1.1133720930232558</v>
      </c>
      <c r="ES567" s="1">
        <f>1+(Table1[[#This Row],[error_ratio_3]]-EI$2)</f>
        <v>0.94851485148514847</v>
      </c>
      <c r="ET567" s="1">
        <f>1+(Table1[[#This Row],[error_ratio_4]]-EJ$2)</f>
        <v>1.0560081466395113</v>
      </c>
      <c r="EU567" s="1">
        <f>1+(Table1[[#This Row],[error_ratio_5]]-EK$2)</f>
        <v>0.94282511210762332</v>
      </c>
      <c r="EV567" s="1">
        <f>1+(Table1[[#This Row],[error_ratio_6]]-EL$2)</f>
        <v>0.96868475991649272</v>
      </c>
      <c r="EW567" s="1">
        <f>1+(Table1[[#This Row],[error_ratio_7]]-EM$2)</f>
        <v>1.0554474708171206</v>
      </c>
      <c r="EX567" s="1">
        <f>1+(Table1[[#This Row],[error_ratio_8]]-EN$2)</f>
        <v>1.0759753593429158</v>
      </c>
      <c r="EY567" s="1">
        <f>1+(Table1[[#This Row],[error_ratio_9]]-EO$2)</f>
        <v>0.86818632309217048</v>
      </c>
    </row>
    <row r="568" spans="1:155" x14ac:dyDescent="0.75">
      <c r="A568">
        <v>100</v>
      </c>
      <c r="B568">
        <v>100</v>
      </c>
      <c r="C568">
        <v>10</v>
      </c>
      <c r="D568">
        <v>10</v>
      </c>
      <c r="E568">
        <v>100</v>
      </c>
      <c r="F568">
        <v>10</v>
      </c>
      <c r="G568">
        <v>10</v>
      </c>
      <c r="H568">
        <v>100</v>
      </c>
      <c r="I568">
        <v>100</v>
      </c>
      <c r="J568">
        <v>10</v>
      </c>
      <c r="K568">
        <v>1020</v>
      </c>
      <c r="L568">
        <v>1150</v>
      </c>
      <c r="M568">
        <v>949</v>
      </c>
      <c r="N568">
        <v>988</v>
      </c>
      <c r="O568">
        <v>1032</v>
      </c>
      <c r="P568">
        <v>908</v>
      </c>
      <c r="Q568">
        <v>925</v>
      </c>
      <c r="R568">
        <v>1104</v>
      </c>
      <c r="S568">
        <v>989</v>
      </c>
      <c r="T568">
        <v>935</v>
      </c>
      <c r="U568">
        <v>980</v>
      </c>
      <c r="V568">
        <v>1135</v>
      </c>
      <c r="W568">
        <v>1032</v>
      </c>
      <c r="X568">
        <v>1010</v>
      </c>
      <c r="Y568">
        <v>982</v>
      </c>
      <c r="Z568">
        <v>892</v>
      </c>
      <c r="AA568">
        <v>958</v>
      </c>
      <c r="AB568">
        <v>1028</v>
      </c>
      <c r="AC568">
        <v>974</v>
      </c>
      <c r="AD568">
        <v>1009</v>
      </c>
      <c r="AE568">
        <v>972</v>
      </c>
      <c r="AF568">
        <v>0</v>
      </c>
      <c r="AG568">
        <v>0</v>
      </c>
      <c r="AH568">
        <v>0</v>
      </c>
      <c r="AI568">
        <v>0</v>
      </c>
      <c r="AJ568">
        <v>1</v>
      </c>
      <c r="AK568">
        <v>0</v>
      </c>
      <c r="AL568">
        <v>5</v>
      </c>
      <c r="AM568">
        <v>2</v>
      </c>
      <c r="AN568">
        <v>0</v>
      </c>
      <c r="AO568">
        <v>0</v>
      </c>
      <c r="AP568">
        <v>1133</v>
      </c>
      <c r="AQ568">
        <v>0</v>
      </c>
      <c r="AR568">
        <v>2</v>
      </c>
      <c r="AS568">
        <v>0</v>
      </c>
      <c r="AT568">
        <v>0</v>
      </c>
      <c r="AU568">
        <v>0</v>
      </c>
      <c r="AV568">
        <v>0</v>
      </c>
      <c r="AW568">
        <v>0</v>
      </c>
      <c r="AX568">
        <v>0</v>
      </c>
      <c r="AY568">
        <v>16</v>
      </c>
      <c r="AZ568">
        <v>2</v>
      </c>
      <c r="BA568">
        <v>944</v>
      </c>
      <c r="BB568">
        <v>3</v>
      </c>
      <c r="BC568">
        <v>10</v>
      </c>
      <c r="BD568">
        <v>0</v>
      </c>
      <c r="BE568">
        <v>3</v>
      </c>
      <c r="BF568">
        <v>46</v>
      </c>
      <c r="BG568">
        <v>8</v>
      </c>
      <c r="BH568">
        <v>0</v>
      </c>
      <c r="BI568">
        <v>6</v>
      </c>
      <c r="BJ568">
        <v>0</v>
      </c>
      <c r="BK568">
        <v>1</v>
      </c>
      <c r="BL568">
        <v>967</v>
      </c>
      <c r="BM568">
        <v>0</v>
      </c>
      <c r="BN568">
        <v>20</v>
      </c>
      <c r="BO568">
        <v>0</v>
      </c>
      <c r="BP568">
        <v>11</v>
      </c>
      <c r="BQ568">
        <v>4</v>
      </c>
      <c r="BR568">
        <v>1</v>
      </c>
      <c r="BS568">
        <v>0</v>
      </c>
      <c r="BT568">
        <v>0</v>
      </c>
      <c r="BU568">
        <v>0</v>
      </c>
      <c r="BV568">
        <v>0</v>
      </c>
      <c r="BW568">
        <v>981</v>
      </c>
      <c r="BX568">
        <v>0</v>
      </c>
      <c r="BY568">
        <v>1</v>
      </c>
      <c r="BZ568">
        <v>0</v>
      </c>
      <c r="CA568">
        <v>0</v>
      </c>
      <c r="CB568">
        <v>0</v>
      </c>
      <c r="CC568">
        <v>3</v>
      </c>
      <c r="CD568">
        <v>0</v>
      </c>
      <c r="CE568">
        <v>0</v>
      </c>
      <c r="CF568">
        <v>5</v>
      </c>
      <c r="CG568">
        <v>0</v>
      </c>
      <c r="CH568">
        <v>864</v>
      </c>
      <c r="CI568">
        <v>6</v>
      </c>
      <c r="CJ568">
        <v>1</v>
      </c>
      <c r="CK568">
        <v>12</v>
      </c>
      <c r="CL568">
        <v>1</v>
      </c>
      <c r="CM568">
        <v>13</v>
      </c>
      <c r="CN568">
        <v>7</v>
      </c>
      <c r="CO568">
        <v>1</v>
      </c>
      <c r="CP568">
        <v>0</v>
      </c>
      <c r="CQ568">
        <v>16</v>
      </c>
      <c r="CR568">
        <v>5</v>
      </c>
      <c r="CS568">
        <v>912</v>
      </c>
      <c r="CT568">
        <v>0</v>
      </c>
      <c r="CU568">
        <v>4</v>
      </c>
      <c r="CV568">
        <v>0</v>
      </c>
      <c r="CW568">
        <v>0</v>
      </c>
      <c r="CX568">
        <v>2</v>
      </c>
      <c r="CY568">
        <v>3</v>
      </c>
      <c r="CZ568">
        <v>0</v>
      </c>
      <c r="DA568">
        <v>1</v>
      </c>
      <c r="DB568">
        <v>0</v>
      </c>
      <c r="DC568">
        <v>0</v>
      </c>
      <c r="DD568">
        <v>1020</v>
      </c>
      <c r="DE568">
        <v>1</v>
      </c>
      <c r="DF568">
        <v>1</v>
      </c>
      <c r="DG568">
        <v>3</v>
      </c>
      <c r="DH568">
        <v>0</v>
      </c>
      <c r="DI568">
        <v>0</v>
      </c>
      <c r="DJ568">
        <v>3</v>
      </c>
      <c r="DK568">
        <v>5</v>
      </c>
      <c r="DL568">
        <v>1</v>
      </c>
      <c r="DM568">
        <v>3</v>
      </c>
      <c r="DN568">
        <v>9</v>
      </c>
      <c r="DO568">
        <v>947</v>
      </c>
      <c r="DP568">
        <v>3</v>
      </c>
      <c r="DQ568">
        <v>7</v>
      </c>
      <c r="DR568">
        <v>6</v>
      </c>
      <c r="DS568">
        <v>0</v>
      </c>
      <c r="DT568">
        <v>8</v>
      </c>
      <c r="DU568">
        <v>19</v>
      </c>
      <c r="DV568">
        <v>17</v>
      </c>
      <c r="DW568">
        <v>0</v>
      </c>
      <c r="DX568">
        <v>12</v>
      </c>
      <c r="DY568">
        <v>11</v>
      </c>
      <c r="DZ568">
        <v>929</v>
      </c>
      <c r="EA568">
        <v>0.96689999999999998</v>
      </c>
      <c r="EB568">
        <v>0.96747327873174305</v>
      </c>
      <c r="EC568">
        <v>0.96670146163845805</v>
      </c>
      <c r="ED568">
        <v>0.96650137048998097</v>
      </c>
      <c r="EE568">
        <f>SUM(Table1[[#This Row],[ratio_0]:[ratio_9]])</f>
        <v>550</v>
      </c>
      <c r="EF568" s="1">
        <f>(Table1[[#This Row],[predicted_0]]-Table1[[#This Row],[actual_0]])/Table1[[#This Row],[actual_0]]</f>
        <v>4.0816326530612242E-2</v>
      </c>
      <c r="EG568" s="1">
        <f>(Table1[[#This Row],[predicted_1]]-Table1[[#This Row],[actual_1]])/Table1[[#This Row],[actual_1]]</f>
        <v>1.3215859030837005E-2</v>
      </c>
      <c r="EH568" s="1">
        <f>(Table1[[#This Row],[predicted_2]]-Table1[[#This Row],[actual_2]])/Table1[[#This Row],[actual_2]]</f>
        <v>-8.0426356589147291E-2</v>
      </c>
      <c r="EI568" s="1">
        <f>(Table1[[#This Row],[predicted_3]]-Table1[[#This Row],[actual_3]])/Table1[[#This Row],[actual_3]]</f>
        <v>-2.1782178217821781E-2</v>
      </c>
      <c r="EJ568" s="1">
        <f>(Table1[[#This Row],[predicted_4]]-Table1[[#This Row],[actual_4]])/Table1[[#This Row],[actual_4]]</f>
        <v>5.0916496945010187E-2</v>
      </c>
      <c r="EK568" s="1">
        <f>(Table1[[#This Row],[predicted_5]]-Table1[[#This Row],[actual_5]])/Table1[[#This Row],[actual_5]]</f>
        <v>1.7937219730941704E-2</v>
      </c>
      <c r="EL568" s="1">
        <f>(Table1[[#This Row],[predicted_6]]-Table1[[#This Row],[actual_6]])/Table1[[#This Row],[actual_6]]</f>
        <v>-3.444676409185804E-2</v>
      </c>
      <c r="EM568" s="1">
        <f>(Table1[[#This Row],[predicted_7]]-Table1[[#This Row],[actual_7]])/Table1[[#This Row],[actual_7]]</f>
        <v>7.3929961089494164E-2</v>
      </c>
      <c r="EN568" s="1">
        <f>(Table1[[#This Row],[predicted_8]]-Table1[[#This Row],[actual_8]])/Table1[[#This Row],[actual_8]]</f>
        <v>1.5400410677618069E-2</v>
      </c>
      <c r="EO568" s="1">
        <f>(Table1[[#This Row],[predicted_9]]-Table1[[#This Row],[actual_9]])/Table1[[#This Row],[actual_9]]</f>
        <v>-7.3339940535183348E-2</v>
      </c>
      <c r="EP568" s="1">
        <f>1+(Table1[[#This Row],[error_ratio_0]]-EF$2)</f>
        <v>1.0387755102040817</v>
      </c>
      <c r="EQ568" s="1">
        <f>1+(Table1[[#This Row],[error_ratio_1]]-EG$2)</f>
        <v>1.011453744493392</v>
      </c>
      <c r="ER568" s="1">
        <f>1+(Table1[[#This Row],[error_ratio_2]]-EH$2)</f>
        <v>0.92441860465116277</v>
      </c>
      <c r="ES568" s="1">
        <f>1+(Table1[[#This Row],[error_ratio_3]]-EI$2)</f>
        <v>0.96831683168316829</v>
      </c>
      <c r="ET568" s="1">
        <f>1+(Table1[[#This Row],[error_ratio_4]]-EJ$2)</f>
        <v>1.0498981670061101</v>
      </c>
      <c r="EU568" s="1">
        <f>1+(Table1[[#This Row],[error_ratio_5]]-EK$2)</f>
        <v>1.0168161434977578</v>
      </c>
      <c r="EV568" s="1">
        <f>1+(Table1[[#This Row],[error_ratio_6]]-EL$2)</f>
        <v>0.97181628392484343</v>
      </c>
      <c r="EW568" s="1">
        <f>1+(Table1[[#This Row],[error_ratio_7]]-EM$2)</f>
        <v>1.0719844357976653</v>
      </c>
      <c r="EX568" s="1">
        <f>1+(Table1[[#This Row],[error_ratio_8]]-EN$2)</f>
        <v>1.0184804928131417</v>
      </c>
      <c r="EY568" s="1">
        <f>1+(Table1[[#This Row],[error_ratio_9]]-EO$2)</f>
        <v>0.93062438057482655</v>
      </c>
    </row>
    <row r="569" spans="1:155" x14ac:dyDescent="0.75">
      <c r="A569">
        <v>10</v>
      </c>
      <c r="B569">
        <v>100</v>
      </c>
      <c r="C569">
        <v>10</v>
      </c>
      <c r="D569">
        <v>10</v>
      </c>
      <c r="E569">
        <v>100</v>
      </c>
      <c r="F569">
        <v>10</v>
      </c>
      <c r="G569">
        <v>10</v>
      </c>
      <c r="H569">
        <v>100</v>
      </c>
      <c r="I569">
        <v>100</v>
      </c>
      <c r="J569">
        <v>10</v>
      </c>
      <c r="K569">
        <v>973</v>
      </c>
      <c r="L569">
        <v>1139</v>
      </c>
      <c r="M569">
        <v>1014</v>
      </c>
      <c r="N569">
        <v>933</v>
      </c>
      <c r="O569">
        <v>1011</v>
      </c>
      <c r="P569">
        <v>937</v>
      </c>
      <c r="Q569">
        <v>923</v>
      </c>
      <c r="R569">
        <v>1134</v>
      </c>
      <c r="S569">
        <v>1053</v>
      </c>
      <c r="T569">
        <v>883</v>
      </c>
      <c r="U569">
        <v>980</v>
      </c>
      <c r="V569">
        <v>1135</v>
      </c>
      <c r="W569">
        <v>1032</v>
      </c>
      <c r="X569">
        <v>1010</v>
      </c>
      <c r="Y569">
        <v>982</v>
      </c>
      <c r="Z569">
        <v>892</v>
      </c>
      <c r="AA569">
        <v>958</v>
      </c>
      <c r="AB569">
        <v>1028</v>
      </c>
      <c r="AC569">
        <v>974</v>
      </c>
      <c r="AD569">
        <v>1009</v>
      </c>
      <c r="AE569">
        <v>957</v>
      </c>
      <c r="AF569">
        <v>0</v>
      </c>
      <c r="AG569">
        <v>5</v>
      </c>
      <c r="AH569">
        <v>0</v>
      </c>
      <c r="AI569">
        <v>1</v>
      </c>
      <c r="AJ569">
        <v>3</v>
      </c>
      <c r="AK569">
        <v>2</v>
      </c>
      <c r="AL569">
        <v>4</v>
      </c>
      <c r="AM569">
        <v>8</v>
      </c>
      <c r="AN569">
        <v>0</v>
      </c>
      <c r="AO569">
        <v>0</v>
      </c>
      <c r="AP569">
        <v>1122</v>
      </c>
      <c r="AQ569">
        <v>1</v>
      </c>
      <c r="AR569">
        <v>3</v>
      </c>
      <c r="AS569">
        <v>0</v>
      </c>
      <c r="AT569">
        <v>2</v>
      </c>
      <c r="AU569">
        <v>0</v>
      </c>
      <c r="AV569">
        <v>6</v>
      </c>
      <c r="AW569">
        <v>1</v>
      </c>
      <c r="AX569">
        <v>0</v>
      </c>
      <c r="AY569">
        <v>5</v>
      </c>
      <c r="AZ569">
        <v>3</v>
      </c>
      <c r="BA569">
        <v>971</v>
      </c>
      <c r="BB569">
        <v>0</v>
      </c>
      <c r="BC569">
        <v>1</v>
      </c>
      <c r="BD569">
        <v>1</v>
      </c>
      <c r="BE569">
        <v>1</v>
      </c>
      <c r="BF569">
        <v>27</v>
      </c>
      <c r="BG569">
        <v>23</v>
      </c>
      <c r="BH569">
        <v>0</v>
      </c>
      <c r="BI569">
        <v>1</v>
      </c>
      <c r="BJ569">
        <v>0</v>
      </c>
      <c r="BK569">
        <v>20</v>
      </c>
      <c r="BL569">
        <v>925</v>
      </c>
      <c r="BM569">
        <v>0</v>
      </c>
      <c r="BN569">
        <v>26</v>
      </c>
      <c r="BO569">
        <v>0</v>
      </c>
      <c r="BP569">
        <v>20</v>
      </c>
      <c r="BQ569">
        <v>18</v>
      </c>
      <c r="BR569">
        <v>0</v>
      </c>
      <c r="BS569">
        <v>0</v>
      </c>
      <c r="BT569">
        <v>1</v>
      </c>
      <c r="BU569">
        <v>2</v>
      </c>
      <c r="BV569">
        <v>0</v>
      </c>
      <c r="BW569">
        <v>976</v>
      </c>
      <c r="BX569">
        <v>0</v>
      </c>
      <c r="BY569">
        <v>1</v>
      </c>
      <c r="BZ569">
        <v>1</v>
      </c>
      <c r="CA569">
        <v>1</v>
      </c>
      <c r="CB569">
        <v>0</v>
      </c>
      <c r="CC569">
        <v>1</v>
      </c>
      <c r="CD569">
        <v>1</v>
      </c>
      <c r="CE569">
        <v>0</v>
      </c>
      <c r="CF569">
        <v>5</v>
      </c>
      <c r="CG569">
        <v>0</v>
      </c>
      <c r="CH569">
        <v>872</v>
      </c>
      <c r="CI569">
        <v>3</v>
      </c>
      <c r="CJ569">
        <v>1</v>
      </c>
      <c r="CK569">
        <v>9</v>
      </c>
      <c r="CL569">
        <v>0</v>
      </c>
      <c r="CM569">
        <v>3</v>
      </c>
      <c r="CN569">
        <v>6</v>
      </c>
      <c r="CO569">
        <v>4</v>
      </c>
      <c r="CP569">
        <v>0</v>
      </c>
      <c r="CQ569">
        <v>10</v>
      </c>
      <c r="CR569">
        <v>5</v>
      </c>
      <c r="CS569">
        <v>916</v>
      </c>
      <c r="CT569">
        <v>0</v>
      </c>
      <c r="CU569">
        <v>14</v>
      </c>
      <c r="CV569">
        <v>0</v>
      </c>
      <c r="CW569">
        <v>0</v>
      </c>
      <c r="CX569">
        <v>1</v>
      </c>
      <c r="CY569">
        <v>4</v>
      </c>
      <c r="CZ569">
        <v>0</v>
      </c>
      <c r="DA569">
        <v>0</v>
      </c>
      <c r="DB569">
        <v>1</v>
      </c>
      <c r="DC569">
        <v>0</v>
      </c>
      <c r="DD569">
        <v>1021</v>
      </c>
      <c r="DE569">
        <v>1</v>
      </c>
      <c r="DF569">
        <v>0</v>
      </c>
      <c r="DG569">
        <v>1</v>
      </c>
      <c r="DH569">
        <v>0</v>
      </c>
      <c r="DI569">
        <v>3</v>
      </c>
      <c r="DJ569">
        <v>0</v>
      </c>
      <c r="DK569">
        <v>0</v>
      </c>
      <c r="DL569">
        <v>1</v>
      </c>
      <c r="DM569">
        <v>0</v>
      </c>
      <c r="DN569">
        <v>6</v>
      </c>
      <c r="DO569">
        <v>963</v>
      </c>
      <c r="DP569">
        <v>0</v>
      </c>
      <c r="DQ569">
        <v>5</v>
      </c>
      <c r="DR569">
        <v>5</v>
      </c>
      <c r="DS569">
        <v>4</v>
      </c>
      <c r="DT569">
        <v>0</v>
      </c>
      <c r="DU569">
        <v>23</v>
      </c>
      <c r="DV569">
        <v>26</v>
      </c>
      <c r="DW569">
        <v>0</v>
      </c>
      <c r="DX569">
        <v>48</v>
      </c>
      <c r="DY569">
        <v>15</v>
      </c>
      <c r="DZ569">
        <v>883</v>
      </c>
      <c r="EA569">
        <v>0.96060000000000001</v>
      </c>
      <c r="EB569">
        <v>0.96209589997925304</v>
      </c>
      <c r="EC569">
        <v>0.96064579963805097</v>
      </c>
      <c r="ED569">
        <v>0.96031199461014005</v>
      </c>
      <c r="EE569">
        <f>SUM(Table1[[#This Row],[ratio_0]:[ratio_9]])</f>
        <v>460</v>
      </c>
      <c r="EF569" s="1">
        <f>(Table1[[#This Row],[predicted_0]]-Table1[[#This Row],[actual_0]])/Table1[[#This Row],[actual_0]]</f>
        <v>-7.1428571428571426E-3</v>
      </c>
      <c r="EG569" s="1">
        <f>(Table1[[#This Row],[predicted_1]]-Table1[[#This Row],[actual_1]])/Table1[[#This Row],[actual_1]]</f>
        <v>3.524229074889868E-3</v>
      </c>
      <c r="EH569" s="1">
        <f>(Table1[[#This Row],[predicted_2]]-Table1[[#This Row],[actual_2]])/Table1[[#This Row],[actual_2]]</f>
        <v>-1.7441860465116279E-2</v>
      </c>
      <c r="EI569" s="1">
        <f>(Table1[[#This Row],[predicted_3]]-Table1[[#This Row],[actual_3]])/Table1[[#This Row],[actual_3]]</f>
        <v>-7.6237623762376236E-2</v>
      </c>
      <c r="EJ569" s="1">
        <f>(Table1[[#This Row],[predicted_4]]-Table1[[#This Row],[actual_4]])/Table1[[#This Row],[actual_4]]</f>
        <v>2.9531568228105907E-2</v>
      </c>
      <c r="EK569" s="1">
        <f>(Table1[[#This Row],[predicted_5]]-Table1[[#This Row],[actual_5]])/Table1[[#This Row],[actual_5]]</f>
        <v>5.0448430493273543E-2</v>
      </c>
      <c r="EL569" s="1">
        <f>(Table1[[#This Row],[predicted_6]]-Table1[[#This Row],[actual_6]])/Table1[[#This Row],[actual_6]]</f>
        <v>-3.6534446764091857E-2</v>
      </c>
      <c r="EM569" s="1">
        <f>(Table1[[#This Row],[predicted_7]]-Table1[[#This Row],[actual_7]])/Table1[[#This Row],[actual_7]]</f>
        <v>0.10311284046692606</v>
      </c>
      <c r="EN569" s="1">
        <f>(Table1[[#This Row],[predicted_8]]-Table1[[#This Row],[actual_8]])/Table1[[#This Row],[actual_8]]</f>
        <v>8.1108829568788496E-2</v>
      </c>
      <c r="EO569" s="1">
        <f>(Table1[[#This Row],[predicted_9]]-Table1[[#This Row],[actual_9]])/Table1[[#This Row],[actual_9]]</f>
        <v>-0.12487611496531219</v>
      </c>
      <c r="EP569" s="1">
        <f>1+(Table1[[#This Row],[error_ratio_0]]-EF$2)</f>
        <v>0.99081632653061225</v>
      </c>
      <c r="EQ569" s="1">
        <f>1+(Table1[[#This Row],[error_ratio_1]]-EG$2)</f>
        <v>1.0017621145374449</v>
      </c>
      <c r="ER569" s="1">
        <f>1+(Table1[[#This Row],[error_ratio_2]]-EH$2)</f>
        <v>0.98740310077519378</v>
      </c>
      <c r="ES569" s="1">
        <f>1+(Table1[[#This Row],[error_ratio_3]]-EI$2)</f>
        <v>0.9138613861386139</v>
      </c>
      <c r="ET569" s="1">
        <f>1+(Table1[[#This Row],[error_ratio_4]]-EJ$2)</f>
        <v>1.0285132382892057</v>
      </c>
      <c r="EU569" s="1">
        <f>1+(Table1[[#This Row],[error_ratio_5]]-EK$2)</f>
        <v>1.0493273542600896</v>
      </c>
      <c r="EV569" s="1">
        <f>1+(Table1[[#This Row],[error_ratio_6]]-EL$2)</f>
        <v>0.96972860125260962</v>
      </c>
      <c r="EW569" s="1">
        <f>1+(Table1[[#This Row],[error_ratio_7]]-EM$2)</f>
        <v>1.1011673151750974</v>
      </c>
      <c r="EX569" s="1">
        <f>1+(Table1[[#This Row],[error_ratio_8]]-EN$2)</f>
        <v>1.0841889117043122</v>
      </c>
      <c r="EY569" s="1">
        <f>1+(Table1[[#This Row],[error_ratio_9]]-EO$2)</f>
        <v>0.87908820614469774</v>
      </c>
    </row>
    <row r="570" spans="1:155" x14ac:dyDescent="0.75">
      <c r="A570">
        <v>100</v>
      </c>
      <c r="B570">
        <v>10</v>
      </c>
      <c r="C570">
        <v>10</v>
      </c>
      <c r="D570">
        <v>10</v>
      </c>
      <c r="E570">
        <v>100</v>
      </c>
      <c r="F570">
        <v>10</v>
      </c>
      <c r="G570">
        <v>10</v>
      </c>
      <c r="H570">
        <v>100</v>
      </c>
      <c r="I570">
        <v>100</v>
      </c>
      <c r="J570">
        <v>10</v>
      </c>
      <c r="K570">
        <v>1055</v>
      </c>
      <c r="L570">
        <v>1111</v>
      </c>
      <c r="M570">
        <v>932</v>
      </c>
      <c r="N570">
        <v>979</v>
      </c>
      <c r="O570">
        <v>1008</v>
      </c>
      <c r="P570">
        <v>845</v>
      </c>
      <c r="Q570">
        <v>912</v>
      </c>
      <c r="R570">
        <v>1102</v>
      </c>
      <c r="S570">
        <v>1122</v>
      </c>
      <c r="T570">
        <v>934</v>
      </c>
      <c r="U570">
        <v>980</v>
      </c>
      <c r="V570">
        <v>1135</v>
      </c>
      <c r="W570">
        <v>1032</v>
      </c>
      <c r="X570">
        <v>1010</v>
      </c>
      <c r="Y570">
        <v>982</v>
      </c>
      <c r="Z570">
        <v>892</v>
      </c>
      <c r="AA570">
        <v>958</v>
      </c>
      <c r="AB570">
        <v>1028</v>
      </c>
      <c r="AC570">
        <v>974</v>
      </c>
      <c r="AD570">
        <v>1009</v>
      </c>
      <c r="AE570">
        <v>974</v>
      </c>
      <c r="AF570">
        <v>0</v>
      </c>
      <c r="AG570">
        <v>0</v>
      </c>
      <c r="AH570">
        <v>0</v>
      </c>
      <c r="AI570">
        <v>0</v>
      </c>
      <c r="AJ570">
        <v>0</v>
      </c>
      <c r="AK570">
        <v>0</v>
      </c>
      <c r="AL570">
        <v>3</v>
      </c>
      <c r="AM570">
        <v>3</v>
      </c>
      <c r="AN570">
        <v>0</v>
      </c>
      <c r="AO570">
        <v>0</v>
      </c>
      <c r="AP570">
        <v>1105</v>
      </c>
      <c r="AQ570">
        <v>3</v>
      </c>
      <c r="AR570">
        <v>2</v>
      </c>
      <c r="AS570">
        <v>0</v>
      </c>
      <c r="AT570">
        <v>2</v>
      </c>
      <c r="AU570">
        <v>1</v>
      </c>
      <c r="AV570">
        <v>2</v>
      </c>
      <c r="AW570">
        <v>20</v>
      </c>
      <c r="AX570">
        <v>0</v>
      </c>
      <c r="AY570">
        <v>22</v>
      </c>
      <c r="AZ570">
        <v>0</v>
      </c>
      <c r="BA570">
        <v>923</v>
      </c>
      <c r="BB570">
        <v>13</v>
      </c>
      <c r="BC570">
        <v>13</v>
      </c>
      <c r="BD570">
        <v>1</v>
      </c>
      <c r="BE570">
        <v>0</v>
      </c>
      <c r="BF570">
        <v>16</v>
      </c>
      <c r="BG570">
        <v>42</v>
      </c>
      <c r="BH570">
        <v>2</v>
      </c>
      <c r="BI570">
        <v>7</v>
      </c>
      <c r="BJ570">
        <v>0</v>
      </c>
      <c r="BK570">
        <v>1</v>
      </c>
      <c r="BL570">
        <v>948</v>
      </c>
      <c r="BM570">
        <v>1</v>
      </c>
      <c r="BN570">
        <v>15</v>
      </c>
      <c r="BO570">
        <v>0</v>
      </c>
      <c r="BP570">
        <v>10</v>
      </c>
      <c r="BQ570">
        <v>27</v>
      </c>
      <c r="BR570">
        <v>1</v>
      </c>
      <c r="BS570">
        <v>0</v>
      </c>
      <c r="BT570">
        <v>0</v>
      </c>
      <c r="BU570">
        <v>0</v>
      </c>
      <c r="BV570">
        <v>0</v>
      </c>
      <c r="BW570">
        <v>967</v>
      </c>
      <c r="BX570">
        <v>0</v>
      </c>
      <c r="BY570">
        <v>1</v>
      </c>
      <c r="BZ570">
        <v>7</v>
      </c>
      <c r="CA570">
        <v>0</v>
      </c>
      <c r="CB570">
        <v>7</v>
      </c>
      <c r="CC570">
        <v>13</v>
      </c>
      <c r="CD570">
        <v>1</v>
      </c>
      <c r="CE570">
        <v>0</v>
      </c>
      <c r="CF570">
        <v>6</v>
      </c>
      <c r="CG570">
        <v>3</v>
      </c>
      <c r="CH570">
        <v>822</v>
      </c>
      <c r="CI570">
        <v>3</v>
      </c>
      <c r="CJ570">
        <v>5</v>
      </c>
      <c r="CK570">
        <v>36</v>
      </c>
      <c r="CL570">
        <v>3</v>
      </c>
      <c r="CM570">
        <v>29</v>
      </c>
      <c r="CN570">
        <v>3</v>
      </c>
      <c r="CO570">
        <v>0</v>
      </c>
      <c r="CP570">
        <v>0</v>
      </c>
      <c r="CQ570">
        <v>11</v>
      </c>
      <c r="CR570">
        <v>2</v>
      </c>
      <c r="CS570">
        <v>907</v>
      </c>
      <c r="CT570">
        <v>1</v>
      </c>
      <c r="CU570">
        <v>5</v>
      </c>
      <c r="CV570">
        <v>0</v>
      </c>
      <c r="CW570">
        <v>0</v>
      </c>
      <c r="CX570">
        <v>1</v>
      </c>
      <c r="CY570">
        <v>5</v>
      </c>
      <c r="CZ570">
        <v>0</v>
      </c>
      <c r="DA570">
        <v>0</v>
      </c>
      <c r="DB570">
        <v>0</v>
      </c>
      <c r="DC570">
        <v>0</v>
      </c>
      <c r="DD570">
        <v>1016</v>
      </c>
      <c r="DE570">
        <v>6</v>
      </c>
      <c r="DF570">
        <v>0</v>
      </c>
      <c r="DG570">
        <v>6</v>
      </c>
      <c r="DH570">
        <v>0</v>
      </c>
      <c r="DI570">
        <v>0</v>
      </c>
      <c r="DJ570">
        <v>1</v>
      </c>
      <c r="DK570">
        <v>2</v>
      </c>
      <c r="DL570">
        <v>0</v>
      </c>
      <c r="DM570">
        <v>0</v>
      </c>
      <c r="DN570">
        <v>2</v>
      </c>
      <c r="DO570">
        <v>963</v>
      </c>
      <c r="DP570">
        <v>0</v>
      </c>
      <c r="DQ570">
        <v>4</v>
      </c>
      <c r="DR570">
        <v>1</v>
      </c>
      <c r="DS570">
        <v>0</v>
      </c>
      <c r="DT570">
        <v>9</v>
      </c>
      <c r="DU570">
        <v>11</v>
      </c>
      <c r="DV570">
        <v>3</v>
      </c>
      <c r="DW570">
        <v>0</v>
      </c>
      <c r="DX570">
        <v>40</v>
      </c>
      <c r="DY570">
        <v>20</v>
      </c>
      <c r="DZ570">
        <v>921</v>
      </c>
      <c r="EA570">
        <v>0.9546</v>
      </c>
      <c r="EB570">
        <v>0.95694548110236499</v>
      </c>
      <c r="EC570">
        <v>0.95432714950896602</v>
      </c>
      <c r="ED570">
        <v>0.954365548469435</v>
      </c>
      <c r="EE570">
        <f>SUM(Table1[[#This Row],[ratio_0]:[ratio_9]])</f>
        <v>460</v>
      </c>
      <c r="EF570" s="1">
        <f>(Table1[[#This Row],[predicted_0]]-Table1[[#This Row],[actual_0]])/Table1[[#This Row],[actual_0]]</f>
        <v>7.6530612244897961E-2</v>
      </c>
      <c r="EG570" s="1">
        <f>(Table1[[#This Row],[predicted_1]]-Table1[[#This Row],[actual_1]])/Table1[[#This Row],[actual_1]]</f>
        <v>-2.1145374449339206E-2</v>
      </c>
      <c r="EH570" s="1">
        <f>(Table1[[#This Row],[predicted_2]]-Table1[[#This Row],[actual_2]])/Table1[[#This Row],[actual_2]]</f>
        <v>-9.6899224806201556E-2</v>
      </c>
      <c r="EI570" s="1">
        <f>(Table1[[#This Row],[predicted_3]]-Table1[[#This Row],[actual_3]])/Table1[[#This Row],[actual_3]]</f>
        <v>-3.0693069306930693E-2</v>
      </c>
      <c r="EJ570" s="1">
        <f>(Table1[[#This Row],[predicted_4]]-Table1[[#This Row],[actual_4]])/Table1[[#This Row],[actual_4]]</f>
        <v>2.6476578411405296E-2</v>
      </c>
      <c r="EK570" s="1">
        <f>(Table1[[#This Row],[predicted_5]]-Table1[[#This Row],[actual_5]])/Table1[[#This Row],[actual_5]]</f>
        <v>-5.2690582959641255E-2</v>
      </c>
      <c r="EL570" s="1">
        <f>(Table1[[#This Row],[predicted_6]]-Table1[[#This Row],[actual_6]])/Table1[[#This Row],[actual_6]]</f>
        <v>-4.8016701461377868E-2</v>
      </c>
      <c r="EM570" s="1">
        <f>(Table1[[#This Row],[predicted_7]]-Table1[[#This Row],[actual_7]])/Table1[[#This Row],[actual_7]]</f>
        <v>7.1984435797665364E-2</v>
      </c>
      <c r="EN570" s="1">
        <f>(Table1[[#This Row],[predicted_8]]-Table1[[#This Row],[actual_8]])/Table1[[#This Row],[actual_8]]</f>
        <v>0.15195071868583163</v>
      </c>
      <c r="EO570" s="1">
        <f>(Table1[[#This Row],[predicted_9]]-Table1[[#This Row],[actual_9]])/Table1[[#This Row],[actual_9]]</f>
        <v>-7.4331020812685833E-2</v>
      </c>
      <c r="EP570" s="1">
        <f>1+(Table1[[#This Row],[error_ratio_0]]-EF$2)</f>
        <v>1.0744897959183675</v>
      </c>
      <c r="EQ570" s="1">
        <f>1+(Table1[[#This Row],[error_ratio_1]]-EG$2)</f>
        <v>0.97709251101321581</v>
      </c>
      <c r="ER570" s="1">
        <f>1+(Table1[[#This Row],[error_ratio_2]]-EH$2)</f>
        <v>0.90794573643410847</v>
      </c>
      <c r="ES570" s="1">
        <f>1+(Table1[[#This Row],[error_ratio_3]]-EI$2)</f>
        <v>0.95940594059405937</v>
      </c>
      <c r="ET570" s="1">
        <f>1+(Table1[[#This Row],[error_ratio_4]]-EJ$2)</f>
        <v>1.025458248472505</v>
      </c>
      <c r="EU570" s="1">
        <f>1+(Table1[[#This Row],[error_ratio_5]]-EK$2)</f>
        <v>0.94618834080717484</v>
      </c>
      <c r="EV570" s="1">
        <f>1+(Table1[[#This Row],[error_ratio_6]]-EL$2)</f>
        <v>0.95824634655532359</v>
      </c>
      <c r="EW570" s="1">
        <f>1+(Table1[[#This Row],[error_ratio_7]]-EM$2)</f>
        <v>1.0700389105058365</v>
      </c>
      <c r="EX570" s="1">
        <f>1+(Table1[[#This Row],[error_ratio_8]]-EN$2)</f>
        <v>1.1550308008213552</v>
      </c>
      <c r="EY570" s="1">
        <f>1+(Table1[[#This Row],[error_ratio_9]]-EO$2)</f>
        <v>0.92963330029732405</v>
      </c>
    </row>
    <row r="571" spans="1:155" x14ac:dyDescent="0.75">
      <c r="A571">
        <v>10</v>
      </c>
      <c r="B571">
        <v>10</v>
      </c>
      <c r="C571">
        <v>10</v>
      </c>
      <c r="D571">
        <v>10</v>
      </c>
      <c r="E571">
        <v>100</v>
      </c>
      <c r="F571">
        <v>10</v>
      </c>
      <c r="G571">
        <v>10</v>
      </c>
      <c r="H571">
        <v>100</v>
      </c>
      <c r="I571">
        <v>100</v>
      </c>
      <c r="J571">
        <v>10</v>
      </c>
      <c r="K571">
        <v>1002</v>
      </c>
      <c r="L571">
        <v>1134</v>
      </c>
      <c r="M571">
        <v>972</v>
      </c>
      <c r="N571">
        <v>908</v>
      </c>
      <c r="O571">
        <v>1144</v>
      </c>
      <c r="P571">
        <v>943</v>
      </c>
      <c r="Q571">
        <v>932</v>
      </c>
      <c r="R571">
        <v>1058</v>
      </c>
      <c r="S571">
        <v>1128</v>
      </c>
      <c r="T571">
        <v>779</v>
      </c>
      <c r="U571">
        <v>980</v>
      </c>
      <c r="V571">
        <v>1135</v>
      </c>
      <c r="W571">
        <v>1032</v>
      </c>
      <c r="X571">
        <v>1010</v>
      </c>
      <c r="Y571">
        <v>982</v>
      </c>
      <c r="Z571">
        <v>892</v>
      </c>
      <c r="AA571">
        <v>958</v>
      </c>
      <c r="AB571">
        <v>1028</v>
      </c>
      <c r="AC571">
        <v>974</v>
      </c>
      <c r="AD571">
        <v>1009</v>
      </c>
      <c r="AE571">
        <v>967</v>
      </c>
      <c r="AF571">
        <v>0</v>
      </c>
      <c r="AG571">
        <v>0</v>
      </c>
      <c r="AH571">
        <v>0</v>
      </c>
      <c r="AI571">
        <v>2</v>
      </c>
      <c r="AJ571">
        <v>1</v>
      </c>
      <c r="AK571">
        <v>5</v>
      </c>
      <c r="AL571">
        <v>1</v>
      </c>
      <c r="AM571">
        <v>4</v>
      </c>
      <c r="AN571">
        <v>0</v>
      </c>
      <c r="AO571">
        <v>0</v>
      </c>
      <c r="AP571">
        <v>1117</v>
      </c>
      <c r="AQ571">
        <v>3</v>
      </c>
      <c r="AR571">
        <v>2</v>
      </c>
      <c r="AS571">
        <v>0</v>
      </c>
      <c r="AT571">
        <v>1</v>
      </c>
      <c r="AU571">
        <v>3</v>
      </c>
      <c r="AV571">
        <v>4</v>
      </c>
      <c r="AW571">
        <v>5</v>
      </c>
      <c r="AX571">
        <v>0</v>
      </c>
      <c r="AY571">
        <v>10</v>
      </c>
      <c r="AZ571">
        <v>5</v>
      </c>
      <c r="BA571">
        <v>952</v>
      </c>
      <c r="BB571">
        <v>0</v>
      </c>
      <c r="BC571">
        <v>10</v>
      </c>
      <c r="BD571">
        <v>0</v>
      </c>
      <c r="BE571">
        <v>9</v>
      </c>
      <c r="BF571">
        <v>10</v>
      </c>
      <c r="BG571">
        <v>36</v>
      </c>
      <c r="BH571">
        <v>0</v>
      </c>
      <c r="BI571">
        <v>4</v>
      </c>
      <c r="BJ571">
        <v>0</v>
      </c>
      <c r="BK571">
        <v>10</v>
      </c>
      <c r="BL571">
        <v>902</v>
      </c>
      <c r="BM571">
        <v>1</v>
      </c>
      <c r="BN571">
        <v>55</v>
      </c>
      <c r="BO571">
        <v>1</v>
      </c>
      <c r="BP571">
        <v>10</v>
      </c>
      <c r="BQ571">
        <v>26</v>
      </c>
      <c r="BR571">
        <v>1</v>
      </c>
      <c r="BS571">
        <v>0</v>
      </c>
      <c r="BT571">
        <v>2</v>
      </c>
      <c r="BU571">
        <v>0</v>
      </c>
      <c r="BV571">
        <v>0</v>
      </c>
      <c r="BW571">
        <v>977</v>
      </c>
      <c r="BX571">
        <v>0</v>
      </c>
      <c r="BY571">
        <v>1</v>
      </c>
      <c r="BZ571">
        <v>0</v>
      </c>
      <c r="CA571">
        <v>2</v>
      </c>
      <c r="CB571">
        <v>0</v>
      </c>
      <c r="CC571">
        <v>2</v>
      </c>
      <c r="CD571">
        <v>0</v>
      </c>
      <c r="CE571">
        <v>1</v>
      </c>
      <c r="CF571">
        <v>2</v>
      </c>
      <c r="CG571">
        <v>0</v>
      </c>
      <c r="CH571">
        <v>873</v>
      </c>
      <c r="CI571">
        <v>6</v>
      </c>
      <c r="CJ571">
        <v>1</v>
      </c>
      <c r="CK571">
        <v>7</v>
      </c>
      <c r="CL571">
        <v>0</v>
      </c>
      <c r="CM571">
        <v>9</v>
      </c>
      <c r="CN571">
        <v>3</v>
      </c>
      <c r="CO571">
        <v>1</v>
      </c>
      <c r="CP571">
        <v>0</v>
      </c>
      <c r="CQ571">
        <v>30</v>
      </c>
      <c r="CR571">
        <v>2</v>
      </c>
      <c r="CS571">
        <v>905</v>
      </c>
      <c r="CT571">
        <v>0</v>
      </c>
      <c r="CU571">
        <v>8</v>
      </c>
      <c r="CV571">
        <v>0</v>
      </c>
      <c r="CW571">
        <v>2</v>
      </c>
      <c r="CX571">
        <v>3</v>
      </c>
      <c r="CY571">
        <v>5</v>
      </c>
      <c r="CZ571">
        <v>1</v>
      </c>
      <c r="DA571">
        <v>4</v>
      </c>
      <c r="DB571">
        <v>0</v>
      </c>
      <c r="DC571">
        <v>0</v>
      </c>
      <c r="DD571">
        <v>1006</v>
      </c>
      <c r="DE571">
        <v>6</v>
      </c>
      <c r="DF571">
        <v>1</v>
      </c>
      <c r="DG571">
        <v>1</v>
      </c>
      <c r="DH571">
        <v>0</v>
      </c>
      <c r="DI571">
        <v>0</v>
      </c>
      <c r="DJ571">
        <v>0</v>
      </c>
      <c r="DK571">
        <v>4</v>
      </c>
      <c r="DL571">
        <v>2</v>
      </c>
      <c r="DM571">
        <v>2</v>
      </c>
      <c r="DN571">
        <v>2</v>
      </c>
      <c r="DO571">
        <v>963</v>
      </c>
      <c r="DP571">
        <v>0</v>
      </c>
      <c r="DQ571">
        <v>7</v>
      </c>
      <c r="DR571">
        <v>4</v>
      </c>
      <c r="DS571">
        <v>0</v>
      </c>
      <c r="DT571">
        <v>1</v>
      </c>
      <c r="DU571">
        <v>116</v>
      </c>
      <c r="DV571">
        <v>9</v>
      </c>
      <c r="DW571">
        <v>0</v>
      </c>
      <c r="DX571">
        <v>24</v>
      </c>
      <c r="DY571">
        <v>71</v>
      </c>
      <c r="DZ571">
        <v>777</v>
      </c>
      <c r="EA571">
        <v>0.94389999999999996</v>
      </c>
      <c r="EB571">
        <v>0.94757211340500103</v>
      </c>
      <c r="EC571">
        <v>0.94420848640994703</v>
      </c>
      <c r="ED571">
        <v>0.94292102617537499</v>
      </c>
      <c r="EE571">
        <f>SUM(Table1[[#This Row],[ratio_0]:[ratio_9]])</f>
        <v>370</v>
      </c>
      <c r="EF571" s="1">
        <f>(Table1[[#This Row],[predicted_0]]-Table1[[#This Row],[actual_0]])/Table1[[#This Row],[actual_0]]</f>
        <v>2.2448979591836733E-2</v>
      </c>
      <c r="EG571" s="1">
        <f>(Table1[[#This Row],[predicted_1]]-Table1[[#This Row],[actual_1]])/Table1[[#This Row],[actual_1]]</f>
        <v>-8.81057268722467E-4</v>
      </c>
      <c r="EH571" s="1">
        <f>(Table1[[#This Row],[predicted_2]]-Table1[[#This Row],[actual_2]])/Table1[[#This Row],[actual_2]]</f>
        <v>-5.8139534883720929E-2</v>
      </c>
      <c r="EI571" s="1">
        <f>(Table1[[#This Row],[predicted_3]]-Table1[[#This Row],[actual_3]])/Table1[[#This Row],[actual_3]]</f>
        <v>-0.100990099009901</v>
      </c>
      <c r="EJ571" s="1">
        <f>(Table1[[#This Row],[predicted_4]]-Table1[[#This Row],[actual_4]])/Table1[[#This Row],[actual_4]]</f>
        <v>0.164969450101833</v>
      </c>
      <c r="EK571" s="1">
        <f>(Table1[[#This Row],[predicted_5]]-Table1[[#This Row],[actual_5]])/Table1[[#This Row],[actual_5]]</f>
        <v>5.717488789237668E-2</v>
      </c>
      <c r="EL571" s="1">
        <f>(Table1[[#This Row],[predicted_6]]-Table1[[#This Row],[actual_6]])/Table1[[#This Row],[actual_6]]</f>
        <v>-2.7139874739039668E-2</v>
      </c>
      <c r="EM571" s="1">
        <f>(Table1[[#This Row],[predicted_7]]-Table1[[#This Row],[actual_7]])/Table1[[#This Row],[actual_7]]</f>
        <v>2.9182879377431907E-2</v>
      </c>
      <c r="EN571" s="1">
        <f>(Table1[[#This Row],[predicted_8]]-Table1[[#This Row],[actual_8]])/Table1[[#This Row],[actual_8]]</f>
        <v>0.15811088295687886</v>
      </c>
      <c r="EO571" s="1">
        <f>(Table1[[#This Row],[predicted_9]]-Table1[[#This Row],[actual_9]])/Table1[[#This Row],[actual_9]]</f>
        <v>-0.22794846382556988</v>
      </c>
      <c r="EP571" s="1">
        <f>1+(Table1[[#This Row],[error_ratio_0]]-EF$2)</f>
        <v>1.0204081632653061</v>
      </c>
      <c r="EQ571" s="1">
        <f>1+(Table1[[#This Row],[error_ratio_1]]-EG$2)</f>
        <v>0.99735682819383265</v>
      </c>
      <c r="ER571" s="1">
        <f>1+(Table1[[#This Row],[error_ratio_2]]-EH$2)</f>
        <v>0.94670542635658916</v>
      </c>
      <c r="ES571" s="1">
        <f>1+(Table1[[#This Row],[error_ratio_3]]-EI$2)</f>
        <v>0.88910891089108912</v>
      </c>
      <c r="ET571" s="1">
        <f>1+(Table1[[#This Row],[error_ratio_4]]-EJ$2)</f>
        <v>1.1639511201629329</v>
      </c>
      <c r="EU571" s="1">
        <f>1+(Table1[[#This Row],[error_ratio_5]]-EK$2)</f>
        <v>1.0560538116591929</v>
      </c>
      <c r="EV571" s="1">
        <f>1+(Table1[[#This Row],[error_ratio_6]]-EL$2)</f>
        <v>0.97912317327766174</v>
      </c>
      <c r="EW571" s="1">
        <f>1+(Table1[[#This Row],[error_ratio_7]]-EM$2)</f>
        <v>1.027237354085603</v>
      </c>
      <c r="EX571" s="1">
        <f>1+(Table1[[#This Row],[error_ratio_8]]-EN$2)</f>
        <v>1.1611909650924024</v>
      </c>
      <c r="EY571" s="1">
        <f>1+(Table1[[#This Row],[error_ratio_9]]-EO$2)</f>
        <v>0.77601585728444</v>
      </c>
    </row>
    <row r="572" spans="1:155" x14ac:dyDescent="0.75">
      <c r="A572">
        <v>100</v>
      </c>
      <c r="B572">
        <v>100</v>
      </c>
      <c r="C572">
        <v>100</v>
      </c>
      <c r="D572">
        <v>100</v>
      </c>
      <c r="E572">
        <v>10</v>
      </c>
      <c r="F572">
        <v>10</v>
      </c>
      <c r="G572">
        <v>10</v>
      </c>
      <c r="H572">
        <v>100</v>
      </c>
      <c r="I572">
        <v>100</v>
      </c>
      <c r="J572">
        <v>10</v>
      </c>
      <c r="K572">
        <v>998</v>
      </c>
      <c r="L572">
        <v>1165</v>
      </c>
      <c r="M572">
        <v>1045</v>
      </c>
      <c r="N572">
        <v>1047</v>
      </c>
      <c r="O572">
        <v>909</v>
      </c>
      <c r="P572">
        <v>834</v>
      </c>
      <c r="Q572">
        <v>984</v>
      </c>
      <c r="R572">
        <v>1054</v>
      </c>
      <c r="S572">
        <v>1055</v>
      </c>
      <c r="T572">
        <v>909</v>
      </c>
      <c r="U572">
        <v>980</v>
      </c>
      <c r="V572">
        <v>1135</v>
      </c>
      <c r="W572">
        <v>1032</v>
      </c>
      <c r="X572">
        <v>1010</v>
      </c>
      <c r="Y572">
        <v>982</v>
      </c>
      <c r="Z572">
        <v>892</v>
      </c>
      <c r="AA572">
        <v>958</v>
      </c>
      <c r="AB572">
        <v>1028</v>
      </c>
      <c r="AC572">
        <v>974</v>
      </c>
      <c r="AD572">
        <v>1009</v>
      </c>
      <c r="AE572">
        <v>972</v>
      </c>
      <c r="AF572">
        <v>1</v>
      </c>
      <c r="AG572">
        <v>0</v>
      </c>
      <c r="AH572">
        <v>0</v>
      </c>
      <c r="AI572">
        <v>0</v>
      </c>
      <c r="AJ572">
        <v>0</v>
      </c>
      <c r="AK572">
        <v>1</v>
      </c>
      <c r="AL572">
        <v>3</v>
      </c>
      <c r="AM572">
        <v>3</v>
      </c>
      <c r="AN572">
        <v>0</v>
      </c>
      <c r="AO572">
        <v>0</v>
      </c>
      <c r="AP572">
        <v>1125</v>
      </c>
      <c r="AQ572">
        <v>2</v>
      </c>
      <c r="AR572">
        <v>1</v>
      </c>
      <c r="AS572">
        <v>0</v>
      </c>
      <c r="AT572">
        <v>1</v>
      </c>
      <c r="AU572">
        <v>2</v>
      </c>
      <c r="AV572">
        <v>0</v>
      </c>
      <c r="AW572">
        <v>4</v>
      </c>
      <c r="AX572">
        <v>0</v>
      </c>
      <c r="AY572">
        <v>1</v>
      </c>
      <c r="AZ572">
        <v>1</v>
      </c>
      <c r="BA572">
        <v>1019</v>
      </c>
      <c r="BB572">
        <v>0</v>
      </c>
      <c r="BC572">
        <v>0</v>
      </c>
      <c r="BD572">
        <v>0</v>
      </c>
      <c r="BE572">
        <v>0</v>
      </c>
      <c r="BF572">
        <v>5</v>
      </c>
      <c r="BG572">
        <v>6</v>
      </c>
      <c r="BH572">
        <v>0</v>
      </c>
      <c r="BI572">
        <v>0</v>
      </c>
      <c r="BJ572">
        <v>0</v>
      </c>
      <c r="BK572">
        <v>2</v>
      </c>
      <c r="BL572">
        <v>1001</v>
      </c>
      <c r="BM572">
        <v>0</v>
      </c>
      <c r="BN572">
        <v>2</v>
      </c>
      <c r="BO572">
        <v>0</v>
      </c>
      <c r="BP572">
        <v>3</v>
      </c>
      <c r="BQ572">
        <v>2</v>
      </c>
      <c r="BR572">
        <v>0</v>
      </c>
      <c r="BS572">
        <v>3</v>
      </c>
      <c r="BT572">
        <v>18</v>
      </c>
      <c r="BU572">
        <v>10</v>
      </c>
      <c r="BV572">
        <v>1</v>
      </c>
      <c r="BW572">
        <v>899</v>
      </c>
      <c r="BX572">
        <v>0</v>
      </c>
      <c r="BY572">
        <v>30</v>
      </c>
      <c r="BZ572">
        <v>11</v>
      </c>
      <c r="CA572">
        <v>5</v>
      </c>
      <c r="CB572">
        <v>5</v>
      </c>
      <c r="CC572">
        <v>5</v>
      </c>
      <c r="CD572">
        <v>1</v>
      </c>
      <c r="CE572">
        <v>1</v>
      </c>
      <c r="CF572">
        <v>24</v>
      </c>
      <c r="CG572">
        <v>0</v>
      </c>
      <c r="CH572">
        <v>826</v>
      </c>
      <c r="CI572">
        <v>9</v>
      </c>
      <c r="CJ572">
        <v>1</v>
      </c>
      <c r="CK572">
        <v>25</v>
      </c>
      <c r="CL572">
        <v>0</v>
      </c>
      <c r="CM572">
        <v>8</v>
      </c>
      <c r="CN572">
        <v>4</v>
      </c>
      <c r="CO572">
        <v>0</v>
      </c>
      <c r="CP572">
        <v>0</v>
      </c>
      <c r="CQ572">
        <v>1</v>
      </c>
      <c r="CR572">
        <v>1</v>
      </c>
      <c r="CS572">
        <v>937</v>
      </c>
      <c r="CT572">
        <v>0</v>
      </c>
      <c r="CU572">
        <v>7</v>
      </c>
      <c r="CV572">
        <v>0</v>
      </c>
      <c r="CW572">
        <v>0</v>
      </c>
      <c r="CX572">
        <v>6</v>
      </c>
      <c r="CY572">
        <v>6</v>
      </c>
      <c r="CZ572">
        <v>1</v>
      </c>
      <c r="DA572">
        <v>0</v>
      </c>
      <c r="DB572">
        <v>0</v>
      </c>
      <c r="DC572">
        <v>0</v>
      </c>
      <c r="DD572">
        <v>1014</v>
      </c>
      <c r="DE572">
        <v>0</v>
      </c>
      <c r="DF572">
        <v>1</v>
      </c>
      <c r="DG572">
        <v>1</v>
      </c>
      <c r="DH572">
        <v>0</v>
      </c>
      <c r="DI572">
        <v>1</v>
      </c>
      <c r="DJ572">
        <v>1</v>
      </c>
      <c r="DK572">
        <v>0</v>
      </c>
      <c r="DL572">
        <v>0</v>
      </c>
      <c r="DM572">
        <v>2</v>
      </c>
      <c r="DN572">
        <v>1</v>
      </c>
      <c r="DO572">
        <v>968</v>
      </c>
      <c r="DP572">
        <v>0</v>
      </c>
      <c r="DQ572">
        <v>8</v>
      </c>
      <c r="DR572">
        <v>9</v>
      </c>
      <c r="DS572">
        <v>4</v>
      </c>
      <c r="DT572">
        <v>18</v>
      </c>
      <c r="DU572">
        <v>9</v>
      </c>
      <c r="DV572">
        <v>4</v>
      </c>
      <c r="DW572">
        <v>3</v>
      </c>
      <c r="DX572">
        <v>16</v>
      </c>
      <c r="DY572">
        <v>35</v>
      </c>
      <c r="DZ572">
        <v>903</v>
      </c>
      <c r="EA572">
        <v>0.96640000000000004</v>
      </c>
      <c r="EB572">
        <v>0.96754242634666099</v>
      </c>
      <c r="EC572">
        <v>0.96562519365863098</v>
      </c>
      <c r="ED572">
        <v>0.96583211202756603</v>
      </c>
      <c r="EE572">
        <f>SUM(Table1[[#This Row],[ratio_0]:[ratio_9]])</f>
        <v>640</v>
      </c>
      <c r="EF572" s="1">
        <f>(Table1[[#This Row],[predicted_0]]-Table1[[#This Row],[actual_0]])/Table1[[#This Row],[actual_0]]</f>
        <v>1.8367346938775512E-2</v>
      </c>
      <c r="EG572" s="1">
        <f>(Table1[[#This Row],[predicted_1]]-Table1[[#This Row],[actual_1]])/Table1[[#This Row],[actual_1]]</f>
        <v>2.643171806167401E-2</v>
      </c>
      <c r="EH572" s="1">
        <f>(Table1[[#This Row],[predicted_2]]-Table1[[#This Row],[actual_2]])/Table1[[#This Row],[actual_2]]</f>
        <v>1.2596899224806201E-2</v>
      </c>
      <c r="EI572" s="1">
        <f>(Table1[[#This Row],[predicted_3]]-Table1[[#This Row],[actual_3]])/Table1[[#This Row],[actual_3]]</f>
        <v>3.6633663366336632E-2</v>
      </c>
      <c r="EJ572" s="1">
        <f>(Table1[[#This Row],[predicted_4]]-Table1[[#This Row],[actual_4]])/Table1[[#This Row],[actual_4]]</f>
        <v>-7.4338085539714868E-2</v>
      </c>
      <c r="EK572" s="1">
        <f>(Table1[[#This Row],[predicted_5]]-Table1[[#This Row],[actual_5]])/Table1[[#This Row],[actual_5]]</f>
        <v>-6.5022421524663671E-2</v>
      </c>
      <c r="EL572" s="1">
        <f>(Table1[[#This Row],[predicted_6]]-Table1[[#This Row],[actual_6]])/Table1[[#This Row],[actual_6]]</f>
        <v>2.7139874739039668E-2</v>
      </c>
      <c r="EM572" s="1">
        <f>(Table1[[#This Row],[predicted_7]]-Table1[[#This Row],[actual_7]])/Table1[[#This Row],[actual_7]]</f>
        <v>2.5291828793774319E-2</v>
      </c>
      <c r="EN572" s="1">
        <f>(Table1[[#This Row],[predicted_8]]-Table1[[#This Row],[actual_8]])/Table1[[#This Row],[actual_8]]</f>
        <v>8.3162217659137574E-2</v>
      </c>
      <c r="EO572" s="1">
        <f>(Table1[[#This Row],[predicted_9]]-Table1[[#This Row],[actual_9]])/Table1[[#This Row],[actual_9]]</f>
        <v>-9.9108027750247768E-2</v>
      </c>
      <c r="EP572" s="1">
        <f>1+(Table1[[#This Row],[error_ratio_0]]-EF$2)</f>
        <v>1.0163265306122449</v>
      </c>
      <c r="EQ572" s="1">
        <f>1+(Table1[[#This Row],[error_ratio_1]]-EG$2)</f>
        <v>1.0246696035242291</v>
      </c>
      <c r="ER572" s="1">
        <f>1+(Table1[[#This Row],[error_ratio_2]]-EH$2)</f>
        <v>1.0174418604651163</v>
      </c>
      <c r="ES572" s="1">
        <f>1+(Table1[[#This Row],[error_ratio_3]]-EI$2)</f>
        <v>1.0267326732673268</v>
      </c>
      <c r="ET572" s="1">
        <f>1+(Table1[[#This Row],[error_ratio_4]]-EJ$2)</f>
        <v>0.92464358452138495</v>
      </c>
      <c r="EU572" s="1">
        <f>1+(Table1[[#This Row],[error_ratio_5]]-EK$2)</f>
        <v>0.93385650224215244</v>
      </c>
      <c r="EV572" s="1">
        <f>1+(Table1[[#This Row],[error_ratio_6]]-EL$2)</f>
        <v>1.0334029227557411</v>
      </c>
      <c r="EW572" s="1">
        <f>1+(Table1[[#This Row],[error_ratio_7]]-EM$2)</f>
        <v>1.0233463035019454</v>
      </c>
      <c r="EX572" s="1">
        <f>1+(Table1[[#This Row],[error_ratio_8]]-EN$2)</f>
        <v>1.0862422997946612</v>
      </c>
      <c r="EY572" s="1">
        <f>1+(Table1[[#This Row],[error_ratio_9]]-EO$2)</f>
        <v>0.90485629335976214</v>
      </c>
    </row>
    <row r="573" spans="1:155" x14ac:dyDescent="0.75">
      <c r="A573">
        <v>10</v>
      </c>
      <c r="B573">
        <v>100</v>
      </c>
      <c r="C573">
        <v>100</v>
      </c>
      <c r="D573">
        <v>100</v>
      </c>
      <c r="E573">
        <v>10</v>
      </c>
      <c r="F573">
        <v>10</v>
      </c>
      <c r="G573">
        <v>10</v>
      </c>
      <c r="H573">
        <v>100</v>
      </c>
      <c r="I573">
        <v>100</v>
      </c>
      <c r="J573">
        <v>10</v>
      </c>
      <c r="K573">
        <v>960</v>
      </c>
      <c r="L573">
        <v>1151</v>
      </c>
      <c r="M573">
        <v>1052</v>
      </c>
      <c r="N573">
        <v>1066</v>
      </c>
      <c r="O573">
        <v>944</v>
      </c>
      <c r="P573">
        <v>887</v>
      </c>
      <c r="Q573">
        <v>912</v>
      </c>
      <c r="R573">
        <v>1047</v>
      </c>
      <c r="S573">
        <v>1008</v>
      </c>
      <c r="T573">
        <v>973</v>
      </c>
      <c r="U573">
        <v>980</v>
      </c>
      <c r="V573">
        <v>1135</v>
      </c>
      <c r="W573">
        <v>1032</v>
      </c>
      <c r="X573">
        <v>1010</v>
      </c>
      <c r="Y573">
        <v>982</v>
      </c>
      <c r="Z573">
        <v>892</v>
      </c>
      <c r="AA573">
        <v>958</v>
      </c>
      <c r="AB573">
        <v>1028</v>
      </c>
      <c r="AC573">
        <v>974</v>
      </c>
      <c r="AD573">
        <v>1009</v>
      </c>
      <c r="AE573">
        <v>943</v>
      </c>
      <c r="AF573">
        <v>1</v>
      </c>
      <c r="AG573">
        <v>3</v>
      </c>
      <c r="AH573">
        <v>3</v>
      </c>
      <c r="AI573">
        <v>1</v>
      </c>
      <c r="AJ573">
        <v>12</v>
      </c>
      <c r="AK573">
        <v>1</v>
      </c>
      <c r="AL573">
        <v>3</v>
      </c>
      <c r="AM573">
        <v>11</v>
      </c>
      <c r="AN573">
        <v>2</v>
      </c>
      <c r="AO573">
        <v>0</v>
      </c>
      <c r="AP573">
        <v>1131</v>
      </c>
      <c r="AQ573">
        <v>3</v>
      </c>
      <c r="AR573">
        <v>0</v>
      </c>
      <c r="AS573">
        <v>0</v>
      </c>
      <c r="AT573">
        <v>1</v>
      </c>
      <c r="AU573">
        <v>0</v>
      </c>
      <c r="AV573">
        <v>0</v>
      </c>
      <c r="AW573">
        <v>0</v>
      </c>
      <c r="AX573">
        <v>0</v>
      </c>
      <c r="AY573">
        <v>1</v>
      </c>
      <c r="AZ573">
        <v>1</v>
      </c>
      <c r="BA573">
        <v>1019</v>
      </c>
      <c r="BB573">
        <v>3</v>
      </c>
      <c r="BC573">
        <v>0</v>
      </c>
      <c r="BD573">
        <v>1</v>
      </c>
      <c r="BE573">
        <v>1</v>
      </c>
      <c r="BF573">
        <v>5</v>
      </c>
      <c r="BG573">
        <v>1</v>
      </c>
      <c r="BH573">
        <v>0</v>
      </c>
      <c r="BI573">
        <v>0</v>
      </c>
      <c r="BJ573">
        <v>0</v>
      </c>
      <c r="BK573">
        <v>1</v>
      </c>
      <c r="BL573">
        <v>1003</v>
      </c>
      <c r="BM573">
        <v>0</v>
      </c>
      <c r="BN573">
        <v>2</v>
      </c>
      <c r="BO573">
        <v>0</v>
      </c>
      <c r="BP573">
        <v>3</v>
      </c>
      <c r="BQ573">
        <v>1</v>
      </c>
      <c r="BR573">
        <v>0</v>
      </c>
      <c r="BS573">
        <v>0</v>
      </c>
      <c r="BT573">
        <v>5</v>
      </c>
      <c r="BU573">
        <v>8</v>
      </c>
      <c r="BV573">
        <v>0</v>
      </c>
      <c r="BW573">
        <v>934</v>
      </c>
      <c r="BX573">
        <v>0</v>
      </c>
      <c r="BY573">
        <v>5</v>
      </c>
      <c r="BZ573">
        <v>7</v>
      </c>
      <c r="CA573">
        <v>1</v>
      </c>
      <c r="CB573">
        <v>22</v>
      </c>
      <c r="CC573">
        <v>1</v>
      </c>
      <c r="CD573">
        <v>0</v>
      </c>
      <c r="CE573">
        <v>1</v>
      </c>
      <c r="CF573">
        <v>31</v>
      </c>
      <c r="CG573">
        <v>0</v>
      </c>
      <c r="CH573">
        <v>845</v>
      </c>
      <c r="CI573">
        <v>1</v>
      </c>
      <c r="CJ573">
        <v>1</v>
      </c>
      <c r="CK573">
        <v>12</v>
      </c>
      <c r="CL573">
        <v>0</v>
      </c>
      <c r="CM573">
        <v>10</v>
      </c>
      <c r="CN573">
        <v>4</v>
      </c>
      <c r="CO573">
        <v>5</v>
      </c>
      <c r="CP573">
        <v>1</v>
      </c>
      <c r="CQ573">
        <v>6</v>
      </c>
      <c r="CR573">
        <v>11</v>
      </c>
      <c r="CS573">
        <v>904</v>
      </c>
      <c r="CT573">
        <v>0</v>
      </c>
      <c r="CU573">
        <v>17</v>
      </c>
      <c r="CV573">
        <v>0</v>
      </c>
      <c r="CW573">
        <v>0</v>
      </c>
      <c r="CX573">
        <v>4</v>
      </c>
      <c r="CY573">
        <v>9</v>
      </c>
      <c r="CZ573">
        <v>2</v>
      </c>
      <c r="DA573">
        <v>0</v>
      </c>
      <c r="DB573">
        <v>0</v>
      </c>
      <c r="DC573">
        <v>0</v>
      </c>
      <c r="DD573">
        <v>1013</v>
      </c>
      <c r="DE573">
        <v>0</v>
      </c>
      <c r="DF573">
        <v>0</v>
      </c>
      <c r="DG573">
        <v>0</v>
      </c>
      <c r="DH573">
        <v>0</v>
      </c>
      <c r="DI573">
        <v>2</v>
      </c>
      <c r="DJ573">
        <v>7</v>
      </c>
      <c r="DK573">
        <v>0</v>
      </c>
      <c r="DL573">
        <v>1</v>
      </c>
      <c r="DM573">
        <v>0</v>
      </c>
      <c r="DN573">
        <v>2</v>
      </c>
      <c r="DO573">
        <v>957</v>
      </c>
      <c r="DP573">
        <v>5</v>
      </c>
      <c r="DQ573">
        <v>5</v>
      </c>
      <c r="DR573">
        <v>5</v>
      </c>
      <c r="DS573">
        <v>1</v>
      </c>
      <c r="DT573">
        <v>16</v>
      </c>
      <c r="DU573">
        <v>3</v>
      </c>
      <c r="DV573">
        <v>14</v>
      </c>
      <c r="DW573">
        <v>0</v>
      </c>
      <c r="DX573">
        <v>13</v>
      </c>
      <c r="DY573">
        <v>8</v>
      </c>
      <c r="DZ573">
        <v>944</v>
      </c>
      <c r="EA573">
        <v>0.96930000000000005</v>
      </c>
      <c r="EB573">
        <v>0.96948577431599403</v>
      </c>
      <c r="EC573">
        <v>0.96847897679186701</v>
      </c>
      <c r="ED573">
        <v>0.96872271436574897</v>
      </c>
      <c r="EE573">
        <f>SUM(Table1[[#This Row],[ratio_0]:[ratio_9]])</f>
        <v>550</v>
      </c>
      <c r="EF573" s="1">
        <f>(Table1[[#This Row],[predicted_0]]-Table1[[#This Row],[actual_0]])/Table1[[#This Row],[actual_0]]</f>
        <v>-2.0408163265306121E-2</v>
      </c>
      <c r="EG573" s="1">
        <f>(Table1[[#This Row],[predicted_1]]-Table1[[#This Row],[actual_1]])/Table1[[#This Row],[actual_1]]</f>
        <v>1.4096916299559472E-2</v>
      </c>
      <c r="EH573" s="1">
        <f>(Table1[[#This Row],[predicted_2]]-Table1[[#This Row],[actual_2]])/Table1[[#This Row],[actual_2]]</f>
        <v>1.937984496124031E-2</v>
      </c>
      <c r="EI573" s="1">
        <f>(Table1[[#This Row],[predicted_3]]-Table1[[#This Row],[actual_3]])/Table1[[#This Row],[actual_3]]</f>
        <v>5.5445544554455446E-2</v>
      </c>
      <c r="EJ573" s="1">
        <f>(Table1[[#This Row],[predicted_4]]-Table1[[#This Row],[actual_4]])/Table1[[#This Row],[actual_4]]</f>
        <v>-3.8696537678207736E-2</v>
      </c>
      <c r="EK573" s="1">
        <f>(Table1[[#This Row],[predicted_5]]-Table1[[#This Row],[actual_5]])/Table1[[#This Row],[actual_5]]</f>
        <v>-5.6053811659192822E-3</v>
      </c>
      <c r="EL573" s="1">
        <f>(Table1[[#This Row],[predicted_6]]-Table1[[#This Row],[actual_6]])/Table1[[#This Row],[actual_6]]</f>
        <v>-4.8016701461377868E-2</v>
      </c>
      <c r="EM573" s="1">
        <f>(Table1[[#This Row],[predicted_7]]-Table1[[#This Row],[actual_7]])/Table1[[#This Row],[actual_7]]</f>
        <v>1.8482490272373541E-2</v>
      </c>
      <c r="EN573" s="1">
        <f>(Table1[[#This Row],[predicted_8]]-Table1[[#This Row],[actual_8]])/Table1[[#This Row],[actual_8]]</f>
        <v>3.4907597535934289E-2</v>
      </c>
      <c r="EO573" s="1">
        <f>(Table1[[#This Row],[predicted_9]]-Table1[[#This Row],[actual_9]])/Table1[[#This Row],[actual_9]]</f>
        <v>-3.5678889990089196E-2</v>
      </c>
      <c r="EP573" s="1">
        <f>1+(Table1[[#This Row],[error_ratio_0]]-EF$2)</f>
        <v>0.97755102040816322</v>
      </c>
      <c r="EQ573" s="1">
        <f>1+(Table1[[#This Row],[error_ratio_1]]-EG$2)</f>
        <v>1.0123348017621145</v>
      </c>
      <c r="ER573" s="1">
        <f>1+(Table1[[#This Row],[error_ratio_2]]-EH$2)</f>
        <v>1.0242248062015504</v>
      </c>
      <c r="ES573" s="1">
        <f>1+(Table1[[#This Row],[error_ratio_3]]-EI$2)</f>
        <v>1.0455445544554456</v>
      </c>
      <c r="ET573" s="1">
        <f>1+(Table1[[#This Row],[error_ratio_4]]-EJ$2)</f>
        <v>0.96028513238289204</v>
      </c>
      <c r="EU573" s="1">
        <f>1+(Table1[[#This Row],[error_ratio_5]]-EK$2)</f>
        <v>0.99327354260089684</v>
      </c>
      <c r="EV573" s="1">
        <f>1+(Table1[[#This Row],[error_ratio_6]]-EL$2)</f>
        <v>0.95824634655532359</v>
      </c>
      <c r="EW573" s="1">
        <f>1+(Table1[[#This Row],[error_ratio_7]]-EM$2)</f>
        <v>1.0165369649805447</v>
      </c>
      <c r="EX573" s="1">
        <f>1+(Table1[[#This Row],[error_ratio_8]]-EN$2)</f>
        <v>1.037987679671458</v>
      </c>
      <c r="EY573" s="1">
        <f>1+(Table1[[#This Row],[error_ratio_9]]-EO$2)</f>
        <v>0.96828543111992071</v>
      </c>
    </row>
    <row r="574" spans="1:155" x14ac:dyDescent="0.75">
      <c r="A574">
        <v>100</v>
      </c>
      <c r="B574">
        <v>10</v>
      </c>
      <c r="C574">
        <v>100</v>
      </c>
      <c r="D574">
        <v>100</v>
      </c>
      <c r="E574">
        <v>10</v>
      </c>
      <c r="F574">
        <v>10</v>
      </c>
      <c r="G574">
        <v>10</v>
      </c>
      <c r="H574">
        <v>100</v>
      </c>
      <c r="I574">
        <v>100</v>
      </c>
      <c r="J574">
        <v>10</v>
      </c>
      <c r="K574">
        <v>1054</v>
      </c>
      <c r="L574">
        <v>1129</v>
      </c>
      <c r="M574">
        <v>1041</v>
      </c>
      <c r="N574">
        <v>1026</v>
      </c>
      <c r="O574">
        <v>881</v>
      </c>
      <c r="P574">
        <v>883</v>
      </c>
      <c r="Q574">
        <v>943</v>
      </c>
      <c r="R574">
        <v>1037</v>
      </c>
      <c r="S574">
        <v>1004</v>
      </c>
      <c r="T574">
        <v>1002</v>
      </c>
      <c r="U574">
        <v>980</v>
      </c>
      <c r="V574">
        <v>1135</v>
      </c>
      <c r="W574">
        <v>1032</v>
      </c>
      <c r="X574">
        <v>1010</v>
      </c>
      <c r="Y574">
        <v>982</v>
      </c>
      <c r="Z574">
        <v>892</v>
      </c>
      <c r="AA574">
        <v>958</v>
      </c>
      <c r="AB574">
        <v>1028</v>
      </c>
      <c r="AC574">
        <v>974</v>
      </c>
      <c r="AD574">
        <v>1009</v>
      </c>
      <c r="AE574">
        <v>978</v>
      </c>
      <c r="AF574">
        <v>0</v>
      </c>
      <c r="AG574">
        <v>1</v>
      </c>
      <c r="AH574">
        <v>0</v>
      </c>
      <c r="AI574">
        <v>0</v>
      </c>
      <c r="AJ574">
        <v>0</v>
      </c>
      <c r="AK574">
        <v>0</v>
      </c>
      <c r="AL574">
        <v>1</v>
      </c>
      <c r="AM574">
        <v>0</v>
      </c>
      <c r="AN574">
        <v>0</v>
      </c>
      <c r="AO574">
        <v>0</v>
      </c>
      <c r="AP574">
        <v>1120</v>
      </c>
      <c r="AQ574">
        <v>4</v>
      </c>
      <c r="AR574">
        <v>4</v>
      </c>
      <c r="AS574">
        <v>0</v>
      </c>
      <c r="AT574">
        <v>1</v>
      </c>
      <c r="AU574">
        <v>2</v>
      </c>
      <c r="AV574">
        <v>1</v>
      </c>
      <c r="AW574">
        <v>3</v>
      </c>
      <c r="AX574">
        <v>0</v>
      </c>
      <c r="AY574">
        <v>4</v>
      </c>
      <c r="AZ574">
        <v>0</v>
      </c>
      <c r="BA574">
        <v>1015</v>
      </c>
      <c r="BB574">
        <v>0</v>
      </c>
      <c r="BC574">
        <v>0</v>
      </c>
      <c r="BD574">
        <v>0</v>
      </c>
      <c r="BE574">
        <v>0</v>
      </c>
      <c r="BF574">
        <v>5</v>
      </c>
      <c r="BG574">
        <v>8</v>
      </c>
      <c r="BH574">
        <v>0</v>
      </c>
      <c r="BI574">
        <v>1</v>
      </c>
      <c r="BJ574">
        <v>0</v>
      </c>
      <c r="BK574">
        <v>2</v>
      </c>
      <c r="BL574">
        <v>997</v>
      </c>
      <c r="BM574">
        <v>0</v>
      </c>
      <c r="BN574">
        <v>7</v>
      </c>
      <c r="BO574">
        <v>0</v>
      </c>
      <c r="BP574">
        <v>2</v>
      </c>
      <c r="BQ574">
        <v>1</v>
      </c>
      <c r="BR574">
        <v>0</v>
      </c>
      <c r="BS574">
        <v>8</v>
      </c>
      <c r="BT574">
        <v>0</v>
      </c>
      <c r="BU574">
        <v>3</v>
      </c>
      <c r="BV574">
        <v>1</v>
      </c>
      <c r="BW574">
        <v>876</v>
      </c>
      <c r="BX574">
        <v>1</v>
      </c>
      <c r="BY574">
        <v>30</v>
      </c>
      <c r="BZ574">
        <v>5</v>
      </c>
      <c r="CA574">
        <v>8</v>
      </c>
      <c r="CB574">
        <v>50</v>
      </c>
      <c r="CC574">
        <v>11</v>
      </c>
      <c r="CD574">
        <v>0</v>
      </c>
      <c r="CE574">
        <v>3</v>
      </c>
      <c r="CF574">
        <v>13</v>
      </c>
      <c r="CG574">
        <v>0</v>
      </c>
      <c r="CH574">
        <v>851</v>
      </c>
      <c r="CI574">
        <v>1</v>
      </c>
      <c r="CJ574">
        <v>1</v>
      </c>
      <c r="CK574">
        <v>12</v>
      </c>
      <c r="CL574">
        <v>0</v>
      </c>
      <c r="CM574">
        <v>30</v>
      </c>
      <c r="CN574">
        <v>2</v>
      </c>
      <c r="CO574">
        <v>4</v>
      </c>
      <c r="CP574">
        <v>1</v>
      </c>
      <c r="CQ574">
        <v>1</v>
      </c>
      <c r="CR574">
        <v>5</v>
      </c>
      <c r="CS574">
        <v>908</v>
      </c>
      <c r="CT574">
        <v>0</v>
      </c>
      <c r="CU574">
        <v>7</v>
      </c>
      <c r="CV574">
        <v>0</v>
      </c>
      <c r="CW574">
        <v>1</v>
      </c>
      <c r="CX574">
        <v>3</v>
      </c>
      <c r="CY574">
        <v>6</v>
      </c>
      <c r="CZ574">
        <v>1</v>
      </c>
      <c r="DA574">
        <v>0</v>
      </c>
      <c r="DB574">
        <v>0</v>
      </c>
      <c r="DC574">
        <v>0</v>
      </c>
      <c r="DD574">
        <v>1013</v>
      </c>
      <c r="DE574">
        <v>1</v>
      </c>
      <c r="DF574">
        <v>3</v>
      </c>
      <c r="DG574">
        <v>11</v>
      </c>
      <c r="DH574">
        <v>0</v>
      </c>
      <c r="DI574">
        <v>1</v>
      </c>
      <c r="DJ574">
        <v>3</v>
      </c>
      <c r="DK574">
        <v>0</v>
      </c>
      <c r="DL574">
        <v>1</v>
      </c>
      <c r="DM574">
        <v>1</v>
      </c>
      <c r="DN574">
        <v>2</v>
      </c>
      <c r="DO574">
        <v>951</v>
      </c>
      <c r="DP574">
        <v>4</v>
      </c>
      <c r="DQ574">
        <v>10</v>
      </c>
      <c r="DR574">
        <v>4</v>
      </c>
      <c r="DS574">
        <v>2</v>
      </c>
      <c r="DT574">
        <v>6</v>
      </c>
      <c r="DU574">
        <v>4</v>
      </c>
      <c r="DV574">
        <v>17</v>
      </c>
      <c r="DW574">
        <v>1</v>
      </c>
      <c r="DX574">
        <v>7</v>
      </c>
      <c r="DY574">
        <v>13</v>
      </c>
      <c r="DZ574">
        <v>945</v>
      </c>
      <c r="EA574">
        <v>0.96540000000000004</v>
      </c>
      <c r="EB574">
        <v>0.965483118604893</v>
      </c>
      <c r="EC574">
        <v>0.96476654629191705</v>
      </c>
      <c r="ED574">
        <v>0.96467803346874303</v>
      </c>
      <c r="EE574">
        <f>SUM(Table1[[#This Row],[ratio_0]:[ratio_9]])</f>
        <v>550</v>
      </c>
      <c r="EF574" s="1">
        <f>(Table1[[#This Row],[predicted_0]]-Table1[[#This Row],[actual_0]])/Table1[[#This Row],[actual_0]]</f>
        <v>7.5510204081632656E-2</v>
      </c>
      <c r="EG574" s="1">
        <f>(Table1[[#This Row],[predicted_1]]-Table1[[#This Row],[actual_1]])/Table1[[#This Row],[actual_1]]</f>
        <v>-5.2863436123348016E-3</v>
      </c>
      <c r="EH574" s="1">
        <f>(Table1[[#This Row],[predicted_2]]-Table1[[#This Row],[actual_2]])/Table1[[#This Row],[actual_2]]</f>
        <v>8.7209302325581394E-3</v>
      </c>
      <c r="EI574" s="1">
        <f>(Table1[[#This Row],[predicted_3]]-Table1[[#This Row],[actual_3]])/Table1[[#This Row],[actual_3]]</f>
        <v>1.5841584158415842E-2</v>
      </c>
      <c r="EJ574" s="1">
        <f>(Table1[[#This Row],[predicted_4]]-Table1[[#This Row],[actual_4]])/Table1[[#This Row],[actual_4]]</f>
        <v>-0.10285132382892057</v>
      </c>
      <c r="EK574" s="1">
        <f>(Table1[[#This Row],[predicted_5]]-Table1[[#This Row],[actual_5]])/Table1[[#This Row],[actual_5]]</f>
        <v>-1.0089686098654708E-2</v>
      </c>
      <c r="EL574" s="1">
        <f>(Table1[[#This Row],[predicted_6]]-Table1[[#This Row],[actual_6]])/Table1[[#This Row],[actual_6]]</f>
        <v>-1.5657620041753653E-2</v>
      </c>
      <c r="EM574" s="1">
        <f>(Table1[[#This Row],[predicted_7]]-Table1[[#This Row],[actual_7]])/Table1[[#This Row],[actual_7]]</f>
        <v>8.7548638132295721E-3</v>
      </c>
      <c r="EN574" s="1">
        <f>(Table1[[#This Row],[predicted_8]]-Table1[[#This Row],[actual_8]])/Table1[[#This Row],[actual_8]]</f>
        <v>3.0800821355236138E-2</v>
      </c>
      <c r="EO574" s="1">
        <f>(Table1[[#This Row],[predicted_9]]-Table1[[#This Row],[actual_9]])/Table1[[#This Row],[actual_9]]</f>
        <v>-6.9375619425173438E-3</v>
      </c>
      <c r="EP574" s="1">
        <f>1+(Table1[[#This Row],[error_ratio_0]]-EF$2)</f>
        <v>1.073469387755102</v>
      </c>
      <c r="EQ574" s="1">
        <f>1+(Table1[[#This Row],[error_ratio_1]]-EG$2)</f>
        <v>0.99295154185022028</v>
      </c>
      <c r="ER574" s="1">
        <f>1+(Table1[[#This Row],[error_ratio_2]]-EH$2)</f>
        <v>1.0135658914728682</v>
      </c>
      <c r="ES574" s="1">
        <f>1+(Table1[[#This Row],[error_ratio_3]]-EI$2)</f>
        <v>1.0059405940594059</v>
      </c>
      <c r="ET574" s="1">
        <f>1+(Table1[[#This Row],[error_ratio_4]]-EJ$2)</f>
        <v>0.89613034623217924</v>
      </c>
      <c r="EU574" s="1">
        <f>1+(Table1[[#This Row],[error_ratio_5]]-EK$2)</f>
        <v>0.9887892376681614</v>
      </c>
      <c r="EV574" s="1">
        <f>1+(Table1[[#This Row],[error_ratio_6]]-EL$2)</f>
        <v>0.99060542797494777</v>
      </c>
      <c r="EW574" s="1">
        <f>1+(Table1[[#This Row],[error_ratio_7]]-EM$2)</f>
        <v>1.0068093385214008</v>
      </c>
      <c r="EX574" s="1">
        <f>1+(Table1[[#This Row],[error_ratio_8]]-EN$2)</f>
        <v>1.0338809034907597</v>
      </c>
      <c r="EY574" s="1">
        <f>1+(Table1[[#This Row],[error_ratio_9]]-EO$2)</f>
        <v>0.99702675916749262</v>
      </c>
    </row>
    <row r="575" spans="1:155" x14ac:dyDescent="0.75">
      <c r="A575">
        <v>100</v>
      </c>
      <c r="B575">
        <v>100</v>
      </c>
      <c r="C575">
        <v>10</v>
      </c>
      <c r="D575">
        <v>100</v>
      </c>
      <c r="E575">
        <v>10</v>
      </c>
      <c r="F575">
        <v>10</v>
      </c>
      <c r="G575">
        <v>10</v>
      </c>
      <c r="H575">
        <v>100</v>
      </c>
      <c r="I575">
        <v>100</v>
      </c>
      <c r="J575">
        <v>10</v>
      </c>
      <c r="K575">
        <v>1010</v>
      </c>
      <c r="L575">
        <v>1154</v>
      </c>
      <c r="M575">
        <v>939</v>
      </c>
      <c r="N575">
        <v>1147</v>
      </c>
      <c r="O575">
        <v>938</v>
      </c>
      <c r="P575">
        <v>749</v>
      </c>
      <c r="Q575">
        <v>966</v>
      </c>
      <c r="R575">
        <v>1114</v>
      </c>
      <c r="S575">
        <v>1045</v>
      </c>
      <c r="T575">
        <v>938</v>
      </c>
      <c r="U575">
        <v>980</v>
      </c>
      <c r="V575">
        <v>1135</v>
      </c>
      <c r="W575">
        <v>1032</v>
      </c>
      <c r="X575">
        <v>1010</v>
      </c>
      <c r="Y575">
        <v>982</v>
      </c>
      <c r="Z575">
        <v>892</v>
      </c>
      <c r="AA575">
        <v>958</v>
      </c>
      <c r="AB575">
        <v>1028</v>
      </c>
      <c r="AC575">
        <v>974</v>
      </c>
      <c r="AD575">
        <v>1009</v>
      </c>
      <c r="AE575">
        <v>973</v>
      </c>
      <c r="AF575">
        <v>0</v>
      </c>
      <c r="AG575">
        <v>0</v>
      </c>
      <c r="AH575">
        <v>0</v>
      </c>
      <c r="AI575">
        <v>0</v>
      </c>
      <c r="AJ575">
        <v>0</v>
      </c>
      <c r="AK575">
        <v>2</v>
      </c>
      <c r="AL575">
        <v>2</v>
      </c>
      <c r="AM575">
        <v>3</v>
      </c>
      <c r="AN575">
        <v>0</v>
      </c>
      <c r="AO575">
        <v>0</v>
      </c>
      <c r="AP575">
        <v>1129</v>
      </c>
      <c r="AQ575">
        <v>0</v>
      </c>
      <c r="AR575">
        <v>2</v>
      </c>
      <c r="AS575">
        <v>0</v>
      </c>
      <c r="AT575">
        <v>0</v>
      </c>
      <c r="AU575">
        <v>1</v>
      </c>
      <c r="AV575">
        <v>1</v>
      </c>
      <c r="AW575">
        <v>2</v>
      </c>
      <c r="AX575">
        <v>0</v>
      </c>
      <c r="AY575">
        <v>8</v>
      </c>
      <c r="AZ575">
        <v>9</v>
      </c>
      <c r="BA575">
        <v>931</v>
      </c>
      <c r="BB575">
        <v>17</v>
      </c>
      <c r="BC575">
        <v>1</v>
      </c>
      <c r="BD575">
        <v>0</v>
      </c>
      <c r="BE575">
        <v>5</v>
      </c>
      <c r="BF575">
        <v>33</v>
      </c>
      <c r="BG575">
        <v>28</v>
      </c>
      <c r="BH575">
        <v>0</v>
      </c>
      <c r="BI575">
        <v>0</v>
      </c>
      <c r="BJ575">
        <v>1</v>
      </c>
      <c r="BK575">
        <v>1</v>
      </c>
      <c r="BL575">
        <v>1000</v>
      </c>
      <c r="BM575">
        <v>0</v>
      </c>
      <c r="BN575">
        <v>0</v>
      </c>
      <c r="BO575">
        <v>1</v>
      </c>
      <c r="BP575">
        <v>3</v>
      </c>
      <c r="BQ575">
        <v>3</v>
      </c>
      <c r="BR575">
        <v>1</v>
      </c>
      <c r="BS575">
        <v>1</v>
      </c>
      <c r="BT575">
        <v>4</v>
      </c>
      <c r="BU575">
        <v>2</v>
      </c>
      <c r="BV575">
        <v>0</v>
      </c>
      <c r="BW575">
        <v>932</v>
      </c>
      <c r="BX575">
        <v>0</v>
      </c>
      <c r="BY575">
        <v>7</v>
      </c>
      <c r="BZ575">
        <v>10</v>
      </c>
      <c r="CA575">
        <v>9</v>
      </c>
      <c r="CB575">
        <v>17</v>
      </c>
      <c r="CC575">
        <v>8</v>
      </c>
      <c r="CD575">
        <v>0</v>
      </c>
      <c r="CE575">
        <v>1</v>
      </c>
      <c r="CF575">
        <v>96</v>
      </c>
      <c r="CG575">
        <v>0</v>
      </c>
      <c r="CH575">
        <v>745</v>
      </c>
      <c r="CI575">
        <v>12</v>
      </c>
      <c r="CJ575">
        <v>3</v>
      </c>
      <c r="CK575">
        <v>22</v>
      </c>
      <c r="CL575">
        <v>5</v>
      </c>
      <c r="CM575">
        <v>13</v>
      </c>
      <c r="CN575">
        <v>3</v>
      </c>
      <c r="CO575">
        <v>2</v>
      </c>
      <c r="CP575">
        <v>0</v>
      </c>
      <c r="CQ575">
        <v>1</v>
      </c>
      <c r="CR575">
        <v>1</v>
      </c>
      <c r="CS575">
        <v>937</v>
      </c>
      <c r="CT575">
        <v>0</v>
      </c>
      <c r="CU575">
        <v>1</v>
      </c>
      <c r="CV575">
        <v>0</v>
      </c>
      <c r="CW575">
        <v>1</v>
      </c>
      <c r="CX575">
        <v>4</v>
      </c>
      <c r="CY575">
        <v>1</v>
      </c>
      <c r="CZ575">
        <v>4</v>
      </c>
      <c r="DA575">
        <v>0</v>
      </c>
      <c r="DB575">
        <v>0</v>
      </c>
      <c r="DC575">
        <v>0</v>
      </c>
      <c r="DD575">
        <v>1018</v>
      </c>
      <c r="DE575">
        <v>0</v>
      </c>
      <c r="DF575">
        <v>0</v>
      </c>
      <c r="DG575">
        <v>2</v>
      </c>
      <c r="DH575">
        <v>0</v>
      </c>
      <c r="DI575">
        <v>0</v>
      </c>
      <c r="DJ575">
        <v>6</v>
      </c>
      <c r="DK575">
        <v>0</v>
      </c>
      <c r="DL575">
        <v>0</v>
      </c>
      <c r="DM575">
        <v>0</v>
      </c>
      <c r="DN575">
        <v>4</v>
      </c>
      <c r="DO575">
        <v>961</v>
      </c>
      <c r="DP575">
        <v>1</v>
      </c>
      <c r="DQ575">
        <v>4</v>
      </c>
      <c r="DR575">
        <v>4</v>
      </c>
      <c r="DS575">
        <v>1</v>
      </c>
      <c r="DT575">
        <v>22</v>
      </c>
      <c r="DU575">
        <v>4</v>
      </c>
      <c r="DV575">
        <v>3</v>
      </c>
      <c r="DW575">
        <v>1</v>
      </c>
      <c r="DX575">
        <v>40</v>
      </c>
      <c r="DY575">
        <v>16</v>
      </c>
      <c r="DZ575">
        <v>914</v>
      </c>
      <c r="EA575">
        <v>0.95399999999999996</v>
      </c>
      <c r="EB575">
        <v>0.95711196202052895</v>
      </c>
      <c r="EC575">
        <v>0.95249389454008904</v>
      </c>
      <c r="ED575">
        <v>0.95304372869931697</v>
      </c>
      <c r="EE575">
        <f>SUM(Table1[[#This Row],[ratio_0]:[ratio_9]])</f>
        <v>550</v>
      </c>
      <c r="EF575" s="1">
        <f>(Table1[[#This Row],[predicted_0]]-Table1[[#This Row],[actual_0]])/Table1[[#This Row],[actual_0]]</f>
        <v>3.0612244897959183E-2</v>
      </c>
      <c r="EG575" s="1">
        <f>(Table1[[#This Row],[predicted_1]]-Table1[[#This Row],[actual_1]])/Table1[[#This Row],[actual_1]]</f>
        <v>1.6740088105726872E-2</v>
      </c>
      <c r="EH575" s="1">
        <f>(Table1[[#This Row],[predicted_2]]-Table1[[#This Row],[actual_2]])/Table1[[#This Row],[actual_2]]</f>
        <v>-9.0116279069767435E-2</v>
      </c>
      <c r="EI575" s="1">
        <f>(Table1[[#This Row],[predicted_3]]-Table1[[#This Row],[actual_3]])/Table1[[#This Row],[actual_3]]</f>
        <v>0.13564356435643565</v>
      </c>
      <c r="EJ575" s="1">
        <f>(Table1[[#This Row],[predicted_4]]-Table1[[#This Row],[actual_4]])/Table1[[#This Row],[actual_4]]</f>
        <v>-4.4806517311608958E-2</v>
      </c>
      <c r="EK575" s="1">
        <f>(Table1[[#This Row],[predicted_5]]-Table1[[#This Row],[actual_5]])/Table1[[#This Row],[actual_5]]</f>
        <v>-0.16031390134529147</v>
      </c>
      <c r="EL575" s="1">
        <f>(Table1[[#This Row],[predicted_6]]-Table1[[#This Row],[actual_6]])/Table1[[#This Row],[actual_6]]</f>
        <v>8.350730688935281E-3</v>
      </c>
      <c r="EM575" s="1">
        <f>(Table1[[#This Row],[predicted_7]]-Table1[[#This Row],[actual_7]])/Table1[[#This Row],[actual_7]]</f>
        <v>8.3657587548638127E-2</v>
      </c>
      <c r="EN575" s="1">
        <f>(Table1[[#This Row],[predicted_8]]-Table1[[#This Row],[actual_8]])/Table1[[#This Row],[actual_8]]</f>
        <v>7.2895277207392195E-2</v>
      </c>
      <c r="EO575" s="1">
        <f>(Table1[[#This Row],[predicted_9]]-Table1[[#This Row],[actual_9]])/Table1[[#This Row],[actual_9]]</f>
        <v>-7.0366699702675922E-2</v>
      </c>
      <c r="EP575" s="1">
        <f>1+(Table1[[#This Row],[error_ratio_0]]-EF$2)</f>
        <v>1.0285714285714285</v>
      </c>
      <c r="EQ575" s="1">
        <f>1+(Table1[[#This Row],[error_ratio_1]]-EG$2)</f>
        <v>1.014977973568282</v>
      </c>
      <c r="ER575" s="1">
        <f>1+(Table1[[#This Row],[error_ratio_2]]-EH$2)</f>
        <v>0.9147286821705426</v>
      </c>
      <c r="ES575" s="1">
        <f>1+(Table1[[#This Row],[error_ratio_3]]-EI$2)</f>
        <v>1.1257425742574259</v>
      </c>
      <c r="ET575" s="1">
        <f>1+(Table1[[#This Row],[error_ratio_4]]-EJ$2)</f>
        <v>0.95417515274949083</v>
      </c>
      <c r="EU575" s="1">
        <f>1+(Table1[[#This Row],[error_ratio_5]]-EK$2)</f>
        <v>0.83856502242152464</v>
      </c>
      <c r="EV575" s="1">
        <f>1+(Table1[[#This Row],[error_ratio_6]]-EL$2)</f>
        <v>1.0146137787056368</v>
      </c>
      <c r="EW575" s="1">
        <f>1+(Table1[[#This Row],[error_ratio_7]]-EM$2)</f>
        <v>1.0817120622568093</v>
      </c>
      <c r="EX575" s="1">
        <f>1+(Table1[[#This Row],[error_ratio_8]]-EN$2)</f>
        <v>1.0759753593429158</v>
      </c>
      <c r="EY575" s="1">
        <f>1+(Table1[[#This Row],[error_ratio_9]]-EO$2)</f>
        <v>0.93359762140733404</v>
      </c>
    </row>
    <row r="576" spans="1:155" x14ac:dyDescent="0.75">
      <c r="A576">
        <v>10</v>
      </c>
      <c r="B576">
        <v>100</v>
      </c>
      <c r="C576">
        <v>10</v>
      </c>
      <c r="D576">
        <v>100</v>
      </c>
      <c r="E576">
        <v>10</v>
      </c>
      <c r="F576">
        <v>10</v>
      </c>
      <c r="G576">
        <v>10</v>
      </c>
      <c r="H576">
        <v>100</v>
      </c>
      <c r="I576">
        <v>100</v>
      </c>
      <c r="J576">
        <v>10</v>
      </c>
      <c r="K576">
        <v>1016</v>
      </c>
      <c r="L576">
        <v>1166</v>
      </c>
      <c r="M576">
        <v>958</v>
      </c>
      <c r="N576">
        <v>1057</v>
      </c>
      <c r="O576">
        <v>962</v>
      </c>
      <c r="P576">
        <v>851</v>
      </c>
      <c r="Q576">
        <v>956</v>
      </c>
      <c r="R576">
        <v>1070</v>
      </c>
      <c r="S576">
        <v>1017</v>
      </c>
      <c r="T576">
        <v>947</v>
      </c>
      <c r="U576">
        <v>980</v>
      </c>
      <c r="V576">
        <v>1135</v>
      </c>
      <c r="W576">
        <v>1032</v>
      </c>
      <c r="X576">
        <v>1010</v>
      </c>
      <c r="Y576">
        <v>982</v>
      </c>
      <c r="Z576">
        <v>892</v>
      </c>
      <c r="AA576">
        <v>958</v>
      </c>
      <c r="AB576">
        <v>1028</v>
      </c>
      <c r="AC576">
        <v>974</v>
      </c>
      <c r="AD576">
        <v>1009</v>
      </c>
      <c r="AE576">
        <v>970</v>
      </c>
      <c r="AF576">
        <v>0</v>
      </c>
      <c r="AG576">
        <v>2</v>
      </c>
      <c r="AH576">
        <v>0</v>
      </c>
      <c r="AI576">
        <v>0</v>
      </c>
      <c r="AJ576">
        <v>0</v>
      </c>
      <c r="AK576">
        <v>3</v>
      </c>
      <c r="AL576">
        <v>1</v>
      </c>
      <c r="AM576">
        <v>4</v>
      </c>
      <c r="AN576">
        <v>0</v>
      </c>
      <c r="AO576">
        <v>0</v>
      </c>
      <c r="AP576">
        <v>1127</v>
      </c>
      <c r="AQ576">
        <v>0</v>
      </c>
      <c r="AR576">
        <v>4</v>
      </c>
      <c r="AS576">
        <v>0</v>
      </c>
      <c r="AT576">
        <v>1</v>
      </c>
      <c r="AU576">
        <v>1</v>
      </c>
      <c r="AV576">
        <v>0</v>
      </c>
      <c r="AW576">
        <v>2</v>
      </c>
      <c r="AX576">
        <v>0</v>
      </c>
      <c r="AY576">
        <v>10</v>
      </c>
      <c r="AZ576">
        <v>11</v>
      </c>
      <c r="BA576">
        <v>950</v>
      </c>
      <c r="BB576">
        <v>7</v>
      </c>
      <c r="BC576">
        <v>2</v>
      </c>
      <c r="BD576">
        <v>0</v>
      </c>
      <c r="BE576">
        <v>4</v>
      </c>
      <c r="BF576">
        <v>17</v>
      </c>
      <c r="BG576">
        <v>31</v>
      </c>
      <c r="BH576">
        <v>0</v>
      </c>
      <c r="BI576">
        <v>1</v>
      </c>
      <c r="BJ576">
        <v>0</v>
      </c>
      <c r="BK576">
        <v>1</v>
      </c>
      <c r="BL576">
        <v>1000</v>
      </c>
      <c r="BM576">
        <v>0</v>
      </c>
      <c r="BN576">
        <v>2</v>
      </c>
      <c r="BO576">
        <v>0</v>
      </c>
      <c r="BP576">
        <v>2</v>
      </c>
      <c r="BQ576">
        <v>4</v>
      </c>
      <c r="BR576">
        <v>0</v>
      </c>
      <c r="BS576">
        <v>1</v>
      </c>
      <c r="BT576">
        <v>11</v>
      </c>
      <c r="BU576">
        <v>1</v>
      </c>
      <c r="BV576">
        <v>0</v>
      </c>
      <c r="BW576">
        <v>938</v>
      </c>
      <c r="BX576">
        <v>1</v>
      </c>
      <c r="BY576">
        <v>6</v>
      </c>
      <c r="BZ576">
        <v>5</v>
      </c>
      <c r="CA576">
        <v>4</v>
      </c>
      <c r="CB576">
        <v>15</v>
      </c>
      <c r="CC576">
        <v>10</v>
      </c>
      <c r="CD576">
        <v>0</v>
      </c>
      <c r="CE576">
        <v>1</v>
      </c>
      <c r="CF576">
        <v>30</v>
      </c>
      <c r="CG576">
        <v>0</v>
      </c>
      <c r="CH576">
        <v>833</v>
      </c>
      <c r="CI576">
        <v>10</v>
      </c>
      <c r="CJ576">
        <v>1</v>
      </c>
      <c r="CK576">
        <v>7</v>
      </c>
      <c r="CL576">
        <v>0</v>
      </c>
      <c r="CM576">
        <v>15</v>
      </c>
      <c r="CN576">
        <v>5</v>
      </c>
      <c r="CO576">
        <v>0</v>
      </c>
      <c r="CP576">
        <v>0</v>
      </c>
      <c r="CQ576">
        <v>6</v>
      </c>
      <c r="CR576">
        <v>1</v>
      </c>
      <c r="CS576">
        <v>930</v>
      </c>
      <c r="CT576">
        <v>0</v>
      </c>
      <c r="CU576">
        <v>1</v>
      </c>
      <c r="CV576">
        <v>0</v>
      </c>
      <c r="CW576">
        <v>1</v>
      </c>
      <c r="CX576">
        <v>8</v>
      </c>
      <c r="CY576">
        <v>3</v>
      </c>
      <c r="CZ576">
        <v>2</v>
      </c>
      <c r="DA576">
        <v>0</v>
      </c>
      <c r="DB576">
        <v>0</v>
      </c>
      <c r="DC576">
        <v>0</v>
      </c>
      <c r="DD576">
        <v>1013</v>
      </c>
      <c r="DE576">
        <v>1</v>
      </c>
      <c r="DF576">
        <v>0</v>
      </c>
      <c r="DG576">
        <v>4</v>
      </c>
      <c r="DH576">
        <v>0</v>
      </c>
      <c r="DI576">
        <v>0</v>
      </c>
      <c r="DJ576">
        <v>3</v>
      </c>
      <c r="DK576">
        <v>4</v>
      </c>
      <c r="DL576">
        <v>0</v>
      </c>
      <c r="DM576">
        <v>0</v>
      </c>
      <c r="DN576">
        <v>3</v>
      </c>
      <c r="DO576">
        <v>953</v>
      </c>
      <c r="DP576">
        <v>7</v>
      </c>
      <c r="DQ576">
        <v>4</v>
      </c>
      <c r="DR576">
        <v>4</v>
      </c>
      <c r="DS576">
        <v>0</v>
      </c>
      <c r="DT576">
        <v>11</v>
      </c>
      <c r="DU576">
        <v>12</v>
      </c>
      <c r="DV576">
        <v>13</v>
      </c>
      <c r="DW576">
        <v>2</v>
      </c>
      <c r="DX576">
        <v>28</v>
      </c>
      <c r="DY576">
        <v>10</v>
      </c>
      <c r="DZ576">
        <v>925</v>
      </c>
      <c r="EA576">
        <v>0.96389999999999998</v>
      </c>
      <c r="EB576">
        <v>0.96462710526268802</v>
      </c>
      <c r="EC576">
        <v>0.96338087753491497</v>
      </c>
      <c r="ED576">
        <v>0.96353056897179601</v>
      </c>
      <c r="EE576">
        <f>SUM(Table1[[#This Row],[ratio_0]:[ratio_9]])</f>
        <v>460</v>
      </c>
      <c r="EF576" s="1">
        <f>(Table1[[#This Row],[predicted_0]]-Table1[[#This Row],[actual_0]])/Table1[[#This Row],[actual_0]]</f>
        <v>3.6734693877551024E-2</v>
      </c>
      <c r="EG576" s="1">
        <f>(Table1[[#This Row],[predicted_1]]-Table1[[#This Row],[actual_1]])/Table1[[#This Row],[actual_1]]</f>
        <v>2.7312775330396475E-2</v>
      </c>
      <c r="EH576" s="1">
        <f>(Table1[[#This Row],[predicted_2]]-Table1[[#This Row],[actual_2]])/Table1[[#This Row],[actual_2]]</f>
        <v>-7.170542635658915E-2</v>
      </c>
      <c r="EI576" s="1">
        <f>(Table1[[#This Row],[predicted_3]]-Table1[[#This Row],[actual_3]])/Table1[[#This Row],[actual_3]]</f>
        <v>4.6534653465346534E-2</v>
      </c>
      <c r="EJ576" s="1">
        <f>(Table1[[#This Row],[predicted_4]]-Table1[[#This Row],[actual_4]])/Table1[[#This Row],[actual_4]]</f>
        <v>-2.0366598778004074E-2</v>
      </c>
      <c r="EK576" s="1">
        <f>(Table1[[#This Row],[predicted_5]]-Table1[[#This Row],[actual_5]])/Table1[[#This Row],[actual_5]]</f>
        <v>-4.5964125560538117E-2</v>
      </c>
      <c r="EL576" s="1">
        <f>(Table1[[#This Row],[predicted_6]]-Table1[[#This Row],[actual_6]])/Table1[[#This Row],[actual_6]]</f>
        <v>-2.0876826722338203E-3</v>
      </c>
      <c r="EM576" s="1">
        <f>(Table1[[#This Row],[predicted_7]]-Table1[[#This Row],[actual_7]])/Table1[[#This Row],[actual_7]]</f>
        <v>4.085603112840467E-2</v>
      </c>
      <c r="EN576" s="1">
        <f>(Table1[[#This Row],[predicted_8]]-Table1[[#This Row],[actual_8]])/Table1[[#This Row],[actual_8]]</f>
        <v>4.4147843942505136E-2</v>
      </c>
      <c r="EO576" s="1">
        <f>(Table1[[#This Row],[predicted_9]]-Table1[[#This Row],[actual_9]])/Table1[[#This Row],[actual_9]]</f>
        <v>-6.1446977205153616E-2</v>
      </c>
      <c r="EP576" s="1">
        <f>1+(Table1[[#This Row],[error_ratio_0]]-EF$2)</f>
        <v>1.0346938775510204</v>
      </c>
      <c r="EQ576" s="1">
        <f>1+(Table1[[#This Row],[error_ratio_1]]-EG$2)</f>
        <v>1.0255506607929514</v>
      </c>
      <c r="ER576" s="1">
        <f>1+(Table1[[#This Row],[error_ratio_2]]-EH$2)</f>
        <v>0.93313953488372092</v>
      </c>
      <c r="ES576" s="1">
        <f>1+(Table1[[#This Row],[error_ratio_3]]-EI$2)</f>
        <v>1.0366336633663367</v>
      </c>
      <c r="ET576" s="1">
        <f>1+(Table1[[#This Row],[error_ratio_4]]-EJ$2)</f>
        <v>0.97861507128309577</v>
      </c>
      <c r="EU576" s="1">
        <f>1+(Table1[[#This Row],[error_ratio_5]]-EK$2)</f>
        <v>0.952914798206278</v>
      </c>
      <c r="EV576" s="1">
        <f>1+(Table1[[#This Row],[error_ratio_6]]-EL$2)</f>
        <v>1.0041753653444676</v>
      </c>
      <c r="EW576" s="1">
        <f>1+(Table1[[#This Row],[error_ratio_7]]-EM$2)</f>
        <v>1.038910505836576</v>
      </c>
      <c r="EX576" s="1">
        <f>1+(Table1[[#This Row],[error_ratio_8]]-EN$2)</f>
        <v>1.0472279260780288</v>
      </c>
      <c r="EY576" s="1">
        <f>1+(Table1[[#This Row],[error_ratio_9]]-EO$2)</f>
        <v>0.94251734390485631</v>
      </c>
    </row>
    <row r="577" spans="1:155" x14ac:dyDescent="0.75">
      <c r="A577">
        <v>100</v>
      </c>
      <c r="B577">
        <v>10</v>
      </c>
      <c r="C577">
        <v>10</v>
      </c>
      <c r="D577">
        <v>100</v>
      </c>
      <c r="E577">
        <v>10</v>
      </c>
      <c r="F577">
        <v>10</v>
      </c>
      <c r="G577">
        <v>10</v>
      </c>
      <c r="H577">
        <v>100</v>
      </c>
      <c r="I577">
        <v>100</v>
      </c>
      <c r="J577">
        <v>10</v>
      </c>
      <c r="K577">
        <v>1023</v>
      </c>
      <c r="L577">
        <v>1129</v>
      </c>
      <c r="M577">
        <v>1014</v>
      </c>
      <c r="N577">
        <v>1021</v>
      </c>
      <c r="O577">
        <v>1019</v>
      </c>
      <c r="P577">
        <v>896</v>
      </c>
      <c r="Q577">
        <v>898</v>
      </c>
      <c r="R577">
        <v>1079</v>
      </c>
      <c r="S577">
        <v>990</v>
      </c>
      <c r="T577">
        <v>931</v>
      </c>
      <c r="U577">
        <v>980</v>
      </c>
      <c r="V577">
        <v>1135</v>
      </c>
      <c r="W577">
        <v>1032</v>
      </c>
      <c r="X577">
        <v>1010</v>
      </c>
      <c r="Y577">
        <v>982</v>
      </c>
      <c r="Z577">
        <v>892</v>
      </c>
      <c r="AA577">
        <v>958</v>
      </c>
      <c r="AB577">
        <v>1028</v>
      </c>
      <c r="AC577">
        <v>974</v>
      </c>
      <c r="AD577">
        <v>1009</v>
      </c>
      <c r="AE577">
        <v>972</v>
      </c>
      <c r="AF577">
        <v>0</v>
      </c>
      <c r="AG577">
        <v>0</v>
      </c>
      <c r="AH577">
        <v>0</v>
      </c>
      <c r="AI577">
        <v>0</v>
      </c>
      <c r="AJ577">
        <v>2</v>
      </c>
      <c r="AK577">
        <v>0</v>
      </c>
      <c r="AL577">
        <v>3</v>
      </c>
      <c r="AM577">
        <v>3</v>
      </c>
      <c r="AN577">
        <v>0</v>
      </c>
      <c r="AO577">
        <v>0</v>
      </c>
      <c r="AP577">
        <v>1117</v>
      </c>
      <c r="AQ577">
        <v>3</v>
      </c>
      <c r="AR577">
        <v>6</v>
      </c>
      <c r="AS577">
        <v>0</v>
      </c>
      <c r="AT577">
        <v>0</v>
      </c>
      <c r="AU577">
        <v>1</v>
      </c>
      <c r="AV577">
        <v>6</v>
      </c>
      <c r="AW577">
        <v>2</v>
      </c>
      <c r="AX577">
        <v>0</v>
      </c>
      <c r="AY577">
        <v>10</v>
      </c>
      <c r="AZ577">
        <v>3</v>
      </c>
      <c r="BA577">
        <v>990</v>
      </c>
      <c r="BB577">
        <v>6</v>
      </c>
      <c r="BC577">
        <v>3</v>
      </c>
      <c r="BD577">
        <v>0</v>
      </c>
      <c r="BE577">
        <v>0</v>
      </c>
      <c r="BF577">
        <v>15</v>
      </c>
      <c r="BG577">
        <v>5</v>
      </c>
      <c r="BH577">
        <v>0</v>
      </c>
      <c r="BI577">
        <v>4</v>
      </c>
      <c r="BJ577">
        <v>0</v>
      </c>
      <c r="BK577">
        <v>1</v>
      </c>
      <c r="BL577">
        <v>986</v>
      </c>
      <c r="BM577">
        <v>0</v>
      </c>
      <c r="BN577">
        <v>8</v>
      </c>
      <c r="BO577">
        <v>0</v>
      </c>
      <c r="BP577">
        <v>9</v>
      </c>
      <c r="BQ577">
        <v>2</v>
      </c>
      <c r="BR577">
        <v>0</v>
      </c>
      <c r="BS577">
        <v>2</v>
      </c>
      <c r="BT577">
        <v>0</v>
      </c>
      <c r="BU577">
        <v>2</v>
      </c>
      <c r="BV577">
        <v>0</v>
      </c>
      <c r="BW577">
        <v>968</v>
      </c>
      <c r="BX577">
        <v>0</v>
      </c>
      <c r="BY577">
        <v>1</v>
      </c>
      <c r="BZ577">
        <v>3</v>
      </c>
      <c r="CA577">
        <v>2</v>
      </c>
      <c r="CB577">
        <v>4</v>
      </c>
      <c r="CC577">
        <v>5</v>
      </c>
      <c r="CD577">
        <v>0</v>
      </c>
      <c r="CE577">
        <v>2</v>
      </c>
      <c r="CF577">
        <v>14</v>
      </c>
      <c r="CG577">
        <v>0</v>
      </c>
      <c r="CH577">
        <v>864</v>
      </c>
      <c r="CI577">
        <v>0</v>
      </c>
      <c r="CJ577">
        <v>5</v>
      </c>
      <c r="CK577">
        <v>1</v>
      </c>
      <c r="CL577">
        <v>1</v>
      </c>
      <c r="CM577">
        <v>21</v>
      </c>
      <c r="CN577">
        <v>4</v>
      </c>
      <c r="CO577">
        <v>5</v>
      </c>
      <c r="CP577">
        <v>0</v>
      </c>
      <c r="CQ577">
        <v>19</v>
      </c>
      <c r="CR577">
        <v>9</v>
      </c>
      <c r="CS577">
        <v>895</v>
      </c>
      <c r="CT577">
        <v>0</v>
      </c>
      <c r="CU577">
        <v>5</v>
      </c>
      <c r="CV577">
        <v>0</v>
      </c>
      <c r="CW577">
        <v>0</v>
      </c>
      <c r="CX577">
        <v>2</v>
      </c>
      <c r="CY577">
        <v>8</v>
      </c>
      <c r="CZ577">
        <v>0</v>
      </c>
      <c r="DA577">
        <v>0</v>
      </c>
      <c r="DB577">
        <v>0</v>
      </c>
      <c r="DC577">
        <v>0</v>
      </c>
      <c r="DD577">
        <v>1018</v>
      </c>
      <c r="DE577">
        <v>0</v>
      </c>
      <c r="DF577">
        <v>0</v>
      </c>
      <c r="DG577">
        <v>2</v>
      </c>
      <c r="DH577">
        <v>0</v>
      </c>
      <c r="DI577">
        <v>2</v>
      </c>
      <c r="DJ577">
        <v>2</v>
      </c>
      <c r="DK577">
        <v>1</v>
      </c>
      <c r="DL577">
        <v>2</v>
      </c>
      <c r="DM577">
        <v>1</v>
      </c>
      <c r="DN577">
        <v>5</v>
      </c>
      <c r="DO577">
        <v>957</v>
      </c>
      <c r="DP577">
        <v>2</v>
      </c>
      <c r="DQ577">
        <v>7</v>
      </c>
      <c r="DR577">
        <v>3</v>
      </c>
      <c r="DS577">
        <v>1</v>
      </c>
      <c r="DT577">
        <v>7</v>
      </c>
      <c r="DU577">
        <v>28</v>
      </c>
      <c r="DV577">
        <v>11</v>
      </c>
      <c r="DW577">
        <v>0</v>
      </c>
      <c r="DX577">
        <v>15</v>
      </c>
      <c r="DY577">
        <v>13</v>
      </c>
      <c r="DZ577">
        <v>924</v>
      </c>
      <c r="EA577">
        <v>0.96909999999999996</v>
      </c>
      <c r="EB577">
        <v>0.96950789272601601</v>
      </c>
      <c r="EC577">
        <v>0.96886856465366999</v>
      </c>
      <c r="ED577">
        <v>0.96878062279951904</v>
      </c>
      <c r="EE577">
        <f>SUM(Table1[[#This Row],[ratio_0]:[ratio_9]])</f>
        <v>460</v>
      </c>
      <c r="EF577" s="1">
        <f>(Table1[[#This Row],[predicted_0]]-Table1[[#This Row],[actual_0]])/Table1[[#This Row],[actual_0]]</f>
        <v>4.3877551020408162E-2</v>
      </c>
      <c r="EG577" s="1">
        <f>(Table1[[#This Row],[predicted_1]]-Table1[[#This Row],[actual_1]])/Table1[[#This Row],[actual_1]]</f>
        <v>-5.2863436123348016E-3</v>
      </c>
      <c r="EH577" s="1">
        <f>(Table1[[#This Row],[predicted_2]]-Table1[[#This Row],[actual_2]])/Table1[[#This Row],[actual_2]]</f>
        <v>-1.7441860465116279E-2</v>
      </c>
      <c r="EI577" s="1">
        <f>(Table1[[#This Row],[predicted_3]]-Table1[[#This Row],[actual_3]])/Table1[[#This Row],[actual_3]]</f>
        <v>1.089108910891089E-2</v>
      </c>
      <c r="EJ577" s="1">
        <f>(Table1[[#This Row],[predicted_4]]-Table1[[#This Row],[actual_4]])/Table1[[#This Row],[actual_4]]</f>
        <v>3.7678207739307537E-2</v>
      </c>
      <c r="EK577" s="1">
        <f>(Table1[[#This Row],[predicted_5]]-Table1[[#This Row],[actual_5]])/Table1[[#This Row],[actual_5]]</f>
        <v>4.4843049327354259E-3</v>
      </c>
      <c r="EL577" s="1">
        <f>(Table1[[#This Row],[predicted_6]]-Table1[[#This Row],[actual_6]])/Table1[[#This Row],[actual_6]]</f>
        <v>-6.2630480167014613E-2</v>
      </c>
      <c r="EM577" s="1">
        <f>(Table1[[#This Row],[predicted_7]]-Table1[[#This Row],[actual_7]])/Table1[[#This Row],[actual_7]]</f>
        <v>4.9610894941634238E-2</v>
      </c>
      <c r="EN577" s="1">
        <f>(Table1[[#This Row],[predicted_8]]-Table1[[#This Row],[actual_8]])/Table1[[#This Row],[actual_8]]</f>
        <v>1.6427104722792608E-2</v>
      </c>
      <c r="EO577" s="1">
        <f>(Table1[[#This Row],[predicted_9]]-Table1[[#This Row],[actual_9]])/Table1[[#This Row],[actual_9]]</f>
        <v>-7.7304261645193259E-2</v>
      </c>
      <c r="EP577" s="1">
        <f>1+(Table1[[#This Row],[error_ratio_0]]-EF$2)</f>
        <v>1.0418367346938775</v>
      </c>
      <c r="EQ577" s="1">
        <f>1+(Table1[[#This Row],[error_ratio_1]]-EG$2)</f>
        <v>0.99295154185022028</v>
      </c>
      <c r="ER577" s="1">
        <f>1+(Table1[[#This Row],[error_ratio_2]]-EH$2)</f>
        <v>0.98740310077519378</v>
      </c>
      <c r="ES577" s="1">
        <f>1+(Table1[[#This Row],[error_ratio_3]]-EI$2)</f>
        <v>1.000990099009901</v>
      </c>
      <c r="ET577" s="1">
        <f>1+(Table1[[#This Row],[error_ratio_4]]-EJ$2)</f>
        <v>1.0366598778004072</v>
      </c>
      <c r="EU577" s="1">
        <f>1+(Table1[[#This Row],[error_ratio_5]]-EK$2)</f>
        <v>1.0033632286995515</v>
      </c>
      <c r="EV577" s="1">
        <f>1+(Table1[[#This Row],[error_ratio_6]]-EL$2)</f>
        <v>0.94363256784968685</v>
      </c>
      <c r="EW577" s="1">
        <f>1+(Table1[[#This Row],[error_ratio_7]]-EM$2)</f>
        <v>1.0476653696498055</v>
      </c>
      <c r="EX577" s="1">
        <f>1+(Table1[[#This Row],[error_ratio_8]]-EN$2)</f>
        <v>1.0195071868583163</v>
      </c>
      <c r="EY577" s="1">
        <f>1+(Table1[[#This Row],[error_ratio_9]]-EO$2)</f>
        <v>0.92666005946481667</v>
      </c>
    </row>
    <row r="578" spans="1:155" x14ac:dyDescent="0.75">
      <c r="A578">
        <v>10</v>
      </c>
      <c r="B578">
        <v>10</v>
      </c>
      <c r="C578">
        <v>10</v>
      </c>
      <c r="D578">
        <v>100</v>
      </c>
      <c r="E578">
        <v>10</v>
      </c>
      <c r="F578">
        <v>10</v>
      </c>
      <c r="G578">
        <v>10</v>
      </c>
      <c r="H578">
        <v>100</v>
      </c>
      <c r="I578">
        <v>100</v>
      </c>
      <c r="J578">
        <v>10</v>
      </c>
      <c r="K578">
        <v>987</v>
      </c>
      <c r="L578">
        <v>1067</v>
      </c>
      <c r="M578">
        <v>948</v>
      </c>
      <c r="N578">
        <v>1028</v>
      </c>
      <c r="O578">
        <v>856</v>
      </c>
      <c r="P578">
        <v>823</v>
      </c>
      <c r="Q578">
        <v>877</v>
      </c>
      <c r="R578">
        <v>1129</v>
      </c>
      <c r="S578">
        <v>1411</v>
      </c>
      <c r="T578">
        <v>874</v>
      </c>
      <c r="U578">
        <v>980</v>
      </c>
      <c r="V578">
        <v>1135</v>
      </c>
      <c r="W578">
        <v>1032</v>
      </c>
      <c r="X578">
        <v>1010</v>
      </c>
      <c r="Y578">
        <v>982</v>
      </c>
      <c r="Z578">
        <v>892</v>
      </c>
      <c r="AA578">
        <v>958</v>
      </c>
      <c r="AB578">
        <v>1028</v>
      </c>
      <c r="AC578">
        <v>974</v>
      </c>
      <c r="AD578">
        <v>1009</v>
      </c>
      <c r="AE578">
        <v>957</v>
      </c>
      <c r="AF578">
        <v>0</v>
      </c>
      <c r="AG578">
        <v>0</v>
      </c>
      <c r="AH578">
        <v>0</v>
      </c>
      <c r="AI578">
        <v>0</v>
      </c>
      <c r="AJ578">
        <v>1</v>
      </c>
      <c r="AK578">
        <v>0</v>
      </c>
      <c r="AL578">
        <v>4</v>
      </c>
      <c r="AM578">
        <v>18</v>
      </c>
      <c r="AN578">
        <v>0</v>
      </c>
      <c r="AO578">
        <v>0</v>
      </c>
      <c r="AP578">
        <v>1062</v>
      </c>
      <c r="AQ578">
        <v>2</v>
      </c>
      <c r="AR578">
        <v>5</v>
      </c>
      <c r="AS578">
        <v>0</v>
      </c>
      <c r="AT578">
        <v>3</v>
      </c>
      <c r="AU578">
        <v>0</v>
      </c>
      <c r="AV578">
        <v>16</v>
      </c>
      <c r="AW578">
        <v>47</v>
      </c>
      <c r="AX578">
        <v>0</v>
      </c>
      <c r="AY578">
        <v>2</v>
      </c>
      <c r="AZ578">
        <v>0</v>
      </c>
      <c r="BA578">
        <v>935</v>
      </c>
      <c r="BB578">
        <v>3</v>
      </c>
      <c r="BC578">
        <v>0</v>
      </c>
      <c r="BD578">
        <v>0</v>
      </c>
      <c r="BE578">
        <v>1</v>
      </c>
      <c r="BF578">
        <v>8</v>
      </c>
      <c r="BG578">
        <v>83</v>
      </c>
      <c r="BH578">
        <v>0</v>
      </c>
      <c r="BI578">
        <v>1</v>
      </c>
      <c r="BJ578">
        <v>0</v>
      </c>
      <c r="BK578">
        <v>1</v>
      </c>
      <c r="BL578">
        <v>985</v>
      </c>
      <c r="BM578">
        <v>0</v>
      </c>
      <c r="BN578">
        <v>7</v>
      </c>
      <c r="BO578">
        <v>0</v>
      </c>
      <c r="BP578">
        <v>4</v>
      </c>
      <c r="BQ578">
        <v>12</v>
      </c>
      <c r="BR578">
        <v>0</v>
      </c>
      <c r="BS578">
        <v>3</v>
      </c>
      <c r="BT578">
        <v>3</v>
      </c>
      <c r="BU578">
        <v>7</v>
      </c>
      <c r="BV578">
        <v>4</v>
      </c>
      <c r="BW578">
        <v>853</v>
      </c>
      <c r="BX578">
        <v>0</v>
      </c>
      <c r="BY578">
        <v>6</v>
      </c>
      <c r="BZ578">
        <v>21</v>
      </c>
      <c r="CA578">
        <v>52</v>
      </c>
      <c r="CB578">
        <v>33</v>
      </c>
      <c r="CC578">
        <v>3</v>
      </c>
      <c r="CD578">
        <v>0</v>
      </c>
      <c r="CE578">
        <v>0</v>
      </c>
      <c r="CF578">
        <v>19</v>
      </c>
      <c r="CG578">
        <v>0</v>
      </c>
      <c r="CH578">
        <v>805</v>
      </c>
      <c r="CI578">
        <v>1</v>
      </c>
      <c r="CJ578">
        <v>4</v>
      </c>
      <c r="CK578">
        <v>60</v>
      </c>
      <c r="CL578">
        <v>0</v>
      </c>
      <c r="CM578">
        <v>13</v>
      </c>
      <c r="CN578">
        <v>1</v>
      </c>
      <c r="CO578">
        <v>1</v>
      </c>
      <c r="CP578">
        <v>0</v>
      </c>
      <c r="CQ578">
        <v>1</v>
      </c>
      <c r="CR578">
        <v>4</v>
      </c>
      <c r="CS578">
        <v>868</v>
      </c>
      <c r="CT578">
        <v>0</v>
      </c>
      <c r="CU578">
        <v>69</v>
      </c>
      <c r="CV578">
        <v>1</v>
      </c>
      <c r="CW578">
        <v>1</v>
      </c>
      <c r="CX578">
        <v>0</v>
      </c>
      <c r="CY578">
        <v>2</v>
      </c>
      <c r="CZ578">
        <v>1</v>
      </c>
      <c r="DA578">
        <v>0</v>
      </c>
      <c r="DB578">
        <v>0</v>
      </c>
      <c r="DC578">
        <v>0</v>
      </c>
      <c r="DD578">
        <v>1018</v>
      </c>
      <c r="DE578">
        <v>6</v>
      </c>
      <c r="DF578">
        <v>0</v>
      </c>
      <c r="DG578">
        <v>0</v>
      </c>
      <c r="DH578">
        <v>0</v>
      </c>
      <c r="DI578">
        <v>0</v>
      </c>
      <c r="DJ578">
        <v>0</v>
      </c>
      <c r="DK578">
        <v>0</v>
      </c>
      <c r="DL578">
        <v>0</v>
      </c>
      <c r="DM578">
        <v>0</v>
      </c>
      <c r="DN578">
        <v>2</v>
      </c>
      <c r="DO578">
        <v>972</v>
      </c>
      <c r="DP578">
        <v>0</v>
      </c>
      <c r="DQ578">
        <v>7</v>
      </c>
      <c r="DR578">
        <v>1</v>
      </c>
      <c r="DS578">
        <v>0</v>
      </c>
      <c r="DT578">
        <v>11</v>
      </c>
      <c r="DU578">
        <v>2</v>
      </c>
      <c r="DV578">
        <v>3</v>
      </c>
      <c r="DW578">
        <v>1</v>
      </c>
      <c r="DX578">
        <v>52</v>
      </c>
      <c r="DY578">
        <v>92</v>
      </c>
      <c r="DZ578">
        <v>840</v>
      </c>
      <c r="EA578">
        <v>0.92949999999999999</v>
      </c>
      <c r="EB578">
        <v>0.94253932631673598</v>
      </c>
      <c r="EC578">
        <v>0.92913512122155595</v>
      </c>
      <c r="ED578">
        <v>0.93129100521850605</v>
      </c>
      <c r="EE578">
        <f>SUM(Table1[[#This Row],[ratio_0]:[ratio_9]])</f>
        <v>370</v>
      </c>
      <c r="EF578" s="1">
        <f>(Table1[[#This Row],[predicted_0]]-Table1[[#This Row],[actual_0]])/Table1[[#This Row],[actual_0]]</f>
        <v>7.1428571428571426E-3</v>
      </c>
      <c r="EG578" s="1">
        <f>(Table1[[#This Row],[predicted_1]]-Table1[[#This Row],[actual_1]])/Table1[[#This Row],[actual_1]]</f>
        <v>-5.991189427312775E-2</v>
      </c>
      <c r="EH578" s="1">
        <f>(Table1[[#This Row],[predicted_2]]-Table1[[#This Row],[actual_2]])/Table1[[#This Row],[actual_2]]</f>
        <v>-8.1395348837209308E-2</v>
      </c>
      <c r="EI578" s="1">
        <f>(Table1[[#This Row],[predicted_3]]-Table1[[#This Row],[actual_3]])/Table1[[#This Row],[actual_3]]</f>
        <v>1.782178217821782E-2</v>
      </c>
      <c r="EJ578" s="1">
        <f>(Table1[[#This Row],[predicted_4]]-Table1[[#This Row],[actual_4]])/Table1[[#This Row],[actual_4]]</f>
        <v>-0.12830957230142567</v>
      </c>
      <c r="EK578" s="1">
        <f>(Table1[[#This Row],[predicted_5]]-Table1[[#This Row],[actual_5]])/Table1[[#This Row],[actual_5]]</f>
        <v>-7.73542600896861E-2</v>
      </c>
      <c r="EL578" s="1">
        <f>(Table1[[#This Row],[predicted_6]]-Table1[[#This Row],[actual_6]])/Table1[[#This Row],[actual_6]]</f>
        <v>-8.4551148225469733E-2</v>
      </c>
      <c r="EM578" s="1">
        <f>(Table1[[#This Row],[predicted_7]]-Table1[[#This Row],[actual_7]])/Table1[[#This Row],[actual_7]]</f>
        <v>9.8249027237354083E-2</v>
      </c>
      <c r="EN578" s="1">
        <f>(Table1[[#This Row],[predicted_8]]-Table1[[#This Row],[actual_8]])/Table1[[#This Row],[actual_8]]</f>
        <v>0.44866529774127312</v>
      </c>
      <c r="EO578" s="1">
        <f>(Table1[[#This Row],[predicted_9]]-Table1[[#This Row],[actual_9]])/Table1[[#This Row],[actual_9]]</f>
        <v>-0.13379583746283449</v>
      </c>
      <c r="EP578" s="1">
        <f>1+(Table1[[#This Row],[error_ratio_0]]-EF$2)</f>
        <v>1.0051020408163265</v>
      </c>
      <c r="EQ578" s="1">
        <f>1+(Table1[[#This Row],[error_ratio_1]]-EG$2)</f>
        <v>0.93832599118942728</v>
      </c>
      <c r="ER578" s="1">
        <f>1+(Table1[[#This Row],[error_ratio_2]]-EH$2)</f>
        <v>0.92344961240310075</v>
      </c>
      <c r="ES578" s="1">
        <f>1+(Table1[[#This Row],[error_ratio_3]]-EI$2)</f>
        <v>1.0079207920792079</v>
      </c>
      <c r="ET578" s="1">
        <f>1+(Table1[[#This Row],[error_ratio_4]]-EJ$2)</f>
        <v>0.87067209775967414</v>
      </c>
      <c r="EU578" s="1">
        <f>1+(Table1[[#This Row],[error_ratio_5]]-EK$2)</f>
        <v>0.92152466367713004</v>
      </c>
      <c r="EV578" s="1">
        <f>1+(Table1[[#This Row],[error_ratio_6]]-EL$2)</f>
        <v>0.92171189979123169</v>
      </c>
      <c r="EW578" s="1">
        <f>1+(Table1[[#This Row],[error_ratio_7]]-EM$2)</f>
        <v>1.0963035019455254</v>
      </c>
      <c r="EX578" s="1">
        <f>1+(Table1[[#This Row],[error_ratio_8]]-EN$2)</f>
        <v>1.4517453798767967</v>
      </c>
      <c r="EY578" s="1">
        <f>1+(Table1[[#This Row],[error_ratio_9]]-EO$2)</f>
        <v>0.87016848364717547</v>
      </c>
    </row>
    <row r="579" spans="1:155" x14ac:dyDescent="0.75">
      <c r="A579">
        <v>100</v>
      </c>
      <c r="B579">
        <v>100</v>
      </c>
      <c r="C579">
        <v>100</v>
      </c>
      <c r="D579">
        <v>10</v>
      </c>
      <c r="E579">
        <v>10</v>
      </c>
      <c r="F579">
        <v>10</v>
      </c>
      <c r="G579">
        <v>10</v>
      </c>
      <c r="H579">
        <v>100</v>
      </c>
      <c r="I579">
        <v>100</v>
      </c>
      <c r="J579">
        <v>10</v>
      </c>
      <c r="K579">
        <v>1002</v>
      </c>
      <c r="L579">
        <v>1132</v>
      </c>
      <c r="M579">
        <v>1045</v>
      </c>
      <c r="N579">
        <v>1002</v>
      </c>
      <c r="O579">
        <v>914</v>
      </c>
      <c r="P579">
        <v>834</v>
      </c>
      <c r="Q579">
        <v>941</v>
      </c>
      <c r="R579">
        <v>1065</v>
      </c>
      <c r="S579">
        <v>1083</v>
      </c>
      <c r="T579">
        <v>982</v>
      </c>
      <c r="U579">
        <v>980</v>
      </c>
      <c r="V579">
        <v>1135</v>
      </c>
      <c r="W579">
        <v>1032</v>
      </c>
      <c r="X579">
        <v>1010</v>
      </c>
      <c r="Y579">
        <v>982</v>
      </c>
      <c r="Z579">
        <v>892</v>
      </c>
      <c r="AA579">
        <v>958</v>
      </c>
      <c r="AB579">
        <v>1028</v>
      </c>
      <c r="AC579">
        <v>974</v>
      </c>
      <c r="AD579">
        <v>1009</v>
      </c>
      <c r="AE579">
        <v>974</v>
      </c>
      <c r="AF579">
        <v>0</v>
      </c>
      <c r="AG579">
        <v>0</v>
      </c>
      <c r="AH579">
        <v>0</v>
      </c>
      <c r="AI579">
        <v>0</v>
      </c>
      <c r="AJ579">
        <v>1</v>
      </c>
      <c r="AK579">
        <v>0</v>
      </c>
      <c r="AL579">
        <v>1</v>
      </c>
      <c r="AM579">
        <v>4</v>
      </c>
      <c r="AN579">
        <v>0</v>
      </c>
      <c r="AO579">
        <v>0</v>
      </c>
      <c r="AP579">
        <v>1123</v>
      </c>
      <c r="AQ579">
        <v>0</v>
      </c>
      <c r="AR579">
        <v>0</v>
      </c>
      <c r="AS579">
        <v>0</v>
      </c>
      <c r="AT579">
        <v>2</v>
      </c>
      <c r="AU579">
        <v>1</v>
      </c>
      <c r="AV579">
        <v>5</v>
      </c>
      <c r="AW579">
        <v>4</v>
      </c>
      <c r="AX579">
        <v>0</v>
      </c>
      <c r="AY579">
        <v>1</v>
      </c>
      <c r="AZ579">
        <v>1</v>
      </c>
      <c r="BA579">
        <v>1020</v>
      </c>
      <c r="BB579">
        <v>2</v>
      </c>
      <c r="BC579">
        <v>0</v>
      </c>
      <c r="BD579">
        <v>0</v>
      </c>
      <c r="BE579">
        <v>1</v>
      </c>
      <c r="BF579">
        <v>5</v>
      </c>
      <c r="BG579">
        <v>2</v>
      </c>
      <c r="BH579">
        <v>0</v>
      </c>
      <c r="BI579">
        <v>1</v>
      </c>
      <c r="BJ579">
        <v>0</v>
      </c>
      <c r="BK579">
        <v>2</v>
      </c>
      <c r="BL579">
        <v>972</v>
      </c>
      <c r="BM579">
        <v>0</v>
      </c>
      <c r="BN579">
        <v>10</v>
      </c>
      <c r="BO579">
        <v>0</v>
      </c>
      <c r="BP579">
        <v>9</v>
      </c>
      <c r="BQ579">
        <v>15</v>
      </c>
      <c r="BR579">
        <v>1</v>
      </c>
      <c r="BS579">
        <v>4</v>
      </c>
      <c r="BT579">
        <v>2</v>
      </c>
      <c r="BU579">
        <v>10</v>
      </c>
      <c r="BV579">
        <v>0</v>
      </c>
      <c r="BW579">
        <v>910</v>
      </c>
      <c r="BX579">
        <v>0</v>
      </c>
      <c r="BY579">
        <v>8</v>
      </c>
      <c r="BZ579">
        <v>13</v>
      </c>
      <c r="CA579">
        <v>10</v>
      </c>
      <c r="CB579">
        <v>25</v>
      </c>
      <c r="CC579">
        <v>2</v>
      </c>
      <c r="CD579">
        <v>0</v>
      </c>
      <c r="CE579">
        <v>1</v>
      </c>
      <c r="CF579">
        <v>20</v>
      </c>
      <c r="CG579">
        <v>0</v>
      </c>
      <c r="CH579">
        <v>808</v>
      </c>
      <c r="CI579">
        <v>5</v>
      </c>
      <c r="CJ579">
        <v>3</v>
      </c>
      <c r="CK579">
        <v>52</v>
      </c>
      <c r="CL579">
        <v>1</v>
      </c>
      <c r="CM579">
        <v>14</v>
      </c>
      <c r="CN579">
        <v>2</v>
      </c>
      <c r="CO579">
        <v>1</v>
      </c>
      <c r="CP579">
        <v>0</v>
      </c>
      <c r="CQ579">
        <v>1</v>
      </c>
      <c r="CR579">
        <v>2</v>
      </c>
      <c r="CS579">
        <v>924</v>
      </c>
      <c r="CT579">
        <v>0</v>
      </c>
      <c r="CU579">
        <v>14</v>
      </c>
      <c r="CV579">
        <v>0</v>
      </c>
      <c r="CW579">
        <v>1</v>
      </c>
      <c r="CX579">
        <v>1</v>
      </c>
      <c r="CY579">
        <v>8</v>
      </c>
      <c r="CZ579">
        <v>1</v>
      </c>
      <c r="DA579">
        <v>0</v>
      </c>
      <c r="DB579">
        <v>0</v>
      </c>
      <c r="DC579">
        <v>0</v>
      </c>
      <c r="DD579">
        <v>1012</v>
      </c>
      <c r="DE579">
        <v>3</v>
      </c>
      <c r="DF579">
        <v>2</v>
      </c>
      <c r="DG579">
        <v>0</v>
      </c>
      <c r="DH579">
        <v>0</v>
      </c>
      <c r="DI579">
        <v>2</v>
      </c>
      <c r="DJ579">
        <v>0</v>
      </c>
      <c r="DK579">
        <v>0</v>
      </c>
      <c r="DL579">
        <v>0</v>
      </c>
      <c r="DM579">
        <v>0</v>
      </c>
      <c r="DN579">
        <v>3</v>
      </c>
      <c r="DO579">
        <v>966</v>
      </c>
      <c r="DP579">
        <v>3</v>
      </c>
      <c r="DQ579">
        <v>5</v>
      </c>
      <c r="DR579">
        <v>3</v>
      </c>
      <c r="DS579">
        <v>1</v>
      </c>
      <c r="DT579">
        <v>7</v>
      </c>
      <c r="DU579">
        <v>3</v>
      </c>
      <c r="DV579">
        <v>11</v>
      </c>
      <c r="DW579">
        <v>2</v>
      </c>
      <c r="DX579">
        <v>14</v>
      </c>
      <c r="DY579">
        <v>13</v>
      </c>
      <c r="DZ579">
        <v>950</v>
      </c>
      <c r="EA579">
        <v>0.96589999999999998</v>
      </c>
      <c r="EB579">
        <v>0.96662394212728597</v>
      </c>
      <c r="EC579">
        <v>0.96488209387578505</v>
      </c>
      <c r="ED579">
        <v>0.96518582790859297</v>
      </c>
      <c r="EE579">
        <f>SUM(Table1[[#This Row],[ratio_0]:[ratio_9]])</f>
        <v>550</v>
      </c>
      <c r="EF579" s="1">
        <f>(Table1[[#This Row],[predicted_0]]-Table1[[#This Row],[actual_0]])/Table1[[#This Row],[actual_0]]</f>
        <v>2.2448979591836733E-2</v>
      </c>
      <c r="EG579" s="1">
        <f>(Table1[[#This Row],[predicted_1]]-Table1[[#This Row],[actual_1]])/Table1[[#This Row],[actual_1]]</f>
        <v>-2.6431718061674008E-3</v>
      </c>
      <c r="EH579" s="1">
        <f>(Table1[[#This Row],[predicted_2]]-Table1[[#This Row],[actual_2]])/Table1[[#This Row],[actual_2]]</f>
        <v>1.2596899224806201E-2</v>
      </c>
      <c r="EI579" s="1">
        <f>(Table1[[#This Row],[predicted_3]]-Table1[[#This Row],[actual_3]])/Table1[[#This Row],[actual_3]]</f>
        <v>-7.9207920792079209E-3</v>
      </c>
      <c r="EJ579" s="1">
        <f>(Table1[[#This Row],[predicted_4]]-Table1[[#This Row],[actual_4]])/Table1[[#This Row],[actual_4]]</f>
        <v>-6.9246435845213852E-2</v>
      </c>
      <c r="EK579" s="1">
        <f>(Table1[[#This Row],[predicted_5]]-Table1[[#This Row],[actual_5]])/Table1[[#This Row],[actual_5]]</f>
        <v>-6.5022421524663671E-2</v>
      </c>
      <c r="EL579" s="1">
        <f>(Table1[[#This Row],[predicted_6]]-Table1[[#This Row],[actual_6]])/Table1[[#This Row],[actual_6]]</f>
        <v>-1.7745302713987474E-2</v>
      </c>
      <c r="EM579" s="1">
        <f>(Table1[[#This Row],[predicted_7]]-Table1[[#This Row],[actual_7]])/Table1[[#This Row],[actual_7]]</f>
        <v>3.5992217898832682E-2</v>
      </c>
      <c r="EN579" s="1">
        <f>(Table1[[#This Row],[predicted_8]]-Table1[[#This Row],[actual_8]])/Table1[[#This Row],[actual_8]]</f>
        <v>0.11190965092402463</v>
      </c>
      <c r="EO579" s="1">
        <f>(Table1[[#This Row],[predicted_9]]-Table1[[#This Row],[actual_9]])/Table1[[#This Row],[actual_9]]</f>
        <v>-2.6759167492566897E-2</v>
      </c>
      <c r="EP579" s="1">
        <f>1+(Table1[[#This Row],[error_ratio_0]]-EF$2)</f>
        <v>1.0204081632653061</v>
      </c>
      <c r="EQ579" s="1">
        <f>1+(Table1[[#This Row],[error_ratio_1]]-EG$2)</f>
        <v>0.99559471365638763</v>
      </c>
      <c r="ER579" s="1">
        <f>1+(Table1[[#This Row],[error_ratio_2]]-EH$2)</f>
        <v>1.0174418604651163</v>
      </c>
      <c r="ES579" s="1">
        <f>1+(Table1[[#This Row],[error_ratio_3]]-EI$2)</f>
        <v>0.98217821782178216</v>
      </c>
      <c r="ET579" s="1">
        <f>1+(Table1[[#This Row],[error_ratio_4]]-EJ$2)</f>
        <v>0.929735234215886</v>
      </c>
      <c r="EU579" s="1">
        <f>1+(Table1[[#This Row],[error_ratio_5]]-EK$2)</f>
        <v>0.93385650224215244</v>
      </c>
      <c r="EV579" s="1">
        <f>1+(Table1[[#This Row],[error_ratio_6]]-EL$2)</f>
        <v>0.98851774530271397</v>
      </c>
      <c r="EW579" s="1">
        <f>1+(Table1[[#This Row],[error_ratio_7]]-EM$2)</f>
        <v>1.034046692607004</v>
      </c>
      <c r="EX579" s="1">
        <f>1+(Table1[[#This Row],[error_ratio_8]]-EN$2)</f>
        <v>1.1149897330595482</v>
      </c>
      <c r="EY579" s="1">
        <f>1+(Table1[[#This Row],[error_ratio_9]]-EO$2)</f>
        <v>0.97720515361744298</v>
      </c>
    </row>
    <row r="580" spans="1:155" x14ac:dyDescent="0.75">
      <c r="A580">
        <v>10</v>
      </c>
      <c r="B580">
        <v>100</v>
      </c>
      <c r="C580">
        <v>100</v>
      </c>
      <c r="D580">
        <v>10</v>
      </c>
      <c r="E580">
        <v>10</v>
      </c>
      <c r="F580">
        <v>10</v>
      </c>
      <c r="G580">
        <v>10</v>
      </c>
      <c r="H580">
        <v>100</v>
      </c>
      <c r="I580">
        <v>100</v>
      </c>
      <c r="J580">
        <v>10</v>
      </c>
      <c r="K580">
        <v>966</v>
      </c>
      <c r="L580">
        <v>1131</v>
      </c>
      <c r="M580">
        <v>1135</v>
      </c>
      <c r="N580">
        <v>868</v>
      </c>
      <c r="O580">
        <v>811</v>
      </c>
      <c r="P580">
        <v>948</v>
      </c>
      <c r="Q580">
        <v>936</v>
      </c>
      <c r="R580">
        <v>1095</v>
      </c>
      <c r="S580">
        <v>1079</v>
      </c>
      <c r="T580">
        <v>1031</v>
      </c>
      <c r="U580">
        <v>980</v>
      </c>
      <c r="V580">
        <v>1135</v>
      </c>
      <c r="W580">
        <v>1032</v>
      </c>
      <c r="X580">
        <v>1010</v>
      </c>
      <c r="Y580">
        <v>982</v>
      </c>
      <c r="Z580">
        <v>892</v>
      </c>
      <c r="AA580">
        <v>958</v>
      </c>
      <c r="AB580">
        <v>1028</v>
      </c>
      <c r="AC580">
        <v>974</v>
      </c>
      <c r="AD580">
        <v>1009</v>
      </c>
      <c r="AE580">
        <v>943</v>
      </c>
      <c r="AF580">
        <v>0</v>
      </c>
      <c r="AG580">
        <v>22</v>
      </c>
      <c r="AH580">
        <v>0</v>
      </c>
      <c r="AI580">
        <v>0</v>
      </c>
      <c r="AJ580">
        <v>2</v>
      </c>
      <c r="AK580">
        <v>0</v>
      </c>
      <c r="AL580">
        <v>6</v>
      </c>
      <c r="AM580">
        <v>7</v>
      </c>
      <c r="AN580">
        <v>0</v>
      </c>
      <c r="AO580">
        <v>0</v>
      </c>
      <c r="AP580">
        <v>1120</v>
      </c>
      <c r="AQ580">
        <v>4</v>
      </c>
      <c r="AR580">
        <v>0</v>
      </c>
      <c r="AS580">
        <v>0</v>
      </c>
      <c r="AT580">
        <v>0</v>
      </c>
      <c r="AU580">
        <v>1</v>
      </c>
      <c r="AV580">
        <v>1</v>
      </c>
      <c r="AW580">
        <v>9</v>
      </c>
      <c r="AX580">
        <v>0</v>
      </c>
      <c r="AY580">
        <v>0</v>
      </c>
      <c r="AZ580">
        <v>0</v>
      </c>
      <c r="BA580">
        <v>1029</v>
      </c>
      <c r="BB580">
        <v>0</v>
      </c>
      <c r="BC580">
        <v>0</v>
      </c>
      <c r="BD580">
        <v>0</v>
      </c>
      <c r="BE580">
        <v>0</v>
      </c>
      <c r="BF580">
        <v>2</v>
      </c>
      <c r="BG580">
        <v>1</v>
      </c>
      <c r="BH580">
        <v>0</v>
      </c>
      <c r="BI580">
        <v>0</v>
      </c>
      <c r="BJ580">
        <v>0</v>
      </c>
      <c r="BK580">
        <v>35</v>
      </c>
      <c r="BL580">
        <v>866</v>
      </c>
      <c r="BM580">
        <v>0</v>
      </c>
      <c r="BN580">
        <v>52</v>
      </c>
      <c r="BO580">
        <v>1</v>
      </c>
      <c r="BP580">
        <v>9</v>
      </c>
      <c r="BQ580">
        <v>45</v>
      </c>
      <c r="BR580">
        <v>2</v>
      </c>
      <c r="BS580">
        <v>0</v>
      </c>
      <c r="BT580">
        <v>2</v>
      </c>
      <c r="BU580">
        <v>17</v>
      </c>
      <c r="BV580">
        <v>0</v>
      </c>
      <c r="BW580">
        <v>810</v>
      </c>
      <c r="BX580">
        <v>0</v>
      </c>
      <c r="BY580">
        <v>9</v>
      </c>
      <c r="BZ580">
        <v>59</v>
      </c>
      <c r="CA580">
        <v>21</v>
      </c>
      <c r="CB580">
        <v>64</v>
      </c>
      <c r="CC580">
        <v>3</v>
      </c>
      <c r="CD580">
        <v>1</v>
      </c>
      <c r="CE580">
        <v>5</v>
      </c>
      <c r="CF580">
        <v>1</v>
      </c>
      <c r="CG580">
        <v>0</v>
      </c>
      <c r="CH580">
        <v>877</v>
      </c>
      <c r="CI580">
        <v>1</v>
      </c>
      <c r="CJ580">
        <v>1</v>
      </c>
      <c r="CK580">
        <v>3</v>
      </c>
      <c r="CL580">
        <v>0</v>
      </c>
      <c r="CM580">
        <v>14</v>
      </c>
      <c r="CN580">
        <v>3</v>
      </c>
      <c r="CO580">
        <v>5</v>
      </c>
      <c r="CP580">
        <v>1</v>
      </c>
      <c r="CQ580">
        <v>1</v>
      </c>
      <c r="CR580">
        <v>3</v>
      </c>
      <c r="CS580">
        <v>924</v>
      </c>
      <c r="CT580">
        <v>1</v>
      </c>
      <c r="CU580">
        <v>6</v>
      </c>
      <c r="CV580">
        <v>0</v>
      </c>
      <c r="CW580">
        <v>0</v>
      </c>
      <c r="CX580">
        <v>2</v>
      </c>
      <c r="CY580">
        <v>14</v>
      </c>
      <c r="CZ580">
        <v>0</v>
      </c>
      <c r="DA580">
        <v>0</v>
      </c>
      <c r="DB580">
        <v>0</v>
      </c>
      <c r="DC580">
        <v>0</v>
      </c>
      <c r="DD580">
        <v>1004</v>
      </c>
      <c r="DE580">
        <v>2</v>
      </c>
      <c r="DF580">
        <v>6</v>
      </c>
      <c r="DG580">
        <v>2</v>
      </c>
      <c r="DH580">
        <v>0</v>
      </c>
      <c r="DI580">
        <v>1</v>
      </c>
      <c r="DJ580">
        <v>0</v>
      </c>
      <c r="DK580">
        <v>0</v>
      </c>
      <c r="DL580">
        <v>0</v>
      </c>
      <c r="DM580">
        <v>0</v>
      </c>
      <c r="DN580">
        <v>2</v>
      </c>
      <c r="DO580">
        <v>965</v>
      </c>
      <c r="DP580">
        <v>4</v>
      </c>
      <c r="DQ580">
        <v>4</v>
      </c>
      <c r="DR580">
        <v>3</v>
      </c>
      <c r="DS580">
        <v>3</v>
      </c>
      <c r="DT580">
        <v>0</v>
      </c>
      <c r="DU580">
        <v>0</v>
      </c>
      <c r="DV580">
        <v>14</v>
      </c>
      <c r="DW580">
        <v>0</v>
      </c>
      <c r="DX580">
        <v>10</v>
      </c>
      <c r="DY580">
        <v>20</v>
      </c>
      <c r="DZ580">
        <v>955</v>
      </c>
      <c r="EA580">
        <v>0.94930000000000003</v>
      </c>
      <c r="EB580">
        <v>0.95193470331976204</v>
      </c>
      <c r="EC580">
        <v>0.94899834214481904</v>
      </c>
      <c r="ED580">
        <v>0.94843321954034299</v>
      </c>
      <c r="EE580">
        <f>SUM(Table1[[#This Row],[ratio_0]:[ratio_9]])</f>
        <v>460</v>
      </c>
      <c r="EF580" s="1">
        <f>(Table1[[#This Row],[predicted_0]]-Table1[[#This Row],[actual_0]])/Table1[[#This Row],[actual_0]]</f>
        <v>-1.4285714285714285E-2</v>
      </c>
      <c r="EG580" s="1">
        <f>(Table1[[#This Row],[predicted_1]]-Table1[[#This Row],[actual_1]])/Table1[[#This Row],[actual_1]]</f>
        <v>-3.524229074889868E-3</v>
      </c>
      <c r="EH580" s="1">
        <f>(Table1[[#This Row],[predicted_2]]-Table1[[#This Row],[actual_2]])/Table1[[#This Row],[actual_2]]</f>
        <v>9.9806201550387594E-2</v>
      </c>
      <c r="EI580" s="1">
        <f>(Table1[[#This Row],[predicted_3]]-Table1[[#This Row],[actual_3]])/Table1[[#This Row],[actual_3]]</f>
        <v>-0.14059405940594061</v>
      </c>
      <c r="EJ580" s="1">
        <f>(Table1[[#This Row],[predicted_4]]-Table1[[#This Row],[actual_4]])/Table1[[#This Row],[actual_4]]</f>
        <v>-0.17413441955193482</v>
      </c>
      <c r="EK580" s="1">
        <f>(Table1[[#This Row],[predicted_5]]-Table1[[#This Row],[actual_5]])/Table1[[#This Row],[actual_5]]</f>
        <v>6.2780269058295965E-2</v>
      </c>
      <c r="EL580" s="1">
        <f>(Table1[[#This Row],[predicted_6]]-Table1[[#This Row],[actual_6]])/Table1[[#This Row],[actual_6]]</f>
        <v>-2.2964509394572025E-2</v>
      </c>
      <c r="EM580" s="1">
        <f>(Table1[[#This Row],[predicted_7]]-Table1[[#This Row],[actual_7]])/Table1[[#This Row],[actual_7]]</f>
        <v>6.5175097276264596E-2</v>
      </c>
      <c r="EN580" s="1">
        <f>(Table1[[#This Row],[predicted_8]]-Table1[[#This Row],[actual_8]])/Table1[[#This Row],[actual_8]]</f>
        <v>0.10780287474332649</v>
      </c>
      <c r="EO580" s="1">
        <f>(Table1[[#This Row],[predicted_9]]-Table1[[#This Row],[actual_9]])/Table1[[#This Row],[actual_9]]</f>
        <v>2.1803766105054509E-2</v>
      </c>
      <c r="EP580" s="1">
        <f>1+(Table1[[#This Row],[error_ratio_0]]-EF$2)</f>
        <v>0.98367346938775513</v>
      </c>
      <c r="EQ580" s="1">
        <f>1+(Table1[[#This Row],[error_ratio_1]]-EG$2)</f>
        <v>0.99471365638766518</v>
      </c>
      <c r="ER580" s="1">
        <f>1+(Table1[[#This Row],[error_ratio_2]]-EH$2)</f>
        <v>1.1046511627906976</v>
      </c>
      <c r="ES580" s="1">
        <f>1+(Table1[[#This Row],[error_ratio_3]]-EI$2)</f>
        <v>0.84950495049504948</v>
      </c>
      <c r="ET580" s="1">
        <f>1+(Table1[[#This Row],[error_ratio_4]]-EJ$2)</f>
        <v>0.82484725050916496</v>
      </c>
      <c r="EU580" s="1">
        <f>1+(Table1[[#This Row],[error_ratio_5]]-EK$2)</f>
        <v>1.061659192825112</v>
      </c>
      <c r="EV580" s="1">
        <f>1+(Table1[[#This Row],[error_ratio_6]]-EL$2)</f>
        <v>0.98329853862212946</v>
      </c>
      <c r="EW580" s="1">
        <f>1+(Table1[[#This Row],[error_ratio_7]]-EM$2)</f>
        <v>1.0632295719844358</v>
      </c>
      <c r="EX580" s="1">
        <f>1+(Table1[[#This Row],[error_ratio_8]]-EN$2)</f>
        <v>1.1108829568788501</v>
      </c>
      <c r="EY580" s="1">
        <f>1+(Table1[[#This Row],[error_ratio_9]]-EO$2)</f>
        <v>1.0257680872150645</v>
      </c>
    </row>
    <row r="581" spans="1:155" x14ac:dyDescent="0.75">
      <c r="A581">
        <v>100</v>
      </c>
      <c r="B581">
        <v>10</v>
      </c>
      <c r="C581">
        <v>100</v>
      </c>
      <c r="D581">
        <v>10</v>
      </c>
      <c r="E581">
        <v>10</v>
      </c>
      <c r="F581">
        <v>10</v>
      </c>
      <c r="G581">
        <v>10</v>
      </c>
      <c r="H581">
        <v>100</v>
      </c>
      <c r="I581">
        <v>100</v>
      </c>
      <c r="J581">
        <v>10</v>
      </c>
      <c r="K581">
        <v>1074</v>
      </c>
      <c r="L581">
        <v>1130</v>
      </c>
      <c r="M581">
        <v>985</v>
      </c>
      <c r="N581">
        <v>988</v>
      </c>
      <c r="O581">
        <v>1009</v>
      </c>
      <c r="P581">
        <v>841</v>
      </c>
      <c r="Q581">
        <v>892</v>
      </c>
      <c r="R581">
        <v>1116</v>
      </c>
      <c r="S581">
        <v>1104</v>
      </c>
      <c r="T581">
        <v>861</v>
      </c>
      <c r="U581">
        <v>980</v>
      </c>
      <c r="V581">
        <v>1135</v>
      </c>
      <c r="W581">
        <v>1032</v>
      </c>
      <c r="X581">
        <v>1010</v>
      </c>
      <c r="Y581">
        <v>982</v>
      </c>
      <c r="Z581">
        <v>892</v>
      </c>
      <c r="AA581">
        <v>958</v>
      </c>
      <c r="AB581">
        <v>1028</v>
      </c>
      <c r="AC581">
        <v>974</v>
      </c>
      <c r="AD581">
        <v>1009</v>
      </c>
      <c r="AE581">
        <v>975</v>
      </c>
      <c r="AF581">
        <v>0</v>
      </c>
      <c r="AG581">
        <v>0</v>
      </c>
      <c r="AH581">
        <v>0</v>
      </c>
      <c r="AI581">
        <v>0</v>
      </c>
      <c r="AJ581">
        <v>0</v>
      </c>
      <c r="AK581">
        <v>0</v>
      </c>
      <c r="AL581">
        <v>2</v>
      </c>
      <c r="AM581">
        <v>3</v>
      </c>
      <c r="AN581">
        <v>0</v>
      </c>
      <c r="AO581">
        <v>1</v>
      </c>
      <c r="AP581">
        <v>1115</v>
      </c>
      <c r="AQ581">
        <v>1</v>
      </c>
      <c r="AR581">
        <v>3</v>
      </c>
      <c r="AS581">
        <v>0</v>
      </c>
      <c r="AT581">
        <v>2</v>
      </c>
      <c r="AU581">
        <v>0</v>
      </c>
      <c r="AV581">
        <v>1</v>
      </c>
      <c r="AW581">
        <v>12</v>
      </c>
      <c r="AX581">
        <v>0</v>
      </c>
      <c r="AY581">
        <v>15</v>
      </c>
      <c r="AZ581">
        <v>2</v>
      </c>
      <c r="BA581">
        <v>972</v>
      </c>
      <c r="BB581">
        <v>5</v>
      </c>
      <c r="BC581">
        <v>1</v>
      </c>
      <c r="BD581">
        <v>0</v>
      </c>
      <c r="BE581">
        <v>0</v>
      </c>
      <c r="BF581">
        <v>27</v>
      </c>
      <c r="BG581">
        <v>10</v>
      </c>
      <c r="BH581">
        <v>0</v>
      </c>
      <c r="BI581">
        <v>10</v>
      </c>
      <c r="BJ581">
        <v>0</v>
      </c>
      <c r="BK581">
        <v>2</v>
      </c>
      <c r="BL581">
        <v>964</v>
      </c>
      <c r="BM581">
        <v>0</v>
      </c>
      <c r="BN581">
        <v>4</v>
      </c>
      <c r="BO581">
        <v>0</v>
      </c>
      <c r="BP581">
        <v>17</v>
      </c>
      <c r="BQ581">
        <v>10</v>
      </c>
      <c r="BR581">
        <v>3</v>
      </c>
      <c r="BS581">
        <v>5</v>
      </c>
      <c r="BT581">
        <v>4</v>
      </c>
      <c r="BU581">
        <v>7</v>
      </c>
      <c r="BV581">
        <v>0</v>
      </c>
      <c r="BW581">
        <v>948</v>
      </c>
      <c r="BX581">
        <v>0</v>
      </c>
      <c r="BY581">
        <v>4</v>
      </c>
      <c r="BZ581">
        <v>7</v>
      </c>
      <c r="CA581">
        <v>2</v>
      </c>
      <c r="CB581">
        <v>5</v>
      </c>
      <c r="CC581">
        <v>25</v>
      </c>
      <c r="CD581">
        <v>0</v>
      </c>
      <c r="CE581">
        <v>0</v>
      </c>
      <c r="CF581">
        <v>12</v>
      </c>
      <c r="CG581">
        <v>0</v>
      </c>
      <c r="CH581">
        <v>814</v>
      </c>
      <c r="CI581">
        <v>2</v>
      </c>
      <c r="CJ581">
        <v>6</v>
      </c>
      <c r="CK581">
        <v>27</v>
      </c>
      <c r="CL581">
        <v>6</v>
      </c>
      <c r="CM581">
        <v>26</v>
      </c>
      <c r="CN581">
        <v>4</v>
      </c>
      <c r="CO581">
        <v>0</v>
      </c>
      <c r="CP581">
        <v>0</v>
      </c>
      <c r="CQ581">
        <v>6</v>
      </c>
      <c r="CR581">
        <v>4</v>
      </c>
      <c r="CS581">
        <v>885</v>
      </c>
      <c r="CT581">
        <v>0</v>
      </c>
      <c r="CU581">
        <v>33</v>
      </c>
      <c r="CV581">
        <v>0</v>
      </c>
      <c r="CW581">
        <v>1</v>
      </c>
      <c r="CX581">
        <v>2</v>
      </c>
      <c r="CY581">
        <v>2</v>
      </c>
      <c r="CZ581">
        <v>0</v>
      </c>
      <c r="DA581">
        <v>0</v>
      </c>
      <c r="DB581">
        <v>0</v>
      </c>
      <c r="DC581">
        <v>0</v>
      </c>
      <c r="DD581">
        <v>1022</v>
      </c>
      <c r="DE581">
        <v>1</v>
      </c>
      <c r="DF581">
        <v>0</v>
      </c>
      <c r="DG581">
        <v>6</v>
      </c>
      <c r="DH581">
        <v>0</v>
      </c>
      <c r="DI581">
        <v>1</v>
      </c>
      <c r="DJ581">
        <v>0</v>
      </c>
      <c r="DK581">
        <v>0</v>
      </c>
      <c r="DL581">
        <v>0</v>
      </c>
      <c r="DM581">
        <v>1</v>
      </c>
      <c r="DN581">
        <v>5</v>
      </c>
      <c r="DO581">
        <v>961</v>
      </c>
      <c r="DP581">
        <v>0</v>
      </c>
      <c r="DQ581">
        <v>10</v>
      </c>
      <c r="DR581">
        <v>3</v>
      </c>
      <c r="DS581">
        <v>0</v>
      </c>
      <c r="DT581">
        <v>4</v>
      </c>
      <c r="DU581">
        <v>54</v>
      </c>
      <c r="DV581">
        <v>17</v>
      </c>
      <c r="DW581">
        <v>0</v>
      </c>
      <c r="DX581">
        <v>29</v>
      </c>
      <c r="DY581">
        <v>45</v>
      </c>
      <c r="DZ581">
        <v>847</v>
      </c>
      <c r="EA581">
        <v>0.95030000000000003</v>
      </c>
      <c r="EB581">
        <v>0.95266308185619197</v>
      </c>
      <c r="EC581">
        <v>0.94955865394044103</v>
      </c>
      <c r="ED581">
        <v>0.94953089929540202</v>
      </c>
      <c r="EE581">
        <f>SUM(Table1[[#This Row],[ratio_0]:[ratio_9]])</f>
        <v>460</v>
      </c>
      <c r="EF581" s="1">
        <f>(Table1[[#This Row],[predicted_0]]-Table1[[#This Row],[actual_0]])/Table1[[#This Row],[actual_0]]</f>
        <v>9.5918367346938774E-2</v>
      </c>
      <c r="EG581" s="1">
        <f>(Table1[[#This Row],[predicted_1]]-Table1[[#This Row],[actual_1]])/Table1[[#This Row],[actual_1]]</f>
        <v>-4.4052863436123352E-3</v>
      </c>
      <c r="EH581" s="1">
        <f>(Table1[[#This Row],[predicted_2]]-Table1[[#This Row],[actual_2]])/Table1[[#This Row],[actual_2]]</f>
        <v>-4.5542635658914726E-2</v>
      </c>
      <c r="EI581" s="1">
        <f>(Table1[[#This Row],[predicted_3]]-Table1[[#This Row],[actual_3]])/Table1[[#This Row],[actual_3]]</f>
        <v>-2.1782178217821781E-2</v>
      </c>
      <c r="EJ581" s="1">
        <f>(Table1[[#This Row],[predicted_4]]-Table1[[#This Row],[actual_4]])/Table1[[#This Row],[actual_4]]</f>
        <v>2.7494908350305498E-2</v>
      </c>
      <c r="EK581" s="1">
        <f>(Table1[[#This Row],[predicted_5]]-Table1[[#This Row],[actual_5]])/Table1[[#This Row],[actual_5]]</f>
        <v>-5.717488789237668E-2</v>
      </c>
      <c r="EL581" s="1">
        <f>(Table1[[#This Row],[predicted_6]]-Table1[[#This Row],[actual_6]])/Table1[[#This Row],[actual_6]]</f>
        <v>-6.889352818371608E-2</v>
      </c>
      <c r="EM581" s="1">
        <f>(Table1[[#This Row],[predicted_7]]-Table1[[#This Row],[actual_7]])/Table1[[#This Row],[actual_7]]</f>
        <v>8.5603112840466927E-2</v>
      </c>
      <c r="EN581" s="1">
        <f>(Table1[[#This Row],[predicted_8]]-Table1[[#This Row],[actual_8]])/Table1[[#This Row],[actual_8]]</f>
        <v>0.13347022587268995</v>
      </c>
      <c r="EO581" s="1">
        <f>(Table1[[#This Row],[predicted_9]]-Table1[[#This Row],[actual_9]])/Table1[[#This Row],[actual_9]]</f>
        <v>-0.1466798810703667</v>
      </c>
      <c r="EP581" s="1">
        <f>1+(Table1[[#This Row],[error_ratio_0]]-EF$2)</f>
        <v>1.0938775510204082</v>
      </c>
      <c r="EQ581" s="1">
        <f>1+(Table1[[#This Row],[error_ratio_1]]-EG$2)</f>
        <v>0.99383259911894273</v>
      </c>
      <c r="ER581" s="1">
        <f>1+(Table1[[#This Row],[error_ratio_2]]-EH$2)</f>
        <v>0.95930232558139539</v>
      </c>
      <c r="ES581" s="1">
        <f>1+(Table1[[#This Row],[error_ratio_3]]-EI$2)</f>
        <v>0.96831683168316829</v>
      </c>
      <c r="ET581" s="1">
        <f>1+(Table1[[#This Row],[error_ratio_4]]-EJ$2)</f>
        <v>1.0264765784114054</v>
      </c>
      <c r="EU581" s="1">
        <f>1+(Table1[[#This Row],[error_ratio_5]]-EK$2)</f>
        <v>0.94170403587443952</v>
      </c>
      <c r="EV581" s="1">
        <f>1+(Table1[[#This Row],[error_ratio_6]]-EL$2)</f>
        <v>0.93736951983298544</v>
      </c>
      <c r="EW581" s="1">
        <f>1+(Table1[[#This Row],[error_ratio_7]]-EM$2)</f>
        <v>1.0836575875486381</v>
      </c>
      <c r="EX581" s="1">
        <f>1+(Table1[[#This Row],[error_ratio_8]]-EN$2)</f>
        <v>1.1365503080082136</v>
      </c>
      <c r="EY581" s="1">
        <f>1+(Table1[[#This Row],[error_ratio_9]]-EO$2)</f>
        <v>0.85728444003964321</v>
      </c>
    </row>
    <row r="582" spans="1:155" x14ac:dyDescent="0.75">
      <c r="A582">
        <v>10</v>
      </c>
      <c r="B582">
        <v>10</v>
      </c>
      <c r="C582">
        <v>100</v>
      </c>
      <c r="D582">
        <v>10</v>
      </c>
      <c r="E582">
        <v>10</v>
      </c>
      <c r="F582">
        <v>10</v>
      </c>
      <c r="G582">
        <v>10</v>
      </c>
      <c r="H582">
        <v>100</v>
      </c>
      <c r="I582">
        <v>100</v>
      </c>
      <c r="J582">
        <v>10</v>
      </c>
      <c r="K582">
        <v>906</v>
      </c>
      <c r="L582">
        <v>1040</v>
      </c>
      <c r="M582">
        <v>1150</v>
      </c>
      <c r="N582">
        <v>983</v>
      </c>
      <c r="O582">
        <v>804</v>
      </c>
      <c r="P582">
        <v>791</v>
      </c>
      <c r="Q582">
        <v>948</v>
      </c>
      <c r="R582">
        <v>1028</v>
      </c>
      <c r="S582">
        <v>1298</v>
      </c>
      <c r="T582">
        <v>1052</v>
      </c>
      <c r="U582">
        <v>980</v>
      </c>
      <c r="V582">
        <v>1135</v>
      </c>
      <c r="W582">
        <v>1032</v>
      </c>
      <c r="X582">
        <v>1010</v>
      </c>
      <c r="Y582">
        <v>982</v>
      </c>
      <c r="Z582">
        <v>892</v>
      </c>
      <c r="AA582">
        <v>958</v>
      </c>
      <c r="AB582">
        <v>1028</v>
      </c>
      <c r="AC582">
        <v>974</v>
      </c>
      <c r="AD582">
        <v>1009</v>
      </c>
      <c r="AE582">
        <v>899</v>
      </c>
      <c r="AF582">
        <v>0</v>
      </c>
      <c r="AG582">
        <v>37</v>
      </c>
      <c r="AH582">
        <v>1</v>
      </c>
      <c r="AI582">
        <v>0</v>
      </c>
      <c r="AJ582">
        <v>15</v>
      </c>
      <c r="AK582">
        <v>3</v>
      </c>
      <c r="AL582">
        <v>3</v>
      </c>
      <c r="AM582">
        <v>15</v>
      </c>
      <c r="AN582">
        <v>7</v>
      </c>
      <c r="AO582">
        <v>0</v>
      </c>
      <c r="AP582">
        <v>1036</v>
      </c>
      <c r="AQ582">
        <v>10</v>
      </c>
      <c r="AR582">
        <v>11</v>
      </c>
      <c r="AS582">
        <v>0</v>
      </c>
      <c r="AT582">
        <v>2</v>
      </c>
      <c r="AU582">
        <v>2</v>
      </c>
      <c r="AV582">
        <v>13</v>
      </c>
      <c r="AW582">
        <v>61</v>
      </c>
      <c r="AX582">
        <v>0</v>
      </c>
      <c r="AY582">
        <v>0</v>
      </c>
      <c r="AZ582">
        <v>0</v>
      </c>
      <c r="BA582">
        <v>1027</v>
      </c>
      <c r="BB582">
        <v>1</v>
      </c>
      <c r="BC582">
        <v>0</v>
      </c>
      <c r="BD582">
        <v>0</v>
      </c>
      <c r="BE582">
        <v>0</v>
      </c>
      <c r="BF582">
        <v>2</v>
      </c>
      <c r="BG582">
        <v>2</v>
      </c>
      <c r="BH582">
        <v>0</v>
      </c>
      <c r="BI582">
        <v>0</v>
      </c>
      <c r="BJ582">
        <v>0</v>
      </c>
      <c r="BK582">
        <v>9</v>
      </c>
      <c r="BL582">
        <v>935</v>
      </c>
      <c r="BM582">
        <v>0</v>
      </c>
      <c r="BN582">
        <v>5</v>
      </c>
      <c r="BO582">
        <v>0</v>
      </c>
      <c r="BP582">
        <v>3</v>
      </c>
      <c r="BQ582">
        <v>57</v>
      </c>
      <c r="BR582">
        <v>1</v>
      </c>
      <c r="BS582">
        <v>1</v>
      </c>
      <c r="BT582">
        <v>1</v>
      </c>
      <c r="BU582">
        <v>34</v>
      </c>
      <c r="BV582">
        <v>3</v>
      </c>
      <c r="BW582">
        <v>803</v>
      </c>
      <c r="BX582">
        <v>0</v>
      </c>
      <c r="BY582">
        <v>11</v>
      </c>
      <c r="BZ582">
        <v>4</v>
      </c>
      <c r="CA582">
        <v>31</v>
      </c>
      <c r="CB582">
        <v>94</v>
      </c>
      <c r="CC582">
        <v>1</v>
      </c>
      <c r="CD582">
        <v>0</v>
      </c>
      <c r="CE582">
        <v>1</v>
      </c>
      <c r="CF582">
        <v>15</v>
      </c>
      <c r="CG582">
        <v>0</v>
      </c>
      <c r="CH582">
        <v>761</v>
      </c>
      <c r="CI582">
        <v>2</v>
      </c>
      <c r="CJ582">
        <v>1</v>
      </c>
      <c r="CK582">
        <v>110</v>
      </c>
      <c r="CL582">
        <v>1</v>
      </c>
      <c r="CM582">
        <v>4</v>
      </c>
      <c r="CN582">
        <v>2</v>
      </c>
      <c r="CO582">
        <v>4</v>
      </c>
      <c r="CP582">
        <v>3</v>
      </c>
      <c r="CQ582">
        <v>1</v>
      </c>
      <c r="CR582">
        <v>5</v>
      </c>
      <c r="CS582">
        <v>928</v>
      </c>
      <c r="CT582">
        <v>0</v>
      </c>
      <c r="CU582">
        <v>10</v>
      </c>
      <c r="CV582">
        <v>1</v>
      </c>
      <c r="CW582">
        <v>1</v>
      </c>
      <c r="CX582">
        <v>1</v>
      </c>
      <c r="CY582">
        <v>23</v>
      </c>
      <c r="CZ582">
        <v>4</v>
      </c>
      <c r="DA582">
        <v>0</v>
      </c>
      <c r="DB582">
        <v>0</v>
      </c>
      <c r="DC582">
        <v>0</v>
      </c>
      <c r="DD582">
        <v>994</v>
      </c>
      <c r="DE582">
        <v>1</v>
      </c>
      <c r="DF582">
        <v>4</v>
      </c>
      <c r="DG582">
        <v>0</v>
      </c>
      <c r="DH582">
        <v>0</v>
      </c>
      <c r="DI582">
        <v>2</v>
      </c>
      <c r="DJ582">
        <v>0</v>
      </c>
      <c r="DK582">
        <v>0</v>
      </c>
      <c r="DL582">
        <v>0</v>
      </c>
      <c r="DM582">
        <v>1</v>
      </c>
      <c r="DN582">
        <v>1</v>
      </c>
      <c r="DO582">
        <v>970</v>
      </c>
      <c r="DP582">
        <v>0</v>
      </c>
      <c r="DQ582">
        <v>0</v>
      </c>
      <c r="DR582">
        <v>0</v>
      </c>
      <c r="DS582">
        <v>3</v>
      </c>
      <c r="DT582">
        <v>10</v>
      </c>
      <c r="DU582">
        <v>0</v>
      </c>
      <c r="DV582">
        <v>3</v>
      </c>
      <c r="DW582">
        <v>1</v>
      </c>
      <c r="DX582">
        <v>7</v>
      </c>
      <c r="DY582">
        <v>41</v>
      </c>
      <c r="DZ582">
        <v>944</v>
      </c>
      <c r="EA582">
        <v>0.92969999999999997</v>
      </c>
      <c r="EB582">
        <v>0.93839414575882996</v>
      </c>
      <c r="EC582">
        <v>0.92889616723159196</v>
      </c>
      <c r="ED582">
        <v>0.92997864407772302</v>
      </c>
      <c r="EE582">
        <f>SUM(Table1[[#This Row],[ratio_0]:[ratio_9]])</f>
        <v>370</v>
      </c>
      <c r="EF582" s="1">
        <f>(Table1[[#This Row],[predicted_0]]-Table1[[#This Row],[actual_0]])/Table1[[#This Row],[actual_0]]</f>
        <v>-7.5510204081632656E-2</v>
      </c>
      <c r="EG582" s="1">
        <f>(Table1[[#This Row],[predicted_1]]-Table1[[#This Row],[actual_1]])/Table1[[#This Row],[actual_1]]</f>
        <v>-8.3700440528634359E-2</v>
      </c>
      <c r="EH582" s="1">
        <f>(Table1[[#This Row],[predicted_2]]-Table1[[#This Row],[actual_2]])/Table1[[#This Row],[actual_2]]</f>
        <v>0.11434108527131782</v>
      </c>
      <c r="EI582" s="1">
        <f>(Table1[[#This Row],[predicted_3]]-Table1[[#This Row],[actual_3]])/Table1[[#This Row],[actual_3]]</f>
        <v>-2.6732673267326732E-2</v>
      </c>
      <c r="EJ582" s="1">
        <f>(Table1[[#This Row],[predicted_4]]-Table1[[#This Row],[actual_4]])/Table1[[#This Row],[actual_4]]</f>
        <v>-0.18126272912423624</v>
      </c>
      <c r="EK582" s="1">
        <f>(Table1[[#This Row],[predicted_5]]-Table1[[#This Row],[actual_5]])/Table1[[#This Row],[actual_5]]</f>
        <v>-0.1132286995515695</v>
      </c>
      <c r="EL582" s="1">
        <f>(Table1[[#This Row],[predicted_6]]-Table1[[#This Row],[actual_6]])/Table1[[#This Row],[actual_6]]</f>
        <v>-1.0438413361169102E-2</v>
      </c>
      <c r="EM582" s="1">
        <f>(Table1[[#This Row],[predicted_7]]-Table1[[#This Row],[actual_7]])/Table1[[#This Row],[actual_7]]</f>
        <v>0</v>
      </c>
      <c r="EN582" s="1">
        <f>(Table1[[#This Row],[predicted_8]]-Table1[[#This Row],[actual_8]])/Table1[[#This Row],[actual_8]]</f>
        <v>0.3326488706365503</v>
      </c>
      <c r="EO582" s="1">
        <f>(Table1[[#This Row],[predicted_9]]-Table1[[#This Row],[actual_9]])/Table1[[#This Row],[actual_9]]</f>
        <v>4.261645193260654E-2</v>
      </c>
      <c r="EP582" s="1">
        <f>1+(Table1[[#This Row],[error_ratio_0]]-EF$2)</f>
        <v>0.92244897959183669</v>
      </c>
      <c r="EQ582" s="1">
        <f>1+(Table1[[#This Row],[error_ratio_1]]-EG$2)</f>
        <v>0.91453744493392075</v>
      </c>
      <c r="ER582" s="1">
        <f>1+(Table1[[#This Row],[error_ratio_2]]-EH$2)</f>
        <v>1.1191860465116279</v>
      </c>
      <c r="ES582" s="1">
        <f>1+(Table1[[#This Row],[error_ratio_3]]-EI$2)</f>
        <v>0.96336633663366333</v>
      </c>
      <c r="ET582" s="1">
        <f>1+(Table1[[#This Row],[error_ratio_4]]-EJ$2)</f>
        <v>0.81771894093686359</v>
      </c>
      <c r="EU582" s="1">
        <f>1+(Table1[[#This Row],[error_ratio_5]]-EK$2)</f>
        <v>0.88565022421524664</v>
      </c>
      <c r="EV582" s="1">
        <f>1+(Table1[[#This Row],[error_ratio_6]]-EL$2)</f>
        <v>0.99582463465553239</v>
      </c>
      <c r="EW582" s="1">
        <f>1+(Table1[[#This Row],[error_ratio_7]]-EM$2)</f>
        <v>0.99805447470817121</v>
      </c>
      <c r="EX582" s="1">
        <f>1+(Table1[[#This Row],[error_ratio_8]]-EN$2)</f>
        <v>1.3357289527720739</v>
      </c>
      <c r="EY582" s="1">
        <f>1+(Table1[[#This Row],[error_ratio_9]]-EO$2)</f>
        <v>1.0465807730426164</v>
      </c>
    </row>
    <row r="583" spans="1:155" x14ac:dyDescent="0.75">
      <c r="A583">
        <v>100</v>
      </c>
      <c r="B583">
        <v>100</v>
      </c>
      <c r="C583">
        <v>10</v>
      </c>
      <c r="D583">
        <v>10</v>
      </c>
      <c r="E583">
        <v>10</v>
      </c>
      <c r="F583">
        <v>10</v>
      </c>
      <c r="G583">
        <v>10</v>
      </c>
      <c r="H583">
        <v>100</v>
      </c>
      <c r="I583">
        <v>100</v>
      </c>
      <c r="J583">
        <v>10</v>
      </c>
      <c r="K583">
        <v>1060</v>
      </c>
      <c r="L583">
        <v>1157</v>
      </c>
      <c r="M583">
        <v>971</v>
      </c>
      <c r="N583">
        <v>959</v>
      </c>
      <c r="O583">
        <v>926</v>
      </c>
      <c r="P583">
        <v>857</v>
      </c>
      <c r="Q583">
        <v>900</v>
      </c>
      <c r="R583">
        <v>1046</v>
      </c>
      <c r="S583">
        <v>1124</v>
      </c>
      <c r="T583">
        <v>1000</v>
      </c>
      <c r="U583">
        <v>980</v>
      </c>
      <c r="V583">
        <v>1135</v>
      </c>
      <c r="W583">
        <v>1032</v>
      </c>
      <c r="X583">
        <v>1010</v>
      </c>
      <c r="Y583">
        <v>982</v>
      </c>
      <c r="Z583">
        <v>892</v>
      </c>
      <c r="AA583">
        <v>958</v>
      </c>
      <c r="AB583">
        <v>1028</v>
      </c>
      <c r="AC583">
        <v>974</v>
      </c>
      <c r="AD583">
        <v>1009</v>
      </c>
      <c r="AE583">
        <v>975</v>
      </c>
      <c r="AF583">
        <v>0</v>
      </c>
      <c r="AG583">
        <v>0</v>
      </c>
      <c r="AH583">
        <v>0</v>
      </c>
      <c r="AI583">
        <v>0</v>
      </c>
      <c r="AJ583">
        <v>0</v>
      </c>
      <c r="AK583">
        <v>0</v>
      </c>
      <c r="AL583">
        <v>1</v>
      </c>
      <c r="AM583">
        <v>4</v>
      </c>
      <c r="AN583">
        <v>0</v>
      </c>
      <c r="AO583">
        <v>0</v>
      </c>
      <c r="AP583">
        <v>1126</v>
      </c>
      <c r="AQ583">
        <v>0</v>
      </c>
      <c r="AR583">
        <v>2</v>
      </c>
      <c r="AS583">
        <v>0</v>
      </c>
      <c r="AT583">
        <v>1</v>
      </c>
      <c r="AU583">
        <v>0</v>
      </c>
      <c r="AV583">
        <v>1</v>
      </c>
      <c r="AW583">
        <v>5</v>
      </c>
      <c r="AX583">
        <v>0</v>
      </c>
      <c r="AY583">
        <v>14</v>
      </c>
      <c r="AZ583">
        <v>8</v>
      </c>
      <c r="BA583">
        <v>962</v>
      </c>
      <c r="BB583">
        <v>4</v>
      </c>
      <c r="BC583">
        <v>3</v>
      </c>
      <c r="BD583">
        <v>0</v>
      </c>
      <c r="BE583">
        <v>0</v>
      </c>
      <c r="BF583">
        <v>24</v>
      </c>
      <c r="BG583">
        <v>17</v>
      </c>
      <c r="BH583">
        <v>0</v>
      </c>
      <c r="BI583">
        <v>12</v>
      </c>
      <c r="BJ583">
        <v>0</v>
      </c>
      <c r="BK583">
        <v>3</v>
      </c>
      <c r="BL583">
        <v>944</v>
      </c>
      <c r="BM583">
        <v>0</v>
      </c>
      <c r="BN583">
        <v>22</v>
      </c>
      <c r="BO583">
        <v>0</v>
      </c>
      <c r="BP583">
        <v>9</v>
      </c>
      <c r="BQ583">
        <v>19</v>
      </c>
      <c r="BR583">
        <v>1</v>
      </c>
      <c r="BS583">
        <v>1</v>
      </c>
      <c r="BT583">
        <v>7</v>
      </c>
      <c r="BU583">
        <v>2</v>
      </c>
      <c r="BV583">
        <v>0</v>
      </c>
      <c r="BW583">
        <v>915</v>
      </c>
      <c r="BX583">
        <v>0</v>
      </c>
      <c r="BY583">
        <v>8</v>
      </c>
      <c r="BZ583">
        <v>3</v>
      </c>
      <c r="CA583">
        <v>24</v>
      </c>
      <c r="CB583">
        <v>22</v>
      </c>
      <c r="CC583">
        <v>7</v>
      </c>
      <c r="CD583">
        <v>0</v>
      </c>
      <c r="CE583">
        <v>1</v>
      </c>
      <c r="CF583">
        <v>4</v>
      </c>
      <c r="CG583">
        <v>0</v>
      </c>
      <c r="CH583">
        <v>820</v>
      </c>
      <c r="CI583">
        <v>2</v>
      </c>
      <c r="CJ583">
        <v>0</v>
      </c>
      <c r="CK583">
        <v>56</v>
      </c>
      <c r="CL583">
        <v>2</v>
      </c>
      <c r="CM583">
        <v>37</v>
      </c>
      <c r="CN583">
        <v>7</v>
      </c>
      <c r="CO583">
        <v>0</v>
      </c>
      <c r="CP583">
        <v>0</v>
      </c>
      <c r="CQ583">
        <v>8</v>
      </c>
      <c r="CR583">
        <v>3</v>
      </c>
      <c r="CS583">
        <v>889</v>
      </c>
      <c r="CT583">
        <v>0</v>
      </c>
      <c r="CU583">
        <v>14</v>
      </c>
      <c r="CV583">
        <v>0</v>
      </c>
      <c r="CW583">
        <v>2</v>
      </c>
      <c r="CX583">
        <v>6</v>
      </c>
      <c r="CY583">
        <v>2</v>
      </c>
      <c r="CZ583">
        <v>3</v>
      </c>
      <c r="DA583">
        <v>0</v>
      </c>
      <c r="DB583">
        <v>0</v>
      </c>
      <c r="DC583">
        <v>0</v>
      </c>
      <c r="DD583">
        <v>1001</v>
      </c>
      <c r="DE583">
        <v>2</v>
      </c>
      <c r="DF583">
        <v>12</v>
      </c>
      <c r="DG583">
        <v>5</v>
      </c>
      <c r="DH583">
        <v>0</v>
      </c>
      <c r="DI583">
        <v>1</v>
      </c>
      <c r="DJ583">
        <v>0</v>
      </c>
      <c r="DK583">
        <v>0</v>
      </c>
      <c r="DL583">
        <v>0</v>
      </c>
      <c r="DM583">
        <v>0</v>
      </c>
      <c r="DN583">
        <v>2</v>
      </c>
      <c r="DO583">
        <v>962</v>
      </c>
      <c r="DP583">
        <v>4</v>
      </c>
      <c r="DQ583">
        <v>7</v>
      </c>
      <c r="DR583">
        <v>3</v>
      </c>
      <c r="DS583">
        <v>0</v>
      </c>
      <c r="DT583">
        <v>2</v>
      </c>
      <c r="DU583">
        <v>0</v>
      </c>
      <c r="DV583">
        <v>11</v>
      </c>
      <c r="DW583">
        <v>1</v>
      </c>
      <c r="DX583">
        <v>5</v>
      </c>
      <c r="DY583">
        <v>21</v>
      </c>
      <c r="DZ583">
        <v>959</v>
      </c>
      <c r="EA583">
        <v>0.95530000000000004</v>
      </c>
      <c r="EB583">
        <v>0.95726835208042804</v>
      </c>
      <c r="EC583">
        <v>0.95446828710028397</v>
      </c>
      <c r="ED583">
        <v>0.95486451712439702</v>
      </c>
      <c r="EE583">
        <f>SUM(Table1[[#This Row],[ratio_0]:[ratio_9]])</f>
        <v>460</v>
      </c>
      <c r="EF583" s="1">
        <f>(Table1[[#This Row],[predicted_0]]-Table1[[#This Row],[actual_0]])/Table1[[#This Row],[actual_0]]</f>
        <v>8.1632653061224483E-2</v>
      </c>
      <c r="EG583" s="1">
        <f>(Table1[[#This Row],[predicted_1]]-Table1[[#This Row],[actual_1]])/Table1[[#This Row],[actual_1]]</f>
        <v>1.9383259911894272E-2</v>
      </c>
      <c r="EH583" s="1">
        <f>(Table1[[#This Row],[predicted_2]]-Table1[[#This Row],[actual_2]])/Table1[[#This Row],[actual_2]]</f>
        <v>-5.9108527131782947E-2</v>
      </c>
      <c r="EI583" s="1">
        <f>(Table1[[#This Row],[predicted_3]]-Table1[[#This Row],[actual_3]])/Table1[[#This Row],[actual_3]]</f>
        <v>-5.0495049504950498E-2</v>
      </c>
      <c r="EJ583" s="1">
        <f>(Table1[[#This Row],[predicted_4]]-Table1[[#This Row],[actual_4]])/Table1[[#This Row],[actual_4]]</f>
        <v>-5.7026476578411409E-2</v>
      </c>
      <c r="EK583" s="1">
        <f>(Table1[[#This Row],[predicted_5]]-Table1[[#This Row],[actual_5]])/Table1[[#This Row],[actual_5]]</f>
        <v>-3.923766816143498E-2</v>
      </c>
      <c r="EL583" s="1">
        <f>(Table1[[#This Row],[predicted_6]]-Table1[[#This Row],[actual_6]])/Table1[[#This Row],[actual_6]]</f>
        <v>-6.0542797494780795E-2</v>
      </c>
      <c r="EM583" s="1">
        <f>(Table1[[#This Row],[predicted_7]]-Table1[[#This Row],[actual_7]])/Table1[[#This Row],[actual_7]]</f>
        <v>1.7509727626459144E-2</v>
      </c>
      <c r="EN583" s="1">
        <f>(Table1[[#This Row],[predicted_8]]-Table1[[#This Row],[actual_8]])/Table1[[#This Row],[actual_8]]</f>
        <v>0.1540041067761807</v>
      </c>
      <c r="EO583" s="1">
        <f>(Table1[[#This Row],[predicted_9]]-Table1[[#This Row],[actual_9]])/Table1[[#This Row],[actual_9]]</f>
        <v>-8.9197224975222991E-3</v>
      </c>
      <c r="EP583" s="1">
        <f>1+(Table1[[#This Row],[error_ratio_0]]-EF$2)</f>
        <v>1.0795918367346939</v>
      </c>
      <c r="EQ583" s="1">
        <f>1+(Table1[[#This Row],[error_ratio_1]]-EG$2)</f>
        <v>1.0176211453744493</v>
      </c>
      <c r="ER583" s="1">
        <f>1+(Table1[[#This Row],[error_ratio_2]]-EH$2)</f>
        <v>0.94573643410852715</v>
      </c>
      <c r="ES583" s="1">
        <f>1+(Table1[[#This Row],[error_ratio_3]]-EI$2)</f>
        <v>0.93960396039603955</v>
      </c>
      <c r="ET583" s="1">
        <f>1+(Table1[[#This Row],[error_ratio_4]]-EJ$2)</f>
        <v>0.94195519348268841</v>
      </c>
      <c r="EU583" s="1">
        <f>1+(Table1[[#This Row],[error_ratio_5]]-EK$2)</f>
        <v>0.95964125560538116</v>
      </c>
      <c r="EV583" s="1">
        <f>1+(Table1[[#This Row],[error_ratio_6]]-EL$2)</f>
        <v>0.94572025052192066</v>
      </c>
      <c r="EW583" s="1">
        <f>1+(Table1[[#This Row],[error_ratio_7]]-EM$2)</f>
        <v>1.0155642023346303</v>
      </c>
      <c r="EX583" s="1">
        <f>1+(Table1[[#This Row],[error_ratio_8]]-EN$2)</f>
        <v>1.1570841889117043</v>
      </c>
      <c r="EY583" s="1">
        <f>1+(Table1[[#This Row],[error_ratio_9]]-EO$2)</f>
        <v>0.99504459861248762</v>
      </c>
    </row>
    <row r="584" spans="1:155" x14ac:dyDescent="0.75">
      <c r="A584">
        <v>10</v>
      </c>
      <c r="B584">
        <v>100</v>
      </c>
      <c r="C584">
        <v>10</v>
      </c>
      <c r="D584">
        <v>10</v>
      </c>
      <c r="E584">
        <v>10</v>
      </c>
      <c r="F584">
        <v>10</v>
      </c>
      <c r="G584">
        <v>10</v>
      </c>
      <c r="H584">
        <v>100</v>
      </c>
      <c r="I584">
        <v>100</v>
      </c>
      <c r="J584">
        <v>10</v>
      </c>
      <c r="K584">
        <v>966</v>
      </c>
      <c r="L584">
        <v>1213</v>
      </c>
      <c r="M584">
        <v>871</v>
      </c>
      <c r="N584">
        <v>994</v>
      </c>
      <c r="O584">
        <v>923</v>
      </c>
      <c r="P584">
        <v>984</v>
      </c>
      <c r="Q584">
        <v>912</v>
      </c>
      <c r="R584">
        <v>1130</v>
      </c>
      <c r="S584">
        <v>1021</v>
      </c>
      <c r="T584">
        <v>986</v>
      </c>
      <c r="U584">
        <v>980</v>
      </c>
      <c r="V584">
        <v>1135</v>
      </c>
      <c r="W584">
        <v>1032</v>
      </c>
      <c r="X584">
        <v>1010</v>
      </c>
      <c r="Y584">
        <v>982</v>
      </c>
      <c r="Z584">
        <v>892</v>
      </c>
      <c r="AA584">
        <v>958</v>
      </c>
      <c r="AB584">
        <v>1028</v>
      </c>
      <c r="AC584">
        <v>974</v>
      </c>
      <c r="AD584">
        <v>1009</v>
      </c>
      <c r="AE584">
        <v>946</v>
      </c>
      <c r="AF584">
        <v>1</v>
      </c>
      <c r="AG584">
        <v>0</v>
      </c>
      <c r="AH584">
        <v>0</v>
      </c>
      <c r="AI584">
        <v>2</v>
      </c>
      <c r="AJ584">
        <v>15</v>
      </c>
      <c r="AK584">
        <v>2</v>
      </c>
      <c r="AL584">
        <v>4</v>
      </c>
      <c r="AM584">
        <v>5</v>
      </c>
      <c r="AN584">
        <v>5</v>
      </c>
      <c r="AO584">
        <v>0</v>
      </c>
      <c r="AP584">
        <v>1132</v>
      </c>
      <c r="AQ584">
        <v>0</v>
      </c>
      <c r="AR584">
        <v>0</v>
      </c>
      <c r="AS584">
        <v>0</v>
      </c>
      <c r="AT584">
        <v>1</v>
      </c>
      <c r="AU584">
        <v>1</v>
      </c>
      <c r="AV584">
        <v>1</v>
      </c>
      <c r="AW584">
        <v>0</v>
      </c>
      <c r="AX584">
        <v>0</v>
      </c>
      <c r="AY584">
        <v>7</v>
      </c>
      <c r="AZ584">
        <v>45</v>
      </c>
      <c r="BA584">
        <v>865</v>
      </c>
      <c r="BB584">
        <v>20</v>
      </c>
      <c r="BC584">
        <v>0</v>
      </c>
      <c r="BD584">
        <v>4</v>
      </c>
      <c r="BE584">
        <v>6</v>
      </c>
      <c r="BF584">
        <v>62</v>
      </c>
      <c r="BG584">
        <v>22</v>
      </c>
      <c r="BH584">
        <v>1</v>
      </c>
      <c r="BI584">
        <v>0</v>
      </c>
      <c r="BJ584">
        <v>1</v>
      </c>
      <c r="BK584">
        <v>0</v>
      </c>
      <c r="BL584">
        <v>960</v>
      </c>
      <c r="BM584">
        <v>0</v>
      </c>
      <c r="BN584">
        <v>25</v>
      </c>
      <c r="BO584">
        <v>0</v>
      </c>
      <c r="BP584">
        <v>9</v>
      </c>
      <c r="BQ584">
        <v>15</v>
      </c>
      <c r="BR584">
        <v>0</v>
      </c>
      <c r="BS584">
        <v>0</v>
      </c>
      <c r="BT584">
        <v>11</v>
      </c>
      <c r="BU584">
        <v>2</v>
      </c>
      <c r="BV584">
        <v>0</v>
      </c>
      <c r="BW584">
        <v>900</v>
      </c>
      <c r="BX584">
        <v>1</v>
      </c>
      <c r="BY584">
        <v>13</v>
      </c>
      <c r="BZ584">
        <v>9</v>
      </c>
      <c r="CA584">
        <v>6</v>
      </c>
      <c r="CB584">
        <v>40</v>
      </c>
      <c r="CC584">
        <v>1</v>
      </c>
      <c r="CD584">
        <v>2</v>
      </c>
      <c r="CE584">
        <v>0</v>
      </c>
      <c r="CF584">
        <v>5</v>
      </c>
      <c r="CG584">
        <v>0</v>
      </c>
      <c r="CH584">
        <v>877</v>
      </c>
      <c r="CI584">
        <v>1</v>
      </c>
      <c r="CJ584">
        <v>2</v>
      </c>
      <c r="CK584">
        <v>3</v>
      </c>
      <c r="CL584">
        <v>1</v>
      </c>
      <c r="CM584">
        <v>8</v>
      </c>
      <c r="CN584">
        <v>8</v>
      </c>
      <c r="CO584">
        <v>2</v>
      </c>
      <c r="CP584">
        <v>0</v>
      </c>
      <c r="CQ584">
        <v>16</v>
      </c>
      <c r="CR584">
        <v>29</v>
      </c>
      <c r="CS584">
        <v>889</v>
      </c>
      <c r="CT584">
        <v>1</v>
      </c>
      <c r="CU584">
        <v>5</v>
      </c>
      <c r="CV584">
        <v>0</v>
      </c>
      <c r="CW584">
        <v>1</v>
      </c>
      <c r="CX584">
        <v>7</v>
      </c>
      <c r="CY584">
        <v>1</v>
      </c>
      <c r="CZ584">
        <v>0</v>
      </c>
      <c r="DA584">
        <v>0</v>
      </c>
      <c r="DB584">
        <v>0</v>
      </c>
      <c r="DC584">
        <v>0</v>
      </c>
      <c r="DD584">
        <v>1016</v>
      </c>
      <c r="DE584">
        <v>1</v>
      </c>
      <c r="DF584">
        <v>2</v>
      </c>
      <c r="DG584">
        <v>1</v>
      </c>
      <c r="DH584">
        <v>0</v>
      </c>
      <c r="DI584">
        <v>1</v>
      </c>
      <c r="DJ584">
        <v>1</v>
      </c>
      <c r="DK584">
        <v>0</v>
      </c>
      <c r="DL584">
        <v>6</v>
      </c>
      <c r="DM584">
        <v>0</v>
      </c>
      <c r="DN584">
        <v>4</v>
      </c>
      <c r="DO584">
        <v>952</v>
      </c>
      <c r="DP584">
        <v>9</v>
      </c>
      <c r="DQ584">
        <v>2</v>
      </c>
      <c r="DR584">
        <v>6</v>
      </c>
      <c r="DS584">
        <v>0</v>
      </c>
      <c r="DT584">
        <v>8</v>
      </c>
      <c r="DU584">
        <v>5</v>
      </c>
      <c r="DV584">
        <v>26</v>
      </c>
      <c r="DW584">
        <v>0</v>
      </c>
      <c r="DX584">
        <v>22</v>
      </c>
      <c r="DY584">
        <v>12</v>
      </c>
      <c r="DZ584">
        <v>928</v>
      </c>
      <c r="EA584">
        <v>0.94650000000000001</v>
      </c>
      <c r="EB584">
        <v>0.94852584469647605</v>
      </c>
      <c r="EC584">
        <v>0.94644541208192501</v>
      </c>
      <c r="ED584">
        <v>0.94606268140404504</v>
      </c>
      <c r="EE584">
        <f>SUM(Table1[[#This Row],[ratio_0]:[ratio_9]])</f>
        <v>370</v>
      </c>
      <c r="EF584" s="1">
        <f>(Table1[[#This Row],[predicted_0]]-Table1[[#This Row],[actual_0]])/Table1[[#This Row],[actual_0]]</f>
        <v>-1.4285714285714285E-2</v>
      </c>
      <c r="EG584" s="1">
        <f>(Table1[[#This Row],[predicted_1]]-Table1[[#This Row],[actual_1]])/Table1[[#This Row],[actual_1]]</f>
        <v>6.8722466960352419E-2</v>
      </c>
      <c r="EH584" s="1">
        <f>(Table1[[#This Row],[predicted_2]]-Table1[[#This Row],[actual_2]])/Table1[[#This Row],[actual_2]]</f>
        <v>-0.1560077519379845</v>
      </c>
      <c r="EI584" s="1">
        <f>(Table1[[#This Row],[predicted_3]]-Table1[[#This Row],[actual_3]])/Table1[[#This Row],[actual_3]]</f>
        <v>-1.5841584158415842E-2</v>
      </c>
      <c r="EJ584" s="1">
        <f>(Table1[[#This Row],[predicted_4]]-Table1[[#This Row],[actual_4]])/Table1[[#This Row],[actual_4]]</f>
        <v>-6.008146639511202E-2</v>
      </c>
      <c r="EK584" s="1">
        <f>(Table1[[#This Row],[predicted_5]]-Table1[[#This Row],[actual_5]])/Table1[[#This Row],[actual_5]]</f>
        <v>0.1031390134529148</v>
      </c>
      <c r="EL584" s="1">
        <f>(Table1[[#This Row],[predicted_6]]-Table1[[#This Row],[actual_6]])/Table1[[#This Row],[actual_6]]</f>
        <v>-4.8016701461377868E-2</v>
      </c>
      <c r="EM584" s="1">
        <f>(Table1[[#This Row],[predicted_7]]-Table1[[#This Row],[actual_7]])/Table1[[#This Row],[actual_7]]</f>
        <v>9.9221789883268477E-2</v>
      </c>
      <c r="EN584" s="1">
        <f>(Table1[[#This Row],[predicted_8]]-Table1[[#This Row],[actual_8]])/Table1[[#This Row],[actual_8]]</f>
        <v>4.8254620123203286E-2</v>
      </c>
      <c r="EO584" s="1">
        <f>(Table1[[#This Row],[predicted_9]]-Table1[[#This Row],[actual_9]])/Table1[[#This Row],[actual_9]]</f>
        <v>-2.2794846382556987E-2</v>
      </c>
      <c r="EP584" s="1">
        <f>1+(Table1[[#This Row],[error_ratio_0]]-EF$2)</f>
        <v>0.98367346938775513</v>
      </c>
      <c r="EQ584" s="1">
        <f>1+(Table1[[#This Row],[error_ratio_1]]-EG$2)</f>
        <v>1.0669603524229074</v>
      </c>
      <c r="ER584" s="1">
        <f>1+(Table1[[#This Row],[error_ratio_2]]-EH$2)</f>
        <v>0.84883720930232553</v>
      </c>
      <c r="ES584" s="1">
        <f>1+(Table1[[#This Row],[error_ratio_3]]-EI$2)</f>
        <v>0.97425742574257423</v>
      </c>
      <c r="ET584" s="1">
        <f>1+(Table1[[#This Row],[error_ratio_4]]-EJ$2)</f>
        <v>0.93890020366598781</v>
      </c>
      <c r="EU584" s="1">
        <f>1+(Table1[[#This Row],[error_ratio_5]]-EK$2)</f>
        <v>1.102017937219731</v>
      </c>
      <c r="EV584" s="1">
        <f>1+(Table1[[#This Row],[error_ratio_6]]-EL$2)</f>
        <v>0.95824634655532359</v>
      </c>
      <c r="EW584" s="1">
        <f>1+(Table1[[#This Row],[error_ratio_7]]-EM$2)</f>
        <v>1.0972762645914398</v>
      </c>
      <c r="EX584" s="1">
        <f>1+(Table1[[#This Row],[error_ratio_8]]-EN$2)</f>
        <v>1.0513347022587269</v>
      </c>
      <c r="EY584" s="1">
        <f>1+(Table1[[#This Row],[error_ratio_9]]-EO$2)</f>
        <v>0.98116947472745297</v>
      </c>
    </row>
    <row r="585" spans="1:155" x14ac:dyDescent="0.75">
      <c r="A585">
        <v>100</v>
      </c>
      <c r="B585">
        <v>10</v>
      </c>
      <c r="C585">
        <v>10</v>
      </c>
      <c r="D585">
        <v>10</v>
      </c>
      <c r="E585">
        <v>10</v>
      </c>
      <c r="F585">
        <v>10</v>
      </c>
      <c r="G585">
        <v>10</v>
      </c>
      <c r="H585">
        <v>100</v>
      </c>
      <c r="I585">
        <v>100</v>
      </c>
      <c r="J585">
        <v>10</v>
      </c>
      <c r="K585">
        <v>1037</v>
      </c>
      <c r="L585">
        <v>1125</v>
      </c>
      <c r="M585">
        <v>1030</v>
      </c>
      <c r="N585">
        <v>945</v>
      </c>
      <c r="O585">
        <v>905</v>
      </c>
      <c r="P585">
        <v>800</v>
      </c>
      <c r="Q585">
        <v>919</v>
      </c>
      <c r="R585">
        <v>1070</v>
      </c>
      <c r="S585">
        <v>1196</v>
      </c>
      <c r="T585">
        <v>973</v>
      </c>
      <c r="U585">
        <v>980</v>
      </c>
      <c r="V585">
        <v>1135</v>
      </c>
      <c r="W585">
        <v>1032</v>
      </c>
      <c r="X585">
        <v>1010</v>
      </c>
      <c r="Y585">
        <v>982</v>
      </c>
      <c r="Z585">
        <v>892</v>
      </c>
      <c r="AA585">
        <v>958</v>
      </c>
      <c r="AB585">
        <v>1028</v>
      </c>
      <c r="AC585">
        <v>974</v>
      </c>
      <c r="AD585">
        <v>1009</v>
      </c>
      <c r="AE585">
        <v>973</v>
      </c>
      <c r="AF585">
        <v>0</v>
      </c>
      <c r="AG585">
        <v>0</v>
      </c>
      <c r="AH585">
        <v>0</v>
      </c>
      <c r="AI585">
        <v>0</v>
      </c>
      <c r="AJ585">
        <v>0</v>
      </c>
      <c r="AK585">
        <v>0</v>
      </c>
      <c r="AL585">
        <v>2</v>
      </c>
      <c r="AM585">
        <v>5</v>
      </c>
      <c r="AN585">
        <v>0</v>
      </c>
      <c r="AO585">
        <v>0</v>
      </c>
      <c r="AP585">
        <v>1114</v>
      </c>
      <c r="AQ585">
        <v>4</v>
      </c>
      <c r="AR585">
        <v>1</v>
      </c>
      <c r="AS585">
        <v>0</v>
      </c>
      <c r="AT585">
        <v>2</v>
      </c>
      <c r="AU585">
        <v>1</v>
      </c>
      <c r="AV585">
        <v>6</v>
      </c>
      <c r="AW585">
        <v>7</v>
      </c>
      <c r="AX585">
        <v>0</v>
      </c>
      <c r="AY585">
        <v>3</v>
      </c>
      <c r="AZ585">
        <v>0</v>
      </c>
      <c r="BA585">
        <v>1001</v>
      </c>
      <c r="BB585">
        <v>4</v>
      </c>
      <c r="BC585">
        <v>0</v>
      </c>
      <c r="BD585">
        <v>0</v>
      </c>
      <c r="BE585">
        <v>4</v>
      </c>
      <c r="BF585">
        <v>10</v>
      </c>
      <c r="BG585">
        <v>10</v>
      </c>
      <c r="BH585">
        <v>0</v>
      </c>
      <c r="BI585">
        <v>9</v>
      </c>
      <c r="BJ585">
        <v>0</v>
      </c>
      <c r="BK585">
        <v>8</v>
      </c>
      <c r="BL585">
        <v>932</v>
      </c>
      <c r="BM585">
        <v>0</v>
      </c>
      <c r="BN585">
        <v>16</v>
      </c>
      <c r="BO585">
        <v>0</v>
      </c>
      <c r="BP585">
        <v>11</v>
      </c>
      <c r="BQ585">
        <v>32</v>
      </c>
      <c r="BR585">
        <v>2</v>
      </c>
      <c r="BS585">
        <v>1</v>
      </c>
      <c r="BT585">
        <v>4</v>
      </c>
      <c r="BU585">
        <v>9</v>
      </c>
      <c r="BV585">
        <v>0</v>
      </c>
      <c r="BW585">
        <v>904</v>
      </c>
      <c r="BX585">
        <v>0</v>
      </c>
      <c r="BY585">
        <v>12</v>
      </c>
      <c r="BZ585">
        <v>5</v>
      </c>
      <c r="CA585">
        <v>14</v>
      </c>
      <c r="CB585">
        <v>33</v>
      </c>
      <c r="CC585">
        <v>16</v>
      </c>
      <c r="CD585">
        <v>0</v>
      </c>
      <c r="CE585">
        <v>1</v>
      </c>
      <c r="CF585">
        <v>6</v>
      </c>
      <c r="CG585">
        <v>0</v>
      </c>
      <c r="CH585">
        <v>776</v>
      </c>
      <c r="CI585">
        <v>2</v>
      </c>
      <c r="CJ585">
        <v>2</v>
      </c>
      <c r="CK585">
        <v>85</v>
      </c>
      <c r="CL585">
        <v>4</v>
      </c>
      <c r="CM585">
        <v>21</v>
      </c>
      <c r="CN585">
        <v>3</v>
      </c>
      <c r="CO585">
        <v>1</v>
      </c>
      <c r="CP585">
        <v>0</v>
      </c>
      <c r="CQ585">
        <v>1</v>
      </c>
      <c r="CR585">
        <v>3</v>
      </c>
      <c r="CS585">
        <v>899</v>
      </c>
      <c r="CT585">
        <v>0</v>
      </c>
      <c r="CU585">
        <v>30</v>
      </c>
      <c r="CV585">
        <v>0</v>
      </c>
      <c r="CW585">
        <v>1</v>
      </c>
      <c r="CX585">
        <v>2</v>
      </c>
      <c r="CY585">
        <v>5</v>
      </c>
      <c r="CZ585">
        <v>0</v>
      </c>
      <c r="DA585">
        <v>0</v>
      </c>
      <c r="DB585">
        <v>0</v>
      </c>
      <c r="DC585">
        <v>0</v>
      </c>
      <c r="DD585">
        <v>1019</v>
      </c>
      <c r="DE585">
        <v>1</v>
      </c>
      <c r="DF585">
        <v>0</v>
      </c>
      <c r="DG585">
        <v>4</v>
      </c>
      <c r="DH585">
        <v>0</v>
      </c>
      <c r="DI585">
        <v>1</v>
      </c>
      <c r="DJ585">
        <v>0</v>
      </c>
      <c r="DK585">
        <v>0</v>
      </c>
      <c r="DL585">
        <v>0</v>
      </c>
      <c r="DM585">
        <v>0</v>
      </c>
      <c r="DN585">
        <v>3</v>
      </c>
      <c r="DO585">
        <v>965</v>
      </c>
      <c r="DP585">
        <v>1</v>
      </c>
      <c r="DQ585">
        <v>9</v>
      </c>
      <c r="DR585">
        <v>2</v>
      </c>
      <c r="DS585">
        <v>0</v>
      </c>
      <c r="DT585">
        <v>2</v>
      </c>
      <c r="DU585">
        <v>0</v>
      </c>
      <c r="DV585">
        <v>3</v>
      </c>
      <c r="DW585">
        <v>1</v>
      </c>
      <c r="DX585">
        <v>12</v>
      </c>
      <c r="DY585">
        <v>47</v>
      </c>
      <c r="DZ585">
        <v>933</v>
      </c>
      <c r="EA585">
        <v>0.9516</v>
      </c>
      <c r="EB585">
        <v>0.95518086874944697</v>
      </c>
      <c r="EC585">
        <v>0.95027100293273403</v>
      </c>
      <c r="ED585">
        <v>0.95105740019942397</v>
      </c>
      <c r="EE585">
        <f>SUM(Table1[[#This Row],[ratio_0]:[ratio_9]])</f>
        <v>370</v>
      </c>
      <c r="EF585" s="1">
        <f>(Table1[[#This Row],[predicted_0]]-Table1[[#This Row],[actual_0]])/Table1[[#This Row],[actual_0]]</f>
        <v>5.8163265306122446E-2</v>
      </c>
      <c r="EG585" s="1">
        <f>(Table1[[#This Row],[predicted_1]]-Table1[[#This Row],[actual_1]])/Table1[[#This Row],[actual_1]]</f>
        <v>-8.8105726872246704E-3</v>
      </c>
      <c r="EH585" s="1">
        <f>(Table1[[#This Row],[predicted_2]]-Table1[[#This Row],[actual_2]])/Table1[[#This Row],[actual_2]]</f>
        <v>-1.937984496124031E-3</v>
      </c>
      <c r="EI585" s="1">
        <f>(Table1[[#This Row],[predicted_3]]-Table1[[#This Row],[actual_3]])/Table1[[#This Row],[actual_3]]</f>
        <v>-6.4356435643564358E-2</v>
      </c>
      <c r="EJ585" s="1">
        <f>(Table1[[#This Row],[predicted_4]]-Table1[[#This Row],[actual_4]])/Table1[[#This Row],[actual_4]]</f>
        <v>-7.8411405295315678E-2</v>
      </c>
      <c r="EK585" s="1">
        <f>(Table1[[#This Row],[predicted_5]]-Table1[[#This Row],[actual_5]])/Table1[[#This Row],[actual_5]]</f>
        <v>-0.1031390134529148</v>
      </c>
      <c r="EL585" s="1">
        <f>(Table1[[#This Row],[predicted_6]]-Table1[[#This Row],[actual_6]])/Table1[[#This Row],[actual_6]]</f>
        <v>-4.07098121085595E-2</v>
      </c>
      <c r="EM585" s="1">
        <f>(Table1[[#This Row],[predicted_7]]-Table1[[#This Row],[actual_7]])/Table1[[#This Row],[actual_7]]</f>
        <v>4.085603112840467E-2</v>
      </c>
      <c r="EN585" s="1">
        <f>(Table1[[#This Row],[predicted_8]]-Table1[[#This Row],[actual_8]])/Table1[[#This Row],[actual_8]]</f>
        <v>0.22792607802874743</v>
      </c>
      <c r="EO585" s="1">
        <f>(Table1[[#This Row],[predicted_9]]-Table1[[#This Row],[actual_9]])/Table1[[#This Row],[actual_9]]</f>
        <v>-3.5678889990089196E-2</v>
      </c>
      <c r="EP585" s="1">
        <f>1+(Table1[[#This Row],[error_ratio_0]]-EF$2)</f>
        <v>1.0561224489795917</v>
      </c>
      <c r="EQ585" s="1">
        <f>1+(Table1[[#This Row],[error_ratio_1]]-EG$2)</f>
        <v>0.98942731277533036</v>
      </c>
      <c r="ER585" s="1">
        <f>1+(Table1[[#This Row],[error_ratio_2]]-EH$2)</f>
        <v>1.0029069767441861</v>
      </c>
      <c r="ES585" s="1">
        <f>1+(Table1[[#This Row],[error_ratio_3]]-EI$2)</f>
        <v>0.92574257425742579</v>
      </c>
      <c r="ET585" s="1">
        <f>1+(Table1[[#This Row],[error_ratio_4]]-EJ$2)</f>
        <v>0.92057026476578407</v>
      </c>
      <c r="EU585" s="1">
        <f>1+(Table1[[#This Row],[error_ratio_5]]-EK$2)</f>
        <v>0.89573991031390132</v>
      </c>
      <c r="EV585" s="1">
        <f>1+(Table1[[#This Row],[error_ratio_6]]-EL$2)</f>
        <v>0.96555323590814202</v>
      </c>
      <c r="EW585" s="1">
        <f>1+(Table1[[#This Row],[error_ratio_7]]-EM$2)</f>
        <v>1.038910505836576</v>
      </c>
      <c r="EX585" s="1">
        <f>1+(Table1[[#This Row],[error_ratio_8]]-EN$2)</f>
        <v>1.231006160164271</v>
      </c>
      <c r="EY585" s="1">
        <f>1+(Table1[[#This Row],[error_ratio_9]]-EO$2)</f>
        <v>0.96828543111992071</v>
      </c>
    </row>
    <row r="586" spans="1:155" x14ac:dyDescent="0.75">
      <c r="A586">
        <v>10</v>
      </c>
      <c r="B586">
        <v>10</v>
      </c>
      <c r="C586">
        <v>10</v>
      </c>
      <c r="D586">
        <v>10</v>
      </c>
      <c r="E586">
        <v>10</v>
      </c>
      <c r="F586">
        <v>10</v>
      </c>
      <c r="G586">
        <v>10</v>
      </c>
      <c r="H586">
        <v>100</v>
      </c>
      <c r="I586">
        <v>100</v>
      </c>
      <c r="J586">
        <v>10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10000</v>
      </c>
      <c r="S586">
        <v>0</v>
      </c>
      <c r="T586">
        <v>0</v>
      </c>
      <c r="U586">
        <v>980</v>
      </c>
      <c r="V586">
        <v>1135</v>
      </c>
      <c r="W586">
        <v>1032</v>
      </c>
      <c r="X586">
        <v>1010</v>
      </c>
      <c r="Y586">
        <v>982</v>
      </c>
      <c r="Z586">
        <v>892</v>
      </c>
      <c r="AA586">
        <v>958</v>
      </c>
      <c r="AB586">
        <v>1028</v>
      </c>
      <c r="AC586">
        <v>974</v>
      </c>
      <c r="AD586">
        <v>1009</v>
      </c>
      <c r="AE586">
        <v>0</v>
      </c>
      <c r="AF586">
        <v>0</v>
      </c>
      <c r="AG586">
        <v>0</v>
      </c>
      <c r="AH586">
        <v>0</v>
      </c>
      <c r="AI586">
        <v>0</v>
      </c>
      <c r="AJ586">
        <v>0</v>
      </c>
      <c r="AK586">
        <v>0</v>
      </c>
      <c r="AL586">
        <v>980</v>
      </c>
      <c r="AM586">
        <v>0</v>
      </c>
      <c r="AN586">
        <v>0</v>
      </c>
      <c r="AO586">
        <v>0</v>
      </c>
      <c r="AP586">
        <v>0</v>
      </c>
      <c r="AQ586">
        <v>0</v>
      </c>
      <c r="AR586">
        <v>0</v>
      </c>
      <c r="AS586">
        <v>0</v>
      </c>
      <c r="AT586">
        <v>0</v>
      </c>
      <c r="AU586">
        <v>0</v>
      </c>
      <c r="AV586">
        <v>1135</v>
      </c>
      <c r="AW586">
        <v>0</v>
      </c>
      <c r="AX586">
        <v>0</v>
      </c>
      <c r="AY586">
        <v>0</v>
      </c>
      <c r="AZ586">
        <v>0</v>
      </c>
      <c r="BA586">
        <v>0</v>
      </c>
      <c r="BB586">
        <v>0</v>
      </c>
      <c r="BC586">
        <v>0</v>
      </c>
      <c r="BD586">
        <v>0</v>
      </c>
      <c r="BE586">
        <v>0</v>
      </c>
      <c r="BF586">
        <v>1032</v>
      </c>
      <c r="BG586">
        <v>0</v>
      </c>
      <c r="BH586">
        <v>0</v>
      </c>
      <c r="BI586">
        <v>0</v>
      </c>
      <c r="BJ586">
        <v>0</v>
      </c>
      <c r="BK586">
        <v>0</v>
      </c>
      <c r="BL586">
        <v>0</v>
      </c>
      <c r="BM586">
        <v>0</v>
      </c>
      <c r="BN586">
        <v>0</v>
      </c>
      <c r="BO586">
        <v>0</v>
      </c>
      <c r="BP586">
        <v>1010</v>
      </c>
      <c r="BQ586">
        <v>0</v>
      </c>
      <c r="BR586">
        <v>0</v>
      </c>
      <c r="BS586">
        <v>0</v>
      </c>
      <c r="BT586">
        <v>0</v>
      </c>
      <c r="BU586">
        <v>0</v>
      </c>
      <c r="BV586">
        <v>0</v>
      </c>
      <c r="BW586">
        <v>0</v>
      </c>
      <c r="BX586">
        <v>0</v>
      </c>
      <c r="BY586">
        <v>0</v>
      </c>
      <c r="BZ586">
        <v>982</v>
      </c>
      <c r="CA586">
        <v>0</v>
      </c>
      <c r="CB586">
        <v>0</v>
      </c>
      <c r="CC586">
        <v>0</v>
      </c>
      <c r="CD586">
        <v>0</v>
      </c>
      <c r="CE586">
        <v>0</v>
      </c>
      <c r="CF586">
        <v>0</v>
      </c>
      <c r="CG586">
        <v>0</v>
      </c>
      <c r="CH586">
        <v>0</v>
      </c>
      <c r="CI586">
        <v>0</v>
      </c>
      <c r="CJ586">
        <v>892</v>
      </c>
      <c r="CK586">
        <v>0</v>
      </c>
      <c r="CL586">
        <v>0</v>
      </c>
      <c r="CM586">
        <v>0</v>
      </c>
      <c r="CN586">
        <v>0</v>
      </c>
      <c r="CO586">
        <v>0</v>
      </c>
      <c r="CP586">
        <v>0</v>
      </c>
      <c r="CQ586">
        <v>0</v>
      </c>
      <c r="CR586">
        <v>0</v>
      </c>
      <c r="CS586">
        <v>0</v>
      </c>
      <c r="CT586">
        <v>958</v>
      </c>
      <c r="CU586">
        <v>0</v>
      </c>
      <c r="CV586">
        <v>0</v>
      </c>
      <c r="CW586">
        <v>0</v>
      </c>
      <c r="CX586">
        <v>0</v>
      </c>
      <c r="CY586">
        <v>0</v>
      </c>
      <c r="CZ586">
        <v>0</v>
      </c>
      <c r="DA586">
        <v>0</v>
      </c>
      <c r="DB586">
        <v>0</v>
      </c>
      <c r="DC586">
        <v>0</v>
      </c>
      <c r="DD586">
        <v>1028</v>
      </c>
      <c r="DE586">
        <v>0</v>
      </c>
      <c r="DF586">
        <v>0</v>
      </c>
      <c r="DG586">
        <v>0</v>
      </c>
      <c r="DH586">
        <v>0</v>
      </c>
      <c r="DI586">
        <v>0</v>
      </c>
      <c r="DJ586">
        <v>0</v>
      </c>
      <c r="DK586">
        <v>0</v>
      </c>
      <c r="DL586">
        <v>0</v>
      </c>
      <c r="DM586">
        <v>0</v>
      </c>
      <c r="DN586">
        <v>974</v>
      </c>
      <c r="DO586">
        <v>0</v>
      </c>
      <c r="DP586">
        <v>0</v>
      </c>
      <c r="DQ586">
        <v>0</v>
      </c>
      <c r="DR586">
        <v>0</v>
      </c>
      <c r="DS586">
        <v>0</v>
      </c>
      <c r="DT586">
        <v>0</v>
      </c>
      <c r="DU586">
        <v>0</v>
      </c>
      <c r="DV586">
        <v>0</v>
      </c>
      <c r="DW586">
        <v>0</v>
      </c>
      <c r="DX586">
        <v>1009</v>
      </c>
      <c r="DY586">
        <v>0</v>
      </c>
      <c r="DZ586">
        <v>0</v>
      </c>
      <c r="EA586">
        <v>0.1028</v>
      </c>
      <c r="EB586">
        <v>0.1028</v>
      </c>
      <c r="EC586">
        <v>0.1</v>
      </c>
      <c r="ED586">
        <v>0.186434530286543</v>
      </c>
      <c r="EE586">
        <f>SUM(Table1[[#This Row],[ratio_0]:[ratio_9]])</f>
        <v>280</v>
      </c>
      <c r="EF586" s="1">
        <f>(Table1[[#This Row],[predicted_0]]-Table1[[#This Row],[actual_0]])/Table1[[#This Row],[actual_0]]</f>
        <v>-1</v>
      </c>
      <c r="EG586" s="1">
        <f>(Table1[[#This Row],[predicted_1]]-Table1[[#This Row],[actual_1]])/Table1[[#This Row],[actual_1]]</f>
        <v>-1</v>
      </c>
      <c r="EH586" s="1">
        <f>(Table1[[#This Row],[predicted_2]]-Table1[[#This Row],[actual_2]])/Table1[[#This Row],[actual_2]]</f>
        <v>-1</v>
      </c>
      <c r="EI586" s="1">
        <f>(Table1[[#This Row],[predicted_3]]-Table1[[#This Row],[actual_3]])/Table1[[#This Row],[actual_3]]</f>
        <v>-1</v>
      </c>
      <c r="EJ586" s="1">
        <f>(Table1[[#This Row],[predicted_4]]-Table1[[#This Row],[actual_4]])/Table1[[#This Row],[actual_4]]</f>
        <v>-1</v>
      </c>
      <c r="EK586" s="1">
        <f>(Table1[[#This Row],[predicted_5]]-Table1[[#This Row],[actual_5]])/Table1[[#This Row],[actual_5]]</f>
        <v>-1</v>
      </c>
      <c r="EL586" s="1">
        <f>(Table1[[#This Row],[predicted_6]]-Table1[[#This Row],[actual_6]])/Table1[[#This Row],[actual_6]]</f>
        <v>-1</v>
      </c>
      <c r="EM586" s="1">
        <f>(Table1[[#This Row],[predicted_7]]-Table1[[#This Row],[actual_7]])/Table1[[#This Row],[actual_7]]</f>
        <v>8.7276264591439681</v>
      </c>
      <c r="EN586" s="1">
        <f>(Table1[[#This Row],[predicted_8]]-Table1[[#This Row],[actual_8]])/Table1[[#This Row],[actual_8]]</f>
        <v>-1</v>
      </c>
      <c r="EO586" s="1">
        <f>(Table1[[#This Row],[predicted_9]]-Table1[[#This Row],[actual_9]])/Table1[[#This Row],[actual_9]]</f>
        <v>-1</v>
      </c>
      <c r="EP586" s="1">
        <f>1+(Table1[[#This Row],[error_ratio_0]]-EF$2)</f>
        <v>-2.0408163265306367E-3</v>
      </c>
      <c r="EQ586" s="1">
        <f>1+(Table1[[#This Row],[error_ratio_1]]-EG$2)</f>
        <v>-1.7621145374449032E-3</v>
      </c>
      <c r="ER586" s="1">
        <f>1+(Table1[[#This Row],[error_ratio_2]]-EH$2)</f>
        <v>4.8449612403100861E-3</v>
      </c>
      <c r="ES586" s="1">
        <f>1+(Table1[[#This Row],[error_ratio_3]]-EI$2)</f>
        <v>-9.9009900990099098E-3</v>
      </c>
      <c r="ET586" s="1">
        <f>1+(Table1[[#This Row],[error_ratio_4]]-EJ$2)</f>
        <v>-1.0183299389001643E-3</v>
      </c>
      <c r="EU586" s="1">
        <f>1+(Table1[[#This Row],[error_ratio_5]]-EK$2)</f>
        <v>-1.1210762331839152E-3</v>
      </c>
      <c r="EV586" s="1">
        <f>1+(Table1[[#This Row],[error_ratio_6]]-EL$2)</f>
        <v>6.2630480167014113E-3</v>
      </c>
      <c r="EW586" s="1">
        <f>1+(Table1[[#This Row],[error_ratio_7]]-EM$2)</f>
        <v>9.7256809338521393</v>
      </c>
      <c r="EX586" s="1">
        <f>1+(Table1[[#This Row],[error_ratio_8]]-EN$2)</f>
        <v>3.0800821355235763E-3</v>
      </c>
      <c r="EY586" s="1">
        <f>1+(Table1[[#This Row],[error_ratio_9]]-EO$2)</f>
        <v>3.964321110009883E-3</v>
      </c>
    </row>
    <row r="587" spans="1:155" x14ac:dyDescent="0.75">
      <c r="A587">
        <v>10</v>
      </c>
      <c r="B587">
        <v>100</v>
      </c>
      <c r="C587">
        <v>100</v>
      </c>
      <c r="D587">
        <v>100</v>
      </c>
      <c r="E587">
        <v>100</v>
      </c>
      <c r="F587">
        <v>100</v>
      </c>
      <c r="G587">
        <v>100</v>
      </c>
      <c r="H587">
        <v>10</v>
      </c>
      <c r="I587">
        <v>100</v>
      </c>
      <c r="J587">
        <v>10</v>
      </c>
      <c r="K587">
        <v>964</v>
      </c>
      <c r="L587">
        <v>1151</v>
      </c>
      <c r="M587">
        <v>1042</v>
      </c>
      <c r="N587">
        <v>1040</v>
      </c>
      <c r="O587">
        <v>998</v>
      </c>
      <c r="P587">
        <v>930</v>
      </c>
      <c r="Q587">
        <v>969</v>
      </c>
      <c r="R587">
        <v>959</v>
      </c>
      <c r="S587">
        <v>978</v>
      </c>
      <c r="T587">
        <v>969</v>
      </c>
      <c r="U587">
        <v>980</v>
      </c>
      <c r="V587">
        <v>1135</v>
      </c>
      <c r="W587">
        <v>1032</v>
      </c>
      <c r="X587">
        <v>1010</v>
      </c>
      <c r="Y587">
        <v>982</v>
      </c>
      <c r="Z587">
        <v>892</v>
      </c>
      <c r="AA587">
        <v>958</v>
      </c>
      <c r="AB587">
        <v>1028</v>
      </c>
      <c r="AC587">
        <v>974</v>
      </c>
      <c r="AD587">
        <v>1009</v>
      </c>
      <c r="AE587">
        <v>955</v>
      </c>
      <c r="AF587">
        <v>1</v>
      </c>
      <c r="AG587">
        <v>1</v>
      </c>
      <c r="AH587">
        <v>1</v>
      </c>
      <c r="AI587">
        <v>0</v>
      </c>
      <c r="AJ587">
        <v>11</v>
      </c>
      <c r="AK587">
        <v>9</v>
      </c>
      <c r="AL587">
        <v>1</v>
      </c>
      <c r="AM587">
        <v>1</v>
      </c>
      <c r="AN587">
        <v>0</v>
      </c>
      <c r="AO587">
        <v>0</v>
      </c>
      <c r="AP587">
        <v>1128</v>
      </c>
      <c r="AQ587">
        <v>1</v>
      </c>
      <c r="AR587">
        <v>1</v>
      </c>
      <c r="AS587">
        <v>0</v>
      </c>
      <c r="AT587">
        <v>1</v>
      </c>
      <c r="AU587">
        <v>4</v>
      </c>
      <c r="AV587">
        <v>0</v>
      </c>
      <c r="AW587">
        <v>0</v>
      </c>
      <c r="AX587">
        <v>0</v>
      </c>
      <c r="AY587">
        <v>1</v>
      </c>
      <c r="AZ587">
        <v>3</v>
      </c>
      <c r="BA587">
        <v>1017</v>
      </c>
      <c r="BB587">
        <v>2</v>
      </c>
      <c r="BC587">
        <v>1</v>
      </c>
      <c r="BD587">
        <v>0</v>
      </c>
      <c r="BE587">
        <v>3</v>
      </c>
      <c r="BF587">
        <v>2</v>
      </c>
      <c r="BG587">
        <v>3</v>
      </c>
      <c r="BH587">
        <v>0</v>
      </c>
      <c r="BI587">
        <v>0</v>
      </c>
      <c r="BJ587">
        <v>0</v>
      </c>
      <c r="BK587">
        <v>1</v>
      </c>
      <c r="BL587">
        <v>1000</v>
      </c>
      <c r="BM587">
        <v>0</v>
      </c>
      <c r="BN587">
        <v>5</v>
      </c>
      <c r="BO587">
        <v>0</v>
      </c>
      <c r="BP587">
        <v>1</v>
      </c>
      <c r="BQ587">
        <v>2</v>
      </c>
      <c r="BR587">
        <v>1</v>
      </c>
      <c r="BS587">
        <v>0</v>
      </c>
      <c r="BT587">
        <v>0</v>
      </c>
      <c r="BU587">
        <v>2</v>
      </c>
      <c r="BV587">
        <v>0</v>
      </c>
      <c r="BW587">
        <v>977</v>
      </c>
      <c r="BX587">
        <v>0</v>
      </c>
      <c r="BY587">
        <v>1</v>
      </c>
      <c r="BZ587">
        <v>0</v>
      </c>
      <c r="CA587">
        <v>0</v>
      </c>
      <c r="CB587">
        <v>2</v>
      </c>
      <c r="CC587">
        <v>0</v>
      </c>
      <c r="CD587">
        <v>0</v>
      </c>
      <c r="CE587">
        <v>0</v>
      </c>
      <c r="CF587">
        <v>4</v>
      </c>
      <c r="CG587">
        <v>0</v>
      </c>
      <c r="CH587">
        <v>886</v>
      </c>
      <c r="CI587">
        <v>1</v>
      </c>
      <c r="CJ587">
        <v>0</v>
      </c>
      <c r="CK587">
        <v>1</v>
      </c>
      <c r="CL587">
        <v>0</v>
      </c>
      <c r="CM587">
        <v>0</v>
      </c>
      <c r="CN587">
        <v>2</v>
      </c>
      <c r="CO587">
        <v>0</v>
      </c>
      <c r="CP587">
        <v>0</v>
      </c>
      <c r="CQ587">
        <v>2</v>
      </c>
      <c r="CR587">
        <v>3</v>
      </c>
      <c r="CS587">
        <v>951</v>
      </c>
      <c r="CT587">
        <v>0</v>
      </c>
      <c r="CU587">
        <v>0</v>
      </c>
      <c r="CV587">
        <v>0</v>
      </c>
      <c r="CW587">
        <v>2</v>
      </c>
      <c r="CX587">
        <v>11</v>
      </c>
      <c r="CY587">
        <v>18</v>
      </c>
      <c r="CZ587">
        <v>17</v>
      </c>
      <c r="DA587">
        <v>5</v>
      </c>
      <c r="DB587">
        <v>7</v>
      </c>
      <c r="DC587">
        <v>0</v>
      </c>
      <c r="DD587">
        <v>951</v>
      </c>
      <c r="DE587">
        <v>1</v>
      </c>
      <c r="DF587">
        <v>16</v>
      </c>
      <c r="DG587">
        <v>2</v>
      </c>
      <c r="DH587">
        <v>0</v>
      </c>
      <c r="DI587">
        <v>1</v>
      </c>
      <c r="DJ587">
        <v>0</v>
      </c>
      <c r="DK587">
        <v>1</v>
      </c>
      <c r="DL587">
        <v>4</v>
      </c>
      <c r="DM587">
        <v>0</v>
      </c>
      <c r="DN587">
        <v>1</v>
      </c>
      <c r="DO587">
        <v>964</v>
      </c>
      <c r="DP587">
        <v>1</v>
      </c>
      <c r="DQ587">
        <v>4</v>
      </c>
      <c r="DR587">
        <v>6</v>
      </c>
      <c r="DS587">
        <v>1</v>
      </c>
      <c r="DT587">
        <v>15</v>
      </c>
      <c r="DU587">
        <v>12</v>
      </c>
      <c r="DV587">
        <v>13</v>
      </c>
      <c r="DW587">
        <v>0</v>
      </c>
      <c r="DX587">
        <v>3</v>
      </c>
      <c r="DY587">
        <v>6</v>
      </c>
      <c r="DZ587">
        <v>949</v>
      </c>
      <c r="EA587">
        <v>0.9778</v>
      </c>
      <c r="EB587">
        <v>0.97780008659254403</v>
      </c>
      <c r="EC587">
        <v>0.97801270439336396</v>
      </c>
      <c r="ED587">
        <v>0.97766450301824004</v>
      </c>
      <c r="EE587">
        <f>SUM(Table1[[#This Row],[ratio_0]:[ratio_9]])</f>
        <v>730</v>
      </c>
      <c r="EF587" s="1">
        <f>(Table1[[#This Row],[predicted_0]]-Table1[[#This Row],[actual_0]])/Table1[[#This Row],[actual_0]]</f>
        <v>-1.6326530612244899E-2</v>
      </c>
      <c r="EG587" s="1">
        <f>(Table1[[#This Row],[predicted_1]]-Table1[[#This Row],[actual_1]])/Table1[[#This Row],[actual_1]]</f>
        <v>1.4096916299559472E-2</v>
      </c>
      <c r="EH587" s="1">
        <f>(Table1[[#This Row],[predicted_2]]-Table1[[#This Row],[actual_2]])/Table1[[#This Row],[actual_2]]</f>
        <v>9.6899224806201549E-3</v>
      </c>
      <c r="EI587" s="1">
        <f>(Table1[[#This Row],[predicted_3]]-Table1[[#This Row],[actual_3]])/Table1[[#This Row],[actual_3]]</f>
        <v>2.9702970297029702E-2</v>
      </c>
      <c r="EJ587" s="1">
        <f>(Table1[[#This Row],[predicted_4]]-Table1[[#This Row],[actual_4]])/Table1[[#This Row],[actual_4]]</f>
        <v>1.6293279022403257E-2</v>
      </c>
      <c r="EK587" s="1">
        <f>(Table1[[#This Row],[predicted_5]]-Table1[[#This Row],[actual_5]])/Table1[[#This Row],[actual_5]]</f>
        <v>4.2600896860986545E-2</v>
      </c>
      <c r="EL587" s="1">
        <f>(Table1[[#This Row],[predicted_6]]-Table1[[#This Row],[actual_6]])/Table1[[#This Row],[actual_6]]</f>
        <v>1.1482254697286013E-2</v>
      </c>
      <c r="EM587" s="1">
        <f>(Table1[[#This Row],[predicted_7]]-Table1[[#This Row],[actual_7]])/Table1[[#This Row],[actual_7]]</f>
        <v>-6.7120622568093383E-2</v>
      </c>
      <c r="EN587" s="1">
        <f>(Table1[[#This Row],[predicted_8]]-Table1[[#This Row],[actual_8]])/Table1[[#This Row],[actual_8]]</f>
        <v>4.1067761806981521E-3</v>
      </c>
      <c r="EO587" s="1">
        <f>(Table1[[#This Row],[predicted_9]]-Table1[[#This Row],[actual_9]])/Table1[[#This Row],[actual_9]]</f>
        <v>-3.9643211100099107E-2</v>
      </c>
      <c r="EP587" s="1">
        <f>1+(Table1[[#This Row],[error_ratio_0]]-EF$2)</f>
        <v>0.98163265306122449</v>
      </c>
      <c r="EQ587" s="1">
        <f>1+(Table1[[#This Row],[error_ratio_1]]-EG$2)</f>
        <v>1.0123348017621145</v>
      </c>
      <c r="ER587" s="1">
        <f>1+(Table1[[#This Row],[error_ratio_2]]-EH$2)</f>
        <v>1.0145348837209303</v>
      </c>
      <c r="ES587" s="1">
        <f>1+(Table1[[#This Row],[error_ratio_3]]-EI$2)</f>
        <v>1.0198019801980198</v>
      </c>
      <c r="ET587" s="1">
        <f>1+(Table1[[#This Row],[error_ratio_4]]-EJ$2)</f>
        <v>1.0152749490835031</v>
      </c>
      <c r="EU587" s="1">
        <f>1+(Table1[[#This Row],[error_ratio_5]]-EK$2)</f>
        <v>1.0414798206278026</v>
      </c>
      <c r="EV587" s="1">
        <f>1+(Table1[[#This Row],[error_ratio_6]]-EL$2)</f>
        <v>1.0177453027139876</v>
      </c>
      <c r="EW587" s="1">
        <f>1+(Table1[[#This Row],[error_ratio_7]]-EM$2)</f>
        <v>0.93093385214007784</v>
      </c>
      <c r="EX587" s="1">
        <f>1+(Table1[[#This Row],[error_ratio_8]]-EN$2)</f>
        <v>1.0071868583162218</v>
      </c>
      <c r="EY587" s="1">
        <f>1+(Table1[[#This Row],[error_ratio_9]]-EO$2)</f>
        <v>0.96432111000991083</v>
      </c>
    </row>
    <row r="588" spans="1:155" x14ac:dyDescent="0.75">
      <c r="A588">
        <v>100</v>
      </c>
      <c r="B588">
        <v>10</v>
      </c>
      <c r="C588">
        <v>100</v>
      </c>
      <c r="D588">
        <v>100</v>
      </c>
      <c r="E588">
        <v>100</v>
      </c>
      <c r="F588">
        <v>100</v>
      </c>
      <c r="G588">
        <v>100</v>
      </c>
      <c r="H588">
        <v>10</v>
      </c>
      <c r="I588">
        <v>100</v>
      </c>
      <c r="J588">
        <v>10</v>
      </c>
      <c r="K588">
        <v>989</v>
      </c>
      <c r="L588">
        <v>1125</v>
      </c>
      <c r="M588">
        <v>1056</v>
      </c>
      <c r="N588">
        <v>992</v>
      </c>
      <c r="O588">
        <v>1045</v>
      </c>
      <c r="P588">
        <v>949</v>
      </c>
      <c r="Q588">
        <v>952</v>
      </c>
      <c r="R588">
        <v>995</v>
      </c>
      <c r="S588">
        <v>1012</v>
      </c>
      <c r="T588">
        <v>885</v>
      </c>
      <c r="U588">
        <v>980</v>
      </c>
      <c r="V588">
        <v>1135</v>
      </c>
      <c r="W588">
        <v>1032</v>
      </c>
      <c r="X588">
        <v>1010</v>
      </c>
      <c r="Y588">
        <v>982</v>
      </c>
      <c r="Z588">
        <v>892</v>
      </c>
      <c r="AA588">
        <v>958</v>
      </c>
      <c r="AB588">
        <v>1028</v>
      </c>
      <c r="AC588">
        <v>974</v>
      </c>
      <c r="AD588">
        <v>1009</v>
      </c>
      <c r="AE588">
        <v>976</v>
      </c>
      <c r="AF588">
        <v>0</v>
      </c>
      <c r="AG588">
        <v>0</v>
      </c>
      <c r="AH588">
        <v>0</v>
      </c>
      <c r="AI588">
        <v>0</v>
      </c>
      <c r="AJ588">
        <v>0</v>
      </c>
      <c r="AK588">
        <v>1</v>
      </c>
      <c r="AL588">
        <v>1</v>
      </c>
      <c r="AM588">
        <v>2</v>
      </c>
      <c r="AN588">
        <v>0</v>
      </c>
      <c r="AO588">
        <v>0</v>
      </c>
      <c r="AP588">
        <v>1113</v>
      </c>
      <c r="AQ588">
        <v>4</v>
      </c>
      <c r="AR588">
        <v>3</v>
      </c>
      <c r="AS588">
        <v>0</v>
      </c>
      <c r="AT588">
        <v>3</v>
      </c>
      <c r="AU588">
        <v>3</v>
      </c>
      <c r="AV588">
        <v>0</v>
      </c>
      <c r="AW588">
        <v>9</v>
      </c>
      <c r="AX588">
        <v>0</v>
      </c>
      <c r="AY588">
        <v>2</v>
      </c>
      <c r="AZ588">
        <v>2</v>
      </c>
      <c r="BA588">
        <v>1010</v>
      </c>
      <c r="BB588">
        <v>1</v>
      </c>
      <c r="BC588">
        <v>1</v>
      </c>
      <c r="BD588">
        <v>0</v>
      </c>
      <c r="BE588">
        <v>0</v>
      </c>
      <c r="BF588">
        <v>5</v>
      </c>
      <c r="BG588">
        <v>11</v>
      </c>
      <c r="BH588">
        <v>0</v>
      </c>
      <c r="BI588">
        <v>0</v>
      </c>
      <c r="BJ588">
        <v>0</v>
      </c>
      <c r="BK588">
        <v>6</v>
      </c>
      <c r="BL588">
        <v>977</v>
      </c>
      <c r="BM588">
        <v>0</v>
      </c>
      <c r="BN588">
        <v>21</v>
      </c>
      <c r="BO588">
        <v>0</v>
      </c>
      <c r="BP588">
        <v>5</v>
      </c>
      <c r="BQ588">
        <v>1</v>
      </c>
      <c r="BR588">
        <v>0</v>
      </c>
      <c r="BS588">
        <v>0</v>
      </c>
      <c r="BT588">
        <v>0</v>
      </c>
      <c r="BU588">
        <v>4</v>
      </c>
      <c r="BV588">
        <v>0</v>
      </c>
      <c r="BW588">
        <v>974</v>
      </c>
      <c r="BX588">
        <v>0</v>
      </c>
      <c r="BY588">
        <v>3</v>
      </c>
      <c r="BZ588">
        <v>0</v>
      </c>
      <c r="CA588">
        <v>1</v>
      </c>
      <c r="CB588">
        <v>0</v>
      </c>
      <c r="CC588">
        <v>0</v>
      </c>
      <c r="CD588">
        <v>0</v>
      </c>
      <c r="CE588">
        <v>1</v>
      </c>
      <c r="CF588">
        <v>2</v>
      </c>
      <c r="CG588">
        <v>0</v>
      </c>
      <c r="CH588">
        <v>888</v>
      </c>
      <c r="CI588">
        <v>1</v>
      </c>
      <c r="CJ588">
        <v>0</v>
      </c>
      <c r="CK588">
        <v>0</v>
      </c>
      <c r="CL588">
        <v>0</v>
      </c>
      <c r="CM588">
        <v>4</v>
      </c>
      <c r="CN588">
        <v>1</v>
      </c>
      <c r="CO588">
        <v>2</v>
      </c>
      <c r="CP588">
        <v>0</v>
      </c>
      <c r="CQ588">
        <v>2</v>
      </c>
      <c r="CR588">
        <v>6</v>
      </c>
      <c r="CS588">
        <v>943</v>
      </c>
      <c r="CT588">
        <v>0</v>
      </c>
      <c r="CU588">
        <v>0</v>
      </c>
      <c r="CV588">
        <v>0</v>
      </c>
      <c r="CW588">
        <v>2</v>
      </c>
      <c r="CX588">
        <v>5</v>
      </c>
      <c r="CY588">
        <v>23</v>
      </c>
      <c r="CZ588">
        <v>0</v>
      </c>
      <c r="DA588">
        <v>4</v>
      </c>
      <c r="DB588">
        <v>3</v>
      </c>
      <c r="DC588">
        <v>0</v>
      </c>
      <c r="DD588">
        <v>979</v>
      </c>
      <c r="DE588">
        <v>10</v>
      </c>
      <c r="DF588">
        <v>2</v>
      </c>
      <c r="DG588">
        <v>1</v>
      </c>
      <c r="DH588">
        <v>0</v>
      </c>
      <c r="DI588">
        <v>6</v>
      </c>
      <c r="DJ588">
        <v>2</v>
      </c>
      <c r="DK588">
        <v>1</v>
      </c>
      <c r="DL588">
        <v>7</v>
      </c>
      <c r="DM588">
        <v>1</v>
      </c>
      <c r="DN588">
        <v>0</v>
      </c>
      <c r="DO588">
        <v>955</v>
      </c>
      <c r="DP588">
        <v>1</v>
      </c>
      <c r="DQ588">
        <v>4</v>
      </c>
      <c r="DR588">
        <v>4</v>
      </c>
      <c r="DS588">
        <v>0</v>
      </c>
      <c r="DT588">
        <v>7</v>
      </c>
      <c r="DU588">
        <v>63</v>
      </c>
      <c r="DV588">
        <v>21</v>
      </c>
      <c r="DW588">
        <v>0</v>
      </c>
      <c r="DX588">
        <v>5</v>
      </c>
      <c r="DY588">
        <v>23</v>
      </c>
      <c r="DZ588">
        <v>882</v>
      </c>
      <c r="EA588">
        <v>0.96970000000000001</v>
      </c>
      <c r="EB588">
        <v>0.97000382730343504</v>
      </c>
      <c r="EC588">
        <v>0.97012156944143102</v>
      </c>
      <c r="ED588">
        <v>0.96938964797412996</v>
      </c>
      <c r="EE588">
        <f>SUM(Table1[[#This Row],[ratio_0]:[ratio_9]])</f>
        <v>730</v>
      </c>
      <c r="EF588" s="1">
        <f>(Table1[[#This Row],[predicted_0]]-Table1[[#This Row],[actual_0]])/Table1[[#This Row],[actual_0]]</f>
        <v>9.1836734693877559E-3</v>
      </c>
      <c r="EG588" s="1">
        <f>(Table1[[#This Row],[predicted_1]]-Table1[[#This Row],[actual_1]])/Table1[[#This Row],[actual_1]]</f>
        <v>-8.8105726872246704E-3</v>
      </c>
      <c r="EH588" s="1">
        <f>(Table1[[#This Row],[predicted_2]]-Table1[[#This Row],[actual_2]])/Table1[[#This Row],[actual_2]]</f>
        <v>2.3255813953488372E-2</v>
      </c>
      <c r="EI588" s="1">
        <f>(Table1[[#This Row],[predicted_3]]-Table1[[#This Row],[actual_3]])/Table1[[#This Row],[actual_3]]</f>
        <v>-1.782178217821782E-2</v>
      </c>
      <c r="EJ588" s="1">
        <f>(Table1[[#This Row],[predicted_4]]-Table1[[#This Row],[actual_4]])/Table1[[#This Row],[actual_4]]</f>
        <v>6.4154786150712836E-2</v>
      </c>
      <c r="EK588" s="1">
        <f>(Table1[[#This Row],[predicted_5]]-Table1[[#This Row],[actual_5]])/Table1[[#This Row],[actual_5]]</f>
        <v>6.3901345291479825E-2</v>
      </c>
      <c r="EL588" s="1">
        <f>(Table1[[#This Row],[predicted_6]]-Table1[[#This Row],[actual_6]])/Table1[[#This Row],[actual_6]]</f>
        <v>-6.2630480167014616E-3</v>
      </c>
      <c r="EM588" s="1">
        <f>(Table1[[#This Row],[predicted_7]]-Table1[[#This Row],[actual_7]])/Table1[[#This Row],[actual_7]]</f>
        <v>-3.2101167315175094E-2</v>
      </c>
      <c r="EN588" s="1">
        <f>(Table1[[#This Row],[predicted_8]]-Table1[[#This Row],[actual_8]])/Table1[[#This Row],[actual_8]]</f>
        <v>3.9014373716632446E-2</v>
      </c>
      <c r="EO588" s="1">
        <f>(Table1[[#This Row],[predicted_9]]-Table1[[#This Row],[actual_9]])/Table1[[#This Row],[actual_9]]</f>
        <v>-0.12289395441030723</v>
      </c>
      <c r="EP588" s="1">
        <f>1+(Table1[[#This Row],[error_ratio_0]]-EF$2)</f>
        <v>1.0071428571428571</v>
      </c>
      <c r="EQ588" s="1">
        <f>1+(Table1[[#This Row],[error_ratio_1]]-EG$2)</f>
        <v>0.98942731277533036</v>
      </c>
      <c r="ER588" s="1">
        <f>1+(Table1[[#This Row],[error_ratio_2]]-EH$2)</f>
        <v>1.0281007751937985</v>
      </c>
      <c r="ES588" s="1">
        <f>1+(Table1[[#This Row],[error_ratio_3]]-EI$2)</f>
        <v>0.97227722772277225</v>
      </c>
      <c r="ET588" s="1">
        <f>1+(Table1[[#This Row],[error_ratio_4]]-EJ$2)</f>
        <v>1.0631364562118126</v>
      </c>
      <c r="EU588" s="1">
        <f>1+(Table1[[#This Row],[error_ratio_5]]-EK$2)</f>
        <v>1.0627802690582959</v>
      </c>
      <c r="EV588" s="1">
        <f>1+(Table1[[#This Row],[error_ratio_6]]-EL$2)</f>
        <v>1</v>
      </c>
      <c r="EW588" s="1">
        <f>1+(Table1[[#This Row],[error_ratio_7]]-EM$2)</f>
        <v>0.96595330739299612</v>
      </c>
      <c r="EX588" s="1">
        <f>1+(Table1[[#This Row],[error_ratio_8]]-EN$2)</f>
        <v>1.0420944558521561</v>
      </c>
      <c r="EY588" s="1">
        <f>1+(Table1[[#This Row],[error_ratio_9]]-EO$2)</f>
        <v>0.88107036669970262</v>
      </c>
    </row>
    <row r="589" spans="1:155" x14ac:dyDescent="0.75">
      <c r="A589">
        <v>10</v>
      </c>
      <c r="B589">
        <v>10</v>
      </c>
      <c r="C589">
        <v>100</v>
      </c>
      <c r="D589">
        <v>100</v>
      </c>
      <c r="E589">
        <v>100</v>
      </c>
      <c r="F589">
        <v>100</v>
      </c>
      <c r="G589">
        <v>100</v>
      </c>
      <c r="H589">
        <v>10</v>
      </c>
      <c r="I589">
        <v>100</v>
      </c>
      <c r="J589">
        <v>10</v>
      </c>
      <c r="K589">
        <v>977</v>
      </c>
      <c r="L589">
        <v>1124</v>
      </c>
      <c r="M589">
        <v>1091</v>
      </c>
      <c r="N589">
        <v>1012</v>
      </c>
      <c r="O589">
        <v>1009</v>
      </c>
      <c r="P589">
        <v>907</v>
      </c>
      <c r="Q589">
        <v>953</v>
      </c>
      <c r="R589">
        <v>954</v>
      </c>
      <c r="S589">
        <v>1015</v>
      </c>
      <c r="T589">
        <v>958</v>
      </c>
      <c r="U589">
        <v>980</v>
      </c>
      <c r="V589">
        <v>1135</v>
      </c>
      <c r="W589">
        <v>1032</v>
      </c>
      <c r="X589">
        <v>1010</v>
      </c>
      <c r="Y589">
        <v>982</v>
      </c>
      <c r="Z589">
        <v>892</v>
      </c>
      <c r="AA589">
        <v>958</v>
      </c>
      <c r="AB589">
        <v>1028</v>
      </c>
      <c r="AC589">
        <v>974</v>
      </c>
      <c r="AD589">
        <v>1009</v>
      </c>
      <c r="AE589">
        <v>962</v>
      </c>
      <c r="AF589">
        <v>0</v>
      </c>
      <c r="AG589">
        <v>2</v>
      </c>
      <c r="AH589">
        <v>0</v>
      </c>
      <c r="AI589">
        <v>2</v>
      </c>
      <c r="AJ589">
        <v>1</v>
      </c>
      <c r="AK589">
        <v>6</v>
      </c>
      <c r="AL589">
        <v>1</v>
      </c>
      <c r="AM589">
        <v>6</v>
      </c>
      <c r="AN589">
        <v>0</v>
      </c>
      <c r="AO589">
        <v>0</v>
      </c>
      <c r="AP589">
        <v>1121</v>
      </c>
      <c r="AQ589">
        <v>7</v>
      </c>
      <c r="AR589">
        <v>0</v>
      </c>
      <c r="AS589">
        <v>1</v>
      </c>
      <c r="AT589">
        <v>1</v>
      </c>
      <c r="AU589">
        <v>1</v>
      </c>
      <c r="AV589">
        <v>0</v>
      </c>
      <c r="AW589">
        <v>4</v>
      </c>
      <c r="AX589">
        <v>0</v>
      </c>
      <c r="AY589">
        <v>0</v>
      </c>
      <c r="AZ589">
        <v>0</v>
      </c>
      <c r="BA589">
        <v>1024</v>
      </c>
      <c r="BB589">
        <v>1</v>
      </c>
      <c r="BC589">
        <v>4</v>
      </c>
      <c r="BD589">
        <v>0</v>
      </c>
      <c r="BE589">
        <v>0</v>
      </c>
      <c r="BF589">
        <v>1</v>
      </c>
      <c r="BG589">
        <v>2</v>
      </c>
      <c r="BH589">
        <v>0</v>
      </c>
      <c r="BI589">
        <v>1</v>
      </c>
      <c r="BJ589">
        <v>0</v>
      </c>
      <c r="BK589">
        <v>7</v>
      </c>
      <c r="BL589">
        <v>993</v>
      </c>
      <c r="BM589">
        <v>0</v>
      </c>
      <c r="BN589">
        <v>3</v>
      </c>
      <c r="BO589">
        <v>0</v>
      </c>
      <c r="BP589">
        <v>5</v>
      </c>
      <c r="BQ589">
        <v>1</v>
      </c>
      <c r="BR589">
        <v>0</v>
      </c>
      <c r="BS589">
        <v>0</v>
      </c>
      <c r="BT589">
        <v>0</v>
      </c>
      <c r="BU589">
        <v>0</v>
      </c>
      <c r="BV589">
        <v>0</v>
      </c>
      <c r="BW589">
        <v>980</v>
      </c>
      <c r="BX589">
        <v>0</v>
      </c>
      <c r="BY589">
        <v>0</v>
      </c>
      <c r="BZ589">
        <v>0</v>
      </c>
      <c r="CA589">
        <v>0</v>
      </c>
      <c r="CB589">
        <v>2</v>
      </c>
      <c r="CC589">
        <v>1</v>
      </c>
      <c r="CD589">
        <v>0</v>
      </c>
      <c r="CE589">
        <v>0</v>
      </c>
      <c r="CF589">
        <v>3</v>
      </c>
      <c r="CG589">
        <v>0</v>
      </c>
      <c r="CH589">
        <v>887</v>
      </c>
      <c r="CI589">
        <v>1</v>
      </c>
      <c r="CJ589">
        <v>0</v>
      </c>
      <c r="CK589">
        <v>0</v>
      </c>
      <c r="CL589">
        <v>0</v>
      </c>
      <c r="CM589">
        <v>4</v>
      </c>
      <c r="CN589">
        <v>1</v>
      </c>
      <c r="CO589">
        <v>0</v>
      </c>
      <c r="CP589">
        <v>0</v>
      </c>
      <c r="CQ589">
        <v>1</v>
      </c>
      <c r="CR589">
        <v>5</v>
      </c>
      <c r="CS589">
        <v>945</v>
      </c>
      <c r="CT589">
        <v>0</v>
      </c>
      <c r="CU589">
        <v>2</v>
      </c>
      <c r="CV589">
        <v>0</v>
      </c>
      <c r="CW589">
        <v>3</v>
      </c>
      <c r="CX589">
        <v>2</v>
      </c>
      <c r="CY589">
        <v>47</v>
      </c>
      <c r="CZ589">
        <v>7</v>
      </c>
      <c r="DA589">
        <v>9</v>
      </c>
      <c r="DB589">
        <v>0</v>
      </c>
      <c r="DC589">
        <v>0</v>
      </c>
      <c r="DD589">
        <v>940</v>
      </c>
      <c r="DE589">
        <v>12</v>
      </c>
      <c r="DF589">
        <v>8</v>
      </c>
      <c r="DG589">
        <v>1</v>
      </c>
      <c r="DH589">
        <v>0</v>
      </c>
      <c r="DI589">
        <v>4</v>
      </c>
      <c r="DJ589">
        <v>0</v>
      </c>
      <c r="DK589">
        <v>0</v>
      </c>
      <c r="DL589">
        <v>2</v>
      </c>
      <c r="DM589">
        <v>0</v>
      </c>
      <c r="DN589">
        <v>2</v>
      </c>
      <c r="DO589">
        <v>962</v>
      </c>
      <c r="DP589">
        <v>3</v>
      </c>
      <c r="DQ589">
        <v>5</v>
      </c>
      <c r="DR589">
        <v>0</v>
      </c>
      <c r="DS589">
        <v>0</v>
      </c>
      <c r="DT589">
        <v>8</v>
      </c>
      <c r="DU589">
        <v>12</v>
      </c>
      <c r="DV589">
        <v>8</v>
      </c>
      <c r="DW589">
        <v>0</v>
      </c>
      <c r="DX589">
        <v>5</v>
      </c>
      <c r="DY589">
        <v>26</v>
      </c>
      <c r="DZ589">
        <v>945</v>
      </c>
      <c r="EA589">
        <v>0.97589999999999999</v>
      </c>
      <c r="EB589">
        <v>0.97621432596663105</v>
      </c>
      <c r="EC589">
        <v>0.97621496725903301</v>
      </c>
      <c r="ED589">
        <v>0.97587359802496199</v>
      </c>
      <c r="EE589">
        <f>SUM(Table1[[#This Row],[ratio_0]:[ratio_9]])</f>
        <v>640</v>
      </c>
      <c r="EF589" s="1">
        <f>(Table1[[#This Row],[predicted_0]]-Table1[[#This Row],[actual_0]])/Table1[[#This Row],[actual_0]]</f>
        <v>-3.0612244897959182E-3</v>
      </c>
      <c r="EG589" s="1">
        <f>(Table1[[#This Row],[predicted_1]]-Table1[[#This Row],[actual_1]])/Table1[[#This Row],[actual_1]]</f>
        <v>-9.6916299559471359E-3</v>
      </c>
      <c r="EH589" s="1">
        <f>(Table1[[#This Row],[predicted_2]]-Table1[[#This Row],[actual_2]])/Table1[[#This Row],[actual_2]]</f>
        <v>5.7170542635658912E-2</v>
      </c>
      <c r="EI589" s="1">
        <f>(Table1[[#This Row],[predicted_3]]-Table1[[#This Row],[actual_3]])/Table1[[#This Row],[actual_3]]</f>
        <v>1.9801980198019802E-3</v>
      </c>
      <c r="EJ589" s="1">
        <f>(Table1[[#This Row],[predicted_4]]-Table1[[#This Row],[actual_4]])/Table1[[#This Row],[actual_4]]</f>
        <v>2.7494908350305498E-2</v>
      </c>
      <c r="EK589" s="1">
        <f>(Table1[[#This Row],[predicted_5]]-Table1[[#This Row],[actual_5]])/Table1[[#This Row],[actual_5]]</f>
        <v>1.6816143497757848E-2</v>
      </c>
      <c r="EL589" s="1">
        <f>(Table1[[#This Row],[predicted_6]]-Table1[[#This Row],[actual_6]])/Table1[[#This Row],[actual_6]]</f>
        <v>-5.2192066805845511E-3</v>
      </c>
      <c r="EM589" s="1">
        <f>(Table1[[#This Row],[predicted_7]]-Table1[[#This Row],[actual_7]])/Table1[[#This Row],[actual_7]]</f>
        <v>-7.1984435797665364E-2</v>
      </c>
      <c r="EN589" s="1">
        <f>(Table1[[#This Row],[predicted_8]]-Table1[[#This Row],[actual_8]])/Table1[[#This Row],[actual_8]]</f>
        <v>4.2094455852156057E-2</v>
      </c>
      <c r="EO589" s="1">
        <f>(Table1[[#This Row],[predicted_9]]-Table1[[#This Row],[actual_9]])/Table1[[#This Row],[actual_9]]</f>
        <v>-5.0545094152626362E-2</v>
      </c>
      <c r="EP589" s="1">
        <f>1+(Table1[[#This Row],[error_ratio_0]]-EF$2)</f>
        <v>0.99489795918367352</v>
      </c>
      <c r="EQ589" s="1">
        <f>1+(Table1[[#This Row],[error_ratio_1]]-EG$2)</f>
        <v>0.98854625550660791</v>
      </c>
      <c r="ER589" s="1">
        <f>1+(Table1[[#This Row],[error_ratio_2]]-EH$2)</f>
        <v>1.0620155038759691</v>
      </c>
      <c r="ES589" s="1">
        <f>1+(Table1[[#This Row],[error_ratio_3]]-EI$2)</f>
        <v>0.99207920792079207</v>
      </c>
      <c r="ET589" s="1">
        <f>1+(Table1[[#This Row],[error_ratio_4]]-EJ$2)</f>
        <v>1.0264765784114054</v>
      </c>
      <c r="EU589" s="1">
        <f>1+(Table1[[#This Row],[error_ratio_5]]-EK$2)</f>
        <v>1.0156950672645739</v>
      </c>
      <c r="EV589" s="1">
        <f>1+(Table1[[#This Row],[error_ratio_6]]-EL$2)</f>
        <v>1.0010438413361169</v>
      </c>
      <c r="EW589" s="1">
        <f>1+(Table1[[#This Row],[error_ratio_7]]-EM$2)</f>
        <v>0.92607003891050588</v>
      </c>
      <c r="EX589" s="1">
        <f>1+(Table1[[#This Row],[error_ratio_8]]-EN$2)</f>
        <v>1.0451745379876796</v>
      </c>
      <c r="EY589" s="1">
        <f>1+(Table1[[#This Row],[error_ratio_9]]-EO$2)</f>
        <v>0.95341922695738357</v>
      </c>
    </row>
    <row r="590" spans="1:155" x14ac:dyDescent="0.75">
      <c r="A590">
        <v>10</v>
      </c>
      <c r="B590">
        <v>100</v>
      </c>
      <c r="C590">
        <v>10</v>
      </c>
      <c r="D590">
        <v>100</v>
      </c>
      <c r="E590">
        <v>100</v>
      </c>
      <c r="F590">
        <v>100</v>
      </c>
      <c r="G590">
        <v>100</v>
      </c>
      <c r="H590">
        <v>10</v>
      </c>
      <c r="I590">
        <v>100</v>
      </c>
      <c r="J590">
        <v>10</v>
      </c>
      <c r="K590">
        <v>954</v>
      </c>
      <c r="L590">
        <v>1165</v>
      </c>
      <c r="M590">
        <v>949</v>
      </c>
      <c r="N590">
        <v>1089</v>
      </c>
      <c r="O590">
        <v>995</v>
      </c>
      <c r="P590">
        <v>901</v>
      </c>
      <c r="Q590">
        <v>943</v>
      </c>
      <c r="R590">
        <v>1006</v>
      </c>
      <c r="S590">
        <v>981</v>
      </c>
      <c r="T590">
        <v>1017</v>
      </c>
      <c r="U590">
        <v>980</v>
      </c>
      <c r="V590">
        <v>1135</v>
      </c>
      <c r="W590">
        <v>1032</v>
      </c>
      <c r="X590">
        <v>1010</v>
      </c>
      <c r="Y590">
        <v>982</v>
      </c>
      <c r="Z590">
        <v>892</v>
      </c>
      <c r="AA590">
        <v>958</v>
      </c>
      <c r="AB590">
        <v>1028</v>
      </c>
      <c r="AC590">
        <v>974</v>
      </c>
      <c r="AD590">
        <v>1009</v>
      </c>
      <c r="AE590">
        <v>943</v>
      </c>
      <c r="AF590">
        <v>1</v>
      </c>
      <c r="AG590">
        <v>4</v>
      </c>
      <c r="AH590">
        <v>1</v>
      </c>
      <c r="AI590">
        <v>4</v>
      </c>
      <c r="AJ590">
        <v>9</v>
      </c>
      <c r="AK590">
        <v>5</v>
      </c>
      <c r="AL590">
        <v>1</v>
      </c>
      <c r="AM590">
        <v>6</v>
      </c>
      <c r="AN590">
        <v>6</v>
      </c>
      <c r="AO590">
        <v>0</v>
      </c>
      <c r="AP590">
        <v>1133</v>
      </c>
      <c r="AQ590">
        <v>0</v>
      </c>
      <c r="AR590">
        <v>1</v>
      </c>
      <c r="AS590">
        <v>0</v>
      </c>
      <c r="AT590">
        <v>1</v>
      </c>
      <c r="AU590">
        <v>0</v>
      </c>
      <c r="AV590">
        <v>0</v>
      </c>
      <c r="AW590">
        <v>0</v>
      </c>
      <c r="AX590">
        <v>0</v>
      </c>
      <c r="AY590">
        <v>4</v>
      </c>
      <c r="AZ590">
        <v>16</v>
      </c>
      <c r="BA590">
        <v>937</v>
      </c>
      <c r="BB590">
        <v>28</v>
      </c>
      <c r="BC590">
        <v>5</v>
      </c>
      <c r="BD590">
        <v>1</v>
      </c>
      <c r="BE590">
        <v>0</v>
      </c>
      <c r="BF590">
        <v>30</v>
      </c>
      <c r="BG590">
        <v>9</v>
      </c>
      <c r="BH590">
        <v>2</v>
      </c>
      <c r="BI590">
        <v>0</v>
      </c>
      <c r="BJ590">
        <v>0</v>
      </c>
      <c r="BK590">
        <v>0</v>
      </c>
      <c r="BL590">
        <v>1006</v>
      </c>
      <c r="BM590">
        <v>0</v>
      </c>
      <c r="BN590">
        <v>3</v>
      </c>
      <c r="BO590">
        <v>0</v>
      </c>
      <c r="BP590">
        <v>0</v>
      </c>
      <c r="BQ590">
        <v>0</v>
      </c>
      <c r="BR590">
        <v>1</v>
      </c>
      <c r="BS590">
        <v>0</v>
      </c>
      <c r="BT590">
        <v>1</v>
      </c>
      <c r="BU590">
        <v>1</v>
      </c>
      <c r="BV590">
        <v>0</v>
      </c>
      <c r="BW590">
        <v>973</v>
      </c>
      <c r="BX590">
        <v>0</v>
      </c>
      <c r="BY590">
        <v>1</v>
      </c>
      <c r="BZ590">
        <v>0</v>
      </c>
      <c r="CA590">
        <v>1</v>
      </c>
      <c r="CB590">
        <v>5</v>
      </c>
      <c r="CC590">
        <v>1</v>
      </c>
      <c r="CD590">
        <v>0</v>
      </c>
      <c r="CE590">
        <v>0</v>
      </c>
      <c r="CF590">
        <v>10</v>
      </c>
      <c r="CG590">
        <v>0</v>
      </c>
      <c r="CH590">
        <v>877</v>
      </c>
      <c r="CI590">
        <v>1</v>
      </c>
      <c r="CJ590">
        <v>1</v>
      </c>
      <c r="CK590">
        <v>2</v>
      </c>
      <c r="CL590">
        <v>0</v>
      </c>
      <c r="CM590">
        <v>3</v>
      </c>
      <c r="CN590">
        <v>4</v>
      </c>
      <c r="CO590">
        <v>2</v>
      </c>
      <c r="CP590">
        <v>1</v>
      </c>
      <c r="CQ590">
        <v>5</v>
      </c>
      <c r="CR590">
        <v>4</v>
      </c>
      <c r="CS590">
        <v>936</v>
      </c>
      <c r="CT590">
        <v>0</v>
      </c>
      <c r="CU590">
        <v>3</v>
      </c>
      <c r="CV590">
        <v>0</v>
      </c>
      <c r="CW590">
        <v>1</v>
      </c>
      <c r="CX590">
        <v>6</v>
      </c>
      <c r="CY590">
        <v>4</v>
      </c>
      <c r="CZ590">
        <v>24</v>
      </c>
      <c r="DA590">
        <v>1</v>
      </c>
      <c r="DB590">
        <v>1</v>
      </c>
      <c r="DC590">
        <v>0</v>
      </c>
      <c r="DD590">
        <v>968</v>
      </c>
      <c r="DE590">
        <v>2</v>
      </c>
      <c r="DF590">
        <v>21</v>
      </c>
      <c r="DG590">
        <v>0</v>
      </c>
      <c r="DH590">
        <v>0</v>
      </c>
      <c r="DI590">
        <v>1</v>
      </c>
      <c r="DJ590">
        <v>4</v>
      </c>
      <c r="DK590">
        <v>1</v>
      </c>
      <c r="DL590">
        <v>1</v>
      </c>
      <c r="DM590">
        <v>0</v>
      </c>
      <c r="DN590">
        <v>4</v>
      </c>
      <c r="DO590">
        <v>956</v>
      </c>
      <c r="DP590">
        <v>7</v>
      </c>
      <c r="DQ590">
        <v>2</v>
      </c>
      <c r="DR590">
        <v>4</v>
      </c>
      <c r="DS590">
        <v>0</v>
      </c>
      <c r="DT590">
        <v>14</v>
      </c>
      <c r="DU590">
        <v>6</v>
      </c>
      <c r="DV590">
        <v>4</v>
      </c>
      <c r="DW590">
        <v>0</v>
      </c>
      <c r="DX590">
        <v>2</v>
      </c>
      <c r="DY590">
        <v>2</v>
      </c>
      <c r="DZ590">
        <v>975</v>
      </c>
      <c r="EA590">
        <v>0.97040000000000004</v>
      </c>
      <c r="EB590">
        <v>0.97114139534448896</v>
      </c>
      <c r="EC590">
        <v>0.97049795204707201</v>
      </c>
      <c r="ED590">
        <v>0.97045620737145599</v>
      </c>
      <c r="EE590">
        <f>SUM(Table1[[#This Row],[ratio_0]:[ratio_9]])</f>
        <v>640</v>
      </c>
      <c r="EF590" s="1">
        <f>(Table1[[#This Row],[predicted_0]]-Table1[[#This Row],[actual_0]])/Table1[[#This Row],[actual_0]]</f>
        <v>-2.6530612244897958E-2</v>
      </c>
      <c r="EG590" s="1">
        <f>(Table1[[#This Row],[predicted_1]]-Table1[[#This Row],[actual_1]])/Table1[[#This Row],[actual_1]]</f>
        <v>2.643171806167401E-2</v>
      </c>
      <c r="EH590" s="1">
        <f>(Table1[[#This Row],[predicted_2]]-Table1[[#This Row],[actual_2]])/Table1[[#This Row],[actual_2]]</f>
        <v>-8.0426356589147291E-2</v>
      </c>
      <c r="EI590" s="1">
        <f>(Table1[[#This Row],[predicted_3]]-Table1[[#This Row],[actual_3]])/Table1[[#This Row],[actual_3]]</f>
        <v>7.8217821782178218E-2</v>
      </c>
      <c r="EJ590" s="1">
        <f>(Table1[[#This Row],[predicted_4]]-Table1[[#This Row],[actual_4]])/Table1[[#This Row],[actual_4]]</f>
        <v>1.3238289205702648E-2</v>
      </c>
      <c r="EK590" s="1">
        <f>(Table1[[#This Row],[predicted_5]]-Table1[[#This Row],[actual_5]])/Table1[[#This Row],[actual_5]]</f>
        <v>1.0089686098654708E-2</v>
      </c>
      <c r="EL590" s="1">
        <f>(Table1[[#This Row],[predicted_6]]-Table1[[#This Row],[actual_6]])/Table1[[#This Row],[actual_6]]</f>
        <v>-1.5657620041753653E-2</v>
      </c>
      <c r="EM590" s="1">
        <f>(Table1[[#This Row],[predicted_7]]-Table1[[#This Row],[actual_7]])/Table1[[#This Row],[actual_7]]</f>
        <v>-2.1400778210116732E-2</v>
      </c>
      <c r="EN590" s="1">
        <f>(Table1[[#This Row],[predicted_8]]-Table1[[#This Row],[actual_8]])/Table1[[#This Row],[actual_8]]</f>
        <v>7.1868583162217657E-3</v>
      </c>
      <c r="EO590" s="1">
        <f>(Table1[[#This Row],[predicted_9]]-Table1[[#This Row],[actual_9]])/Table1[[#This Row],[actual_9]]</f>
        <v>7.9286422200198214E-3</v>
      </c>
      <c r="EP590" s="1">
        <f>1+(Table1[[#This Row],[error_ratio_0]]-EF$2)</f>
        <v>0.97142857142857142</v>
      </c>
      <c r="EQ590" s="1">
        <f>1+(Table1[[#This Row],[error_ratio_1]]-EG$2)</f>
        <v>1.0246696035242291</v>
      </c>
      <c r="ER590" s="1">
        <f>1+(Table1[[#This Row],[error_ratio_2]]-EH$2)</f>
        <v>0.92441860465116277</v>
      </c>
      <c r="ES590" s="1">
        <f>1+(Table1[[#This Row],[error_ratio_3]]-EI$2)</f>
        <v>1.0683168316831684</v>
      </c>
      <c r="ET590" s="1">
        <f>1+(Table1[[#This Row],[error_ratio_4]]-EJ$2)</f>
        <v>1.0122199592668024</v>
      </c>
      <c r="EU590" s="1">
        <f>1+(Table1[[#This Row],[error_ratio_5]]-EK$2)</f>
        <v>1.0089686098654709</v>
      </c>
      <c r="EV590" s="1">
        <f>1+(Table1[[#This Row],[error_ratio_6]]-EL$2)</f>
        <v>0.99060542797494777</v>
      </c>
      <c r="EW590" s="1">
        <f>1+(Table1[[#This Row],[error_ratio_7]]-EM$2)</f>
        <v>0.97665369649805445</v>
      </c>
      <c r="EX590" s="1">
        <f>1+(Table1[[#This Row],[error_ratio_8]]-EN$2)</f>
        <v>1.0102669404517455</v>
      </c>
      <c r="EY590" s="1">
        <f>1+(Table1[[#This Row],[error_ratio_9]]-EO$2)</f>
        <v>1.0118929633300298</v>
      </c>
    </row>
    <row r="591" spans="1:155" x14ac:dyDescent="0.75">
      <c r="A591">
        <v>100</v>
      </c>
      <c r="B591">
        <v>10</v>
      </c>
      <c r="C591">
        <v>10</v>
      </c>
      <c r="D591">
        <v>100</v>
      </c>
      <c r="E591">
        <v>100</v>
      </c>
      <c r="F591">
        <v>100</v>
      </c>
      <c r="G591">
        <v>100</v>
      </c>
      <c r="H591">
        <v>10</v>
      </c>
      <c r="I591">
        <v>100</v>
      </c>
      <c r="J591">
        <v>10</v>
      </c>
      <c r="K591">
        <v>1008</v>
      </c>
      <c r="L591">
        <v>1084</v>
      </c>
      <c r="M591">
        <v>928</v>
      </c>
      <c r="N591">
        <v>1089</v>
      </c>
      <c r="O591">
        <v>991</v>
      </c>
      <c r="P591">
        <v>927</v>
      </c>
      <c r="Q591">
        <v>962</v>
      </c>
      <c r="R591">
        <v>998</v>
      </c>
      <c r="S591">
        <v>1067</v>
      </c>
      <c r="T591">
        <v>946</v>
      </c>
      <c r="U591">
        <v>980</v>
      </c>
      <c r="V591">
        <v>1135</v>
      </c>
      <c r="W591">
        <v>1032</v>
      </c>
      <c r="X591">
        <v>1010</v>
      </c>
      <c r="Y591">
        <v>982</v>
      </c>
      <c r="Z591">
        <v>892</v>
      </c>
      <c r="AA591">
        <v>958</v>
      </c>
      <c r="AB591">
        <v>1028</v>
      </c>
      <c r="AC591">
        <v>974</v>
      </c>
      <c r="AD591">
        <v>1009</v>
      </c>
      <c r="AE591">
        <v>977</v>
      </c>
      <c r="AF591">
        <v>0</v>
      </c>
      <c r="AG591">
        <v>0</v>
      </c>
      <c r="AH591">
        <v>0</v>
      </c>
      <c r="AI591">
        <v>0</v>
      </c>
      <c r="AJ591">
        <v>0</v>
      </c>
      <c r="AK591">
        <v>2</v>
      </c>
      <c r="AL591">
        <v>0</v>
      </c>
      <c r="AM591">
        <v>1</v>
      </c>
      <c r="AN591">
        <v>0</v>
      </c>
      <c r="AO591">
        <v>0</v>
      </c>
      <c r="AP591">
        <v>1081</v>
      </c>
      <c r="AQ591">
        <v>0</v>
      </c>
      <c r="AR591">
        <v>7</v>
      </c>
      <c r="AS591">
        <v>1</v>
      </c>
      <c r="AT591">
        <v>5</v>
      </c>
      <c r="AU591">
        <v>6</v>
      </c>
      <c r="AV591">
        <v>0</v>
      </c>
      <c r="AW591">
        <v>35</v>
      </c>
      <c r="AX591">
        <v>0</v>
      </c>
      <c r="AY591">
        <v>11</v>
      </c>
      <c r="AZ591">
        <v>0</v>
      </c>
      <c r="BA591">
        <v>925</v>
      </c>
      <c r="BB591">
        <v>46</v>
      </c>
      <c r="BC591">
        <v>4</v>
      </c>
      <c r="BD591">
        <v>0</v>
      </c>
      <c r="BE591">
        <v>2</v>
      </c>
      <c r="BF591">
        <v>6</v>
      </c>
      <c r="BG591">
        <v>38</v>
      </c>
      <c r="BH591">
        <v>0</v>
      </c>
      <c r="BI591">
        <v>0</v>
      </c>
      <c r="BJ591">
        <v>0</v>
      </c>
      <c r="BK591">
        <v>0</v>
      </c>
      <c r="BL591">
        <v>1002</v>
      </c>
      <c r="BM591">
        <v>0</v>
      </c>
      <c r="BN591">
        <v>5</v>
      </c>
      <c r="BO591">
        <v>0</v>
      </c>
      <c r="BP591">
        <v>1</v>
      </c>
      <c r="BQ591">
        <v>2</v>
      </c>
      <c r="BR591">
        <v>0</v>
      </c>
      <c r="BS591">
        <v>0</v>
      </c>
      <c r="BT591">
        <v>0</v>
      </c>
      <c r="BU591">
        <v>0</v>
      </c>
      <c r="BV591">
        <v>1</v>
      </c>
      <c r="BW591">
        <v>970</v>
      </c>
      <c r="BX591">
        <v>1</v>
      </c>
      <c r="BY591">
        <v>5</v>
      </c>
      <c r="BZ591">
        <v>0</v>
      </c>
      <c r="CA591">
        <v>0</v>
      </c>
      <c r="CB591">
        <v>5</v>
      </c>
      <c r="CC591">
        <v>1</v>
      </c>
      <c r="CD591">
        <v>0</v>
      </c>
      <c r="CE591">
        <v>0</v>
      </c>
      <c r="CF591">
        <v>4</v>
      </c>
      <c r="CG591">
        <v>0</v>
      </c>
      <c r="CH591">
        <v>885</v>
      </c>
      <c r="CI591">
        <v>1</v>
      </c>
      <c r="CJ591">
        <v>0</v>
      </c>
      <c r="CK591">
        <v>1</v>
      </c>
      <c r="CL591">
        <v>0</v>
      </c>
      <c r="CM591">
        <v>4</v>
      </c>
      <c r="CN591">
        <v>0</v>
      </c>
      <c r="CO591">
        <v>0</v>
      </c>
      <c r="CP591">
        <v>0</v>
      </c>
      <c r="CQ591">
        <v>2</v>
      </c>
      <c r="CR591">
        <v>7</v>
      </c>
      <c r="CS591">
        <v>944</v>
      </c>
      <c r="CT591">
        <v>0</v>
      </c>
      <c r="CU591">
        <v>1</v>
      </c>
      <c r="CV591">
        <v>0</v>
      </c>
      <c r="CW591">
        <v>5</v>
      </c>
      <c r="CX591">
        <v>0</v>
      </c>
      <c r="CY591">
        <v>3</v>
      </c>
      <c r="CZ591">
        <v>20</v>
      </c>
      <c r="DA591">
        <v>2</v>
      </c>
      <c r="DB591">
        <v>2</v>
      </c>
      <c r="DC591">
        <v>0</v>
      </c>
      <c r="DD591">
        <v>982</v>
      </c>
      <c r="DE591">
        <v>7</v>
      </c>
      <c r="DF591">
        <v>7</v>
      </c>
      <c r="DG591">
        <v>1</v>
      </c>
      <c r="DH591">
        <v>0</v>
      </c>
      <c r="DI591">
        <v>0</v>
      </c>
      <c r="DJ591">
        <v>4</v>
      </c>
      <c r="DK591">
        <v>0</v>
      </c>
      <c r="DL591">
        <v>1</v>
      </c>
      <c r="DM591">
        <v>2</v>
      </c>
      <c r="DN591">
        <v>1</v>
      </c>
      <c r="DO591">
        <v>965</v>
      </c>
      <c r="DP591">
        <v>0</v>
      </c>
      <c r="DQ591">
        <v>9</v>
      </c>
      <c r="DR591">
        <v>3</v>
      </c>
      <c r="DS591">
        <v>0</v>
      </c>
      <c r="DT591">
        <v>5</v>
      </c>
      <c r="DU591">
        <v>12</v>
      </c>
      <c r="DV591">
        <v>21</v>
      </c>
      <c r="DW591">
        <v>0</v>
      </c>
      <c r="DX591">
        <v>8</v>
      </c>
      <c r="DY591">
        <v>17</v>
      </c>
      <c r="DZ591">
        <v>934</v>
      </c>
      <c r="EA591">
        <v>0.96650000000000003</v>
      </c>
      <c r="EB591">
        <v>0.96738345796823899</v>
      </c>
      <c r="EC591">
        <v>0.96747590998413002</v>
      </c>
      <c r="ED591">
        <v>0.96660091425893901</v>
      </c>
      <c r="EE591">
        <f>SUM(Table1[[#This Row],[ratio_0]:[ratio_9]])</f>
        <v>640</v>
      </c>
      <c r="EF591" s="1">
        <f>(Table1[[#This Row],[predicted_0]]-Table1[[#This Row],[actual_0]])/Table1[[#This Row],[actual_0]]</f>
        <v>2.8571428571428571E-2</v>
      </c>
      <c r="EG591" s="1">
        <f>(Table1[[#This Row],[predicted_1]]-Table1[[#This Row],[actual_1]])/Table1[[#This Row],[actual_1]]</f>
        <v>-4.4933920704845816E-2</v>
      </c>
      <c r="EH591" s="1">
        <f>(Table1[[#This Row],[predicted_2]]-Table1[[#This Row],[actual_2]])/Table1[[#This Row],[actual_2]]</f>
        <v>-0.10077519379844961</v>
      </c>
      <c r="EI591" s="1">
        <f>(Table1[[#This Row],[predicted_3]]-Table1[[#This Row],[actual_3]])/Table1[[#This Row],[actual_3]]</f>
        <v>7.8217821782178218E-2</v>
      </c>
      <c r="EJ591" s="1">
        <f>(Table1[[#This Row],[predicted_4]]-Table1[[#This Row],[actual_4]])/Table1[[#This Row],[actual_4]]</f>
        <v>9.1649694501018328E-3</v>
      </c>
      <c r="EK591" s="1">
        <f>(Table1[[#This Row],[predicted_5]]-Table1[[#This Row],[actual_5]])/Table1[[#This Row],[actual_5]]</f>
        <v>3.923766816143498E-2</v>
      </c>
      <c r="EL591" s="1">
        <f>(Table1[[#This Row],[predicted_6]]-Table1[[#This Row],[actual_6]])/Table1[[#This Row],[actual_6]]</f>
        <v>4.1753653444676405E-3</v>
      </c>
      <c r="EM591" s="1">
        <f>(Table1[[#This Row],[predicted_7]]-Table1[[#This Row],[actual_7]])/Table1[[#This Row],[actual_7]]</f>
        <v>-2.9182879377431907E-2</v>
      </c>
      <c r="EN591" s="1">
        <f>(Table1[[#This Row],[predicted_8]]-Table1[[#This Row],[actual_8]])/Table1[[#This Row],[actual_8]]</f>
        <v>9.5482546201232033E-2</v>
      </c>
      <c r="EO591" s="1">
        <f>(Table1[[#This Row],[predicted_9]]-Table1[[#This Row],[actual_9]])/Table1[[#This Row],[actual_9]]</f>
        <v>-6.2438057482656094E-2</v>
      </c>
      <c r="EP591" s="1">
        <f>1+(Table1[[#This Row],[error_ratio_0]]-EF$2)</f>
        <v>1.0265306122448981</v>
      </c>
      <c r="EQ591" s="1">
        <f>1+(Table1[[#This Row],[error_ratio_1]]-EG$2)</f>
        <v>0.95330396475770929</v>
      </c>
      <c r="ER591" s="1">
        <f>1+(Table1[[#This Row],[error_ratio_2]]-EH$2)</f>
        <v>0.90406976744186052</v>
      </c>
      <c r="ES591" s="1">
        <f>1+(Table1[[#This Row],[error_ratio_3]]-EI$2)</f>
        <v>1.0683168316831684</v>
      </c>
      <c r="ET591" s="1">
        <f>1+(Table1[[#This Row],[error_ratio_4]]-EJ$2)</f>
        <v>1.0081466395112015</v>
      </c>
      <c r="EU591" s="1">
        <f>1+(Table1[[#This Row],[error_ratio_5]]-EK$2)</f>
        <v>1.0381165919282511</v>
      </c>
      <c r="EV591" s="1">
        <f>1+(Table1[[#This Row],[error_ratio_6]]-EL$2)</f>
        <v>1.010438413361169</v>
      </c>
      <c r="EW591" s="1">
        <f>1+(Table1[[#This Row],[error_ratio_7]]-EM$2)</f>
        <v>0.9688715953307393</v>
      </c>
      <c r="EX591" s="1">
        <f>1+(Table1[[#This Row],[error_ratio_8]]-EN$2)</f>
        <v>1.0985626283367556</v>
      </c>
      <c r="EY591" s="1">
        <f>1+(Table1[[#This Row],[error_ratio_9]]-EO$2)</f>
        <v>0.94152626362735381</v>
      </c>
    </row>
    <row r="592" spans="1:155" x14ac:dyDescent="0.75">
      <c r="A592">
        <v>10</v>
      </c>
      <c r="B592">
        <v>10</v>
      </c>
      <c r="C592">
        <v>10</v>
      </c>
      <c r="D592">
        <v>100</v>
      </c>
      <c r="E592">
        <v>100</v>
      </c>
      <c r="F592">
        <v>100</v>
      </c>
      <c r="G592">
        <v>100</v>
      </c>
      <c r="H592">
        <v>10</v>
      </c>
      <c r="I592">
        <v>100</v>
      </c>
      <c r="J592">
        <v>10</v>
      </c>
      <c r="K592">
        <v>978</v>
      </c>
      <c r="L592">
        <v>1126</v>
      </c>
      <c r="M592">
        <v>974</v>
      </c>
      <c r="N592">
        <v>1041</v>
      </c>
      <c r="O592">
        <v>1004</v>
      </c>
      <c r="P592">
        <v>948</v>
      </c>
      <c r="Q592">
        <v>979</v>
      </c>
      <c r="R592">
        <v>935</v>
      </c>
      <c r="S592">
        <v>1080</v>
      </c>
      <c r="T592">
        <v>935</v>
      </c>
      <c r="U592">
        <v>980</v>
      </c>
      <c r="V592">
        <v>1135</v>
      </c>
      <c r="W592">
        <v>1032</v>
      </c>
      <c r="X592">
        <v>1010</v>
      </c>
      <c r="Y592">
        <v>982</v>
      </c>
      <c r="Z592">
        <v>892</v>
      </c>
      <c r="AA592">
        <v>958</v>
      </c>
      <c r="AB592">
        <v>1028</v>
      </c>
      <c r="AC592">
        <v>974</v>
      </c>
      <c r="AD592">
        <v>1009</v>
      </c>
      <c r="AE592">
        <v>955</v>
      </c>
      <c r="AF592">
        <v>0</v>
      </c>
      <c r="AG592">
        <v>0</v>
      </c>
      <c r="AH592">
        <v>0</v>
      </c>
      <c r="AI592">
        <v>0</v>
      </c>
      <c r="AJ592">
        <v>6</v>
      </c>
      <c r="AK592">
        <v>13</v>
      </c>
      <c r="AL592">
        <v>0</v>
      </c>
      <c r="AM592">
        <v>6</v>
      </c>
      <c r="AN592">
        <v>0</v>
      </c>
      <c r="AO592">
        <v>0</v>
      </c>
      <c r="AP592">
        <v>1118</v>
      </c>
      <c r="AQ592">
        <v>0</v>
      </c>
      <c r="AR592">
        <v>7</v>
      </c>
      <c r="AS592">
        <v>0</v>
      </c>
      <c r="AT592">
        <v>4</v>
      </c>
      <c r="AU592">
        <v>3</v>
      </c>
      <c r="AV592">
        <v>0</v>
      </c>
      <c r="AW592">
        <v>3</v>
      </c>
      <c r="AX592">
        <v>0</v>
      </c>
      <c r="AY592">
        <v>4</v>
      </c>
      <c r="AZ592">
        <v>0</v>
      </c>
      <c r="BA592">
        <v>958</v>
      </c>
      <c r="BB592">
        <v>17</v>
      </c>
      <c r="BC592">
        <v>5</v>
      </c>
      <c r="BD592">
        <v>5</v>
      </c>
      <c r="BE592">
        <v>9</v>
      </c>
      <c r="BF592">
        <v>1</v>
      </c>
      <c r="BG592">
        <v>33</v>
      </c>
      <c r="BH592">
        <v>0</v>
      </c>
      <c r="BI592">
        <v>0</v>
      </c>
      <c r="BJ592">
        <v>0</v>
      </c>
      <c r="BK592">
        <v>1</v>
      </c>
      <c r="BL592">
        <v>991</v>
      </c>
      <c r="BM592">
        <v>0</v>
      </c>
      <c r="BN592">
        <v>12</v>
      </c>
      <c r="BO592">
        <v>0</v>
      </c>
      <c r="BP592">
        <v>1</v>
      </c>
      <c r="BQ592">
        <v>4</v>
      </c>
      <c r="BR592">
        <v>1</v>
      </c>
      <c r="BS592">
        <v>0</v>
      </c>
      <c r="BT592">
        <v>0</v>
      </c>
      <c r="BU592">
        <v>0</v>
      </c>
      <c r="BV592">
        <v>0</v>
      </c>
      <c r="BW592">
        <v>975</v>
      </c>
      <c r="BX592">
        <v>0</v>
      </c>
      <c r="BY592">
        <v>4</v>
      </c>
      <c r="BZ592">
        <v>0</v>
      </c>
      <c r="CA592">
        <v>0</v>
      </c>
      <c r="CB592">
        <v>3</v>
      </c>
      <c r="CC592">
        <v>1</v>
      </c>
      <c r="CD592">
        <v>0</v>
      </c>
      <c r="CE592">
        <v>0</v>
      </c>
      <c r="CF592">
        <v>4</v>
      </c>
      <c r="CG592">
        <v>0</v>
      </c>
      <c r="CH592">
        <v>885</v>
      </c>
      <c r="CI592">
        <v>1</v>
      </c>
      <c r="CJ592">
        <v>0</v>
      </c>
      <c r="CK592">
        <v>1</v>
      </c>
      <c r="CL592">
        <v>0</v>
      </c>
      <c r="CM592">
        <v>3</v>
      </c>
      <c r="CN592">
        <v>2</v>
      </c>
      <c r="CO592">
        <v>0</v>
      </c>
      <c r="CP592">
        <v>0</v>
      </c>
      <c r="CQ592">
        <v>1</v>
      </c>
      <c r="CR592">
        <v>6</v>
      </c>
      <c r="CS592">
        <v>944</v>
      </c>
      <c r="CT592">
        <v>0</v>
      </c>
      <c r="CU592">
        <v>2</v>
      </c>
      <c r="CV592">
        <v>0</v>
      </c>
      <c r="CW592">
        <v>8</v>
      </c>
      <c r="CX592">
        <v>4</v>
      </c>
      <c r="CY592">
        <v>15</v>
      </c>
      <c r="CZ592">
        <v>11</v>
      </c>
      <c r="DA592">
        <v>5</v>
      </c>
      <c r="DB592">
        <v>1</v>
      </c>
      <c r="DC592">
        <v>2</v>
      </c>
      <c r="DD592">
        <v>929</v>
      </c>
      <c r="DE592">
        <v>35</v>
      </c>
      <c r="DF592">
        <v>18</v>
      </c>
      <c r="DG592">
        <v>1</v>
      </c>
      <c r="DH592">
        <v>0</v>
      </c>
      <c r="DI592">
        <v>0</v>
      </c>
      <c r="DJ592">
        <v>2</v>
      </c>
      <c r="DK592">
        <v>0</v>
      </c>
      <c r="DL592">
        <v>3</v>
      </c>
      <c r="DM592">
        <v>2</v>
      </c>
      <c r="DN592">
        <v>0</v>
      </c>
      <c r="DO592">
        <v>966</v>
      </c>
      <c r="DP592">
        <v>0</v>
      </c>
      <c r="DQ592">
        <v>6</v>
      </c>
      <c r="DR592">
        <v>2</v>
      </c>
      <c r="DS592">
        <v>0</v>
      </c>
      <c r="DT592">
        <v>9</v>
      </c>
      <c r="DU592">
        <v>18</v>
      </c>
      <c r="DV592">
        <v>26</v>
      </c>
      <c r="DW592">
        <v>1</v>
      </c>
      <c r="DX592">
        <v>4</v>
      </c>
      <c r="DY592">
        <v>30</v>
      </c>
      <c r="DZ592">
        <v>913</v>
      </c>
      <c r="EA592">
        <v>0.96340000000000003</v>
      </c>
      <c r="EB592">
        <v>0.96383269733920995</v>
      </c>
      <c r="EC592">
        <v>0.96397441319479904</v>
      </c>
      <c r="ED592">
        <v>0.96308679425272803</v>
      </c>
      <c r="EE592">
        <f>SUM(Table1[[#This Row],[ratio_0]:[ratio_9]])</f>
        <v>550</v>
      </c>
      <c r="EF592" s="1">
        <f>(Table1[[#This Row],[predicted_0]]-Table1[[#This Row],[actual_0]])/Table1[[#This Row],[actual_0]]</f>
        <v>-2.0408163265306124E-3</v>
      </c>
      <c r="EG592" s="1">
        <f>(Table1[[#This Row],[predicted_1]]-Table1[[#This Row],[actual_1]])/Table1[[#This Row],[actual_1]]</f>
        <v>-7.9295154185022032E-3</v>
      </c>
      <c r="EH592" s="1">
        <f>(Table1[[#This Row],[predicted_2]]-Table1[[#This Row],[actual_2]])/Table1[[#This Row],[actual_2]]</f>
        <v>-5.6201550387596902E-2</v>
      </c>
      <c r="EI592" s="1">
        <f>(Table1[[#This Row],[predicted_3]]-Table1[[#This Row],[actual_3]])/Table1[[#This Row],[actual_3]]</f>
        <v>3.0693069306930693E-2</v>
      </c>
      <c r="EJ592" s="1">
        <f>(Table1[[#This Row],[predicted_4]]-Table1[[#This Row],[actual_4]])/Table1[[#This Row],[actual_4]]</f>
        <v>2.2403258655804479E-2</v>
      </c>
      <c r="EK592" s="1">
        <f>(Table1[[#This Row],[predicted_5]]-Table1[[#This Row],[actual_5]])/Table1[[#This Row],[actual_5]]</f>
        <v>6.2780269058295965E-2</v>
      </c>
      <c r="EL592" s="1">
        <f>(Table1[[#This Row],[predicted_6]]-Table1[[#This Row],[actual_6]])/Table1[[#This Row],[actual_6]]</f>
        <v>2.1920668058455117E-2</v>
      </c>
      <c r="EM592" s="1">
        <f>(Table1[[#This Row],[predicted_7]]-Table1[[#This Row],[actual_7]])/Table1[[#This Row],[actual_7]]</f>
        <v>-9.0466926070038908E-2</v>
      </c>
      <c r="EN592" s="1">
        <f>(Table1[[#This Row],[predicted_8]]-Table1[[#This Row],[actual_8]])/Table1[[#This Row],[actual_8]]</f>
        <v>0.10882956878850103</v>
      </c>
      <c r="EO592" s="1">
        <f>(Table1[[#This Row],[predicted_9]]-Table1[[#This Row],[actual_9]])/Table1[[#This Row],[actual_9]]</f>
        <v>-7.3339940535183348E-2</v>
      </c>
      <c r="EP592" s="1">
        <f>1+(Table1[[#This Row],[error_ratio_0]]-EF$2)</f>
        <v>0.99591836734693873</v>
      </c>
      <c r="EQ592" s="1">
        <f>1+(Table1[[#This Row],[error_ratio_1]]-EG$2)</f>
        <v>0.99030837004405281</v>
      </c>
      <c r="ER592" s="1">
        <f>1+(Table1[[#This Row],[error_ratio_2]]-EH$2)</f>
        <v>0.9486434108527132</v>
      </c>
      <c r="ES592" s="1">
        <f>1+(Table1[[#This Row],[error_ratio_3]]-EI$2)</f>
        <v>1.0207920792079208</v>
      </c>
      <c r="ET592" s="1">
        <f>1+(Table1[[#This Row],[error_ratio_4]]-EJ$2)</f>
        <v>1.0213849287169043</v>
      </c>
      <c r="EU592" s="1">
        <f>1+(Table1[[#This Row],[error_ratio_5]]-EK$2)</f>
        <v>1.061659192825112</v>
      </c>
      <c r="EV592" s="1">
        <f>1+(Table1[[#This Row],[error_ratio_6]]-EL$2)</f>
        <v>1.0281837160751566</v>
      </c>
      <c r="EW592" s="1">
        <f>1+(Table1[[#This Row],[error_ratio_7]]-EM$2)</f>
        <v>0.90758754863813229</v>
      </c>
      <c r="EX592" s="1">
        <f>1+(Table1[[#This Row],[error_ratio_8]]-EN$2)</f>
        <v>1.1119096509240247</v>
      </c>
      <c r="EY592" s="1">
        <f>1+(Table1[[#This Row],[error_ratio_9]]-EO$2)</f>
        <v>0.93062438057482655</v>
      </c>
    </row>
    <row r="593" spans="1:155" x14ac:dyDescent="0.75">
      <c r="A593">
        <v>100</v>
      </c>
      <c r="B593">
        <v>100</v>
      </c>
      <c r="C593">
        <v>100</v>
      </c>
      <c r="D593">
        <v>10</v>
      </c>
      <c r="E593">
        <v>100</v>
      </c>
      <c r="F593">
        <v>100</v>
      </c>
      <c r="G593">
        <v>100</v>
      </c>
      <c r="H593">
        <v>10</v>
      </c>
      <c r="I593">
        <v>100</v>
      </c>
      <c r="J593">
        <v>10</v>
      </c>
      <c r="K593">
        <v>994</v>
      </c>
      <c r="L593">
        <v>1152</v>
      </c>
      <c r="M593">
        <v>1158</v>
      </c>
      <c r="N593">
        <v>962</v>
      </c>
      <c r="O593">
        <v>1035</v>
      </c>
      <c r="P593">
        <v>909</v>
      </c>
      <c r="Q593">
        <v>950</v>
      </c>
      <c r="R593">
        <v>857</v>
      </c>
      <c r="S593">
        <v>1047</v>
      </c>
      <c r="T593">
        <v>936</v>
      </c>
      <c r="U593">
        <v>980</v>
      </c>
      <c r="V593">
        <v>1135</v>
      </c>
      <c r="W593">
        <v>1032</v>
      </c>
      <c r="X593">
        <v>1010</v>
      </c>
      <c r="Y593">
        <v>982</v>
      </c>
      <c r="Z593">
        <v>892</v>
      </c>
      <c r="AA593">
        <v>958</v>
      </c>
      <c r="AB593">
        <v>1028</v>
      </c>
      <c r="AC593">
        <v>974</v>
      </c>
      <c r="AD593">
        <v>1009</v>
      </c>
      <c r="AE593">
        <v>974</v>
      </c>
      <c r="AF593">
        <v>0</v>
      </c>
      <c r="AG593">
        <v>0</v>
      </c>
      <c r="AH593">
        <v>0</v>
      </c>
      <c r="AI593">
        <v>2</v>
      </c>
      <c r="AJ593">
        <v>0</v>
      </c>
      <c r="AK593">
        <v>1</v>
      </c>
      <c r="AL593">
        <v>1</v>
      </c>
      <c r="AM593">
        <v>2</v>
      </c>
      <c r="AN593">
        <v>0</v>
      </c>
      <c r="AO593">
        <v>0</v>
      </c>
      <c r="AP593">
        <v>1131</v>
      </c>
      <c r="AQ593">
        <v>2</v>
      </c>
      <c r="AR593">
        <v>1</v>
      </c>
      <c r="AS593">
        <v>0</v>
      </c>
      <c r="AT593">
        <v>1</v>
      </c>
      <c r="AU593">
        <v>0</v>
      </c>
      <c r="AV593">
        <v>0</v>
      </c>
      <c r="AW593">
        <v>0</v>
      </c>
      <c r="AX593">
        <v>0</v>
      </c>
      <c r="AY593">
        <v>2</v>
      </c>
      <c r="AZ593">
        <v>3</v>
      </c>
      <c r="BA593">
        <v>1017</v>
      </c>
      <c r="BB593">
        <v>0</v>
      </c>
      <c r="BC593">
        <v>1</v>
      </c>
      <c r="BD593">
        <v>0</v>
      </c>
      <c r="BE593">
        <v>0</v>
      </c>
      <c r="BF593">
        <v>1</v>
      </c>
      <c r="BG593">
        <v>8</v>
      </c>
      <c r="BH593">
        <v>0</v>
      </c>
      <c r="BI593">
        <v>0</v>
      </c>
      <c r="BJ593">
        <v>0</v>
      </c>
      <c r="BK593">
        <v>8</v>
      </c>
      <c r="BL593">
        <v>951</v>
      </c>
      <c r="BM593">
        <v>0</v>
      </c>
      <c r="BN593">
        <v>20</v>
      </c>
      <c r="BO593">
        <v>0</v>
      </c>
      <c r="BP593">
        <v>6</v>
      </c>
      <c r="BQ593">
        <v>23</v>
      </c>
      <c r="BR593">
        <v>2</v>
      </c>
      <c r="BS593">
        <v>0</v>
      </c>
      <c r="BT593">
        <v>0</v>
      </c>
      <c r="BU593">
        <v>1</v>
      </c>
      <c r="BV593">
        <v>0</v>
      </c>
      <c r="BW593">
        <v>981</v>
      </c>
      <c r="BX593">
        <v>0</v>
      </c>
      <c r="BY593">
        <v>0</v>
      </c>
      <c r="BZ593">
        <v>0</v>
      </c>
      <c r="CA593">
        <v>0</v>
      </c>
      <c r="CB593">
        <v>0</v>
      </c>
      <c r="CC593">
        <v>2</v>
      </c>
      <c r="CD593">
        <v>0</v>
      </c>
      <c r="CE593">
        <v>0</v>
      </c>
      <c r="CF593">
        <v>2</v>
      </c>
      <c r="CG593">
        <v>0</v>
      </c>
      <c r="CH593">
        <v>882</v>
      </c>
      <c r="CI593">
        <v>2</v>
      </c>
      <c r="CJ593">
        <v>0</v>
      </c>
      <c r="CK593">
        <v>4</v>
      </c>
      <c r="CL593">
        <v>0</v>
      </c>
      <c r="CM593">
        <v>7</v>
      </c>
      <c r="CN593">
        <v>2</v>
      </c>
      <c r="CO593">
        <v>0</v>
      </c>
      <c r="CP593">
        <v>0</v>
      </c>
      <c r="CQ593">
        <v>1</v>
      </c>
      <c r="CR593">
        <v>1</v>
      </c>
      <c r="CS593">
        <v>945</v>
      </c>
      <c r="CT593">
        <v>0</v>
      </c>
      <c r="CU593">
        <v>2</v>
      </c>
      <c r="CV593">
        <v>0</v>
      </c>
      <c r="CW593">
        <v>1</v>
      </c>
      <c r="CX593">
        <v>13</v>
      </c>
      <c r="CY593">
        <v>128</v>
      </c>
      <c r="CZ593">
        <v>2</v>
      </c>
      <c r="DA593">
        <v>10</v>
      </c>
      <c r="DB593">
        <v>1</v>
      </c>
      <c r="DC593">
        <v>0</v>
      </c>
      <c r="DD593">
        <v>846</v>
      </c>
      <c r="DE593">
        <v>15</v>
      </c>
      <c r="DF593">
        <v>12</v>
      </c>
      <c r="DG593">
        <v>3</v>
      </c>
      <c r="DH593">
        <v>0</v>
      </c>
      <c r="DI593">
        <v>2</v>
      </c>
      <c r="DJ593">
        <v>0</v>
      </c>
      <c r="DK593">
        <v>3</v>
      </c>
      <c r="DL593">
        <v>0</v>
      </c>
      <c r="DM593">
        <v>1</v>
      </c>
      <c r="DN593">
        <v>0</v>
      </c>
      <c r="DO593">
        <v>965</v>
      </c>
      <c r="DP593">
        <v>0</v>
      </c>
      <c r="DQ593">
        <v>5</v>
      </c>
      <c r="DR593">
        <v>3</v>
      </c>
      <c r="DS593">
        <v>0</v>
      </c>
      <c r="DT593">
        <v>6</v>
      </c>
      <c r="DU593">
        <v>37</v>
      </c>
      <c r="DV593">
        <v>4</v>
      </c>
      <c r="DW593">
        <v>1</v>
      </c>
      <c r="DX593">
        <v>3</v>
      </c>
      <c r="DY593">
        <v>28</v>
      </c>
      <c r="DZ593">
        <v>922</v>
      </c>
      <c r="EA593">
        <v>0.96140000000000003</v>
      </c>
      <c r="EB593">
        <v>0.96352021540646104</v>
      </c>
      <c r="EC593">
        <v>0.96190965348944601</v>
      </c>
      <c r="ED593">
        <v>0.96125787615750902</v>
      </c>
      <c r="EE593">
        <f>SUM(Table1[[#This Row],[ratio_0]:[ratio_9]])</f>
        <v>730</v>
      </c>
      <c r="EF593" s="1">
        <f>(Table1[[#This Row],[predicted_0]]-Table1[[#This Row],[actual_0]])/Table1[[#This Row],[actual_0]]</f>
        <v>1.4285714285714285E-2</v>
      </c>
      <c r="EG593" s="1">
        <f>(Table1[[#This Row],[predicted_1]]-Table1[[#This Row],[actual_1]])/Table1[[#This Row],[actual_1]]</f>
        <v>1.4977973568281937E-2</v>
      </c>
      <c r="EH593" s="1">
        <f>(Table1[[#This Row],[predicted_2]]-Table1[[#This Row],[actual_2]])/Table1[[#This Row],[actual_2]]</f>
        <v>0.12209302325581395</v>
      </c>
      <c r="EI593" s="1">
        <f>(Table1[[#This Row],[predicted_3]]-Table1[[#This Row],[actual_3]])/Table1[[#This Row],[actual_3]]</f>
        <v>-4.7524752475247525E-2</v>
      </c>
      <c r="EJ593" s="1">
        <f>(Table1[[#This Row],[predicted_4]]-Table1[[#This Row],[actual_4]])/Table1[[#This Row],[actual_4]]</f>
        <v>5.3971486761710798E-2</v>
      </c>
      <c r="EK593" s="1">
        <f>(Table1[[#This Row],[predicted_5]]-Table1[[#This Row],[actual_5]])/Table1[[#This Row],[actual_5]]</f>
        <v>1.905829596412556E-2</v>
      </c>
      <c r="EL593" s="1">
        <f>(Table1[[#This Row],[predicted_6]]-Table1[[#This Row],[actual_6]])/Table1[[#This Row],[actual_6]]</f>
        <v>-8.350730688935281E-3</v>
      </c>
      <c r="EM593" s="1">
        <f>(Table1[[#This Row],[predicted_7]]-Table1[[#This Row],[actual_7]])/Table1[[#This Row],[actual_7]]</f>
        <v>-0.16634241245136186</v>
      </c>
      <c r="EN593" s="1">
        <f>(Table1[[#This Row],[predicted_8]]-Table1[[#This Row],[actual_8]])/Table1[[#This Row],[actual_8]]</f>
        <v>7.4948665297741274E-2</v>
      </c>
      <c r="EO593" s="1">
        <f>(Table1[[#This Row],[predicted_9]]-Table1[[#This Row],[actual_9]])/Table1[[#This Row],[actual_9]]</f>
        <v>-7.2348860257680878E-2</v>
      </c>
      <c r="EP593" s="1">
        <f>1+(Table1[[#This Row],[error_ratio_0]]-EF$2)</f>
        <v>1.0122448979591836</v>
      </c>
      <c r="EQ593" s="1">
        <f>1+(Table1[[#This Row],[error_ratio_1]]-EG$2)</f>
        <v>1.0132158590308371</v>
      </c>
      <c r="ER593" s="1">
        <f>1+(Table1[[#This Row],[error_ratio_2]]-EH$2)</f>
        <v>1.126937984496124</v>
      </c>
      <c r="ES593" s="1">
        <f>1+(Table1[[#This Row],[error_ratio_3]]-EI$2)</f>
        <v>0.94257425742574252</v>
      </c>
      <c r="ET593" s="1">
        <f>1+(Table1[[#This Row],[error_ratio_4]]-EJ$2)</f>
        <v>1.0529531568228105</v>
      </c>
      <c r="EU593" s="1">
        <f>1+(Table1[[#This Row],[error_ratio_5]]-EK$2)</f>
        <v>1.0179372197309418</v>
      </c>
      <c r="EV593" s="1">
        <f>1+(Table1[[#This Row],[error_ratio_6]]-EL$2)</f>
        <v>0.9979123173277662</v>
      </c>
      <c r="EW593" s="1">
        <f>1+(Table1[[#This Row],[error_ratio_7]]-EM$2)</f>
        <v>0.83171206225680938</v>
      </c>
      <c r="EX593" s="1">
        <f>1+(Table1[[#This Row],[error_ratio_8]]-EN$2)</f>
        <v>1.0780287474332648</v>
      </c>
      <c r="EY593" s="1">
        <f>1+(Table1[[#This Row],[error_ratio_9]]-EO$2)</f>
        <v>0.93161546085232905</v>
      </c>
    </row>
    <row r="594" spans="1:155" x14ac:dyDescent="0.75">
      <c r="A594">
        <v>10</v>
      </c>
      <c r="B594">
        <v>100</v>
      </c>
      <c r="C594">
        <v>100</v>
      </c>
      <c r="D594">
        <v>10</v>
      </c>
      <c r="E594">
        <v>100</v>
      </c>
      <c r="F594">
        <v>100</v>
      </c>
      <c r="G594">
        <v>100</v>
      </c>
      <c r="H594">
        <v>10</v>
      </c>
      <c r="I594">
        <v>100</v>
      </c>
      <c r="J594">
        <v>10</v>
      </c>
      <c r="K594">
        <v>959</v>
      </c>
      <c r="L594">
        <v>1146</v>
      </c>
      <c r="M594">
        <v>1062</v>
      </c>
      <c r="N594">
        <v>915</v>
      </c>
      <c r="O594">
        <v>1021</v>
      </c>
      <c r="P594">
        <v>928</v>
      </c>
      <c r="Q594">
        <v>971</v>
      </c>
      <c r="R594">
        <v>1011</v>
      </c>
      <c r="S594">
        <v>1005</v>
      </c>
      <c r="T594">
        <v>982</v>
      </c>
      <c r="U594">
        <v>980</v>
      </c>
      <c r="V594">
        <v>1135</v>
      </c>
      <c r="W594">
        <v>1032</v>
      </c>
      <c r="X594">
        <v>1010</v>
      </c>
      <c r="Y594">
        <v>982</v>
      </c>
      <c r="Z594">
        <v>892</v>
      </c>
      <c r="AA594">
        <v>958</v>
      </c>
      <c r="AB594">
        <v>1028</v>
      </c>
      <c r="AC594">
        <v>974</v>
      </c>
      <c r="AD594">
        <v>1009</v>
      </c>
      <c r="AE594">
        <v>952</v>
      </c>
      <c r="AF594">
        <v>1</v>
      </c>
      <c r="AG594">
        <v>0</v>
      </c>
      <c r="AH594">
        <v>0</v>
      </c>
      <c r="AI594">
        <v>0</v>
      </c>
      <c r="AJ594">
        <v>1</v>
      </c>
      <c r="AK594">
        <v>18</v>
      </c>
      <c r="AL594">
        <v>2</v>
      </c>
      <c r="AM594">
        <v>6</v>
      </c>
      <c r="AN594">
        <v>0</v>
      </c>
      <c r="AO594">
        <v>0</v>
      </c>
      <c r="AP594">
        <v>1131</v>
      </c>
      <c r="AQ594">
        <v>0</v>
      </c>
      <c r="AR594">
        <v>0</v>
      </c>
      <c r="AS594">
        <v>1</v>
      </c>
      <c r="AT594">
        <v>2</v>
      </c>
      <c r="AU594">
        <v>0</v>
      </c>
      <c r="AV594">
        <v>1</v>
      </c>
      <c r="AW594">
        <v>0</v>
      </c>
      <c r="AX594">
        <v>0</v>
      </c>
      <c r="AY594">
        <v>2</v>
      </c>
      <c r="AZ594">
        <v>1</v>
      </c>
      <c r="BA594">
        <v>1021</v>
      </c>
      <c r="BB594">
        <v>0</v>
      </c>
      <c r="BC594">
        <v>2</v>
      </c>
      <c r="BD594">
        <v>0</v>
      </c>
      <c r="BE594">
        <v>0</v>
      </c>
      <c r="BF594">
        <v>3</v>
      </c>
      <c r="BG594">
        <v>3</v>
      </c>
      <c r="BH594">
        <v>0</v>
      </c>
      <c r="BI594">
        <v>0</v>
      </c>
      <c r="BJ594">
        <v>0</v>
      </c>
      <c r="BK594">
        <v>7</v>
      </c>
      <c r="BL594">
        <v>912</v>
      </c>
      <c r="BM594">
        <v>0</v>
      </c>
      <c r="BN594">
        <v>34</v>
      </c>
      <c r="BO594">
        <v>0</v>
      </c>
      <c r="BP594">
        <v>16</v>
      </c>
      <c r="BQ594">
        <v>36</v>
      </c>
      <c r="BR594">
        <v>5</v>
      </c>
      <c r="BS594">
        <v>0</v>
      </c>
      <c r="BT594">
        <v>0</v>
      </c>
      <c r="BU594">
        <v>2</v>
      </c>
      <c r="BV594">
        <v>0</v>
      </c>
      <c r="BW594">
        <v>979</v>
      </c>
      <c r="BX594">
        <v>0</v>
      </c>
      <c r="BY594">
        <v>0</v>
      </c>
      <c r="BZ594">
        <v>1</v>
      </c>
      <c r="CA594">
        <v>0</v>
      </c>
      <c r="CB594">
        <v>0</v>
      </c>
      <c r="CC594">
        <v>1</v>
      </c>
      <c r="CD594">
        <v>0</v>
      </c>
      <c r="CE594">
        <v>0</v>
      </c>
      <c r="CF594">
        <v>2</v>
      </c>
      <c r="CG594">
        <v>0</v>
      </c>
      <c r="CH594">
        <v>878</v>
      </c>
      <c r="CI594">
        <v>3</v>
      </c>
      <c r="CJ594">
        <v>0</v>
      </c>
      <c r="CK594">
        <v>6</v>
      </c>
      <c r="CL594">
        <v>2</v>
      </c>
      <c r="CM594">
        <v>0</v>
      </c>
      <c r="CN594">
        <v>3</v>
      </c>
      <c r="CO594">
        <v>0</v>
      </c>
      <c r="CP594">
        <v>0</v>
      </c>
      <c r="CQ594">
        <v>3</v>
      </c>
      <c r="CR594">
        <v>2</v>
      </c>
      <c r="CS594">
        <v>949</v>
      </c>
      <c r="CT594">
        <v>0</v>
      </c>
      <c r="CU594">
        <v>1</v>
      </c>
      <c r="CV594">
        <v>0</v>
      </c>
      <c r="CW594">
        <v>1</v>
      </c>
      <c r="CX594">
        <v>6</v>
      </c>
      <c r="CY594">
        <v>28</v>
      </c>
      <c r="CZ594">
        <v>0</v>
      </c>
      <c r="DA594">
        <v>5</v>
      </c>
      <c r="DB594">
        <v>1</v>
      </c>
      <c r="DC594">
        <v>0</v>
      </c>
      <c r="DD594">
        <v>975</v>
      </c>
      <c r="DE594">
        <v>2</v>
      </c>
      <c r="DF594">
        <v>10</v>
      </c>
      <c r="DG594">
        <v>0</v>
      </c>
      <c r="DH594">
        <v>0</v>
      </c>
      <c r="DI594">
        <v>4</v>
      </c>
      <c r="DJ594">
        <v>1</v>
      </c>
      <c r="DK594">
        <v>6</v>
      </c>
      <c r="DL594">
        <v>0</v>
      </c>
      <c r="DM594">
        <v>1</v>
      </c>
      <c r="DN594">
        <v>3</v>
      </c>
      <c r="DO594">
        <v>948</v>
      </c>
      <c r="DP594">
        <v>11</v>
      </c>
      <c r="DQ594">
        <v>3</v>
      </c>
      <c r="DR594">
        <v>4</v>
      </c>
      <c r="DS594">
        <v>0</v>
      </c>
      <c r="DT594">
        <v>0</v>
      </c>
      <c r="DU594">
        <v>25</v>
      </c>
      <c r="DV594">
        <v>10</v>
      </c>
      <c r="DW594">
        <v>0</v>
      </c>
      <c r="DX594">
        <v>10</v>
      </c>
      <c r="DY594">
        <v>3</v>
      </c>
      <c r="DZ594">
        <v>954</v>
      </c>
      <c r="EA594">
        <v>0.96989999999999998</v>
      </c>
      <c r="EB594">
        <v>0.96992161623827</v>
      </c>
      <c r="EC594">
        <v>0.96993112148777305</v>
      </c>
      <c r="ED594">
        <v>0.96953409361333898</v>
      </c>
      <c r="EE594">
        <f>SUM(Table1[[#This Row],[ratio_0]:[ratio_9]])</f>
        <v>640</v>
      </c>
      <c r="EF594" s="1">
        <f>(Table1[[#This Row],[predicted_0]]-Table1[[#This Row],[actual_0]])/Table1[[#This Row],[actual_0]]</f>
        <v>-2.1428571428571429E-2</v>
      </c>
      <c r="EG594" s="1">
        <f>(Table1[[#This Row],[predicted_1]]-Table1[[#This Row],[actual_1]])/Table1[[#This Row],[actual_1]]</f>
        <v>9.6916299559471359E-3</v>
      </c>
      <c r="EH594" s="1">
        <f>(Table1[[#This Row],[predicted_2]]-Table1[[#This Row],[actual_2]])/Table1[[#This Row],[actual_2]]</f>
        <v>2.9069767441860465E-2</v>
      </c>
      <c r="EI594" s="1">
        <f>(Table1[[#This Row],[predicted_3]]-Table1[[#This Row],[actual_3]])/Table1[[#This Row],[actual_3]]</f>
        <v>-9.405940594059406E-2</v>
      </c>
      <c r="EJ594" s="1">
        <f>(Table1[[#This Row],[predicted_4]]-Table1[[#This Row],[actual_4]])/Table1[[#This Row],[actual_4]]</f>
        <v>3.9714867617107942E-2</v>
      </c>
      <c r="EK594" s="1">
        <f>(Table1[[#This Row],[predicted_5]]-Table1[[#This Row],[actual_5]])/Table1[[#This Row],[actual_5]]</f>
        <v>4.0358744394618833E-2</v>
      </c>
      <c r="EL594" s="1">
        <f>(Table1[[#This Row],[predicted_6]]-Table1[[#This Row],[actual_6]])/Table1[[#This Row],[actual_6]]</f>
        <v>1.3569937369519834E-2</v>
      </c>
      <c r="EM594" s="1">
        <f>(Table1[[#This Row],[predicted_7]]-Table1[[#This Row],[actual_7]])/Table1[[#This Row],[actual_7]]</f>
        <v>-1.6536964980544747E-2</v>
      </c>
      <c r="EN594" s="1">
        <f>(Table1[[#This Row],[predicted_8]]-Table1[[#This Row],[actual_8]])/Table1[[#This Row],[actual_8]]</f>
        <v>3.1827515400410678E-2</v>
      </c>
      <c r="EO594" s="1">
        <f>(Table1[[#This Row],[predicted_9]]-Table1[[#This Row],[actual_9]])/Table1[[#This Row],[actual_9]]</f>
        <v>-2.6759167492566897E-2</v>
      </c>
      <c r="EP594" s="1">
        <f>1+(Table1[[#This Row],[error_ratio_0]]-EF$2)</f>
        <v>0.97653061224489801</v>
      </c>
      <c r="EQ594" s="1">
        <f>1+(Table1[[#This Row],[error_ratio_1]]-EG$2)</f>
        <v>1.0079295154185022</v>
      </c>
      <c r="ER594" s="1">
        <f>1+(Table1[[#This Row],[error_ratio_2]]-EH$2)</f>
        <v>1.0339147286821706</v>
      </c>
      <c r="ES594" s="1">
        <f>1+(Table1[[#This Row],[error_ratio_3]]-EI$2)</f>
        <v>0.89603960396039606</v>
      </c>
      <c r="ET594" s="1">
        <f>1+(Table1[[#This Row],[error_ratio_4]]-EJ$2)</f>
        <v>1.0386965376782078</v>
      </c>
      <c r="EU594" s="1">
        <f>1+(Table1[[#This Row],[error_ratio_5]]-EK$2)</f>
        <v>1.039237668161435</v>
      </c>
      <c r="EV594" s="1">
        <f>1+(Table1[[#This Row],[error_ratio_6]]-EL$2)</f>
        <v>1.0198329853862214</v>
      </c>
      <c r="EW594" s="1">
        <f>1+(Table1[[#This Row],[error_ratio_7]]-EM$2)</f>
        <v>0.98151750972762641</v>
      </c>
      <c r="EX594" s="1">
        <f>1+(Table1[[#This Row],[error_ratio_8]]-EN$2)</f>
        <v>1.0349075975359343</v>
      </c>
      <c r="EY594" s="1">
        <f>1+(Table1[[#This Row],[error_ratio_9]]-EO$2)</f>
        <v>0.97720515361744298</v>
      </c>
    </row>
    <row r="595" spans="1:155" x14ac:dyDescent="0.75">
      <c r="A595">
        <v>100</v>
      </c>
      <c r="B595">
        <v>10</v>
      </c>
      <c r="C595">
        <v>100</v>
      </c>
      <c r="D595">
        <v>10</v>
      </c>
      <c r="E595">
        <v>100</v>
      </c>
      <c r="F595">
        <v>100</v>
      </c>
      <c r="G595">
        <v>100</v>
      </c>
      <c r="H595">
        <v>10</v>
      </c>
      <c r="I595">
        <v>100</v>
      </c>
      <c r="J595">
        <v>10</v>
      </c>
      <c r="K595">
        <v>986</v>
      </c>
      <c r="L595">
        <v>1097</v>
      </c>
      <c r="M595">
        <v>1107</v>
      </c>
      <c r="N595">
        <v>987</v>
      </c>
      <c r="O595">
        <v>1009</v>
      </c>
      <c r="P595">
        <v>925</v>
      </c>
      <c r="Q595">
        <v>961</v>
      </c>
      <c r="R595">
        <v>958</v>
      </c>
      <c r="S595">
        <v>1042</v>
      </c>
      <c r="T595">
        <v>928</v>
      </c>
      <c r="U595">
        <v>980</v>
      </c>
      <c r="V595">
        <v>1135</v>
      </c>
      <c r="W595">
        <v>1032</v>
      </c>
      <c r="X595">
        <v>1010</v>
      </c>
      <c r="Y595">
        <v>982</v>
      </c>
      <c r="Z595">
        <v>892</v>
      </c>
      <c r="AA595">
        <v>958</v>
      </c>
      <c r="AB595">
        <v>1028</v>
      </c>
      <c r="AC595">
        <v>974</v>
      </c>
      <c r="AD595">
        <v>1009</v>
      </c>
      <c r="AE595">
        <v>973</v>
      </c>
      <c r="AF595">
        <v>0</v>
      </c>
      <c r="AG595">
        <v>1</v>
      </c>
      <c r="AH595">
        <v>0</v>
      </c>
      <c r="AI595">
        <v>0</v>
      </c>
      <c r="AJ595">
        <v>0</v>
      </c>
      <c r="AK595">
        <v>1</v>
      </c>
      <c r="AL595">
        <v>1</v>
      </c>
      <c r="AM595">
        <v>4</v>
      </c>
      <c r="AN595">
        <v>0</v>
      </c>
      <c r="AO595">
        <v>0</v>
      </c>
      <c r="AP595">
        <v>1096</v>
      </c>
      <c r="AQ595">
        <v>15</v>
      </c>
      <c r="AR595">
        <v>2</v>
      </c>
      <c r="AS595">
        <v>1</v>
      </c>
      <c r="AT595">
        <v>1</v>
      </c>
      <c r="AU595">
        <v>4</v>
      </c>
      <c r="AV595">
        <v>1</v>
      </c>
      <c r="AW595">
        <v>15</v>
      </c>
      <c r="AX595">
        <v>0</v>
      </c>
      <c r="AY595">
        <v>1</v>
      </c>
      <c r="AZ595">
        <v>0</v>
      </c>
      <c r="BA595">
        <v>1027</v>
      </c>
      <c r="BB595">
        <v>1</v>
      </c>
      <c r="BC595">
        <v>1</v>
      </c>
      <c r="BD595">
        <v>0</v>
      </c>
      <c r="BE595">
        <v>0</v>
      </c>
      <c r="BF595">
        <v>1</v>
      </c>
      <c r="BG595">
        <v>1</v>
      </c>
      <c r="BH595">
        <v>0</v>
      </c>
      <c r="BI595">
        <v>0</v>
      </c>
      <c r="BJ595">
        <v>0</v>
      </c>
      <c r="BK595">
        <v>7</v>
      </c>
      <c r="BL595">
        <v>969</v>
      </c>
      <c r="BM595">
        <v>0</v>
      </c>
      <c r="BN595">
        <v>17</v>
      </c>
      <c r="BO595">
        <v>0</v>
      </c>
      <c r="BP595">
        <v>6</v>
      </c>
      <c r="BQ595">
        <v>11</v>
      </c>
      <c r="BR595">
        <v>0</v>
      </c>
      <c r="BS595">
        <v>0</v>
      </c>
      <c r="BT595">
        <v>0</v>
      </c>
      <c r="BU595">
        <v>0</v>
      </c>
      <c r="BV595">
        <v>0</v>
      </c>
      <c r="BW595">
        <v>977</v>
      </c>
      <c r="BX595">
        <v>0</v>
      </c>
      <c r="BY595">
        <v>4</v>
      </c>
      <c r="BZ595">
        <v>0</v>
      </c>
      <c r="CA595">
        <v>1</v>
      </c>
      <c r="CB595">
        <v>0</v>
      </c>
      <c r="CC595">
        <v>1</v>
      </c>
      <c r="CD595">
        <v>0</v>
      </c>
      <c r="CE595">
        <v>0</v>
      </c>
      <c r="CF595">
        <v>1</v>
      </c>
      <c r="CG595">
        <v>0</v>
      </c>
      <c r="CH595">
        <v>886</v>
      </c>
      <c r="CI595">
        <v>2</v>
      </c>
      <c r="CJ595">
        <v>0</v>
      </c>
      <c r="CK595">
        <v>2</v>
      </c>
      <c r="CL595">
        <v>0</v>
      </c>
      <c r="CM595">
        <v>4</v>
      </c>
      <c r="CN595">
        <v>1</v>
      </c>
      <c r="CO595">
        <v>0</v>
      </c>
      <c r="CP595">
        <v>0</v>
      </c>
      <c r="CQ595">
        <v>1</v>
      </c>
      <c r="CR595">
        <v>1</v>
      </c>
      <c r="CS595">
        <v>949</v>
      </c>
      <c r="CT595">
        <v>0</v>
      </c>
      <c r="CU595">
        <v>2</v>
      </c>
      <c r="CV595">
        <v>0</v>
      </c>
      <c r="CW595">
        <v>1</v>
      </c>
      <c r="CX595">
        <v>0</v>
      </c>
      <c r="CY595">
        <v>51</v>
      </c>
      <c r="CZ595">
        <v>7</v>
      </c>
      <c r="DA595">
        <v>5</v>
      </c>
      <c r="DB595">
        <v>2</v>
      </c>
      <c r="DC595">
        <v>0</v>
      </c>
      <c r="DD595">
        <v>943</v>
      </c>
      <c r="DE595">
        <v>8</v>
      </c>
      <c r="DF595">
        <v>11</v>
      </c>
      <c r="DG595">
        <v>4</v>
      </c>
      <c r="DH595">
        <v>0</v>
      </c>
      <c r="DI595">
        <v>3</v>
      </c>
      <c r="DJ595">
        <v>0</v>
      </c>
      <c r="DK595">
        <v>2</v>
      </c>
      <c r="DL595">
        <v>0</v>
      </c>
      <c r="DM595">
        <v>1</v>
      </c>
      <c r="DN595">
        <v>1</v>
      </c>
      <c r="DO595">
        <v>963</v>
      </c>
      <c r="DP595">
        <v>0</v>
      </c>
      <c r="DQ595">
        <v>2</v>
      </c>
      <c r="DR595">
        <v>0</v>
      </c>
      <c r="DS595">
        <v>3</v>
      </c>
      <c r="DT595">
        <v>7</v>
      </c>
      <c r="DU595">
        <v>22</v>
      </c>
      <c r="DV595">
        <v>18</v>
      </c>
      <c r="DW595">
        <v>0</v>
      </c>
      <c r="DX595">
        <v>5</v>
      </c>
      <c r="DY595">
        <v>35</v>
      </c>
      <c r="DZ595">
        <v>917</v>
      </c>
      <c r="EA595">
        <v>0.97</v>
      </c>
      <c r="EB595">
        <v>0.97057088363465005</v>
      </c>
      <c r="EC595">
        <v>0.97066863646821799</v>
      </c>
      <c r="ED595">
        <v>0.97001601399882698</v>
      </c>
      <c r="EE595">
        <f>SUM(Table1[[#This Row],[ratio_0]:[ratio_9]])</f>
        <v>640</v>
      </c>
      <c r="EF595" s="1">
        <f>(Table1[[#This Row],[predicted_0]]-Table1[[#This Row],[actual_0]])/Table1[[#This Row],[actual_0]]</f>
        <v>6.1224489795918364E-3</v>
      </c>
      <c r="EG595" s="1">
        <f>(Table1[[#This Row],[predicted_1]]-Table1[[#This Row],[actual_1]])/Table1[[#This Row],[actual_1]]</f>
        <v>-3.3480176211453744E-2</v>
      </c>
      <c r="EH595" s="1">
        <f>(Table1[[#This Row],[predicted_2]]-Table1[[#This Row],[actual_2]])/Table1[[#This Row],[actual_2]]</f>
        <v>7.2674418604651167E-2</v>
      </c>
      <c r="EI595" s="1">
        <f>(Table1[[#This Row],[predicted_3]]-Table1[[#This Row],[actual_3]])/Table1[[#This Row],[actual_3]]</f>
        <v>-2.2772277227722772E-2</v>
      </c>
      <c r="EJ595" s="1">
        <f>(Table1[[#This Row],[predicted_4]]-Table1[[#This Row],[actual_4]])/Table1[[#This Row],[actual_4]]</f>
        <v>2.7494908350305498E-2</v>
      </c>
      <c r="EK595" s="1">
        <f>(Table1[[#This Row],[predicted_5]]-Table1[[#This Row],[actual_5]])/Table1[[#This Row],[actual_5]]</f>
        <v>3.6995515695067267E-2</v>
      </c>
      <c r="EL595" s="1">
        <f>(Table1[[#This Row],[predicted_6]]-Table1[[#This Row],[actual_6]])/Table1[[#This Row],[actual_6]]</f>
        <v>3.1315240083507308E-3</v>
      </c>
      <c r="EM595" s="1">
        <f>(Table1[[#This Row],[predicted_7]]-Table1[[#This Row],[actual_7]])/Table1[[#This Row],[actual_7]]</f>
        <v>-6.8093385214007776E-2</v>
      </c>
      <c r="EN595" s="1">
        <f>(Table1[[#This Row],[predicted_8]]-Table1[[#This Row],[actual_8]])/Table1[[#This Row],[actual_8]]</f>
        <v>6.9815195071868577E-2</v>
      </c>
      <c r="EO595" s="1">
        <f>(Table1[[#This Row],[predicted_9]]-Table1[[#This Row],[actual_9]])/Table1[[#This Row],[actual_9]]</f>
        <v>-8.0277502477700699E-2</v>
      </c>
      <c r="EP595" s="1">
        <f>1+(Table1[[#This Row],[error_ratio_0]]-EF$2)</f>
        <v>1.0040816326530613</v>
      </c>
      <c r="EQ595" s="1">
        <f>1+(Table1[[#This Row],[error_ratio_1]]-EG$2)</f>
        <v>0.96475770925110127</v>
      </c>
      <c r="ER595" s="1">
        <f>1+(Table1[[#This Row],[error_ratio_2]]-EH$2)</f>
        <v>1.0775193798449612</v>
      </c>
      <c r="ES595" s="1">
        <f>1+(Table1[[#This Row],[error_ratio_3]]-EI$2)</f>
        <v>0.9673267326732673</v>
      </c>
      <c r="ET595" s="1">
        <f>1+(Table1[[#This Row],[error_ratio_4]]-EJ$2)</f>
        <v>1.0264765784114054</v>
      </c>
      <c r="EU595" s="1">
        <f>1+(Table1[[#This Row],[error_ratio_5]]-EK$2)</f>
        <v>1.0358744394618835</v>
      </c>
      <c r="EV595" s="1">
        <f>1+(Table1[[#This Row],[error_ratio_6]]-EL$2)</f>
        <v>1.0093945720250521</v>
      </c>
      <c r="EW595" s="1">
        <f>1+(Table1[[#This Row],[error_ratio_7]]-EM$2)</f>
        <v>0.92996108949416345</v>
      </c>
      <c r="EX595" s="1">
        <f>1+(Table1[[#This Row],[error_ratio_8]]-EN$2)</f>
        <v>1.0728952772073921</v>
      </c>
      <c r="EY595" s="1">
        <f>1+(Table1[[#This Row],[error_ratio_9]]-EO$2)</f>
        <v>0.92368681863230917</v>
      </c>
    </row>
    <row r="596" spans="1:155" x14ac:dyDescent="0.75">
      <c r="A596">
        <v>10</v>
      </c>
      <c r="B596">
        <v>10</v>
      </c>
      <c r="C596">
        <v>100</v>
      </c>
      <c r="D596">
        <v>10</v>
      </c>
      <c r="E596">
        <v>100</v>
      </c>
      <c r="F596">
        <v>100</v>
      </c>
      <c r="G596">
        <v>100</v>
      </c>
      <c r="H596">
        <v>10</v>
      </c>
      <c r="I596">
        <v>100</v>
      </c>
      <c r="J596">
        <v>10</v>
      </c>
      <c r="K596">
        <v>954</v>
      </c>
      <c r="L596">
        <v>1128</v>
      </c>
      <c r="M596">
        <v>1083</v>
      </c>
      <c r="N596">
        <v>917</v>
      </c>
      <c r="O596">
        <v>1204</v>
      </c>
      <c r="P596">
        <v>930</v>
      </c>
      <c r="Q596">
        <v>957</v>
      </c>
      <c r="R596">
        <v>1002</v>
      </c>
      <c r="S596">
        <v>1100</v>
      </c>
      <c r="T596">
        <v>725</v>
      </c>
      <c r="U596">
        <v>980</v>
      </c>
      <c r="V596">
        <v>1135</v>
      </c>
      <c r="W596">
        <v>1032</v>
      </c>
      <c r="X596">
        <v>1010</v>
      </c>
      <c r="Y596">
        <v>982</v>
      </c>
      <c r="Z596">
        <v>892</v>
      </c>
      <c r="AA596">
        <v>958</v>
      </c>
      <c r="AB596">
        <v>1028</v>
      </c>
      <c r="AC596">
        <v>974</v>
      </c>
      <c r="AD596">
        <v>1009</v>
      </c>
      <c r="AE596">
        <v>943</v>
      </c>
      <c r="AF596">
        <v>0</v>
      </c>
      <c r="AG596">
        <v>2</v>
      </c>
      <c r="AH596">
        <v>0</v>
      </c>
      <c r="AI596">
        <v>3</v>
      </c>
      <c r="AJ596">
        <v>6</v>
      </c>
      <c r="AK596">
        <v>13</v>
      </c>
      <c r="AL596">
        <v>1</v>
      </c>
      <c r="AM596">
        <v>12</v>
      </c>
      <c r="AN596">
        <v>0</v>
      </c>
      <c r="AO596">
        <v>0</v>
      </c>
      <c r="AP596">
        <v>1115</v>
      </c>
      <c r="AQ596">
        <v>6</v>
      </c>
      <c r="AR596">
        <v>1</v>
      </c>
      <c r="AS596">
        <v>1</v>
      </c>
      <c r="AT596">
        <v>3</v>
      </c>
      <c r="AU596">
        <v>1</v>
      </c>
      <c r="AV596">
        <v>0</v>
      </c>
      <c r="AW596">
        <v>8</v>
      </c>
      <c r="AX596">
        <v>0</v>
      </c>
      <c r="AY596">
        <v>0</v>
      </c>
      <c r="AZ596">
        <v>0</v>
      </c>
      <c r="BA596">
        <v>1018</v>
      </c>
      <c r="BB596">
        <v>0</v>
      </c>
      <c r="BC596">
        <v>3</v>
      </c>
      <c r="BD596">
        <v>0</v>
      </c>
      <c r="BE596">
        <v>1</v>
      </c>
      <c r="BF596">
        <v>6</v>
      </c>
      <c r="BG596">
        <v>4</v>
      </c>
      <c r="BH596">
        <v>0</v>
      </c>
      <c r="BI596">
        <v>0</v>
      </c>
      <c r="BJ596">
        <v>0</v>
      </c>
      <c r="BK596">
        <v>22</v>
      </c>
      <c r="BL596">
        <v>911</v>
      </c>
      <c r="BM596">
        <v>2</v>
      </c>
      <c r="BN596">
        <v>24</v>
      </c>
      <c r="BO596">
        <v>0</v>
      </c>
      <c r="BP596">
        <v>8</v>
      </c>
      <c r="BQ596">
        <v>43</v>
      </c>
      <c r="BR596">
        <v>0</v>
      </c>
      <c r="BS596">
        <v>0</v>
      </c>
      <c r="BT596">
        <v>0</v>
      </c>
      <c r="BU596">
        <v>0</v>
      </c>
      <c r="BV596">
        <v>0</v>
      </c>
      <c r="BW596">
        <v>982</v>
      </c>
      <c r="BX596">
        <v>0</v>
      </c>
      <c r="BY596">
        <v>0</v>
      </c>
      <c r="BZ596">
        <v>0</v>
      </c>
      <c r="CA596">
        <v>0</v>
      </c>
      <c r="CB596">
        <v>0</v>
      </c>
      <c r="CC596">
        <v>2</v>
      </c>
      <c r="CD596">
        <v>0</v>
      </c>
      <c r="CE596">
        <v>0</v>
      </c>
      <c r="CF596">
        <v>1</v>
      </c>
      <c r="CG596">
        <v>0</v>
      </c>
      <c r="CH596">
        <v>879</v>
      </c>
      <c r="CI596">
        <v>2</v>
      </c>
      <c r="CJ596">
        <v>1</v>
      </c>
      <c r="CK596">
        <v>7</v>
      </c>
      <c r="CL596">
        <v>0</v>
      </c>
      <c r="CM596">
        <v>0</v>
      </c>
      <c r="CN596">
        <v>3</v>
      </c>
      <c r="CO596">
        <v>1</v>
      </c>
      <c r="CP596">
        <v>0</v>
      </c>
      <c r="CQ596">
        <v>7</v>
      </c>
      <c r="CR596">
        <v>4</v>
      </c>
      <c r="CS596">
        <v>939</v>
      </c>
      <c r="CT596">
        <v>0</v>
      </c>
      <c r="CU596">
        <v>4</v>
      </c>
      <c r="CV596">
        <v>0</v>
      </c>
      <c r="CW596">
        <v>2</v>
      </c>
      <c r="CX596">
        <v>5</v>
      </c>
      <c r="CY596">
        <v>30</v>
      </c>
      <c r="CZ596">
        <v>2</v>
      </c>
      <c r="DA596">
        <v>13</v>
      </c>
      <c r="DB596">
        <v>2</v>
      </c>
      <c r="DC596">
        <v>0</v>
      </c>
      <c r="DD596">
        <v>962</v>
      </c>
      <c r="DE596">
        <v>12</v>
      </c>
      <c r="DF596">
        <v>0</v>
      </c>
      <c r="DG596">
        <v>0</v>
      </c>
      <c r="DH596">
        <v>0</v>
      </c>
      <c r="DI596">
        <v>1</v>
      </c>
      <c r="DJ596">
        <v>0</v>
      </c>
      <c r="DK596">
        <v>3</v>
      </c>
      <c r="DL596">
        <v>0</v>
      </c>
      <c r="DM596">
        <v>0</v>
      </c>
      <c r="DN596">
        <v>2</v>
      </c>
      <c r="DO596">
        <v>968</v>
      </c>
      <c r="DP596">
        <v>0</v>
      </c>
      <c r="DQ596">
        <v>7</v>
      </c>
      <c r="DR596">
        <v>5</v>
      </c>
      <c r="DS596">
        <v>3</v>
      </c>
      <c r="DT596">
        <v>2</v>
      </c>
      <c r="DU596">
        <v>190</v>
      </c>
      <c r="DV596">
        <v>12</v>
      </c>
      <c r="DW596">
        <v>1</v>
      </c>
      <c r="DX596">
        <v>22</v>
      </c>
      <c r="DY596">
        <v>42</v>
      </c>
      <c r="DZ596">
        <v>725</v>
      </c>
      <c r="EA596">
        <v>0.94420000000000004</v>
      </c>
      <c r="EB596">
        <v>0.94924302076687395</v>
      </c>
      <c r="EC596">
        <v>0.94468017850019503</v>
      </c>
      <c r="ED596">
        <v>0.94302167350176502</v>
      </c>
      <c r="EE596">
        <f>SUM(Table1[[#This Row],[ratio_0]:[ratio_9]])</f>
        <v>550</v>
      </c>
      <c r="EF596" s="1">
        <f>(Table1[[#This Row],[predicted_0]]-Table1[[#This Row],[actual_0]])/Table1[[#This Row],[actual_0]]</f>
        <v>-2.6530612244897958E-2</v>
      </c>
      <c r="EG596" s="1">
        <f>(Table1[[#This Row],[predicted_1]]-Table1[[#This Row],[actual_1]])/Table1[[#This Row],[actual_1]]</f>
        <v>-6.1674008810572688E-3</v>
      </c>
      <c r="EH596" s="1">
        <f>(Table1[[#This Row],[predicted_2]]-Table1[[#This Row],[actual_2]])/Table1[[#This Row],[actual_2]]</f>
        <v>4.9418604651162788E-2</v>
      </c>
      <c r="EI596" s="1">
        <f>(Table1[[#This Row],[predicted_3]]-Table1[[#This Row],[actual_3]])/Table1[[#This Row],[actual_3]]</f>
        <v>-9.2079207920792078E-2</v>
      </c>
      <c r="EJ596" s="1">
        <f>(Table1[[#This Row],[predicted_4]]-Table1[[#This Row],[actual_4]])/Table1[[#This Row],[actual_4]]</f>
        <v>0.22606924643584522</v>
      </c>
      <c r="EK596" s="1">
        <f>(Table1[[#This Row],[predicted_5]]-Table1[[#This Row],[actual_5]])/Table1[[#This Row],[actual_5]]</f>
        <v>4.2600896860986545E-2</v>
      </c>
      <c r="EL596" s="1">
        <f>(Table1[[#This Row],[predicted_6]]-Table1[[#This Row],[actual_6]])/Table1[[#This Row],[actual_6]]</f>
        <v>-1.0438413361169101E-3</v>
      </c>
      <c r="EM596" s="1">
        <f>(Table1[[#This Row],[predicted_7]]-Table1[[#This Row],[actual_7]])/Table1[[#This Row],[actual_7]]</f>
        <v>-2.5291828793774319E-2</v>
      </c>
      <c r="EN596" s="1">
        <f>(Table1[[#This Row],[predicted_8]]-Table1[[#This Row],[actual_8]])/Table1[[#This Row],[actual_8]]</f>
        <v>0.12936344969199179</v>
      </c>
      <c r="EO596" s="1">
        <f>(Table1[[#This Row],[predicted_9]]-Table1[[#This Row],[actual_9]])/Table1[[#This Row],[actual_9]]</f>
        <v>-0.28146679881070369</v>
      </c>
      <c r="EP596" s="1">
        <f>1+(Table1[[#This Row],[error_ratio_0]]-EF$2)</f>
        <v>0.97142857142857142</v>
      </c>
      <c r="EQ596" s="1">
        <f>1+(Table1[[#This Row],[error_ratio_1]]-EG$2)</f>
        <v>0.99207048458149782</v>
      </c>
      <c r="ER596" s="1">
        <f>1+(Table1[[#This Row],[error_ratio_2]]-EH$2)</f>
        <v>1.054263565891473</v>
      </c>
      <c r="ES596" s="1">
        <f>1+(Table1[[#This Row],[error_ratio_3]]-EI$2)</f>
        <v>0.89801980198019804</v>
      </c>
      <c r="ET596" s="1">
        <f>1+(Table1[[#This Row],[error_ratio_4]]-EJ$2)</f>
        <v>1.225050916496945</v>
      </c>
      <c r="EU596" s="1">
        <f>1+(Table1[[#This Row],[error_ratio_5]]-EK$2)</f>
        <v>1.0414798206278026</v>
      </c>
      <c r="EV596" s="1">
        <f>1+(Table1[[#This Row],[error_ratio_6]]-EL$2)</f>
        <v>1.0052192066805845</v>
      </c>
      <c r="EW596" s="1">
        <f>1+(Table1[[#This Row],[error_ratio_7]]-EM$2)</f>
        <v>0.97276264591439687</v>
      </c>
      <c r="EX596" s="1">
        <f>1+(Table1[[#This Row],[error_ratio_8]]-EN$2)</f>
        <v>1.1324435318275154</v>
      </c>
      <c r="EY596" s="1">
        <f>1+(Table1[[#This Row],[error_ratio_9]]-EO$2)</f>
        <v>0.72249752229930619</v>
      </c>
    </row>
    <row r="597" spans="1:155" x14ac:dyDescent="0.75">
      <c r="A597">
        <v>100</v>
      </c>
      <c r="B597">
        <v>100</v>
      </c>
      <c r="C597">
        <v>10</v>
      </c>
      <c r="D597">
        <v>10</v>
      </c>
      <c r="E597">
        <v>100</v>
      </c>
      <c r="F597">
        <v>100</v>
      </c>
      <c r="G597">
        <v>100</v>
      </c>
      <c r="H597">
        <v>10</v>
      </c>
      <c r="I597">
        <v>100</v>
      </c>
      <c r="J597">
        <v>10</v>
      </c>
      <c r="K597">
        <v>998</v>
      </c>
      <c r="L597">
        <v>1172</v>
      </c>
      <c r="M597">
        <v>989</v>
      </c>
      <c r="N597">
        <v>980</v>
      </c>
      <c r="O597">
        <v>1034</v>
      </c>
      <c r="P597">
        <v>927</v>
      </c>
      <c r="Q597">
        <v>958</v>
      </c>
      <c r="R597">
        <v>987</v>
      </c>
      <c r="S597">
        <v>989</v>
      </c>
      <c r="T597">
        <v>966</v>
      </c>
      <c r="U597">
        <v>980</v>
      </c>
      <c r="V597">
        <v>1135</v>
      </c>
      <c r="W597">
        <v>1032</v>
      </c>
      <c r="X597">
        <v>1010</v>
      </c>
      <c r="Y597">
        <v>982</v>
      </c>
      <c r="Z597">
        <v>892</v>
      </c>
      <c r="AA597">
        <v>958</v>
      </c>
      <c r="AB597">
        <v>1028</v>
      </c>
      <c r="AC597">
        <v>974</v>
      </c>
      <c r="AD597">
        <v>1009</v>
      </c>
      <c r="AE597">
        <v>976</v>
      </c>
      <c r="AF597">
        <v>1</v>
      </c>
      <c r="AG597">
        <v>0</v>
      </c>
      <c r="AH597">
        <v>0</v>
      </c>
      <c r="AI597">
        <v>0</v>
      </c>
      <c r="AJ597">
        <v>0</v>
      </c>
      <c r="AK597">
        <v>1</v>
      </c>
      <c r="AL597">
        <v>1</v>
      </c>
      <c r="AM597">
        <v>1</v>
      </c>
      <c r="AN597">
        <v>0</v>
      </c>
      <c r="AO597">
        <v>0</v>
      </c>
      <c r="AP597">
        <v>1130</v>
      </c>
      <c r="AQ597">
        <v>0</v>
      </c>
      <c r="AR597">
        <v>1</v>
      </c>
      <c r="AS597">
        <v>0</v>
      </c>
      <c r="AT597">
        <v>1</v>
      </c>
      <c r="AU597">
        <v>2</v>
      </c>
      <c r="AV597">
        <v>0</v>
      </c>
      <c r="AW597">
        <v>1</v>
      </c>
      <c r="AX597">
        <v>0</v>
      </c>
      <c r="AY597">
        <v>8</v>
      </c>
      <c r="AZ597">
        <v>14</v>
      </c>
      <c r="BA597">
        <v>979</v>
      </c>
      <c r="BB597">
        <v>3</v>
      </c>
      <c r="BC597">
        <v>3</v>
      </c>
      <c r="BD597">
        <v>1</v>
      </c>
      <c r="BE597">
        <v>4</v>
      </c>
      <c r="BF597">
        <v>6</v>
      </c>
      <c r="BG597">
        <v>14</v>
      </c>
      <c r="BH597">
        <v>0</v>
      </c>
      <c r="BI597">
        <v>0</v>
      </c>
      <c r="BJ597">
        <v>0</v>
      </c>
      <c r="BK597">
        <v>2</v>
      </c>
      <c r="BL597">
        <v>963</v>
      </c>
      <c r="BM597">
        <v>0</v>
      </c>
      <c r="BN597">
        <v>25</v>
      </c>
      <c r="BO597">
        <v>0</v>
      </c>
      <c r="BP597">
        <v>4</v>
      </c>
      <c r="BQ597">
        <v>6</v>
      </c>
      <c r="BR597">
        <v>10</v>
      </c>
      <c r="BS597">
        <v>0</v>
      </c>
      <c r="BT597">
        <v>1</v>
      </c>
      <c r="BU597">
        <v>0</v>
      </c>
      <c r="BV597">
        <v>0</v>
      </c>
      <c r="BW597">
        <v>980</v>
      </c>
      <c r="BX597">
        <v>0</v>
      </c>
      <c r="BY597">
        <v>0</v>
      </c>
      <c r="BZ597">
        <v>0</v>
      </c>
      <c r="CA597">
        <v>0</v>
      </c>
      <c r="CB597">
        <v>1</v>
      </c>
      <c r="CC597">
        <v>1</v>
      </c>
      <c r="CD597">
        <v>0</v>
      </c>
      <c r="CE597">
        <v>0</v>
      </c>
      <c r="CF597">
        <v>3</v>
      </c>
      <c r="CG597">
        <v>0</v>
      </c>
      <c r="CH597">
        <v>884</v>
      </c>
      <c r="CI597">
        <v>1</v>
      </c>
      <c r="CJ597">
        <v>0</v>
      </c>
      <c r="CK597">
        <v>1</v>
      </c>
      <c r="CL597">
        <v>2</v>
      </c>
      <c r="CM597">
        <v>4</v>
      </c>
      <c r="CN597">
        <v>2</v>
      </c>
      <c r="CO597">
        <v>0</v>
      </c>
      <c r="CP597">
        <v>0</v>
      </c>
      <c r="CQ597">
        <v>3</v>
      </c>
      <c r="CR597">
        <v>3</v>
      </c>
      <c r="CS597">
        <v>946</v>
      </c>
      <c r="CT597">
        <v>0</v>
      </c>
      <c r="CU597">
        <v>0</v>
      </c>
      <c r="CV597">
        <v>0</v>
      </c>
      <c r="CW597">
        <v>2</v>
      </c>
      <c r="CX597">
        <v>18</v>
      </c>
      <c r="CY597">
        <v>5</v>
      </c>
      <c r="CZ597">
        <v>5</v>
      </c>
      <c r="DA597">
        <v>7</v>
      </c>
      <c r="DB597">
        <v>3</v>
      </c>
      <c r="DC597">
        <v>0</v>
      </c>
      <c r="DD597">
        <v>970</v>
      </c>
      <c r="DE597">
        <v>6</v>
      </c>
      <c r="DF597">
        <v>12</v>
      </c>
      <c r="DG597">
        <v>1</v>
      </c>
      <c r="DH597">
        <v>0</v>
      </c>
      <c r="DI597">
        <v>2</v>
      </c>
      <c r="DJ597">
        <v>1</v>
      </c>
      <c r="DK597">
        <v>3</v>
      </c>
      <c r="DL597">
        <v>1</v>
      </c>
      <c r="DM597">
        <v>4</v>
      </c>
      <c r="DN597">
        <v>1</v>
      </c>
      <c r="DO597">
        <v>957</v>
      </c>
      <c r="DP597">
        <v>4</v>
      </c>
      <c r="DQ597">
        <v>6</v>
      </c>
      <c r="DR597">
        <v>6</v>
      </c>
      <c r="DS597">
        <v>1</v>
      </c>
      <c r="DT597">
        <v>4</v>
      </c>
      <c r="DU597">
        <v>38</v>
      </c>
      <c r="DV597">
        <v>9</v>
      </c>
      <c r="DW597">
        <v>0</v>
      </c>
      <c r="DX597">
        <v>5</v>
      </c>
      <c r="DY597">
        <v>3</v>
      </c>
      <c r="DZ597">
        <v>937</v>
      </c>
      <c r="EA597">
        <v>0.97219999999999995</v>
      </c>
      <c r="EB597">
        <v>0.972392438285132</v>
      </c>
      <c r="EC597">
        <v>0.97248586604028298</v>
      </c>
      <c r="ED597">
        <v>0.97214860058542596</v>
      </c>
      <c r="EE597">
        <f>SUM(Table1[[#This Row],[ratio_0]:[ratio_9]])</f>
        <v>640</v>
      </c>
      <c r="EF597" s="1">
        <f>(Table1[[#This Row],[predicted_0]]-Table1[[#This Row],[actual_0]])/Table1[[#This Row],[actual_0]]</f>
        <v>1.8367346938775512E-2</v>
      </c>
      <c r="EG597" s="1">
        <f>(Table1[[#This Row],[predicted_1]]-Table1[[#This Row],[actual_1]])/Table1[[#This Row],[actual_1]]</f>
        <v>3.2599118942731278E-2</v>
      </c>
      <c r="EH597" s="1">
        <f>(Table1[[#This Row],[predicted_2]]-Table1[[#This Row],[actual_2]])/Table1[[#This Row],[actual_2]]</f>
        <v>-4.1666666666666664E-2</v>
      </c>
      <c r="EI597" s="1">
        <f>(Table1[[#This Row],[predicted_3]]-Table1[[#This Row],[actual_3]])/Table1[[#This Row],[actual_3]]</f>
        <v>-2.9702970297029702E-2</v>
      </c>
      <c r="EJ597" s="1">
        <f>(Table1[[#This Row],[predicted_4]]-Table1[[#This Row],[actual_4]])/Table1[[#This Row],[actual_4]]</f>
        <v>5.2953156822810592E-2</v>
      </c>
      <c r="EK597" s="1">
        <f>(Table1[[#This Row],[predicted_5]]-Table1[[#This Row],[actual_5]])/Table1[[#This Row],[actual_5]]</f>
        <v>3.923766816143498E-2</v>
      </c>
      <c r="EL597" s="1">
        <f>(Table1[[#This Row],[predicted_6]]-Table1[[#This Row],[actual_6]])/Table1[[#This Row],[actual_6]]</f>
        <v>0</v>
      </c>
      <c r="EM597" s="1">
        <f>(Table1[[#This Row],[predicted_7]]-Table1[[#This Row],[actual_7]])/Table1[[#This Row],[actual_7]]</f>
        <v>-3.9883268482490269E-2</v>
      </c>
      <c r="EN597" s="1">
        <f>(Table1[[#This Row],[predicted_8]]-Table1[[#This Row],[actual_8]])/Table1[[#This Row],[actual_8]]</f>
        <v>1.5400410677618069E-2</v>
      </c>
      <c r="EO597" s="1">
        <f>(Table1[[#This Row],[predicted_9]]-Table1[[#This Row],[actual_9]])/Table1[[#This Row],[actual_9]]</f>
        <v>-4.261645193260654E-2</v>
      </c>
      <c r="EP597" s="1">
        <f>1+(Table1[[#This Row],[error_ratio_0]]-EF$2)</f>
        <v>1.0163265306122449</v>
      </c>
      <c r="EQ597" s="1">
        <f>1+(Table1[[#This Row],[error_ratio_1]]-EG$2)</f>
        <v>1.0308370044052864</v>
      </c>
      <c r="ER597" s="1">
        <f>1+(Table1[[#This Row],[error_ratio_2]]-EH$2)</f>
        <v>0.96317829457364346</v>
      </c>
      <c r="ES597" s="1">
        <f>1+(Table1[[#This Row],[error_ratio_3]]-EI$2)</f>
        <v>0.96039603960396036</v>
      </c>
      <c r="ET597" s="1">
        <f>1+(Table1[[#This Row],[error_ratio_4]]-EJ$2)</f>
        <v>1.0519348268839104</v>
      </c>
      <c r="EU597" s="1">
        <f>1+(Table1[[#This Row],[error_ratio_5]]-EK$2)</f>
        <v>1.0381165919282511</v>
      </c>
      <c r="EV597" s="1">
        <f>1+(Table1[[#This Row],[error_ratio_6]]-EL$2)</f>
        <v>1.0062630480167014</v>
      </c>
      <c r="EW597" s="1">
        <f>1+(Table1[[#This Row],[error_ratio_7]]-EM$2)</f>
        <v>0.95817120622568097</v>
      </c>
      <c r="EX597" s="1">
        <f>1+(Table1[[#This Row],[error_ratio_8]]-EN$2)</f>
        <v>1.0184804928131417</v>
      </c>
      <c r="EY597" s="1">
        <f>1+(Table1[[#This Row],[error_ratio_9]]-EO$2)</f>
        <v>0.96134786917740334</v>
      </c>
    </row>
    <row r="598" spans="1:155" x14ac:dyDescent="0.75">
      <c r="A598">
        <v>10</v>
      </c>
      <c r="B598">
        <v>100</v>
      </c>
      <c r="C598">
        <v>10</v>
      </c>
      <c r="D598">
        <v>10</v>
      </c>
      <c r="E598">
        <v>100</v>
      </c>
      <c r="F598">
        <v>100</v>
      </c>
      <c r="G598">
        <v>100</v>
      </c>
      <c r="H598">
        <v>10</v>
      </c>
      <c r="I598">
        <v>100</v>
      </c>
      <c r="J598">
        <v>10</v>
      </c>
      <c r="K598">
        <v>995</v>
      </c>
      <c r="L598">
        <v>1171</v>
      </c>
      <c r="M598">
        <v>976</v>
      </c>
      <c r="N598">
        <v>992</v>
      </c>
      <c r="O598">
        <v>1069</v>
      </c>
      <c r="P598">
        <v>938</v>
      </c>
      <c r="Q598">
        <v>936</v>
      </c>
      <c r="R598">
        <v>1040</v>
      </c>
      <c r="S598">
        <v>1021</v>
      </c>
      <c r="T598">
        <v>862</v>
      </c>
      <c r="U598">
        <v>980</v>
      </c>
      <c r="V598">
        <v>1135</v>
      </c>
      <c r="W598">
        <v>1032</v>
      </c>
      <c r="X598">
        <v>1010</v>
      </c>
      <c r="Y598">
        <v>982</v>
      </c>
      <c r="Z598">
        <v>892</v>
      </c>
      <c r="AA598">
        <v>958</v>
      </c>
      <c r="AB598">
        <v>1028</v>
      </c>
      <c r="AC598">
        <v>974</v>
      </c>
      <c r="AD598">
        <v>1009</v>
      </c>
      <c r="AE598">
        <v>963</v>
      </c>
      <c r="AF598">
        <v>0</v>
      </c>
      <c r="AG598">
        <v>0</v>
      </c>
      <c r="AH598">
        <v>0</v>
      </c>
      <c r="AI598">
        <v>3</v>
      </c>
      <c r="AJ598">
        <v>5</v>
      </c>
      <c r="AK598">
        <v>2</v>
      </c>
      <c r="AL598">
        <v>2</v>
      </c>
      <c r="AM598">
        <v>5</v>
      </c>
      <c r="AN598">
        <v>0</v>
      </c>
      <c r="AO598">
        <v>0</v>
      </c>
      <c r="AP598">
        <v>1129</v>
      </c>
      <c r="AQ598">
        <v>0</v>
      </c>
      <c r="AR598">
        <v>1</v>
      </c>
      <c r="AS598">
        <v>0</v>
      </c>
      <c r="AT598">
        <v>0</v>
      </c>
      <c r="AU598">
        <v>3</v>
      </c>
      <c r="AV598">
        <v>0</v>
      </c>
      <c r="AW598">
        <v>2</v>
      </c>
      <c r="AX598">
        <v>0</v>
      </c>
      <c r="AY598">
        <v>8</v>
      </c>
      <c r="AZ598">
        <v>17</v>
      </c>
      <c r="BA598">
        <v>956</v>
      </c>
      <c r="BB598">
        <v>20</v>
      </c>
      <c r="BC598">
        <v>13</v>
      </c>
      <c r="BD598">
        <v>0</v>
      </c>
      <c r="BE598">
        <v>0</v>
      </c>
      <c r="BF598">
        <v>7</v>
      </c>
      <c r="BG598">
        <v>10</v>
      </c>
      <c r="BH598">
        <v>1</v>
      </c>
      <c r="BI598">
        <v>0</v>
      </c>
      <c r="BJ598">
        <v>1</v>
      </c>
      <c r="BK598">
        <v>1</v>
      </c>
      <c r="BL598">
        <v>959</v>
      </c>
      <c r="BM598">
        <v>0</v>
      </c>
      <c r="BN598">
        <v>27</v>
      </c>
      <c r="BO598">
        <v>0</v>
      </c>
      <c r="BP598">
        <v>10</v>
      </c>
      <c r="BQ598">
        <v>9</v>
      </c>
      <c r="BR598">
        <v>3</v>
      </c>
      <c r="BS598">
        <v>0</v>
      </c>
      <c r="BT598">
        <v>0</v>
      </c>
      <c r="BU598">
        <v>0</v>
      </c>
      <c r="BV598">
        <v>0</v>
      </c>
      <c r="BW598">
        <v>980</v>
      </c>
      <c r="BX598">
        <v>0</v>
      </c>
      <c r="BY598">
        <v>0</v>
      </c>
      <c r="BZ598">
        <v>0</v>
      </c>
      <c r="CA598">
        <v>1</v>
      </c>
      <c r="CB598">
        <v>1</v>
      </c>
      <c r="CC598">
        <v>1</v>
      </c>
      <c r="CD598">
        <v>0</v>
      </c>
      <c r="CE598">
        <v>0</v>
      </c>
      <c r="CF598">
        <v>2</v>
      </c>
      <c r="CG598">
        <v>0</v>
      </c>
      <c r="CH598">
        <v>887</v>
      </c>
      <c r="CI598">
        <v>1</v>
      </c>
      <c r="CJ598">
        <v>0</v>
      </c>
      <c r="CK598">
        <v>1</v>
      </c>
      <c r="CL598">
        <v>0</v>
      </c>
      <c r="CM598">
        <v>10</v>
      </c>
      <c r="CN598">
        <v>3</v>
      </c>
      <c r="CO598">
        <v>0</v>
      </c>
      <c r="CP598">
        <v>0</v>
      </c>
      <c r="CQ598">
        <v>7</v>
      </c>
      <c r="CR598">
        <v>7</v>
      </c>
      <c r="CS598">
        <v>930</v>
      </c>
      <c r="CT598">
        <v>0</v>
      </c>
      <c r="CU598">
        <v>1</v>
      </c>
      <c r="CV598">
        <v>0</v>
      </c>
      <c r="CW598">
        <v>2</v>
      </c>
      <c r="CX598">
        <v>15</v>
      </c>
      <c r="CY598">
        <v>19</v>
      </c>
      <c r="CZ598">
        <v>3</v>
      </c>
      <c r="DA598">
        <v>5</v>
      </c>
      <c r="DB598">
        <v>0</v>
      </c>
      <c r="DC598">
        <v>0</v>
      </c>
      <c r="DD598">
        <v>973</v>
      </c>
      <c r="DE598">
        <v>11</v>
      </c>
      <c r="DF598">
        <v>0</v>
      </c>
      <c r="DG598">
        <v>1</v>
      </c>
      <c r="DH598">
        <v>0</v>
      </c>
      <c r="DI598">
        <v>0</v>
      </c>
      <c r="DJ598">
        <v>5</v>
      </c>
      <c r="DK598">
        <v>3</v>
      </c>
      <c r="DL598">
        <v>1</v>
      </c>
      <c r="DM598">
        <v>0</v>
      </c>
      <c r="DN598">
        <v>1</v>
      </c>
      <c r="DO598">
        <v>962</v>
      </c>
      <c r="DP598">
        <v>1</v>
      </c>
      <c r="DQ598">
        <v>10</v>
      </c>
      <c r="DR598">
        <v>6</v>
      </c>
      <c r="DS598">
        <v>0</v>
      </c>
      <c r="DT598">
        <v>2</v>
      </c>
      <c r="DU598">
        <v>58</v>
      </c>
      <c r="DV598">
        <v>11</v>
      </c>
      <c r="DW598">
        <v>0</v>
      </c>
      <c r="DX598">
        <v>47</v>
      </c>
      <c r="DY598">
        <v>19</v>
      </c>
      <c r="DZ598">
        <v>856</v>
      </c>
      <c r="EA598">
        <v>0.95950000000000002</v>
      </c>
      <c r="EB598">
        <v>0.96050077281312896</v>
      </c>
      <c r="EC598">
        <v>0.95989011022742299</v>
      </c>
      <c r="ED598">
        <v>0.95921222197098399</v>
      </c>
      <c r="EE598">
        <f>SUM(Table1[[#This Row],[ratio_0]:[ratio_9]])</f>
        <v>550</v>
      </c>
      <c r="EF598" s="1">
        <f>(Table1[[#This Row],[predicted_0]]-Table1[[#This Row],[actual_0]])/Table1[[#This Row],[actual_0]]</f>
        <v>1.5306122448979591E-2</v>
      </c>
      <c r="EG598" s="1">
        <f>(Table1[[#This Row],[predicted_1]]-Table1[[#This Row],[actual_1]])/Table1[[#This Row],[actual_1]]</f>
        <v>3.1718061674008813E-2</v>
      </c>
      <c r="EH598" s="1">
        <f>(Table1[[#This Row],[predicted_2]]-Table1[[#This Row],[actual_2]])/Table1[[#This Row],[actual_2]]</f>
        <v>-5.4263565891472867E-2</v>
      </c>
      <c r="EI598" s="1">
        <f>(Table1[[#This Row],[predicted_3]]-Table1[[#This Row],[actual_3]])/Table1[[#This Row],[actual_3]]</f>
        <v>-1.782178217821782E-2</v>
      </c>
      <c r="EJ598" s="1">
        <f>(Table1[[#This Row],[predicted_4]]-Table1[[#This Row],[actual_4]])/Table1[[#This Row],[actual_4]]</f>
        <v>8.8594704684317724E-2</v>
      </c>
      <c r="EK598" s="1">
        <f>(Table1[[#This Row],[predicted_5]]-Table1[[#This Row],[actual_5]])/Table1[[#This Row],[actual_5]]</f>
        <v>5.1569506726457402E-2</v>
      </c>
      <c r="EL598" s="1">
        <f>(Table1[[#This Row],[predicted_6]]-Table1[[#This Row],[actual_6]])/Table1[[#This Row],[actual_6]]</f>
        <v>-2.2964509394572025E-2</v>
      </c>
      <c r="EM598" s="1">
        <f>(Table1[[#This Row],[predicted_7]]-Table1[[#This Row],[actual_7]])/Table1[[#This Row],[actual_7]]</f>
        <v>1.1673151750972763E-2</v>
      </c>
      <c r="EN598" s="1">
        <f>(Table1[[#This Row],[predicted_8]]-Table1[[#This Row],[actual_8]])/Table1[[#This Row],[actual_8]]</f>
        <v>4.8254620123203286E-2</v>
      </c>
      <c r="EO598" s="1">
        <f>(Table1[[#This Row],[predicted_9]]-Table1[[#This Row],[actual_9]])/Table1[[#This Row],[actual_9]]</f>
        <v>-0.14568880079286423</v>
      </c>
      <c r="EP598" s="1">
        <f>1+(Table1[[#This Row],[error_ratio_0]]-EF$2)</f>
        <v>1.013265306122449</v>
      </c>
      <c r="EQ598" s="1">
        <f>1+(Table1[[#This Row],[error_ratio_1]]-EG$2)</f>
        <v>1.0299559471365638</v>
      </c>
      <c r="ER598" s="1">
        <f>1+(Table1[[#This Row],[error_ratio_2]]-EH$2)</f>
        <v>0.95058139534883723</v>
      </c>
      <c r="ES598" s="1">
        <f>1+(Table1[[#This Row],[error_ratio_3]]-EI$2)</f>
        <v>0.97227722772277225</v>
      </c>
      <c r="ET598" s="1">
        <f>1+(Table1[[#This Row],[error_ratio_4]]-EJ$2)</f>
        <v>1.0875763747454175</v>
      </c>
      <c r="EU598" s="1">
        <f>1+(Table1[[#This Row],[error_ratio_5]]-EK$2)</f>
        <v>1.0504484304932735</v>
      </c>
      <c r="EV598" s="1">
        <f>1+(Table1[[#This Row],[error_ratio_6]]-EL$2)</f>
        <v>0.98329853862212946</v>
      </c>
      <c r="EW598" s="1">
        <f>1+(Table1[[#This Row],[error_ratio_7]]-EM$2)</f>
        <v>1.0097276264591439</v>
      </c>
      <c r="EX598" s="1">
        <f>1+(Table1[[#This Row],[error_ratio_8]]-EN$2)</f>
        <v>1.0513347022587269</v>
      </c>
      <c r="EY598" s="1">
        <f>1+(Table1[[#This Row],[error_ratio_9]]-EO$2)</f>
        <v>0.85827552031714571</v>
      </c>
    </row>
    <row r="599" spans="1:155" x14ac:dyDescent="0.75">
      <c r="A599">
        <v>100</v>
      </c>
      <c r="B599">
        <v>10</v>
      </c>
      <c r="C599">
        <v>10</v>
      </c>
      <c r="D599">
        <v>10</v>
      </c>
      <c r="E599">
        <v>100</v>
      </c>
      <c r="F599">
        <v>100</v>
      </c>
      <c r="G599">
        <v>100</v>
      </c>
      <c r="H599">
        <v>10</v>
      </c>
      <c r="I599">
        <v>100</v>
      </c>
      <c r="J599">
        <v>10</v>
      </c>
      <c r="K599">
        <v>1007</v>
      </c>
      <c r="L599">
        <v>1106</v>
      </c>
      <c r="M599">
        <v>1058</v>
      </c>
      <c r="N599">
        <v>1017</v>
      </c>
      <c r="O599">
        <v>958</v>
      </c>
      <c r="P599">
        <v>943</v>
      </c>
      <c r="Q599">
        <v>953</v>
      </c>
      <c r="R599">
        <v>982</v>
      </c>
      <c r="S599">
        <v>1027</v>
      </c>
      <c r="T599">
        <v>949</v>
      </c>
      <c r="U599">
        <v>980</v>
      </c>
      <c r="V599">
        <v>1135</v>
      </c>
      <c r="W599">
        <v>1032</v>
      </c>
      <c r="X599">
        <v>1010</v>
      </c>
      <c r="Y599">
        <v>982</v>
      </c>
      <c r="Z599">
        <v>892</v>
      </c>
      <c r="AA599">
        <v>958</v>
      </c>
      <c r="AB599">
        <v>1028</v>
      </c>
      <c r="AC599">
        <v>974</v>
      </c>
      <c r="AD599">
        <v>1009</v>
      </c>
      <c r="AE599">
        <v>977</v>
      </c>
      <c r="AF599">
        <v>0</v>
      </c>
      <c r="AG599">
        <v>0</v>
      </c>
      <c r="AH599">
        <v>0</v>
      </c>
      <c r="AI599">
        <v>0</v>
      </c>
      <c r="AJ599">
        <v>0</v>
      </c>
      <c r="AK599">
        <v>0</v>
      </c>
      <c r="AL599">
        <v>1</v>
      </c>
      <c r="AM599">
        <v>2</v>
      </c>
      <c r="AN599">
        <v>0</v>
      </c>
      <c r="AO599">
        <v>0</v>
      </c>
      <c r="AP599">
        <v>1101</v>
      </c>
      <c r="AQ599">
        <v>2</v>
      </c>
      <c r="AR599">
        <v>16</v>
      </c>
      <c r="AS599">
        <v>0</v>
      </c>
      <c r="AT599">
        <v>3</v>
      </c>
      <c r="AU599">
        <v>3</v>
      </c>
      <c r="AV599">
        <v>2</v>
      </c>
      <c r="AW599">
        <v>7</v>
      </c>
      <c r="AX599">
        <v>1</v>
      </c>
      <c r="AY599">
        <v>7</v>
      </c>
      <c r="AZ599">
        <v>0</v>
      </c>
      <c r="BA599">
        <v>1009</v>
      </c>
      <c r="BB599">
        <v>4</v>
      </c>
      <c r="BC599">
        <v>2</v>
      </c>
      <c r="BD599">
        <v>0</v>
      </c>
      <c r="BE599">
        <v>1</v>
      </c>
      <c r="BF599">
        <v>4</v>
      </c>
      <c r="BG599">
        <v>5</v>
      </c>
      <c r="BH599">
        <v>0</v>
      </c>
      <c r="BI599">
        <v>0</v>
      </c>
      <c r="BJ599">
        <v>0</v>
      </c>
      <c r="BK599">
        <v>6</v>
      </c>
      <c r="BL599">
        <v>963</v>
      </c>
      <c r="BM599">
        <v>0</v>
      </c>
      <c r="BN599">
        <v>28</v>
      </c>
      <c r="BO599">
        <v>0</v>
      </c>
      <c r="BP599">
        <v>5</v>
      </c>
      <c r="BQ599">
        <v>8</v>
      </c>
      <c r="BR599">
        <v>0</v>
      </c>
      <c r="BS599">
        <v>1</v>
      </c>
      <c r="BT599">
        <v>0</v>
      </c>
      <c r="BU599">
        <v>3</v>
      </c>
      <c r="BV599">
        <v>1</v>
      </c>
      <c r="BW599">
        <v>952</v>
      </c>
      <c r="BX599">
        <v>1</v>
      </c>
      <c r="BY599">
        <v>4</v>
      </c>
      <c r="BZ599">
        <v>1</v>
      </c>
      <c r="CA599">
        <v>6</v>
      </c>
      <c r="CB599">
        <v>13</v>
      </c>
      <c r="CC599">
        <v>0</v>
      </c>
      <c r="CD599">
        <v>0</v>
      </c>
      <c r="CE599">
        <v>0</v>
      </c>
      <c r="CF599">
        <v>3</v>
      </c>
      <c r="CG599">
        <v>0</v>
      </c>
      <c r="CH599">
        <v>885</v>
      </c>
      <c r="CI599">
        <v>1</v>
      </c>
      <c r="CJ599">
        <v>0</v>
      </c>
      <c r="CK599">
        <v>3</v>
      </c>
      <c r="CL599">
        <v>0</v>
      </c>
      <c r="CM599">
        <v>8</v>
      </c>
      <c r="CN599">
        <v>2</v>
      </c>
      <c r="CO599">
        <v>0</v>
      </c>
      <c r="CP599">
        <v>0</v>
      </c>
      <c r="CQ599">
        <v>1</v>
      </c>
      <c r="CR599">
        <v>3</v>
      </c>
      <c r="CS599">
        <v>941</v>
      </c>
      <c r="CT599">
        <v>0</v>
      </c>
      <c r="CU599">
        <v>3</v>
      </c>
      <c r="CV599">
        <v>0</v>
      </c>
      <c r="CW599">
        <v>2</v>
      </c>
      <c r="CX599">
        <v>0</v>
      </c>
      <c r="CY599">
        <v>35</v>
      </c>
      <c r="CZ599">
        <v>18</v>
      </c>
      <c r="DA599">
        <v>1</v>
      </c>
      <c r="DB599">
        <v>4</v>
      </c>
      <c r="DC599">
        <v>1</v>
      </c>
      <c r="DD599">
        <v>956</v>
      </c>
      <c r="DE599">
        <v>8</v>
      </c>
      <c r="DF599">
        <v>3</v>
      </c>
      <c r="DG599">
        <v>2</v>
      </c>
      <c r="DH599">
        <v>0</v>
      </c>
      <c r="DI599">
        <v>3</v>
      </c>
      <c r="DJ599">
        <v>4</v>
      </c>
      <c r="DK599">
        <v>0</v>
      </c>
      <c r="DL599">
        <v>3</v>
      </c>
      <c r="DM599">
        <v>2</v>
      </c>
      <c r="DN599">
        <v>2</v>
      </c>
      <c r="DO599">
        <v>957</v>
      </c>
      <c r="DP599">
        <v>1</v>
      </c>
      <c r="DQ599">
        <v>10</v>
      </c>
      <c r="DR599">
        <v>3</v>
      </c>
      <c r="DS599">
        <v>0</v>
      </c>
      <c r="DT599">
        <v>8</v>
      </c>
      <c r="DU599">
        <v>2</v>
      </c>
      <c r="DV599">
        <v>16</v>
      </c>
      <c r="DW599">
        <v>0</v>
      </c>
      <c r="DX599">
        <v>11</v>
      </c>
      <c r="DY599">
        <v>28</v>
      </c>
      <c r="DZ599">
        <v>931</v>
      </c>
      <c r="EA599">
        <v>0.96719999999999995</v>
      </c>
      <c r="EB599">
        <v>0.96723123031573</v>
      </c>
      <c r="EC599">
        <v>0.96772216477705897</v>
      </c>
      <c r="ED599">
        <v>0.967129356432049</v>
      </c>
      <c r="EE599">
        <f>SUM(Table1[[#This Row],[ratio_0]:[ratio_9]])</f>
        <v>550</v>
      </c>
      <c r="EF599" s="1">
        <f>(Table1[[#This Row],[predicted_0]]-Table1[[#This Row],[actual_0]])/Table1[[#This Row],[actual_0]]</f>
        <v>2.7551020408163266E-2</v>
      </c>
      <c r="EG599" s="1">
        <f>(Table1[[#This Row],[predicted_1]]-Table1[[#This Row],[actual_1]])/Table1[[#This Row],[actual_1]]</f>
        <v>-2.5550660792951541E-2</v>
      </c>
      <c r="EH599" s="1">
        <f>(Table1[[#This Row],[predicted_2]]-Table1[[#This Row],[actual_2]])/Table1[[#This Row],[actual_2]]</f>
        <v>2.5193798449612403E-2</v>
      </c>
      <c r="EI599" s="1">
        <f>(Table1[[#This Row],[predicted_3]]-Table1[[#This Row],[actual_3]])/Table1[[#This Row],[actual_3]]</f>
        <v>6.9306930693069308E-3</v>
      </c>
      <c r="EJ599" s="1">
        <f>(Table1[[#This Row],[predicted_4]]-Table1[[#This Row],[actual_4]])/Table1[[#This Row],[actual_4]]</f>
        <v>-2.4439918533604887E-2</v>
      </c>
      <c r="EK599" s="1">
        <f>(Table1[[#This Row],[predicted_5]]-Table1[[#This Row],[actual_5]])/Table1[[#This Row],[actual_5]]</f>
        <v>5.717488789237668E-2</v>
      </c>
      <c r="EL599" s="1">
        <f>(Table1[[#This Row],[predicted_6]]-Table1[[#This Row],[actual_6]])/Table1[[#This Row],[actual_6]]</f>
        <v>-5.2192066805845511E-3</v>
      </c>
      <c r="EM599" s="1">
        <f>(Table1[[#This Row],[predicted_7]]-Table1[[#This Row],[actual_7]])/Table1[[#This Row],[actual_7]]</f>
        <v>-4.4747081712062257E-2</v>
      </c>
      <c r="EN599" s="1">
        <f>(Table1[[#This Row],[predicted_8]]-Table1[[#This Row],[actual_8]])/Table1[[#This Row],[actual_8]]</f>
        <v>5.4414784394250515E-2</v>
      </c>
      <c r="EO599" s="1">
        <f>(Table1[[#This Row],[predicted_9]]-Table1[[#This Row],[actual_9]])/Table1[[#This Row],[actual_9]]</f>
        <v>-5.9464816650148661E-2</v>
      </c>
      <c r="EP599" s="1">
        <f>1+(Table1[[#This Row],[error_ratio_0]]-EF$2)</f>
        <v>1.0255102040816326</v>
      </c>
      <c r="EQ599" s="1">
        <f>1+(Table1[[#This Row],[error_ratio_1]]-EG$2)</f>
        <v>0.97268722466960356</v>
      </c>
      <c r="ER599" s="1">
        <f>1+(Table1[[#This Row],[error_ratio_2]]-EH$2)</f>
        <v>1.0300387596899225</v>
      </c>
      <c r="ES599" s="1">
        <f>1+(Table1[[#This Row],[error_ratio_3]]-EI$2)</f>
        <v>0.99702970297029703</v>
      </c>
      <c r="ET599" s="1">
        <f>1+(Table1[[#This Row],[error_ratio_4]]-EJ$2)</f>
        <v>0.97454175152749489</v>
      </c>
      <c r="EU599" s="1">
        <f>1+(Table1[[#This Row],[error_ratio_5]]-EK$2)</f>
        <v>1.0560538116591929</v>
      </c>
      <c r="EV599" s="1">
        <f>1+(Table1[[#This Row],[error_ratio_6]]-EL$2)</f>
        <v>1.0010438413361169</v>
      </c>
      <c r="EW599" s="1">
        <f>1+(Table1[[#This Row],[error_ratio_7]]-EM$2)</f>
        <v>0.95330739299610889</v>
      </c>
      <c r="EX599" s="1">
        <f>1+(Table1[[#This Row],[error_ratio_8]]-EN$2)</f>
        <v>1.0574948665297741</v>
      </c>
      <c r="EY599" s="1">
        <f>1+(Table1[[#This Row],[error_ratio_9]]-EO$2)</f>
        <v>0.94449950445986119</v>
      </c>
    </row>
    <row r="600" spans="1:155" x14ac:dyDescent="0.75">
      <c r="A600">
        <v>10</v>
      </c>
      <c r="B600">
        <v>10</v>
      </c>
      <c r="C600">
        <v>10</v>
      </c>
      <c r="D600">
        <v>10</v>
      </c>
      <c r="E600">
        <v>100</v>
      </c>
      <c r="F600">
        <v>100</v>
      </c>
      <c r="G600">
        <v>100</v>
      </c>
      <c r="H600">
        <v>10</v>
      </c>
      <c r="I600">
        <v>100</v>
      </c>
      <c r="J600">
        <v>10</v>
      </c>
      <c r="K600">
        <v>935</v>
      </c>
      <c r="L600">
        <v>1157</v>
      </c>
      <c r="M600">
        <v>952</v>
      </c>
      <c r="N600">
        <v>959</v>
      </c>
      <c r="O600">
        <v>1040</v>
      </c>
      <c r="P600">
        <v>948</v>
      </c>
      <c r="Q600">
        <v>1029</v>
      </c>
      <c r="R600">
        <v>944</v>
      </c>
      <c r="S600">
        <v>1159</v>
      </c>
      <c r="T600">
        <v>877</v>
      </c>
      <c r="U600">
        <v>980</v>
      </c>
      <c r="V600">
        <v>1135</v>
      </c>
      <c r="W600">
        <v>1032</v>
      </c>
      <c r="X600">
        <v>1010</v>
      </c>
      <c r="Y600">
        <v>982</v>
      </c>
      <c r="Z600">
        <v>892</v>
      </c>
      <c r="AA600">
        <v>958</v>
      </c>
      <c r="AB600">
        <v>1028</v>
      </c>
      <c r="AC600">
        <v>974</v>
      </c>
      <c r="AD600">
        <v>1009</v>
      </c>
      <c r="AE600">
        <v>929</v>
      </c>
      <c r="AF600">
        <v>1</v>
      </c>
      <c r="AG600">
        <v>0</v>
      </c>
      <c r="AH600">
        <v>0</v>
      </c>
      <c r="AI600">
        <v>3</v>
      </c>
      <c r="AJ600">
        <v>7</v>
      </c>
      <c r="AK600">
        <v>29</v>
      </c>
      <c r="AL600">
        <v>1</v>
      </c>
      <c r="AM600">
        <v>10</v>
      </c>
      <c r="AN600">
        <v>0</v>
      </c>
      <c r="AO600">
        <v>0</v>
      </c>
      <c r="AP600">
        <v>1124</v>
      </c>
      <c r="AQ600">
        <v>1</v>
      </c>
      <c r="AR600">
        <v>2</v>
      </c>
      <c r="AS600">
        <v>0</v>
      </c>
      <c r="AT600">
        <v>2</v>
      </c>
      <c r="AU600">
        <v>5</v>
      </c>
      <c r="AV600">
        <v>0</v>
      </c>
      <c r="AW600">
        <v>1</v>
      </c>
      <c r="AX600">
        <v>0</v>
      </c>
      <c r="AY600">
        <v>1</v>
      </c>
      <c r="AZ600">
        <v>11</v>
      </c>
      <c r="BA600">
        <v>928</v>
      </c>
      <c r="BB600">
        <v>4</v>
      </c>
      <c r="BC600">
        <v>7</v>
      </c>
      <c r="BD600">
        <v>4</v>
      </c>
      <c r="BE600">
        <v>19</v>
      </c>
      <c r="BF600">
        <v>3</v>
      </c>
      <c r="BG600">
        <v>55</v>
      </c>
      <c r="BH600">
        <v>0</v>
      </c>
      <c r="BI600">
        <v>0</v>
      </c>
      <c r="BJ600">
        <v>0</v>
      </c>
      <c r="BK600">
        <v>2</v>
      </c>
      <c r="BL600">
        <v>943</v>
      </c>
      <c r="BM600">
        <v>0</v>
      </c>
      <c r="BN600">
        <v>41</v>
      </c>
      <c r="BO600">
        <v>0</v>
      </c>
      <c r="BP600">
        <v>7</v>
      </c>
      <c r="BQ600">
        <v>17</v>
      </c>
      <c r="BR600">
        <v>0</v>
      </c>
      <c r="BS600">
        <v>0</v>
      </c>
      <c r="BT600">
        <v>0</v>
      </c>
      <c r="BU600">
        <v>0</v>
      </c>
      <c r="BV600">
        <v>0</v>
      </c>
      <c r="BW600">
        <v>976</v>
      </c>
      <c r="BX600">
        <v>0</v>
      </c>
      <c r="BY600">
        <v>6</v>
      </c>
      <c r="BZ600">
        <v>0</v>
      </c>
      <c r="CA600">
        <v>0</v>
      </c>
      <c r="CB600">
        <v>0</v>
      </c>
      <c r="CC600">
        <v>0</v>
      </c>
      <c r="CD600">
        <v>0</v>
      </c>
      <c r="CE600">
        <v>0</v>
      </c>
      <c r="CF600">
        <v>4</v>
      </c>
      <c r="CG600">
        <v>0</v>
      </c>
      <c r="CH600">
        <v>876</v>
      </c>
      <c r="CI600">
        <v>10</v>
      </c>
      <c r="CJ600">
        <v>0</v>
      </c>
      <c r="CK600">
        <v>2</v>
      </c>
      <c r="CL600">
        <v>0</v>
      </c>
      <c r="CM600">
        <v>0</v>
      </c>
      <c r="CN600">
        <v>2</v>
      </c>
      <c r="CO600">
        <v>0</v>
      </c>
      <c r="CP600">
        <v>0</v>
      </c>
      <c r="CQ600">
        <v>1</v>
      </c>
      <c r="CR600">
        <v>1</v>
      </c>
      <c r="CS600">
        <v>954</v>
      </c>
      <c r="CT600">
        <v>0</v>
      </c>
      <c r="CU600">
        <v>0</v>
      </c>
      <c r="CV600">
        <v>0</v>
      </c>
      <c r="CW600">
        <v>3</v>
      </c>
      <c r="CX600">
        <v>13</v>
      </c>
      <c r="CY600">
        <v>19</v>
      </c>
      <c r="CZ600">
        <v>2</v>
      </c>
      <c r="DA600">
        <v>8</v>
      </c>
      <c r="DB600">
        <v>1</v>
      </c>
      <c r="DC600">
        <v>0</v>
      </c>
      <c r="DD600">
        <v>926</v>
      </c>
      <c r="DE600">
        <v>49</v>
      </c>
      <c r="DF600">
        <v>7</v>
      </c>
      <c r="DG600">
        <v>1</v>
      </c>
      <c r="DH600">
        <v>1</v>
      </c>
      <c r="DI600">
        <v>2</v>
      </c>
      <c r="DJ600">
        <v>1</v>
      </c>
      <c r="DK600">
        <v>0</v>
      </c>
      <c r="DL600">
        <v>2</v>
      </c>
      <c r="DM600">
        <v>4</v>
      </c>
      <c r="DN600">
        <v>1</v>
      </c>
      <c r="DO600">
        <v>962</v>
      </c>
      <c r="DP600">
        <v>0</v>
      </c>
      <c r="DQ600">
        <v>1</v>
      </c>
      <c r="DR600">
        <v>5</v>
      </c>
      <c r="DS600">
        <v>0</v>
      </c>
      <c r="DT600">
        <v>3</v>
      </c>
      <c r="DU600">
        <v>45</v>
      </c>
      <c r="DV600">
        <v>14</v>
      </c>
      <c r="DW600">
        <v>2</v>
      </c>
      <c r="DX600">
        <v>6</v>
      </c>
      <c r="DY600">
        <v>63</v>
      </c>
      <c r="DZ600">
        <v>870</v>
      </c>
      <c r="EA600">
        <v>0.94879999999999998</v>
      </c>
      <c r="EB600">
        <v>0.95157689238112397</v>
      </c>
      <c r="EC600">
        <v>0.94936308845486805</v>
      </c>
      <c r="ED600">
        <v>0.94859160669704501</v>
      </c>
      <c r="EE600">
        <f>SUM(Table1[[#This Row],[ratio_0]:[ratio_9]])</f>
        <v>460</v>
      </c>
      <c r="EF600" s="1">
        <f>(Table1[[#This Row],[predicted_0]]-Table1[[#This Row],[actual_0]])/Table1[[#This Row],[actual_0]]</f>
        <v>-4.5918367346938778E-2</v>
      </c>
      <c r="EG600" s="1">
        <f>(Table1[[#This Row],[predicted_1]]-Table1[[#This Row],[actual_1]])/Table1[[#This Row],[actual_1]]</f>
        <v>1.9383259911894272E-2</v>
      </c>
      <c r="EH600" s="1">
        <f>(Table1[[#This Row],[predicted_2]]-Table1[[#This Row],[actual_2]])/Table1[[#This Row],[actual_2]]</f>
        <v>-7.7519379844961239E-2</v>
      </c>
      <c r="EI600" s="1">
        <f>(Table1[[#This Row],[predicted_3]]-Table1[[#This Row],[actual_3]])/Table1[[#This Row],[actual_3]]</f>
        <v>-5.0495049504950498E-2</v>
      </c>
      <c r="EJ600" s="1">
        <f>(Table1[[#This Row],[predicted_4]]-Table1[[#This Row],[actual_4]])/Table1[[#This Row],[actual_4]]</f>
        <v>5.9063136456211814E-2</v>
      </c>
      <c r="EK600" s="1">
        <f>(Table1[[#This Row],[predicted_5]]-Table1[[#This Row],[actual_5]])/Table1[[#This Row],[actual_5]]</f>
        <v>6.2780269058295965E-2</v>
      </c>
      <c r="EL600" s="1">
        <f>(Table1[[#This Row],[predicted_6]]-Table1[[#This Row],[actual_6]])/Table1[[#This Row],[actual_6]]</f>
        <v>7.4112734864300631E-2</v>
      </c>
      <c r="EM600" s="1">
        <f>(Table1[[#This Row],[predicted_7]]-Table1[[#This Row],[actual_7]])/Table1[[#This Row],[actual_7]]</f>
        <v>-8.171206225680934E-2</v>
      </c>
      <c r="EN600" s="1">
        <f>(Table1[[#This Row],[predicted_8]]-Table1[[#This Row],[actual_8]])/Table1[[#This Row],[actual_8]]</f>
        <v>0.18993839835728954</v>
      </c>
      <c r="EO600" s="1">
        <f>(Table1[[#This Row],[predicted_9]]-Table1[[#This Row],[actual_9]])/Table1[[#This Row],[actual_9]]</f>
        <v>-0.13082259663032705</v>
      </c>
      <c r="EP600" s="1">
        <f>1+(Table1[[#This Row],[error_ratio_0]]-EF$2)</f>
        <v>0.95204081632653059</v>
      </c>
      <c r="EQ600" s="1">
        <f>1+(Table1[[#This Row],[error_ratio_1]]-EG$2)</f>
        <v>1.0176211453744493</v>
      </c>
      <c r="ER600" s="1">
        <f>1+(Table1[[#This Row],[error_ratio_2]]-EH$2)</f>
        <v>0.92732558139534882</v>
      </c>
      <c r="ES600" s="1">
        <f>1+(Table1[[#This Row],[error_ratio_3]]-EI$2)</f>
        <v>0.93960396039603955</v>
      </c>
      <c r="ET600" s="1">
        <f>1+(Table1[[#This Row],[error_ratio_4]]-EJ$2)</f>
        <v>1.0580448065173116</v>
      </c>
      <c r="EU600" s="1">
        <f>1+(Table1[[#This Row],[error_ratio_5]]-EK$2)</f>
        <v>1.061659192825112</v>
      </c>
      <c r="EV600" s="1">
        <f>1+(Table1[[#This Row],[error_ratio_6]]-EL$2)</f>
        <v>1.0803757828810021</v>
      </c>
      <c r="EW600" s="1">
        <f>1+(Table1[[#This Row],[error_ratio_7]]-EM$2)</f>
        <v>0.91634241245136183</v>
      </c>
      <c r="EX600" s="1">
        <f>1+(Table1[[#This Row],[error_ratio_8]]-EN$2)</f>
        <v>1.1930184804928132</v>
      </c>
      <c r="EY600" s="1">
        <f>1+(Table1[[#This Row],[error_ratio_9]]-EO$2)</f>
        <v>0.87314172447968286</v>
      </c>
    </row>
    <row r="601" spans="1:155" x14ac:dyDescent="0.75">
      <c r="A601">
        <v>100</v>
      </c>
      <c r="B601">
        <v>100</v>
      </c>
      <c r="C601">
        <v>100</v>
      </c>
      <c r="D601">
        <v>100</v>
      </c>
      <c r="E601">
        <v>10</v>
      </c>
      <c r="F601">
        <v>100</v>
      </c>
      <c r="G601">
        <v>100</v>
      </c>
      <c r="H601">
        <v>10</v>
      </c>
      <c r="I601">
        <v>100</v>
      </c>
      <c r="J601">
        <v>10</v>
      </c>
      <c r="K601">
        <v>1002</v>
      </c>
      <c r="L601">
        <v>1189</v>
      </c>
      <c r="M601">
        <v>1054</v>
      </c>
      <c r="N601">
        <v>1036</v>
      </c>
      <c r="O601">
        <v>1018</v>
      </c>
      <c r="P601">
        <v>891</v>
      </c>
      <c r="Q601">
        <v>936</v>
      </c>
      <c r="R601">
        <v>964</v>
      </c>
      <c r="S601">
        <v>1003</v>
      </c>
      <c r="T601">
        <v>907</v>
      </c>
      <c r="U601">
        <v>980</v>
      </c>
      <c r="V601">
        <v>1135</v>
      </c>
      <c r="W601">
        <v>1032</v>
      </c>
      <c r="X601">
        <v>1010</v>
      </c>
      <c r="Y601">
        <v>982</v>
      </c>
      <c r="Z601">
        <v>892</v>
      </c>
      <c r="AA601">
        <v>958</v>
      </c>
      <c r="AB601">
        <v>1028</v>
      </c>
      <c r="AC601">
        <v>974</v>
      </c>
      <c r="AD601">
        <v>1009</v>
      </c>
      <c r="AE601">
        <v>977</v>
      </c>
      <c r="AF601">
        <v>0</v>
      </c>
      <c r="AG601">
        <v>0</v>
      </c>
      <c r="AH601">
        <v>0</v>
      </c>
      <c r="AI601">
        <v>0</v>
      </c>
      <c r="AJ601">
        <v>0</v>
      </c>
      <c r="AK601">
        <v>1</v>
      </c>
      <c r="AL601">
        <v>1</v>
      </c>
      <c r="AM601">
        <v>1</v>
      </c>
      <c r="AN601">
        <v>0</v>
      </c>
      <c r="AO601">
        <v>0</v>
      </c>
      <c r="AP601">
        <v>1134</v>
      </c>
      <c r="AQ601">
        <v>0</v>
      </c>
      <c r="AR601">
        <v>1</v>
      </c>
      <c r="AS601">
        <v>0</v>
      </c>
      <c r="AT601">
        <v>0</v>
      </c>
      <c r="AU601">
        <v>0</v>
      </c>
      <c r="AV601">
        <v>0</v>
      </c>
      <c r="AW601">
        <v>0</v>
      </c>
      <c r="AX601">
        <v>0</v>
      </c>
      <c r="AY601">
        <v>3</v>
      </c>
      <c r="AZ601">
        <v>1</v>
      </c>
      <c r="BA601">
        <v>1024</v>
      </c>
      <c r="BB601">
        <v>0</v>
      </c>
      <c r="BC601">
        <v>0</v>
      </c>
      <c r="BD601">
        <v>0</v>
      </c>
      <c r="BE601">
        <v>0</v>
      </c>
      <c r="BF601">
        <v>1</v>
      </c>
      <c r="BG601">
        <v>3</v>
      </c>
      <c r="BH601">
        <v>0</v>
      </c>
      <c r="BI601">
        <v>0</v>
      </c>
      <c r="BJ601">
        <v>0</v>
      </c>
      <c r="BK601">
        <v>1</v>
      </c>
      <c r="BL601">
        <v>1006</v>
      </c>
      <c r="BM601">
        <v>0</v>
      </c>
      <c r="BN601">
        <v>1</v>
      </c>
      <c r="BO601">
        <v>0</v>
      </c>
      <c r="BP601">
        <v>1</v>
      </c>
      <c r="BQ601">
        <v>1</v>
      </c>
      <c r="BR601">
        <v>0</v>
      </c>
      <c r="BS601">
        <v>2</v>
      </c>
      <c r="BT601">
        <v>8</v>
      </c>
      <c r="BU601">
        <v>1</v>
      </c>
      <c r="BV601">
        <v>0</v>
      </c>
      <c r="BW601">
        <v>965</v>
      </c>
      <c r="BX601">
        <v>0</v>
      </c>
      <c r="BY601">
        <v>0</v>
      </c>
      <c r="BZ601">
        <v>0</v>
      </c>
      <c r="CA601">
        <v>2</v>
      </c>
      <c r="CB601">
        <v>4</v>
      </c>
      <c r="CC601">
        <v>3</v>
      </c>
      <c r="CD601">
        <v>0</v>
      </c>
      <c r="CE601">
        <v>0</v>
      </c>
      <c r="CF601">
        <v>11</v>
      </c>
      <c r="CG601">
        <v>0</v>
      </c>
      <c r="CH601">
        <v>871</v>
      </c>
      <c r="CI601">
        <v>3</v>
      </c>
      <c r="CJ601">
        <v>0</v>
      </c>
      <c r="CK601">
        <v>4</v>
      </c>
      <c r="CL601">
        <v>0</v>
      </c>
      <c r="CM601">
        <v>10</v>
      </c>
      <c r="CN601">
        <v>3</v>
      </c>
      <c r="CO601">
        <v>1</v>
      </c>
      <c r="CP601">
        <v>0</v>
      </c>
      <c r="CQ601">
        <v>10</v>
      </c>
      <c r="CR601">
        <v>1</v>
      </c>
      <c r="CS601">
        <v>932</v>
      </c>
      <c r="CT601">
        <v>0</v>
      </c>
      <c r="CU601">
        <v>1</v>
      </c>
      <c r="CV601">
        <v>0</v>
      </c>
      <c r="CW601">
        <v>1</v>
      </c>
      <c r="CX601">
        <v>33</v>
      </c>
      <c r="CY601">
        <v>25</v>
      </c>
      <c r="CZ601">
        <v>8</v>
      </c>
      <c r="DA601">
        <v>3</v>
      </c>
      <c r="DB601">
        <v>4</v>
      </c>
      <c r="DC601">
        <v>0</v>
      </c>
      <c r="DD601">
        <v>950</v>
      </c>
      <c r="DE601">
        <v>3</v>
      </c>
      <c r="DF601">
        <v>1</v>
      </c>
      <c r="DG601">
        <v>1</v>
      </c>
      <c r="DH601">
        <v>1</v>
      </c>
      <c r="DI601">
        <v>2</v>
      </c>
      <c r="DJ601">
        <v>1</v>
      </c>
      <c r="DK601">
        <v>1</v>
      </c>
      <c r="DL601">
        <v>1</v>
      </c>
      <c r="DM601">
        <v>0</v>
      </c>
      <c r="DN601">
        <v>0</v>
      </c>
      <c r="DO601">
        <v>967</v>
      </c>
      <c r="DP601">
        <v>0</v>
      </c>
      <c r="DQ601">
        <v>5</v>
      </c>
      <c r="DR601">
        <v>9</v>
      </c>
      <c r="DS601">
        <v>0</v>
      </c>
      <c r="DT601">
        <v>9</v>
      </c>
      <c r="DU601">
        <v>39</v>
      </c>
      <c r="DV601">
        <v>13</v>
      </c>
      <c r="DW601">
        <v>0</v>
      </c>
      <c r="DX601">
        <v>11</v>
      </c>
      <c r="DY601">
        <v>21</v>
      </c>
      <c r="DZ601">
        <v>902</v>
      </c>
      <c r="EA601">
        <v>0.9728</v>
      </c>
      <c r="EB601">
        <v>0.97366611284883298</v>
      </c>
      <c r="EC601">
        <v>0.97272433652298596</v>
      </c>
      <c r="ED601">
        <v>0.972671757100524</v>
      </c>
      <c r="EE601">
        <f>SUM(Table1[[#This Row],[ratio_0]:[ratio_9]])</f>
        <v>730</v>
      </c>
      <c r="EF601" s="1">
        <f>(Table1[[#This Row],[predicted_0]]-Table1[[#This Row],[actual_0]])/Table1[[#This Row],[actual_0]]</f>
        <v>2.2448979591836733E-2</v>
      </c>
      <c r="EG601" s="1">
        <f>(Table1[[#This Row],[predicted_1]]-Table1[[#This Row],[actual_1]])/Table1[[#This Row],[actual_1]]</f>
        <v>4.7577092511013219E-2</v>
      </c>
      <c r="EH601" s="1">
        <f>(Table1[[#This Row],[predicted_2]]-Table1[[#This Row],[actual_2]])/Table1[[#This Row],[actual_2]]</f>
        <v>2.1317829457364341E-2</v>
      </c>
      <c r="EI601" s="1">
        <f>(Table1[[#This Row],[predicted_3]]-Table1[[#This Row],[actual_3]])/Table1[[#This Row],[actual_3]]</f>
        <v>2.5742574257425741E-2</v>
      </c>
      <c r="EJ601" s="1">
        <f>(Table1[[#This Row],[predicted_4]]-Table1[[#This Row],[actual_4]])/Table1[[#This Row],[actual_4]]</f>
        <v>3.6659877800407331E-2</v>
      </c>
      <c r="EK601" s="1">
        <f>(Table1[[#This Row],[predicted_5]]-Table1[[#This Row],[actual_5]])/Table1[[#This Row],[actual_5]]</f>
        <v>-1.1210762331838565E-3</v>
      </c>
      <c r="EL601" s="1">
        <f>(Table1[[#This Row],[predicted_6]]-Table1[[#This Row],[actual_6]])/Table1[[#This Row],[actual_6]]</f>
        <v>-2.2964509394572025E-2</v>
      </c>
      <c r="EM601" s="1">
        <f>(Table1[[#This Row],[predicted_7]]-Table1[[#This Row],[actual_7]])/Table1[[#This Row],[actual_7]]</f>
        <v>-6.2256809338521402E-2</v>
      </c>
      <c r="EN601" s="1">
        <f>(Table1[[#This Row],[predicted_8]]-Table1[[#This Row],[actual_8]])/Table1[[#This Row],[actual_8]]</f>
        <v>2.9774127310061602E-2</v>
      </c>
      <c r="EO601" s="1">
        <f>(Table1[[#This Row],[predicted_9]]-Table1[[#This Row],[actual_9]])/Table1[[#This Row],[actual_9]]</f>
        <v>-0.10109018830525272</v>
      </c>
      <c r="EP601" s="1">
        <f>1+(Table1[[#This Row],[error_ratio_0]]-EF$2)</f>
        <v>1.0204081632653061</v>
      </c>
      <c r="EQ601" s="1">
        <f>1+(Table1[[#This Row],[error_ratio_1]]-EG$2)</f>
        <v>1.0458149779735684</v>
      </c>
      <c r="ER601" s="1">
        <f>1+(Table1[[#This Row],[error_ratio_2]]-EH$2)</f>
        <v>1.0261627906976745</v>
      </c>
      <c r="ES601" s="1">
        <f>1+(Table1[[#This Row],[error_ratio_3]]-EI$2)</f>
        <v>1.0158415841584159</v>
      </c>
      <c r="ET601" s="1">
        <f>1+(Table1[[#This Row],[error_ratio_4]]-EJ$2)</f>
        <v>1.0356415478615071</v>
      </c>
      <c r="EU601" s="1">
        <f>1+(Table1[[#This Row],[error_ratio_5]]-EK$2)</f>
        <v>0.99775784753363228</v>
      </c>
      <c r="EV601" s="1">
        <f>1+(Table1[[#This Row],[error_ratio_6]]-EL$2)</f>
        <v>0.98329853862212946</v>
      </c>
      <c r="EW601" s="1">
        <f>1+(Table1[[#This Row],[error_ratio_7]]-EM$2)</f>
        <v>0.93579766536964981</v>
      </c>
      <c r="EX601" s="1">
        <f>1+(Table1[[#This Row],[error_ratio_8]]-EN$2)</f>
        <v>1.0328542094455853</v>
      </c>
      <c r="EY601" s="1">
        <f>1+(Table1[[#This Row],[error_ratio_9]]-EO$2)</f>
        <v>0.90287413280475715</v>
      </c>
    </row>
    <row r="602" spans="1:155" x14ac:dyDescent="0.75">
      <c r="A602">
        <v>10</v>
      </c>
      <c r="B602">
        <v>100</v>
      </c>
      <c r="C602">
        <v>100</v>
      </c>
      <c r="D602">
        <v>100</v>
      </c>
      <c r="E602">
        <v>10</v>
      </c>
      <c r="F602">
        <v>100</v>
      </c>
      <c r="G602">
        <v>100</v>
      </c>
      <c r="H602">
        <v>10</v>
      </c>
      <c r="I602">
        <v>100</v>
      </c>
      <c r="J602">
        <v>10</v>
      </c>
      <c r="K602">
        <v>980</v>
      </c>
      <c r="L602">
        <v>1142</v>
      </c>
      <c r="M602">
        <v>1075</v>
      </c>
      <c r="N602">
        <v>1028</v>
      </c>
      <c r="O602">
        <v>972</v>
      </c>
      <c r="P602">
        <v>911</v>
      </c>
      <c r="Q602">
        <v>977</v>
      </c>
      <c r="R602">
        <v>995</v>
      </c>
      <c r="S602">
        <v>978</v>
      </c>
      <c r="T602">
        <v>942</v>
      </c>
      <c r="U602">
        <v>980</v>
      </c>
      <c r="V602">
        <v>1135</v>
      </c>
      <c r="W602">
        <v>1032</v>
      </c>
      <c r="X602">
        <v>1010</v>
      </c>
      <c r="Y602">
        <v>982</v>
      </c>
      <c r="Z602">
        <v>892</v>
      </c>
      <c r="AA602">
        <v>958</v>
      </c>
      <c r="AB602">
        <v>1028</v>
      </c>
      <c r="AC602">
        <v>974</v>
      </c>
      <c r="AD602">
        <v>1009</v>
      </c>
      <c r="AE602">
        <v>966</v>
      </c>
      <c r="AF602">
        <v>1</v>
      </c>
      <c r="AG602">
        <v>4</v>
      </c>
      <c r="AH602">
        <v>0</v>
      </c>
      <c r="AI602">
        <v>0</v>
      </c>
      <c r="AJ602">
        <v>0</v>
      </c>
      <c r="AK602">
        <v>7</v>
      </c>
      <c r="AL602">
        <v>1</v>
      </c>
      <c r="AM602">
        <v>1</v>
      </c>
      <c r="AN602">
        <v>0</v>
      </c>
      <c r="AO602">
        <v>0</v>
      </c>
      <c r="AP602">
        <v>1128</v>
      </c>
      <c r="AQ602">
        <v>3</v>
      </c>
      <c r="AR602">
        <v>2</v>
      </c>
      <c r="AS602">
        <v>0</v>
      </c>
      <c r="AT602">
        <v>1</v>
      </c>
      <c r="AU602">
        <v>1</v>
      </c>
      <c r="AV602">
        <v>0</v>
      </c>
      <c r="AW602">
        <v>0</v>
      </c>
      <c r="AX602">
        <v>0</v>
      </c>
      <c r="AY602">
        <v>1</v>
      </c>
      <c r="AZ602">
        <v>0</v>
      </c>
      <c r="BA602">
        <v>1029</v>
      </c>
      <c r="BB602">
        <v>0</v>
      </c>
      <c r="BC602">
        <v>0</v>
      </c>
      <c r="BD602">
        <v>0</v>
      </c>
      <c r="BE602">
        <v>0</v>
      </c>
      <c r="BF602">
        <v>2</v>
      </c>
      <c r="BG602">
        <v>0</v>
      </c>
      <c r="BH602">
        <v>0</v>
      </c>
      <c r="BI602">
        <v>0</v>
      </c>
      <c r="BJ602">
        <v>0</v>
      </c>
      <c r="BK602">
        <v>3</v>
      </c>
      <c r="BL602">
        <v>1001</v>
      </c>
      <c r="BM602">
        <v>0</v>
      </c>
      <c r="BN602">
        <v>4</v>
      </c>
      <c r="BO602">
        <v>0</v>
      </c>
      <c r="BP602">
        <v>1</v>
      </c>
      <c r="BQ602">
        <v>1</v>
      </c>
      <c r="BR602">
        <v>0</v>
      </c>
      <c r="BS602">
        <v>0</v>
      </c>
      <c r="BT602">
        <v>1</v>
      </c>
      <c r="BU602">
        <v>1</v>
      </c>
      <c r="BV602">
        <v>0</v>
      </c>
      <c r="BW602">
        <v>951</v>
      </c>
      <c r="BX602">
        <v>0</v>
      </c>
      <c r="BY602">
        <v>14</v>
      </c>
      <c r="BZ602">
        <v>1</v>
      </c>
      <c r="CA602">
        <v>3</v>
      </c>
      <c r="CB602">
        <v>11</v>
      </c>
      <c r="CC602">
        <v>2</v>
      </c>
      <c r="CD602">
        <v>0</v>
      </c>
      <c r="CE602">
        <v>0</v>
      </c>
      <c r="CF602">
        <v>4</v>
      </c>
      <c r="CG602">
        <v>0</v>
      </c>
      <c r="CH602">
        <v>883</v>
      </c>
      <c r="CI602">
        <v>1</v>
      </c>
      <c r="CJ602">
        <v>0</v>
      </c>
      <c r="CK602">
        <v>2</v>
      </c>
      <c r="CL602">
        <v>0</v>
      </c>
      <c r="CM602">
        <v>3</v>
      </c>
      <c r="CN602">
        <v>1</v>
      </c>
      <c r="CO602">
        <v>1</v>
      </c>
      <c r="CP602">
        <v>0</v>
      </c>
      <c r="CQ602">
        <v>1</v>
      </c>
      <c r="CR602">
        <v>2</v>
      </c>
      <c r="CS602">
        <v>950</v>
      </c>
      <c r="CT602">
        <v>0</v>
      </c>
      <c r="CU602">
        <v>0</v>
      </c>
      <c r="CV602">
        <v>0</v>
      </c>
      <c r="CW602">
        <v>1</v>
      </c>
      <c r="CX602">
        <v>6</v>
      </c>
      <c r="CY602">
        <v>27</v>
      </c>
      <c r="CZ602">
        <v>9</v>
      </c>
      <c r="DA602">
        <v>1</v>
      </c>
      <c r="DB602">
        <v>2</v>
      </c>
      <c r="DC602">
        <v>0</v>
      </c>
      <c r="DD602">
        <v>974</v>
      </c>
      <c r="DE602">
        <v>0</v>
      </c>
      <c r="DF602">
        <v>8</v>
      </c>
      <c r="DG602">
        <v>1</v>
      </c>
      <c r="DH602">
        <v>0</v>
      </c>
      <c r="DI602">
        <v>4</v>
      </c>
      <c r="DJ602">
        <v>2</v>
      </c>
      <c r="DK602">
        <v>1</v>
      </c>
      <c r="DL602">
        <v>1</v>
      </c>
      <c r="DM602">
        <v>2</v>
      </c>
      <c r="DN602">
        <v>3</v>
      </c>
      <c r="DO602">
        <v>958</v>
      </c>
      <c r="DP602">
        <v>2</v>
      </c>
      <c r="DQ602">
        <v>6</v>
      </c>
      <c r="DR602">
        <v>5</v>
      </c>
      <c r="DS602">
        <v>3</v>
      </c>
      <c r="DT602">
        <v>10</v>
      </c>
      <c r="DU602">
        <v>18</v>
      </c>
      <c r="DV602">
        <v>18</v>
      </c>
      <c r="DW602">
        <v>2</v>
      </c>
      <c r="DX602">
        <v>13</v>
      </c>
      <c r="DY602">
        <v>13</v>
      </c>
      <c r="DZ602">
        <v>921</v>
      </c>
      <c r="EA602">
        <v>0.97609999999999997</v>
      </c>
      <c r="EB602">
        <v>0.97605753701275599</v>
      </c>
      <c r="EC602">
        <v>0.97615490200840505</v>
      </c>
      <c r="ED602">
        <v>0.97589650859580501</v>
      </c>
      <c r="EE602">
        <f>SUM(Table1[[#This Row],[ratio_0]:[ratio_9]])</f>
        <v>640</v>
      </c>
      <c r="EF602" s="1">
        <f>(Table1[[#This Row],[predicted_0]]-Table1[[#This Row],[actual_0]])/Table1[[#This Row],[actual_0]]</f>
        <v>0</v>
      </c>
      <c r="EG602" s="1">
        <f>(Table1[[#This Row],[predicted_1]]-Table1[[#This Row],[actual_1]])/Table1[[#This Row],[actual_1]]</f>
        <v>6.1674008810572688E-3</v>
      </c>
      <c r="EH602" s="1">
        <f>(Table1[[#This Row],[predicted_2]]-Table1[[#This Row],[actual_2]])/Table1[[#This Row],[actual_2]]</f>
        <v>4.1666666666666664E-2</v>
      </c>
      <c r="EI602" s="1">
        <f>(Table1[[#This Row],[predicted_3]]-Table1[[#This Row],[actual_3]])/Table1[[#This Row],[actual_3]]</f>
        <v>1.782178217821782E-2</v>
      </c>
      <c r="EJ602" s="1">
        <f>(Table1[[#This Row],[predicted_4]]-Table1[[#This Row],[actual_4]])/Table1[[#This Row],[actual_4]]</f>
        <v>-1.0183299389002037E-2</v>
      </c>
      <c r="EK602" s="1">
        <f>(Table1[[#This Row],[predicted_5]]-Table1[[#This Row],[actual_5]])/Table1[[#This Row],[actual_5]]</f>
        <v>2.1300448430493273E-2</v>
      </c>
      <c r="EL602" s="1">
        <f>(Table1[[#This Row],[predicted_6]]-Table1[[#This Row],[actual_6]])/Table1[[#This Row],[actual_6]]</f>
        <v>1.9832985386221295E-2</v>
      </c>
      <c r="EM602" s="1">
        <f>(Table1[[#This Row],[predicted_7]]-Table1[[#This Row],[actual_7]])/Table1[[#This Row],[actual_7]]</f>
        <v>-3.2101167315175094E-2</v>
      </c>
      <c r="EN602" s="1">
        <f>(Table1[[#This Row],[predicted_8]]-Table1[[#This Row],[actual_8]])/Table1[[#This Row],[actual_8]]</f>
        <v>4.1067761806981521E-3</v>
      </c>
      <c r="EO602" s="1">
        <f>(Table1[[#This Row],[predicted_9]]-Table1[[#This Row],[actual_9]])/Table1[[#This Row],[actual_9]]</f>
        <v>-6.6402378592666012E-2</v>
      </c>
      <c r="EP602" s="1">
        <f>1+(Table1[[#This Row],[error_ratio_0]]-EF$2)</f>
        <v>0.99795918367346936</v>
      </c>
      <c r="EQ602" s="1">
        <f>1+(Table1[[#This Row],[error_ratio_1]]-EG$2)</f>
        <v>1.0044052863436124</v>
      </c>
      <c r="ER602" s="1">
        <f>1+(Table1[[#This Row],[error_ratio_2]]-EH$2)</f>
        <v>1.0465116279069768</v>
      </c>
      <c r="ES602" s="1">
        <f>1+(Table1[[#This Row],[error_ratio_3]]-EI$2)</f>
        <v>1.0079207920792079</v>
      </c>
      <c r="ET602" s="1">
        <f>1+(Table1[[#This Row],[error_ratio_4]]-EJ$2)</f>
        <v>0.98879837067209775</v>
      </c>
      <c r="EU602" s="1">
        <f>1+(Table1[[#This Row],[error_ratio_5]]-EK$2)</f>
        <v>1.0201793721973094</v>
      </c>
      <c r="EV602" s="1">
        <f>1+(Table1[[#This Row],[error_ratio_6]]-EL$2)</f>
        <v>1.0260960334029228</v>
      </c>
      <c r="EW602" s="1">
        <f>1+(Table1[[#This Row],[error_ratio_7]]-EM$2)</f>
        <v>0.96595330739299612</v>
      </c>
      <c r="EX602" s="1">
        <f>1+(Table1[[#This Row],[error_ratio_8]]-EN$2)</f>
        <v>1.0071868583162218</v>
      </c>
      <c r="EY602" s="1">
        <f>1+(Table1[[#This Row],[error_ratio_9]]-EO$2)</f>
        <v>0.93756194251734393</v>
      </c>
    </row>
    <row r="603" spans="1:155" x14ac:dyDescent="0.75">
      <c r="A603">
        <v>100</v>
      </c>
      <c r="B603">
        <v>10</v>
      </c>
      <c r="C603">
        <v>100</v>
      </c>
      <c r="D603">
        <v>100</v>
      </c>
      <c r="E603">
        <v>10</v>
      </c>
      <c r="F603">
        <v>100</v>
      </c>
      <c r="G603">
        <v>100</v>
      </c>
      <c r="H603">
        <v>10</v>
      </c>
      <c r="I603">
        <v>100</v>
      </c>
      <c r="J603">
        <v>10</v>
      </c>
      <c r="K603">
        <v>990</v>
      </c>
      <c r="L603">
        <v>1122</v>
      </c>
      <c r="M603">
        <v>1072</v>
      </c>
      <c r="N603">
        <v>1096</v>
      </c>
      <c r="O603">
        <v>942</v>
      </c>
      <c r="P603">
        <v>889</v>
      </c>
      <c r="Q603">
        <v>965</v>
      </c>
      <c r="R603">
        <v>945</v>
      </c>
      <c r="S603">
        <v>983</v>
      </c>
      <c r="T603">
        <v>996</v>
      </c>
      <c r="U603">
        <v>980</v>
      </c>
      <c r="V603">
        <v>1135</v>
      </c>
      <c r="W603">
        <v>1032</v>
      </c>
      <c r="X603">
        <v>1010</v>
      </c>
      <c r="Y603">
        <v>982</v>
      </c>
      <c r="Z603">
        <v>892</v>
      </c>
      <c r="AA603">
        <v>958</v>
      </c>
      <c r="AB603">
        <v>1028</v>
      </c>
      <c r="AC603">
        <v>974</v>
      </c>
      <c r="AD603">
        <v>1009</v>
      </c>
      <c r="AE603">
        <v>974</v>
      </c>
      <c r="AF603">
        <v>0</v>
      </c>
      <c r="AG603">
        <v>1</v>
      </c>
      <c r="AH603">
        <v>0</v>
      </c>
      <c r="AI603">
        <v>0</v>
      </c>
      <c r="AJ603">
        <v>2</v>
      </c>
      <c r="AK603">
        <v>1</v>
      </c>
      <c r="AL603">
        <v>1</v>
      </c>
      <c r="AM603">
        <v>1</v>
      </c>
      <c r="AN603">
        <v>0</v>
      </c>
      <c r="AO603">
        <v>0</v>
      </c>
      <c r="AP603">
        <v>1112</v>
      </c>
      <c r="AQ603">
        <v>5</v>
      </c>
      <c r="AR603">
        <v>4</v>
      </c>
      <c r="AS603">
        <v>1</v>
      </c>
      <c r="AT603">
        <v>2</v>
      </c>
      <c r="AU603">
        <v>7</v>
      </c>
      <c r="AV603">
        <v>0</v>
      </c>
      <c r="AW603">
        <v>4</v>
      </c>
      <c r="AX603">
        <v>0</v>
      </c>
      <c r="AY603">
        <v>0</v>
      </c>
      <c r="AZ603">
        <v>1</v>
      </c>
      <c r="BA603">
        <v>1022</v>
      </c>
      <c r="BB603">
        <v>4</v>
      </c>
      <c r="BC603">
        <v>0</v>
      </c>
      <c r="BD603">
        <v>0</v>
      </c>
      <c r="BE603">
        <v>0</v>
      </c>
      <c r="BF603">
        <v>2</v>
      </c>
      <c r="BG603">
        <v>3</v>
      </c>
      <c r="BH603">
        <v>0</v>
      </c>
      <c r="BI603">
        <v>0</v>
      </c>
      <c r="BJ603">
        <v>0</v>
      </c>
      <c r="BK603">
        <v>2</v>
      </c>
      <c r="BL603">
        <v>1006</v>
      </c>
      <c r="BM603">
        <v>0</v>
      </c>
      <c r="BN603">
        <v>1</v>
      </c>
      <c r="BO603">
        <v>0</v>
      </c>
      <c r="BP603">
        <v>1</v>
      </c>
      <c r="BQ603">
        <v>0</v>
      </c>
      <c r="BR603">
        <v>0</v>
      </c>
      <c r="BS603">
        <v>2</v>
      </c>
      <c r="BT603">
        <v>0</v>
      </c>
      <c r="BU603">
        <v>5</v>
      </c>
      <c r="BV603">
        <v>0</v>
      </c>
      <c r="BW603">
        <v>934</v>
      </c>
      <c r="BX603">
        <v>0</v>
      </c>
      <c r="BY603">
        <v>4</v>
      </c>
      <c r="BZ603">
        <v>0</v>
      </c>
      <c r="CA603">
        <v>5</v>
      </c>
      <c r="CB603">
        <v>32</v>
      </c>
      <c r="CC603">
        <v>2</v>
      </c>
      <c r="CD603">
        <v>0</v>
      </c>
      <c r="CE603">
        <v>1</v>
      </c>
      <c r="CF603">
        <v>15</v>
      </c>
      <c r="CG603">
        <v>0</v>
      </c>
      <c r="CH603">
        <v>872</v>
      </c>
      <c r="CI603">
        <v>2</v>
      </c>
      <c r="CJ603">
        <v>0</v>
      </c>
      <c r="CK603">
        <v>0</v>
      </c>
      <c r="CL603">
        <v>0</v>
      </c>
      <c r="CM603">
        <v>4</v>
      </c>
      <c r="CN603">
        <v>0</v>
      </c>
      <c r="CO603">
        <v>1</v>
      </c>
      <c r="CP603">
        <v>0</v>
      </c>
      <c r="CQ603">
        <v>2</v>
      </c>
      <c r="CR603">
        <v>1</v>
      </c>
      <c r="CS603">
        <v>950</v>
      </c>
      <c r="CT603">
        <v>0</v>
      </c>
      <c r="CU603">
        <v>0</v>
      </c>
      <c r="CV603">
        <v>0</v>
      </c>
      <c r="CW603">
        <v>1</v>
      </c>
      <c r="CX603">
        <v>6</v>
      </c>
      <c r="CY603">
        <v>31</v>
      </c>
      <c r="CZ603">
        <v>41</v>
      </c>
      <c r="DA603">
        <v>0</v>
      </c>
      <c r="DB603">
        <v>1</v>
      </c>
      <c r="DC603">
        <v>0</v>
      </c>
      <c r="DD603">
        <v>935</v>
      </c>
      <c r="DE603">
        <v>7</v>
      </c>
      <c r="DF603">
        <v>6</v>
      </c>
      <c r="DG603">
        <v>1</v>
      </c>
      <c r="DH603">
        <v>0</v>
      </c>
      <c r="DI603">
        <v>4</v>
      </c>
      <c r="DJ603">
        <v>8</v>
      </c>
      <c r="DK603">
        <v>1</v>
      </c>
      <c r="DL603">
        <v>3</v>
      </c>
      <c r="DM603">
        <v>0</v>
      </c>
      <c r="DN603">
        <v>1</v>
      </c>
      <c r="DO603">
        <v>953</v>
      </c>
      <c r="DP603">
        <v>3</v>
      </c>
      <c r="DQ603">
        <v>6</v>
      </c>
      <c r="DR603">
        <v>3</v>
      </c>
      <c r="DS603">
        <v>0</v>
      </c>
      <c r="DT603">
        <v>18</v>
      </c>
      <c r="DU603">
        <v>4</v>
      </c>
      <c r="DV603">
        <v>7</v>
      </c>
      <c r="DW603">
        <v>1</v>
      </c>
      <c r="DX603">
        <v>5</v>
      </c>
      <c r="DY603">
        <v>10</v>
      </c>
      <c r="DZ603">
        <v>955</v>
      </c>
      <c r="EA603">
        <v>0.97130000000000005</v>
      </c>
      <c r="EB603">
        <v>0.97207424392187503</v>
      </c>
      <c r="EC603">
        <v>0.97147649868958996</v>
      </c>
      <c r="ED603">
        <v>0.971357186057768</v>
      </c>
      <c r="EE603">
        <f>SUM(Table1[[#This Row],[ratio_0]:[ratio_9]])</f>
        <v>640</v>
      </c>
      <c r="EF603" s="1">
        <f>(Table1[[#This Row],[predicted_0]]-Table1[[#This Row],[actual_0]])/Table1[[#This Row],[actual_0]]</f>
        <v>1.020408163265306E-2</v>
      </c>
      <c r="EG603" s="1">
        <f>(Table1[[#This Row],[predicted_1]]-Table1[[#This Row],[actual_1]])/Table1[[#This Row],[actual_1]]</f>
        <v>-1.145374449339207E-2</v>
      </c>
      <c r="EH603" s="1">
        <f>(Table1[[#This Row],[predicted_2]]-Table1[[#This Row],[actual_2]])/Table1[[#This Row],[actual_2]]</f>
        <v>3.875968992248062E-2</v>
      </c>
      <c r="EI603" s="1">
        <f>(Table1[[#This Row],[predicted_3]]-Table1[[#This Row],[actual_3]])/Table1[[#This Row],[actual_3]]</f>
        <v>8.5148514851485155E-2</v>
      </c>
      <c r="EJ603" s="1">
        <f>(Table1[[#This Row],[predicted_4]]-Table1[[#This Row],[actual_4]])/Table1[[#This Row],[actual_4]]</f>
        <v>-4.0733197556008148E-2</v>
      </c>
      <c r="EK603" s="1">
        <f>(Table1[[#This Row],[predicted_5]]-Table1[[#This Row],[actual_5]])/Table1[[#This Row],[actual_5]]</f>
        <v>-3.3632286995515697E-3</v>
      </c>
      <c r="EL603" s="1">
        <f>(Table1[[#This Row],[predicted_6]]-Table1[[#This Row],[actual_6]])/Table1[[#This Row],[actual_6]]</f>
        <v>7.3068893528183713E-3</v>
      </c>
      <c r="EM603" s="1">
        <f>(Table1[[#This Row],[predicted_7]]-Table1[[#This Row],[actual_7]])/Table1[[#This Row],[actual_7]]</f>
        <v>-8.0739299610894946E-2</v>
      </c>
      <c r="EN603" s="1">
        <f>(Table1[[#This Row],[predicted_8]]-Table1[[#This Row],[actual_8]])/Table1[[#This Row],[actual_8]]</f>
        <v>9.2402464065708418E-3</v>
      </c>
      <c r="EO603" s="1">
        <f>(Table1[[#This Row],[predicted_9]]-Table1[[#This Row],[actual_9]])/Table1[[#This Row],[actual_9]]</f>
        <v>-1.288404360753221E-2</v>
      </c>
      <c r="EP603" s="1">
        <f>1+(Table1[[#This Row],[error_ratio_0]]-EF$2)</f>
        <v>1.0081632653061225</v>
      </c>
      <c r="EQ603" s="1">
        <f>1+(Table1[[#This Row],[error_ratio_1]]-EG$2)</f>
        <v>0.986784140969163</v>
      </c>
      <c r="ER603" s="1">
        <f>1+(Table1[[#This Row],[error_ratio_2]]-EH$2)</f>
        <v>1.0436046511627908</v>
      </c>
      <c r="ES603" s="1">
        <f>1+(Table1[[#This Row],[error_ratio_3]]-EI$2)</f>
        <v>1.0752475247524753</v>
      </c>
      <c r="ET603" s="1">
        <f>1+(Table1[[#This Row],[error_ratio_4]]-EJ$2)</f>
        <v>0.9582484725050916</v>
      </c>
      <c r="EU603" s="1">
        <f>1+(Table1[[#This Row],[error_ratio_5]]-EK$2)</f>
        <v>0.99551569506726456</v>
      </c>
      <c r="EV603" s="1">
        <f>1+(Table1[[#This Row],[error_ratio_6]]-EL$2)</f>
        <v>1.0135699373695197</v>
      </c>
      <c r="EW603" s="1">
        <f>1+(Table1[[#This Row],[error_ratio_7]]-EM$2)</f>
        <v>0.91731517509727623</v>
      </c>
      <c r="EX603" s="1">
        <f>1+(Table1[[#This Row],[error_ratio_8]]-EN$2)</f>
        <v>1.0123203285420945</v>
      </c>
      <c r="EY603" s="1">
        <f>1+(Table1[[#This Row],[error_ratio_9]]-EO$2)</f>
        <v>0.99108027750247774</v>
      </c>
    </row>
    <row r="604" spans="1:155" x14ac:dyDescent="0.75">
      <c r="A604">
        <v>10</v>
      </c>
      <c r="B604">
        <v>10</v>
      </c>
      <c r="C604">
        <v>100</v>
      </c>
      <c r="D604">
        <v>100</v>
      </c>
      <c r="E604">
        <v>10</v>
      </c>
      <c r="F604">
        <v>100</v>
      </c>
      <c r="G604">
        <v>100</v>
      </c>
      <c r="H604">
        <v>10</v>
      </c>
      <c r="I604">
        <v>100</v>
      </c>
      <c r="J604">
        <v>10</v>
      </c>
      <c r="K604">
        <v>970</v>
      </c>
      <c r="L604">
        <v>1123</v>
      </c>
      <c r="M604">
        <v>1092</v>
      </c>
      <c r="N604">
        <v>985</v>
      </c>
      <c r="O604">
        <v>1001</v>
      </c>
      <c r="P604">
        <v>953</v>
      </c>
      <c r="Q604">
        <v>977</v>
      </c>
      <c r="R604">
        <v>981</v>
      </c>
      <c r="S604">
        <v>959</v>
      </c>
      <c r="T604">
        <v>959</v>
      </c>
      <c r="U604">
        <v>980</v>
      </c>
      <c r="V604">
        <v>1135</v>
      </c>
      <c r="W604">
        <v>1032</v>
      </c>
      <c r="X604">
        <v>1010</v>
      </c>
      <c r="Y604">
        <v>982</v>
      </c>
      <c r="Z604">
        <v>892</v>
      </c>
      <c r="AA604">
        <v>958</v>
      </c>
      <c r="AB604">
        <v>1028</v>
      </c>
      <c r="AC604">
        <v>974</v>
      </c>
      <c r="AD604">
        <v>1009</v>
      </c>
      <c r="AE604">
        <v>956</v>
      </c>
      <c r="AF604">
        <v>0</v>
      </c>
      <c r="AG604">
        <v>2</v>
      </c>
      <c r="AH604">
        <v>0</v>
      </c>
      <c r="AI604">
        <v>0</v>
      </c>
      <c r="AJ604">
        <v>6</v>
      </c>
      <c r="AK604">
        <v>13</v>
      </c>
      <c r="AL604">
        <v>1</v>
      </c>
      <c r="AM604">
        <v>2</v>
      </c>
      <c r="AN604">
        <v>0</v>
      </c>
      <c r="AO604">
        <v>0</v>
      </c>
      <c r="AP604">
        <v>1114</v>
      </c>
      <c r="AQ604">
        <v>9</v>
      </c>
      <c r="AR604">
        <v>0</v>
      </c>
      <c r="AS604">
        <v>0</v>
      </c>
      <c r="AT604">
        <v>3</v>
      </c>
      <c r="AU604">
        <v>3</v>
      </c>
      <c r="AV604">
        <v>1</v>
      </c>
      <c r="AW604">
        <v>4</v>
      </c>
      <c r="AX604">
        <v>1</v>
      </c>
      <c r="AY604">
        <v>1</v>
      </c>
      <c r="AZ604">
        <v>0</v>
      </c>
      <c r="BA604">
        <v>1021</v>
      </c>
      <c r="BB604">
        <v>0</v>
      </c>
      <c r="BC604">
        <v>1</v>
      </c>
      <c r="BD604">
        <v>0</v>
      </c>
      <c r="BE604">
        <v>3</v>
      </c>
      <c r="BF604">
        <v>4</v>
      </c>
      <c r="BG604">
        <v>2</v>
      </c>
      <c r="BH604">
        <v>0</v>
      </c>
      <c r="BI604">
        <v>0</v>
      </c>
      <c r="BJ604">
        <v>0</v>
      </c>
      <c r="BK604">
        <v>14</v>
      </c>
      <c r="BL604">
        <v>979</v>
      </c>
      <c r="BM604">
        <v>0</v>
      </c>
      <c r="BN604">
        <v>13</v>
      </c>
      <c r="BO604">
        <v>0</v>
      </c>
      <c r="BP604">
        <v>3</v>
      </c>
      <c r="BQ604">
        <v>1</v>
      </c>
      <c r="BR604">
        <v>0</v>
      </c>
      <c r="BS604">
        <v>0</v>
      </c>
      <c r="BT604">
        <v>1</v>
      </c>
      <c r="BU604">
        <v>1</v>
      </c>
      <c r="BV604">
        <v>0</v>
      </c>
      <c r="BW604">
        <v>962</v>
      </c>
      <c r="BX604">
        <v>0</v>
      </c>
      <c r="BY604">
        <v>7</v>
      </c>
      <c r="BZ604">
        <v>0</v>
      </c>
      <c r="CA604">
        <v>4</v>
      </c>
      <c r="CB604">
        <v>7</v>
      </c>
      <c r="CC604">
        <v>0</v>
      </c>
      <c r="CD604">
        <v>0</v>
      </c>
      <c r="CE604">
        <v>0</v>
      </c>
      <c r="CF604">
        <v>2</v>
      </c>
      <c r="CG604">
        <v>0</v>
      </c>
      <c r="CH604">
        <v>889</v>
      </c>
      <c r="CI604">
        <v>1</v>
      </c>
      <c r="CJ604">
        <v>0</v>
      </c>
      <c r="CK604">
        <v>0</v>
      </c>
      <c r="CL604">
        <v>0</v>
      </c>
      <c r="CM604">
        <v>2</v>
      </c>
      <c r="CN604">
        <v>1</v>
      </c>
      <c r="CO604">
        <v>0</v>
      </c>
      <c r="CP604">
        <v>0</v>
      </c>
      <c r="CQ604">
        <v>1</v>
      </c>
      <c r="CR604">
        <v>7</v>
      </c>
      <c r="CS604">
        <v>945</v>
      </c>
      <c r="CT604">
        <v>0</v>
      </c>
      <c r="CU604">
        <v>2</v>
      </c>
      <c r="CV604">
        <v>0</v>
      </c>
      <c r="CW604">
        <v>1</v>
      </c>
      <c r="CX604">
        <v>3</v>
      </c>
      <c r="CY604">
        <v>35</v>
      </c>
      <c r="CZ604">
        <v>3</v>
      </c>
      <c r="DA604">
        <v>5</v>
      </c>
      <c r="DB604">
        <v>4</v>
      </c>
      <c r="DC604">
        <v>0</v>
      </c>
      <c r="DD604">
        <v>960</v>
      </c>
      <c r="DE604">
        <v>3</v>
      </c>
      <c r="DF604">
        <v>14</v>
      </c>
      <c r="DG604">
        <v>6</v>
      </c>
      <c r="DH604">
        <v>0</v>
      </c>
      <c r="DI604">
        <v>8</v>
      </c>
      <c r="DJ604">
        <v>0</v>
      </c>
      <c r="DK604">
        <v>1</v>
      </c>
      <c r="DL604">
        <v>9</v>
      </c>
      <c r="DM604">
        <v>3</v>
      </c>
      <c r="DN604">
        <v>6</v>
      </c>
      <c r="DO604">
        <v>935</v>
      </c>
      <c r="DP604">
        <v>6</v>
      </c>
      <c r="DQ604">
        <v>4</v>
      </c>
      <c r="DR604">
        <v>4</v>
      </c>
      <c r="DS604">
        <v>2</v>
      </c>
      <c r="DT604">
        <v>1</v>
      </c>
      <c r="DU604">
        <v>31</v>
      </c>
      <c r="DV604">
        <v>22</v>
      </c>
      <c r="DW604">
        <v>2</v>
      </c>
      <c r="DX604">
        <v>6</v>
      </c>
      <c r="DY604">
        <v>6</v>
      </c>
      <c r="DZ604">
        <v>931</v>
      </c>
      <c r="EA604">
        <v>0.96919999999999995</v>
      </c>
      <c r="EB604">
        <v>0.96919424863946602</v>
      </c>
      <c r="EC604">
        <v>0.96948630632265897</v>
      </c>
      <c r="ED604">
        <v>0.96899966190694098</v>
      </c>
      <c r="EE604">
        <f>SUM(Table1[[#This Row],[ratio_0]:[ratio_9]])</f>
        <v>550</v>
      </c>
      <c r="EF604" s="1">
        <f>(Table1[[#This Row],[predicted_0]]-Table1[[#This Row],[actual_0]])/Table1[[#This Row],[actual_0]]</f>
        <v>-1.020408163265306E-2</v>
      </c>
      <c r="EG604" s="1">
        <f>(Table1[[#This Row],[predicted_1]]-Table1[[#This Row],[actual_1]])/Table1[[#This Row],[actual_1]]</f>
        <v>-1.0572687224669603E-2</v>
      </c>
      <c r="EH604" s="1">
        <f>(Table1[[#This Row],[predicted_2]]-Table1[[#This Row],[actual_2]])/Table1[[#This Row],[actual_2]]</f>
        <v>5.8139534883720929E-2</v>
      </c>
      <c r="EI604" s="1">
        <f>(Table1[[#This Row],[predicted_3]]-Table1[[#This Row],[actual_3]])/Table1[[#This Row],[actual_3]]</f>
        <v>-2.4752475247524754E-2</v>
      </c>
      <c r="EJ604" s="1">
        <f>(Table1[[#This Row],[predicted_4]]-Table1[[#This Row],[actual_4]])/Table1[[#This Row],[actual_4]]</f>
        <v>1.9348268839103868E-2</v>
      </c>
      <c r="EK604" s="1">
        <f>(Table1[[#This Row],[predicted_5]]-Table1[[#This Row],[actual_5]])/Table1[[#This Row],[actual_5]]</f>
        <v>6.838565022421525E-2</v>
      </c>
      <c r="EL604" s="1">
        <f>(Table1[[#This Row],[predicted_6]]-Table1[[#This Row],[actual_6]])/Table1[[#This Row],[actual_6]]</f>
        <v>1.9832985386221295E-2</v>
      </c>
      <c r="EM604" s="1">
        <f>(Table1[[#This Row],[predicted_7]]-Table1[[#This Row],[actual_7]])/Table1[[#This Row],[actual_7]]</f>
        <v>-4.5719844357976651E-2</v>
      </c>
      <c r="EN604" s="1">
        <f>(Table1[[#This Row],[predicted_8]]-Table1[[#This Row],[actual_8]])/Table1[[#This Row],[actual_8]]</f>
        <v>-1.5400410677618069E-2</v>
      </c>
      <c r="EO604" s="1">
        <f>(Table1[[#This Row],[predicted_9]]-Table1[[#This Row],[actual_9]])/Table1[[#This Row],[actual_9]]</f>
        <v>-4.9554013875123884E-2</v>
      </c>
      <c r="EP604" s="1">
        <f>1+(Table1[[#This Row],[error_ratio_0]]-EF$2)</f>
        <v>0.98775510204081629</v>
      </c>
      <c r="EQ604" s="1">
        <f>1+(Table1[[#This Row],[error_ratio_1]]-EG$2)</f>
        <v>0.98766519823788546</v>
      </c>
      <c r="ER604" s="1">
        <f>1+(Table1[[#This Row],[error_ratio_2]]-EH$2)</f>
        <v>1.0629844961240309</v>
      </c>
      <c r="ES604" s="1">
        <f>1+(Table1[[#This Row],[error_ratio_3]]-EI$2)</f>
        <v>0.96534653465346532</v>
      </c>
      <c r="ET604" s="1">
        <f>1+(Table1[[#This Row],[error_ratio_4]]-EJ$2)</f>
        <v>1.0183299389002036</v>
      </c>
      <c r="EU604" s="1">
        <f>1+(Table1[[#This Row],[error_ratio_5]]-EK$2)</f>
        <v>1.0672645739910314</v>
      </c>
      <c r="EV604" s="1">
        <f>1+(Table1[[#This Row],[error_ratio_6]]-EL$2)</f>
        <v>1.0260960334029228</v>
      </c>
      <c r="EW604" s="1">
        <f>1+(Table1[[#This Row],[error_ratio_7]]-EM$2)</f>
        <v>0.9523346303501945</v>
      </c>
      <c r="EX604" s="1">
        <f>1+(Table1[[#This Row],[error_ratio_8]]-EN$2)</f>
        <v>0.98767967145790558</v>
      </c>
      <c r="EY604" s="1">
        <f>1+(Table1[[#This Row],[error_ratio_9]]-EO$2)</f>
        <v>0.95441030723488607</v>
      </c>
    </row>
    <row r="605" spans="1:155" x14ac:dyDescent="0.75">
      <c r="A605">
        <v>100</v>
      </c>
      <c r="B605">
        <v>100</v>
      </c>
      <c r="C605">
        <v>10</v>
      </c>
      <c r="D605">
        <v>100</v>
      </c>
      <c r="E605">
        <v>10</v>
      </c>
      <c r="F605">
        <v>100</v>
      </c>
      <c r="G605">
        <v>100</v>
      </c>
      <c r="H605">
        <v>10</v>
      </c>
      <c r="I605">
        <v>100</v>
      </c>
      <c r="J605">
        <v>10</v>
      </c>
      <c r="K605">
        <v>992</v>
      </c>
      <c r="L605">
        <v>1146</v>
      </c>
      <c r="M605">
        <v>989</v>
      </c>
      <c r="N605">
        <v>1055</v>
      </c>
      <c r="O605">
        <v>965</v>
      </c>
      <c r="P605">
        <v>945</v>
      </c>
      <c r="Q605">
        <v>951</v>
      </c>
      <c r="R605">
        <v>991</v>
      </c>
      <c r="S605">
        <v>1047</v>
      </c>
      <c r="T605">
        <v>919</v>
      </c>
      <c r="U605">
        <v>980</v>
      </c>
      <c r="V605">
        <v>1135</v>
      </c>
      <c r="W605">
        <v>1032</v>
      </c>
      <c r="X605">
        <v>1010</v>
      </c>
      <c r="Y605">
        <v>982</v>
      </c>
      <c r="Z605">
        <v>892</v>
      </c>
      <c r="AA605">
        <v>958</v>
      </c>
      <c r="AB605">
        <v>1028</v>
      </c>
      <c r="AC605">
        <v>974</v>
      </c>
      <c r="AD605">
        <v>1009</v>
      </c>
      <c r="AE605">
        <v>969</v>
      </c>
      <c r="AF605">
        <v>0</v>
      </c>
      <c r="AG605">
        <v>0</v>
      </c>
      <c r="AH605">
        <v>0</v>
      </c>
      <c r="AI605">
        <v>0</v>
      </c>
      <c r="AJ605">
        <v>7</v>
      </c>
      <c r="AK605">
        <v>0</v>
      </c>
      <c r="AL605">
        <v>1</v>
      </c>
      <c r="AM605">
        <v>3</v>
      </c>
      <c r="AN605">
        <v>0</v>
      </c>
      <c r="AO605">
        <v>0</v>
      </c>
      <c r="AP605">
        <v>1125</v>
      </c>
      <c r="AQ605">
        <v>0</v>
      </c>
      <c r="AR605">
        <v>5</v>
      </c>
      <c r="AS605">
        <v>0</v>
      </c>
      <c r="AT605">
        <v>2</v>
      </c>
      <c r="AU605">
        <v>1</v>
      </c>
      <c r="AV605">
        <v>0</v>
      </c>
      <c r="AW605">
        <v>2</v>
      </c>
      <c r="AX605">
        <v>0</v>
      </c>
      <c r="AY605">
        <v>6</v>
      </c>
      <c r="AZ605">
        <v>4</v>
      </c>
      <c r="BA605">
        <v>978</v>
      </c>
      <c r="BB605">
        <v>13</v>
      </c>
      <c r="BC605">
        <v>1</v>
      </c>
      <c r="BD605">
        <v>2</v>
      </c>
      <c r="BE605">
        <v>0</v>
      </c>
      <c r="BF605">
        <v>5</v>
      </c>
      <c r="BG605">
        <v>23</v>
      </c>
      <c r="BH605">
        <v>0</v>
      </c>
      <c r="BI605">
        <v>0</v>
      </c>
      <c r="BJ605">
        <v>0</v>
      </c>
      <c r="BK605">
        <v>0</v>
      </c>
      <c r="BL605">
        <v>1003</v>
      </c>
      <c r="BM605">
        <v>0</v>
      </c>
      <c r="BN605">
        <v>4</v>
      </c>
      <c r="BO605">
        <v>0</v>
      </c>
      <c r="BP605">
        <v>1</v>
      </c>
      <c r="BQ605">
        <v>2</v>
      </c>
      <c r="BR605">
        <v>0</v>
      </c>
      <c r="BS605">
        <v>4</v>
      </c>
      <c r="BT605">
        <v>0</v>
      </c>
      <c r="BU605">
        <v>0</v>
      </c>
      <c r="BV605">
        <v>0</v>
      </c>
      <c r="BW605">
        <v>949</v>
      </c>
      <c r="BX605">
        <v>0</v>
      </c>
      <c r="BY605">
        <v>10</v>
      </c>
      <c r="BZ605">
        <v>1</v>
      </c>
      <c r="CA605">
        <v>12</v>
      </c>
      <c r="CB605">
        <v>6</v>
      </c>
      <c r="CC605">
        <v>1</v>
      </c>
      <c r="CD605">
        <v>0</v>
      </c>
      <c r="CE605">
        <v>0</v>
      </c>
      <c r="CF605">
        <v>4</v>
      </c>
      <c r="CG605">
        <v>0</v>
      </c>
      <c r="CH605">
        <v>885</v>
      </c>
      <c r="CI605">
        <v>1</v>
      </c>
      <c r="CJ605">
        <v>1</v>
      </c>
      <c r="CK605">
        <v>0</v>
      </c>
      <c r="CL605">
        <v>0</v>
      </c>
      <c r="CM605">
        <v>4</v>
      </c>
      <c r="CN605">
        <v>2</v>
      </c>
      <c r="CO605">
        <v>0</v>
      </c>
      <c r="CP605">
        <v>0</v>
      </c>
      <c r="CQ605">
        <v>1</v>
      </c>
      <c r="CR605">
        <v>12</v>
      </c>
      <c r="CS605">
        <v>938</v>
      </c>
      <c r="CT605">
        <v>0</v>
      </c>
      <c r="CU605">
        <v>1</v>
      </c>
      <c r="CV605">
        <v>0</v>
      </c>
      <c r="CW605">
        <v>1</v>
      </c>
      <c r="CX605">
        <v>9</v>
      </c>
      <c r="CY605">
        <v>11</v>
      </c>
      <c r="CZ605">
        <v>19</v>
      </c>
      <c r="DA605">
        <v>1</v>
      </c>
      <c r="DB605">
        <v>6</v>
      </c>
      <c r="DC605">
        <v>0</v>
      </c>
      <c r="DD605">
        <v>973</v>
      </c>
      <c r="DE605">
        <v>6</v>
      </c>
      <c r="DF605">
        <v>2</v>
      </c>
      <c r="DG605">
        <v>1</v>
      </c>
      <c r="DH605">
        <v>0</v>
      </c>
      <c r="DI605">
        <v>0</v>
      </c>
      <c r="DJ605">
        <v>2</v>
      </c>
      <c r="DK605">
        <v>0</v>
      </c>
      <c r="DL605">
        <v>2</v>
      </c>
      <c r="DM605">
        <v>0</v>
      </c>
      <c r="DN605">
        <v>1</v>
      </c>
      <c r="DO605">
        <v>967</v>
      </c>
      <c r="DP605">
        <v>1</v>
      </c>
      <c r="DQ605">
        <v>6</v>
      </c>
      <c r="DR605">
        <v>6</v>
      </c>
      <c r="DS605">
        <v>0</v>
      </c>
      <c r="DT605">
        <v>9</v>
      </c>
      <c r="DU605">
        <v>13</v>
      </c>
      <c r="DV605">
        <v>25</v>
      </c>
      <c r="DW605">
        <v>1</v>
      </c>
      <c r="DX605">
        <v>8</v>
      </c>
      <c r="DY605">
        <v>31</v>
      </c>
      <c r="DZ605">
        <v>910</v>
      </c>
      <c r="EA605">
        <v>0.96970000000000001</v>
      </c>
      <c r="EB605">
        <v>0.96999707560674597</v>
      </c>
      <c r="EC605">
        <v>0.96995736633996099</v>
      </c>
      <c r="ED605">
        <v>0.96942872886261899</v>
      </c>
      <c r="EE605">
        <f>SUM(Table1[[#This Row],[ratio_0]:[ratio_9]])</f>
        <v>640</v>
      </c>
      <c r="EF605" s="1">
        <f>(Table1[[#This Row],[predicted_0]]-Table1[[#This Row],[actual_0]])/Table1[[#This Row],[actual_0]]</f>
        <v>1.2244897959183673E-2</v>
      </c>
      <c r="EG605" s="1">
        <f>(Table1[[#This Row],[predicted_1]]-Table1[[#This Row],[actual_1]])/Table1[[#This Row],[actual_1]]</f>
        <v>9.6916299559471359E-3</v>
      </c>
      <c r="EH605" s="1">
        <f>(Table1[[#This Row],[predicted_2]]-Table1[[#This Row],[actual_2]])/Table1[[#This Row],[actual_2]]</f>
        <v>-4.1666666666666664E-2</v>
      </c>
      <c r="EI605" s="1">
        <f>(Table1[[#This Row],[predicted_3]]-Table1[[#This Row],[actual_3]])/Table1[[#This Row],[actual_3]]</f>
        <v>4.4554455445544552E-2</v>
      </c>
      <c r="EJ605" s="1">
        <f>(Table1[[#This Row],[predicted_4]]-Table1[[#This Row],[actual_4]])/Table1[[#This Row],[actual_4]]</f>
        <v>-1.7311608961303463E-2</v>
      </c>
      <c r="EK605" s="1">
        <f>(Table1[[#This Row],[predicted_5]]-Table1[[#This Row],[actual_5]])/Table1[[#This Row],[actual_5]]</f>
        <v>5.9417040358744393E-2</v>
      </c>
      <c r="EL605" s="1">
        <f>(Table1[[#This Row],[predicted_6]]-Table1[[#This Row],[actual_6]])/Table1[[#This Row],[actual_6]]</f>
        <v>-7.3068893528183713E-3</v>
      </c>
      <c r="EM605" s="1">
        <f>(Table1[[#This Row],[predicted_7]]-Table1[[#This Row],[actual_7]])/Table1[[#This Row],[actual_7]]</f>
        <v>-3.5992217898832682E-2</v>
      </c>
      <c r="EN605" s="1">
        <f>(Table1[[#This Row],[predicted_8]]-Table1[[#This Row],[actual_8]])/Table1[[#This Row],[actual_8]]</f>
        <v>7.4948665297741274E-2</v>
      </c>
      <c r="EO605" s="1">
        <f>(Table1[[#This Row],[predicted_9]]-Table1[[#This Row],[actual_9]])/Table1[[#This Row],[actual_9]]</f>
        <v>-8.9197224975222991E-2</v>
      </c>
      <c r="EP605" s="1">
        <f>1+(Table1[[#This Row],[error_ratio_0]]-EF$2)</f>
        <v>1.010204081632653</v>
      </c>
      <c r="EQ605" s="1">
        <f>1+(Table1[[#This Row],[error_ratio_1]]-EG$2)</f>
        <v>1.0079295154185022</v>
      </c>
      <c r="ER605" s="1">
        <f>1+(Table1[[#This Row],[error_ratio_2]]-EH$2)</f>
        <v>0.96317829457364346</v>
      </c>
      <c r="ES605" s="1">
        <f>1+(Table1[[#This Row],[error_ratio_3]]-EI$2)</f>
        <v>1.0346534653465347</v>
      </c>
      <c r="ET605" s="1">
        <f>1+(Table1[[#This Row],[error_ratio_4]]-EJ$2)</f>
        <v>0.98167006109979638</v>
      </c>
      <c r="EU605" s="1">
        <f>1+(Table1[[#This Row],[error_ratio_5]]-EK$2)</f>
        <v>1.0582959641255605</v>
      </c>
      <c r="EV605" s="1">
        <f>1+(Table1[[#This Row],[error_ratio_6]]-EL$2)</f>
        <v>0.9989561586638831</v>
      </c>
      <c r="EW605" s="1">
        <f>1+(Table1[[#This Row],[error_ratio_7]]-EM$2)</f>
        <v>0.96206225680933855</v>
      </c>
      <c r="EX605" s="1">
        <f>1+(Table1[[#This Row],[error_ratio_8]]-EN$2)</f>
        <v>1.0780287474332648</v>
      </c>
      <c r="EY605" s="1">
        <f>1+(Table1[[#This Row],[error_ratio_9]]-EO$2)</f>
        <v>0.91476709613478691</v>
      </c>
    </row>
    <row r="606" spans="1:155" x14ac:dyDescent="0.75">
      <c r="A606">
        <v>10</v>
      </c>
      <c r="B606">
        <v>100</v>
      </c>
      <c r="C606">
        <v>10</v>
      </c>
      <c r="D606">
        <v>100</v>
      </c>
      <c r="E606">
        <v>10</v>
      </c>
      <c r="F606">
        <v>100</v>
      </c>
      <c r="G606">
        <v>100</v>
      </c>
      <c r="H606">
        <v>10</v>
      </c>
      <c r="I606">
        <v>100</v>
      </c>
      <c r="J606">
        <v>10</v>
      </c>
      <c r="K606">
        <v>990</v>
      </c>
      <c r="L606">
        <v>1142</v>
      </c>
      <c r="M606">
        <v>1007</v>
      </c>
      <c r="N606">
        <v>1065</v>
      </c>
      <c r="O606">
        <v>960</v>
      </c>
      <c r="P606">
        <v>890</v>
      </c>
      <c r="Q606">
        <v>957</v>
      </c>
      <c r="R606">
        <v>992</v>
      </c>
      <c r="S606">
        <v>1083</v>
      </c>
      <c r="T606">
        <v>914</v>
      </c>
      <c r="U606">
        <v>980</v>
      </c>
      <c r="V606">
        <v>1135</v>
      </c>
      <c r="W606">
        <v>1032</v>
      </c>
      <c r="X606">
        <v>1010</v>
      </c>
      <c r="Y606">
        <v>982</v>
      </c>
      <c r="Z606">
        <v>892</v>
      </c>
      <c r="AA606">
        <v>958</v>
      </c>
      <c r="AB606">
        <v>1028</v>
      </c>
      <c r="AC606">
        <v>974</v>
      </c>
      <c r="AD606">
        <v>1009</v>
      </c>
      <c r="AE606">
        <v>964</v>
      </c>
      <c r="AF606">
        <v>0</v>
      </c>
      <c r="AG606">
        <v>4</v>
      </c>
      <c r="AH606">
        <v>2</v>
      </c>
      <c r="AI606">
        <v>0</v>
      </c>
      <c r="AJ606">
        <v>0</v>
      </c>
      <c r="AK606">
        <v>6</v>
      </c>
      <c r="AL606">
        <v>1</v>
      </c>
      <c r="AM606">
        <v>3</v>
      </c>
      <c r="AN606">
        <v>0</v>
      </c>
      <c r="AO606">
        <v>0</v>
      </c>
      <c r="AP606">
        <v>1123</v>
      </c>
      <c r="AQ606">
        <v>0</v>
      </c>
      <c r="AR606">
        <v>4</v>
      </c>
      <c r="AS606">
        <v>0</v>
      </c>
      <c r="AT606">
        <v>1</v>
      </c>
      <c r="AU606">
        <v>2</v>
      </c>
      <c r="AV606">
        <v>0</v>
      </c>
      <c r="AW606">
        <v>5</v>
      </c>
      <c r="AX606">
        <v>0</v>
      </c>
      <c r="AY606">
        <v>5</v>
      </c>
      <c r="AZ606">
        <v>7</v>
      </c>
      <c r="BA606">
        <v>972</v>
      </c>
      <c r="BB606">
        <v>15</v>
      </c>
      <c r="BC606">
        <v>0</v>
      </c>
      <c r="BD606">
        <v>0</v>
      </c>
      <c r="BE606">
        <v>1</v>
      </c>
      <c r="BF606">
        <v>11</v>
      </c>
      <c r="BG606">
        <v>21</v>
      </c>
      <c r="BH606">
        <v>0</v>
      </c>
      <c r="BI606">
        <v>0</v>
      </c>
      <c r="BJ606">
        <v>0</v>
      </c>
      <c r="BK606">
        <v>3</v>
      </c>
      <c r="BL606">
        <v>1000</v>
      </c>
      <c r="BM606">
        <v>0</v>
      </c>
      <c r="BN606">
        <v>2</v>
      </c>
      <c r="BO606">
        <v>0</v>
      </c>
      <c r="BP606">
        <v>4</v>
      </c>
      <c r="BQ606">
        <v>1</v>
      </c>
      <c r="BR606">
        <v>0</v>
      </c>
      <c r="BS606">
        <v>3</v>
      </c>
      <c r="BT606">
        <v>2</v>
      </c>
      <c r="BU606">
        <v>11</v>
      </c>
      <c r="BV606">
        <v>1</v>
      </c>
      <c r="BW606">
        <v>944</v>
      </c>
      <c r="BX606">
        <v>1</v>
      </c>
      <c r="BY606">
        <v>2</v>
      </c>
      <c r="BZ606">
        <v>0</v>
      </c>
      <c r="CA606">
        <v>11</v>
      </c>
      <c r="CB606">
        <v>7</v>
      </c>
      <c r="CC606">
        <v>2</v>
      </c>
      <c r="CD606">
        <v>0</v>
      </c>
      <c r="CE606">
        <v>0</v>
      </c>
      <c r="CF606">
        <v>12</v>
      </c>
      <c r="CG606">
        <v>0</v>
      </c>
      <c r="CH606">
        <v>876</v>
      </c>
      <c r="CI606">
        <v>1</v>
      </c>
      <c r="CJ606">
        <v>1</v>
      </c>
      <c r="CK606">
        <v>0</v>
      </c>
      <c r="CL606">
        <v>0</v>
      </c>
      <c r="CM606">
        <v>7</v>
      </c>
      <c r="CN606">
        <v>2</v>
      </c>
      <c r="CO606">
        <v>1</v>
      </c>
      <c r="CP606">
        <v>1</v>
      </c>
      <c r="CQ606">
        <v>2</v>
      </c>
      <c r="CR606">
        <v>2</v>
      </c>
      <c r="CS606">
        <v>943</v>
      </c>
      <c r="CT606">
        <v>0</v>
      </c>
      <c r="CU606">
        <v>0</v>
      </c>
      <c r="CV606">
        <v>0</v>
      </c>
      <c r="CW606">
        <v>2</v>
      </c>
      <c r="CX606">
        <v>7</v>
      </c>
      <c r="CY606">
        <v>15</v>
      </c>
      <c r="CZ606">
        <v>9</v>
      </c>
      <c r="DA606">
        <v>0</v>
      </c>
      <c r="DB606">
        <v>3</v>
      </c>
      <c r="DC606">
        <v>1</v>
      </c>
      <c r="DD606">
        <v>967</v>
      </c>
      <c r="DE606">
        <v>22</v>
      </c>
      <c r="DF606">
        <v>2</v>
      </c>
      <c r="DG606">
        <v>1</v>
      </c>
      <c r="DH606">
        <v>0</v>
      </c>
      <c r="DI606">
        <v>1</v>
      </c>
      <c r="DJ606">
        <v>7</v>
      </c>
      <c r="DK606">
        <v>1</v>
      </c>
      <c r="DL606">
        <v>0</v>
      </c>
      <c r="DM606">
        <v>1</v>
      </c>
      <c r="DN606">
        <v>1</v>
      </c>
      <c r="DO606">
        <v>962</v>
      </c>
      <c r="DP606">
        <v>0</v>
      </c>
      <c r="DQ606">
        <v>6</v>
      </c>
      <c r="DR606">
        <v>1</v>
      </c>
      <c r="DS606">
        <v>0</v>
      </c>
      <c r="DT606">
        <v>14</v>
      </c>
      <c r="DU606">
        <v>13</v>
      </c>
      <c r="DV606">
        <v>5</v>
      </c>
      <c r="DW606">
        <v>0</v>
      </c>
      <c r="DX606">
        <v>7</v>
      </c>
      <c r="DY606">
        <v>58</v>
      </c>
      <c r="DZ606">
        <v>905</v>
      </c>
      <c r="EA606">
        <v>0.96560000000000001</v>
      </c>
      <c r="EB606">
        <v>0.96675091506728505</v>
      </c>
      <c r="EC606">
        <v>0.96580376809263202</v>
      </c>
      <c r="ED606">
        <v>0.96565508724848803</v>
      </c>
      <c r="EE606">
        <f>SUM(Table1[[#This Row],[ratio_0]:[ratio_9]])</f>
        <v>550</v>
      </c>
      <c r="EF606" s="1">
        <f>(Table1[[#This Row],[predicted_0]]-Table1[[#This Row],[actual_0]])/Table1[[#This Row],[actual_0]]</f>
        <v>1.020408163265306E-2</v>
      </c>
      <c r="EG606" s="1">
        <f>(Table1[[#This Row],[predicted_1]]-Table1[[#This Row],[actual_1]])/Table1[[#This Row],[actual_1]]</f>
        <v>6.1674008810572688E-3</v>
      </c>
      <c r="EH606" s="1">
        <f>(Table1[[#This Row],[predicted_2]]-Table1[[#This Row],[actual_2]])/Table1[[#This Row],[actual_2]]</f>
        <v>-2.4224806201550389E-2</v>
      </c>
      <c r="EI606" s="1">
        <f>(Table1[[#This Row],[predicted_3]]-Table1[[#This Row],[actual_3]])/Table1[[#This Row],[actual_3]]</f>
        <v>5.4455445544554455E-2</v>
      </c>
      <c r="EJ606" s="1">
        <f>(Table1[[#This Row],[predicted_4]]-Table1[[#This Row],[actual_4]])/Table1[[#This Row],[actual_4]]</f>
        <v>-2.2403258655804479E-2</v>
      </c>
      <c r="EK606" s="1">
        <f>(Table1[[#This Row],[predicted_5]]-Table1[[#This Row],[actual_5]])/Table1[[#This Row],[actual_5]]</f>
        <v>-2.242152466367713E-3</v>
      </c>
      <c r="EL606" s="1">
        <f>(Table1[[#This Row],[predicted_6]]-Table1[[#This Row],[actual_6]])/Table1[[#This Row],[actual_6]]</f>
        <v>-1.0438413361169101E-3</v>
      </c>
      <c r="EM606" s="1">
        <f>(Table1[[#This Row],[predicted_7]]-Table1[[#This Row],[actual_7]])/Table1[[#This Row],[actual_7]]</f>
        <v>-3.5019455252918288E-2</v>
      </c>
      <c r="EN606" s="1">
        <f>(Table1[[#This Row],[predicted_8]]-Table1[[#This Row],[actual_8]])/Table1[[#This Row],[actual_8]]</f>
        <v>0.11190965092402463</v>
      </c>
      <c r="EO606" s="1">
        <f>(Table1[[#This Row],[predicted_9]]-Table1[[#This Row],[actual_9]])/Table1[[#This Row],[actual_9]]</f>
        <v>-9.4152626362735387E-2</v>
      </c>
      <c r="EP606" s="1">
        <f>1+(Table1[[#This Row],[error_ratio_0]]-EF$2)</f>
        <v>1.0081632653061225</v>
      </c>
      <c r="EQ606" s="1">
        <f>1+(Table1[[#This Row],[error_ratio_1]]-EG$2)</f>
        <v>1.0044052863436124</v>
      </c>
      <c r="ER606" s="1">
        <f>1+(Table1[[#This Row],[error_ratio_2]]-EH$2)</f>
        <v>0.98062015503875966</v>
      </c>
      <c r="ES606" s="1">
        <f>1+(Table1[[#This Row],[error_ratio_3]]-EI$2)</f>
        <v>1.0445544554455446</v>
      </c>
      <c r="ET606" s="1">
        <f>1+(Table1[[#This Row],[error_ratio_4]]-EJ$2)</f>
        <v>0.97657841140529533</v>
      </c>
      <c r="EU606" s="1">
        <f>1+(Table1[[#This Row],[error_ratio_5]]-EK$2)</f>
        <v>0.99663677130044848</v>
      </c>
      <c r="EV606" s="1">
        <f>1+(Table1[[#This Row],[error_ratio_6]]-EL$2)</f>
        <v>1.0052192066805845</v>
      </c>
      <c r="EW606" s="1">
        <f>1+(Table1[[#This Row],[error_ratio_7]]-EM$2)</f>
        <v>0.96303501945525294</v>
      </c>
      <c r="EX606" s="1">
        <f>1+(Table1[[#This Row],[error_ratio_8]]-EN$2)</f>
        <v>1.1149897330595482</v>
      </c>
      <c r="EY606" s="1">
        <f>1+(Table1[[#This Row],[error_ratio_9]]-EO$2)</f>
        <v>0.90981169474727452</v>
      </c>
    </row>
    <row r="607" spans="1:155" x14ac:dyDescent="0.75">
      <c r="A607">
        <v>100</v>
      </c>
      <c r="B607">
        <v>10</v>
      </c>
      <c r="C607">
        <v>10</v>
      </c>
      <c r="D607">
        <v>100</v>
      </c>
      <c r="E607">
        <v>10</v>
      </c>
      <c r="F607">
        <v>100</v>
      </c>
      <c r="G607">
        <v>100</v>
      </c>
      <c r="H607">
        <v>10</v>
      </c>
      <c r="I607">
        <v>100</v>
      </c>
      <c r="J607">
        <v>10</v>
      </c>
      <c r="K607">
        <v>1010</v>
      </c>
      <c r="L607">
        <v>1132</v>
      </c>
      <c r="M607">
        <v>987</v>
      </c>
      <c r="N607">
        <v>1094</v>
      </c>
      <c r="O607">
        <v>987</v>
      </c>
      <c r="P607">
        <v>928</v>
      </c>
      <c r="Q607">
        <v>940</v>
      </c>
      <c r="R607">
        <v>977</v>
      </c>
      <c r="S607">
        <v>1004</v>
      </c>
      <c r="T607">
        <v>941</v>
      </c>
      <c r="U607">
        <v>980</v>
      </c>
      <c r="V607">
        <v>1135</v>
      </c>
      <c r="W607">
        <v>1032</v>
      </c>
      <c r="X607">
        <v>1010</v>
      </c>
      <c r="Y607">
        <v>982</v>
      </c>
      <c r="Z607">
        <v>892</v>
      </c>
      <c r="AA607">
        <v>958</v>
      </c>
      <c r="AB607">
        <v>1028</v>
      </c>
      <c r="AC607">
        <v>974</v>
      </c>
      <c r="AD607">
        <v>1009</v>
      </c>
      <c r="AE607">
        <v>979</v>
      </c>
      <c r="AF607">
        <v>0</v>
      </c>
      <c r="AG607">
        <v>0</v>
      </c>
      <c r="AH607">
        <v>0</v>
      </c>
      <c r="AI607">
        <v>0</v>
      </c>
      <c r="AJ607">
        <v>0</v>
      </c>
      <c r="AK607">
        <v>1</v>
      </c>
      <c r="AL607">
        <v>0</v>
      </c>
      <c r="AM607">
        <v>0</v>
      </c>
      <c r="AN607">
        <v>0</v>
      </c>
      <c r="AO607">
        <v>0</v>
      </c>
      <c r="AP607">
        <v>1114</v>
      </c>
      <c r="AQ607">
        <v>4</v>
      </c>
      <c r="AR607">
        <v>4</v>
      </c>
      <c r="AS607">
        <v>0</v>
      </c>
      <c r="AT607">
        <v>1</v>
      </c>
      <c r="AU607">
        <v>3</v>
      </c>
      <c r="AV607">
        <v>0</v>
      </c>
      <c r="AW607">
        <v>9</v>
      </c>
      <c r="AX607">
        <v>0</v>
      </c>
      <c r="AY607">
        <v>9</v>
      </c>
      <c r="AZ607">
        <v>1</v>
      </c>
      <c r="BA607">
        <v>967</v>
      </c>
      <c r="BB607">
        <v>31</v>
      </c>
      <c r="BC607">
        <v>7</v>
      </c>
      <c r="BD607">
        <v>1</v>
      </c>
      <c r="BE607">
        <v>0</v>
      </c>
      <c r="BF607">
        <v>7</v>
      </c>
      <c r="BG607">
        <v>9</v>
      </c>
      <c r="BH607">
        <v>0</v>
      </c>
      <c r="BI607">
        <v>0</v>
      </c>
      <c r="BJ607">
        <v>0</v>
      </c>
      <c r="BK607">
        <v>1</v>
      </c>
      <c r="BL607">
        <v>999</v>
      </c>
      <c r="BM607">
        <v>0</v>
      </c>
      <c r="BN607">
        <v>7</v>
      </c>
      <c r="BO607">
        <v>0</v>
      </c>
      <c r="BP607">
        <v>2</v>
      </c>
      <c r="BQ607">
        <v>0</v>
      </c>
      <c r="BR607">
        <v>1</v>
      </c>
      <c r="BS607">
        <v>0</v>
      </c>
      <c r="BT607">
        <v>0</v>
      </c>
      <c r="BU607">
        <v>2</v>
      </c>
      <c r="BV607">
        <v>1</v>
      </c>
      <c r="BW607">
        <v>953</v>
      </c>
      <c r="BX607">
        <v>0</v>
      </c>
      <c r="BY607">
        <v>3</v>
      </c>
      <c r="BZ607">
        <v>1</v>
      </c>
      <c r="CA607">
        <v>4</v>
      </c>
      <c r="CB607">
        <v>18</v>
      </c>
      <c r="CC607">
        <v>1</v>
      </c>
      <c r="CD607">
        <v>0</v>
      </c>
      <c r="CE607">
        <v>1</v>
      </c>
      <c r="CF607">
        <v>3</v>
      </c>
      <c r="CG607">
        <v>0</v>
      </c>
      <c r="CH607">
        <v>884</v>
      </c>
      <c r="CI607">
        <v>1</v>
      </c>
      <c r="CJ607">
        <v>1</v>
      </c>
      <c r="CK607">
        <v>1</v>
      </c>
      <c r="CL607">
        <v>0</v>
      </c>
      <c r="CM607">
        <v>8</v>
      </c>
      <c r="CN607">
        <v>1</v>
      </c>
      <c r="CO607">
        <v>2</v>
      </c>
      <c r="CP607">
        <v>0</v>
      </c>
      <c r="CQ607">
        <v>6</v>
      </c>
      <c r="CR607">
        <v>9</v>
      </c>
      <c r="CS607">
        <v>931</v>
      </c>
      <c r="CT607">
        <v>0</v>
      </c>
      <c r="CU607">
        <v>1</v>
      </c>
      <c r="CV607">
        <v>0</v>
      </c>
      <c r="CW607">
        <v>5</v>
      </c>
      <c r="CX607">
        <v>11</v>
      </c>
      <c r="CY607">
        <v>10</v>
      </c>
      <c r="CZ607">
        <v>41</v>
      </c>
      <c r="DA607">
        <v>0</v>
      </c>
      <c r="DB607">
        <v>0</v>
      </c>
      <c r="DC607">
        <v>0</v>
      </c>
      <c r="DD607">
        <v>949</v>
      </c>
      <c r="DE607">
        <v>8</v>
      </c>
      <c r="DF607">
        <v>4</v>
      </c>
      <c r="DG607">
        <v>4</v>
      </c>
      <c r="DH607">
        <v>0</v>
      </c>
      <c r="DI607">
        <v>0</v>
      </c>
      <c r="DJ607">
        <v>1</v>
      </c>
      <c r="DK607">
        <v>2</v>
      </c>
      <c r="DL607">
        <v>1</v>
      </c>
      <c r="DM607">
        <v>1</v>
      </c>
      <c r="DN607">
        <v>2</v>
      </c>
      <c r="DO607">
        <v>961</v>
      </c>
      <c r="DP607">
        <v>2</v>
      </c>
      <c r="DQ607">
        <v>4</v>
      </c>
      <c r="DR607">
        <v>5</v>
      </c>
      <c r="DS607">
        <v>0</v>
      </c>
      <c r="DT607">
        <v>14</v>
      </c>
      <c r="DU607">
        <v>19</v>
      </c>
      <c r="DV607">
        <v>25</v>
      </c>
      <c r="DW607">
        <v>0</v>
      </c>
      <c r="DX607">
        <v>15</v>
      </c>
      <c r="DY607">
        <v>11</v>
      </c>
      <c r="DZ607">
        <v>916</v>
      </c>
      <c r="EA607">
        <v>0.96530000000000005</v>
      </c>
      <c r="EB607">
        <v>0.96568137415427702</v>
      </c>
      <c r="EC607">
        <v>0.965755217236965</v>
      </c>
      <c r="ED607">
        <v>0.96525104385078198</v>
      </c>
      <c r="EE607">
        <f>SUM(Table1[[#This Row],[ratio_0]:[ratio_9]])</f>
        <v>550</v>
      </c>
      <c r="EF607" s="1">
        <f>(Table1[[#This Row],[predicted_0]]-Table1[[#This Row],[actual_0]])/Table1[[#This Row],[actual_0]]</f>
        <v>3.0612244897959183E-2</v>
      </c>
      <c r="EG607" s="1">
        <f>(Table1[[#This Row],[predicted_1]]-Table1[[#This Row],[actual_1]])/Table1[[#This Row],[actual_1]]</f>
        <v>-2.6431718061674008E-3</v>
      </c>
      <c r="EH607" s="1">
        <f>(Table1[[#This Row],[predicted_2]]-Table1[[#This Row],[actual_2]])/Table1[[#This Row],[actual_2]]</f>
        <v>-4.3604651162790699E-2</v>
      </c>
      <c r="EI607" s="1">
        <f>(Table1[[#This Row],[predicted_3]]-Table1[[#This Row],[actual_3]])/Table1[[#This Row],[actual_3]]</f>
        <v>8.3168316831683173E-2</v>
      </c>
      <c r="EJ607" s="1">
        <f>(Table1[[#This Row],[predicted_4]]-Table1[[#This Row],[actual_4]])/Table1[[#This Row],[actual_4]]</f>
        <v>5.0916496945010185E-3</v>
      </c>
      <c r="EK607" s="1">
        <f>(Table1[[#This Row],[predicted_5]]-Table1[[#This Row],[actual_5]])/Table1[[#This Row],[actual_5]]</f>
        <v>4.0358744394618833E-2</v>
      </c>
      <c r="EL607" s="1">
        <f>(Table1[[#This Row],[predicted_6]]-Table1[[#This Row],[actual_6]])/Table1[[#This Row],[actual_6]]</f>
        <v>-1.8789144050104383E-2</v>
      </c>
      <c r="EM607" s="1">
        <f>(Table1[[#This Row],[predicted_7]]-Table1[[#This Row],[actual_7]])/Table1[[#This Row],[actual_7]]</f>
        <v>-4.9610894941634238E-2</v>
      </c>
      <c r="EN607" s="1">
        <f>(Table1[[#This Row],[predicted_8]]-Table1[[#This Row],[actual_8]])/Table1[[#This Row],[actual_8]]</f>
        <v>3.0800821355236138E-2</v>
      </c>
      <c r="EO607" s="1">
        <f>(Table1[[#This Row],[predicted_9]]-Table1[[#This Row],[actual_9]])/Table1[[#This Row],[actual_9]]</f>
        <v>-6.7393458870168482E-2</v>
      </c>
      <c r="EP607" s="1">
        <f>1+(Table1[[#This Row],[error_ratio_0]]-EF$2)</f>
        <v>1.0285714285714285</v>
      </c>
      <c r="EQ607" s="1">
        <f>1+(Table1[[#This Row],[error_ratio_1]]-EG$2)</f>
        <v>0.99559471365638763</v>
      </c>
      <c r="ER607" s="1">
        <f>1+(Table1[[#This Row],[error_ratio_2]]-EH$2)</f>
        <v>0.96124031007751942</v>
      </c>
      <c r="ES607" s="1">
        <f>1+(Table1[[#This Row],[error_ratio_3]]-EI$2)</f>
        <v>1.0732673267326733</v>
      </c>
      <c r="ET607" s="1">
        <f>1+(Table1[[#This Row],[error_ratio_4]]-EJ$2)</f>
        <v>1.0040733197556009</v>
      </c>
      <c r="EU607" s="1">
        <f>1+(Table1[[#This Row],[error_ratio_5]]-EK$2)</f>
        <v>1.039237668161435</v>
      </c>
      <c r="EV607" s="1">
        <f>1+(Table1[[#This Row],[error_ratio_6]]-EL$2)</f>
        <v>0.98747390396659707</v>
      </c>
      <c r="EW607" s="1">
        <f>1+(Table1[[#This Row],[error_ratio_7]]-EM$2)</f>
        <v>0.94844357976653693</v>
      </c>
      <c r="EX607" s="1">
        <f>1+(Table1[[#This Row],[error_ratio_8]]-EN$2)</f>
        <v>1.0338809034907597</v>
      </c>
      <c r="EY607" s="1">
        <f>1+(Table1[[#This Row],[error_ratio_9]]-EO$2)</f>
        <v>0.93657086223984143</v>
      </c>
    </row>
    <row r="608" spans="1:155" x14ac:dyDescent="0.75">
      <c r="A608">
        <v>10</v>
      </c>
      <c r="B608">
        <v>10</v>
      </c>
      <c r="C608">
        <v>10</v>
      </c>
      <c r="D608">
        <v>100</v>
      </c>
      <c r="E608">
        <v>10</v>
      </c>
      <c r="F608">
        <v>100</v>
      </c>
      <c r="G608">
        <v>100</v>
      </c>
      <c r="H608">
        <v>10</v>
      </c>
      <c r="I608">
        <v>100</v>
      </c>
      <c r="J608">
        <v>10</v>
      </c>
      <c r="K608">
        <v>948</v>
      </c>
      <c r="L608">
        <v>1120</v>
      </c>
      <c r="M608">
        <v>990</v>
      </c>
      <c r="N608">
        <v>1066</v>
      </c>
      <c r="O608">
        <v>991</v>
      </c>
      <c r="P608">
        <v>913</v>
      </c>
      <c r="Q608">
        <v>962</v>
      </c>
      <c r="R608">
        <v>1005</v>
      </c>
      <c r="S608">
        <v>1062</v>
      </c>
      <c r="T608">
        <v>943</v>
      </c>
      <c r="U608">
        <v>980</v>
      </c>
      <c r="V608">
        <v>1135</v>
      </c>
      <c r="W608">
        <v>1032</v>
      </c>
      <c r="X608">
        <v>1010</v>
      </c>
      <c r="Y608">
        <v>982</v>
      </c>
      <c r="Z608">
        <v>892</v>
      </c>
      <c r="AA608">
        <v>958</v>
      </c>
      <c r="AB608">
        <v>1028</v>
      </c>
      <c r="AC608">
        <v>974</v>
      </c>
      <c r="AD608">
        <v>1009</v>
      </c>
      <c r="AE608">
        <v>937</v>
      </c>
      <c r="AF608">
        <v>0</v>
      </c>
      <c r="AG608">
        <v>1</v>
      </c>
      <c r="AH608">
        <v>1</v>
      </c>
      <c r="AI608">
        <v>4</v>
      </c>
      <c r="AJ608">
        <v>13</v>
      </c>
      <c r="AK608">
        <v>7</v>
      </c>
      <c r="AL608">
        <v>3</v>
      </c>
      <c r="AM608">
        <v>14</v>
      </c>
      <c r="AN608">
        <v>0</v>
      </c>
      <c r="AO608">
        <v>0</v>
      </c>
      <c r="AP608">
        <v>1112</v>
      </c>
      <c r="AQ608">
        <v>2</v>
      </c>
      <c r="AR608">
        <v>2</v>
      </c>
      <c r="AS608">
        <v>0</v>
      </c>
      <c r="AT608">
        <v>2</v>
      </c>
      <c r="AU608">
        <v>8</v>
      </c>
      <c r="AV608">
        <v>0</v>
      </c>
      <c r="AW608">
        <v>8</v>
      </c>
      <c r="AX608">
        <v>1</v>
      </c>
      <c r="AY608">
        <v>2</v>
      </c>
      <c r="AZ608">
        <v>2</v>
      </c>
      <c r="BA608">
        <v>968</v>
      </c>
      <c r="BB608">
        <v>31</v>
      </c>
      <c r="BC608">
        <v>4</v>
      </c>
      <c r="BD608">
        <v>2</v>
      </c>
      <c r="BE608">
        <v>4</v>
      </c>
      <c r="BF608">
        <v>9</v>
      </c>
      <c r="BG608">
        <v>10</v>
      </c>
      <c r="BH608">
        <v>0</v>
      </c>
      <c r="BI608">
        <v>0</v>
      </c>
      <c r="BJ608">
        <v>0</v>
      </c>
      <c r="BK608">
        <v>0</v>
      </c>
      <c r="BL608">
        <v>999</v>
      </c>
      <c r="BM608">
        <v>0</v>
      </c>
      <c r="BN608">
        <v>5</v>
      </c>
      <c r="BO608">
        <v>0</v>
      </c>
      <c r="BP608">
        <v>4</v>
      </c>
      <c r="BQ608">
        <v>2</v>
      </c>
      <c r="BR608">
        <v>0</v>
      </c>
      <c r="BS608">
        <v>0</v>
      </c>
      <c r="BT608">
        <v>0</v>
      </c>
      <c r="BU608">
        <v>0</v>
      </c>
      <c r="BV608">
        <v>2</v>
      </c>
      <c r="BW608">
        <v>936</v>
      </c>
      <c r="BX608">
        <v>0</v>
      </c>
      <c r="BY608">
        <v>6</v>
      </c>
      <c r="BZ608">
        <v>0</v>
      </c>
      <c r="CA608">
        <v>9</v>
      </c>
      <c r="CB608">
        <v>29</v>
      </c>
      <c r="CC608">
        <v>0</v>
      </c>
      <c r="CD608">
        <v>0</v>
      </c>
      <c r="CE608">
        <v>1</v>
      </c>
      <c r="CF608">
        <v>7</v>
      </c>
      <c r="CG608">
        <v>0</v>
      </c>
      <c r="CH608">
        <v>882</v>
      </c>
      <c r="CI608">
        <v>1</v>
      </c>
      <c r="CJ608">
        <v>0</v>
      </c>
      <c r="CK608">
        <v>1</v>
      </c>
      <c r="CL608">
        <v>0</v>
      </c>
      <c r="CM608">
        <v>5</v>
      </c>
      <c r="CN608">
        <v>1</v>
      </c>
      <c r="CO608">
        <v>1</v>
      </c>
      <c r="CP608">
        <v>0</v>
      </c>
      <c r="CQ608">
        <v>12</v>
      </c>
      <c r="CR608">
        <v>4</v>
      </c>
      <c r="CS608">
        <v>934</v>
      </c>
      <c r="CT608">
        <v>0</v>
      </c>
      <c r="CU608">
        <v>1</v>
      </c>
      <c r="CV608">
        <v>0</v>
      </c>
      <c r="CW608">
        <v>1</v>
      </c>
      <c r="CX608">
        <v>5</v>
      </c>
      <c r="CY608">
        <v>13</v>
      </c>
      <c r="CZ608">
        <v>6</v>
      </c>
      <c r="DA608">
        <v>3</v>
      </c>
      <c r="DB608">
        <v>0</v>
      </c>
      <c r="DC608">
        <v>0</v>
      </c>
      <c r="DD608">
        <v>981</v>
      </c>
      <c r="DE608">
        <v>5</v>
      </c>
      <c r="DF608">
        <v>14</v>
      </c>
      <c r="DG608">
        <v>0</v>
      </c>
      <c r="DH608">
        <v>0</v>
      </c>
      <c r="DI608">
        <v>3</v>
      </c>
      <c r="DJ608">
        <v>6</v>
      </c>
      <c r="DK608">
        <v>0</v>
      </c>
      <c r="DL608">
        <v>0</v>
      </c>
      <c r="DM608">
        <v>1</v>
      </c>
      <c r="DN608">
        <v>0</v>
      </c>
      <c r="DO608">
        <v>964</v>
      </c>
      <c r="DP608">
        <v>0</v>
      </c>
      <c r="DQ608">
        <v>3</v>
      </c>
      <c r="DR608">
        <v>0</v>
      </c>
      <c r="DS608">
        <v>1</v>
      </c>
      <c r="DT608">
        <v>12</v>
      </c>
      <c r="DU608">
        <v>32</v>
      </c>
      <c r="DV608">
        <v>5</v>
      </c>
      <c r="DW608">
        <v>1</v>
      </c>
      <c r="DX608">
        <v>8</v>
      </c>
      <c r="DY608">
        <v>48</v>
      </c>
      <c r="DZ608">
        <v>899</v>
      </c>
      <c r="EA608">
        <v>0.96120000000000005</v>
      </c>
      <c r="EB608">
        <v>0.96148013269258903</v>
      </c>
      <c r="EC608">
        <v>0.961483979189104</v>
      </c>
      <c r="ED608">
        <v>0.96102885905338997</v>
      </c>
      <c r="EE608">
        <f>SUM(Table1[[#This Row],[ratio_0]:[ratio_9]])</f>
        <v>460</v>
      </c>
      <c r="EF608" s="1">
        <f>(Table1[[#This Row],[predicted_0]]-Table1[[#This Row],[actual_0]])/Table1[[#This Row],[actual_0]]</f>
        <v>-3.2653061224489799E-2</v>
      </c>
      <c r="EG608" s="1">
        <f>(Table1[[#This Row],[predicted_1]]-Table1[[#This Row],[actual_1]])/Table1[[#This Row],[actual_1]]</f>
        <v>-1.3215859030837005E-2</v>
      </c>
      <c r="EH608" s="1">
        <f>(Table1[[#This Row],[predicted_2]]-Table1[[#This Row],[actual_2]])/Table1[[#This Row],[actual_2]]</f>
        <v>-4.0697674418604654E-2</v>
      </c>
      <c r="EI608" s="1">
        <f>(Table1[[#This Row],[predicted_3]]-Table1[[#This Row],[actual_3]])/Table1[[#This Row],[actual_3]]</f>
        <v>5.5445544554455446E-2</v>
      </c>
      <c r="EJ608" s="1">
        <f>(Table1[[#This Row],[predicted_4]]-Table1[[#This Row],[actual_4]])/Table1[[#This Row],[actual_4]]</f>
        <v>9.1649694501018328E-3</v>
      </c>
      <c r="EK608" s="1">
        <f>(Table1[[#This Row],[predicted_5]]-Table1[[#This Row],[actual_5]])/Table1[[#This Row],[actual_5]]</f>
        <v>2.3542600896860985E-2</v>
      </c>
      <c r="EL608" s="1">
        <f>(Table1[[#This Row],[predicted_6]]-Table1[[#This Row],[actual_6]])/Table1[[#This Row],[actual_6]]</f>
        <v>4.1753653444676405E-3</v>
      </c>
      <c r="EM608" s="1">
        <f>(Table1[[#This Row],[predicted_7]]-Table1[[#This Row],[actual_7]])/Table1[[#This Row],[actual_7]]</f>
        <v>-2.2373540856031129E-2</v>
      </c>
      <c r="EN608" s="1">
        <f>(Table1[[#This Row],[predicted_8]]-Table1[[#This Row],[actual_8]])/Table1[[#This Row],[actual_8]]</f>
        <v>9.034907597535935E-2</v>
      </c>
      <c r="EO608" s="1">
        <f>(Table1[[#This Row],[predicted_9]]-Table1[[#This Row],[actual_9]])/Table1[[#This Row],[actual_9]]</f>
        <v>-6.5411298315163527E-2</v>
      </c>
      <c r="EP608" s="1">
        <f>1+(Table1[[#This Row],[error_ratio_0]]-EF$2)</f>
        <v>0.96530612244897962</v>
      </c>
      <c r="EQ608" s="1">
        <f>1+(Table1[[#This Row],[error_ratio_1]]-EG$2)</f>
        <v>0.9850220264317181</v>
      </c>
      <c r="ER608" s="1">
        <f>1+(Table1[[#This Row],[error_ratio_2]]-EH$2)</f>
        <v>0.96414728682170547</v>
      </c>
      <c r="ES608" s="1">
        <f>1+(Table1[[#This Row],[error_ratio_3]]-EI$2)</f>
        <v>1.0455445544554456</v>
      </c>
      <c r="ET608" s="1">
        <f>1+(Table1[[#This Row],[error_ratio_4]]-EJ$2)</f>
        <v>1.0081466395112015</v>
      </c>
      <c r="EU608" s="1">
        <f>1+(Table1[[#This Row],[error_ratio_5]]-EK$2)</f>
        <v>1.0224215246636772</v>
      </c>
      <c r="EV608" s="1">
        <f>1+(Table1[[#This Row],[error_ratio_6]]-EL$2)</f>
        <v>1.010438413361169</v>
      </c>
      <c r="EW608" s="1">
        <f>1+(Table1[[#This Row],[error_ratio_7]]-EM$2)</f>
        <v>0.97568093385214005</v>
      </c>
      <c r="EX608" s="1">
        <f>1+(Table1[[#This Row],[error_ratio_8]]-EN$2)</f>
        <v>1.093429158110883</v>
      </c>
      <c r="EY608" s="1">
        <f>1+(Table1[[#This Row],[error_ratio_9]]-EO$2)</f>
        <v>0.93855302279484643</v>
      </c>
    </row>
    <row r="609" spans="1:155" x14ac:dyDescent="0.75">
      <c r="A609">
        <v>100</v>
      </c>
      <c r="B609">
        <v>100</v>
      </c>
      <c r="C609">
        <v>100</v>
      </c>
      <c r="D609">
        <v>10</v>
      </c>
      <c r="E609">
        <v>10</v>
      </c>
      <c r="F609">
        <v>100</v>
      </c>
      <c r="G609">
        <v>100</v>
      </c>
      <c r="H609">
        <v>10</v>
      </c>
      <c r="I609">
        <v>100</v>
      </c>
      <c r="J609">
        <v>10</v>
      </c>
      <c r="K609">
        <v>1006</v>
      </c>
      <c r="L609">
        <v>1161</v>
      </c>
      <c r="M609">
        <v>1086</v>
      </c>
      <c r="N609">
        <v>978</v>
      </c>
      <c r="O609">
        <v>942</v>
      </c>
      <c r="P609">
        <v>947</v>
      </c>
      <c r="Q609">
        <v>942</v>
      </c>
      <c r="R609">
        <v>860</v>
      </c>
      <c r="S609">
        <v>1015</v>
      </c>
      <c r="T609">
        <v>1063</v>
      </c>
      <c r="U609">
        <v>980</v>
      </c>
      <c r="V609">
        <v>1135</v>
      </c>
      <c r="W609">
        <v>1032</v>
      </c>
      <c r="X609">
        <v>1010</v>
      </c>
      <c r="Y609">
        <v>982</v>
      </c>
      <c r="Z609">
        <v>892</v>
      </c>
      <c r="AA609">
        <v>958</v>
      </c>
      <c r="AB609">
        <v>1028</v>
      </c>
      <c r="AC609">
        <v>974</v>
      </c>
      <c r="AD609">
        <v>1009</v>
      </c>
      <c r="AE609">
        <v>976</v>
      </c>
      <c r="AF609">
        <v>0</v>
      </c>
      <c r="AG609">
        <v>0</v>
      </c>
      <c r="AH609">
        <v>0</v>
      </c>
      <c r="AI609">
        <v>0</v>
      </c>
      <c r="AJ609">
        <v>2</v>
      </c>
      <c r="AK609">
        <v>0</v>
      </c>
      <c r="AL609">
        <v>0</v>
      </c>
      <c r="AM609">
        <v>2</v>
      </c>
      <c r="AN609">
        <v>0</v>
      </c>
      <c r="AO609">
        <v>0</v>
      </c>
      <c r="AP609">
        <v>1129</v>
      </c>
      <c r="AQ609">
        <v>0</v>
      </c>
      <c r="AR609">
        <v>1</v>
      </c>
      <c r="AS609">
        <v>0</v>
      </c>
      <c r="AT609">
        <v>2</v>
      </c>
      <c r="AU609">
        <v>2</v>
      </c>
      <c r="AV609">
        <v>0</v>
      </c>
      <c r="AW609">
        <v>1</v>
      </c>
      <c r="AX609">
        <v>0</v>
      </c>
      <c r="AY609">
        <v>3</v>
      </c>
      <c r="AZ609">
        <v>2</v>
      </c>
      <c r="BA609">
        <v>1022</v>
      </c>
      <c r="BB609">
        <v>0</v>
      </c>
      <c r="BC609">
        <v>0</v>
      </c>
      <c r="BD609">
        <v>0</v>
      </c>
      <c r="BE609">
        <v>0</v>
      </c>
      <c r="BF609">
        <v>0</v>
      </c>
      <c r="BG609">
        <v>5</v>
      </c>
      <c r="BH609">
        <v>0</v>
      </c>
      <c r="BI609">
        <v>1</v>
      </c>
      <c r="BJ609">
        <v>0</v>
      </c>
      <c r="BK609">
        <v>2</v>
      </c>
      <c r="BL609">
        <v>957</v>
      </c>
      <c r="BM609">
        <v>0</v>
      </c>
      <c r="BN609">
        <v>29</v>
      </c>
      <c r="BO609">
        <v>0</v>
      </c>
      <c r="BP609">
        <v>4</v>
      </c>
      <c r="BQ609">
        <v>13</v>
      </c>
      <c r="BR609">
        <v>4</v>
      </c>
      <c r="BS609">
        <v>1</v>
      </c>
      <c r="BT609">
        <v>3</v>
      </c>
      <c r="BU609">
        <v>4</v>
      </c>
      <c r="BV609">
        <v>0</v>
      </c>
      <c r="BW609">
        <v>933</v>
      </c>
      <c r="BX609">
        <v>0</v>
      </c>
      <c r="BY609">
        <v>5</v>
      </c>
      <c r="BZ609">
        <v>0</v>
      </c>
      <c r="CA609">
        <v>11</v>
      </c>
      <c r="CB609">
        <v>25</v>
      </c>
      <c r="CC609">
        <v>3</v>
      </c>
      <c r="CD609">
        <v>0</v>
      </c>
      <c r="CE609">
        <v>0</v>
      </c>
      <c r="CF609">
        <v>2</v>
      </c>
      <c r="CG609">
        <v>0</v>
      </c>
      <c r="CH609">
        <v>886</v>
      </c>
      <c r="CI609">
        <v>1</v>
      </c>
      <c r="CJ609">
        <v>0</v>
      </c>
      <c r="CK609">
        <v>0</v>
      </c>
      <c r="CL609">
        <v>0</v>
      </c>
      <c r="CM609">
        <v>12</v>
      </c>
      <c r="CN609">
        <v>2</v>
      </c>
      <c r="CO609">
        <v>0</v>
      </c>
      <c r="CP609">
        <v>1</v>
      </c>
      <c r="CQ609">
        <v>4</v>
      </c>
      <c r="CR609">
        <v>6</v>
      </c>
      <c r="CS609">
        <v>932</v>
      </c>
      <c r="CT609">
        <v>0</v>
      </c>
      <c r="CU609">
        <v>1</v>
      </c>
      <c r="CV609">
        <v>0</v>
      </c>
      <c r="CW609">
        <v>2</v>
      </c>
      <c r="CX609">
        <v>19</v>
      </c>
      <c r="CY609">
        <v>58</v>
      </c>
      <c r="CZ609">
        <v>14</v>
      </c>
      <c r="DA609">
        <v>1</v>
      </c>
      <c r="DB609">
        <v>7</v>
      </c>
      <c r="DC609">
        <v>0</v>
      </c>
      <c r="DD609">
        <v>855</v>
      </c>
      <c r="DE609">
        <v>11</v>
      </c>
      <c r="DF609">
        <v>61</v>
      </c>
      <c r="DG609">
        <v>2</v>
      </c>
      <c r="DH609">
        <v>0</v>
      </c>
      <c r="DI609">
        <v>0</v>
      </c>
      <c r="DJ609">
        <v>0</v>
      </c>
      <c r="DK609">
        <v>0</v>
      </c>
      <c r="DL609">
        <v>2</v>
      </c>
      <c r="DM609">
        <v>0</v>
      </c>
      <c r="DN609">
        <v>0</v>
      </c>
      <c r="DO609">
        <v>962</v>
      </c>
      <c r="DP609">
        <v>8</v>
      </c>
      <c r="DQ609">
        <v>6</v>
      </c>
      <c r="DR609">
        <v>6</v>
      </c>
      <c r="DS609">
        <v>0</v>
      </c>
      <c r="DT609">
        <v>3</v>
      </c>
      <c r="DU609">
        <v>4</v>
      </c>
      <c r="DV609">
        <v>13</v>
      </c>
      <c r="DW609">
        <v>2</v>
      </c>
      <c r="DX609">
        <v>1</v>
      </c>
      <c r="DY609">
        <v>9</v>
      </c>
      <c r="DZ609">
        <v>965</v>
      </c>
      <c r="EA609">
        <v>0.9617</v>
      </c>
      <c r="EB609">
        <v>0.96274058255189798</v>
      </c>
      <c r="EC609">
        <v>0.96204865560895803</v>
      </c>
      <c r="ED609">
        <v>0.96131497164833102</v>
      </c>
      <c r="EE609">
        <f>SUM(Table1[[#This Row],[ratio_0]:[ratio_9]])</f>
        <v>640</v>
      </c>
      <c r="EF609" s="1">
        <f>(Table1[[#This Row],[predicted_0]]-Table1[[#This Row],[actual_0]])/Table1[[#This Row],[actual_0]]</f>
        <v>2.6530612244897958E-2</v>
      </c>
      <c r="EG609" s="1">
        <f>(Table1[[#This Row],[predicted_1]]-Table1[[#This Row],[actual_1]])/Table1[[#This Row],[actual_1]]</f>
        <v>2.2907488986784141E-2</v>
      </c>
      <c r="EH609" s="1">
        <f>(Table1[[#This Row],[predicted_2]]-Table1[[#This Row],[actual_2]])/Table1[[#This Row],[actual_2]]</f>
        <v>5.232558139534884E-2</v>
      </c>
      <c r="EI609" s="1">
        <f>(Table1[[#This Row],[predicted_3]]-Table1[[#This Row],[actual_3]])/Table1[[#This Row],[actual_3]]</f>
        <v>-3.1683168316831684E-2</v>
      </c>
      <c r="EJ609" s="1">
        <f>(Table1[[#This Row],[predicted_4]]-Table1[[#This Row],[actual_4]])/Table1[[#This Row],[actual_4]]</f>
        <v>-4.0733197556008148E-2</v>
      </c>
      <c r="EK609" s="1">
        <f>(Table1[[#This Row],[predicted_5]]-Table1[[#This Row],[actual_5]])/Table1[[#This Row],[actual_5]]</f>
        <v>6.1659192825112105E-2</v>
      </c>
      <c r="EL609" s="1">
        <f>(Table1[[#This Row],[predicted_6]]-Table1[[#This Row],[actual_6]])/Table1[[#This Row],[actual_6]]</f>
        <v>-1.6701461377870562E-2</v>
      </c>
      <c r="EM609" s="1">
        <f>(Table1[[#This Row],[predicted_7]]-Table1[[#This Row],[actual_7]])/Table1[[#This Row],[actual_7]]</f>
        <v>-0.16342412451361868</v>
      </c>
      <c r="EN609" s="1">
        <f>(Table1[[#This Row],[predicted_8]]-Table1[[#This Row],[actual_8]])/Table1[[#This Row],[actual_8]]</f>
        <v>4.2094455852156057E-2</v>
      </c>
      <c r="EO609" s="1">
        <f>(Table1[[#This Row],[predicted_9]]-Table1[[#This Row],[actual_9]])/Table1[[#This Row],[actual_9]]</f>
        <v>5.3518334985133795E-2</v>
      </c>
      <c r="EP609" s="1">
        <f>1+(Table1[[#This Row],[error_ratio_0]]-EF$2)</f>
        <v>1.0244897959183674</v>
      </c>
      <c r="EQ609" s="1">
        <f>1+(Table1[[#This Row],[error_ratio_1]]-EG$2)</f>
        <v>1.0211453744493393</v>
      </c>
      <c r="ER609" s="1">
        <f>1+(Table1[[#This Row],[error_ratio_2]]-EH$2)</f>
        <v>1.057170542635659</v>
      </c>
      <c r="ES609" s="1">
        <f>1+(Table1[[#This Row],[error_ratio_3]]-EI$2)</f>
        <v>0.95841584158415838</v>
      </c>
      <c r="ET609" s="1">
        <f>1+(Table1[[#This Row],[error_ratio_4]]-EJ$2)</f>
        <v>0.9582484725050916</v>
      </c>
      <c r="EU609" s="1">
        <f>1+(Table1[[#This Row],[error_ratio_5]]-EK$2)</f>
        <v>1.0605381165919283</v>
      </c>
      <c r="EV609" s="1">
        <f>1+(Table1[[#This Row],[error_ratio_6]]-EL$2)</f>
        <v>0.98956158663883087</v>
      </c>
      <c r="EW609" s="1">
        <f>1+(Table1[[#This Row],[error_ratio_7]]-EM$2)</f>
        <v>0.83463035019455256</v>
      </c>
      <c r="EX609" s="1">
        <f>1+(Table1[[#This Row],[error_ratio_8]]-EN$2)</f>
        <v>1.0451745379876796</v>
      </c>
      <c r="EY609" s="1">
        <f>1+(Table1[[#This Row],[error_ratio_9]]-EO$2)</f>
        <v>1.0574826560951438</v>
      </c>
    </row>
    <row r="610" spans="1:155" x14ac:dyDescent="0.75">
      <c r="A610">
        <v>10</v>
      </c>
      <c r="B610">
        <v>100</v>
      </c>
      <c r="C610">
        <v>100</v>
      </c>
      <c r="D610">
        <v>10</v>
      </c>
      <c r="E610">
        <v>10</v>
      </c>
      <c r="F610">
        <v>100</v>
      </c>
      <c r="G610">
        <v>100</v>
      </c>
      <c r="H610">
        <v>10</v>
      </c>
      <c r="I610">
        <v>100</v>
      </c>
      <c r="J610">
        <v>10</v>
      </c>
      <c r="K610">
        <v>977</v>
      </c>
      <c r="L610">
        <v>1164</v>
      </c>
      <c r="M610">
        <v>1073</v>
      </c>
      <c r="N610">
        <v>772</v>
      </c>
      <c r="O610">
        <v>927</v>
      </c>
      <c r="P610">
        <v>1055</v>
      </c>
      <c r="Q610">
        <v>996</v>
      </c>
      <c r="R610">
        <v>1023</v>
      </c>
      <c r="S610">
        <v>1083</v>
      </c>
      <c r="T610">
        <v>930</v>
      </c>
      <c r="U610">
        <v>980</v>
      </c>
      <c r="V610">
        <v>1135</v>
      </c>
      <c r="W610">
        <v>1032</v>
      </c>
      <c r="X610">
        <v>1010</v>
      </c>
      <c r="Y610">
        <v>982</v>
      </c>
      <c r="Z610">
        <v>892</v>
      </c>
      <c r="AA610">
        <v>958</v>
      </c>
      <c r="AB610">
        <v>1028</v>
      </c>
      <c r="AC610">
        <v>974</v>
      </c>
      <c r="AD610">
        <v>1009</v>
      </c>
      <c r="AE610">
        <v>959</v>
      </c>
      <c r="AF610">
        <v>1</v>
      </c>
      <c r="AG610">
        <v>1</v>
      </c>
      <c r="AH610">
        <v>0</v>
      </c>
      <c r="AI610">
        <v>0</v>
      </c>
      <c r="AJ610">
        <v>4</v>
      </c>
      <c r="AK610">
        <v>6</v>
      </c>
      <c r="AL610">
        <v>1</v>
      </c>
      <c r="AM610">
        <v>8</v>
      </c>
      <c r="AN610">
        <v>0</v>
      </c>
      <c r="AO610">
        <v>0</v>
      </c>
      <c r="AP610">
        <v>1128</v>
      </c>
      <c r="AQ610">
        <v>0</v>
      </c>
      <c r="AR610">
        <v>0</v>
      </c>
      <c r="AS610">
        <v>0</v>
      </c>
      <c r="AT610">
        <v>1</v>
      </c>
      <c r="AU610">
        <v>5</v>
      </c>
      <c r="AV610">
        <v>0</v>
      </c>
      <c r="AW610">
        <v>1</v>
      </c>
      <c r="AX610">
        <v>0</v>
      </c>
      <c r="AY610">
        <v>1</v>
      </c>
      <c r="AZ610">
        <v>1</v>
      </c>
      <c r="BA610">
        <v>1018</v>
      </c>
      <c r="BB610">
        <v>0</v>
      </c>
      <c r="BC610">
        <v>0</v>
      </c>
      <c r="BD610">
        <v>0</v>
      </c>
      <c r="BE610">
        <v>2</v>
      </c>
      <c r="BF610">
        <v>2</v>
      </c>
      <c r="BG610">
        <v>8</v>
      </c>
      <c r="BH610">
        <v>0</v>
      </c>
      <c r="BI610">
        <v>0</v>
      </c>
      <c r="BJ610">
        <v>1</v>
      </c>
      <c r="BK610">
        <v>15</v>
      </c>
      <c r="BL610">
        <v>772</v>
      </c>
      <c r="BM610">
        <v>0</v>
      </c>
      <c r="BN610">
        <v>150</v>
      </c>
      <c r="BO610">
        <v>1</v>
      </c>
      <c r="BP610">
        <v>19</v>
      </c>
      <c r="BQ610">
        <v>52</v>
      </c>
      <c r="BR610">
        <v>0</v>
      </c>
      <c r="BS610">
        <v>3</v>
      </c>
      <c r="BT610">
        <v>10</v>
      </c>
      <c r="BU610">
        <v>11</v>
      </c>
      <c r="BV610">
        <v>0</v>
      </c>
      <c r="BW610">
        <v>916</v>
      </c>
      <c r="BX610">
        <v>0</v>
      </c>
      <c r="BY610">
        <v>22</v>
      </c>
      <c r="BZ610">
        <v>2</v>
      </c>
      <c r="CA610">
        <v>10</v>
      </c>
      <c r="CB610">
        <v>8</v>
      </c>
      <c r="CC610">
        <v>1</v>
      </c>
      <c r="CD610">
        <v>0</v>
      </c>
      <c r="CE610">
        <v>1</v>
      </c>
      <c r="CF610">
        <v>0</v>
      </c>
      <c r="CG610">
        <v>0</v>
      </c>
      <c r="CH610">
        <v>884</v>
      </c>
      <c r="CI610">
        <v>2</v>
      </c>
      <c r="CJ610">
        <v>1</v>
      </c>
      <c r="CK610">
        <v>3</v>
      </c>
      <c r="CL610">
        <v>0</v>
      </c>
      <c r="CM610">
        <v>2</v>
      </c>
      <c r="CN610">
        <v>1</v>
      </c>
      <c r="CO610">
        <v>0</v>
      </c>
      <c r="CP610">
        <v>0</v>
      </c>
      <c r="CQ610">
        <v>1</v>
      </c>
      <c r="CR610">
        <v>1</v>
      </c>
      <c r="CS610">
        <v>953</v>
      </c>
      <c r="CT610">
        <v>0</v>
      </c>
      <c r="CU610">
        <v>0</v>
      </c>
      <c r="CV610">
        <v>0</v>
      </c>
      <c r="CW610">
        <v>3</v>
      </c>
      <c r="CX610">
        <v>14</v>
      </c>
      <c r="CY610">
        <v>24</v>
      </c>
      <c r="CZ610">
        <v>0</v>
      </c>
      <c r="DA610">
        <v>0</v>
      </c>
      <c r="DB610">
        <v>1</v>
      </c>
      <c r="DC610">
        <v>1</v>
      </c>
      <c r="DD610">
        <v>978</v>
      </c>
      <c r="DE610">
        <v>5</v>
      </c>
      <c r="DF610">
        <v>2</v>
      </c>
      <c r="DG610">
        <v>1</v>
      </c>
      <c r="DH610">
        <v>0</v>
      </c>
      <c r="DI610">
        <v>1</v>
      </c>
      <c r="DJ610">
        <v>0</v>
      </c>
      <c r="DK610">
        <v>0</v>
      </c>
      <c r="DL610">
        <v>2</v>
      </c>
      <c r="DM610">
        <v>2</v>
      </c>
      <c r="DN610">
        <v>1</v>
      </c>
      <c r="DO610">
        <v>965</v>
      </c>
      <c r="DP610">
        <v>2</v>
      </c>
      <c r="DQ610">
        <v>7</v>
      </c>
      <c r="DR610">
        <v>8</v>
      </c>
      <c r="DS610">
        <v>2</v>
      </c>
      <c r="DT610">
        <v>0</v>
      </c>
      <c r="DU610">
        <v>10</v>
      </c>
      <c r="DV610">
        <v>12</v>
      </c>
      <c r="DW610">
        <v>2</v>
      </c>
      <c r="DX610">
        <v>19</v>
      </c>
      <c r="DY610">
        <v>31</v>
      </c>
      <c r="DZ610">
        <v>918</v>
      </c>
      <c r="EA610">
        <v>0.94910000000000005</v>
      </c>
      <c r="EB610">
        <v>0.95164179324606002</v>
      </c>
      <c r="EC610">
        <v>0.94937302953925795</v>
      </c>
      <c r="ED610">
        <v>0.94770148624687101</v>
      </c>
      <c r="EE610">
        <f>SUM(Table1[[#This Row],[ratio_0]:[ratio_9]])</f>
        <v>550</v>
      </c>
      <c r="EF610" s="1">
        <f>(Table1[[#This Row],[predicted_0]]-Table1[[#This Row],[actual_0]])/Table1[[#This Row],[actual_0]]</f>
        <v>-3.0612244897959182E-3</v>
      </c>
      <c r="EG610" s="1">
        <f>(Table1[[#This Row],[predicted_1]]-Table1[[#This Row],[actual_1]])/Table1[[#This Row],[actual_1]]</f>
        <v>2.5550660792951541E-2</v>
      </c>
      <c r="EH610" s="1">
        <f>(Table1[[#This Row],[predicted_2]]-Table1[[#This Row],[actual_2]])/Table1[[#This Row],[actual_2]]</f>
        <v>3.9728682170542637E-2</v>
      </c>
      <c r="EI610" s="1">
        <f>(Table1[[#This Row],[predicted_3]]-Table1[[#This Row],[actual_3]])/Table1[[#This Row],[actual_3]]</f>
        <v>-0.23564356435643563</v>
      </c>
      <c r="EJ610" s="1">
        <f>(Table1[[#This Row],[predicted_4]]-Table1[[#This Row],[actual_4]])/Table1[[#This Row],[actual_4]]</f>
        <v>-5.6008146639511203E-2</v>
      </c>
      <c r="EK610" s="1">
        <f>(Table1[[#This Row],[predicted_5]]-Table1[[#This Row],[actual_5]])/Table1[[#This Row],[actual_5]]</f>
        <v>0.18273542600896861</v>
      </c>
      <c r="EL610" s="1">
        <f>(Table1[[#This Row],[predicted_6]]-Table1[[#This Row],[actual_6]])/Table1[[#This Row],[actual_6]]</f>
        <v>3.9665970772442591E-2</v>
      </c>
      <c r="EM610" s="1">
        <f>(Table1[[#This Row],[predicted_7]]-Table1[[#This Row],[actual_7]])/Table1[[#This Row],[actual_7]]</f>
        <v>-4.8638132295719845E-3</v>
      </c>
      <c r="EN610" s="1">
        <f>(Table1[[#This Row],[predicted_8]]-Table1[[#This Row],[actual_8]])/Table1[[#This Row],[actual_8]]</f>
        <v>0.11190965092402463</v>
      </c>
      <c r="EO610" s="1">
        <f>(Table1[[#This Row],[predicted_9]]-Table1[[#This Row],[actual_9]])/Table1[[#This Row],[actual_9]]</f>
        <v>-7.8295341922695744E-2</v>
      </c>
      <c r="EP610" s="1">
        <f>1+(Table1[[#This Row],[error_ratio_0]]-EF$2)</f>
        <v>0.99489795918367352</v>
      </c>
      <c r="EQ610" s="1">
        <f>1+(Table1[[#This Row],[error_ratio_1]]-EG$2)</f>
        <v>1.0237885462555065</v>
      </c>
      <c r="ER610" s="1">
        <f>1+(Table1[[#This Row],[error_ratio_2]]-EH$2)</f>
        <v>1.0445736434108528</v>
      </c>
      <c r="ES610" s="1">
        <f>1+(Table1[[#This Row],[error_ratio_3]]-EI$2)</f>
        <v>0.75445544554455446</v>
      </c>
      <c r="ET610" s="1">
        <f>1+(Table1[[#This Row],[error_ratio_4]]-EJ$2)</f>
        <v>0.94297352342158858</v>
      </c>
      <c r="EU610" s="1">
        <f>1+(Table1[[#This Row],[error_ratio_5]]-EK$2)</f>
        <v>1.1816143497757847</v>
      </c>
      <c r="EV610" s="1">
        <f>1+(Table1[[#This Row],[error_ratio_6]]-EL$2)</f>
        <v>1.0459290187891441</v>
      </c>
      <c r="EW610" s="1">
        <f>1+(Table1[[#This Row],[error_ratio_7]]-EM$2)</f>
        <v>0.99319066147859925</v>
      </c>
      <c r="EX610" s="1">
        <f>1+(Table1[[#This Row],[error_ratio_8]]-EN$2)</f>
        <v>1.1149897330595482</v>
      </c>
      <c r="EY610" s="1">
        <f>1+(Table1[[#This Row],[error_ratio_9]]-EO$2)</f>
        <v>0.92566897918731417</v>
      </c>
    </row>
    <row r="611" spans="1:155" x14ac:dyDescent="0.75">
      <c r="A611">
        <v>100</v>
      </c>
      <c r="B611">
        <v>10</v>
      </c>
      <c r="C611">
        <v>100</v>
      </c>
      <c r="D611">
        <v>10</v>
      </c>
      <c r="E611">
        <v>10</v>
      </c>
      <c r="F611">
        <v>100</v>
      </c>
      <c r="G611">
        <v>100</v>
      </c>
      <c r="H611">
        <v>10</v>
      </c>
      <c r="I611">
        <v>100</v>
      </c>
      <c r="J611">
        <v>10</v>
      </c>
      <c r="K611">
        <v>1021</v>
      </c>
      <c r="L611">
        <v>1141</v>
      </c>
      <c r="M611">
        <v>1076</v>
      </c>
      <c r="N611">
        <v>1023</v>
      </c>
      <c r="O611">
        <v>925</v>
      </c>
      <c r="P611">
        <v>905</v>
      </c>
      <c r="Q611">
        <v>957</v>
      </c>
      <c r="R611">
        <v>971</v>
      </c>
      <c r="S611">
        <v>973</v>
      </c>
      <c r="T611">
        <v>1008</v>
      </c>
      <c r="U611">
        <v>980</v>
      </c>
      <c r="V611">
        <v>1135</v>
      </c>
      <c r="W611">
        <v>1032</v>
      </c>
      <c r="X611">
        <v>1010</v>
      </c>
      <c r="Y611">
        <v>982</v>
      </c>
      <c r="Z611">
        <v>892</v>
      </c>
      <c r="AA611">
        <v>958</v>
      </c>
      <c r="AB611">
        <v>1028</v>
      </c>
      <c r="AC611">
        <v>974</v>
      </c>
      <c r="AD611">
        <v>1009</v>
      </c>
      <c r="AE611">
        <v>975</v>
      </c>
      <c r="AF611">
        <v>2</v>
      </c>
      <c r="AG611">
        <v>0</v>
      </c>
      <c r="AH611">
        <v>0</v>
      </c>
      <c r="AI611">
        <v>0</v>
      </c>
      <c r="AJ611">
        <v>0</v>
      </c>
      <c r="AK611">
        <v>2</v>
      </c>
      <c r="AL611">
        <v>0</v>
      </c>
      <c r="AM611">
        <v>1</v>
      </c>
      <c r="AN611">
        <v>0</v>
      </c>
      <c r="AO611">
        <v>0</v>
      </c>
      <c r="AP611">
        <v>1124</v>
      </c>
      <c r="AQ611">
        <v>4</v>
      </c>
      <c r="AR611">
        <v>4</v>
      </c>
      <c r="AS611">
        <v>0</v>
      </c>
      <c r="AT611">
        <v>2</v>
      </c>
      <c r="AU611">
        <v>1</v>
      </c>
      <c r="AV611">
        <v>0</v>
      </c>
      <c r="AW611">
        <v>0</v>
      </c>
      <c r="AX611">
        <v>0</v>
      </c>
      <c r="AY611">
        <v>11</v>
      </c>
      <c r="AZ611">
        <v>0</v>
      </c>
      <c r="BA611">
        <v>1017</v>
      </c>
      <c r="BB611">
        <v>2</v>
      </c>
      <c r="BC611">
        <v>0</v>
      </c>
      <c r="BD611">
        <v>0</v>
      </c>
      <c r="BE611">
        <v>0</v>
      </c>
      <c r="BF611">
        <v>2</v>
      </c>
      <c r="BG611">
        <v>0</v>
      </c>
      <c r="BH611">
        <v>0</v>
      </c>
      <c r="BI611">
        <v>3</v>
      </c>
      <c r="BJ611">
        <v>0</v>
      </c>
      <c r="BK611">
        <v>5</v>
      </c>
      <c r="BL611">
        <v>990</v>
      </c>
      <c r="BM611">
        <v>0</v>
      </c>
      <c r="BN611">
        <v>7</v>
      </c>
      <c r="BO611">
        <v>0</v>
      </c>
      <c r="BP611">
        <v>1</v>
      </c>
      <c r="BQ611">
        <v>4</v>
      </c>
      <c r="BR611">
        <v>0</v>
      </c>
      <c r="BS611">
        <v>5</v>
      </c>
      <c r="BT611">
        <v>2</v>
      </c>
      <c r="BU611">
        <v>13</v>
      </c>
      <c r="BV611">
        <v>0</v>
      </c>
      <c r="BW611">
        <v>912</v>
      </c>
      <c r="BX611">
        <v>0</v>
      </c>
      <c r="BY611">
        <v>3</v>
      </c>
      <c r="BZ611">
        <v>0</v>
      </c>
      <c r="CA611">
        <v>3</v>
      </c>
      <c r="CB611">
        <v>44</v>
      </c>
      <c r="CC611">
        <v>3</v>
      </c>
      <c r="CD611">
        <v>0</v>
      </c>
      <c r="CE611">
        <v>0</v>
      </c>
      <c r="CF611">
        <v>6</v>
      </c>
      <c r="CG611">
        <v>0</v>
      </c>
      <c r="CH611">
        <v>878</v>
      </c>
      <c r="CI611">
        <v>3</v>
      </c>
      <c r="CJ611">
        <v>0</v>
      </c>
      <c r="CK611">
        <v>2</v>
      </c>
      <c r="CL611">
        <v>0</v>
      </c>
      <c r="CM611">
        <v>4</v>
      </c>
      <c r="CN611">
        <v>3</v>
      </c>
      <c r="CO611">
        <v>2</v>
      </c>
      <c r="CP611">
        <v>0</v>
      </c>
      <c r="CQ611">
        <v>1</v>
      </c>
      <c r="CR611">
        <v>2</v>
      </c>
      <c r="CS611">
        <v>946</v>
      </c>
      <c r="CT611">
        <v>0</v>
      </c>
      <c r="CU611">
        <v>0</v>
      </c>
      <c r="CV611">
        <v>0</v>
      </c>
      <c r="CW611">
        <v>7</v>
      </c>
      <c r="CX611">
        <v>3</v>
      </c>
      <c r="CY611">
        <v>31</v>
      </c>
      <c r="CZ611">
        <v>6</v>
      </c>
      <c r="DA611">
        <v>4</v>
      </c>
      <c r="DB611">
        <v>7</v>
      </c>
      <c r="DC611">
        <v>0</v>
      </c>
      <c r="DD611">
        <v>955</v>
      </c>
      <c r="DE611">
        <v>2</v>
      </c>
      <c r="DF611">
        <v>13</v>
      </c>
      <c r="DG611">
        <v>4</v>
      </c>
      <c r="DH611">
        <v>2</v>
      </c>
      <c r="DI611">
        <v>4</v>
      </c>
      <c r="DJ611">
        <v>4</v>
      </c>
      <c r="DK611">
        <v>1</v>
      </c>
      <c r="DL611">
        <v>1</v>
      </c>
      <c r="DM611">
        <v>2</v>
      </c>
      <c r="DN611">
        <v>4</v>
      </c>
      <c r="DO611">
        <v>951</v>
      </c>
      <c r="DP611">
        <v>1</v>
      </c>
      <c r="DQ611">
        <v>9</v>
      </c>
      <c r="DR611">
        <v>5</v>
      </c>
      <c r="DS611">
        <v>0</v>
      </c>
      <c r="DT611">
        <v>11</v>
      </c>
      <c r="DU611">
        <v>7</v>
      </c>
      <c r="DV611">
        <v>8</v>
      </c>
      <c r="DW611">
        <v>0</v>
      </c>
      <c r="DX611">
        <v>9</v>
      </c>
      <c r="DY611">
        <v>10</v>
      </c>
      <c r="DZ611">
        <v>950</v>
      </c>
      <c r="EA611">
        <v>0.9698</v>
      </c>
      <c r="EB611">
        <v>0.97009455572233105</v>
      </c>
      <c r="EC611">
        <v>0.96982658337243699</v>
      </c>
      <c r="ED611">
        <v>0.96970444567568204</v>
      </c>
      <c r="EE611">
        <f>SUM(Table1[[#This Row],[ratio_0]:[ratio_9]])</f>
        <v>550</v>
      </c>
      <c r="EF611" s="1">
        <f>(Table1[[#This Row],[predicted_0]]-Table1[[#This Row],[actual_0]])/Table1[[#This Row],[actual_0]]</f>
        <v>4.1836734693877553E-2</v>
      </c>
      <c r="EG611" s="1">
        <f>(Table1[[#This Row],[predicted_1]]-Table1[[#This Row],[actual_1]])/Table1[[#This Row],[actual_1]]</f>
        <v>5.2863436123348016E-3</v>
      </c>
      <c r="EH611" s="1">
        <f>(Table1[[#This Row],[predicted_2]]-Table1[[#This Row],[actual_2]])/Table1[[#This Row],[actual_2]]</f>
        <v>4.2635658914728682E-2</v>
      </c>
      <c r="EI611" s="1">
        <f>(Table1[[#This Row],[predicted_3]]-Table1[[#This Row],[actual_3]])/Table1[[#This Row],[actual_3]]</f>
        <v>1.2871287128712871E-2</v>
      </c>
      <c r="EJ611" s="1">
        <f>(Table1[[#This Row],[predicted_4]]-Table1[[#This Row],[actual_4]])/Table1[[#This Row],[actual_4]]</f>
        <v>-5.8044806517311608E-2</v>
      </c>
      <c r="EK611" s="1">
        <f>(Table1[[#This Row],[predicted_5]]-Table1[[#This Row],[actual_5]])/Table1[[#This Row],[actual_5]]</f>
        <v>1.4573991031390135E-2</v>
      </c>
      <c r="EL611" s="1">
        <f>(Table1[[#This Row],[predicted_6]]-Table1[[#This Row],[actual_6]])/Table1[[#This Row],[actual_6]]</f>
        <v>-1.0438413361169101E-3</v>
      </c>
      <c r="EM611" s="1">
        <f>(Table1[[#This Row],[predicted_7]]-Table1[[#This Row],[actual_7]])/Table1[[#This Row],[actual_7]]</f>
        <v>-5.544747081712062E-2</v>
      </c>
      <c r="EN611" s="1">
        <f>(Table1[[#This Row],[predicted_8]]-Table1[[#This Row],[actual_8]])/Table1[[#This Row],[actual_8]]</f>
        <v>-1.026694045174538E-3</v>
      </c>
      <c r="EO611" s="1">
        <f>(Table1[[#This Row],[predicted_9]]-Table1[[#This Row],[actual_9]])/Table1[[#This Row],[actual_9]]</f>
        <v>-9.9108027750247768E-4</v>
      </c>
      <c r="EP611" s="1">
        <f>1+(Table1[[#This Row],[error_ratio_0]]-EF$2)</f>
        <v>1.0397959183673469</v>
      </c>
      <c r="EQ611" s="1">
        <f>1+(Table1[[#This Row],[error_ratio_1]]-EG$2)</f>
        <v>1.0035242290748898</v>
      </c>
      <c r="ER611" s="1">
        <f>1+(Table1[[#This Row],[error_ratio_2]]-EH$2)</f>
        <v>1.0474806201550388</v>
      </c>
      <c r="ES611" s="1">
        <f>1+(Table1[[#This Row],[error_ratio_3]]-EI$2)</f>
        <v>1.002970297029703</v>
      </c>
      <c r="ET611" s="1">
        <f>1+(Table1[[#This Row],[error_ratio_4]]-EJ$2)</f>
        <v>0.94093686354378814</v>
      </c>
      <c r="EU611" s="1">
        <f>1+(Table1[[#This Row],[error_ratio_5]]-EK$2)</f>
        <v>1.0134529147982063</v>
      </c>
      <c r="EV611" s="1">
        <f>1+(Table1[[#This Row],[error_ratio_6]]-EL$2)</f>
        <v>1.0052192066805845</v>
      </c>
      <c r="EW611" s="1">
        <f>1+(Table1[[#This Row],[error_ratio_7]]-EM$2)</f>
        <v>0.94260700389105057</v>
      </c>
      <c r="EX611" s="1">
        <f>1+(Table1[[#This Row],[error_ratio_8]]-EN$2)</f>
        <v>1.0020533880903491</v>
      </c>
      <c r="EY611" s="1">
        <f>1+(Table1[[#This Row],[error_ratio_9]]-EO$2)</f>
        <v>1.0029732408325074</v>
      </c>
    </row>
    <row r="612" spans="1:155" x14ac:dyDescent="0.75">
      <c r="A612">
        <v>10</v>
      </c>
      <c r="B612">
        <v>10</v>
      </c>
      <c r="C612">
        <v>100</v>
      </c>
      <c r="D612">
        <v>10</v>
      </c>
      <c r="E612">
        <v>10</v>
      </c>
      <c r="F612">
        <v>100</v>
      </c>
      <c r="G612">
        <v>100</v>
      </c>
      <c r="H612">
        <v>10</v>
      </c>
      <c r="I612">
        <v>100</v>
      </c>
      <c r="J612">
        <v>10</v>
      </c>
      <c r="K612">
        <v>924</v>
      </c>
      <c r="L612">
        <v>1133</v>
      </c>
      <c r="M612">
        <v>1121</v>
      </c>
      <c r="N612">
        <v>943</v>
      </c>
      <c r="O612">
        <v>1007</v>
      </c>
      <c r="P612">
        <v>984</v>
      </c>
      <c r="Q612">
        <v>978</v>
      </c>
      <c r="R612">
        <v>965</v>
      </c>
      <c r="S612">
        <v>1009</v>
      </c>
      <c r="T612">
        <v>936</v>
      </c>
      <c r="U612">
        <v>980</v>
      </c>
      <c r="V612">
        <v>1135</v>
      </c>
      <c r="W612">
        <v>1032</v>
      </c>
      <c r="X612">
        <v>1010</v>
      </c>
      <c r="Y612">
        <v>982</v>
      </c>
      <c r="Z612">
        <v>892</v>
      </c>
      <c r="AA612">
        <v>958</v>
      </c>
      <c r="AB612">
        <v>1028</v>
      </c>
      <c r="AC612">
        <v>974</v>
      </c>
      <c r="AD612">
        <v>1009</v>
      </c>
      <c r="AE612">
        <v>921</v>
      </c>
      <c r="AF612">
        <v>1</v>
      </c>
      <c r="AG612">
        <v>6</v>
      </c>
      <c r="AH612">
        <v>0</v>
      </c>
      <c r="AI612">
        <v>3</v>
      </c>
      <c r="AJ612">
        <v>15</v>
      </c>
      <c r="AK612">
        <v>20</v>
      </c>
      <c r="AL612">
        <v>2</v>
      </c>
      <c r="AM612">
        <v>10</v>
      </c>
      <c r="AN612">
        <v>2</v>
      </c>
      <c r="AO612">
        <v>0</v>
      </c>
      <c r="AP612">
        <v>1115</v>
      </c>
      <c r="AQ612">
        <v>15</v>
      </c>
      <c r="AR612">
        <v>0</v>
      </c>
      <c r="AS612">
        <v>0</v>
      </c>
      <c r="AT612">
        <v>1</v>
      </c>
      <c r="AU612">
        <v>3</v>
      </c>
      <c r="AV612">
        <v>0</v>
      </c>
      <c r="AW612">
        <v>1</v>
      </c>
      <c r="AX612">
        <v>0</v>
      </c>
      <c r="AY612">
        <v>1</v>
      </c>
      <c r="AZ612">
        <v>0</v>
      </c>
      <c r="BA612">
        <v>1023</v>
      </c>
      <c r="BB612">
        <v>1</v>
      </c>
      <c r="BC612">
        <v>0</v>
      </c>
      <c r="BD612">
        <v>2</v>
      </c>
      <c r="BE612">
        <v>1</v>
      </c>
      <c r="BF612">
        <v>1</v>
      </c>
      <c r="BG612">
        <v>3</v>
      </c>
      <c r="BH612">
        <v>0</v>
      </c>
      <c r="BI612">
        <v>0</v>
      </c>
      <c r="BJ612">
        <v>0</v>
      </c>
      <c r="BK612">
        <v>12</v>
      </c>
      <c r="BL612">
        <v>931</v>
      </c>
      <c r="BM612">
        <v>0</v>
      </c>
      <c r="BN612">
        <v>43</v>
      </c>
      <c r="BO612">
        <v>0</v>
      </c>
      <c r="BP612">
        <v>6</v>
      </c>
      <c r="BQ612">
        <v>15</v>
      </c>
      <c r="BR612">
        <v>3</v>
      </c>
      <c r="BS612">
        <v>0</v>
      </c>
      <c r="BT612">
        <v>4</v>
      </c>
      <c r="BU612">
        <v>5</v>
      </c>
      <c r="BV612">
        <v>0</v>
      </c>
      <c r="BW612">
        <v>963</v>
      </c>
      <c r="BX612">
        <v>0</v>
      </c>
      <c r="BY612">
        <v>5</v>
      </c>
      <c r="BZ612">
        <v>1</v>
      </c>
      <c r="CA612">
        <v>2</v>
      </c>
      <c r="CB612">
        <v>2</v>
      </c>
      <c r="CC612">
        <v>0</v>
      </c>
      <c r="CD612">
        <v>0</v>
      </c>
      <c r="CE612">
        <v>0</v>
      </c>
      <c r="CF612">
        <v>1</v>
      </c>
      <c r="CG612">
        <v>0</v>
      </c>
      <c r="CH612">
        <v>890</v>
      </c>
      <c r="CI612">
        <v>1</v>
      </c>
      <c r="CJ612">
        <v>0</v>
      </c>
      <c r="CK612">
        <v>0</v>
      </c>
      <c r="CL612">
        <v>0</v>
      </c>
      <c r="CM612">
        <v>0</v>
      </c>
      <c r="CN612">
        <v>1</v>
      </c>
      <c r="CO612">
        <v>1</v>
      </c>
      <c r="CP612">
        <v>0</v>
      </c>
      <c r="CQ612">
        <v>7</v>
      </c>
      <c r="CR612">
        <v>3</v>
      </c>
      <c r="CS612">
        <v>946</v>
      </c>
      <c r="CT612">
        <v>0</v>
      </c>
      <c r="CU612">
        <v>0</v>
      </c>
      <c r="CV612">
        <v>0</v>
      </c>
      <c r="CW612">
        <v>1</v>
      </c>
      <c r="CX612">
        <v>6</v>
      </c>
      <c r="CY612">
        <v>52</v>
      </c>
      <c r="CZ612">
        <v>4</v>
      </c>
      <c r="DA612">
        <v>3</v>
      </c>
      <c r="DB612">
        <v>5</v>
      </c>
      <c r="DC612">
        <v>0</v>
      </c>
      <c r="DD612">
        <v>949</v>
      </c>
      <c r="DE612">
        <v>2</v>
      </c>
      <c r="DF612">
        <v>6</v>
      </c>
      <c r="DG612">
        <v>0</v>
      </c>
      <c r="DH612">
        <v>0</v>
      </c>
      <c r="DI612">
        <v>5</v>
      </c>
      <c r="DJ612">
        <v>1</v>
      </c>
      <c r="DK612">
        <v>3</v>
      </c>
      <c r="DL612">
        <v>4</v>
      </c>
      <c r="DM612">
        <v>1</v>
      </c>
      <c r="DN612">
        <v>0</v>
      </c>
      <c r="DO612">
        <v>959</v>
      </c>
      <c r="DP612">
        <v>1</v>
      </c>
      <c r="DQ612">
        <v>1</v>
      </c>
      <c r="DR612">
        <v>6</v>
      </c>
      <c r="DS612">
        <v>2</v>
      </c>
      <c r="DT612">
        <v>5</v>
      </c>
      <c r="DU612">
        <v>28</v>
      </c>
      <c r="DV612">
        <v>21</v>
      </c>
      <c r="DW612">
        <v>1</v>
      </c>
      <c r="DX612">
        <v>6</v>
      </c>
      <c r="DY612">
        <v>17</v>
      </c>
      <c r="DZ612">
        <v>922</v>
      </c>
      <c r="EA612">
        <v>0.96189999999999998</v>
      </c>
      <c r="EB612">
        <v>0.962768490940899</v>
      </c>
      <c r="EC612">
        <v>0.96226468597917103</v>
      </c>
      <c r="ED612">
        <v>0.96164413854417996</v>
      </c>
      <c r="EE612">
        <f>SUM(Table1[[#This Row],[ratio_0]:[ratio_9]])</f>
        <v>460</v>
      </c>
      <c r="EF612" s="1">
        <f>(Table1[[#This Row],[predicted_0]]-Table1[[#This Row],[actual_0]])/Table1[[#This Row],[actual_0]]</f>
        <v>-5.7142857142857141E-2</v>
      </c>
      <c r="EG612" s="1">
        <f>(Table1[[#This Row],[predicted_1]]-Table1[[#This Row],[actual_1]])/Table1[[#This Row],[actual_1]]</f>
        <v>-1.762114537444934E-3</v>
      </c>
      <c r="EH612" s="1">
        <f>(Table1[[#This Row],[predicted_2]]-Table1[[#This Row],[actual_2]])/Table1[[#This Row],[actual_2]]</f>
        <v>8.624031007751938E-2</v>
      </c>
      <c r="EI612" s="1">
        <f>(Table1[[#This Row],[predicted_3]]-Table1[[#This Row],[actual_3]])/Table1[[#This Row],[actual_3]]</f>
        <v>-6.633663366336634E-2</v>
      </c>
      <c r="EJ612" s="1">
        <f>(Table1[[#This Row],[predicted_4]]-Table1[[#This Row],[actual_4]])/Table1[[#This Row],[actual_4]]</f>
        <v>2.5458248472505093E-2</v>
      </c>
      <c r="EK612" s="1">
        <f>(Table1[[#This Row],[predicted_5]]-Table1[[#This Row],[actual_5]])/Table1[[#This Row],[actual_5]]</f>
        <v>0.1031390134529148</v>
      </c>
      <c r="EL612" s="1">
        <f>(Table1[[#This Row],[predicted_6]]-Table1[[#This Row],[actual_6]])/Table1[[#This Row],[actual_6]]</f>
        <v>2.0876826722338204E-2</v>
      </c>
      <c r="EM612" s="1">
        <f>(Table1[[#This Row],[predicted_7]]-Table1[[#This Row],[actual_7]])/Table1[[#This Row],[actual_7]]</f>
        <v>-6.1284046692607001E-2</v>
      </c>
      <c r="EN612" s="1">
        <f>(Table1[[#This Row],[predicted_8]]-Table1[[#This Row],[actual_8]])/Table1[[#This Row],[actual_8]]</f>
        <v>3.5934291581108828E-2</v>
      </c>
      <c r="EO612" s="1">
        <f>(Table1[[#This Row],[predicted_9]]-Table1[[#This Row],[actual_9]])/Table1[[#This Row],[actual_9]]</f>
        <v>-7.2348860257680878E-2</v>
      </c>
      <c r="EP612" s="1">
        <f>1+(Table1[[#This Row],[error_ratio_0]]-EF$2)</f>
        <v>0.9408163265306122</v>
      </c>
      <c r="EQ612" s="1">
        <f>1+(Table1[[#This Row],[error_ratio_1]]-EG$2)</f>
        <v>0.99647577092511008</v>
      </c>
      <c r="ER612" s="1">
        <f>1+(Table1[[#This Row],[error_ratio_2]]-EH$2)</f>
        <v>1.0910852713178294</v>
      </c>
      <c r="ES612" s="1">
        <f>1+(Table1[[#This Row],[error_ratio_3]]-EI$2)</f>
        <v>0.92376237623762381</v>
      </c>
      <c r="ET612" s="1">
        <f>1+(Table1[[#This Row],[error_ratio_4]]-EJ$2)</f>
        <v>1.0244399185336048</v>
      </c>
      <c r="EU612" s="1">
        <f>1+(Table1[[#This Row],[error_ratio_5]]-EK$2)</f>
        <v>1.102017937219731</v>
      </c>
      <c r="EV612" s="1">
        <f>1+(Table1[[#This Row],[error_ratio_6]]-EL$2)</f>
        <v>1.0271398747390397</v>
      </c>
      <c r="EW612" s="1">
        <f>1+(Table1[[#This Row],[error_ratio_7]]-EM$2)</f>
        <v>0.9367704280155642</v>
      </c>
      <c r="EX612" s="1">
        <f>1+(Table1[[#This Row],[error_ratio_8]]-EN$2)</f>
        <v>1.0390143737166324</v>
      </c>
      <c r="EY612" s="1">
        <f>1+(Table1[[#This Row],[error_ratio_9]]-EO$2)</f>
        <v>0.93161546085232905</v>
      </c>
    </row>
    <row r="613" spans="1:155" x14ac:dyDescent="0.75">
      <c r="A613">
        <v>100</v>
      </c>
      <c r="B613">
        <v>100</v>
      </c>
      <c r="C613">
        <v>10</v>
      </c>
      <c r="D613">
        <v>10</v>
      </c>
      <c r="E613">
        <v>10</v>
      </c>
      <c r="F613">
        <v>100</v>
      </c>
      <c r="G613">
        <v>100</v>
      </c>
      <c r="H613">
        <v>10</v>
      </c>
      <c r="I613">
        <v>100</v>
      </c>
      <c r="J613">
        <v>10</v>
      </c>
      <c r="K613">
        <v>1002</v>
      </c>
      <c r="L613">
        <v>1195</v>
      </c>
      <c r="M613">
        <v>902</v>
      </c>
      <c r="N613">
        <v>1014</v>
      </c>
      <c r="O613">
        <v>974</v>
      </c>
      <c r="P613">
        <v>930</v>
      </c>
      <c r="Q613">
        <v>953</v>
      </c>
      <c r="R613">
        <v>1047</v>
      </c>
      <c r="S613">
        <v>999</v>
      </c>
      <c r="T613">
        <v>984</v>
      </c>
      <c r="U613">
        <v>980</v>
      </c>
      <c r="V613">
        <v>1135</v>
      </c>
      <c r="W613">
        <v>1032</v>
      </c>
      <c r="X613">
        <v>1010</v>
      </c>
      <c r="Y613">
        <v>982</v>
      </c>
      <c r="Z613">
        <v>892</v>
      </c>
      <c r="AA613">
        <v>958</v>
      </c>
      <c r="AB613">
        <v>1028</v>
      </c>
      <c r="AC613">
        <v>974</v>
      </c>
      <c r="AD613">
        <v>1009</v>
      </c>
      <c r="AE613">
        <v>969</v>
      </c>
      <c r="AF613">
        <v>1</v>
      </c>
      <c r="AG613">
        <v>0</v>
      </c>
      <c r="AH613">
        <v>0</v>
      </c>
      <c r="AI613">
        <v>0</v>
      </c>
      <c r="AJ613">
        <v>1</v>
      </c>
      <c r="AK613">
        <v>3</v>
      </c>
      <c r="AL613">
        <v>1</v>
      </c>
      <c r="AM613">
        <v>4</v>
      </c>
      <c r="AN613">
        <v>1</v>
      </c>
      <c r="AO613">
        <v>0</v>
      </c>
      <c r="AP613">
        <v>1132</v>
      </c>
      <c r="AQ613">
        <v>0</v>
      </c>
      <c r="AR613">
        <v>1</v>
      </c>
      <c r="AS613">
        <v>0</v>
      </c>
      <c r="AT613">
        <v>2</v>
      </c>
      <c r="AU613">
        <v>0</v>
      </c>
      <c r="AV613">
        <v>0</v>
      </c>
      <c r="AW613">
        <v>0</v>
      </c>
      <c r="AX613">
        <v>0</v>
      </c>
      <c r="AY613">
        <v>11</v>
      </c>
      <c r="AZ613">
        <v>33</v>
      </c>
      <c r="BA613">
        <v>899</v>
      </c>
      <c r="BB613">
        <v>6</v>
      </c>
      <c r="BC613">
        <v>4</v>
      </c>
      <c r="BD613">
        <v>5</v>
      </c>
      <c r="BE613">
        <v>8</v>
      </c>
      <c r="BF613">
        <v>30</v>
      </c>
      <c r="BG613">
        <v>34</v>
      </c>
      <c r="BH613">
        <v>2</v>
      </c>
      <c r="BI613">
        <v>1</v>
      </c>
      <c r="BJ613">
        <v>0</v>
      </c>
      <c r="BK613">
        <v>2</v>
      </c>
      <c r="BL613">
        <v>977</v>
      </c>
      <c r="BM613">
        <v>0</v>
      </c>
      <c r="BN613">
        <v>16</v>
      </c>
      <c r="BO613">
        <v>0</v>
      </c>
      <c r="BP613">
        <v>8</v>
      </c>
      <c r="BQ613">
        <v>4</v>
      </c>
      <c r="BR613">
        <v>2</v>
      </c>
      <c r="BS613">
        <v>3</v>
      </c>
      <c r="BT613">
        <v>4</v>
      </c>
      <c r="BU613">
        <v>0</v>
      </c>
      <c r="BV613">
        <v>0</v>
      </c>
      <c r="BW613">
        <v>949</v>
      </c>
      <c r="BX613">
        <v>0</v>
      </c>
      <c r="BY613">
        <v>5</v>
      </c>
      <c r="BZ613">
        <v>0</v>
      </c>
      <c r="CA613">
        <v>1</v>
      </c>
      <c r="CB613">
        <v>20</v>
      </c>
      <c r="CC613">
        <v>1</v>
      </c>
      <c r="CD613">
        <v>1</v>
      </c>
      <c r="CE613">
        <v>0</v>
      </c>
      <c r="CF613">
        <v>8</v>
      </c>
      <c r="CG613">
        <v>0</v>
      </c>
      <c r="CH613">
        <v>879</v>
      </c>
      <c r="CI613">
        <v>2</v>
      </c>
      <c r="CJ613">
        <v>0</v>
      </c>
      <c r="CK613">
        <v>1</v>
      </c>
      <c r="CL613">
        <v>0</v>
      </c>
      <c r="CM613">
        <v>10</v>
      </c>
      <c r="CN613">
        <v>2</v>
      </c>
      <c r="CO613">
        <v>0</v>
      </c>
      <c r="CP613">
        <v>0</v>
      </c>
      <c r="CQ613">
        <v>4</v>
      </c>
      <c r="CR613">
        <v>4</v>
      </c>
      <c r="CS613">
        <v>934</v>
      </c>
      <c r="CT613">
        <v>0</v>
      </c>
      <c r="CU613">
        <v>4</v>
      </c>
      <c r="CV613">
        <v>0</v>
      </c>
      <c r="CW613">
        <v>2</v>
      </c>
      <c r="CX613">
        <v>14</v>
      </c>
      <c r="CY613">
        <v>1</v>
      </c>
      <c r="CZ613">
        <v>3</v>
      </c>
      <c r="DA613">
        <v>2</v>
      </c>
      <c r="DB613">
        <v>3</v>
      </c>
      <c r="DC613">
        <v>0</v>
      </c>
      <c r="DD613">
        <v>993</v>
      </c>
      <c r="DE613">
        <v>1</v>
      </c>
      <c r="DF613">
        <v>9</v>
      </c>
      <c r="DG613">
        <v>1</v>
      </c>
      <c r="DH613">
        <v>1</v>
      </c>
      <c r="DI613">
        <v>0</v>
      </c>
      <c r="DJ613">
        <v>7</v>
      </c>
      <c r="DK613">
        <v>3</v>
      </c>
      <c r="DL613">
        <v>4</v>
      </c>
      <c r="DM613">
        <v>0</v>
      </c>
      <c r="DN613">
        <v>4</v>
      </c>
      <c r="DO613">
        <v>949</v>
      </c>
      <c r="DP613">
        <v>5</v>
      </c>
      <c r="DQ613">
        <v>4</v>
      </c>
      <c r="DR613">
        <v>7</v>
      </c>
      <c r="DS613">
        <v>0</v>
      </c>
      <c r="DT613">
        <v>12</v>
      </c>
      <c r="DU613">
        <v>12</v>
      </c>
      <c r="DV613">
        <v>16</v>
      </c>
      <c r="DW613">
        <v>1</v>
      </c>
      <c r="DX613">
        <v>11</v>
      </c>
      <c r="DY613">
        <v>1</v>
      </c>
      <c r="DZ613">
        <v>945</v>
      </c>
      <c r="EA613">
        <v>0.96260000000000001</v>
      </c>
      <c r="EB613">
        <v>0.96328278794136202</v>
      </c>
      <c r="EC613">
        <v>0.96282088495005003</v>
      </c>
      <c r="ED613">
        <v>0.96247029400929396</v>
      </c>
      <c r="EE613">
        <f>SUM(Table1[[#This Row],[ratio_0]:[ratio_9]])</f>
        <v>550</v>
      </c>
      <c r="EF613" s="1">
        <f>(Table1[[#This Row],[predicted_0]]-Table1[[#This Row],[actual_0]])/Table1[[#This Row],[actual_0]]</f>
        <v>2.2448979591836733E-2</v>
      </c>
      <c r="EG613" s="1">
        <f>(Table1[[#This Row],[predicted_1]]-Table1[[#This Row],[actual_1]])/Table1[[#This Row],[actual_1]]</f>
        <v>5.2863436123348019E-2</v>
      </c>
      <c r="EH613" s="1">
        <f>(Table1[[#This Row],[predicted_2]]-Table1[[#This Row],[actual_2]])/Table1[[#This Row],[actual_2]]</f>
        <v>-0.12596899224806202</v>
      </c>
      <c r="EI613" s="1">
        <f>(Table1[[#This Row],[predicted_3]]-Table1[[#This Row],[actual_3]])/Table1[[#This Row],[actual_3]]</f>
        <v>3.9603960396039604E-3</v>
      </c>
      <c r="EJ613" s="1">
        <f>(Table1[[#This Row],[predicted_4]]-Table1[[#This Row],[actual_4]])/Table1[[#This Row],[actual_4]]</f>
        <v>-8.1466395112016286E-3</v>
      </c>
      <c r="EK613" s="1">
        <f>(Table1[[#This Row],[predicted_5]]-Table1[[#This Row],[actual_5]])/Table1[[#This Row],[actual_5]]</f>
        <v>4.2600896860986545E-2</v>
      </c>
      <c r="EL613" s="1">
        <f>(Table1[[#This Row],[predicted_6]]-Table1[[#This Row],[actual_6]])/Table1[[#This Row],[actual_6]]</f>
        <v>-5.2192066805845511E-3</v>
      </c>
      <c r="EM613" s="1">
        <f>(Table1[[#This Row],[predicted_7]]-Table1[[#This Row],[actual_7]])/Table1[[#This Row],[actual_7]]</f>
        <v>1.8482490272373541E-2</v>
      </c>
      <c r="EN613" s="1">
        <f>(Table1[[#This Row],[predicted_8]]-Table1[[#This Row],[actual_8]])/Table1[[#This Row],[actual_8]]</f>
        <v>2.5667351129363448E-2</v>
      </c>
      <c r="EO613" s="1">
        <f>(Table1[[#This Row],[predicted_9]]-Table1[[#This Row],[actual_9]])/Table1[[#This Row],[actual_9]]</f>
        <v>-2.4777006937561942E-2</v>
      </c>
      <c r="EP613" s="1">
        <f>1+(Table1[[#This Row],[error_ratio_0]]-EF$2)</f>
        <v>1.0204081632653061</v>
      </c>
      <c r="EQ613" s="1">
        <f>1+(Table1[[#This Row],[error_ratio_1]]-EG$2)</f>
        <v>1.0511013215859031</v>
      </c>
      <c r="ER613" s="1">
        <f>1+(Table1[[#This Row],[error_ratio_2]]-EH$2)</f>
        <v>0.87887596899224807</v>
      </c>
      <c r="ES613" s="1">
        <f>1+(Table1[[#This Row],[error_ratio_3]]-EI$2)</f>
        <v>0.99405940594059405</v>
      </c>
      <c r="ET613" s="1">
        <f>1+(Table1[[#This Row],[error_ratio_4]]-EJ$2)</f>
        <v>0.99083503054989819</v>
      </c>
      <c r="EU613" s="1">
        <f>1+(Table1[[#This Row],[error_ratio_5]]-EK$2)</f>
        <v>1.0414798206278026</v>
      </c>
      <c r="EV613" s="1">
        <f>1+(Table1[[#This Row],[error_ratio_6]]-EL$2)</f>
        <v>1.0010438413361169</v>
      </c>
      <c r="EW613" s="1">
        <f>1+(Table1[[#This Row],[error_ratio_7]]-EM$2)</f>
        <v>1.0165369649805447</v>
      </c>
      <c r="EX613" s="1">
        <f>1+(Table1[[#This Row],[error_ratio_8]]-EN$2)</f>
        <v>1.0287474332648872</v>
      </c>
      <c r="EY613" s="1">
        <f>1+(Table1[[#This Row],[error_ratio_9]]-EO$2)</f>
        <v>0.97918731417244798</v>
      </c>
    </row>
    <row r="614" spans="1:155" x14ac:dyDescent="0.75">
      <c r="A614">
        <v>10</v>
      </c>
      <c r="B614">
        <v>100</v>
      </c>
      <c r="C614">
        <v>10</v>
      </c>
      <c r="D614">
        <v>10</v>
      </c>
      <c r="E614">
        <v>10</v>
      </c>
      <c r="F614">
        <v>100</v>
      </c>
      <c r="G614">
        <v>100</v>
      </c>
      <c r="H614">
        <v>10</v>
      </c>
      <c r="I614">
        <v>100</v>
      </c>
      <c r="J614">
        <v>10</v>
      </c>
      <c r="K614">
        <v>1004</v>
      </c>
      <c r="L614">
        <v>1209</v>
      </c>
      <c r="M614">
        <v>967</v>
      </c>
      <c r="N614">
        <v>964</v>
      </c>
      <c r="O614">
        <v>1012</v>
      </c>
      <c r="P614">
        <v>924</v>
      </c>
      <c r="Q614">
        <v>997</v>
      </c>
      <c r="R614">
        <v>969</v>
      </c>
      <c r="S614">
        <v>1114</v>
      </c>
      <c r="T614">
        <v>840</v>
      </c>
      <c r="U614">
        <v>980</v>
      </c>
      <c r="V614">
        <v>1135</v>
      </c>
      <c r="W614">
        <v>1032</v>
      </c>
      <c r="X614">
        <v>1010</v>
      </c>
      <c r="Y614">
        <v>982</v>
      </c>
      <c r="Z614">
        <v>892</v>
      </c>
      <c r="AA614">
        <v>958</v>
      </c>
      <c r="AB614">
        <v>1028</v>
      </c>
      <c r="AC614">
        <v>974</v>
      </c>
      <c r="AD614">
        <v>1009</v>
      </c>
      <c r="AE614">
        <v>965</v>
      </c>
      <c r="AF614">
        <v>1</v>
      </c>
      <c r="AG614">
        <v>0</v>
      </c>
      <c r="AH614">
        <v>0</v>
      </c>
      <c r="AI614">
        <v>0</v>
      </c>
      <c r="AJ614">
        <v>0</v>
      </c>
      <c r="AK614">
        <v>12</v>
      </c>
      <c r="AL614">
        <v>0</v>
      </c>
      <c r="AM614">
        <v>2</v>
      </c>
      <c r="AN614">
        <v>0</v>
      </c>
      <c r="AO614">
        <v>0</v>
      </c>
      <c r="AP614">
        <v>1133</v>
      </c>
      <c r="AQ614">
        <v>0</v>
      </c>
      <c r="AR614">
        <v>0</v>
      </c>
      <c r="AS614">
        <v>0</v>
      </c>
      <c r="AT614">
        <v>0</v>
      </c>
      <c r="AU614">
        <v>1</v>
      </c>
      <c r="AV614">
        <v>0</v>
      </c>
      <c r="AW614">
        <v>1</v>
      </c>
      <c r="AX614">
        <v>0</v>
      </c>
      <c r="AY614">
        <v>7</v>
      </c>
      <c r="AZ614">
        <v>29</v>
      </c>
      <c r="BA614">
        <v>947</v>
      </c>
      <c r="BB614">
        <v>9</v>
      </c>
      <c r="BC614">
        <v>4</v>
      </c>
      <c r="BD614">
        <v>1</v>
      </c>
      <c r="BE614">
        <v>4</v>
      </c>
      <c r="BF614">
        <v>4</v>
      </c>
      <c r="BG614">
        <v>27</v>
      </c>
      <c r="BH614">
        <v>0</v>
      </c>
      <c r="BI614">
        <v>1</v>
      </c>
      <c r="BJ614">
        <v>1</v>
      </c>
      <c r="BK614">
        <v>4</v>
      </c>
      <c r="BL614">
        <v>942</v>
      </c>
      <c r="BM614">
        <v>0</v>
      </c>
      <c r="BN614">
        <v>32</v>
      </c>
      <c r="BO614">
        <v>0</v>
      </c>
      <c r="BP614">
        <v>4</v>
      </c>
      <c r="BQ614">
        <v>26</v>
      </c>
      <c r="BR614">
        <v>0</v>
      </c>
      <c r="BS614">
        <v>3</v>
      </c>
      <c r="BT614">
        <v>4</v>
      </c>
      <c r="BU614">
        <v>1</v>
      </c>
      <c r="BV614">
        <v>0</v>
      </c>
      <c r="BW614">
        <v>948</v>
      </c>
      <c r="BX614">
        <v>0</v>
      </c>
      <c r="BY614">
        <v>21</v>
      </c>
      <c r="BZ614">
        <v>0</v>
      </c>
      <c r="CA614">
        <v>4</v>
      </c>
      <c r="CB614">
        <v>1</v>
      </c>
      <c r="CC614">
        <v>3</v>
      </c>
      <c r="CD614">
        <v>0</v>
      </c>
      <c r="CE614">
        <v>0</v>
      </c>
      <c r="CF614">
        <v>1</v>
      </c>
      <c r="CG614">
        <v>0</v>
      </c>
      <c r="CH614">
        <v>868</v>
      </c>
      <c r="CI614">
        <v>7</v>
      </c>
      <c r="CJ614">
        <v>0</v>
      </c>
      <c r="CK614">
        <v>13</v>
      </c>
      <c r="CL614">
        <v>0</v>
      </c>
      <c r="CM614">
        <v>6</v>
      </c>
      <c r="CN614">
        <v>2</v>
      </c>
      <c r="CO614">
        <v>0</v>
      </c>
      <c r="CP614">
        <v>0</v>
      </c>
      <c r="CQ614">
        <v>1</v>
      </c>
      <c r="CR614">
        <v>1</v>
      </c>
      <c r="CS614">
        <v>948</v>
      </c>
      <c r="CT614">
        <v>0</v>
      </c>
      <c r="CU614">
        <v>0</v>
      </c>
      <c r="CV614">
        <v>0</v>
      </c>
      <c r="CW614">
        <v>7</v>
      </c>
      <c r="CX614">
        <v>23</v>
      </c>
      <c r="CY614">
        <v>14</v>
      </c>
      <c r="CZ614">
        <v>3</v>
      </c>
      <c r="DA614">
        <v>4</v>
      </c>
      <c r="DB614">
        <v>5</v>
      </c>
      <c r="DC614">
        <v>0</v>
      </c>
      <c r="DD614">
        <v>952</v>
      </c>
      <c r="DE614">
        <v>18</v>
      </c>
      <c r="DF614">
        <v>2</v>
      </c>
      <c r="DG614">
        <v>5</v>
      </c>
      <c r="DH614">
        <v>1</v>
      </c>
      <c r="DI614">
        <v>1</v>
      </c>
      <c r="DJ614">
        <v>1</v>
      </c>
      <c r="DK614">
        <v>0</v>
      </c>
      <c r="DL614">
        <v>0</v>
      </c>
      <c r="DM614">
        <v>1</v>
      </c>
      <c r="DN614">
        <v>1</v>
      </c>
      <c r="DO614">
        <v>964</v>
      </c>
      <c r="DP614">
        <v>0</v>
      </c>
      <c r="DQ614">
        <v>7</v>
      </c>
      <c r="DR614">
        <v>15</v>
      </c>
      <c r="DS614">
        <v>0</v>
      </c>
      <c r="DT614">
        <v>8</v>
      </c>
      <c r="DU614">
        <v>55</v>
      </c>
      <c r="DV614">
        <v>17</v>
      </c>
      <c r="DW614">
        <v>3</v>
      </c>
      <c r="DX614">
        <v>8</v>
      </c>
      <c r="DY614">
        <v>59</v>
      </c>
      <c r="DZ614">
        <v>837</v>
      </c>
      <c r="EA614">
        <v>0.95040000000000002</v>
      </c>
      <c r="EB614">
        <v>0.95260296010348899</v>
      </c>
      <c r="EC614">
        <v>0.95066105191031802</v>
      </c>
      <c r="ED614">
        <v>0.95001635436232701</v>
      </c>
      <c r="EE614">
        <f>SUM(Table1[[#This Row],[ratio_0]:[ratio_9]])</f>
        <v>460</v>
      </c>
      <c r="EF614" s="1">
        <f>(Table1[[#This Row],[predicted_0]]-Table1[[#This Row],[actual_0]])/Table1[[#This Row],[actual_0]]</f>
        <v>2.4489795918367346E-2</v>
      </c>
      <c r="EG614" s="1">
        <f>(Table1[[#This Row],[predicted_1]]-Table1[[#This Row],[actual_1]])/Table1[[#This Row],[actual_1]]</f>
        <v>6.5198237885462557E-2</v>
      </c>
      <c r="EH614" s="1">
        <f>(Table1[[#This Row],[predicted_2]]-Table1[[#This Row],[actual_2]])/Table1[[#This Row],[actual_2]]</f>
        <v>-6.2984496124031009E-2</v>
      </c>
      <c r="EI614" s="1">
        <f>(Table1[[#This Row],[predicted_3]]-Table1[[#This Row],[actual_3]])/Table1[[#This Row],[actual_3]]</f>
        <v>-4.5544554455445543E-2</v>
      </c>
      <c r="EJ614" s="1">
        <f>(Table1[[#This Row],[predicted_4]]-Table1[[#This Row],[actual_4]])/Table1[[#This Row],[actual_4]]</f>
        <v>3.0549898167006109E-2</v>
      </c>
      <c r="EK614" s="1">
        <f>(Table1[[#This Row],[predicted_5]]-Table1[[#This Row],[actual_5]])/Table1[[#This Row],[actual_5]]</f>
        <v>3.5874439461883408E-2</v>
      </c>
      <c r="EL614" s="1">
        <f>(Table1[[#This Row],[predicted_6]]-Table1[[#This Row],[actual_6]])/Table1[[#This Row],[actual_6]]</f>
        <v>4.07098121085595E-2</v>
      </c>
      <c r="EM614" s="1">
        <f>(Table1[[#This Row],[predicted_7]]-Table1[[#This Row],[actual_7]])/Table1[[#This Row],[actual_7]]</f>
        <v>-5.7392996108949414E-2</v>
      </c>
      <c r="EN614" s="1">
        <f>(Table1[[#This Row],[predicted_8]]-Table1[[#This Row],[actual_8]])/Table1[[#This Row],[actual_8]]</f>
        <v>0.14373716632443531</v>
      </c>
      <c r="EO614" s="1">
        <f>(Table1[[#This Row],[predicted_9]]-Table1[[#This Row],[actual_9]])/Table1[[#This Row],[actual_9]]</f>
        <v>-0.16749256689791872</v>
      </c>
      <c r="EP614" s="1">
        <f>1+(Table1[[#This Row],[error_ratio_0]]-EF$2)</f>
        <v>1.0224489795918368</v>
      </c>
      <c r="EQ614" s="1">
        <f>1+(Table1[[#This Row],[error_ratio_1]]-EG$2)</f>
        <v>1.0634361233480176</v>
      </c>
      <c r="ER614" s="1">
        <f>1+(Table1[[#This Row],[error_ratio_2]]-EH$2)</f>
        <v>0.94186046511627908</v>
      </c>
      <c r="ES614" s="1">
        <f>1+(Table1[[#This Row],[error_ratio_3]]-EI$2)</f>
        <v>0.94455445544554451</v>
      </c>
      <c r="ET614" s="1">
        <f>1+(Table1[[#This Row],[error_ratio_4]]-EJ$2)</f>
        <v>1.0295315682281059</v>
      </c>
      <c r="EU614" s="1">
        <f>1+(Table1[[#This Row],[error_ratio_5]]-EK$2)</f>
        <v>1.0347533632286996</v>
      </c>
      <c r="EV614" s="1">
        <f>1+(Table1[[#This Row],[error_ratio_6]]-EL$2)</f>
        <v>1.046972860125261</v>
      </c>
      <c r="EW614" s="1">
        <f>1+(Table1[[#This Row],[error_ratio_7]]-EM$2)</f>
        <v>0.94066147859922178</v>
      </c>
      <c r="EX614" s="1">
        <f>1+(Table1[[#This Row],[error_ratio_8]]-EN$2)</f>
        <v>1.1468172484599588</v>
      </c>
      <c r="EY614" s="1">
        <f>1+(Table1[[#This Row],[error_ratio_9]]-EO$2)</f>
        <v>0.83647175421209119</v>
      </c>
    </row>
    <row r="615" spans="1:155" x14ac:dyDescent="0.75">
      <c r="A615">
        <v>100</v>
      </c>
      <c r="B615">
        <v>10</v>
      </c>
      <c r="C615">
        <v>10</v>
      </c>
      <c r="D615">
        <v>10</v>
      </c>
      <c r="E615">
        <v>10</v>
      </c>
      <c r="F615">
        <v>100</v>
      </c>
      <c r="G615">
        <v>100</v>
      </c>
      <c r="H615">
        <v>10</v>
      </c>
      <c r="I615">
        <v>100</v>
      </c>
      <c r="J615">
        <v>10</v>
      </c>
      <c r="K615">
        <v>1008</v>
      </c>
      <c r="L615">
        <v>1063</v>
      </c>
      <c r="M615">
        <v>1011</v>
      </c>
      <c r="N615">
        <v>947</v>
      </c>
      <c r="O615">
        <v>958</v>
      </c>
      <c r="P615">
        <v>912</v>
      </c>
      <c r="Q615">
        <v>980</v>
      </c>
      <c r="R615">
        <v>1046</v>
      </c>
      <c r="S615">
        <v>1141</v>
      </c>
      <c r="T615">
        <v>934</v>
      </c>
      <c r="U615">
        <v>980</v>
      </c>
      <c r="V615">
        <v>1135</v>
      </c>
      <c r="W615">
        <v>1032</v>
      </c>
      <c r="X615">
        <v>1010</v>
      </c>
      <c r="Y615">
        <v>982</v>
      </c>
      <c r="Z615">
        <v>892</v>
      </c>
      <c r="AA615">
        <v>958</v>
      </c>
      <c r="AB615">
        <v>1028</v>
      </c>
      <c r="AC615">
        <v>974</v>
      </c>
      <c r="AD615">
        <v>1009</v>
      </c>
      <c r="AE615">
        <v>972</v>
      </c>
      <c r="AF615">
        <v>0</v>
      </c>
      <c r="AG615">
        <v>0</v>
      </c>
      <c r="AH615">
        <v>0</v>
      </c>
      <c r="AI615">
        <v>0</v>
      </c>
      <c r="AJ615">
        <v>0</v>
      </c>
      <c r="AK615">
        <v>5</v>
      </c>
      <c r="AL615">
        <v>1</v>
      </c>
      <c r="AM615">
        <v>2</v>
      </c>
      <c r="AN615">
        <v>0</v>
      </c>
      <c r="AO615">
        <v>3</v>
      </c>
      <c r="AP615">
        <v>1057</v>
      </c>
      <c r="AQ615">
        <v>4</v>
      </c>
      <c r="AR615">
        <v>3</v>
      </c>
      <c r="AS615">
        <v>0</v>
      </c>
      <c r="AT615">
        <v>3</v>
      </c>
      <c r="AU615">
        <v>7</v>
      </c>
      <c r="AV615">
        <v>1</v>
      </c>
      <c r="AW615">
        <v>56</v>
      </c>
      <c r="AX615">
        <v>1</v>
      </c>
      <c r="AY615">
        <v>13</v>
      </c>
      <c r="AZ615">
        <v>0</v>
      </c>
      <c r="BA615">
        <v>971</v>
      </c>
      <c r="BB615">
        <v>0</v>
      </c>
      <c r="BC615">
        <v>0</v>
      </c>
      <c r="BD615">
        <v>1</v>
      </c>
      <c r="BE615">
        <v>9</v>
      </c>
      <c r="BF615">
        <v>7</v>
      </c>
      <c r="BG615">
        <v>31</v>
      </c>
      <c r="BH615">
        <v>0</v>
      </c>
      <c r="BI615">
        <v>2</v>
      </c>
      <c r="BJ615">
        <v>0</v>
      </c>
      <c r="BK615">
        <v>4</v>
      </c>
      <c r="BL615">
        <v>938</v>
      </c>
      <c r="BM615">
        <v>0</v>
      </c>
      <c r="BN615">
        <v>23</v>
      </c>
      <c r="BO615">
        <v>0</v>
      </c>
      <c r="BP615">
        <v>8</v>
      </c>
      <c r="BQ615">
        <v>34</v>
      </c>
      <c r="BR615">
        <v>1</v>
      </c>
      <c r="BS615">
        <v>2</v>
      </c>
      <c r="BT615">
        <v>0</v>
      </c>
      <c r="BU615">
        <v>4</v>
      </c>
      <c r="BV615">
        <v>0</v>
      </c>
      <c r="BW615">
        <v>945</v>
      </c>
      <c r="BX615">
        <v>0</v>
      </c>
      <c r="BY615">
        <v>11</v>
      </c>
      <c r="BZ615">
        <v>3</v>
      </c>
      <c r="CA615">
        <v>5</v>
      </c>
      <c r="CB615">
        <v>12</v>
      </c>
      <c r="CC615">
        <v>2</v>
      </c>
      <c r="CD615">
        <v>0</v>
      </c>
      <c r="CE615">
        <v>0</v>
      </c>
      <c r="CF615">
        <v>3</v>
      </c>
      <c r="CG615">
        <v>0</v>
      </c>
      <c r="CH615">
        <v>871</v>
      </c>
      <c r="CI615">
        <v>3</v>
      </c>
      <c r="CJ615">
        <v>2</v>
      </c>
      <c r="CK615">
        <v>11</v>
      </c>
      <c r="CL615">
        <v>0</v>
      </c>
      <c r="CM615">
        <v>4</v>
      </c>
      <c r="CN615">
        <v>1</v>
      </c>
      <c r="CO615">
        <v>0</v>
      </c>
      <c r="CP615">
        <v>0</v>
      </c>
      <c r="CQ615">
        <v>3</v>
      </c>
      <c r="CR615">
        <v>1</v>
      </c>
      <c r="CS615">
        <v>943</v>
      </c>
      <c r="CT615">
        <v>0</v>
      </c>
      <c r="CU615">
        <v>6</v>
      </c>
      <c r="CV615">
        <v>0</v>
      </c>
      <c r="CW615">
        <v>2</v>
      </c>
      <c r="CX615">
        <v>2</v>
      </c>
      <c r="CY615">
        <v>28</v>
      </c>
      <c r="CZ615">
        <v>0</v>
      </c>
      <c r="DA615">
        <v>0</v>
      </c>
      <c r="DB615">
        <v>4</v>
      </c>
      <c r="DC615">
        <v>0</v>
      </c>
      <c r="DD615">
        <v>979</v>
      </c>
      <c r="DE615">
        <v>9</v>
      </c>
      <c r="DF615">
        <v>4</v>
      </c>
      <c r="DG615">
        <v>0</v>
      </c>
      <c r="DH615">
        <v>0</v>
      </c>
      <c r="DI615">
        <v>0</v>
      </c>
      <c r="DJ615">
        <v>0</v>
      </c>
      <c r="DK615">
        <v>1</v>
      </c>
      <c r="DL615">
        <v>0</v>
      </c>
      <c r="DM615">
        <v>1</v>
      </c>
      <c r="DN615">
        <v>3</v>
      </c>
      <c r="DO615">
        <v>968</v>
      </c>
      <c r="DP615">
        <v>1</v>
      </c>
      <c r="DQ615">
        <v>8</v>
      </c>
      <c r="DR615">
        <v>3</v>
      </c>
      <c r="DS615">
        <v>0</v>
      </c>
      <c r="DT615">
        <v>3</v>
      </c>
      <c r="DU615">
        <v>9</v>
      </c>
      <c r="DV615">
        <v>9</v>
      </c>
      <c r="DW615">
        <v>1</v>
      </c>
      <c r="DX615">
        <v>42</v>
      </c>
      <c r="DY615">
        <v>19</v>
      </c>
      <c r="DZ615">
        <v>915</v>
      </c>
      <c r="EA615">
        <v>0.95589999999999997</v>
      </c>
      <c r="EB615">
        <v>0.957727411421463</v>
      </c>
      <c r="EC615">
        <v>0.95688531032048596</v>
      </c>
      <c r="ED615">
        <v>0.95631289786517903</v>
      </c>
      <c r="EE615">
        <f>SUM(Table1[[#This Row],[ratio_0]:[ratio_9]])</f>
        <v>460</v>
      </c>
      <c r="EF615" s="1">
        <f>(Table1[[#This Row],[predicted_0]]-Table1[[#This Row],[actual_0]])/Table1[[#This Row],[actual_0]]</f>
        <v>2.8571428571428571E-2</v>
      </c>
      <c r="EG615" s="1">
        <f>(Table1[[#This Row],[predicted_1]]-Table1[[#This Row],[actual_1]])/Table1[[#This Row],[actual_1]]</f>
        <v>-6.3436123348017626E-2</v>
      </c>
      <c r="EH615" s="1">
        <f>(Table1[[#This Row],[predicted_2]]-Table1[[#This Row],[actual_2]])/Table1[[#This Row],[actual_2]]</f>
        <v>-2.0348837209302327E-2</v>
      </c>
      <c r="EI615" s="1">
        <f>(Table1[[#This Row],[predicted_3]]-Table1[[#This Row],[actual_3]])/Table1[[#This Row],[actual_3]]</f>
        <v>-6.2376237623762376E-2</v>
      </c>
      <c r="EJ615" s="1">
        <f>(Table1[[#This Row],[predicted_4]]-Table1[[#This Row],[actual_4]])/Table1[[#This Row],[actual_4]]</f>
        <v>-2.4439918533604887E-2</v>
      </c>
      <c r="EK615" s="1">
        <f>(Table1[[#This Row],[predicted_5]]-Table1[[#This Row],[actual_5]])/Table1[[#This Row],[actual_5]]</f>
        <v>2.2421524663677129E-2</v>
      </c>
      <c r="EL615" s="1">
        <f>(Table1[[#This Row],[predicted_6]]-Table1[[#This Row],[actual_6]])/Table1[[#This Row],[actual_6]]</f>
        <v>2.2964509394572025E-2</v>
      </c>
      <c r="EM615" s="1">
        <f>(Table1[[#This Row],[predicted_7]]-Table1[[#This Row],[actual_7]])/Table1[[#This Row],[actual_7]]</f>
        <v>1.7509727626459144E-2</v>
      </c>
      <c r="EN615" s="1">
        <f>(Table1[[#This Row],[predicted_8]]-Table1[[#This Row],[actual_8]])/Table1[[#This Row],[actual_8]]</f>
        <v>0.17145790554414783</v>
      </c>
      <c r="EO615" s="1">
        <f>(Table1[[#This Row],[predicted_9]]-Table1[[#This Row],[actual_9]])/Table1[[#This Row],[actual_9]]</f>
        <v>-7.4331020812685833E-2</v>
      </c>
      <c r="EP615" s="1">
        <f>1+(Table1[[#This Row],[error_ratio_0]]-EF$2)</f>
        <v>1.0265306122448981</v>
      </c>
      <c r="EQ615" s="1">
        <f>1+(Table1[[#This Row],[error_ratio_1]]-EG$2)</f>
        <v>0.93480176211453747</v>
      </c>
      <c r="ER615" s="1">
        <f>1+(Table1[[#This Row],[error_ratio_2]]-EH$2)</f>
        <v>0.98449612403100772</v>
      </c>
      <c r="ES615" s="1">
        <f>1+(Table1[[#This Row],[error_ratio_3]]-EI$2)</f>
        <v>0.92772277227722777</v>
      </c>
      <c r="ET615" s="1">
        <f>1+(Table1[[#This Row],[error_ratio_4]]-EJ$2)</f>
        <v>0.97454175152749489</v>
      </c>
      <c r="EU615" s="1">
        <f>1+(Table1[[#This Row],[error_ratio_5]]-EK$2)</f>
        <v>1.0213004484304933</v>
      </c>
      <c r="EV615" s="1">
        <f>1+(Table1[[#This Row],[error_ratio_6]]-EL$2)</f>
        <v>1.0292275574112735</v>
      </c>
      <c r="EW615" s="1">
        <f>1+(Table1[[#This Row],[error_ratio_7]]-EM$2)</f>
        <v>1.0155642023346303</v>
      </c>
      <c r="EX615" s="1">
        <f>1+(Table1[[#This Row],[error_ratio_8]]-EN$2)</f>
        <v>1.1745379876796713</v>
      </c>
      <c r="EY615" s="1">
        <f>1+(Table1[[#This Row],[error_ratio_9]]-EO$2)</f>
        <v>0.92963330029732405</v>
      </c>
    </row>
    <row r="616" spans="1:155" x14ac:dyDescent="0.75">
      <c r="A616">
        <v>10</v>
      </c>
      <c r="B616">
        <v>10</v>
      </c>
      <c r="C616">
        <v>10</v>
      </c>
      <c r="D616">
        <v>10</v>
      </c>
      <c r="E616">
        <v>10</v>
      </c>
      <c r="F616">
        <v>100</v>
      </c>
      <c r="G616">
        <v>100</v>
      </c>
      <c r="H616">
        <v>10</v>
      </c>
      <c r="I616">
        <v>100</v>
      </c>
      <c r="J616">
        <v>10</v>
      </c>
      <c r="K616">
        <v>955</v>
      </c>
      <c r="L616">
        <v>980</v>
      </c>
      <c r="M616">
        <v>1035</v>
      </c>
      <c r="N616">
        <v>1020</v>
      </c>
      <c r="O616">
        <v>737</v>
      </c>
      <c r="P616">
        <v>999</v>
      </c>
      <c r="Q616">
        <v>921</v>
      </c>
      <c r="R616">
        <v>980</v>
      </c>
      <c r="S616">
        <v>1225</v>
      </c>
      <c r="T616">
        <v>1148</v>
      </c>
      <c r="U616">
        <v>980</v>
      </c>
      <c r="V616">
        <v>1135</v>
      </c>
      <c r="W616">
        <v>1032</v>
      </c>
      <c r="X616">
        <v>1010</v>
      </c>
      <c r="Y616">
        <v>982</v>
      </c>
      <c r="Z616">
        <v>892</v>
      </c>
      <c r="AA616">
        <v>958</v>
      </c>
      <c r="AB616">
        <v>1028</v>
      </c>
      <c r="AC616">
        <v>974</v>
      </c>
      <c r="AD616">
        <v>1009</v>
      </c>
      <c r="AE616">
        <v>948</v>
      </c>
      <c r="AF616">
        <v>0</v>
      </c>
      <c r="AG616">
        <v>0</v>
      </c>
      <c r="AH616">
        <v>2</v>
      </c>
      <c r="AI616">
        <v>1</v>
      </c>
      <c r="AJ616">
        <v>13</v>
      </c>
      <c r="AK616">
        <v>4</v>
      </c>
      <c r="AL616">
        <v>2</v>
      </c>
      <c r="AM616">
        <v>8</v>
      </c>
      <c r="AN616">
        <v>2</v>
      </c>
      <c r="AO616">
        <v>0</v>
      </c>
      <c r="AP616">
        <v>978</v>
      </c>
      <c r="AQ616">
        <v>8</v>
      </c>
      <c r="AR616">
        <v>7</v>
      </c>
      <c r="AS616">
        <v>0</v>
      </c>
      <c r="AT616">
        <v>2</v>
      </c>
      <c r="AU616">
        <v>6</v>
      </c>
      <c r="AV616">
        <v>3</v>
      </c>
      <c r="AW616">
        <v>130</v>
      </c>
      <c r="AX616">
        <v>1</v>
      </c>
      <c r="AY616">
        <v>1</v>
      </c>
      <c r="AZ616">
        <v>0</v>
      </c>
      <c r="BA616">
        <v>993</v>
      </c>
      <c r="BB616">
        <v>13</v>
      </c>
      <c r="BC616">
        <v>2</v>
      </c>
      <c r="BD616">
        <v>1</v>
      </c>
      <c r="BE616">
        <v>1</v>
      </c>
      <c r="BF616">
        <v>1</v>
      </c>
      <c r="BG616">
        <v>20</v>
      </c>
      <c r="BH616">
        <v>0</v>
      </c>
      <c r="BI616">
        <v>0</v>
      </c>
      <c r="BJ616">
        <v>0</v>
      </c>
      <c r="BK616">
        <v>2</v>
      </c>
      <c r="BL616">
        <v>975</v>
      </c>
      <c r="BM616">
        <v>0</v>
      </c>
      <c r="BN616">
        <v>22</v>
      </c>
      <c r="BO616">
        <v>0</v>
      </c>
      <c r="BP616">
        <v>5</v>
      </c>
      <c r="BQ616">
        <v>4</v>
      </c>
      <c r="BR616">
        <v>2</v>
      </c>
      <c r="BS616">
        <v>0</v>
      </c>
      <c r="BT616">
        <v>0</v>
      </c>
      <c r="BU616">
        <v>4</v>
      </c>
      <c r="BV616">
        <v>1</v>
      </c>
      <c r="BW616">
        <v>731</v>
      </c>
      <c r="BX616">
        <v>12</v>
      </c>
      <c r="BY616">
        <v>5</v>
      </c>
      <c r="BZ616">
        <v>0</v>
      </c>
      <c r="CA616">
        <v>53</v>
      </c>
      <c r="CB616">
        <v>176</v>
      </c>
      <c r="CC616">
        <v>0</v>
      </c>
      <c r="CD616">
        <v>0</v>
      </c>
      <c r="CE616">
        <v>1</v>
      </c>
      <c r="CF616">
        <v>5</v>
      </c>
      <c r="CG616">
        <v>0</v>
      </c>
      <c r="CH616">
        <v>885</v>
      </c>
      <c r="CI616">
        <v>1</v>
      </c>
      <c r="CJ616">
        <v>0</v>
      </c>
      <c r="CK616">
        <v>0</v>
      </c>
      <c r="CL616">
        <v>0</v>
      </c>
      <c r="CM616">
        <v>2</v>
      </c>
      <c r="CN616">
        <v>1</v>
      </c>
      <c r="CO616">
        <v>1</v>
      </c>
      <c r="CP616">
        <v>0</v>
      </c>
      <c r="CQ616">
        <v>3</v>
      </c>
      <c r="CR616">
        <v>36</v>
      </c>
      <c r="CS616">
        <v>904</v>
      </c>
      <c r="CT616">
        <v>0</v>
      </c>
      <c r="CU616">
        <v>11</v>
      </c>
      <c r="CV616">
        <v>0</v>
      </c>
      <c r="CW616">
        <v>2</v>
      </c>
      <c r="CX616">
        <v>1</v>
      </c>
      <c r="CY616">
        <v>25</v>
      </c>
      <c r="CZ616">
        <v>4</v>
      </c>
      <c r="DA616">
        <v>0</v>
      </c>
      <c r="DB616">
        <v>2</v>
      </c>
      <c r="DC616">
        <v>0</v>
      </c>
      <c r="DD616">
        <v>966</v>
      </c>
      <c r="DE616">
        <v>14</v>
      </c>
      <c r="DF616">
        <v>14</v>
      </c>
      <c r="DG616">
        <v>0</v>
      </c>
      <c r="DH616">
        <v>0</v>
      </c>
      <c r="DI616">
        <v>0</v>
      </c>
      <c r="DJ616">
        <v>5</v>
      </c>
      <c r="DK616">
        <v>0</v>
      </c>
      <c r="DL616">
        <v>2</v>
      </c>
      <c r="DM616">
        <v>0</v>
      </c>
      <c r="DN616">
        <v>0</v>
      </c>
      <c r="DO616">
        <v>967</v>
      </c>
      <c r="DP616">
        <v>0</v>
      </c>
      <c r="DQ616">
        <v>2</v>
      </c>
      <c r="DR616">
        <v>0</v>
      </c>
      <c r="DS616">
        <v>1</v>
      </c>
      <c r="DT616">
        <v>8</v>
      </c>
      <c r="DU616">
        <v>0</v>
      </c>
      <c r="DV616">
        <v>24</v>
      </c>
      <c r="DW616">
        <v>0</v>
      </c>
      <c r="DX616">
        <v>3</v>
      </c>
      <c r="DY616">
        <v>18</v>
      </c>
      <c r="DZ616">
        <v>953</v>
      </c>
      <c r="EA616">
        <v>0.93</v>
      </c>
      <c r="EB616">
        <v>0.93704599728322702</v>
      </c>
      <c r="EC616">
        <v>0.931376236621552</v>
      </c>
      <c r="ED616">
        <v>0.93000694200261302</v>
      </c>
      <c r="EE616">
        <f>SUM(Table1[[#This Row],[ratio_0]:[ratio_9]])</f>
        <v>370</v>
      </c>
      <c r="EF616" s="1">
        <f>(Table1[[#This Row],[predicted_0]]-Table1[[#This Row],[actual_0]])/Table1[[#This Row],[actual_0]]</f>
        <v>-2.5510204081632654E-2</v>
      </c>
      <c r="EG616" s="1">
        <f>(Table1[[#This Row],[predicted_1]]-Table1[[#This Row],[actual_1]])/Table1[[#This Row],[actual_1]]</f>
        <v>-0.13656387665198239</v>
      </c>
      <c r="EH616" s="1">
        <f>(Table1[[#This Row],[predicted_2]]-Table1[[#This Row],[actual_2]])/Table1[[#This Row],[actual_2]]</f>
        <v>2.9069767441860465E-3</v>
      </c>
      <c r="EI616" s="1">
        <f>(Table1[[#This Row],[predicted_3]]-Table1[[#This Row],[actual_3]])/Table1[[#This Row],[actual_3]]</f>
        <v>9.9009900990099011E-3</v>
      </c>
      <c r="EJ616" s="1">
        <f>(Table1[[#This Row],[predicted_4]]-Table1[[#This Row],[actual_4]])/Table1[[#This Row],[actual_4]]</f>
        <v>-0.24949083503054989</v>
      </c>
      <c r="EK616" s="1">
        <f>(Table1[[#This Row],[predicted_5]]-Table1[[#This Row],[actual_5]])/Table1[[#This Row],[actual_5]]</f>
        <v>0.11995515695067265</v>
      </c>
      <c r="EL616" s="1">
        <f>(Table1[[#This Row],[predicted_6]]-Table1[[#This Row],[actual_6]])/Table1[[#This Row],[actual_6]]</f>
        <v>-3.8622129436325675E-2</v>
      </c>
      <c r="EM616" s="1">
        <f>(Table1[[#This Row],[predicted_7]]-Table1[[#This Row],[actual_7]])/Table1[[#This Row],[actual_7]]</f>
        <v>-4.6692607003891051E-2</v>
      </c>
      <c r="EN616" s="1">
        <f>(Table1[[#This Row],[predicted_8]]-Table1[[#This Row],[actual_8]])/Table1[[#This Row],[actual_8]]</f>
        <v>0.25770020533880905</v>
      </c>
      <c r="EO616" s="1">
        <f>(Table1[[#This Row],[predicted_9]]-Table1[[#This Row],[actual_9]])/Table1[[#This Row],[actual_9]]</f>
        <v>0.1377601585728444</v>
      </c>
      <c r="EP616" s="1">
        <f>1+(Table1[[#This Row],[error_ratio_0]]-EF$2)</f>
        <v>0.97244897959183674</v>
      </c>
      <c r="EQ616" s="1">
        <f>1+(Table1[[#This Row],[error_ratio_1]]-EG$2)</f>
        <v>0.86167400881057266</v>
      </c>
      <c r="ER616" s="1">
        <f>1+(Table1[[#This Row],[error_ratio_2]]-EH$2)</f>
        <v>1.0077519379844961</v>
      </c>
      <c r="ES616" s="1">
        <f>1+(Table1[[#This Row],[error_ratio_3]]-EI$2)</f>
        <v>1</v>
      </c>
      <c r="ET616" s="1">
        <f>1+(Table1[[#This Row],[error_ratio_4]]-EJ$2)</f>
        <v>0.74949083503054992</v>
      </c>
      <c r="EU616" s="1">
        <f>1+(Table1[[#This Row],[error_ratio_5]]-EK$2)</f>
        <v>1.1188340807174888</v>
      </c>
      <c r="EV616" s="1">
        <f>1+(Table1[[#This Row],[error_ratio_6]]-EL$2)</f>
        <v>0.96764091858037582</v>
      </c>
      <c r="EW616" s="1">
        <f>1+(Table1[[#This Row],[error_ratio_7]]-EM$2)</f>
        <v>0.95136186770428011</v>
      </c>
      <c r="EX616" s="1">
        <f>1+(Table1[[#This Row],[error_ratio_8]]-EN$2)</f>
        <v>1.2607802874743328</v>
      </c>
      <c r="EY616" s="1">
        <f>1+(Table1[[#This Row],[error_ratio_9]]-EO$2)</f>
        <v>1.1417244796828543</v>
      </c>
    </row>
    <row r="617" spans="1:155" x14ac:dyDescent="0.75">
      <c r="A617">
        <v>100</v>
      </c>
      <c r="B617">
        <v>100</v>
      </c>
      <c r="C617">
        <v>100</v>
      </c>
      <c r="D617">
        <v>100</v>
      </c>
      <c r="E617">
        <v>100</v>
      </c>
      <c r="F617">
        <v>10</v>
      </c>
      <c r="G617">
        <v>100</v>
      </c>
      <c r="H617">
        <v>10</v>
      </c>
      <c r="I617">
        <v>100</v>
      </c>
      <c r="J617">
        <v>10</v>
      </c>
      <c r="K617">
        <v>996</v>
      </c>
      <c r="L617">
        <v>1135</v>
      </c>
      <c r="M617">
        <v>1032</v>
      </c>
      <c r="N617">
        <v>1087</v>
      </c>
      <c r="O617">
        <v>995</v>
      </c>
      <c r="P617">
        <v>868</v>
      </c>
      <c r="Q617">
        <v>944</v>
      </c>
      <c r="R617">
        <v>932</v>
      </c>
      <c r="S617">
        <v>1006</v>
      </c>
      <c r="T617">
        <v>1005</v>
      </c>
      <c r="U617">
        <v>980</v>
      </c>
      <c r="V617">
        <v>1135</v>
      </c>
      <c r="W617">
        <v>1032</v>
      </c>
      <c r="X617">
        <v>1010</v>
      </c>
      <c r="Y617">
        <v>982</v>
      </c>
      <c r="Z617">
        <v>892</v>
      </c>
      <c r="AA617">
        <v>958</v>
      </c>
      <c r="AB617">
        <v>1028</v>
      </c>
      <c r="AC617">
        <v>974</v>
      </c>
      <c r="AD617">
        <v>1009</v>
      </c>
      <c r="AE617">
        <v>977</v>
      </c>
      <c r="AF617">
        <v>0</v>
      </c>
      <c r="AG617">
        <v>1</v>
      </c>
      <c r="AH617">
        <v>0</v>
      </c>
      <c r="AI617">
        <v>0</v>
      </c>
      <c r="AJ617">
        <v>0</v>
      </c>
      <c r="AK617">
        <v>1</v>
      </c>
      <c r="AL617">
        <v>0</v>
      </c>
      <c r="AM617">
        <v>1</v>
      </c>
      <c r="AN617">
        <v>0</v>
      </c>
      <c r="AO617">
        <v>0</v>
      </c>
      <c r="AP617">
        <v>1123</v>
      </c>
      <c r="AQ617">
        <v>0</v>
      </c>
      <c r="AR617">
        <v>3</v>
      </c>
      <c r="AS617">
        <v>0</v>
      </c>
      <c r="AT617">
        <v>2</v>
      </c>
      <c r="AU617">
        <v>1</v>
      </c>
      <c r="AV617">
        <v>0</v>
      </c>
      <c r="AW617">
        <v>6</v>
      </c>
      <c r="AX617">
        <v>0</v>
      </c>
      <c r="AY617">
        <v>3</v>
      </c>
      <c r="AZ617">
        <v>1</v>
      </c>
      <c r="BA617">
        <v>1011</v>
      </c>
      <c r="BB617">
        <v>7</v>
      </c>
      <c r="BC617">
        <v>5</v>
      </c>
      <c r="BD617">
        <v>0</v>
      </c>
      <c r="BE617">
        <v>0</v>
      </c>
      <c r="BF617">
        <v>2</v>
      </c>
      <c r="BG617">
        <v>3</v>
      </c>
      <c r="BH617">
        <v>0</v>
      </c>
      <c r="BI617">
        <v>0</v>
      </c>
      <c r="BJ617">
        <v>0</v>
      </c>
      <c r="BK617">
        <v>0</v>
      </c>
      <c r="BL617">
        <v>1006</v>
      </c>
      <c r="BM617">
        <v>0</v>
      </c>
      <c r="BN617">
        <v>2</v>
      </c>
      <c r="BO617">
        <v>0</v>
      </c>
      <c r="BP617">
        <v>0</v>
      </c>
      <c r="BQ617">
        <v>2</v>
      </c>
      <c r="BR617">
        <v>0</v>
      </c>
      <c r="BS617">
        <v>0</v>
      </c>
      <c r="BT617">
        <v>0</v>
      </c>
      <c r="BU617">
        <v>0</v>
      </c>
      <c r="BV617">
        <v>0</v>
      </c>
      <c r="BW617">
        <v>970</v>
      </c>
      <c r="BX617">
        <v>0</v>
      </c>
      <c r="BY617">
        <v>0</v>
      </c>
      <c r="BZ617">
        <v>0</v>
      </c>
      <c r="CA617">
        <v>3</v>
      </c>
      <c r="CB617">
        <v>9</v>
      </c>
      <c r="CC617">
        <v>3</v>
      </c>
      <c r="CD617">
        <v>0</v>
      </c>
      <c r="CE617">
        <v>0</v>
      </c>
      <c r="CF617">
        <v>19</v>
      </c>
      <c r="CG617">
        <v>0</v>
      </c>
      <c r="CH617">
        <v>859</v>
      </c>
      <c r="CI617">
        <v>4</v>
      </c>
      <c r="CJ617">
        <v>0</v>
      </c>
      <c r="CK617">
        <v>7</v>
      </c>
      <c r="CL617">
        <v>0</v>
      </c>
      <c r="CM617">
        <v>4</v>
      </c>
      <c r="CN617">
        <v>2</v>
      </c>
      <c r="CO617">
        <v>0</v>
      </c>
      <c r="CP617">
        <v>0</v>
      </c>
      <c r="CQ617">
        <v>10</v>
      </c>
      <c r="CR617">
        <v>1</v>
      </c>
      <c r="CS617">
        <v>938</v>
      </c>
      <c r="CT617">
        <v>0</v>
      </c>
      <c r="CU617">
        <v>3</v>
      </c>
      <c r="CV617">
        <v>0</v>
      </c>
      <c r="CW617">
        <v>4</v>
      </c>
      <c r="CX617">
        <v>6</v>
      </c>
      <c r="CY617">
        <v>19</v>
      </c>
      <c r="CZ617">
        <v>32</v>
      </c>
      <c r="DA617">
        <v>5</v>
      </c>
      <c r="DB617">
        <v>0</v>
      </c>
      <c r="DC617">
        <v>0</v>
      </c>
      <c r="DD617">
        <v>927</v>
      </c>
      <c r="DE617">
        <v>5</v>
      </c>
      <c r="DF617">
        <v>30</v>
      </c>
      <c r="DG617">
        <v>0</v>
      </c>
      <c r="DH617">
        <v>0</v>
      </c>
      <c r="DI617">
        <v>1</v>
      </c>
      <c r="DJ617">
        <v>0</v>
      </c>
      <c r="DK617">
        <v>0</v>
      </c>
      <c r="DL617">
        <v>0</v>
      </c>
      <c r="DM617">
        <v>0</v>
      </c>
      <c r="DN617">
        <v>0</v>
      </c>
      <c r="DO617">
        <v>967</v>
      </c>
      <c r="DP617">
        <v>6</v>
      </c>
      <c r="DQ617">
        <v>5</v>
      </c>
      <c r="DR617">
        <v>3</v>
      </c>
      <c r="DS617">
        <v>0</v>
      </c>
      <c r="DT617">
        <v>20</v>
      </c>
      <c r="DU617">
        <v>5</v>
      </c>
      <c r="DV617">
        <v>4</v>
      </c>
      <c r="DW617">
        <v>0</v>
      </c>
      <c r="DX617">
        <v>3</v>
      </c>
      <c r="DY617">
        <v>9</v>
      </c>
      <c r="DZ617">
        <v>960</v>
      </c>
      <c r="EA617">
        <v>0.9738</v>
      </c>
      <c r="EB617">
        <v>0.97447266051911696</v>
      </c>
      <c r="EC617">
        <v>0.97379657342012205</v>
      </c>
      <c r="ED617">
        <v>0.97371748504296696</v>
      </c>
      <c r="EE617">
        <f>SUM(Table1[[#This Row],[ratio_0]:[ratio_9]])</f>
        <v>730</v>
      </c>
      <c r="EF617" s="1">
        <f>(Table1[[#This Row],[predicted_0]]-Table1[[#This Row],[actual_0]])/Table1[[#This Row],[actual_0]]</f>
        <v>1.6326530612244899E-2</v>
      </c>
      <c r="EG617" s="1">
        <f>(Table1[[#This Row],[predicted_1]]-Table1[[#This Row],[actual_1]])/Table1[[#This Row],[actual_1]]</f>
        <v>0</v>
      </c>
      <c r="EH617" s="1">
        <f>(Table1[[#This Row],[predicted_2]]-Table1[[#This Row],[actual_2]])/Table1[[#This Row],[actual_2]]</f>
        <v>0</v>
      </c>
      <c r="EI617" s="1">
        <f>(Table1[[#This Row],[predicted_3]]-Table1[[#This Row],[actual_3]])/Table1[[#This Row],[actual_3]]</f>
        <v>7.6237623762376236E-2</v>
      </c>
      <c r="EJ617" s="1">
        <f>(Table1[[#This Row],[predicted_4]]-Table1[[#This Row],[actual_4]])/Table1[[#This Row],[actual_4]]</f>
        <v>1.3238289205702648E-2</v>
      </c>
      <c r="EK617" s="1">
        <f>(Table1[[#This Row],[predicted_5]]-Table1[[#This Row],[actual_5]])/Table1[[#This Row],[actual_5]]</f>
        <v>-2.6905829596412557E-2</v>
      </c>
      <c r="EL617" s="1">
        <f>(Table1[[#This Row],[predicted_6]]-Table1[[#This Row],[actual_6]])/Table1[[#This Row],[actual_6]]</f>
        <v>-1.4613778705636743E-2</v>
      </c>
      <c r="EM617" s="1">
        <f>(Table1[[#This Row],[predicted_7]]-Table1[[#This Row],[actual_7]])/Table1[[#This Row],[actual_7]]</f>
        <v>-9.3385214007782102E-2</v>
      </c>
      <c r="EN617" s="1">
        <f>(Table1[[#This Row],[predicted_8]]-Table1[[#This Row],[actual_8]])/Table1[[#This Row],[actual_8]]</f>
        <v>3.2854209445585217E-2</v>
      </c>
      <c r="EO617" s="1">
        <f>(Table1[[#This Row],[predicted_9]]-Table1[[#This Row],[actual_9]])/Table1[[#This Row],[actual_9]]</f>
        <v>-3.9643211100099107E-3</v>
      </c>
      <c r="EP617" s="1">
        <f>1+(Table1[[#This Row],[error_ratio_0]]-EF$2)</f>
        <v>1.0142857142857142</v>
      </c>
      <c r="EQ617" s="1">
        <f>1+(Table1[[#This Row],[error_ratio_1]]-EG$2)</f>
        <v>0.9982378854625551</v>
      </c>
      <c r="ER617" s="1">
        <f>1+(Table1[[#This Row],[error_ratio_2]]-EH$2)</f>
        <v>1.0048449612403101</v>
      </c>
      <c r="ES617" s="1">
        <f>1+(Table1[[#This Row],[error_ratio_3]]-EI$2)</f>
        <v>1.0663366336633664</v>
      </c>
      <c r="ET617" s="1">
        <f>1+(Table1[[#This Row],[error_ratio_4]]-EJ$2)</f>
        <v>1.0122199592668024</v>
      </c>
      <c r="EU617" s="1">
        <f>1+(Table1[[#This Row],[error_ratio_5]]-EK$2)</f>
        <v>0.97197309417040356</v>
      </c>
      <c r="EV617" s="1">
        <f>1+(Table1[[#This Row],[error_ratio_6]]-EL$2)</f>
        <v>0.99164926931106467</v>
      </c>
      <c r="EW617" s="1">
        <f>1+(Table1[[#This Row],[error_ratio_7]]-EM$2)</f>
        <v>0.90466926070038911</v>
      </c>
      <c r="EX617" s="1">
        <f>1+(Table1[[#This Row],[error_ratio_8]]-EN$2)</f>
        <v>1.0359342915811087</v>
      </c>
      <c r="EY617" s="1">
        <f>1+(Table1[[#This Row],[error_ratio_9]]-EO$2)</f>
        <v>1</v>
      </c>
    </row>
    <row r="618" spans="1:155" x14ac:dyDescent="0.75">
      <c r="A618">
        <v>10</v>
      </c>
      <c r="B618">
        <v>100</v>
      </c>
      <c r="C618">
        <v>100</v>
      </c>
      <c r="D618">
        <v>100</v>
      </c>
      <c r="E618">
        <v>100</v>
      </c>
      <c r="F618">
        <v>10</v>
      </c>
      <c r="G618">
        <v>100</v>
      </c>
      <c r="H618">
        <v>10</v>
      </c>
      <c r="I618">
        <v>100</v>
      </c>
      <c r="J618">
        <v>10</v>
      </c>
      <c r="K618">
        <v>965</v>
      </c>
      <c r="L618">
        <v>1157</v>
      </c>
      <c r="M618">
        <v>1053</v>
      </c>
      <c r="N618">
        <v>1056</v>
      </c>
      <c r="O618">
        <v>1031</v>
      </c>
      <c r="P618">
        <v>906</v>
      </c>
      <c r="Q618">
        <v>962</v>
      </c>
      <c r="R618">
        <v>946</v>
      </c>
      <c r="S618">
        <v>1022</v>
      </c>
      <c r="T618">
        <v>902</v>
      </c>
      <c r="U618">
        <v>980</v>
      </c>
      <c r="V618">
        <v>1135</v>
      </c>
      <c r="W618">
        <v>1032</v>
      </c>
      <c r="X618">
        <v>1010</v>
      </c>
      <c r="Y618">
        <v>982</v>
      </c>
      <c r="Z618">
        <v>892</v>
      </c>
      <c r="AA618">
        <v>958</v>
      </c>
      <c r="AB618">
        <v>1028</v>
      </c>
      <c r="AC618">
        <v>974</v>
      </c>
      <c r="AD618">
        <v>1009</v>
      </c>
      <c r="AE618">
        <v>956</v>
      </c>
      <c r="AF618">
        <v>0</v>
      </c>
      <c r="AG618">
        <v>6</v>
      </c>
      <c r="AH618">
        <v>0</v>
      </c>
      <c r="AI618">
        <v>3</v>
      </c>
      <c r="AJ618">
        <v>0</v>
      </c>
      <c r="AK618">
        <v>8</v>
      </c>
      <c r="AL618">
        <v>1</v>
      </c>
      <c r="AM618">
        <v>5</v>
      </c>
      <c r="AN618">
        <v>1</v>
      </c>
      <c r="AO618">
        <v>0</v>
      </c>
      <c r="AP618">
        <v>1133</v>
      </c>
      <c r="AQ618">
        <v>0</v>
      </c>
      <c r="AR618">
        <v>0</v>
      </c>
      <c r="AS618">
        <v>0</v>
      </c>
      <c r="AT618">
        <v>1</v>
      </c>
      <c r="AU618">
        <v>1</v>
      </c>
      <c r="AV618">
        <v>0</v>
      </c>
      <c r="AW618">
        <v>0</v>
      </c>
      <c r="AX618">
        <v>0</v>
      </c>
      <c r="AY618">
        <v>1</v>
      </c>
      <c r="AZ618">
        <v>1</v>
      </c>
      <c r="BA618">
        <v>1020</v>
      </c>
      <c r="BB618">
        <v>3</v>
      </c>
      <c r="BC618">
        <v>0</v>
      </c>
      <c r="BD618">
        <v>0</v>
      </c>
      <c r="BE618">
        <v>0</v>
      </c>
      <c r="BF618">
        <v>3</v>
      </c>
      <c r="BG618">
        <v>4</v>
      </c>
      <c r="BH618">
        <v>0</v>
      </c>
      <c r="BI618">
        <v>0</v>
      </c>
      <c r="BJ618">
        <v>0</v>
      </c>
      <c r="BK618">
        <v>1</v>
      </c>
      <c r="BL618">
        <v>1000</v>
      </c>
      <c r="BM618">
        <v>0</v>
      </c>
      <c r="BN618">
        <v>7</v>
      </c>
      <c r="BO618">
        <v>0</v>
      </c>
      <c r="BP618">
        <v>1</v>
      </c>
      <c r="BQ618">
        <v>1</v>
      </c>
      <c r="BR618">
        <v>0</v>
      </c>
      <c r="BS618">
        <v>0</v>
      </c>
      <c r="BT618">
        <v>0</v>
      </c>
      <c r="BU618">
        <v>0</v>
      </c>
      <c r="BV618">
        <v>0</v>
      </c>
      <c r="BW618">
        <v>980</v>
      </c>
      <c r="BX618">
        <v>0</v>
      </c>
      <c r="BY618">
        <v>1</v>
      </c>
      <c r="BZ618">
        <v>0</v>
      </c>
      <c r="CA618">
        <v>1</v>
      </c>
      <c r="CB618">
        <v>0</v>
      </c>
      <c r="CC618">
        <v>2</v>
      </c>
      <c r="CD618">
        <v>0</v>
      </c>
      <c r="CE618">
        <v>1</v>
      </c>
      <c r="CF618">
        <v>7</v>
      </c>
      <c r="CG618">
        <v>0</v>
      </c>
      <c r="CH618">
        <v>870</v>
      </c>
      <c r="CI618">
        <v>4</v>
      </c>
      <c r="CJ618">
        <v>0</v>
      </c>
      <c r="CK618">
        <v>8</v>
      </c>
      <c r="CL618">
        <v>0</v>
      </c>
      <c r="CM618">
        <v>0</v>
      </c>
      <c r="CN618">
        <v>3</v>
      </c>
      <c r="CO618">
        <v>2</v>
      </c>
      <c r="CP618">
        <v>1</v>
      </c>
      <c r="CQ618">
        <v>2</v>
      </c>
      <c r="CR618">
        <v>1</v>
      </c>
      <c r="CS618">
        <v>947</v>
      </c>
      <c r="CT618">
        <v>0</v>
      </c>
      <c r="CU618">
        <v>2</v>
      </c>
      <c r="CV618">
        <v>0</v>
      </c>
      <c r="CW618">
        <v>2</v>
      </c>
      <c r="CX618">
        <v>15</v>
      </c>
      <c r="CY618">
        <v>21</v>
      </c>
      <c r="CZ618">
        <v>38</v>
      </c>
      <c r="DA618">
        <v>4</v>
      </c>
      <c r="DB618">
        <v>3</v>
      </c>
      <c r="DC618">
        <v>0</v>
      </c>
      <c r="DD618">
        <v>933</v>
      </c>
      <c r="DE618">
        <v>4</v>
      </c>
      <c r="DF618">
        <v>8</v>
      </c>
      <c r="DG618">
        <v>0</v>
      </c>
      <c r="DH618">
        <v>0</v>
      </c>
      <c r="DI618">
        <v>2</v>
      </c>
      <c r="DJ618">
        <v>1</v>
      </c>
      <c r="DK618">
        <v>0</v>
      </c>
      <c r="DL618">
        <v>0</v>
      </c>
      <c r="DM618">
        <v>1</v>
      </c>
      <c r="DN618">
        <v>2</v>
      </c>
      <c r="DO618">
        <v>966</v>
      </c>
      <c r="DP618">
        <v>2</v>
      </c>
      <c r="DQ618">
        <v>4</v>
      </c>
      <c r="DR618">
        <v>5</v>
      </c>
      <c r="DS618">
        <v>0</v>
      </c>
      <c r="DT618">
        <v>6</v>
      </c>
      <c r="DU618">
        <v>42</v>
      </c>
      <c r="DV618">
        <v>24</v>
      </c>
      <c r="DW618">
        <v>0</v>
      </c>
      <c r="DX618">
        <v>6</v>
      </c>
      <c r="DY618">
        <v>31</v>
      </c>
      <c r="DZ618">
        <v>891</v>
      </c>
      <c r="EA618">
        <v>0.96960000000000002</v>
      </c>
      <c r="EB618">
        <v>0.97000350724645901</v>
      </c>
      <c r="EC618">
        <v>0.96964631242947397</v>
      </c>
      <c r="ED618">
        <v>0.96917531990273398</v>
      </c>
      <c r="EE618">
        <f>SUM(Table1[[#This Row],[ratio_0]:[ratio_9]])</f>
        <v>640</v>
      </c>
      <c r="EF618" s="1">
        <f>(Table1[[#This Row],[predicted_0]]-Table1[[#This Row],[actual_0]])/Table1[[#This Row],[actual_0]]</f>
        <v>-1.5306122448979591E-2</v>
      </c>
      <c r="EG618" s="1">
        <f>(Table1[[#This Row],[predicted_1]]-Table1[[#This Row],[actual_1]])/Table1[[#This Row],[actual_1]]</f>
        <v>1.9383259911894272E-2</v>
      </c>
      <c r="EH618" s="1">
        <f>(Table1[[#This Row],[predicted_2]]-Table1[[#This Row],[actual_2]])/Table1[[#This Row],[actual_2]]</f>
        <v>2.0348837209302327E-2</v>
      </c>
      <c r="EI618" s="1">
        <f>(Table1[[#This Row],[predicted_3]]-Table1[[#This Row],[actual_3]])/Table1[[#This Row],[actual_3]]</f>
        <v>4.5544554455445543E-2</v>
      </c>
      <c r="EJ618" s="1">
        <f>(Table1[[#This Row],[predicted_4]]-Table1[[#This Row],[actual_4]])/Table1[[#This Row],[actual_4]]</f>
        <v>4.9898167006109981E-2</v>
      </c>
      <c r="EK618" s="1">
        <f>(Table1[[#This Row],[predicted_5]]-Table1[[#This Row],[actual_5]])/Table1[[#This Row],[actual_5]]</f>
        <v>1.5695067264573991E-2</v>
      </c>
      <c r="EL618" s="1">
        <f>(Table1[[#This Row],[predicted_6]]-Table1[[#This Row],[actual_6]])/Table1[[#This Row],[actual_6]]</f>
        <v>4.1753653444676405E-3</v>
      </c>
      <c r="EM618" s="1">
        <f>(Table1[[#This Row],[predicted_7]]-Table1[[#This Row],[actual_7]])/Table1[[#This Row],[actual_7]]</f>
        <v>-7.9766536964980539E-2</v>
      </c>
      <c r="EN618" s="1">
        <f>(Table1[[#This Row],[predicted_8]]-Table1[[#This Row],[actual_8]])/Table1[[#This Row],[actual_8]]</f>
        <v>4.9281314168377825E-2</v>
      </c>
      <c r="EO618" s="1">
        <f>(Table1[[#This Row],[predicted_9]]-Table1[[#This Row],[actual_9]])/Table1[[#This Row],[actual_9]]</f>
        <v>-0.10604558969276512</v>
      </c>
      <c r="EP618" s="1">
        <f>1+(Table1[[#This Row],[error_ratio_0]]-EF$2)</f>
        <v>0.98265306122448981</v>
      </c>
      <c r="EQ618" s="1">
        <f>1+(Table1[[#This Row],[error_ratio_1]]-EG$2)</f>
        <v>1.0176211453744493</v>
      </c>
      <c r="ER618" s="1">
        <f>1+(Table1[[#This Row],[error_ratio_2]]-EH$2)</f>
        <v>1.0251937984496124</v>
      </c>
      <c r="ES618" s="1">
        <f>1+(Table1[[#This Row],[error_ratio_3]]-EI$2)</f>
        <v>1.0356435643564357</v>
      </c>
      <c r="ET618" s="1">
        <f>1+(Table1[[#This Row],[error_ratio_4]]-EJ$2)</f>
        <v>1.0488798370672097</v>
      </c>
      <c r="EU618" s="1">
        <f>1+(Table1[[#This Row],[error_ratio_5]]-EK$2)</f>
        <v>1.0145739910313902</v>
      </c>
      <c r="EV618" s="1">
        <f>1+(Table1[[#This Row],[error_ratio_6]]-EL$2)</f>
        <v>1.010438413361169</v>
      </c>
      <c r="EW618" s="1">
        <f>1+(Table1[[#This Row],[error_ratio_7]]-EM$2)</f>
        <v>0.91828793774319073</v>
      </c>
      <c r="EX618" s="1">
        <f>1+(Table1[[#This Row],[error_ratio_8]]-EN$2)</f>
        <v>1.0523613963039014</v>
      </c>
      <c r="EY618" s="1">
        <f>1+(Table1[[#This Row],[error_ratio_9]]-EO$2)</f>
        <v>0.89791873141724476</v>
      </c>
    </row>
    <row r="619" spans="1:155" x14ac:dyDescent="0.75">
      <c r="A619">
        <v>100</v>
      </c>
      <c r="B619">
        <v>10</v>
      </c>
      <c r="C619">
        <v>100</v>
      </c>
      <c r="D619">
        <v>100</v>
      </c>
      <c r="E619">
        <v>100</v>
      </c>
      <c r="F619">
        <v>10</v>
      </c>
      <c r="G619">
        <v>100</v>
      </c>
      <c r="H619">
        <v>10</v>
      </c>
      <c r="I619">
        <v>100</v>
      </c>
      <c r="J619">
        <v>10</v>
      </c>
      <c r="K619">
        <v>990</v>
      </c>
      <c r="L619">
        <v>1113</v>
      </c>
      <c r="M619">
        <v>1067</v>
      </c>
      <c r="N619">
        <v>1010</v>
      </c>
      <c r="O619">
        <v>1206</v>
      </c>
      <c r="P619">
        <v>854</v>
      </c>
      <c r="Q619">
        <v>999</v>
      </c>
      <c r="R619">
        <v>992</v>
      </c>
      <c r="S619">
        <v>1045</v>
      </c>
      <c r="T619">
        <v>724</v>
      </c>
      <c r="U619">
        <v>980</v>
      </c>
      <c r="V619">
        <v>1135</v>
      </c>
      <c r="W619">
        <v>1032</v>
      </c>
      <c r="X619">
        <v>1010</v>
      </c>
      <c r="Y619">
        <v>982</v>
      </c>
      <c r="Z619">
        <v>892</v>
      </c>
      <c r="AA619">
        <v>958</v>
      </c>
      <c r="AB619">
        <v>1028</v>
      </c>
      <c r="AC619">
        <v>974</v>
      </c>
      <c r="AD619">
        <v>1009</v>
      </c>
      <c r="AE619">
        <v>974</v>
      </c>
      <c r="AF619">
        <v>0</v>
      </c>
      <c r="AG619">
        <v>0</v>
      </c>
      <c r="AH619">
        <v>0</v>
      </c>
      <c r="AI619">
        <v>0</v>
      </c>
      <c r="AJ619">
        <v>0</v>
      </c>
      <c r="AK619">
        <v>2</v>
      </c>
      <c r="AL619">
        <v>1</v>
      </c>
      <c r="AM619">
        <v>3</v>
      </c>
      <c r="AN619">
        <v>0</v>
      </c>
      <c r="AO619">
        <v>0</v>
      </c>
      <c r="AP619">
        <v>1104</v>
      </c>
      <c r="AQ619">
        <v>3</v>
      </c>
      <c r="AR619">
        <v>4</v>
      </c>
      <c r="AS619">
        <v>1</v>
      </c>
      <c r="AT619">
        <v>1</v>
      </c>
      <c r="AU619">
        <v>7</v>
      </c>
      <c r="AV619">
        <v>0</v>
      </c>
      <c r="AW619">
        <v>15</v>
      </c>
      <c r="AX619">
        <v>0</v>
      </c>
      <c r="AY619">
        <v>0</v>
      </c>
      <c r="AZ619">
        <v>0</v>
      </c>
      <c r="BA619">
        <v>1021</v>
      </c>
      <c r="BB619">
        <v>0</v>
      </c>
      <c r="BC619">
        <v>0</v>
      </c>
      <c r="BD619">
        <v>0</v>
      </c>
      <c r="BE619">
        <v>1</v>
      </c>
      <c r="BF619">
        <v>4</v>
      </c>
      <c r="BG619">
        <v>6</v>
      </c>
      <c r="BH619">
        <v>0</v>
      </c>
      <c r="BI619">
        <v>0</v>
      </c>
      <c r="BJ619">
        <v>0</v>
      </c>
      <c r="BK619">
        <v>3</v>
      </c>
      <c r="BL619">
        <v>984</v>
      </c>
      <c r="BM619">
        <v>0</v>
      </c>
      <c r="BN619">
        <v>7</v>
      </c>
      <c r="BO619">
        <v>0</v>
      </c>
      <c r="BP619">
        <v>4</v>
      </c>
      <c r="BQ619">
        <v>12</v>
      </c>
      <c r="BR619">
        <v>0</v>
      </c>
      <c r="BS619">
        <v>0</v>
      </c>
      <c r="BT619">
        <v>0</v>
      </c>
      <c r="BU619">
        <v>0</v>
      </c>
      <c r="BV619">
        <v>0</v>
      </c>
      <c r="BW619">
        <v>977</v>
      </c>
      <c r="BX619">
        <v>0</v>
      </c>
      <c r="BY619">
        <v>4</v>
      </c>
      <c r="BZ619">
        <v>0</v>
      </c>
      <c r="CA619">
        <v>1</v>
      </c>
      <c r="CB619">
        <v>0</v>
      </c>
      <c r="CC619">
        <v>3</v>
      </c>
      <c r="CD619">
        <v>0</v>
      </c>
      <c r="CE619">
        <v>1</v>
      </c>
      <c r="CF619">
        <v>13</v>
      </c>
      <c r="CG619">
        <v>0</v>
      </c>
      <c r="CH619">
        <v>836</v>
      </c>
      <c r="CI619">
        <v>27</v>
      </c>
      <c r="CJ619">
        <v>2</v>
      </c>
      <c r="CK619">
        <v>10</v>
      </c>
      <c r="CL619">
        <v>0</v>
      </c>
      <c r="CM619">
        <v>2</v>
      </c>
      <c r="CN619">
        <v>1</v>
      </c>
      <c r="CO619">
        <v>0</v>
      </c>
      <c r="CP619">
        <v>0</v>
      </c>
      <c r="CQ619">
        <v>2</v>
      </c>
      <c r="CR619">
        <v>1</v>
      </c>
      <c r="CS619">
        <v>952</v>
      </c>
      <c r="CT619">
        <v>0</v>
      </c>
      <c r="CU619">
        <v>0</v>
      </c>
      <c r="CV619">
        <v>0</v>
      </c>
      <c r="CW619">
        <v>4</v>
      </c>
      <c r="CX619">
        <v>5</v>
      </c>
      <c r="CY619">
        <v>34</v>
      </c>
      <c r="CZ619">
        <v>1</v>
      </c>
      <c r="DA619">
        <v>6</v>
      </c>
      <c r="DB619">
        <v>0</v>
      </c>
      <c r="DC619">
        <v>0</v>
      </c>
      <c r="DD619">
        <v>971</v>
      </c>
      <c r="DE619">
        <v>7</v>
      </c>
      <c r="DF619">
        <v>0</v>
      </c>
      <c r="DG619">
        <v>0</v>
      </c>
      <c r="DH619">
        <v>0</v>
      </c>
      <c r="DI619">
        <v>2</v>
      </c>
      <c r="DJ619">
        <v>0</v>
      </c>
      <c r="DK619">
        <v>1</v>
      </c>
      <c r="DL619">
        <v>0</v>
      </c>
      <c r="DM619">
        <v>2</v>
      </c>
      <c r="DN619">
        <v>1</v>
      </c>
      <c r="DO619">
        <v>968</v>
      </c>
      <c r="DP619">
        <v>0</v>
      </c>
      <c r="DQ619">
        <v>7</v>
      </c>
      <c r="DR619">
        <v>3</v>
      </c>
      <c r="DS619">
        <v>3</v>
      </c>
      <c r="DT619">
        <v>8</v>
      </c>
      <c r="DU619">
        <v>219</v>
      </c>
      <c r="DV619">
        <v>9</v>
      </c>
      <c r="DW619">
        <v>4</v>
      </c>
      <c r="DX619">
        <v>9</v>
      </c>
      <c r="DY619">
        <v>23</v>
      </c>
      <c r="DZ619">
        <v>724</v>
      </c>
      <c r="EA619">
        <v>0.95109999999999995</v>
      </c>
      <c r="EB619">
        <v>0.95540362190151196</v>
      </c>
      <c r="EC619">
        <v>0.95119628057580297</v>
      </c>
      <c r="ED619">
        <v>0.94975506648333796</v>
      </c>
      <c r="EE619">
        <f>SUM(Table1[[#This Row],[ratio_0]:[ratio_9]])</f>
        <v>640</v>
      </c>
      <c r="EF619" s="1">
        <f>(Table1[[#This Row],[predicted_0]]-Table1[[#This Row],[actual_0]])/Table1[[#This Row],[actual_0]]</f>
        <v>1.020408163265306E-2</v>
      </c>
      <c r="EG619" s="1">
        <f>(Table1[[#This Row],[predicted_1]]-Table1[[#This Row],[actual_1]])/Table1[[#This Row],[actual_1]]</f>
        <v>-1.9383259911894272E-2</v>
      </c>
      <c r="EH619" s="1">
        <f>(Table1[[#This Row],[predicted_2]]-Table1[[#This Row],[actual_2]])/Table1[[#This Row],[actual_2]]</f>
        <v>3.391472868217054E-2</v>
      </c>
      <c r="EI619" s="1">
        <f>(Table1[[#This Row],[predicted_3]]-Table1[[#This Row],[actual_3]])/Table1[[#This Row],[actual_3]]</f>
        <v>0</v>
      </c>
      <c r="EJ619" s="1">
        <f>(Table1[[#This Row],[predicted_4]]-Table1[[#This Row],[actual_4]])/Table1[[#This Row],[actual_4]]</f>
        <v>0.22810590631364563</v>
      </c>
      <c r="EK619" s="1">
        <f>(Table1[[#This Row],[predicted_5]]-Table1[[#This Row],[actual_5]])/Table1[[#This Row],[actual_5]]</f>
        <v>-4.2600896860986545E-2</v>
      </c>
      <c r="EL619" s="1">
        <f>(Table1[[#This Row],[predicted_6]]-Table1[[#This Row],[actual_6]])/Table1[[#This Row],[actual_6]]</f>
        <v>4.2797494780793317E-2</v>
      </c>
      <c r="EM619" s="1">
        <f>(Table1[[#This Row],[predicted_7]]-Table1[[#This Row],[actual_7]])/Table1[[#This Row],[actual_7]]</f>
        <v>-3.5019455252918288E-2</v>
      </c>
      <c r="EN619" s="1">
        <f>(Table1[[#This Row],[predicted_8]]-Table1[[#This Row],[actual_8]])/Table1[[#This Row],[actual_8]]</f>
        <v>7.2895277207392195E-2</v>
      </c>
      <c r="EO619" s="1">
        <f>(Table1[[#This Row],[predicted_9]]-Table1[[#This Row],[actual_9]])/Table1[[#This Row],[actual_9]]</f>
        <v>-0.28245787908820613</v>
      </c>
      <c r="EP619" s="1">
        <f>1+(Table1[[#This Row],[error_ratio_0]]-EF$2)</f>
        <v>1.0081632653061225</v>
      </c>
      <c r="EQ619" s="1">
        <f>1+(Table1[[#This Row],[error_ratio_1]]-EG$2)</f>
        <v>0.97885462555066083</v>
      </c>
      <c r="ER619" s="1">
        <f>1+(Table1[[#This Row],[error_ratio_2]]-EH$2)</f>
        <v>1.0387596899224807</v>
      </c>
      <c r="ES619" s="1">
        <f>1+(Table1[[#This Row],[error_ratio_3]]-EI$2)</f>
        <v>0.99009900990099009</v>
      </c>
      <c r="ET619" s="1">
        <f>1+(Table1[[#This Row],[error_ratio_4]]-EJ$2)</f>
        <v>1.2270875763747455</v>
      </c>
      <c r="EU619" s="1">
        <f>1+(Table1[[#This Row],[error_ratio_5]]-EK$2)</f>
        <v>0.95627802690582964</v>
      </c>
      <c r="EV619" s="1">
        <f>1+(Table1[[#This Row],[error_ratio_6]]-EL$2)</f>
        <v>1.0490605427974948</v>
      </c>
      <c r="EW619" s="1">
        <f>1+(Table1[[#This Row],[error_ratio_7]]-EM$2)</f>
        <v>0.96303501945525294</v>
      </c>
      <c r="EX619" s="1">
        <f>1+(Table1[[#This Row],[error_ratio_8]]-EN$2)</f>
        <v>1.0759753593429158</v>
      </c>
      <c r="EY619" s="1">
        <f>1+(Table1[[#This Row],[error_ratio_9]]-EO$2)</f>
        <v>0.72150644202180381</v>
      </c>
    </row>
    <row r="620" spans="1:155" x14ac:dyDescent="0.75">
      <c r="A620">
        <v>10</v>
      </c>
      <c r="B620">
        <v>10</v>
      </c>
      <c r="C620">
        <v>100</v>
      </c>
      <c r="D620">
        <v>100</v>
      </c>
      <c r="E620">
        <v>100</v>
      </c>
      <c r="F620">
        <v>10</v>
      </c>
      <c r="G620">
        <v>100</v>
      </c>
      <c r="H620">
        <v>10</v>
      </c>
      <c r="I620">
        <v>100</v>
      </c>
      <c r="J620">
        <v>10</v>
      </c>
      <c r="K620">
        <v>929</v>
      </c>
      <c r="L620">
        <v>1130</v>
      </c>
      <c r="M620">
        <v>1192</v>
      </c>
      <c r="N620">
        <v>1051</v>
      </c>
      <c r="O620">
        <v>977</v>
      </c>
      <c r="P620">
        <v>817</v>
      </c>
      <c r="Q620">
        <v>956</v>
      </c>
      <c r="R620">
        <v>919</v>
      </c>
      <c r="S620">
        <v>1052</v>
      </c>
      <c r="T620">
        <v>977</v>
      </c>
      <c r="U620">
        <v>980</v>
      </c>
      <c r="V620">
        <v>1135</v>
      </c>
      <c r="W620">
        <v>1032</v>
      </c>
      <c r="X620">
        <v>1010</v>
      </c>
      <c r="Y620">
        <v>982</v>
      </c>
      <c r="Z620">
        <v>892</v>
      </c>
      <c r="AA620">
        <v>958</v>
      </c>
      <c r="AB620">
        <v>1028</v>
      </c>
      <c r="AC620">
        <v>974</v>
      </c>
      <c r="AD620">
        <v>1009</v>
      </c>
      <c r="AE620">
        <v>923</v>
      </c>
      <c r="AF620">
        <v>0</v>
      </c>
      <c r="AG620">
        <v>45</v>
      </c>
      <c r="AH620">
        <v>0</v>
      </c>
      <c r="AI620">
        <v>0</v>
      </c>
      <c r="AJ620">
        <v>0</v>
      </c>
      <c r="AK620">
        <v>6</v>
      </c>
      <c r="AL620">
        <v>0</v>
      </c>
      <c r="AM620">
        <v>6</v>
      </c>
      <c r="AN620">
        <v>0</v>
      </c>
      <c r="AO620">
        <v>0</v>
      </c>
      <c r="AP620">
        <v>1119</v>
      </c>
      <c r="AQ620">
        <v>6</v>
      </c>
      <c r="AR620">
        <v>1</v>
      </c>
      <c r="AS620">
        <v>2</v>
      </c>
      <c r="AT620">
        <v>1</v>
      </c>
      <c r="AU620">
        <v>1</v>
      </c>
      <c r="AV620">
        <v>0</v>
      </c>
      <c r="AW620">
        <v>4</v>
      </c>
      <c r="AX620">
        <v>1</v>
      </c>
      <c r="AY620">
        <v>0</v>
      </c>
      <c r="AZ620">
        <v>0</v>
      </c>
      <c r="BA620">
        <v>1025</v>
      </c>
      <c r="BB620">
        <v>0</v>
      </c>
      <c r="BC620">
        <v>0</v>
      </c>
      <c r="BD620">
        <v>0</v>
      </c>
      <c r="BE620">
        <v>0</v>
      </c>
      <c r="BF620">
        <v>1</v>
      </c>
      <c r="BG620">
        <v>6</v>
      </c>
      <c r="BH620">
        <v>0</v>
      </c>
      <c r="BI620">
        <v>0</v>
      </c>
      <c r="BJ620">
        <v>0</v>
      </c>
      <c r="BK620">
        <v>8</v>
      </c>
      <c r="BL620">
        <v>997</v>
      </c>
      <c r="BM620">
        <v>0</v>
      </c>
      <c r="BN620">
        <v>1</v>
      </c>
      <c r="BO620">
        <v>0</v>
      </c>
      <c r="BP620">
        <v>1</v>
      </c>
      <c r="BQ620">
        <v>3</v>
      </c>
      <c r="BR620">
        <v>0</v>
      </c>
      <c r="BS620">
        <v>0</v>
      </c>
      <c r="BT620">
        <v>0</v>
      </c>
      <c r="BU620">
        <v>3</v>
      </c>
      <c r="BV620">
        <v>0</v>
      </c>
      <c r="BW620">
        <v>963</v>
      </c>
      <c r="BX620">
        <v>0</v>
      </c>
      <c r="BY620">
        <v>1</v>
      </c>
      <c r="BZ620">
        <v>0</v>
      </c>
      <c r="CA620">
        <v>2</v>
      </c>
      <c r="CB620">
        <v>13</v>
      </c>
      <c r="CC620">
        <v>2</v>
      </c>
      <c r="CD620">
        <v>0</v>
      </c>
      <c r="CE620">
        <v>1</v>
      </c>
      <c r="CF620">
        <v>39</v>
      </c>
      <c r="CG620">
        <v>0</v>
      </c>
      <c r="CH620">
        <v>805</v>
      </c>
      <c r="CI620">
        <v>6</v>
      </c>
      <c r="CJ620">
        <v>1</v>
      </c>
      <c r="CK620">
        <v>38</v>
      </c>
      <c r="CL620">
        <v>0</v>
      </c>
      <c r="CM620">
        <v>1</v>
      </c>
      <c r="CN620">
        <v>2</v>
      </c>
      <c r="CO620">
        <v>3</v>
      </c>
      <c r="CP620">
        <v>0</v>
      </c>
      <c r="CQ620">
        <v>2</v>
      </c>
      <c r="CR620">
        <v>1</v>
      </c>
      <c r="CS620">
        <v>941</v>
      </c>
      <c r="CT620">
        <v>0</v>
      </c>
      <c r="CU620">
        <v>8</v>
      </c>
      <c r="CV620">
        <v>0</v>
      </c>
      <c r="CW620">
        <v>1</v>
      </c>
      <c r="CX620">
        <v>6</v>
      </c>
      <c r="CY620">
        <v>83</v>
      </c>
      <c r="CZ620">
        <v>3</v>
      </c>
      <c r="DA620">
        <v>4</v>
      </c>
      <c r="DB620">
        <v>0</v>
      </c>
      <c r="DC620">
        <v>0</v>
      </c>
      <c r="DD620">
        <v>910</v>
      </c>
      <c r="DE620">
        <v>10</v>
      </c>
      <c r="DF620">
        <v>11</v>
      </c>
      <c r="DG620">
        <v>1</v>
      </c>
      <c r="DH620">
        <v>0</v>
      </c>
      <c r="DI620">
        <v>7</v>
      </c>
      <c r="DJ620">
        <v>0</v>
      </c>
      <c r="DK620">
        <v>1</v>
      </c>
      <c r="DL620">
        <v>2</v>
      </c>
      <c r="DM620">
        <v>0</v>
      </c>
      <c r="DN620">
        <v>2</v>
      </c>
      <c r="DO620">
        <v>959</v>
      </c>
      <c r="DP620">
        <v>2</v>
      </c>
      <c r="DQ620">
        <v>1</v>
      </c>
      <c r="DR620">
        <v>3</v>
      </c>
      <c r="DS620">
        <v>11</v>
      </c>
      <c r="DT620">
        <v>11</v>
      </c>
      <c r="DU620">
        <v>5</v>
      </c>
      <c r="DV620">
        <v>7</v>
      </c>
      <c r="DW620">
        <v>1</v>
      </c>
      <c r="DX620">
        <v>4</v>
      </c>
      <c r="DY620">
        <v>16</v>
      </c>
      <c r="DZ620">
        <v>950</v>
      </c>
      <c r="EA620">
        <v>0.95920000000000005</v>
      </c>
      <c r="EB620">
        <v>0.96217868655382299</v>
      </c>
      <c r="EC620">
        <v>0.95847982424209199</v>
      </c>
      <c r="ED620">
        <v>0.95910004543637295</v>
      </c>
      <c r="EE620">
        <f>SUM(Table1[[#This Row],[ratio_0]:[ratio_9]])</f>
        <v>550</v>
      </c>
      <c r="EF620" s="1">
        <f>(Table1[[#This Row],[predicted_0]]-Table1[[#This Row],[actual_0]])/Table1[[#This Row],[actual_0]]</f>
        <v>-5.2040816326530612E-2</v>
      </c>
      <c r="EG620" s="1">
        <f>(Table1[[#This Row],[predicted_1]]-Table1[[#This Row],[actual_1]])/Table1[[#This Row],[actual_1]]</f>
        <v>-4.4052863436123352E-3</v>
      </c>
      <c r="EH620" s="1">
        <f>(Table1[[#This Row],[predicted_2]]-Table1[[#This Row],[actual_2]])/Table1[[#This Row],[actual_2]]</f>
        <v>0.15503875968992248</v>
      </c>
      <c r="EI620" s="1">
        <f>(Table1[[#This Row],[predicted_3]]-Table1[[#This Row],[actual_3]])/Table1[[#This Row],[actual_3]]</f>
        <v>4.0594059405940595E-2</v>
      </c>
      <c r="EJ620" s="1">
        <f>(Table1[[#This Row],[predicted_4]]-Table1[[#This Row],[actual_4]])/Table1[[#This Row],[actual_4]]</f>
        <v>-5.0916496945010185E-3</v>
      </c>
      <c r="EK620" s="1">
        <f>(Table1[[#This Row],[predicted_5]]-Table1[[#This Row],[actual_5]])/Table1[[#This Row],[actual_5]]</f>
        <v>-8.4080717488789244E-2</v>
      </c>
      <c r="EL620" s="1">
        <f>(Table1[[#This Row],[predicted_6]]-Table1[[#This Row],[actual_6]])/Table1[[#This Row],[actual_6]]</f>
        <v>-2.0876826722338203E-3</v>
      </c>
      <c r="EM620" s="1">
        <f>(Table1[[#This Row],[predicted_7]]-Table1[[#This Row],[actual_7]])/Table1[[#This Row],[actual_7]]</f>
        <v>-0.10603112840466926</v>
      </c>
      <c r="EN620" s="1">
        <f>(Table1[[#This Row],[predicted_8]]-Table1[[#This Row],[actual_8]])/Table1[[#This Row],[actual_8]]</f>
        <v>8.0082135523613956E-2</v>
      </c>
      <c r="EO620" s="1">
        <f>(Table1[[#This Row],[predicted_9]]-Table1[[#This Row],[actual_9]])/Table1[[#This Row],[actual_9]]</f>
        <v>-3.1714568880079286E-2</v>
      </c>
      <c r="EP620" s="1">
        <f>1+(Table1[[#This Row],[error_ratio_0]]-EF$2)</f>
        <v>0.94591836734693879</v>
      </c>
      <c r="EQ620" s="1">
        <f>1+(Table1[[#This Row],[error_ratio_1]]-EG$2)</f>
        <v>0.99383259911894273</v>
      </c>
      <c r="ER620" s="1">
        <f>1+(Table1[[#This Row],[error_ratio_2]]-EH$2)</f>
        <v>1.1598837209302326</v>
      </c>
      <c r="ES620" s="1">
        <f>1+(Table1[[#This Row],[error_ratio_3]]-EI$2)</f>
        <v>1.0306930693069307</v>
      </c>
      <c r="ET620" s="1">
        <f>1+(Table1[[#This Row],[error_ratio_4]]-EJ$2)</f>
        <v>0.99389002036659879</v>
      </c>
      <c r="EU620" s="1">
        <f>1+(Table1[[#This Row],[error_ratio_5]]-EK$2)</f>
        <v>0.91479820627802688</v>
      </c>
      <c r="EV620" s="1">
        <f>1+(Table1[[#This Row],[error_ratio_6]]-EL$2)</f>
        <v>1.0041753653444676</v>
      </c>
      <c r="EW620" s="1">
        <f>1+(Table1[[#This Row],[error_ratio_7]]-EM$2)</f>
        <v>0.89202334630350189</v>
      </c>
      <c r="EX620" s="1">
        <f>1+(Table1[[#This Row],[error_ratio_8]]-EN$2)</f>
        <v>1.0831622176591376</v>
      </c>
      <c r="EY620" s="1">
        <f>1+(Table1[[#This Row],[error_ratio_9]]-EO$2)</f>
        <v>0.9722497522299306</v>
      </c>
    </row>
    <row r="621" spans="1:155" x14ac:dyDescent="0.75">
      <c r="A621">
        <v>100</v>
      </c>
      <c r="B621">
        <v>100</v>
      </c>
      <c r="C621">
        <v>10</v>
      </c>
      <c r="D621">
        <v>100</v>
      </c>
      <c r="E621">
        <v>100</v>
      </c>
      <c r="F621">
        <v>10</v>
      </c>
      <c r="G621">
        <v>100</v>
      </c>
      <c r="H621">
        <v>10</v>
      </c>
      <c r="I621">
        <v>100</v>
      </c>
      <c r="J621">
        <v>10</v>
      </c>
      <c r="K621">
        <v>1002</v>
      </c>
      <c r="L621">
        <v>1157</v>
      </c>
      <c r="M621">
        <v>1004</v>
      </c>
      <c r="N621">
        <v>1055</v>
      </c>
      <c r="O621">
        <v>1175</v>
      </c>
      <c r="P621">
        <v>840</v>
      </c>
      <c r="Q621">
        <v>989</v>
      </c>
      <c r="R621">
        <v>961</v>
      </c>
      <c r="S621">
        <v>1047</v>
      </c>
      <c r="T621">
        <v>770</v>
      </c>
      <c r="U621">
        <v>980</v>
      </c>
      <c r="V621">
        <v>1135</v>
      </c>
      <c r="W621">
        <v>1032</v>
      </c>
      <c r="X621">
        <v>1010</v>
      </c>
      <c r="Y621">
        <v>982</v>
      </c>
      <c r="Z621">
        <v>892</v>
      </c>
      <c r="AA621">
        <v>958</v>
      </c>
      <c r="AB621">
        <v>1028</v>
      </c>
      <c r="AC621">
        <v>974</v>
      </c>
      <c r="AD621">
        <v>1009</v>
      </c>
      <c r="AE621">
        <v>975</v>
      </c>
      <c r="AF621">
        <v>1</v>
      </c>
      <c r="AG621">
        <v>0</v>
      </c>
      <c r="AH621">
        <v>0</v>
      </c>
      <c r="AI621">
        <v>0</v>
      </c>
      <c r="AJ621">
        <v>0</v>
      </c>
      <c r="AK621">
        <v>2</v>
      </c>
      <c r="AL621">
        <v>1</v>
      </c>
      <c r="AM621">
        <v>1</v>
      </c>
      <c r="AN621">
        <v>0</v>
      </c>
      <c r="AO621">
        <v>0</v>
      </c>
      <c r="AP621">
        <v>1129</v>
      </c>
      <c r="AQ621">
        <v>0</v>
      </c>
      <c r="AR621">
        <v>1</v>
      </c>
      <c r="AS621">
        <v>0</v>
      </c>
      <c r="AT621">
        <v>2</v>
      </c>
      <c r="AU621">
        <v>3</v>
      </c>
      <c r="AV621">
        <v>0</v>
      </c>
      <c r="AW621">
        <v>0</v>
      </c>
      <c r="AX621">
        <v>0</v>
      </c>
      <c r="AY621">
        <v>6</v>
      </c>
      <c r="AZ621">
        <v>7</v>
      </c>
      <c r="BA621">
        <v>982</v>
      </c>
      <c r="BB621">
        <v>7</v>
      </c>
      <c r="BC621">
        <v>2</v>
      </c>
      <c r="BD621">
        <v>0</v>
      </c>
      <c r="BE621">
        <v>7</v>
      </c>
      <c r="BF621">
        <v>1</v>
      </c>
      <c r="BG621">
        <v>20</v>
      </c>
      <c r="BH621">
        <v>0</v>
      </c>
      <c r="BI621">
        <v>0</v>
      </c>
      <c r="BJ621">
        <v>0</v>
      </c>
      <c r="BK621">
        <v>0</v>
      </c>
      <c r="BL621">
        <v>1004</v>
      </c>
      <c r="BM621">
        <v>0</v>
      </c>
      <c r="BN621">
        <v>1</v>
      </c>
      <c r="BO621">
        <v>0</v>
      </c>
      <c r="BP621">
        <v>2</v>
      </c>
      <c r="BQ621">
        <v>3</v>
      </c>
      <c r="BR621">
        <v>0</v>
      </c>
      <c r="BS621">
        <v>0</v>
      </c>
      <c r="BT621">
        <v>0</v>
      </c>
      <c r="BU621">
        <v>0</v>
      </c>
      <c r="BV621">
        <v>0</v>
      </c>
      <c r="BW621">
        <v>972</v>
      </c>
      <c r="BX621">
        <v>0</v>
      </c>
      <c r="BY621">
        <v>10</v>
      </c>
      <c r="BZ621">
        <v>0</v>
      </c>
      <c r="CA621">
        <v>0</v>
      </c>
      <c r="CB621">
        <v>0</v>
      </c>
      <c r="CC621">
        <v>3</v>
      </c>
      <c r="CD621">
        <v>0</v>
      </c>
      <c r="CE621">
        <v>0</v>
      </c>
      <c r="CF621">
        <v>24</v>
      </c>
      <c r="CG621">
        <v>1</v>
      </c>
      <c r="CH621">
        <v>834</v>
      </c>
      <c r="CI621">
        <v>16</v>
      </c>
      <c r="CJ621">
        <v>1</v>
      </c>
      <c r="CK621">
        <v>7</v>
      </c>
      <c r="CL621">
        <v>6</v>
      </c>
      <c r="CM621">
        <v>7</v>
      </c>
      <c r="CN621">
        <v>2</v>
      </c>
      <c r="CO621">
        <v>0</v>
      </c>
      <c r="CP621">
        <v>0</v>
      </c>
      <c r="CQ621">
        <v>0</v>
      </c>
      <c r="CR621">
        <v>0</v>
      </c>
      <c r="CS621">
        <v>949</v>
      </c>
      <c r="CT621">
        <v>0</v>
      </c>
      <c r="CU621">
        <v>0</v>
      </c>
      <c r="CV621">
        <v>0</v>
      </c>
      <c r="CW621">
        <v>3</v>
      </c>
      <c r="CX621">
        <v>14</v>
      </c>
      <c r="CY621">
        <v>21</v>
      </c>
      <c r="CZ621">
        <v>9</v>
      </c>
      <c r="DA621">
        <v>13</v>
      </c>
      <c r="DB621">
        <v>0</v>
      </c>
      <c r="DC621">
        <v>1</v>
      </c>
      <c r="DD621">
        <v>952</v>
      </c>
      <c r="DE621">
        <v>11</v>
      </c>
      <c r="DF621">
        <v>4</v>
      </c>
      <c r="DG621">
        <v>0</v>
      </c>
      <c r="DH621">
        <v>0</v>
      </c>
      <c r="DI621">
        <v>1</v>
      </c>
      <c r="DJ621">
        <v>0</v>
      </c>
      <c r="DK621">
        <v>1</v>
      </c>
      <c r="DL621">
        <v>0</v>
      </c>
      <c r="DM621">
        <v>1</v>
      </c>
      <c r="DN621">
        <v>0</v>
      </c>
      <c r="DO621">
        <v>971</v>
      </c>
      <c r="DP621">
        <v>0</v>
      </c>
      <c r="DQ621">
        <v>8</v>
      </c>
      <c r="DR621">
        <v>4</v>
      </c>
      <c r="DS621">
        <v>0</v>
      </c>
      <c r="DT621">
        <v>10</v>
      </c>
      <c r="DU621">
        <v>186</v>
      </c>
      <c r="DV621">
        <v>3</v>
      </c>
      <c r="DW621">
        <v>0</v>
      </c>
      <c r="DX621">
        <v>4</v>
      </c>
      <c r="DY621">
        <v>34</v>
      </c>
      <c r="DZ621">
        <v>760</v>
      </c>
      <c r="EA621">
        <v>0.95279999999999998</v>
      </c>
      <c r="EB621">
        <v>0.95633054772021697</v>
      </c>
      <c r="EC621">
        <v>0.952683208384698</v>
      </c>
      <c r="ED621">
        <v>0.95177754258505098</v>
      </c>
      <c r="EE621">
        <f>SUM(Table1[[#This Row],[ratio_0]:[ratio_9]])</f>
        <v>640</v>
      </c>
      <c r="EF621" s="1">
        <f>(Table1[[#This Row],[predicted_0]]-Table1[[#This Row],[actual_0]])/Table1[[#This Row],[actual_0]]</f>
        <v>2.2448979591836733E-2</v>
      </c>
      <c r="EG621" s="1">
        <f>(Table1[[#This Row],[predicted_1]]-Table1[[#This Row],[actual_1]])/Table1[[#This Row],[actual_1]]</f>
        <v>1.9383259911894272E-2</v>
      </c>
      <c r="EH621" s="1">
        <f>(Table1[[#This Row],[predicted_2]]-Table1[[#This Row],[actual_2]])/Table1[[#This Row],[actual_2]]</f>
        <v>-2.7131782945736434E-2</v>
      </c>
      <c r="EI621" s="1">
        <f>(Table1[[#This Row],[predicted_3]]-Table1[[#This Row],[actual_3]])/Table1[[#This Row],[actual_3]]</f>
        <v>4.4554455445544552E-2</v>
      </c>
      <c r="EJ621" s="1">
        <f>(Table1[[#This Row],[predicted_4]]-Table1[[#This Row],[actual_4]])/Table1[[#This Row],[actual_4]]</f>
        <v>0.19653767820773932</v>
      </c>
      <c r="EK621" s="1">
        <f>(Table1[[#This Row],[predicted_5]]-Table1[[#This Row],[actual_5]])/Table1[[#This Row],[actual_5]]</f>
        <v>-5.829596412556054E-2</v>
      </c>
      <c r="EL621" s="1">
        <f>(Table1[[#This Row],[predicted_6]]-Table1[[#This Row],[actual_6]])/Table1[[#This Row],[actual_6]]</f>
        <v>3.2359081419624215E-2</v>
      </c>
      <c r="EM621" s="1">
        <f>(Table1[[#This Row],[predicted_7]]-Table1[[#This Row],[actual_7]])/Table1[[#This Row],[actual_7]]</f>
        <v>-6.5175097276264596E-2</v>
      </c>
      <c r="EN621" s="1">
        <f>(Table1[[#This Row],[predicted_8]]-Table1[[#This Row],[actual_8]])/Table1[[#This Row],[actual_8]]</f>
        <v>7.4948665297741274E-2</v>
      </c>
      <c r="EO621" s="1">
        <f>(Table1[[#This Row],[predicted_9]]-Table1[[#This Row],[actual_9]])/Table1[[#This Row],[actual_9]]</f>
        <v>-0.23686818632309217</v>
      </c>
      <c r="EP621" s="1">
        <f>1+(Table1[[#This Row],[error_ratio_0]]-EF$2)</f>
        <v>1.0204081632653061</v>
      </c>
      <c r="EQ621" s="1">
        <f>1+(Table1[[#This Row],[error_ratio_1]]-EG$2)</f>
        <v>1.0176211453744493</v>
      </c>
      <c r="ER621" s="1">
        <f>1+(Table1[[#This Row],[error_ratio_2]]-EH$2)</f>
        <v>0.9777131782945736</v>
      </c>
      <c r="ES621" s="1">
        <f>1+(Table1[[#This Row],[error_ratio_3]]-EI$2)</f>
        <v>1.0346534653465347</v>
      </c>
      <c r="ET621" s="1">
        <f>1+(Table1[[#This Row],[error_ratio_4]]-EJ$2)</f>
        <v>1.1955193482688391</v>
      </c>
      <c r="EU621" s="1">
        <f>1+(Table1[[#This Row],[error_ratio_5]]-EK$2)</f>
        <v>0.9405829596412556</v>
      </c>
      <c r="EV621" s="1">
        <f>1+(Table1[[#This Row],[error_ratio_6]]-EL$2)</f>
        <v>1.0386221294363256</v>
      </c>
      <c r="EW621" s="1">
        <f>1+(Table1[[#This Row],[error_ratio_7]]-EM$2)</f>
        <v>0.93287937743190663</v>
      </c>
      <c r="EX621" s="1">
        <f>1+(Table1[[#This Row],[error_ratio_8]]-EN$2)</f>
        <v>1.0780287474332648</v>
      </c>
      <c r="EY621" s="1">
        <f>1+(Table1[[#This Row],[error_ratio_9]]-EO$2)</f>
        <v>0.76709613478691774</v>
      </c>
    </row>
    <row r="622" spans="1:155" x14ac:dyDescent="0.75">
      <c r="A622">
        <v>10</v>
      </c>
      <c r="B622">
        <v>100</v>
      </c>
      <c r="C622">
        <v>10</v>
      </c>
      <c r="D622">
        <v>100</v>
      </c>
      <c r="E622">
        <v>100</v>
      </c>
      <c r="F622">
        <v>10</v>
      </c>
      <c r="G622">
        <v>100</v>
      </c>
      <c r="H622">
        <v>10</v>
      </c>
      <c r="I622">
        <v>100</v>
      </c>
      <c r="J622">
        <v>10</v>
      </c>
      <c r="K622">
        <v>947</v>
      </c>
      <c r="L622">
        <v>1222</v>
      </c>
      <c r="M622">
        <v>955</v>
      </c>
      <c r="N622">
        <v>1105</v>
      </c>
      <c r="O622">
        <v>1084</v>
      </c>
      <c r="P622">
        <v>776</v>
      </c>
      <c r="Q622">
        <v>990</v>
      </c>
      <c r="R622">
        <v>978</v>
      </c>
      <c r="S622">
        <v>1053</v>
      </c>
      <c r="T622">
        <v>890</v>
      </c>
      <c r="U622">
        <v>980</v>
      </c>
      <c r="V622">
        <v>1135</v>
      </c>
      <c r="W622">
        <v>1032</v>
      </c>
      <c r="X622">
        <v>1010</v>
      </c>
      <c r="Y622">
        <v>982</v>
      </c>
      <c r="Z622">
        <v>892</v>
      </c>
      <c r="AA622">
        <v>958</v>
      </c>
      <c r="AB622">
        <v>1028</v>
      </c>
      <c r="AC622">
        <v>974</v>
      </c>
      <c r="AD622">
        <v>1009</v>
      </c>
      <c r="AE622">
        <v>937</v>
      </c>
      <c r="AF622">
        <v>2</v>
      </c>
      <c r="AG622">
        <v>0</v>
      </c>
      <c r="AH622">
        <v>1</v>
      </c>
      <c r="AI622">
        <v>7</v>
      </c>
      <c r="AJ622">
        <v>0</v>
      </c>
      <c r="AK622">
        <v>22</v>
      </c>
      <c r="AL622">
        <v>2</v>
      </c>
      <c r="AM622">
        <v>7</v>
      </c>
      <c r="AN622">
        <v>2</v>
      </c>
      <c r="AO622">
        <v>0</v>
      </c>
      <c r="AP622">
        <v>1132</v>
      </c>
      <c r="AQ622">
        <v>0</v>
      </c>
      <c r="AR622">
        <v>2</v>
      </c>
      <c r="AS622">
        <v>0</v>
      </c>
      <c r="AT622">
        <v>0</v>
      </c>
      <c r="AU622">
        <v>0</v>
      </c>
      <c r="AV622">
        <v>0</v>
      </c>
      <c r="AW622">
        <v>1</v>
      </c>
      <c r="AX622">
        <v>0</v>
      </c>
      <c r="AY622">
        <v>2</v>
      </c>
      <c r="AZ622">
        <v>23</v>
      </c>
      <c r="BA622">
        <v>943</v>
      </c>
      <c r="BB622">
        <v>7</v>
      </c>
      <c r="BC622">
        <v>20</v>
      </c>
      <c r="BD622">
        <v>0</v>
      </c>
      <c r="BE622">
        <v>7</v>
      </c>
      <c r="BF622">
        <v>9</v>
      </c>
      <c r="BG622">
        <v>21</v>
      </c>
      <c r="BH622">
        <v>0</v>
      </c>
      <c r="BI622">
        <v>0</v>
      </c>
      <c r="BJ622">
        <v>0</v>
      </c>
      <c r="BK622">
        <v>1</v>
      </c>
      <c r="BL622">
        <v>1005</v>
      </c>
      <c r="BM622">
        <v>0</v>
      </c>
      <c r="BN622">
        <v>0</v>
      </c>
      <c r="BO622">
        <v>0</v>
      </c>
      <c r="BP622">
        <v>2</v>
      </c>
      <c r="BQ622">
        <v>2</v>
      </c>
      <c r="BR622">
        <v>0</v>
      </c>
      <c r="BS622">
        <v>0</v>
      </c>
      <c r="BT622">
        <v>0</v>
      </c>
      <c r="BU622">
        <v>0</v>
      </c>
      <c r="BV622">
        <v>0</v>
      </c>
      <c r="BW622">
        <v>979</v>
      </c>
      <c r="BX622">
        <v>0</v>
      </c>
      <c r="BY622">
        <v>3</v>
      </c>
      <c r="BZ622">
        <v>0</v>
      </c>
      <c r="CA622">
        <v>0</v>
      </c>
      <c r="CB622">
        <v>0</v>
      </c>
      <c r="CC622">
        <v>5</v>
      </c>
      <c r="CD622">
        <v>5</v>
      </c>
      <c r="CE622">
        <v>1</v>
      </c>
      <c r="CF622">
        <v>60</v>
      </c>
      <c r="CG622">
        <v>1</v>
      </c>
      <c r="CH622">
        <v>772</v>
      </c>
      <c r="CI622">
        <v>12</v>
      </c>
      <c r="CJ622">
        <v>3</v>
      </c>
      <c r="CK622">
        <v>30</v>
      </c>
      <c r="CL622">
        <v>3</v>
      </c>
      <c r="CM622">
        <v>0</v>
      </c>
      <c r="CN622">
        <v>3</v>
      </c>
      <c r="CO622">
        <v>0</v>
      </c>
      <c r="CP622">
        <v>0</v>
      </c>
      <c r="CQ622">
        <v>7</v>
      </c>
      <c r="CR622">
        <v>1</v>
      </c>
      <c r="CS622">
        <v>944</v>
      </c>
      <c r="CT622">
        <v>0</v>
      </c>
      <c r="CU622">
        <v>3</v>
      </c>
      <c r="CV622">
        <v>0</v>
      </c>
      <c r="CW622">
        <v>1</v>
      </c>
      <c r="CX622">
        <v>43</v>
      </c>
      <c r="CY622">
        <v>10</v>
      </c>
      <c r="CZ622">
        <v>14</v>
      </c>
      <c r="DA622">
        <v>6</v>
      </c>
      <c r="DB622">
        <v>0</v>
      </c>
      <c r="DC622">
        <v>0</v>
      </c>
      <c r="DD622">
        <v>944</v>
      </c>
      <c r="DE622">
        <v>7</v>
      </c>
      <c r="DF622">
        <v>3</v>
      </c>
      <c r="DG622">
        <v>0</v>
      </c>
      <c r="DH622">
        <v>1</v>
      </c>
      <c r="DI622">
        <v>0</v>
      </c>
      <c r="DJ622">
        <v>2</v>
      </c>
      <c r="DK622">
        <v>7</v>
      </c>
      <c r="DL622">
        <v>0</v>
      </c>
      <c r="DM622">
        <v>0</v>
      </c>
      <c r="DN622">
        <v>3</v>
      </c>
      <c r="DO622">
        <v>961</v>
      </c>
      <c r="DP622">
        <v>0</v>
      </c>
      <c r="DQ622">
        <v>2</v>
      </c>
      <c r="DR622">
        <v>13</v>
      </c>
      <c r="DS622">
        <v>0</v>
      </c>
      <c r="DT622">
        <v>14</v>
      </c>
      <c r="DU622">
        <v>57</v>
      </c>
      <c r="DV622">
        <v>3</v>
      </c>
      <c r="DW622">
        <v>2</v>
      </c>
      <c r="DX622">
        <v>15</v>
      </c>
      <c r="DY622">
        <v>21</v>
      </c>
      <c r="DZ622">
        <v>882</v>
      </c>
      <c r="EA622">
        <v>0.94989999999999997</v>
      </c>
      <c r="EB622">
        <v>0.95331216356274695</v>
      </c>
      <c r="EC622">
        <v>0.94891642754550998</v>
      </c>
      <c r="ED622">
        <v>0.949343283969042</v>
      </c>
      <c r="EE622">
        <f>SUM(Table1[[#This Row],[ratio_0]:[ratio_9]])</f>
        <v>550</v>
      </c>
      <c r="EF622" s="1">
        <f>(Table1[[#This Row],[predicted_0]]-Table1[[#This Row],[actual_0]])/Table1[[#This Row],[actual_0]]</f>
        <v>-3.3673469387755103E-2</v>
      </c>
      <c r="EG622" s="1">
        <f>(Table1[[#This Row],[predicted_1]]-Table1[[#This Row],[actual_1]])/Table1[[#This Row],[actual_1]]</f>
        <v>7.6651982378854622E-2</v>
      </c>
      <c r="EH622" s="1">
        <f>(Table1[[#This Row],[predicted_2]]-Table1[[#This Row],[actual_2]])/Table1[[#This Row],[actual_2]]</f>
        <v>-7.4612403100775188E-2</v>
      </c>
      <c r="EI622" s="1">
        <f>(Table1[[#This Row],[predicted_3]]-Table1[[#This Row],[actual_3]])/Table1[[#This Row],[actual_3]]</f>
        <v>9.405940594059406E-2</v>
      </c>
      <c r="EJ622" s="1">
        <f>(Table1[[#This Row],[predicted_4]]-Table1[[#This Row],[actual_4]])/Table1[[#This Row],[actual_4]]</f>
        <v>0.10386965376782077</v>
      </c>
      <c r="EK622" s="1">
        <f>(Table1[[#This Row],[predicted_5]]-Table1[[#This Row],[actual_5]])/Table1[[#This Row],[actual_5]]</f>
        <v>-0.13004484304932734</v>
      </c>
      <c r="EL622" s="1">
        <f>(Table1[[#This Row],[predicted_6]]-Table1[[#This Row],[actual_6]])/Table1[[#This Row],[actual_6]]</f>
        <v>3.3402922755741124E-2</v>
      </c>
      <c r="EM622" s="1">
        <f>(Table1[[#This Row],[predicted_7]]-Table1[[#This Row],[actual_7]])/Table1[[#This Row],[actual_7]]</f>
        <v>-4.8638132295719845E-2</v>
      </c>
      <c r="EN622" s="1">
        <f>(Table1[[#This Row],[predicted_8]]-Table1[[#This Row],[actual_8]])/Table1[[#This Row],[actual_8]]</f>
        <v>8.1108829568788496E-2</v>
      </c>
      <c r="EO622" s="1">
        <f>(Table1[[#This Row],[predicted_9]]-Table1[[#This Row],[actual_9]])/Table1[[#This Row],[actual_9]]</f>
        <v>-0.11793855302279485</v>
      </c>
      <c r="EP622" s="1">
        <f>1+(Table1[[#This Row],[error_ratio_0]]-EF$2)</f>
        <v>0.9642857142857143</v>
      </c>
      <c r="EQ622" s="1">
        <f>1+(Table1[[#This Row],[error_ratio_1]]-EG$2)</f>
        <v>1.0748898678414096</v>
      </c>
      <c r="ER622" s="1">
        <f>1+(Table1[[#This Row],[error_ratio_2]]-EH$2)</f>
        <v>0.93023255813953487</v>
      </c>
      <c r="ES622" s="1">
        <f>1+(Table1[[#This Row],[error_ratio_3]]-EI$2)</f>
        <v>1.0841584158415842</v>
      </c>
      <c r="ET622" s="1">
        <f>1+(Table1[[#This Row],[error_ratio_4]]-EJ$2)</f>
        <v>1.1028513238289206</v>
      </c>
      <c r="EU622" s="1">
        <f>1+(Table1[[#This Row],[error_ratio_5]]-EK$2)</f>
        <v>0.8688340807174888</v>
      </c>
      <c r="EV622" s="1">
        <f>1+(Table1[[#This Row],[error_ratio_6]]-EL$2)</f>
        <v>1.0396659707724425</v>
      </c>
      <c r="EW622" s="1">
        <f>1+(Table1[[#This Row],[error_ratio_7]]-EM$2)</f>
        <v>0.94941634241245132</v>
      </c>
      <c r="EX622" s="1">
        <f>1+(Table1[[#This Row],[error_ratio_8]]-EN$2)</f>
        <v>1.0841889117043122</v>
      </c>
      <c r="EY622" s="1">
        <f>1+(Table1[[#This Row],[error_ratio_9]]-EO$2)</f>
        <v>0.886025768087215</v>
      </c>
    </row>
    <row r="623" spans="1:155" x14ac:dyDescent="0.75">
      <c r="A623">
        <v>100</v>
      </c>
      <c r="B623">
        <v>10</v>
      </c>
      <c r="C623">
        <v>10</v>
      </c>
      <c r="D623">
        <v>100</v>
      </c>
      <c r="E623">
        <v>100</v>
      </c>
      <c r="F623">
        <v>10</v>
      </c>
      <c r="G623">
        <v>100</v>
      </c>
      <c r="H623">
        <v>10</v>
      </c>
      <c r="I623">
        <v>100</v>
      </c>
      <c r="J623">
        <v>10</v>
      </c>
      <c r="K623">
        <v>1011</v>
      </c>
      <c r="L623">
        <v>1130</v>
      </c>
      <c r="M623">
        <v>979</v>
      </c>
      <c r="N623">
        <v>1201</v>
      </c>
      <c r="O623">
        <v>1007</v>
      </c>
      <c r="P623">
        <v>831</v>
      </c>
      <c r="Q623">
        <v>947</v>
      </c>
      <c r="R623">
        <v>1007</v>
      </c>
      <c r="S623">
        <v>955</v>
      </c>
      <c r="T623">
        <v>932</v>
      </c>
      <c r="U623">
        <v>980</v>
      </c>
      <c r="V623">
        <v>1135</v>
      </c>
      <c r="W623">
        <v>1032</v>
      </c>
      <c r="X623">
        <v>1010</v>
      </c>
      <c r="Y623">
        <v>982</v>
      </c>
      <c r="Z623">
        <v>892</v>
      </c>
      <c r="AA623">
        <v>958</v>
      </c>
      <c r="AB623">
        <v>1028</v>
      </c>
      <c r="AC623">
        <v>974</v>
      </c>
      <c r="AD623">
        <v>1009</v>
      </c>
      <c r="AE623">
        <v>977</v>
      </c>
      <c r="AF623">
        <v>0</v>
      </c>
      <c r="AG623">
        <v>0</v>
      </c>
      <c r="AH623">
        <v>0</v>
      </c>
      <c r="AI623">
        <v>0</v>
      </c>
      <c r="AJ623">
        <v>1</v>
      </c>
      <c r="AK623">
        <v>1</v>
      </c>
      <c r="AL623">
        <v>1</v>
      </c>
      <c r="AM623">
        <v>0</v>
      </c>
      <c r="AN623">
        <v>0</v>
      </c>
      <c r="AO623">
        <v>0</v>
      </c>
      <c r="AP623">
        <v>1122</v>
      </c>
      <c r="AQ623">
        <v>0</v>
      </c>
      <c r="AR623">
        <v>7</v>
      </c>
      <c r="AS623">
        <v>0</v>
      </c>
      <c r="AT623">
        <v>3</v>
      </c>
      <c r="AU623">
        <v>1</v>
      </c>
      <c r="AV623">
        <v>0</v>
      </c>
      <c r="AW623">
        <v>2</v>
      </c>
      <c r="AX623">
        <v>0</v>
      </c>
      <c r="AY623">
        <v>11</v>
      </c>
      <c r="AZ623">
        <v>1</v>
      </c>
      <c r="BA623">
        <v>962</v>
      </c>
      <c r="BB623">
        <v>42</v>
      </c>
      <c r="BC623">
        <v>6</v>
      </c>
      <c r="BD623">
        <v>0</v>
      </c>
      <c r="BE623">
        <v>0</v>
      </c>
      <c r="BF623">
        <v>7</v>
      </c>
      <c r="BG623">
        <v>3</v>
      </c>
      <c r="BH623">
        <v>0</v>
      </c>
      <c r="BI623">
        <v>0</v>
      </c>
      <c r="BJ623">
        <v>0</v>
      </c>
      <c r="BK623">
        <v>0</v>
      </c>
      <c r="BL623">
        <v>1007</v>
      </c>
      <c r="BM623">
        <v>0</v>
      </c>
      <c r="BN623">
        <v>1</v>
      </c>
      <c r="BO623">
        <v>0</v>
      </c>
      <c r="BP623">
        <v>0</v>
      </c>
      <c r="BQ623">
        <v>1</v>
      </c>
      <c r="BR623">
        <v>1</v>
      </c>
      <c r="BS623">
        <v>0</v>
      </c>
      <c r="BT623">
        <v>0</v>
      </c>
      <c r="BU623">
        <v>1</v>
      </c>
      <c r="BV623">
        <v>0</v>
      </c>
      <c r="BW623">
        <v>977</v>
      </c>
      <c r="BX623">
        <v>0</v>
      </c>
      <c r="BY623">
        <v>2</v>
      </c>
      <c r="BZ623">
        <v>0</v>
      </c>
      <c r="CA623">
        <v>0</v>
      </c>
      <c r="CB623">
        <v>2</v>
      </c>
      <c r="CC623">
        <v>2</v>
      </c>
      <c r="CD623">
        <v>0</v>
      </c>
      <c r="CE623">
        <v>0</v>
      </c>
      <c r="CF623">
        <v>74</v>
      </c>
      <c r="CG623">
        <v>0</v>
      </c>
      <c r="CH623">
        <v>811</v>
      </c>
      <c r="CI623">
        <v>3</v>
      </c>
      <c r="CJ623">
        <v>0</v>
      </c>
      <c r="CK623">
        <v>2</v>
      </c>
      <c r="CL623">
        <v>0</v>
      </c>
      <c r="CM623">
        <v>7</v>
      </c>
      <c r="CN623">
        <v>2</v>
      </c>
      <c r="CO623">
        <v>0</v>
      </c>
      <c r="CP623">
        <v>1</v>
      </c>
      <c r="CQ623">
        <v>3</v>
      </c>
      <c r="CR623">
        <v>4</v>
      </c>
      <c r="CS623">
        <v>940</v>
      </c>
      <c r="CT623">
        <v>0</v>
      </c>
      <c r="CU623">
        <v>1</v>
      </c>
      <c r="CV623">
        <v>0</v>
      </c>
      <c r="CW623">
        <v>1</v>
      </c>
      <c r="CX623">
        <v>2</v>
      </c>
      <c r="CY623">
        <v>13</v>
      </c>
      <c r="CZ623">
        <v>22</v>
      </c>
      <c r="DA623">
        <v>2</v>
      </c>
      <c r="DB623">
        <v>0</v>
      </c>
      <c r="DC623">
        <v>0</v>
      </c>
      <c r="DD623">
        <v>983</v>
      </c>
      <c r="DE623">
        <v>1</v>
      </c>
      <c r="DF623">
        <v>4</v>
      </c>
      <c r="DG623">
        <v>6</v>
      </c>
      <c r="DH623">
        <v>0</v>
      </c>
      <c r="DI623">
        <v>2</v>
      </c>
      <c r="DJ623">
        <v>13</v>
      </c>
      <c r="DK623">
        <v>0</v>
      </c>
      <c r="DL623">
        <v>2</v>
      </c>
      <c r="DM623">
        <v>0</v>
      </c>
      <c r="DN623">
        <v>4</v>
      </c>
      <c r="DO623">
        <v>942</v>
      </c>
      <c r="DP623">
        <v>5</v>
      </c>
      <c r="DQ623">
        <v>7</v>
      </c>
      <c r="DR623">
        <v>3</v>
      </c>
      <c r="DS623">
        <v>1</v>
      </c>
      <c r="DT623">
        <v>35</v>
      </c>
      <c r="DU623">
        <v>19</v>
      </c>
      <c r="DV623">
        <v>9</v>
      </c>
      <c r="DW623">
        <v>0</v>
      </c>
      <c r="DX623">
        <v>12</v>
      </c>
      <c r="DY623">
        <v>3</v>
      </c>
      <c r="DZ623">
        <v>920</v>
      </c>
      <c r="EA623">
        <v>0.96409999999999996</v>
      </c>
      <c r="EB623">
        <v>0.96688216886259803</v>
      </c>
      <c r="EC623">
        <v>0.96351626347808095</v>
      </c>
      <c r="ED623">
        <v>0.96411741901421799</v>
      </c>
      <c r="EE623">
        <f>SUM(Table1[[#This Row],[ratio_0]:[ratio_9]])</f>
        <v>550</v>
      </c>
      <c r="EF623" s="1">
        <f>(Table1[[#This Row],[predicted_0]]-Table1[[#This Row],[actual_0]])/Table1[[#This Row],[actual_0]]</f>
        <v>3.1632653061224487E-2</v>
      </c>
      <c r="EG623" s="1">
        <f>(Table1[[#This Row],[predicted_1]]-Table1[[#This Row],[actual_1]])/Table1[[#This Row],[actual_1]]</f>
        <v>-4.4052863436123352E-3</v>
      </c>
      <c r="EH623" s="1">
        <f>(Table1[[#This Row],[predicted_2]]-Table1[[#This Row],[actual_2]])/Table1[[#This Row],[actual_2]]</f>
        <v>-5.1356589147286823E-2</v>
      </c>
      <c r="EI623" s="1">
        <f>(Table1[[#This Row],[predicted_3]]-Table1[[#This Row],[actual_3]])/Table1[[#This Row],[actual_3]]</f>
        <v>0.18910891089108911</v>
      </c>
      <c r="EJ623" s="1">
        <f>(Table1[[#This Row],[predicted_4]]-Table1[[#This Row],[actual_4]])/Table1[[#This Row],[actual_4]]</f>
        <v>2.5458248472505093E-2</v>
      </c>
      <c r="EK623" s="1">
        <f>(Table1[[#This Row],[predicted_5]]-Table1[[#This Row],[actual_5]])/Table1[[#This Row],[actual_5]]</f>
        <v>-6.838565022421525E-2</v>
      </c>
      <c r="EL623" s="1">
        <f>(Table1[[#This Row],[predicted_6]]-Table1[[#This Row],[actual_6]])/Table1[[#This Row],[actual_6]]</f>
        <v>-1.1482254697286013E-2</v>
      </c>
      <c r="EM623" s="1">
        <f>(Table1[[#This Row],[predicted_7]]-Table1[[#This Row],[actual_7]])/Table1[[#This Row],[actual_7]]</f>
        <v>-2.0428015564202335E-2</v>
      </c>
      <c r="EN623" s="1">
        <f>(Table1[[#This Row],[predicted_8]]-Table1[[#This Row],[actual_8]])/Table1[[#This Row],[actual_8]]</f>
        <v>-1.9507186858316223E-2</v>
      </c>
      <c r="EO623" s="1">
        <f>(Table1[[#This Row],[predicted_9]]-Table1[[#This Row],[actual_9]])/Table1[[#This Row],[actual_9]]</f>
        <v>-7.6313181367690788E-2</v>
      </c>
      <c r="EP623" s="1">
        <f>1+(Table1[[#This Row],[error_ratio_0]]-EF$2)</f>
        <v>1.0295918367346939</v>
      </c>
      <c r="EQ623" s="1">
        <f>1+(Table1[[#This Row],[error_ratio_1]]-EG$2)</f>
        <v>0.99383259911894273</v>
      </c>
      <c r="ER623" s="1">
        <f>1+(Table1[[#This Row],[error_ratio_2]]-EH$2)</f>
        <v>0.95348837209302328</v>
      </c>
      <c r="ES623" s="1">
        <f>1+(Table1[[#This Row],[error_ratio_3]]-EI$2)</f>
        <v>1.1792079207920791</v>
      </c>
      <c r="ET623" s="1">
        <f>1+(Table1[[#This Row],[error_ratio_4]]-EJ$2)</f>
        <v>1.0244399185336048</v>
      </c>
      <c r="EU623" s="1">
        <f>1+(Table1[[#This Row],[error_ratio_5]]-EK$2)</f>
        <v>0.93049327354260092</v>
      </c>
      <c r="EV623" s="1">
        <f>1+(Table1[[#This Row],[error_ratio_6]]-EL$2)</f>
        <v>0.99478079331941549</v>
      </c>
      <c r="EW623" s="1">
        <f>1+(Table1[[#This Row],[error_ratio_7]]-EM$2)</f>
        <v>0.97762645914396884</v>
      </c>
      <c r="EX623" s="1">
        <f>1+(Table1[[#This Row],[error_ratio_8]]-EN$2)</f>
        <v>0.98357289527720737</v>
      </c>
      <c r="EY623" s="1">
        <f>1+(Table1[[#This Row],[error_ratio_9]]-EO$2)</f>
        <v>0.92765113974231916</v>
      </c>
    </row>
    <row r="624" spans="1:155" x14ac:dyDescent="0.75">
      <c r="A624">
        <v>10</v>
      </c>
      <c r="B624">
        <v>10</v>
      </c>
      <c r="C624">
        <v>10</v>
      </c>
      <c r="D624">
        <v>100</v>
      </c>
      <c r="E624">
        <v>100</v>
      </c>
      <c r="F624">
        <v>10</v>
      </c>
      <c r="G624">
        <v>100</v>
      </c>
      <c r="H624">
        <v>10</v>
      </c>
      <c r="I624">
        <v>100</v>
      </c>
      <c r="J624">
        <v>10</v>
      </c>
      <c r="K624">
        <v>1007</v>
      </c>
      <c r="L624">
        <v>1122</v>
      </c>
      <c r="M624">
        <v>1001</v>
      </c>
      <c r="N624">
        <v>1200</v>
      </c>
      <c r="O624">
        <v>1050</v>
      </c>
      <c r="P624">
        <v>820</v>
      </c>
      <c r="Q624">
        <v>968</v>
      </c>
      <c r="R624">
        <v>859</v>
      </c>
      <c r="S624">
        <v>1054</v>
      </c>
      <c r="T624">
        <v>919</v>
      </c>
      <c r="U624">
        <v>980</v>
      </c>
      <c r="V624">
        <v>1135</v>
      </c>
      <c r="W624">
        <v>1032</v>
      </c>
      <c r="X624">
        <v>1010</v>
      </c>
      <c r="Y624">
        <v>982</v>
      </c>
      <c r="Z624">
        <v>892</v>
      </c>
      <c r="AA624">
        <v>958</v>
      </c>
      <c r="AB624">
        <v>1028</v>
      </c>
      <c r="AC624">
        <v>974</v>
      </c>
      <c r="AD624">
        <v>1009</v>
      </c>
      <c r="AE624">
        <v>967</v>
      </c>
      <c r="AF624">
        <v>0</v>
      </c>
      <c r="AG624">
        <v>0</v>
      </c>
      <c r="AH624">
        <v>1</v>
      </c>
      <c r="AI624">
        <v>3</v>
      </c>
      <c r="AJ624">
        <v>0</v>
      </c>
      <c r="AK624">
        <v>5</v>
      </c>
      <c r="AL624">
        <v>0</v>
      </c>
      <c r="AM624">
        <v>4</v>
      </c>
      <c r="AN624">
        <v>0</v>
      </c>
      <c r="AO624">
        <v>0</v>
      </c>
      <c r="AP624">
        <v>1117</v>
      </c>
      <c r="AQ624">
        <v>2</v>
      </c>
      <c r="AR624">
        <v>4</v>
      </c>
      <c r="AS624">
        <v>4</v>
      </c>
      <c r="AT624">
        <v>0</v>
      </c>
      <c r="AU624">
        <v>5</v>
      </c>
      <c r="AV624">
        <v>0</v>
      </c>
      <c r="AW624">
        <v>3</v>
      </c>
      <c r="AX624">
        <v>0</v>
      </c>
      <c r="AY624">
        <v>10</v>
      </c>
      <c r="AZ624">
        <v>0</v>
      </c>
      <c r="BA624">
        <v>977</v>
      </c>
      <c r="BB624">
        <v>21</v>
      </c>
      <c r="BC624">
        <v>6</v>
      </c>
      <c r="BD624">
        <v>0</v>
      </c>
      <c r="BE624">
        <v>3</v>
      </c>
      <c r="BF624">
        <v>1</v>
      </c>
      <c r="BG624">
        <v>14</v>
      </c>
      <c r="BH624">
        <v>0</v>
      </c>
      <c r="BI624">
        <v>0</v>
      </c>
      <c r="BJ624">
        <v>0</v>
      </c>
      <c r="BK624">
        <v>0</v>
      </c>
      <c r="BL624">
        <v>999</v>
      </c>
      <c r="BM624">
        <v>0</v>
      </c>
      <c r="BN624">
        <v>3</v>
      </c>
      <c r="BO624">
        <v>0</v>
      </c>
      <c r="BP624">
        <v>0</v>
      </c>
      <c r="BQ624">
        <v>7</v>
      </c>
      <c r="BR624">
        <v>1</v>
      </c>
      <c r="BS624">
        <v>0</v>
      </c>
      <c r="BT624">
        <v>0</v>
      </c>
      <c r="BU624">
        <v>0</v>
      </c>
      <c r="BV624">
        <v>0</v>
      </c>
      <c r="BW624">
        <v>982</v>
      </c>
      <c r="BX624">
        <v>0</v>
      </c>
      <c r="BY624">
        <v>0</v>
      </c>
      <c r="BZ624">
        <v>0</v>
      </c>
      <c r="CA624">
        <v>0</v>
      </c>
      <c r="CB624">
        <v>0</v>
      </c>
      <c r="CC624">
        <v>2</v>
      </c>
      <c r="CD624">
        <v>0</v>
      </c>
      <c r="CE624">
        <v>1</v>
      </c>
      <c r="CF624">
        <v>32</v>
      </c>
      <c r="CG624">
        <v>1</v>
      </c>
      <c r="CH624">
        <v>809</v>
      </c>
      <c r="CI624">
        <v>15</v>
      </c>
      <c r="CJ624">
        <v>0</v>
      </c>
      <c r="CK624">
        <v>31</v>
      </c>
      <c r="CL624">
        <v>1</v>
      </c>
      <c r="CM624">
        <v>8</v>
      </c>
      <c r="CN624">
        <v>1</v>
      </c>
      <c r="CO624">
        <v>0</v>
      </c>
      <c r="CP624">
        <v>0</v>
      </c>
      <c r="CQ624">
        <v>3</v>
      </c>
      <c r="CR624">
        <v>1</v>
      </c>
      <c r="CS624">
        <v>938</v>
      </c>
      <c r="CT624">
        <v>0</v>
      </c>
      <c r="CU624">
        <v>7</v>
      </c>
      <c r="CV624">
        <v>0</v>
      </c>
      <c r="CW624">
        <v>10</v>
      </c>
      <c r="CX624">
        <v>3</v>
      </c>
      <c r="CY624">
        <v>20</v>
      </c>
      <c r="CZ624">
        <v>129</v>
      </c>
      <c r="DA624">
        <v>5</v>
      </c>
      <c r="DB624">
        <v>0</v>
      </c>
      <c r="DC624">
        <v>0</v>
      </c>
      <c r="DD624">
        <v>848</v>
      </c>
      <c r="DE624">
        <v>7</v>
      </c>
      <c r="DF624">
        <v>6</v>
      </c>
      <c r="DG624">
        <v>4</v>
      </c>
      <c r="DH624">
        <v>0</v>
      </c>
      <c r="DI624">
        <v>1</v>
      </c>
      <c r="DJ624">
        <v>0</v>
      </c>
      <c r="DK624">
        <v>0</v>
      </c>
      <c r="DL624">
        <v>0</v>
      </c>
      <c r="DM624">
        <v>1</v>
      </c>
      <c r="DN624">
        <v>1</v>
      </c>
      <c r="DO624">
        <v>966</v>
      </c>
      <c r="DP624">
        <v>1</v>
      </c>
      <c r="DQ624">
        <v>6</v>
      </c>
      <c r="DR624">
        <v>1</v>
      </c>
      <c r="DS624">
        <v>0</v>
      </c>
      <c r="DT624">
        <v>14</v>
      </c>
      <c r="DU624">
        <v>46</v>
      </c>
      <c r="DV624">
        <v>7</v>
      </c>
      <c r="DW624">
        <v>1</v>
      </c>
      <c r="DX624">
        <v>9</v>
      </c>
      <c r="DY624">
        <v>15</v>
      </c>
      <c r="DZ624">
        <v>910</v>
      </c>
      <c r="EA624">
        <v>0.95130000000000003</v>
      </c>
      <c r="EB624">
        <v>0.95490871246874998</v>
      </c>
      <c r="EC624">
        <v>0.95113360701128902</v>
      </c>
      <c r="ED624">
        <v>0.950944528303027</v>
      </c>
      <c r="EE624">
        <f>SUM(Table1[[#This Row],[ratio_0]:[ratio_9]])</f>
        <v>460</v>
      </c>
      <c r="EF624" s="1">
        <f>(Table1[[#This Row],[predicted_0]]-Table1[[#This Row],[actual_0]])/Table1[[#This Row],[actual_0]]</f>
        <v>2.7551020408163266E-2</v>
      </c>
      <c r="EG624" s="1">
        <f>(Table1[[#This Row],[predicted_1]]-Table1[[#This Row],[actual_1]])/Table1[[#This Row],[actual_1]]</f>
        <v>-1.145374449339207E-2</v>
      </c>
      <c r="EH624" s="1">
        <f>(Table1[[#This Row],[predicted_2]]-Table1[[#This Row],[actual_2]])/Table1[[#This Row],[actual_2]]</f>
        <v>-3.0038759689922482E-2</v>
      </c>
      <c r="EI624" s="1">
        <f>(Table1[[#This Row],[predicted_3]]-Table1[[#This Row],[actual_3]])/Table1[[#This Row],[actual_3]]</f>
        <v>0.18811881188118812</v>
      </c>
      <c r="EJ624" s="1">
        <f>(Table1[[#This Row],[predicted_4]]-Table1[[#This Row],[actual_4]])/Table1[[#This Row],[actual_4]]</f>
        <v>6.9246435845213852E-2</v>
      </c>
      <c r="EK624" s="1">
        <f>(Table1[[#This Row],[predicted_5]]-Table1[[#This Row],[actual_5]])/Table1[[#This Row],[actual_5]]</f>
        <v>-8.0717488789237665E-2</v>
      </c>
      <c r="EL624" s="1">
        <f>(Table1[[#This Row],[predicted_6]]-Table1[[#This Row],[actual_6]])/Table1[[#This Row],[actual_6]]</f>
        <v>1.0438413361169102E-2</v>
      </c>
      <c r="EM624" s="1">
        <f>(Table1[[#This Row],[predicted_7]]-Table1[[#This Row],[actual_7]])/Table1[[#This Row],[actual_7]]</f>
        <v>-0.16439688715953307</v>
      </c>
      <c r="EN624" s="1">
        <f>(Table1[[#This Row],[predicted_8]]-Table1[[#This Row],[actual_8]])/Table1[[#This Row],[actual_8]]</f>
        <v>8.2135523613963035E-2</v>
      </c>
      <c r="EO624" s="1">
        <f>(Table1[[#This Row],[predicted_9]]-Table1[[#This Row],[actual_9]])/Table1[[#This Row],[actual_9]]</f>
        <v>-8.9197224975222991E-2</v>
      </c>
      <c r="EP624" s="1">
        <f>1+(Table1[[#This Row],[error_ratio_0]]-EF$2)</f>
        <v>1.0255102040816326</v>
      </c>
      <c r="EQ624" s="1">
        <f>1+(Table1[[#This Row],[error_ratio_1]]-EG$2)</f>
        <v>0.986784140969163</v>
      </c>
      <c r="ER624" s="1">
        <f>1+(Table1[[#This Row],[error_ratio_2]]-EH$2)</f>
        <v>0.97480620155038755</v>
      </c>
      <c r="ES624" s="1">
        <f>1+(Table1[[#This Row],[error_ratio_3]]-EI$2)</f>
        <v>1.1782178217821782</v>
      </c>
      <c r="ET624" s="1">
        <f>1+(Table1[[#This Row],[error_ratio_4]]-EJ$2)</f>
        <v>1.0682281059063137</v>
      </c>
      <c r="EU624" s="1">
        <f>1+(Table1[[#This Row],[error_ratio_5]]-EK$2)</f>
        <v>0.91816143497757852</v>
      </c>
      <c r="EV624" s="1">
        <f>1+(Table1[[#This Row],[error_ratio_6]]-EL$2)</f>
        <v>1.0167014613778707</v>
      </c>
      <c r="EW624" s="1">
        <f>1+(Table1[[#This Row],[error_ratio_7]]-EM$2)</f>
        <v>0.83365758754863817</v>
      </c>
      <c r="EX624" s="1">
        <f>1+(Table1[[#This Row],[error_ratio_8]]-EN$2)</f>
        <v>1.0852156057494866</v>
      </c>
      <c r="EY624" s="1">
        <f>1+(Table1[[#This Row],[error_ratio_9]]-EO$2)</f>
        <v>0.91476709613478691</v>
      </c>
    </row>
    <row r="625" spans="1:155" x14ac:dyDescent="0.75">
      <c r="A625">
        <v>100</v>
      </c>
      <c r="B625">
        <v>100</v>
      </c>
      <c r="C625">
        <v>100</v>
      </c>
      <c r="D625">
        <v>10</v>
      </c>
      <c r="E625">
        <v>100</v>
      </c>
      <c r="F625">
        <v>10</v>
      </c>
      <c r="G625">
        <v>100</v>
      </c>
      <c r="H625">
        <v>10</v>
      </c>
      <c r="I625">
        <v>100</v>
      </c>
      <c r="J625">
        <v>10</v>
      </c>
      <c r="K625">
        <v>991</v>
      </c>
      <c r="L625">
        <v>1147</v>
      </c>
      <c r="M625">
        <v>1064</v>
      </c>
      <c r="N625">
        <v>988</v>
      </c>
      <c r="O625">
        <v>1013</v>
      </c>
      <c r="P625">
        <v>838</v>
      </c>
      <c r="Q625">
        <v>953</v>
      </c>
      <c r="R625">
        <v>983</v>
      </c>
      <c r="S625">
        <v>1058</v>
      </c>
      <c r="T625">
        <v>965</v>
      </c>
      <c r="U625">
        <v>980</v>
      </c>
      <c r="V625">
        <v>1135</v>
      </c>
      <c r="W625">
        <v>1032</v>
      </c>
      <c r="X625">
        <v>1010</v>
      </c>
      <c r="Y625">
        <v>982</v>
      </c>
      <c r="Z625">
        <v>892</v>
      </c>
      <c r="AA625">
        <v>958</v>
      </c>
      <c r="AB625">
        <v>1028</v>
      </c>
      <c r="AC625">
        <v>974</v>
      </c>
      <c r="AD625">
        <v>1009</v>
      </c>
      <c r="AE625">
        <v>975</v>
      </c>
      <c r="AF625">
        <v>1</v>
      </c>
      <c r="AG625">
        <v>0</v>
      </c>
      <c r="AH625">
        <v>0</v>
      </c>
      <c r="AI625">
        <v>0</v>
      </c>
      <c r="AJ625">
        <v>0</v>
      </c>
      <c r="AK625">
        <v>0</v>
      </c>
      <c r="AL625">
        <v>1</v>
      </c>
      <c r="AM625">
        <v>3</v>
      </c>
      <c r="AN625">
        <v>0</v>
      </c>
      <c r="AO625">
        <v>0</v>
      </c>
      <c r="AP625">
        <v>1129</v>
      </c>
      <c r="AQ625">
        <v>0</v>
      </c>
      <c r="AR625">
        <v>2</v>
      </c>
      <c r="AS625">
        <v>0</v>
      </c>
      <c r="AT625">
        <v>2</v>
      </c>
      <c r="AU625">
        <v>1</v>
      </c>
      <c r="AV625">
        <v>0</v>
      </c>
      <c r="AW625">
        <v>1</v>
      </c>
      <c r="AX625">
        <v>0</v>
      </c>
      <c r="AY625">
        <v>0</v>
      </c>
      <c r="AZ625">
        <v>1</v>
      </c>
      <c r="BA625">
        <v>1022</v>
      </c>
      <c r="BB625">
        <v>1</v>
      </c>
      <c r="BC625">
        <v>2</v>
      </c>
      <c r="BD625">
        <v>0</v>
      </c>
      <c r="BE625">
        <v>1</v>
      </c>
      <c r="BF625">
        <v>2</v>
      </c>
      <c r="BG625">
        <v>3</v>
      </c>
      <c r="BH625">
        <v>0</v>
      </c>
      <c r="BI625">
        <v>0</v>
      </c>
      <c r="BJ625">
        <v>0</v>
      </c>
      <c r="BK625">
        <v>7</v>
      </c>
      <c r="BL625">
        <v>964</v>
      </c>
      <c r="BM625">
        <v>0</v>
      </c>
      <c r="BN625">
        <v>16</v>
      </c>
      <c r="BO625">
        <v>0</v>
      </c>
      <c r="BP625">
        <v>6</v>
      </c>
      <c r="BQ625">
        <v>16</v>
      </c>
      <c r="BR625">
        <v>1</v>
      </c>
      <c r="BS625">
        <v>0</v>
      </c>
      <c r="BT625">
        <v>0</v>
      </c>
      <c r="BU625">
        <v>1</v>
      </c>
      <c r="BV625">
        <v>1</v>
      </c>
      <c r="BW625">
        <v>980</v>
      </c>
      <c r="BX625">
        <v>0</v>
      </c>
      <c r="BY625">
        <v>0</v>
      </c>
      <c r="BZ625">
        <v>0</v>
      </c>
      <c r="CA625">
        <v>0</v>
      </c>
      <c r="CB625">
        <v>0</v>
      </c>
      <c r="CC625">
        <v>4</v>
      </c>
      <c r="CD625">
        <v>0</v>
      </c>
      <c r="CE625">
        <v>1</v>
      </c>
      <c r="CF625">
        <v>8</v>
      </c>
      <c r="CG625">
        <v>0</v>
      </c>
      <c r="CH625">
        <v>816</v>
      </c>
      <c r="CI625">
        <v>8</v>
      </c>
      <c r="CJ625">
        <v>2</v>
      </c>
      <c r="CK625">
        <v>40</v>
      </c>
      <c r="CL625">
        <v>13</v>
      </c>
      <c r="CM625">
        <v>6</v>
      </c>
      <c r="CN625">
        <v>2</v>
      </c>
      <c r="CO625">
        <v>0</v>
      </c>
      <c r="CP625">
        <v>0</v>
      </c>
      <c r="CQ625">
        <v>3</v>
      </c>
      <c r="CR625">
        <v>1</v>
      </c>
      <c r="CS625">
        <v>942</v>
      </c>
      <c r="CT625">
        <v>0</v>
      </c>
      <c r="CU625">
        <v>4</v>
      </c>
      <c r="CV625">
        <v>0</v>
      </c>
      <c r="CW625">
        <v>1</v>
      </c>
      <c r="CX625">
        <v>11</v>
      </c>
      <c r="CY625">
        <v>30</v>
      </c>
      <c r="CZ625">
        <v>7</v>
      </c>
      <c r="DA625">
        <v>5</v>
      </c>
      <c r="DB625">
        <v>0</v>
      </c>
      <c r="DC625">
        <v>0</v>
      </c>
      <c r="DD625">
        <v>964</v>
      </c>
      <c r="DE625">
        <v>4</v>
      </c>
      <c r="DF625">
        <v>6</v>
      </c>
      <c r="DG625">
        <v>2</v>
      </c>
      <c r="DH625">
        <v>0</v>
      </c>
      <c r="DI625">
        <v>2</v>
      </c>
      <c r="DJ625">
        <v>0</v>
      </c>
      <c r="DK625">
        <v>0</v>
      </c>
      <c r="DL625">
        <v>0</v>
      </c>
      <c r="DM625">
        <v>1</v>
      </c>
      <c r="DN625">
        <v>1</v>
      </c>
      <c r="DO625">
        <v>968</v>
      </c>
      <c r="DP625">
        <v>0</v>
      </c>
      <c r="DQ625">
        <v>3</v>
      </c>
      <c r="DR625">
        <v>3</v>
      </c>
      <c r="DS625">
        <v>1</v>
      </c>
      <c r="DT625">
        <v>5</v>
      </c>
      <c r="DU625">
        <v>23</v>
      </c>
      <c r="DV625">
        <v>3</v>
      </c>
      <c r="DW625">
        <v>0</v>
      </c>
      <c r="DX625">
        <v>7</v>
      </c>
      <c r="DY625">
        <v>19</v>
      </c>
      <c r="DZ625">
        <v>945</v>
      </c>
      <c r="EA625">
        <v>0.97050000000000003</v>
      </c>
      <c r="EB625">
        <v>0.97089042743435805</v>
      </c>
      <c r="EC625">
        <v>0.96985911122878998</v>
      </c>
      <c r="ED625">
        <v>0.96995939528881303</v>
      </c>
      <c r="EE625">
        <f>SUM(Table1[[#This Row],[ratio_0]:[ratio_9]])</f>
        <v>640</v>
      </c>
      <c r="EF625" s="1">
        <f>(Table1[[#This Row],[predicted_0]]-Table1[[#This Row],[actual_0]])/Table1[[#This Row],[actual_0]]</f>
        <v>1.1224489795918367E-2</v>
      </c>
      <c r="EG625" s="1">
        <f>(Table1[[#This Row],[predicted_1]]-Table1[[#This Row],[actual_1]])/Table1[[#This Row],[actual_1]]</f>
        <v>1.0572687224669603E-2</v>
      </c>
      <c r="EH625" s="1">
        <f>(Table1[[#This Row],[predicted_2]]-Table1[[#This Row],[actual_2]])/Table1[[#This Row],[actual_2]]</f>
        <v>3.1007751937984496E-2</v>
      </c>
      <c r="EI625" s="1">
        <f>(Table1[[#This Row],[predicted_3]]-Table1[[#This Row],[actual_3]])/Table1[[#This Row],[actual_3]]</f>
        <v>-2.1782178217821781E-2</v>
      </c>
      <c r="EJ625" s="1">
        <f>(Table1[[#This Row],[predicted_4]]-Table1[[#This Row],[actual_4]])/Table1[[#This Row],[actual_4]]</f>
        <v>3.1568228105906315E-2</v>
      </c>
      <c r="EK625" s="1">
        <f>(Table1[[#This Row],[predicted_5]]-Table1[[#This Row],[actual_5]])/Table1[[#This Row],[actual_5]]</f>
        <v>-6.0538116591928252E-2</v>
      </c>
      <c r="EL625" s="1">
        <f>(Table1[[#This Row],[predicted_6]]-Table1[[#This Row],[actual_6]])/Table1[[#This Row],[actual_6]]</f>
        <v>-5.2192066805845511E-3</v>
      </c>
      <c r="EM625" s="1">
        <f>(Table1[[#This Row],[predicted_7]]-Table1[[#This Row],[actual_7]])/Table1[[#This Row],[actual_7]]</f>
        <v>-4.3774319066147857E-2</v>
      </c>
      <c r="EN625" s="1">
        <f>(Table1[[#This Row],[predicted_8]]-Table1[[#This Row],[actual_8]])/Table1[[#This Row],[actual_8]]</f>
        <v>8.6242299794661192E-2</v>
      </c>
      <c r="EO625" s="1">
        <f>(Table1[[#This Row],[predicted_9]]-Table1[[#This Row],[actual_9]])/Table1[[#This Row],[actual_9]]</f>
        <v>-4.3607532210109018E-2</v>
      </c>
      <c r="EP625" s="1">
        <f>1+(Table1[[#This Row],[error_ratio_0]]-EF$2)</f>
        <v>1.0091836734693878</v>
      </c>
      <c r="EQ625" s="1">
        <f>1+(Table1[[#This Row],[error_ratio_1]]-EG$2)</f>
        <v>1.0088105726872247</v>
      </c>
      <c r="ER625" s="1">
        <f>1+(Table1[[#This Row],[error_ratio_2]]-EH$2)</f>
        <v>1.0358527131782946</v>
      </c>
      <c r="ES625" s="1">
        <f>1+(Table1[[#This Row],[error_ratio_3]]-EI$2)</f>
        <v>0.96831683168316829</v>
      </c>
      <c r="ET625" s="1">
        <f>1+(Table1[[#This Row],[error_ratio_4]]-EJ$2)</f>
        <v>1.030549898167006</v>
      </c>
      <c r="EU625" s="1">
        <f>1+(Table1[[#This Row],[error_ratio_5]]-EK$2)</f>
        <v>0.93834080717488788</v>
      </c>
      <c r="EV625" s="1">
        <f>1+(Table1[[#This Row],[error_ratio_6]]-EL$2)</f>
        <v>1.0010438413361169</v>
      </c>
      <c r="EW625" s="1">
        <f>1+(Table1[[#This Row],[error_ratio_7]]-EM$2)</f>
        <v>0.9542801556420234</v>
      </c>
      <c r="EX625" s="1">
        <f>1+(Table1[[#This Row],[error_ratio_8]]-EN$2)</f>
        <v>1.0893223819301847</v>
      </c>
      <c r="EY625" s="1">
        <f>1+(Table1[[#This Row],[error_ratio_9]]-EO$2)</f>
        <v>0.96035678889990095</v>
      </c>
    </row>
    <row r="626" spans="1:155" x14ac:dyDescent="0.75">
      <c r="A626">
        <v>100</v>
      </c>
      <c r="B626">
        <v>10</v>
      </c>
      <c r="C626">
        <v>100</v>
      </c>
      <c r="D626">
        <v>10</v>
      </c>
      <c r="E626">
        <v>100</v>
      </c>
      <c r="F626">
        <v>10</v>
      </c>
      <c r="G626">
        <v>100</v>
      </c>
      <c r="H626">
        <v>10</v>
      </c>
      <c r="I626">
        <v>100</v>
      </c>
      <c r="J626">
        <v>10</v>
      </c>
      <c r="K626">
        <v>1000</v>
      </c>
      <c r="L626">
        <v>1119</v>
      </c>
      <c r="M626">
        <v>1035</v>
      </c>
      <c r="N626">
        <v>990</v>
      </c>
      <c r="O626">
        <v>1010</v>
      </c>
      <c r="P626">
        <v>909</v>
      </c>
      <c r="Q626">
        <v>970</v>
      </c>
      <c r="R626">
        <v>1041</v>
      </c>
      <c r="S626">
        <v>1075</v>
      </c>
      <c r="T626">
        <v>851</v>
      </c>
      <c r="U626">
        <v>980</v>
      </c>
      <c r="V626">
        <v>1135</v>
      </c>
      <c r="W626">
        <v>1032</v>
      </c>
      <c r="X626">
        <v>1010</v>
      </c>
      <c r="Y626">
        <v>982</v>
      </c>
      <c r="Z626">
        <v>892</v>
      </c>
      <c r="AA626">
        <v>958</v>
      </c>
      <c r="AB626">
        <v>1028</v>
      </c>
      <c r="AC626">
        <v>974</v>
      </c>
      <c r="AD626">
        <v>1009</v>
      </c>
      <c r="AE626">
        <v>972</v>
      </c>
      <c r="AF626">
        <v>0</v>
      </c>
      <c r="AG626">
        <v>1</v>
      </c>
      <c r="AH626">
        <v>0</v>
      </c>
      <c r="AI626">
        <v>0</v>
      </c>
      <c r="AJ626">
        <v>0</v>
      </c>
      <c r="AK626">
        <v>3</v>
      </c>
      <c r="AL626">
        <v>1</v>
      </c>
      <c r="AM626">
        <v>3</v>
      </c>
      <c r="AN626">
        <v>0</v>
      </c>
      <c r="AO626">
        <v>0</v>
      </c>
      <c r="AP626">
        <v>1113</v>
      </c>
      <c r="AQ626">
        <v>1</v>
      </c>
      <c r="AR626">
        <v>9</v>
      </c>
      <c r="AS626">
        <v>0</v>
      </c>
      <c r="AT626">
        <v>2</v>
      </c>
      <c r="AU626">
        <v>2</v>
      </c>
      <c r="AV626">
        <v>1</v>
      </c>
      <c r="AW626">
        <v>7</v>
      </c>
      <c r="AX626">
        <v>0</v>
      </c>
      <c r="AY626">
        <v>1</v>
      </c>
      <c r="AZ626">
        <v>0</v>
      </c>
      <c r="BA626">
        <v>1010</v>
      </c>
      <c r="BB626">
        <v>0</v>
      </c>
      <c r="BC626">
        <v>1</v>
      </c>
      <c r="BD626">
        <v>0</v>
      </c>
      <c r="BE626">
        <v>2</v>
      </c>
      <c r="BF626">
        <v>6</v>
      </c>
      <c r="BG626">
        <v>12</v>
      </c>
      <c r="BH626">
        <v>0</v>
      </c>
      <c r="BI626">
        <v>4</v>
      </c>
      <c r="BJ626">
        <v>0</v>
      </c>
      <c r="BK626">
        <v>3</v>
      </c>
      <c r="BL626">
        <v>956</v>
      </c>
      <c r="BM626">
        <v>0</v>
      </c>
      <c r="BN626">
        <v>16</v>
      </c>
      <c r="BO626">
        <v>0</v>
      </c>
      <c r="BP626">
        <v>5</v>
      </c>
      <c r="BQ626">
        <v>26</v>
      </c>
      <c r="BR626">
        <v>0</v>
      </c>
      <c r="BS626">
        <v>0</v>
      </c>
      <c r="BT626">
        <v>0</v>
      </c>
      <c r="BU626">
        <v>2</v>
      </c>
      <c r="BV626">
        <v>0</v>
      </c>
      <c r="BW626">
        <v>972</v>
      </c>
      <c r="BX626">
        <v>0</v>
      </c>
      <c r="BY626">
        <v>5</v>
      </c>
      <c r="BZ626">
        <v>1</v>
      </c>
      <c r="CA626">
        <v>2</v>
      </c>
      <c r="CB626">
        <v>0</v>
      </c>
      <c r="CC626">
        <v>5</v>
      </c>
      <c r="CD626">
        <v>0</v>
      </c>
      <c r="CE626">
        <v>1</v>
      </c>
      <c r="CF626">
        <v>4</v>
      </c>
      <c r="CG626">
        <v>0</v>
      </c>
      <c r="CH626">
        <v>857</v>
      </c>
      <c r="CI626">
        <v>6</v>
      </c>
      <c r="CJ626">
        <v>1</v>
      </c>
      <c r="CK626">
        <v>18</v>
      </c>
      <c r="CL626">
        <v>0</v>
      </c>
      <c r="CM626">
        <v>6</v>
      </c>
      <c r="CN626">
        <v>1</v>
      </c>
      <c r="CO626">
        <v>1</v>
      </c>
      <c r="CP626">
        <v>0</v>
      </c>
      <c r="CQ626">
        <v>1</v>
      </c>
      <c r="CR626">
        <v>0</v>
      </c>
      <c r="CS626">
        <v>946</v>
      </c>
      <c r="CT626">
        <v>0</v>
      </c>
      <c r="CU626">
        <v>3</v>
      </c>
      <c r="CV626">
        <v>0</v>
      </c>
      <c r="CW626">
        <v>2</v>
      </c>
      <c r="CX626">
        <v>4</v>
      </c>
      <c r="CY626">
        <v>15</v>
      </c>
      <c r="CZ626">
        <v>9</v>
      </c>
      <c r="DA626">
        <v>1</v>
      </c>
      <c r="DB626">
        <v>0</v>
      </c>
      <c r="DC626">
        <v>1</v>
      </c>
      <c r="DD626">
        <v>992</v>
      </c>
      <c r="DE626">
        <v>4</v>
      </c>
      <c r="DF626">
        <v>0</v>
      </c>
      <c r="DG626">
        <v>1</v>
      </c>
      <c r="DH626">
        <v>0</v>
      </c>
      <c r="DI626">
        <v>0</v>
      </c>
      <c r="DJ626">
        <v>0</v>
      </c>
      <c r="DK626">
        <v>1</v>
      </c>
      <c r="DL626">
        <v>0</v>
      </c>
      <c r="DM626">
        <v>1</v>
      </c>
      <c r="DN626">
        <v>3</v>
      </c>
      <c r="DO626">
        <v>965</v>
      </c>
      <c r="DP626">
        <v>3</v>
      </c>
      <c r="DQ626">
        <v>9</v>
      </c>
      <c r="DR626">
        <v>1</v>
      </c>
      <c r="DS626">
        <v>1</v>
      </c>
      <c r="DT626">
        <v>12</v>
      </c>
      <c r="DU626">
        <v>34</v>
      </c>
      <c r="DV626">
        <v>34</v>
      </c>
      <c r="DW626">
        <v>4</v>
      </c>
      <c r="DX626">
        <v>31</v>
      </c>
      <c r="DY626">
        <v>35</v>
      </c>
      <c r="DZ626">
        <v>848</v>
      </c>
      <c r="EA626">
        <v>0.96309999999999996</v>
      </c>
      <c r="EB626">
        <v>0.963564732433004</v>
      </c>
      <c r="EC626">
        <v>0.96318996088687303</v>
      </c>
      <c r="ED626">
        <v>0.96242506700262298</v>
      </c>
      <c r="EE626">
        <f>SUM(Table1[[#This Row],[ratio_0]:[ratio_9]])</f>
        <v>550</v>
      </c>
      <c r="EF626" s="1">
        <f>(Table1[[#This Row],[predicted_0]]-Table1[[#This Row],[actual_0]])/Table1[[#This Row],[actual_0]]</f>
        <v>2.0408163265306121E-2</v>
      </c>
      <c r="EG626" s="1">
        <f>(Table1[[#This Row],[predicted_1]]-Table1[[#This Row],[actual_1]])/Table1[[#This Row],[actual_1]]</f>
        <v>-1.4096916299559472E-2</v>
      </c>
      <c r="EH626" s="1">
        <f>(Table1[[#This Row],[predicted_2]]-Table1[[#This Row],[actual_2]])/Table1[[#This Row],[actual_2]]</f>
        <v>2.9069767441860465E-3</v>
      </c>
      <c r="EI626" s="1">
        <f>(Table1[[#This Row],[predicted_3]]-Table1[[#This Row],[actual_3]])/Table1[[#This Row],[actual_3]]</f>
        <v>-1.9801980198019802E-2</v>
      </c>
      <c r="EJ626" s="1">
        <f>(Table1[[#This Row],[predicted_4]]-Table1[[#This Row],[actual_4]])/Table1[[#This Row],[actual_4]]</f>
        <v>2.8513238289205704E-2</v>
      </c>
      <c r="EK626" s="1">
        <f>(Table1[[#This Row],[predicted_5]]-Table1[[#This Row],[actual_5]])/Table1[[#This Row],[actual_5]]</f>
        <v>1.905829596412556E-2</v>
      </c>
      <c r="EL626" s="1">
        <f>(Table1[[#This Row],[predicted_6]]-Table1[[#This Row],[actual_6]])/Table1[[#This Row],[actual_6]]</f>
        <v>1.2526096033402923E-2</v>
      </c>
      <c r="EM626" s="1">
        <f>(Table1[[#This Row],[predicted_7]]-Table1[[#This Row],[actual_7]])/Table1[[#This Row],[actual_7]]</f>
        <v>1.264591439688716E-2</v>
      </c>
      <c r="EN626" s="1">
        <f>(Table1[[#This Row],[predicted_8]]-Table1[[#This Row],[actual_8]])/Table1[[#This Row],[actual_8]]</f>
        <v>0.10369609856262833</v>
      </c>
      <c r="EO626" s="1">
        <f>(Table1[[#This Row],[predicted_9]]-Table1[[#This Row],[actual_9]])/Table1[[#This Row],[actual_9]]</f>
        <v>-0.15659068384539149</v>
      </c>
      <c r="EP626" s="1">
        <f>1+(Table1[[#This Row],[error_ratio_0]]-EF$2)</f>
        <v>1.0183673469387755</v>
      </c>
      <c r="EQ626" s="1">
        <f>1+(Table1[[#This Row],[error_ratio_1]]-EG$2)</f>
        <v>0.98414096916299565</v>
      </c>
      <c r="ER626" s="1">
        <f>1+(Table1[[#This Row],[error_ratio_2]]-EH$2)</f>
        <v>1.0077519379844961</v>
      </c>
      <c r="ES626" s="1">
        <f>1+(Table1[[#This Row],[error_ratio_3]]-EI$2)</f>
        <v>0.97029702970297027</v>
      </c>
      <c r="ET626" s="1">
        <f>1+(Table1[[#This Row],[error_ratio_4]]-EJ$2)</f>
        <v>1.0274949083503055</v>
      </c>
      <c r="EU626" s="1">
        <f>1+(Table1[[#This Row],[error_ratio_5]]-EK$2)</f>
        <v>1.0179372197309418</v>
      </c>
      <c r="EV626" s="1">
        <f>1+(Table1[[#This Row],[error_ratio_6]]-EL$2)</f>
        <v>1.0187891440501045</v>
      </c>
      <c r="EW626" s="1">
        <f>1+(Table1[[#This Row],[error_ratio_7]]-EM$2)</f>
        <v>1.0107003891050583</v>
      </c>
      <c r="EX626" s="1">
        <f>1+(Table1[[#This Row],[error_ratio_8]]-EN$2)</f>
        <v>1.106776180698152</v>
      </c>
      <c r="EY626" s="1">
        <f>1+(Table1[[#This Row],[error_ratio_9]]-EO$2)</f>
        <v>0.84737363726461845</v>
      </c>
    </row>
    <row r="627" spans="1:155" x14ac:dyDescent="0.75">
      <c r="A627">
        <v>10</v>
      </c>
      <c r="B627">
        <v>10</v>
      </c>
      <c r="C627">
        <v>100</v>
      </c>
      <c r="D627">
        <v>10</v>
      </c>
      <c r="E627">
        <v>100</v>
      </c>
      <c r="F627">
        <v>10</v>
      </c>
      <c r="G627">
        <v>100</v>
      </c>
      <c r="H627">
        <v>10</v>
      </c>
      <c r="I627">
        <v>100</v>
      </c>
      <c r="J627">
        <v>10</v>
      </c>
      <c r="K627">
        <v>966</v>
      </c>
      <c r="L627">
        <v>1128</v>
      </c>
      <c r="M627">
        <v>1074</v>
      </c>
      <c r="N627">
        <v>885</v>
      </c>
      <c r="O627">
        <v>1157</v>
      </c>
      <c r="P627">
        <v>883</v>
      </c>
      <c r="Q627">
        <v>1036</v>
      </c>
      <c r="R627">
        <v>959</v>
      </c>
      <c r="S627">
        <v>1257</v>
      </c>
      <c r="T627">
        <v>655</v>
      </c>
      <c r="U627">
        <v>980</v>
      </c>
      <c r="V627">
        <v>1135</v>
      </c>
      <c r="W627">
        <v>1032</v>
      </c>
      <c r="X627">
        <v>1010</v>
      </c>
      <c r="Y627">
        <v>982</v>
      </c>
      <c r="Z627">
        <v>892</v>
      </c>
      <c r="AA627">
        <v>958</v>
      </c>
      <c r="AB627">
        <v>1028</v>
      </c>
      <c r="AC627">
        <v>974</v>
      </c>
      <c r="AD627">
        <v>1009</v>
      </c>
      <c r="AE627">
        <v>937</v>
      </c>
      <c r="AF627">
        <v>0</v>
      </c>
      <c r="AG627">
        <v>2</v>
      </c>
      <c r="AH627">
        <v>0</v>
      </c>
      <c r="AI627">
        <v>2</v>
      </c>
      <c r="AJ627">
        <v>0</v>
      </c>
      <c r="AK627">
        <v>34</v>
      </c>
      <c r="AL627">
        <v>1</v>
      </c>
      <c r="AM627">
        <v>4</v>
      </c>
      <c r="AN627">
        <v>0</v>
      </c>
      <c r="AO627">
        <v>0</v>
      </c>
      <c r="AP627">
        <v>1114</v>
      </c>
      <c r="AQ627">
        <v>6</v>
      </c>
      <c r="AR627">
        <v>0</v>
      </c>
      <c r="AS627">
        <v>1</v>
      </c>
      <c r="AT627">
        <v>1</v>
      </c>
      <c r="AU627">
        <v>6</v>
      </c>
      <c r="AV627">
        <v>0</v>
      </c>
      <c r="AW627">
        <v>7</v>
      </c>
      <c r="AX627">
        <v>0</v>
      </c>
      <c r="AY627">
        <v>0</v>
      </c>
      <c r="AZ627">
        <v>1</v>
      </c>
      <c r="BA627">
        <v>1013</v>
      </c>
      <c r="BB627">
        <v>0</v>
      </c>
      <c r="BC627">
        <v>1</v>
      </c>
      <c r="BD627">
        <v>0</v>
      </c>
      <c r="BE627">
        <v>3</v>
      </c>
      <c r="BF627">
        <v>1</v>
      </c>
      <c r="BG627">
        <v>13</v>
      </c>
      <c r="BH627">
        <v>0</v>
      </c>
      <c r="BI627">
        <v>5</v>
      </c>
      <c r="BJ627">
        <v>0</v>
      </c>
      <c r="BK627">
        <v>17</v>
      </c>
      <c r="BL627">
        <v>880</v>
      </c>
      <c r="BM627">
        <v>1</v>
      </c>
      <c r="BN627">
        <v>44</v>
      </c>
      <c r="BO627">
        <v>3</v>
      </c>
      <c r="BP627">
        <v>9</v>
      </c>
      <c r="BQ627">
        <v>51</v>
      </c>
      <c r="BR627">
        <v>0</v>
      </c>
      <c r="BS627">
        <v>0</v>
      </c>
      <c r="BT627">
        <v>0</v>
      </c>
      <c r="BU627">
        <v>2</v>
      </c>
      <c r="BV627">
        <v>0</v>
      </c>
      <c r="BW627">
        <v>974</v>
      </c>
      <c r="BX627">
        <v>0</v>
      </c>
      <c r="BY627">
        <v>4</v>
      </c>
      <c r="BZ627">
        <v>0</v>
      </c>
      <c r="CA627">
        <v>2</v>
      </c>
      <c r="CB627">
        <v>0</v>
      </c>
      <c r="CC627">
        <v>7</v>
      </c>
      <c r="CD627">
        <v>0</v>
      </c>
      <c r="CE627">
        <v>0</v>
      </c>
      <c r="CF627">
        <v>1</v>
      </c>
      <c r="CG627">
        <v>0</v>
      </c>
      <c r="CH627">
        <v>826</v>
      </c>
      <c r="CI627">
        <v>28</v>
      </c>
      <c r="CJ627">
        <v>1</v>
      </c>
      <c r="CK627">
        <v>28</v>
      </c>
      <c r="CL627">
        <v>1</v>
      </c>
      <c r="CM627">
        <v>0</v>
      </c>
      <c r="CN627">
        <v>2</v>
      </c>
      <c r="CO627">
        <v>0</v>
      </c>
      <c r="CP627">
        <v>0</v>
      </c>
      <c r="CQ627">
        <v>1</v>
      </c>
      <c r="CR627">
        <v>1</v>
      </c>
      <c r="CS627">
        <v>952</v>
      </c>
      <c r="CT627">
        <v>0</v>
      </c>
      <c r="CU627">
        <v>2</v>
      </c>
      <c r="CV627">
        <v>0</v>
      </c>
      <c r="CW627">
        <v>6</v>
      </c>
      <c r="CX627">
        <v>7</v>
      </c>
      <c r="CY627">
        <v>30</v>
      </c>
      <c r="CZ627">
        <v>1</v>
      </c>
      <c r="DA627">
        <v>6</v>
      </c>
      <c r="DB627">
        <v>0</v>
      </c>
      <c r="DC627">
        <v>0</v>
      </c>
      <c r="DD627">
        <v>922</v>
      </c>
      <c r="DE627">
        <v>56</v>
      </c>
      <c r="DF627">
        <v>0</v>
      </c>
      <c r="DG627">
        <v>4</v>
      </c>
      <c r="DH627">
        <v>0</v>
      </c>
      <c r="DI627">
        <v>1</v>
      </c>
      <c r="DJ627">
        <v>0</v>
      </c>
      <c r="DK627">
        <v>2</v>
      </c>
      <c r="DL627">
        <v>0</v>
      </c>
      <c r="DM627">
        <v>2</v>
      </c>
      <c r="DN627">
        <v>0</v>
      </c>
      <c r="DO627">
        <v>965</v>
      </c>
      <c r="DP627">
        <v>0</v>
      </c>
      <c r="DQ627">
        <v>7</v>
      </c>
      <c r="DR627">
        <v>4</v>
      </c>
      <c r="DS627">
        <v>3</v>
      </c>
      <c r="DT627">
        <v>3</v>
      </c>
      <c r="DU627">
        <v>169</v>
      </c>
      <c r="DV627">
        <v>11</v>
      </c>
      <c r="DW627">
        <v>4</v>
      </c>
      <c r="DX627">
        <v>25</v>
      </c>
      <c r="DY627">
        <v>129</v>
      </c>
      <c r="DZ627">
        <v>654</v>
      </c>
      <c r="EA627">
        <v>0.92369999999999997</v>
      </c>
      <c r="EB627">
        <v>0.93189120945079695</v>
      </c>
      <c r="EC627">
        <v>0.92379092180311995</v>
      </c>
      <c r="ED627">
        <v>0.92137556028512002</v>
      </c>
      <c r="EE627">
        <f>SUM(Table1[[#This Row],[ratio_0]:[ratio_9]])</f>
        <v>460</v>
      </c>
      <c r="EF627" s="1">
        <f>(Table1[[#This Row],[predicted_0]]-Table1[[#This Row],[actual_0]])/Table1[[#This Row],[actual_0]]</f>
        <v>-1.4285714285714285E-2</v>
      </c>
      <c r="EG627" s="1">
        <f>(Table1[[#This Row],[predicted_1]]-Table1[[#This Row],[actual_1]])/Table1[[#This Row],[actual_1]]</f>
        <v>-6.1674008810572688E-3</v>
      </c>
      <c r="EH627" s="1">
        <f>(Table1[[#This Row],[predicted_2]]-Table1[[#This Row],[actual_2]])/Table1[[#This Row],[actual_2]]</f>
        <v>4.0697674418604654E-2</v>
      </c>
      <c r="EI627" s="1">
        <f>(Table1[[#This Row],[predicted_3]]-Table1[[#This Row],[actual_3]])/Table1[[#This Row],[actual_3]]</f>
        <v>-0.12376237623762376</v>
      </c>
      <c r="EJ627" s="1">
        <f>(Table1[[#This Row],[predicted_4]]-Table1[[#This Row],[actual_4]])/Table1[[#This Row],[actual_4]]</f>
        <v>0.17820773930753564</v>
      </c>
      <c r="EK627" s="1">
        <f>(Table1[[#This Row],[predicted_5]]-Table1[[#This Row],[actual_5]])/Table1[[#This Row],[actual_5]]</f>
        <v>-1.0089686098654708E-2</v>
      </c>
      <c r="EL627" s="1">
        <f>(Table1[[#This Row],[predicted_6]]-Table1[[#This Row],[actual_6]])/Table1[[#This Row],[actual_6]]</f>
        <v>8.1419624217118999E-2</v>
      </c>
      <c r="EM627" s="1">
        <f>(Table1[[#This Row],[predicted_7]]-Table1[[#This Row],[actual_7]])/Table1[[#This Row],[actual_7]]</f>
        <v>-6.7120622568093383E-2</v>
      </c>
      <c r="EN627" s="1">
        <f>(Table1[[#This Row],[predicted_8]]-Table1[[#This Row],[actual_8]])/Table1[[#This Row],[actual_8]]</f>
        <v>0.29055441478439425</v>
      </c>
      <c r="EO627" s="1">
        <f>(Table1[[#This Row],[predicted_9]]-Table1[[#This Row],[actual_9]])/Table1[[#This Row],[actual_9]]</f>
        <v>-0.35084241823587708</v>
      </c>
      <c r="EP627" s="1">
        <f>1+(Table1[[#This Row],[error_ratio_0]]-EF$2)</f>
        <v>0.98367346938775513</v>
      </c>
      <c r="EQ627" s="1">
        <f>1+(Table1[[#This Row],[error_ratio_1]]-EG$2)</f>
        <v>0.99207048458149782</v>
      </c>
      <c r="ER627" s="1">
        <f>1+(Table1[[#This Row],[error_ratio_2]]-EH$2)</f>
        <v>1.0455426356589148</v>
      </c>
      <c r="ES627" s="1">
        <f>1+(Table1[[#This Row],[error_ratio_3]]-EI$2)</f>
        <v>0.86633663366336633</v>
      </c>
      <c r="ET627" s="1">
        <f>1+(Table1[[#This Row],[error_ratio_4]]-EJ$2)</f>
        <v>1.1771894093686355</v>
      </c>
      <c r="EU627" s="1">
        <f>1+(Table1[[#This Row],[error_ratio_5]]-EK$2)</f>
        <v>0.9887892376681614</v>
      </c>
      <c r="EV627" s="1">
        <f>1+(Table1[[#This Row],[error_ratio_6]]-EL$2)</f>
        <v>1.0876826722338204</v>
      </c>
      <c r="EW627" s="1">
        <f>1+(Table1[[#This Row],[error_ratio_7]]-EM$2)</f>
        <v>0.93093385214007784</v>
      </c>
      <c r="EX627" s="1">
        <f>1+(Table1[[#This Row],[error_ratio_8]]-EN$2)</f>
        <v>1.2936344969199178</v>
      </c>
      <c r="EY627" s="1">
        <f>1+(Table1[[#This Row],[error_ratio_9]]-EO$2)</f>
        <v>0.65312190287413285</v>
      </c>
    </row>
    <row r="628" spans="1:155" x14ac:dyDescent="0.75">
      <c r="A628">
        <v>100</v>
      </c>
      <c r="B628">
        <v>100</v>
      </c>
      <c r="C628">
        <v>10</v>
      </c>
      <c r="D628">
        <v>10</v>
      </c>
      <c r="E628">
        <v>100</v>
      </c>
      <c r="F628">
        <v>10</v>
      </c>
      <c r="G628">
        <v>100</v>
      </c>
      <c r="H628">
        <v>10</v>
      </c>
      <c r="I628">
        <v>100</v>
      </c>
      <c r="J628">
        <v>10</v>
      </c>
      <c r="K628">
        <v>995</v>
      </c>
      <c r="L628">
        <v>1168</v>
      </c>
      <c r="M628">
        <v>982</v>
      </c>
      <c r="N628">
        <v>960</v>
      </c>
      <c r="O628">
        <v>1014</v>
      </c>
      <c r="P628">
        <v>883</v>
      </c>
      <c r="Q628">
        <v>960</v>
      </c>
      <c r="R628">
        <v>956</v>
      </c>
      <c r="S628">
        <v>1001</v>
      </c>
      <c r="T628">
        <v>1081</v>
      </c>
      <c r="U628">
        <v>980</v>
      </c>
      <c r="V628">
        <v>1135</v>
      </c>
      <c r="W628">
        <v>1032</v>
      </c>
      <c r="X628">
        <v>1010</v>
      </c>
      <c r="Y628">
        <v>982</v>
      </c>
      <c r="Z628">
        <v>892</v>
      </c>
      <c r="AA628">
        <v>958</v>
      </c>
      <c r="AB628">
        <v>1028</v>
      </c>
      <c r="AC628">
        <v>974</v>
      </c>
      <c r="AD628">
        <v>1009</v>
      </c>
      <c r="AE628">
        <v>975</v>
      </c>
      <c r="AF628">
        <v>2</v>
      </c>
      <c r="AG628">
        <v>0</v>
      </c>
      <c r="AH628">
        <v>0</v>
      </c>
      <c r="AI628">
        <v>1</v>
      </c>
      <c r="AJ628">
        <v>0</v>
      </c>
      <c r="AK628">
        <v>1</v>
      </c>
      <c r="AL628">
        <v>1</v>
      </c>
      <c r="AM628">
        <v>0</v>
      </c>
      <c r="AN628">
        <v>0</v>
      </c>
      <c r="AO628">
        <v>0</v>
      </c>
      <c r="AP628">
        <v>1132</v>
      </c>
      <c r="AQ628">
        <v>0</v>
      </c>
      <c r="AR628">
        <v>1</v>
      </c>
      <c r="AS628">
        <v>0</v>
      </c>
      <c r="AT628">
        <v>1</v>
      </c>
      <c r="AU628">
        <v>0</v>
      </c>
      <c r="AV628">
        <v>0</v>
      </c>
      <c r="AW628">
        <v>0</v>
      </c>
      <c r="AX628">
        <v>1</v>
      </c>
      <c r="AY628">
        <v>0</v>
      </c>
      <c r="AZ628">
        <v>14</v>
      </c>
      <c r="BA628">
        <v>961</v>
      </c>
      <c r="BB628">
        <v>3</v>
      </c>
      <c r="BC628">
        <v>10</v>
      </c>
      <c r="BD628">
        <v>0</v>
      </c>
      <c r="BE628">
        <v>1</v>
      </c>
      <c r="BF628">
        <v>37</v>
      </c>
      <c r="BG628">
        <v>6</v>
      </c>
      <c r="BH628">
        <v>0</v>
      </c>
      <c r="BI628">
        <v>0</v>
      </c>
      <c r="BJ628">
        <v>0</v>
      </c>
      <c r="BK628">
        <v>10</v>
      </c>
      <c r="BL628">
        <v>948</v>
      </c>
      <c r="BM628">
        <v>0</v>
      </c>
      <c r="BN628">
        <v>24</v>
      </c>
      <c r="BO628">
        <v>0</v>
      </c>
      <c r="BP628">
        <v>15</v>
      </c>
      <c r="BQ628">
        <v>6</v>
      </c>
      <c r="BR628">
        <v>7</v>
      </c>
      <c r="BS628">
        <v>0</v>
      </c>
      <c r="BT628">
        <v>1</v>
      </c>
      <c r="BU628">
        <v>0</v>
      </c>
      <c r="BV628">
        <v>0</v>
      </c>
      <c r="BW628">
        <v>975</v>
      </c>
      <c r="BX628">
        <v>0</v>
      </c>
      <c r="BY628">
        <v>3</v>
      </c>
      <c r="BZ628">
        <v>0</v>
      </c>
      <c r="CA628">
        <v>0</v>
      </c>
      <c r="CB628">
        <v>3</v>
      </c>
      <c r="CC628">
        <v>4</v>
      </c>
      <c r="CD628">
        <v>2</v>
      </c>
      <c r="CE628">
        <v>0</v>
      </c>
      <c r="CF628">
        <v>2</v>
      </c>
      <c r="CG628">
        <v>0</v>
      </c>
      <c r="CH628">
        <v>849</v>
      </c>
      <c r="CI628">
        <v>11</v>
      </c>
      <c r="CJ628">
        <v>1</v>
      </c>
      <c r="CK628">
        <v>19</v>
      </c>
      <c r="CL628">
        <v>4</v>
      </c>
      <c r="CM628">
        <v>4</v>
      </c>
      <c r="CN628">
        <v>2</v>
      </c>
      <c r="CO628">
        <v>0</v>
      </c>
      <c r="CP628">
        <v>0</v>
      </c>
      <c r="CQ628">
        <v>3</v>
      </c>
      <c r="CR628">
        <v>5</v>
      </c>
      <c r="CS628">
        <v>941</v>
      </c>
      <c r="CT628">
        <v>0</v>
      </c>
      <c r="CU628">
        <v>3</v>
      </c>
      <c r="CV628">
        <v>0</v>
      </c>
      <c r="CW628">
        <v>3</v>
      </c>
      <c r="CX628">
        <v>8</v>
      </c>
      <c r="CY628">
        <v>10</v>
      </c>
      <c r="CZ628">
        <v>0</v>
      </c>
      <c r="DA628">
        <v>6</v>
      </c>
      <c r="DB628">
        <v>1</v>
      </c>
      <c r="DC628">
        <v>0</v>
      </c>
      <c r="DD628">
        <v>888</v>
      </c>
      <c r="DE628">
        <v>5</v>
      </c>
      <c r="DF628">
        <v>107</v>
      </c>
      <c r="DG628">
        <v>4</v>
      </c>
      <c r="DH628">
        <v>2</v>
      </c>
      <c r="DI628">
        <v>1</v>
      </c>
      <c r="DJ628">
        <v>0</v>
      </c>
      <c r="DK628">
        <v>0</v>
      </c>
      <c r="DL628">
        <v>0</v>
      </c>
      <c r="DM628">
        <v>2</v>
      </c>
      <c r="DN628">
        <v>9</v>
      </c>
      <c r="DO628">
        <v>952</v>
      </c>
      <c r="DP628">
        <v>4</v>
      </c>
      <c r="DQ628">
        <v>5</v>
      </c>
      <c r="DR628">
        <v>5</v>
      </c>
      <c r="DS628">
        <v>0</v>
      </c>
      <c r="DT628">
        <v>6</v>
      </c>
      <c r="DU628">
        <v>19</v>
      </c>
      <c r="DV628">
        <v>3</v>
      </c>
      <c r="DW628">
        <v>1</v>
      </c>
      <c r="DX628">
        <v>5</v>
      </c>
      <c r="DY628">
        <v>10</v>
      </c>
      <c r="DZ628">
        <v>955</v>
      </c>
      <c r="EA628">
        <v>0.95760000000000001</v>
      </c>
      <c r="EB628">
        <v>0.95817948516017004</v>
      </c>
      <c r="EC628">
        <v>0.95766979344310499</v>
      </c>
      <c r="ED628">
        <v>0.95750552445250803</v>
      </c>
      <c r="EE628">
        <f>SUM(Table1[[#This Row],[ratio_0]:[ratio_9]])</f>
        <v>550</v>
      </c>
      <c r="EF628" s="1">
        <f>(Table1[[#This Row],[predicted_0]]-Table1[[#This Row],[actual_0]])/Table1[[#This Row],[actual_0]]</f>
        <v>1.5306122448979591E-2</v>
      </c>
      <c r="EG628" s="1">
        <f>(Table1[[#This Row],[predicted_1]]-Table1[[#This Row],[actual_1]])/Table1[[#This Row],[actual_1]]</f>
        <v>2.9074889867841409E-2</v>
      </c>
      <c r="EH628" s="1">
        <f>(Table1[[#This Row],[predicted_2]]-Table1[[#This Row],[actual_2]])/Table1[[#This Row],[actual_2]]</f>
        <v>-4.8449612403100778E-2</v>
      </c>
      <c r="EI628" s="1">
        <f>(Table1[[#This Row],[predicted_3]]-Table1[[#This Row],[actual_3]])/Table1[[#This Row],[actual_3]]</f>
        <v>-4.9504950495049507E-2</v>
      </c>
      <c r="EJ628" s="1">
        <f>(Table1[[#This Row],[predicted_4]]-Table1[[#This Row],[actual_4]])/Table1[[#This Row],[actual_4]]</f>
        <v>3.2586558044806514E-2</v>
      </c>
      <c r="EK628" s="1">
        <f>(Table1[[#This Row],[predicted_5]]-Table1[[#This Row],[actual_5]])/Table1[[#This Row],[actual_5]]</f>
        <v>-1.0089686098654708E-2</v>
      </c>
      <c r="EL628" s="1">
        <f>(Table1[[#This Row],[predicted_6]]-Table1[[#This Row],[actual_6]])/Table1[[#This Row],[actual_6]]</f>
        <v>2.0876826722338203E-3</v>
      </c>
      <c r="EM628" s="1">
        <f>(Table1[[#This Row],[predicted_7]]-Table1[[#This Row],[actual_7]])/Table1[[#This Row],[actual_7]]</f>
        <v>-7.0038910505836577E-2</v>
      </c>
      <c r="EN628" s="1">
        <f>(Table1[[#This Row],[predicted_8]]-Table1[[#This Row],[actual_8]])/Table1[[#This Row],[actual_8]]</f>
        <v>2.7720739219712527E-2</v>
      </c>
      <c r="EO628" s="1">
        <f>(Table1[[#This Row],[predicted_9]]-Table1[[#This Row],[actual_9]])/Table1[[#This Row],[actual_9]]</f>
        <v>7.1357779980178393E-2</v>
      </c>
      <c r="EP628" s="1">
        <f>1+(Table1[[#This Row],[error_ratio_0]]-EF$2)</f>
        <v>1.013265306122449</v>
      </c>
      <c r="EQ628" s="1">
        <f>1+(Table1[[#This Row],[error_ratio_1]]-EG$2)</f>
        <v>1.0273127753303966</v>
      </c>
      <c r="ER628" s="1">
        <f>1+(Table1[[#This Row],[error_ratio_2]]-EH$2)</f>
        <v>0.95639534883720934</v>
      </c>
      <c r="ES628" s="1">
        <f>1+(Table1[[#This Row],[error_ratio_3]]-EI$2)</f>
        <v>0.94059405940594054</v>
      </c>
      <c r="ET628" s="1">
        <f>1+(Table1[[#This Row],[error_ratio_4]]-EJ$2)</f>
        <v>1.0315682281059062</v>
      </c>
      <c r="EU628" s="1">
        <f>1+(Table1[[#This Row],[error_ratio_5]]-EK$2)</f>
        <v>0.9887892376681614</v>
      </c>
      <c r="EV628" s="1">
        <f>1+(Table1[[#This Row],[error_ratio_6]]-EL$2)</f>
        <v>1.0083507306889352</v>
      </c>
      <c r="EW628" s="1">
        <f>1+(Table1[[#This Row],[error_ratio_7]]-EM$2)</f>
        <v>0.92801556420233466</v>
      </c>
      <c r="EX628" s="1">
        <f>1+(Table1[[#This Row],[error_ratio_8]]-EN$2)</f>
        <v>1.0308008213552362</v>
      </c>
      <c r="EY628" s="1">
        <f>1+(Table1[[#This Row],[error_ratio_9]]-EO$2)</f>
        <v>1.0753221010901883</v>
      </c>
    </row>
    <row r="629" spans="1:155" x14ac:dyDescent="0.75">
      <c r="A629">
        <v>10</v>
      </c>
      <c r="B629">
        <v>100</v>
      </c>
      <c r="C629">
        <v>10</v>
      </c>
      <c r="D629">
        <v>10</v>
      </c>
      <c r="E629">
        <v>100</v>
      </c>
      <c r="F629">
        <v>10</v>
      </c>
      <c r="G629">
        <v>100</v>
      </c>
      <c r="H629">
        <v>10</v>
      </c>
      <c r="I629">
        <v>100</v>
      </c>
      <c r="J629">
        <v>10</v>
      </c>
      <c r="K629">
        <v>969</v>
      </c>
      <c r="L629">
        <v>1163</v>
      </c>
      <c r="M629">
        <v>982</v>
      </c>
      <c r="N629">
        <v>990</v>
      </c>
      <c r="O629">
        <v>1229</v>
      </c>
      <c r="P629">
        <v>739</v>
      </c>
      <c r="Q629">
        <v>999</v>
      </c>
      <c r="R629">
        <v>1010</v>
      </c>
      <c r="S629">
        <v>1185</v>
      </c>
      <c r="T629">
        <v>734</v>
      </c>
      <c r="U629">
        <v>980</v>
      </c>
      <c r="V629">
        <v>1135</v>
      </c>
      <c r="W629">
        <v>1032</v>
      </c>
      <c r="X629">
        <v>1010</v>
      </c>
      <c r="Y629">
        <v>982</v>
      </c>
      <c r="Z629">
        <v>892</v>
      </c>
      <c r="AA629">
        <v>958</v>
      </c>
      <c r="AB629">
        <v>1028</v>
      </c>
      <c r="AC629">
        <v>974</v>
      </c>
      <c r="AD629">
        <v>1009</v>
      </c>
      <c r="AE629">
        <v>934</v>
      </c>
      <c r="AF629">
        <v>1</v>
      </c>
      <c r="AG629">
        <v>0</v>
      </c>
      <c r="AH629">
        <v>0</v>
      </c>
      <c r="AI629">
        <v>11</v>
      </c>
      <c r="AJ629">
        <v>0</v>
      </c>
      <c r="AK629">
        <v>17</v>
      </c>
      <c r="AL629">
        <v>2</v>
      </c>
      <c r="AM629">
        <v>15</v>
      </c>
      <c r="AN629">
        <v>0</v>
      </c>
      <c r="AO629">
        <v>0</v>
      </c>
      <c r="AP629">
        <v>1130</v>
      </c>
      <c r="AQ629">
        <v>0</v>
      </c>
      <c r="AR629">
        <v>1</v>
      </c>
      <c r="AS629">
        <v>0</v>
      </c>
      <c r="AT629">
        <v>1</v>
      </c>
      <c r="AU629">
        <v>0</v>
      </c>
      <c r="AV629">
        <v>0</v>
      </c>
      <c r="AW629">
        <v>3</v>
      </c>
      <c r="AX629">
        <v>0</v>
      </c>
      <c r="AY629">
        <v>16</v>
      </c>
      <c r="AZ629">
        <v>17</v>
      </c>
      <c r="BA629">
        <v>952</v>
      </c>
      <c r="BB629">
        <v>3</v>
      </c>
      <c r="BC629">
        <v>16</v>
      </c>
      <c r="BD629">
        <v>0</v>
      </c>
      <c r="BE629">
        <v>6</v>
      </c>
      <c r="BF629">
        <v>4</v>
      </c>
      <c r="BG629">
        <v>18</v>
      </c>
      <c r="BH629">
        <v>0</v>
      </c>
      <c r="BI629">
        <v>1</v>
      </c>
      <c r="BJ629">
        <v>0</v>
      </c>
      <c r="BK629">
        <v>10</v>
      </c>
      <c r="BL629">
        <v>948</v>
      </c>
      <c r="BM629">
        <v>2</v>
      </c>
      <c r="BN629">
        <v>1</v>
      </c>
      <c r="BO629">
        <v>0</v>
      </c>
      <c r="BP629">
        <v>11</v>
      </c>
      <c r="BQ629">
        <v>36</v>
      </c>
      <c r="BR629">
        <v>1</v>
      </c>
      <c r="BS629">
        <v>0</v>
      </c>
      <c r="BT629">
        <v>0</v>
      </c>
      <c r="BU629">
        <v>1</v>
      </c>
      <c r="BV629">
        <v>0</v>
      </c>
      <c r="BW629">
        <v>977</v>
      </c>
      <c r="BX629">
        <v>0</v>
      </c>
      <c r="BY629">
        <v>4</v>
      </c>
      <c r="BZ629">
        <v>0</v>
      </c>
      <c r="CA629">
        <v>0</v>
      </c>
      <c r="CB629">
        <v>0</v>
      </c>
      <c r="CC629">
        <v>3</v>
      </c>
      <c r="CD629">
        <v>1</v>
      </c>
      <c r="CE629">
        <v>0</v>
      </c>
      <c r="CF629">
        <v>28</v>
      </c>
      <c r="CG629">
        <v>2</v>
      </c>
      <c r="CH629">
        <v>731</v>
      </c>
      <c r="CI629">
        <v>23</v>
      </c>
      <c r="CJ629">
        <v>0</v>
      </c>
      <c r="CK629">
        <v>100</v>
      </c>
      <c r="CL629">
        <v>4</v>
      </c>
      <c r="CM629">
        <v>2</v>
      </c>
      <c r="CN629">
        <v>2</v>
      </c>
      <c r="CO629">
        <v>0</v>
      </c>
      <c r="CP629">
        <v>0</v>
      </c>
      <c r="CQ629">
        <v>2</v>
      </c>
      <c r="CR629">
        <v>1</v>
      </c>
      <c r="CS629">
        <v>948</v>
      </c>
      <c r="CT629">
        <v>0</v>
      </c>
      <c r="CU629">
        <v>3</v>
      </c>
      <c r="CV629">
        <v>0</v>
      </c>
      <c r="CW629">
        <v>5</v>
      </c>
      <c r="CX629">
        <v>10</v>
      </c>
      <c r="CY629">
        <v>19</v>
      </c>
      <c r="CZ629">
        <v>1</v>
      </c>
      <c r="DA629">
        <v>7</v>
      </c>
      <c r="DB629">
        <v>0</v>
      </c>
      <c r="DC629">
        <v>0</v>
      </c>
      <c r="DD629">
        <v>976</v>
      </c>
      <c r="DE629">
        <v>9</v>
      </c>
      <c r="DF629">
        <v>1</v>
      </c>
      <c r="DG629">
        <v>0</v>
      </c>
      <c r="DH629">
        <v>0</v>
      </c>
      <c r="DI629">
        <v>0</v>
      </c>
      <c r="DJ629">
        <v>0</v>
      </c>
      <c r="DK629">
        <v>4</v>
      </c>
      <c r="DL629">
        <v>0</v>
      </c>
      <c r="DM629">
        <v>1</v>
      </c>
      <c r="DN629">
        <v>2</v>
      </c>
      <c r="DO629">
        <v>967</v>
      </c>
      <c r="DP629">
        <v>0</v>
      </c>
      <c r="DQ629">
        <v>8</v>
      </c>
      <c r="DR629">
        <v>2</v>
      </c>
      <c r="DS629">
        <v>0</v>
      </c>
      <c r="DT629">
        <v>9</v>
      </c>
      <c r="DU629">
        <v>208</v>
      </c>
      <c r="DV629">
        <v>5</v>
      </c>
      <c r="DW629">
        <v>0</v>
      </c>
      <c r="DX629">
        <v>15</v>
      </c>
      <c r="DY629">
        <v>34</v>
      </c>
      <c r="DZ629">
        <v>728</v>
      </c>
      <c r="EA629">
        <v>0.92910000000000004</v>
      </c>
      <c r="EB629">
        <v>0.93698060151984397</v>
      </c>
      <c r="EC629">
        <v>0.92774630092071197</v>
      </c>
      <c r="ED629">
        <v>0.92731900808441903</v>
      </c>
      <c r="EE629">
        <f>SUM(Table1[[#This Row],[ratio_0]:[ratio_9]])</f>
        <v>460</v>
      </c>
      <c r="EF629" s="1">
        <f>(Table1[[#This Row],[predicted_0]]-Table1[[#This Row],[actual_0]])/Table1[[#This Row],[actual_0]]</f>
        <v>-1.1224489795918367E-2</v>
      </c>
      <c r="EG629" s="1">
        <f>(Table1[[#This Row],[predicted_1]]-Table1[[#This Row],[actual_1]])/Table1[[#This Row],[actual_1]]</f>
        <v>2.4669603524229075E-2</v>
      </c>
      <c r="EH629" s="1">
        <f>(Table1[[#This Row],[predicted_2]]-Table1[[#This Row],[actual_2]])/Table1[[#This Row],[actual_2]]</f>
        <v>-4.8449612403100778E-2</v>
      </c>
      <c r="EI629" s="1">
        <f>(Table1[[#This Row],[predicted_3]]-Table1[[#This Row],[actual_3]])/Table1[[#This Row],[actual_3]]</f>
        <v>-1.9801980198019802E-2</v>
      </c>
      <c r="EJ629" s="1">
        <f>(Table1[[#This Row],[predicted_4]]-Table1[[#This Row],[actual_4]])/Table1[[#This Row],[actual_4]]</f>
        <v>0.2515274949083503</v>
      </c>
      <c r="EK629" s="1">
        <f>(Table1[[#This Row],[predicted_5]]-Table1[[#This Row],[actual_5]])/Table1[[#This Row],[actual_5]]</f>
        <v>-0.17152466367713004</v>
      </c>
      <c r="EL629" s="1">
        <f>(Table1[[#This Row],[predicted_6]]-Table1[[#This Row],[actual_6]])/Table1[[#This Row],[actual_6]]</f>
        <v>4.2797494780793317E-2</v>
      </c>
      <c r="EM629" s="1">
        <f>(Table1[[#This Row],[predicted_7]]-Table1[[#This Row],[actual_7]])/Table1[[#This Row],[actual_7]]</f>
        <v>-1.7509727626459144E-2</v>
      </c>
      <c r="EN629" s="1">
        <f>(Table1[[#This Row],[predicted_8]]-Table1[[#This Row],[actual_8]])/Table1[[#This Row],[actual_8]]</f>
        <v>0.21663244353182751</v>
      </c>
      <c r="EO629" s="1">
        <f>(Table1[[#This Row],[predicted_9]]-Table1[[#This Row],[actual_9]])/Table1[[#This Row],[actual_9]]</f>
        <v>-0.27254707631318137</v>
      </c>
      <c r="EP629" s="1">
        <f>1+(Table1[[#This Row],[error_ratio_0]]-EF$2)</f>
        <v>0.98673469387755097</v>
      </c>
      <c r="EQ629" s="1">
        <f>1+(Table1[[#This Row],[error_ratio_1]]-EG$2)</f>
        <v>1.0229074889867842</v>
      </c>
      <c r="ER629" s="1">
        <f>1+(Table1[[#This Row],[error_ratio_2]]-EH$2)</f>
        <v>0.95639534883720934</v>
      </c>
      <c r="ES629" s="1">
        <f>1+(Table1[[#This Row],[error_ratio_3]]-EI$2)</f>
        <v>0.97029702970297027</v>
      </c>
      <c r="ET629" s="1">
        <f>1+(Table1[[#This Row],[error_ratio_4]]-EJ$2)</f>
        <v>1.2505091649694502</v>
      </c>
      <c r="EU629" s="1">
        <f>1+(Table1[[#This Row],[error_ratio_5]]-EK$2)</f>
        <v>0.82735426008968616</v>
      </c>
      <c r="EV629" s="1">
        <f>1+(Table1[[#This Row],[error_ratio_6]]-EL$2)</f>
        <v>1.0490605427974948</v>
      </c>
      <c r="EW629" s="1">
        <f>1+(Table1[[#This Row],[error_ratio_7]]-EM$2)</f>
        <v>0.98054474708171202</v>
      </c>
      <c r="EX629" s="1">
        <f>1+(Table1[[#This Row],[error_ratio_8]]-EN$2)</f>
        <v>1.2197125256673511</v>
      </c>
      <c r="EY629" s="1">
        <f>1+(Table1[[#This Row],[error_ratio_9]]-EO$2)</f>
        <v>0.73141724479682857</v>
      </c>
    </row>
    <row r="630" spans="1:155" x14ac:dyDescent="0.75">
      <c r="A630">
        <v>100</v>
      </c>
      <c r="B630">
        <v>10</v>
      </c>
      <c r="C630">
        <v>10</v>
      </c>
      <c r="D630">
        <v>10</v>
      </c>
      <c r="E630">
        <v>100</v>
      </c>
      <c r="F630">
        <v>10</v>
      </c>
      <c r="G630">
        <v>100</v>
      </c>
      <c r="H630">
        <v>10</v>
      </c>
      <c r="I630">
        <v>100</v>
      </c>
      <c r="J630">
        <v>10</v>
      </c>
      <c r="K630">
        <v>1032</v>
      </c>
      <c r="L630">
        <v>1125</v>
      </c>
      <c r="M630">
        <v>987</v>
      </c>
      <c r="N630">
        <v>1019</v>
      </c>
      <c r="O630">
        <v>1005</v>
      </c>
      <c r="P630">
        <v>833</v>
      </c>
      <c r="Q630">
        <v>981</v>
      </c>
      <c r="R630">
        <v>1017</v>
      </c>
      <c r="S630">
        <v>1048</v>
      </c>
      <c r="T630">
        <v>953</v>
      </c>
      <c r="U630">
        <v>980</v>
      </c>
      <c r="V630">
        <v>1135</v>
      </c>
      <c r="W630">
        <v>1032</v>
      </c>
      <c r="X630">
        <v>1010</v>
      </c>
      <c r="Y630">
        <v>982</v>
      </c>
      <c r="Z630">
        <v>892</v>
      </c>
      <c r="AA630">
        <v>958</v>
      </c>
      <c r="AB630">
        <v>1028</v>
      </c>
      <c r="AC630">
        <v>974</v>
      </c>
      <c r="AD630">
        <v>1009</v>
      </c>
      <c r="AE630">
        <v>979</v>
      </c>
      <c r="AF630">
        <v>0</v>
      </c>
      <c r="AG630">
        <v>0</v>
      </c>
      <c r="AH630">
        <v>0</v>
      </c>
      <c r="AI630">
        <v>0</v>
      </c>
      <c r="AJ630">
        <v>0</v>
      </c>
      <c r="AK630">
        <v>0</v>
      </c>
      <c r="AL630">
        <v>0</v>
      </c>
      <c r="AM630">
        <v>1</v>
      </c>
      <c r="AN630">
        <v>0</v>
      </c>
      <c r="AO630">
        <v>0</v>
      </c>
      <c r="AP630">
        <v>1117</v>
      </c>
      <c r="AQ630">
        <v>0</v>
      </c>
      <c r="AR630">
        <v>7</v>
      </c>
      <c r="AS630">
        <v>0</v>
      </c>
      <c r="AT630">
        <v>2</v>
      </c>
      <c r="AU630">
        <v>3</v>
      </c>
      <c r="AV630">
        <v>0</v>
      </c>
      <c r="AW630">
        <v>5</v>
      </c>
      <c r="AX630">
        <v>1</v>
      </c>
      <c r="AY630">
        <v>15</v>
      </c>
      <c r="AZ630">
        <v>3</v>
      </c>
      <c r="BA630">
        <v>964</v>
      </c>
      <c r="BB630">
        <v>4</v>
      </c>
      <c r="BC630">
        <v>2</v>
      </c>
      <c r="BD630">
        <v>0</v>
      </c>
      <c r="BE630">
        <v>7</v>
      </c>
      <c r="BF630">
        <v>9</v>
      </c>
      <c r="BG630">
        <v>28</v>
      </c>
      <c r="BH630">
        <v>0</v>
      </c>
      <c r="BI630">
        <v>2</v>
      </c>
      <c r="BJ630">
        <v>0</v>
      </c>
      <c r="BK630">
        <v>3</v>
      </c>
      <c r="BL630">
        <v>972</v>
      </c>
      <c r="BM630">
        <v>0</v>
      </c>
      <c r="BN630">
        <v>6</v>
      </c>
      <c r="BO630">
        <v>0</v>
      </c>
      <c r="BP630">
        <v>15</v>
      </c>
      <c r="BQ630">
        <v>11</v>
      </c>
      <c r="BR630">
        <v>1</v>
      </c>
      <c r="BS630">
        <v>3</v>
      </c>
      <c r="BT630">
        <v>0</v>
      </c>
      <c r="BU630">
        <v>2</v>
      </c>
      <c r="BV630">
        <v>0</v>
      </c>
      <c r="BW630">
        <v>971</v>
      </c>
      <c r="BX630">
        <v>0</v>
      </c>
      <c r="BY630">
        <v>5</v>
      </c>
      <c r="BZ630">
        <v>0</v>
      </c>
      <c r="CA630">
        <v>0</v>
      </c>
      <c r="CB630">
        <v>1</v>
      </c>
      <c r="CC630">
        <v>6</v>
      </c>
      <c r="CD630">
        <v>0</v>
      </c>
      <c r="CE630">
        <v>2</v>
      </c>
      <c r="CF630">
        <v>25</v>
      </c>
      <c r="CG630">
        <v>0</v>
      </c>
      <c r="CH630">
        <v>809</v>
      </c>
      <c r="CI630">
        <v>20</v>
      </c>
      <c r="CJ630">
        <v>1</v>
      </c>
      <c r="CK630">
        <v>26</v>
      </c>
      <c r="CL630">
        <v>3</v>
      </c>
      <c r="CM630">
        <v>6</v>
      </c>
      <c r="CN630">
        <v>1</v>
      </c>
      <c r="CO630">
        <v>0</v>
      </c>
      <c r="CP630">
        <v>0</v>
      </c>
      <c r="CQ630">
        <v>1</v>
      </c>
      <c r="CR630">
        <v>0</v>
      </c>
      <c r="CS630">
        <v>946</v>
      </c>
      <c r="CT630">
        <v>0</v>
      </c>
      <c r="CU630">
        <v>4</v>
      </c>
      <c r="CV630">
        <v>0</v>
      </c>
      <c r="CW630">
        <v>7</v>
      </c>
      <c r="CX630">
        <v>3</v>
      </c>
      <c r="CY630">
        <v>15</v>
      </c>
      <c r="CZ630">
        <v>0</v>
      </c>
      <c r="DA630">
        <v>9</v>
      </c>
      <c r="DB630">
        <v>0</v>
      </c>
      <c r="DC630">
        <v>0</v>
      </c>
      <c r="DD630">
        <v>983</v>
      </c>
      <c r="DE630">
        <v>3</v>
      </c>
      <c r="DF630">
        <v>8</v>
      </c>
      <c r="DG630">
        <v>1</v>
      </c>
      <c r="DH630">
        <v>0</v>
      </c>
      <c r="DI630">
        <v>0</v>
      </c>
      <c r="DJ630">
        <v>1</v>
      </c>
      <c r="DK630">
        <v>0</v>
      </c>
      <c r="DL630">
        <v>0</v>
      </c>
      <c r="DM630">
        <v>0</v>
      </c>
      <c r="DN630">
        <v>4</v>
      </c>
      <c r="DO630">
        <v>963</v>
      </c>
      <c r="DP630">
        <v>5</v>
      </c>
      <c r="DQ630">
        <v>13</v>
      </c>
      <c r="DR630">
        <v>1</v>
      </c>
      <c r="DS630">
        <v>1</v>
      </c>
      <c r="DT630">
        <v>10</v>
      </c>
      <c r="DU630">
        <v>22</v>
      </c>
      <c r="DV630">
        <v>16</v>
      </c>
      <c r="DW630">
        <v>0</v>
      </c>
      <c r="DX630">
        <v>5</v>
      </c>
      <c r="DY630">
        <v>7</v>
      </c>
      <c r="DZ630">
        <v>934</v>
      </c>
      <c r="EA630">
        <v>0.96379999999999999</v>
      </c>
      <c r="EB630">
        <v>0.96393098879089401</v>
      </c>
      <c r="EC630">
        <v>0.96334292986639503</v>
      </c>
      <c r="ED630">
        <v>0.96317578951475302</v>
      </c>
      <c r="EE630">
        <f>SUM(Table1[[#This Row],[ratio_0]:[ratio_9]])</f>
        <v>460</v>
      </c>
      <c r="EF630" s="1">
        <f>(Table1[[#This Row],[predicted_0]]-Table1[[#This Row],[actual_0]])/Table1[[#This Row],[actual_0]]</f>
        <v>5.3061224489795916E-2</v>
      </c>
      <c r="EG630" s="1">
        <f>(Table1[[#This Row],[predicted_1]]-Table1[[#This Row],[actual_1]])/Table1[[#This Row],[actual_1]]</f>
        <v>-8.8105726872246704E-3</v>
      </c>
      <c r="EH630" s="1">
        <f>(Table1[[#This Row],[predicted_2]]-Table1[[#This Row],[actual_2]])/Table1[[#This Row],[actual_2]]</f>
        <v>-4.3604651162790699E-2</v>
      </c>
      <c r="EI630" s="1">
        <f>(Table1[[#This Row],[predicted_3]]-Table1[[#This Row],[actual_3]])/Table1[[#This Row],[actual_3]]</f>
        <v>8.9108910891089101E-3</v>
      </c>
      <c r="EJ630" s="1">
        <f>(Table1[[#This Row],[predicted_4]]-Table1[[#This Row],[actual_4]])/Table1[[#This Row],[actual_4]]</f>
        <v>2.3421588594704685E-2</v>
      </c>
      <c r="EK630" s="1">
        <f>(Table1[[#This Row],[predicted_5]]-Table1[[#This Row],[actual_5]])/Table1[[#This Row],[actual_5]]</f>
        <v>-6.614349775784753E-2</v>
      </c>
      <c r="EL630" s="1">
        <f>(Table1[[#This Row],[predicted_6]]-Table1[[#This Row],[actual_6]])/Table1[[#This Row],[actual_6]]</f>
        <v>2.4008350730688934E-2</v>
      </c>
      <c r="EM630" s="1">
        <f>(Table1[[#This Row],[predicted_7]]-Table1[[#This Row],[actual_7]])/Table1[[#This Row],[actual_7]]</f>
        <v>-1.0700389105058366E-2</v>
      </c>
      <c r="EN630" s="1">
        <f>(Table1[[#This Row],[predicted_8]]-Table1[[#This Row],[actual_8]])/Table1[[#This Row],[actual_8]]</f>
        <v>7.5975359342915813E-2</v>
      </c>
      <c r="EO630" s="1">
        <f>(Table1[[#This Row],[predicted_9]]-Table1[[#This Row],[actual_9]])/Table1[[#This Row],[actual_9]]</f>
        <v>-5.550049554013875E-2</v>
      </c>
      <c r="EP630" s="1">
        <f>1+(Table1[[#This Row],[error_ratio_0]]-EF$2)</f>
        <v>1.0510204081632653</v>
      </c>
      <c r="EQ630" s="1">
        <f>1+(Table1[[#This Row],[error_ratio_1]]-EG$2)</f>
        <v>0.98942731277533036</v>
      </c>
      <c r="ER630" s="1">
        <f>1+(Table1[[#This Row],[error_ratio_2]]-EH$2)</f>
        <v>0.96124031007751942</v>
      </c>
      <c r="ES630" s="1">
        <f>1+(Table1[[#This Row],[error_ratio_3]]-EI$2)</f>
        <v>0.99900990099009901</v>
      </c>
      <c r="ET630" s="1">
        <f>1+(Table1[[#This Row],[error_ratio_4]]-EJ$2)</f>
        <v>1.0224032586558045</v>
      </c>
      <c r="EU630" s="1">
        <f>1+(Table1[[#This Row],[error_ratio_5]]-EK$2)</f>
        <v>0.93273542600896864</v>
      </c>
      <c r="EV630" s="1">
        <f>1+(Table1[[#This Row],[error_ratio_6]]-EL$2)</f>
        <v>1.0302713987473904</v>
      </c>
      <c r="EW630" s="1">
        <f>1+(Table1[[#This Row],[error_ratio_7]]-EM$2)</f>
        <v>0.98735408560311289</v>
      </c>
      <c r="EX630" s="1">
        <f>1+(Table1[[#This Row],[error_ratio_8]]-EN$2)</f>
        <v>1.0790554414784395</v>
      </c>
      <c r="EY630" s="1">
        <f>1+(Table1[[#This Row],[error_ratio_9]]-EO$2)</f>
        <v>0.94846382556987119</v>
      </c>
    </row>
    <row r="631" spans="1:155" x14ac:dyDescent="0.75">
      <c r="A631">
        <v>100</v>
      </c>
      <c r="B631">
        <v>100</v>
      </c>
      <c r="C631">
        <v>100</v>
      </c>
      <c r="D631">
        <v>100</v>
      </c>
      <c r="E631">
        <v>10</v>
      </c>
      <c r="F631">
        <v>10</v>
      </c>
      <c r="G631">
        <v>100</v>
      </c>
      <c r="H631">
        <v>10</v>
      </c>
      <c r="I631">
        <v>100</v>
      </c>
      <c r="J631">
        <v>10</v>
      </c>
      <c r="K631">
        <v>1002</v>
      </c>
      <c r="L631">
        <v>1183</v>
      </c>
      <c r="M631">
        <v>1032</v>
      </c>
      <c r="N631">
        <v>1071</v>
      </c>
      <c r="O631">
        <v>962</v>
      </c>
      <c r="P631">
        <v>890</v>
      </c>
      <c r="Q631">
        <v>955</v>
      </c>
      <c r="R631">
        <v>1010</v>
      </c>
      <c r="S631">
        <v>944</v>
      </c>
      <c r="T631">
        <v>951</v>
      </c>
      <c r="U631">
        <v>980</v>
      </c>
      <c r="V631">
        <v>1135</v>
      </c>
      <c r="W631">
        <v>1032</v>
      </c>
      <c r="X631">
        <v>1010</v>
      </c>
      <c r="Y631">
        <v>982</v>
      </c>
      <c r="Z631">
        <v>892</v>
      </c>
      <c r="AA631">
        <v>958</v>
      </c>
      <c r="AB631">
        <v>1028</v>
      </c>
      <c r="AC631">
        <v>974</v>
      </c>
      <c r="AD631">
        <v>1009</v>
      </c>
      <c r="AE631">
        <v>975</v>
      </c>
      <c r="AF631">
        <v>1</v>
      </c>
      <c r="AG631">
        <v>1</v>
      </c>
      <c r="AH631">
        <v>1</v>
      </c>
      <c r="AI631">
        <v>0</v>
      </c>
      <c r="AJ631">
        <v>0</v>
      </c>
      <c r="AK631">
        <v>1</v>
      </c>
      <c r="AL631">
        <v>1</v>
      </c>
      <c r="AM631">
        <v>0</v>
      </c>
      <c r="AN631">
        <v>0</v>
      </c>
      <c r="AO631">
        <v>0</v>
      </c>
      <c r="AP631">
        <v>1133</v>
      </c>
      <c r="AQ631">
        <v>0</v>
      </c>
      <c r="AR631">
        <v>1</v>
      </c>
      <c r="AS631">
        <v>0</v>
      </c>
      <c r="AT631">
        <v>1</v>
      </c>
      <c r="AU631">
        <v>0</v>
      </c>
      <c r="AV631">
        <v>0</v>
      </c>
      <c r="AW631">
        <v>0</v>
      </c>
      <c r="AX631">
        <v>0</v>
      </c>
      <c r="AY631">
        <v>2</v>
      </c>
      <c r="AZ631">
        <v>6</v>
      </c>
      <c r="BA631">
        <v>1014</v>
      </c>
      <c r="BB631">
        <v>3</v>
      </c>
      <c r="BC631">
        <v>0</v>
      </c>
      <c r="BD631">
        <v>0</v>
      </c>
      <c r="BE631">
        <v>2</v>
      </c>
      <c r="BF631">
        <v>5</v>
      </c>
      <c r="BG631">
        <v>0</v>
      </c>
      <c r="BH631">
        <v>0</v>
      </c>
      <c r="BI631">
        <v>0</v>
      </c>
      <c r="BJ631">
        <v>0</v>
      </c>
      <c r="BK631">
        <v>0</v>
      </c>
      <c r="BL631">
        <v>1006</v>
      </c>
      <c r="BM631">
        <v>0</v>
      </c>
      <c r="BN631">
        <v>2</v>
      </c>
      <c r="BO631">
        <v>0</v>
      </c>
      <c r="BP631">
        <v>1</v>
      </c>
      <c r="BQ631">
        <v>1</v>
      </c>
      <c r="BR631">
        <v>0</v>
      </c>
      <c r="BS631">
        <v>3</v>
      </c>
      <c r="BT631">
        <v>4</v>
      </c>
      <c r="BU631">
        <v>2</v>
      </c>
      <c r="BV631">
        <v>0</v>
      </c>
      <c r="BW631">
        <v>951</v>
      </c>
      <c r="BX631">
        <v>0</v>
      </c>
      <c r="BY631">
        <v>3</v>
      </c>
      <c r="BZ631">
        <v>1</v>
      </c>
      <c r="CA631">
        <v>3</v>
      </c>
      <c r="CB631">
        <v>15</v>
      </c>
      <c r="CC631">
        <v>3</v>
      </c>
      <c r="CD631">
        <v>1</v>
      </c>
      <c r="CE631">
        <v>1</v>
      </c>
      <c r="CF631">
        <v>13</v>
      </c>
      <c r="CG631">
        <v>0</v>
      </c>
      <c r="CH631">
        <v>870</v>
      </c>
      <c r="CI631">
        <v>3</v>
      </c>
      <c r="CJ631">
        <v>0</v>
      </c>
      <c r="CK631">
        <v>1</v>
      </c>
      <c r="CL631">
        <v>0</v>
      </c>
      <c r="CM631">
        <v>5</v>
      </c>
      <c r="CN631">
        <v>3</v>
      </c>
      <c r="CO631">
        <v>0</v>
      </c>
      <c r="CP631">
        <v>0</v>
      </c>
      <c r="CQ631">
        <v>2</v>
      </c>
      <c r="CR631">
        <v>3</v>
      </c>
      <c r="CS631">
        <v>945</v>
      </c>
      <c r="CT631">
        <v>0</v>
      </c>
      <c r="CU631">
        <v>0</v>
      </c>
      <c r="CV631">
        <v>0</v>
      </c>
      <c r="CW631">
        <v>2</v>
      </c>
      <c r="CX631">
        <v>20</v>
      </c>
      <c r="CY631">
        <v>13</v>
      </c>
      <c r="CZ631">
        <v>11</v>
      </c>
      <c r="DA631">
        <v>0</v>
      </c>
      <c r="DB631">
        <v>1</v>
      </c>
      <c r="DC631">
        <v>0</v>
      </c>
      <c r="DD631">
        <v>980</v>
      </c>
      <c r="DE631">
        <v>0</v>
      </c>
      <c r="DF631">
        <v>1</v>
      </c>
      <c r="DG631">
        <v>4</v>
      </c>
      <c r="DH631">
        <v>2</v>
      </c>
      <c r="DI631">
        <v>1</v>
      </c>
      <c r="DJ631">
        <v>16</v>
      </c>
      <c r="DK631">
        <v>1</v>
      </c>
      <c r="DL631">
        <v>0</v>
      </c>
      <c r="DM631">
        <v>1</v>
      </c>
      <c r="DN631">
        <v>6</v>
      </c>
      <c r="DO631">
        <v>937</v>
      </c>
      <c r="DP631">
        <v>6</v>
      </c>
      <c r="DQ631">
        <v>8</v>
      </c>
      <c r="DR631">
        <v>13</v>
      </c>
      <c r="DS631">
        <v>0</v>
      </c>
      <c r="DT631">
        <v>20</v>
      </c>
      <c r="DU631">
        <v>8</v>
      </c>
      <c r="DV631">
        <v>13</v>
      </c>
      <c r="DW631">
        <v>0</v>
      </c>
      <c r="DX631">
        <v>16</v>
      </c>
      <c r="DY631">
        <v>2</v>
      </c>
      <c r="DZ631">
        <v>929</v>
      </c>
      <c r="EA631">
        <v>0.97399999999999998</v>
      </c>
      <c r="EB631">
        <v>0.97480262679178098</v>
      </c>
      <c r="EC631">
        <v>0.97379650366604897</v>
      </c>
      <c r="ED631">
        <v>0.97403714054990898</v>
      </c>
      <c r="EE631">
        <f>SUM(Table1[[#This Row],[ratio_0]:[ratio_9]])</f>
        <v>640</v>
      </c>
      <c r="EF631" s="1">
        <f>(Table1[[#This Row],[predicted_0]]-Table1[[#This Row],[actual_0]])/Table1[[#This Row],[actual_0]]</f>
        <v>2.2448979591836733E-2</v>
      </c>
      <c r="EG631" s="1">
        <f>(Table1[[#This Row],[predicted_1]]-Table1[[#This Row],[actual_1]])/Table1[[#This Row],[actual_1]]</f>
        <v>4.2290748898678412E-2</v>
      </c>
      <c r="EH631" s="1">
        <f>(Table1[[#This Row],[predicted_2]]-Table1[[#This Row],[actual_2]])/Table1[[#This Row],[actual_2]]</f>
        <v>0</v>
      </c>
      <c r="EI631" s="1">
        <f>(Table1[[#This Row],[predicted_3]]-Table1[[#This Row],[actual_3]])/Table1[[#This Row],[actual_3]]</f>
        <v>6.0396039603960394E-2</v>
      </c>
      <c r="EJ631" s="1">
        <f>(Table1[[#This Row],[predicted_4]]-Table1[[#This Row],[actual_4]])/Table1[[#This Row],[actual_4]]</f>
        <v>-2.0366598778004074E-2</v>
      </c>
      <c r="EK631" s="1">
        <f>(Table1[[#This Row],[predicted_5]]-Table1[[#This Row],[actual_5]])/Table1[[#This Row],[actual_5]]</f>
        <v>-2.242152466367713E-3</v>
      </c>
      <c r="EL631" s="1">
        <f>(Table1[[#This Row],[predicted_6]]-Table1[[#This Row],[actual_6]])/Table1[[#This Row],[actual_6]]</f>
        <v>-3.1315240083507308E-3</v>
      </c>
      <c r="EM631" s="1">
        <f>(Table1[[#This Row],[predicted_7]]-Table1[[#This Row],[actual_7]])/Table1[[#This Row],[actual_7]]</f>
        <v>-1.7509727626459144E-2</v>
      </c>
      <c r="EN631" s="1">
        <f>(Table1[[#This Row],[predicted_8]]-Table1[[#This Row],[actual_8]])/Table1[[#This Row],[actual_8]]</f>
        <v>-3.0800821355236138E-2</v>
      </c>
      <c r="EO631" s="1">
        <f>(Table1[[#This Row],[predicted_9]]-Table1[[#This Row],[actual_9]])/Table1[[#This Row],[actual_9]]</f>
        <v>-5.7482656095143705E-2</v>
      </c>
      <c r="EP631" s="1">
        <f>1+(Table1[[#This Row],[error_ratio_0]]-EF$2)</f>
        <v>1.0204081632653061</v>
      </c>
      <c r="EQ631" s="1">
        <f>1+(Table1[[#This Row],[error_ratio_1]]-EG$2)</f>
        <v>1.0405286343612334</v>
      </c>
      <c r="ER631" s="1">
        <f>1+(Table1[[#This Row],[error_ratio_2]]-EH$2)</f>
        <v>1.0048449612403101</v>
      </c>
      <c r="ES631" s="1">
        <f>1+(Table1[[#This Row],[error_ratio_3]]-EI$2)</f>
        <v>1.0504950495049505</v>
      </c>
      <c r="ET631" s="1">
        <f>1+(Table1[[#This Row],[error_ratio_4]]-EJ$2)</f>
        <v>0.97861507128309577</v>
      </c>
      <c r="EU631" s="1">
        <f>1+(Table1[[#This Row],[error_ratio_5]]-EK$2)</f>
        <v>0.99663677130044848</v>
      </c>
      <c r="EV631" s="1">
        <f>1+(Table1[[#This Row],[error_ratio_6]]-EL$2)</f>
        <v>1.0031315240083507</v>
      </c>
      <c r="EW631" s="1">
        <f>1+(Table1[[#This Row],[error_ratio_7]]-EM$2)</f>
        <v>0.98054474708171202</v>
      </c>
      <c r="EX631" s="1">
        <f>1+(Table1[[#This Row],[error_ratio_8]]-EN$2)</f>
        <v>0.97227926078028748</v>
      </c>
      <c r="EY631" s="1">
        <f>1+(Table1[[#This Row],[error_ratio_9]]-EO$2)</f>
        <v>0.94648166501486619</v>
      </c>
    </row>
    <row r="632" spans="1:155" x14ac:dyDescent="0.75">
      <c r="A632">
        <v>10</v>
      </c>
      <c r="B632">
        <v>100</v>
      </c>
      <c r="C632">
        <v>100</v>
      </c>
      <c r="D632">
        <v>100</v>
      </c>
      <c r="E632">
        <v>10</v>
      </c>
      <c r="F632">
        <v>10</v>
      </c>
      <c r="G632">
        <v>100</v>
      </c>
      <c r="H632">
        <v>10</v>
      </c>
      <c r="I632">
        <v>100</v>
      </c>
      <c r="J632">
        <v>10</v>
      </c>
      <c r="K632">
        <v>975</v>
      </c>
      <c r="L632">
        <v>1157</v>
      </c>
      <c r="M632">
        <v>1070</v>
      </c>
      <c r="N632">
        <v>1058</v>
      </c>
      <c r="O632">
        <v>976</v>
      </c>
      <c r="P632">
        <v>871</v>
      </c>
      <c r="Q632">
        <v>957</v>
      </c>
      <c r="R632">
        <v>970</v>
      </c>
      <c r="S632">
        <v>1011</v>
      </c>
      <c r="T632">
        <v>955</v>
      </c>
      <c r="U632">
        <v>980</v>
      </c>
      <c r="V632">
        <v>1135</v>
      </c>
      <c r="W632">
        <v>1032</v>
      </c>
      <c r="X632">
        <v>1010</v>
      </c>
      <c r="Y632">
        <v>982</v>
      </c>
      <c r="Z632">
        <v>892</v>
      </c>
      <c r="AA632">
        <v>958</v>
      </c>
      <c r="AB632">
        <v>1028</v>
      </c>
      <c r="AC632">
        <v>974</v>
      </c>
      <c r="AD632">
        <v>1009</v>
      </c>
      <c r="AE632">
        <v>961</v>
      </c>
      <c r="AF632">
        <v>0</v>
      </c>
      <c r="AG632">
        <v>5</v>
      </c>
      <c r="AH632">
        <v>0</v>
      </c>
      <c r="AI632">
        <v>0</v>
      </c>
      <c r="AJ632">
        <v>1</v>
      </c>
      <c r="AK632">
        <v>7</v>
      </c>
      <c r="AL632">
        <v>2</v>
      </c>
      <c r="AM632">
        <v>2</v>
      </c>
      <c r="AN632">
        <v>2</v>
      </c>
      <c r="AO632">
        <v>0</v>
      </c>
      <c r="AP632">
        <v>1130</v>
      </c>
      <c r="AQ632">
        <v>3</v>
      </c>
      <c r="AR632">
        <v>2</v>
      </c>
      <c r="AS632">
        <v>0</v>
      </c>
      <c r="AT632">
        <v>0</v>
      </c>
      <c r="AU632">
        <v>0</v>
      </c>
      <c r="AV632">
        <v>0</v>
      </c>
      <c r="AW632">
        <v>0</v>
      </c>
      <c r="AX632">
        <v>0</v>
      </c>
      <c r="AY632">
        <v>0</v>
      </c>
      <c r="AZ632">
        <v>1</v>
      </c>
      <c r="BA632">
        <v>1026</v>
      </c>
      <c r="BB632">
        <v>4</v>
      </c>
      <c r="BC632">
        <v>1</v>
      </c>
      <c r="BD632">
        <v>0</v>
      </c>
      <c r="BE632">
        <v>0</v>
      </c>
      <c r="BF632">
        <v>0</v>
      </c>
      <c r="BG632">
        <v>0</v>
      </c>
      <c r="BH632">
        <v>0</v>
      </c>
      <c r="BI632">
        <v>0</v>
      </c>
      <c r="BJ632">
        <v>0</v>
      </c>
      <c r="BK632">
        <v>2</v>
      </c>
      <c r="BL632">
        <v>1004</v>
      </c>
      <c r="BM632">
        <v>0</v>
      </c>
      <c r="BN632">
        <v>2</v>
      </c>
      <c r="BO632">
        <v>0</v>
      </c>
      <c r="BP632">
        <v>1</v>
      </c>
      <c r="BQ632">
        <v>1</v>
      </c>
      <c r="BR632">
        <v>0</v>
      </c>
      <c r="BS632">
        <v>0</v>
      </c>
      <c r="BT632">
        <v>2</v>
      </c>
      <c r="BU632">
        <v>1</v>
      </c>
      <c r="BV632">
        <v>0</v>
      </c>
      <c r="BW632">
        <v>957</v>
      </c>
      <c r="BX632">
        <v>0</v>
      </c>
      <c r="BY632">
        <v>0</v>
      </c>
      <c r="BZ632">
        <v>0</v>
      </c>
      <c r="CA632">
        <v>8</v>
      </c>
      <c r="CB632">
        <v>14</v>
      </c>
      <c r="CC632">
        <v>2</v>
      </c>
      <c r="CD632">
        <v>1</v>
      </c>
      <c r="CE632">
        <v>1</v>
      </c>
      <c r="CF632">
        <v>18</v>
      </c>
      <c r="CG632">
        <v>0</v>
      </c>
      <c r="CH632">
        <v>850</v>
      </c>
      <c r="CI632">
        <v>8</v>
      </c>
      <c r="CJ632">
        <v>0</v>
      </c>
      <c r="CK632">
        <v>12</v>
      </c>
      <c r="CL632">
        <v>0</v>
      </c>
      <c r="CM632">
        <v>3</v>
      </c>
      <c r="CN632">
        <v>2</v>
      </c>
      <c r="CO632">
        <v>0</v>
      </c>
      <c r="CP632">
        <v>0</v>
      </c>
      <c r="CQ632">
        <v>8</v>
      </c>
      <c r="CR632">
        <v>1</v>
      </c>
      <c r="CS632">
        <v>942</v>
      </c>
      <c r="CT632">
        <v>0</v>
      </c>
      <c r="CU632">
        <v>2</v>
      </c>
      <c r="CV632">
        <v>0</v>
      </c>
      <c r="CW632">
        <v>1</v>
      </c>
      <c r="CX632">
        <v>17</v>
      </c>
      <c r="CY632">
        <v>28</v>
      </c>
      <c r="CZ632">
        <v>11</v>
      </c>
      <c r="DA632">
        <v>0</v>
      </c>
      <c r="DB632">
        <v>0</v>
      </c>
      <c r="DC632">
        <v>0</v>
      </c>
      <c r="DD632">
        <v>962</v>
      </c>
      <c r="DE632">
        <v>3</v>
      </c>
      <c r="DF632">
        <v>6</v>
      </c>
      <c r="DG632">
        <v>3</v>
      </c>
      <c r="DH632">
        <v>0</v>
      </c>
      <c r="DI632">
        <v>4</v>
      </c>
      <c r="DJ632">
        <v>5</v>
      </c>
      <c r="DK632">
        <v>0</v>
      </c>
      <c r="DL632">
        <v>0</v>
      </c>
      <c r="DM632">
        <v>0</v>
      </c>
      <c r="DN632">
        <v>0</v>
      </c>
      <c r="DO632">
        <v>960</v>
      </c>
      <c r="DP632">
        <v>2</v>
      </c>
      <c r="DQ632">
        <v>5</v>
      </c>
      <c r="DR632">
        <v>4</v>
      </c>
      <c r="DS632">
        <v>0</v>
      </c>
      <c r="DT632">
        <v>14</v>
      </c>
      <c r="DU632">
        <v>10</v>
      </c>
      <c r="DV632">
        <v>17</v>
      </c>
      <c r="DW632">
        <v>0</v>
      </c>
      <c r="DX632">
        <v>5</v>
      </c>
      <c r="DY632">
        <v>23</v>
      </c>
      <c r="DZ632">
        <v>931</v>
      </c>
      <c r="EA632">
        <v>0.97230000000000005</v>
      </c>
      <c r="EB632">
        <v>0.97270687893875496</v>
      </c>
      <c r="EC632">
        <v>0.97193271864544795</v>
      </c>
      <c r="ED632">
        <v>0.97202462907982101</v>
      </c>
      <c r="EE632">
        <f>SUM(Table1[[#This Row],[ratio_0]:[ratio_9]])</f>
        <v>550</v>
      </c>
      <c r="EF632" s="1">
        <f>(Table1[[#This Row],[predicted_0]]-Table1[[#This Row],[actual_0]])/Table1[[#This Row],[actual_0]]</f>
        <v>-5.1020408163265302E-3</v>
      </c>
      <c r="EG632" s="1">
        <f>(Table1[[#This Row],[predicted_1]]-Table1[[#This Row],[actual_1]])/Table1[[#This Row],[actual_1]]</f>
        <v>1.9383259911894272E-2</v>
      </c>
      <c r="EH632" s="1">
        <f>(Table1[[#This Row],[predicted_2]]-Table1[[#This Row],[actual_2]])/Table1[[#This Row],[actual_2]]</f>
        <v>3.6821705426356592E-2</v>
      </c>
      <c r="EI632" s="1">
        <f>(Table1[[#This Row],[predicted_3]]-Table1[[#This Row],[actual_3]])/Table1[[#This Row],[actual_3]]</f>
        <v>4.7524752475247525E-2</v>
      </c>
      <c r="EJ632" s="1">
        <f>(Table1[[#This Row],[predicted_4]]-Table1[[#This Row],[actual_4]])/Table1[[#This Row],[actual_4]]</f>
        <v>-6.1099796334012219E-3</v>
      </c>
      <c r="EK632" s="1">
        <f>(Table1[[#This Row],[predicted_5]]-Table1[[#This Row],[actual_5]])/Table1[[#This Row],[actual_5]]</f>
        <v>-2.3542600896860985E-2</v>
      </c>
      <c r="EL632" s="1">
        <f>(Table1[[#This Row],[predicted_6]]-Table1[[#This Row],[actual_6]])/Table1[[#This Row],[actual_6]]</f>
        <v>-1.0438413361169101E-3</v>
      </c>
      <c r="EM632" s="1">
        <f>(Table1[[#This Row],[predicted_7]]-Table1[[#This Row],[actual_7]])/Table1[[#This Row],[actual_7]]</f>
        <v>-5.642023346303502E-2</v>
      </c>
      <c r="EN632" s="1">
        <f>(Table1[[#This Row],[predicted_8]]-Table1[[#This Row],[actual_8]])/Table1[[#This Row],[actual_8]]</f>
        <v>3.7987679671457907E-2</v>
      </c>
      <c r="EO632" s="1">
        <f>(Table1[[#This Row],[predicted_9]]-Table1[[#This Row],[actual_9]])/Table1[[#This Row],[actual_9]]</f>
        <v>-5.3518334985133795E-2</v>
      </c>
      <c r="EP632" s="1">
        <f>1+(Table1[[#This Row],[error_ratio_0]]-EF$2)</f>
        <v>0.99285714285714288</v>
      </c>
      <c r="EQ632" s="1">
        <f>1+(Table1[[#This Row],[error_ratio_1]]-EG$2)</f>
        <v>1.0176211453744493</v>
      </c>
      <c r="ER632" s="1">
        <f>1+(Table1[[#This Row],[error_ratio_2]]-EH$2)</f>
        <v>1.0416666666666667</v>
      </c>
      <c r="ES632" s="1">
        <f>1+(Table1[[#This Row],[error_ratio_3]]-EI$2)</f>
        <v>1.0376237623762377</v>
      </c>
      <c r="ET632" s="1">
        <f>1+(Table1[[#This Row],[error_ratio_4]]-EJ$2)</f>
        <v>0.99287169042769863</v>
      </c>
      <c r="EU632" s="1">
        <f>1+(Table1[[#This Row],[error_ratio_5]]-EK$2)</f>
        <v>0.9753363228699552</v>
      </c>
      <c r="EV632" s="1">
        <f>1+(Table1[[#This Row],[error_ratio_6]]-EL$2)</f>
        <v>1.0052192066805845</v>
      </c>
      <c r="EW632" s="1">
        <f>1+(Table1[[#This Row],[error_ratio_7]]-EM$2)</f>
        <v>0.94163424124513617</v>
      </c>
      <c r="EX632" s="1">
        <f>1+(Table1[[#This Row],[error_ratio_8]]-EN$2)</f>
        <v>1.0410677618069815</v>
      </c>
      <c r="EY632" s="1">
        <f>1+(Table1[[#This Row],[error_ratio_9]]-EO$2)</f>
        <v>0.95044598612487607</v>
      </c>
    </row>
    <row r="633" spans="1:155" x14ac:dyDescent="0.75">
      <c r="A633">
        <v>100</v>
      </c>
      <c r="B633">
        <v>10</v>
      </c>
      <c r="C633">
        <v>100</v>
      </c>
      <c r="D633">
        <v>100</v>
      </c>
      <c r="E633">
        <v>10</v>
      </c>
      <c r="F633">
        <v>10</v>
      </c>
      <c r="G633">
        <v>100</v>
      </c>
      <c r="H633">
        <v>10</v>
      </c>
      <c r="I633">
        <v>100</v>
      </c>
      <c r="J633">
        <v>10</v>
      </c>
      <c r="K633">
        <v>1025</v>
      </c>
      <c r="L633">
        <v>1124</v>
      </c>
      <c r="M633">
        <v>1124</v>
      </c>
      <c r="N633">
        <v>1099</v>
      </c>
      <c r="O633">
        <v>866</v>
      </c>
      <c r="P633">
        <v>837</v>
      </c>
      <c r="Q633">
        <v>1028</v>
      </c>
      <c r="R633">
        <v>913</v>
      </c>
      <c r="S633">
        <v>1055</v>
      </c>
      <c r="T633">
        <v>929</v>
      </c>
      <c r="U633">
        <v>980</v>
      </c>
      <c r="V633">
        <v>1135</v>
      </c>
      <c r="W633">
        <v>1032</v>
      </c>
      <c r="X633">
        <v>1010</v>
      </c>
      <c r="Y633">
        <v>982</v>
      </c>
      <c r="Z633">
        <v>892</v>
      </c>
      <c r="AA633">
        <v>958</v>
      </c>
      <c r="AB633">
        <v>1028</v>
      </c>
      <c r="AC633">
        <v>974</v>
      </c>
      <c r="AD633">
        <v>1009</v>
      </c>
      <c r="AE633">
        <v>974</v>
      </c>
      <c r="AF633">
        <v>0</v>
      </c>
      <c r="AG633">
        <v>2</v>
      </c>
      <c r="AH633">
        <v>0</v>
      </c>
      <c r="AI633">
        <v>0</v>
      </c>
      <c r="AJ633">
        <v>0</v>
      </c>
      <c r="AK633">
        <v>2</v>
      </c>
      <c r="AL633">
        <v>1</v>
      </c>
      <c r="AM633">
        <v>1</v>
      </c>
      <c r="AN633">
        <v>0</v>
      </c>
      <c r="AO633">
        <v>0</v>
      </c>
      <c r="AP633">
        <v>1107</v>
      </c>
      <c r="AQ633">
        <v>7</v>
      </c>
      <c r="AR633">
        <v>4</v>
      </c>
      <c r="AS633">
        <v>0</v>
      </c>
      <c r="AT633">
        <v>2</v>
      </c>
      <c r="AU633">
        <v>12</v>
      </c>
      <c r="AV633">
        <v>0</v>
      </c>
      <c r="AW633">
        <v>3</v>
      </c>
      <c r="AX633">
        <v>0</v>
      </c>
      <c r="AY633">
        <v>1</v>
      </c>
      <c r="AZ633">
        <v>0</v>
      </c>
      <c r="BA633">
        <v>1027</v>
      </c>
      <c r="BB633">
        <v>3</v>
      </c>
      <c r="BC633">
        <v>0</v>
      </c>
      <c r="BD633">
        <v>0</v>
      </c>
      <c r="BE633">
        <v>0</v>
      </c>
      <c r="BF633">
        <v>0</v>
      </c>
      <c r="BG633">
        <v>1</v>
      </c>
      <c r="BH633">
        <v>0</v>
      </c>
      <c r="BI633">
        <v>0</v>
      </c>
      <c r="BJ633">
        <v>0</v>
      </c>
      <c r="BK633">
        <v>2</v>
      </c>
      <c r="BL633">
        <v>1007</v>
      </c>
      <c r="BM633">
        <v>0</v>
      </c>
      <c r="BN633">
        <v>1</v>
      </c>
      <c r="BO633">
        <v>0</v>
      </c>
      <c r="BP633">
        <v>0</v>
      </c>
      <c r="BQ633">
        <v>0</v>
      </c>
      <c r="BR633">
        <v>0</v>
      </c>
      <c r="BS633">
        <v>11</v>
      </c>
      <c r="BT633">
        <v>3</v>
      </c>
      <c r="BU633">
        <v>33</v>
      </c>
      <c r="BV633">
        <v>1</v>
      </c>
      <c r="BW633">
        <v>862</v>
      </c>
      <c r="BX633">
        <v>0</v>
      </c>
      <c r="BY633">
        <v>33</v>
      </c>
      <c r="BZ633">
        <v>0</v>
      </c>
      <c r="CA633">
        <v>23</v>
      </c>
      <c r="CB633">
        <v>16</v>
      </c>
      <c r="CC633">
        <v>10</v>
      </c>
      <c r="CD633">
        <v>0</v>
      </c>
      <c r="CE633">
        <v>1</v>
      </c>
      <c r="CF633">
        <v>27</v>
      </c>
      <c r="CG633">
        <v>0</v>
      </c>
      <c r="CH633">
        <v>819</v>
      </c>
      <c r="CI633">
        <v>26</v>
      </c>
      <c r="CJ633">
        <v>0</v>
      </c>
      <c r="CK633">
        <v>9</v>
      </c>
      <c r="CL633">
        <v>0</v>
      </c>
      <c r="CM633">
        <v>5</v>
      </c>
      <c r="CN633">
        <v>1</v>
      </c>
      <c r="CO633">
        <v>1</v>
      </c>
      <c r="CP633">
        <v>0</v>
      </c>
      <c r="CQ633">
        <v>1</v>
      </c>
      <c r="CR633">
        <v>1</v>
      </c>
      <c r="CS633">
        <v>948</v>
      </c>
      <c r="CT633">
        <v>0</v>
      </c>
      <c r="CU633">
        <v>1</v>
      </c>
      <c r="CV633">
        <v>0</v>
      </c>
      <c r="CW633">
        <v>7</v>
      </c>
      <c r="CX633">
        <v>8</v>
      </c>
      <c r="CY633">
        <v>48</v>
      </c>
      <c r="CZ633">
        <v>31</v>
      </c>
      <c r="DA633">
        <v>2</v>
      </c>
      <c r="DB633">
        <v>5</v>
      </c>
      <c r="DC633">
        <v>0</v>
      </c>
      <c r="DD633">
        <v>908</v>
      </c>
      <c r="DE633">
        <v>9</v>
      </c>
      <c r="DF633">
        <v>10</v>
      </c>
      <c r="DG633">
        <v>5</v>
      </c>
      <c r="DH633">
        <v>0</v>
      </c>
      <c r="DI633">
        <v>2</v>
      </c>
      <c r="DJ633">
        <v>1</v>
      </c>
      <c r="DK633">
        <v>0</v>
      </c>
      <c r="DL633">
        <v>0</v>
      </c>
      <c r="DM633">
        <v>3</v>
      </c>
      <c r="DN633">
        <v>0</v>
      </c>
      <c r="DO633">
        <v>962</v>
      </c>
      <c r="DP633">
        <v>1</v>
      </c>
      <c r="DQ633">
        <v>12</v>
      </c>
      <c r="DR633">
        <v>5</v>
      </c>
      <c r="DS633">
        <v>1</v>
      </c>
      <c r="DT633">
        <v>25</v>
      </c>
      <c r="DU633">
        <v>1</v>
      </c>
      <c r="DV633">
        <v>9</v>
      </c>
      <c r="DW633">
        <v>4</v>
      </c>
      <c r="DX633">
        <v>4</v>
      </c>
      <c r="DY633">
        <v>46</v>
      </c>
      <c r="DZ633">
        <v>902</v>
      </c>
      <c r="EA633">
        <v>0.9516</v>
      </c>
      <c r="EB633">
        <v>0.95384710041779097</v>
      </c>
      <c r="EC633">
        <v>0.951181868242996</v>
      </c>
      <c r="ED633">
        <v>0.95089546378013201</v>
      </c>
      <c r="EE633">
        <f>SUM(Table1[[#This Row],[ratio_0]:[ratio_9]])</f>
        <v>550</v>
      </c>
      <c r="EF633" s="1">
        <f>(Table1[[#This Row],[predicted_0]]-Table1[[#This Row],[actual_0]])/Table1[[#This Row],[actual_0]]</f>
        <v>4.5918367346938778E-2</v>
      </c>
      <c r="EG633" s="1">
        <f>(Table1[[#This Row],[predicted_1]]-Table1[[#This Row],[actual_1]])/Table1[[#This Row],[actual_1]]</f>
        <v>-9.6916299559471359E-3</v>
      </c>
      <c r="EH633" s="1">
        <f>(Table1[[#This Row],[predicted_2]]-Table1[[#This Row],[actual_2]])/Table1[[#This Row],[actual_2]]</f>
        <v>8.9147286821705432E-2</v>
      </c>
      <c r="EI633" s="1">
        <f>(Table1[[#This Row],[predicted_3]]-Table1[[#This Row],[actual_3]])/Table1[[#This Row],[actual_3]]</f>
        <v>8.8118811881188114E-2</v>
      </c>
      <c r="EJ633" s="1">
        <f>(Table1[[#This Row],[predicted_4]]-Table1[[#This Row],[actual_4]])/Table1[[#This Row],[actual_4]]</f>
        <v>-0.11812627291242363</v>
      </c>
      <c r="EK633" s="1">
        <f>(Table1[[#This Row],[predicted_5]]-Table1[[#This Row],[actual_5]])/Table1[[#This Row],[actual_5]]</f>
        <v>-6.1659192825112105E-2</v>
      </c>
      <c r="EL633" s="1">
        <f>(Table1[[#This Row],[predicted_6]]-Table1[[#This Row],[actual_6]])/Table1[[#This Row],[actual_6]]</f>
        <v>7.3068893528183715E-2</v>
      </c>
      <c r="EM633" s="1">
        <f>(Table1[[#This Row],[predicted_7]]-Table1[[#This Row],[actual_7]])/Table1[[#This Row],[actual_7]]</f>
        <v>-0.11186770428015565</v>
      </c>
      <c r="EN633" s="1">
        <f>(Table1[[#This Row],[predicted_8]]-Table1[[#This Row],[actual_8]])/Table1[[#This Row],[actual_8]]</f>
        <v>8.3162217659137574E-2</v>
      </c>
      <c r="EO633" s="1">
        <f>(Table1[[#This Row],[predicted_9]]-Table1[[#This Row],[actual_9]])/Table1[[#This Row],[actual_9]]</f>
        <v>-7.9286422200198214E-2</v>
      </c>
      <c r="EP633" s="1">
        <f>1+(Table1[[#This Row],[error_ratio_0]]-EF$2)</f>
        <v>1.0438775510204081</v>
      </c>
      <c r="EQ633" s="1">
        <f>1+(Table1[[#This Row],[error_ratio_1]]-EG$2)</f>
        <v>0.98854625550660791</v>
      </c>
      <c r="ER633" s="1">
        <f>1+(Table1[[#This Row],[error_ratio_2]]-EH$2)</f>
        <v>1.0939922480620154</v>
      </c>
      <c r="ES633" s="1">
        <f>1+(Table1[[#This Row],[error_ratio_3]]-EI$2)</f>
        <v>1.0782178217821783</v>
      </c>
      <c r="ET633" s="1">
        <f>1+(Table1[[#This Row],[error_ratio_4]]-EJ$2)</f>
        <v>0.88085539714867611</v>
      </c>
      <c r="EU633" s="1">
        <f>1+(Table1[[#This Row],[error_ratio_5]]-EK$2)</f>
        <v>0.93721973094170408</v>
      </c>
      <c r="EV633" s="1">
        <f>1+(Table1[[#This Row],[error_ratio_6]]-EL$2)</f>
        <v>1.0793319415448852</v>
      </c>
      <c r="EW633" s="1">
        <f>1+(Table1[[#This Row],[error_ratio_7]]-EM$2)</f>
        <v>0.88618677042801552</v>
      </c>
      <c r="EX633" s="1">
        <f>1+(Table1[[#This Row],[error_ratio_8]]-EN$2)</f>
        <v>1.0862422997946612</v>
      </c>
      <c r="EY633" s="1">
        <f>1+(Table1[[#This Row],[error_ratio_9]]-EO$2)</f>
        <v>0.92467789890981167</v>
      </c>
    </row>
    <row r="634" spans="1:155" x14ac:dyDescent="0.75">
      <c r="A634">
        <v>10</v>
      </c>
      <c r="B634">
        <v>10</v>
      </c>
      <c r="C634">
        <v>100</v>
      </c>
      <c r="D634">
        <v>100</v>
      </c>
      <c r="E634">
        <v>10</v>
      </c>
      <c r="F634">
        <v>10</v>
      </c>
      <c r="G634">
        <v>100</v>
      </c>
      <c r="H634">
        <v>10</v>
      </c>
      <c r="I634">
        <v>100</v>
      </c>
      <c r="J634">
        <v>10</v>
      </c>
      <c r="K634">
        <v>960</v>
      </c>
      <c r="L634">
        <v>1141</v>
      </c>
      <c r="M634">
        <v>1069</v>
      </c>
      <c r="N634">
        <v>1061</v>
      </c>
      <c r="O634">
        <v>922</v>
      </c>
      <c r="P634">
        <v>861</v>
      </c>
      <c r="Q634">
        <v>1015</v>
      </c>
      <c r="R634">
        <v>983</v>
      </c>
      <c r="S634">
        <v>1004</v>
      </c>
      <c r="T634">
        <v>984</v>
      </c>
      <c r="U634">
        <v>980</v>
      </c>
      <c r="V634">
        <v>1135</v>
      </c>
      <c r="W634">
        <v>1032</v>
      </c>
      <c r="X634">
        <v>1010</v>
      </c>
      <c r="Y634">
        <v>982</v>
      </c>
      <c r="Z634">
        <v>892</v>
      </c>
      <c r="AA634">
        <v>958</v>
      </c>
      <c r="AB634">
        <v>1028</v>
      </c>
      <c r="AC634">
        <v>974</v>
      </c>
      <c r="AD634">
        <v>1009</v>
      </c>
      <c r="AE634">
        <v>946</v>
      </c>
      <c r="AF634">
        <v>1</v>
      </c>
      <c r="AG634">
        <v>3</v>
      </c>
      <c r="AH634">
        <v>1</v>
      </c>
      <c r="AI634">
        <v>0</v>
      </c>
      <c r="AJ634">
        <v>1</v>
      </c>
      <c r="AK634">
        <v>21</v>
      </c>
      <c r="AL634">
        <v>3</v>
      </c>
      <c r="AM634">
        <v>4</v>
      </c>
      <c r="AN634">
        <v>0</v>
      </c>
      <c r="AO634">
        <v>0</v>
      </c>
      <c r="AP634">
        <v>1125</v>
      </c>
      <c r="AQ634">
        <v>2</v>
      </c>
      <c r="AR634">
        <v>2</v>
      </c>
      <c r="AS634">
        <v>0</v>
      </c>
      <c r="AT634">
        <v>1</v>
      </c>
      <c r="AU634">
        <v>4</v>
      </c>
      <c r="AV634">
        <v>0</v>
      </c>
      <c r="AW634">
        <v>1</v>
      </c>
      <c r="AX634">
        <v>0</v>
      </c>
      <c r="AY634">
        <v>1</v>
      </c>
      <c r="AZ634">
        <v>0</v>
      </c>
      <c r="BA634">
        <v>1023</v>
      </c>
      <c r="BB634">
        <v>1</v>
      </c>
      <c r="BC634">
        <v>0</v>
      </c>
      <c r="BD634">
        <v>0</v>
      </c>
      <c r="BE634">
        <v>4</v>
      </c>
      <c r="BF634">
        <v>1</v>
      </c>
      <c r="BG634">
        <v>2</v>
      </c>
      <c r="BH634">
        <v>0</v>
      </c>
      <c r="BI634">
        <v>0</v>
      </c>
      <c r="BJ634">
        <v>0</v>
      </c>
      <c r="BK634">
        <v>2</v>
      </c>
      <c r="BL634">
        <v>1000</v>
      </c>
      <c r="BM634">
        <v>0</v>
      </c>
      <c r="BN634">
        <v>3</v>
      </c>
      <c r="BO634">
        <v>0</v>
      </c>
      <c r="BP634">
        <v>2</v>
      </c>
      <c r="BQ634">
        <v>3</v>
      </c>
      <c r="BR634">
        <v>0</v>
      </c>
      <c r="BS634">
        <v>2</v>
      </c>
      <c r="BT634">
        <v>1</v>
      </c>
      <c r="BU634">
        <v>3</v>
      </c>
      <c r="BV634">
        <v>0</v>
      </c>
      <c r="BW634">
        <v>916</v>
      </c>
      <c r="BX634">
        <v>0</v>
      </c>
      <c r="BY634">
        <v>11</v>
      </c>
      <c r="BZ634">
        <v>1</v>
      </c>
      <c r="CA634">
        <v>3</v>
      </c>
      <c r="CB634">
        <v>45</v>
      </c>
      <c r="CC634">
        <v>2</v>
      </c>
      <c r="CD634">
        <v>0</v>
      </c>
      <c r="CE634">
        <v>1</v>
      </c>
      <c r="CF634">
        <v>22</v>
      </c>
      <c r="CG634">
        <v>0</v>
      </c>
      <c r="CH634">
        <v>843</v>
      </c>
      <c r="CI634">
        <v>18</v>
      </c>
      <c r="CJ634">
        <v>0</v>
      </c>
      <c r="CK634">
        <v>6</v>
      </c>
      <c r="CL634">
        <v>0</v>
      </c>
      <c r="CM634">
        <v>2</v>
      </c>
      <c r="CN634">
        <v>2</v>
      </c>
      <c r="CO634">
        <v>0</v>
      </c>
      <c r="CP634">
        <v>0</v>
      </c>
      <c r="CQ634">
        <v>0</v>
      </c>
      <c r="CR634">
        <v>1</v>
      </c>
      <c r="CS634">
        <v>952</v>
      </c>
      <c r="CT634">
        <v>0</v>
      </c>
      <c r="CU634">
        <v>0</v>
      </c>
      <c r="CV634">
        <v>1</v>
      </c>
      <c r="CW634">
        <v>1</v>
      </c>
      <c r="CX634">
        <v>9</v>
      </c>
      <c r="CY634">
        <v>27</v>
      </c>
      <c r="CZ634">
        <v>11</v>
      </c>
      <c r="DA634">
        <v>0</v>
      </c>
      <c r="DB634">
        <v>2</v>
      </c>
      <c r="DC634">
        <v>1</v>
      </c>
      <c r="DD634">
        <v>963</v>
      </c>
      <c r="DE634">
        <v>2</v>
      </c>
      <c r="DF634">
        <v>12</v>
      </c>
      <c r="DG634">
        <v>1</v>
      </c>
      <c r="DH634">
        <v>0</v>
      </c>
      <c r="DI634">
        <v>6</v>
      </c>
      <c r="DJ634">
        <v>2</v>
      </c>
      <c r="DK634">
        <v>1</v>
      </c>
      <c r="DL634">
        <v>0</v>
      </c>
      <c r="DM634">
        <v>2</v>
      </c>
      <c r="DN634">
        <v>0</v>
      </c>
      <c r="DO634">
        <v>961</v>
      </c>
      <c r="DP634">
        <v>1</v>
      </c>
      <c r="DQ634">
        <v>5</v>
      </c>
      <c r="DR634">
        <v>3</v>
      </c>
      <c r="DS634">
        <v>2</v>
      </c>
      <c r="DT634">
        <v>22</v>
      </c>
      <c r="DU634">
        <v>5</v>
      </c>
      <c r="DV634">
        <v>10</v>
      </c>
      <c r="DW634">
        <v>2</v>
      </c>
      <c r="DX634">
        <v>13</v>
      </c>
      <c r="DY634">
        <v>22</v>
      </c>
      <c r="DZ634">
        <v>925</v>
      </c>
      <c r="EA634">
        <v>0.96540000000000004</v>
      </c>
      <c r="EB634">
        <v>0.965825368260397</v>
      </c>
      <c r="EC634">
        <v>0.96496407321381505</v>
      </c>
      <c r="ED634">
        <v>0.96500356894057604</v>
      </c>
      <c r="EE634">
        <f>SUM(Table1[[#This Row],[ratio_0]:[ratio_9]])</f>
        <v>460</v>
      </c>
      <c r="EF634" s="1">
        <f>(Table1[[#This Row],[predicted_0]]-Table1[[#This Row],[actual_0]])/Table1[[#This Row],[actual_0]]</f>
        <v>-2.0408163265306121E-2</v>
      </c>
      <c r="EG634" s="1">
        <f>(Table1[[#This Row],[predicted_1]]-Table1[[#This Row],[actual_1]])/Table1[[#This Row],[actual_1]]</f>
        <v>5.2863436123348016E-3</v>
      </c>
      <c r="EH634" s="1">
        <f>(Table1[[#This Row],[predicted_2]]-Table1[[#This Row],[actual_2]])/Table1[[#This Row],[actual_2]]</f>
        <v>3.5852713178294575E-2</v>
      </c>
      <c r="EI634" s="1">
        <f>(Table1[[#This Row],[predicted_3]]-Table1[[#This Row],[actual_3]])/Table1[[#This Row],[actual_3]]</f>
        <v>5.0495049504950498E-2</v>
      </c>
      <c r="EJ634" s="1">
        <f>(Table1[[#This Row],[predicted_4]]-Table1[[#This Row],[actual_4]])/Table1[[#This Row],[actual_4]]</f>
        <v>-6.1099796334012219E-2</v>
      </c>
      <c r="EK634" s="1">
        <f>(Table1[[#This Row],[predicted_5]]-Table1[[#This Row],[actual_5]])/Table1[[#This Row],[actual_5]]</f>
        <v>-3.4753363228699555E-2</v>
      </c>
      <c r="EL634" s="1">
        <f>(Table1[[#This Row],[predicted_6]]-Table1[[#This Row],[actual_6]])/Table1[[#This Row],[actual_6]]</f>
        <v>5.9498956158663886E-2</v>
      </c>
      <c r="EM634" s="1">
        <f>(Table1[[#This Row],[predicted_7]]-Table1[[#This Row],[actual_7]])/Table1[[#This Row],[actual_7]]</f>
        <v>-4.3774319066147857E-2</v>
      </c>
      <c r="EN634" s="1">
        <f>(Table1[[#This Row],[predicted_8]]-Table1[[#This Row],[actual_8]])/Table1[[#This Row],[actual_8]]</f>
        <v>3.0800821355236138E-2</v>
      </c>
      <c r="EO634" s="1">
        <f>(Table1[[#This Row],[predicted_9]]-Table1[[#This Row],[actual_9]])/Table1[[#This Row],[actual_9]]</f>
        <v>-2.4777006937561942E-2</v>
      </c>
      <c r="EP634" s="1">
        <f>1+(Table1[[#This Row],[error_ratio_0]]-EF$2)</f>
        <v>0.97755102040816322</v>
      </c>
      <c r="EQ634" s="1">
        <f>1+(Table1[[#This Row],[error_ratio_1]]-EG$2)</f>
        <v>1.0035242290748898</v>
      </c>
      <c r="ER634" s="1">
        <f>1+(Table1[[#This Row],[error_ratio_2]]-EH$2)</f>
        <v>1.0406976744186047</v>
      </c>
      <c r="ES634" s="1">
        <f>1+(Table1[[#This Row],[error_ratio_3]]-EI$2)</f>
        <v>1.0405940594059406</v>
      </c>
      <c r="ET634" s="1">
        <f>1+(Table1[[#This Row],[error_ratio_4]]-EJ$2)</f>
        <v>0.93788187372708753</v>
      </c>
      <c r="EU634" s="1">
        <f>1+(Table1[[#This Row],[error_ratio_5]]-EK$2)</f>
        <v>0.9641255605381166</v>
      </c>
      <c r="EV634" s="1">
        <f>1+(Table1[[#This Row],[error_ratio_6]]-EL$2)</f>
        <v>1.0657620041753653</v>
      </c>
      <c r="EW634" s="1">
        <f>1+(Table1[[#This Row],[error_ratio_7]]-EM$2)</f>
        <v>0.9542801556420234</v>
      </c>
      <c r="EX634" s="1">
        <f>1+(Table1[[#This Row],[error_ratio_8]]-EN$2)</f>
        <v>1.0338809034907597</v>
      </c>
      <c r="EY634" s="1">
        <f>1+(Table1[[#This Row],[error_ratio_9]]-EO$2)</f>
        <v>0.97918731417244798</v>
      </c>
    </row>
    <row r="635" spans="1:155" x14ac:dyDescent="0.75">
      <c r="A635">
        <v>100</v>
      </c>
      <c r="B635">
        <v>100</v>
      </c>
      <c r="C635">
        <v>10</v>
      </c>
      <c r="D635">
        <v>100</v>
      </c>
      <c r="E635">
        <v>10</v>
      </c>
      <c r="F635">
        <v>10</v>
      </c>
      <c r="G635">
        <v>100</v>
      </c>
      <c r="H635">
        <v>10</v>
      </c>
      <c r="I635">
        <v>100</v>
      </c>
      <c r="J635">
        <v>10</v>
      </c>
      <c r="K635">
        <v>1013</v>
      </c>
      <c r="L635">
        <v>1184</v>
      </c>
      <c r="M635">
        <v>962</v>
      </c>
      <c r="N635">
        <v>1040</v>
      </c>
      <c r="O635">
        <v>948</v>
      </c>
      <c r="P635">
        <v>915</v>
      </c>
      <c r="Q635">
        <v>958</v>
      </c>
      <c r="R635">
        <v>1001</v>
      </c>
      <c r="S635">
        <v>997</v>
      </c>
      <c r="T635">
        <v>982</v>
      </c>
      <c r="U635">
        <v>980</v>
      </c>
      <c r="V635">
        <v>1135</v>
      </c>
      <c r="W635">
        <v>1032</v>
      </c>
      <c r="X635">
        <v>1010</v>
      </c>
      <c r="Y635">
        <v>982</v>
      </c>
      <c r="Z635">
        <v>892</v>
      </c>
      <c r="AA635">
        <v>958</v>
      </c>
      <c r="AB635">
        <v>1028</v>
      </c>
      <c r="AC635">
        <v>974</v>
      </c>
      <c r="AD635">
        <v>1009</v>
      </c>
      <c r="AE635">
        <v>974</v>
      </c>
      <c r="AF635">
        <v>0</v>
      </c>
      <c r="AG635">
        <v>0</v>
      </c>
      <c r="AH635">
        <v>0</v>
      </c>
      <c r="AI635">
        <v>0</v>
      </c>
      <c r="AJ635">
        <v>1</v>
      </c>
      <c r="AK635">
        <v>4</v>
      </c>
      <c r="AL635">
        <v>0</v>
      </c>
      <c r="AM635">
        <v>1</v>
      </c>
      <c r="AN635">
        <v>0</v>
      </c>
      <c r="AO635">
        <v>0</v>
      </c>
      <c r="AP635">
        <v>1129</v>
      </c>
      <c r="AQ635">
        <v>0</v>
      </c>
      <c r="AR635">
        <v>1</v>
      </c>
      <c r="AS635">
        <v>0</v>
      </c>
      <c r="AT635">
        <v>1</v>
      </c>
      <c r="AU635">
        <v>1</v>
      </c>
      <c r="AV635">
        <v>0</v>
      </c>
      <c r="AW635">
        <v>3</v>
      </c>
      <c r="AX635">
        <v>0</v>
      </c>
      <c r="AY635">
        <v>6</v>
      </c>
      <c r="AZ635">
        <v>30</v>
      </c>
      <c r="BA635">
        <v>954</v>
      </c>
      <c r="BB635">
        <v>7</v>
      </c>
      <c r="BC635">
        <v>0</v>
      </c>
      <c r="BD635">
        <v>3</v>
      </c>
      <c r="BE635">
        <v>5</v>
      </c>
      <c r="BF635">
        <v>13</v>
      </c>
      <c r="BG635">
        <v>14</v>
      </c>
      <c r="BH635">
        <v>0</v>
      </c>
      <c r="BI635">
        <v>0</v>
      </c>
      <c r="BJ635">
        <v>0</v>
      </c>
      <c r="BK635">
        <v>0</v>
      </c>
      <c r="BL635">
        <v>997</v>
      </c>
      <c r="BM635">
        <v>0</v>
      </c>
      <c r="BN635">
        <v>10</v>
      </c>
      <c r="BO635">
        <v>0</v>
      </c>
      <c r="BP635">
        <v>1</v>
      </c>
      <c r="BQ635">
        <v>2</v>
      </c>
      <c r="BR635">
        <v>0</v>
      </c>
      <c r="BS635">
        <v>8</v>
      </c>
      <c r="BT635">
        <v>2</v>
      </c>
      <c r="BU635">
        <v>0</v>
      </c>
      <c r="BV635">
        <v>1</v>
      </c>
      <c r="BW635">
        <v>940</v>
      </c>
      <c r="BX635">
        <v>0</v>
      </c>
      <c r="BY635">
        <v>3</v>
      </c>
      <c r="BZ635">
        <v>1</v>
      </c>
      <c r="CA635">
        <v>4</v>
      </c>
      <c r="CB635">
        <v>23</v>
      </c>
      <c r="CC635">
        <v>3</v>
      </c>
      <c r="CD635">
        <v>1</v>
      </c>
      <c r="CE635">
        <v>0</v>
      </c>
      <c r="CF635">
        <v>11</v>
      </c>
      <c r="CG635">
        <v>0</v>
      </c>
      <c r="CH635">
        <v>868</v>
      </c>
      <c r="CI635">
        <v>3</v>
      </c>
      <c r="CJ635">
        <v>1</v>
      </c>
      <c r="CK635">
        <v>5</v>
      </c>
      <c r="CL635">
        <v>0</v>
      </c>
      <c r="CM635">
        <v>9</v>
      </c>
      <c r="CN635">
        <v>2</v>
      </c>
      <c r="CO635">
        <v>0</v>
      </c>
      <c r="CP635">
        <v>1</v>
      </c>
      <c r="CQ635">
        <v>1</v>
      </c>
      <c r="CR635">
        <v>3</v>
      </c>
      <c r="CS635">
        <v>941</v>
      </c>
      <c r="CT635">
        <v>0</v>
      </c>
      <c r="CU635">
        <v>1</v>
      </c>
      <c r="CV635">
        <v>0</v>
      </c>
      <c r="CW635">
        <v>3</v>
      </c>
      <c r="CX635">
        <v>13</v>
      </c>
      <c r="CY635">
        <v>8</v>
      </c>
      <c r="CZ635">
        <v>11</v>
      </c>
      <c r="DA635">
        <v>1</v>
      </c>
      <c r="DB635">
        <v>3</v>
      </c>
      <c r="DC635">
        <v>0</v>
      </c>
      <c r="DD635">
        <v>980</v>
      </c>
      <c r="DE635">
        <v>4</v>
      </c>
      <c r="DF635">
        <v>5</v>
      </c>
      <c r="DG635">
        <v>1</v>
      </c>
      <c r="DH635">
        <v>0</v>
      </c>
      <c r="DI635">
        <v>0</v>
      </c>
      <c r="DJ635">
        <v>4</v>
      </c>
      <c r="DK635">
        <v>0</v>
      </c>
      <c r="DL635">
        <v>7</v>
      </c>
      <c r="DM635">
        <v>1</v>
      </c>
      <c r="DN635">
        <v>0</v>
      </c>
      <c r="DO635">
        <v>957</v>
      </c>
      <c r="DP635">
        <v>4</v>
      </c>
      <c r="DQ635">
        <v>9</v>
      </c>
      <c r="DR635">
        <v>7</v>
      </c>
      <c r="DS635">
        <v>0</v>
      </c>
      <c r="DT635">
        <v>7</v>
      </c>
      <c r="DU635">
        <v>6</v>
      </c>
      <c r="DV635">
        <v>19</v>
      </c>
      <c r="DW635">
        <v>0</v>
      </c>
      <c r="DX635">
        <v>5</v>
      </c>
      <c r="DY635">
        <v>6</v>
      </c>
      <c r="DZ635">
        <v>950</v>
      </c>
      <c r="EA635">
        <v>0.96899999999999997</v>
      </c>
      <c r="EB635">
        <v>0.96941494471135004</v>
      </c>
      <c r="EC635">
        <v>0.96900973930418099</v>
      </c>
      <c r="ED635">
        <v>0.96890944826487402</v>
      </c>
      <c r="EE635">
        <f>SUM(Table1[[#This Row],[ratio_0]:[ratio_9]])</f>
        <v>550</v>
      </c>
      <c r="EF635" s="1">
        <f>(Table1[[#This Row],[predicted_0]]-Table1[[#This Row],[actual_0]])/Table1[[#This Row],[actual_0]]</f>
        <v>3.3673469387755103E-2</v>
      </c>
      <c r="EG635" s="1">
        <f>(Table1[[#This Row],[predicted_1]]-Table1[[#This Row],[actual_1]])/Table1[[#This Row],[actual_1]]</f>
        <v>4.3171806167400878E-2</v>
      </c>
      <c r="EH635" s="1">
        <f>(Table1[[#This Row],[predicted_2]]-Table1[[#This Row],[actual_2]])/Table1[[#This Row],[actual_2]]</f>
        <v>-6.7829457364341081E-2</v>
      </c>
      <c r="EI635" s="1">
        <f>(Table1[[#This Row],[predicted_3]]-Table1[[#This Row],[actual_3]])/Table1[[#This Row],[actual_3]]</f>
        <v>2.9702970297029702E-2</v>
      </c>
      <c r="EJ635" s="1">
        <f>(Table1[[#This Row],[predicted_4]]-Table1[[#This Row],[actual_4]])/Table1[[#This Row],[actual_4]]</f>
        <v>-3.4623217922606926E-2</v>
      </c>
      <c r="EK635" s="1">
        <f>(Table1[[#This Row],[predicted_5]]-Table1[[#This Row],[actual_5]])/Table1[[#This Row],[actual_5]]</f>
        <v>2.5784753363228701E-2</v>
      </c>
      <c r="EL635" s="1">
        <f>(Table1[[#This Row],[predicted_6]]-Table1[[#This Row],[actual_6]])/Table1[[#This Row],[actual_6]]</f>
        <v>0</v>
      </c>
      <c r="EM635" s="1">
        <f>(Table1[[#This Row],[predicted_7]]-Table1[[#This Row],[actual_7]])/Table1[[#This Row],[actual_7]]</f>
        <v>-2.6264591439688716E-2</v>
      </c>
      <c r="EN635" s="1">
        <f>(Table1[[#This Row],[predicted_8]]-Table1[[#This Row],[actual_8]])/Table1[[#This Row],[actual_8]]</f>
        <v>2.3613963039014373E-2</v>
      </c>
      <c r="EO635" s="1">
        <f>(Table1[[#This Row],[predicted_9]]-Table1[[#This Row],[actual_9]])/Table1[[#This Row],[actual_9]]</f>
        <v>-2.6759167492566897E-2</v>
      </c>
      <c r="EP635" s="1">
        <f>1+(Table1[[#This Row],[error_ratio_0]]-EF$2)</f>
        <v>1.0316326530612245</v>
      </c>
      <c r="EQ635" s="1">
        <f>1+(Table1[[#This Row],[error_ratio_1]]-EG$2)</f>
        <v>1.041409691629956</v>
      </c>
      <c r="ER635" s="1">
        <f>1+(Table1[[#This Row],[error_ratio_2]]-EH$2)</f>
        <v>0.93701550387596899</v>
      </c>
      <c r="ES635" s="1">
        <f>1+(Table1[[#This Row],[error_ratio_3]]-EI$2)</f>
        <v>1.0198019801980198</v>
      </c>
      <c r="ET635" s="1">
        <f>1+(Table1[[#This Row],[error_ratio_4]]-EJ$2)</f>
        <v>0.96435845213849292</v>
      </c>
      <c r="EU635" s="1">
        <f>1+(Table1[[#This Row],[error_ratio_5]]-EK$2)</f>
        <v>1.0246636771300448</v>
      </c>
      <c r="EV635" s="1">
        <f>1+(Table1[[#This Row],[error_ratio_6]]-EL$2)</f>
        <v>1.0062630480167014</v>
      </c>
      <c r="EW635" s="1">
        <f>1+(Table1[[#This Row],[error_ratio_7]]-EM$2)</f>
        <v>0.97178988326848248</v>
      </c>
      <c r="EX635" s="1">
        <f>1+(Table1[[#This Row],[error_ratio_8]]-EN$2)</f>
        <v>1.0266940451745379</v>
      </c>
      <c r="EY635" s="1">
        <f>1+(Table1[[#This Row],[error_ratio_9]]-EO$2)</f>
        <v>0.97720515361744298</v>
      </c>
    </row>
    <row r="636" spans="1:155" x14ac:dyDescent="0.75">
      <c r="A636">
        <v>10</v>
      </c>
      <c r="B636">
        <v>100</v>
      </c>
      <c r="C636">
        <v>10</v>
      </c>
      <c r="D636">
        <v>100</v>
      </c>
      <c r="E636">
        <v>10</v>
      </c>
      <c r="F636">
        <v>10</v>
      </c>
      <c r="G636">
        <v>100</v>
      </c>
      <c r="H636">
        <v>10</v>
      </c>
      <c r="I636">
        <v>100</v>
      </c>
      <c r="J636">
        <v>10</v>
      </c>
      <c r="K636">
        <v>898</v>
      </c>
      <c r="L636">
        <v>1155</v>
      </c>
      <c r="M636">
        <v>984</v>
      </c>
      <c r="N636">
        <v>1198</v>
      </c>
      <c r="O636">
        <v>875</v>
      </c>
      <c r="P636">
        <v>883</v>
      </c>
      <c r="Q636">
        <v>1072</v>
      </c>
      <c r="R636">
        <v>839</v>
      </c>
      <c r="S636">
        <v>1318</v>
      </c>
      <c r="T636">
        <v>778</v>
      </c>
      <c r="U636">
        <v>980</v>
      </c>
      <c r="V636">
        <v>1135</v>
      </c>
      <c r="W636">
        <v>1032</v>
      </c>
      <c r="X636">
        <v>1010</v>
      </c>
      <c r="Y636">
        <v>982</v>
      </c>
      <c r="Z636">
        <v>892</v>
      </c>
      <c r="AA636">
        <v>958</v>
      </c>
      <c r="AB636">
        <v>1028</v>
      </c>
      <c r="AC636">
        <v>974</v>
      </c>
      <c r="AD636">
        <v>1009</v>
      </c>
      <c r="AE636">
        <v>890</v>
      </c>
      <c r="AF636">
        <v>0</v>
      </c>
      <c r="AG636">
        <v>1</v>
      </c>
      <c r="AH636">
        <v>3</v>
      </c>
      <c r="AI636">
        <v>0</v>
      </c>
      <c r="AJ636">
        <v>37</v>
      </c>
      <c r="AK636">
        <v>40</v>
      </c>
      <c r="AL636">
        <v>0</v>
      </c>
      <c r="AM636">
        <v>9</v>
      </c>
      <c r="AN636">
        <v>0</v>
      </c>
      <c r="AO636">
        <v>0</v>
      </c>
      <c r="AP636">
        <v>1124</v>
      </c>
      <c r="AQ636">
        <v>0</v>
      </c>
      <c r="AR636">
        <v>0</v>
      </c>
      <c r="AS636">
        <v>0</v>
      </c>
      <c r="AT636">
        <v>1</v>
      </c>
      <c r="AU636">
        <v>7</v>
      </c>
      <c r="AV636">
        <v>0</v>
      </c>
      <c r="AW636">
        <v>3</v>
      </c>
      <c r="AX636">
        <v>0</v>
      </c>
      <c r="AY636">
        <v>0</v>
      </c>
      <c r="AZ636">
        <v>9</v>
      </c>
      <c r="BA636">
        <v>932</v>
      </c>
      <c r="BB636">
        <v>15</v>
      </c>
      <c r="BC636">
        <v>0</v>
      </c>
      <c r="BD636">
        <v>5</v>
      </c>
      <c r="BE636">
        <v>7</v>
      </c>
      <c r="BF636">
        <v>1</v>
      </c>
      <c r="BG636">
        <v>63</v>
      </c>
      <c r="BH636">
        <v>0</v>
      </c>
      <c r="BI636">
        <v>0</v>
      </c>
      <c r="BJ636">
        <v>0</v>
      </c>
      <c r="BK636">
        <v>1</v>
      </c>
      <c r="BL636">
        <v>1004</v>
      </c>
      <c r="BM636">
        <v>0</v>
      </c>
      <c r="BN636">
        <v>4</v>
      </c>
      <c r="BO636">
        <v>0</v>
      </c>
      <c r="BP636">
        <v>0</v>
      </c>
      <c r="BQ636">
        <v>1</v>
      </c>
      <c r="BR636">
        <v>0</v>
      </c>
      <c r="BS636">
        <v>1</v>
      </c>
      <c r="BT636">
        <v>2</v>
      </c>
      <c r="BU636">
        <v>10</v>
      </c>
      <c r="BV636">
        <v>1</v>
      </c>
      <c r="BW636">
        <v>871</v>
      </c>
      <c r="BX636">
        <v>0</v>
      </c>
      <c r="BY636">
        <v>27</v>
      </c>
      <c r="BZ636">
        <v>1</v>
      </c>
      <c r="CA636">
        <v>62</v>
      </c>
      <c r="CB636">
        <v>7</v>
      </c>
      <c r="CC636">
        <v>0</v>
      </c>
      <c r="CD636">
        <v>0</v>
      </c>
      <c r="CE636">
        <v>0</v>
      </c>
      <c r="CF636">
        <v>40</v>
      </c>
      <c r="CG636">
        <v>0</v>
      </c>
      <c r="CH636">
        <v>816</v>
      </c>
      <c r="CI636">
        <v>23</v>
      </c>
      <c r="CJ636">
        <v>0</v>
      </c>
      <c r="CK636">
        <v>13</v>
      </c>
      <c r="CL636">
        <v>0</v>
      </c>
      <c r="CM636">
        <v>1</v>
      </c>
      <c r="CN636">
        <v>1</v>
      </c>
      <c r="CO636">
        <v>0</v>
      </c>
      <c r="CP636">
        <v>0</v>
      </c>
      <c r="CQ636">
        <v>1</v>
      </c>
      <c r="CR636">
        <v>1</v>
      </c>
      <c r="CS636">
        <v>954</v>
      </c>
      <c r="CT636">
        <v>0</v>
      </c>
      <c r="CU636">
        <v>0</v>
      </c>
      <c r="CV636">
        <v>0</v>
      </c>
      <c r="CW636">
        <v>1</v>
      </c>
      <c r="CX636">
        <v>14</v>
      </c>
      <c r="CY636">
        <v>39</v>
      </c>
      <c r="CZ636">
        <v>96</v>
      </c>
      <c r="DA636">
        <v>1</v>
      </c>
      <c r="DB636">
        <v>1</v>
      </c>
      <c r="DC636">
        <v>0</v>
      </c>
      <c r="DD636">
        <v>828</v>
      </c>
      <c r="DE636">
        <v>48</v>
      </c>
      <c r="DF636">
        <v>0</v>
      </c>
      <c r="DG636">
        <v>1</v>
      </c>
      <c r="DH636">
        <v>0</v>
      </c>
      <c r="DI636">
        <v>1</v>
      </c>
      <c r="DJ636">
        <v>8</v>
      </c>
      <c r="DK636">
        <v>0</v>
      </c>
      <c r="DL636">
        <v>1</v>
      </c>
      <c r="DM636">
        <v>11</v>
      </c>
      <c r="DN636">
        <v>0</v>
      </c>
      <c r="DO636">
        <v>952</v>
      </c>
      <c r="DP636">
        <v>0</v>
      </c>
      <c r="DQ636">
        <v>4</v>
      </c>
      <c r="DR636">
        <v>5</v>
      </c>
      <c r="DS636">
        <v>0</v>
      </c>
      <c r="DT636">
        <v>31</v>
      </c>
      <c r="DU636">
        <v>2</v>
      </c>
      <c r="DV636">
        <v>17</v>
      </c>
      <c r="DW636">
        <v>3</v>
      </c>
      <c r="DX636">
        <v>9</v>
      </c>
      <c r="DY636">
        <v>167</v>
      </c>
      <c r="DZ636">
        <v>771</v>
      </c>
      <c r="EA636">
        <v>0.91420000000000001</v>
      </c>
      <c r="EB636">
        <v>0.92591439021563404</v>
      </c>
      <c r="EC636">
        <v>0.91402031299778896</v>
      </c>
      <c r="ED636">
        <v>0.914150864873567</v>
      </c>
      <c r="EE636">
        <f>SUM(Table1[[#This Row],[ratio_0]:[ratio_9]])</f>
        <v>460</v>
      </c>
      <c r="EF636" s="1">
        <f>(Table1[[#This Row],[predicted_0]]-Table1[[#This Row],[actual_0]])/Table1[[#This Row],[actual_0]]</f>
        <v>-8.3673469387755106E-2</v>
      </c>
      <c r="EG636" s="1">
        <f>(Table1[[#This Row],[predicted_1]]-Table1[[#This Row],[actual_1]])/Table1[[#This Row],[actual_1]]</f>
        <v>1.7621145374449341E-2</v>
      </c>
      <c r="EH636" s="1">
        <f>(Table1[[#This Row],[predicted_2]]-Table1[[#This Row],[actual_2]])/Table1[[#This Row],[actual_2]]</f>
        <v>-4.6511627906976744E-2</v>
      </c>
      <c r="EI636" s="1">
        <f>(Table1[[#This Row],[predicted_3]]-Table1[[#This Row],[actual_3]])/Table1[[#This Row],[actual_3]]</f>
        <v>0.18613861386138614</v>
      </c>
      <c r="EJ636" s="1">
        <f>(Table1[[#This Row],[predicted_4]]-Table1[[#This Row],[actual_4]])/Table1[[#This Row],[actual_4]]</f>
        <v>-0.10896130346232179</v>
      </c>
      <c r="EK636" s="1">
        <f>(Table1[[#This Row],[predicted_5]]-Table1[[#This Row],[actual_5]])/Table1[[#This Row],[actual_5]]</f>
        <v>-1.0089686098654708E-2</v>
      </c>
      <c r="EL636" s="1">
        <f>(Table1[[#This Row],[predicted_6]]-Table1[[#This Row],[actual_6]])/Table1[[#This Row],[actual_6]]</f>
        <v>0.11899791231732777</v>
      </c>
      <c r="EM636" s="1">
        <f>(Table1[[#This Row],[predicted_7]]-Table1[[#This Row],[actual_7]])/Table1[[#This Row],[actual_7]]</f>
        <v>-0.18385214007782102</v>
      </c>
      <c r="EN636" s="1">
        <f>(Table1[[#This Row],[predicted_8]]-Table1[[#This Row],[actual_8]])/Table1[[#This Row],[actual_8]]</f>
        <v>0.35318275154004108</v>
      </c>
      <c r="EO636" s="1">
        <f>(Table1[[#This Row],[predicted_9]]-Table1[[#This Row],[actual_9]])/Table1[[#This Row],[actual_9]]</f>
        <v>-0.22893954410307235</v>
      </c>
      <c r="EP636" s="1">
        <f>1+(Table1[[#This Row],[error_ratio_0]]-EF$2)</f>
        <v>0.91428571428571426</v>
      </c>
      <c r="EQ636" s="1">
        <f>1+(Table1[[#This Row],[error_ratio_1]]-EG$2)</f>
        <v>1.0158590308370044</v>
      </c>
      <c r="ER636" s="1">
        <f>1+(Table1[[#This Row],[error_ratio_2]]-EH$2)</f>
        <v>0.95833333333333337</v>
      </c>
      <c r="ES636" s="1">
        <f>1+(Table1[[#This Row],[error_ratio_3]]-EI$2)</f>
        <v>1.1762376237623762</v>
      </c>
      <c r="ET636" s="1">
        <f>1+(Table1[[#This Row],[error_ratio_4]]-EJ$2)</f>
        <v>0.89002036659877803</v>
      </c>
      <c r="EU636" s="1">
        <f>1+(Table1[[#This Row],[error_ratio_5]]-EK$2)</f>
        <v>0.9887892376681614</v>
      </c>
      <c r="EV636" s="1">
        <f>1+(Table1[[#This Row],[error_ratio_6]]-EL$2)</f>
        <v>1.1252609603340291</v>
      </c>
      <c r="EW636" s="1">
        <f>1+(Table1[[#This Row],[error_ratio_7]]-EM$2)</f>
        <v>0.81420233463035019</v>
      </c>
      <c r="EX636" s="1">
        <f>1+(Table1[[#This Row],[error_ratio_8]]-EN$2)</f>
        <v>1.3562628336755647</v>
      </c>
      <c r="EY636" s="1">
        <f>1+(Table1[[#This Row],[error_ratio_9]]-EO$2)</f>
        <v>0.77502477700693762</v>
      </c>
    </row>
    <row r="637" spans="1:155" x14ac:dyDescent="0.75">
      <c r="A637">
        <v>100</v>
      </c>
      <c r="B637">
        <v>10</v>
      </c>
      <c r="C637">
        <v>10</v>
      </c>
      <c r="D637">
        <v>100</v>
      </c>
      <c r="E637">
        <v>10</v>
      </c>
      <c r="F637">
        <v>10</v>
      </c>
      <c r="G637">
        <v>100</v>
      </c>
      <c r="H637">
        <v>10</v>
      </c>
      <c r="I637">
        <v>100</v>
      </c>
      <c r="J637">
        <v>10</v>
      </c>
      <c r="K637">
        <v>1046</v>
      </c>
      <c r="L637">
        <v>1151</v>
      </c>
      <c r="M637">
        <v>997</v>
      </c>
      <c r="N637">
        <v>1090</v>
      </c>
      <c r="O637">
        <v>823</v>
      </c>
      <c r="P637">
        <v>872</v>
      </c>
      <c r="Q637">
        <v>980</v>
      </c>
      <c r="R637">
        <v>965</v>
      </c>
      <c r="S637">
        <v>988</v>
      </c>
      <c r="T637">
        <v>1088</v>
      </c>
      <c r="U637">
        <v>980</v>
      </c>
      <c r="V637">
        <v>1135</v>
      </c>
      <c r="W637">
        <v>1032</v>
      </c>
      <c r="X637">
        <v>1010</v>
      </c>
      <c r="Y637">
        <v>982</v>
      </c>
      <c r="Z637">
        <v>892</v>
      </c>
      <c r="AA637">
        <v>958</v>
      </c>
      <c r="AB637">
        <v>1028</v>
      </c>
      <c r="AC637">
        <v>974</v>
      </c>
      <c r="AD637">
        <v>1009</v>
      </c>
      <c r="AE637">
        <v>980</v>
      </c>
      <c r="AF637">
        <v>0</v>
      </c>
      <c r="AG637">
        <v>0</v>
      </c>
      <c r="AH637">
        <v>0</v>
      </c>
      <c r="AI637">
        <v>0</v>
      </c>
      <c r="AJ637">
        <v>0</v>
      </c>
      <c r="AK637">
        <v>0</v>
      </c>
      <c r="AL637">
        <v>0</v>
      </c>
      <c r="AM637">
        <v>0</v>
      </c>
      <c r="AN637">
        <v>0</v>
      </c>
      <c r="AO637">
        <v>0</v>
      </c>
      <c r="AP637">
        <v>1120</v>
      </c>
      <c r="AQ637">
        <v>1</v>
      </c>
      <c r="AR637">
        <v>3</v>
      </c>
      <c r="AS637">
        <v>0</v>
      </c>
      <c r="AT637">
        <v>3</v>
      </c>
      <c r="AU637">
        <v>3</v>
      </c>
      <c r="AV637">
        <v>0</v>
      </c>
      <c r="AW637">
        <v>5</v>
      </c>
      <c r="AX637">
        <v>0</v>
      </c>
      <c r="AY637">
        <v>15</v>
      </c>
      <c r="AZ637">
        <v>3</v>
      </c>
      <c r="BA637">
        <v>982</v>
      </c>
      <c r="BB637">
        <v>13</v>
      </c>
      <c r="BC637">
        <v>0</v>
      </c>
      <c r="BD637">
        <v>0</v>
      </c>
      <c r="BE637">
        <v>4</v>
      </c>
      <c r="BF637">
        <v>9</v>
      </c>
      <c r="BG637">
        <v>6</v>
      </c>
      <c r="BH637">
        <v>0</v>
      </c>
      <c r="BI637">
        <v>1</v>
      </c>
      <c r="BJ637">
        <v>0</v>
      </c>
      <c r="BK637">
        <v>0</v>
      </c>
      <c r="BL637">
        <v>1004</v>
      </c>
      <c r="BM637">
        <v>0</v>
      </c>
      <c r="BN637">
        <v>4</v>
      </c>
      <c r="BO637">
        <v>0</v>
      </c>
      <c r="BP637">
        <v>0</v>
      </c>
      <c r="BQ637">
        <v>1</v>
      </c>
      <c r="BR637">
        <v>0</v>
      </c>
      <c r="BS637">
        <v>10</v>
      </c>
      <c r="BT637">
        <v>12</v>
      </c>
      <c r="BU637">
        <v>2</v>
      </c>
      <c r="BV637">
        <v>2</v>
      </c>
      <c r="BW637">
        <v>818</v>
      </c>
      <c r="BX637">
        <v>0</v>
      </c>
      <c r="BY637">
        <v>20</v>
      </c>
      <c r="BZ637">
        <v>0</v>
      </c>
      <c r="CA637">
        <v>6</v>
      </c>
      <c r="CB637">
        <v>112</v>
      </c>
      <c r="CC637">
        <v>7</v>
      </c>
      <c r="CD637">
        <v>0</v>
      </c>
      <c r="CE637">
        <v>0</v>
      </c>
      <c r="CF637">
        <v>15</v>
      </c>
      <c r="CG637">
        <v>0</v>
      </c>
      <c r="CH637">
        <v>853</v>
      </c>
      <c r="CI637">
        <v>8</v>
      </c>
      <c r="CJ637">
        <v>0</v>
      </c>
      <c r="CK637">
        <v>7</v>
      </c>
      <c r="CL637">
        <v>2</v>
      </c>
      <c r="CM637">
        <v>10</v>
      </c>
      <c r="CN637">
        <v>2</v>
      </c>
      <c r="CO637">
        <v>0</v>
      </c>
      <c r="CP637">
        <v>0</v>
      </c>
      <c r="CQ637">
        <v>1</v>
      </c>
      <c r="CR637">
        <v>2</v>
      </c>
      <c r="CS637">
        <v>942</v>
      </c>
      <c r="CT637">
        <v>0</v>
      </c>
      <c r="CU637">
        <v>1</v>
      </c>
      <c r="CV637">
        <v>0</v>
      </c>
      <c r="CW637">
        <v>7</v>
      </c>
      <c r="CX637">
        <v>9</v>
      </c>
      <c r="CY637">
        <v>11</v>
      </c>
      <c r="CZ637">
        <v>33</v>
      </c>
      <c r="DA637">
        <v>4</v>
      </c>
      <c r="DB637">
        <v>0</v>
      </c>
      <c r="DC637">
        <v>0</v>
      </c>
      <c r="DD637">
        <v>947</v>
      </c>
      <c r="DE637">
        <v>2</v>
      </c>
      <c r="DF637">
        <v>15</v>
      </c>
      <c r="DG637">
        <v>6</v>
      </c>
      <c r="DH637">
        <v>0</v>
      </c>
      <c r="DI637">
        <v>1</v>
      </c>
      <c r="DJ637">
        <v>12</v>
      </c>
      <c r="DK637">
        <v>0</v>
      </c>
      <c r="DL637">
        <v>1</v>
      </c>
      <c r="DM637">
        <v>1</v>
      </c>
      <c r="DN637">
        <v>4</v>
      </c>
      <c r="DO637">
        <v>948</v>
      </c>
      <c r="DP637">
        <v>1</v>
      </c>
      <c r="DQ637">
        <v>10</v>
      </c>
      <c r="DR637">
        <v>5</v>
      </c>
      <c r="DS637">
        <v>0</v>
      </c>
      <c r="DT637">
        <v>8</v>
      </c>
      <c r="DU637">
        <v>0</v>
      </c>
      <c r="DV637">
        <v>9</v>
      </c>
      <c r="DW637">
        <v>2</v>
      </c>
      <c r="DX637">
        <v>5</v>
      </c>
      <c r="DY637">
        <v>12</v>
      </c>
      <c r="DZ637">
        <v>958</v>
      </c>
      <c r="EA637">
        <v>0.95520000000000005</v>
      </c>
      <c r="EB637">
        <v>0.95707613570426397</v>
      </c>
      <c r="EC637">
        <v>0.95489314764087496</v>
      </c>
      <c r="ED637">
        <v>0.95474568122342596</v>
      </c>
      <c r="EE637">
        <f>SUM(Table1[[#This Row],[ratio_0]:[ratio_9]])</f>
        <v>460</v>
      </c>
      <c r="EF637" s="1">
        <f>(Table1[[#This Row],[predicted_0]]-Table1[[#This Row],[actual_0]])/Table1[[#This Row],[actual_0]]</f>
        <v>6.7346938775510207E-2</v>
      </c>
      <c r="EG637" s="1">
        <f>(Table1[[#This Row],[predicted_1]]-Table1[[#This Row],[actual_1]])/Table1[[#This Row],[actual_1]]</f>
        <v>1.4096916299559472E-2</v>
      </c>
      <c r="EH637" s="1">
        <f>(Table1[[#This Row],[predicted_2]]-Table1[[#This Row],[actual_2]])/Table1[[#This Row],[actual_2]]</f>
        <v>-3.391472868217054E-2</v>
      </c>
      <c r="EI637" s="1">
        <f>(Table1[[#This Row],[predicted_3]]-Table1[[#This Row],[actual_3]])/Table1[[#This Row],[actual_3]]</f>
        <v>7.9207920792079209E-2</v>
      </c>
      <c r="EJ637" s="1">
        <f>(Table1[[#This Row],[predicted_4]]-Table1[[#This Row],[actual_4]])/Table1[[#This Row],[actual_4]]</f>
        <v>-0.16191446028513237</v>
      </c>
      <c r="EK637" s="1">
        <f>(Table1[[#This Row],[predicted_5]]-Table1[[#This Row],[actual_5]])/Table1[[#This Row],[actual_5]]</f>
        <v>-2.2421524663677129E-2</v>
      </c>
      <c r="EL637" s="1">
        <f>(Table1[[#This Row],[predicted_6]]-Table1[[#This Row],[actual_6]])/Table1[[#This Row],[actual_6]]</f>
        <v>2.2964509394572025E-2</v>
      </c>
      <c r="EM637" s="1">
        <f>(Table1[[#This Row],[predicted_7]]-Table1[[#This Row],[actual_7]])/Table1[[#This Row],[actual_7]]</f>
        <v>-6.1284046692607001E-2</v>
      </c>
      <c r="EN637" s="1">
        <f>(Table1[[#This Row],[predicted_8]]-Table1[[#This Row],[actual_8]])/Table1[[#This Row],[actual_8]]</f>
        <v>1.4373716632443531E-2</v>
      </c>
      <c r="EO637" s="1">
        <f>(Table1[[#This Row],[predicted_9]]-Table1[[#This Row],[actual_9]])/Table1[[#This Row],[actual_9]]</f>
        <v>7.8295341922695744E-2</v>
      </c>
      <c r="EP637" s="1">
        <f>1+(Table1[[#This Row],[error_ratio_0]]-EF$2)</f>
        <v>1.0653061224489795</v>
      </c>
      <c r="EQ637" s="1">
        <f>1+(Table1[[#This Row],[error_ratio_1]]-EG$2)</f>
        <v>1.0123348017621145</v>
      </c>
      <c r="ER637" s="1">
        <f>1+(Table1[[#This Row],[error_ratio_2]]-EH$2)</f>
        <v>0.97093023255813948</v>
      </c>
      <c r="ES637" s="1">
        <f>1+(Table1[[#This Row],[error_ratio_3]]-EI$2)</f>
        <v>1.0693069306930694</v>
      </c>
      <c r="ET637" s="1">
        <f>1+(Table1[[#This Row],[error_ratio_4]]-EJ$2)</f>
        <v>0.83706720977596749</v>
      </c>
      <c r="EU637" s="1">
        <f>1+(Table1[[#This Row],[error_ratio_5]]-EK$2)</f>
        <v>0.976457399103139</v>
      </c>
      <c r="EV637" s="1">
        <f>1+(Table1[[#This Row],[error_ratio_6]]-EL$2)</f>
        <v>1.0292275574112735</v>
      </c>
      <c r="EW637" s="1">
        <f>1+(Table1[[#This Row],[error_ratio_7]]-EM$2)</f>
        <v>0.9367704280155642</v>
      </c>
      <c r="EX637" s="1">
        <f>1+(Table1[[#This Row],[error_ratio_8]]-EN$2)</f>
        <v>1.017453798767967</v>
      </c>
      <c r="EY637" s="1">
        <f>1+(Table1[[#This Row],[error_ratio_9]]-EO$2)</f>
        <v>1.0822596630327057</v>
      </c>
    </row>
    <row r="638" spans="1:155" x14ac:dyDescent="0.75">
      <c r="A638">
        <v>10</v>
      </c>
      <c r="B638">
        <v>10</v>
      </c>
      <c r="C638">
        <v>10</v>
      </c>
      <c r="D638">
        <v>100</v>
      </c>
      <c r="E638">
        <v>10</v>
      </c>
      <c r="F638">
        <v>10</v>
      </c>
      <c r="G638">
        <v>100</v>
      </c>
      <c r="H638">
        <v>10</v>
      </c>
      <c r="I638">
        <v>100</v>
      </c>
      <c r="J638">
        <v>10</v>
      </c>
      <c r="K638">
        <v>977</v>
      </c>
      <c r="L638">
        <v>1081</v>
      </c>
      <c r="M638">
        <v>949</v>
      </c>
      <c r="N638">
        <v>1147</v>
      </c>
      <c r="O638">
        <v>961</v>
      </c>
      <c r="P638">
        <v>785</v>
      </c>
      <c r="Q638">
        <v>1055</v>
      </c>
      <c r="R638">
        <v>1020</v>
      </c>
      <c r="S638">
        <v>1067</v>
      </c>
      <c r="T638">
        <v>958</v>
      </c>
      <c r="U638">
        <v>980</v>
      </c>
      <c r="V638">
        <v>1135</v>
      </c>
      <c r="W638">
        <v>1032</v>
      </c>
      <c r="X638">
        <v>1010</v>
      </c>
      <c r="Y638">
        <v>982</v>
      </c>
      <c r="Z638">
        <v>892</v>
      </c>
      <c r="AA638">
        <v>958</v>
      </c>
      <c r="AB638">
        <v>1028</v>
      </c>
      <c r="AC638">
        <v>974</v>
      </c>
      <c r="AD638">
        <v>1009</v>
      </c>
      <c r="AE638">
        <v>956</v>
      </c>
      <c r="AF638">
        <v>0</v>
      </c>
      <c r="AG638">
        <v>0</v>
      </c>
      <c r="AH638">
        <v>0</v>
      </c>
      <c r="AI638">
        <v>0</v>
      </c>
      <c r="AJ638">
        <v>0</v>
      </c>
      <c r="AK638">
        <v>16</v>
      </c>
      <c r="AL638">
        <v>1</v>
      </c>
      <c r="AM638">
        <v>6</v>
      </c>
      <c r="AN638">
        <v>1</v>
      </c>
      <c r="AO638">
        <v>0</v>
      </c>
      <c r="AP638">
        <v>1081</v>
      </c>
      <c r="AQ638">
        <v>0</v>
      </c>
      <c r="AR638">
        <v>7</v>
      </c>
      <c r="AS638">
        <v>0</v>
      </c>
      <c r="AT638">
        <v>0</v>
      </c>
      <c r="AU638">
        <v>11</v>
      </c>
      <c r="AV638">
        <v>2</v>
      </c>
      <c r="AW638">
        <v>34</v>
      </c>
      <c r="AX638">
        <v>0</v>
      </c>
      <c r="AY638">
        <v>6</v>
      </c>
      <c r="AZ638">
        <v>0</v>
      </c>
      <c r="BA638">
        <v>935</v>
      </c>
      <c r="BB638">
        <v>33</v>
      </c>
      <c r="BC638">
        <v>0</v>
      </c>
      <c r="BD638">
        <v>0</v>
      </c>
      <c r="BE638">
        <v>16</v>
      </c>
      <c r="BF638">
        <v>15</v>
      </c>
      <c r="BG638">
        <v>27</v>
      </c>
      <c r="BH638">
        <v>0</v>
      </c>
      <c r="BI638">
        <v>0</v>
      </c>
      <c r="BJ638">
        <v>0</v>
      </c>
      <c r="BK638">
        <v>1</v>
      </c>
      <c r="BL638">
        <v>1003</v>
      </c>
      <c r="BM638">
        <v>0</v>
      </c>
      <c r="BN638">
        <v>1</v>
      </c>
      <c r="BO638">
        <v>0</v>
      </c>
      <c r="BP638">
        <v>2</v>
      </c>
      <c r="BQ638">
        <v>2</v>
      </c>
      <c r="BR638">
        <v>1</v>
      </c>
      <c r="BS638">
        <v>1</v>
      </c>
      <c r="BT638">
        <v>0</v>
      </c>
      <c r="BU638">
        <v>2</v>
      </c>
      <c r="BV638">
        <v>2</v>
      </c>
      <c r="BW638">
        <v>941</v>
      </c>
      <c r="BX638">
        <v>0</v>
      </c>
      <c r="BY638">
        <v>24</v>
      </c>
      <c r="BZ638">
        <v>0</v>
      </c>
      <c r="CA638">
        <v>7</v>
      </c>
      <c r="CB638">
        <v>5</v>
      </c>
      <c r="CC638">
        <v>3</v>
      </c>
      <c r="CD638">
        <v>0</v>
      </c>
      <c r="CE638">
        <v>0</v>
      </c>
      <c r="CF638">
        <v>60</v>
      </c>
      <c r="CG638">
        <v>0</v>
      </c>
      <c r="CH638">
        <v>782</v>
      </c>
      <c r="CI638">
        <v>29</v>
      </c>
      <c r="CJ638">
        <v>0</v>
      </c>
      <c r="CK638">
        <v>15</v>
      </c>
      <c r="CL638">
        <v>3</v>
      </c>
      <c r="CM638">
        <v>4</v>
      </c>
      <c r="CN638">
        <v>0</v>
      </c>
      <c r="CO638">
        <v>0</v>
      </c>
      <c r="CP638">
        <v>0</v>
      </c>
      <c r="CQ638">
        <v>1</v>
      </c>
      <c r="CR638">
        <v>0</v>
      </c>
      <c r="CS638">
        <v>953</v>
      </c>
      <c r="CT638">
        <v>0</v>
      </c>
      <c r="CU638">
        <v>0</v>
      </c>
      <c r="CV638">
        <v>0</v>
      </c>
      <c r="CW638">
        <v>2</v>
      </c>
      <c r="CX638">
        <v>0</v>
      </c>
      <c r="CY638">
        <v>10</v>
      </c>
      <c r="CZ638">
        <v>20</v>
      </c>
      <c r="DA638">
        <v>2</v>
      </c>
      <c r="DB638">
        <v>0</v>
      </c>
      <c r="DC638">
        <v>0</v>
      </c>
      <c r="DD638">
        <v>986</v>
      </c>
      <c r="DE638">
        <v>5</v>
      </c>
      <c r="DF638">
        <v>3</v>
      </c>
      <c r="DG638">
        <v>1</v>
      </c>
      <c r="DH638">
        <v>0</v>
      </c>
      <c r="DI638">
        <v>1</v>
      </c>
      <c r="DJ638">
        <v>3</v>
      </c>
      <c r="DK638">
        <v>0</v>
      </c>
      <c r="DL638">
        <v>0</v>
      </c>
      <c r="DM638">
        <v>4</v>
      </c>
      <c r="DN638">
        <v>3</v>
      </c>
      <c r="DO638">
        <v>959</v>
      </c>
      <c r="DP638">
        <v>3</v>
      </c>
      <c r="DQ638">
        <v>4</v>
      </c>
      <c r="DR638">
        <v>0</v>
      </c>
      <c r="DS638">
        <v>0</v>
      </c>
      <c r="DT638">
        <v>19</v>
      </c>
      <c r="DU638">
        <v>17</v>
      </c>
      <c r="DV638">
        <v>2</v>
      </c>
      <c r="DW638">
        <v>2</v>
      </c>
      <c r="DX638">
        <v>11</v>
      </c>
      <c r="DY638">
        <v>12</v>
      </c>
      <c r="DZ638">
        <v>942</v>
      </c>
      <c r="EA638">
        <v>0.95379999999999998</v>
      </c>
      <c r="EB638">
        <v>0.95656394198195105</v>
      </c>
      <c r="EC638">
        <v>0.95340622302148903</v>
      </c>
      <c r="ED638">
        <v>0.95350987813666899</v>
      </c>
      <c r="EE638">
        <f>SUM(Table1[[#This Row],[ratio_0]:[ratio_9]])</f>
        <v>370</v>
      </c>
      <c r="EF638" s="1">
        <f>(Table1[[#This Row],[predicted_0]]-Table1[[#This Row],[actual_0]])/Table1[[#This Row],[actual_0]]</f>
        <v>-3.0612244897959182E-3</v>
      </c>
      <c r="EG638" s="1">
        <f>(Table1[[#This Row],[predicted_1]]-Table1[[#This Row],[actual_1]])/Table1[[#This Row],[actual_1]]</f>
        <v>-4.7577092511013219E-2</v>
      </c>
      <c r="EH638" s="1">
        <f>(Table1[[#This Row],[predicted_2]]-Table1[[#This Row],[actual_2]])/Table1[[#This Row],[actual_2]]</f>
        <v>-8.0426356589147291E-2</v>
      </c>
      <c r="EI638" s="1">
        <f>(Table1[[#This Row],[predicted_3]]-Table1[[#This Row],[actual_3]])/Table1[[#This Row],[actual_3]]</f>
        <v>0.13564356435643565</v>
      </c>
      <c r="EJ638" s="1">
        <f>(Table1[[#This Row],[predicted_4]]-Table1[[#This Row],[actual_4]])/Table1[[#This Row],[actual_4]]</f>
        <v>-2.1384928716904276E-2</v>
      </c>
      <c r="EK638" s="1">
        <f>(Table1[[#This Row],[predicted_5]]-Table1[[#This Row],[actual_5]])/Table1[[#This Row],[actual_5]]</f>
        <v>-0.11995515695067265</v>
      </c>
      <c r="EL638" s="1">
        <f>(Table1[[#This Row],[predicted_6]]-Table1[[#This Row],[actual_6]])/Table1[[#This Row],[actual_6]]</f>
        <v>0.10125260960334029</v>
      </c>
      <c r="EM638" s="1">
        <f>(Table1[[#This Row],[predicted_7]]-Table1[[#This Row],[actual_7]])/Table1[[#This Row],[actual_7]]</f>
        <v>-7.7821011673151752E-3</v>
      </c>
      <c r="EN638" s="1">
        <f>(Table1[[#This Row],[predicted_8]]-Table1[[#This Row],[actual_8]])/Table1[[#This Row],[actual_8]]</f>
        <v>9.5482546201232033E-2</v>
      </c>
      <c r="EO638" s="1">
        <f>(Table1[[#This Row],[predicted_9]]-Table1[[#This Row],[actual_9]])/Table1[[#This Row],[actual_9]]</f>
        <v>-5.0545094152626362E-2</v>
      </c>
      <c r="EP638" s="1">
        <f>1+(Table1[[#This Row],[error_ratio_0]]-EF$2)</f>
        <v>0.99489795918367352</v>
      </c>
      <c r="EQ638" s="1">
        <f>1+(Table1[[#This Row],[error_ratio_1]]-EG$2)</f>
        <v>0.95066079295154182</v>
      </c>
      <c r="ER638" s="1">
        <f>1+(Table1[[#This Row],[error_ratio_2]]-EH$2)</f>
        <v>0.92441860465116277</v>
      </c>
      <c r="ES638" s="1">
        <f>1+(Table1[[#This Row],[error_ratio_3]]-EI$2)</f>
        <v>1.1257425742574259</v>
      </c>
      <c r="ET638" s="1">
        <f>1+(Table1[[#This Row],[error_ratio_4]]-EJ$2)</f>
        <v>0.9775967413441955</v>
      </c>
      <c r="EU638" s="1">
        <f>1+(Table1[[#This Row],[error_ratio_5]]-EK$2)</f>
        <v>0.87892376681614348</v>
      </c>
      <c r="EV638" s="1">
        <f>1+(Table1[[#This Row],[error_ratio_6]]-EL$2)</f>
        <v>1.1075156576200418</v>
      </c>
      <c r="EW638" s="1">
        <f>1+(Table1[[#This Row],[error_ratio_7]]-EM$2)</f>
        <v>0.99027237354085607</v>
      </c>
      <c r="EX638" s="1">
        <f>1+(Table1[[#This Row],[error_ratio_8]]-EN$2)</f>
        <v>1.0985626283367556</v>
      </c>
      <c r="EY638" s="1">
        <f>1+(Table1[[#This Row],[error_ratio_9]]-EO$2)</f>
        <v>0.95341922695738357</v>
      </c>
    </row>
    <row r="639" spans="1:155" x14ac:dyDescent="0.75">
      <c r="A639">
        <v>100</v>
      </c>
      <c r="B639">
        <v>100</v>
      </c>
      <c r="C639">
        <v>100</v>
      </c>
      <c r="D639">
        <v>10</v>
      </c>
      <c r="E639">
        <v>10</v>
      </c>
      <c r="F639">
        <v>10</v>
      </c>
      <c r="G639">
        <v>100</v>
      </c>
      <c r="H639">
        <v>10</v>
      </c>
      <c r="I639">
        <v>100</v>
      </c>
      <c r="J639">
        <v>10</v>
      </c>
      <c r="K639">
        <v>993</v>
      </c>
      <c r="L639">
        <v>1153</v>
      </c>
      <c r="M639">
        <v>1045</v>
      </c>
      <c r="N639">
        <v>1023</v>
      </c>
      <c r="O639">
        <v>988</v>
      </c>
      <c r="P639">
        <v>860</v>
      </c>
      <c r="Q639">
        <v>968</v>
      </c>
      <c r="R639">
        <v>993</v>
      </c>
      <c r="S639">
        <v>1009</v>
      </c>
      <c r="T639">
        <v>968</v>
      </c>
      <c r="U639">
        <v>980</v>
      </c>
      <c r="V639">
        <v>1135</v>
      </c>
      <c r="W639">
        <v>1032</v>
      </c>
      <c r="X639">
        <v>1010</v>
      </c>
      <c r="Y639">
        <v>982</v>
      </c>
      <c r="Z639">
        <v>892</v>
      </c>
      <c r="AA639">
        <v>958</v>
      </c>
      <c r="AB639">
        <v>1028</v>
      </c>
      <c r="AC639">
        <v>974</v>
      </c>
      <c r="AD639">
        <v>1009</v>
      </c>
      <c r="AE639">
        <v>970</v>
      </c>
      <c r="AF639">
        <v>1</v>
      </c>
      <c r="AG639">
        <v>0</v>
      </c>
      <c r="AH639">
        <v>0</v>
      </c>
      <c r="AI639">
        <v>0</v>
      </c>
      <c r="AJ639">
        <v>0</v>
      </c>
      <c r="AK639">
        <v>5</v>
      </c>
      <c r="AL639">
        <v>0</v>
      </c>
      <c r="AM639">
        <v>4</v>
      </c>
      <c r="AN639">
        <v>0</v>
      </c>
      <c r="AO639">
        <v>0</v>
      </c>
      <c r="AP639">
        <v>1133</v>
      </c>
      <c r="AQ639">
        <v>0</v>
      </c>
      <c r="AR639">
        <v>1</v>
      </c>
      <c r="AS639">
        <v>0</v>
      </c>
      <c r="AT639">
        <v>1</v>
      </c>
      <c r="AU639">
        <v>0</v>
      </c>
      <c r="AV639">
        <v>0</v>
      </c>
      <c r="AW639">
        <v>0</v>
      </c>
      <c r="AX639">
        <v>0</v>
      </c>
      <c r="AY639">
        <v>2</v>
      </c>
      <c r="AZ639">
        <v>2</v>
      </c>
      <c r="BA639">
        <v>1015</v>
      </c>
      <c r="BB639">
        <v>2</v>
      </c>
      <c r="BC639">
        <v>0</v>
      </c>
      <c r="BD639">
        <v>0</v>
      </c>
      <c r="BE639">
        <v>0</v>
      </c>
      <c r="BF639">
        <v>6</v>
      </c>
      <c r="BG639">
        <v>5</v>
      </c>
      <c r="BH639">
        <v>0</v>
      </c>
      <c r="BI639">
        <v>2</v>
      </c>
      <c r="BJ639">
        <v>0</v>
      </c>
      <c r="BK639">
        <v>4</v>
      </c>
      <c r="BL639">
        <v>986</v>
      </c>
      <c r="BM639">
        <v>0</v>
      </c>
      <c r="BN639">
        <v>5</v>
      </c>
      <c r="BO639">
        <v>0</v>
      </c>
      <c r="BP639">
        <v>5</v>
      </c>
      <c r="BQ639">
        <v>8</v>
      </c>
      <c r="BR639">
        <v>0</v>
      </c>
      <c r="BS639">
        <v>1</v>
      </c>
      <c r="BT639">
        <v>2</v>
      </c>
      <c r="BU639">
        <v>3</v>
      </c>
      <c r="BV639">
        <v>0</v>
      </c>
      <c r="BW639">
        <v>963</v>
      </c>
      <c r="BX639">
        <v>0</v>
      </c>
      <c r="BY639">
        <v>7</v>
      </c>
      <c r="BZ639">
        <v>0</v>
      </c>
      <c r="CA639">
        <v>2</v>
      </c>
      <c r="CB639">
        <v>4</v>
      </c>
      <c r="CC639">
        <v>2</v>
      </c>
      <c r="CD639">
        <v>0</v>
      </c>
      <c r="CE639">
        <v>1</v>
      </c>
      <c r="CF639">
        <v>16</v>
      </c>
      <c r="CG639">
        <v>0</v>
      </c>
      <c r="CH639">
        <v>846</v>
      </c>
      <c r="CI639">
        <v>3</v>
      </c>
      <c r="CJ639">
        <v>1</v>
      </c>
      <c r="CK639">
        <v>16</v>
      </c>
      <c r="CL639">
        <v>7</v>
      </c>
      <c r="CM639">
        <v>3</v>
      </c>
      <c r="CN639">
        <v>2</v>
      </c>
      <c r="CO639">
        <v>0</v>
      </c>
      <c r="CP639">
        <v>0</v>
      </c>
      <c r="CQ639">
        <v>1</v>
      </c>
      <c r="CR639">
        <v>1</v>
      </c>
      <c r="CS639">
        <v>951</v>
      </c>
      <c r="CT639">
        <v>0</v>
      </c>
      <c r="CU639">
        <v>0</v>
      </c>
      <c r="CV639">
        <v>0</v>
      </c>
      <c r="CW639">
        <v>4</v>
      </c>
      <c r="CX639">
        <v>9</v>
      </c>
      <c r="CY639">
        <v>14</v>
      </c>
      <c r="CZ639">
        <v>11</v>
      </c>
      <c r="DA639">
        <v>1</v>
      </c>
      <c r="DB639">
        <v>0</v>
      </c>
      <c r="DC639">
        <v>0</v>
      </c>
      <c r="DD639">
        <v>975</v>
      </c>
      <c r="DE639">
        <v>5</v>
      </c>
      <c r="DF639">
        <v>9</v>
      </c>
      <c r="DG639">
        <v>2</v>
      </c>
      <c r="DH639">
        <v>0</v>
      </c>
      <c r="DI639">
        <v>6</v>
      </c>
      <c r="DJ639">
        <v>4</v>
      </c>
      <c r="DK639">
        <v>1</v>
      </c>
      <c r="DL639">
        <v>1</v>
      </c>
      <c r="DM639">
        <v>1</v>
      </c>
      <c r="DN639">
        <v>3</v>
      </c>
      <c r="DO639">
        <v>953</v>
      </c>
      <c r="DP639">
        <v>3</v>
      </c>
      <c r="DQ639">
        <v>7</v>
      </c>
      <c r="DR639">
        <v>4</v>
      </c>
      <c r="DS639">
        <v>2</v>
      </c>
      <c r="DT639">
        <v>3</v>
      </c>
      <c r="DU639">
        <v>22</v>
      </c>
      <c r="DV639">
        <v>6</v>
      </c>
      <c r="DW639">
        <v>1</v>
      </c>
      <c r="DX639">
        <v>3</v>
      </c>
      <c r="DY639">
        <v>16</v>
      </c>
      <c r="DZ639">
        <v>945</v>
      </c>
      <c r="EA639">
        <v>0.97370000000000001</v>
      </c>
      <c r="EB639">
        <v>0.97380831330696105</v>
      </c>
      <c r="EC639">
        <v>0.973302776151455</v>
      </c>
      <c r="ED639">
        <v>0.97340151983487</v>
      </c>
      <c r="EE639">
        <f>SUM(Table1[[#This Row],[ratio_0]:[ratio_9]])</f>
        <v>550</v>
      </c>
      <c r="EF639" s="1">
        <f>(Table1[[#This Row],[predicted_0]]-Table1[[#This Row],[actual_0]])/Table1[[#This Row],[actual_0]]</f>
        <v>1.3265306122448979E-2</v>
      </c>
      <c r="EG639" s="1">
        <f>(Table1[[#This Row],[predicted_1]]-Table1[[#This Row],[actual_1]])/Table1[[#This Row],[actual_1]]</f>
        <v>1.5859030837004406E-2</v>
      </c>
      <c r="EH639" s="1">
        <f>(Table1[[#This Row],[predicted_2]]-Table1[[#This Row],[actual_2]])/Table1[[#This Row],[actual_2]]</f>
        <v>1.2596899224806201E-2</v>
      </c>
      <c r="EI639" s="1">
        <f>(Table1[[#This Row],[predicted_3]]-Table1[[#This Row],[actual_3]])/Table1[[#This Row],[actual_3]]</f>
        <v>1.2871287128712871E-2</v>
      </c>
      <c r="EJ639" s="1">
        <f>(Table1[[#This Row],[predicted_4]]-Table1[[#This Row],[actual_4]])/Table1[[#This Row],[actual_4]]</f>
        <v>6.1099796334012219E-3</v>
      </c>
      <c r="EK639" s="1">
        <f>(Table1[[#This Row],[predicted_5]]-Table1[[#This Row],[actual_5]])/Table1[[#This Row],[actual_5]]</f>
        <v>-3.5874439461883408E-2</v>
      </c>
      <c r="EL639" s="1">
        <f>(Table1[[#This Row],[predicted_6]]-Table1[[#This Row],[actual_6]])/Table1[[#This Row],[actual_6]]</f>
        <v>1.0438413361169102E-2</v>
      </c>
      <c r="EM639" s="1">
        <f>(Table1[[#This Row],[predicted_7]]-Table1[[#This Row],[actual_7]])/Table1[[#This Row],[actual_7]]</f>
        <v>-3.4046692607003888E-2</v>
      </c>
      <c r="EN639" s="1">
        <f>(Table1[[#This Row],[predicted_8]]-Table1[[#This Row],[actual_8]])/Table1[[#This Row],[actual_8]]</f>
        <v>3.5934291581108828E-2</v>
      </c>
      <c r="EO639" s="1">
        <f>(Table1[[#This Row],[predicted_9]]-Table1[[#This Row],[actual_9]])/Table1[[#This Row],[actual_9]]</f>
        <v>-4.0634291377601585E-2</v>
      </c>
      <c r="EP639" s="1">
        <f>1+(Table1[[#This Row],[error_ratio_0]]-EF$2)</f>
        <v>1.0112244897959184</v>
      </c>
      <c r="EQ639" s="1">
        <f>1+(Table1[[#This Row],[error_ratio_1]]-EG$2)</f>
        <v>1.0140969162995594</v>
      </c>
      <c r="ER639" s="1">
        <f>1+(Table1[[#This Row],[error_ratio_2]]-EH$2)</f>
        <v>1.0174418604651163</v>
      </c>
      <c r="ES639" s="1">
        <f>1+(Table1[[#This Row],[error_ratio_3]]-EI$2)</f>
        <v>1.002970297029703</v>
      </c>
      <c r="ET639" s="1">
        <f>1+(Table1[[#This Row],[error_ratio_4]]-EJ$2)</f>
        <v>1.005091649694501</v>
      </c>
      <c r="EU639" s="1">
        <f>1+(Table1[[#This Row],[error_ratio_5]]-EK$2)</f>
        <v>0.96300448430493268</v>
      </c>
      <c r="EV639" s="1">
        <f>1+(Table1[[#This Row],[error_ratio_6]]-EL$2)</f>
        <v>1.0167014613778707</v>
      </c>
      <c r="EW639" s="1">
        <f>1+(Table1[[#This Row],[error_ratio_7]]-EM$2)</f>
        <v>0.96400778210116733</v>
      </c>
      <c r="EX639" s="1">
        <f>1+(Table1[[#This Row],[error_ratio_8]]-EN$2)</f>
        <v>1.0390143737166324</v>
      </c>
      <c r="EY639" s="1">
        <f>1+(Table1[[#This Row],[error_ratio_9]]-EO$2)</f>
        <v>0.96333002973240833</v>
      </c>
    </row>
    <row r="640" spans="1:155" x14ac:dyDescent="0.75">
      <c r="A640">
        <v>10</v>
      </c>
      <c r="B640">
        <v>100</v>
      </c>
      <c r="C640">
        <v>100</v>
      </c>
      <c r="D640">
        <v>10</v>
      </c>
      <c r="E640">
        <v>10</v>
      </c>
      <c r="F640">
        <v>10</v>
      </c>
      <c r="G640">
        <v>100</v>
      </c>
      <c r="H640">
        <v>10</v>
      </c>
      <c r="I640">
        <v>100</v>
      </c>
      <c r="J640">
        <v>10</v>
      </c>
      <c r="K640">
        <v>955</v>
      </c>
      <c r="L640">
        <v>1245</v>
      </c>
      <c r="M640">
        <v>1111</v>
      </c>
      <c r="N640">
        <v>994</v>
      </c>
      <c r="O640">
        <v>850</v>
      </c>
      <c r="P640">
        <v>818</v>
      </c>
      <c r="Q640">
        <v>1003</v>
      </c>
      <c r="R640">
        <v>886</v>
      </c>
      <c r="S640">
        <v>1050</v>
      </c>
      <c r="T640">
        <v>1088</v>
      </c>
      <c r="U640">
        <v>980</v>
      </c>
      <c r="V640">
        <v>1135</v>
      </c>
      <c r="W640">
        <v>1032</v>
      </c>
      <c r="X640">
        <v>1010</v>
      </c>
      <c r="Y640">
        <v>982</v>
      </c>
      <c r="Z640">
        <v>892</v>
      </c>
      <c r="AA640">
        <v>958</v>
      </c>
      <c r="AB640">
        <v>1028</v>
      </c>
      <c r="AC640">
        <v>974</v>
      </c>
      <c r="AD640">
        <v>1009</v>
      </c>
      <c r="AE640">
        <v>943</v>
      </c>
      <c r="AF640">
        <v>2</v>
      </c>
      <c r="AG640">
        <v>6</v>
      </c>
      <c r="AH640">
        <v>0</v>
      </c>
      <c r="AI640">
        <v>0</v>
      </c>
      <c r="AJ640">
        <v>0</v>
      </c>
      <c r="AK640">
        <v>15</v>
      </c>
      <c r="AL640">
        <v>3</v>
      </c>
      <c r="AM640">
        <v>11</v>
      </c>
      <c r="AN640">
        <v>0</v>
      </c>
      <c r="AO640">
        <v>0</v>
      </c>
      <c r="AP640">
        <v>1134</v>
      </c>
      <c r="AQ640">
        <v>0</v>
      </c>
      <c r="AR640">
        <v>0</v>
      </c>
      <c r="AS640">
        <v>0</v>
      </c>
      <c r="AT640">
        <v>1</v>
      </c>
      <c r="AU640">
        <v>0</v>
      </c>
      <c r="AV640">
        <v>0</v>
      </c>
      <c r="AW640">
        <v>0</v>
      </c>
      <c r="AX640">
        <v>0</v>
      </c>
      <c r="AY640">
        <v>2</v>
      </c>
      <c r="AZ640">
        <v>3</v>
      </c>
      <c r="BA640">
        <v>1021</v>
      </c>
      <c r="BB640">
        <v>0</v>
      </c>
      <c r="BC640">
        <v>0</v>
      </c>
      <c r="BD640">
        <v>0</v>
      </c>
      <c r="BE640">
        <v>2</v>
      </c>
      <c r="BF640">
        <v>3</v>
      </c>
      <c r="BG640">
        <v>1</v>
      </c>
      <c r="BH640">
        <v>0</v>
      </c>
      <c r="BI640">
        <v>0</v>
      </c>
      <c r="BJ640">
        <v>0</v>
      </c>
      <c r="BK640">
        <v>7</v>
      </c>
      <c r="BL640">
        <v>970</v>
      </c>
      <c r="BM640">
        <v>0</v>
      </c>
      <c r="BN640">
        <v>15</v>
      </c>
      <c r="BO640">
        <v>0</v>
      </c>
      <c r="BP640">
        <v>4</v>
      </c>
      <c r="BQ640">
        <v>8</v>
      </c>
      <c r="BR640">
        <v>6</v>
      </c>
      <c r="BS640">
        <v>0</v>
      </c>
      <c r="BT640">
        <v>15</v>
      </c>
      <c r="BU640">
        <v>16</v>
      </c>
      <c r="BV640">
        <v>0</v>
      </c>
      <c r="BW640">
        <v>848</v>
      </c>
      <c r="BX640">
        <v>0</v>
      </c>
      <c r="BY640">
        <v>24</v>
      </c>
      <c r="BZ640">
        <v>0</v>
      </c>
      <c r="CA640">
        <v>14</v>
      </c>
      <c r="CB640">
        <v>65</v>
      </c>
      <c r="CC640">
        <v>3</v>
      </c>
      <c r="CD640">
        <v>4</v>
      </c>
      <c r="CE640">
        <v>1</v>
      </c>
      <c r="CF640">
        <v>16</v>
      </c>
      <c r="CG640">
        <v>0</v>
      </c>
      <c r="CH640">
        <v>800</v>
      </c>
      <c r="CI640">
        <v>11</v>
      </c>
      <c r="CJ640">
        <v>3</v>
      </c>
      <c r="CK640">
        <v>40</v>
      </c>
      <c r="CL640">
        <v>14</v>
      </c>
      <c r="CM640">
        <v>1</v>
      </c>
      <c r="CN640">
        <v>3</v>
      </c>
      <c r="CO640">
        <v>1</v>
      </c>
      <c r="CP640">
        <v>0</v>
      </c>
      <c r="CQ640">
        <v>1</v>
      </c>
      <c r="CR640">
        <v>1</v>
      </c>
      <c r="CS640">
        <v>949</v>
      </c>
      <c r="CT640">
        <v>0</v>
      </c>
      <c r="CU640">
        <v>2</v>
      </c>
      <c r="CV640">
        <v>0</v>
      </c>
      <c r="CW640">
        <v>1</v>
      </c>
      <c r="CX640">
        <v>67</v>
      </c>
      <c r="CY640">
        <v>56</v>
      </c>
      <c r="CZ640">
        <v>1</v>
      </c>
      <c r="DA640">
        <v>1</v>
      </c>
      <c r="DB640">
        <v>0</v>
      </c>
      <c r="DC640">
        <v>0</v>
      </c>
      <c r="DD640">
        <v>870</v>
      </c>
      <c r="DE640">
        <v>0</v>
      </c>
      <c r="DF640">
        <v>32</v>
      </c>
      <c r="DG640">
        <v>2</v>
      </c>
      <c r="DH640">
        <v>3</v>
      </c>
      <c r="DI640">
        <v>2</v>
      </c>
      <c r="DJ640">
        <v>0</v>
      </c>
      <c r="DK640">
        <v>0</v>
      </c>
      <c r="DL640">
        <v>0</v>
      </c>
      <c r="DM640">
        <v>0</v>
      </c>
      <c r="DN640">
        <v>2</v>
      </c>
      <c r="DO640">
        <v>960</v>
      </c>
      <c r="DP640">
        <v>5</v>
      </c>
      <c r="DQ640">
        <v>3</v>
      </c>
      <c r="DR640">
        <v>14</v>
      </c>
      <c r="DS640">
        <v>1</v>
      </c>
      <c r="DT640">
        <v>7</v>
      </c>
      <c r="DU640">
        <v>0</v>
      </c>
      <c r="DV640">
        <v>1</v>
      </c>
      <c r="DW640">
        <v>2</v>
      </c>
      <c r="DX640">
        <v>1</v>
      </c>
      <c r="DY640">
        <v>14</v>
      </c>
      <c r="DZ640">
        <v>966</v>
      </c>
      <c r="EA640">
        <v>0.94610000000000005</v>
      </c>
      <c r="EB640">
        <v>0.94990233133436597</v>
      </c>
      <c r="EC640">
        <v>0.94514245016556198</v>
      </c>
      <c r="ED640">
        <v>0.94568857764931502</v>
      </c>
      <c r="EE640">
        <f>SUM(Table1[[#This Row],[ratio_0]:[ratio_9]])</f>
        <v>460</v>
      </c>
      <c r="EF640" s="1">
        <f>(Table1[[#This Row],[predicted_0]]-Table1[[#This Row],[actual_0]])/Table1[[#This Row],[actual_0]]</f>
        <v>-2.5510204081632654E-2</v>
      </c>
      <c r="EG640" s="1">
        <f>(Table1[[#This Row],[predicted_1]]-Table1[[#This Row],[actual_1]])/Table1[[#This Row],[actual_1]]</f>
        <v>9.6916299559471369E-2</v>
      </c>
      <c r="EH640" s="1">
        <f>(Table1[[#This Row],[predicted_2]]-Table1[[#This Row],[actual_2]])/Table1[[#This Row],[actual_2]]</f>
        <v>7.6550387596899222E-2</v>
      </c>
      <c r="EI640" s="1">
        <f>(Table1[[#This Row],[predicted_3]]-Table1[[#This Row],[actual_3]])/Table1[[#This Row],[actual_3]]</f>
        <v>-1.5841584158415842E-2</v>
      </c>
      <c r="EJ640" s="1">
        <f>(Table1[[#This Row],[predicted_4]]-Table1[[#This Row],[actual_4]])/Table1[[#This Row],[actual_4]]</f>
        <v>-0.13441955193482688</v>
      </c>
      <c r="EK640" s="1">
        <f>(Table1[[#This Row],[predicted_5]]-Table1[[#This Row],[actual_5]])/Table1[[#This Row],[actual_5]]</f>
        <v>-8.2959641255605385E-2</v>
      </c>
      <c r="EL640" s="1">
        <f>(Table1[[#This Row],[predicted_6]]-Table1[[#This Row],[actual_6]])/Table1[[#This Row],[actual_6]]</f>
        <v>4.697286012526096E-2</v>
      </c>
      <c r="EM640" s="1">
        <f>(Table1[[#This Row],[predicted_7]]-Table1[[#This Row],[actual_7]])/Table1[[#This Row],[actual_7]]</f>
        <v>-0.13813229571984437</v>
      </c>
      <c r="EN640" s="1">
        <f>(Table1[[#This Row],[predicted_8]]-Table1[[#This Row],[actual_8]])/Table1[[#This Row],[actual_8]]</f>
        <v>7.8028747433264892E-2</v>
      </c>
      <c r="EO640" s="1">
        <f>(Table1[[#This Row],[predicted_9]]-Table1[[#This Row],[actual_9]])/Table1[[#This Row],[actual_9]]</f>
        <v>7.8295341922695744E-2</v>
      </c>
      <c r="EP640" s="1">
        <f>1+(Table1[[#This Row],[error_ratio_0]]-EF$2)</f>
        <v>0.97244897959183674</v>
      </c>
      <c r="EQ640" s="1">
        <f>1+(Table1[[#This Row],[error_ratio_1]]-EG$2)</f>
        <v>1.0951541850220265</v>
      </c>
      <c r="ER640" s="1">
        <f>1+(Table1[[#This Row],[error_ratio_2]]-EH$2)</f>
        <v>1.0813953488372092</v>
      </c>
      <c r="ES640" s="1">
        <f>1+(Table1[[#This Row],[error_ratio_3]]-EI$2)</f>
        <v>0.97425742574257423</v>
      </c>
      <c r="ET640" s="1">
        <f>1+(Table1[[#This Row],[error_ratio_4]]-EJ$2)</f>
        <v>0.86456211812627293</v>
      </c>
      <c r="EU640" s="1">
        <f>1+(Table1[[#This Row],[error_ratio_5]]-EK$2)</f>
        <v>0.9159192825112108</v>
      </c>
      <c r="EV640" s="1">
        <f>1+(Table1[[#This Row],[error_ratio_6]]-EL$2)</f>
        <v>1.0532359081419624</v>
      </c>
      <c r="EW640" s="1">
        <f>1+(Table1[[#This Row],[error_ratio_7]]-EM$2)</f>
        <v>0.8599221789883269</v>
      </c>
      <c r="EX640" s="1">
        <f>1+(Table1[[#This Row],[error_ratio_8]]-EN$2)</f>
        <v>1.0811088295687885</v>
      </c>
      <c r="EY640" s="1">
        <f>1+(Table1[[#This Row],[error_ratio_9]]-EO$2)</f>
        <v>1.0822596630327057</v>
      </c>
    </row>
    <row r="641" spans="1:155" x14ac:dyDescent="0.75">
      <c r="A641">
        <v>100</v>
      </c>
      <c r="B641">
        <v>10</v>
      </c>
      <c r="C641">
        <v>100</v>
      </c>
      <c r="D641">
        <v>10</v>
      </c>
      <c r="E641">
        <v>10</v>
      </c>
      <c r="F641">
        <v>10</v>
      </c>
      <c r="G641">
        <v>100</v>
      </c>
      <c r="H641">
        <v>10</v>
      </c>
      <c r="I641">
        <v>100</v>
      </c>
      <c r="J641">
        <v>10</v>
      </c>
      <c r="K641">
        <v>1030</v>
      </c>
      <c r="L641">
        <v>1126</v>
      </c>
      <c r="M641">
        <v>1152</v>
      </c>
      <c r="N641">
        <v>1001</v>
      </c>
      <c r="O641">
        <v>900</v>
      </c>
      <c r="P641">
        <v>674</v>
      </c>
      <c r="Q641">
        <v>948</v>
      </c>
      <c r="R641">
        <v>891</v>
      </c>
      <c r="S641">
        <v>1295</v>
      </c>
      <c r="T641">
        <v>983</v>
      </c>
      <c r="U641">
        <v>980</v>
      </c>
      <c r="V641">
        <v>1135</v>
      </c>
      <c r="W641">
        <v>1032</v>
      </c>
      <c r="X641">
        <v>1010</v>
      </c>
      <c r="Y641">
        <v>982</v>
      </c>
      <c r="Z641">
        <v>892</v>
      </c>
      <c r="AA641">
        <v>958</v>
      </c>
      <c r="AB641">
        <v>1028</v>
      </c>
      <c r="AC641">
        <v>974</v>
      </c>
      <c r="AD641">
        <v>1009</v>
      </c>
      <c r="AE641">
        <v>973</v>
      </c>
      <c r="AF641">
        <v>0</v>
      </c>
      <c r="AG641">
        <v>1</v>
      </c>
      <c r="AH641">
        <v>0</v>
      </c>
      <c r="AI641">
        <v>0</v>
      </c>
      <c r="AJ641">
        <v>0</v>
      </c>
      <c r="AK641">
        <v>0</v>
      </c>
      <c r="AL641">
        <v>1</v>
      </c>
      <c r="AM641">
        <v>5</v>
      </c>
      <c r="AN641">
        <v>0</v>
      </c>
      <c r="AO641">
        <v>0</v>
      </c>
      <c r="AP641">
        <v>1114</v>
      </c>
      <c r="AQ641">
        <v>7</v>
      </c>
      <c r="AR641">
        <v>3</v>
      </c>
      <c r="AS641">
        <v>0</v>
      </c>
      <c r="AT641">
        <v>0</v>
      </c>
      <c r="AU641">
        <v>1</v>
      </c>
      <c r="AV641">
        <v>0</v>
      </c>
      <c r="AW641">
        <v>9</v>
      </c>
      <c r="AX641">
        <v>1</v>
      </c>
      <c r="AY641">
        <v>0</v>
      </c>
      <c r="AZ641">
        <v>0</v>
      </c>
      <c r="BA641">
        <v>1026</v>
      </c>
      <c r="BB641">
        <v>1</v>
      </c>
      <c r="BC641">
        <v>0</v>
      </c>
      <c r="BD641">
        <v>0</v>
      </c>
      <c r="BE641">
        <v>0</v>
      </c>
      <c r="BF641">
        <v>0</v>
      </c>
      <c r="BG641">
        <v>5</v>
      </c>
      <c r="BH641">
        <v>0</v>
      </c>
      <c r="BI641">
        <v>0</v>
      </c>
      <c r="BJ641">
        <v>0</v>
      </c>
      <c r="BK641">
        <v>14</v>
      </c>
      <c r="BL641">
        <v>951</v>
      </c>
      <c r="BM641">
        <v>0</v>
      </c>
      <c r="BN641">
        <v>5</v>
      </c>
      <c r="BO641">
        <v>0</v>
      </c>
      <c r="BP641">
        <v>6</v>
      </c>
      <c r="BQ641">
        <v>30</v>
      </c>
      <c r="BR641">
        <v>4</v>
      </c>
      <c r="BS641">
        <v>9</v>
      </c>
      <c r="BT641">
        <v>2</v>
      </c>
      <c r="BU641">
        <v>23</v>
      </c>
      <c r="BV641">
        <v>0</v>
      </c>
      <c r="BW641">
        <v>890</v>
      </c>
      <c r="BX641">
        <v>0</v>
      </c>
      <c r="BY641">
        <v>4</v>
      </c>
      <c r="BZ641">
        <v>1</v>
      </c>
      <c r="CA641">
        <v>37</v>
      </c>
      <c r="CB641">
        <v>16</v>
      </c>
      <c r="CC641">
        <v>9</v>
      </c>
      <c r="CD641">
        <v>0</v>
      </c>
      <c r="CE641">
        <v>4</v>
      </c>
      <c r="CF641">
        <v>41</v>
      </c>
      <c r="CG641">
        <v>1</v>
      </c>
      <c r="CH641">
        <v>668</v>
      </c>
      <c r="CI641">
        <v>11</v>
      </c>
      <c r="CJ641">
        <v>2</v>
      </c>
      <c r="CK641">
        <v>134</v>
      </c>
      <c r="CL641">
        <v>22</v>
      </c>
      <c r="CM641">
        <v>13</v>
      </c>
      <c r="CN641">
        <v>2</v>
      </c>
      <c r="CO641">
        <v>6</v>
      </c>
      <c r="CP641">
        <v>0</v>
      </c>
      <c r="CQ641">
        <v>1</v>
      </c>
      <c r="CR641">
        <v>0</v>
      </c>
      <c r="CS641">
        <v>929</v>
      </c>
      <c r="CT641">
        <v>0</v>
      </c>
      <c r="CU641">
        <v>7</v>
      </c>
      <c r="CV641">
        <v>0</v>
      </c>
      <c r="CW641">
        <v>8</v>
      </c>
      <c r="CX641">
        <v>6</v>
      </c>
      <c r="CY641">
        <v>66</v>
      </c>
      <c r="CZ641">
        <v>1</v>
      </c>
      <c r="DA641">
        <v>3</v>
      </c>
      <c r="DB641">
        <v>1</v>
      </c>
      <c r="DC641">
        <v>1</v>
      </c>
      <c r="DD641">
        <v>877</v>
      </c>
      <c r="DE641">
        <v>36</v>
      </c>
      <c r="DF641">
        <v>29</v>
      </c>
      <c r="DG641">
        <v>1</v>
      </c>
      <c r="DH641">
        <v>0</v>
      </c>
      <c r="DI641">
        <v>3</v>
      </c>
      <c r="DJ641">
        <v>0</v>
      </c>
      <c r="DK641">
        <v>1</v>
      </c>
      <c r="DL641">
        <v>0</v>
      </c>
      <c r="DM641">
        <v>1</v>
      </c>
      <c r="DN641">
        <v>0</v>
      </c>
      <c r="DO641">
        <v>968</v>
      </c>
      <c r="DP641">
        <v>0</v>
      </c>
      <c r="DQ641">
        <v>17</v>
      </c>
      <c r="DR641">
        <v>2</v>
      </c>
      <c r="DS641">
        <v>2</v>
      </c>
      <c r="DT641">
        <v>4</v>
      </c>
      <c r="DU641">
        <v>4</v>
      </c>
      <c r="DV641">
        <v>0</v>
      </c>
      <c r="DW641">
        <v>1</v>
      </c>
      <c r="DX641">
        <v>4</v>
      </c>
      <c r="DY641">
        <v>64</v>
      </c>
      <c r="DZ641">
        <v>911</v>
      </c>
      <c r="EA641">
        <v>0.93069999999999997</v>
      </c>
      <c r="EB641">
        <v>0.93931550655212404</v>
      </c>
      <c r="EC641">
        <v>0.92848731247826799</v>
      </c>
      <c r="ED641">
        <v>0.92945858050545804</v>
      </c>
      <c r="EE641">
        <f>SUM(Table1[[#This Row],[ratio_0]:[ratio_9]])</f>
        <v>460</v>
      </c>
      <c r="EF641" s="1">
        <f>(Table1[[#This Row],[predicted_0]]-Table1[[#This Row],[actual_0]])/Table1[[#This Row],[actual_0]]</f>
        <v>5.1020408163265307E-2</v>
      </c>
      <c r="EG641" s="1">
        <f>(Table1[[#This Row],[predicted_1]]-Table1[[#This Row],[actual_1]])/Table1[[#This Row],[actual_1]]</f>
        <v>-7.9295154185022032E-3</v>
      </c>
      <c r="EH641" s="1">
        <f>(Table1[[#This Row],[predicted_2]]-Table1[[#This Row],[actual_2]])/Table1[[#This Row],[actual_2]]</f>
        <v>0.11627906976744186</v>
      </c>
      <c r="EI641" s="1">
        <f>(Table1[[#This Row],[predicted_3]]-Table1[[#This Row],[actual_3]])/Table1[[#This Row],[actual_3]]</f>
        <v>-8.9108910891089101E-3</v>
      </c>
      <c r="EJ641" s="1">
        <f>(Table1[[#This Row],[predicted_4]]-Table1[[#This Row],[actual_4]])/Table1[[#This Row],[actual_4]]</f>
        <v>-8.3503054989816694E-2</v>
      </c>
      <c r="EK641" s="1">
        <f>(Table1[[#This Row],[predicted_5]]-Table1[[#This Row],[actual_5]])/Table1[[#This Row],[actual_5]]</f>
        <v>-0.24439461883408073</v>
      </c>
      <c r="EL641" s="1">
        <f>(Table1[[#This Row],[predicted_6]]-Table1[[#This Row],[actual_6]])/Table1[[#This Row],[actual_6]]</f>
        <v>-1.0438413361169102E-2</v>
      </c>
      <c r="EM641" s="1">
        <f>(Table1[[#This Row],[predicted_7]]-Table1[[#This Row],[actual_7]])/Table1[[#This Row],[actual_7]]</f>
        <v>-0.13326848249027237</v>
      </c>
      <c r="EN641" s="1">
        <f>(Table1[[#This Row],[predicted_8]]-Table1[[#This Row],[actual_8]])/Table1[[#This Row],[actual_8]]</f>
        <v>0.32956878850102672</v>
      </c>
      <c r="EO641" s="1">
        <f>(Table1[[#This Row],[predicted_9]]-Table1[[#This Row],[actual_9]])/Table1[[#This Row],[actual_9]]</f>
        <v>-2.576808721506442E-2</v>
      </c>
      <c r="EP641" s="1">
        <f>1+(Table1[[#This Row],[error_ratio_0]]-EF$2)</f>
        <v>1.0489795918367346</v>
      </c>
      <c r="EQ641" s="1">
        <f>1+(Table1[[#This Row],[error_ratio_1]]-EG$2)</f>
        <v>0.99030837004405281</v>
      </c>
      <c r="ER641" s="1">
        <f>1+(Table1[[#This Row],[error_ratio_2]]-EH$2)</f>
        <v>1.1211240310077519</v>
      </c>
      <c r="ES641" s="1">
        <f>1+(Table1[[#This Row],[error_ratio_3]]-EI$2)</f>
        <v>0.98118811881188117</v>
      </c>
      <c r="ET641" s="1">
        <f>1+(Table1[[#This Row],[error_ratio_4]]-EJ$2)</f>
        <v>0.91547861507128314</v>
      </c>
      <c r="EU641" s="1">
        <f>1+(Table1[[#This Row],[error_ratio_5]]-EK$2)</f>
        <v>0.75448430493273544</v>
      </c>
      <c r="EV641" s="1">
        <f>1+(Table1[[#This Row],[error_ratio_6]]-EL$2)</f>
        <v>0.99582463465553239</v>
      </c>
      <c r="EW641" s="1">
        <f>1+(Table1[[#This Row],[error_ratio_7]]-EM$2)</f>
        <v>0.86478599221789887</v>
      </c>
      <c r="EX641" s="1">
        <f>1+(Table1[[#This Row],[error_ratio_8]]-EN$2)</f>
        <v>1.3326488706365502</v>
      </c>
      <c r="EY641" s="1">
        <f>1+(Table1[[#This Row],[error_ratio_9]]-EO$2)</f>
        <v>0.97819623389494548</v>
      </c>
    </row>
    <row r="642" spans="1:155" x14ac:dyDescent="0.75">
      <c r="A642">
        <v>10</v>
      </c>
      <c r="B642">
        <v>10</v>
      </c>
      <c r="C642">
        <v>100</v>
      </c>
      <c r="D642">
        <v>10</v>
      </c>
      <c r="E642">
        <v>10</v>
      </c>
      <c r="F642">
        <v>10</v>
      </c>
      <c r="G642">
        <v>100</v>
      </c>
      <c r="H642">
        <v>10</v>
      </c>
      <c r="I642">
        <v>100</v>
      </c>
      <c r="J642">
        <v>10</v>
      </c>
      <c r="K642">
        <v>967</v>
      </c>
      <c r="L642">
        <v>1112</v>
      </c>
      <c r="M642">
        <v>1036</v>
      </c>
      <c r="N642">
        <v>947</v>
      </c>
      <c r="O642">
        <v>941</v>
      </c>
      <c r="P642">
        <v>907</v>
      </c>
      <c r="Q642">
        <v>984</v>
      </c>
      <c r="R642">
        <v>995</v>
      </c>
      <c r="S642">
        <v>1125</v>
      </c>
      <c r="T642">
        <v>986</v>
      </c>
      <c r="U642">
        <v>980</v>
      </c>
      <c r="V642">
        <v>1135</v>
      </c>
      <c r="W642">
        <v>1032</v>
      </c>
      <c r="X642">
        <v>1010</v>
      </c>
      <c r="Y642">
        <v>982</v>
      </c>
      <c r="Z642">
        <v>892</v>
      </c>
      <c r="AA642">
        <v>958</v>
      </c>
      <c r="AB642">
        <v>1028</v>
      </c>
      <c r="AC642">
        <v>974</v>
      </c>
      <c r="AD642">
        <v>1009</v>
      </c>
      <c r="AE642">
        <v>955</v>
      </c>
      <c r="AF642">
        <v>0</v>
      </c>
      <c r="AG642">
        <v>0</v>
      </c>
      <c r="AH642">
        <v>0</v>
      </c>
      <c r="AI642">
        <v>0</v>
      </c>
      <c r="AJ642">
        <v>1</v>
      </c>
      <c r="AK642">
        <v>10</v>
      </c>
      <c r="AL642">
        <v>1</v>
      </c>
      <c r="AM642">
        <v>13</v>
      </c>
      <c r="AN642">
        <v>0</v>
      </c>
      <c r="AO642">
        <v>0</v>
      </c>
      <c r="AP642">
        <v>1107</v>
      </c>
      <c r="AQ642">
        <v>6</v>
      </c>
      <c r="AR642">
        <v>3</v>
      </c>
      <c r="AS642">
        <v>0</v>
      </c>
      <c r="AT642">
        <v>2</v>
      </c>
      <c r="AU642">
        <v>1</v>
      </c>
      <c r="AV642">
        <v>0</v>
      </c>
      <c r="AW642">
        <v>16</v>
      </c>
      <c r="AX642">
        <v>0</v>
      </c>
      <c r="AY642">
        <v>1</v>
      </c>
      <c r="AZ642">
        <v>0</v>
      </c>
      <c r="BA642">
        <v>999</v>
      </c>
      <c r="BB642">
        <v>0</v>
      </c>
      <c r="BC642">
        <v>0</v>
      </c>
      <c r="BD642">
        <v>0</v>
      </c>
      <c r="BE642">
        <v>1</v>
      </c>
      <c r="BF642">
        <v>6</v>
      </c>
      <c r="BG642">
        <v>25</v>
      </c>
      <c r="BH642">
        <v>0</v>
      </c>
      <c r="BI642">
        <v>0</v>
      </c>
      <c r="BJ642">
        <v>0</v>
      </c>
      <c r="BK642">
        <v>5</v>
      </c>
      <c r="BL642">
        <v>934</v>
      </c>
      <c r="BM642">
        <v>0</v>
      </c>
      <c r="BN642">
        <v>32</v>
      </c>
      <c r="BO642">
        <v>0</v>
      </c>
      <c r="BP642">
        <v>4</v>
      </c>
      <c r="BQ642">
        <v>29</v>
      </c>
      <c r="BR642">
        <v>6</v>
      </c>
      <c r="BS642">
        <v>0</v>
      </c>
      <c r="BT642">
        <v>0</v>
      </c>
      <c r="BU642">
        <v>1</v>
      </c>
      <c r="BV642">
        <v>1</v>
      </c>
      <c r="BW642">
        <v>934</v>
      </c>
      <c r="BX642">
        <v>0</v>
      </c>
      <c r="BY642">
        <v>16</v>
      </c>
      <c r="BZ642">
        <v>0</v>
      </c>
      <c r="CA642">
        <v>9</v>
      </c>
      <c r="CB642">
        <v>21</v>
      </c>
      <c r="CC642">
        <v>3</v>
      </c>
      <c r="CD642">
        <v>0</v>
      </c>
      <c r="CE642">
        <v>1</v>
      </c>
      <c r="CF642">
        <v>2</v>
      </c>
      <c r="CG642">
        <v>0</v>
      </c>
      <c r="CH642">
        <v>862</v>
      </c>
      <c r="CI642">
        <v>9</v>
      </c>
      <c r="CJ642">
        <v>0</v>
      </c>
      <c r="CK642">
        <v>13</v>
      </c>
      <c r="CL642">
        <v>2</v>
      </c>
      <c r="CM642">
        <v>1</v>
      </c>
      <c r="CN642">
        <v>2</v>
      </c>
      <c r="CO642">
        <v>2</v>
      </c>
      <c r="CP642">
        <v>0</v>
      </c>
      <c r="CQ642">
        <v>1</v>
      </c>
      <c r="CR642">
        <v>2</v>
      </c>
      <c r="CS642">
        <v>942</v>
      </c>
      <c r="CT642">
        <v>0</v>
      </c>
      <c r="CU642">
        <v>8</v>
      </c>
      <c r="CV642">
        <v>0</v>
      </c>
      <c r="CW642">
        <v>1</v>
      </c>
      <c r="CX642">
        <v>3</v>
      </c>
      <c r="CY642">
        <v>19</v>
      </c>
      <c r="CZ642">
        <v>5</v>
      </c>
      <c r="DA642">
        <v>0</v>
      </c>
      <c r="DB642">
        <v>1</v>
      </c>
      <c r="DC642">
        <v>1</v>
      </c>
      <c r="DD642">
        <v>978</v>
      </c>
      <c r="DE642">
        <v>14</v>
      </c>
      <c r="DF642">
        <v>6</v>
      </c>
      <c r="DG642">
        <v>0</v>
      </c>
      <c r="DH642">
        <v>0</v>
      </c>
      <c r="DI642">
        <v>1</v>
      </c>
      <c r="DJ642">
        <v>0</v>
      </c>
      <c r="DK642">
        <v>0</v>
      </c>
      <c r="DL642">
        <v>1</v>
      </c>
      <c r="DM642">
        <v>1</v>
      </c>
      <c r="DN642">
        <v>1</v>
      </c>
      <c r="DO642">
        <v>967</v>
      </c>
      <c r="DP642">
        <v>3</v>
      </c>
      <c r="DQ642">
        <v>6</v>
      </c>
      <c r="DR642">
        <v>0</v>
      </c>
      <c r="DS642">
        <v>2</v>
      </c>
      <c r="DT642">
        <v>2</v>
      </c>
      <c r="DU642">
        <v>6</v>
      </c>
      <c r="DV642">
        <v>6</v>
      </c>
      <c r="DW642">
        <v>3</v>
      </c>
      <c r="DX642">
        <v>5</v>
      </c>
      <c r="DY642">
        <v>31</v>
      </c>
      <c r="DZ642">
        <v>948</v>
      </c>
      <c r="EA642">
        <v>0.96260000000000001</v>
      </c>
      <c r="EB642">
        <v>0.96378468773158998</v>
      </c>
      <c r="EC642">
        <v>0.96271014504754204</v>
      </c>
      <c r="ED642">
        <v>0.96254741140497202</v>
      </c>
      <c r="EE642">
        <f>SUM(Table1[[#This Row],[ratio_0]:[ratio_9]])</f>
        <v>370</v>
      </c>
      <c r="EF642" s="1">
        <f>(Table1[[#This Row],[predicted_0]]-Table1[[#This Row],[actual_0]])/Table1[[#This Row],[actual_0]]</f>
        <v>-1.3265306122448979E-2</v>
      </c>
      <c r="EG642" s="1">
        <f>(Table1[[#This Row],[predicted_1]]-Table1[[#This Row],[actual_1]])/Table1[[#This Row],[actual_1]]</f>
        <v>-2.0264317180616741E-2</v>
      </c>
      <c r="EH642" s="1">
        <f>(Table1[[#This Row],[predicted_2]]-Table1[[#This Row],[actual_2]])/Table1[[#This Row],[actual_2]]</f>
        <v>3.875968992248062E-3</v>
      </c>
      <c r="EI642" s="1">
        <f>(Table1[[#This Row],[predicted_3]]-Table1[[#This Row],[actual_3]])/Table1[[#This Row],[actual_3]]</f>
        <v>-6.2376237623762376E-2</v>
      </c>
      <c r="EJ642" s="1">
        <f>(Table1[[#This Row],[predicted_4]]-Table1[[#This Row],[actual_4]])/Table1[[#This Row],[actual_4]]</f>
        <v>-4.1751527494908347E-2</v>
      </c>
      <c r="EK642" s="1">
        <f>(Table1[[#This Row],[predicted_5]]-Table1[[#This Row],[actual_5]])/Table1[[#This Row],[actual_5]]</f>
        <v>1.6816143497757848E-2</v>
      </c>
      <c r="EL642" s="1">
        <f>(Table1[[#This Row],[predicted_6]]-Table1[[#This Row],[actual_6]])/Table1[[#This Row],[actual_6]]</f>
        <v>2.7139874739039668E-2</v>
      </c>
      <c r="EM642" s="1">
        <f>(Table1[[#This Row],[predicted_7]]-Table1[[#This Row],[actual_7]])/Table1[[#This Row],[actual_7]]</f>
        <v>-3.2101167315175094E-2</v>
      </c>
      <c r="EN642" s="1">
        <f>(Table1[[#This Row],[predicted_8]]-Table1[[#This Row],[actual_8]])/Table1[[#This Row],[actual_8]]</f>
        <v>0.15503080082135523</v>
      </c>
      <c r="EO642" s="1">
        <f>(Table1[[#This Row],[predicted_9]]-Table1[[#This Row],[actual_9]])/Table1[[#This Row],[actual_9]]</f>
        <v>-2.2794846382556987E-2</v>
      </c>
      <c r="EP642" s="1">
        <f>1+(Table1[[#This Row],[error_ratio_0]]-EF$2)</f>
        <v>0.98469387755102045</v>
      </c>
      <c r="EQ642" s="1">
        <f>1+(Table1[[#This Row],[error_ratio_1]]-EG$2)</f>
        <v>0.97797356828193838</v>
      </c>
      <c r="ER642" s="1">
        <f>1+(Table1[[#This Row],[error_ratio_2]]-EH$2)</f>
        <v>1.0087209302325582</v>
      </c>
      <c r="ES642" s="1">
        <f>1+(Table1[[#This Row],[error_ratio_3]]-EI$2)</f>
        <v>0.92772277227722777</v>
      </c>
      <c r="ET642" s="1">
        <f>1+(Table1[[#This Row],[error_ratio_4]]-EJ$2)</f>
        <v>0.95723014256619143</v>
      </c>
      <c r="EU642" s="1">
        <f>1+(Table1[[#This Row],[error_ratio_5]]-EK$2)</f>
        <v>1.0156950672645739</v>
      </c>
      <c r="EV642" s="1">
        <f>1+(Table1[[#This Row],[error_ratio_6]]-EL$2)</f>
        <v>1.0334029227557411</v>
      </c>
      <c r="EW642" s="1">
        <f>1+(Table1[[#This Row],[error_ratio_7]]-EM$2)</f>
        <v>0.96595330739299612</v>
      </c>
      <c r="EX642" s="1">
        <f>1+(Table1[[#This Row],[error_ratio_8]]-EN$2)</f>
        <v>1.1581108829568789</v>
      </c>
      <c r="EY642" s="1">
        <f>1+(Table1[[#This Row],[error_ratio_9]]-EO$2)</f>
        <v>0.98116947472745297</v>
      </c>
    </row>
    <row r="643" spans="1:155" x14ac:dyDescent="0.75">
      <c r="A643">
        <v>10</v>
      </c>
      <c r="B643">
        <v>100</v>
      </c>
      <c r="C643">
        <v>10</v>
      </c>
      <c r="D643">
        <v>10</v>
      </c>
      <c r="E643">
        <v>10</v>
      </c>
      <c r="F643">
        <v>10</v>
      </c>
      <c r="G643">
        <v>100</v>
      </c>
      <c r="H643">
        <v>10</v>
      </c>
      <c r="I643">
        <v>100</v>
      </c>
      <c r="J643">
        <v>10</v>
      </c>
      <c r="K643">
        <v>993</v>
      </c>
      <c r="L643">
        <v>1137</v>
      </c>
      <c r="M643">
        <v>1008</v>
      </c>
      <c r="N643">
        <v>967</v>
      </c>
      <c r="O643">
        <v>988</v>
      </c>
      <c r="P643">
        <v>885</v>
      </c>
      <c r="Q643">
        <v>991</v>
      </c>
      <c r="R643">
        <v>1027</v>
      </c>
      <c r="S643">
        <v>1047</v>
      </c>
      <c r="T643">
        <v>957</v>
      </c>
      <c r="U643">
        <v>980</v>
      </c>
      <c r="V643">
        <v>1135</v>
      </c>
      <c r="W643">
        <v>1032</v>
      </c>
      <c r="X643">
        <v>1010</v>
      </c>
      <c r="Y643">
        <v>982</v>
      </c>
      <c r="Z643">
        <v>892</v>
      </c>
      <c r="AA643">
        <v>958</v>
      </c>
      <c r="AB643">
        <v>1028</v>
      </c>
      <c r="AC643">
        <v>974</v>
      </c>
      <c r="AD643">
        <v>1009</v>
      </c>
      <c r="AE643">
        <v>963</v>
      </c>
      <c r="AF643">
        <v>1</v>
      </c>
      <c r="AG643">
        <v>1</v>
      </c>
      <c r="AH643">
        <v>0</v>
      </c>
      <c r="AI643">
        <v>0</v>
      </c>
      <c r="AJ643">
        <v>4</v>
      </c>
      <c r="AK643">
        <v>4</v>
      </c>
      <c r="AL643">
        <v>1</v>
      </c>
      <c r="AM643">
        <v>6</v>
      </c>
      <c r="AN643">
        <v>0</v>
      </c>
      <c r="AO643">
        <v>0</v>
      </c>
      <c r="AP643">
        <v>1122</v>
      </c>
      <c r="AQ643">
        <v>0</v>
      </c>
      <c r="AR643">
        <v>2</v>
      </c>
      <c r="AS643">
        <v>0</v>
      </c>
      <c r="AT643">
        <v>1</v>
      </c>
      <c r="AU643">
        <v>7</v>
      </c>
      <c r="AV643">
        <v>0</v>
      </c>
      <c r="AW643">
        <v>3</v>
      </c>
      <c r="AX643">
        <v>0</v>
      </c>
      <c r="AY643">
        <v>10</v>
      </c>
      <c r="AZ643">
        <v>1</v>
      </c>
      <c r="BA643">
        <v>985</v>
      </c>
      <c r="BB643">
        <v>0</v>
      </c>
      <c r="BC643">
        <v>4</v>
      </c>
      <c r="BD643">
        <v>0</v>
      </c>
      <c r="BE643">
        <v>9</v>
      </c>
      <c r="BF643">
        <v>9</v>
      </c>
      <c r="BG643">
        <v>14</v>
      </c>
      <c r="BH643">
        <v>0</v>
      </c>
      <c r="BI643">
        <v>3</v>
      </c>
      <c r="BJ643">
        <v>0</v>
      </c>
      <c r="BK643">
        <v>4</v>
      </c>
      <c r="BL643">
        <v>946</v>
      </c>
      <c r="BM643">
        <v>0</v>
      </c>
      <c r="BN643">
        <v>31</v>
      </c>
      <c r="BO643">
        <v>0</v>
      </c>
      <c r="BP643">
        <v>7</v>
      </c>
      <c r="BQ643">
        <v>18</v>
      </c>
      <c r="BR643">
        <v>1</v>
      </c>
      <c r="BS643">
        <v>2</v>
      </c>
      <c r="BT643">
        <v>1</v>
      </c>
      <c r="BU643">
        <v>0</v>
      </c>
      <c r="BV643">
        <v>0</v>
      </c>
      <c r="BW643">
        <v>957</v>
      </c>
      <c r="BX643">
        <v>0</v>
      </c>
      <c r="BY643">
        <v>10</v>
      </c>
      <c r="BZ643">
        <v>0</v>
      </c>
      <c r="CA643">
        <v>5</v>
      </c>
      <c r="CB643">
        <v>7</v>
      </c>
      <c r="CC643">
        <v>2</v>
      </c>
      <c r="CD643">
        <v>1</v>
      </c>
      <c r="CE643">
        <v>1</v>
      </c>
      <c r="CF643">
        <v>5</v>
      </c>
      <c r="CG643">
        <v>0</v>
      </c>
      <c r="CH643">
        <v>839</v>
      </c>
      <c r="CI643">
        <v>15</v>
      </c>
      <c r="CJ643">
        <v>0</v>
      </c>
      <c r="CK643">
        <v>28</v>
      </c>
      <c r="CL643">
        <v>1</v>
      </c>
      <c r="CM643">
        <v>5</v>
      </c>
      <c r="CN643">
        <v>1</v>
      </c>
      <c r="CO643">
        <v>0</v>
      </c>
      <c r="CP643">
        <v>0</v>
      </c>
      <c r="CQ643">
        <v>2</v>
      </c>
      <c r="CR643">
        <v>1</v>
      </c>
      <c r="CS643">
        <v>946</v>
      </c>
      <c r="CT643">
        <v>0</v>
      </c>
      <c r="CU643">
        <v>3</v>
      </c>
      <c r="CV643">
        <v>0</v>
      </c>
      <c r="CW643">
        <v>1</v>
      </c>
      <c r="CX643">
        <v>7</v>
      </c>
      <c r="CY643">
        <v>16</v>
      </c>
      <c r="CZ643">
        <v>9</v>
      </c>
      <c r="DA643">
        <v>1</v>
      </c>
      <c r="DB643">
        <v>0</v>
      </c>
      <c r="DC643">
        <v>0</v>
      </c>
      <c r="DD643">
        <v>987</v>
      </c>
      <c r="DE643">
        <v>6</v>
      </c>
      <c r="DF643">
        <v>1</v>
      </c>
      <c r="DG643">
        <v>2</v>
      </c>
      <c r="DH643">
        <v>0</v>
      </c>
      <c r="DI643">
        <v>1</v>
      </c>
      <c r="DJ643">
        <v>0</v>
      </c>
      <c r="DK643">
        <v>3</v>
      </c>
      <c r="DL643">
        <v>1</v>
      </c>
      <c r="DM643">
        <v>0</v>
      </c>
      <c r="DN643">
        <v>8</v>
      </c>
      <c r="DO643">
        <v>956</v>
      </c>
      <c r="DP643">
        <v>3</v>
      </c>
      <c r="DQ643">
        <v>5</v>
      </c>
      <c r="DR643">
        <v>3</v>
      </c>
      <c r="DS643">
        <v>0</v>
      </c>
      <c r="DT643">
        <v>5</v>
      </c>
      <c r="DU643">
        <v>21</v>
      </c>
      <c r="DV643">
        <v>8</v>
      </c>
      <c r="DW643">
        <v>0</v>
      </c>
      <c r="DX643">
        <v>15</v>
      </c>
      <c r="DY643">
        <v>8</v>
      </c>
      <c r="DZ643">
        <v>944</v>
      </c>
      <c r="EA643">
        <v>0.96450000000000002</v>
      </c>
      <c r="EB643">
        <v>0.96438516946644504</v>
      </c>
      <c r="EC643">
        <v>0.96421049802405701</v>
      </c>
      <c r="ED643">
        <v>0.96401380458998298</v>
      </c>
      <c r="EE643">
        <f>SUM(Table1[[#This Row],[ratio_0]:[ratio_9]])</f>
        <v>370</v>
      </c>
      <c r="EF643" s="1">
        <f>(Table1[[#This Row],[predicted_0]]-Table1[[#This Row],[actual_0]])/Table1[[#This Row],[actual_0]]</f>
        <v>1.3265306122448979E-2</v>
      </c>
      <c r="EG643" s="1">
        <f>(Table1[[#This Row],[predicted_1]]-Table1[[#This Row],[actual_1]])/Table1[[#This Row],[actual_1]]</f>
        <v>1.762114537444934E-3</v>
      </c>
      <c r="EH643" s="1">
        <f>(Table1[[#This Row],[predicted_2]]-Table1[[#This Row],[actual_2]])/Table1[[#This Row],[actual_2]]</f>
        <v>-2.3255813953488372E-2</v>
      </c>
      <c r="EI643" s="1">
        <f>(Table1[[#This Row],[predicted_3]]-Table1[[#This Row],[actual_3]])/Table1[[#This Row],[actual_3]]</f>
        <v>-4.2574257425742577E-2</v>
      </c>
      <c r="EJ643" s="1">
        <f>(Table1[[#This Row],[predicted_4]]-Table1[[#This Row],[actual_4]])/Table1[[#This Row],[actual_4]]</f>
        <v>6.1099796334012219E-3</v>
      </c>
      <c r="EK643" s="1">
        <f>(Table1[[#This Row],[predicted_5]]-Table1[[#This Row],[actual_5]])/Table1[[#This Row],[actual_5]]</f>
        <v>-7.8475336322869956E-3</v>
      </c>
      <c r="EL643" s="1">
        <f>(Table1[[#This Row],[predicted_6]]-Table1[[#This Row],[actual_6]])/Table1[[#This Row],[actual_6]]</f>
        <v>3.444676409185804E-2</v>
      </c>
      <c r="EM643" s="1">
        <f>(Table1[[#This Row],[predicted_7]]-Table1[[#This Row],[actual_7]])/Table1[[#This Row],[actual_7]]</f>
        <v>-9.727626459143969E-4</v>
      </c>
      <c r="EN643" s="1">
        <f>(Table1[[#This Row],[predicted_8]]-Table1[[#This Row],[actual_8]])/Table1[[#This Row],[actual_8]]</f>
        <v>7.4948665297741274E-2</v>
      </c>
      <c r="EO643" s="1">
        <f>(Table1[[#This Row],[predicted_9]]-Table1[[#This Row],[actual_9]])/Table1[[#This Row],[actual_9]]</f>
        <v>-5.1536174430128839E-2</v>
      </c>
      <c r="EP643" s="1">
        <f>1+(Table1[[#This Row],[error_ratio_0]]-EF$2)</f>
        <v>1.0112244897959184</v>
      </c>
      <c r="EQ643" s="1">
        <f>1+(Table1[[#This Row],[error_ratio_1]]-EG$2)</f>
        <v>1</v>
      </c>
      <c r="ER643" s="1">
        <f>1+(Table1[[#This Row],[error_ratio_2]]-EH$2)</f>
        <v>0.98158914728682167</v>
      </c>
      <c r="ES643" s="1">
        <f>1+(Table1[[#This Row],[error_ratio_3]]-EI$2)</f>
        <v>0.94752475247524748</v>
      </c>
      <c r="ET643" s="1">
        <f>1+(Table1[[#This Row],[error_ratio_4]]-EJ$2)</f>
        <v>1.005091649694501</v>
      </c>
      <c r="EU643" s="1">
        <f>1+(Table1[[#This Row],[error_ratio_5]]-EK$2)</f>
        <v>0.99103139013452912</v>
      </c>
      <c r="EV643" s="1">
        <f>1+(Table1[[#This Row],[error_ratio_6]]-EL$2)</f>
        <v>1.0407098121085594</v>
      </c>
      <c r="EW643" s="1">
        <f>1+(Table1[[#This Row],[error_ratio_7]]-EM$2)</f>
        <v>0.99708171206225682</v>
      </c>
      <c r="EX643" s="1">
        <f>1+(Table1[[#This Row],[error_ratio_8]]-EN$2)</f>
        <v>1.0780287474332648</v>
      </c>
      <c r="EY643" s="1">
        <f>1+(Table1[[#This Row],[error_ratio_9]]-EO$2)</f>
        <v>0.95242814667988107</v>
      </c>
    </row>
    <row r="644" spans="1:155" x14ac:dyDescent="0.75">
      <c r="A644">
        <v>100</v>
      </c>
      <c r="B644">
        <v>10</v>
      </c>
      <c r="C644">
        <v>10</v>
      </c>
      <c r="D644">
        <v>10</v>
      </c>
      <c r="E644">
        <v>10</v>
      </c>
      <c r="F644">
        <v>10</v>
      </c>
      <c r="G644">
        <v>100</v>
      </c>
      <c r="H644">
        <v>10</v>
      </c>
      <c r="I644">
        <v>100</v>
      </c>
      <c r="J644">
        <v>10</v>
      </c>
      <c r="K644">
        <v>990</v>
      </c>
      <c r="L644">
        <v>1179</v>
      </c>
      <c r="M644">
        <v>1023</v>
      </c>
      <c r="N644">
        <v>975</v>
      </c>
      <c r="O644">
        <v>876</v>
      </c>
      <c r="P644">
        <v>884</v>
      </c>
      <c r="Q644">
        <v>983</v>
      </c>
      <c r="R644">
        <v>1001</v>
      </c>
      <c r="S644">
        <v>1049</v>
      </c>
      <c r="T644">
        <v>1040</v>
      </c>
      <c r="U644">
        <v>980</v>
      </c>
      <c r="V644">
        <v>1135</v>
      </c>
      <c r="W644">
        <v>1032</v>
      </c>
      <c r="X644">
        <v>1010</v>
      </c>
      <c r="Y644">
        <v>982</v>
      </c>
      <c r="Z644">
        <v>892</v>
      </c>
      <c r="AA644">
        <v>958</v>
      </c>
      <c r="AB644">
        <v>1028</v>
      </c>
      <c r="AC644">
        <v>974</v>
      </c>
      <c r="AD644">
        <v>1009</v>
      </c>
      <c r="AE644">
        <v>971</v>
      </c>
      <c r="AF644">
        <v>0</v>
      </c>
      <c r="AG644">
        <v>0</v>
      </c>
      <c r="AH644">
        <v>0</v>
      </c>
      <c r="AI644">
        <v>0</v>
      </c>
      <c r="AJ644">
        <v>0</v>
      </c>
      <c r="AK644">
        <v>2</v>
      </c>
      <c r="AL644">
        <v>2</v>
      </c>
      <c r="AM644">
        <v>3</v>
      </c>
      <c r="AN644">
        <v>2</v>
      </c>
      <c r="AO644">
        <v>2</v>
      </c>
      <c r="AP644">
        <v>1125</v>
      </c>
      <c r="AQ644">
        <v>2</v>
      </c>
      <c r="AR644">
        <v>1</v>
      </c>
      <c r="AS644">
        <v>0</v>
      </c>
      <c r="AT644">
        <v>2</v>
      </c>
      <c r="AU644">
        <v>1</v>
      </c>
      <c r="AV644">
        <v>1</v>
      </c>
      <c r="AW644">
        <v>1</v>
      </c>
      <c r="AX644">
        <v>0</v>
      </c>
      <c r="AY644">
        <v>4</v>
      </c>
      <c r="AZ644">
        <v>33</v>
      </c>
      <c r="BA644">
        <v>970</v>
      </c>
      <c r="BB644">
        <v>3</v>
      </c>
      <c r="BC644">
        <v>2</v>
      </c>
      <c r="BD644">
        <v>1</v>
      </c>
      <c r="BE644">
        <v>4</v>
      </c>
      <c r="BF644">
        <v>4</v>
      </c>
      <c r="BG644">
        <v>11</v>
      </c>
      <c r="BH644">
        <v>0</v>
      </c>
      <c r="BI644">
        <v>0</v>
      </c>
      <c r="BJ644">
        <v>0</v>
      </c>
      <c r="BK644">
        <v>21</v>
      </c>
      <c r="BL644">
        <v>952</v>
      </c>
      <c r="BM644">
        <v>0</v>
      </c>
      <c r="BN644">
        <v>11</v>
      </c>
      <c r="BO644">
        <v>0</v>
      </c>
      <c r="BP644">
        <v>12</v>
      </c>
      <c r="BQ644">
        <v>8</v>
      </c>
      <c r="BR644">
        <v>6</v>
      </c>
      <c r="BS644">
        <v>0</v>
      </c>
      <c r="BT644">
        <v>2</v>
      </c>
      <c r="BU644">
        <v>3</v>
      </c>
      <c r="BV644">
        <v>0</v>
      </c>
      <c r="BW644">
        <v>872</v>
      </c>
      <c r="BX644">
        <v>0</v>
      </c>
      <c r="BY644">
        <v>21</v>
      </c>
      <c r="BZ644">
        <v>2</v>
      </c>
      <c r="CA644">
        <v>11</v>
      </c>
      <c r="CB644">
        <v>71</v>
      </c>
      <c r="CC644">
        <v>2</v>
      </c>
      <c r="CD644">
        <v>0</v>
      </c>
      <c r="CE644">
        <v>3</v>
      </c>
      <c r="CF644">
        <v>12</v>
      </c>
      <c r="CG644">
        <v>0</v>
      </c>
      <c r="CH644">
        <v>849</v>
      </c>
      <c r="CI644">
        <v>7</v>
      </c>
      <c r="CJ644">
        <v>1</v>
      </c>
      <c r="CK644">
        <v>16</v>
      </c>
      <c r="CL644">
        <v>2</v>
      </c>
      <c r="CM644">
        <v>5</v>
      </c>
      <c r="CN644">
        <v>4</v>
      </c>
      <c r="CO644">
        <v>1</v>
      </c>
      <c r="CP644">
        <v>1</v>
      </c>
      <c r="CQ644">
        <v>0</v>
      </c>
      <c r="CR644">
        <v>1</v>
      </c>
      <c r="CS644">
        <v>944</v>
      </c>
      <c r="CT644">
        <v>0</v>
      </c>
      <c r="CU644">
        <v>2</v>
      </c>
      <c r="CV644">
        <v>0</v>
      </c>
      <c r="CW644">
        <v>1</v>
      </c>
      <c r="CX644">
        <v>12</v>
      </c>
      <c r="CY644">
        <v>23</v>
      </c>
      <c r="CZ644">
        <v>0</v>
      </c>
      <c r="DA644">
        <v>0</v>
      </c>
      <c r="DB644">
        <v>0</v>
      </c>
      <c r="DC644">
        <v>1</v>
      </c>
      <c r="DD644">
        <v>972</v>
      </c>
      <c r="DE644">
        <v>9</v>
      </c>
      <c r="DF644">
        <v>10</v>
      </c>
      <c r="DG644">
        <v>2</v>
      </c>
      <c r="DH644">
        <v>0</v>
      </c>
      <c r="DI644">
        <v>0</v>
      </c>
      <c r="DJ644">
        <v>0</v>
      </c>
      <c r="DK644">
        <v>0</v>
      </c>
      <c r="DL644">
        <v>0</v>
      </c>
      <c r="DM644">
        <v>2</v>
      </c>
      <c r="DN644">
        <v>1</v>
      </c>
      <c r="DO644">
        <v>968</v>
      </c>
      <c r="DP644">
        <v>1</v>
      </c>
      <c r="DQ644">
        <v>3</v>
      </c>
      <c r="DR644">
        <v>3</v>
      </c>
      <c r="DS644">
        <v>0</v>
      </c>
      <c r="DT644">
        <v>6</v>
      </c>
      <c r="DU644">
        <v>2</v>
      </c>
      <c r="DV644">
        <v>20</v>
      </c>
      <c r="DW644">
        <v>1</v>
      </c>
      <c r="DX644">
        <v>6</v>
      </c>
      <c r="DY644">
        <v>20</v>
      </c>
      <c r="DZ644">
        <v>948</v>
      </c>
      <c r="EA644">
        <v>0.95709999999999995</v>
      </c>
      <c r="EB644">
        <v>0.95811260037056201</v>
      </c>
      <c r="EC644">
        <v>0.95685753725078104</v>
      </c>
      <c r="ED644">
        <v>0.95692126555833001</v>
      </c>
      <c r="EE644">
        <f>SUM(Table1[[#This Row],[ratio_0]:[ratio_9]])</f>
        <v>370</v>
      </c>
      <c r="EF644" s="1">
        <f>(Table1[[#This Row],[predicted_0]]-Table1[[#This Row],[actual_0]])/Table1[[#This Row],[actual_0]]</f>
        <v>1.020408163265306E-2</v>
      </c>
      <c r="EG644" s="1">
        <f>(Table1[[#This Row],[predicted_1]]-Table1[[#This Row],[actual_1]])/Table1[[#This Row],[actual_1]]</f>
        <v>3.8766519823788544E-2</v>
      </c>
      <c r="EH644" s="1">
        <f>(Table1[[#This Row],[predicted_2]]-Table1[[#This Row],[actual_2]])/Table1[[#This Row],[actual_2]]</f>
        <v>-8.7209302325581394E-3</v>
      </c>
      <c r="EI644" s="1">
        <f>(Table1[[#This Row],[predicted_3]]-Table1[[#This Row],[actual_3]])/Table1[[#This Row],[actual_3]]</f>
        <v>-3.4653465346534656E-2</v>
      </c>
      <c r="EJ644" s="1">
        <f>(Table1[[#This Row],[predicted_4]]-Table1[[#This Row],[actual_4]])/Table1[[#This Row],[actual_4]]</f>
        <v>-0.1079429735234216</v>
      </c>
      <c r="EK644" s="1">
        <f>(Table1[[#This Row],[predicted_5]]-Table1[[#This Row],[actual_5]])/Table1[[#This Row],[actual_5]]</f>
        <v>-8.9686098654708519E-3</v>
      </c>
      <c r="EL644" s="1">
        <f>(Table1[[#This Row],[predicted_6]]-Table1[[#This Row],[actual_6]])/Table1[[#This Row],[actual_6]]</f>
        <v>2.6096033402922755E-2</v>
      </c>
      <c r="EM644" s="1">
        <f>(Table1[[#This Row],[predicted_7]]-Table1[[#This Row],[actual_7]])/Table1[[#This Row],[actual_7]]</f>
        <v>-2.6264591439688716E-2</v>
      </c>
      <c r="EN644" s="1">
        <f>(Table1[[#This Row],[predicted_8]]-Table1[[#This Row],[actual_8]])/Table1[[#This Row],[actual_8]]</f>
        <v>7.7002053388090352E-2</v>
      </c>
      <c r="EO644" s="1">
        <f>(Table1[[#This Row],[predicted_9]]-Table1[[#This Row],[actual_9]])/Table1[[#This Row],[actual_9]]</f>
        <v>3.0723488602576808E-2</v>
      </c>
      <c r="EP644" s="1">
        <f>1+(Table1[[#This Row],[error_ratio_0]]-EF$2)</f>
        <v>1.0081632653061225</v>
      </c>
      <c r="EQ644" s="1">
        <f>1+(Table1[[#This Row],[error_ratio_1]]-EG$2)</f>
        <v>1.0370044052863436</v>
      </c>
      <c r="ER644" s="1">
        <f>1+(Table1[[#This Row],[error_ratio_2]]-EH$2)</f>
        <v>0.99612403100775193</v>
      </c>
      <c r="ES644" s="1">
        <f>1+(Table1[[#This Row],[error_ratio_3]]-EI$2)</f>
        <v>0.95544554455445541</v>
      </c>
      <c r="ET644" s="1">
        <f>1+(Table1[[#This Row],[error_ratio_4]]-EJ$2)</f>
        <v>0.8910386965376782</v>
      </c>
      <c r="EU644" s="1">
        <f>1+(Table1[[#This Row],[error_ratio_5]]-EK$2)</f>
        <v>0.98991031390134532</v>
      </c>
      <c r="EV644" s="1">
        <f>1+(Table1[[#This Row],[error_ratio_6]]-EL$2)</f>
        <v>1.0323590814196242</v>
      </c>
      <c r="EW644" s="1">
        <f>1+(Table1[[#This Row],[error_ratio_7]]-EM$2)</f>
        <v>0.97178988326848248</v>
      </c>
      <c r="EX644" s="1">
        <f>1+(Table1[[#This Row],[error_ratio_8]]-EN$2)</f>
        <v>1.0800821355236139</v>
      </c>
      <c r="EY644" s="1">
        <f>1+(Table1[[#This Row],[error_ratio_9]]-EO$2)</f>
        <v>1.0346878097125867</v>
      </c>
    </row>
    <row r="645" spans="1:155" x14ac:dyDescent="0.75">
      <c r="A645">
        <v>100</v>
      </c>
      <c r="B645">
        <v>100</v>
      </c>
      <c r="C645">
        <v>100</v>
      </c>
      <c r="D645">
        <v>100</v>
      </c>
      <c r="E645">
        <v>100</v>
      </c>
      <c r="F645">
        <v>100</v>
      </c>
      <c r="G645">
        <v>10</v>
      </c>
      <c r="H645">
        <v>10</v>
      </c>
      <c r="I645">
        <v>100</v>
      </c>
      <c r="J645">
        <v>10</v>
      </c>
      <c r="K645">
        <v>1009</v>
      </c>
      <c r="L645">
        <v>1132</v>
      </c>
      <c r="M645">
        <v>1078</v>
      </c>
      <c r="N645">
        <v>1027</v>
      </c>
      <c r="O645">
        <v>1010</v>
      </c>
      <c r="P645">
        <v>945</v>
      </c>
      <c r="Q645">
        <v>904</v>
      </c>
      <c r="R645">
        <v>954</v>
      </c>
      <c r="S645">
        <v>1005</v>
      </c>
      <c r="T645">
        <v>936</v>
      </c>
      <c r="U645">
        <v>980</v>
      </c>
      <c r="V645">
        <v>1135</v>
      </c>
      <c r="W645">
        <v>1032</v>
      </c>
      <c r="X645">
        <v>1010</v>
      </c>
      <c r="Y645">
        <v>982</v>
      </c>
      <c r="Z645">
        <v>892</v>
      </c>
      <c r="AA645">
        <v>958</v>
      </c>
      <c r="AB645">
        <v>1028</v>
      </c>
      <c r="AC645">
        <v>974</v>
      </c>
      <c r="AD645">
        <v>1009</v>
      </c>
      <c r="AE645">
        <v>978</v>
      </c>
      <c r="AF645">
        <v>0</v>
      </c>
      <c r="AG645">
        <v>0</v>
      </c>
      <c r="AH645">
        <v>0</v>
      </c>
      <c r="AI645">
        <v>0</v>
      </c>
      <c r="AJ645">
        <v>0</v>
      </c>
      <c r="AK645">
        <v>0</v>
      </c>
      <c r="AL645">
        <v>1</v>
      </c>
      <c r="AM645">
        <v>1</v>
      </c>
      <c r="AN645">
        <v>0</v>
      </c>
      <c r="AO645">
        <v>0</v>
      </c>
      <c r="AP645">
        <v>1118</v>
      </c>
      <c r="AQ645">
        <v>3</v>
      </c>
      <c r="AR645">
        <v>2</v>
      </c>
      <c r="AS645">
        <v>0</v>
      </c>
      <c r="AT645">
        <v>2</v>
      </c>
      <c r="AU645">
        <v>0</v>
      </c>
      <c r="AV645">
        <v>0</v>
      </c>
      <c r="AW645">
        <v>10</v>
      </c>
      <c r="AX645">
        <v>0</v>
      </c>
      <c r="AY645">
        <v>2</v>
      </c>
      <c r="AZ645">
        <v>0</v>
      </c>
      <c r="BA645">
        <v>1020</v>
      </c>
      <c r="BB645">
        <v>1</v>
      </c>
      <c r="BC645">
        <v>0</v>
      </c>
      <c r="BD645">
        <v>1</v>
      </c>
      <c r="BE645">
        <v>0</v>
      </c>
      <c r="BF645">
        <v>3</v>
      </c>
      <c r="BG645">
        <v>5</v>
      </c>
      <c r="BH645">
        <v>0</v>
      </c>
      <c r="BI645">
        <v>0</v>
      </c>
      <c r="BJ645">
        <v>0</v>
      </c>
      <c r="BK645">
        <v>1</v>
      </c>
      <c r="BL645">
        <v>1001</v>
      </c>
      <c r="BM645">
        <v>0</v>
      </c>
      <c r="BN645">
        <v>4</v>
      </c>
      <c r="BO645">
        <v>0</v>
      </c>
      <c r="BP645">
        <v>2</v>
      </c>
      <c r="BQ645">
        <v>2</v>
      </c>
      <c r="BR645">
        <v>0</v>
      </c>
      <c r="BS645">
        <v>0</v>
      </c>
      <c r="BT645">
        <v>0</v>
      </c>
      <c r="BU645">
        <v>3</v>
      </c>
      <c r="BV645">
        <v>0</v>
      </c>
      <c r="BW645">
        <v>976</v>
      </c>
      <c r="BX645">
        <v>0</v>
      </c>
      <c r="BY645">
        <v>2</v>
      </c>
      <c r="BZ645">
        <v>0</v>
      </c>
      <c r="CA645">
        <v>0</v>
      </c>
      <c r="CB645">
        <v>1</v>
      </c>
      <c r="CC645">
        <v>2</v>
      </c>
      <c r="CD645">
        <v>0</v>
      </c>
      <c r="CE645">
        <v>0</v>
      </c>
      <c r="CF645">
        <v>7</v>
      </c>
      <c r="CG645">
        <v>0</v>
      </c>
      <c r="CH645">
        <v>880</v>
      </c>
      <c r="CI645">
        <v>0</v>
      </c>
      <c r="CJ645">
        <v>1</v>
      </c>
      <c r="CK645">
        <v>2</v>
      </c>
      <c r="CL645">
        <v>0</v>
      </c>
      <c r="CM645">
        <v>13</v>
      </c>
      <c r="CN645">
        <v>3</v>
      </c>
      <c r="CO645">
        <v>2</v>
      </c>
      <c r="CP645">
        <v>0</v>
      </c>
      <c r="CQ645">
        <v>4</v>
      </c>
      <c r="CR645">
        <v>32</v>
      </c>
      <c r="CS645">
        <v>902</v>
      </c>
      <c r="CT645">
        <v>0</v>
      </c>
      <c r="CU645">
        <v>2</v>
      </c>
      <c r="CV645">
        <v>0</v>
      </c>
      <c r="CW645">
        <v>4</v>
      </c>
      <c r="CX645">
        <v>7</v>
      </c>
      <c r="CY645">
        <v>46</v>
      </c>
      <c r="CZ645">
        <v>7</v>
      </c>
      <c r="DA645">
        <v>5</v>
      </c>
      <c r="DB645">
        <v>4</v>
      </c>
      <c r="DC645">
        <v>0</v>
      </c>
      <c r="DD645">
        <v>941</v>
      </c>
      <c r="DE645">
        <v>8</v>
      </c>
      <c r="DF645">
        <v>6</v>
      </c>
      <c r="DG645">
        <v>3</v>
      </c>
      <c r="DH645">
        <v>0</v>
      </c>
      <c r="DI645">
        <v>2</v>
      </c>
      <c r="DJ645">
        <v>0</v>
      </c>
      <c r="DK645">
        <v>0</v>
      </c>
      <c r="DL645">
        <v>3</v>
      </c>
      <c r="DM645">
        <v>0</v>
      </c>
      <c r="DN645">
        <v>1</v>
      </c>
      <c r="DO645">
        <v>964</v>
      </c>
      <c r="DP645">
        <v>1</v>
      </c>
      <c r="DQ645">
        <v>7</v>
      </c>
      <c r="DR645">
        <v>4</v>
      </c>
      <c r="DS645">
        <v>1</v>
      </c>
      <c r="DT645">
        <v>9</v>
      </c>
      <c r="DU645">
        <v>25</v>
      </c>
      <c r="DV645">
        <v>19</v>
      </c>
      <c r="DW645">
        <v>0</v>
      </c>
      <c r="DX645">
        <v>5</v>
      </c>
      <c r="DY645">
        <v>11</v>
      </c>
      <c r="DZ645">
        <v>928</v>
      </c>
      <c r="EA645">
        <v>0.9708</v>
      </c>
      <c r="EB645">
        <v>0.97101605376882205</v>
      </c>
      <c r="EC645">
        <v>0.97092496096611802</v>
      </c>
      <c r="ED645">
        <v>0.97042479789216096</v>
      </c>
      <c r="EE645">
        <f>SUM(Table1[[#This Row],[ratio_0]:[ratio_9]])</f>
        <v>730</v>
      </c>
      <c r="EF645" s="1">
        <f>(Table1[[#This Row],[predicted_0]]-Table1[[#This Row],[actual_0]])/Table1[[#This Row],[actual_0]]</f>
        <v>2.9591836734693878E-2</v>
      </c>
      <c r="EG645" s="1">
        <f>(Table1[[#This Row],[predicted_1]]-Table1[[#This Row],[actual_1]])/Table1[[#This Row],[actual_1]]</f>
        <v>-2.6431718061674008E-3</v>
      </c>
      <c r="EH645" s="1">
        <f>(Table1[[#This Row],[predicted_2]]-Table1[[#This Row],[actual_2]])/Table1[[#This Row],[actual_2]]</f>
        <v>4.4573643410852716E-2</v>
      </c>
      <c r="EI645" s="1">
        <f>(Table1[[#This Row],[predicted_3]]-Table1[[#This Row],[actual_3]])/Table1[[#This Row],[actual_3]]</f>
        <v>1.6831683168316833E-2</v>
      </c>
      <c r="EJ645" s="1">
        <f>(Table1[[#This Row],[predicted_4]]-Table1[[#This Row],[actual_4]])/Table1[[#This Row],[actual_4]]</f>
        <v>2.8513238289205704E-2</v>
      </c>
      <c r="EK645" s="1">
        <f>(Table1[[#This Row],[predicted_5]]-Table1[[#This Row],[actual_5]])/Table1[[#This Row],[actual_5]]</f>
        <v>5.9417040358744393E-2</v>
      </c>
      <c r="EL645" s="1">
        <f>(Table1[[#This Row],[predicted_6]]-Table1[[#This Row],[actual_6]])/Table1[[#This Row],[actual_6]]</f>
        <v>-5.6367432150313153E-2</v>
      </c>
      <c r="EM645" s="1">
        <f>(Table1[[#This Row],[predicted_7]]-Table1[[#This Row],[actual_7]])/Table1[[#This Row],[actual_7]]</f>
        <v>-7.1984435797665364E-2</v>
      </c>
      <c r="EN645" s="1">
        <f>(Table1[[#This Row],[predicted_8]]-Table1[[#This Row],[actual_8]])/Table1[[#This Row],[actual_8]]</f>
        <v>3.1827515400410678E-2</v>
      </c>
      <c r="EO645" s="1">
        <f>(Table1[[#This Row],[predicted_9]]-Table1[[#This Row],[actual_9]])/Table1[[#This Row],[actual_9]]</f>
        <v>-7.2348860257680878E-2</v>
      </c>
      <c r="EP645" s="1">
        <f>1+(Table1[[#This Row],[error_ratio_0]]-EF$2)</f>
        <v>1.0275510204081633</v>
      </c>
      <c r="EQ645" s="1">
        <f>1+(Table1[[#This Row],[error_ratio_1]]-EG$2)</f>
        <v>0.99559471365638763</v>
      </c>
      <c r="ER645" s="1">
        <f>1+(Table1[[#This Row],[error_ratio_2]]-EH$2)</f>
        <v>1.0494186046511629</v>
      </c>
      <c r="ES645" s="1">
        <f>1+(Table1[[#This Row],[error_ratio_3]]-EI$2)</f>
        <v>1.0069306930693069</v>
      </c>
      <c r="ET645" s="1">
        <f>1+(Table1[[#This Row],[error_ratio_4]]-EJ$2)</f>
        <v>1.0274949083503055</v>
      </c>
      <c r="EU645" s="1">
        <f>1+(Table1[[#This Row],[error_ratio_5]]-EK$2)</f>
        <v>1.0582959641255605</v>
      </c>
      <c r="EV645" s="1">
        <f>1+(Table1[[#This Row],[error_ratio_6]]-EL$2)</f>
        <v>0.94989561586638827</v>
      </c>
      <c r="EW645" s="1">
        <f>1+(Table1[[#This Row],[error_ratio_7]]-EM$2)</f>
        <v>0.92607003891050588</v>
      </c>
      <c r="EX645" s="1">
        <f>1+(Table1[[#This Row],[error_ratio_8]]-EN$2)</f>
        <v>1.0349075975359343</v>
      </c>
      <c r="EY645" s="1">
        <f>1+(Table1[[#This Row],[error_ratio_9]]-EO$2)</f>
        <v>0.93161546085232905</v>
      </c>
    </row>
    <row r="646" spans="1:155" x14ac:dyDescent="0.75">
      <c r="A646">
        <v>10</v>
      </c>
      <c r="B646">
        <v>100</v>
      </c>
      <c r="C646">
        <v>100</v>
      </c>
      <c r="D646">
        <v>100</v>
      </c>
      <c r="E646">
        <v>100</v>
      </c>
      <c r="F646">
        <v>100</v>
      </c>
      <c r="G646">
        <v>10</v>
      </c>
      <c r="H646">
        <v>10</v>
      </c>
      <c r="I646">
        <v>100</v>
      </c>
      <c r="J646">
        <v>10</v>
      </c>
      <c r="K646">
        <v>971</v>
      </c>
      <c r="L646">
        <v>1150</v>
      </c>
      <c r="M646">
        <v>1066</v>
      </c>
      <c r="N646">
        <v>1046</v>
      </c>
      <c r="O646">
        <v>1044</v>
      </c>
      <c r="P646">
        <v>958</v>
      </c>
      <c r="Q646">
        <v>898</v>
      </c>
      <c r="R646">
        <v>970</v>
      </c>
      <c r="S646">
        <v>971</v>
      </c>
      <c r="T646">
        <v>926</v>
      </c>
      <c r="U646">
        <v>980</v>
      </c>
      <c r="V646">
        <v>1135</v>
      </c>
      <c r="W646">
        <v>1032</v>
      </c>
      <c r="X646">
        <v>1010</v>
      </c>
      <c r="Y646">
        <v>982</v>
      </c>
      <c r="Z646">
        <v>892</v>
      </c>
      <c r="AA646">
        <v>958</v>
      </c>
      <c r="AB646">
        <v>1028</v>
      </c>
      <c r="AC646">
        <v>974</v>
      </c>
      <c r="AD646">
        <v>1009</v>
      </c>
      <c r="AE646">
        <v>951</v>
      </c>
      <c r="AF646">
        <v>0</v>
      </c>
      <c r="AG646">
        <v>4</v>
      </c>
      <c r="AH646">
        <v>0</v>
      </c>
      <c r="AI646">
        <v>5</v>
      </c>
      <c r="AJ646">
        <v>6</v>
      </c>
      <c r="AK646">
        <v>2</v>
      </c>
      <c r="AL646">
        <v>2</v>
      </c>
      <c r="AM646">
        <v>4</v>
      </c>
      <c r="AN646">
        <v>6</v>
      </c>
      <c r="AO646">
        <v>0</v>
      </c>
      <c r="AP646">
        <v>1128</v>
      </c>
      <c r="AQ646">
        <v>1</v>
      </c>
      <c r="AR646">
        <v>1</v>
      </c>
      <c r="AS646">
        <v>0</v>
      </c>
      <c r="AT646">
        <v>1</v>
      </c>
      <c r="AU646">
        <v>1</v>
      </c>
      <c r="AV646">
        <v>0</v>
      </c>
      <c r="AW646">
        <v>3</v>
      </c>
      <c r="AX646">
        <v>0</v>
      </c>
      <c r="AY646">
        <v>0</v>
      </c>
      <c r="AZ646">
        <v>1</v>
      </c>
      <c r="BA646">
        <v>1022</v>
      </c>
      <c r="BB646">
        <v>3</v>
      </c>
      <c r="BC646">
        <v>1</v>
      </c>
      <c r="BD646">
        <v>0</v>
      </c>
      <c r="BE646">
        <v>0</v>
      </c>
      <c r="BF646">
        <v>0</v>
      </c>
      <c r="BG646">
        <v>5</v>
      </c>
      <c r="BH646">
        <v>0</v>
      </c>
      <c r="BI646">
        <v>0</v>
      </c>
      <c r="BJ646">
        <v>0</v>
      </c>
      <c r="BK646">
        <v>1</v>
      </c>
      <c r="BL646">
        <v>1002</v>
      </c>
      <c r="BM646">
        <v>0</v>
      </c>
      <c r="BN646">
        <v>4</v>
      </c>
      <c r="BO646">
        <v>0</v>
      </c>
      <c r="BP646">
        <v>2</v>
      </c>
      <c r="BQ646">
        <v>1</v>
      </c>
      <c r="BR646">
        <v>0</v>
      </c>
      <c r="BS646">
        <v>0</v>
      </c>
      <c r="BT646">
        <v>0</v>
      </c>
      <c r="BU646">
        <v>0</v>
      </c>
      <c r="BV646">
        <v>0</v>
      </c>
      <c r="BW646">
        <v>982</v>
      </c>
      <c r="BX646">
        <v>0</v>
      </c>
      <c r="BY646">
        <v>0</v>
      </c>
      <c r="BZ646">
        <v>0</v>
      </c>
      <c r="CA646">
        <v>0</v>
      </c>
      <c r="CB646">
        <v>0</v>
      </c>
      <c r="CC646">
        <v>1</v>
      </c>
      <c r="CD646">
        <v>0</v>
      </c>
      <c r="CE646">
        <v>0</v>
      </c>
      <c r="CF646">
        <v>8</v>
      </c>
      <c r="CG646">
        <v>0</v>
      </c>
      <c r="CH646">
        <v>882</v>
      </c>
      <c r="CI646">
        <v>1</v>
      </c>
      <c r="CJ646">
        <v>0</v>
      </c>
      <c r="CK646">
        <v>0</v>
      </c>
      <c r="CL646">
        <v>0</v>
      </c>
      <c r="CM646">
        <v>11</v>
      </c>
      <c r="CN646">
        <v>3</v>
      </c>
      <c r="CO646">
        <v>3</v>
      </c>
      <c r="CP646">
        <v>0</v>
      </c>
      <c r="CQ646">
        <v>20</v>
      </c>
      <c r="CR646">
        <v>26</v>
      </c>
      <c r="CS646">
        <v>894</v>
      </c>
      <c r="CT646">
        <v>0</v>
      </c>
      <c r="CU646">
        <v>1</v>
      </c>
      <c r="CV646">
        <v>0</v>
      </c>
      <c r="CW646">
        <v>2</v>
      </c>
      <c r="CX646">
        <v>14</v>
      </c>
      <c r="CY646">
        <v>30</v>
      </c>
      <c r="CZ646">
        <v>10</v>
      </c>
      <c r="DA646">
        <v>6</v>
      </c>
      <c r="DB646">
        <v>1</v>
      </c>
      <c r="DC646">
        <v>0</v>
      </c>
      <c r="DD646">
        <v>958</v>
      </c>
      <c r="DE646">
        <v>5</v>
      </c>
      <c r="DF646">
        <v>2</v>
      </c>
      <c r="DG646">
        <v>2</v>
      </c>
      <c r="DH646">
        <v>0</v>
      </c>
      <c r="DI646">
        <v>2</v>
      </c>
      <c r="DJ646">
        <v>8</v>
      </c>
      <c r="DK646">
        <v>2</v>
      </c>
      <c r="DL646">
        <v>11</v>
      </c>
      <c r="DM646">
        <v>0</v>
      </c>
      <c r="DN646">
        <v>2</v>
      </c>
      <c r="DO646">
        <v>945</v>
      </c>
      <c r="DP646">
        <v>2</v>
      </c>
      <c r="DQ646">
        <v>4</v>
      </c>
      <c r="DR646">
        <v>4</v>
      </c>
      <c r="DS646">
        <v>3</v>
      </c>
      <c r="DT646">
        <v>14</v>
      </c>
      <c r="DU646">
        <v>28</v>
      </c>
      <c r="DV646">
        <v>27</v>
      </c>
      <c r="DW646">
        <v>0</v>
      </c>
      <c r="DX646">
        <v>6</v>
      </c>
      <c r="DY646">
        <v>7</v>
      </c>
      <c r="DZ646">
        <v>916</v>
      </c>
      <c r="EA646">
        <v>0.96799999999999997</v>
      </c>
      <c r="EB646">
        <v>0.96838113890840805</v>
      </c>
      <c r="EC646">
        <v>0.96785754616492903</v>
      </c>
      <c r="ED646">
        <v>0.96748873413422198</v>
      </c>
      <c r="EE646">
        <f>SUM(Table1[[#This Row],[ratio_0]:[ratio_9]])</f>
        <v>640</v>
      </c>
      <c r="EF646" s="1">
        <f>(Table1[[#This Row],[predicted_0]]-Table1[[#This Row],[actual_0]])/Table1[[#This Row],[actual_0]]</f>
        <v>-9.1836734693877559E-3</v>
      </c>
      <c r="EG646" s="1">
        <f>(Table1[[#This Row],[predicted_1]]-Table1[[#This Row],[actual_1]])/Table1[[#This Row],[actual_1]]</f>
        <v>1.3215859030837005E-2</v>
      </c>
      <c r="EH646" s="1">
        <f>(Table1[[#This Row],[predicted_2]]-Table1[[#This Row],[actual_2]])/Table1[[#This Row],[actual_2]]</f>
        <v>3.294573643410853E-2</v>
      </c>
      <c r="EI646" s="1">
        <f>(Table1[[#This Row],[predicted_3]]-Table1[[#This Row],[actual_3]])/Table1[[#This Row],[actual_3]]</f>
        <v>3.5643564356435641E-2</v>
      </c>
      <c r="EJ646" s="1">
        <f>(Table1[[#This Row],[predicted_4]]-Table1[[#This Row],[actual_4]])/Table1[[#This Row],[actual_4]]</f>
        <v>6.313645621181263E-2</v>
      </c>
      <c r="EK646" s="1">
        <f>(Table1[[#This Row],[predicted_5]]-Table1[[#This Row],[actual_5]])/Table1[[#This Row],[actual_5]]</f>
        <v>7.3991031390134535E-2</v>
      </c>
      <c r="EL646" s="1">
        <f>(Table1[[#This Row],[predicted_6]]-Table1[[#This Row],[actual_6]])/Table1[[#This Row],[actual_6]]</f>
        <v>-6.2630480167014613E-2</v>
      </c>
      <c r="EM646" s="1">
        <f>(Table1[[#This Row],[predicted_7]]-Table1[[#This Row],[actual_7]])/Table1[[#This Row],[actual_7]]</f>
        <v>-5.642023346303502E-2</v>
      </c>
      <c r="EN646" s="1">
        <f>(Table1[[#This Row],[predicted_8]]-Table1[[#This Row],[actual_8]])/Table1[[#This Row],[actual_8]]</f>
        <v>-3.0800821355236141E-3</v>
      </c>
      <c r="EO646" s="1">
        <f>(Table1[[#This Row],[predicted_9]]-Table1[[#This Row],[actual_9]])/Table1[[#This Row],[actual_9]]</f>
        <v>-8.2259663032705654E-2</v>
      </c>
      <c r="EP646" s="1">
        <f>1+(Table1[[#This Row],[error_ratio_0]]-EF$2)</f>
        <v>0.98877551020408161</v>
      </c>
      <c r="EQ646" s="1">
        <f>1+(Table1[[#This Row],[error_ratio_1]]-EG$2)</f>
        <v>1.011453744493392</v>
      </c>
      <c r="ER646" s="1">
        <f>1+(Table1[[#This Row],[error_ratio_2]]-EH$2)</f>
        <v>1.0377906976744187</v>
      </c>
      <c r="ES646" s="1">
        <f>1+(Table1[[#This Row],[error_ratio_3]]-EI$2)</f>
        <v>1.0257425742574258</v>
      </c>
      <c r="ET646" s="1">
        <f>1+(Table1[[#This Row],[error_ratio_4]]-EJ$2)</f>
        <v>1.0621181262729125</v>
      </c>
      <c r="EU646" s="1">
        <f>1+(Table1[[#This Row],[error_ratio_5]]-EK$2)</f>
        <v>1.0728699551569507</v>
      </c>
      <c r="EV646" s="1">
        <f>1+(Table1[[#This Row],[error_ratio_6]]-EL$2)</f>
        <v>0.94363256784968685</v>
      </c>
      <c r="EW646" s="1">
        <f>1+(Table1[[#This Row],[error_ratio_7]]-EM$2)</f>
        <v>0.94163424124513617</v>
      </c>
      <c r="EX646" s="1">
        <f>1+(Table1[[#This Row],[error_ratio_8]]-EN$2)</f>
        <v>1</v>
      </c>
      <c r="EY646" s="1">
        <f>1+(Table1[[#This Row],[error_ratio_9]]-EO$2)</f>
        <v>0.92170465807730428</v>
      </c>
    </row>
    <row r="647" spans="1:155" x14ac:dyDescent="0.75">
      <c r="A647">
        <v>100</v>
      </c>
      <c r="B647">
        <v>10</v>
      </c>
      <c r="C647">
        <v>100</v>
      </c>
      <c r="D647">
        <v>100</v>
      </c>
      <c r="E647">
        <v>100</v>
      </c>
      <c r="F647">
        <v>100</v>
      </c>
      <c r="G647">
        <v>10</v>
      </c>
      <c r="H647">
        <v>10</v>
      </c>
      <c r="I647">
        <v>100</v>
      </c>
      <c r="J647">
        <v>10</v>
      </c>
      <c r="K647">
        <v>994</v>
      </c>
      <c r="L647">
        <v>1130</v>
      </c>
      <c r="M647">
        <v>1087</v>
      </c>
      <c r="N647">
        <v>1043</v>
      </c>
      <c r="O647">
        <v>1054</v>
      </c>
      <c r="P647">
        <v>927</v>
      </c>
      <c r="Q647">
        <v>873</v>
      </c>
      <c r="R647">
        <v>968</v>
      </c>
      <c r="S647">
        <v>974</v>
      </c>
      <c r="T647">
        <v>950</v>
      </c>
      <c r="U647">
        <v>980</v>
      </c>
      <c r="V647">
        <v>1135</v>
      </c>
      <c r="W647">
        <v>1032</v>
      </c>
      <c r="X647">
        <v>1010</v>
      </c>
      <c r="Y647">
        <v>982</v>
      </c>
      <c r="Z647">
        <v>892</v>
      </c>
      <c r="AA647">
        <v>958</v>
      </c>
      <c r="AB647">
        <v>1028</v>
      </c>
      <c r="AC647">
        <v>974</v>
      </c>
      <c r="AD647">
        <v>1009</v>
      </c>
      <c r="AE647">
        <v>974</v>
      </c>
      <c r="AF647">
        <v>0</v>
      </c>
      <c r="AG647">
        <v>2</v>
      </c>
      <c r="AH647">
        <v>0</v>
      </c>
      <c r="AI647">
        <v>1</v>
      </c>
      <c r="AJ647">
        <v>0</v>
      </c>
      <c r="AK647">
        <v>0</v>
      </c>
      <c r="AL647">
        <v>1</v>
      </c>
      <c r="AM647">
        <v>2</v>
      </c>
      <c r="AN647">
        <v>0</v>
      </c>
      <c r="AO647">
        <v>0</v>
      </c>
      <c r="AP647">
        <v>1119</v>
      </c>
      <c r="AQ647">
        <v>6</v>
      </c>
      <c r="AR647">
        <v>4</v>
      </c>
      <c r="AS647">
        <v>2</v>
      </c>
      <c r="AT647">
        <v>2</v>
      </c>
      <c r="AU647">
        <v>1</v>
      </c>
      <c r="AV647">
        <v>0</v>
      </c>
      <c r="AW647">
        <v>1</v>
      </c>
      <c r="AX647">
        <v>0</v>
      </c>
      <c r="AY647">
        <v>1</v>
      </c>
      <c r="AZ647">
        <v>0</v>
      </c>
      <c r="BA647">
        <v>1027</v>
      </c>
      <c r="BB647">
        <v>1</v>
      </c>
      <c r="BC647">
        <v>1</v>
      </c>
      <c r="BD647">
        <v>0</v>
      </c>
      <c r="BE647">
        <v>0</v>
      </c>
      <c r="BF647">
        <v>2</v>
      </c>
      <c r="BG647">
        <v>0</v>
      </c>
      <c r="BH647">
        <v>0</v>
      </c>
      <c r="BI647">
        <v>0</v>
      </c>
      <c r="BJ647">
        <v>0</v>
      </c>
      <c r="BK647">
        <v>1</v>
      </c>
      <c r="BL647">
        <v>1002</v>
      </c>
      <c r="BM647">
        <v>0</v>
      </c>
      <c r="BN647">
        <v>5</v>
      </c>
      <c r="BO647">
        <v>0</v>
      </c>
      <c r="BP647">
        <v>1</v>
      </c>
      <c r="BQ647">
        <v>1</v>
      </c>
      <c r="BR647">
        <v>0</v>
      </c>
      <c r="BS647">
        <v>0</v>
      </c>
      <c r="BT647">
        <v>0</v>
      </c>
      <c r="BU647">
        <v>1</v>
      </c>
      <c r="BV647">
        <v>0</v>
      </c>
      <c r="BW647">
        <v>978</v>
      </c>
      <c r="BX647">
        <v>0</v>
      </c>
      <c r="BY647">
        <v>0</v>
      </c>
      <c r="BZ647">
        <v>0</v>
      </c>
      <c r="CA647">
        <v>0</v>
      </c>
      <c r="CB647">
        <v>3</v>
      </c>
      <c r="CC647">
        <v>2</v>
      </c>
      <c r="CD647">
        <v>0</v>
      </c>
      <c r="CE647">
        <v>0</v>
      </c>
      <c r="CF647">
        <v>4</v>
      </c>
      <c r="CG647">
        <v>0</v>
      </c>
      <c r="CH647">
        <v>885</v>
      </c>
      <c r="CI647">
        <v>0</v>
      </c>
      <c r="CJ647">
        <v>0</v>
      </c>
      <c r="CK647">
        <v>1</v>
      </c>
      <c r="CL647">
        <v>0</v>
      </c>
      <c r="CM647">
        <v>10</v>
      </c>
      <c r="CN647">
        <v>3</v>
      </c>
      <c r="CO647">
        <v>2</v>
      </c>
      <c r="CP647">
        <v>0</v>
      </c>
      <c r="CQ647">
        <v>47</v>
      </c>
      <c r="CR647">
        <v>22</v>
      </c>
      <c r="CS647">
        <v>872</v>
      </c>
      <c r="CT647">
        <v>0</v>
      </c>
      <c r="CU647">
        <v>2</v>
      </c>
      <c r="CV647">
        <v>0</v>
      </c>
      <c r="CW647">
        <v>1</v>
      </c>
      <c r="CX647">
        <v>3</v>
      </c>
      <c r="CY647">
        <v>44</v>
      </c>
      <c r="CZ647">
        <v>20</v>
      </c>
      <c r="DA647">
        <v>4</v>
      </c>
      <c r="DB647">
        <v>0</v>
      </c>
      <c r="DC647">
        <v>0</v>
      </c>
      <c r="DD647">
        <v>949</v>
      </c>
      <c r="DE647">
        <v>2</v>
      </c>
      <c r="DF647">
        <v>5</v>
      </c>
      <c r="DG647">
        <v>1</v>
      </c>
      <c r="DH647">
        <v>0</v>
      </c>
      <c r="DI647">
        <v>4</v>
      </c>
      <c r="DJ647">
        <v>3</v>
      </c>
      <c r="DK647">
        <v>3</v>
      </c>
      <c r="DL647">
        <v>3</v>
      </c>
      <c r="DM647">
        <v>0</v>
      </c>
      <c r="DN647">
        <v>4</v>
      </c>
      <c r="DO647">
        <v>953</v>
      </c>
      <c r="DP647">
        <v>3</v>
      </c>
      <c r="DQ647">
        <v>5</v>
      </c>
      <c r="DR647">
        <v>5</v>
      </c>
      <c r="DS647">
        <v>0</v>
      </c>
      <c r="DT647">
        <v>9</v>
      </c>
      <c r="DU647">
        <v>18</v>
      </c>
      <c r="DV647">
        <v>10</v>
      </c>
      <c r="DW647">
        <v>0</v>
      </c>
      <c r="DX647">
        <v>11</v>
      </c>
      <c r="DY647">
        <v>12</v>
      </c>
      <c r="DZ647">
        <v>939</v>
      </c>
      <c r="EA647">
        <v>0.9698</v>
      </c>
      <c r="EB647">
        <v>0.97043104845980799</v>
      </c>
      <c r="EC647">
        <v>0.96975392297063101</v>
      </c>
      <c r="ED647">
        <v>0.96946138610797805</v>
      </c>
      <c r="EE647">
        <f>SUM(Table1[[#This Row],[ratio_0]:[ratio_9]])</f>
        <v>640</v>
      </c>
      <c r="EF647" s="1">
        <f>(Table1[[#This Row],[predicted_0]]-Table1[[#This Row],[actual_0]])/Table1[[#This Row],[actual_0]]</f>
        <v>1.4285714285714285E-2</v>
      </c>
      <c r="EG647" s="1">
        <f>(Table1[[#This Row],[predicted_1]]-Table1[[#This Row],[actual_1]])/Table1[[#This Row],[actual_1]]</f>
        <v>-4.4052863436123352E-3</v>
      </c>
      <c r="EH647" s="1">
        <f>(Table1[[#This Row],[predicted_2]]-Table1[[#This Row],[actual_2]])/Table1[[#This Row],[actual_2]]</f>
        <v>5.329457364341085E-2</v>
      </c>
      <c r="EI647" s="1">
        <f>(Table1[[#This Row],[predicted_3]]-Table1[[#This Row],[actual_3]])/Table1[[#This Row],[actual_3]]</f>
        <v>3.2673267326732675E-2</v>
      </c>
      <c r="EJ647" s="1">
        <f>(Table1[[#This Row],[predicted_4]]-Table1[[#This Row],[actual_4]])/Table1[[#This Row],[actual_4]]</f>
        <v>7.3319755600814662E-2</v>
      </c>
      <c r="EK647" s="1">
        <f>(Table1[[#This Row],[predicted_5]]-Table1[[#This Row],[actual_5]])/Table1[[#This Row],[actual_5]]</f>
        <v>3.923766816143498E-2</v>
      </c>
      <c r="EL647" s="1">
        <f>(Table1[[#This Row],[predicted_6]]-Table1[[#This Row],[actual_6]])/Table1[[#This Row],[actual_6]]</f>
        <v>-8.8726513569937368E-2</v>
      </c>
      <c r="EM647" s="1">
        <f>(Table1[[#This Row],[predicted_7]]-Table1[[#This Row],[actual_7]])/Table1[[#This Row],[actual_7]]</f>
        <v>-5.8365758754863814E-2</v>
      </c>
      <c r="EN647" s="1">
        <f>(Table1[[#This Row],[predicted_8]]-Table1[[#This Row],[actual_8]])/Table1[[#This Row],[actual_8]]</f>
        <v>0</v>
      </c>
      <c r="EO647" s="1">
        <f>(Table1[[#This Row],[predicted_9]]-Table1[[#This Row],[actual_9]])/Table1[[#This Row],[actual_9]]</f>
        <v>-5.8473736372646183E-2</v>
      </c>
      <c r="EP647" s="1">
        <f>1+(Table1[[#This Row],[error_ratio_0]]-EF$2)</f>
        <v>1.0122448979591836</v>
      </c>
      <c r="EQ647" s="1">
        <f>1+(Table1[[#This Row],[error_ratio_1]]-EG$2)</f>
        <v>0.99383259911894273</v>
      </c>
      <c r="ER647" s="1">
        <f>1+(Table1[[#This Row],[error_ratio_2]]-EH$2)</f>
        <v>1.058139534883721</v>
      </c>
      <c r="ES647" s="1">
        <f>1+(Table1[[#This Row],[error_ratio_3]]-EI$2)</f>
        <v>1.0227722772277228</v>
      </c>
      <c r="ET647" s="1">
        <f>1+(Table1[[#This Row],[error_ratio_4]]-EJ$2)</f>
        <v>1.0723014256619146</v>
      </c>
      <c r="EU647" s="1">
        <f>1+(Table1[[#This Row],[error_ratio_5]]-EK$2)</f>
        <v>1.0381165919282511</v>
      </c>
      <c r="EV647" s="1">
        <f>1+(Table1[[#This Row],[error_ratio_6]]-EL$2)</f>
        <v>0.91753653444676408</v>
      </c>
      <c r="EW647" s="1">
        <f>1+(Table1[[#This Row],[error_ratio_7]]-EM$2)</f>
        <v>0.93968871595330739</v>
      </c>
      <c r="EX647" s="1">
        <f>1+(Table1[[#This Row],[error_ratio_8]]-EN$2)</f>
        <v>1.0030800821355237</v>
      </c>
      <c r="EY647" s="1">
        <f>1+(Table1[[#This Row],[error_ratio_9]]-EO$2)</f>
        <v>0.94549058473736369</v>
      </c>
    </row>
    <row r="648" spans="1:155" x14ac:dyDescent="0.75">
      <c r="A648">
        <v>10</v>
      </c>
      <c r="B648">
        <v>10</v>
      </c>
      <c r="C648">
        <v>100</v>
      </c>
      <c r="D648">
        <v>100</v>
      </c>
      <c r="E648">
        <v>100</v>
      </c>
      <c r="F648">
        <v>100</v>
      </c>
      <c r="G648">
        <v>10</v>
      </c>
      <c r="H648">
        <v>10</v>
      </c>
      <c r="I648">
        <v>100</v>
      </c>
      <c r="J648">
        <v>10</v>
      </c>
      <c r="K648">
        <v>895</v>
      </c>
      <c r="L648">
        <v>1130</v>
      </c>
      <c r="M648">
        <v>1059</v>
      </c>
      <c r="N648">
        <v>1110</v>
      </c>
      <c r="O648">
        <v>1109</v>
      </c>
      <c r="P648">
        <v>938</v>
      </c>
      <c r="Q648">
        <v>982</v>
      </c>
      <c r="R648">
        <v>848</v>
      </c>
      <c r="S648">
        <v>950</v>
      </c>
      <c r="T648">
        <v>979</v>
      </c>
      <c r="U648">
        <v>980</v>
      </c>
      <c r="V648">
        <v>1135</v>
      </c>
      <c r="W648">
        <v>1032</v>
      </c>
      <c r="X648">
        <v>1010</v>
      </c>
      <c r="Y648">
        <v>982</v>
      </c>
      <c r="Z648">
        <v>892</v>
      </c>
      <c r="AA648">
        <v>958</v>
      </c>
      <c r="AB648">
        <v>1028</v>
      </c>
      <c r="AC648">
        <v>974</v>
      </c>
      <c r="AD648">
        <v>1009</v>
      </c>
      <c r="AE648">
        <v>895</v>
      </c>
      <c r="AF648">
        <v>0</v>
      </c>
      <c r="AG648">
        <v>8</v>
      </c>
      <c r="AH648">
        <v>1</v>
      </c>
      <c r="AI648">
        <v>13</v>
      </c>
      <c r="AJ648">
        <v>18</v>
      </c>
      <c r="AK648">
        <v>36</v>
      </c>
      <c r="AL648">
        <v>1</v>
      </c>
      <c r="AM648">
        <v>6</v>
      </c>
      <c r="AN648">
        <v>2</v>
      </c>
      <c r="AO648">
        <v>0</v>
      </c>
      <c r="AP648">
        <v>1119</v>
      </c>
      <c r="AQ648">
        <v>3</v>
      </c>
      <c r="AR648">
        <v>8</v>
      </c>
      <c r="AS648">
        <v>1</v>
      </c>
      <c r="AT648">
        <v>1</v>
      </c>
      <c r="AU648">
        <v>1</v>
      </c>
      <c r="AV648">
        <v>0</v>
      </c>
      <c r="AW648">
        <v>1</v>
      </c>
      <c r="AX648">
        <v>1</v>
      </c>
      <c r="AY648">
        <v>0</v>
      </c>
      <c r="AZ648">
        <v>0</v>
      </c>
      <c r="BA648">
        <v>1012</v>
      </c>
      <c r="BB648">
        <v>16</v>
      </c>
      <c r="BC648">
        <v>1</v>
      </c>
      <c r="BD648">
        <v>0</v>
      </c>
      <c r="BE648">
        <v>1</v>
      </c>
      <c r="BF648">
        <v>0</v>
      </c>
      <c r="BG648">
        <v>2</v>
      </c>
      <c r="BH648">
        <v>0</v>
      </c>
      <c r="BI648">
        <v>0</v>
      </c>
      <c r="BJ648">
        <v>0</v>
      </c>
      <c r="BK648">
        <v>1</v>
      </c>
      <c r="BL648">
        <v>999</v>
      </c>
      <c r="BM648">
        <v>0</v>
      </c>
      <c r="BN648">
        <v>7</v>
      </c>
      <c r="BO648">
        <v>0</v>
      </c>
      <c r="BP648">
        <v>0</v>
      </c>
      <c r="BQ648">
        <v>1</v>
      </c>
      <c r="BR648">
        <v>2</v>
      </c>
      <c r="BS648">
        <v>0</v>
      </c>
      <c r="BT648">
        <v>0</v>
      </c>
      <c r="BU648">
        <v>1</v>
      </c>
      <c r="BV648">
        <v>0</v>
      </c>
      <c r="BW648">
        <v>977</v>
      </c>
      <c r="BX648">
        <v>0</v>
      </c>
      <c r="BY648">
        <v>4</v>
      </c>
      <c r="BZ648">
        <v>0</v>
      </c>
      <c r="CA648">
        <v>0</v>
      </c>
      <c r="CB648">
        <v>0</v>
      </c>
      <c r="CC648">
        <v>0</v>
      </c>
      <c r="CD648">
        <v>0</v>
      </c>
      <c r="CE648">
        <v>0</v>
      </c>
      <c r="CF648">
        <v>3</v>
      </c>
      <c r="CG648">
        <v>0</v>
      </c>
      <c r="CH648">
        <v>888</v>
      </c>
      <c r="CI648">
        <v>1</v>
      </c>
      <c r="CJ648">
        <v>0</v>
      </c>
      <c r="CK648">
        <v>0</v>
      </c>
      <c r="CL648">
        <v>0</v>
      </c>
      <c r="CM648">
        <v>0</v>
      </c>
      <c r="CN648">
        <v>4</v>
      </c>
      <c r="CO648">
        <v>1</v>
      </c>
      <c r="CP648">
        <v>0</v>
      </c>
      <c r="CQ648">
        <v>9</v>
      </c>
      <c r="CR648">
        <v>6</v>
      </c>
      <c r="CS648">
        <v>936</v>
      </c>
      <c r="CT648">
        <v>0</v>
      </c>
      <c r="CU648">
        <v>2</v>
      </c>
      <c r="CV648">
        <v>0</v>
      </c>
      <c r="CW648">
        <v>0</v>
      </c>
      <c r="CX648">
        <v>2</v>
      </c>
      <c r="CY648">
        <v>30</v>
      </c>
      <c r="CZ648">
        <v>66</v>
      </c>
      <c r="DA648">
        <v>30</v>
      </c>
      <c r="DB648">
        <v>5</v>
      </c>
      <c r="DC648">
        <v>0</v>
      </c>
      <c r="DD648">
        <v>843</v>
      </c>
      <c r="DE648">
        <v>8</v>
      </c>
      <c r="DF648">
        <v>44</v>
      </c>
      <c r="DG648">
        <v>0</v>
      </c>
      <c r="DH648">
        <v>2</v>
      </c>
      <c r="DI648">
        <v>3</v>
      </c>
      <c r="DJ648">
        <v>13</v>
      </c>
      <c r="DK648">
        <v>13</v>
      </c>
      <c r="DL648">
        <v>3</v>
      </c>
      <c r="DM648">
        <v>1</v>
      </c>
      <c r="DN648">
        <v>2</v>
      </c>
      <c r="DO648">
        <v>928</v>
      </c>
      <c r="DP648">
        <v>9</v>
      </c>
      <c r="DQ648">
        <v>0</v>
      </c>
      <c r="DR648">
        <v>3</v>
      </c>
      <c r="DS648">
        <v>0</v>
      </c>
      <c r="DT648">
        <v>4</v>
      </c>
      <c r="DU648">
        <v>65</v>
      </c>
      <c r="DV648">
        <v>10</v>
      </c>
      <c r="DW648">
        <v>2</v>
      </c>
      <c r="DX648">
        <v>2</v>
      </c>
      <c r="DY648">
        <v>2</v>
      </c>
      <c r="DZ648">
        <v>921</v>
      </c>
      <c r="EA648">
        <v>0.95179999999999998</v>
      </c>
      <c r="EB648">
        <v>0.95384115160153204</v>
      </c>
      <c r="EC648">
        <v>0.95219529117385204</v>
      </c>
      <c r="ED648">
        <v>0.951301525142775</v>
      </c>
      <c r="EE648">
        <f>SUM(Table1[[#This Row],[ratio_0]:[ratio_9]])</f>
        <v>550</v>
      </c>
      <c r="EF648" s="1">
        <f>(Table1[[#This Row],[predicted_0]]-Table1[[#This Row],[actual_0]])/Table1[[#This Row],[actual_0]]</f>
        <v>-8.673469387755102E-2</v>
      </c>
      <c r="EG648" s="1">
        <f>(Table1[[#This Row],[predicted_1]]-Table1[[#This Row],[actual_1]])/Table1[[#This Row],[actual_1]]</f>
        <v>-4.4052863436123352E-3</v>
      </c>
      <c r="EH648" s="1">
        <f>(Table1[[#This Row],[predicted_2]]-Table1[[#This Row],[actual_2]])/Table1[[#This Row],[actual_2]]</f>
        <v>2.616279069767442E-2</v>
      </c>
      <c r="EI648" s="1">
        <f>(Table1[[#This Row],[predicted_3]]-Table1[[#This Row],[actual_3]])/Table1[[#This Row],[actual_3]]</f>
        <v>9.9009900990099015E-2</v>
      </c>
      <c r="EJ648" s="1">
        <f>(Table1[[#This Row],[predicted_4]]-Table1[[#This Row],[actual_4]])/Table1[[#This Row],[actual_4]]</f>
        <v>0.12932790224032586</v>
      </c>
      <c r="EK648" s="1">
        <f>(Table1[[#This Row],[predicted_5]]-Table1[[#This Row],[actual_5]])/Table1[[#This Row],[actual_5]]</f>
        <v>5.1569506726457402E-2</v>
      </c>
      <c r="EL648" s="1">
        <f>(Table1[[#This Row],[predicted_6]]-Table1[[#This Row],[actual_6]])/Table1[[#This Row],[actual_6]]</f>
        <v>2.5052192066805846E-2</v>
      </c>
      <c r="EM648" s="1">
        <f>(Table1[[#This Row],[predicted_7]]-Table1[[#This Row],[actual_7]])/Table1[[#This Row],[actual_7]]</f>
        <v>-0.17509727626459143</v>
      </c>
      <c r="EN648" s="1">
        <f>(Table1[[#This Row],[predicted_8]]-Table1[[#This Row],[actual_8]])/Table1[[#This Row],[actual_8]]</f>
        <v>-2.4640657084188913E-2</v>
      </c>
      <c r="EO648" s="1">
        <f>(Table1[[#This Row],[predicted_9]]-Table1[[#This Row],[actual_9]])/Table1[[#This Row],[actual_9]]</f>
        <v>-2.973240832507433E-2</v>
      </c>
      <c r="EP648" s="1">
        <f>1+(Table1[[#This Row],[error_ratio_0]]-EF$2)</f>
        <v>0.91122448979591841</v>
      </c>
      <c r="EQ648" s="1">
        <f>1+(Table1[[#This Row],[error_ratio_1]]-EG$2)</f>
        <v>0.99383259911894273</v>
      </c>
      <c r="ER648" s="1">
        <f>1+(Table1[[#This Row],[error_ratio_2]]-EH$2)</f>
        <v>1.0310077519379846</v>
      </c>
      <c r="ES648" s="1">
        <f>1+(Table1[[#This Row],[error_ratio_3]]-EI$2)</f>
        <v>1.0891089108910892</v>
      </c>
      <c r="ET648" s="1">
        <f>1+(Table1[[#This Row],[error_ratio_4]]-EJ$2)</f>
        <v>1.1283095723014256</v>
      </c>
      <c r="EU648" s="1">
        <f>1+(Table1[[#This Row],[error_ratio_5]]-EK$2)</f>
        <v>1.0504484304932735</v>
      </c>
      <c r="EV648" s="1">
        <f>1+(Table1[[#This Row],[error_ratio_6]]-EL$2)</f>
        <v>1.0313152400835073</v>
      </c>
      <c r="EW648" s="1">
        <f>1+(Table1[[#This Row],[error_ratio_7]]-EM$2)</f>
        <v>0.82295719844357973</v>
      </c>
      <c r="EX648" s="1">
        <f>1+(Table1[[#This Row],[error_ratio_8]]-EN$2)</f>
        <v>0.97843942505133474</v>
      </c>
      <c r="EY648" s="1">
        <f>1+(Table1[[#This Row],[error_ratio_9]]-EO$2)</f>
        <v>0.97423191278493559</v>
      </c>
    </row>
    <row r="649" spans="1:155" x14ac:dyDescent="0.75">
      <c r="A649">
        <v>100</v>
      </c>
      <c r="B649">
        <v>100</v>
      </c>
      <c r="C649">
        <v>10</v>
      </c>
      <c r="D649">
        <v>100</v>
      </c>
      <c r="E649">
        <v>100</v>
      </c>
      <c r="F649">
        <v>100</v>
      </c>
      <c r="G649">
        <v>10</v>
      </c>
      <c r="H649">
        <v>10</v>
      </c>
      <c r="I649">
        <v>100</v>
      </c>
      <c r="J649">
        <v>10</v>
      </c>
      <c r="K649">
        <v>1007</v>
      </c>
      <c r="L649">
        <v>1156</v>
      </c>
      <c r="M649">
        <v>987</v>
      </c>
      <c r="N649">
        <v>1057</v>
      </c>
      <c r="O649">
        <v>1032</v>
      </c>
      <c r="P649">
        <v>943</v>
      </c>
      <c r="Q649">
        <v>871</v>
      </c>
      <c r="R649">
        <v>993</v>
      </c>
      <c r="S649">
        <v>969</v>
      </c>
      <c r="T649">
        <v>985</v>
      </c>
      <c r="U649">
        <v>980</v>
      </c>
      <c r="V649">
        <v>1135</v>
      </c>
      <c r="W649">
        <v>1032</v>
      </c>
      <c r="X649">
        <v>1010</v>
      </c>
      <c r="Y649">
        <v>982</v>
      </c>
      <c r="Z649">
        <v>892</v>
      </c>
      <c r="AA649">
        <v>958</v>
      </c>
      <c r="AB649">
        <v>1028</v>
      </c>
      <c r="AC649">
        <v>974</v>
      </c>
      <c r="AD649">
        <v>1009</v>
      </c>
      <c r="AE649">
        <v>977</v>
      </c>
      <c r="AF649">
        <v>1</v>
      </c>
      <c r="AG649">
        <v>0</v>
      </c>
      <c r="AH649">
        <v>0</v>
      </c>
      <c r="AI649">
        <v>0</v>
      </c>
      <c r="AJ649">
        <v>0</v>
      </c>
      <c r="AK649">
        <v>0</v>
      </c>
      <c r="AL649">
        <v>1</v>
      </c>
      <c r="AM649">
        <v>1</v>
      </c>
      <c r="AN649">
        <v>0</v>
      </c>
      <c r="AO649">
        <v>0</v>
      </c>
      <c r="AP649">
        <v>1132</v>
      </c>
      <c r="AQ649">
        <v>0</v>
      </c>
      <c r="AR649">
        <v>2</v>
      </c>
      <c r="AS649">
        <v>0</v>
      </c>
      <c r="AT649">
        <v>1</v>
      </c>
      <c r="AU649">
        <v>0</v>
      </c>
      <c r="AV649">
        <v>0</v>
      </c>
      <c r="AW649">
        <v>0</v>
      </c>
      <c r="AX649">
        <v>0</v>
      </c>
      <c r="AY649">
        <v>7</v>
      </c>
      <c r="AZ649">
        <v>3</v>
      </c>
      <c r="BA649">
        <v>976</v>
      </c>
      <c r="BB649">
        <v>14</v>
      </c>
      <c r="BC649">
        <v>8</v>
      </c>
      <c r="BD649">
        <v>0</v>
      </c>
      <c r="BE649">
        <v>1</v>
      </c>
      <c r="BF649">
        <v>13</v>
      </c>
      <c r="BG649">
        <v>10</v>
      </c>
      <c r="BH649">
        <v>0</v>
      </c>
      <c r="BI649">
        <v>0</v>
      </c>
      <c r="BJ649">
        <v>0</v>
      </c>
      <c r="BK649">
        <v>1</v>
      </c>
      <c r="BL649">
        <v>1004</v>
      </c>
      <c r="BM649">
        <v>0</v>
      </c>
      <c r="BN649">
        <v>4</v>
      </c>
      <c r="BO649">
        <v>0</v>
      </c>
      <c r="BP649">
        <v>0</v>
      </c>
      <c r="BQ649">
        <v>0</v>
      </c>
      <c r="BR649">
        <v>1</v>
      </c>
      <c r="BS649">
        <v>0</v>
      </c>
      <c r="BT649">
        <v>0</v>
      </c>
      <c r="BU649">
        <v>0</v>
      </c>
      <c r="BV649">
        <v>0</v>
      </c>
      <c r="BW649">
        <v>979</v>
      </c>
      <c r="BX649">
        <v>0</v>
      </c>
      <c r="BY649">
        <v>0</v>
      </c>
      <c r="BZ649">
        <v>0</v>
      </c>
      <c r="CA649">
        <v>0</v>
      </c>
      <c r="CB649">
        <v>3</v>
      </c>
      <c r="CC649">
        <v>2</v>
      </c>
      <c r="CD649">
        <v>0</v>
      </c>
      <c r="CE649">
        <v>0</v>
      </c>
      <c r="CF649">
        <v>8</v>
      </c>
      <c r="CG649">
        <v>0</v>
      </c>
      <c r="CH649">
        <v>881</v>
      </c>
      <c r="CI649">
        <v>0</v>
      </c>
      <c r="CJ649">
        <v>0</v>
      </c>
      <c r="CK649">
        <v>1</v>
      </c>
      <c r="CL649">
        <v>0</v>
      </c>
      <c r="CM649">
        <v>14</v>
      </c>
      <c r="CN649">
        <v>6</v>
      </c>
      <c r="CO649">
        <v>1</v>
      </c>
      <c r="CP649">
        <v>0</v>
      </c>
      <c r="CQ649">
        <v>15</v>
      </c>
      <c r="CR649">
        <v>47</v>
      </c>
      <c r="CS649">
        <v>870</v>
      </c>
      <c r="CT649">
        <v>0</v>
      </c>
      <c r="CU649">
        <v>4</v>
      </c>
      <c r="CV649">
        <v>1</v>
      </c>
      <c r="CW649">
        <v>1</v>
      </c>
      <c r="CX649">
        <v>8</v>
      </c>
      <c r="CY649">
        <v>8</v>
      </c>
      <c r="CZ649">
        <v>16</v>
      </c>
      <c r="DA649">
        <v>8</v>
      </c>
      <c r="DB649">
        <v>1</v>
      </c>
      <c r="DC649">
        <v>0</v>
      </c>
      <c r="DD649">
        <v>970</v>
      </c>
      <c r="DE649">
        <v>1</v>
      </c>
      <c r="DF649">
        <v>15</v>
      </c>
      <c r="DG649">
        <v>1</v>
      </c>
      <c r="DH649">
        <v>0</v>
      </c>
      <c r="DI649">
        <v>0</v>
      </c>
      <c r="DJ649">
        <v>4</v>
      </c>
      <c r="DK649">
        <v>5</v>
      </c>
      <c r="DL649">
        <v>5</v>
      </c>
      <c r="DM649">
        <v>0</v>
      </c>
      <c r="DN649">
        <v>3</v>
      </c>
      <c r="DO649">
        <v>951</v>
      </c>
      <c r="DP649">
        <v>5</v>
      </c>
      <c r="DQ649">
        <v>5</v>
      </c>
      <c r="DR649">
        <v>6</v>
      </c>
      <c r="DS649">
        <v>1</v>
      </c>
      <c r="DT649">
        <v>9</v>
      </c>
      <c r="DU649">
        <v>17</v>
      </c>
      <c r="DV649">
        <v>4</v>
      </c>
      <c r="DW649">
        <v>0</v>
      </c>
      <c r="DX649">
        <v>6</v>
      </c>
      <c r="DY649">
        <v>1</v>
      </c>
      <c r="DZ649">
        <v>960</v>
      </c>
      <c r="EA649">
        <v>0.97</v>
      </c>
      <c r="EB649">
        <v>0.97027894942207704</v>
      </c>
      <c r="EC649">
        <v>0.969824944769347</v>
      </c>
      <c r="ED649">
        <v>0.96953385321649499</v>
      </c>
      <c r="EE649">
        <f>SUM(Table1[[#This Row],[ratio_0]:[ratio_9]])</f>
        <v>640</v>
      </c>
      <c r="EF649" s="1">
        <f>(Table1[[#This Row],[predicted_0]]-Table1[[#This Row],[actual_0]])/Table1[[#This Row],[actual_0]]</f>
        <v>2.7551020408163266E-2</v>
      </c>
      <c r="EG649" s="1">
        <f>(Table1[[#This Row],[predicted_1]]-Table1[[#This Row],[actual_1]])/Table1[[#This Row],[actual_1]]</f>
        <v>1.8502202643171806E-2</v>
      </c>
      <c r="EH649" s="1">
        <f>(Table1[[#This Row],[predicted_2]]-Table1[[#This Row],[actual_2]])/Table1[[#This Row],[actual_2]]</f>
        <v>-4.3604651162790699E-2</v>
      </c>
      <c r="EI649" s="1">
        <f>(Table1[[#This Row],[predicted_3]]-Table1[[#This Row],[actual_3]])/Table1[[#This Row],[actual_3]]</f>
        <v>4.6534653465346534E-2</v>
      </c>
      <c r="EJ649" s="1">
        <f>(Table1[[#This Row],[predicted_4]]-Table1[[#This Row],[actual_4]])/Table1[[#This Row],[actual_4]]</f>
        <v>5.0916496945010187E-2</v>
      </c>
      <c r="EK649" s="1">
        <f>(Table1[[#This Row],[predicted_5]]-Table1[[#This Row],[actual_5]])/Table1[[#This Row],[actual_5]]</f>
        <v>5.717488789237668E-2</v>
      </c>
      <c r="EL649" s="1">
        <f>(Table1[[#This Row],[predicted_6]]-Table1[[#This Row],[actual_6]])/Table1[[#This Row],[actual_6]]</f>
        <v>-9.0814196242171186E-2</v>
      </c>
      <c r="EM649" s="1">
        <f>(Table1[[#This Row],[predicted_7]]-Table1[[#This Row],[actual_7]])/Table1[[#This Row],[actual_7]]</f>
        <v>-3.4046692607003888E-2</v>
      </c>
      <c r="EN649" s="1">
        <f>(Table1[[#This Row],[predicted_8]]-Table1[[#This Row],[actual_8]])/Table1[[#This Row],[actual_8]]</f>
        <v>-5.1334702258726897E-3</v>
      </c>
      <c r="EO649" s="1">
        <f>(Table1[[#This Row],[predicted_9]]-Table1[[#This Row],[actual_9]])/Table1[[#This Row],[actual_9]]</f>
        <v>-2.3785926660059464E-2</v>
      </c>
      <c r="EP649" s="1">
        <f>1+(Table1[[#This Row],[error_ratio_0]]-EF$2)</f>
        <v>1.0255102040816326</v>
      </c>
      <c r="EQ649" s="1">
        <f>1+(Table1[[#This Row],[error_ratio_1]]-EG$2)</f>
        <v>1.0167400881057269</v>
      </c>
      <c r="ER649" s="1">
        <f>1+(Table1[[#This Row],[error_ratio_2]]-EH$2)</f>
        <v>0.96124031007751942</v>
      </c>
      <c r="ES649" s="1">
        <f>1+(Table1[[#This Row],[error_ratio_3]]-EI$2)</f>
        <v>1.0366336633663367</v>
      </c>
      <c r="ET649" s="1">
        <f>1+(Table1[[#This Row],[error_ratio_4]]-EJ$2)</f>
        <v>1.0498981670061101</v>
      </c>
      <c r="EU649" s="1">
        <f>1+(Table1[[#This Row],[error_ratio_5]]-EK$2)</f>
        <v>1.0560538116591929</v>
      </c>
      <c r="EV649" s="1">
        <f>1+(Table1[[#This Row],[error_ratio_6]]-EL$2)</f>
        <v>0.91544885177453028</v>
      </c>
      <c r="EW649" s="1">
        <f>1+(Table1[[#This Row],[error_ratio_7]]-EM$2)</f>
        <v>0.96400778210116733</v>
      </c>
      <c r="EX649" s="1">
        <f>1+(Table1[[#This Row],[error_ratio_8]]-EN$2)</f>
        <v>0.99794661190965095</v>
      </c>
      <c r="EY649" s="1">
        <f>1+(Table1[[#This Row],[error_ratio_9]]-EO$2)</f>
        <v>0.98017839444995047</v>
      </c>
    </row>
    <row r="650" spans="1:155" x14ac:dyDescent="0.75">
      <c r="A650">
        <v>10</v>
      </c>
      <c r="B650">
        <v>100</v>
      </c>
      <c r="C650">
        <v>10</v>
      </c>
      <c r="D650">
        <v>100</v>
      </c>
      <c r="E650">
        <v>100</v>
      </c>
      <c r="F650">
        <v>100</v>
      </c>
      <c r="G650">
        <v>10</v>
      </c>
      <c r="H650">
        <v>10</v>
      </c>
      <c r="I650">
        <v>100</v>
      </c>
      <c r="J650">
        <v>10</v>
      </c>
      <c r="K650">
        <v>950</v>
      </c>
      <c r="L650">
        <v>1174</v>
      </c>
      <c r="M650">
        <v>913</v>
      </c>
      <c r="N650">
        <v>1089</v>
      </c>
      <c r="O650">
        <v>1281</v>
      </c>
      <c r="P650">
        <v>966</v>
      </c>
      <c r="Q650">
        <v>669</v>
      </c>
      <c r="R650">
        <v>966</v>
      </c>
      <c r="S650">
        <v>1035</v>
      </c>
      <c r="T650">
        <v>957</v>
      </c>
      <c r="U650">
        <v>980</v>
      </c>
      <c r="V650">
        <v>1135</v>
      </c>
      <c r="W650">
        <v>1032</v>
      </c>
      <c r="X650">
        <v>1010</v>
      </c>
      <c r="Y650">
        <v>982</v>
      </c>
      <c r="Z650">
        <v>892</v>
      </c>
      <c r="AA650">
        <v>958</v>
      </c>
      <c r="AB650">
        <v>1028</v>
      </c>
      <c r="AC650">
        <v>974</v>
      </c>
      <c r="AD650">
        <v>1009</v>
      </c>
      <c r="AE650">
        <v>940</v>
      </c>
      <c r="AF650">
        <v>2</v>
      </c>
      <c r="AG650">
        <v>0</v>
      </c>
      <c r="AH650">
        <v>4</v>
      </c>
      <c r="AI650">
        <v>11</v>
      </c>
      <c r="AJ650">
        <v>7</v>
      </c>
      <c r="AK650">
        <v>3</v>
      </c>
      <c r="AL650">
        <v>1</v>
      </c>
      <c r="AM650">
        <v>10</v>
      </c>
      <c r="AN650">
        <v>2</v>
      </c>
      <c r="AO650">
        <v>0</v>
      </c>
      <c r="AP650">
        <v>1133</v>
      </c>
      <c r="AQ650">
        <v>0</v>
      </c>
      <c r="AR650">
        <v>0</v>
      </c>
      <c r="AS650">
        <v>0</v>
      </c>
      <c r="AT650">
        <v>0</v>
      </c>
      <c r="AU650">
        <v>1</v>
      </c>
      <c r="AV650">
        <v>0</v>
      </c>
      <c r="AW650">
        <v>1</v>
      </c>
      <c r="AX650">
        <v>0</v>
      </c>
      <c r="AY650">
        <v>2</v>
      </c>
      <c r="AZ650">
        <v>18</v>
      </c>
      <c r="BA650">
        <v>909</v>
      </c>
      <c r="BB650">
        <v>52</v>
      </c>
      <c r="BC650">
        <v>16</v>
      </c>
      <c r="BD650">
        <v>3</v>
      </c>
      <c r="BE650">
        <v>2</v>
      </c>
      <c r="BF650">
        <v>8</v>
      </c>
      <c r="BG650">
        <v>22</v>
      </c>
      <c r="BH650">
        <v>0</v>
      </c>
      <c r="BI650">
        <v>0</v>
      </c>
      <c r="BJ650">
        <v>1</v>
      </c>
      <c r="BK650">
        <v>0</v>
      </c>
      <c r="BL650">
        <v>1002</v>
      </c>
      <c r="BM650">
        <v>0</v>
      </c>
      <c r="BN650">
        <v>6</v>
      </c>
      <c r="BO650">
        <v>0</v>
      </c>
      <c r="BP650">
        <v>0</v>
      </c>
      <c r="BQ650">
        <v>1</v>
      </c>
      <c r="BR650">
        <v>0</v>
      </c>
      <c r="BS650">
        <v>0</v>
      </c>
      <c r="BT650">
        <v>0</v>
      </c>
      <c r="BU650">
        <v>0</v>
      </c>
      <c r="BV650">
        <v>0</v>
      </c>
      <c r="BW650">
        <v>977</v>
      </c>
      <c r="BX650">
        <v>0</v>
      </c>
      <c r="BY650">
        <v>0</v>
      </c>
      <c r="BZ650">
        <v>0</v>
      </c>
      <c r="CA650">
        <v>1</v>
      </c>
      <c r="CB650">
        <v>4</v>
      </c>
      <c r="CC650">
        <v>0</v>
      </c>
      <c r="CD650">
        <v>0</v>
      </c>
      <c r="CE650">
        <v>0</v>
      </c>
      <c r="CF650">
        <v>2</v>
      </c>
      <c r="CG650">
        <v>0</v>
      </c>
      <c r="CH650">
        <v>887</v>
      </c>
      <c r="CI650">
        <v>1</v>
      </c>
      <c r="CJ650">
        <v>0</v>
      </c>
      <c r="CK650">
        <v>2</v>
      </c>
      <c r="CL650">
        <v>0</v>
      </c>
      <c r="CM650">
        <v>5</v>
      </c>
      <c r="CN650">
        <v>6</v>
      </c>
      <c r="CO650">
        <v>0</v>
      </c>
      <c r="CP650">
        <v>1</v>
      </c>
      <c r="CQ650">
        <v>249</v>
      </c>
      <c r="CR650">
        <v>26</v>
      </c>
      <c r="CS650">
        <v>662</v>
      </c>
      <c r="CT650">
        <v>0</v>
      </c>
      <c r="CU650">
        <v>9</v>
      </c>
      <c r="CV650">
        <v>0</v>
      </c>
      <c r="CW650">
        <v>1</v>
      </c>
      <c r="CX650">
        <v>9</v>
      </c>
      <c r="CY650">
        <v>4</v>
      </c>
      <c r="CZ650">
        <v>23</v>
      </c>
      <c r="DA650">
        <v>6</v>
      </c>
      <c r="DB650">
        <v>7</v>
      </c>
      <c r="DC650">
        <v>0</v>
      </c>
      <c r="DD650">
        <v>946</v>
      </c>
      <c r="DE650">
        <v>15</v>
      </c>
      <c r="DF650">
        <v>17</v>
      </c>
      <c r="DG650">
        <v>2</v>
      </c>
      <c r="DH650">
        <v>0</v>
      </c>
      <c r="DI650">
        <v>0</v>
      </c>
      <c r="DJ650">
        <v>1</v>
      </c>
      <c r="DK650">
        <v>3</v>
      </c>
      <c r="DL650">
        <v>4</v>
      </c>
      <c r="DM650">
        <v>0</v>
      </c>
      <c r="DN650">
        <v>4</v>
      </c>
      <c r="DO650">
        <v>958</v>
      </c>
      <c r="DP650">
        <v>2</v>
      </c>
      <c r="DQ650">
        <v>0</v>
      </c>
      <c r="DR650">
        <v>5</v>
      </c>
      <c r="DS650">
        <v>0</v>
      </c>
      <c r="DT650">
        <v>4</v>
      </c>
      <c r="DU650">
        <v>19</v>
      </c>
      <c r="DV650">
        <v>26</v>
      </c>
      <c r="DW650">
        <v>0</v>
      </c>
      <c r="DX650">
        <v>7</v>
      </c>
      <c r="DY650">
        <v>16</v>
      </c>
      <c r="DZ650">
        <v>932</v>
      </c>
      <c r="EA650">
        <v>0.93459999999999999</v>
      </c>
      <c r="EB650">
        <v>0.94194974915809204</v>
      </c>
      <c r="EC650">
        <v>0.93381338309346096</v>
      </c>
      <c r="ED650">
        <v>0.93276014222315595</v>
      </c>
      <c r="EE650">
        <f>SUM(Table1[[#This Row],[ratio_0]:[ratio_9]])</f>
        <v>550</v>
      </c>
      <c r="EF650" s="1">
        <f>(Table1[[#This Row],[predicted_0]]-Table1[[#This Row],[actual_0]])/Table1[[#This Row],[actual_0]]</f>
        <v>-3.0612244897959183E-2</v>
      </c>
      <c r="EG650" s="1">
        <f>(Table1[[#This Row],[predicted_1]]-Table1[[#This Row],[actual_1]])/Table1[[#This Row],[actual_1]]</f>
        <v>3.4361233480176209E-2</v>
      </c>
      <c r="EH650" s="1">
        <f>(Table1[[#This Row],[predicted_2]]-Table1[[#This Row],[actual_2]])/Table1[[#This Row],[actual_2]]</f>
        <v>-0.11531007751937984</v>
      </c>
      <c r="EI650" s="1">
        <f>(Table1[[#This Row],[predicted_3]]-Table1[[#This Row],[actual_3]])/Table1[[#This Row],[actual_3]]</f>
        <v>7.8217821782178218E-2</v>
      </c>
      <c r="EJ650" s="1">
        <f>(Table1[[#This Row],[predicted_4]]-Table1[[#This Row],[actual_4]])/Table1[[#This Row],[actual_4]]</f>
        <v>0.3044806517311609</v>
      </c>
      <c r="EK650" s="1">
        <f>(Table1[[#This Row],[predicted_5]]-Table1[[#This Row],[actual_5]])/Table1[[#This Row],[actual_5]]</f>
        <v>8.2959641255605385E-2</v>
      </c>
      <c r="EL650" s="1">
        <f>(Table1[[#This Row],[predicted_6]]-Table1[[#This Row],[actual_6]])/Table1[[#This Row],[actual_6]]</f>
        <v>-0.30167014613778703</v>
      </c>
      <c r="EM650" s="1">
        <f>(Table1[[#This Row],[predicted_7]]-Table1[[#This Row],[actual_7]])/Table1[[#This Row],[actual_7]]</f>
        <v>-6.0311284046692608E-2</v>
      </c>
      <c r="EN650" s="1">
        <f>(Table1[[#This Row],[predicted_8]]-Table1[[#This Row],[actual_8]])/Table1[[#This Row],[actual_8]]</f>
        <v>6.2628336755646816E-2</v>
      </c>
      <c r="EO650" s="1">
        <f>(Table1[[#This Row],[predicted_9]]-Table1[[#This Row],[actual_9]])/Table1[[#This Row],[actual_9]]</f>
        <v>-5.1536174430128839E-2</v>
      </c>
      <c r="EP650" s="1">
        <f>1+(Table1[[#This Row],[error_ratio_0]]-EF$2)</f>
        <v>0.96734693877551026</v>
      </c>
      <c r="EQ650" s="1">
        <f>1+(Table1[[#This Row],[error_ratio_1]]-EG$2)</f>
        <v>1.0325991189427313</v>
      </c>
      <c r="ER650" s="1">
        <f>1+(Table1[[#This Row],[error_ratio_2]]-EH$2)</f>
        <v>0.88953488372093026</v>
      </c>
      <c r="ES650" s="1">
        <f>1+(Table1[[#This Row],[error_ratio_3]]-EI$2)</f>
        <v>1.0683168316831684</v>
      </c>
      <c r="ET650" s="1">
        <f>1+(Table1[[#This Row],[error_ratio_4]]-EJ$2)</f>
        <v>1.3034623217922607</v>
      </c>
      <c r="EU650" s="1">
        <f>1+(Table1[[#This Row],[error_ratio_5]]-EK$2)</f>
        <v>1.0818385650224216</v>
      </c>
      <c r="EV650" s="1">
        <f>1+(Table1[[#This Row],[error_ratio_6]]-EL$2)</f>
        <v>0.70459290187891443</v>
      </c>
      <c r="EW650" s="1">
        <f>1+(Table1[[#This Row],[error_ratio_7]]-EM$2)</f>
        <v>0.9377431906614786</v>
      </c>
      <c r="EX650" s="1">
        <f>1+(Table1[[#This Row],[error_ratio_8]]-EN$2)</f>
        <v>1.0657084188911705</v>
      </c>
      <c r="EY650" s="1">
        <f>1+(Table1[[#This Row],[error_ratio_9]]-EO$2)</f>
        <v>0.95242814667988107</v>
      </c>
    </row>
    <row r="651" spans="1:155" x14ac:dyDescent="0.75">
      <c r="A651">
        <v>100</v>
      </c>
      <c r="B651">
        <v>10</v>
      </c>
      <c r="C651">
        <v>10</v>
      </c>
      <c r="D651">
        <v>100</v>
      </c>
      <c r="E651">
        <v>100</v>
      </c>
      <c r="F651">
        <v>100</v>
      </c>
      <c r="G651">
        <v>10</v>
      </c>
      <c r="H651">
        <v>10</v>
      </c>
      <c r="I651">
        <v>100</v>
      </c>
      <c r="J651">
        <v>10</v>
      </c>
      <c r="K651">
        <v>1010</v>
      </c>
      <c r="L651">
        <v>1107</v>
      </c>
      <c r="M651">
        <v>1011</v>
      </c>
      <c r="N651">
        <v>1125</v>
      </c>
      <c r="O651">
        <v>1006</v>
      </c>
      <c r="P651">
        <v>920</v>
      </c>
      <c r="Q651">
        <v>919</v>
      </c>
      <c r="R651">
        <v>924</v>
      </c>
      <c r="S651">
        <v>1007</v>
      </c>
      <c r="T651">
        <v>971</v>
      </c>
      <c r="U651">
        <v>980</v>
      </c>
      <c r="V651">
        <v>1135</v>
      </c>
      <c r="W651">
        <v>1032</v>
      </c>
      <c r="X651">
        <v>1010</v>
      </c>
      <c r="Y651">
        <v>982</v>
      </c>
      <c r="Z651">
        <v>892</v>
      </c>
      <c r="AA651">
        <v>958</v>
      </c>
      <c r="AB651">
        <v>1028</v>
      </c>
      <c r="AC651">
        <v>974</v>
      </c>
      <c r="AD651">
        <v>1009</v>
      </c>
      <c r="AE651">
        <v>976</v>
      </c>
      <c r="AF651">
        <v>0</v>
      </c>
      <c r="AG651">
        <v>0</v>
      </c>
      <c r="AH651">
        <v>0</v>
      </c>
      <c r="AI651">
        <v>0</v>
      </c>
      <c r="AJ651">
        <v>0</v>
      </c>
      <c r="AK651">
        <v>1</v>
      </c>
      <c r="AL651">
        <v>0</v>
      </c>
      <c r="AM651">
        <v>3</v>
      </c>
      <c r="AN651">
        <v>0</v>
      </c>
      <c r="AO651">
        <v>0</v>
      </c>
      <c r="AP651">
        <v>1103</v>
      </c>
      <c r="AQ651">
        <v>2</v>
      </c>
      <c r="AR651">
        <v>9</v>
      </c>
      <c r="AS651">
        <v>0</v>
      </c>
      <c r="AT651">
        <v>4</v>
      </c>
      <c r="AU651">
        <v>2</v>
      </c>
      <c r="AV651">
        <v>0</v>
      </c>
      <c r="AW651">
        <v>14</v>
      </c>
      <c r="AX651">
        <v>1</v>
      </c>
      <c r="AY651">
        <v>9</v>
      </c>
      <c r="AZ651">
        <v>0</v>
      </c>
      <c r="BA651">
        <v>990</v>
      </c>
      <c r="BB651">
        <v>16</v>
      </c>
      <c r="BC651">
        <v>3</v>
      </c>
      <c r="BD651">
        <v>1</v>
      </c>
      <c r="BE651">
        <v>0</v>
      </c>
      <c r="BF651">
        <v>6</v>
      </c>
      <c r="BG651">
        <v>7</v>
      </c>
      <c r="BH651">
        <v>0</v>
      </c>
      <c r="BI651">
        <v>0</v>
      </c>
      <c r="BJ651">
        <v>0</v>
      </c>
      <c r="BK651">
        <v>0</v>
      </c>
      <c r="BL651">
        <v>1008</v>
      </c>
      <c r="BM651">
        <v>0</v>
      </c>
      <c r="BN651">
        <v>1</v>
      </c>
      <c r="BO651">
        <v>0</v>
      </c>
      <c r="BP651">
        <v>0</v>
      </c>
      <c r="BQ651">
        <v>1</v>
      </c>
      <c r="BR651">
        <v>0</v>
      </c>
      <c r="BS651">
        <v>0</v>
      </c>
      <c r="BT651">
        <v>0</v>
      </c>
      <c r="BU651">
        <v>2</v>
      </c>
      <c r="BV651">
        <v>0</v>
      </c>
      <c r="BW651">
        <v>976</v>
      </c>
      <c r="BX651">
        <v>0</v>
      </c>
      <c r="BY651">
        <v>1</v>
      </c>
      <c r="BZ651">
        <v>0</v>
      </c>
      <c r="CA651">
        <v>0</v>
      </c>
      <c r="CB651">
        <v>3</v>
      </c>
      <c r="CC651">
        <v>1</v>
      </c>
      <c r="CD651">
        <v>0</v>
      </c>
      <c r="CE651">
        <v>0</v>
      </c>
      <c r="CF651">
        <v>13</v>
      </c>
      <c r="CG651">
        <v>0</v>
      </c>
      <c r="CH651">
        <v>876</v>
      </c>
      <c r="CI651">
        <v>1</v>
      </c>
      <c r="CJ651">
        <v>0</v>
      </c>
      <c r="CK651">
        <v>1</v>
      </c>
      <c r="CL651">
        <v>0</v>
      </c>
      <c r="CM651">
        <v>11</v>
      </c>
      <c r="CN651">
        <v>1</v>
      </c>
      <c r="CO651">
        <v>0</v>
      </c>
      <c r="CP651">
        <v>0</v>
      </c>
      <c r="CQ651">
        <v>6</v>
      </c>
      <c r="CR651">
        <v>23</v>
      </c>
      <c r="CS651">
        <v>914</v>
      </c>
      <c r="CT651">
        <v>0</v>
      </c>
      <c r="CU651">
        <v>3</v>
      </c>
      <c r="CV651">
        <v>0</v>
      </c>
      <c r="CW651">
        <v>5</v>
      </c>
      <c r="CX651">
        <v>3</v>
      </c>
      <c r="CY651">
        <v>15</v>
      </c>
      <c r="CZ651">
        <v>53</v>
      </c>
      <c r="DA651">
        <v>10</v>
      </c>
      <c r="DB651">
        <v>4</v>
      </c>
      <c r="DC651">
        <v>0</v>
      </c>
      <c r="DD651">
        <v>914</v>
      </c>
      <c r="DE651">
        <v>5</v>
      </c>
      <c r="DF651">
        <v>19</v>
      </c>
      <c r="DG651">
        <v>2</v>
      </c>
      <c r="DH651">
        <v>0</v>
      </c>
      <c r="DI651">
        <v>2</v>
      </c>
      <c r="DJ651">
        <v>2</v>
      </c>
      <c r="DK651">
        <v>0</v>
      </c>
      <c r="DL651">
        <v>2</v>
      </c>
      <c r="DM651">
        <v>0</v>
      </c>
      <c r="DN651">
        <v>2</v>
      </c>
      <c r="DO651">
        <v>963</v>
      </c>
      <c r="DP651">
        <v>1</v>
      </c>
      <c r="DQ651">
        <v>6</v>
      </c>
      <c r="DR651">
        <v>0</v>
      </c>
      <c r="DS651">
        <v>0</v>
      </c>
      <c r="DT651">
        <v>24</v>
      </c>
      <c r="DU651">
        <v>11</v>
      </c>
      <c r="DV651">
        <v>9</v>
      </c>
      <c r="DW651">
        <v>0</v>
      </c>
      <c r="DX651">
        <v>2</v>
      </c>
      <c r="DY651">
        <v>10</v>
      </c>
      <c r="DZ651">
        <v>947</v>
      </c>
      <c r="EA651">
        <v>0.9667</v>
      </c>
      <c r="EB651">
        <v>0.96756304552657701</v>
      </c>
      <c r="EC651">
        <v>0.96714348908196102</v>
      </c>
      <c r="ED651">
        <v>0.96662233099573203</v>
      </c>
      <c r="EE651">
        <f>SUM(Table1[[#This Row],[ratio_0]:[ratio_9]])</f>
        <v>550</v>
      </c>
      <c r="EF651" s="1">
        <f>(Table1[[#This Row],[predicted_0]]-Table1[[#This Row],[actual_0]])/Table1[[#This Row],[actual_0]]</f>
        <v>3.0612244897959183E-2</v>
      </c>
      <c r="EG651" s="1">
        <f>(Table1[[#This Row],[predicted_1]]-Table1[[#This Row],[actual_1]])/Table1[[#This Row],[actual_1]]</f>
        <v>-2.4669603524229075E-2</v>
      </c>
      <c r="EH651" s="1">
        <f>(Table1[[#This Row],[predicted_2]]-Table1[[#This Row],[actual_2]])/Table1[[#This Row],[actual_2]]</f>
        <v>-2.0348837209302327E-2</v>
      </c>
      <c r="EI651" s="1">
        <f>(Table1[[#This Row],[predicted_3]]-Table1[[#This Row],[actual_3]])/Table1[[#This Row],[actual_3]]</f>
        <v>0.11386138613861387</v>
      </c>
      <c r="EJ651" s="1">
        <f>(Table1[[#This Row],[predicted_4]]-Table1[[#This Row],[actual_4]])/Table1[[#This Row],[actual_4]]</f>
        <v>2.4439918533604887E-2</v>
      </c>
      <c r="EK651" s="1">
        <f>(Table1[[#This Row],[predicted_5]]-Table1[[#This Row],[actual_5]])/Table1[[#This Row],[actual_5]]</f>
        <v>3.1390134529147982E-2</v>
      </c>
      <c r="EL651" s="1">
        <f>(Table1[[#This Row],[predicted_6]]-Table1[[#This Row],[actual_6]])/Table1[[#This Row],[actual_6]]</f>
        <v>-4.07098121085595E-2</v>
      </c>
      <c r="EM651" s="1">
        <f>(Table1[[#This Row],[predicted_7]]-Table1[[#This Row],[actual_7]])/Table1[[#This Row],[actual_7]]</f>
        <v>-0.10116731517509728</v>
      </c>
      <c r="EN651" s="1">
        <f>(Table1[[#This Row],[predicted_8]]-Table1[[#This Row],[actual_8]])/Table1[[#This Row],[actual_8]]</f>
        <v>3.3880903490759756E-2</v>
      </c>
      <c r="EO651" s="1">
        <f>(Table1[[#This Row],[predicted_9]]-Table1[[#This Row],[actual_9]])/Table1[[#This Row],[actual_9]]</f>
        <v>-3.7661050545094152E-2</v>
      </c>
      <c r="EP651" s="1">
        <f>1+(Table1[[#This Row],[error_ratio_0]]-EF$2)</f>
        <v>1.0285714285714285</v>
      </c>
      <c r="EQ651" s="1">
        <f>1+(Table1[[#This Row],[error_ratio_1]]-EG$2)</f>
        <v>0.97356828193832601</v>
      </c>
      <c r="ER651" s="1">
        <f>1+(Table1[[#This Row],[error_ratio_2]]-EH$2)</f>
        <v>0.98449612403100772</v>
      </c>
      <c r="ES651" s="1">
        <f>1+(Table1[[#This Row],[error_ratio_3]]-EI$2)</f>
        <v>1.1039603960396041</v>
      </c>
      <c r="ET651" s="1">
        <f>1+(Table1[[#This Row],[error_ratio_4]]-EJ$2)</f>
        <v>1.0234215885947047</v>
      </c>
      <c r="EU651" s="1">
        <f>1+(Table1[[#This Row],[error_ratio_5]]-EK$2)</f>
        <v>1.0302690582959642</v>
      </c>
      <c r="EV651" s="1">
        <f>1+(Table1[[#This Row],[error_ratio_6]]-EL$2)</f>
        <v>0.96555323590814202</v>
      </c>
      <c r="EW651" s="1">
        <f>1+(Table1[[#This Row],[error_ratio_7]]-EM$2)</f>
        <v>0.89688715953307396</v>
      </c>
      <c r="EX651" s="1">
        <f>1+(Table1[[#This Row],[error_ratio_8]]-EN$2)</f>
        <v>1.0369609856262834</v>
      </c>
      <c r="EY651" s="1">
        <f>1+(Table1[[#This Row],[error_ratio_9]]-EO$2)</f>
        <v>0.96630327056491572</v>
      </c>
    </row>
    <row r="652" spans="1:155" x14ac:dyDescent="0.75">
      <c r="A652">
        <v>10</v>
      </c>
      <c r="B652">
        <v>10</v>
      </c>
      <c r="C652">
        <v>10</v>
      </c>
      <c r="D652">
        <v>100</v>
      </c>
      <c r="E652">
        <v>100</v>
      </c>
      <c r="F652">
        <v>100</v>
      </c>
      <c r="G652">
        <v>10</v>
      </c>
      <c r="H652">
        <v>10</v>
      </c>
      <c r="I652">
        <v>100</v>
      </c>
      <c r="J652">
        <v>10</v>
      </c>
      <c r="K652">
        <v>910</v>
      </c>
      <c r="L652">
        <v>1124</v>
      </c>
      <c r="M652">
        <v>1125</v>
      </c>
      <c r="N652">
        <v>990</v>
      </c>
      <c r="O652">
        <v>1033</v>
      </c>
      <c r="P652">
        <v>1030</v>
      </c>
      <c r="Q652">
        <v>915</v>
      </c>
      <c r="R652">
        <v>961</v>
      </c>
      <c r="S652">
        <v>1003</v>
      </c>
      <c r="T652">
        <v>909</v>
      </c>
      <c r="U652">
        <v>980</v>
      </c>
      <c r="V652">
        <v>1135</v>
      </c>
      <c r="W652">
        <v>1032</v>
      </c>
      <c r="X652">
        <v>1010</v>
      </c>
      <c r="Y652">
        <v>982</v>
      </c>
      <c r="Z652">
        <v>892</v>
      </c>
      <c r="AA652">
        <v>958</v>
      </c>
      <c r="AB652">
        <v>1028</v>
      </c>
      <c r="AC652">
        <v>974</v>
      </c>
      <c r="AD652">
        <v>1009</v>
      </c>
      <c r="AE652">
        <v>904</v>
      </c>
      <c r="AF652">
        <v>1</v>
      </c>
      <c r="AG652">
        <v>13</v>
      </c>
      <c r="AH652">
        <v>0</v>
      </c>
      <c r="AI652">
        <v>6</v>
      </c>
      <c r="AJ652">
        <v>32</v>
      </c>
      <c r="AK652">
        <v>17</v>
      </c>
      <c r="AL652">
        <v>1</v>
      </c>
      <c r="AM652">
        <v>4</v>
      </c>
      <c r="AN652">
        <v>2</v>
      </c>
      <c r="AO652">
        <v>0</v>
      </c>
      <c r="AP652">
        <v>1112</v>
      </c>
      <c r="AQ652">
        <v>11</v>
      </c>
      <c r="AR652">
        <v>1</v>
      </c>
      <c r="AS652">
        <v>0</v>
      </c>
      <c r="AT652">
        <v>1</v>
      </c>
      <c r="AU652">
        <v>2</v>
      </c>
      <c r="AV652">
        <v>1</v>
      </c>
      <c r="AW652">
        <v>7</v>
      </c>
      <c r="AX652">
        <v>0</v>
      </c>
      <c r="AY652">
        <v>2</v>
      </c>
      <c r="AZ652">
        <v>0</v>
      </c>
      <c r="BA652">
        <v>1012</v>
      </c>
      <c r="BB652">
        <v>8</v>
      </c>
      <c r="BC652">
        <v>1</v>
      </c>
      <c r="BD652">
        <v>1</v>
      </c>
      <c r="BE652">
        <v>0</v>
      </c>
      <c r="BF652">
        <v>4</v>
      </c>
      <c r="BG652">
        <v>4</v>
      </c>
      <c r="BH652">
        <v>0</v>
      </c>
      <c r="BI652">
        <v>0</v>
      </c>
      <c r="BJ652">
        <v>0</v>
      </c>
      <c r="BK652">
        <v>12</v>
      </c>
      <c r="BL652">
        <v>969</v>
      </c>
      <c r="BM652">
        <v>0</v>
      </c>
      <c r="BN652">
        <v>22</v>
      </c>
      <c r="BO652">
        <v>0</v>
      </c>
      <c r="BP652">
        <v>6</v>
      </c>
      <c r="BQ652">
        <v>1</v>
      </c>
      <c r="BR652">
        <v>0</v>
      </c>
      <c r="BS652">
        <v>0</v>
      </c>
      <c r="BT652">
        <v>0</v>
      </c>
      <c r="BU652">
        <v>1</v>
      </c>
      <c r="BV652">
        <v>0</v>
      </c>
      <c r="BW652">
        <v>976</v>
      </c>
      <c r="BX652">
        <v>1</v>
      </c>
      <c r="BY652">
        <v>0</v>
      </c>
      <c r="BZ652">
        <v>0</v>
      </c>
      <c r="CA652">
        <v>4</v>
      </c>
      <c r="CB652">
        <v>0</v>
      </c>
      <c r="CC652">
        <v>0</v>
      </c>
      <c r="CD652">
        <v>0</v>
      </c>
      <c r="CE652">
        <v>0</v>
      </c>
      <c r="CF652">
        <v>1</v>
      </c>
      <c r="CG652">
        <v>0</v>
      </c>
      <c r="CH652">
        <v>890</v>
      </c>
      <c r="CI652">
        <v>1</v>
      </c>
      <c r="CJ652">
        <v>0</v>
      </c>
      <c r="CK652">
        <v>0</v>
      </c>
      <c r="CL652">
        <v>0</v>
      </c>
      <c r="CM652">
        <v>1</v>
      </c>
      <c r="CN652">
        <v>1</v>
      </c>
      <c r="CO652">
        <v>9</v>
      </c>
      <c r="CP652">
        <v>0</v>
      </c>
      <c r="CQ652">
        <v>11</v>
      </c>
      <c r="CR652">
        <v>39</v>
      </c>
      <c r="CS652">
        <v>892</v>
      </c>
      <c r="CT652">
        <v>0</v>
      </c>
      <c r="CU652">
        <v>5</v>
      </c>
      <c r="CV652">
        <v>0</v>
      </c>
      <c r="CW652">
        <v>2</v>
      </c>
      <c r="CX652">
        <v>7</v>
      </c>
      <c r="CY652">
        <v>55</v>
      </c>
      <c r="CZ652">
        <v>5</v>
      </c>
      <c r="DA652">
        <v>5</v>
      </c>
      <c r="DB652">
        <v>5</v>
      </c>
      <c r="DC652">
        <v>1</v>
      </c>
      <c r="DD652">
        <v>936</v>
      </c>
      <c r="DE652">
        <v>5</v>
      </c>
      <c r="DF652">
        <v>7</v>
      </c>
      <c r="DG652">
        <v>0</v>
      </c>
      <c r="DH652">
        <v>0</v>
      </c>
      <c r="DI652">
        <v>10</v>
      </c>
      <c r="DJ652">
        <v>1</v>
      </c>
      <c r="DK652">
        <v>0</v>
      </c>
      <c r="DL652">
        <v>9</v>
      </c>
      <c r="DM652">
        <v>1</v>
      </c>
      <c r="DN652">
        <v>1</v>
      </c>
      <c r="DO652">
        <v>952</v>
      </c>
      <c r="DP652">
        <v>0</v>
      </c>
      <c r="DQ652">
        <v>1</v>
      </c>
      <c r="DR652">
        <v>3</v>
      </c>
      <c r="DS652">
        <v>2</v>
      </c>
      <c r="DT652">
        <v>5</v>
      </c>
      <c r="DU652">
        <v>34</v>
      </c>
      <c r="DV652">
        <v>30</v>
      </c>
      <c r="DW652">
        <v>1</v>
      </c>
      <c r="DX652">
        <v>12</v>
      </c>
      <c r="DY652">
        <v>21</v>
      </c>
      <c r="DZ652">
        <v>900</v>
      </c>
      <c r="EA652">
        <v>0.95430000000000004</v>
      </c>
      <c r="EB652">
        <v>0.95580728231341106</v>
      </c>
      <c r="EC652">
        <v>0.95448559150948198</v>
      </c>
      <c r="ED652">
        <v>0.95385256468421797</v>
      </c>
      <c r="EE652">
        <f>SUM(Table1[[#This Row],[ratio_0]:[ratio_9]])</f>
        <v>460</v>
      </c>
      <c r="EF652" s="1">
        <f>(Table1[[#This Row],[predicted_0]]-Table1[[#This Row],[actual_0]])/Table1[[#This Row],[actual_0]]</f>
        <v>-7.1428571428571425E-2</v>
      </c>
      <c r="EG652" s="1">
        <f>(Table1[[#This Row],[predicted_1]]-Table1[[#This Row],[actual_1]])/Table1[[#This Row],[actual_1]]</f>
        <v>-9.6916299559471359E-3</v>
      </c>
      <c r="EH652" s="1">
        <f>(Table1[[#This Row],[predicted_2]]-Table1[[#This Row],[actual_2]])/Table1[[#This Row],[actual_2]]</f>
        <v>9.0116279069767435E-2</v>
      </c>
      <c r="EI652" s="1">
        <f>(Table1[[#This Row],[predicted_3]]-Table1[[#This Row],[actual_3]])/Table1[[#This Row],[actual_3]]</f>
        <v>-1.9801980198019802E-2</v>
      </c>
      <c r="EJ652" s="1">
        <f>(Table1[[#This Row],[predicted_4]]-Table1[[#This Row],[actual_4]])/Table1[[#This Row],[actual_4]]</f>
        <v>5.1934826883910386E-2</v>
      </c>
      <c r="EK652" s="1">
        <f>(Table1[[#This Row],[predicted_5]]-Table1[[#This Row],[actual_5]])/Table1[[#This Row],[actual_5]]</f>
        <v>0.1547085201793722</v>
      </c>
      <c r="EL652" s="1">
        <f>(Table1[[#This Row],[predicted_6]]-Table1[[#This Row],[actual_6]])/Table1[[#This Row],[actual_6]]</f>
        <v>-4.4885177453027142E-2</v>
      </c>
      <c r="EM652" s="1">
        <f>(Table1[[#This Row],[predicted_7]]-Table1[[#This Row],[actual_7]])/Table1[[#This Row],[actual_7]]</f>
        <v>-6.5175097276264596E-2</v>
      </c>
      <c r="EN652" s="1">
        <f>(Table1[[#This Row],[predicted_8]]-Table1[[#This Row],[actual_8]])/Table1[[#This Row],[actual_8]]</f>
        <v>2.9774127310061602E-2</v>
      </c>
      <c r="EO652" s="1">
        <f>(Table1[[#This Row],[predicted_9]]-Table1[[#This Row],[actual_9]])/Table1[[#This Row],[actual_9]]</f>
        <v>-9.9108027750247768E-2</v>
      </c>
      <c r="EP652" s="1">
        <f>1+(Table1[[#This Row],[error_ratio_0]]-EF$2)</f>
        <v>0.92653061224489797</v>
      </c>
      <c r="EQ652" s="1">
        <f>1+(Table1[[#This Row],[error_ratio_1]]-EG$2)</f>
        <v>0.98854625550660791</v>
      </c>
      <c r="ER652" s="1">
        <f>1+(Table1[[#This Row],[error_ratio_2]]-EH$2)</f>
        <v>1.0949612403100775</v>
      </c>
      <c r="ES652" s="1">
        <f>1+(Table1[[#This Row],[error_ratio_3]]-EI$2)</f>
        <v>0.97029702970297027</v>
      </c>
      <c r="ET652" s="1">
        <f>1+(Table1[[#This Row],[error_ratio_4]]-EJ$2)</f>
        <v>1.0509164969450102</v>
      </c>
      <c r="EU652" s="1">
        <f>1+(Table1[[#This Row],[error_ratio_5]]-EK$2)</f>
        <v>1.1535874439461884</v>
      </c>
      <c r="EV652" s="1">
        <f>1+(Table1[[#This Row],[error_ratio_6]]-EL$2)</f>
        <v>0.9613778705636743</v>
      </c>
      <c r="EW652" s="1">
        <f>1+(Table1[[#This Row],[error_ratio_7]]-EM$2)</f>
        <v>0.93287937743190663</v>
      </c>
      <c r="EX652" s="1">
        <f>1+(Table1[[#This Row],[error_ratio_8]]-EN$2)</f>
        <v>1.0328542094455853</v>
      </c>
      <c r="EY652" s="1">
        <f>1+(Table1[[#This Row],[error_ratio_9]]-EO$2)</f>
        <v>0.90485629335976214</v>
      </c>
    </row>
    <row r="653" spans="1:155" x14ac:dyDescent="0.75">
      <c r="A653">
        <v>100</v>
      </c>
      <c r="B653">
        <v>100</v>
      </c>
      <c r="C653">
        <v>100</v>
      </c>
      <c r="D653">
        <v>10</v>
      </c>
      <c r="E653">
        <v>100</v>
      </c>
      <c r="F653">
        <v>100</v>
      </c>
      <c r="G653">
        <v>10</v>
      </c>
      <c r="H653">
        <v>10</v>
      </c>
      <c r="I653">
        <v>100</v>
      </c>
      <c r="J653">
        <v>10</v>
      </c>
      <c r="K653">
        <v>1022</v>
      </c>
      <c r="L653">
        <v>1143</v>
      </c>
      <c r="M653">
        <v>1045</v>
      </c>
      <c r="N653">
        <v>969</v>
      </c>
      <c r="O653">
        <v>1015</v>
      </c>
      <c r="P653">
        <v>928</v>
      </c>
      <c r="Q653">
        <v>898</v>
      </c>
      <c r="R653">
        <v>1002</v>
      </c>
      <c r="S653">
        <v>989</v>
      </c>
      <c r="T653">
        <v>989</v>
      </c>
      <c r="U653">
        <v>980</v>
      </c>
      <c r="V653">
        <v>1135</v>
      </c>
      <c r="W653">
        <v>1032</v>
      </c>
      <c r="X653">
        <v>1010</v>
      </c>
      <c r="Y653">
        <v>982</v>
      </c>
      <c r="Z653">
        <v>892</v>
      </c>
      <c r="AA653">
        <v>958</v>
      </c>
      <c r="AB653">
        <v>1028</v>
      </c>
      <c r="AC653">
        <v>974</v>
      </c>
      <c r="AD653">
        <v>1009</v>
      </c>
      <c r="AE653">
        <v>977</v>
      </c>
      <c r="AF653">
        <v>0</v>
      </c>
      <c r="AG653">
        <v>0</v>
      </c>
      <c r="AH653">
        <v>0</v>
      </c>
      <c r="AI653">
        <v>0</v>
      </c>
      <c r="AJ653">
        <v>0</v>
      </c>
      <c r="AK653">
        <v>0</v>
      </c>
      <c r="AL653">
        <v>1</v>
      </c>
      <c r="AM653">
        <v>2</v>
      </c>
      <c r="AN653">
        <v>0</v>
      </c>
      <c r="AO653">
        <v>0</v>
      </c>
      <c r="AP653">
        <v>1129</v>
      </c>
      <c r="AQ653">
        <v>0</v>
      </c>
      <c r="AR653">
        <v>1</v>
      </c>
      <c r="AS653">
        <v>0</v>
      </c>
      <c r="AT653">
        <v>1</v>
      </c>
      <c r="AU653">
        <v>0</v>
      </c>
      <c r="AV653">
        <v>0</v>
      </c>
      <c r="AW653">
        <v>4</v>
      </c>
      <c r="AX653">
        <v>0</v>
      </c>
      <c r="AY653">
        <v>1</v>
      </c>
      <c r="AZ653">
        <v>1</v>
      </c>
      <c r="BA653">
        <v>1021</v>
      </c>
      <c r="BB653">
        <v>0</v>
      </c>
      <c r="BC653">
        <v>0</v>
      </c>
      <c r="BD653">
        <v>0</v>
      </c>
      <c r="BE653">
        <v>0</v>
      </c>
      <c r="BF653">
        <v>6</v>
      </c>
      <c r="BG653">
        <v>3</v>
      </c>
      <c r="BH653">
        <v>0</v>
      </c>
      <c r="BI653">
        <v>1</v>
      </c>
      <c r="BJ653">
        <v>0</v>
      </c>
      <c r="BK653">
        <v>6</v>
      </c>
      <c r="BL653">
        <v>959</v>
      </c>
      <c r="BM653">
        <v>0</v>
      </c>
      <c r="BN653">
        <v>22</v>
      </c>
      <c r="BO653">
        <v>0</v>
      </c>
      <c r="BP653">
        <v>8</v>
      </c>
      <c r="BQ653">
        <v>5</v>
      </c>
      <c r="BR653">
        <v>9</v>
      </c>
      <c r="BS653">
        <v>0</v>
      </c>
      <c r="BT653">
        <v>0</v>
      </c>
      <c r="BU653">
        <v>0</v>
      </c>
      <c r="BV653">
        <v>0</v>
      </c>
      <c r="BW653">
        <v>981</v>
      </c>
      <c r="BX653">
        <v>0</v>
      </c>
      <c r="BY653">
        <v>0</v>
      </c>
      <c r="BZ653">
        <v>0</v>
      </c>
      <c r="CA653">
        <v>0</v>
      </c>
      <c r="CB653">
        <v>1</v>
      </c>
      <c r="CC653">
        <v>2</v>
      </c>
      <c r="CD653">
        <v>0</v>
      </c>
      <c r="CE653">
        <v>0</v>
      </c>
      <c r="CF653">
        <v>1</v>
      </c>
      <c r="CG653">
        <v>0</v>
      </c>
      <c r="CH653">
        <v>887</v>
      </c>
      <c r="CI653">
        <v>1</v>
      </c>
      <c r="CJ653">
        <v>1</v>
      </c>
      <c r="CK653">
        <v>0</v>
      </c>
      <c r="CL653">
        <v>0</v>
      </c>
      <c r="CM653">
        <v>29</v>
      </c>
      <c r="CN653">
        <v>2</v>
      </c>
      <c r="CO653">
        <v>0</v>
      </c>
      <c r="CP653">
        <v>0</v>
      </c>
      <c r="CQ653">
        <v>15</v>
      </c>
      <c r="CR653">
        <v>9</v>
      </c>
      <c r="CS653">
        <v>897</v>
      </c>
      <c r="CT653">
        <v>0</v>
      </c>
      <c r="CU653">
        <v>6</v>
      </c>
      <c r="CV653">
        <v>0</v>
      </c>
      <c r="CW653">
        <v>3</v>
      </c>
      <c r="CX653">
        <v>8</v>
      </c>
      <c r="CY653">
        <v>15</v>
      </c>
      <c r="CZ653">
        <v>2</v>
      </c>
      <c r="DA653">
        <v>5</v>
      </c>
      <c r="DB653">
        <v>2</v>
      </c>
      <c r="DC653">
        <v>0</v>
      </c>
      <c r="DD653">
        <v>978</v>
      </c>
      <c r="DE653">
        <v>5</v>
      </c>
      <c r="DF653">
        <v>10</v>
      </c>
      <c r="DG653">
        <v>3</v>
      </c>
      <c r="DH653">
        <v>0</v>
      </c>
      <c r="DI653">
        <v>3</v>
      </c>
      <c r="DJ653">
        <v>1</v>
      </c>
      <c r="DK653">
        <v>0</v>
      </c>
      <c r="DL653">
        <v>2</v>
      </c>
      <c r="DM653">
        <v>0</v>
      </c>
      <c r="DN653">
        <v>2</v>
      </c>
      <c r="DO653">
        <v>959</v>
      </c>
      <c r="DP653">
        <v>4</v>
      </c>
      <c r="DQ653">
        <v>6</v>
      </c>
      <c r="DR653">
        <v>3</v>
      </c>
      <c r="DS653">
        <v>0</v>
      </c>
      <c r="DT653">
        <v>5</v>
      </c>
      <c r="DU653">
        <v>14</v>
      </c>
      <c r="DV653">
        <v>5</v>
      </c>
      <c r="DW653">
        <v>0</v>
      </c>
      <c r="DX653">
        <v>6</v>
      </c>
      <c r="DY653">
        <v>5</v>
      </c>
      <c r="DZ653">
        <v>965</v>
      </c>
      <c r="EA653">
        <v>0.97529999999999994</v>
      </c>
      <c r="EB653">
        <v>0.975308893562986</v>
      </c>
      <c r="EC653">
        <v>0.97525543598728304</v>
      </c>
      <c r="ED653">
        <v>0.97499519498300302</v>
      </c>
      <c r="EE653">
        <f>SUM(Table1[[#This Row],[ratio_0]:[ratio_9]])</f>
        <v>640</v>
      </c>
      <c r="EF653" s="1">
        <f>(Table1[[#This Row],[predicted_0]]-Table1[[#This Row],[actual_0]])/Table1[[#This Row],[actual_0]]</f>
        <v>4.2857142857142858E-2</v>
      </c>
      <c r="EG653" s="1">
        <f>(Table1[[#This Row],[predicted_1]]-Table1[[#This Row],[actual_1]])/Table1[[#This Row],[actual_1]]</f>
        <v>7.048458149779736E-3</v>
      </c>
      <c r="EH653" s="1">
        <f>(Table1[[#This Row],[predicted_2]]-Table1[[#This Row],[actual_2]])/Table1[[#This Row],[actual_2]]</f>
        <v>1.2596899224806201E-2</v>
      </c>
      <c r="EI653" s="1">
        <f>(Table1[[#This Row],[predicted_3]]-Table1[[#This Row],[actual_3]])/Table1[[#This Row],[actual_3]]</f>
        <v>-4.0594059405940595E-2</v>
      </c>
      <c r="EJ653" s="1">
        <f>(Table1[[#This Row],[predicted_4]]-Table1[[#This Row],[actual_4]])/Table1[[#This Row],[actual_4]]</f>
        <v>3.360488798370672E-2</v>
      </c>
      <c r="EK653" s="1">
        <f>(Table1[[#This Row],[predicted_5]]-Table1[[#This Row],[actual_5]])/Table1[[#This Row],[actual_5]]</f>
        <v>4.0358744394618833E-2</v>
      </c>
      <c r="EL653" s="1">
        <f>(Table1[[#This Row],[predicted_6]]-Table1[[#This Row],[actual_6]])/Table1[[#This Row],[actual_6]]</f>
        <v>-6.2630480167014613E-2</v>
      </c>
      <c r="EM653" s="1">
        <f>(Table1[[#This Row],[predicted_7]]-Table1[[#This Row],[actual_7]])/Table1[[#This Row],[actual_7]]</f>
        <v>-2.5291828793774319E-2</v>
      </c>
      <c r="EN653" s="1">
        <f>(Table1[[#This Row],[predicted_8]]-Table1[[#This Row],[actual_8]])/Table1[[#This Row],[actual_8]]</f>
        <v>1.5400410677618069E-2</v>
      </c>
      <c r="EO653" s="1">
        <f>(Table1[[#This Row],[predicted_9]]-Table1[[#This Row],[actual_9]])/Table1[[#This Row],[actual_9]]</f>
        <v>-1.9821605550049554E-2</v>
      </c>
      <c r="EP653" s="1">
        <f>1+(Table1[[#This Row],[error_ratio_0]]-EF$2)</f>
        <v>1.0408163265306123</v>
      </c>
      <c r="EQ653" s="1">
        <f>1+(Table1[[#This Row],[error_ratio_1]]-EG$2)</f>
        <v>1.0052863436123347</v>
      </c>
      <c r="ER653" s="1">
        <f>1+(Table1[[#This Row],[error_ratio_2]]-EH$2)</f>
        <v>1.0174418604651163</v>
      </c>
      <c r="ES653" s="1">
        <f>1+(Table1[[#This Row],[error_ratio_3]]-EI$2)</f>
        <v>0.94950495049504946</v>
      </c>
      <c r="ET653" s="1">
        <f>1+(Table1[[#This Row],[error_ratio_4]]-EJ$2)</f>
        <v>1.0325865580448066</v>
      </c>
      <c r="EU653" s="1">
        <f>1+(Table1[[#This Row],[error_ratio_5]]-EK$2)</f>
        <v>1.039237668161435</v>
      </c>
      <c r="EV653" s="1">
        <f>1+(Table1[[#This Row],[error_ratio_6]]-EL$2)</f>
        <v>0.94363256784968685</v>
      </c>
      <c r="EW653" s="1">
        <f>1+(Table1[[#This Row],[error_ratio_7]]-EM$2)</f>
        <v>0.97276264591439687</v>
      </c>
      <c r="EX653" s="1">
        <f>1+(Table1[[#This Row],[error_ratio_8]]-EN$2)</f>
        <v>1.0184804928131417</v>
      </c>
      <c r="EY653" s="1">
        <f>1+(Table1[[#This Row],[error_ratio_9]]-EO$2)</f>
        <v>0.98414271555996036</v>
      </c>
    </row>
    <row r="654" spans="1:155" x14ac:dyDescent="0.75">
      <c r="A654">
        <v>10</v>
      </c>
      <c r="B654">
        <v>100</v>
      </c>
      <c r="C654">
        <v>100</v>
      </c>
      <c r="D654">
        <v>10</v>
      </c>
      <c r="E654">
        <v>100</v>
      </c>
      <c r="F654">
        <v>100</v>
      </c>
      <c r="G654">
        <v>10</v>
      </c>
      <c r="H654">
        <v>10</v>
      </c>
      <c r="I654">
        <v>100</v>
      </c>
      <c r="J654">
        <v>10</v>
      </c>
      <c r="K654">
        <v>986</v>
      </c>
      <c r="L654">
        <v>1150</v>
      </c>
      <c r="M654">
        <v>1024</v>
      </c>
      <c r="N654">
        <v>981</v>
      </c>
      <c r="O654">
        <v>1013</v>
      </c>
      <c r="P654">
        <v>947</v>
      </c>
      <c r="Q654">
        <v>904</v>
      </c>
      <c r="R654">
        <v>1003</v>
      </c>
      <c r="S654">
        <v>1094</v>
      </c>
      <c r="T654">
        <v>898</v>
      </c>
      <c r="U654">
        <v>980</v>
      </c>
      <c r="V654">
        <v>1135</v>
      </c>
      <c r="W654">
        <v>1032</v>
      </c>
      <c r="X654">
        <v>1010</v>
      </c>
      <c r="Y654">
        <v>982</v>
      </c>
      <c r="Z654">
        <v>892</v>
      </c>
      <c r="AA654">
        <v>958</v>
      </c>
      <c r="AB654">
        <v>1028</v>
      </c>
      <c r="AC654">
        <v>974</v>
      </c>
      <c r="AD654">
        <v>1009</v>
      </c>
      <c r="AE654">
        <v>958</v>
      </c>
      <c r="AF654">
        <v>1</v>
      </c>
      <c r="AG654">
        <v>5</v>
      </c>
      <c r="AH654">
        <v>0</v>
      </c>
      <c r="AI654">
        <v>2</v>
      </c>
      <c r="AJ654">
        <v>4</v>
      </c>
      <c r="AK654">
        <v>1</v>
      </c>
      <c r="AL654">
        <v>1</v>
      </c>
      <c r="AM654">
        <v>6</v>
      </c>
      <c r="AN654">
        <v>2</v>
      </c>
      <c r="AO654">
        <v>0</v>
      </c>
      <c r="AP654">
        <v>1128</v>
      </c>
      <c r="AQ654">
        <v>1</v>
      </c>
      <c r="AR654">
        <v>1</v>
      </c>
      <c r="AS654">
        <v>1</v>
      </c>
      <c r="AT654">
        <v>0</v>
      </c>
      <c r="AU654">
        <v>0</v>
      </c>
      <c r="AV654">
        <v>0</v>
      </c>
      <c r="AW654">
        <v>4</v>
      </c>
      <c r="AX654">
        <v>0</v>
      </c>
      <c r="AY654">
        <v>1</v>
      </c>
      <c r="AZ654">
        <v>3</v>
      </c>
      <c r="BA654">
        <v>998</v>
      </c>
      <c r="BB654">
        <v>7</v>
      </c>
      <c r="BC654">
        <v>6</v>
      </c>
      <c r="BD654">
        <v>0</v>
      </c>
      <c r="BE654">
        <v>1</v>
      </c>
      <c r="BF654">
        <v>7</v>
      </c>
      <c r="BG654">
        <v>9</v>
      </c>
      <c r="BH654">
        <v>0</v>
      </c>
      <c r="BI654">
        <v>1</v>
      </c>
      <c r="BJ654">
        <v>0</v>
      </c>
      <c r="BK654">
        <v>3</v>
      </c>
      <c r="BL654">
        <v>945</v>
      </c>
      <c r="BM654">
        <v>0</v>
      </c>
      <c r="BN654">
        <v>38</v>
      </c>
      <c r="BO654">
        <v>0</v>
      </c>
      <c r="BP654">
        <v>7</v>
      </c>
      <c r="BQ654">
        <v>15</v>
      </c>
      <c r="BR654">
        <v>1</v>
      </c>
      <c r="BS654">
        <v>0</v>
      </c>
      <c r="BT654">
        <v>0</v>
      </c>
      <c r="BU654">
        <v>0</v>
      </c>
      <c r="BV654">
        <v>0</v>
      </c>
      <c r="BW654">
        <v>974</v>
      </c>
      <c r="BX654">
        <v>0</v>
      </c>
      <c r="BY654">
        <v>3</v>
      </c>
      <c r="BZ654">
        <v>0</v>
      </c>
      <c r="CA654">
        <v>4</v>
      </c>
      <c r="CB654">
        <v>1</v>
      </c>
      <c r="CC654">
        <v>2</v>
      </c>
      <c r="CD654">
        <v>0</v>
      </c>
      <c r="CE654">
        <v>0</v>
      </c>
      <c r="CF654">
        <v>2</v>
      </c>
      <c r="CG654">
        <v>0</v>
      </c>
      <c r="CH654">
        <v>870</v>
      </c>
      <c r="CI654">
        <v>0</v>
      </c>
      <c r="CJ654">
        <v>1</v>
      </c>
      <c r="CK654">
        <v>17</v>
      </c>
      <c r="CL654">
        <v>0</v>
      </c>
      <c r="CM654">
        <v>12</v>
      </c>
      <c r="CN654">
        <v>5</v>
      </c>
      <c r="CO654">
        <v>1</v>
      </c>
      <c r="CP654">
        <v>0</v>
      </c>
      <c r="CQ654">
        <v>13</v>
      </c>
      <c r="CR654">
        <v>16</v>
      </c>
      <c r="CS654">
        <v>898</v>
      </c>
      <c r="CT654">
        <v>0</v>
      </c>
      <c r="CU654">
        <v>12</v>
      </c>
      <c r="CV654">
        <v>1</v>
      </c>
      <c r="CW654">
        <v>2</v>
      </c>
      <c r="CX654">
        <v>9</v>
      </c>
      <c r="CY654">
        <v>15</v>
      </c>
      <c r="CZ654">
        <v>9</v>
      </c>
      <c r="DA654">
        <v>5</v>
      </c>
      <c r="DB654">
        <v>2</v>
      </c>
      <c r="DC654">
        <v>0</v>
      </c>
      <c r="DD654">
        <v>973</v>
      </c>
      <c r="DE654">
        <v>11</v>
      </c>
      <c r="DF654">
        <v>2</v>
      </c>
      <c r="DG654">
        <v>2</v>
      </c>
      <c r="DH654">
        <v>0</v>
      </c>
      <c r="DI654">
        <v>0</v>
      </c>
      <c r="DJ654">
        <v>3</v>
      </c>
      <c r="DK654">
        <v>0</v>
      </c>
      <c r="DL654">
        <v>1</v>
      </c>
      <c r="DM654">
        <v>0</v>
      </c>
      <c r="DN654">
        <v>1</v>
      </c>
      <c r="DO654">
        <v>967</v>
      </c>
      <c r="DP654">
        <v>0</v>
      </c>
      <c r="DQ654">
        <v>8</v>
      </c>
      <c r="DR654">
        <v>4</v>
      </c>
      <c r="DS654">
        <v>1</v>
      </c>
      <c r="DT654">
        <v>14</v>
      </c>
      <c r="DU654">
        <v>12</v>
      </c>
      <c r="DV654">
        <v>16</v>
      </c>
      <c r="DW654">
        <v>1</v>
      </c>
      <c r="DX654">
        <v>13</v>
      </c>
      <c r="DY654">
        <v>49</v>
      </c>
      <c r="DZ654">
        <v>891</v>
      </c>
      <c r="EA654">
        <v>0.96020000000000005</v>
      </c>
      <c r="EB654">
        <v>0.961014493314435</v>
      </c>
      <c r="EC654">
        <v>0.96010043740543605</v>
      </c>
      <c r="ED654">
        <v>0.959693057650847</v>
      </c>
      <c r="EE654">
        <f>SUM(Table1[[#This Row],[ratio_0]:[ratio_9]])</f>
        <v>550</v>
      </c>
      <c r="EF654" s="1">
        <f>(Table1[[#This Row],[predicted_0]]-Table1[[#This Row],[actual_0]])/Table1[[#This Row],[actual_0]]</f>
        <v>6.1224489795918364E-3</v>
      </c>
      <c r="EG654" s="1">
        <f>(Table1[[#This Row],[predicted_1]]-Table1[[#This Row],[actual_1]])/Table1[[#This Row],[actual_1]]</f>
        <v>1.3215859030837005E-2</v>
      </c>
      <c r="EH654" s="1">
        <f>(Table1[[#This Row],[predicted_2]]-Table1[[#This Row],[actual_2]])/Table1[[#This Row],[actual_2]]</f>
        <v>-7.7519379844961239E-3</v>
      </c>
      <c r="EI654" s="1">
        <f>(Table1[[#This Row],[predicted_3]]-Table1[[#This Row],[actual_3]])/Table1[[#This Row],[actual_3]]</f>
        <v>-2.8712871287128714E-2</v>
      </c>
      <c r="EJ654" s="1">
        <f>(Table1[[#This Row],[predicted_4]]-Table1[[#This Row],[actual_4]])/Table1[[#This Row],[actual_4]]</f>
        <v>3.1568228105906315E-2</v>
      </c>
      <c r="EK654" s="1">
        <f>(Table1[[#This Row],[predicted_5]]-Table1[[#This Row],[actual_5]])/Table1[[#This Row],[actual_5]]</f>
        <v>6.1659192825112105E-2</v>
      </c>
      <c r="EL654" s="1">
        <f>(Table1[[#This Row],[predicted_6]]-Table1[[#This Row],[actual_6]])/Table1[[#This Row],[actual_6]]</f>
        <v>-5.6367432150313153E-2</v>
      </c>
      <c r="EM654" s="1">
        <f>(Table1[[#This Row],[predicted_7]]-Table1[[#This Row],[actual_7]])/Table1[[#This Row],[actual_7]]</f>
        <v>-2.4319066147859923E-2</v>
      </c>
      <c r="EN654" s="1">
        <f>(Table1[[#This Row],[predicted_8]]-Table1[[#This Row],[actual_8]])/Table1[[#This Row],[actual_8]]</f>
        <v>0.12320328542094455</v>
      </c>
      <c r="EO654" s="1">
        <f>(Table1[[#This Row],[predicted_9]]-Table1[[#This Row],[actual_9]])/Table1[[#This Row],[actual_9]]</f>
        <v>-0.11000991080277503</v>
      </c>
      <c r="EP654" s="1">
        <f>1+(Table1[[#This Row],[error_ratio_0]]-EF$2)</f>
        <v>1.0040816326530613</v>
      </c>
      <c r="EQ654" s="1">
        <f>1+(Table1[[#This Row],[error_ratio_1]]-EG$2)</f>
        <v>1.011453744493392</v>
      </c>
      <c r="ER654" s="1">
        <f>1+(Table1[[#This Row],[error_ratio_2]]-EH$2)</f>
        <v>0.99709302325581395</v>
      </c>
      <c r="ES654" s="1">
        <f>1+(Table1[[#This Row],[error_ratio_3]]-EI$2)</f>
        <v>0.96138613861386135</v>
      </c>
      <c r="ET654" s="1">
        <f>1+(Table1[[#This Row],[error_ratio_4]]-EJ$2)</f>
        <v>1.030549898167006</v>
      </c>
      <c r="EU654" s="1">
        <f>1+(Table1[[#This Row],[error_ratio_5]]-EK$2)</f>
        <v>1.0605381165919283</v>
      </c>
      <c r="EV654" s="1">
        <f>1+(Table1[[#This Row],[error_ratio_6]]-EL$2)</f>
        <v>0.94989561586638827</v>
      </c>
      <c r="EW654" s="1">
        <f>1+(Table1[[#This Row],[error_ratio_7]]-EM$2)</f>
        <v>0.97373540856031127</v>
      </c>
      <c r="EX654" s="1">
        <f>1+(Table1[[#This Row],[error_ratio_8]]-EN$2)</f>
        <v>1.1262833675564681</v>
      </c>
      <c r="EY654" s="1">
        <f>1+(Table1[[#This Row],[error_ratio_9]]-EO$2)</f>
        <v>0.89395441030723488</v>
      </c>
    </row>
    <row r="655" spans="1:155" x14ac:dyDescent="0.75">
      <c r="A655">
        <v>100</v>
      </c>
      <c r="B655">
        <v>10</v>
      </c>
      <c r="C655">
        <v>100</v>
      </c>
      <c r="D655">
        <v>10</v>
      </c>
      <c r="E655">
        <v>100</v>
      </c>
      <c r="F655">
        <v>100</v>
      </c>
      <c r="G655">
        <v>10</v>
      </c>
      <c r="H655">
        <v>10</v>
      </c>
      <c r="I655">
        <v>100</v>
      </c>
      <c r="J655">
        <v>10</v>
      </c>
      <c r="K655">
        <v>975</v>
      </c>
      <c r="L655">
        <v>1078</v>
      </c>
      <c r="M655">
        <v>1256</v>
      </c>
      <c r="N655">
        <v>955</v>
      </c>
      <c r="O655">
        <v>956</v>
      </c>
      <c r="P655">
        <v>960</v>
      </c>
      <c r="Q655">
        <v>890</v>
      </c>
      <c r="R655">
        <v>982</v>
      </c>
      <c r="S655">
        <v>976</v>
      </c>
      <c r="T655">
        <v>972</v>
      </c>
      <c r="U655">
        <v>980</v>
      </c>
      <c r="V655">
        <v>1135</v>
      </c>
      <c r="W655">
        <v>1032</v>
      </c>
      <c r="X655">
        <v>1010</v>
      </c>
      <c r="Y655">
        <v>982</v>
      </c>
      <c r="Z655">
        <v>892</v>
      </c>
      <c r="AA655">
        <v>958</v>
      </c>
      <c r="AB655">
        <v>1028</v>
      </c>
      <c r="AC655">
        <v>974</v>
      </c>
      <c r="AD655">
        <v>1009</v>
      </c>
      <c r="AE655">
        <v>954</v>
      </c>
      <c r="AF655">
        <v>0</v>
      </c>
      <c r="AG655">
        <v>21</v>
      </c>
      <c r="AH655">
        <v>0</v>
      </c>
      <c r="AI655">
        <v>0</v>
      </c>
      <c r="AJ655">
        <v>0</v>
      </c>
      <c r="AK655">
        <v>1</v>
      </c>
      <c r="AL655">
        <v>2</v>
      </c>
      <c r="AM655">
        <v>2</v>
      </c>
      <c r="AN655">
        <v>0</v>
      </c>
      <c r="AO655">
        <v>5</v>
      </c>
      <c r="AP655">
        <v>1076</v>
      </c>
      <c r="AQ655">
        <v>31</v>
      </c>
      <c r="AR655">
        <v>1</v>
      </c>
      <c r="AS655">
        <v>0</v>
      </c>
      <c r="AT655">
        <v>0</v>
      </c>
      <c r="AU655">
        <v>4</v>
      </c>
      <c r="AV655">
        <v>2</v>
      </c>
      <c r="AW655">
        <v>15</v>
      </c>
      <c r="AX655">
        <v>1</v>
      </c>
      <c r="AY655">
        <v>0</v>
      </c>
      <c r="AZ655">
        <v>0</v>
      </c>
      <c r="BA655">
        <v>1030</v>
      </c>
      <c r="BB655">
        <v>0</v>
      </c>
      <c r="BC655">
        <v>0</v>
      </c>
      <c r="BD655">
        <v>0</v>
      </c>
      <c r="BE655">
        <v>0</v>
      </c>
      <c r="BF655">
        <v>2</v>
      </c>
      <c r="BG655">
        <v>0</v>
      </c>
      <c r="BH655">
        <v>0</v>
      </c>
      <c r="BI655">
        <v>0</v>
      </c>
      <c r="BJ655">
        <v>0</v>
      </c>
      <c r="BK655">
        <v>44</v>
      </c>
      <c r="BL655">
        <v>938</v>
      </c>
      <c r="BM655">
        <v>0</v>
      </c>
      <c r="BN655">
        <v>19</v>
      </c>
      <c r="BO655">
        <v>0</v>
      </c>
      <c r="BP655">
        <v>6</v>
      </c>
      <c r="BQ655">
        <v>3</v>
      </c>
      <c r="BR655">
        <v>0</v>
      </c>
      <c r="BS655">
        <v>0</v>
      </c>
      <c r="BT655">
        <v>0</v>
      </c>
      <c r="BU655">
        <v>21</v>
      </c>
      <c r="BV655">
        <v>1</v>
      </c>
      <c r="BW655">
        <v>946</v>
      </c>
      <c r="BX655">
        <v>0</v>
      </c>
      <c r="BY655">
        <v>2</v>
      </c>
      <c r="BZ655">
        <v>0</v>
      </c>
      <c r="CA655">
        <v>1</v>
      </c>
      <c r="CB655">
        <v>11</v>
      </c>
      <c r="CC655">
        <v>1</v>
      </c>
      <c r="CD655">
        <v>0</v>
      </c>
      <c r="CE655">
        <v>1</v>
      </c>
      <c r="CF655">
        <v>2</v>
      </c>
      <c r="CG655">
        <v>0</v>
      </c>
      <c r="CH655">
        <v>886</v>
      </c>
      <c r="CI655">
        <v>0</v>
      </c>
      <c r="CJ655">
        <v>1</v>
      </c>
      <c r="CK655">
        <v>1</v>
      </c>
      <c r="CL655">
        <v>0</v>
      </c>
      <c r="CM655">
        <v>12</v>
      </c>
      <c r="CN655">
        <v>0</v>
      </c>
      <c r="CO655">
        <v>19</v>
      </c>
      <c r="CP655">
        <v>0</v>
      </c>
      <c r="CQ655">
        <v>2</v>
      </c>
      <c r="CR655">
        <v>35</v>
      </c>
      <c r="CS655">
        <v>883</v>
      </c>
      <c r="CT655">
        <v>0</v>
      </c>
      <c r="CU655">
        <v>7</v>
      </c>
      <c r="CV655">
        <v>0</v>
      </c>
      <c r="CW655">
        <v>0</v>
      </c>
      <c r="CX655">
        <v>1</v>
      </c>
      <c r="CY655">
        <v>59</v>
      </c>
      <c r="CZ655">
        <v>6</v>
      </c>
      <c r="DA655">
        <v>2</v>
      </c>
      <c r="DB655">
        <v>3</v>
      </c>
      <c r="DC655">
        <v>0</v>
      </c>
      <c r="DD655">
        <v>952</v>
      </c>
      <c r="DE655">
        <v>0</v>
      </c>
      <c r="DF655">
        <v>5</v>
      </c>
      <c r="DG655">
        <v>1</v>
      </c>
      <c r="DH655">
        <v>0</v>
      </c>
      <c r="DI655">
        <v>21</v>
      </c>
      <c r="DJ655">
        <v>2</v>
      </c>
      <c r="DK655">
        <v>0</v>
      </c>
      <c r="DL655">
        <v>4</v>
      </c>
      <c r="DM655">
        <v>0</v>
      </c>
      <c r="DN655">
        <v>4</v>
      </c>
      <c r="DO655">
        <v>939</v>
      </c>
      <c r="DP655">
        <v>3</v>
      </c>
      <c r="DQ655">
        <v>2</v>
      </c>
      <c r="DR655">
        <v>1</v>
      </c>
      <c r="DS655">
        <v>9</v>
      </c>
      <c r="DT655">
        <v>5</v>
      </c>
      <c r="DU655">
        <v>6</v>
      </c>
      <c r="DV655">
        <v>13</v>
      </c>
      <c r="DW655">
        <v>0</v>
      </c>
      <c r="DX655">
        <v>13</v>
      </c>
      <c r="DY655">
        <v>8</v>
      </c>
      <c r="DZ655">
        <v>952</v>
      </c>
      <c r="EA655">
        <v>0.9556</v>
      </c>
      <c r="EB655">
        <v>0.95944242792005496</v>
      </c>
      <c r="EC655">
        <v>0.95602316317949498</v>
      </c>
      <c r="ED655">
        <v>0.95636184144968095</v>
      </c>
      <c r="EE655">
        <f>SUM(Table1[[#This Row],[ratio_0]:[ratio_9]])</f>
        <v>550</v>
      </c>
      <c r="EF655" s="1">
        <f>(Table1[[#This Row],[predicted_0]]-Table1[[#This Row],[actual_0]])/Table1[[#This Row],[actual_0]]</f>
        <v>-5.1020408163265302E-3</v>
      </c>
      <c r="EG655" s="1">
        <f>(Table1[[#This Row],[predicted_1]]-Table1[[#This Row],[actual_1]])/Table1[[#This Row],[actual_1]]</f>
        <v>-5.0220264317180616E-2</v>
      </c>
      <c r="EH655" s="1">
        <f>(Table1[[#This Row],[predicted_2]]-Table1[[#This Row],[actual_2]])/Table1[[#This Row],[actual_2]]</f>
        <v>0.21705426356589147</v>
      </c>
      <c r="EI655" s="1">
        <f>(Table1[[#This Row],[predicted_3]]-Table1[[#This Row],[actual_3]])/Table1[[#This Row],[actual_3]]</f>
        <v>-5.4455445544554455E-2</v>
      </c>
      <c r="EJ655" s="1">
        <f>(Table1[[#This Row],[predicted_4]]-Table1[[#This Row],[actual_4]])/Table1[[#This Row],[actual_4]]</f>
        <v>-2.6476578411405296E-2</v>
      </c>
      <c r="EK655" s="1">
        <f>(Table1[[#This Row],[predicted_5]]-Table1[[#This Row],[actual_5]])/Table1[[#This Row],[actual_5]]</f>
        <v>7.623318385650224E-2</v>
      </c>
      <c r="EL655" s="1">
        <f>(Table1[[#This Row],[predicted_6]]-Table1[[#This Row],[actual_6]])/Table1[[#This Row],[actual_6]]</f>
        <v>-7.0981210855949897E-2</v>
      </c>
      <c r="EM655" s="1">
        <f>(Table1[[#This Row],[predicted_7]]-Table1[[#This Row],[actual_7]])/Table1[[#This Row],[actual_7]]</f>
        <v>-4.4747081712062257E-2</v>
      </c>
      <c r="EN655" s="1">
        <f>(Table1[[#This Row],[predicted_8]]-Table1[[#This Row],[actual_8]])/Table1[[#This Row],[actual_8]]</f>
        <v>2.0533880903490761E-3</v>
      </c>
      <c r="EO655" s="1">
        <f>(Table1[[#This Row],[predicted_9]]-Table1[[#This Row],[actual_9]])/Table1[[#This Row],[actual_9]]</f>
        <v>-3.6669970267591674E-2</v>
      </c>
      <c r="EP655" s="1">
        <f>1+(Table1[[#This Row],[error_ratio_0]]-EF$2)</f>
        <v>0.99285714285714288</v>
      </c>
      <c r="EQ655" s="1">
        <f>1+(Table1[[#This Row],[error_ratio_1]]-EG$2)</f>
        <v>0.94801762114537447</v>
      </c>
      <c r="ER655" s="1">
        <f>1+(Table1[[#This Row],[error_ratio_2]]-EH$2)</f>
        <v>1.2218992248062015</v>
      </c>
      <c r="ES655" s="1">
        <f>1+(Table1[[#This Row],[error_ratio_3]]-EI$2)</f>
        <v>0.93564356435643559</v>
      </c>
      <c r="ET655" s="1">
        <f>1+(Table1[[#This Row],[error_ratio_4]]-EJ$2)</f>
        <v>0.97250509164969445</v>
      </c>
      <c r="EU655" s="1">
        <f>1+(Table1[[#This Row],[error_ratio_5]]-EK$2)</f>
        <v>1.0751121076233183</v>
      </c>
      <c r="EV655" s="1">
        <f>1+(Table1[[#This Row],[error_ratio_6]]-EL$2)</f>
        <v>0.93528183716075153</v>
      </c>
      <c r="EW655" s="1">
        <f>1+(Table1[[#This Row],[error_ratio_7]]-EM$2)</f>
        <v>0.95330739299610889</v>
      </c>
      <c r="EX655" s="1">
        <f>1+(Table1[[#This Row],[error_ratio_8]]-EN$2)</f>
        <v>1.0051334702258727</v>
      </c>
      <c r="EY655" s="1">
        <f>1+(Table1[[#This Row],[error_ratio_9]]-EO$2)</f>
        <v>0.96729435084241822</v>
      </c>
    </row>
    <row r="656" spans="1:155" x14ac:dyDescent="0.75">
      <c r="A656">
        <v>10</v>
      </c>
      <c r="B656">
        <v>10</v>
      </c>
      <c r="C656">
        <v>100</v>
      </c>
      <c r="D656">
        <v>10</v>
      </c>
      <c r="E656">
        <v>100</v>
      </c>
      <c r="F656">
        <v>100</v>
      </c>
      <c r="G656">
        <v>10</v>
      </c>
      <c r="H656">
        <v>10</v>
      </c>
      <c r="I656">
        <v>100</v>
      </c>
      <c r="J656">
        <v>10</v>
      </c>
      <c r="K656">
        <v>965</v>
      </c>
      <c r="L656">
        <v>1127</v>
      </c>
      <c r="M656">
        <v>1060</v>
      </c>
      <c r="N656">
        <v>906</v>
      </c>
      <c r="O656">
        <v>1064</v>
      </c>
      <c r="P656">
        <v>997</v>
      </c>
      <c r="Q656">
        <v>892</v>
      </c>
      <c r="R656">
        <v>1076</v>
      </c>
      <c r="S656">
        <v>1007</v>
      </c>
      <c r="T656">
        <v>906</v>
      </c>
      <c r="U656">
        <v>980</v>
      </c>
      <c r="V656">
        <v>1135</v>
      </c>
      <c r="W656">
        <v>1032</v>
      </c>
      <c r="X656">
        <v>1010</v>
      </c>
      <c r="Y656">
        <v>982</v>
      </c>
      <c r="Z656">
        <v>892</v>
      </c>
      <c r="AA656">
        <v>958</v>
      </c>
      <c r="AB656">
        <v>1028</v>
      </c>
      <c r="AC656">
        <v>974</v>
      </c>
      <c r="AD656">
        <v>1009</v>
      </c>
      <c r="AE656">
        <v>943</v>
      </c>
      <c r="AF656">
        <v>0</v>
      </c>
      <c r="AG656">
        <v>1</v>
      </c>
      <c r="AH656">
        <v>1</v>
      </c>
      <c r="AI656">
        <v>5</v>
      </c>
      <c r="AJ656">
        <v>14</v>
      </c>
      <c r="AK656">
        <v>3</v>
      </c>
      <c r="AL656">
        <v>2</v>
      </c>
      <c r="AM656">
        <v>7</v>
      </c>
      <c r="AN656">
        <v>4</v>
      </c>
      <c r="AO656">
        <v>0</v>
      </c>
      <c r="AP656">
        <v>1117</v>
      </c>
      <c r="AQ656">
        <v>2</v>
      </c>
      <c r="AR656">
        <v>4</v>
      </c>
      <c r="AS656">
        <v>3</v>
      </c>
      <c r="AT656">
        <v>1</v>
      </c>
      <c r="AU656">
        <v>0</v>
      </c>
      <c r="AV656">
        <v>0</v>
      </c>
      <c r="AW656">
        <v>8</v>
      </c>
      <c r="AX656">
        <v>0</v>
      </c>
      <c r="AY656">
        <v>1</v>
      </c>
      <c r="AZ656">
        <v>1</v>
      </c>
      <c r="BA656">
        <v>1010</v>
      </c>
      <c r="BB656">
        <v>0</v>
      </c>
      <c r="BC656">
        <v>8</v>
      </c>
      <c r="BD656">
        <v>0</v>
      </c>
      <c r="BE656">
        <v>1</v>
      </c>
      <c r="BF656">
        <v>7</v>
      </c>
      <c r="BG656">
        <v>4</v>
      </c>
      <c r="BH656">
        <v>0</v>
      </c>
      <c r="BI656">
        <v>3</v>
      </c>
      <c r="BJ656">
        <v>0</v>
      </c>
      <c r="BK656">
        <v>18</v>
      </c>
      <c r="BL656">
        <v>896</v>
      </c>
      <c r="BM656">
        <v>1</v>
      </c>
      <c r="BN656">
        <v>59</v>
      </c>
      <c r="BO656">
        <v>0</v>
      </c>
      <c r="BP656">
        <v>19</v>
      </c>
      <c r="BQ656">
        <v>12</v>
      </c>
      <c r="BR656">
        <v>2</v>
      </c>
      <c r="BS656">
        <v>0</v>
      </c>
      <c r="BT656">
        <v>0</v>
      </c>
      <c r="BU656">
        <v>1</v>
      </c>
      <c r="BV656">
        <v>0</v>
      </c>
      <c r="BW656">
        <v>981</v>
      </c>
      <c r="BX656">
        <v>0</v>
      </c>
      <c r="BY656">
        <v>0</v>
      </c>
      <c r="BZ656">
        <v>0</v>
      </c>
      <c r="CA656">
        <v>0</v>
      </c>
      <c r="CB656">
        <v>0</v>
      </c>
      <c r="CC656">
        <v>1</v>
      </c>
      <c r="CD656">
        <v>0</v>
      </c>
      <c r="CE656">
        <v>0</v>
      </c>
      <c r="CF656">
        <v>1</v>
      </c>
      <c r="CG656">
        <v>1</v>
      </c>
      <c r="CH656">
        <v>886</v>
      </c>
      <c r="CI656">
        <v>1</v>
      </c>
      <c r="CJ656">
        <v>0</v>
      </c>
      <c r="CK656">
        <v>2</v>
      </c>
      <c r="CL656">
        <v>0</v>
      </c>
      <c r="CM656">
        <v>10</v>
      </c>
      <c r="CN656">
        <v>2</v>
      </c>
      <c r="CO656">
        <v>1</v>
      </c>
      <c r="CP656">
        <v>0</v>
      </c>
      <c r="CQ656">
        <v>22</v>
      </c>
      <c r="CR656">
        <v>19</v>
      </c>
      <c r="CS656">
        <v>887</v>
      </c>
      <c r="CT656">
        <v>0</v>
      </c>
      <c r="CU656">
        <v>17</v>
      </c>
      <c r="CV656">
        <v>0</v>
      </c>
      <c r="CW656">
        <v>1</v>
      </c>
      <c r="CX656">
        <v>4</v>
      </c>
      <c r="CY656">
        <v>23</v>
      </c>
      <c r="CZ656">
        <v>0</v>
      </c>
      <c r="DA656">
        <v>4</v>
      </c>
      <c r="DB656">
        <v>0</v>
      </c>
      <c r="DC656">
        <v>0</v>
      </c>
      <c r="DD656">
        <v>994</v>
      </c>
      <c r="DE656">
        <v>1</v>
      </c>
      <c r="DF656">
        <v>1</v>
      </c>
      <c r="DG656">
        <v>4</v>
      </c>
      <c r="DH656">
        <v>0</v>
      </c>
      <c r="DI656">
        <v>3</v>
      </c>
      <c r="DJ656">
        <v>0</v>
      </c>
      <c r="DK656">
        <v>4</v>
      </c>
      <c r="DL656">
        <v>4</v>
      </c>
      <c r="DM656">
        <v>0</v>
      </c>
      <c r="DN656">
        <v>6</v>
      </c>
      <c r="DO656">
        <v>950</v>
      </c>
      <c r="DP656">
        <v>3</v>
      </c>
      <c r="DQ656">
        <v>2</v>
      </c>
      <c r="DR656">
        <v>3</v>
      </c>
      <c r="DS656">
        <v>1</v>
      </c>
      <c r="DT656">
        <v>4</v>
      </c>
      <c r="DU656">
        <v>35</v>
      </c>
      <c r="DV656">
        <v>14</v>
      </c>
      <c r="DW656">
        <v>0</v>
      </c>
      <c r="DX656">
        <v>48</v>
      </c>
      <c r="DY656">
        <v>6</v>
      </c>
      <c r="DZ656">
        <v>896</v>
      </c>
      <c r="EA656">
        <v>0.95599999999999996</v>
      </c>
      <c r="EB656">
        <v>0.95713252375747904</v>
      </c>
      <c r="EC656">
        <v>0.95606325699307304</v>
      </c>
      <c r="ED656">
        <v>0.95538267770689</v>
      </c>
      <c r="EE656">
        <f>SUM(Table1[[#This Row],[ratio_0]:[ratio_9]])</f>
        <v>460</v>
      </c>
      <c r="EF656" s="1">
        <f>(Table1[[#This Row],[predicted_0]]-Table1[[#This Row],[actual_0]])/Table1[[#This Row],[actual_0]]</f>
        <v>-1.5306122448979591E-2</v>
      </c>
      <c r="EG656" s="1">
        <f>(Table1[[#This Row],[predicted_1]]-Table1[[#This Row],[actual_1]])/Table1[[#This Row],[actual_1]]</f>
        <v>-7.048458149779736E-3</v>
      </c>
      <c r="EH656" s="1">
        <f>(Table1[[#This Row],[predicted_2]]-Table1[[#This Row],[actual_2]])/Table1[[#This Row],[actual_2]]</f>
        <v>2.7131782945736434E-2</v>
      </c>
      <c r="EI656" s="1">
        <f>(Table1[[#This Row],[predicted_3]]-Table1[[#This Row],[actual_3]])/Table1[[#This Row],[actual_3]]</f>
        <v>-0.10297029702970296</v>
      </c>
      <c r="EJ656" s="1">
        <f>(Table1[[#This Row],[predicted_4]]-Table1[[#This Row],[actual_4]])/Table1[[#This Row],[actual_4]]</f>
        <v>8.3503054989816694E-2</v>
      </c>
      <c r="EK656" s="1">
        <f>(Table1[[#This Row],[predicted_5]]-Table1[[#This Row],[actual_5]])/Table1[[#This Row],[actual_5]]</f>
        <v>0.11771300448430494</v>
      </c>
      <c r="EL656" s="1">
        <f>(Table1[[#This Row],[predicted_6]]-Table1[[#This Row],[actual_6]])/Table1[[#This Row],[actual_6]]</f>
        <v>-6.889352818371608E-2</v>
      </c>
      <c r="EM656" s="1">
        <f>(Table1[[#This Row],[predicted_7]]-Table1[[#This Row],[actual_7]])/Table1[[#This Row],[actual_7]]</f>
        <v>4.6692607003891051E-2</v>
      </c>
      <c r="EN656" s="1">
        <f>(Table1[[#This Row],[predicted_8]]-Table1[[#This Row],[actual_8]])/Table1[[#This Row],[actual_8]]</f>
        <v>3.3880903490759756E-2</v>
      </c>
      <c r="EO656" s="1">
        <f>(Table1[[#This Row],[predicted_9]]-Table1[[#This Row],[actual_9]])/Table1[[#This Row],[actual_9]]</f>
        <v>-0.10208126858275521</v>
      </c>
      <c r="EP656" s="1">
        <f>1+(Table1[[#This Row],[error_ratio_0]]-EF$2)</f>
        <v>0.98265306122448981</v>
      </c>
      <c r="EQ656" s="1">
        <f>1+(Table1[[#This Row],[error_ratio_1]]-EG$2)</f>
        <v>0.99118942731277537</v>
      </c>
      <c r="ER656" s="1">
        <f>1+(Table1[[#This Row],[error_ratio_2]]-EH$2)</f>
        <v>1.0319767441860466</v>
      </c>
      <c r="ES656" s="1">
        <f>1+(Table1[[#This Row],[error_ratio_3]]-EI$2)</f>
        <v>0.88712871287128714</v>
      </c>
      <c r="ET656" s="1">
        <f>1+(Table1[[#This Row],[error_ratio_4]]-EJ$2)</f>
        <v>1.0824847250509164</v>
      </c>
      <c r="EU656" s="1">
        <f>1+(Table1[[#This Row],[error_ratio_5]]-EK$2)</f>
        <v>1.116591928251121</v>
      </c>
      <c r="EV656" s="1">
        <f>1+(Table1[[#This Row],[error_ratio_6]]-EL$2)</f>
        <v>0.93736951983298544</v>
      </c>
      <c r="EW656" s="1">
        <f>1+(Table1[[#This Row],[error_ratio_7]]-EM$2)</f>
        <v>1.0447470817120623</v>
      </c>
      <c r="EX656" s="1">
        <f>1+(Table1[[#This Row],[error_ratio_8]]-EN$2)</f>
        <v>1.0369609856262834</v>
      </c>
      <c r="EY656" s="1">
        <f>1+(Table1[[#This Row],[error_ratio_9]]-EO$2)</f>
        <v>0.90188305252725476</v>
      </c>
    </row>
    <row r="657" spans="1:155" x14ac:dyDescent="0.75">
      <c r="A657">
        <v>100</v>
      </c>
      <c r="B657">
        <v>100</v>
      </c>
      <c r="C657">
        <v>10</v>
      </c>
      <c r="D657">
        <v>10</v>
      </c>
      <c r="E657">
        <v>100</v>
      </c>
      <c r="F657">
        <v>100</v>
      </c>
      <c r="G657">
        <v>10</v>
      </c>
      <c r="H657">
        <v>10</v>
      </c>
      <c r="I657">
        <v>100</v>
      </c>
      <c r="J657">
        <v>10</v>
      </c>
      <c r="K657">
        <v>998</v>
      </c>
      <c r="L657">
        <v>1165</v>
      </c>
      <c r="M657">
        <v>1028</v>
      </c>
      <c r="N657">
        <v>913</v>
      </c>
      <c r="O657">
        <v>1139</v>
      </c>
      <c r="P657">
        <v>966</v>
      </c>
      <c r="Q657">
        <v>841</v>
      </c>
      <c r="R657">
        <v>992</v>
      </c>
      <c r="S657">
        <v>1117</v>
      </c>
      <c r="T657">
        <v>841</v>
      </c>
      <c r="U657">
        <v>980</v>
      </c>
      <c r="V657">
        <v>1135</v>
      </c>
      <c r="W657">
        <v>1032</v>
      </c>
      <c r="X657">
        <v>1010</v>
      </c>
      <c r="Y657">
        <v>982</v>
      </c>
      <c r="Z657">
        <v>892</v>
      </c>
      <c r="AA657">
        <v>958</v>
      </c>
      <c r="AB657">
        <v>1028</v>
      </c>
      <c r="AC657">
        <v>974</v>
      </c>
      <c r="AD657">
        <v>1009</v>
      </c>
      <c r="AE657">
        <v>969</v>
      </c>
      <c r="AF657">
        <v>1</v>
      </c>
      <c r="AG657">
        <v>0</v>
      </c>
      <c r="AH657">
        <v>0</v>
      </c>
      <c r="AI657">
        <v>1</v>
      </c>
      <c r="AJ657">
        <v>4</v>
      </c>
      <c r="AK657">
        <v>1</v>
      </c>
      <c r="AL657">
        <v>0</v>
      </c>
      <c r="AM657">
        <v>4</v>
      </c>
      <c r="AN657">
        <v>0</v>
      </c>
      <c r="AO657">
        <v>0</v>
      </c>
      <c r="AP657">
        <v>1134</v>
      </c>
      <c r="AQ657">
        <v>0</v>
      </c>
      <c r="AR657">
        <v>1</v>
      </c>
      <c r="AS657">
        <v>0</v>
      </c>
      <c r="AT657">
        <v>0</v>
      </c>
      <c r="AU657">
        <v>0</v>
      </c>
      <c r="AV657">
        <v>0</v>
      </c>
      <c r="AW657">
        <v>0</v>
      </c>
      <c r="AX657">
        <v>0</v>
      </c>
      <c r="AY657">
        <v>7</v>
      </c>
      <c r="AZ657">
        <v>6</v>
      </c>
      <c r="BA657">
        <v>974</v>
      </c>
      <c r="BB657">
        <v>1</v>
      </c>
      <c r="BC657">
        <v>5</v>
      </c>
      <c r="BD657">
        <v>4</v>
      </c>
      <c r="BE657">
        <v>0</v>
      </c>
      <c r="BF657">
        <v>5</v>
      </c>
      <c r="BG657">
        <v>30</v>
      </c>
      <c r="BH657">
        <v>0</v>
      </c>
      <c r="BI657">
        <v>0</v>
      </c>
      <c r="BJ657">
        <v>0</v>
      </c>
      <c r="BK657">
        <v>24</v>
      </c>
      <c r="BL657">
        <v>905</v>
      </c>
      <c r="BM657">
        <v>0</v>
      </c>
      <c r="BN657">
        <v>22</v>
      </c>
      <c r="BO657">
        <v>0</v>
      </c>
      <c r="BP657">
        <v>9</v>
      </c>
      <c r="BQ657">
        <v>50</v>
      </c>
      <c r="BR657">
        <v>0</v>
      </c>
      <c r="BS657">
        <v>0</v>
      </c>
      <c r="BT657">
        <v>0</v>
      </c>
      <c r="BU657">
        <v>1</v>
      </c>
      <c r="BV657">
        <v>0</v>
      </c>
      <c r="BW657">
        <v>979</v>
      </c>
      <c r="BX657">
        <v>0</v>
      </c>
      <c r="BY657">
        <v>0</v>
      </c>
      <c r="BZ657">
        <v>0</v>
      </c>
      <c r="CA657">
        <v>0</v>
      </c>
      <c r="CB657">
        <v>2</v>
      </c>
      <c r="CC657">
        <v>0</v>
      </c>
      <c r="CD657">
        <v>0</v>
      </c>
      <c r="CE657">
        <v>0</v>
      </c>
      <c r="CF657">
        <v>1</v>
      </c>
      <c r="CG657">
        <v>0</v>
      </c>
      <c r="CH657">
        <v>875</v>
      </c>
      <c r="CI657">
        <v>1</v>
      </c>
      <c r="CJ657">
        <v>0</v>
      </c>
      <c r="CK657">
        <v>15</v>
      </c>
      <c r="CL657">
        <v>0</v>
      </c>
      <c r="CM657">
        <v>12</v>
      </c>
      <c r="CN657">
        <v>6</v>
      </c>
      <c r="CO657">
        <v>2</v>
      </c>
      <c r="CP657">
        <v>1</v>
      </c>
      <c r="CQ657">
        <v>17</v>
      </c>
      <c r="CR657">
        <v>44</v>
      </c>
      <c r="CS657">
        <v>839</v>
      </c>
      <c r="CT657">
        <v>0</v>
      </c>
      <c r="CU657">
        <v>36</v>
      </c>
      <c r="CV657">
        <v>1</v>
      </c>
      <c r="CW657">
        <v>5</v>
      </c>
      <c r="CX657">
        <v>12</v>
      </c>
      <c r="CY657">
        <v>26</v>
      </c>
      <c r="CZ657">
        <v>0</v>
      </c>
      <c r="DA657">
        <v>11</v>
      </c>
      <c r="DB657">
        <v>4</v>
      </c>
      <c r="DC657">
        <v>0</v>
      </c>
      <c r="DD657">
        <v>964</v>
      </c>
      <c r="DE657">
        <v>1</v>
      </c>
      <c r="DF657">
        <v>5</v>
      </c>
      <c r="DG657">
        <v>0</v>
      </c>
      <c r="DH657">
        <v>0</v>
      </c>
      <c r="DI657">
        <v>1</v>
      </c>
      <c r="DJ657">
        <v>0</v>
      </c>
      <c r="DK657">
        <v>0</v>
      </c>
      <c r="DL657">
        <v>0</v>
      </c>
      <c r="DM657">
        <v>0</v>
      </c>
      <c r="DN657">
        <v>2</v>
      </c>
      <c r="DO657">
        <v>970</v>
      </c>
      <c r="DP657">
        <v>1</v>
      </c>
      <c r="DQ657">
        <v>5</v>
      </c>
      <c r="DR657">
        <v>6</v>
      </c>
      <c r="DS657">
        <v>0</v>
      </c>
      <c r="DT657">
        <v>4</v>
      </c>
      <c r="DU657">
        <v>126</v>
      </c>
      <c r="DV657">
        <v>13</v>
      </c>
      <c r="DW657">
        <v>0</v>
      </c>
      <c r="DX657">
        <v>12</v>
      </c>
      <c r="DY657">
        <v>11</v>
      </c>
      <c r="DZ657">
        <v>832</v>
      </c>
      <c r="EA657">
        <v>0.94410000000000005</v>
      </c>
      <c r="EB657">
        <v>0.94754559579451703</v>
      </c>
      <c r="EC657">
        <v>0.94396173070922595</v>
      </c>
      <c r="ED657">
        <v>0.94321967313658495</v>
      </c>
      <c r="EE657">
        <f>SUM(Table1[[#This Row],[ratio_0]:[ratio_9]])</f>
        <v>550</v>
      </c>
      <c r="EF657" s="1">
        <f>(Table1[[#This Row],[predicted_0]]-Table1[[#This Row],[actual_0]])/Table1[[#This Row],[actual_0]]</f>
        <v>1.8367346938775512E-2</v>
      </c>
      <c r="EG657" s="1">
        <f>(Table1[[#This Row],[predicted_1]]-Table1[[#This Row],[actual_1]])/Table1[[#This Row],[actual_1]]</f>
        <v>2.643171806167401E-2</v>
      </c>
      <c r="EH657" s="1">
        <f>(Table1[[#This Row],[predicted_2]]-Table1[[#This Row],[actual_2]])/Table1[[#This Row],[actual_2]]</f>
        <v>-3.875968992248062E-3</v>
      </c>
      <c r="EI657" s="1">
        <f>(Table1[[#This Row],[predicted_3]]-Table1[[#This Row],[actual_3]])/Table1[[#This Row],[actual_3]]</f>
        <v>-9.6039603960396042E-2</v>
      </c>
      <c r="EJ657" s="1">
        <f>(Table1[[#This Row],[predicted_4]]-Table1[[#This Row],[actual_4]])/Table1[[#This Row],[actual_4]]</f>
        <v>0.15987780040733199</v>
      </c>
      <c r="EK657" s="1">
        <f>(Table1[[#This Row],[predicted_5]]-Table1[[#This Row],[actual_5]])/Table1[[#This Row],[actual_5]]</f>
        <v>8.2959641255605385E-2</v>
      </c>
      <c r="EL657" s="1">
        <f>(Table1[[#This Row],[predicted_6]]-Table1[[#This Row],[actual_6]])/Table1[[#This Row],[actual_6]]</f>
        <v>-0.12212943632567849</v>
      </c>
      <c r="EM657" s="1">
        <f>(Table1[[#This Row],[predicted_7]]-Table1[[#This Row],[actual_7]])/Table1[[#This Row],[actual_7]]</f>
        <v>-3.5019455252918288E-2</v>
      </c>
      <c r="EN657" s="1">
        <f>(Table1[[#This Row],[predicted_8]]-Table1[[#This Row],[actual_8]])/Table1[[#This Row],[actual_8]]</f>
        <v>0.14681724845995894</v>
      </c>
      <c r="EO657" s="1">
        <f>(Table1[[#This Row],[predicted_9]]-Table1[[#This Row],[actual_9]])/Table1[[#This Row],[actual_9]]</f>
        <v>-0.16650148662041625</v>
      </c>
      <c r="EP657" s="1">
        <f>1+(Table1[[#This Row],[error_ratio_0]]-EF$2)</f>
        <v>1.0163265306122449</v>
      </c>
      <c r="EQ657" s="1">
        <f>1+(Table1[[#This Row],[error_ratio_1]]-EG$2)</f>
        <v>1.0246696035242291</v>
      </c>
      <c r="ER657" s="1">
        <f>1+(Table1[[#This Row],[error_ratio_2]]-EH$2)</f>
        <v>1.000968992248062</v>
      </c>
      <c r="ES657" s="1">
        <f>1+(Table1[[#This Row],[error_ratio_3]]-EI$2)</f>
        <v>0.89405940594059408</v>
      </c>
      <c r="ET657" s="1">
        <f>1+(Table1[[#This Row],[error_ratio_4]]-EJ$2)</f>
        <v>1.1588594704684319</v>
      </c>
      <c r="EU657" s="1">
        <f>1+(Table1[[#This Row],[error_ratio_5]]-EK$2)</f>
        <v>1.0818385650224216</v>
      </c>
      <c r="EV657" s="1">
        <f>1+(Table1[[#This Row],[error_ratio_6]]-EL$2)</f>
        <v>0.884133611691023</v>
      </c>
      <c r="EW657" s="1">
        <f>1+(Table1[[#This Row],[error_ratio_7]]-EM$2)</f>
        <v>0.96303501945525294</v>
      </c>
      <c r="EX657" s="1">
        <f>1+(Table1[[#This Row],[error_ratio_8]]-EN$2)</f>
        <v>1.1498973305954825</v>
      </c>
      <c r="EY657" s="1">
        <f>1+(Table1[[#This Row],[error_ratio_9]]-EO$2)</f>
        <v>0.83746283448959369</v>
      </c>
    </row>
    <row r="658" spans="1:155" x14ac:dyDescent="0.75">
      <c r="A658">
        <v>10</v>
      </c>
      <c r="B658">
        <v>10</v>
      </c>
      <c r="C658">
        <v>10</v>
      </c>
      <c r="D658">
        <v>10</v>
      </c>
      <c r="E658">
        <v>100</v>
      </c>
      <c r="F658">
        <v>100</v>
      </c>
      <c r="G658">
        <v>10</v>
      </c>
      <c r="H658">
        <v>10</v>
      </c>
      <c r="I658">
        <v>100</v>
      </c>
      <c r="J658">
        <v>10</v>
      </c>
      <c r="K658">
        <v>966</v>
      </c>
      <c r="L658">
        <v>1151</v>
      </c>
      <c r="M658">
        <v>989</v>
      </c>
      <c r="N658">
        <v>1033</v>
      </c>
      <c r="O658">
        <v>966</v>
      </c>
      <c r="P658">
        <v>1223</v>
      </c>
      <c r="Q658">
        <v>668</v>
      </c>
      <c r="R658">
        <v>1117</v>
      </c>
      <c r="S658">
        <v>978</v>
      </c>
      <c r="T658">
        <v>909</v>
      </c>
      <c r="U658">
        <v>980</v>
      </c>
      <c r="V658">
        <v>1135</v>
      </c>
      <c r="W658">
        <v>1032</v>
      </c>
      <c r="X658">
        <v>1010</v>
      </c>
      <c r="Y658">
        <v>982</v>
      </c>
      <c r="Z658">
        <v>892</v>
      </c>
      <c r="AA658">
        <v>958</v>
      </c>
      <c r="AB658">
        <v>1028</v>
      </c>
      <c r="AC658">
        <v>974</v>
      </c>
      <c r="AD658">
        <v>1009</v>
      </c>
      <c r="AE658">
        <v>944</v>
      </c>
      <c r="AF658">
        <v>1</v>
      </c>
      <c r="AG658">
        <v>3</v>
      </c>
      <c r="AH658">
        <v>0</v>
      </c>
      <c r="AI658">
        <v>0</v>
      </c>
      <c r="AJ658">
        <v>18</v>
      </c>
      <c r="AK658">
        <v>0</v>
      </c>
      <c r="AL658">
        <v>6</v>
      </c>
      <c r="AM658">
        <v>5</v>
      </c>
      <c r="AN658">
        <v>3</v>
      </c>
      <c r="AO658">
        <v>0</v>
      </c>
      <c r="AP658">
        <v>1124</v>
      </c>
      <c r="AQ658">
        <v>0</v>
      </c>
      <c r="AR658">
        <v>10</v>
      </c>
      <c r="AS658">
        <v>0</v>
      </c>
      <c r="AT658">
        <v>0</v>
      </c>
      <c r="AU658">
        <v>0</v>
      </c>
      <c r="AV658">
        <v>1</v>
      </c>
      <c r="AW658">
        <v>0</v>
      </c>
      <c r="AX658">
        <v>0</v>
      </c>
      <c r="AY658">
        <v>3</v>
      </c>
      <c r="AZ658">
        <v>4</v>
      </c>
      <c r="BA658">
        <v>967</v>
      </c>
      <c r="BB658">
        <v>25</v>
      </c>
      <c r="BC658">
        <v>1</v>
      </c>
      <c r="BD658">
        <v>2</v>
      </c>
      <c r="BE658">
        <v>0</v>
      </c>
      <c r="BF658">
        <v>23</v>
      </c>
      <c r="BG658">
        <v>7</v>
      </c>
      <c r="BH658">
        <v>0</v>
      </c>
      <c r="BI658">
        <v>0</v>
      </c>
      <c r="BJ658">
        <v>0</v>
      </c>
      <c r="BK658">
        <v>2</v>
      </c>
      <c r="BL658">
        <v>970</v>
      </c>
      <c r="BM658">
        <v>0</v>
      </c>
      <c r="BN658">
        <v>24</v>
      </c>
      <c r="BO658">
        <v>0</v>
      </c>
      <c r="BP658">
        <v>11</v>
      </c>
      <c r="BQ658">
        <v>3</v>
      </c>
      <c r="BR658">
        <v>0</v>
      </c>
      <c r="BS658">
        <v>0</v>
      </c>
      <c r="BT658">
        <v>1</v>
      </c>
      <c r="BU658">
        <v>4</v>
      </c>
      <c r="BV658">
        <v>1</v>
      </c>
      <c r="BW658">
        <v>947</v>
      </c>
      <c r="BX658">
        <v>0</v>
      </c>
      <c r="BY658">
        <v>0</v>
      </c>
      <c r="BZ658">
        <v>8</v>
      </c>
      <c r="CA658">
        <v>2</v>
      </c>
      <c r="CB658">
        <v>19</v>
      </c>
      <c r="CC658">
        <v>0</v>
      </c>
      <c r="CD658">
        <v>0</v>
      </c>
      <c r="CE658">
        <v>0</v>
      </c>
      <c r="CF658">
        <v>2</v>
      </c>
      <c r="CG658">
        <v>0</v>
      </c>
      <c r="CH658">
        <v>889</v>
      </c>
      <c r="CI658">
        <v>0</v>
      </c>
      <c r="CJ658">
        <v>0</v>
      </c>
      <c r="CK658">
        <v>1</v>
      </c>
      <c r="CL658">
        <v>0</v>
      </c>
      <c r="CM658">
        <v>10</v>
      </c>
      <c r="CN658">
        <v>8</v>
      </c>
      <c r="CO658">
        <v>6</v>
      </c>
      <c r="CP658">
        <v>0</v>
      </c>
      <c r="CQ658">
        <v>12</v>
      </c>
      <c r="CR658">
        <v>239</v>
      </c>
      <c r="CS658">
        <v>668</v>
      </c>
      <c r="CT658">
        <v>1</v>
      </c>
      <c r="CU658">
        <v>14</v>
      </c>
      <c r="CV658">
        <v>0</v>
      </c>
      <c r="CW658">
        <v>4</v>
      </c>
      <c r="CX658">
        <v>5</v>
      </c>
      <c r="CY658">
        <v>6</v>
      </c>
      <c r="CZ658">
        <v>11</v>
      </c>
      <c r="DA658">
        <v>0</v>
      </c>
      <c r="DB658">
        <v>1</v>
      </c>
      <c r="DC658">
        <v>0</v>
      </c>
      <c r="DD658">
        <v>995</v>
      </c>
      <c r="DE658">
        <v>2</v>
      </c>
      <c r="DF658">
        <v>4</v>
      </c>
      <c r="DG658">
        <v>1</v>
      </c>
      <c r="DH658">
        <v>1</v>
      </c>
      <c r="DI658">
        <v>0</v>
      </c>
      <c r="DJ658">
        <v>5</v>
      </c>
      <c r="DK658">
        <v>2</v>
      </c>
      <c r="DL658">
        <v>21</v>
      </c>
      <c r="DM658">
        <v>0</v>
      </c>
      <c r="DN658">
        <v>10</v>
      </c>
      <c r="DO658">
        <v>934</v>
      </c>
      <c r="DP658">
        <v>0</v>
      </c>
      <c r="DQ658">
        <v>4</v>
      </c>
      <c r="DR658">
        <v>7</v>
      </c>
      <c r="DS658">
        <v>1</v>
      </c>
      <c r="DT658">
        <v>9</v>
      </c>
      <c r="DU658">
        <v>4</v>
      </c>
      <c r="DV658">
        <v>29</v>
      </c>
      <c r="DW658">
        <v>0</v>
      </c>
      <c r="DX658">
        <v>62</v>
      </c>
      <c r="DY658">
        <v>10</v>
      </c>
      <c r="DZ658">
        <v>883</v>
      </c>
      <c r="EA658">
        <v>0.93210000000000004</v>
      </c>
      <c r="EB658">
        <v>0.93949542657880902</v>
      </c>
      <c r="EC658">
        <v>0.9311221411524</v>
      </c>
      <c r="ED658">
        <v>0.93001546380709699</v>
      </c>
      <c r="EE658">
        <f>SUM(Table1[[#This Row],[ratio_0]:[ratio_9]])</f>
        <v>370</v>
      </c>
      <c r="EF658" s="1">
        <f>(Table1[[#This Row],[predicted_0]]-Table1[[#This Row],[actual_0]])/Table1[[#This Row],[actual_0]]</f>
        <v>-1.4285714285714285E-2</v>
      </c>
      <c r="EG658" s="1">
        <f>(Table1[[#This Row],[predicted_1]]-Table1[[#This Row],[actual_1]])/Table1[[#This Row],[actual_1]]</f>
        <v>1.4096916299559472E-2</v>
      </c>
      <c r="EH658" s="1">
        <f>(Table1[[#This Row],[predicted_2]]-Table1[[#This Row],[actual_2]])/Table1[[#This Row],[actual_2]]</f>
        <v>-4.1666666666666664E-2</v>
      </c>
      <c r="EI658" s="1">
        <f>(Table1[[#This Row],[predicted_3]]-Table1[[#This Row],[actual_3]])/Table1[[#This Row],[actual_3]]</f>
        <v>2.2772277227722772E-2</v>
      </c>
      <c r="EJ658" s="1">
        <f>(Table1[[#This Row],[predicted_4]]-Table1[[#This Row],[actual_4]])/Table1[[#This Row],[actual_4]]</f>
        <v>-1.6293279022403257E-2</v>
      </c>
      <c r="EK658" s="1">
        <f>(Table1[[#This Row],[predicted_5]]-Table1[[#This Row],[actual_5]])/Table1[[#This Row],[actual_5]]</f>
        <v>0.37107623318385652</v>
      </c>
      <c r="EL658" s="1">
        <f>(Table1[[#This Row],[predicted_6]]-Table1[[#This Row],[actual_6]])/Table1[[#This Row],[actual_6]]</f>
        <v>-0.30271398747390399</v>
      </c>
      <c r="EM658" s="1">
        <f>(Table1[[#This Row],[predicted_7]]-Table1[[#This Row],[actual_7]])/Table1[[#This Row],[actual_7]]</f>
        <v>8.6575875486381321E-2</v>
      </c>
      <c r="EN658" s="1">
        <f>(Table1[[#This Row],[predicted_8]]-Table1[[#This Row],[actual_8]])/Table1[[#This Row],[actual_8]]</f>
        <v>4.1067761806981521E-3</v>
      </c>
      <c r="EO658" s="1">
        <f>(Table1[[#This Row],[predicted_9]]-Table1[[#This Row],[actual_9]])/Table1[[#This Row],[actual_9]]</f>
        <v>-9.9108027750247768E-2</v>
      </c>
      <c r="EP658" s="1">
        <f>1+(Table1[[#This Row],[error_ratio_0]]-EF$2)</f>
        <v>0.98367346938775513</v>
      </c>
      <c r="EQ658" s="1">
        <f>1+(Table1[[#This Row],[error_ratio_1]]-EG$2)</f>
        <v>1.0123348017621145</v>
      </c>
      <c r="ER658" s="1">
        <f>1+(Table1[[#This Row],[error_ratio_2]]-EH$2)</f>
        <v>0.96317829457364346</v>
      </c>
      <c r="ES658" s="1">
        <f>1+(Table1[[#This Row],[error_ratio_3]]-EI$2)</f>
        <v>1.0128712871287129</v>
      </c>
      <c r="ET658" s="1">
        <f>1+(Table1[[#This Row],[error_ratio_4]]-EJ$2)</f>
        <v>0.98268839103869654</v>
      </c>
      <c r="EU658" s="1">
        <f>1+(Table1[[#This Row],[error_ratio_5]]-EK$2)</f>
        <v>1.3699551569506727</v>
      </c>
      <c r="EV658" s="1">
        <f>1+(Table1[[#This Row],[error_ratio_6]]-EL$2)</f>
        <v>0.70354906054279742</v>
      </c>
      <c r="EW658" s="1">
        <f>1+(Table1[[#This Row],[error_ratio_7]]-EM$2)</f>
        <v>1.0846303501945525</v>
      </c>
      <c r="EX658" s="1">
        <f>1+(Table1[[#This Row],[error_ratio_8]]-EN$2)</f>
        <v>1.0071868583162218</v>
      </c>
      <c r="EY658" s="1">
        <f>1+(Table1[[#This Row],[error_ratio_9]]-EO$2)</f>
        <v>0.90485629335976214</v>
      </c>
    </row>
    <row r="659" spans="1:155" x14ac:dyDescent="0.75">
      <c r="A659">
        <v>100</v>
      </c>
      <c r="B659">
        <v>100</v>
      </c>
      <c r="C659">
        <v>100</v>
      </c>
      <c r="D659">
        <v>100</v>
      </c>
      <c r="E659">
        <v>10</v>
      </c>
      <c r="F659">
        <v>100</v>
      </c>
      <c r="G659">
        <v>10</v>
      </c>
      <c r="H659">
        <v>10</v>
      </c>
      <c r="I659">
        <v>100</v>
      </c>
      <c r="J659">
        <v>10</v>
      </c>
      <c r="K659">
        <v>1010</v>
      </c>
      <c r="L659">
        <v>1158</v>
      </c>
      <c r="M659">
        <v>1061</v>
      </c>
      <c r="N659">
        <v>1009</v>
      </c>
      <c r="O659">
        <v>989</v>
      </c>
      <c r="P659">
        <v>932</v>
      </c>
      <c r="Q659">
        <v>882</v>
      </c>
      <c r="R659">
        <v>974</v>
      </c>
      <c r="S659">
        <v>1067</v>
      </c>
      <c r="T659">
        <v>918</v>
      </c>
      <c r="U659">
        <v>980</v>
      </c>
      <c r="V659">
        <v>1135</v>
      </c>
      <c r="W659">
        <v>1032</v>
      </c>
      <c r="X659">
        <v>1010</v>
      </c>
      <c r="Y659">
        <v>982</v>
      </c>
      <c r="Z659">
        <v>892</v>
      </c>
      <c r="AA659">
        <v>958</v>
      </c>
      <c r="AB659">
        <v>1028</v>
      </c>
      <c r="AC659">
        <v>974</v>
      </c>
      <c r="AD659">
        <v>1009</v>
      </c>
      <c r="AE659">
        <v>978</v>
      </c>
      <c r="AF659">
        <v>0</v>
      </c>
      <c r="AG659">
        <v>0</v>
      </c>
      <c r="AH659">
        <v>0</v>
      </c>
      <c r="AI659">
        <v>0</v>
      </c>
      <c r="AJ659">
        <v>0</v>
      </c>
      <c r="AK659">
        <v>0</v>
      </c>
      <c r="AL659">
        <v>0</v>
      </c>
      <c r="AM659">
        <v>2</v>
      </c>
      <c r="AN659">
        <v>0</v>
      </c>
      <c r="AO659">
        <v>0</v>
      </c>
      <c r="AP659">
        <v>1130</v>
      </c>
      <c r="AQ659">
        <v>0</v>
      </c>
      <c r="AR659">
        <v>1</v>
      </c>
      <c r="AS659">
        <v>0</v>
      </c>
      <c r="AT659">
        <v>1</v>
      </c>
      <c r="AU659">
        <v>1</v>
      </c>
      <c r="AV659">
        <v>0</v>
      </c>
      <c r="AW659">
        <v>2</v>
      </c>
      <c r="AX659">
        <v>0</v>
      </c>
      <c r="AY659">
        <v>2</v>
      </c>
      <c r="AZ659">
        <v>1</v>
      </c>
      <c r="BA659">
        <v>1023</v>
      </c>
      <c r="BB659">
        <v>0</v>
      </c>
      <c r="BC659">
        <v>0</v>
      </c>
      <c r="BD659">
        <v>0</v>
      </c>
      <c r="BE659">
        <v>1</v>
      </c>
      <c r="BF659">
        <v>2</v>
      </c>
      <c r="BG659">
        <v>3</v>
      </c>
      <c r="BH659">
        <v>0</v>
      </c>
      <c r="BI659">
        <v>0</v>
      </c>
      <c r="BJ659">
        <v>0</v>
      </c>
      <c r="BK659">
        <v>2</v>
      </c>
      <c r="BL659">
        <v>992</v>
      </c>
      <c r="BM659">
        <v>0</v>
      </c>
      <c r="BN659">
        <v>7</v>
      </c>
      <c r="BO659">
        <v>0</v>
      </c>
      <c r="BP659">
        <v>5</v>
      </c>
      <c r="BQ659">
        <v>4</v>
      </c>
      <c r="BR659">
        <v>0</v>
      </c>
      <c r="BS659">
        <v>0</v>
      </c>
      <c r="BT659">
        <v>1</v>
      </c>
      <c r="BU659">
        <v>4</v>
      </c>
      <c r="BV659">
        <v>0</v>
      </c>
      <c r="BW659">
        <v>950</v>
      </c>
      <c r="BX659">
        <v>1</v>
      </c>
      <c r="BY659">
        <v>0</v>
      </c>
      <c r="BZ659">
        <v>2</v>
      </c>
      <c r="CA659">
        <v>11</v>
      </c>
      <c r="CB659">
        <v>13</v>
      </c>
      <c r="CC659">
        <v>1</v>
      </c>
      <c r="CD659">
        <v>0</v>
      </c>
      <c r="CE659">
        <v>0</v>
      </c>
      <c r="CF659">
        <v>5</v>
      </c>
      <c r="CG659">
        <v>0</v>
      </c>
      <c r="CH659">
        <v>883</v>
      </c>
      <c r="CI659">
        <v>1</v>
      </c>
      <c r="CJ659">
        <v>0</v>
      </c>
      <c r="CK659">
        <v>2</v>
      </c>
      <c r="CL659">
        <v>0</v>
      </c>
      <c r="CM659">
        <v>19</v>
      </c>
      <c r="CN659">
        <v>4</v>
      </c>
      <c r="CO659">
        <v>0</v>
      </c>
      <c r="CP659">
        <v>1</v>
      </c>
      <c r="CQ659">
        <v>33</v>
      </c>
      <c r="CR659">
        <v>18</v>
      </c>
      <c r="CS659">
        <v>879</v>
      </c>
      <c r="CT659">
        <v>0</v>
      </c>
      <c r="CU659">
        <v>4</v>
      </c>
      <c r="CV659">
        <v>0</v>
      </c>
      <c r="CW659">
        <v>1</v>
      </c>
      <c r="CX659">
        <v>19</v>
      </c>
      <c r="CY659">
        <v>28</v>
      </c>
      <c r="CZ659">
        <v>4</v>
      </c>
      <c r="DA659">
        <v>1</v>
      </c>
      <c r="DB659">
        <v>3</v>
      </c>
      <c r="DC659">
        <v>0</v>
      </c>
      <c r="DD659">
        <v>957</v>
      </c>
      <c r="DE659">
        <v>14</v>
      </c>
      <c r="DF659">
        <v>1</v>
      </c>
      <c r="DG659">
        <v>4</v>
      </c>
      <c r="DH659">
        <v>0</v>
      </c>
      <c r="DI659">
        <v>2</v>
      </c>
      <c r="DJ659">
        <v>0</v>
      </c>
      <c r="DK659">
        <v>0</v>
      </c>
      <c r="DL659">
        <v>2</v>
      </c>
      <c r="DM659">
        <v>0</v>
      </c>
      <c r="DN659">
        <v>1</v>
      </c>
      <c r="DO659">
        <v>965</v>
      </c>
      <c r="DP659">
        <v>0</v>
      </c>
      <c r="DQ659">
        <v>5</v>
      </c>
      <c r="DR659">
        <v>3</v>
      </c>
      <c r="DS659">
        <v>2</v>
      </c>
      <c r="DT659">
        <v>6</v>
      </c>
      <c r="DU659">
        <v>5</v>
      </c>
      <c r="DV659">
        <v>17</v>
      </c>
      <c r="DW659">
        <v>0</v>
      </c>
      <c r="DX659">
        <v>7</v>
      </c>
      <c r="DY659">
        <v>60</v>
      </c>
      <c r="DZ659">
        <v>904</v>
      </c>
      <c r="EA659">
        <v>0.96609999999999996</v>
      </c>
      <c r="EB659">
        <v>0.96677638690366197</v>
      </c>
      <c r="EC659">
        <v>0.96595016518181298</v>
      </c>
      <c r="ED659">
        <v>0.96562508688067605</v>
      </c>
      <c r="EE659">
        <f>SUM(Table1[[#This Row],[ratio_0]:[ratio_9]])</f>
        <v>640</v>
      </c>
      <c r="EF659" s="1">
        <f>(Table1[[#This Row],[predicted_0]]-Table1[[#This Row],[actual_0]])/Table1[[#This Row],[actual_0]]</f>
        <v>3.0612244897959183E-2</v>
      </c>
      <c r="EG659" s="1">
        <f>(Table1[[#This Row],[predicted_1]]-Table1[[#This Row],[actual_1]])/Table1[[#This Row],[actual_1]]</f>
        <v>2.0264317180616741E-2</v>
      </c>
      <c r="EH659" s="1">
        <f>(Table1[[#This Row],[predicted_2]]-Table1[[#This Row],[actual_2]])/Table1[[#This Row],[actual_2]]</f>
        <v>2.8100775193798451E-2</v>
      </c>
      <c r="EI659" s="1">
        <f>(Table1[[#This Row],[predicted_3]]-Table1[[#This Row],[actual_3]])/Table1[[#This Row],[actual_3]]</f>
        <v>-9.9009900990099011E-4</v>
      </c>
      <c r="EJ659" s="1">
        <f>(Table1[[#This Row],[predicted_4]]-Table1[[#This Row],[actual_4]])/Table1[[#This Row],[actual_4]]</f>
        <v>7.1283095723014261E-3</v>
      </c>
      <c r="EK659" s="1">
        <f>(Table1[[#This Row],[predicted_5]]-Table1[[#This Row],[actual_5]])/Table1[[#This Row],[actual_5]]</f>
        <v>4.4843049327354258E-2</v>
      </c>
      <c r="EL659" s="1">
        <f>(Table1[[#This Row],[predicted_6]]-Table1[[#This Row],[actual_6]])/Table1[[#This Row],[actual_6]]</f>
        <v>-7.9331941544885182E-2</v>
      </c>
      <c r="EM659" s="1">
        <f>(Table1[[#This Row],[predicted_7]]-Table1[[#This Row],[actual_7]])/Table1[[#This Row],[actual_7]]</f>
        <v>-5.2529182879377433E-2</v>
      </c>
      <c r="EN659" s="1">
        <f>(Table1[[#This Row],[predicted_8]]-Table1[[#This Row],[actual_8]])/Table1[[#This Row],[actual_8]]</f>
        <v>9.5482546201232033E-2</v>
      </c>
      <c r="EO659" s="1">
        <f>(Table1[[#This Row],[predicted_9]]-Table1[[#This Row],[actual_9]])/Table1[[#This Row],[actual_9]]</f>
        <v>-9.0188305252725476E-2</v>
      </c>
      <c r="EP659" s="1">
        <f>1+(Table1[[#This Row],[error_ratio_0]]-EF$2)</f>
        <v>1.0285714285714285</v>
      </c>
      <c r="EQ659" s="1">
        <f>1+(Table1[[#This Row],[error_ratio_1]]-EG$2)</f>
        <v>1.0185022026431718</v>
      </c>
      <c r="ER659" s="1">
        <f>1+(Table1[[#This Row],[error_ratio_2]]-EH$2)</f>
        <v>1.0329457364341086</v>
      </c>
      <c r="ES659" s="1">
        <f>1+(Table1[[#This Row],[error_ratio_3]]-EI$2)</f>
        <v>0.9891089108910891</v>
      </c>
      <c r="ET659" s="1">
        <f>1+(Table1[[#This Row],[error_ratio_4]]-EJ$2)</f>
        <v>1.0061099796334012</v>
      </c>
      <c r="EU659" s="1">
        <f>1+(Table1[[#This Row],[error_ratio_5]]-EK$2)</f>
        <v>1.0437219730941705</v>
      </c>
      <c r="EV659" s="1">
        <f>1+(Table1[[#This Row],[error_ratio_6]]-EL$2)</f>
        <v>0.92693110647181631</v>
      </c>
      <c r="EW659" s="1">
        <f>1+(Table1[[#This Row],[error_ratio_7]]-EM$2)</f>
        <v>0.94552529182879375</v>
      </c>
      <c r="EX659" s="1">
        <f>1+(Table1[[#This Row],[error_ratio_8]]-EN$2)</f>
        <v>1.0985626283367556</v>
      </c>
      <c r="EY659" s="1">
        <f>1+(Table1[[#This Row],[error_ratio_9]]-EO$2)</f>
        <v>0.91377601585728441</v>
      </c>
    </row>
    <row r="660" spans="1:155" x14ac:dyDescent="0.75">
      <c r="A660">
        <v>10</v>
      </c>
      <c r="B660">
        <v>100</v>
      </c>
      <c r="C660">
        <v>100</v>
      </c>
      <c r="D660">
        <v>100</v>
      </c>
      <c r="E660">
        <v>10</v>
      </c>
      <c r="F660">
        <v>100</v>
      </c>
      <c r="G660">
        <v>10</v>
      </c>
      <c r="H660">
        <v>10</v>
      </c>
      <c r="I660">
        <v>100</v>
      </c>
      <c r="J660">
        <v>10</v>
      </c>
      <c r="K660">
        <v>841</v>
      </c>
      <c r="L660">
        <v>1127</v>
      </c>
      <c r="M660">
        <v>1197</v>
      </c>
      <c r="N660">
        <v>1073</v>
      </c>
      <c r="O660">
        <v>931</v>
      </c>
      <c r="P660">
        <v>923</v>
      </c>
      <c r="Q660">
        <v>837</v>
      </c>
      <c r="R660">
        <v>939</v>
      </c>
      <c r="S660">
        <v>1189</v>
      </c>
      <c r="T660">
        <v>943</v>
      </c>
      <c r="U660">
        <v>980</v>
      </c>
      <c r="V660">
        <v>1135</v>
      </c>
      <c r="W660">
        <v>1032</v>
      </c>
      <c r="X660">
        <v>1010</v>
      </c>
      <c r="Y660">
        <v>982</v>
      </c>
      <c r="Z660">
        <v>892</v>
      </c>
      <c r="AA660">
        <v>958</v>
      </c>
      <c r="AB660">
        <v>1028</v>
      </c>
      <c r="AC660">
        <v>974</v>
      </c>
      <c r="AD660">
        <v>1009</v>
      </c>
      <c r="AE660">
        <v>832</v>
      </c>
      <c r="AF660">
        <v>0</v>
      </c>
      <c r="AG660">
        <v>92</v>
      </c>
      <c r="AH660">
        <v>0</v>
      </c>
      <c r="AI660">
        <v>1</v>
      </c>
      <c r="AJ660">
        <v>9</v>
      </c>
      <c r="AK660">
        <v>3</v>
      </c>
      <c r="AL660">
        <v>4</v>
      </c>
      <c r="AM660">
        <v>38</v>
      </c>
      <c r="AN660">
        <v>1</v>
      </c>
      <c r="AO660">
        <v>0</v>
      </c>
      <c r="AP660">
        <v>1103</v>
      </c>
      <c r="AQ660">
        <v>2</v>
      </c>
      <c r="AR660">
        <v>1</v>
      </c>
      <c r="AS660">
        <v>0</v>
      </c>
      <c r="AT660">
        <v>2</v>
      </c>
      <c r="AU660">
        <v>1</v>
      </c>
      <c r="AV660">
        <v>0</v>
      </c>
      <c r="AW660">
        <v>26</v>
      </c>
      <c r="AX660">
        <v>0</v>
      </c>
      <c r="AY660">
        <v>0</v>
      </c>
      <c r="AZ660">
        <v>0</v>
      </c>
      <c r="BA660">
        <v>1021</v>
      </c>
      <c r="BB660">
        <v>5</v>
      </c>
      <c r="BC660">
        <v>0</v>
      </c>
      <c r="BD660">
        <v>0</v>
      </c>
      <c r="BE660">
        <v>0</v>
      </c>
      <c r="BF660">
        <v>1</v>
      </c>
      <c r="BG660">
        <v>5</v>
      </c>
      <c r="BH660">
        <v>0</v>
      </c>
      <c r="BI660">
        <v>0</v>
      </c>
      <c r="BJ660">
        <v>1</v>
      </c>
      <c r="BK660">
        <v>4</v>
      </c>
      <c r="BL660">
        <v>999</v>
      </c>
      <c r="BM660">
        <v>0</v>
      </c>
      <c r="BN660">
        <v>2</v>
      </c>
      <c r="BO660">
        <v>0</v>
      </c>
      <c r="BP660">
        <v>2</v>
      </c>
      <c r="BQ660">
        <v>2</v>
      </c>
      <c r="BR660">
        <v>0</v>
      </c>
      <c r="BS660">
        <v>0</v>
      </c>
      <c r="BT660">
        <v>1</v>
      </c>
      <c r="BU660">
        <v>26</v>
      </c>
      <c r="BV660">
        <v>0</v>
      </c>
      <c r="BW660">
        <v>912</v>
      </c>
      <c r="BX660">
        <v>2</v>
      </c>
      <c r="BY660">
        <v>1</v>
      </c>
      <c r="BZ660">
        <v>2</v>
      </c>
      <c r="CA660">
        <v>18</v>
      </c>
      <c r="CB660">
        <v>20</v>
      </c>
      <c r="CC660">
        <v>0</v>
      </c>
      <c r="CD660">
        <v>4</v>
      </c>
      <c r="CE660">
        <v>1</v>
      </c>
      <c r="CF660">
        <v>10</v>
      </c>
      <c r="CG660">
        <v>0</v>
      </c>
      <c r="CH660">
        <v>870</v>
      </c>
      <c r="CI660">
        <v>1</v>
      </c>
      <c r="CJ660">
        <v>0</v>
      </c>
      <c r="CK660">
        <v>6</v>
      </c>
      <c r="CL660">
        <v>0</v>
      </c>
      <c r="CM660">
        <v>5</v>
      </c>
      <c r="CN660">
        <v>7</v>
      </c>
      <c r="CO660">
        <v>6</v>
      </c>
      <c r="CP660">
        <v>0</v>
      </c>
      <c r="CQ660">
        <v>15</v>
      </c>
      <c r="CR660">
        <v>12</v>
      </c>
      <c r="CS660">
        <v>831</v>
      </c>
      <c r="CT660">
        <v>0</v>
      </c>
      <c r="CU660">
        <v>82</v>
      </c>
      <c r="CV660">
        <v>0</v>
      </c>
      <c r="CW660">
        <v>1</v>
      </c>
      <c r="CX660">
        <v>8</v>
      </c>
      <c r="CY660">
        <v>32</v>
      </c>
      <c r="CZ660">
        <v>45</v>
      </c>
      <c r="DA660">
        <v>0</v>
      </c>
      <c r="DB660">
        <v>2</v>
      </c>
      <c r="DC660">
        <v>0</v>
      </c>
      <c r="DD660">
        <v>920</v>
      </c>
      <c r="DE660">
        <v>12</v>
      </c>
      <c r="DF660">
        <v>8</v>
      </c>
      <c r="DG660">
        <v>0</v>
      </c>
      <c r="DH660">
        <v>0</v>
      </c>
      <c r="DI660">
        <v>4</v>
      </c>
      <c r="DJ660">
        <v>1</v>
      </c>
      <c r="DK660">
        <v>0</v>
      </c>
      <c r="DL660">
        <v>4</v>
      </c>
      <c r="DM660">
        <v>0</v>
      </c>
      <c r="DN660">
        <v>1</v>
      </c>
      <c r="DO660">
        <v>964</v>
      </c>
      <c r="DP660">
        <v>0</v>
      </c>
      <c r="DQ660">
        <v>3</v>
      </c>
      <c r="DR660">
        <v>3</v>
      </c>
      <c r="DS660">
        <v>9</v>
      </c>
      <c r="DT660">
        <v>12</v>
      </c>
      <c r="DU660">
        <v>3</v>
      </c>
      <c r="DV660">
        <v>20</v>
      </c>
      <c r="DW660">
        <v>0</v>
      </c>
      <c r="DX660">
        <v>9</v>
      </c>
      <c r="DY660">
        <v>36</v>
      </c>
      <c r="DZ660">
        <v>914</v>
      </c>
      <c r="EA660">
        <v>0.93659999999999999</v>
      </c>
      <c r="EB660">
        <v>0.94267832771446303</v>
      </c>
      <c r="EC660">
        <v>0.93612432002868795</v>
      </c>
      <c r="ED660">
        <v>0.93656500068684501</v>
      </c>
      <c r="EE660">
        <f>SUM(Table1[[#This Row],[ratio_0]:[ratio_9]])</f>
        <v>550</v>
      </c>
      <c r="EF660" s="1">
        <f>(Table1[[#This Row],[predicted_0]]-Table1[[#This Row],[actual_0]])/Table1[[#This Row],[actual_0]]</f>
        <v>-0.14183673469387756</v>
      </c>
      <c r="EG660" s="1">
        <f>(Table1[[#This Row],[predicted_1]]-Table1[[#This Row],[actual_1]])/Table1[[#This Row],[actual_1]]</f>
        <v>-7.048458149779736E-3</v>
      </c>
      <c r="EH660" s="1">
        <f>(Table1[[#This Row],[predicted_2]]-Table1[[#This Row],[actual_2]])/Table1[[#This Row],[actual_2]]</f>
        <v>0.15988372093023256</v>
      </c>
      <c r="EI660" s="1">
        <f>(Table1[[#This Row],[predicted_3]]-Table1[[#This Row],[actual_3]])/Table1[[#This Row],[actual_3]]</f>
        <v>6.2376237623762376E-2</v>
      </c>
      <c r="EJ660" s="1">
        <f>(Table1[[#This Row],[predicted_4]]-Table1[[#This Row],[actual_4]])/Table1[[#This Row],[actual_4]]</f>
        <v>-5.1934826883910386E-2</v>
      </c>
      <c r="EK660" s="1">
        <f>(Table1[[#This Row],[predicted_5]]-Table1[[#This Row],[actual_5]])/Table1[[#This Row],[actual_5]]</f>
        <v>3.4753363228699555E-2</v>
      </c>
      <c r="EL660" s="1">
        <f>(Table1[[#This Row],[predicted_6]]-Table1[[#This Row],[actual_6]])/Table1[[#This Row],[actual_6]]</f>
        <v>-0.12630480167014613</v>
      </c>
      <c r="EM660" s="1">
        <f>(Table1[[#This Row],[predicted_7]]-Table1[[#This Row],[actual_7]])/Table1[[#This Row],[actual_7]]</f>
        <v>-8.6575875486381321E-2</v>
      </c>
      <c r="EN660" s="1">
        <f>(Table1[[#This Row],[predicted_8]]-Table1[[#This Row],[actual_8]])/Table1[[#This Row],[actual_8]]</f>
        <v>0.22073921971252566</v>
      </c>
      <c r="EO660" s="1">
        <f>(Table1[[#This Row],[predicted_9]]-Table1[[#This Row],[actual_9]])/Table1[[#This Row],[actual_9]]</f>
        <v>-6.5411298315163527E-2</v>
      </c>
      <c r="EP660" s="1">
        <f>1+(Table1[[#This Row],[error_ratio_0]]-EF$2)</f>
        <v>0.85612244897959178</v>
      </c>
      <c r="EQ660" s="1">
        <f>1+(Table1[[#This Row],[error_ratio_1]]-EG$2)</f>
        <v>0.99118942731277537</v>
      </c>
      <c r="ER660" s="1">
        <f>1+(Table1[[#This Row],[error_ratio_2]]-EH$2)</f>
        <v>1.1647286821705427</v>
      </c>
      <c r="ES660" s="1">
        <f>1+(Table1[[#This Row],[error_ratio_3]]-EI$2)</f>
        <v>1.0524752475247525</v>
      </c>
      <c r="ET660" s="1">
        <f>1+(Table1[[#This Row],[error_ratio_4]]-EJ$2)</f>
        <v>0.94704684317718946</v>
      </c>
      <c r="EU660" s="1">
        <f>1+(Table1[[#This Row],[error_ratio_5]]-EK$2)</f>
        <v>1.0336322869955157</v>
      </c>
      <c r="EV660" s="1">
        <f>1+(Table1[[#This Row],[error_ratio_6]]-EL$2)</f>
        <v>0.87995824634655539</v>
      </c>
      <c r="EW660" s="1">
        <f>1+(Table1[[#This Row],[error_ratio_7]]-EM$2)</f>
        <v>0.91147859922178986</v>
      </c>
      <c r="EX660" s="1">
        <f>1+(Table1[[#This Row],[error_ratio_8]]-EN$2)</f>
        <v>1.2238193018480492</v>
      </c>
      <c r="EY660" s="1">
        <f>1+(Table1[[#This Row],[error_ratio_9]]-EO$2)</f>
        <v>0.93855302279484643</v>
      </c>
    </row>
    <row r="661" spans="1:155" x14ac:dyDescent="0.75">
      <c r="A661">
        <v>100</v>
      </c>
      <c r="B661">
        <v>10</v>
      </c>
      <c r="C661">
        <v>100</v>
      </c>
      <c r="D661">
        <v>100</v>
      </c>
      <c r="E661">
        <v>10</v>
      </c>
      <c r="F661">
        <v>100</v>
      </c>
      <c r="G661">
        <v>10</v>
      </c>
      <c r="H661">
        <v>10</v>
      </c>
      <c r="I661">
        <v>100</v>
      </c>
      <c r="J661">
        <v>10</v>
      </c>
      <c r="K661">
        <v>1000</v>
      </c>
      <c r="L661">
        <v>1123</v>
      </c>
      <c r="M661">
        <v>1111</v>
      </c>
      <c r="N661">
        <v>1041</v>
      </c>
      <c r="O661">
        <v>904</v>
      </c>
      <c r="P661">
        <v>885</v>
      </c>
      <c r="Q661">
        <v>854</v>
      </c>
      <c r="R661">
        <v>914</v>
      </c>
      <c r="S661">
        <v>1192</v>
      </c>
      <c r="T661">
        <v>976</v>
      </c>
      <c r="U661">
        <v>980</v>
      </c>
      <c r="V661">
        <v>1135</v>
      </c>
      <c r="W661">
        <v>1032</v>
      </c>
      <c r="X661">
        <v>1010</v>
      </c>
      <c r="Y661">
        <v>982</v>
      </c>
      <c r="Z661">
        <v>892</v>
      </c>
      <c r="AA661">
        <v>958</v>
      </c>
      <c r="AB661">
        <v>1028</v>
      </c>
      <c r="AC661">
        <v>974</v>
      </c>
      <c r="AD661">
        <v>1009</v>
      </c>
      <c r="AE661">
        <v>974</v>
      </c>
      <c r="AF661">
        <v>0</v>
      </c>
      <c r="AG661">
        <v>1</v>
      </c>
      <c r="AH661">
        <v>0</v>
      </c>
      <c r="AI661">
        <v>0</v>
      </c>
      <c r="AJ661">
        <v>1</v>
      </c>
      <c r="AK661">
        <v>0</v>
      </c>
      <c r="AL661">
        <v>1</v>
      </c>
      <c r="AM661">
        <v>3</v>
      </c>
      <c r="AN661">
        <v>0</v>
      </c>
      <c r="AO661">
        <v>0</v>
      </c>
      <c r="AP661">
        <v>1110</v>
      </c>
      <c r="AQ661">
        <v>3</v>
      </c>
      <c r="AR661">
        <v>8</v>
      </c>
      <c r="AS661">
        <v>0</v>
      </c>
      <c r="AT661">
        <v>1</v>
      </c>
      <c r="AU661">
        <v>0</v>
      </c>
      <c r="AV661">
        <v>1</v>
      </c>
      <c r="AW661">
        <v>12</v>
      </c>
      <c r="AX661">
        <v>0</v>
      </c>
      <c r="AY661">
        <v>0</v>
      </c>
      <c r="AZ661">
        <v>0</v>
      </c>
      <c r="BA661">
        <v>1026</v>
      </c>
      <c r="BB661">
        <v>1</v>
      </c>
      <c r="BC661">
        <v>0</v>
      </c>
      <c r="BD661">
        <v>0</v>
      </c>
      <c r="BE661">
        <v>0</v>
      </c>
      <c r="BF661">
        <v>0</v>
      </c>
      <c r="BG661">
        <v>5</v>
      </c>
      <c r="BH661">
        <v>0</v>
      </c>
      <c r="BI661">
        <v>0</v>
      </c>
      <c r="BJ661">
        <v>0</v>
      </c>
      <c r="BK661">
        <v>1</v>
      </c>
      <c r="BL661">
        <v>996</v>
      </c>
      <c r="BM661">
        <v>0</v>
      </c>
      <c r="BN661">
        <v>1</v>
      </c>
      <c r="BO661">
        <v>0</v>
      </c>
      <c r="BP661">
        <v>0</v>
      </c>
      <c r="BQ661">
        <v>11</v>
      </c>
      <c r="BR661">
        <v>1</v>
      </c>
      <c r="BS661">
        <v>1</v>
      </c>
      <c r="BT661">
        <v>3</v>
      </c>
      <c r="BU661">
        <v>26</v>
      </c>
      <c r="BV661">
        <v>1</v>
      </c>
      <c r="BW661">
        <v>894</v>
      </c>
      <c r="BX661">
        <v>0</v>
      </c>
      <c r="BY661">
        <v>0</v>
      </c>
      <c r="BZ661">
        <v>0</v>
      </c>
      <c r="CA661">
        <v>38</v>
      </c>
      <c r="CB661">
        <v>19</v>
      </c>
      <c r="CC661">
        <v>1</v>
      </c>
      <c r="CD661">
        <v>0</v>
      </c>
      <c r="CE661">
        <v>1</v>
      </c>
      <c r="CF661">
        <v>13</v>
      </c>
      <c r="CG661">
        <v>0</v>
      </c>
      <c r="CH661">
        <v>848</v>
      </c>
      <c r="CI661">
        <v>0</v>
      </c>
      <c r="CJ661">
        <v>0</v>
      </c>
      <c r="CK661">
        <v>29</v>
      </c>
      <c r="CL661">
        <v>0</v>
      </c>
      <c r="CM661">
        <v>12</v>
      </c>
      <c r="CN661">
        <v>5</v>
      </c>
      <c r="CO661">
        <v>6</v>
      </c>
      <c r="CP661">
        <v>2</v>
      </c>
      <c r="CQ661">
        <v>4</v>
      </c>
      <c r="CR661">
        <v>9</v>
      </c>
      <c r="CS661">
        <v>854</v>
      </c>
      <c r="CT661">
        <v>0</v>
      </c>
      <c r="CU661">
        <v>66</v>
      </c>
      <c r="CV661">
        <v>0</v>
      </c>
      <c r="CW661">
        <v>5</v>
      </c>
      <c r="CX661">
        <v>5</v>
      </c>
      <c r="CY661">
        <v>44</v>
      </c>
      <c r="CZ661">
        <v>6</v>
      </c>
      <c r="DA661">
        <v>2</v>
      </c>
      <c r="DB661">
        <v>7</v>
      </c>
      <c r="DC661">
        <v>0</v>
      </c>
      <c r="DD661">
        <v>911</v>
      </c>
      <c r="DE661">
        <v>18</v>
      </c>
      <c r="DF661">
        <v>30</v>
      </c>
      <c r="DG661">
        <v>0</v>
      </c>
      <c r="DH661">
        <v>0</v>
      </c>
      <c r="DI661">
        <v>2</v>
      </c>
      <c r="DJ661">
        <v>2</v>
      </c>
      <c r="DK661">
        <v>0</v>
      </c>
      <c r="DL661">
        <v>1</v>
      </c>
      <c r="DM661">
        <v>0</v>
      </c>
      <c r="DN661">
        <v>0</v>
      </c>
      <c r="DO661">
        <v>968</v>
      </c>
      <c r="DP661">
        <v>1</v>
      </c>
      <c r="DQ661">
        <v>7</v>
      </c>
      <c r="DR661">
        <v>0</v>
      </c>
      <c r="DS661">
        <v>1</v>
      </c>
      <c r="DT661">
        <v>12</v>
      </c>
      <c r="DU661">
        <v>4</v>
      </c>
      <c r="DV661">
        <v>17</v>
      </c>
      <c r="DW661">
        <v>0</v>
      </c>
      <c r="DX661">
        <v>1</v>
      </c>
      <c r="DY661">
        <v>42</v>
      </c>
      <c r="DZ661">
        <v>925</v>
      </c>
      <c r="EA661">
        <v>0.9506</v>
      </c>
      <c r="EB661">
        <v>0.95463628545108903</v>
      </c>
      <c r="EC661">
        <v>0.95014517546826505</v>
      </c>
      <c r="ED661">
        <v>0.95048510691354704</v>
      </c>
      <c r="EE661">
        <f>SUM(Table1[[#This Row],[ratio_0]:[ratio_9]])</f>
        <v>550</v>
      </c>
      <c r="EF661" s="1">
        <f>(Table1[[#This Row],[predicted_0]]-Table1[[#This Row],[actual_0]])/Table1[[#This Row],[actual_0]]</f>
        <v>2.0408163265306121E-2</v>
      </c>
      <c r="EG661" s="1">
        <f>(Table1[[#This Row],[predicted_1]]-Table1[[#This Row],[actual_1]])/Table1[[#This Row],[actual_1]]</f>
        <v>-1.0572687224669603E-2</v>
      </c>
      <c r="EH661" s="1">
        <f>(Table1[[#This Row],[predicted_2]]-Table1[[#This Row],[actual_2]])/Table1[[#This Row],[actual_2]]</f>
        <v>7.6550387596899222E-2</v>
      </c>
      <c r="EI661" s="1">
        <f>(Table1[[#This Row],[predicted_3]]-Table1[[#This Row],[actual_3]])/Table1[[#This Row],[actual_3]]</f>
        <v>3.0693069306930693E-2</v>
      </c>
      <c r="EJ661" s="1">
        <f>(Table1[[#This Row],[predicted_4]]-Table1[[#This Row],[actual_4]])/Table1[[#This Row],[actual_4]]</f>
        <v>-7.9429735234215884E-2</v>
      </c>
      <c r="EK661" s="1">
        <f>(Table1[[#This Row],[predicted_5]]-Table1[[#This Row],[actual_5]])/Table1[[#This Row],[actual_5]]</f>
        <v>-7.8475336322869956E-3</v>
      </c>
      <c r="EL661" s="1">
        <f>(Table1[[#This Row],[predicted_6]]-Table1[[#This Row],[actual_6]])/Table1[[#This Row],[actual_6]]</f>
        <v>-0.10855949895615867</v>
      </c>
      <c r="EM661" s="1">
        <f>(Table1[[#This Row],[predicted_7]]-Table1[[#This Row],[actual_7]])/Table1[[#This Row],[actual_7]]</f>
        <v>-0.11089494163424124</v>
      </c>
      <c r="EN661" s="1">
        <f>(Table1[[#This Row],[predicted_8]]-Table1[[#This Row],[actual_8]])/Table1[[#This Row],[actual_8]]</f>
        <v>0.22381930184804927</v>
      </c>
      <c r="EO661" s="1">
        <f>(Table1[[#This Row],[predicted_9]]-Table1[[#This Row],[actual_9]])/Table1[[#This Row],[actual_9]]</f>
        <v>-3.2705649157581763E-2</v>
      </c>
      <c r="EP661" s="1">
        <f>1+(Table1[[#This Row],[error_ratio_0]]-EF$2)</f>
        <v>1.0183673469387755</v>
      </c>
      <c r="EQ661" s="1">
        <f>1+(Table1[[#This Row],[error_ratio_1]]-EG$2)</f>
        <v>0.98766519823788546</v>
      </c>
      <c r="ER661" s="1">
        <f>1+(Table1[[#This Row],[error_ratio_2]]-EH$2)</f>
        <v>1.0813953488372092</v>
      </c>
      <c r="ES661" s="1">
        <f>1+(Table1[[#This Row],[error_ratio_3]]-EI$2)</f>
        <v>1.0207920792079208</v>
      </c>
      <c r="ET661" s="1">
        <f>1+(Table1[[#This Row],[error_ratio_4]]-EJ$2)</f>
        <v>0.91955193482688391</v>
      </c>
      <c r="EU661" s="1">
        <f>1+(Table1[[#This Row],[error_ratio_5]]-EK$2)</f>
        <v>0.99103139013452912</v>
      </c>
      <c r="EV661" s="1">
        <f>1+(Table1[[#This Row],[error_ratio_6]]-EL$2)</f>
        <v>0.89770354906054284</v>
      </c>
      <c r="EW661" s="1">
        <f>1+(Table1[[#This Row],[error_ratio_7]]-EM$2)</f>
        <v>0.88715953307392992</v>
      </c>
      <c r="EX661" s="1">
        <f>1+(Table1[[#This Row],[error_ratio_8]]-EN$2)</f>
        <v>1.2268993839835729</v>
      </c>
      <c r="EY661" s="1">
        <f>1+(Table1[[#This Row],[error_ratio_9]]-EO$2)</f>
        <v>0.9712586719524281</v>
      </c>
    </row>
    <row r="662" spans="1:155" x14ac:dyDescent="0.75">
      <c r="A662">
        <v>10</v>
      </c>
      <c r="B662">
        <v>10</v>
      </c>
      <c r="C662">
        <v>100</v>
      </c>
      <c r="D662">
        <v>100</v>
      </c>
      <c r="E662">
        <v>10</v>
      </c>
      <c r="F662">
        <v>100</v>
      </c>
      <c r="G662">
        <v>10</v>
      </c>
      <c r="H662">
        <v>10</v>
      </c>
      <c r="I662">
        <v>100</v>
      </c>
      <c r="J662">
        <v>10</v>
      </c>
      <c r="K662">
        <v>1008</v>
      </c>
      <c r="L662">
        <v>1135</v>
      </c>
      <c r="M662">
        <v>1041</v>
      </c>
      <c r="N662">
        <v>1071</v>
      </c>
      <c r="O662">
        <v>829</v>
      </c>
      <c r="P662">
        <v>1019</v>
      </c>
      <c r="Q662">
        <v>856</v>
      </c>
      <c r="R662">
        <v>998</v>
      </c>
      <c r="S662">
        <v>982</v>
      </c>
      <c r="T662">
        <v>1061</v>
      </c>
      <c r="U662">
        <v>980</v>
      </c>
      <c r="V662">
        <v>1135</v>
      </c>
      <c r="W662">
        <v>1032</v>
      </c>
      <c r="X662">
        <v>1010</v>
      </c>
      <c r="Y662">
        <v>982</v>
      </c>
      <c r="Z662">
        <v>892</v>
      </c>
      <c r="AA662">
        <v>958</v>
      </c>
      <c r="AB662">
        <v>1028</v>
      </c>
      <c r="AC662">
        <v>974</v>
      </c>
      <c r="AD662">
        <v>1009</v>
      </c>
      <c r="AE662">
        <v>966</v>
      </c>
      <c r="AF662">
        <v>0</v>
      </c>
      <c r="AG662">
        <v>0</v>
      </c>
      <c r="AH662">
        <v>3</v>
      </c>
      <c r="AI662">
        <v>0</v>
      </c>
      <c r="AJ662">
        <v>6</v>
      </c>
      <c r="AK662">
        <v>1</v>
      </c>
      <c r="AL662">
        <v>1</v>
      </c>
      <c r="AM662">
        <v>3</v>
      </c>
      <c r="AN662">
        <v>0</v>
      </c>
      <c r="AO662">
        <v>0</v>
      </c>
      <c r="AP662">
        <v>1113</v>
      </c>
      <c r="AQ662">
        <v>2</v>
      </c>
      <c r="AR662">
        <v>10</v>
      </c>
      <c r="AS662">
        <v>0</v>
      </c>
      <c r="AT662">
        <v>7</v>
      </c>
      <c r="AU662">
        <v>1</v>
      </c>
      <c r="AV662">
        <v>1</v>
      </c>
      <c r="AW662">
        <v>0</v>
      </c>
      <c r="AX662">
        <v>1</v>
      </c>
      <c r="AY662">
        <v>8</v>
      </c>
      <c r="AZ662">
        <v>0</v>
      </c>
      <c r="BA662">
        <v>999</v>
      </c>
      <c r="BB662">
        <v>11</v>
      </c>
      <c r="BC662">
        <v>0</v>
      </c>
      <c r="BD662">
        <v>3</v>
      </c>
      <c r="BE662">
        <v>0</v>
      </c>
      <c r="BF662">
        <v>11</v>
      </c>
      <c r="BG662">
        <v>0</v>
      </c>
      <c r="BH662">
        <v>0</v>
      </c>
      <c r="BI662">
        <v>0</v>
      </c>
      <c r="BJ662">
        <v>0</v>
      </c>
      <c r="BK662">
        <v>1</v>
      </c>
      <c r="BL662">
        <v>999</v>
      </c>
      <c r="BM662">
        <v>0</v>
      </c>
      <c r="BN662">
        <v>7</v>
      </c>
      <c r="BO662">
        <v>0</v>
      </c>
      <c r="BP662">
        <v>2</v>
      </c>
      <c r="BQ662">
        <v>1</v>
      </c>
      <c r="BR662">
        <v>0</v>
      </c>
      <c r="BS662">
        <v>5</v>
      </c>
      <c r="BT662">
        <v>17</v>
      </c>
      <c r="BU662">
        <v>16</v>
      </c>
      <c r="BV662">
        <v>1</v>
      </c>
      <c r="BW662">
        <v>825</v>
      </c>
      <c r="BX662">
        <v>7</v>
      </c>
      <c r="BY662">
        <v>12</v>
      </c>
      <c r="BZ662">
        <v>1</v>
      </c>
      <c r="CA662">
        <v>5</v>
      </c>
      <c r="CB662">
        <v>93</v>
      </c>
      <c r="CC662">
        <v>1</v>
      </c>
      <c r="CD662">
        <v>0</v>
      </c>
      <c r="CE662">
        <v>0</v>
      </c>
      <c r="CF662">
        <v>5</v>
      </c>
      <c r="CG662">
        <v>0</v>
      </c>
      <c r="CH662">
        <v>884</v>
      </c>
      <c r="CI662">
        <v>0</v>
      </c>
      <c r="CJ662">
        <v>1</v>
      </c>
      <c r="CK662">
        <v>1</v>
      </c>
      <c r="CL662">
        <v>0</v>
      </c>
      <c r="CM662">
        <v>18</v>
      </c>
      <c r="CN662">
        <v>2</v>
      </c>
      <c r="CO662">
        <v>5</v>
      </c>
      <c r="CP662">
        <v>2</v>
      </c>
      <c r="CQ662">
        <v>2</v>
      </c>
      <c r="CR662">
        <v>80</v>
      </c>
      <c r="CS662">
        <v>842</v>
      </c>
      <c r="CT662">
        <v>0</v>
      </c>
      <c r="CU662">
        <v>7</v>
      </c>
      <c r="CV662">
        <v>0</v>
      </c>
      <c r="CW662">
        <v>2</v>
      </c>
      <c r="CX662">
        <v>1</v>
      </c>
      <c r="CY662">
        <v>15</v>
      </c>
      <c r="CZ662">
        <v>26</v>
      </c>
      <c r="DA662">
        <v>0</v>
      </c>
      <c r="DB662">
        <v>2</v>
      </c>
      <c r="DC662">
        <v>0</v>
      </c>
      <c r="DD662">
        <v>972</v>
      </c>
      <c r="DE662">
        <v>1</v>
      </c>
      <c r="DF662">
        <v>9</v>
      </c>
      <c r="DG662">
        <v>2</v>
      </c>
      <c r="DH662">
        <v>0</v>
      </c>
      <c r="DI662">
        <v>2</v>
      </c>
      <c r="DJ662">
        <v>3</v>
      </c>
      <c r="DK662">
        <v>0</v>
      </c>
      <c r="DL662">
        <v>7</v>
      </c>
      <c r="DM662">
        <v>0</v>
      </c>
      <c r="DN662">
        <v>3</v>
      </c>
      <c r="DO662">
        <v>949</v>
      </c>
      <c r="DP662">
        <v>8</v>
      </c>
      <c r="DQ662">
        <v>6</v>
      </c>
      <c r="DR662">
        <v>2</v>
      </c>
      <c r="DS662">
        <v>1</v>
      </c>
      <c r="DT662">
        <v>11</v>
      </c>
      <c r="DU662">
        <v>2</v>
      </c>
      <c r="DV662">
        <v>16</v>
      </c>
      <c r="DW662">
        <v>0</v>
      </c>
      <c r="DX662">
        <v>6</v>
      </c>
      <c r="DY662">
        <v>15</v>
      </c>
      <c r="DZ662">
        <v>950</v>
      </c>
      <c r="EA662">
        <v>0.94989999999999997</v>
      </c>
      <c r="EB662">
        <v>0.95134390275525704</v>
      </c>
      <c r="EC662">
        <v>0.94949153915718498</v>
      </c>
      <c r="ED662">
        <v>0.94887358887578799</v>
      </c>
      <c r="EE662">
        <f>SUM(Table1[[#This Row],[ratio_0]:[ratio_9]])</f>
        <v>460</v>
      </c>
      <c r="EF662" s="1">
        <f>(Table1[[#This Row],[predicted_0]]-Table1[[#This Row],[actual_0]])/Table1[[#This Row],[actual_0]]</f>
        <v>2.8571428571428571E-2</v>
      </c>
      <c r="EG662" s="1">
        <f>(Table1[[#This Row],[predicted_1]]-Table1[[#This Row],[actual_1]])/Table1[[#This Row],[actual_1]]</f>
        <v>0</v>
      </c>
      <c r="EH662" s="1">
        <f>(Table1[[#This Row],[predicted_2]]-Table1[[#This Row],[actual_2]])/Table1[[#This Row],[actual_2]]</f>
        <v>8.7209302325581394E-3</v>
      </c>
      <c r="EI662" s="1">
        <f>(Table1[[#This Row],[predicted_3]]-Table1[[#This Row],[actual_3]])/Table1[[#This Row],[actual_3]]</f>
        <v>6.0396039603960394E-2</v>
      </c>
      <c r="EJ662" s="1">
        <f>(Table1[[#This Row],[predicted_4]]-Table1[[#This Row],[actual_4]])/Table1[[#This Row],[actual_4]]</f>
        <v>-0.15580448065173116</v>
      </c>
      <c r="EK662" s="1">
        <f>(Table1[[#This Row],[predicted_5]]-Table1[[#This Row],[actual_5]])/Table1[[#This Row],[actual_5]]</f>
        <v>0.14237668161434977</v>
      </c>
      <c r="EL662" s="1">
        <f>(Table1[[#This Row],[predicted_6]]-Table1[[#This Row],[actual_6]])/Table1[[#This Row],[actual_6]]</f>
        <v>-0.10647181628392484</v>
      </c>
      <c r="EM662" s="1">
        <f>(Table1[[#This Row],[predicted_7]]-Table1[[#This Row],[actual_7]])/Table1[[#This Row],[actual_7]]</f>
        <v>-2.9182879377431907E-2</v>
      </c>
      <c r="EN662" s="1">
        <f>(Table1[[#This Row],[predicted_8]]-Table1[[#This Row],[actual_8]])/Table1[[#This Row],[actual_8]]</f>
        <v>8.2135523613963042E-3</v>
      </c>
      <c r="EO662" s="1">
        <f>(Table1[[#This Row],[predicted_9]]-Table1[[#This Row],[actual_9]])/Table1[[#This Row],[actual_9]]</f>
        <v>5.1536174430128839E-2</v>
      </c>
      <c r="EP662" s="1">
        <f>1+(Table1[[#This Row],[error_ratio_0]]-EF$2)</f>
        <v>1.0265306122448981</v>
      </c>
      <c r="EQ662" s="1">
        <f>1+(Table1[[#This Row],[error_ratio_1]]-EG$2)</f>
        <v>0.9982378854625551</v>
      </c>
      <c r="ER662" s="1">
        <f>1+(Table1[[#This Row],[error_ratio_2]]-EH$2)</f>
        <v>1.0135658914728682</v>
      </c>
      <c r="ES662" s="1">
        <f>1+(Table1[[#This Row],[error_ratio_3]]-EI$2)</f>
        <v>1.0504950495049505</v>
      </c>
      <c r="ET662" s="1">
        <f>1+(Table1[[#This Row],[error_ratio_4]]-EJ$2)</f>
        <v>0.8431771894093687</v>
      </c>
      <c r="EU662" s="1">
        <f>1+(Table1[[#This Row],[error_ratio_5]]-EK$2)</f>
        <v>1.141255605381166</v>
      </c>
      <c r="EV662" s="1">
        <f>1+(Table1[[#This Row],[error_ratio_6]]-EL$2)</f>
        <v>0.89979123173277664</v>
      </c>
      <c r="EW662" s="1">
        <f>1+(Table1[[#This Row],[error_ratio_7]]-EM$2)</f>
        <v>0.9688715953307393</v>
      </c>
      <c r="EX662" s="1">
        <f>1+(Table1[[#This Row],[error_ratio_8]]-EN$2)</f>
        <v>1.0112936344969199</v>
      </c>
      <c r="EY662" s="1">
        <f>1+(Table1[[#This Row],[error_ratio_9]]-EO$2)</f>
        <v>1.0555004955401388</v>
      </c>
    </row>
    <row r="663" spans="1:155" x14ac:dyDescent="0.75">
      <c r="A663">
        <v>100</v>
      </c>
      <c r="B663">
        <v>100</v>
      </c>
      <c r="C663">
        <v>10</v>
      </c>
      <c r="D663">
        <v>100</v>
      </c>
      <c r="E663">
        <v>10</v>
      </c>
      <c r="F663">
        <v>100</v>
      </c>
      <c r="G663">
        <v>10</v>
      </c>
      <c r="H663">
        <v>10</v>
      </c>
      <c r="I663">
        <v>100</v>
      </c>
      <c r="J663">
        <v>10</v>
      </c>
      <c r="K663">
        <v>1023</v>
      </c>
      <c r="L663">
        <v>1156</v>
      </c>
      <c r="M663">
        <v>1021</v>
      </c>
      <c r="N663">
        <v>1014</v>
      </c>
      <c r="O663">
        <v>920</v>
      </c>
      <c r="P663">
        <v>919</v>
      </c>
      <c r="Q663">
        <v>905</v>
      </c>
      <c r="R663">
        <v>1000</v>
      </c>
      <c r="S663">
        <v>1052</v>
      </c>
      <c r="T663">
        <v>990</v>
      </c>
      <c r="U663">
        <v>980</v>
      </c>
      <c r="V663">
        <v>1135</v>
      </c>
      <c r="W663">
        <v>1032</v>
      </c>
      <c r="X663">
        <v>1010</v>
      </c>
      <c r="Y663">
        <v>982</v>
      </c>
      <c r="Z663">
        <v>892</v>
      </c>
      <c r="AA663">
        <v>958</v>
      </c>
      <c r="AB663">
        <v>1028</v>
      </c>
      <c r="AC663">
        <v>974</v>
      </c>
      <c r="AD663">
        <v>1009</v>
      </c>
      <c r="AE663">
        <v>976</v>
      </c>
      <c r="AF663">
        <v>0</v>
      </c>
      <c r="AG663">
        <v>0</v>
      </c>
      <c r="AH663">
        <v>0</v>
      </c>
      <c r="AI663">
        <v>0</v>
      </c>
      <c r="AJ663">
        <v>1</v>
      </c>
      <c r="AK663">
        <v>0</v>
      </c>
      <c r="AL663">
        <v>1</v>
      </c>
      <c r="AM663">
        <v>2</v>
      </c>
      <c r="AN663">
        <v>0</v>
      </c>
      <c r="AO663">
        <v>0</v>
      </c>
      <c r="AP663">
        <v>1127</v>
      </c>
      <c r="AQ663">
        <v>1</v>
      </c>
      <c r="AR663">
        <v>0</v>
      </c>
      <c r="AS663">
        <v>0</v>
      </c>
      <c r="AT663">
        <v>1</v>
      </c>
      <c r="AU663">
        <v>1</v>
      </c>
      <c r="AV663">
        <v>0</v>
      </c>
      <c r="AW663">
        <v>5</v>
      </c>
      <c r="AX663">
        <v>0</v>
      </c>
      <c r="AY663">
        <v>14</v>
      </c>
      <c r="AZ663">
        <v>2</v>
      </c>
      <c r="BA663">
        <v>993</v>
      </c>
      <c r="BB663">
        <v>0</v>
      </c>
      <c r="BC663">
        <v>2</v>
      </c>
      <c r="BD663">
        <v>1</v>
      </c>
      <c r="BE663">
        <v>0</v>
      </c>
      <c r="BF663">
        <v>5</v>
      </c>
      <c r="BG663">
        <v>15</v>
      </c>
      <c r="BH663">
        <v>0</v>
      </c>
      <c r="BI663">
        <v>4</v>
      </c>
      <c r="BJ663">
        <v>1</v>
      </c>
      <c r="BK663">
        <v>3</v>
      </c>
      <c r="BL663">
        <v>990</v>
      </c>
      <c r="BM663">
        <v>0</v>
      </c>
      <c r="BN663">
        <v>5</v>
      </c>
      <c r="BO663">
        <v>0</v>
      </c>
      <c r="BP663">
        <v>4</v>
      </c>
      <c r="BQ663">
        <v>2</v>
      </c>
      <c r="BR663">
        <v>1</v>
      </c>
      <c r="BS663">
        <v>2</v>
      </c>
      <c r="BT663">
        <v>2</v>
      </c>
      <c r="BU663">
        <v>4</v>
      </c>
      <c r="BV663">
        <v>0</v>
      </c>
      <c r="BW663">
        <v>890</v>
      </c>
      <c r="BX663">
        <v>2</v>
      </c>
      <c r="BY663">
        <v>3</v>
      </c>
      <c r="BZ663">
        <v>1</v>
      </c>
      <c r="CA663">
        <v>26</v>
      </c>
      <c r="CB663">
        <v>52</v>
      </c>
      <c r="CC663">
        <v>2</v>
      </c>
      <c r="CD663">
        <v>0</v>
      </c>
      <c r="CE663">
        <v>0</v>
      </c>
      <c r="CF663">
        <v>3</v>
      </c>
      <c r="CG663">
        <v>0</v>
      </c>
      <c r="CH663">
        <v>883</v>
      </c>
      <c r="CI663">
        <v>1</v>
      </c>
      <c r="CJ663">
        <v>1</v>
      </c>
      <c r="CK663">
        <v>2</v>
      </c>
      <c r="CL663">
        <v>0</v>
      </c>
      <c r="CM663">
        <v>15</v>
      </c>
      <c r="CN663">
        <v>2</v>
      </c>
      <c r="CO663">
        <v>0</v>
      </c>
      <c r="CP663">
        <v>0</v>
      </c>
      <c r="CQ663">
        <v>21</v>
      </c>
      <c r="CR663">
        <v>8</v>
      </c>
      <c r="CS663">
        <v>900</v>
      </c>
      <c r="CT663">
        <v>0</v>
      </c>
      <c r="CU663">
        <v>12</v>
      </c>
      <c r="CV663">
        <v>0</v>
      </c>
      <c r="CW663">
        <v>1</v>
      </c>
      <c r="CX663">
        <v>17</v>
      </c>
      <c r="CY663">
        <v>18</v>
      </c>
      <c r="CZ663">
        <v>10</v>
      </c>
      <c r="DA663">
        <v>3</v>
      </c>
      <c r="DB663">
        <v>3</v>
      </c>
      <c r="DC663">
        <v>0</v>
      </c>
      <c r="DD663">
        <v>969</v>
      </c>
      <c r="DE663">
        <v>4</v>
      </c>
      <c r="DF663">
        <v>3</v>
      </c>
      <c r="DG663">
        <v>1</v>
      </c>
      <c r="DH663">
        <v>0</v>
      </c>
      <c r="DI663">
        <v>1</v>
      </c>
      <c r="DJ663">
        <v>0</v>
      </c>
      <c r="DK663">
        <v>0</v>
      </c>
      <c r="DL663">
        <v>6</v>
      </c>
      <c r="DM663">
        <v>0</v>
      </c>
      <c r="DN663">
        <v>2</v>
      </c>
      <c r="DO663">
        <v>963</v>
      </c>
      <c r="DP663">
        <v>1</v>
      </c>
      <c r="DQ663">
        <v>8</v>
      </c>
      <c r="DR663">
        <v>5</v>
      </c>
      <c r="DS663">
        <v>1</v>
      </c>
      <c r="DT663">
        <v>11</v>
      </c>
      <c r="DU663">
        <v>4</v>
      </c>
      <c r="DV663">
        <v>9</v>
      </c>
      <c r="DW663">
        <v>0</v>
      </c>
      <c r="DX663">
        <v>17</v>
      </c>
      <c r="DY663">
        <v>21</v>
      </c>
      <c r="DZ663">
        <v>933</v>
      </c>
      <c r="EA663">
        <v>0.96240000000000003</v>
      </c>
      <c r="EB663">
        <v>0.96273943680146801</v>
      </c>
      <c r="EC663">
        <v>0.96229496616564003</v>
      </c>
      <c r="ED663">
        <v>0.96209358523650701</v>
      </c>
      <c r="EE663">
        <f>SUM(Table1[[#This Row],[ratio_0]:[ratio_9]])</f>
        <v>550</v>
      </c>
      <c r="EF663" s="1">
        <f>(Table1[[#This Row],[predicted_0]]-Table1[[#This Row],[actual_0]])/Table1[[#This Row],[actual_0]]</f>
        <v>4.3877551020408162E-2</v>
      </c>
      <c r="EG663" s="1">
        <f>(Table1[[#This Row],[predicted_1]]-Table1[[#This Row],[actual_1]])/Table1[[#This Row],[actual_1]]</f>
        <v>1.8502202643171806E-2</v>
      </c>
      <c r="EH663" s="1">
        <f>(Table1[[#This Row],[predicted_2]]-Table1[[#This Row],[actual_2]])/Table1[[#This Row],[actual_2]]</f>
        <v>-1.065891472868217E-2</v>
      </c>
      <c r="EI663" s="1">
        <f>(Table1[[#This Row],[predicted_3]]-Table1[[#This Row],[actual_3]])/Table1[[#This Row],[actual_3]]</f>
        <v>3.9603960396039604E-3</v>
      </c>
      <c r="EJ663" s="1">
        <f>(Table1[[#This Row],[predicted_4]]-Table1[[#This Row],[actual_4]])/Table1[[#This Row],[actual_4]]</f>
        <v>-6.313645621181263E-2</v>
      </c>
      <c r="EK663" s="1">
        <f>(Table1[[#This Row],[predicted_5]]-Table1[[#This Row],[actual_5]])/Table1[[#This Row],[actual_5]]</f>
        <v>3.0269058295964126E-2</v>
      </c>
      <c r="EL663" s="1">
        <f>(Table1[[#This Row],[predicted_6]]-Table1[[#This Row],[actual_6]])/Table1[[#This Row],[actual_6]]</f>
        <v>-5.5323590814196244E-2</v>
      </c>
      <c r="EM663" s="1">
        <f>(Table1[[#This Row],[predicted_7]]-Table1[[#This Row],[actual_7]])/Table1[[#This Row],[actual_7]]</f>
        <v>-2.7237354085603113E-2</v>
      </c>
      <c r="EN663" s="1">
        <f>(Table1[[#This Row],[predicted_8]]-Table1[[#This Row],[actual_8]])/Table1[[#This Row],[actual_8]]</f>
        <v>8.0082135523613956E-2</v>
      </c>
      <c r="EO663" s="1">
        <f>(Table1[[#This Row],[predicted_9]]-Table1[[#This Row],[actual_9]])/Table1[[#This Row],[actual_9]]</f>
        <v>-1.8830525272547076E-2</v>
      </c>
      <c r="EP663" s="1">
        <f>1+(Table1[[#This Row],[error_ratio_0]]-EF$2)</f>
        <v>1.0418367346938775</v>
      </c>
      <c r="EQ663" s="1">
        <f>1+(Table1[[#This Row],[error_ratio_1]]-EG$2)</f>
        <v>1.0167400881057269</v>
      </c>
      <c r="ER663" s="1">
        <f>1+(Table1[[#This Row],[error_ratio_2]]-EH$2)</f>
        <v>0.9941860465116279</v>
      </c>
      <c r="ES663" s="1">
        <f>1+(Table1[[#This Row],[error_ratio_3]]-EI$2)</f>
        <v>0.99405940594059405</v>
      </c>
      <c r="ET663" s="1">
        <f>1+(Table1[[#This Row],[error_ratio_4]]-EJ$2)</f>
        <v>0.93584521384928721</v>
      </c>
      <c r="EU663" s="1">
        <f>1+(Table1[[#This Row],[error_ratio_5]]-EK$2)</f>
        <v>1.0291479820627802</v>
      </c>
      <c r="EV663" s="1">
        <f>1+(Table1[[#This Row],[error_ratio_6]]-EL$2)</f>
        <v>0.95093945720250517</v>
      </c>
      <c r="EW663" s="1">
        <f>1+(Table1[[#This Row],[error_ratio_7]]-EM$2)</f>
        <v>0.97081712062256809</v>
      </c>
      <c r="EX663" s="1">
        <f>1+(Table1[[#This Row],[error_ratio_8]]-EN$2)</f>
        <v>1.0831622176591376</v>
      </c>
      <c r="EY663" s="1">
        <f>1+(Table1[[#This Row],[error_ratio_9]]-EO$2)</f>
        <v>0.98513379583746286</v>
      </c>
    </row>
    <row r="664" spans="1:155" x14ac:dyDescent="0.75">
      <c r="A664">
        <v>10</v>
      </c>
      <c r="B664">
        <v>100</v>
      </c>
      <c r="C664">
        <v>10</v>
      </c>
      <c r="D664">
        <v>100</v>
      </c>
      <c r="E664">
        <v>10</v>
      </c>
      <c r="F664">
        <v>100</v>
      </c>
      <c r="G664">
        <v>10</v>
      </c>
      <c r="H664">
        <v>10</v>
      </c>
      <c r="I664">
        <v>100</v>
      </c>
      <c r="J664">
        <v>10</v>
      </c>
      <c r="K664">
        <v>985</v>
      </c>
      <c r="L664">
        <v>1178</v>
      </c>
      <c r="M664">
        <v>1032</v>
      </c>
      <c r="N664">
        <v>1100</v>
      </c>
      <c r="O664">
        <v>906</v>
      </c>
      <c r="P664">
        <v>952</v>
      </c>
      <c r="Q664">
        <v>910</v>
      </c>
      <c r="R664">
        <v>964</v>
      </c>
      <c r="S664">
        <v>1035</v>
      </c>
      <c r="T664">
        <v>938</v>
      </c>
      <c r="U664">
        <v>980</v>
      </c>
      <c r="V664">
        <v>1135</v>
      </c>
      <c r="W664">
        <v>1032</v>
      </c>
      <c r="X664">
        <v>1010</v>
      </c>
      <c r="Y664">
        <v>982</v>
      </c>
      <c r="Z664">
        <v>892</v>
      </c>
      <c r="AA664">
        <v>958</v>
      </c>
      <c r="AB664">
        <v>1028</v>
      </c>
      <c r="AC664">
        <v>974</v>
      </c>
      <c r="AD664">
        <v>1009</v>
      </c>
      <c r="AE664">
        <v>954</v>
      </c>
      <c r="AF664">
        <v>0</v>
      </c>
      <c r="AG664">
        <v>1</v>
      </c>
      <c r="AH664">
        <v>1</v>
      </c>
      <c r="AI664">
        <v>0</v>
      </c>
      <c r="AJ664">
        <v>7</v>
      </c>
      <c r="AK664">
        <v>6</v>
      </c>
      <c r="AL664">
        <v>1</v>
      </c>
      <c r="AM664">
        <v>10</v>
      </c>
      <c r="AN664">
        <v>0</v>
      </c>
      <c r="AO664">
        <v>0</v>
      </c>
      <c r="AP664">
        <v>1128</v>
      </c>
      <c r="AQ664">
        <v>2</v>
      </c>
      <c r="AR664">
        <v>2</v>
      </c>
      <c r="AS664">
        <v>0</v>
      </c>
      <c r="AT664">
        <v>1</v>
      </c>
      <c r="AU664">
        <v>0</v>
      </c>
      <c r="AV664">
        <v>0</v>
      </c>
      <c r="AW664">
        <v>2</v>
      </c>
      <c r="AX664">
        <v>0</v>
      </c>
      <c r="AY664">
        <v>4</v>
      </c>
      <c r="AZ664">
        <v>14</v>
      </c>
      <c r="BA664">
        <v>979</v>
      </c>
      <c r="BB664">
        <v>15</v>
      </c>
      <c r="BC664">
        <v>0</v>
      </c>
      <c r="BD664">
        <v>0</v>
      </c>
      <c r="BE664">
        <v>4</v>
      </c>
      <c r="BF664">
        <v>2</v>
      </c>
      <c r="BG664">
        <v>13</v>
      </c>
      <c r="BH664">
        <v>1</v>
      </c>
      <c r="BI664">
        <v>0</v>
      </c>
      <c r="BJ664">
        <v>0</v>
      </c>
      <c r="BK664">
        <v>0</v>
      </c>
      <c r="BL664">
        <v>1003</v>
      </c>
      <c r="BM664">
        <v>0</v>
      </c>
      <c r="BN664">
        <v>3</v>
      </c>
      <c r="BO664">
        <v>0</v>
      </c>
      <c r="BP664">
        <v>3</v>
      </c>
      <c r="BQ664">
        <v>1</v>
      </c>
      <c r="BR664">
        <v>0</v>
      </c>
      <c r="BS664">
        <v>1</v>
      </c>
      <c r="BT664">
        <v>7</v>
      </c>
      <c r="BU664">
        <v>0</v>
      </c>
      <c r="BV664">
        <v>2</v>
      </c>
      <c r="BW664">
        <v>898</v>
      </c>
      <c r="BX664">
        <v>1</v>
      </c>
      <c r="BY664">
        <v>28</v>
      </c>
      <c r="BZ664">
        <v>1</v>
      </c>
      <c r="CA664">
        <v>15</v>
      </c>
      <c r="CB664">
        <v>29</v>
      </c>
      <c r="CC664">
        <v>1</v>
      </c>
      <c r="CD664">
        <v>0</v>
      </c>
      <c r="CE664">
        <v>0</v>
      </c>
      <c r="CF664">
        <v>11</v>
      </c>
      <c r="CG664">
        <v>0</v>
      </c>
      <c r="CH664">
        <v>879</v>
      </c>
      <c r="CI664">
        <v>1</v>
      </c>
      <c r="CJ664">
        <v>0</v>
      </c>
      <c r="CK664">
        <v>0</v>
      </c>
      <c r="CL664">
        <v>0</v>
      </c>
      <c r="CM664">
        <v>16</v>
      </c>
      <c r="CN664">
        <v>4</v>
      </c>
      <c r="CO664">
        <v>1</v>
      </c>
      <c r="CP664">
        <v>3</v>
      </c>
      <c r="CQ664">
        <v>4</v>
      </c>
      <c r="CR664">
        <v>48</v>
      </c>
      <c r="CS664">
        <v>870</v>
      </c>
      <c r="CT664">
        <v>0</v>
      </c>
      <c r="CU664">
        <v>12</v>
      </c>
      <c r="CV664">
        <v>0</v>
      </c>
      <c r="CW664">
        <v>4</v>
      </c>
      <c r="CX664">
        <v>14</v>
      </c>
      <c r="CY664">
        <v>42</v>
      </c>
      <c r="CZ664">
        <v>12</v>
      </c>
      <c r="DA664">
        <v>1</v>
      </c>
      <c r="DB664">
        <v>3</v>
      </c>
      <c r="DC664">
        <v>0</v>
      </c>
      <c r="DD664">
        <v>941</v>
      </c>
      <c r="DE664">
        <v>8</v>
      </c>
      <c r="DF664">
        <v>3</v>
      </c>
      <c r="DG664">
        <v>0</v>
      </c>
      <c r="DH664">
        <v>0</v>
      </c>
      <c r="DI664">
        <v>6</v>
      </c>
      <c r="DJ664">
        <v>10</v>
      </c>
      <c r="DK664">
        <v>0</v>
      </c>
      <c r="DL664">
        <v>1</v>
      </c>
      <c r="DM664">
        <v>0</v>
      </c>
      <c r="DN664">
        <v>2</v>
      </c>
      <c r="DO664">
        <v>954</v>
      </c>
      <c r="DP664">
        <v>1</v>
      </c>
      <c r="DQ664">
        <v>5</v>
      </c>
      <c r="DR664">
        <v>11</v>
      </c>
      <c r="DS664">
        <v>1</v>
      </c>
      <c r="DT664">
        <v>41</v>
      </c>
      <c r="DU664">
        <v>3</v>
      </c>
      <c r="DV664">
        <v>9</v>
      </c>
      <c r="DW664">
        <v>1</v>
      </c>
      <c r="DX664">
        <v>14</v>
      </c>
      <c r="DY664">
        <v>20</v>
      </c>
      <c r="DZ664">
        <v>904</v>
      </c>
      <c r="EA664">
        <v>0.95099999999999996</v>
      </c>
      <c r="EB664">
        <v>0.95187108259390196</v>
      </c>
      <c r="EC664">
        <v>0.950781530094435</v>
      </c>
      <c r="ED664">
        <v>0.95049277793124698</v>
      </c>
      <c r="EE664">
        <f>SUM(Table1[[#This Row],[ratio_0]:[ratio_9]])</f>
        <v>460</v>
      </c>
      <c r="EF664" s="1">
        <f>(Table1[[#This Row],[predicted_0]]-Table1[[#This Row],[actual_0]])/Table1[[#This Row],[actual_0]]</f>
        <v>5.1020408163265302E-3</v>
      </c>
      <c r="EG664" s="1">
        <f>(Table1[[#This Row],[predicted_1]]-Table1[[#This Row],[actual_1]])/Table1[[#This Row],[actual_1]]</f>
        <v>3.7885462555066078E-2</v>
      </c>
      <c r="EH664" s="1">
        <f>(Table1[[#This Row],[predicted_2]]-Table1[[#This Row],[actual_2]])/Table1[[#This Row],[actual_2]]</f>
        <v>0</v>
      </c>
      <c r="EI664" s="1">
        <f>(Table1[[#This Row],[predicted_3]]-Table1[[#This Row],[actual_3]])/Table1[[#This Row],[actual_3]]</f>
        <v>8.9108910891089105E-2</v>
      </c>
      <c r="EJ664" s="1">
        <f>(Table1[[#This Row],[predicted_4]]-Table1[[#This Row],[actual_4]])/Table1[[#This Row],[actual_4]]</f>
        <v>-7.7393075356415472E-2</v>
      </c>
      <c r="EK664" s="1">
        <f>(Table1[[#This Row],[predicted_5]]-Table1[[#This Row],[actual_5]])/Table1[[#This Row],[actual_5]]</f>
        <v>6.726457399103139E-2</v>
      </c>
      <c r="EL664" s="1">
        <f>(Table1[[#This Row],[predicted_6]]-Table1[[#This Row],[actual_6]])/Table1[[#This Row],[actual_6]]</f>
        <v>-5.0104384133611693E-2</v>
      </c>
      <c r="EM664" s="1">
        <f>(Table1[[#This Row],[predicted_7]]-Table1[[#This Row],[actual_7]])/Table1[[#This Row],[actual_7]]</f>
        <v>-6.2256809338521402E-2</v>
      </c>
      <c r="EN664" s="1">
        <f>(Table1[[#This Row],[predicted_8]]-Table1[[#This Row],[actual_8]])/Table1[[#This Row],[actual_8]]</f>
        <v>6.2628336755646816E-2</v>
      </c>
      <c r="EO664" s="1">
        <f>(Table1[[#This Row],[predicted_9]]-Table1[[#This Row],[actual_9]])/Table1[[#This Row],[actual_9]]</f>
        <v>-7.0366699702675922E-2</v>
      </c>
      <c r="EP664" s="1">
        <f>1+(Table1[[#This Row],[error_ratio_0]]-EF$2)</f>
        <v>1.0030612244897958</v>
      </c>
      <c r="EQ664" s="1">
        <f>1+(Table1[[#This Row],[error_ratio_1]]-EG$2)</f>
        <v>1.0361233480176211</v>
      </c>
      <c r="ER664" s="1">
        <f>1+(Table1[[#This Row],[error_ratio_2]]-EH$2)</f>
        <v>1.0048449612403101</v>
      </c>
      <c r="ES664" s="1">
        <f>1+(Table1[[#This Row],[error_ratio_3]]-EI$2)</f>
        <v>1.0792079207920793</v>
      </c>
      <c r="ET664" s="1">
        <f>1+(Table1[[#This Row],[error_ratio_4]]-EJ$2)</f>
        <v>0.92158859470468435</v>
      </c>
      <c r="EU664" s="1">
        <f>1+(Table1[[#This Row],[error_ratio_5]]-EK$2)</f>
        <v>1.0661434977578474</v>
      </c>
      <c r="EV664" s="1">
        <f>1+(Table1[[#This Row],[error_ratio_6]]-EL$2)</f>
        <v>0.95615866388308979</v>
      </c>
      <c r="EW664" s="1">
        <f>1+(Table1[[#This Row],[error_ratio_7]]-EM$2)</f>
        <v>0.93579766536964981</v>
      </c>
      <c r="EX664" s="1">
        <f>1+(Table1[[#This Row],[error_ratio_8]]-EN$2)</f>
        <v>1.0657084188911705</v>
      </c>
      <c r="EY664" s="1">
        <f>1+(Table1[[#This Row],[error_ratio_9]]-EO$2)</f>
        <v>0.93359762140733404</v>
      </c>
    </row>
    <row r="665" spans="1:155" x14ac:dyDescent="0.75">
      <c r="A665">
        <v>100</v>
      </c>
      <c r="B665">
        <v>10</v>
      </c>
      <c r="C665">
        <v>10</v>
      </c>
      <c r="D665">
        <v>100</v>
      </c>
      <c r="E665">
        <v>10</v>
      </c>
      <c r="F665">
        <v>100</v>
      </c>
      <c r="G665">
        <v>10</v>
      </c>
      <c r="H665">
        <v>10</v>
      </c>
      <c r="I665">
        <v>100</v>
      </c>
      <c r="J665">
        <v>10</v>
      </c>
      <c r="K665">
        <v>1093</v>
      </c>
      <c r="L665">
        <v>1159</v>
      </c>
      <c r="M665">
        <v>1032</v>
      </c>
      <c r="N665">
        <v>990</v>
      </c>
      <c r="O665">
        <v>896</v>
      </c>
      <c r="P665">
        <v>895</v>
      </c>
      <c r="Q665">
        <v>943</v>
      </c>
      <c r="R665">
        <v>934</v>
      </c>
      <c r="S665">
        <v>1119</v>
      </c>
      <c r="T665">
        <v>939</v>
      </c>
      <c r="U665">
        <v>980</v>
      </c>
      <c r="V665">
        <v>1135</v>
      </c>
      <c r="W665">
        <v>1032</v>
      </c>
      <c r="X665">
        <v>1010</v>
      </c>
      <c r="Y665">
        <v>982</v>
      </c>
      <c r="Z665">
        <v>892</v>
      </c>
      <c r="AA665">
        <v>958</v>
      </c>
      <c r="AB665">
        <v>1028</v>
      </c>
      <c r="AC665">
        <v>974</v>
      </c>
      <c r="AD665">
        <v>1009</v>
      </c>
      <c r="AE665">
        <v>978</v>
      </c>
      <c r="AF665">
        <v>0</v>
      </c>
      <c r="AG665">
        <v>0</v>
      </c>
      <c r="AH665">
        <v>0</v>
      </c>
      <c r="AI665">
        <v>0</v>
      </c>
      <c r="AJ665">
        <v>0</v>
      </c>
      <c r="AK665">
        <v>0</v>
      </c>
      <c r="AL665">
        <v>1</v>
      </c>
      <c r="AM665">
        <v>1</v>
      </c>
      <c r="AN665">
        <v>0</v>
      </c>
      <c r="AO665">
        <v>7</v>
      </c>
      <c r="AP665">
        <v>1120</v>
      </c>
      <c r="AQ665">
        <v>3</v>
      </c>
      <c r="AR665">
        <v>3</v>
      </c>
      <c r="AS665">
        <v>0</v>
      </c>
      <c r="AT665">
        <v>0</v>
      </c>
      <c r="AU665">
        <v>0</v>
      </c>
      <c r="AV665">
        <v>0</v>
      </c>
      <c r="AW665">
        <v>2</v>
      </c>
      <c r="AX665">
        <v>0</v>
      </c>
      <c r="AY665">
        <v>31</v>
      </c>
      <c r="AZ665">
        <v>6</v>
      </c>
      <c r="BA665">
        <v>978</v>
      </c>
      <c r="BB665">
        <v>1</v>
      </c>
      <c r="BC665">
        <v>1</v>
      </c>
      <c r="BD665">
        <v>0</v>
      </c>
      <c r="BE665">
        <v>3</v>
      </c>
      <c r="BF665">
        <v>1</v>
      </c>
      <c r="BG665">
        <v>11</v>
      </c>
      <c r="BH665">
        <v>0</v>
      </c>
      <c r="BI665">
        <v>5</v>
      </c>
      <c r="BJ665">
        <v>0</v>
      </c>
      <c r="BK665">
        <v>3</v>
      </c>
      <c r="BL665">
        <v>976</v>
      </c>
      <c r="BM665">
        <v>0</v>
      </c>
      <c r="BN665">
        <v>6</v>
      </c>
      <c r="BO665">
        <v>0</v>
      </c>
      <c r="BP665">
        <v>2</v>
      </c>
      <c r="BQ665">
        <v>15</v>
      </c>
      <c r="BR665">
        <v>3</v>
      </c>
      <c r="BS665">
        <v>18</v>
      </c>
      <c r="BT665">
        <v>7</v>
      </c>
      <c r="BU665">
        <v>6</v>
      </c>
      <c r="BV665">
        <v>0</v>
      </c>
      <c r="BW665">
        <v>872</v>
      </c>
      <c r="BX665">
        <v>0</v>
      </c>
      <c r="BY665">
        <v>16</v>
      </c>
      <c r="BZ665">
        <v>0</v>
      </c>
      <c r="CA665">
        <v>42</v>
      </c>
      <c r="CB665">
        <v>21</v>
      </c>
      <c r="CC665">
        <v>9</v>
      </c>
      <c r="CD665">
        <v>0</v>
      </c>
      <c r="CE665">
        <v>0</v>
      </c>
      <c r="CF665">
        <v>5</v>
      </c>
      <c r="CG665">
        <v>0</v>
      </c>
      <c r="CH665">
        <v>869</v>
      </c>
      <c r="CI665">
        <v>2</v>
      </c>
      <c r="CJ665">
        <v>1</v>
      </c>
      <c r="CK665">
        <v>6</v>
      </c>
      <c r="CL665">
        <v>0</v>
      </c>
      <c r="CM665">
        <v>25</v>
      </c>
      <c r="CN665">
        <v>5</v>
      </c>
      <c r="CO665">
        <v>0</v>
      </c>
      <c r="CP665">
        <v>0</v>
      </c>
      <c r="CQ665">
        <v>1</v>
      </c>
      <c r="CR665">
        <v>4</v>
      </c>
      <c r="CS665">
        <v>920</v>
      </c>
      <c r="CT665">
        <v>0</v>
      </c>
      <c r="CU665">
        <v>3</v>
      </c>
      <c r="CV665">
        <v>0</v>
      </c>
      <c r="CW665">
        <v>3</v>
      </c>
      <c r="CX665">
        <v>18</v>
      </c>
      <c r="CY665">
        <v>41</v>
      </c>
      <c r="CZ665">
        <v>4</v>
      </c>
      <c r="DA665">
        <v>6</v>
      </c>
      <c r="DB665">
        <v>0</v>
      </c>
      <c r="DC665">
        <v>0</v>
      </c>
      <c r="DD665">
        <v>920</v>
      </c>
      <c r="DE665">
        <v>21</v>
      </c>
      <c r="DF665">
        <v>15</v>
      </c>
      <c r="DG665">
        <v>8</v>
      </c>
      <c r="DH665">
        <v>0</v>
      </c>
      <c r="DI665">
        <v>1</v>
      </c>
      <c r="DJ665">
        <v>0</v>
      </c>
      <c r="DK665">
        <v>1</v>
      </c>
      <c r="DL665">
        <v>0</v>
      </c>
      <c r="DM665">
        <v>1</v>
      </c>
      <c r="DN665">
        <v>0</v>
      </c>
      <c r="DO665">
        <v>963</v>
      </c>
      <c r="DP665">
        <v>0</v>
      </c>
      <c r="DQ665">
        <v>9</v>
      </c>
      <c r="DR665">
        <v>3</v>
      </c>
      <c r="DS665">
        <v>0</v>
      </c>
      <c r="DT665">
        <v>1</v>
      </c>
      <c r="DU665">
        <v>15</v>
      </c>
      <c r="DV665">
        <v>16</v>
      </c>
      <c r="DW665">
        <v>1</v>
      </c>
      <c r="DX665">
        <v>9</v>
      </c>
      <c r="DY665">
        <v>55</v>
      </c>
      <c r="DZ665">
        <v>900</v>
      </c>
      <c r="EA665">
        <v>0.9496</v>
      </c>
      <c r="EB665">
        <v>0.95185090370000502</v>
      </c>
      <c r="EC665">
        <v>0.94969076089925097</v>
      </c>
      <c r="ED665">
        <v>0.94948870908866101</v>
      </c>
      <c r="EE665">
        <f>SUM(Table1[[#This Row],[ratio_0]:[ratio_9]])</f>
        <v>460</v>
      </c>
      <c r="EF665" s="1">
        <f>(Table1[[#This Row],[predicted_0]]-Table1[[#This Row],[actual_0]])/Table1[[#This Row],[actual_0]]</f>
        <v>0.11530612244897959</v>
      </c>
      <c r="EG665" s="1">
        <f>(Table1[[#This Row],[predicted_1]]-Table1[[#This Row],[actual_1]])/Table1[[#This Row],[actual_1]]</f>
        <v>2.1145374449339206E-2</v>
      </c>
      <c r="EH665" s="1">
        <f>(Table1[[#This Row],[predicted_2]]-Table1[[#This Row],[actual_2]])/Table1[[#This Row],[actual_2]]</f>
        <v>0</v>
      </c>
      <c r="EI665" s="1">
        <f>(Table1[[#This Row],[predicted_3]]-Table1[[#This Row],[actual_3]])/Table1[[#This Row],[actual_3]]</f>
        <v>-1.9801980198019802E-2</v>
      </c>
      <c r="EJ665" s="1">
        <f>(Table1[[#This Row],[predicted_4]]-Table1[[#This Row],[actual_4]])/Table1[[#This Row],[actual_4]]</f>
        <v>-8.7576374745417518E-2</v>
      </c>
      <c r="EK665" s="1">
        <f>(Table1[[#This Row],[predicted_5]]-Table1[[#This Row],[actual_5]])/Table1[[#This Row],[actual_5]]</f>
        <v>3.3632286995515697E-3</v>
      </c>
      <c r="EL665" s="1">
        <f>(Table1[[#This Row],[predicted_6]]-Table1[[#This Row],[actual_6]])/Table1[[#This Row],[actual_6]]</f>
        <v>-1.5657620041753653E-2</v>
      </c>
      <c r="EM665" s="1">
        <f>(Table1[[#This Row],[predicted_7]]-Table1[[#This Row],[actual_7]])/Table1[[#This Row],[actual_7]]</f>
        <v>-9.1439688715953302E-2</v>
      </c>
      <c r="EN665" s="1">
        <f>(Table1[[#This Row],[predicted_8]]-Table1[[#This Row],[actual_8]])/Table1[[#This Row],[actual_8]]</f>
        <v>0.14887063655030802</v>
      </c>
      <c r="EO665" s="1">
        <f>(Table1[[#This Row],[predicted_9]]-Table1[[#This Row],[actual_9]])/Table1[[#This Row],[actual_9]]</f>
        <v>-6.9375619425173438E-2</v>
      </c>
      <c r="EP665" s="1">
        <f>1+(Table1[[#This Row],[error_ratio_0]]-EF$2)</f>
        <v>1.1132653061224489</v>
      </c>
      <c r="EQ665" s="1">
        <f>1+(Table1[[#This Row],[error_ratio_1]]-EG$2)</f>
        <v>1.0193832599118944</v>
      </c>
      <c r="ER665" s="1">
        <f>1+(Table1[[#This Row],[error_ratio_2]]-EH$2)</f>
        <v>1.0048449612403101</v>
      </c>
      <c r="ES665" s="1">
        <f>1+(Table1[[#This Row],[error_ratio_3]]-EI$2)</f>
        <v>0.97029702970297027</v>
      </c>
      <c r="ET665" s="1">
        <f>1+(Table1[[#This Row],[error_ratio_4]]-EJ$2)</f>
        <v>0.91140529531568226</v>
      </c>
      <c r="EU665" s="1">
        <f>1+(Table1[[#This Row],[error_ratio_5]]-EK$2)</f>
        <v>1.0022421524663676</v>
      </c>
      <c r="EV665" s="1">
        <f>1+(Table1[[#This Row],[error_ratio_6]]-EL$2)</f>
        <v>0.99060542797494777</v>
      </c>
      <c r="EW665" s="1">
        <f>1+(Table1[[#This Row],[error_ratio_7]]-EM$2)</f>
        <v>0.9066147859922179</v>
      </c>
      <c r="EX665" s="1">
        <f>1+(Table1[[#This Row],[error_ratio_8]]-EN$2)</f>
        <v>1.1519507186858315</v>
      </c>
      <c r="EY665" s="1">
        <f>1+(Table1[[#This Row],[error_ratio_9]]-EO$2)</f>
        <v>0.93458870168483643</v>
      </c>
    </row>
    <row r="666" spans="1:155" x14ac:dyDescent="0.75">
      <c r="A666">
        <v>10</v>
      </c>
      <c r="B666">
        <v>10</v>
      </c>
      <c r="C666">
        <v>10</v>
      </c>
      <c r="D666">
        <v>100</v>
      </c>
      <c r="E666">
        <v>10</v>
      </c>
      <c r="F666">
        <v>100</v>
      </c>
      <c r="G666">
        <v>10</v>
      </c>
      <c r="H666">
        <v>10</v>
      </c>
      <c r="I666">
        <v>100</v>
      </c>
      <c r="J666">
        <v>10</v>
      </c>
      <c r="K666">
        <v>959</v>
      </c>
      <c r="L666">
        <v>1119</v>
      </c>
      <c r="M666">
        <v>1028</v>
      </c>
      <c r="N666">
        <v>1113</v>
      </c>
      <c r="O666">
        <v>966</v>
      </c>
      <c r="P666">
        <v>969</v>
      </c>
      <c r="Q666">
        <v>900</v>
      </c>
      <c r="R666">
        <v>1033</v>
      </c>
      <c r="S666">
        <v>921</v>
      </c>
      <c r="T666">
        <v>992</v>
      </c>
      <c r="U666">
        <v>980</v>
      </c>
      <c r="V666">
        <v>1135</v>
      </c>
      <c r="W666">
        <v>1032</v>
      </c>
      <c r="X666">
        <v>1010</v>
      </c>
      <c r="Y666">
        <v>982</v>
      </c>
      <c r="Z666">
        <v>892</v>
      </c>
      <c r="AA666">
        <v>958</v>
      </c>
      <c r="AB666">
        <v>1028</v>
      </c>
      <c r="AC666">
        <v>974</v>
      </c>
      <c r="AD666">
        <v>1009</v>
      </c>
      <c r="AE666">
        <v>947</v>
      </c>
      <c r="AF666">
        <v>1</v>
      </c>
      <c r="AG666">
        <v>4</v>
      </c>
      <c r="AH666">
        <v>2</v>
      </c>
      <c r="AI666">
        <v>2</v>
      </c>
      <c r="AJ666">
        <v>9</v>
      </c>
      <c r="AK666">
        <v>6</v>
      </c>
      <c r="AL666">
        <v>2</v>
      </c>
      <c r="AM666">
        <v>6</v>
      </c>
      <c r="AN666">
        <v>1</v>
      </c>
      <c r="AO666">
        <v>0</v>
      </c>
      <c r="AP666">
        <v>1108</v>
      </c>
      <c r="AQ666">
        <v>0</v>
      </c>
      <c r="AR666">
        <v>11</v>
      </c>
      <c r="AS666">
        <v>0</v>
      </c>
      <c r="AT666">
        <v>3</v>
      </c>
      <c r="AU666">
        <v>0</v>
      </c>
      <c r="AV666">
        <v>11</v>
      </c>
      <c r="AW666">
        <v>1</v>
      </c>
      <c r="AX666">
        <v>1</v>
      </c>
      <c r="AY666">
        <v>4</v>
      </c>
      <c r="AZ666">
        <v>1</v>
      </c>
      <c r="BA666">
        <v>995</v>
      </c>
      <c r="BB666">
        <v>20</v>
      </c>
      <c r="BC666">
        <v>1</v>
      </c>
      <c r="BD666">
        <v>1</v>
      </c>
      <c r="BE666">
        <v>0</v>
      </c>
      <c r="BF666">
        <v>9</v>
      </c>
      <c r="BG666">
        <v>1</v>
      </c>
      <c r="BH666">
        <v>0</v>
      </c>
      <c r="BI666">
        <v>0</v>
      </c>
      <c r="BJ666">
        <v>0</v>
      </c>
      <c r="BK666">
        <v>0</v>
      </c>
      <c r="BL666">
        <v>1006</v>
      </c>
      <c r="BM666">
        <v>0</v>
      </c>
      <c r="BN666">
        <v>2</v>
      </c>
      <c r="BO666">
        <v>0</v>
      </c>
      <c r="BP666">
        <v>1</v>
      </c>
      <c r="BQ666">
        <v>0</v>
      </c>
      <c r="BR666">
        <v>1</v>
      </c>
      <c r="BS666">
        <v>0</v>
      </c>
      <c r="BT666">
        <v>2</v>
      </c>
      <c r="BU666">
        <v>1</v>
      </c>
      <c r="BV666">
        <v>1</v>
      </c>
      <c r="BW666">
        <v>945</v>
      </c>
      <c r="BX666">
        <v>0</v>
      </c>
      <c r="BY666">
        <v>5</v>
      </c>
      <c r="BZ666">
        <v>5</v>
      </c>
      <c r="CA666">
        <v>1</v>
      </c>
      <c r="CB666">
        <v>22</v>
      </c>
      <c r="CC666">
        <v>0</v>
      </c>
      <c r="CD666">
        <v>0</v>
      </c>
      <c r="CE666">
        <v>1</v>
      </c>
      <c r="CF666">
        <v>10</v>
      </c>
      <c r="CG666">
        <v>0</v>
      </c>
      <c r="CH666">
        <v>881</v>
      </c>
      <c r="CI666">
        <v>0</v>
      </c>
      <c r="CJ666">
        <v>0</v>
      </c>
      <c r="CK666">
        <v>0</v>
      </c>
      <c r="CL666">
        <v>0</v>
      </c>
      <c r="CM666">
        <v>1</v>
      </c>
      <c r="CN666">
        <v>7</v>
      </c>
      <c r="CO666">
        <v>1</v>
      </c>
      <c r="CP666">
        <v>2</v>
      </c>
      <c r="CQ666">
        <v>6</v>
      </c>
      <c r="CR666">
        <v>49</v>
      </c>
      <c r="CS666">
        <v>889</v>
      </c>
      <c r="CT666">
        <v>0</v>
      </c>
      <c r="CU666">
        <v>3</v>
      </c>
      <c r="CV666">
        <v>0</v>
      </c>
      <c r="CW666">
        <v>2</v>
      </c>
      <c r="CX666">
        <v>0</v>
      </c>
      <c r="CY666">
        <v>13</v>
      </c>
      <c r="CZ666">
        <v>19</v>
      </c>
      <c r="DA666">
        <v>3</v>
      </c>
      <c r="DB666">
        <v>4</v>
      </c>
      <c r="DC666">
        <v>0</v>
      </c>
      <c r="DD666">
        <v>982</v>
      </c>
      <c r="DE666">
        <v>0</v>
      </c>
      <c r="DF666">
        <v>5</v>
      </c>
      <c r="DG666">
        <v>0</v>
      </c>
      <c r="DH666">
        <v>0</v>
      </c>
      <c r="DI666">
        <v>12</v>
      </c>
      <c r="DJ666">
        <v>28</v>
      </c>
      <c r="DK666">
        <v>3</v>
      </c>
      <c r="DL666">
        <v>9</v>
      </c>
      <c r="DM666">
        <v>0</v>
      </c>
      <c r="DN666">
        <v>4</v>
      </c>
      <c r="DO666">
        <v>909</v>
      </c>
      <c r="DP666">
        <v>9</v>
      </c>
      <c r="DQ666">
        <v>5</v>
      </c>
      <c r="DR666">
        <v>0</v>
      </c>
      <c r="DS666">
        <v>1</v>
      </c>
      <c r="DT666">
        <v>14</v>
      </c>
      <c r="DU666">
        <v>6</v>
      </c>
      <c r="DV666">
        <v>11</v>
      </c>
      <c r="DW666">
        <v>0</v>
      </c>
      <c r="DX666">
        <v>19</v>
      </c>
      <c r="DY666">
        <v>0</v>
      </c>
      <c r="DZ666">
        <v>953</v>
      </c>
      <c r="EA666">
        <v>0.96150000000000002</v>
      </c>
      <c r="EB666">
        <v>0.96229278019110498</v>
      </c>
      <c r="EC666">
        <v>0.96137070864538898</v>
      </c>
      <c r="ED666">
        <v>0.96124657351039</v>
      </c>
      <c r="EE666">
        <f>SUM(Table1[[#This Row],[ratio_0]:[ratio_9]])</f>
        <v>370</v>
      </c>
      <c r="EF666" s="1">
        <f>(Table1[[#This Row],[predicted_0]]-Table1[[#This Row],[actual_0]])/Table1[[#This Row],[actual_0]]</f>
        <v>-2.1428571428571429E-2</v>
      </c>
      <c r="EG666" s="1">
        <f>(Table1[[#This Row],[predicted_1]]-Table1[[#This Row],[actual_1]])/Table1[[#This Row],[actual_1]]</f>
        <v>-1.4096916299559472E-2</v>
      </c>
      <c r="EH666" s="1">
        <f>(Table1[[#This Row],[predicted_2]]-Table1[[#This Row],[actual_2]])/Table1[[#This Row],[actual_2]]</f>
        <v>-3.875968992248062E-3</v>
      </c>
      <c r="EI666" s="1">
        <f>(Table1[[#This Row],[predicted_3]]-Table1[[#This Row],[actual_3]])/Table1[[#This Row],[actual_3]]</f>
        <v>0.10198019801980197</v>
      </c>
      <c r="EJ666" s="1">
        <f>(Table1[[#This Row],[predicted_4]]-Table1[[#This Row],[actual_4]])/Table1[[#This Row],[actual_4]]</f>
        <v>-1.6293279022403257E-2</v>
      </c>
      <c r="EK666" s="1">
        <f>(Table1[[#This Row],[predicted_5]]-Table1[[#This Row],[actual_5]])/Table1[[#This Row],[actual_5]]</f>
        <v>8.632286995515695E-2</v>
      </c>
      <c r="EL666" s="1">
        <f>(Table1[[#This Row],[predicted_6]]-Table1[[#This Row],[actual_6]])/Table1[[#This Row],[actual_6]]</f>
        <v>-6.0542797494780795E-2</v>
      </c>
      <c r="EM666" s="1">
        <f>(Table1[[#This Row],[predicted_7]]-Table1[[#This Row],[actual_7]])/Table1[[#This Row],[actual_7]]</f>
        <v>4.8638132295719845E-3</v>
      </c>
      <c r="EN666" s="1">
        <f>(Table1[[#This Row],[predicted_8]]-Table1[[#This Row],[actual_8]])/Table1[[#This Row],[actual_8]]</f>
        <v>-5.4414784394250515E-2</v>
      </c>
      <c r="EO666" s="1">
        <f>(Table1[[#This Row],[predicted_9]]-Table1[[#This Row],[actual_9]])/Table1[[#This Row],[actual_9]]</f>
        <v>-1.6848364717542121E-2</v>
      </c>
      <c r="EP666" s="1">
        <f>1+(Table1[[#This Row],[error_ratio_0]]-EF$2)</f>
        <v>0.97653061224489801</v>
      </c>
      <c r="EQ666" s="1">
        <f>1+(Table1[[#This Row],[error_ratio_1]]-EG$2)</f>
        <v>0.98414096916299565</v>
      </c>
      <c r="ER666" s="1">
        <f>1+(Table1[[#This Row],[error_ratio_2]]-EH$2)</f>
        <v>1.000968992248062</v>
      </c>
      <c r="ES666" s="1">
        <f>1+(Table1[[#This Row],[error_ratio_3]]-EI$2)</f>
        <v>1.0920792079207922</v>
      </c>
      <c r="ET666" s="1">
        <f>1+(Table1[[#This Row],[error_ratio_4]]-EJ$2)</f>
        <v>0.98268839103869654</v>
      </c>
      <c r="EU666" s="1">
        <f>1+(Table1[[#This Row],[error_ratio_5]]-EK$2)</f>
        <v>1.0852017937219731</v>
      </c>
      <c r="EV666" s="1">
        <f>1+(Table1[[#This Row],[error_ratio_6]]-EL$2)</f>
        <v>0.94572025052192066</v>
      </c>
      <c r="EW666" s="1">
        <f>1+(Table1[[#This Row],[error_ratio_7]]-EM$2)</f>
        <v>1.0029182879377432</v>
      </c>
      <c r="EX666" s="1">
        <f>1+(Table1[[#This Row],[error_ratio_8]]-EN$2)</f>
        <v>0.94866529774127306</v>
      </c>
      <c r="EY666" s="1">
        <f>1+(Table1[[#This Row],[error_ratio_9]]-EO$2)</f>
        <v>0.98711595639246774</v>
      </c>
    </row>
    <row r="667" spans="1:155" x14ac:dyDescent="0.75">
      <c r="A667">
        <v>100</v>
      </c>
      <c r="B667">
        <v>100</v>
      </c>
      <c r="C667">
        <v>100</v>
      </c>
      <c r="D667">
        <v>10</v>
      </c>
      <c r="E667">
        <v>10</v>
      </c>
      <c r="F667">
        <v>100</v>
      </c>
      <c r="G667">
        <v>10</v>
      </c>
      <c r="H667">
        <v>10</v>
      </c>
      <c r="I667">
        <v>100</v>
      </c>
      <c r="J667">
        <v>10</v>
      </c>
      <c r="K667">
        <v>1013</v>
      </c>
      <c r="L667">
        <v>1174</v>
      </c>
      <c r="M667">
        <v>1122</v>
      </c>
      <c r="N667">
        <v>934</v>
      </c>
      <c r="O667">
        <v>971</v>
      </c>
      <c r="P667">
        <v>951</v>
      </c>
      <c r="Q667">
        <v>872</v>
      </c>
      <c r="R667">
        <v>992</v>
      </c>
      <c r="S667">
        <v>1009</v>
      </c>
      <c r="T667">
        <v>962</v>
      </c>
      <c r="U667">
        <v>980</v>
      </c>
      <c r="V667">
        <v>1135</v>
      </c>
      <c r="W667">
        <v>1032</v>
      </c>
      <c r="X667">
        <v>1010</v>
      </c>
      <c r="Y667">
        <v>982</v>
      </c>
      <c r="Z667">
        <v>892</v>
      </c>
      <c r="AA667">
        <v>958</v>
      </c>
      <c r="AB667">
        <v>1028</v>
      </c>
      <c r="AC667">
        <v>974</v>
      </c>
      <c r="AD667">
        <v>1009</v>
      </c>
      <c r="AE667">
        <v>967</v>
      </c>
      <c r="AF667">
        <v>0</v>
      </c>
      <c r="AG667">
        <v>9</v>
      </c>
      <c r="AH667">
        <v>0</v>
      </c>
      <c r="AI667">
        <v>0</v>
      </c>
      <c r="AJ667">
        <v>2</v>
      </c>
      <c r="AK667">
        <v>0</v>
      </c>
      <c r="AL667">
        <v>1</v>
      </c>
      <c r="AM667">
        <v>1</v>
      </c>
      <c r="AN667">
        <v>0</v>
      </c>
      <c r="AO667">
        <v>0</v>
      </c>
      <c r="AP667">
        <v>1132</v>
      </c>
      <c r="AQ667">
        <v>3</v>
      </c>
      <c r="AR667">
        <v>0</v>
      </c>
      <c r="AS667">
        <v>0</v>
      </c>
      <c r="AT667">
        <v>0</v>
      </c>
      <c r="AU667">
        <v>0</v>
      </c>
      <c r="AV667">
        <v>0</v>
      </c>
      <c r="AW667">
        <v>0</v>
      </c>
      <c r="AX667">
        <v>0</v>
      </c>
      <c r="AY667">
        <v>0</v>
      </c>
      <c r="AZ667">
        <v>2</v>
      </c>
      <c r="BA667">
        <v>1027</v>
      </c>
      <c r="BB667">
        <v>0</v>
      </c>
      <c r="BC667">
        <v>0</v>
      </c>
      <c r="BD667">
        <v>0</v>
      </c>
      <c r="BE667">
        <v>0</v>
      </c>
      <c r="BF667">
        <v>3</v>
      </c>
      <c r="BG667">
        <v>0</v>
      </c>
      <c r="BH667">
        <v>0</v>
      </c>
      <c r="BI667">
        <v>0</v>
      </c>
      <c r="BJ667">
        <v>0</v>
      </c>
      <c r="BK667">
        <v>13</v>
      </c>
      <c r="BL667">
        <v>927</v>
      </c>
      <c r="BM667">
        <v>0</v>
      </c>
      <c r="BN667">
        <v>43</v>
      </c>
      <c r="BO667">
        <v>0</v>
      </c>
      <c r="BP667">
        <v>12</v>
      </c>
      <c r="BQ667">
        <v>13</v>
      </c>
      <c r="BR667">
        <v>2</v>
      </c>
      <c r="BS667">
        <v>0</v>
      </c>
      <c r="BT667">
        <v>7</v>
      </c>
      <c r="BU667">
        <v>6</v>
      </c>
      <c r="BV667">
        <v>0</v>
      </c>
      <c r="BW667">
        <v>949</v>
      </c>
      <c r="BX667">
        <v>0</v>
      </c>
      <c r="BY667">
        <v>0</v>
      </c>
      <c r="BZ667">
        <v>0</v>
      </c>
      <c r="CA667">
        <v>3</v>
      </c>
      <c r="CB667">
        <v>17</v>
      </c>
      <c r="CC667">
        <v>2</v>
      </c>
      <c r="CD667">
        <v>1</v>
      </c>
      <c r="CE667">
        <v>2</v>
      </c>
      <c r="CF667">
        <v>2</v>
      </c>
      <c r="CG667">
        <v>0</v>
      </c>
      <c r="CH667">
        <v>881</v>
      </c>
      <c r="CI667">
        <v>1</v>
      </c>
      <c r="CJ667">
        <v>1</v>
      </c>
      <c r="CK667">
        <v>2</v>
      </c>
      <c r="CL667">
        <v>0</v>
      </c>
      <c r="CM667">
        <v>33</v>
      </c>
      <c r="CN667">
        <v>10</v>
      </c>
      <c r="CO667">
        <v>11</v>
      </c>
      <c r="CP667">
        <v>0</v>
      </c>
      <c r="CQ667">
        <v>17</v>
      </c>
      <c r="CR667">
        <v>13</v>
      </c>
      <c r="CS667">
        <v>871</v>
      </c>
      <c r="CT667">
        <v>0</v>
      </c>
      <c r="CU667">
        <v>3</v>
      </c>
      <c r="CV667">
        <v>0</v>
      </c>
      <c r="CW667">
        <v>1</v>
      </c>
      <c r="CX667">
        <v>13</v>
      </c>
      <c r="CY667">
        <v>45</v>
      </c>
      <c r="CZ667">
        <v>0</v>
      </c>
      <c r="DA667">
        <v>1</v>
      </c>
      <c r="DB667">
        <v>0</v>
      </c>
      <c r="DC667">
        <v>0</v>
      </c>
      <c r="DD667">
        <v>959</v>
      </c>
      <c r="DE667">
        <v>4</v>
      </c>
      <c r="DF667">
        <v>5</v>
      </c>
      <c r="DG667">
        <v>3</v>
      </c>
      <c r="DH667">
        <v>1</v>
      </c>
      <c r="DI667">
        <v>6</v>
      </c>
      <c r="DJ667">
        <v>0</v>
      </c>
      <c r="DK667">
        <v>0</v>
      </c>
      <c r="DL667">
        <v>2</v>
      </c>
      <c r="DM667">
        <v>0</v>
      </c>
      <c r="DN667">
        <v>4</v>
      </c>
      <c r="DO667">
        <v>956</v>
      </c>
      <c r="DP667">
        <v>2</v>
      </c>
      <c r="DQ667">
        <v>7</v>
      </c>
      <c r="DR667">
        <v>8</v>
      </c>
      <c r="DS667">
        <v>0</v>
      </c>
      <c r="DT667">
        <v>5</v>
      </c>
      <c r="DU667">
        <v>4</v>
      </c>
      <c r="DV667">
        <v>10</v>
      </c>
      <c r="DW667">
        <v>0</v>
      </c>
      <c r="DX667">
        <v>12</v>
      </c>
      <c r="DY667">
        <v>27</v>
      </c>
      <c r="DZ667">
        <v>936</v>
      </c>
      <c r="EA667">
        <v>0.96050000000000002</v>
      </c>
      <c r="EB667">
        <v>0.96164193354879401</v>
      </c>
      <c r="EC667">
        <v>0.96023674445794704</v>
      </c>
      <c r="ED667">
        <v>0.96014588671534695</v>
      </c>
      <c r="EE667">
        <f>SUM(Table1[[#This Row],[ratio_0]:[ratio_9]])</f>
        <v>550</v>
      </c>
      <c r="EF667" s="1">
        <f>(Table1[[#This Row],[predicted_0]]-Table1[[#This Row],[actual_0]])/Table1[[#This Row],[actual_0]]</f>
        <v>3.3673469387755103E-2</v>
      </c>
      <c r="EG667" s="1">
        <f>(Table1[[#This Row],[predicted_1]]-Table1[[#This Row],[actual_1]])/Table1[[#This Row],[actual_1]]</f>
        <v>3.4361233480176209E-2</v>
      </c>
      <c r="EH667" s="1">
        <f>(Table1[[#This Row],[predicted_2]]-Table1[[#This Row],[actual_2]])/Table1[[#This Row],[actual_2]]</f>
        <v>8.7209302325581398E-2</v>
      </c>
      <c r="EI667" s="1">
        <f>(Table1[[#This Row],[predicted_3]]-Table1[[#This Row],[actual_3]])/Table1[[#This Row],[actual_3]]</f>
        <v>-7.5247524752475245E-2</v>
      </c>
      <c r="EJ667" s="1">
        <f>(Table1[[#This Row],[predicted_4]]-Table1[[#This Row],[actual_4]])/Table1[[#This Row],[actual_4]]</f>
        <v>-1.1201629327902239E-2</v>
      </c>
      <c r="EK667" s="1">
        <f>(Table1[[#This Row],[predicted_5]]-Table1[[#This Row],[actual_5]])/Table1[[#This Row],[actual_5]]</f>
        <v>6.614349775784753E-2</v>
      </c>
      <c r="EL667" s="1">
        <f>(Table1[[#This Row],[predicted_6]]-Table1[[#This Row],[actual_6]])/Table1[[#This Row],[actual_6]]</f>
        <v>-8.9770354906054284E-2</v>
      </c>
      <c r="EM667" s="1">
        <f>(Table1[[#This Row],[predicted_7]]-Table1[[#This Row],[actual_7]])/Table1[[#This Row],[actual_7]]</f>
        <v>-3.5019455252918288E-2</v>
      </c>
      <c r="EN667" s="1">
        <f>(Table1[[#This Row],[predicted_8]]-Table1[[#This Row],[actual_8]])/Table1[[#This Row],[actual_8]]</f>
        <v>3.5934291581108828E-2</v>
      </c>
      <c r="EO667" s="1">
        <f>(Table1[[#This Row],[predicted_9]]-Table1[[#This Row],[actual_9]])/Table1[[#This Row],[actual_9]]</f>
        <v>-4.6580773042616451E-2</v>
      </c>
      <c r="EP667" s="1">
        <f>1+(Table1[[#This Row],[error_ratio_0]]-EF$2)</f>
        <v>1.0316326530612245</v>
      </c>
      <c r="EQ667" s="1">
        <f>1+(Table1[[#This Row],[error_ratio_1]]-EG$2)</f>
        <v>1.0325991189427313</v>
      </c>
      <c r="ER667" s="1">
        <f>1+(Table1[[#This Row],[error_ratio_2]]-EH$2)</f>
        <v>1.0920542635658914</v>
      </c>
      <c r="ES667" s="1">
        <f>1+(Table1[[#This Row],[error_ratio_3]]-EI$2)</f>
        <v>0.91485148514851489</v>
      </c>
      <c r="ET667" s="1">
        <f>1+(Table1[[#This Row],[error_ratio_4]]-EJ$2)</f>
        <v>0.98778004073319758</v>
      </c>
      <c r="EU667" s="1">
        <f>1+(Table1[[#This Row],[error_ratio_5]]-EK$2)</f>
        <v>1.0650224215246638</v>
      </c>
      <c r="EV667" s="1">
        <f>1+(Table1[[#This Row],[error_ratio_6]]-EL$2)</f>
        <v>0.91649269311064718</v>
      </c>
      <c r="EW667" s="1">
        <f>1+(Table1[[#This Row],[error_ratio_7]]-EM$2)</f>
        <v>0.96303501945525294</v>
      </c>
      <c r="EX667" s="1">
        <f>1+(Table1[[#This Row],[error_ratio_8]]-EN$2)</f>
        <v>1.0390143737166324</v>
      </c>
      <c r="EY667" s="1">
        <f>1+(Table1[[#This Row],[error_ratio_9]]-EO$2)</f>
        <v>0.95738354806739345</v>
      </c>
    </row>
    <row r="668" spans="1:155" x14ac:dyDescent="0.75">
      <c r="A668">
        <v>10</v>
      </c>
      <c r="B668">
        <v>100</v>
      </c>
      <c r="C668">
        <v>100</v>
      </c>
      <c r="D668">
        <v>10</v>
      </c>
      <c r="E668">
        <v>10</v>
      </c>
      <c r="F668">
        <v>100</v>
      </c>
      <c r="G668">
        <v>10</v>
      </c>
      <c r="H668">
        <v>10</v>
      </c>
      <c r="I668">
        <v>100</v>
      </c>
      <c r="J668">
        <v>10</v>
      </c>
      <c r="K668">
        <v>0</v>
      </c>
      <c r="L668">
        <v>10000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980</v>
      </c>
      <c r="V668">
        <v>1135</v>
      </c>
      <c r="W668">
        <v>1032</v>
      </c>
      <c r="X668">
        <v>1010</v>
      </c>
      <c r="Y668">
        <v>982</v>
      </c>
      <c r="Z668">
        <v>892</v>
      </c>
      <c r="AA668">
        <v>958</v>
      </c>
      <c r="AB668">
        <v>1028</v>
      </c>
      <c r="AC668">
        <v>974</v>
      </c>
      <c r="AD668">
        <v>1009</v>
      </c>
      <c r="AE668">
        <v>0</v>
      </c>
      <c r="AF668">
        <v>980</v>
      </c>
      <c r="AG668">
        <v>0</v>
      </c>
      <c r="AH668">
        <v>0</v>
      </c>
      <c r="AI668">
        <v>0</v>
      </c>
      <c r="AJ668">
        <v>0</v>
      </c>
      <c r="AK668">
        <v>0</v>
      </c>
      <c r="AL668">
        <v>0</v>
      </c>
      <c r="AM668">
        <v>0</v>
      </c>
      <c r="AN668">
        <v>0</v>
      </c>
      <c r="AO668">
        <v>0</v>
      </c>
      <c r="AP668">
        <v>1135</v>
      </c>
      <c r="AQ668">
        <v>0</v>
      </c>
      <c r="AR668">
        <v>0</v>
      </c>
      <c r="AS668">
        <v>0</v>
      </c>
      <c r="AT668">
        <v>0</v>
      </c>
      <c r="AU668">
        <v>0</v>
      </c>
      <c r="AV668">
        <v>0</v>
      </c>
      <c r="AW668">
        <v>0</v>
      </c>
      <c r="AX668">
        <v>0</v>
      </c>
      <c r="AY668">
        <v>0</v>
      </c>
      <c r="AZ668">
        <v>1032</v>
      </c>
      <c r="BA668">
        <v>0</v>
      </c>
      <c r="BB668">
        <v>0</v>
      </c>
      <c r="BC668">
        <v>0</v>
      </c>
      <c r="BD668">
        <v>0</v>
      </c>
      <c r="BE668">
        <v>0</v>
      </c>
      <c r="BF668">
        <v>0</v>
      </c>
      <c r="BG668">
        <v>0</v>
      </c>
      <c r="BH668">
        <v>0</v>
      </c>
      <c r="BI668">
        <v>0</v>
      </c>
      <c r="BJ668">
        <v>1010</v>
      </c>
      <c r="BK668">
        <v>0</v>
      </c>
      <c r="BL668">
        <v>0</v>
      </c>
      <c r="BM668">
        <v>0</v>
      </c>
      <c r="BN668">
        <v>0</v>
      </c>
      <c r="BO668">
        <v>0</v>
      </c>
      <c r="BP668">
        <v>0</v>
      </c>
      <c r="BQ668">
        <v>0</v>
      </c>
      <c r="BR668">
        <v>0</v>
      </c>
      <c r="BS668">
        <v>0</v>
      </c>
      <c r="BT668">
        <v>982</v>
      </c>
      <c r="BU668">
        <v>0</v>
      </c>
      <c r="BV668">
        <v>0</v>
      </c>
      <c r="BW668">
        <v>0</v>
      </c>
      <c r="BX668">
        <v>0</v>
      </c>
      <c r="BY668">
        <v>0</v>
      </c>
      <c r="BZ668">
        <v>0</v>
      </c>
      <c r="CA668">
        <v>0</v>
      </c>
      <c r="CB668">
        <v>0</v>
      </c>
      <c r="CC668">
        <v>0</v>
      </c>
      <c r="CD668">
        <v>892</v>
      </c>
      <c r="CE668">
        <v>0</v>
      </c>
      <c r="CF668">
        <v>0</v>
      </c>
      <c r="CG668">
        <v>0</v>
      </c>
      <c r="CH668">
        <v>0</v>
      </c>
      <c r="CI668">
        <v>0</v>
      </c>
      <c r="CJ668">
        <v>0</v>
      </c>
      <c r="CK668">
        <v>0</v>
      </c>
      <c r="CL668">
        <v>0</v>
      </c>
      <c r="CM668">
        <v>0</v>
      </c>
      <c r="CN668">
        <v>958</v>
      </c>
      <c r="CO668">
        <v>0</v>
      </c>
      <c r="CP668">
        <v>0</v>
      </c>
      <c r="CQ668">
        <v>0</v>
      </c>
      <c r="CR668">
        <v>0</v>
      </c>
      <c r="CS668">
        <v>0</v>
      </c>
      <c r="CT668">
        <v>0</v>
      </c>
      <c r="CU668">
        <v>0</v>
      </c>
      <c r="CV668">
        <v>0</v>
      </c>
      <c r="CW668">
        <v>0</v>
      </c>
      <c r="CX668">
        <v>1028</v>
      </c>
      <c r="CY668">
        <v>0</v>
      </c>
      <c r="CZ668">
        <v>0</v>
      </c>
      <c r="DA668">
        <v>0</v>
      </c>
      <c r="DB668">
        <v>0</v>
      </c>
      <c r="DC668">
        <v>0</v>
      </c>
      <c r="DD668">
        <v>0</v>
      </c>
      <c r="DE668">
        <v>0</v>
      </c>
      <c r="DF668">
        <v>0</v>
      </c>
      <c r="DG668">
        <v>0</v>
      </c>
      <c r="DH668">
        <v>974</v>
      </c>
      <c r="DI668">
        <v>0</v>
      </c>
      <c r="DJ668">
        <v>0</v>
      </c>
      <c r="DK668">
        <v>0</v>
      </c>
      <c r="DL668">
        <v>0</v>
      </c>
      <c r="DM668">
        <v>0</v>
      </c>
      <c r="DN668">
        <v>0</v>
      </c>
      <c r="DO668">
        <v>0</v>
      </c>
      <c r="DP668">
        <v>0</v>
      </c>
      <c r="DQ668">
        <v>0</v>
      </c>
      <c r="DR668">
        <v>1009</v>
      </c>
      <c r="DS668">
        <v>0</v>
      </c>
      <c r="DT668">
        <v>0</v>
      </c>
      <c r="DU668">
        <v>0</v>
      </c>
      <c r="DV668">
        <v>0</v>
      </c>
      <c r="DW668">
        <v>0</v>
      </c>
      <c r="DX668">
        <v>0</v>
      </c>
      <c r="DY668">
        <v>0</v>
      </c>
      <c r="DZ668">
        <v>0</v>
      </c>
      <c r="EA668">
        <v>0.1135</v>
      </c>
      <c r="EB668">
        <v>0.1135</v>
      </c>
      <c r="EC668">
        <v>0.1</v>
      </c>
      <c r="ED668">
        <v>0.20386169735069601</v>
      </c>
      <c r="EE668">
        <f>SUM(Table1[[#This Row],[ratio_0]:[ratio_9]])</f>
        <v>460</v>
      </c>
      <c r="EF668" s="1">
        <f>(Table1[[#This Row],[predicted_0]]-Table1[[#This Row],[actual_0]])/Table1[[#This Row],[actual_0]]</f>
        <v>-1</v>
      </c>
      <c r="EG668" s="1">
        <f>(Table1[[#This Row],[predicted_1]]-Table1[[#This Row],[actual_1]])/Table1[[#This Row],[actual_1]]</f>
        <v>7.8105726872246697</v>
      </c>
      <c r="EH668" s="1">
        <f>(Table1[[#This Row],[predicted_2]]-Table1[[#This Row],[actual_2]])/Table1[[#This Row],[actual_2]]</f>
        <v>-1</v>
      </c>
      <c r="EI668" s="1">
        <f>(Table1[[#This Row],[predicted_3]]-Table1[[#This Row],[actual_3]])/Table1[[#This Row],[actual_3]]</f>
        <v>-1</v>
      </c>
      <c r="EJ668" s="1">
        <f>(Table1[[#This Row],[predicted_4]]-Table1[[#This Row],[actual_4]])/Table1[[#This Row],[actual_4]]</f>
        <v>-1</v>
      </c>
      <c r="EK668" s="1">
        <f>(Table1[[#This Row],[predicted_5]]-Table1[[#This Row],[actual_5]])/Table1[[#This Row],[actual_5]]</f>
        <v>-1</v>
      </c>
      <c r="EL668" s="1">
        <f>(Table1[[#This Row],[predicted_6]]-Table1[[#This Row],[actual_6]])/Table1[[#This Row],[actual_6]]</f>
        <v>-1</v>
      </c>
      <c r="EM668" s="1">
        <f>(Table1[[#This Row],[predicted_7]]-Table1[[#This Row],[actual_7]])/Table1[[#This Row],[actual_7]]</f>
        <v>-1</v>
      </c>
      <c r="EN668" s="1">
        <f>(Table1[[#This Row],[predicted_8]]-Table1[[#This Row],[actual_8]])/Table1[[#This Row],[actual_8]]</f>
        <v>-1</v>
      </c>
      <c r="EO668" s="1">
        <f>(Table1[[#This Row],[predicted_9]]-Table1[[#This Row],[actual_9]])/Table1[[#This Row],[actual_9]]</f>
        <v>-1</v>
      </c>
      <c r="EP668" s="1">
        <f>1+(Table1[[#This Row],[error_ratio_0]]-EF$2)</f>
        <v>-2.0408163265306367E-3</v>
      </c>
      <c r="EQ668" s="1">
        <f>1+(Table1[[#This Row],[error_ratio_1]]-EG$2)</f>
        <v>8.808810572687225</v>
      </c>
      <c r="ER668" s="1">
        <f>1+(Table1[[#This Row],[error_ratio_2]]-EH$2)</f>
        <v>4.8449612403100861E-3</v>
      </c>
      <c r="ES668" s="1">
        <f>1+(Table1[[#This Row],[error_ratio_3]]-EI$2)</f>
        <v>-9.9009900990099098E-3</v>
      </c>
      <c r="ET668" s="1">
        <f>1+(Table1[[#This Row],[error_ratio_4]]-EJ$2)</f>
        <v>-1.0183299389001643E-3</v>
      </c>
      <c r="EU668" s="1">
        <f>1+(Table1[[#This Row],[error_ratio_5]]-EK$2)</f>
        <v>-1.1210762331839152E-3</v>
      </c>
      <c r="EV668" s="1">
        <f>1+(Table1[[#This Row],[error_ratio_6]]-EL$2)</f>
        <v>6.2630480167014113E-3</v>
      </c>
      <c r="EW668" s="1">
        <f>1+(Table1[[#This Row],[error_ratio_7]]-EM$2)</f>
        <v>-1.9455252918287869E-3</v>
      </c>
      <c r="EX668" s="1">
        <f>1+(Table1[[#This Row],[error_ratio_8]]-EN$2)</f>
        <v>3.0800821355235763E-3</v>
      </c>
      <c r="EY668" s="1">
        <f>1+(Table1[[#This Row],[error_ratio_9]]-EO$2)</f>
        <v>3.964321110009883E-3</v>
      </c>
    </row>
    <row r="669" spans="1:155" x14ac:dyDescent="0.75">
      <c r="A669">
        <v>100</v>
      </c>
      <c r="B669">
        <v>10</v>
      </c>
      <c r="C669">
        <v>100</v>
      </c>
      <c r="D669">
        <v>10</v>
      </c>
      <c r="E669">
        <v>10</v>
      </c>
      <c r="F669">
        <v>100</v>
      </c>
      <c r="G669">
        <v>10</v>
      </c>
      <c r="H669">
        <v>10</v>
      </c>
      <c r="I669">
        <v>100</v>
      </c>
      <c r="J669">
        <v>10</v>
      </c>
      <c r="K669">
        <v>1007</v>
      </c>
      <c r="L669">
        <v>1118</v>
      </c>
      <c r="M669">
        <v>1084</v>
      </c>
      <c r="N669">
        <v>916</v>
      </c>
      <c r="O669">
        <v>984</v>
      </c>
      <c r="P669">
        <v>926</v>
      </c>
      <c r="Q669">
        <v>906</v>
      </c>
      <c r="R669">
        <v>964</v>
      </c>
      <c r="S669">
        <v>1122</v>
      </c>
      <c r="T669">
        <v>973</v>
      </c>
      <c r="U669">
        <v>980</v>
      </c>
      <c r="V669">
        <v>1135</v>
      </c>
      <c r="W669">
        <v>1032</v>
      </c>
      <c r="X669">
        <v>1010</v>
      </c>
      <c r="Y669">
        <v>982</v>
      </c>
      <c r="Z669">
        <v>892</v>
      </c>
      <c r="AA669">
        <v>958</v>
      </c>
      <c r="AB669">
        <v>1028</v>
      </c>
      <c r="AC669">
        <v>974</v>
      </c>
      <c r="AD669">
        <v>1009</v>
      </c>
      <c r="AE669">
        <v>973</v>
      </c>
      <c r="AF669">
        <v>0</v>
      </c>
      <c r="AG669">
        <v>0</v>
      </c>
      <c r="AH669">
        <v>0</v>
      </c>
      <c r="AI669">
        <v>0</v>
      </c>
      <c r="AJ669">
        <v>3</v>
      </c>
      <c r="AK669">
        <v>0</v>
      </c>
      <c r="AL669">
        <v>2</v>
      </c>
      <c r="AM669">
        <v>2</v>
      </c>
      <c r="AN669">
        <v>0</v>
      </c>
      <c r="AO669">
        <v>0</v>
      </c>
      <c r="AP669">
        <v>1105</v>
      </c>
      <c r="AQ669">
        <v>4</v>
      </c>
      <c r="AR669">
        <v>0</v>
      </c>
      <c r="AS669">
        <v>0</v>
      </c>
      <c r="AT669">
        <v>2</v>
      </c>
      <c r="AU669">
        <v>2</v>
      </c>
      <c r="AV669">
        <v>0</v>
      </c>
      <c r="AW669">
        <v>22</v>
      </c>
      <c r="AX669">
        <v>0</v>
      </c>
      <c r="AY669">
        <v>3</v>
      </c>
      <c r="AZ669">
        <v>0</v>
      </c>
      <c r="BA669">
        <v>1015</v>
      </c>
      <c r="BB669">
        <v>0</v>
      </c>
      <c r="BC669">
        <v>0</v>
      </c>
      <c r="BD669">
        <v>1</v>
      </c>
      <c r="BE669">
        <v>0</v>
      </c>
      <c r="BF669">
        <v>1</v>
      </c>
      <c r="BG669">
        <v>12</v>
      </c>
      <c r="BH669">
        <v>0</v>
      </c>
      <c r="BI669">
        <v>0</v>
      </c>
      <c r="BJ669">
        <v>0</v>
      </c>
      <c r="BK669">
        <v>16</v>
      </c>
      <c r="BL669">
        <v>913</v>
      </c>
      <c r="BM669">
        <v>0</v>
      </c>
      <c r="BN669">
        <v>23</v>
      </c>
      <c r="BO669">
        <v>0</v>
      </c>
      <c r="BP669">
        <v>8</v>
      </c>
      <c r="BQ669">
        <v>42</v>
      </c>
      <c r="BR669">
        <v>8</v>
      </c>
      <c r="BS669">
        <v>4</v>
      </c>
      <c r="BT669">
        <v>6</v>
      </c>
      <c r="BU669">
        <v>2</v>
      </c>
      <c r="BV669">
        <v>0</v>
      </c>
      <c r="BW669">
        <v>948</v>
      </c>
      <c r="BX669">
        <v>0</v>
      </c>
      <c r="BY669">
        <v>5</v>
      </c>
      <c r="BZ669">
        <v>0</v>
      </c>
      <c r="CA669">
        <v>7</v>
      </c>
      <c r="CB669">
        <v>10</v>
      </c>
      <c r="CC669">
        <v>1</v>
      </c>
      <c r="CD669">
        <v>0</v>
      </c>
      <c r="CE669">
        <v>0</v>
      </c>
      <c r="CF669">
        <v>1</v>
      </c>
      <c r="CG669">
        <v>0</v>
      </c>
      <c r="CH669">
        <v>881</v>
      </c>
      <c r="CI669">
        <v>1</v>
      </c>
      <c r="CJ669">
        <v>1</v>
      </c>
      <c r="CK669">
        <v>5</v>
      </c>
      <c r="CL669">
        <v>2</v>
      </c>
      <c r="CM669">
        <v>12</v>
      </c>
      <c r="CN669">
        <v>3</v>
      </c>
      <c r="CO669">
        <v>0</v>
      </c>
      <c r="CP669">
        <v>0</v>
      </c>
      <c r="CQ669">
        <v>25</v>
      </c>
      <c r="CR669">
        <v>12</v>
      </c>
      <c r="CS669">
        <v>898</v>
      </c>
      <c r="CT669">
        <v>0</v>
      </c>
      <c r="CU669">
        <v>8</v>
      </c>
      <c r="CV669">
        <v>0</v>
      </c>
      <c r="CW669">
        <v>1</v>
      </c>
      <c r="CX669">
        <v>4</v>
      </c>
      <c r="CY669">
        <v>44</v>
      </c>
      <c r="CZ669">
        <v>1</v>
      </c>
      <c r="DA669">
        <v>4</v>
      </c>
      <c r="DB669">
        <v>0</v>
      </c>
      <c r="DC669">
        <v>0</v>
      </c>
      <c r="DD669">
        <v>946</v>
      </c>
      <c r="DE669">
        <v>20</v>
      </c>
      <c r="DF669">
        <v>8</v>
      </c>
      <c r="DG669">
        <v>4</v>
      </c>
      <c r="DH669">
        <v>0</v>
      </c>
      <c r="DI669">
        <v>1</v>
      </c>
      <c r="DJ669">
        <v>0</v>
      </c>
      <c r="DK669">
        <v>1</v>
      </c>
      <c r="DL669">
        <v>0</v>
      </c>
      <c r="DM669">
        <v>0</v>
      </c>
      <c r="DN669">
        <v>1</v>
      </c>
      <c r="DO669">
        <v>967</v>
      </c>
      <c r="DP669">
        <v>0</v>
      </c>
      <c r="DQ669">
        <v>9</v>
      </c>
      <c r="DR669">
        <v>0</v>
      </c>
      <c r="DS669">
        <v>2</v>
      </c>
      <c r="DT669">
        <v>1</v>
      </c>
      <c r="DU669">
        <v>6</v>
      </c>
      <c r="DV669">
        <v>4</v>
      </c>
      <c r="DW669">
        <v>0</v>
      </c>
      <c r="DX669">
        <v>5</v>
      </c>
      <c r="DY669">
        <v>37</v>
      </c>
      <c r="DZ669">
        <v>945</v>
      </c>
      <c r="EA669">
        <v>0.95909999999999995</v>
      </c>
      <c r="EB669">
        <v>0.96080733475174596</v>
      </c>
      <c r="EC669">
        <v>0.95939448829220098</v>
      </c>
      <c r="ED669">
        <v>0.95909187162536103</v>
      </c>
      <c r="EE669">
        <f>SUM(Table1[[#This Row],[ratio_0]:[ratio_9]])</f>
        <v>460</v>
      </c>
      <c r="EF669" s="1">
        <f>(Table1[[#This Row],[predicted_0]]-Table1[[#This Row],[actual_0]])/Table1[[#This Row],[actual_0]]</f>
        <v>2.7551020408163266E-2</v>
      </c>
      <c r="EG669" s="1">
        <f>(Table1[[#This Row],[predicted_1]]-Table1[[#This Row],[actual_1]])/Table1[[#This Row],[actual_1]]</f>
        <v>-1.4977973568281937E-2</v>
      </c>
      <c r="EH669" s="1">
        <f>(Table1[[#This Row],[predicted_2]]-Table1[[#This Row],[actual_2]])/Table1[[#This Row],[actual_2]]</f>
        <v>5.0387596899224806E-2</v>
      </c>
      <c r="EI669" s="1">
        <f>(Table1[[#This Row],[predicted_3]]-Table1[[#This Row],[actual_3]])/Table1[[#This Row],[actual_3]]</f>
        <v>-9.3069306930693069E-2</v>
      </c>
      <c r="EJ669" s="1">
        <f>(Table1[[#This Row],[predicted_4]]-Table1[[#This Row],[actual_4]])/Table1[[#This Row],[actual_4]]</f>
        <v>2.0366598778004071E-3</v>
      </c>
      <c r="EK669" s="1">
        <f>(Table1[[#This Row],[predicted_5]]-Table1[[#This Row],[actual_5]])/Table1[[#This Row],[actual_5]]</f>
        <v>3.811659192825112E-2</v>
      </c>
      <c r="EL669" s="1">
        <f>(Table1[[#This Row],[predicted_6]]-Table1[[#This Row],[actual_6]])/Table1[[#This Row],[actual_6]]</f>
        <v>-5.4279749478079335E-2</v>
      </c>
      <c r="EM669" s="1">
        <f>(Table1[[#This Row],[predicted_7]]-Table1[[#This Row],[actual_7]])/Table1[[#This Row],[actual_7]]</f>
        <v>-6.2256809338521402E-2</v>
      </c>
      <c r="EN669" s="1">
        <f>(Table1[[#This Row],[predicted_8]]-Table1[[#This Row],[actual_8]])/Table1[[#This Row],[actual_8]]</f>
        <v>0.15195071868583163</v>
      </c>
      <c r="EO669" s="1">
        <f>(Table1[[#This Row],[predicted_9]]-Table1[[#This Row],[actual_9]])/Table1[[#This Row],[actual_9]]</f>
        <v>-3.5678889990089196E-2</v>
      </c>
      <c r="EP669" s="1">
        <f>1+(Table1[[#This Row],[error_ratio_0]]-EF$2)</f>
        <v>1.0255102040816326</v>
      </c>
      <c r="EQ669" s="1">
        <f>1+(Table1[[#This Row],[error_ratio_1]]-EG$2)</f>
        <v>0.98325991189427309</v>
      </c>
      <c r="ER669" s="1">
        <f>1+(Table1[[#This Row],[error_ratio_2]]-EH$2)</f>
        <v>1.055232558139535</v>
      </c>
      <c r="ES669" s="1">
        <f>1+(Table1[[#This Row],[error_ratio_3]]-EI$2)</f>
        <v>0.89702970297029705</v>
      </c>
      <c r="ET669" s="1">
        <f>1+(Table1[[#This Row],[error_ratio_4]]-EJ$2)</f>
        <v>1.0010183299389002</v>
      </c>
      <c r="EU669" s="1">
        <f>1+(Table1[[#This Row],[error_ratio_5]]-EK$2)</f>
        <v>1.0369955156950672</v>
      </c>
      <c r="EV669" s="1">
        <f>1+(Table1[[#This Row],[error_ratio_6]]-EL$2)</f>
        <v>0.95198329853862207</v>
      </c>
      <c r="EW669" s="1">
        <f>1+(Table1[[#This Row],[error_ratio_7]]-EM$2)</f>
        <v>0.93579766536964981</v>
      </c>
      <c r="EX669" s="1">
        <f>1+(Table1[[#This Row],[error_ratio_8]]-EN$2)</f>
        <v>1.1550308008213552</v>
      </c>
      <c r="EY669" s="1">
        <f>1+(Table1[[#This Row],[error_ratio_9]]-EO$2)</f>
        <v>0.96828543111992071</v>
      </c>
    </row>
    <row r="670" spans="1:155" x14ac:dyDescent="0.75">
      <c r="A670">
        <v>100</v>
      </c>
      <c r="B670">
        <v>100</v>
      </c>
      <c r="C670">
        <v>10</v>
      </c>
      <c r="D670">
        <v>10</v>
      </c>
      <c r="E670">
        <v>10</v>
      </c>
      <c r="F670">
        <v>100</v>
      </c>
      <c r="G670">
        <v>10</v>
      </c>
      <c r="H670">
        <v>10</v>
      </c>
      <c r="I670">
        <v>100</v>
      </c>
      <c r="J670">
        <v>10</v>
      </c>
      <c r="K670">
        <v>1009</v>
      </c>
      <c r="L670">
        <v>1142</v>
      </c>
      <c r="M670">
        <v>998</v>
      </c>
      <c r="N670">
        <v>908</v>
      </c>
      <c r="O670">
        <v>956</v>
      </c>
      <c r="P670">
        <v>996</v>
      </c>
      <c r="Q670">
        <v>948</v>
      </c>
      <c r="R670">
        <v>1059</v>
      </c>
      <c r="S670">
        <v>1001</v>
      </c>
      <c r="T670">
        <v>983</v>
      </c>
      <c r="U670">
        <v>980</v>
      </c>
      <c r="V670">
        <v>1135</v>
      </c>
      <c r="W670">
        <v>1032</v>
      </c>
      <c r="X670">
        <v>1010</v>
      </c>
      <c r="Y670">
        <v>982</v>
      </c>
      <c r="Z670">
        <v>892</v>
      </c>
      <c r="AA670">
        <v>958</v>
      </c>
      <c r="AB670">
        <v>1028</v>
      </c>
      <c r="AC670">
        <v>974</v>
      </c>
      <c r="AD670">
        <v>1009</v>
      </c>
      <c r="AE670">
        <v>975</v>
      </c>
      <c r="AF670">
        <v>0</v>
      </c>
      <c r="AG670">
        <v>0</v>
      </c>
      <c r="AH670">
        <v>0</v>
      </c>
      <c r="AI670">
        <v>0</v>
      </c>
      <c r="AJ670">
        <v>0</v>
      </c>
      <c r="AK670">
        <v>2</v>
      </c>
      <c r="AL670">
        <v>1</v>
      </c>
      <c r="AM670">
        <v>2</v>
      </c>
      <c r="AN670">
        <v>0</v>
      </c>
      <c r="AO670">
        <v>0</v>
      </c>
      <c r="AP670">
        <v>1127</v>
      </c>
      <c r="AQ670">
        <v>1</v>
      </c>
      <c r="AR670">
        <v>1</v>
      </c>
      <c r="AS670">
        <v>0</v>
      </c>
      <c r="AT670">
        <v>2</v>
      </c>
      <c r="AU670">
        <v>1</v>
      </c>
      <c r="AV670">
        <v>1</v>
      </c>
      <c r="AW670">
        <v>2</v>
      </c>
      <c r="AX670">
        <v>0</v>
      </c>
      <c r="AY670">
        <v>11</v>
      </c>
      <c r="AZ670">
        <v>2</v>
      </c>
      <c r="BA670">
        <v>979</v>
      </c>
      <c r="BB670">
        <v>0</v>
      </c>
      <c r="BC670">
        <v>0</v>
      </c>
      <c r="BD670">
        <v>2</v>
      </c>
      <c r="BE670">
        <v>8</v>
      </c>
      <c r="BF670">
        <v>12</v>
      </c>
      <c r="BG670">
        <v>18</v>
      </c>
      <c r="BH670">
        <v>0</v>
      </c>
      <c r="BI670">
        <v>1</v>
      </c>
      <c r="BJ670">
        <v>0</v>
      </c>
      <c r="BK670">
        <v>4</v>
      </c>
      <c r="BL670">
        <v>903</v>
      </c>
      <c r="BM670">
        <v>0</v>
      </c>
      <c r="BN670">
        <v>68</v>
      </c>
      <c r="BO670">
        <v>0</v>
      </c>
      <c r="BP670">
        <v>15</v>
      </c>
      <c r="BQ670">
        <v>12</v>
      </c>
      <c r="BR670">
        <v>7</v>
      </c>
      <c r="BS670">
        <v>1</v>
      </c>
      <c r="BT670">
        <v>1</v>
      </c>
      <c r="BU670">
        <v>0</v>
      </c>
      <c r="BV670">
        <v>0</v>
      </c>
      <c r="BW670">
        <v>947</v>
      </c>
      <c r="BX670">
        <v>0</v>
      </c>
      <c r="BY670">
        <v>13</v>
      </c>
      <c r="BZ670">
        <v>3</v>
      </c>
      <c r="CA670">
        <v>2</v>
      </c>
      <c r="CB670">
        <v>15</v>
      </c>
      <c r="CC670">
        <v>1</v>
      </c>
      <c r="CD670">
        <v>0</v>
      </c>
      <c r="CE670">
        <v>0</v>
      </c>
      <c r="CF670">
        <v>0</v>
      </c>
      <c r="CG670">
        <v>0</v>
      </c>
      <c r="CH670">
        <v>890</v>
      </c>
      <c r="CI670">
        <v>1</v>
      </c>
      <c r="CJ670">
        <v>0</v>
      </c>
      <c r="CK670">
        <v>0</v>
      </c>
      <c r="CL670">
        <v>0</v>
      </c>
      <c r="CM670">
        <v>12</v>
      </c>
      <c r="CN670">
        <v>5</v>
      </c>
      <c r="CO670">
        <v>1</v>
      </c>
      <c r="CP670">
        <v>0</v>
      </c>
      <c r="CQ670">
        <v>3</v>
      </c>
      <c r="CR670">
        <v>13</v>
      </c>
      <c r="CS670">
        <v>922</v>
      </c>
      <c r="CT670">
        <v>0</v>
      </c>
      <c r="CU670">
        <v>2</v>
      </c>
      <c r="CV670">
        <v>0</v>
      </c>
      <c r="CW670">
        <v>2</v>
      </c>
      <c r="CX670">
        <v>4</v>
      </c>
      <c r="CY670">
        <v>12</v>
      </c>
      <c r="CZ670">
        <v>0</v>
      </c>
      <c r="DA670">
        <v>0</v>
      </c>
      <c r="DB670">
        <v>2</v>
      </c>
      <c r="DC670">
        <v>0</v>
      </c>
      <c r="DD670">
        <v>999</v>
      </c>
      <c r="DE670">
        <v>3</v>
      </c>
      <c r="DF670">
        <v>6</v>
      </c>
      <c r="DG670">
        <v>1</v>
      </c>
      <c r="DH670">
        <v>0</v>
      </c>
      <c r="DI670">
        <v>1</v>
      </c>
      <c r="DJ670">
        <v>0</v>
      </c>
      <c r="DK670">
        <v>1</v>
      </c>
      <c r="DL670">
        <v>4</v>
      </c>
      <c r="DM670">
        <v>0</v>
      </c>
      <c r="DN670">
        <v>5</v>
      </c>
      <c r="DO670">
        <v>955</v>
      </c>
      <c r="DP670">
        <v>7</v>
      </c>
      <c r="DQ670">
        <v>5</v>
      </c>
      <c r="DR670">
        <v>3</v>
      </c>
      <c r="DS670">
        <v>0</v>
      </c>
      <c r="DT670">
        <v>4</v>
      </c>
      <c r="DU670">
        <v>5</v>
      </c>
      <c r="DV670">
        <v>15</v>
      </c>
      <c r="DW670">
        <v>1</v>
      </c>
      <c r="DX670">
        <v>23</v>
      </c>
      <c r="DY670">
        <v>5</v>
      </c>
      <c r="DZ670">
        <v>948</v>
      </c>
      <c r="EA670">
        <v>0.96450000000000002</v>
      </c>
      <c r="EB670">
        <v>0.96471410865756502</v>
      </c>
      <c r="EC670">
        <v>0.96469171288816302</v>
      </c>
      <c r="ED670">
        <v>0.96402438330524398</v>
      </c>
      <c r="EE670">
        <f>SUM(Table1[[#This Row],[ratio_0]:[ratio_9]])</f>
        <v>460</v>
      </c>
      <c r="EF670" s="1">
        <f>(Table1[[#This Row],[predicted_0]]-Table1[[#This Row],[actual_0]])/Table1[[#This Row],[actual_0]]</f>
        <v>2.9591836734693878E-2</v>
      </c>
      <c r="EG670" s="1">
        <f>(Table1[[#This Row],[predicted_1]]-Table1[[#This Row],[actual_1]])/Table1[[#This Row],[actual_1]]</f>
        <v>6.1674008810572688E-3</v>
      </c>
      <c r="EH670" s="1">
        <f>(Table1[[#This Row],[predicted_2]]-Table1[[#This Row],[actual_2]])/Table1[[#This Row],[actual_2]]</f>
        <v>-3.294573643410853E-2</v>
      </c>
      <c r="EI670" s="1">
        <f>(Table1[[#This Row],[predicted_3]]-Table1[[#This Row],[actual_3]])/Table1[[#This Row],[actual_3]]</f>
        <v>-0.100990099009901</v>
      </c>
      <c r="EJ670" s="1">
        <f>(Table1[[#This Row],[predicted_4]]-Table1[[#This Row],[actual_4]])/Table1[[#This Row],[actual_4]]</f>
        <v>-2.6476578411405296E-2</v>
      </c>
      <c r="EK670" s="1">
        <f>(Table1[[#This Row],[predicted_5]]-Table1[[#This Row],[actual_5]])/Table1[[#This Row],[actual_5]]</f>
        <v>0.11659192825112108</v>
      </c>
      <c r="EL670" s="1">
        <f>(Table1[[#This Row],[predicted_6]]-Table1[[#This Row],[actual_6]])/Table1[[#This Row],[actual_6]]</f>
        <v>-1.0438413361169102E-2</v>
      </c>
      <c r="EM670" s="1">
        <f>(Table1[[#This Row],[predicted_7]]-Table1[[#This Row],[actual_7]])/Table1[[#This Row],[actual_7]]</f>
        <v>3.0155642023346304E-2</v>
      </c>
      <c r="EN670" s="1">
        <f>(Table1[[#This Row],[predicted_8]]-Table1[[#This Row],[actual_8]])/Table1[[#This Row],[actual_8]]</f>
        <v>2.7720739219712527E-2</v>
      </c>
      <c r="EO670" s="1">
        <f>(Table1[[#This Row],[predicted_9]]-Table1[[#This Row],[actual_9]])/Table1[[#This Row],[actual_9]]</f>
        <v>-2.576808721506442E-2</v>
      </c>
      <c r="EP670" s="1">
        <f>1+(Table1[[#This Row],[error_ratio_0]]-EF$2)</f>
        <v>1.0275510204081633</v>
      </c>
      <c r="EQ670" s="1">
        <f>1+(Table1[[#This Row],[error_ratio_1]]-EG$2)</f>
        <v>1.0044052863436124</v>
      </c>
      <c r="ER670" s="1">
        <f>1+(Table1[[#This Row],[error_ratio_2]]-EH$2)</f>
        <v>0.9718992248062015</v>
      </c>
      <c r="ES670" s="1">
        <f>1+(Table1[[#This Row],[error_ratio_3]]-EI$2)</f>
        <v>0.88910891089108912</v>
      </c>
      <c r="ET670" s="1">
        <f>1+(Table1[[#This Row],[error_ratio_4]]-EJ$2)</f>
        <v>0.97250509164969445</v>
      </c>
      <c r="EU670" s="1">
        <f>1+(Table1[[#This Row],[error_ratio_5]]-EK$2)</f>
        <v>1.1154708520179373</v>
      </c>
      <c r="EV670" s="1">
        <f>1+(Table1[[#This Row],[error_ratio_6]]-EL$2)</f>
        <v>0.99582463465553239</v>
      </c>
      <c r="EW670" s="1">
        <f>1+(Table1[[#This Row],[error_ratio_7]]-EM$2)</f>
        <v>1.0282101167315174</v>
      </c>
      <c r="EX670" s="1">
        <f>1+(Table1[[#This Row],[error_ratio_8]]-EN$2)</f>
        <v>1.0308008213552362</v>
      </c>
      <c r="EY670" s="1">
        <f>1+(Table1[[#This Row],[error_ratio_9]]-EO$2)</f>
        <v>0.97819623389494548</v>
      </c>
    </row>
    <row r="671" spans="1:155" x14ac:dyDescent="0.75">
      <c r="A671">
        <v>10</v>
      </c>
      <c r="B671">
        <v>100</v>
      </c>
      <c r="C671">
        <v>10</v>
      </c>
      <c r="D671">
        <v>10</v>
      </c>
      <c r="E671">
        <v>10</v>
      </c>
      <c r="F671">
        <v>100</v>
      </c>
      <c r="G671">
        <v>10</v>
      </c>
      <c r="H671">
        <v>10</v>
      </c>
      <c r="I671">
        <v>100</v>
      </c>
      <c r="J671">
        <v>10</v>
      </c>
      <c r="K671">
        <v>980</v>
      </c>
      <c r="L671">
        <v>1173</v>
      </c>
      <c r="M671">
        <v>1047</v>
      </c>
      <c r="N671">
        <v>937</v>
      </c>
      <c r="O671">
        <v>986</v>
      </c>
      <c r="P671">
        <v>909</v>
      </c>
      <c r="Q671">
        <v>983</v>
      </c>
      <c r="R671">
        <v>1021</v>
      </c>
      <c r="S671">
        <v>1057</v>
      </c>
      <c r="T671">
        <v>907</v>
      </c>
      <c r="U671">
        <v>980</v>
      </c>
      <c r="V671">
        <v>1135</v>
      </c>
      <c r="W671">
        <v>1032</v>
      </c>
      <c r="X671">
        <v>1010</v>
      </c>
      <c r="Y671">
        <v>982</v>
      </c>
      <c r="Z671">
        <v>892</v>
      </c>
      <c r="AA671">
        <v>958</v>
      </c>
      <c r="AB671">
        <v>1028</v>
      </c>
      <c r="AC671">
        <v>974</v>
      </c>
      <c r="AD671">
        <v>1009</v>
      </c>
      <c r="AE671">
        <v>944</v>
      </c>
      <c r="AF671">
        <v>0</v>
      </c>
      <c r="AG671">
        <v>1</v>
      </c>
      <c r="AH671">
        <v>0</v>
      </c>
      <c r="AI671">
        <v>1</v>
      </c>
      <c r="AJ671">
        <v>1</v>
      </c>
      <c r="AK671">
        <v>24</v>
      </c>
      <c r="AL671">
        <v>3</v>
      </c>
      <c r="AM671">
        <v>6</v>
      </c>
      <c r="AN671">
        <v>0</v>
      </c>
      <c r="AO671">
        <v>0</v>
      </c>
      <c r="AP671">
        <v>1135</v>
      </c>
      <c r="AQ671">
        <v>0</v>
      </c>
      <c r="AR671">
        <v>0</v>
      </c>
      <c r="AS671">
        <v>0</v>
      </c>
      <c r="AT671">
        <v>0</v>
      </c>
      <c r="AU671">
        <v>0</v>
      </c>
      <c r="AV671">
        <v>0</v>
      </c>
      <c r="AW671">
        <v>0</v>
      </c>
      <c r="AX671">
        <v>0</v>
      </c>
      <c r="AY671">
        <v>10</v>
      </c>
      <c r="AZ671">
        <v>5</v>
      </c>
      <c r="BA671">
        <v>989</v>
      </c>
      <c r="BB671">
        <v>0</v>
      </c>
      <c r="BC671">
        <v>1</v>
      </c>
      <c r="BD671">
        <v>0</v>
      </c>
      <c r="BE671">
        <v>9</v>
      </c>
      <c r="BF671">
        <v>5</v>
      </c>
      <c r="BG671">
        <v>13</v>
      </c>
      <c r="BH671">
        <v>0</v>
      </c>
      <c r="BI671">
        <v>2</v>
      </c>
      <c r="BJ671">
        <v>0</v>
      </c>
      <c r="BK671">
        <v>10</v>
      </c>
      <c r="BL671">
        <v>932</v>
      </c>
      <c r="BM671">
        <v>0</v>
      </c>
      <c r="BN671">
        <v>27</v>
      </c>
      <c r="BO671">
        <v>0</v>
      </c>
      <c r="BP671">
        <v>16</v>
      </c>
      <c r="BQ671">
        <v>22</v>
      </c>
      <c r="BR671">
        <v>1</v>
      </c>
      <c r="BS671">
        <v>0</v>
      </c>
      <c r="BT671">
        <v>5</v>
      </c>
      <c r="BU671">
        <v>3</v>
      </c>
      <c r="BV671">
        <v>0</v>
      </c>
      <c r="BW671">
        <v>959</v>
      </c>
      <c r="BX671">
        <v>0</v>
      </c>
      <c r="BY671">
        <v>8</v>
      </c>
      <c r="BZ671">
        <v>0</v>
      </c>
      <c r="CA671">
        <v>3</v>
      </c>
      <c r="CB671">
        <v>4</v>
      </c>
      <c r="CC671">
        <v>1</v>
      </c>
      <c r="CD671">
        <v>0</v>
      </c>
      <c r="CE671">
        <v>0</v>
      </c>
      <c r="CF671">
        <v>1</v>
      </c>
      <c r="CG671">
        <v>0</v>
      </c>
      <c r="CH671">
        <v>868</v>
      </c>
      <c r="CI671">
        <v>7</v>
      </c>
      <c r="CJ671">
        <v>1</v>
      </c>
      <c r="CK671">
        <v>13</v>
      </c>
      <c r="CL671">
        <v>1</v>
      </c>
      <c r="CM671">
        <v>4</v>
      </c>
      <c r="CN671">
        <v>4</v>
      </c>
      <c r="CO671">
        <v>1</v>
      </c>
      <c r="CP671">
        <v>0</v>
      </c>
      <c r="CQ671">
        <v>5</v>
      </c>
      <c r="CR671">
        <v>1</v>
      </c>
      <c r="CS671">
        <v>933</v>
      </c>
      <c r="CT671">
        <v>0</v>
      </c>
      <c r="CU671">
        <v>10</v>
      </c>
      <c r="CV671">
        <v>0</v>
      </c>
      <c r="CW671">
        <v>6</v>
      </c>
      <c r="CX671">
        <v>15</v>
      </c>
      <c r="CY671">
        <v>40</v>
      </c>
      <c r="CZ671">
        <v>0</v>
      </c>
      <c r="DA671">
        <v>4</v>
      </c>
      <c r="DB671">
        <v>0</v>
      </c>
      <c r="DC671">
        <v>0</v>
      </c>
      <c r="DD671">
        <v>960</v>
      </c>
      <c r="DE671">
        <v>1</v>
      </c>
      <c r="DF671">
        <v>2</v>
      </c>
      <c r="DG671">
        <v>0</v>
      </c>
      <c r="DH671">
        <v>0</v>
      </c>
      <c r="DI671">
        <v>2</v>
      </c>
      <c r="DJ671">
        <v>1</v>
      </c>
      <c r="DK671">
        <v>1</v>
      </c>
      <c r="DL671">
        <v>0</v>
      </c>
      <c r="DM671">
        <v>1</v>
      </c>
      <c r="DN671">
        <v>5</v>
      </c>
      <c r="DO671">
        <v>963</v>
      </c>
      <c r="DP671">
        <v>1</v>
      </c>
      <c r="DQ671">
        <v>13</v>
      </c>
      <c r="DR671">
        <v>9</v>
      </c>
      <c r="DS671">
        <v>1</v>
      </c>
      <c r="DT671">
        <v>3</v>
      </c>
      <c r="DU671">
        <v>15</v>
      </c>
      <c r="DV671">
        <v>12</v>
      </c>
      <c r="DW671">
        <v>1</v>
      </c>
      <c r="DX671">
        <v>31</v>
      </c>
      <c r="DY671">
        <v>26</v>
      </c>
      <c r="DZ671">
        <v>898</v>
      </c>
      <c r="EA671">
        <v>0.95809999999999995</v>
      </c>
      <c r="EB671">
        <v>0.95881855050293896</v>
      </c>
      <c r="EC671">
        <v>0.95804960598675903</v>
      </c>
      <c r="ED671">
        <v>0.95781659674645603</v>
      </c>
      <c r="EE671">
        <f>SUM(Table1[[#This Row],[ratio_0]:[ratio_9]])</f>
        <v>370</v>
      </c>
      <c r="EF671" s="1">
        <f>(Table1[[#This Row],[predicted_0]]-Table1[[#This Row],[actual_0]])/Table1[[#This Row],[actual_0]]</f>
        <v>0</v>
      </c>
      <c r="EG671" s="1">
        <f>(Table1[[#This Row],[predicted_1]]-Table1[[#This Row],[actual_1]])/Table1[[#This Row],[actual_1]]</f>
        <v>3.3480176211453744E-2</v>
      </c>
      <c r="EH671" s="1">
        <f>(Table1[[#This Row],[predicted_2]]-Table1[[#This Row],[actual_2]])/Table1[[#This Row],[actual_2]]</f>
        <v>1.4534883720930232E-2</v>
      </c>
      <c r="EI671" s="1">
        <f>(Table1[[#This Row],[predicted_3]]-Table1[[#This Row],[actual_3]])/Table1[[#This Row],[actual_3]]</f>
        <v>-7.2277227722772272E-2</v>
      </c>
      <c r="EJ671" s="1">
        <f>(Table1[[#This Row],[predicted_4]]-Table1[[#This Row],[actual_4]])/Table1[[#This Row],[actual_4]]</f>
        <v>4.0733197556008143E-3</v>
      </c>
      <c r="EK671" s="1">
        <f>(Table1[[#This Row],[predicted_5]]-Table1[[#This Row],[actual_5]])/Table1[[#This Row],[actual_5]]</f>
        <v>1.905829596412556E-2</v>
      </c>
      <c r="EL671" s="1">
        <f>(Table1[[#This Row],[predicted_6]]-Table1[[#This Row],[actual_6]])/Table1[[#This Row],[actual_6]]</f>
        <v>2.6096033402922755E-2</v>
      </c>
      <c r="EM671" s="1">
        <f>(Table1[[#This Row],[predicted_7]]-Table1[[#This Row],[actual_7]])/Table1[[#This Row],[actual_7]]</f>
        <v>-6.8093385214007783E-3</v>
      </c>
      <c r="EN671" s="1">
        <f>(Table1[[#This Row],[predicted_8]]-Table1[[#This Row],[actual_8]])/Table1[[#This Row],[actual_8]]</f>
        <v>8.5215605749486653E-2</v>
      </c>
      <c r="EO671" s="1">
        <f>(Table1[[#This Row],[predicted_9]]-Table1[[#This Row],[actual_9]])/Table1[[#This Row],[actual_9]]</f>
        <v>-0.10109018830525272</v>
      </c>
      <c r="EP671" s="1">
        <f>1+(Table1[[#This Row],[error_ratio_0]]-EF$2)</f>
        <v>0.99795918367346936</v>
      </c>
      <c r="EQ671" s="1">
        <f>1+(Table1[[#This Row],[error_ratio_1]]-EG$2)</f>
        <v>1.0317180616740087</v>
      </c>
      <c r="ER671" s="1">
        <f>1+(Table1[[#This Row],[error_ratio_2]]-EH$2)</f>
        <v>1.0193798449612403</v>
      </c>
      <c r="ES671" s="1">
        <f>1+(Table1[[#This Row],[error_ratio_3]]-EI$2)</f>
        <v>0.91782178217821786</v>
      </c>
      <c r="ET671" s="1">
        <f>1+(Table1[[#This Row],[error_ratio_4]]-EJ$2)</f>
        <v>1.0030549898167007</v>
      </c>
      <c r="EU671" s="1">
        <f>1+(Table1[[#This Row],[error_ratio_5]]-EK$2)</f>
        <v>1.0179372197309418</v>
      </c>
      <c r="EV671" s="1">
        <f>1+(Table1[[#This Row],[error_ratio_6]]-EL$2)</f>
        <v>1.0323590814196242</v>
      </c>
      <c r="EW671" s="1">
        <f>1+(Table1[[#This Row],[error_ratio_7]]-EM$2)</f>
        <v>0.99124513618677046</v>
      </c>
      <c r="EX671" s="1">
        <f>1+(Table1[[#This Row],[error_ratio_8]]-EN$2)</f>
        <v>1.0882956878850103</v>
      </c>
      <c r="EY671" s="1">
        <f>1+(Table1[[#This Row],[error_ratio_9]]-EO$2)</f>
        <v>0.90287413280475715</v>
      </c>
    </row>
    <row r="672" spans="1:155" x14ac:dyDescent="0.75">
      <c r="A672">
        <v>100</v>
      </c>
      <c r="B672">
        <v>10</v>
      </c>
      <c r="C672">
        <v>10</v>
      </c>
      <c r="D672">
        <v>10</v>
      </c>
      <c r="E672">
        <v>10</v>
      </c>
      <c r="F672">
        <v>100</v>
      </c>
      <c r="G672">
        <v>10</v>
      </c>
      <c r="H672">
        <v>10</v>
      </c>
      <c r="I672">
        <v>100</v>
      </c>
      <c r="J672">
        <v>10</v>
      </c>
      <c r="K672">
        <v>1097</v>
      </c>
      <c r="L672">
        <v>1079</v>
      </c>
      <c r="M672">
        <v>918</v>
      </c>
      <c r="N672">
        <v>978</v>
      </c>
      <c r="O672">
        <v>908</v>
      </c>
      <c r="P672">
        <v>948</v>
      </c>
      <c r="Q672">
        <v>934</v>
      </c>
      <c r="R672">
        <v>1048</v>
      </c>
      <c r="S672">
        <v>1266</v>
      </c>
      <c r="T672">
        <v>824</v>
      </c>
      <c r="U672">
        <v>980</v>
      </c>
      <c r="V672">
        <v>1135</v>
      </c>
      <c r="W672">
        <v>1032</v>
      </c>
      <c r="X672">
        <v>1010</v>
      </c>
      <c r="Y672">
        <v>982</v>
      </c>
      <c r="Z672">
        <v>892</v>
      </c>
      <c r="AA672">
        <v>958</v>
      </c>
      <c r="AB672">
        <v>1028</v>
      </c>
      <c r="AC672">
        <v>974</v>
      </c>
      <c r="AD672">
        <v>1009</v>
      </c>
      <c r="AE672">
        <v>977</v>
      </c>
      <c r="AF672">
        <v>0</v>
      </c>
      <c r="AG672">
        <v>0</v>
      </c>
      <c r="AH672">
        <v>0</v>
      </c>
      <c r="AI672">
        <v>0</v>
      </c>
      <c r="AJ672">
        <v>0</v>
      </c>
      <c r="AK672">
        <v>0</v>
      </c>
      <c r="AL672">
        <v>0</v>
      </c>
      <c r="AM672">
        <v>3</v>
      </c>
      <c r="AN672">
        <v>0</v>
      </c>
      <c r="AO672">
        <v>2</v>
      </c>
      <c r="AP672">
        <v>1058</v>
      </c>
      <c r="AQ672">
        <v>0</v>
      </c>
      <c r="AR672">
        <v>8</v>
      </c>
      <c r="AS672">
        <v>0</v>
      </c>
      <c r="AT672">
        <v>0</v>
      </c>
      <c r="AU672">
        <v>2</v>
      </c>
      <c r="AV672">
        <v>7</v>
      </c>
      <c r="AW672">
        <v>58</v>
      </c>
      <c r="AX672">
        <v>0</v>
      </c>
      <c r="AY672">
        <v>24</v>
      </c>
      <c r="AZ672">
        <v>18</v>
      </c>
      <c r="BA672">
        <v>884</v>
      </c>
      <c r="BB672">
        <v>5</v>
      </c>
      <c r="BC672">
        <v>0</v>
      </c>
      <c r="BD672">
        <v>2</v>
      </c>
      <c r="BE672">
        <v>4</v>
      </c>
      <c r="BF672">
        <v>15</v>
      </c>
      <c r="BG672">
        <v>80</v>
      </c>
      <c r="BH672">
        <v>0</v>
      </c>
      <c r="BI672">
        <v>0</v>
      </c>
      <c r="BJ672">
        <v>0</v>
      </c>
      <c r="BK672">
        <v>5</v>
      </c>
      <c r="BL672">
        <v>952</v>
      </c>
      <c r="BM672">
        <v>0</v>
      </c>
      <c r="BN672">
        <v>19</v>
      </c>
      <c r="BO672">
        <v>0</v>
      </c>
      <c r="BP672">
        <v>10</v>
      </c>
      <c r="BQ672">
        <v>23</v>
      </c>
      <c r="BR672">
        <v>1</v>
      </c>
      <c r="BS672">
        <v>27</v>
      </c>
      <c r="BT672">
        <v>0</v>
      </c>
      <c r="BU672">
        <v>15</v>
      </c>
      <c r="BV672">
        <v>0</v>
      </c>
      <c r="BW672">
        <v>885</v>
      </c>
      <c r="BX672">
        <v>0</v>
      </c>
      <c r="BY672">
        <v>9</v>
      </c>
      <c r="BZ672">
        <v>3</v>
      </c>
      <c r="CA672">
        <v>42</v>
      </c>
      <c r="CB672">
        <v>1</v>
      </c>
      <c r="CC672">
        <v>3</v>
      </c>
      <c r="CD672">
        <v>0</v>
      </c>
      <c r="CE672">
        <v>0</v>
      </c>
      <c r="CF672">
        <v>2</v>
      </c>
      <c r="CG672">
        <v>0</v>
      </c>
      <c r="CH672">
        <v>882</v>
      </c>
      <c r="CI672">
        <v>1</v>
      </c>
      <c r="CJ672">
        <v>1</v>
      </c>
      <c r="CK672">
        <v>3</v>
      </c>
      <c r="CL672">
        <v>0</v>
      </c>
      <c r="CM672">
        <v>15</v>
      </c>
      <c r="CN672">
        <v>3</v>
      </c>
      <c r="CO672">
        <v>0</v>
      </c>
      <c r="CP672">
        <v>0</v>
      </c>
      <c r="CQ672">
        <v>2</v>
      </c>
      <c r="CR672">
        <v>13</v>
      </c>
      <c r="CS672">
        <v>917</v>
      </c>
      <c r="CT672">
        <v>0</v>
      </c>
      <c r="CU672">
        <v>8</v>
      </c>
      <c r="CV672">
        <v>0</v>
      </c>
      <c r="CW672">
        <v>8</v>
      </c>
      <c r="CX672">
        <v>0</v>
      </c>
      <c r="CY672">
        <v>14</v>
      </c>
      <c r="CZ672">
        <v>4</v>
      </c>
      <c r="DA672">
        <v>1</v>
      </c>
      <c r="DB672">
        <v>4</v>
      </c>
      <c r="DC672">
        <v>0</v>
      </c>
      <c r="DD672">
        <v>986</v>
      </c>
      <c r="DE672">
        <v>11</v>
      </c>
      <c r="DF672">
        <v>0</v>
      </c>
      <c r="DG672">
        <v>2</v>
      </c>
      <c r="DH672">
        <v>0</v>
      </c>
      <c r="DI672">
        <v>0</v>
      </c>
      <c r="DJ672">
        <v>0</v>
      </c>
      <c r="DK672">
        <v>0</v>
      </c>
      <c r="DL672">
        <v>1</v>
      </c>
      <c r="DM672">
        <v>0</v>
      </c>
      <c r="DN672">
        <v>1</v>
      </c>
      <c r="DO672">
        <v>970</v>
      </c>
      <c r="DP672">
        <v>0</v>
      </c>
      <c r="DQ672">
        <v>39</v>
      </c>
      <c r="DR672">
        <v>0</v>
      </c>
      <c r="DS672">
        <v>0</v>
      </c>
      <c r="DT672">
        <v>7</v>
      </c>
      <c r="DU672">
        <v>20</v>
      </c>
      <c r="DV672">
        <v>27</v>
      </c>
      <c r="DW672">
        <v>1</v>
      </c>
      <c r="DX672">
        <v>25</v>
      </c>
      <c r="DY672">
        <v>68</v>
      </c>
      <c r="DZ672">
        <v>822</v>
      </c>
      <c r="EA672">
        <v>0.93330000000000002</v>
      </c>
      <c r="EB672">
        <v>0.93989796960215699</v>
      </c>
      <c r="EC672">
        <v>0.93451796901431095</v>
      </c>
      <c r="ED672">
        <v>0.93383429713989297</v>
      </c>
      <c r="EE672">
        <f>SUM(Table1[[#This Row],[ratio_0]:[ratio_9]])</f>
        <v>370</v>
      </c>
      <c r="EF672" s="1">
        <f>(Table1[[#This Row],[predicted_0]]-Table1[[#This Row],[actual_0]])/Table1[[#This Row],[actual_0]]</f>
        <v>0.11938775510204082</v>
      </c>
      <c r="EG672" s="1">
        <f>(Table1[[#This Row],[predicted_1]]-Table1[[#This Row],[actual_1]])/Table1[[#This Row],[actual_1]]</f>
        <v>-4.933920704845815E-2</v>
      </c>
      <c r="EH672" s="1">
        <f>(Table1[[#This Row],[predicted_2]]-Table1[[#This Row],[actual_2]])/Table1[[#This Row],[actual_2]]</f>
        <v>-0.11046511627906977</v>
      </c>
      <c r="EI672" s="1">
        <f>(Table1[[#This Row],[predicted_3]]-Table1[[#This Row],[actual_3]])/Table1[[#This Row],[actual_3]]</f>
        <v>-3.1683168316831684E-2</v>
      </c>
      <c r="EJ672" s="1">
        <f>(Table1[[#This Row],[predicted_4]]-Table1[[#This Row],[actual_4]])/Table1[[#This Row],[actual_4]]</f>
        <v>-7.5356415478615074E-2</v>
      </c>
      <c r="EK672" s="1">
        <f>(Table1[[#This Row],[predicted_5]]-Table1[[#This Row],[actual_5]])/Table1[[#This Row],[actual_5]]</f>
        <v>6.2780269058295965E-2</v>
      </c>
      <c r="EL672" s="1">
        <f>(Table1[[#This Row],[predicted_6]]-Table1[[#This Row],[actual_6]])/Table1[[#This Row],[actual_6]]</f>
        <v>-2.5052192066805846E-2</v>
      </c>
      <c r="EM672" s="1">
        <f>(Table1[[#This Row],[predicted_7]]-Table1[[#This Row],[actual_7]])/Table1[[#This Row],[actual_7]]</f>
        <v>1.9455252918287938E-2</v>
      </c>
      <c r="EN672" s="1">
        <f>(Table1[[#This Row],[predicted_8]]-Table1[[#This Row],[actual_8]])/Table1[[#This Row],[actual_8]]</f>
        <v>0.29979466119096509</v>
      </c>
      <c r="EO672" s="1">
        <f>(Table1[[#This Row],[predicted_9]]-Table1[[#This Row],[actual_9]])/Table1[[#This Row],[actual_9]]</f>
        <v>-0.18334985133795836</v>
      </c>
      <c r="EP672" s="1">
        <f>1+(Table1[[#This Row],[error_ratio_0]]-EF$2)</f>
        <v>1.1173469387755102</v>
      </c>
      <c r="EQ672" s="1">
        <f>1+(Table1[[#This Row],[error_ratio_1]]-EG$2)</f>
        <v>0.94889867841409692</v>
      </c>
      <c r="ER672" s="1">
        <f>1+(Table1[[#This Row],[error_ratio_2]]-EH$2)</f>
        <v>0.89437984496124034</v>
      </c>
      <c r="ES672" s="1">
        <f>1+(Table1[[#This Row],[error_ratio_3]]-EI$2)</f>
        <v>0.95841584158415838</v>
      </c>
      <c r="ET672" s="1">
        <f>1+(Table1[[#This Row],[error_ratio_4]]-EJ$2)</f>
        <v>0.92362525458248468</v>
      </c>
      <c r="EU672" s="1">
        <f>1+(Table1[[#This Row],[error_ratio_5]]-EK$2)</f>
        <v>1.061659192825112</v>
      </c>
      <c r="EV672" s="1">
        <f>1+(Table1[[#This Row],[error_ratio_6]]-EL$2)</f>
        <v>0.98121085594989566</v>
      </c>
      <c r="EW672" s="1">
        <f>1+(Table1[[#This Row],[error_ratio_7]]-EM$2)</f>
        <v>1.0175097276264591</v>
      </c>
      <c r="EX672" s="1">
        <f>1+(Table1[[#This Row],[error_ratio_8]]-EN$2)</f>
        <v>1.3028747433264887</v>
      </c>
      <c r="EY672" s="1">
        <f>1+(Table1[[#This Row],[error_ratio_9]]-EO$2)</f>
        <v>0.82061446977205155</v>
      </c>
    </row>
    <row r="673" spans="1:155" x14ac:dyDescent="0.75">
      <c r="A673">
        <v>10</v>
      </c>
      <c r="B673">
        <v>10</v>
      </c>
      <c r="C673">
        <v>10</v>
      </c>
      <c r="D673">
        <v>10</v>
      </c>
      <c r="E673">
        <v>10</v>
      </c>
      <c r="F673">
        <v>100</v>
      </c>
      <c r="G673">
        <v>10</v>
      </c>
      <c r="H673">
        <v>10</v>
      </c>
      <c r="I673">
        <v>100</v>
      </c>
      <c r="J673">
        <v>10</v>
      </c>
      <c r="K673">
        <v>1011</v>
      </c>
      <c r="L673">
        <v>1116</v>
      </c>
      <c r="M673">
        <v>1061</v>
      </c>
      <c r="N673">
        <v>977</v>
      </c>
      <c r="O673">
        <v>895</v>
      </c>
      <c r="P673">
        <v>953</v>
      </c>
      <c r="Q673">
        <v>902</v>
      </c>
      <c r="R673">
        <v>890</v>
      </c>
      <c r="S673">
        <v>1156</v>
      </c>
      <c r="T673">
        <v>1039</v>
      </c>
      <c r="U673">
        <v>980</v>
      </c>
      <c r="V673">
        <v>1135</v>
      </c>
      <c r="W673">
        <v>1032</v>
      </c>
      <c r="X673">
        <v>1010</v>
      </c>
      <c r="Y673">
        <v>982</v>
      </c>
      <c r="Z673">
        <v>892</v>
      </c>
      <c r="AA673">
        <v>958</v>
      </c>
      <c r="AB673">
        <v>1028</v>
      </c>
      <c r="AC673">
        <v>974</v>
      </c>
      <c r="AD673">
        <v>1009</v>
      </c>
      <c r="AE673">
        <v>971</v>
      </c>
      <c r="AF673">
        <v>0</v>
      </c>
      <c r="AG673">
        <v>0</v>
      </c>
      <c r="AH673">
        <v>0</v>
      </c>
      <c r="AI673">
        <v>0</v>
      </c>
      <c r="AJ673">
        <v>0</v>
      </c>
      <c r="AK673">
        <v>1</v>
      </c>
      <c r="AL673">
        <v>1</v>
      </c>
      <c r="AM673">
        <v>7</v>
      </c>
      <c r="AN673">
        <v>0</v>
      </c>
      <c r="AO673">
        <v>0</v>
      </c>
      <c r="AP673">
        <v>1085</v>
      </c>
      <c r="AQ673">
        <v>1</v>
      </c>
      <c r="AR673">
        <v>3</v>
      </c>
      <c r="AS673">
        <v>0</v>
      </c>
      <c r="AT673">
        <v>2</v>
      </c>
      <c r="AU673">
        <v>4</v>
      </c>
      <c r="AV673">
        <v>0</v>
      </c>
      <c r="AW673">
        <v>40</v>
      </c>
      <c r="AX673">
        <v>0</v>
      </c>
      <c r="AY673">
        <v>6</v>
      </c>
      <c r="AZ673">
        <v>3</v>
      </c>
      <c r="BA673">
        <v>997</v>
      </c>
      <c r="BB673">
        <v>0</v>
      </c>
      <c r="BC673">
        <v>2</v>
      </c>
      <c r="BD673">
        <v>0</v>
      </c>
      <c r="BE673">
        <v>2</v>
      </c>
      <c r="BF673">
        <v>1</v>
      </c>
      <c r="BG673">
        <v>21</v>
      </c>
      <c r="BH673">
        <v>0</v>
      </c>
      <c r="BI673">
        <v>1</v>
      </c>
      <c r="BJ673">
        <v>0</v>
      </c>
      <c r="BK673">
        <v>3</v>
      </c>
      <c r="BL673">
        <v>964</v>
      </c>
      <c r="BM673">
        <v>0</v>
      </c>
      <c r="BN673">
        <v>21</v>
      </c>
      <c r="BO673">
        <v>0</v>
      </c>
      <c r="BP673">
        <v>4</v>
      </c>
      <c r="BQ673">
        <v>13</v>
      </c>
      <c r="BR673">
        <v>4</v>
      </c>
      <c r="BS673">
        <v>1</v>
      </c>
      <c r="BT673">
        <v>0</v>
      </c>
      <c r="BU673">
        <v>3</v>
      </c>
      <c r="BV673">
        <v>1</v>
      </c>
      <c r="BW673">
        <v>882</v>
      </c>
      <c r="BX673">
        <v>2</v>
      </c>
      <c r="BY673">
        <v>6</v>
      </c>
      <c r="BZ673">
        <v>0</v>
      </c>
      <c r="CA673">
        <v>20</v>
      </c>
      <c r="CB673">
        <v>67</v>
      </c>
      <c r="CC673">
        <v>3</v>
      </c>
      <c r="CD673">
        <v>0</v>
      </c>
      <c r="CE673">
        <v>0</v>
      </c>
      <c r="CF673">
        <v>0</v>
      </c>
      <c r="CG673">
        <v>0</v>
      </c>
      <c r="CH673">
        <v>888</v>
      </c>
      <c r="CI673">
        <v>1</v>
      </c>
      <c r="CJ673">
        <v>0</v>
      </c>
      <c r="CK673">
        <v>0</v>
      </c>
      <c r="CL673">
        <v>0</v>
      </c>
      <c r="CM673">
        <v>17</v>
      </c>
      <c r="CN673">
        <v>1</v>
      </c>
      <c r="CO673">
        <v>2</v>
      </c>
      <c r="CP673">
        <v>0</v>
      </c>
      <c r="CQ673">
        <v>10</v>
      </c>
      <c r="CR673">
        <v>22</v>
      </c>
      <c r="CS673">
        <v>888</v>
      </c>
      <c r="CT673">
        <v>0</v>
      </c>
      <c r="CU673">
        <v>18</v>
      </c>
      <c r="CV673">
        <v>0</v>
      </c>
      <c r="CW673">
        <v>3</v>
      </c>
      <c r="CX673">
        <v>26</v>
      </c>
      <c r="CY673">
        <v>52</v>
      </c>
      <c r="CZ673">
        <v>2</v>
      </c>
      <c r="DA673">
        <v>0</v>
      </c>
      <c r="DB673">
        <v>1</v>
      </c>
      <c r="DC673">
        <v>0</v>
      </c>
      <c r="DD673">
        <v>881</v>
      </c>
      <c r="DE673">
        <v>38</v>
      </c>
      <c r="DF673">
        <v>25</v>
      </c>
      <c r="DG673">
        <v>4</v>
      </c>
      <c r="DH673">
        <v>0</v>
      </c>
      <c r="DI673">
        <v>0</v>
      </c>
      <c r="DJ673">
        <v>2</v>
      </c>
      <c r="DK673">
        <v>0</v>
      </c>
      <c r="DL673">
        <v>2</v>
      </c>
      <c r="DM673">
        <v>0</v>
      </c>
      <c r="DN673">
        <v>0</v>
      </c>
      <c r="DO673">
        <v>965</v>
      </c>
      <c r="DP673">
        <v>1</v>
      </c>
      <c r="DQ673">
        <v>5</v>
      </c>
      <c r="DR673">
        <v>1</v>
      </c>
      <c r="DS673">
        <v>3</v>
      </c>
      <c r="DT673">
        <v>5</v>
      </c>
      <c r="DU673">
        <v>1</v>
      </c>
      <c r="DV673">
        <v>15</v>
      </c>
      <c r="DW673">
        <v>0</v>
      </c>
      <c r="DX673">
        <v>3</v>
      </c>
      <c r="DY673">
        <v>34</v>
      </c>
      <c r="DZ673">
        <v>942</v>
      </c>
      <c r="EA673">
        <v>0.94630000000000003</v>
      </c>
      <c r="EB673">
        <v>0.94920828012188196</v>
      </c>
      <c r="EC673">
        <v>0.94692792536572701</v>
      </c>
      <c r="ED673">
        <v>0.94643400371224895</v>
      </c>
      <c r="EE673">
        <f>SUM(Table1[[#This Row],[ratio_0]:[ratio_9]])</f>
        <v>280</v>
      </c>
      <c r="EF673" s="1">
        <f>(Table1[[#This Row],[predicted_0]]-Table1[[#This Row],[actual_0]])/Table1[[#This Row],[actual_0]]</f>
        <v>3.1632653061224487E-2</v>
      </c>
      <c r="EG673" s="1">
        <f>(Table1[[#This Row],[predicted_1]]-Table1[[#This Row],[actual_1]])/Table1[[#This Row],[actual_1]]</f>
        <v>-1.6740088105726872E-2</v>
      </c>
      <c r="EH673" s="1">
        <f>(Table1[[#This Row],[predicted_2]]-Table1[[#This Row],[actual_2]])/Table1[[#This Row],[actual_2]]</f>
        <v>2.8100775193798451E-2</v>
      </c>
      <c r="EI673" s="1">
        <f>(Table1[[#This Row],[predicted_3]]-Table1[[#This Row],[actual_3]])/Table1[[#This Row],[actual_3]]</f>
        <v>-3.2673267326732675E-2</v>
      </c>
      <c r="EJ673" s="1">
        <f>(Table1[[#This Row],[predicted_4]]-Table1[[#This Row],[actual_4]])/Table1[[#This Row],[actual_4]]</f>
        <v>-8.8594704684317724E-2</v>
      </c>
      <c r="EK673" s="1">
        <f>(Table1[[#This Row],[predicted_5]]-Table1[[#This Row],[actual_5]])/Table1[[#This Row],[actual_5]]</f>
        <v>6.838565022421525E-2</v>
      </c>
      <c r="EL673" s="1">
        <f>(Table1[[#This Row],[predicted_6]]-Table1[[#This Row],[actual_6]])/Table1[[#This Row],[actual_6]]</f>
        <v>-5.845511482254697E-2</v>
      </c>
      <c r="EM673" s="1">
        <f>(Table1[[#This Row],[predicted_7]]-Table1[[#This Row],[actual_7]])/Table1[[#This Row],[actual_7]]</f>
        <v>-0.13424124513618677</v>
      </c>
      <c r="EN673" s="1">
        <f>(Table1[[#This Row],[predicted_8]]-Table1[[#This Row],[actual_8]])/Table1[[#This Row],[actual_8]]</f>
        <v>0.18685831622176591</v>
      </c>
      <c r="EO673" s="1">
        <f>(Table1[[#This Row],[predicted_9]]-Table1[[#This Row],[actual_9]])/Table1[[#This Row],[actual_9]]</f>
        <v>2.973240832507433E-2</v>
      </c>
      <c r="EP673" s="1">
        <f>1+(Table1[[#This Row],[error_ratio_0]]-EF$2)</f>
        <v>1.0295918367346939</v>
      </c>
      <c r="EQ673" s="1">
        <f>1+(Table1[[#This Row],[error_ratio_1]]-EG$2)</f>
        <v>0.98149779735682818</v>
      </c>
      <c r="ER673" s="1">
        <f>1+(Table1[[#This Row],[error_ratio_2]]-EH$2)</f>
        <v>1.0329457364341086</v>
      </c>
      <c r="ES673" s="1">
        <f>1+(Table1[[#This Row],[error_ratio_3]]-EI$2)</f>
        <v>0.95742574257425739</v>
      </c>
      <c r="ET673" s="1">
        <f>1+(Table1[[#This Row],[error_ratio_4]]-EJ$2)</f>
        <v>0.9103869653767821</v>
      </c>
      <c r="EU673" s="1">
        <f>1+(Table1[[#This Row],[error_ratio_5]]-EK$2)</f>
        <v>1.0672645739910314</v>
      </c>
      <c r="EV673" s="1">
        <f>1+(Table1[[#This Row],[error_ratio_6]]-EL$2)</f>
        <v>0.94780793319415446</v>
      </c>
      <c r="EW673" s="1">
        <f>1+(Table1[[#This Row],[error_ratio_7]]-EM$2)</f>
        <v>0.86381322957198448</v>
      </c>
      <c r="EX673" s="1">
        <f>1+(Table1[[#This Row],[error_ratio_8]]-EN$2)</f>
        <v>1.1899383983572895</v>
      </c>
      <c r="EY673" s="1">
        <f>1+(Table1[[#This Row],[error_ratio_9]]-EO$2)</f>
        <v>1.0336967294350843</v>
      </c>
    </row>
    <row r="674" spans="1:155" x14ac:dyDescent="0.75">
      <c r="A674">
        <v>100</v>
      </c>
      <c r="B674">
        <v>100</v>
      </c>
      <c r="C674">
        <v>100</v>
      </c>
      <c r="D674">
        <v>100</v>
      </c>
      <c r="E674">
        <v>100</v>
      </c>
      <c r="F674">
        <v>10</v>
      </c>
      <c r="G674">
        <v>10</v>
      </c>
      <c r="H674">
        <v>10</v>
      </c>
      <c r="I674">
        <v>100</v>
      </c>
      <c r="J674">
        <v>10</v>
      </c>
      <c r="K674">
        <v>1017</v>
      </c>
      <c r="L674">
        <v>1170</v>
      </c>
      <c r="M674">
        <v>1062</v>
      </c>
      <c r="N674">
        <v>1060</v>
      </c>
      <c r="O674">
        <v>990</v>
      </c>
      <c r="P674">
        <v>861</v>
      </c>
      <c r="Q674">
        <v>902</v>
      </c>
      <c r="R674">
        <v>1005</v>
      </c>
      <c r="S674">
        <v>986</v>
      </c>
      <c r="T674">
        <v>947</v>
      </c>
      <c r="U674">
        <v>980</v>
      </c>
      <c r="V674">
        <v>1135</v>
      </c>
      <c r="W674">
        <v>1032</v>
      </c>
      <c r="X674">
        <v>1010</v>
      </c>
      <c r="Y674">
        <v>982</v>
      </c>
      <c r="Z674">
        <v>892</v>
      </c>
      <c r="AA674">
        <v>958</v>
      </c>
      <c r="AB674">
        <v>1028</v>
      </c>
      <c r="AC674">
        <v>974</v>
      </c>
      <c r="AD674">
        <v>1009</v>
      </c>
      <c r="AE674">
        <v>976</v>
      </c>
      <c r="AF674">
        <v>1</v>
      </c>
      <c r="AG674">
        <v>0</v>
      </c>
      <c r="AH674">
        <v>0</v>
      </c>
      <c r="AI674">
        <v>0</v>
      </c>
      <c r="AJ674">
        <v>0</v>
      </c>
      <c r="AK674">
        <v>0</v>
      </c>
      <c r="AL674">
        <v>1</v>
      </c>
      <c r="AM674">
        <v>2</v>
      </c>
      <c r="AN674">
        <v>0</v>
      </c>
      <c r="AO674">
        <v>0</v>
      </c>
      <c r="AP674">
        <v>1134</v>
      </c>
      <c r="AQ674">
        <v>1</v>
      </c>
      <c r="AR674">
        <v>0</v>
      </c>
      <c r="AS674">
        <v>0</v>
      </c>
      <c r="AT674">
        <v>0</v>
      </c>
      <c r="AU674">
        <v>0</v>
      </c>
      <c r="AV674">
        <v>0</v>
      </c>
      <c r="AW674">
        <v>0</v>
      </c>
      <c r="AX674">
        <v>0</v>
      </c>
      <c r="AY674">
        <v>1</v>
      </c>
      <c r="AZ674">
        <v>2</v>
      </c>
      <c r="BA674">
        <v>1024</v>
      </c>
      <c r="BB674">
        <v>0</v>
      </c>
      <c r="BC674">
        <v>0</v>
      </c>
      <c r="BD674">
        <v>0</v>
      </c>
      <c r="BE674">
        <v>0</v>
      </c>
      <c r="BF674">
        <v>4</v>
      </c>
      <c r="BG674">
        <v>1</v>
      </c>
      <c r="BH674">
        <v>0</v>
      </c>
      <c r="BI674">
        <v>0</v>
      </c>
      <c r="BJ674">
        <v>0</v>
      </c>
      <c r="BK674">
        <v>1</v>
      </c>
      <c r="BL674">
        <v>1003</v>
      </c>
      <c r="BM674">
        <v>0</v>
      </c>
      <c r="BN674">
        <v>2</v>
      </c>
      <c r="BO674">
        <v>0</v>
      </c>
      <c r="BP674">
        <v>2</v>
      </c>
      <c r="BQ674">
        <v>2</v>
      </c>
      <c r="BR674">
        <v>0</v>
      </c>
      <c r="BS674">
        <v>2</v>
      </c>
      <c r="BT674">
        <v>0</v>
      </c>
      <c r="BU674">
        <v>1</v>
      </c>
      <c r="BV674">
        <v>0</v>
      </c>
      <c r="BW674">
        <v>974</v>
      </c>
      <c r="BX674">
        <v>0</v>
      </c>
      <c r="BY674">
        <v>1</v>
      </c>
      <c r="BZ674">
        <v>0</v>
      </c>
      <c r="CA674">
        <v>0</v>
      </c>
      <c r="CB674">
        <v>4</v>
      </c>
      <c r="CC674">
        <v>2</v>
      </c>
      <c r="CD674">
        <v>2</v>
      </c>
      <c r="CE674">
        <v>1</v>
      </c>
      <c r="CF674">
        <v>36</v>
      </c>
      <c r="CG674">
        <v>0</v>
      </c>
      <c r="CH674">
        <v>842</v>
      </c>
      <c r="CI674">
        <v>1</v>
      </c>
      <c r="CJ674">
        <v>2</v>
      </c>
      <c r="CK674">
        <v>6</v>
      </c>
      <c r="CL674">
        <v>0</v>
      </c>
      <c r="CM674">
        <v>24</v>
      </c>
      <c r="CN674">
        <v>10</v>
      </c>
      <c r="CO674">
        <v>1</v>
      </c>
      <c r="CP674">
        <v>0</v>
      </c>
      <c r="CQ674">
        <v>6</v>
      </c>
      <c r="CR674">
        <v>10</v>
      </c>
      <c r="CS674">
        <v>900</v>
      </c>
      <c r="CT674">
        <v>0</v>
      </c>
      <c r="CU674">
        <v>7</v>
      </c>
      <c r="CV674">
        <v>0</v>
      </c>
      <c r="CW674">
        <v>1</v>
      </c>
      <c r="CX674">
        <v>12</v>
      </c>
      <c r="CY674">
        <v>26</v>
      </c>
      <c r="CZ674">
        <v>4</v>
      </c>
      <c r="DA674">
        <v>1</v>
      </c>
      <c r="DB674">
        <v>0</v>
      </c>
      <c r="DC674">
        <v>0</v>
      </c>
      <c r="DD674">
        <v>981</v>
      </c>
      <c r="DE674">
        <v>1</v>
      </c>
      <c r="DF674">
        <v>2</v>
      </c>
      <c r="DG674">
        <v>5</v>
      </c>
      <c r="DH674">
        <v>0</v>
      </c>
      <c r="DI674">
        <v>5</v>
      </c>
      <c r="DJ674">
        <v>5</v>
      </c>
      <c r="DK674">
        <v>1</v>
      </c>
      <c r="DL674">
        <v>0</v>
      </c>
      <c r="DM674">
        <v>0</v>
      </c>
      <c r="DN674">
        <v>3</v>
      </c>
      <c r="DO674">
        <v>955</v>
      </c>
      <c r="DP674">
        <v>0</v>
      </c>
      <c r="DQ674">
        <v>6</v>
      </c>
      <c r="DR674">
        <v>9</v>
      </c>
      <c r="DS674">
        <v>2</v>
      </c>
      <c r="DT674">
        <v>12</v>
      </c>
      <c r="DU674">
        <v>8</v>
      </c>
      <c r="DV674">
        <v>7</v>
      </c>
      <c r="DW674">
        <v>0</v>
      </c>
      <c r="DX674">
        <v>12</v>
      </c>
      <c r="DY674">
        <v>12</v>
      </c>
      <c r="DZ674">
        <v>941</v>
      </c>
      <c r="EA674">
        <v>0.97299999999999998</v>
      </c>
      <c r="EB674">
        <v>0.97372581580010298</v>
      </c>
      <c r="EC674">
        <v>0.97229909402727699</v>
      </c>
      <c r="ED674">
        <v>0.972647291980964</v>
      </c>
      <c r="EE674">
        <f>SUM(Table1[[#This Row],[ratio_0]:[ratio_9]])</f>
        <v>640</v>
      </c>
      <c r="EF674" s="1">
        <f>(Table1[[#This Row],[predicted_0]]-Table1[[#This Row],[actual_0]])/Table1[[#This Row],[actual_0]]</f>
        <v>3.7755102040816328E-2</v>
      </c>
      <c r="EG674" s="1">
        <f>(Table1[[#This Row],[predicted_1]]-Table1[[#This Row],[actual_1]])/Table1[[#This Row],[actual_1]]</f>
        <v>3.0837004405286344E-2</v>
      </c>
      <c r="EH674" s="1">
        <f>(Table1[[#This Row],[predicted_2]]-Table1[[#This Row],[actual_2]])/Table1[[#This Row],[actual_2]]</f>
        <v>2.9069767441860465E-2</v>
      </c>
      <c r="EI674" s="1">
        <f>(Table1[[#This Row],[predicted_3]]-Table1[[#This Row],[actual_3]])/Table1[[#This Row],[actual_3]]</f>
        <v>4.9504950495049507E-2</v>
      </c>
      <c r="EJ674" s="1">
        <f>(Table1[[#This Row],[predicted_4]]-Table1[[#This Row],[actual_4]])/Table1[[#This Row],[actual_4]]</f>
        <v>8.1466395112016286E-3</v>
      </c>
      <c r="EK674" s="1">
        <f>(Table1[[#This Row],[predicted_5]]-Table1[[#This Row],[actual_5]])/Table1[[#This Row],[actual_5]]</f>
        <v>-3.4753363228699555E-2</v>
      </c>
      <c r="EL674" s="1">
        <f>(Table1[[#This Row],[predicted_6]]-Table1[[#This Row],[actual_6]])/Table1[[#This Row],[actual_6]]</f>
        <v>-5.845511482254697E-2</v>
      </c>
      <c r="EM674" s="1">
        <f>(Table1[[#This Row],[predicted_7]]-Table1[[#This Row],[actual_7]])/Table1[[#This Row],[actual_7]]</f>
        <v>-2.2373540856031129E-2</v>
      </c>
      <c r="EN674" s="1">
        <f>(Table1[[#This Row],[predicted_8]]-Table1[[#This Row],[actual_8]])/Table1[[#This Row],[actual_8]]</f>
        <v>1.2320328542094456E-2</v>
      </c>
      <c r="EO674" s="1">
        <f>(Table1[[#This Row],[predicted_9]]-Table1[[#This Row],[actual_9]])/Table1[[#This Row],[actual_9]]</f>
        <v>-6.1446977205153616E-2</v>
      </c>
      <c r="EP674" s="1">
        <f>1+(Table1[[#This Row],[error_ratio_0]]-EF$2)</f>
        <v>1.0357142857142858</v>
      </c>
      <c r="EQ674" s="1">
        <f>1+(Table1[[#This Row],[error_ratio_1]]-EG$2)</f>
        <v>1.0290748898678415</v>
      </c>
      <c r="ER674" s="1">
        <f>1+(Table1[[#This Row],[error_ratio_2]]-EH$2)</f>
        <v>1.0339147286821706</v>
      </c>
      <c r="ES674" s="1">
        <f>1+(Table1[[#This Row],[error_ratio_3]]-EI$2)</f>
        <v>1.0396039603960396</v>
      </c>
      <c r="ET674" s="1">
        <f>1+(Table1[[#This Row],[error_ratio_4]]-EJ$2)</f>
        <v>1.0071283095723014</v>
      </c>
      <c r="EU674" s="1">
        <f>1+(Table1[[#This Row],[error_ratio_5]]-EK$2)</f>
        <v>0.9641255605381166</v>
      </c>
      <c r="EV674" s="1">
        <f>1+(Table1[[#This Row],[error_ratio_6]]-EL$2)</f>
        <v>0.94780793319415446</v>
      </c>
      <c r="EW674" s="1">
        <f>1+(Table1[[#This Row],[error_ratio_7]]-EM$2)</f>
        <v>0.97568093385214005</v>
      </c>
      <c r="EX674" s="1">
        <f>1+(Table1[[#This Row],[error_ratio_8]]-EN$2)</f>
        <v>1.015400410677618</v>
      </c>
      <c r="EY674" s="1">
        <f>1+(Table1[[#This Row],[error_ratio_9]]-EO$2)</f>
        <v>0.94251734390485631</v>
      </c>
    </row>
    <row r="675" spans="1:155" x14ac:dyDescent="0.75">
      <c r="A675">
        <v>10</v>
      </c>
      <c r="B675">
        <v>100</v>
      </c>
      <c r="C675">
        <v>100</v>
      </c>
      <c r="D675">
        <v>100</v>
      </c>
      <c r="E675">
        <v>100</v>
      </c>
      <c r="F675">
        <v>10</v>
      </c>
      <c r="G675">
        <v>10</v>
      </c>
      <c r="H675">
        <v>10</v>
      </c>
      <c r="I675">
        <v>100</v>
      </c>
      <c r="J675">
        <v>10</v>
      </c>
      <c r="K675">
        <v>981</v>
      </c>
      <c r="L675">
        <v>1161</v>
      </c>
      <c r="M675">
        <v>1039</v>
      </c>
      <c r="N675">
        <v>1147</v>
      </c>
      <c r="O675">
        <v>986</v>
      </c>
      <c r="P675">
        <v>833</v>
      </c>
      <c r="Q675">
        <v>925</v>
      </c>
      <c r="R675">
        <v>917</v>
      </c>
      <c r="S675">
        <v>1074</v>
      </c>
      <c r="T675">
        <v>937</v>
      </c>
      <c r="U675">
        <v>980</v>
      </c>
      <c r="V675">
        <v>1135</v>
      </c>
      <c r="W675">
        <v>1032</v>
      </c>
      <c r="X675">
        <v>1010</v>
      </c>
      <c r="Y675">
        <v>982</v>
      </c>
      <c r="Z675">
        <v>892</v>
      </c>
      <c r="AA675">
        <v>958</v>
      </c>
      <c r="AB675">
        <v>1028</v>
      </c>
      <c r="AC675">
        <v>974</v>
      </c>
      <c r="AD675">
        <v>1009</v>
      </c>
      <c r="AE675">
        <v>958</v>
      </c>
      <c r="AF675">
        <v>0</v>
      </c>
      <c r="AG675">
        <v>1</v>
      </c>
      <c r="AH675">
        <v>7</v>
      </c>
      <c r="AI675">
        <v>0</v>
      </c>
      <c r="AJ675">
        <v>0</v>
      </c>
      <c r="AK675">
        <v>3</v>
      </c>
      <c r="AL675">
        <v>1</v>
      </c>
      <c r="AM675">
        <v>10</v>
      </c>
      <c r="AN675">
        <v>0</v>
      </c>
      <c r="AO675">
        <v>0</v>
      </c>
      <c r="AP675">
        <v>1130</v>
      </c>
      <c r="AQ675">
        <v>0</v>
      </c>
      <c r="AR675">
        <v>1</v>
      </c>
      <c r="AS675">
        <v>0</v>
      </c>
      <c r="AT675">
        <v>0</v>
      </c>
      <c r="AU675">
        <v>0</v>
      </c>
      <c r="AV675">
        <v>0</v>
      </c>
      <c r="AW675">
        <v>4</v>
      </c>
      <c r="AX675">
        <v>0</v>
      </c>
      <c r="AY675">
        <v>2</v>
      </c>
      <c r="AZ675">
        <v>2</v>
      </c>
      <c r="BA675">
        <v>1010</v>
      </c>
      <c r="BB675">
        <v>9</v>
      </c>
      <c r="BC675">
        <v>0</v>
      </c>
      <c r="BD675">
        <v>0</v>
      </c>
      <c r="BE675">
        <v>0</v>
      </c>
      <c r="BF675">
        <v>1</v>
      </c>
      <c r="BG675">
        <v>8</v>
      </c>
      <c r="BH675">
        <v>0</v>
      </c>
      <c r="BI675">
        <v>0</v>
      </c>
      <c r="BJ675">
        <v>0</v>
      </c>
      <c r="BK675">
        <v>2</v>
      </c>
      <c r="BL675">
        <v>1006</v>
      </c>
      <c r="BM675">
        <v>0</v>
      </c>
      <c r="BN675">
        <v>0</v>
      </c>
      <c r="BO675">
        <v>0</v>
      </c>
      <c r="BP675">
        <v>0</v>
      </c>
      <c r="BQ675">
        <v>2</v>
      </c>
      <c r="BR675">
        <v>0</v>
      </c>
      <c r="BS675">
        <v>1</v>
      </c>
      <c r="BT675">
        <v>1</v>
      </c>
      <c r="BU675">
        <v>0</v>
      </c>
      <c r="BV675">
        <v>0</v>
      </c>
      <c r="BW675">
        <v>971</v>
      </c>
      <c r="BX675">
        <v>0</v>
      </c>
      <c r="BY675">
        <v>0</v>
      </c>
      <c r="BZ675">
        <v>0</v>
      </c>
      <c r="CA675">
        <v>1</v>
      </c>
      <c r="CB675">
        <v>8</v>
      </c>
      <c r="CC675">
        <v>1</v>
      </c>
      <c r="CD675">
        <v>1</v>
      </c>
      <c r="CE675">
        <v>0</v>
      </c>
      <c r="CF675">
        <v>61</v>
      </c>
      <c r="CG675">
        <v>0</v>
      </c>
      <c r="CH675">
        <v>807</v>
      </c>
      <c r="CI675">
        <v>1</v>
      </c>
      <c r="CJ675">
        <v>0</v>
      </c>
      <c r="CK675">
        <v>21</v>
      </c>
      <c r="CL675">
        <v>0</v>
      </c>
      <c r="CM675">
        <v>4</v>
      </c>
      <c r="CN675">
        <v>11</v>
      </c>
      <c r="CO675">
        <v>0</v>
      </c>
      <c r="CP675">
        <v>0</v>
      </c>
      <c r="CQ675">
        <v>3</v>
      </c>
      <c r="CR675">
        <v>14</v>
      </c>
      <c r="CS675">
        <v>921</v>
      </c>
      <c r="CT675">
        <v>0</v>
      </c>
      <c r="CU675">
        <v>5</v>
      </c>
      <c r="CV675">
        <v>0</v>
      </c>
      <c r="CW675">
        <v>8</v>
      </c>
      <c r="CX675">
        <v>12</v>
      </c>
      <c r="CY675">
        <v>24</v>
      </c>
      <c r="CZ675">
        <v>48</v>
      </c>
      <c r="DA675">
        <v>4</v>
      </c>
      <c r="DB675">
        <v>0</v>
      </c>
      <c r="DC675">
        <v>0</v>
      </c>
      <c r="DD675">
        <v>907</v>
      </c>
      <c r="DE675">
        <v>21</v>
      </c>
      <c r="DF675">
        <v>4</v>
      </c>
      <c r="DG675">
        <v>0</v>
      </c>
      <c r="DH675">
        <v>0</v>
      </c>
      <c r="DI675">
        <v>2</v>
      </c>
      <c r="DJ675">
        <v>4</v>
      </c>
      <c r="DK675">
        <v>0</v>
      </c>
      <c r="DL675">
        <v>1</v>
      </c>
      <c r="DM675">
        <v>0</v>
      </c>
      <c r="DN675">
        <v>0</v>
      </c>
      <c r="DO675">
        <v>967</v>
      </c>
      <c r="DP675">
        <v>0</v>
      </c>
      <c r="DQ675">
        <v>7</v>
      </c>
      <c r="DR675">
        <v>4</v>
      </c>
      <c r="DS675">
        <v>0</v>
      </c>
      <c r="DT675">
        <v>11</v>
      </c>
      <c r="DU675">
        <v>8</v>
      </c>
      <c r="DV675">
        <v>11</v>
      </c>
      <c r="DW675">
        <v>0</v>
      </c>
      <c r="DX675">
        <v>8</v>
      </c>
      <c r="DY675">
        <v>35</v>
      </c>
      <c r="DZ675">
        <v>925</v>
      </c>
      <c r="EA675">
        <v>0.96020000000000005</v>
      </c>
      <c r="EB675">
        <v>0.96249232748461899</v>
      </c>
      <c r="EC675">
        <v>0.95946103882006495</v>
      </c>
      <c r="ED675">
        <v>0.95978431181082302</v>
      </c>
      <c r="EE675">
        <f>SUM(Table1[[#This Row],[ratio_0]:[ratio_9]])</f>
        <v>550</v>
      </c>
      <c r="EF675" s="1">
        <f>(Table1[[#This Row],[predicted_0]]-Table1[[#This Row],[actual_0]])/Table1[[#This Row],[actual_0]]</f>
        <v>1.0204081632653062E-3</v>
      </c>
      <c r="EG675" s="1">
        <f>(Table1[[#This Row],[predicted_1]]-Table1[[#This Row],[actual_1]])/Table1[[#This Row],[actual_1]]</f>
        <v>2.2907488986784141E-2</v>
      </c>
      <c r="EH675" s="1">
        <f>(Table1[[#This Row],[predicted_2]]-Table1[[#This Row],[actual_2]])/Table1[[#This Row],[actual_2]]</f>
        <v>6.7829457364341084E-3</v>
      </c>
      <c r="EI675" s="1">
        <f>(Table1[[#This Row],[predicted_3]]-Table1[[#This Row],[actual_3]])/Table1[[#This Row],[actual_3]]</f>
        <v>0.13564356435643565</v>
      </c>
      <c r="EJ675" s="1">
        <f>(Table1[[#This Row],[predicted_4]]-Table1[[#This Row],[actual_4]])/Table1[[#This Row],[actual_4]]</f>
        <v>4.0733197556008143E-3</v>
      </c>
      <c r="EK675" s="1">
        <f>(Table1[[#This Row],[predicted_5]]-Table1[[#This Row],[actual_5]])/Table1[[#This Row],[actual_5]]</f>
        <v>-6.614349775784753E-2</v>
      </c>
      <c r="EL675" s="1">
        <f>(Table1[[#This Row],[predicted_6]]-Table1[[#This Row],[actual_6]])/Table1[[#This Row],[actual_6]]</f>
        <v>-3.444676409185804E-2</v>
      </c>
      <c r="EM675" s="1">
        <f>(Table1[[#This Row],[predicted_7]]-Table1[[#This Row],[actual_7]])/Table1[[#This Row],[actual_7]]</f>
        <v>-0.10797665369649806</v>
      </c>
      <c r="EN675" s="1">
        <f>(Table1[[#This Row],[predicted_8]]-Table1[[#This Row],[actual_8]])/Table1[[#This Row],[actual_8]]</f>
        <v>0.10266940451745379</v>
      </c>
      <c r="EO675" s="1">
        <f>(Table1[[#This Row],[predicted_9]]-Table1[[#This Row],[actual_9]])/Table1[[#This Row],[actual_9]]</f>
        <v>-7.1357779980178393E-2</v>
      </c>
      <c r="EP675" s="1">
        <f>1+(Table1[[#This Row],[error_ratio_0]]-EF$2)</f>
        <v>0.99897959183673468</v>
      </c>
      <c r="EQ675" s="1">
        <f>1+(Table1[[#This Row],[error_ratio_1]]-EG$2)</f>
        <v>1.0211453744493393</v>
      </c>
      <c r="ER675" s="1">
        <f>1+(Table1[[#This Row],[error_ratio_2]]-EH$2)</f>
        <v>1.0116279069767442</v>
      </c>
      <c r="ES675" s="1">
        <f>1+(Table1[[#This Row],[error_ratio_3]]-EI$2)</f>
        <v>1.1257425742574259</v>
      </c>
      <c r="ET675" s="1">
        <f>1+(Table1[[#This Row],[error_ratio_4]]-EJ$2)</f>
        <v>1.0030549898167007</v>
      </c>
      <c r="EU675" s="1">
        <f>1+(Table1[[#This Row],[error_ratio_5]]-EK$2)</f>
        <v>0.93273542600896864</v>
      </c>
      <c r="EV675" s="1">
        <f>1+(Table1[[#This Row],[error_ratio_6]]-EL$2)</f>
        <v>0.97181628392484343</v>
      </c>
      <c r="EW675" s="1">
        <f>1+(Table1[[#This Row],[error_ratio_7]]-EM$2)</f>
        <v>0.8900778210116731</v>
      </c>
      <c r="EX675" s="1">
        <f>1+(Table1[[#This Row],[error_ratio_8]]-EN$2)</f>
        <v>1.1057494866529773</v>
      </c>
      <c r="EY675" s="1">
        <f>1+(Table1[[#This Row],[error_ratio_9]]-EO$2)</f>
        <v>0.93260654112983155</v>
      </c>
    </row>
    <row r="676" spans="1:155" x14ac:dyDescent="0.75">
      <c r="A676">
        <v>100</v>
      </c>
      <c r="B676">
        <v>10</v>
      </c>
      <c r="C676">
        <v>100</v>
      </c>
      <c r="D676">
        <v>100</v>
      </c>
      <c r="E676">
        <v>100</v>
      </c>
      <c r="F676">
        <v>10</v>
      </c>
      <c r="G676">
        <v>10</v>
      </c>
      <c r="H676">
        <v>10</v>
      </c>
      <c r="I676">
        <v>100</v>
      </c>
      <c r="J676">
        <v>10</v>
      </c>
      <c r="K676">
        <v>1034</v>
      </c>
      <c r="L676">
        <v>1098</v>
      </c>
      <c r="M676">
        <v>1076</v>
      </c>
      <c r="N676">
        <v>1175</v>
      </c>
      <c r="O676">
        <v>1017</v>
      </c>
      <c r="P676">
        <v>855</v>
      </c>
      <c r="Q676">
        <v>862</v>
      </c>
      <c r="R676">
        <v>926</v>
      </c>
      <c r="S676">
        <v>1043</v>
      </c>
      <c r="T676">
        <v>914</v>
      </c>
      <c r="U676">
        <v>980</v>
      </c>
      <c r="V676">
        <v>1135</v>
      </c>
      <c r="W676">
        <v>1032</v>
      </c>
      <c r="X676">
        <v>1010</v>
      </c>
      <c r="Y676">
        <v>982</v>
      </c>
      <c r="Z676">
        <v>892</v>
      </c>
      <c r="AA676">
        <v>958</v>
      </c>
      <c r="AB676">
        <v>1028</v>
      </c>
      <c r="AC676">
        <v>974</v>
      </c>
      <c r="AD676">
        <v>1009</v>
      </c>
      <c r="AE676">
        <v>977</v>
      </c>
      <c r="AF676">
        <v>0</v>
      </c>
      <c r="AG676">
        <v>0</v>
      </c>
      <c r="AH676">
        <v>0</v>
      </c>
      <c r="AI676">
        <v>0</v>
      </c>
      <c r="AJ676">
        <v>0</v>
      </c>
      <c r="AK676">
        <v>0</v>
      </c>
      <c r="AL676">
        <v>0</v>
      </c>
      <c r="AM676">
        <v>3</v>
      </c>
      <c r="AN676">
        <v>0</v>
      </c>
      <c r="AO676">
        <v>0</v>
      </c>
      <c r="AP676">
        <v>1092</v>
      </c>
      <c r="AQ676">
        <v>5</v>
      </c>
      <c r="AR676">
        <v>9</v>
      </c>
      <c r="AS676">
        <v>0</v>
      </c>
      <c r="AT676">
        <v>0</v>
      </c>
      <c r="AU676">
        <v>0</v>
      </c>
      <c r="AV676">
        <v>0</v>
      </c>
      <c r="AW676">
        <v>28</v>
      </c>
      <c r="AX676">
        <v>1</v>
      </c>
      <c r="AY676">
        <v>2</v>
      </c>
      <c r="AZ676">
        <v>0</v>
      </c>
      <c r="BA676">
        <v>1016</v>
      </c>
      <c r="BB676">
        <v>7</v>
      </c>
      <c r="BC676">
        <v>0</v>
      </c>
      <c r="BD676">
        <v>0</v>
      </c>
      <c r="BE676">
        <v>0</v>
      </c>
      <c r="BF676">
        <v>2</v>
      </c>
      <c r="BG676">
        <v>5</v>
      </c>
      <c r="BH676">
        <v>0</v>
      </c>
      <c r="BI676">
        <v>0</v>
      </c>
      <c r="BJ676">
        <v>0</v>
      </c>
      <c r="BK676">
        <v>2</v>
      </c>
      <c r="BL676">
        <v>1007</v>
      </c>
      <c r="BM676">
        <v>0</v>
      </c>
      <c r="BN676">
        <v>0</v>
      </c>
      <c r="BO676">
        <v>0</v>
      </c>
      <c r="BP676">
        <v>1</v>
      </c>
      <c r="BQ676">
        <v>0</v>
      </c>
      <c r="BR676">
        <v>0</v>
      </c>
      <c r="BS676">
        <v>0</v>
      </c>
      <c r="BT676">
        <v>0</v>
      </c>
      <c r="BU676">
        <v>6</v>
      </c>
      <c r="BV676">
        <v>2</v>
      </c>
      <c r="BW676">
        <v>971</v>
      </c>
      <c r="BX676">
        <v>0</v>
      </c>
      <c r="BY676">
        <v>0</v>
      </c>
      <c r="BZ676">
        <v>1</v>
      </c>
      <c r="CA676">
        <v>0</v>
      </c>
      <c r="CB676">
        <v>2</v>
      </c>
      <c r="CC676">
        <v>3</v>
      </c>
      <c r="CD676">
        <v>0</v>
      </c>
      <c r="CE676">
        <v>1</v>
      </c>
      <c r="CF676">
        <v>46</v>
      </c>
      <c r="CG676">
        <v>0</v>
      </c>
      <c r="CH676">
        <v>829</v>
      </c>
      <c r="CI676">
        <v>1</v>
      </c>
      <c r="CJ676">
        <v>1</v>
      </c>
      <c r="CK676">
        <v>10</v>
      </c>
      <c r="CL676">
        <v>1</v>
      </c>
      <c r="CM676">
        <v>35</v>
      </c>
      <c r="CN676">
        <v>3</v>
      </c>
      <c r="CO676">
        <v>7</v>
      </c>
      <c r="CP676">
        <v>5</v>
      </c>
      <c r="CQ676">
        <v>10</v>
      </c>
      <c r="CR676">
        <v>9</v>
      </c>
      <c r="CS676">
        <v>861</v>
      </c>
      <c r="CT676">
        <v>0</v>
      </c>
      <c r="CU676">
        <v>28</v>
      </c>
      <c r="CV676">
        <v>0</v>
      </c>
      <c r="CW676">
        <v>4</v>
      </c>
      <c r="CX676">
        <v>0</v>
      </c>
      <c r="CY676">
        <v>35</v>
      </c>
      <c r="CZ676">
        <v>55</v>
      </c>
      <c r="DA676">
        <v>2</v>
      </c>
      <c r="DB676">
        <v>0</v>
      </c>
      <c r="DC676">
        <v>0</v>
      </c>
      <c r="DD676">
        <v>913</v>
      </c>
      <c r="DE676">
        <v>5</v>
      </c>
      <c r="DF676">
        <v>14</v>
      </c>
      <c r="DG676">
        <v>5</v>
      </c>
      <c r="DH676">
        <v>0</v>
      </c>
      <c r="DI676">
        <v>2</v>
      </c>
      <c r="DJ676">
        <v>5</v>
      </c>
      <c r="DK676">
        <v>1</v>
      </c>
      <c r="DL676">
        <v>0</v>
      </c>
      <c r="DM676">
        <v>0</v>
      </c>
      <c r="DN676">
        <v>1</v>
      </c>
      <c r="DO676">
        <v>957</v>
      </c>
      <c r="DP676">
        <v>3</v>
      </c>
      <c r="DQ676">
        <v>8</v>
      </c>
      <c r="DR676">
        <v>3</v>
      </c>
      <c r="DS676">
        <v>2</v>
      </c>
      <c r="DT676">
        <v>39</v>
      </c>
      <c r="DU676">
        <v>33</v>
      </c>
      <c r="DV676">
        <v>17</v>
      </c>
      <c r="DW676">
        <v>0</v>
      </c>
      <c r="DX676">
        <v>7</v>
      </c>
      <c r="DY676">
        <v>7</v>
      </c>
      <c r="DZ676">
        <v>893</v>
      </c>
      <c r="EA676">
        <v>0.9516</v>
      </c>
      <c r="EB676">
        <v>0.95443992021248802</v>
      </c>
      <c r="EC676">
        <v>0.95132102830961995</v>
      </c>
      <c r="ED676">
        <v>0.95128306365884696</v>
      </c>
      <c r="EE676">
        <f>SUM(Table1[[#This Row],[ratio_0]:[ratio_9]])</f>
        <v>550</v>
      </c>
      <c r="EF676" s="1">
        <f>(Table1[[#This Row],[predicted_0]]-Table1[[#This Row],[actual_0]])/Table1[[#This Row],[actual_0]]</f>
        <v>5.5102040816326532E-2</v>
      </c>
      <c r="EG676" s="1">
        <f>(Table1[[#This Row],[predicted_1]]-Table1[[#This Row],[actual_1]])/Table1[[#This Row],[actual_1]]</f>
        <v>-3.2599118942731278E-2</v>
      </c>
      <c r="EH676" s="1">
        <f>(Table1[[#This Row],[predicted_2]]-Table1[[#This Row],[actual_2]])/Table1[[#This Row],[actual_2]]</f>
        <v>4.2635658914728682E-2</v>
      </c>
      <c r="EI676" s="1">
        <f>(Table1[[#This Row],[predicted_3]]-Table1[[#This Row],[actual_3]])/Table1[[#This Row],[actual_3]]</f>
        <v>0.16336633663366337</v>
      </c>
      <c r="EJ676" s="1">
        <f>(Table1[[#This Row],[predicted_4]]-Table1[[#This Row],[actual_4]])/Table1[[#This Row],[actual_4]]</f>
        <v>3.5641547861507125E-2</v>
      </c>
      <c r="EK676" s="1">
        <f>(Table1[[#This Row],[predicted_5]]-Table1[[#This Row],[actual_5]])/Table1[[#This Row],[actual_5]]</f>
        <v>-4.1479820627802692E-2</v>
      </c>
      <c r="EL676" s="1">
        <f>(Table1[[#This Row],[predicted_6]]-Table1[[#This Row],[actual_6]])/Table1[[#This Row],[actual_6]]</f>
        <v>-0.10020876826722339</v>
      </c>
      <c r="EM676" s="1">
        <f>(Table1[[#This Row],[predicted_7]]-Table1[[#This Row],[actual_7]])/Table1[[#This Row],[actual_7]]</f>
        <v>-9.9221789883268477E-2</v>
      </c>
      <c r="EN676" s="1">
        <f>(Table1[[#This Row],[predicted_8]]-Table1[[#This Row],[actual_8]])/Table1[[#This Row],[actual_8]]</f>
        <v>7.0841889117043116E-2</v>
      </c>
      <c r="EO676" s="1">
        <f>(Table1[[#This Row],[predicted_9]]-Table1[[#This Row],[actual_9]])/Table1[[#This Row],[actual_9]]</f>
        <v>-9.4152626362735387E-2</v>
      </c>
      <c r="EP676" s="1">
        <f>1+(Table1[[#This Row],[error_ratio_0]]-EF$2)</f>
        <v>1.0530612244897959</v>
      </c>
      <c r="EQ676" s="1">
        <f>1+(Table1[[#This Row],[error_ratio_1]]-EG$2)</f>
        <v>0.96563876651982383</v>
      </c>
      <c r="ER676" s="1">
        <f>1+(Table1[[#This Row],[error_ratio_2]]-EH$2)</f>
        <v>1.0474806201550388</v>
      </c>
      <c r="ES676" s="1">
        <f>1+(Table1[[#This Row],[error_ratio_3]]-EI$2)</f>
        <v>1.1534653465346534</v>
      </c>
      <c r="ET676" s="1">
        <f>1+(Table1[[#This Row],[error_ratio_4]]-EJ$2)</f>
        <v>1.0346232179226069</v>
      </c>
      <c r="EU676" s="1">
        <f>1+(Table1[[#This Row],[error_ratio_5]]-EK$2)</f>
        <v>0.95739910313901344</v>
      </c>
      <c r="EV676" s="1">
        <f>1+(Table1[[#This Row],[error_ratio_6]]-EL$2)</f>
        <v>0.90605427974947805</v>
      </c>
      <c r="EW676" s="1">
        <f>1+(Table1[[#This Row],[error_ratio_7]]-EM$2)</f>
        <v>0.89883268482490275</v>
      </c>
      <c r="EX676" s="1">
        <f>1+(Table1[[#This Row],[error_ratio_8]]-EN$2)</f>
        <v>1.0739219712525667</v>
      </c>
      <c r="EY676" s="1">
        <f>1+(Table1[[#This Row],[error_ratio_9]]-EO$2)</f>
        <v>0.90981169474727452</v>
      </c>
    </row>
    <row r="677" spans="1:155" x14ac:dyDescent="0.75">
      <c r="A677">
        <v>10</v>
      </c>
      <c r="B677">
        <v>10</v>
      </c>
      <c r="C677">
        <v>100</v>
      </c>
      <c r="D677">
        <v>100</v>
      </c>
      <c r="E677">
        <v>100</v>
      </c>
      <c r="F677">
        <v>10</v>
      </c>
      <c r="G677">
        <v>10</v>
      </c>
      <c r="H677">
        <v>10</v>
      </c>
      <c r="I677">
        <v>100</v>
      </c>
      <c r="J677">
        <v>10</v>
      </c>
      <c r="K677">
        <v>961</v>
      </c>
      <c r="L677">
        <v>1114</v>
      </c>
      <c r="M677">
        <v>1050</v>
      </c>
      <c r="N677">
        <v>1029</v>
      </c>
      <c r="O677">
        <v>1030</v>
      </c>
      <c r="P677">
        <v>832</v>
      </c>
      <c r="Q677">
        <v>955</v>
      </c>
      <c r="R677">
        <v>1070</v>
      </c>
      <c r="S677">
        <v>1069</v>
      </c>
      <c r="T677">
        <v>890</v>
      </c>
      <c r="U677">
        <v>980</v>
      </c>
      <c r="V677">
        <v>1135</v>
      </c>
      <c r="W677">
        <v>1032</v>
      </c>
      <c r="X677">
        <v>1010</v>
      </c>
      <c r="Y677">
        <v>982</v>
      </c>
      <c r="Z677">
        <v>892</v>
      </c>
      <c r="AA677">
        <v>958</v>
      </c>
      <c r="AB677">
        <v>1028</v>
      </c>
      <c r="AC677">
        <v>974</v>
      </c>
      <c r="AD677">
        <v>1009</v>
      </c>
      <c r="AE677">
        <v>950</v>
      </c>
      <c r="AF677">
        <v>0</v>
      </c>
      <c r="AG677">
        <v>4</v>
      </c>
      <c r="AH677">
        <v>0</v>
      </c>
      <c r="AI677">
        <v>4</v>
      </c>
      <c r="AJ677">
        <v>0</v>
      </c>
      <c r="AK677">
        <v>11</v>
      </c>
      <c r="AL677">
        <v>2</v>
      </c>
      <c r="AM677">
        <v>9</v>
      </c>
      <c r="AN677">
        <v>0</v>
      </c>
      <c r="AO677">
        <v>0</v>
      </c>
      <c r="AP677">
        <v>1107</v>
      </c>
      <c r="AQ677">
        <v>3</v>
      </c>
      <c r="AR677">
        <v>4</v>
      </c>
      <c r="AS677">
        <v>4</v>
      </c>
      <c r="AT677">
        <v>1</v>
      </c>
      <c r="AU677">
        <v>2</v>
      </c>
      <c r="AV677">
        <v>1</v>
      </c>
      <c r="AW677">
        <v>13</v>
      </c>
      <c r="AX677">
        <v>0</v>
      </c>
      <c r="AY677">
        <v>0</v>
      </c>
      <c r="AZ677">
        <v>0</v>
      </c>
      <c r="BA677">
        <v>1019</v>
      </c>
      <c r="BB677">
        <v>1</v>
      </c>
      <c r="BC677">
        <v>2</v>
      </c>
      <c r="BD677">
        <v>0</v>
      </c>
      <c r="BE677">
        <v>0</v>
      </c>
      <c r="BF677">
        <v>5</v>
      </c>
      <c r="BG677">
        <v>5</v>
      </c>
      <c r="BH677">
        <v>0</v>
      </c>
      <c r="BI677">
        <v>0</v>
      </c>
      <c r="BJ677">
        <v>0</v>
      </c>
      <c r="BK677">
        <v>1</v>
      </c>
      <c r="BL677">
        <v>999</v>
      </c>
      <c r="BM677">
        <v>0</v>
      </c>
      <c r="BN677">
        <v>4</v>
      </c>
      <c r="BO677">
        <v>0</v>
      </c>
      <c r="BP677">
        <v>5</v>
      </c>
      <c r="BQ677">
        <v>1</v>
      </c>
      <c r="BR677">
        <v>0</v>
      </c>
      <c r="BS677">
        <v>0</v>
      </c>
      <c r="BT677">
        <v>0</v>
      </c>
      <c r="BU677">
        <v>0</v>
      </c>
      <c r="BV677">
        <v>1</v>
      </c>
      <c r="BW677">
        <v>973</v>
      </c>
      <c r="BX677">
        <v>0</v>
      </c>
      <c r="BY677">
        <v>6</v>
      </c>
      <c r="BZ677">
        <v>1</v>
      </c>
      <c r="CA677">
        <v>0</v>
      </c>
      <c r="CB677">
        <v>1</v>
      </c>
      <c r="CC677">
        <v>2</v>
      </c>
      <c r="CD677">
        <v>0</v>
      </c>
      <c r="CE677">
        <v>1</v>
      </c>
      <c r="CF677">
        <v>12</v>
      </c>
      <c r="CG677">
        <v>3</v>
      </c>
      <c r="CH677">
        <v>819</v>
      </c>
      <c r="CI677">
        <v>3</v>
      </c>
      <c r="CJ677">
        <v>6</v>
      </c>
      <c r="CK677">
        <v>28</v>
      </c>
      <c r="CL677">
        <v>18</v>
      </c>
      <c r="CM677">
        <v>4</v>
      </c>
      <c r="CN677">
        <v>4</v>
      </c>
      <c r="CO677">
        <v>0</v>
      </c>
      <c r="CP677">
        <v>0</v>
      </c>
      <c r="CQ677">
        <v>3</v>
      </c>
      <c r="CR677">
        <v>5</v>
      </c>
      <c r="CS677">
        <v>930</v>
      </c>
      <c r="CT677">
        <v>0</v>
      </c>
      <c r="CU677">
        <v>12</v>
      </c>
      <c r="CV677">
        <v>0</v>
      </c>
      <c r="CW677">
        <v>1</v>
      </c>
      <c r="CX677">
        <v>3</v>
      </c>
      <c r="CY677">
        <v>20</v>
      </c>
      <c r="CZ677">
        <v>1</v>
      </c>
      <c r="DA677">
        <v>4</v>
      </c>
      <c r="DB677">
        <v>0</v>
      </c>
      <c r="DC677">
        <v>0</v>
      </c>
      <c r="DD677">
        <v>996</v>
      </c>
      <c r="DE677">
        <v>3</v>
      </c>
      <c r="DF677">
        <v>0</v>
      </c>
      <c r="DG677">
        <v>0</v>
      </c>
      <c r="DH677">
        <v>0</v>
      </c>
      <c r="DI677">
        <v>1</v>
      </c>
      <c r="DJ677">
        <v>2</v>
      </c>
      <c r="DK677">
        <v>1</v>
      </c>
      <c r="DL677">
        <v>0</v>
      </c>
      <c r="DM677">
        <v>1</v>
      </c>
      <c r="DN677">
        <v>2</v>
      </c>
      <c r="DO677">
        <v>967</v>
      </c>
      <c r="DP677">
        <v>0</v>
      </c>
      <c r="DQ677">
        <v>4</v>
      </c>
      <c r="DR677">
        <v>0</v>
      </c>
      <c r="DS677">
        <v>1</v>
      </c>
      <c r="DT677">
        <v>9</v>
      </c>
      <c r="DU677">
        <v>36</v>
      </c>
      <c r="DV677">
        <v>3</v>
      </c>
      <c r="DW677">
        <v>2</v>
      </c>
      <c r="DX677">
        <v>52</v>
      </c>
      <c r="DY677">
        <v>31</v>
      </c>
      <c r="DZ677">
        <v>871</v>
      </c>
      <c r="EA677">
        <v>0.96309999999999996</v>
      </c>
      <c r="EB677">
        <v>0.96405253127564405</v>
      </c>
      <c r="EC677">
        <v>0.96259147300794701</v>
      </c>
      <c r="ED677">
        <v>0.96251283137459098</v>
      </c>
      <c r="EE677">
        <f>SUM(Table1[[#This Row],[ratio_0]:[ratio_9]])</f>
        <v>460</v>
      </c>
      <c r="EF677" s="1">
        <f>(Table1[[#This Row],[predicted_0]]-Table1[[#This Row],[actual_0]])/Table1[[#This Row],[actual_0]]</f>
        <v>-1.9387755102040816E-2</v>
      </c>
      <c r="EG677" s="1">
        <f>(Table1[[#This Row],[predicted_1]]-Table1[[#This Row],[actual_1]])/Table1[[#This Row],[actual_1]]</f>
        <v>-1.8502202643171806E-2</v>
      </c>
      <c r="EH677" s="1">
        <f>(Table1[[#This Row],[predicted_2]]-Table1[[#This Row],[actual_2]])/Table1[[#This Row],[actual_2]]</f>
        <v>1.7441860465116279E-2</v>
      </c>
      <c r="EI677" s="1">
        <f>(Table1[[#This Row],[predicted_3]]-Table1[[#This Row],[actual_3]])/Table1[[#This Row],[actual_3]]</f>
        <v>1.8811881188118811E-2</v>
      </c>
      <c r="EJ677" s="1">
        <f>(Table1[[#This Row],[predicted_4]]-Table1[[#This Row],[actual_4]])/Table1[[#This Row],[actual_4]]</f>
        <v>4.8879837067209775E-2</v>
      </c>
      <c r="EK677" s="1">
        <f>(Table1[[#This Row],[predicted_5]]-Table1[[#This Row],[actual_5]])/Table1[[#This Row],[actual_5]]</f>
        <v>-6.726457399103139E-2</v>
      </c>
      <c r="EL677" s="1">
        <f>(Table1[[#This Row],[predicted_6]]-Table1[[#This Row],[actual_6]])/Table1[[#This Row],[actual_6]]</f>
        <v>-3.1315240083507308E-3</v>
      </c>
      <c r="EM677" s="1">
        <f>(Table1[[#This Row],[predicted_7]]-Table1[[#This Row],[actual_7]])/Table1[[#This Row],[actual_7]]</f>
        <v>4.085603112840467E-2</v>
      </c>
      <c r="EN677" s="1">
        <f>(Table1[[#This Row],[predicted_8]]-Table1[[#This Row],[actual_8]])/Table1[[#This Row],[actual_8]]</f>
        <v>9.7535934291581111E-2</v>
      </c>
      <c r="EO677" s="1">
        <f>(Table1[[#This Row],[predicted_9]]-Table1[[#This Row],[actual_9]])/Table1[[#This Row],[actual_9]]</f>
        <v>-0.11793855302279485</v>
      </c>
      <c r="EP677" s="1">
        <f>1+(Table1[[#This Row],[error_ratio_0]]-EF$2)</f>
        <v>0.97857142857142854</v>
      </c>
      <c r="EQ677" s="1">
        <f>1+(Table1[[#This Row],[error_ratio_1]]-EG$2)</f>
        <v>0.97973568281938328</v>
      </c>
      <c r="ER677" s="1">
        <f>1+(Table1[[#This Row],[error_ratio_2]]-EH$2)</f>
        <v>1.0222868217054264</v>
      </c>
      <c r="ES677" s="1">
        <f>1+(Table1[[#This Row],[error_ratio_3]]-EI$2)</f>
        <v>1.0089108910891089</v>
      </c>
      <c r="ET677" s="1">
        <f>1+(Table1[[#This Row],[error_ratio_4]]-EJ$2)</f>
        <v>1.0478615071283095</v>
      </c>
      <c r="EU677" s="1">
        <f>1+(Table1[[#This Row],[error_ratio_5]]-EK$2)</f>
        <v>0.93161434977578472</v>
      </c>
      <c r="EV677" s="1">
        <f>1+(Table1[[#This Row],[error_ratio_6]]-EL$2)</f>
        <v>1.0031315240083507</v>
      </c>
      <c r="EW677" s="1">
        <f>1+(Table1[[#This Row],[error_ratio_7]]-EM$2)</f>
        <v>1.038910505836576</v>
      </c>
      <c r="EX677" s="1">
        <f>1+(Table1[[#This Row],[error_ratio_8]]-EN$2)</f>
        <v>1.1006160164271048</v>
      </c>
      <c r="EY677" s="1">
        <f>1+(Table1[[#This Row],[error_ratio_9]]-EO$2)</f>
        <v>0.886025768087215</v>
      </c>
    </row>
    <row r="678" spans="1:155" x14ac:dyDescent="0.75">
      <c r="A678">
        <v>10</v>
      </c>
      <c r="B678">
        <v>100</v>
      </c>
      <c r="C678">
        <v>10</v>
      </c>
      <c r="D678">
        <v>100</v>
      </c>
      <c r="E678">
        <v>100</v>
      </c>
      <c r="F678">
        <v>10</v>
      </c>
      <c r="G678">
        <v>10</v>
      </c>
      <c r="H678">
        <v>10</v>
      </c>
      <c r="I678">
        <v>100</v>
      </c>
      <c r="J678">
        <v>10</v>
      </c>
      <c r="K678">
        <v>967</v>
      </c>
      <c r="L678">
        <v>1139</v>
      </c>
      <c r="M678">
        <v>959</v>
      </c>
      <c r="N678">
        <v>1103</v>
      </c>
      <c r="O678">
        <v>981</v>
      </c>
      <c r="P678">
        <v>989</v>
      </c>
      <c r="Q678">
        <v>919</v>
      </c>
      <c r="R678">
        <v>967</v>
      </c>
      <c r="S678">
        <v>1099</v>
      </c>
      <c r="T678">
        <v>877</v>
      </c>
      <c r="U678">
        <v>980</v>
      </c>
      <c r="V678">
        <v>1135</v>
      </c>
      <c r="W678">
        <v>1032</v>
      </c>
      <c r="X678">
        <v>1010</v>
      </c>
      <c r="Y678">
        <v>982</v>
      </c>
      <c r="Z678">
        <v>892</v>
      </c>
      <c r="AA678">
        <v>958</v>
      </c>
      <c r="AB678">
        <v>1028</v>
      </c>
      <c r="AC678">
        <v>974</v>
      </c>
      <c r="AD678">
        <v>1009</v>
      </c>
      <c r="AE678">
        <v>948</v>
      </c>
      <c r="AF678">
        <v>1</v>
      </c>
      <c r="AG678">
        <v>0</v>
      </c>
      <c r="AH678">
        <v>0</v>
      </c>
      <c r="AI678">
        <v>0</v>
      </c>
      <c r="AJ678">
        <v>17</v>
      </c>
      <c r="AK678">
        <v>3</v>
      </c>
      <c r="AL678">
        <v>3</v>
      </c>
      <c r="AM678">
        <v>8</v>
      </c>
      <c r="AN678">
        <v>0</v>
      </c>
      <c r="AO678">
        <v>0</v>
      </c>
      <c r="AP678">
        <v>1111</v>
      </c>
      <c r="AQ678">
        <v>0</v>
      </c>
      <c r="AR678">
        <v>2</v>
      </c>
      <c r="AS678">
        <v>0</v>
      </c>
      <c r="AT678">
        <v>3</v>
      </c>
      <c r="AU678">
        <v>1</v>
      </c>
      <c r="AV678">
        <v>0</v>
      </c>
      <c r="AW678">
        <v>18</v>
      </c>
      <c r="AX678">
        <v>0</v>
      </c>
      <c r="AY678">
        <v>1</v>
      </c>
      <c r="AZ678">
        <v>12</v>
      </c>
      <c r="BA678">
        <v>944</v>
      </c>
      <c r="BB678">
        <v>39</v>
      </c>
      <c r="BC678">
        <v>6</v>
      </c>
      <c r="BD678">
        <v>4</v>
      </c>
      <c r="BE678">
        <v>3</v>
      </c>
      <c r="BF678">
        <v>3</v>
      </c>
      <c r="BG678">
        <v>20</v>
      </c>
      <c r="BH678">
        <v>0</v>
      </c>
      <c r="BI678">
        <v>0</v>
      </c>
      <c r="BJ678">
        <v>0</v>
      </c>
      <c r="BK678">
        <v>1</v>
      </c>
      <c r="BL678">
        <v>995</v>
      </c>
      <c r="BM678">
        <v>0</v>
      </c>
      <c r="BN678">
        <v>9</v>
      </c>
      <c r="BO678">
        <v>0</v>
      </c>
      <c r="BP678">
        <v>2</v>
      </c>
      <c r="BQ678">
        <v>3</v>
      </c>
      <c r="BR678">
        <v>0</v>
      </c>
      <c r="BS678">
        <v>0</v>
      </c>
      <c r="BT678">
        <v>0</v>
      </c>
      <c r="BU678">
        <v>0</v>
      </c>
      <c r="BV678">
        <v>0</v>
      </c>
      <c r="BW678">
        <v>959</v>
      </c>
      <c r="BX678">
        <v>0</v>
      </c>
      <c r="BY678">
        <v>5</v>
      </c>
      <c r="BZ678">
        <v>1</v>
      </c>
      <c r="CA678">
        <v>14</v>
      </c>
      <c r="CB678">
        <v>3</v>
      </c>
      <c r="CC678">
        <v>1</v>
      </c>
      <c r="CD678">
        <v>0</v>
      </c>
      <c r="CE678">
        <v>0</v>
      </c>
      <c r="CF678">
        <v>8</v>
      </c>
      <c r="CG678">
        <v>0</v>
      </c>
      <c r="CH678">
        <v>880</v>
      </c>
      <c r="CI678">
        <v>1</v>
      </c>
      <c r="CJ678">
        <v>1</v>
      </c>
      <c r="CK678">
        <v>1</v>
      </c>
      <c r="CL678">
        <v>0</v>
      </c>
      <c r="CM678">
        <v>9</v>
      </c>
      <c r="CN678">
        <v>4</v>
      </c>
      <c r="CO678">
        <v>0</v>
      </c>
      <c r="CP678">
        <v>1</v>
      </c>
      <c r="CQ678">
        <v>2</v>
      </c>
      <c r="CR678">
        <v>34</v>
      </c>
      <c r="CS678">
        <v>906</v>
      </c>
      <c r="CT678">
        <v>0</v>
      </c>
      <c r="CU678">
        <v>2</v>
      </c>
      <c r="CV678">
        <v>0</v>
      </c>
      <c r="CW678">
        <v>2</v>
      </c>
      <c r="CX678">
        <v>9</v>
      </c>
      <c r="CY678">
        <v>13</v>
      </c>
      <c r="CZ678">
        <v>29</v>
      </c>
      <c r="DA678">
        <v>1</v>
      </c>
      <c r="DB678">
        <v>0</v>
      </c>
      <c r="DC678">
        <v>0</v>
      </c>
      <c r="DD678">
        <v>948</v>
      </c>
      <c r="DE678">
        <v>25</v>
      </c>
      <c r="DF678">
        <v>1</v>
      </c>
      <c r="DG678">
        <v>1</v>
      </c>
      <c r="DH678">
        <v>0</v>
      </c>
      <c r="DI678">
        <v>1</v>
      </c>
      <c r="DJ678">
        <v>12</v>
      </c>
      <c r="DK678">
        <v>0</v>
      </c>
      <c r="DL678">
        <v>9</v>
      </c>
      <c r="DM678">
        <v>0</v>
      </c>
      <c r="DN678">
        <v>0</v>
      </c>
      <c r="DO678">
        <v>951</v>
      </c>
      <c r="DP678">
        <v>0</v>
      </c>
      <c r="DQ678">
        <v>5</v>
      </c>
      <c r="DR678">
        <v>2</v>
      </c>
      <c r="DS678">
        <v>0</v>
      </c>
      <c r="DT678">
        <v>17</v>
      </c>
      <c r="DU678">
        <v>13</v>
      </c>
      <c r="DV678">
        <v>33</v>
      </c>
      <c r="DW678">
        <v>0</v>
      </c>
      <c r="DX678">
        <v>9</v>
      </c>
      <c r="DY678">
        <v>57</v>
      </c>
      <c r="DZ678">
        <v>873</v>
      </c>
      <c r="EA678">
        <v>0.95150000000000001</v>
      </c>
      <c r="EB678">
        <v>0.95365510418951305</v>
      </c>
      <c r="EC678">
        <v>0.95187026160247001</v>
      </c>
      <c r="ED678">
        <v>0.95127690960480904</v>
      </c>
      <c r="EE678">
        <f>SUM(Table1[[#This Row],[ratio_0]:[ratio_9]])</f>
        <v>460</v>
      </c>
      <c r="EF678" s="1">
        <f>(Table1[[#This Row],[predicted_0]]-Table1[[#This Row],[actual_0]])/Table1[[#This Row],[actual_0]]</f>
        <v>-1.3265306122448979E-2</v>
      </c>
      <c r="EG678" s="1">
        <f>(Table1[[#This Row],[predicted_1]]-Table1[[#This Row],[actual_1]])/Table1[[#This Row],[actual_1]]</f>
        <v>3.524229074889868E-3</v>
      </c>
      <c r="EH678" s="1">
        <f>(Table1[[#This Row],[predicted_2]]-Table1[[#This Row],[actual_2]])/Table1[[#This Row],[actual_2]]</f>
        <v>-7.0736434108527133E-2</v>
      </c>
      <c r="EI678" s="1">
        <f>(Table1[[#This Row],[predicted_3]]-Table1[[#This Row],[actual_3]])/Table1[[#This Row],[actual_3]]</f>
        <v>9.2079207920792078E-2</v>
      </c>
      <c r="EJ678" s="1">
        <f>(Table1[[#This Row],[predicted_4]]-Table1[[#This Row],[actual_4]])/Table1[[#This Row],[actual_4]]</f>
        <v>-1.0183299389002036E-3</v>
      </c>
      <c r="EK678" s="1">
        <f>(Table1[[#This Row],[predicted_5]]-Table1[[#This Row],[actual_5]])/Table1[[#This Row],[actual_5]]</f>
        <v>0.10874439461883408</v>
      </c>
      <c r="EL678" s="1">
        <f>(Table1[[#This Row],[predicted_6]]-Table1[[#This Row],[actual_6]])/Table1[[#This Row],[actual_6]]</f>
        <v>-4.07098121085595E-2</v>
      </c>
      <c r="EM678" s="1">
        <f>(Table1[[#This Row],[predicted_7]]-Table1[[#This Row],[actual_7]])/Table1[[#This Row],[actual_7]]</f>
        <v>-5.9338521400778207E-2</v>
      </c>
      <c r="EN678" s="1">
        <f>(Table1[[#This Row],[predicted_8]]-Table1[[#This Row],[actual_8]])/Table1[[#This Row],[actual_8]]</f>
        <v>0.12833675564681724</v>
      </c>
      <c r="EO678" s="1">
        <f>(Table1[[#This Row],[predicted_9]]-Table1[[#This Row],[actual_9]])/Table1[[#This Row],[actual_9]]</f>
        <v>-0.13082259663032705</v>
      </c>
      <c r="EP678" s="1">
        <f>1+(Table1[[#This Row],[error_ratio_0]]-EF$2)</f>
        <v>0.98469387755102045</v>
      </c>
      <c r="EQ678" s="1">
        <f>1+(Table1[[#This Row],[error_ratio_1]]-EG$2)</f>
        <v>1.0017621145374449</v>
      </c>
      <c r="ER678" s="1">
        <f>1+(Table1[[#This Row],[error_ratio_2]]-EH$2)</f>
        <v>0.93410852713178294</v>
      </c>
      <c r="ES678" s="1">
        <f>1+(Table1[[#This Row],[error_ratio_3]]-EI$2)</f>
        <v>1.0821782178217823</v>
      </c>
      <c r="ET678" s="1">
        <f>1+(Table1[[#This Row],[error_ratio_4]]-EJ$2)</f>
        <v>0.99796334012219956</v>
      </c>
      <c r="EU678" s="1">
        <f>1+(Table1[[#This Row],[error_ratio_5]]-EK$2)</f>
        <v>1.1076233183856503</v>
      </c>
      <c r="EV678" s="1">
        <f>1+(Table1[[#This Row],[error_ratio_6]]-EL$2)</f>
        <v>0.96555323590814202</v>
      </c>
      <c r="EW678" s="1">
        <f>1+(Table1[[#This Row],[error_ratio_7]]-EM$2)</f>
        <v>0.93871595330739299</v>
      </c>
      <c r="EX678" s="1">
        <f>1+(Table1[[#This Row],[error_ratio_8]]-EN$2)</f>
        <v>1.1314168377823408</v>
      </c>
      <c r="EY678" s="1">
        <f>1+(Table1[[#This Row],[error_ratio_9]]-EO$2)</f>
        <v>0.87314172447968286</v>
      </c>
    </row>
    <row r="679" spans="1:155" x14ac:dyDescent="0.75">
      <c r="A679">
        <v>100</v>
      </c>
      <c r="B679">
        <v>10</v>
      </c>
      <c r="C679">
        <v>10</v>
      </c>
      <c r="D679">
        <v>100</v>
      </c>
      <c r="E679">
        <v>100</v>
      </c>
      <c r="F679">
        <v>10</v>
      </c>
      <c r="G679">
        <v>10</v>
      </c>
      <c r="H679">
        <v>10</v>
      </c>
      <c r="I679">
        <v>100</v>
      </c>
      <c r="J679">
        <v>10</v>
      </c>
      <c r="K679">
        <v>1047</v>
      </c>
      <c r="L679">
        <v>1127</v>
      </c>
      <c r="M679">
        <v>875</v>
      </c>
      <c r="N679">
        <v>1132</v>
      </c>
      <c r="O679">
        <v>1035</v>
      </c>
      <c r="P679">
        <v>814</v>
      </c>
      <c r="Q679">
        <v>948</v>
      </c>
      <c r="R679">
        <v>1023</v>
      </c>
      <c r="S679">
        <v>1084</v>
      </c>
      <c r="T679">
        <v>915</v>
      </c>
      <c r="U679">
        <v>980</v>
      </c>
      <c r="V679">
        <v>1135</v>
      </c>
      <c r="W679">
        <v>1032</v>
      </c>
      <c r="X679">
        <v>1010</v>
      </c>
      <c r="Y679">
        <v>982</v>
      </c>
      <c r="Z679">
        <v>892</v>
      </c>
      <c r="AA679">
        <v>958</v>
      </c>
      <c r="AB679">
        <v>1028</v>
      </c>
      <c r="AC679">
        <v>974</v>
      </c>
      <c r="AD679">
        <v>1009</v>
      </c>
      <c r="AE679">
        <v>978</v>
      </c>
      <c r="AF679">
        <v>0</v>
      </c>
      <c r="AG679">
        <v>0</v>
      </c>
      <c r="AH679">
        <v>0</v>
      </c>
      <c r="AI679">
        <v>0</v>
      </c>
      <c r="AJ679">
        <v>0</v>
      </c>
      <c r="AK679">
        <v>0</v>
      </c>
      <c r="AL679">
        <v>1</v>
      </c>
      <c r="AM679">
        <v>1</v>
      </c>
      <c r="AN679">
        <v>0</v>
      </c>
      <c r="AO679">
        <v>0</v>
      </c>
      <c r="AP679">
        <v>1109</v>
      </c>
      <c r="AQ679">
        <v>0</v>
      </c>
      <c r="AR679">
        <v>6</v>
      </c>
      <c r="AS679">
        <v>2</v>
      </c>
      <c r="AT679">
        <v>0</v>
      </c>
      <c r="AU679">
        <v>3</v>
      </c>
      <c r="AV679">
        <v>0</v>
      </c>
      <c r="AW679">
        <v>14</v>
      </c>
      <c r="AX679">
        <v>1</v>
      </c>
      <c r="AY679">
        <v>27</v>
      </c>
      <c r="AZ679">
        <v>6</v>
      </c>
      <c r="BA679">
        <v>866</v>
      </c>
      <c r="BB679">
        <v>40</v>
      </c>
      <c r="BC679">
        <v>18</v>
      </c>
      <c r="BD679">
        <v>0</v>
      </c>
      <c r="BE679">
        <v>13</v>
      </c>
      <c r="BF679">
        <v>14</v>
      </c>
      <c r="BG679">
        <v>48</v>
      </c>
      <c r="BH679">
        <v>0</v>
      </c>
      <c r="BI679">
        <v>0</v>
      </c>
      <c r="BJ679">
        <v>0</v>
      </c>
      <c r="BK679">
        <v>1</v>
      </c>
      <c r="BL679">
        <v>998</v>
      </c>
      <c r="BM679">
        <v>0</v>
      </c>
      <c r="BN679">
        <v>0</v>
      </c>
      <c r="BO679">
        <v>0</v>
      </c>
      <c r="BP679">
        <v>5</v>
      </c>
      <c r="BQ679">
        <v>6</v>
      </c>
      <c r="BR679">
        <v>0</v>
      </c>
      <c r="BS679">
        <v>0</v>
      </c>
      <c r="BT679">
        <v>0</v>
      </c>
      <c r="BU679">
        <v>0</v>
      </c>
      <c r="BV679">
        <v>0</v>
      </c>
      <c r="BW679">
        <v>980</v>
      </c>
      <c r="BX679">
        <v>0</v>
      </c>
      <c r="BY679">
        <v>0</v>
      </c>
      <c r="BZ679">
        <v>1</v>
      </c>
      <c r="CA679">
        <v>1</v>
      </c>
      <c r="CB679">
        <v>0</v>
      </c>
      <c r="CC679">
        <v>7</v>
      </c>
      <c r="CD679">
        <v>1</v>
      </c>
      <c r="CE679">
        <v>0</v>
      </c>
      <c r="CF679">
        <v>57</v>
      </c>
      <c r="CG679">
        <v>0</v>
      </c>
      <c r="CH679">
        <v>807</v>
      </c>
      <c r="CI679">
        <v>4</v>
      </c>
      <c r="CJ679">
        <v>0</v>
      </c>
      <c r="CK679">
        <v>15</v>
      </c>
      <c r="CL679">
        <v>1</v>
      </c>
      <c r="CM679">
        <v>12</v>
      </c>
      <c r="CN679">
        <v>2</v>
      </c>
      <c r="CO679">
        <v>0</v>
      </c>
      <c r="CP679">
        <v>0</v>
      </c>
      <c r="CQ679">
        <v>5</v>
      </c>
      <c r="CR679">
        <v>2</v>
      </c>
      <c r="CS679">
        <v>927</v>
      </c>
      <c r="CT679">
        <v>0</v>
      </c>
      <c r="CU679">
        <v>10</v>
      </c>
      <c r="CV679">
        <v>0</v>
      </c>
      <c r="CW679">
        <v>6</v>
      </c>
      <c r="CX679">
        <v>5</v>
      </c>
      <c r="CY679">
        <v>8</v>
      </c>
      <c r="CZ679">
        <v>15</v>
      </c>
      <c r="DA679">
        <v>4</v>
      </c>
      <c r="DB679">
        <v>0</v>
      </c>
      <c r="DC679">
        <v>0</v>
      </c>
      <c r="DD679">
        <v>981</v>
      </c>
      <c r="DE679">
        <v>5</v>
      </c>
      <c r="DF679">
        <v>4</v>
      </c>
      <c r="DG679">
        <v>3</v>
      </c>
      <c r="DH679">
        <v>0</v>
      </c>
      <c r="DI679">
        <v>0</v>
      </c>
      <c r="DJ679">
        <v>1</v>
      </c>
      <c r="DK679">
        <v>0</v>
      </c>
      <c r="DL679">
        <v>0</v>
      </c>
      <c r="DM679">
        <v>1</v>
      </c>
      <c r="DN679">
        <v>3</v>
      </c>
      <c r="DO679">
        <v>965</v>
      </c>
      <c r="DP679">
        <v>1</v>
      </c>
      <c r="DQ679">
        <v>14</v>
      </c>
      <c r="DR679">
        <v>4</v>
      </c>
      <c r="DS679">
        <v>0</v>
      </c>
      <c r="DT679">
        <v>15</v>
      </c>
      <c r="DU679">
        <v>26</v>
      </c>
      <c r="DV679">
        <v>5</v>
      </c>
      <c r="DW679">
        <v>0</v>
      </c>
      <c r="DX679">
        <v>18</v>
      </c>
      <c r="DY679">
        <v>19</v>
      </c>
      <c r="DZ679">
        <v>908</v>
      </c>
      <c r="EA679">
        <v>0.95189999999999997</v>
      </c>
      <c r="EB679">
        <v>0.95470894491429803</v>
      </c>
      <c r="EC679">
        <v>0.951757137347922</v>
      </c>
      <c r="ED679">
        <v>0.95144010791229505</v>
      </c>
      <c r="EE679">
        <f>SUM(Table1[[#This Row],[ratio_0]:[ratio_9]])</f>
        <v>460</v>
      </c>
      <c r="EF679" s="1">
        <f>(Table1[[#This Row],[predicted_0]]-Table1[[#This Row],[actual_0]])/Table1[[#This Row],[actual_0]]</f>
        <v>6.8367346938775511E-2</v>
      </c>
      <c r="EG679" s="1">
        <f>(Table1[[#This Row],[predicted_1]]-Table1[[#This Row],[actual_1]])/Table1[[#This Row],[actual_1]]</f>
        <v>-7.048458149779736E-3</v>
      </c>
      <c r="EH679" s="1">
        <f>(Table1[[#This Row],[predicted_2]]-Table1[[#This Row],[actual_2]])/Table1[[#This Row],[actual_2]]</f>
        <v>-0.15213178294573643</v>
      </c>
      <c r="EI679" s="1">
        <f>(Table1[[#This Row],[predicted_3]]-Table1[[#This Row],[actual_3]])/Table1[[#This Row],[actual_3]]</f>
        <v>0.12079207920792079</v>
      </c>
      <c r="EJ679" s="1">
        <f>(Table1[[#This Row],[predicted_4]]-Table1[[#This Row],[actual_4]])/Table1[[#This Row],[actual_4]]</f>
        <v>5.3971486761710798E-2</v>
      </c>
      <c r="EK679" s="1">
        <f>(Table1[[#This Row],[predicted_5]]-Table1[[#This Row],[actual_5]])/Table1[[#This Row],[actual_5]]</f>
        <v>-8.744394618834081E-2</v>
      </c>
      <c r="EL679" s="1">
        <f>(Table1[[#This Row],[predicted_6]]-Table1[[#This Row],[actual_6]])/Table1[[#This Row],[actual_6]]</f>
        <v>-1.0438413361169102E-2</v>
      </c>
      <c r="EM679" s="1">
        <f>(Table1[[#This Row],[predicted_7]]-Table1[[#This Row],[actual_7]])/Table1[[#This Row],[actual_7]]</f>
        <v>-4.8638132295719845E-3</v>
      </c>
      <c r="EN679" s="1">
        <f>(Table1[[#This Row],[predicted_8]]-Table1[[#This Row],[actual_8]])/Table1[[#This Row],[actual_8]]</f>
        <v>0.11293634496919917</v>
      </c>
      <c r="EO679" s="1">
        <f>(Table1[[#This Row],[predicted_9]]-Table1[[#This Row],[actual_9]])/Table1[[#This Row],[actual_9]]</f>
        <v>-9.3161546085232902E-2</v>
      </c>
      <c r="EP679" s="1">
        <f>1+(Table1[[#This Row],[error_ratio_0]]-EF$2)</f>
        <v>1.0663265306122449</v>
      </c>
      <c r="EQ679" s="1">
        <f>1+(Table1[[#This Row],[error_ratio_1]]-EG$2)</f>
        <v>0.99118942731277537</v>
      </c>
      <c r="ER679" s="1">
        <f>1+(Table1[[#This Row],[error_ratio_2]]-EH$2)</f>
        <v>0.8527131782945736</v>
      </c>
      <c r="ES679" s="1">
        <f>1+(Table1[[#This Row],[error_ratio_3]]-EI$2)</f>
        <v>1.110891089108911</v>
      </c>
      <c r="ET679" s="1">
        <f>1+(Table1[[#This Row],[error_ratio_4]]-EJ$2)</f>
        <v>1.0529531568228105</v>
      </c>
      <c r="EU679" s="1">
        <f>1+(Table1[[#This Row],[error_ratio_5]]-EK$2)</f>
        <v>0.91143497757847536</v>
      </c>
      <c r="EV679" s="1">
        <f>1+(Table1[[#This Row],[error_ratio_6]]-EL$2)</f>
        <v>0.99582463465553239</v>
      </c>
      <c r="EW679" s="1">
        <f>1+(Table1[[#This Row],[error_ratio_7]]-EM$2)</f>
        <v>0.99319066147859925</v>
      </c>
      <c r="EX679" s="1">
        <f>1+(Table1[[#This Row],[error_ratio_8]]-EN$2)</f>
        <v>1.1160164271047228</v>
      </c>
      <c r="EY679" s="1">
        <f>1+(Table1[[#This Row],[error_ratio_9]]-EO$2)</f>
        <v>0.91080277502477702</v>
      </c>
    </row>
    <row r="680" spans="1:155" x14ac:dyDescent="0.75">
      <c r="A680">
        <v>100</v>
      </c>
      <c r="B680">
        <v>100</v>
      </c>
      <c r="C680">
        <v>100</v>
      </c>
      <c r="D680">
        <v>10</v>
      </c>
      <c r="E680">
        <v>100</v>
      </c>
      <c r="F680">
        <v>10</v>
      </c>
      <c r="G680">
        <v>10</v>
      </c>
      <c r="H680">
        <v>10</v>
      </c>
      <c r="I680">
        <v>100</v>
      </c>
      <c r="J680">
        <v>10</v>
      </c>
      <c r="K680">
        <v>1030</v>
      </c>
      <c r="L680">
        <v>1173</v>
      </c>
      <c r="M680">
        <v>1064</v>
      </c>
      <c r="N680">
        <v>962</v>
      </c>
      <c r="O680">
        <v>991</v>
      </c>
      <c r="P680">
        <v>823</v>
      </c>
      <c r="Q680">
        <v>942</v>
      </c>
      <c r="R680">
        <v>1000</v>
      </c>
      <c r="S680">
        <v>1021</v>
      </c>
      <c r="T680">
        <v>994</v>
      </c>
      <c r="U680">
        <v>980</v>
      </c>
      <c r="V680">
        <v>1135</v>
      </c>
      <c r="W680">
        <v>1032</v>
      </c>
      <c r="X680">
        <v>1010</v>
      </c>
      <c r="Y680">
        <v>982</v>
      </c>
      <c r="Z680">
        <v>892</v>
      </c>
      <c r="AA680">
        <v>958</v>
      </c>
      <c r="AB680">
        <v>1028</v>
      </c>
      <c r="AC680">
        <v>974</v>
      </c>
      <c r="AD680">
        <v>1009</v>
      </c>
      <c r="AE680">
        <v>975</v>
      </c>
      <c r="AF680">
        <v>0</v>
      </c>
      <c r="AG680">
        <v>0</v>
      </c>
      <c r="AH680">
        <v>0</v>
      </c>
      <c r="AI680">
        <v>1</v>
      </c>
      <c r="AJ680">
        <v>0</v>
      </c>
      <c r="AK680">
        <v>0</v>
      </c>
      <c r="AL680">
        <v>1</v>
      </c>
      <c r="AM680">
        <v>3</v>
      </c>
      <c r="AN680">
        <v>0</v>
      </c>
      <c r="AO680">
        <v>0</v>
      </c>
      <c r="AP680">
        <v>1135</v>
      </c>
      <c r="AQ680">
        <v>0</v>
      </c>
      <c r="AR680">
        <v>0</v>
      </c>
      <c r="AS680">
        <v>0</v>
      </c>
      <c r="AT680">
        <v>0</v>
      </c>
      <c r="AU680">
        <v>0</v>
      </c>
      <c r="AV680">
        <v>0</v>
      </c>
      <c r="AW680">
        <v>0</v>
      </c>
      <c r="AX680">
        <v>0</v>
      </c>
      <c r="AY680">
        <v>1</v>
      </c>
      <c r="AZ680">
        <v>4</v>
      </c>
      <c r="BA680">
        <v>1022</v>
      </c>
      <c r="BB680">
        <v>0</v>
      </c>
      <c r="BC680">
        <v>1</v>
      </c>
      <c r="BD680">
        <v>0</v>
      </c>
      <c r="BE680">
        <v>0</v>
      </c>
      <c r="BF680">
        <v>4</v>
      </c>
      <c r="BG680">
        <v>0</v>
      </c>
      <c r="BH680">
        <v>0</v>
      </c>
      <c r="BI680">
        <v>6</v>
      </c>
      <c r="BJ680">
        <v>1</v>
      </c>
      <c r="BK680">
        <v>4</v>
      </c>
      <c r="BL680">
        <v>947</v>
      </c>
      <c r="BM680">
        <v>0</v>
      </c>
      <c r="BN680">
        <v>10</v>
      </c>
      <c r="BO680">
        <v>0</v>
      </c>
      <c r="BP680">
        <v>14</v>
      </c>
      <c r="BQ680">
        <v>22</v>
      </c>
      <c r="BR680">
        <v>6</v>
      </c>
      <c r="BS680">
        <v>0</v>
      </c>
      <c r="BT680">
        <v>2</v>
      </c>
      <c r="BU680">
        <v>1</v>
      </c>
      <c r="BV680">
        <v>0</v>
      </c>
      <c r="BW680">
        <v>968</v>
      </c>
      <c r="BX680">
        <v>0</v>
      </c>
      <c r="BY680">
        <v>3</v>
      </c>
      <c r="BZ680">
        <v>0</v>
      </c>
      <c r="CA680">
        <v>0</v>
      </c>
      <c r="CB680">
        <v>8</v>
      </c>
      <c r="CC680">
        <v>13</v>
      </c>
      <c r="CD680">
        <v>7</v>
      </c>
      <c r="CE680">
        <v>1</v>
      </c>
      <c r="CF680">
        <v>10</v>
      </c>
      <c r="CG680">
        <v>0</v>
      </c>
      <c r="CH680">
        <v>811</v>
      </c>
      <c r="CI680">
        <v>7</v>
      </c>
      <c r="CJ680">
        <v>4</v>
      </c>
      <c r="CK680">
        <v>35</v>
      </c>
      <c r="CL680">
        <v>4</v>
      </c>
      <c r="CM680">
        <v>14</v>
      </c>
      <c r="CN680">
        <v>6</v>
      </c>
      <c r="CO680">
        <v>0</v>
      </c>
      <c r="CP680">
        <v>0</v>
      </c>
      <c r="CQ680">
        <v>4</v>
      </c>
      <c r="CR680">
        <v>0</v>
      </c>
      <c r="CS680">
        <v>930</v>
      </c>
      <c r="CT680">
        <v>0</v>
      </c>
      <c r="CU680">
        <v>4</v>
      </c>
      <c r="CV680">
        <v>0</v>
      </c>
      <c r="CW680">
        <v>6</v>
      </c>
      <c r="CX680">
        <v>11</v>
      </c>
      <c r="CY680">
        <v>33</v>
      </c>
      <c r="CZ680">
        <v>1</v>
      </c>
      <c r="DA680">
        <v>3</v>
      </c>
      <c r="DB680">
        <v>0</v>
      </c>
      <c r="DC680">
        <v>0</v>
      </c>
      <c r="DD680">
        <v>963</v>
      </c>
      <c r="DE680">
        <v>1</v>
      </c>
      <c r="DF680">
        <v>10</v>
      </c>
      <c r="DG680">
        <v>4</v>
      </c>
      <c r="DH680">
        <v>0</v>
      </c>
      <c r="DI680">
        <v>2</v>
      </c>
      <c r="DJ680">
        <v>1</v>
      </c>
      <c r="DK680">
        <v>0</v>
      </c>
      <c r="DL680">
        <v>0</v>
      </c>
      <c r="DM680">
        <v>2</v>
      </c>
      <c r="DN680">
        <v>6</v>
      </c>
      <c r="DO680">
        <v>952</v>
      </c>
      <c r="DP680">
        <v>7</v>
      </c>
      <c r="DQ680">
        <v>11</v>
      </c>
      <c r="DR680">
        <v>7</v>
      </c>
      <c r="DS680">
        <v>1</v>
      </c>
      <c r="DT680">
        <v>3</v>
      </c>
      <c r="DU680">
        <v>14</v>
      </c>
      <c r="DV680">
        <v>2</v>
      </c>
      <c r="DW680">
        <v>0</v>
      </c>
      <c r="DX680">
        <v>8</v>
      </c>
      <c r="DY680">
        <v>4</v>
      </c>
      <c r="DZ680">
        <v>959</v>
      </c>
      <c r="EA680">
        <v>0.96619999999999995</v>
      </c>
      <c r="EB680">
        <v>0.96688195689157197</v>
      </c>
      <c r="EC680">
        <v>0.96531695927821204</v>
      </c>
      <c r="ED680">
        <v>0.96569424263374404</v>
      </c>
      <c r="EE680">
        <f>SUM(Table1[[#This Row],[ratio_0]:[ratio_9]])</f>
        <v>550</v>
      </c>
      <c r="EF680" s="1">
        <f>(Table1[[#This Row],[predicted_0]]-Table1[[#This Row],[actual_0]])/Table1[[#This Row],[actual_0]]</f>
        <v>5.1020408163265307E-2</v>
      </c>
      <c r="EG680" s="1">
        <f>(Table1[[#This Row],[predicted_1]]-Table1[[#This Row],[actual_1]])/Table1[[#This Row],[actual_1]]</f>
        <v>3.3480176211453744E-2</v>
      </c>
      <c r="EH680" s="1">
        <f>(Table1[[#This Row],[predicted_2]]-Table1[[#This Row],[actual_2]])/Table1[[#This Row],[actual_2]]</f>
        <v>3.1007751937984496E-2</v>
      </c>
      <c r="EI680" s="1">
        <f>(Table1[[#This Row],[predicted_3]]-Table1[[#This Row],[actual_3]])/Table1[[#This Row],[actual_3]]</f>
        <v>-4.7524752475247525E-2</v>
      </c>
      <c r="EJ680" s="1">
        <f>(Table1[[#This Row],[predicted_4]]-Table1[[#This Row],[actual_4]])/Table1[[#This Row],[actual_4]]</f>
        <v>9.1649694501018328E-3</v>
      </c>
      <c r="EK680" s="1">
        <f>(Table1[[#This Row],[predicted_5]]-Table1[[#This Row],[actual_5]])/Table1[[#This Row],[actual_5]]</f>
        <v>-7.73542600896861E-2</v>
      </c>
      <c r="EL680" s="1">
        <f>(Table1[[#This Row],[predicted_6]]-Table1[[#This Row],[actual_6]])/Table1[[#This Row],[actual_6]]</f>
        <v>-1.6701461377870562E-2</v>
      </c>
      <c r="EM680" s="1">
        <f>(Table1[[#This Row],[predicted_7]]-Table1[[#This Row],[actual_7]])/Table1[[#This Row],[actual_7]]</f>
        <v>-2.7237354085603113E-2</v>
      </c>
      <c r="EN680" s="1">
        <f>(Table1[[#This Row],[predicted_8]]-Table1[[#This Row],[actual_8]])/Table1[[#This Row],[actual_8]]</f>
        <v>4.8254620123203286E-2</v>
      </c>
      <c r="EO680" s="1">
        <f>(Table1[[#This Row],[predicted_9]]-Table1[[#This Row],[actual_9]])/Table1[[#This Row],[actual_9]]</f>
        <v>-1.4866204162537165E-2</v>
      </c>
      <c r="EP680" s="1">
        <f>1+(Table1[[#This Row],[error_ratio_0]]-EF$2)</f>
        <v>1.0489795918367346</v>
      </c>
      <c r="EQ680" s="1">
        <f>1+(Table1[[#This Row],[error_ratio_1]]-EG$2)</f>
        <v>1.0317180616740087</v>
      </c>
      <c r="ER680" s="1">
        <f>1+(Table1[[#This Row],[error_ratio_2]]-EH$2)</f>
        <v>1.0358527131782946</v>
      </c>
      <c r="ES680" s="1">
        <f>1+(Table1[[#This Row],[error_ratio_3]]-EI$2)</f>
        <v>0.94257425742574252</v>
      </c>
      <c r="ET680" s="1">
        <f>1+(Table1[[#This Row],[error_ratio_4]]-EJ$2)</f>
        <v>1.0081466395112015</v>
      </c>
      <c r="EU680" s="1">
        <f>1+(Table1[[#This Row],[error_ratio_5]]-EK$2)</f>
        <v>0.92152466367713004</v>
      </c>
      <c r="EV680" s="1">
        <f>1+(Table1[[#This Row],[error_ratio_6]]-EL$2)</f>
        <v>0.98956158663883087</v>
      </c>
      <c r="EW680" s="1">
        <f>1+(Table1[[#This Row],[error_ratio_7]]-EM$2)</f>
        <v>0.97081712062256809</v>
      </c>
      <c r="EX680" s="1">
        <f>1+(Table1[[#This Row],[error_ratio_8]]-EN$2)</f>
        <v>1.0513347022587269</v>
      </c>
      <c r="EY680" s="1">
        <f>1+(Table1[[#This Row],[error_ratio_9]]-EO$2)</f>
        <v>0.98909811694747274</v>
      </c>
    </row>
    <row r="681" spans="1:155" x14ac:dyDescent="0.75">
      <c r="A681">
        <v>100</v>
      </c>
      <c r="B681">
        <v>10</v>
      </c>
      <c r="C681">
        <v>100</v>
      </c>
      <c r="D681">
        <v>10</v>
      </c>
      <c r="E681">
        <v>100</v>
      </c>
      <c r="F681">
        <v>10</v>
      </c>
      <c r="G681">
        <v>10</v>
      </c>
      <c r="H681">
        <v>10</v>
      </c>
      <c r="I681">
        <v>100</v>
      </c>
      <c r="J681">
        <v>10</v>
      </c>
      <c r="K681">
        <v>1089</v>
      </c>
      <c r="L681">
        <v>1147</v>
      </c>
      <c r="M681">
        <v>1027</v>
      </c>
      <c r="N681">
        <v>923</v>
      </c>
      <c r="O681">
        <v>1038</v>
      </c>
      <c r="P681">
        <v>862</v>
      </c>
      <c r="Q681">
        <v>897</v>
      </c>
      <c r="R681">
        <v>1002</v>
      </c>
      <c r="S681">
        <v>1052</v>
      </c>
      <c r="T681">
        <v>963</v>
      </c>
      <c r="U681">
        <v>980</v>
      </c>
      <c r="V681">
        <v>1135</v>
      </c>
      <c r="W681">
        <v>1032</v>
      </c>
      <c r="X681">
        <v>1010</v>
      </c>
      <c r="Y681">
        <v>982</v>
      </c>
      <c r="Z681">
        <v>892</v>
      </c>
      <c r="AA681">
        <v>958</v>
      </c>
      <c r="AB681">
        <v>1028</v>
      </c>
      <c r="AC681">
        <v>974</v>
      </c>
      <c r="AD681">
        <v>1009</v>
      </c>
      <c r="AE681">
        <v>978</v>
      </c>
      <c r="AF681">
        <v>0</v>
      </c>
      <c r="AG681">
        <v>0</v>
      </c>
      <c r="AH681">
        <v>0</v>
      </c>
      <c r="AI681">
        <v>0</v>
      </c>
      <c r="AJ681">
        <v>0</v>
      </c>
      <c r="AK681">
        <v>0</v>
      </c>
      <c r="AL681">
        <v>1</v>
      </c>
      <c r="AM681">
        <v>1</v>
      </c>
      <c r="AN681">
        <v>0</v>
      </c>
      <c r="AO681">
        <v>0</v>
      </c>
      <c r="AP681">
        <v>1129</v>
      </c>
      <c r="AQ681">
        <v>2</v>
      </c>
      <c r="AR681">
        <v>2</v>
      </c>
      <c r="AS681">
        <v>0</v>
      </c>
      <c r="AT681">
        <v>0</v>
      </c>
      <c r="AU681">
        <v>0</v>
      </c>
      <c r="AV681">
        <v>0</v>
      </c>
      <c r="AW681">
        <v>2</v>
      </c>
      <c r="AX681">
        <v>0</v>
      </c>
      <c r="AY681">
        <v>10</v>
      </c>
      <c r="AZ681">
        <v>5</v>
      </c>
      <c r="BA681">
        <v>1003</v>
      </c>
      <c r="BB681">
        <v>0</v>
      </c>
      <c r="BC681">
        <v>2</v>
      </c>
      <c r="BD681">
        <v>0</v>
      </c>
      <c r="BE681">
        <v>1</v>
      </c>
      <c r="BF681">
        <v>6</v>
      </c>
      <c r="BG681">
        <v>5</v>
      </c>
      <c r="BH681">
        <v>0</v>
      </c>
      <c r="BI681">
        <v>14</v>
      </c>
      <c r="BJ681">
        <v>0</v>
      </c>
      <c r="BK681">
        <v>4</v>
      </c>
      <c r="BL681">
        <v>917</v>
      </c>
      <c r="BM681">
        <v>2</v>
      </c>
      <c r="BN681">
        <v>21</v>
      </c>
      <c r="BO681">
        <v>0</v>
      </c>
      <c r="BP681">
        <v>12</v>
      </c>
      <c r="BQ681">
        <v>31</v>
      </c>
      <c r="BR681">
        <v>9</v>
      </c>
      <c r="BS681">
        <v>0</v>
      </c>
      <c r="BT681">
        <v>0</v>
      </c>
      <c r="BU681">
        <v>0</v>
      </c>
      <c r="BV681">
        <v>0</v>
      </c>
      <c r="BW681">
        <v>982</v>
      </c>
      <c r="BX681">
        <v>0</v>
      </c>
      <c r="BY681">
        <v>0</v>
      </c>
      <c r="BZ681">
        <v>0</v>
      </c>
      <c r="CA681">
        <v>0</v>
      </c>
      <c r="CB681">
        <v>0</v>
      </c>
      <c r="CC681">
        <v>26</v>
      </c>
      <c r="CD681">
        <v>0</v>
      </c>
      <c r="CE681">
        <v>0</v>
      </c>
      <c r="CF681">
        <v>3</v>
      </c>
      <c r="CG681">
        <v>1</v>
      </c>
      <c r="CH681">
        <v>836</v>
      </c>
      <c r="CI681">
        <v>0</v>
      </c>
      <c r="CJ681">
        <v>1</v>
      </c>
      <c r="CK681">
        <v>19</v>
      </c>
      <c r="CL681">
        <v>6</v>
      </c>
      <c r="CM681">
        <v>35</v>
      </c>
      <c r="CN681">
        <v>3</v>
      </c>
      <c r="CO681">
        <v>0</v>
      </c>
      <c r="CP681">
        <v>0</v>
      </c>
      <c r="CQ681">
        <v>9</v>
      </c>
      <c r="CR681">
        <v>3</v>
      </c>
      <c r="CS681">
        <v>896</v>
      </c>
      <c r="CT681">
        <v>0</v>
      </c>
      <c r="CU681">
        <v>12</v>
      </c>
      <c r="CV681">
        <v>0</v>
      </c>
      <c r="CW681">
        <v>2</v>
      </c>
      <c r="CX681">
        <v>6</v>
      </c>
      <c r="CY681">
        <v>15</v>
      </c>
      <c r="CZ681">
        <v>1</v>
      </c>
      <c r="DA681">
        <v>8</v>
      </c>
      <c r="DB681">
        <v>0</v>
      </c>
      <c r="DC681">
        <v>0</v>
      </c>
      <c r="DD681">
        <v>975</v>
      </c>
      <c r="DE681">
        <v>7</v>
      </c>
      <c r="DF681">
        <v>14</v>
      </c>
      <c r="DG681">
        <v>9</v>
      </c>
      <c r="DH681">
        <v>0</v>
      </c>
      <c r="DI681">
        <v>2</v>
      </c>
      <c r="DJ681">
        <v>0</v>
      </c>
      <c r="DK681">
        <v>2</v>
      </c>
      <c r="DL681">
        <v>0</v>
      </c>
      <c r="DM681">
        <v>0</v>
      </c>
      <c r="DN681">
        <v>2</v>
      </c>
      <c r="DO681">
        <v>957</v>
      </c>
      <c r="DP681">
        <v>2</v>
      </c>
      <c r="DQ681">
        <v>15</v>
      </c>
      <c r="DR681">
        <v>4</v>
      </c>
      <c r="DS681">
        <v>1</v>
      </c>
      <c r="DT681">
        <v>0</v>
      </c>
      <c r="DU681">
        <v>32</v>
      </c>
      <c r="DV681">
        <v>2</v>
      </c>
      <c r="DW681">
        <v>0</v>
      </c>
      <c r="DX681">
        <v>5</v>
      </c>
      <c r="DY681">
        <v>18</v>
      </c>
      <c r="DZ681">
        <v>932</v>
      </c>
      <c r="EA681">
        <v>0.96050000000000002</v>
      </c>
      <c r="EB681">
        <v>0.96178404314140697</v>
      </c>
      <c r="EC681">
        <v>0.959967102467987</v>
      </c>
      <c r="ED681">
        <v>0.96000185103606595</v>
      </c>
      <c r="EE681">
        <f>SUM(Table1[[#This Row],[ratio_0]:[ratio_9]])</f>
        <v>460</v>
      </c>
      <c r="EF681" s="1">
        <f>(Table1[[#This Row],[predicted_0]]-Table1[[#This Row],[actual_0]])/Table1[[#This Row],[actual_0]]</f>
        <v>0.11122448979591837</v>
      </c>
      <c r="EG681" s="1">
        <f>(Table1[[#This Row],[predicted_1]]-Table1[[#This Row],[actual_1]])/Table1[[#This Row],[actual_1]]</f>
        <v>1.0572687224669603E-2</v>
      </c>
      <c r="EH681" s="1">
        <f>(Table1[[#This Row],[predicted_2]]-Table1[[#This Row],[actual_2]])/Table1[[#This Row],[actual_2]]</f>
        <v>-4.8449612403100775E-3</v>
      </c>
      <c r="EI681" s="1">
        <f>(Table1[[#This Row],[predicted_3]]-Table1[[#This Row],[actual_3]])/Table1[[#This Row],[actual_3]]</f>
        <v>-8.6138613861386132E-2</v>
      </c>
      <c r="EJ681" s="1">
        <f>(Table1[[#This Row],[predicted_4]]-Table1[[#This Row],[actual_4]])/Table1[[#This Row],[actual_4]]</f>
        <v>5.7026476578411409E-2</v>
      </c>
      <c r="EK681" s="1">
        <f>(Table1[[#This Row],[predicted_5]]-Table1[[#This Row],[actual_5]])/Table1[[#This Row],[actual_5]]</f>
        <v>-3.3632286995515695E-2</v>
      </c>
      <c r="EL681" s="1">
        <f>(Table1[[#This Row],[predicted_6]]-Table1[[#This Row],[actual_6]])/Table1[[#This Row],[actual_6]]</f>
        <v>-6.3674321503131528E-2</v>
      </c>
      <c r="EM681" s="1">
        <f>(Table1[[#This Row],[predicted_7]]-Table1[[#This Row],[actual_7]])/Table1[[#This Row],[actual_7]]</f>
        <v>-2.5291828793774319E-2</v>
      </c>
      <c r="EN681" s="1">
        <f>(Table1[[#This Row],[predicted_8]]-Table1[[#This Row],[actual_8]])/Table1[[#This Row],[actual_8]]</f>
        <v>8.0082135523613956E-2</v>
      </c>
      <c r="EO681" s="1">
        <f>(Table1[[#This Row],[predicted_9]]-Table1[[#This Row],[actual_9]])/Table1[[#This Row],[actual_9]]</f>
        <v>-4.5589692765113973E-2</v>
      </c>
      <c r="EP681" s="1">
        <f>1+(Table1[[#This Row],[error_ratio_0]]-EF$2)</f>
        <v>1.1091836734693878</v>
      </c>
      <c r="EQ681" s="1">
        <f>1+(Table1[[#This Row],[error_ratio_1]]-EG$2)</f>
        <v>1.0088105726872247</v>
      </c>
      <c r="ER681" s="1">
        <f>1+(Table1[[#This Row],[error_ratio_2]]-EH$2)</f>
        <v>1</v>
      </c>
      <c r="ES681" s="1">
        <f>1+(Table1[[#This Row],[error_ratio_3]]-EI$2)</f>
        <v>0.90396039603960399</v>
      </c>
      <c r="ET681" s="1">
        <f>1+(Table1[[#This Row],[error_ratio_4]]-EJ$2)</f>
        <v>1.0560081466395113</v>
      </c>
      <c r="EU681" s="1">
        <f>1+(Table1[[#This Row],[error_ratio_5]]-EK$2)</f>
        <v>0.9652466367713004</v>
      </c>
      <c r="EV681" s="1">
        <f>1+(Table1[[#This Row],[error_ratio_6]]-EL$2)</f>
        <v>0.94258872651356995</v>
      </c>
      <c r="EW681" s="1">
        <f>1+(Table1[[#This Row],[error_ratio_7]]-EM$2)</f>
        <v>0.97276264591439687</v>
      </c>
      <c r="EX681" s="1">
        <f>1+(Table1[[#This Row],[error_ratio_8]]-EN$2)</f>
        <v>1.0831622176591376</v>
      </c>
      <c r="EY681" s="1">
        <f>1+(Table1[[#This Row],[error_ratio_9]]-EO$2)</f>
        <v>0.95837462834489595</v>
      </c>
    </row>
    <row r="682" spans="1:155" x14ac:dyDescent="0.75">
      <c r="A682">
        <v>10</v>
      </c>
      <c r="B682">
        <v>10</v>
      </c>
      <c r="C682">
        <v>100</v>
      </c>
      <c r="D682">
        <v>10</v>
      </c>
      <c r="E682">
        <v>100</v>
      </c>
      <c r="F682">
        <v>10</v>
      </c>
      <c r="G682">
        <v>10</v>
      </c>
      <c r="H682">
        <v>10</v>
      </c>
      <c r="I682">
        <v>100</v>
      </c>
      <c r="J682">
        <v>10</v>
      </c>
      <c r="K682">
        <v>982</v>
      </c>
      <c r="L682">
        <v>1139</v>
      </c>
      <c r="M682">
        <v>1036</v>
      </c>
      <c r="N682">
        <v>1078</v>
      </c>
      <c r="O682">
        <v>994</v>
      </c>
      <c r="P682">
        <v>824</v>
      </c>
      <c r="Q682">
        <v>904</v>
      </c>
      <c r="R682">
        <v>1047</v>
      </c>
      <c r="S682">
        <v>1035</v>
      </c>
      <c r="T682">
        <v>961</v>
      </c>
      <c r="U682">
        <v>980</v>
      </c>
      <c r="V682">
        <v>1135</v>
      </c>
      <c r="W682">
        <v>1032</v>
      </c>
      <c r="X682">
        <v>1010</v>
      </c>
      <c r="Y682">
        <v>982</v>
      </c>
      <c r="Z682">
        <v>892</v>
      </c>
      <c r="AA682">
        <v>958</v>
      </c>
      <c r="AB682">
        <v>1028</v>
      </c>
      <c r="AC682">
        <v>974</v>
      </c>
      <c r="AD682">
        <v>1009</v>
      </c>
      <c r="AE682">
        <v>963</v>
      </c>
      <c r="AF682">
        <v>1</v>
      </c>
      <c r="AG682">
        <v>1</v>
      </c>
      <c r="AH682">
        <v>0</v>
      </c>
      <c r="AI682">
        <v>5</v>
      </c>
      <c r="AJ682">
        <v>1</v>
      </c>
      <c r="AK682">
        <v>1</v>
      </c>
      <c r="AL682">
        <v>2</v>
      </c>
      <c r="AM682">
        <v>4</v>
      </c>
      <c r="AN682">
        <v>2</v>
      </c>
      <c r="AO682">
        <v>0</v>
      </c>
      <c r="AP682">
        <v>1125</v>
      </c>
      <c r="AQ682">
        <v>3</v>
      </c>
      <c r="AR682">
        <v>6</v>
      </c>
      <c r="AS682">
        <v>0</v>
      </c>
      <c r="AT682">
        <v>0</v>
      </c>
      <c r="AU682">
        <v>0</v>
      </c>
      <c r="AV682">
        <v>0</v>
      </c>
      <c r="AW682">
        <v>1</v>
      </c>
      <c r="AX682">
        <v>0</v>
      </c>
      <c r="AY682">
        <v>2</v>
      </c>
      <c r="AZ682">
        <v>0</v>
      </c>
      <c r="BA682">
        <v>1010</v>
      </c>
      <c r="BB682">
        <v>6</v>
      </c>
      <c r="BC682">
        <v>0</v>
      </c>
      <c r="BD682">
        <v>0</v>
      </c>
      <c r="BE682">
        <v>0</v>
      </c>
      <c r="BF682">
        <v>5</v>
      </c>
      <c r="BG682">
        <v>9</v>
      </c>
      <c r="BH682">
        <v>0</v>
      </c>
      <c r="BI682">
        <v>1</v>
      </c>
      <c r="BJ682">
        <v>0</v>
      </c>
      <c r="BK682">
        <v>1</v>
      </c>
      <c r="BL682">
        <v>995</v>
      </c>
      <c r="BM682">
        <v>0</v>
      </c>
      <c r="BN682">
        <v>0</v>
      </c>
      <c r="BO682">
        <v>0</v>
      </c>
      <c r="BP682">
        <v>9</v>
      </c>
      <c r="BQ682">
        <v>4</v>
      </c>
      <c r="BR682">
        <v>0</v>
      </c>
      <c r="BS682">
        <v>0</v>
      </c>
      <c r="BT682">
        <v>0</v>
      </c>
      <c r="BU682">
        <v>1</v>
      </c>
      <c r="BV682">
        <v>0</v>
      </c>
      <c r="BW682">
        <v>970</v>
      </c>
      <c r="BX682">
        <v>0</v>
      </c>
      <c r="BY682">
        <v>0</v>
      </c>
      <c r="BZ682">
        <v>3</v>
      </c>
      <c r="CA682">
        <v>0</v>
      </c>
      <c r="CB682">
        <v>8</v>
      </c>
      <c r="CC682">
        <v>2</v>
      </c>
      <c r="CD682">
        <v>1</v>
      </c>
      <c r="CE682">
        <v>1</v>
      </c>
      <c r="CF682">
        <v>43</v>
      </c>
      <c r="CG682">
        <v>0</v>
      </c>
      <c r="CH682">
        <v>816</v>
      </c>
      <c r="CI682">
        <v>1</v>
      </c>
      <c r="CJ682">
        <v>4</v>
      </c>
      <c r="CK682">
        <v>18</v>
      </c>
      <c r="CL682">
        <v>6</v>
      </c>
      <c r="CM682">
        <v>8</v>
      </c>
      <c r="CN682">
        <v>4</v>
      </c>
      <c r="CO682">
        <v>3</v>
      </c>
      <c r="CP682">
        <v>0</v>
      </c>
      <c r="CQ682">
        <v>14</v>
      </c>
      <c r="CR682">
        <v>2</v>
      </c>
      <c r="CS682">
        <v>902</v>
      </c>
      <c r="CT682">
        <v>0</v>
      </c>
      <c r="CU682">
        <v>25</v>
      </c>
      <c r="CV682">
        <v>0</v>
      </c>
      <c r="CW682">
        <v>1</v>
      </c>
      <c r="CX682">
        <v>4</v>
      </c>
      <c r="CY682">
        <v>14</v>
      </c>
      <c r="CZ682">
        <v>10</v>
      </c>
      <c r="DA682">
        <v>0</v>
      </c>
      <c r="DB682">
        <v>0</v>
      </c>
      <c r="DC682">
        <v>0</v>
      </c>
      <c r="DD682">
        <v>992</v>
      </c>
      <c r="DE682">
        <v>6</v>
      </c>
      <c r="DF682">
        <v>1</v>
      </c>
      <c r="DG682">
        <v>1</v>
      </c>
      <c r="DH682">
        <v>0</v>
      </c>
      <c r="DI682">
        <v>0</v>
      </c>
      <c r="DJ682">
        <v>2</v>
      </c>
      <c r="DK682">
        <v>0</v>
      </c>
      <c r="DL682">
        <v>0</v>
      </c>
      <c r="DM682">
        <v>0</v>
      </c>
      <c r="DN682">
        <v>8</v>
      </c>
      <c r="DO682">
        <v>960</v>
      </c>
      <c r="DP682">
        <v>3</v>
      </c>
      <c r="DQ682">
        <v>4</v>
      </c>
      <c r="DR682">
        <v>4</v>
      </c>
      <c r="DS682">
        <v>2</v>
      </c>
      <c r="DT682">
        <v>16</v>
      </c>
      <c r="DU682">
        <v>5</v>
      </c>
      <c r="DV682">
        <v>5</v>
      </c>
      <c r="DW682">
        <v>0</v>
      </c>
      <c r="DX682">
        <v>24</v>
      </c>
      <c r="DY682">
        <v>8</v>
      </c>
      <c r="DZ682">
        <v>941</v>
      </c>
      <c r="EA682">
        <v>0.96740000000000004</v>
      </c>
      <c r="EB682">
        <v>0.96843968279972903</v>
      </c>
      <c r="EC682">
        <v>0.96650096753645298</v>
      </c>
      <c r="ED682">
        <v>0.96698064950200702</v>
      </c>
      <c r="EE682">
        <f>SUM(Table1[[#This Row],[ratio_0]:[ratio_9]])</f>
        <v>370</v>
      </c>
      <c r="EF682" s="1">
        <f>(Table1[[#This Row],[predicted_0]]-Table1[[#This Row],[actual_0]])/Table1[[#This Row],[actual_0]]</f>
        <v>2.0408163265306124E-3</v>
      </c>
      <c r="EG682" s="1">
        <f>(Table1[[#This Row],[predicted_1]]-Table1[[#This Row],[actual_1]])/Table1[[#This Row],[actual_1]]</f>
        <v>3.524229074889868E-3</v>
      </c>
      <c r="EH682" s="1">
        <f>(Table1[[#This Row],[predicted_2]]-Table1[[#This Row],[actual_2]])/Table1[[#This Row],[actual_2]]</f>
        <v>3.875968992248062E-3</v>
      </c>
      <c r="EI682" s="1">
        <f>(Table1[[#This Row],[predicted_3]]-Table1[[#This Row],[actual_3]])/Table1[[#This Row],[actual_3]]</f>
        <v>6.7326732673267331E-2</v>
      </c>
      <c r="EJ682" s="1">
        <f>(Table1[[#This Row],[predicted_4]]-Table1[[#This Row],[actual_4]])/Table1[[#This Row],[actual_4]]</f>
        <v>1.2219959266802444E-2</v>
      </c>
      <c r="EK682" s="1">
        <f>(Table1[[#This Row],[predicted_5]]-Table1[[#This Row],[actual_5]])/Table1[[#This Row],[actual_5]]</f>
        <v>-7.623318385650224E-2</v>
      </c>
      <c r="EL682" s="1">
        <f>(Table1[[#This Row],[predicted_6]]-Table1[[#This Row],[actual_6]])/Table1[[#This Row],[actual_6]]</f>
        <v>-5.6367432150313153E-2</v>
      </c>
      <c r="EM682" s="1">
        <f>(Table1[[#This Row],[predicted_7]]-Table1[[#This Row],[actual_7]])/Table1[[#This Row],[actual_7]]</f>
        <v>1.8482490272373541E-2</v>
      </c>
      <c r="EN682" s="1">
        <f>(Table1[[#This Row],[predicted_8]]-Table1[[#This Row],[actual_8]])/Table1[[#This Row],[actual_8]]</f>
        <v>6.2628336755646816E-2</v>
      </c>
      <c r="EO682" s="1">
        <f>(Table1[[#This Row],[predicted_9]]-Table1[[#This Row],[actual_9]])/Table1[[#This Row],[actual_9]]</f>
        <v>-4.7571853320118929E-2</v>
      </c>
      <c r="EP682" s="1">
        <f>1+(Table1[[#This Row],[error_ratio_0]]-EF$2)</f>
        <v>1</v>
      </c>
      <c r="EQ682" s="1">
        <f>1+(Table1[[#This Row],[error_ratio_1]]-EG$2)</f>
        <v>1.0017621145374449</v>
      </c>
      <c r="ER682" s="1">
        <f>1+(Table1[[#This Row],[error_ratio_2]]-EH$2)</f>
        <v>1.0087209302325582</v>
      </c>
      <c r="ES682" s="1">
        <f>1+(Table1[[#This Row],[error_ratio_3]]-EI$2)</f>
        <v>1.0574257425742575</v>
      </c>
      <c r="ET682" s="1">
        <f>1+(Table1[[#This Row],[error_ratio_4]]-EJ$2)</f>
        <v>1.0112016293279023</v>
      </c>
      <c r="EU682" s="1">
        <f>1+(Table1[[#This Row],[error_ratio_5]]-EK$2)</f>
        <v>0.92264573991031384</v>
      </c>
      <c r="EV682" s="1">
        <f>1+(Table1[[#This Row],[error_ratio_6]]-EL$2)</f>
        <v>0.94989561586638827</v>
      </c>
      <c r="EW682" s="1">
        <f>1+(Table1[[#This Row],[error_ratio_7]]-EM$2)</f>
        <v>1.0165369649805447</v>
      </c>
      <c r="EX682" s="1">
        <f>1+(Table1[[#This Row],[error_ratio_8]]-EN$2)</f>
        <v>1.0657084188911705</v>
      </c>
      <c r="EY682" s="1">
        <f>1+(Table1[[#This Row],[error_ratio_9]]-EO$2)</f>
        <v>0.95639246778989095</v>
      </c>
    </row>
    <row r="683" spans="1:155" x14ac:dyDescent="0.75">
      <c r="A683">
        <v>100</v>
      </c>
      <c r="B683">
        <v>100</v>
      </c>
      <c r="C683">
        <v>10</v>
      </c>
      <c r="D683">
        <v>10</v>
      </c>
      <c r="E683">
        <v>100</v>
      </c>
      <c r="F683">
        <v>10</v>
      </c>
      <c r="G683">
        <v>10</v>
      </c>
      <c r="H683">
        <v>10</v>
      </c>
      <c r="I683">
        <v>100</v>
      </c>
      <c r="J683">
        <v>10</v>
      </c>
      <c r="K683">
        <v>1052</v>
      </c>
      <c r="L683">
        <v>1152</v>
      </c>
      <c r="M683">
        <v>1009</v>
      </c>
      <c r="N683">
        <v>1030</v>
      </c>
      <c r="O683">
        <v>1020</v>
      </c>
      <c r="P683">
        <v>903</v>
      </c>
      <c r="Q683">
        <v>891</v>
      </c>
      <c r="R683">
        <v>982</v>
      </c>
      <c r="S683">
        <v>1045</v>
      </c>
      <c r="T683">
        <v>916</v>
      </c>
      <c r="U683">
        <v>980</v>
      </c>
      <c r="V683">
        <v>1135</v>
      </c>
      <c r="W683">
        <v>1032</v>
      </c>
      <c r="X683">
        <v>1010</v>
      </c>
      <c r="Y683">
        <v>982</v>
      </c>
      <c r="Z683">
        <v>892</v>
      </c>
      <c r="AA683">
        <v>958</v>
      </c>
      <c r="AB683">
        <v>1028</v>
      </c>
      <c r="AC683">
        <v>974</v>
      </c>
      <c r="AD683">
        <v>1009</v>
      </c>
      <c r="AE683">
        <v>975</v>
      </c>
      <c r="AF683">
        <v>1</v>
      </c>
      <c r="AG683">
        <v>0</v>
      </c>
      <c r="AH683">
        <v>0</v>
      </c>
      <c r="AI683">
        <v>2</v>
      </c>
      <c r="AJ683">
        <v>0</v>
      </c>
      <c r="AK683">
        <v>0</v>
      </c>
      <c r="AL683">
        <v>1</v>
      </c>
      <c r="AM683">
        <v>1</v>
      </c>
      <c r="AN683">
        <v>0</v>
      </c>
      <c r="AO683">
        <v>0</v>
      </c>
      <c r="AP683">
        <v>1133</v>
      </c>
      <c r="AQ683">
        <v>0</v>
      </c>
      <c r="AR683">
        <v>1</v>
      </c>
      <c r="AS683">
        <v>0</v>
      </c>
      <c r="AT683">
        <v>1</v>
      </c>
      <c r="AU683">
        <v>0</v>
      </c>
      <c r="AV683">
        <v>0</v>
      </c>
      <c r="AW683">
        <v>0</v>
      </c>
      <c r="AX683">
        <v>0</v>
      </c>
      <c r="AY683">
        <v>16</v>
      </c>
      <c r="AZ683">
        <v>6</v>
      </c>
      <c r="BA683">
        <v>980</v>
      </c>
      <c r="BB683">
        <v>4</v>
      </c>
      <c r="BC683">
        <v>6</v>
      </c>
      <c r="BD683">
        <v>0</v>
      </c>
      <c r="BE683">
        <v>0</v>
      </c>
      <c r="BF683">
        <v>6</v>
      </c>
      <c r="BG683">
        <v>14</v>
      </c>
      <c r="BH683">
        <v>0</v>
      </c>
      <c r="BI683">
        <v>8</v>
      </c>
      <c r="BJ683">
        <v>0</v>
      </c>
      <c r="BK683">
        <v>3</v>
      </c>
      <c r="BL683">
        <v>978</v>
      </c>
      <c r="BM683">
        <v>0</v>
      </c>
      <c r="BN683">
        <v>10</v>
      </c>
      <c r="BO683">
        <v>0</v>
      </c>
      <c r="BP683">
        <v>3</v>
      </c>
      <c r="BQ683">
        <v>8</v>
      </c>
      <c r="BR683">
        <v>0</v>
      </c>
      <c r="BS683">
        <v>1</v>
      </c>
      <c r="BT683">
        <v>0</v>
      </c>
      <c r="BU683">
        <v>2</v>
      </c>
      <c r="BV683">
        <v>1</v>
      </c>
      <c r="BW683">
        <v>976</v>
      </c>
      <c r="BX683">
        <v>0</v>
      </c>
      <c r="BY683">
        <v>0</v>
      </c>
      <c r="BZ683">
        <v>0</v>
      </c>
      <c r="CA683">
        <v>2</v>
      </c>
      <c r="CB683">
        <v>0</v>
      </c>
      <c r="CC683">
        <v>8</v>
      </c>
      <c r="CD683">
        <v>0</v>
      </c>
      <c r="CE683">
        <v>0</v>
      </c>
      <c r="CF683">
        <v>12</v>
      </c>
      <c r="CG683">
        <v>0</v>
      </c>
      <c r="CH683">
        <v>864</v>
      </c>
      <c r="CI683">
        <v>1</v>
      </c>
      <c r="CJ683">
        <v>0</v>
      </c>
      <c r="CK683">
        <v>7</v>
      </c>
      <c r="CL683">
        <v>0</v>
      </c>
      <c r="CM683">
        <v>31</v>
      </c>
      <c r="CN683">
        <v>4</v>
      </c>
      <c r="CO683">
        <v>0</v>
      </c>
      <c r="CP683">
        <v>3</v>
      </c>
      <c r="CQ683">
        <v>14</v>
      </c>
      <c r="CR683">
        <v>4</v>
      </c>
      <c r="CS683">
        <v>890</v>
      </c>
      <c r="CT683">
        <v>0</v>
      </c>
      <c r="CU683">
        <v>11</v>
      </c>
      <c r="CV683">
        <v>1</v>
      </c>
      <c r="CW683">
        <v>4</v>
      </c>
      <c r="CX683">
        <v>5</v>
      </c>
      <c r="CY683">
        <v>24</v>
      </c>
      <c r="CZ683">
        <v>17</v>
      </c>
      <c r="DA683">
        <v>2</v>
      </c>
      <c r="DB683">
        <v>2</v>
      </c>
      <c r="DC683">
        <v>0</v>
      </c>
      <c r="DD683">
        <v>960</v>
      </c>
      <c r="DE683">
        <v>10</v>
      </c>
      <c r="DF683">
        <v>4</v>
      </c>
      <c r="DG683">
        <v>3</v>
      </c>
      <c r="DH683">
        <v>0</v>
      </c>
      <c r="DI683">
        <v>0</v>
      </c>
      <c r="DJ683">
        <v>0</v>
      </c>
      <c r="DK683">
        <v>0</v>
      </c>
      <c r="DL683">
        <v>2</v>
      </c>
      <c r="DM683">
        <v>0</v>
      </c>
      <c r="DN683">
        <v>4</v>
      </c>
      <c r="DO683">
        <v>963</v>
      </c>
      <c r="DP683">
        <v>2</v>
      </c>
      <c r="DQ683">
        <v>6</v>
      </c>
      <c r="DR683">
        <v>3</v>
      </c>
      <c r="DS683">
        <v>0</v>
      </c>
      <c r="DT683">
        <v>14</v>
      </c>
      <c r="DU683">
        <v>20</v>
      </c>
      <c r="DV683">
        <v>20</v>
      </c>
      <c r="DW683">
        <v>0</v>
      </c>
      <c r="DX683">
        <v>8</v>
      </c>
      <c r="DY683">
        <v>29</v>
      </c>
      <c r="DZ683">
        <v>909</v>
      </c>
      <c r="EA683">
        <v>0.96279999999999999</v>
      </c>
      <c r="EB683">
        <v>0.96351232254507502</v>
      </c>
      <c r="EC683">
        <v>0.96260342322423198</v>
      </c>
      <c r="ED683">
        <v>0.96235590942557803</v>
      </c>
      <c r="EE683">
        <f>SUM(Table1[[#This Row],[ratio_0]:[ratio_9]])</f>
        <v>460</v>
      </c>
      <c r="EF683" s="1">
        <f>(Table1[[#This Row],[predicted_0]]-Table1[[#This Row],[actual_0]])/Table1[[#This Row],[actual_0]]</f>
        <v>7.3469387755102047E-2</v>
      </c>
      <c r="EG683" s="1">
        <f>(Table1[[#This Row],[predicted_1]]-Table1[[#This Row],[actual_1]])/Table1[[#This Row],[actual_1]]</f>
        <v>1.4977973568281937E-2</v>
      </c>
      <c r="EH683" s="1">
        <f>(Table1[[#This Row],[predicted_2]]-Table1[[#This Row],[actual_2]])/Table1[[#This Row],[actual_2]]</f>
        <v>-2.2286821705426358E-2</v>
      </c>
      <c r="EI683" s="1">
        <f>(Table1[[#This Row],[predicted_3]]-Table1[[#This Row],[actual_3]])/Table1[[#This Row],[actual_3]]</f>
        <v>1.9801980198019802E-2</v>
      </c>
      <c r="EJ683" s="1">
        <f>(Table1[[#This Row],[predicted_4]]-Table1[[#This Row],[actual_4]])/Table1[[#This Row],[actual_4]]</f>
        <v>3.8696537678207736E-2</v>
      </c>
      <c r="EK683" s="1">
        <f>(Table1[[#This Row],[predicted_5]]-Table1[[#This Row],[actual_5]])/Table1[[#This Row],[actual_5]]</f>
        <v>1.2331838565022421E-2</v>
      </c>
      <c r="EL683" s="1">
        <f>(Table1[[#This Row],[predicted_6]]-Table1[[#This Row],[actual_6]])/Table1[[#This Row],[actual_6]]</f>
        <v>-6.9937369519832981E-2</v>
      </c>
      <c r="EM683" s="1">
        <f>(Table1[[#This Row],[predicted_7]]-Table1[[#This Row],[actual_7]])/Table1[[#This Row],[actual_7]]</f>
        <v>-4.4747081712062257E-2</v>
      </c>
      <c r="EN683" s="1">
        <f>(Table1[[#This Row],[predicted_8]]-Table1[[#This Row],[actual_8]])/Table1[[#This Row],[actual_8]]</f>
        <v>7.2895277207392195E-2</v>
      </c>
      <c r="EO683" s="1">
        <f>(Table1[[#This Row],[predicted_9]]-Table1[[#This Row],[actual_9]])/Table1[[#This Row],[actual_9]]</f>
        <v>-9.2170465807730431E-2</v>
      </c>
      <c r="EP683" s="1">
        <f>1+(Table1[[#This Row],[error_ratio_0]]-EF$2)</f>
        <v>1.0714285714285714</v>
      </c>
      <c r="EQ683" s="1">
        <f>1+(Table1[[#This Row],[error_ratio_1]]-EG$2)</f>
        <v>1.0132158590308371</v>
      </c>
      <c r="ER683" s="1">
        <f>1+(Table1[[#This Row],[error_ratio_2]]-EH$2)</f>
        <v>0.98255813953488369</v>
      </c>
      <c r="ES683" s="1">
        <f>1+(Table1[[#This Row],[error_ratio_3]]-EI$2)</f>
        <v>1.0099009900990099</v>
      </c>
      <c r="ET683" s="1">
        <f>1+(Table1[[#This Row],[error_ratio_4]]-EJ$2)</f>
        <v>1.0376782077393076</v>
      </c>
      <c r="EU683" s="1">
        <f>1+(Table1[[#This Row],[error_ratio_5]]-EK$2)</f>
        <v>1.0112107623318385</v>
      </c>
      <c r="EV683" s="1">
        <f>1+(Table1[[#This Row],[error_ratio_6]]-EL$2)</f>
        <v>0.93632567849686854</v>
      </c>
      <c r="EW683" s="1">
        <f>1+(Table1[[#This Row],[error_ratio_7]]-EM$2)</f>
        <v>0.95330739299610889</v>
      </c>
      <c r="EX683" s="1">
        <f>1+(Table1[[#This Row],[error_ratio_8]]-EN$2)</f>
        <v>1.0759753593429158</v>
      </c>
      <c r="EY683" s="1">
        <f>1+(Table1[[#This Row],[error_ratio_9]]-EO$2)</f>
        <v>0.91179385530227952</v>
      </c>
    </row>
    <row r="684" spans="1:155" x14ac:dyDescent="0.75">
      <c r="A684">
        <v>10</v>
      </c>
      <c r="B684">
        <v>100</v>
      </c>
      <c r="C684">
        <v>10</v>
      </c>
      <c r="D684">
        <v>10</v>
      </c>
      <c r="E684">
        <v>100</v>
      </c>
      <c r="F684">
        <v>10</v>
      </c>
      <c r="G684">
        <v>10</v>
      </c>
      <c r="H684">
        <v>10</v>
      </c>
      <c r="I684">
        <v>100</v>
      </c>
      <c r="J684">
        <v>10</v>
      </c>
      <c r="K684">
        <v>997</v>
      </c>
      <c r="L684">
        <v>1186</v>
      </c>
      <c r="M684">
        <v>916</v>
      </c>
      <c r="N684">
        <v>918</v>
      </c>
      <c r="O684">
        <v>1075</v>
      </c>
      <c r="P684">
        <v>951</v>
      </c>
      <c r="Q684">
        <v>925</v>
      </c>
      <c r="R684">
        <v>1028</v>
      </c>
      <c r="S684">
        <v>1165</v>
      </c>
      <c r="T684">
        <v>839</v>
      </c>
      <c r="U684">
        <v>980</v>
      </c>
      <c r="V684">
        <v>1135</v>
      </c>
      <c r="W684">
        <v>1032</v>
      </c>
      <c r="X684">
        <v>1010</v>
      </c>
      <c r="Y684">
        <v>982</v>
      </c>
      <c r="Z684">
        <v>892</v>
      </c>
      <c r="AA684">
        <v>958</v>
      </c>
      <c r="AB684">
        <v>1028</v>
      </c>
      <c r="AC684">
        <v>974</v>
      </c>
      <c r="AD684">
        <v>1009</v>
      </c>
      <c r="AE684">
        <v>971</v>
      </c>
      <c r="AF684">
        <v>1</v>
      </c>
      <c r="AG684">
        <v>0</v>
      </c>
      <c r="AH684">
        <v>0</v>
      </c>
      <c r="AI684">
        <v>0</v>
      </c>
      <c r="AJ684">
        <v>1</v>
      </c>
      <c r="AK684">
        <v>2</v>
      </c>
      <c r="AL684">
        <v>1</v>
      </c>
      <c r="AM684">
        <v>4</v>
      </c>
      <c r="AN684">
        <v>0</v>
      </c>
      <c r="AO684">
        <v>0</v>
      </c>
      <c r="AP684">
        <v>1133</v>
      </c>
      <c r="AQ684">
        <v>0</v>
      </c>
      <c r="AR684">
        <v>0</v>
      </c>
      <c r="AS684">
        <v>0</v>
      </c>
      <c r="AT684">
        <v>2</v>
      </c>
      <c r="AU684">
        <v>0</v>
      </c>
      <c r="AV684">
        <v>0</v>
      </c>
      <c r="AW684">
        <v>0</v>
      </c>
      <c r="AX684">
        <v>0</v>
      </c>
      <c r="AY684">
        <v>10</v>
      </c>
      <c r="AZ684">
        <v>19</v>
      </c>
      <c r="BA684">
        <v>911</v>
      </c>
      <c r="BB684">
        <v>3</v>
      </c>
      <c r="BC684">
        <v>10</v>
      </c>
      <c r="BD684">
        <v>4</v>
      </c>
      <c r="BE684">
        <v>4</v>
      </c>
      <c r="BF684">
        <v>15</v>
      </c>
      <c r="BG684">
        <v>56</v>
      </c>
      <c r="BH684">
        <v>0</v>
      </c>
      <c r="BI684">
        <v>1</v>
      </c>
      <c r="BJ684">
        <v>0</v>
      </c>
      <c r="BK684">
        <v>0</v>
      </c>
      <c r="BL684">
        <v>908</v>
      </c>
      <c r="BM684">
        <v>0</v>
      </c>
      <c r="BN684">
        <v>35</v>
      </c>
      <c r="BO684">
        <v>0</v>
      </c>
      <c r="BP684">
        <v>14</v>
      </c>
      <c r="BQ684">
        <v>52</v>
      </c>
      <c r="BR684">
        <v>0</v>
      </c>
      <c r="BS684">
        <v>0</v>
      </c>
      <c r="BT684">
        <v>0</v>
      </c>
      <c r="BU684">
        <v>0</v>
      </c>
      <c r="BV684">
        <v>0</v>
      </c>
      <c r="BW684">
        <v>981</v>
      </c>
      <c r="BX684">
        <v>0</v>
      </c>
      <c r="BY684">
        <v>0</v>
      </c>
      <c r="BZ684">
        <v>0</v>
      </c>
      <c r="CA684">
        <v>1</v>
      </c>
      <c r="CB684">
        <v>0</v>
      </c>
      <c r="CC684">
        <v>2</v>
      </c>
      <c r="CD684">
        <v>0</v>
      </c>
      <c r="CE684">
        <v>0</v>
      </c>
      <c r="CF684">
        <v>3</v>
      </c>
      <c r="CG684">
        <v>0</v>
      </c>
      <c r="CH684">
        <v>870</v>
      </c>
      <c r="CI684">
        <v>2</v>
      </c>
      <c r="CJ684">
        <v>0</v>
      </c>
      <c r="CK684">
        <v>15</v>
      </c>
      <c r="CL684">
        <v>0</v>
      </c>
      <c r="CM684">
        <v>5</v>
      </c>
      <c r="CN684">
        <v>5</v>
      </c>
      <c r="CO684">
        <v>1</v>
      </c>
      <c r="CP684">
        <v>0</v>
      </c>
      <c r="CQ684">
        <v>12</v>
      </c>
      <c r="CR684">
        <v>6</v>
      </c>
      <c r="CS684">
        <v>917</v>
      </c>
      <c r="CT684">
        <v>0</v>
      </c>
      <c r="CU684">
        <v>12</v>
      </c>
      <c r="CV684">
        <v>0</v>
      </c>
      <c r="CW684">
        <v>2</v>
      </c>
      <c r="CX684">
        <v>20</v>
      </c>
      <c r="CY684">
        <v>4</v>
      </c>
      <c r="CZ684">
        <v>1</v>
      </c>
      <c r="DA684">
        <v>4</v>
      </c>
      <c r="DB684">
        <v>0</v>
      </c>
      <c r="DC684">
        <v>0</v>
      </c>
      <c r="DD684">
        <v>978</v>
      </c>
      <c r="DE684">
        <v>17</v>
      </c>
      <c r="DF684">
        <v>2</v>
      </c>
      <c r="DG684">
        <v>1</v>
      </c>
      <c r="DH684">
        <v>0</v>
      </c>
      <c r="DI684">
        <v>0</v>
      </c>
      <c r="DJ684">
        <v>0</v>
      </c>
      <c r="DK684">
        <v>0</v>
      </c>
      <c r="DL684">
        <v>1</v>
      </c>
      <c r="DM684">
        <v>0</v>
      </c>
      <c r="DN684">
        <v>0</v>
      </c>
      <c r="DO684">
        <v>972</v>
      </c>
      <c r="DP684">
        <v>0</v>
      </c>
      <c r="DQ684">
        <v>5</v>
      </c>
      <c r="DR684">
        <v>8</v>
      </c>
      <c r="DS684">
        <v>0</v>
      </c>
      <c r="DT684">
        <v>3</v>
      </c>
      <c r="DU684">
        <v>68</v>
      </c>
      <c r="DV684">
        <v>32</v>
      </c>
      <c r="DW684">
        <v>0</v>
      </c>
      <c r="DX684">
        <v>20</v>
      </c>
      <c r="DY684">
        <v>36</v>
      </c>
      <c r="DZ684">
        <v>837</v>
      </c>
      <c r="EA684">
        <v>0.94779999999999998</v>
      </c>
      <c r="EB684">
        <v>0.951493080757849</v>
      </c>
      <c r="EC684">
        <v>0.948117922100152</v>
      </c>
      <c r="ED684">
        <v>0.94737754351335501</v>
      </c>
      <c r="EE684">
        <f>SUM(Table1[[#This Row],[ratio_0]:[ratio_9]])</f>
        <v>370</v>
      </c>
      <c r="EF684" s="1">
        <f>(Table1[[#This Row],[predicted_0]]-Table1[[#This Row],[actual_0]])/Table1[[#This Row],[actual_0]]</f>
        <v>1.7346938775510204E-2</v>
      </c>
      <c r="EG684" s="1">
        <f>(Table1[[#This Row],[predicted_1]]-Table1[[#This Row],[actual_1]])/Table1[[#This Row],[actual_1]]</f>
        <v>4.4933920704845816E-2</v>
      </c>
      <c r="EH684" s="1">
        <f>(Table1[[#This Row],[predicted_2]]-Table1[[#This Row],[actual_2]])/Table1[[#This Row],[actual_2]]</f>
        <v>-0.1124031007751938</v>
      </c>
      <c r="EI684" s="1">
        <f>(Table1[[#This Row],[predicted_3]]-Table1[[#This Row],[actual_3]])/Table1[[#This Row],[actual_3]]</f>
        <v>-9.1089108910891087E-2</v>
      </c>
      <c r="EJ684" s="1">
        <f>(Table1[[#This Row],[predicted_4]]-Table1[[#This Row],[actual_4]])/Table1[[#This Row],[actual_4]]</f>
        <v>9.4704684317718946E-2</v>
      </c>
      <c r="EK684" s="1">
        <f>(Table1[[#This Row],[predicted_5]]-Table1[[#This Row],[actual_5]])/Table1[[#This Row],[actual_5]]</f>
        <v>6.614349775784753E-2</v>
      </c>
      <c r="EL684" s="1">
        <f>(Table1[[#This Row],[predicted_6]]-Table1[[#This Row],[actual_6]])/Table1[[#This Row],[actual_6]]</f>
        <v>-3.444676409185804E-2</v>
      </c>
      <c r="EM684" s="1">
        <f>(Table1[[#This Row],[predicted_7]]-Table1[[#This Row],[actual_7]])/Table1[[#This Row],[actual_7]]</f>
        <v>0</v>
      </c>
      <c r="EN684" s="1">
        <f>(Table1[[#This Row],[predicted_8]]-Table1[[#This Row],[actual_8]])/Table1[[#This Row],[actual_8]]</f>
        <v>0.19609856262833675</v>
      </c>
      <c r="EO684" s="1">
        <f>(Table1[[#This Row],[predicted_9]]-Table1[[#This Row],[actual_9]])/Table1[[#This Row],[actual_9]]</f>
        <v>-0.16848364717542122</v>
      </c>
      <c r="EP684" s="1">
        <f>1+(Table1[[#This Row],[error_ratio_0]]-EF$2)</f>
        <v>1.0153061224489797</v>
      </c>
      <c r="EQ684" s="1">
        <f>1+(Table1[[#This Row],[error_ratio_1]]-EG$2)</f>
        <v>1.0431718061674009</v>
      </c>
      <c r="ER684" s="1">
        <f>1+(Table1[[#This Row],[error_ratio_2]]-EH$2)</f>
        <v>0.89244186046511631</v>
      </c>
      <c r="ES684" s="1">
        <f>1+(Table1[[#This Row],[error_ratio_3]]-EI$2)</f>
        <v>0.89900990099009903</v>
      </c>
      <c r="ET684" s="1">
        <f>1+(Table1[[#This Row],[error_ratio_4]]-EJ$2)</f>
        <v>1.0936863543788187</v>
      </c>
      <c r="EU684" s="1">
        <f>1+(Table1[[#This Row],[error_ratio_5]]-EK$2)</f>
        <v>1.0650224215246638</v>
      </c>
      <c r="EV684" s="1">
        <f>1+(Table1[[#This Row],[error_ratio_6]]-EL$2)</f>
        <v>0.97181628392484343</v>
      </c>
      <c r="EW684" s="1">
        <f>1+(Table1[[#This Row],[error_ratio_7]]-EM$2)</f>
        <v>0.99805447470817121</v>
      </c>
      <c r="EX684" s="1">
        <f>1+(Table1[[#This Row],[error_ratio_8]]-EN$2)</f>
        <v>1.1991786447638604</v>
      </c>
      <c r="EY684" s="1">
        <f>1+(Table1[[#This Row],[error_ratio_9]]-EO$2)</f>
        <v>0.83548067393458869</v>
      </c>
    </row>
    <row r="685" spans="1:155" x14ac:dyDescent="0.75">
      <c r="A685">
        <v>100</v>
      </c>
      <c r="B685">
        <v>10</v>
      </c>
      <c r="C685">
        <v>10</v>
      </c>
      <c r="D685">
        <v>10</v>
      </c>
      <c r="E685">
        <v>100</v>
      </c>
      <c r="F685">
        <v>10</v>
      </c>
      <c r="G685">
        <v>10</v>
      </c>
      <c r="H685">
        <v>10</v>
      </c>
      <c r="I685">
        <v>100</v>
      </c>
      <c r="J685">
        <v>10</v>
      </c>
      <c r="K685">
        <v>1010</v>
      </c>
      <c r="L685">
        <v>1069</v>
      </c>
      <c r="M685">
        <v>996</v>
      </c>
      <c r="N685">
        <v>962</v>
      </c>
      <c r="O685">
        <v>1026</v>
      </c>
      <c r="P685">
        <v>916</v>
      </c>
      <c r="Q685">
        <v>938</v>
      </c>
      <c r="R685">
        <v>905</v>
      </c>
      <c r="S685">
        <v>1320</v>
      </c>
      <c r="T685">
        <v>858</v>
      </c>
      <c r="U685">
        <v>980</v>
      </c>
      <c r="V685">
        <v>1135</v>
      </c>
      <c r="W685">
        <v>1032</v>
      </c>
      <c r="X685">
        <v>1010</v>
      </c>
      <c r="Y685">
        <v>982</v>
      </c>
      <c r="Z685">
        <v>892</v>
      </c>
      <c r="AA685">
        <v>958</v>
      </c>
      <c r="AB685">
        <v>1028</v>
      </c>
      <c r="AC685">
        <v>974</v>
      </c>
      <c r="AD685">
        <v>1009</v>
      </c>
      <c r="AE685">
        <v>972</v>
      </c>
      <c r="AF685">
        <v>0</v>
      </c>
      <c r="AG685">
        <v>1</v>
      </c>
      <c r="AH685">
        <v>0</v>
      </c>
      <c r="AI685">
        <v>0</v>
      </c>
      <c r="AJ685">
        <v>1</v>
      </c>
      <c r="AK685">
        <v>1</v>
      </c>
      <c r="AL685">
        <v>1</v>
      </c>
      <c r="AM685">
        <v>4</v>
      </c>
      <c r="AN685">
        <v>0</v>
      </c>
      <c r="AO685">
        <v>0</v>
      </c>
      <c r="AP685">
        <v>1058</v>
      </c>
      <c r="AQ685">
        <v>5</v>
      </c>
      <c r="AR685">
        <v>1</v>
      </c>
      <c r="AS685">
        <v>1</v>
      </c>
      <c r="AT685">
        <v>0</v>
      </c>
      <c r="AU685">
        <v>5</v>
      </c>
      <c r="AV685">
        <v>0</v>
      </c>
      <c r="AW685">
        <v>65</v>
      </c>
      <c r="AX685">
        <v>0</v>
      </c>
      <c r="AY685">
        <v>9</v>
      </c>
      <c r="AZ685">
        <v>1</v>
      </c>
      <c r="BA685">
        <v>955</v>
      </c>
      <c r="BB685">
        <v>8</v>
      </c>
      <c r="BC685">
        <v>3</v>
      </c>
      <c r="BD685">
        <v>1</v>
      </c>
      <c r="BE685">
        <v>5</v>
      </c>
      <c r="BF685">
        <v>1</v>
      </c>
      <c r="BG685">
        <v>49</v>
      </c>
      <c r="BH685">
        <v>0</v>
      </c>
      <c r="BI685">
        <v>1</v>
      </c>
      <c r="BJ685">
        <v>0</v>
      </c>
      <c r="BK685">
        <v>2</v>
      </c>
      <c r="BL685">
        <v>931</v>
      </c>
      <c r="BM685">
        <v>0</v>
      </c>
      <c r="BN685">
        <v>31</v>
      </c>
      <c r="BO685">
        <v>1</v>
      </c>
      <c r="BP685">
        <v>3</v>
      </c>
      <c r="BQ685">
        <v>35</v>
      </c>
      <c r="BR685">
        <v>6</v>
      </c>
      <c r="BS685">
        <v>0</v>
      </c>
      <c r="BT685">
        <v>0</v>
      </c>
      <c r="BU685">
        <v>0</v>
      </c>
      <c r="BV685">
        <v>0</v>
      </c>
      <c r="BW685">
        <v>978</v>
      </c>
      <c r="BX685">
        <v>0</v>
      </c>
      <c r="BY685">
        <v>1</v>
      </c>
      <c r="BZ685">
        <v>0</v>
      </c>
      <c r="CA685">
        <v>3</v>
      </c>
      <c r="CB685">
        <v>0</v>
      </c>
      <c r="CC685">
        <v>2</v>
      </c>
      <c r="CD685">
        <v>0</v>
      </c>
      <c r="CE685">
        <v>0</v>
      </c>
      <c r="CF685">
        <v>4</v>
      </c>
      <c r="CG685">
        <v>0</v>
      </c>
      <c r="CH685">
        <v>859</v>
      </c>
      <c r="CI685">
        <v>7</v>
      </c>
      <c r="CJ685">
        <v>0</v>
      </c>
      <c r="CK685">
        <v>16</v>
      </c>
      <c r="CL685">
        <v>4</v>
      </c>
      <c r="CM685">
        <v>11</v>
      </c>
      <c r="CN685">
        <v>1</v>
      </c>
      <c r="CO685">
        <v>2</v>
      </c>
      <c r="CP685">
        <v>0</v>
      </c>
      <c r="CQ685">
        <v>6</v>
      </c>
      <c r="CR685">
        <v>1</v>
      </c>
      <c r="CS685">
        <v>918</v>
      </c>
      <c r="CT685">
        <v>0</v>
      </c>
      <c r="CU685">
        <v>19</v>
      </c>
      <c r="CV685">
        <v>0</v>
      </c>
      <c r="CW685">
        <v>2</v>
      </c>
      <c r="CX685">
        <v>5</v>
      </c>
      <c r="CY685">
        <v>31</v>
      </c>
      <c r="CZ685">
        <v>13</v>
      </c>
      <c r="DA685">
        <v>10</v>
      </c>
      <c r="DB685">
        <v>0</v>
      </c>
      <c r="DC685">
        <v>0</v>
      </c>
      <c r="DD685">
        <v>893</v>
      </c>
      <c r="DE685">
        <v>72</v>
      </c>
      <c r="DF685">
        <v>2</v>
      </c>
      <c r="DG685">
        <v>4</v>
      </c>
      <c r="DH685">
        <v>0</v>
      </c>
      <c r="DI685">
        <v>0</v>
      </c>
      <c r="DJ685">
        <v>2</v>
      </c>
      <c r="DK685">
        <v>0</v>
      </c>
      <c r="DL685">
        <v>0</v>
      </c>
      <c r="DM685">
        <v>0</v>
      </c>
      <c r="DN685">
        <v>0</v>
      </c>
      <c r="DO685">
        <v>967</v>
      </c>
      <c r="DP685">
        <v>1</v>
      </c>
      <c r="DQ685">
        <v>9</v>
      </c>
      <c r="DR685">
        <v>4</v>
      </c>
      <c r="DS685">
        <v>0</v>
      </c>
      <c r="DT685">
        <v>3</v>
      </c>
      <c r="DU685">
        <v>28</v>
      </c>
      <c r="DV685">
        <v>23</v>
      </c>
      <c r="DW685">
        <v>0</v>
      </c>
      <c r="DX685">
        <v>7</v>
      </c>
      <c r="DY685">
        <v>90</v>
      </c>
      <c r="DZ685">
        <v>845</v>
      </c>
      <c r="EA685">
        <v>0.93759999999999999</v>
      </c>
      <c r="EB685">
        <v>0.94525289684479097</v>
      </c>
      <c r="EC685">
        <v>0.93872956301988697</v>
      </c>
      <c r="ED685">
        <v>0.93878867166824298</v>
      </c>
      <c r="EE685">
        <f>SUM(Table1[[#This Row],[ratio_0]:[ratio_9]])</f>
        <v>370</v>
      </c>
      <c r="EF685" s="1">
        <f>(Table1[[#This Row],[predicted_0]]-Table1[[#This Row],[actual_0]])/Table1[[#This Row],[actual_0]]</f>
        <v>3.0612244897959183E-2</v>
      </c>
      <c r="EG685" s="1">
        <f>(Table1[[#This Row],[predicted_1]]-Table1[[#This Row],[actual_1]])/Table1[[#This Row],[actual_1]]</f>
        <v>-5.8149779735682819E-2</v>
      </c>
      <c r="EH685" s="1">
        <f>(Table1[[#This Row],[predicted_2]]-Table1[[#This Row],[actual_2]])/Table1[[#This Row],[actual_2]]</f>
        <v>-3.4883720930232558E-2</v>
      </c>
      <c r="EI685" s="1">
        <f>(Table1[[#This Row],[predicted_3]]-Table1[[#This Row],[actual_3]])/Table1[[#This Row],[actual_3]]</f>
        <v>-4.7524752475247525E-2</v>
      </c>
      <c r="EJ685" s="1">
        <f>(Table1[[#This Row],[predicted_4]]-Table1[[#This Row],[actual_4]])/Table1[[#This Row],[actual_4]]</f>
        <v>4.4806517311608958E-2</v>
      </c>
      <c r="EK685" s="1">
        <f>(Table1[[#This Row],[predicted_5]]-Table1[[#This Row],[actual_5]])/Table1[[#This Row],[actual_5]]</f>
        <v>2.6905829596412557E-2</v>
      </c>
      <c r="EL685" s="1">
        <f>(Table1[[#This Row],[predicted_6]]-Table1[[#This Row],[actual_6]])/Table1[[#This Row],[actual_6]]</f>
        <v>-2.0876826722338204E-2</v>
      </c>
      <c r="EM685" s="1">
        <f>(Table1[[#This Row],[predicted_7]]-Table1[[#This Row],[actual_7]])/Table1[[#This Row],[actual_7]]</f>
        <v>-0.11964980544747082</v>
      </c>
      <c r="EN685" s="1">
        <f>(Table1[[#This Row],[predicted_8]]-Table1[[#This Row],[actual_8]])/Table1[[#This Row],[actual_8]]</f>
        <v>0.35523613963039014</v>
      </c>
      <c r="EO685" s="1">
        <f>(Table1[[#This Row],[predicted_9]]-Table1[[#This Row],[actual_9]])/Table1[[#This Row],[actual_9]]</f>
        <v>-0.14965312190287414</v>
      </c>
      <c r="EP685" s="1">
        <f>1+(Table1[[#This Row],[error_ratio_0]]-EF$2)</f>
        <v>1.0285714285714285</v>
      </c>
      <c r="EQ685" s="1">
        <f>1+(Table1[[#This Row],[error_ratio_1]]-EG$2)</f>
        <v>0.94008810572687229</v>
      </c>
      <c r="ER685" s="1">
        <f>1+(Table1[[#This Row],[error_ratio_2]]-EH$2)</f>
        <v>0.96996124031007747</v>
      </c>
      <c r="ES685" s="1">
        <f>1+(Table1[[#This Row],[error_ratio_3]]-EI$2)</f>
        <v>0.94257425742574252</v>
      </c>
      <c r="ET685" s="1">
        <f>1+(Table1[[#This Row],[error_ratio_4]]-EJ$2)</f>
        <v>1.0437881873727088</v>
      </c>
      <c r="EU685" s="1">
        <f>1+(Table1[[#This Row],[error_ratio_5]]-EK$2)</f>
        <v>1.0257847533632287</v>
      </c>
      <c r="EV685" s="1">
        <f>1+(Table1[[#This Row],[error_ratio_6]]-EL$2)</f>
        <v>0.98538622129436326</v>
      </c>
      <c r="EW685" s="1">
        <f>1+(Table1[[#This Row],[error_ratio_7]]-EM$2)</f>
        <v>0.87840466926070038</v>
      </c>
      <c r="EX685" s="1">
        <f>1+(Table1[[#This Row],[error_ratio_8]]-EN$2)</f>
        <v>1.3583162217659137</v>
      </c>
      <c r="EY685" s="1">
        <f>1+(Table1[[#This Row],[error_ratio_9]]-EO$2)</f>
        <v>0.85431119920713572</v>
      </c>
    </row>
    <row r="686" spans="1:155" x14ac:dyDescent="0.75">
      <c r="A686">
        <v>10</v>
      </c>
      <c r="B686">
        <v>10</v>
      </c>
      <c r="C686">
        <v>10</v>
      </c>
      <c r="D686">
        <v>10</v>
      </c>
      <c r="E686">
        <v>100</v>
      </c>
      <c r="F686">
        <v>10</v>
      </c>
      <c r="G686">
        <v>10</v>
      </c>
      <c r="H686">
        <v>10</v>
      </c>
      <c r="I686">
        <v>100</v>
      </c>
      <c r="J686">
        <v>10</v>
      </c>
      <c r="K686">
        <v>1060</v>
      </c>
      <c r="L686">
        <v>1170</v>
      </c>
      <c r="M686">
        <v>998</v>
      </c>
      <c r="N686">
        <v>1002</v>
      </c>
      <c r="O686">
        <v>1019</v>
      </c>
      <c r="P686">
        <v>891</v>
      </c>
      <c r="Q686">
        <v>944</v>
      </c>
      <c r="R686">
        <v>973</v>
      </c>
      <c r="S686">
        <v>1043</v>
      </c>
      <c r="T686">
        <v>900</v>
      </c>
      <c r="U686">
        <v>980</v>
      </c>
      <c r="V686">
        <v>1135</v>
      </c>
      <c r="W686">
        <v>1032</v>
      </c>
      <c r="X686">
        <v>1010</v>
      </c>
      <c r="Y686">
        <v>982</v>
      </c>
      <c r="Z686">
        <v>892</v>
      </c>
      <c r="AA686">
        <v>958</v>
      </c>
      <c r="AB686">
        <v>1028</v>
      </c>
      <c r="AC686">
        <v>974</v>
      </c>
      <c r="AD686">
        <v>1009</v>
      </c>
      <c r="AE686">
        <v>974</v>
      </c>
      <c r="AF686">
        <v>1</v>
      </c>
      <c r="AG686">
        <v>0</v>
      </c>
      <c r="AH686">
        <v>0</v>
      </c>
      <c r="AI686">
        <v>1</v>
      </c>
      <c r="AJ686">
        <v>0</v>
      </c>
      <c r="AK686">
        <v>2</v>
      </c>
      <c r="AL686">
        <v>1</v>
      </c>
      <c r="AM686">
        <v>1</v>
      </c>
      <c r="AN686">
        <v>0</v>
      </c>
      <c r="AO686">
        <v>0</v>
      </c>
      <c r="AP686">
        <v>1114</v>
      </c>
      <c r="AQ686">
        <v>3</v>
      </c>
      <c r="AR686">
        <v>2</v>
      </c>
      <c r="AS686">
        <v>0</v>
      </c>
      <c r="AT686">
        <v>1</v>
      </c>
      <c r="AU686">
        <v>1</v>
      </c>
      <c r="AV686">
        <v>0</v>
      </c>
      <c r="AW686">
        <v>13</v>
      </c>
      <c r="AX686">
        <v>1</v>
      </c>
      <c r="AY686">
        <v>16</v>
      </c>
      <c r="AZ686">
        <v>39</v>
      </c>
      <c r="BA686">
        <v>951</v>
      </c>
      <c r="BB686">
        <v>2</v>
      </c>
      <c r="BC686">
        <v>2</v>
      </c>
      <c r="BD686">
        <v>0</v>
      </c>
      <c r="BE686">
        <v>2</v>
      </c>
      <c r="BF686">
        <v>5</v>
      </c>
      <c r="BG686">
        <v>15</v>
      </c>
      <c r="BH686">
        <v>0</v>
      </c>
      <c r="BI686">
        <v>2</v>
      </c>
      <c r="BJ686">
        <v>0</v>
      </c>
      <c r="BK686">
        <v>7</v>
      </c>
      <c r="BL686">
        <v>961</v>
      </c>
      <c r="BM686">
        <v>0</v>
      </c>
      <c r="BN686">
        <v>21</v>
      </c>
      <c r="BO686">
        <v>0</v>
      </c>
      <c r="BP686">
        <v>7</v>
      </c>
      <c r="BQ686">
        <v>11</v>
      </c>
      <c r="BR686">
        <v>1</v>
      </c>
      <c r="BS686">
        <v>0</v>
      </c>
      <c r="BT686">
        <v>0</v>
      </c>
      <c r="BU686">
        <v>2</v>
      </c>
      <c r="BV686">
        <v>0</v>
      </c>
      <c r="BW686">
        <v>975</v>
      </c>
      <c r="BX686">
        <v>0</v>
      </c>
      <c r="BY686">
        <v>4</v>
      </c>
      <c r="BZ686">
        <v>0</v>
      </c>
      <c r="CA686">
        <v>1</v>
      </c>
      <c r="CB686">
        <v>0</v>
      </c>
      <c r="CC686">
        <v>17</v>
      </c>
      <c r="CD686">
        <v>1</v>
      </c>
      <c r="CE686">
        <v>0</v>
      </c>
      <c r="CF686">
        <v>5</v>
      </c>
      <c r="CG686">
        <v>0</v>
      </c>
      <c r="CH686">
        <v>856</v>
      </c>
      <c r="CI686">
        <v>6</v>
      </c>
      <c r="CJ686">
        <v>0</v>
      </c>
      <c r="CK686">
        <v>7</v>
      </c>
      <c r="CL686">
        <v>0</v>
      </c>
      <c r="CM686">
        <v>15</v>
      </c>
      <c r="CN686">
        <v>4</v>
      </c>
      <c r="CO686">
        <v>0</v>
      </c>
      <c r="CP686">
        <v>0</v>
      </c>
      <c r="CQ686">
        <v>4</v>
      </c>
      <c r="CR686">
        <v>1</v>
      </c>
      <c r="CS686">
        <v>929</v>
      </c>
      <c r="CT686">
        <v>0</v>
      </c>
      <c r="CU686">
        <v>5</v>
      </c>
      <c r="CV686">
        <v>0</v>
      </c>
      <c r="CW686">
        <v>10</v>
      </c>
      <c r="CX686">
        <v>9</v>
      </c>
      <c r="CY686">
        <v>29</v>
      </c>
      <c r="CZ686">
        <v>5</v>
      </c>
      <c r="DA686">
        <v>8</v>
      </c>
      <c r="DB686">
        <v>2</v>
      </c>
      <c r="DC686">
        <v>0</v>
      </c>
      <c r="DD686">
        <v>955</v>
      </c>
      <c r="DE686">
        <v>6</v>
      </c>
      <c r="DF686">
        <v>4</v>
      </c>
      <c r="DG686">
        <v>5</v>
      </c>
      <c r="DH686">
        <v>0</v>
      </c>
      <c r="DI686">
        <v>4</v>
      </c>
      <c r="DJ686">
        <v>1</v>
      </c>
      <c r="DK686">
        <v>4</v>
      </c>
      <c r="DL686">
        <v>0</v>
      </c>
      <c r="DM686">
        <v>0</v>
      </c>
      <c r="DN686">
        <v>0</v>
      </c>
      <c r="DO686">
        <v>960</v>
      </c>
      <c r="DP686">
        <v>0</v>
      </c>
      <c r="DQ686">
        <v>21</v>
      </c>
      <c r="DR686">
        <v>2</v>
      </c>
      <c r="DS686">
        <v>2</v>
      </c>
      <c r="DT686">
        <v>26</v>
      </c>
      <c r="DU686">
        <v>25</v>
      </c>
      <c r="DV686">
        <v>10</v>
      </c>
      <c r="DW686">
        <v>0</v>
      </c>
      <c r="DX686">
        <v>5</v>
      </c>
      <c r="DY686">
        <v>24</v>
      </c>
      <c r="DZ686">
        <v>894</v>
      </c>
      <c r="EA686">
        <v>0.95689999999999997</v>
      </c>
      <c r="EB686">
        <v>0.95798969075547102</v>
      </c>
      <c r="EC686">
        <v>0.95712540503877697</v>
      </c>
      <c r="ED686">
        <v>0.95683167395039903</v>
      </c>
      <c r="EE686">
        <f>SUM(Table1[[#This Row],[ratio_0]:[ratio_9]])</f>
        <v>280</v>
      </c>
      <c r="EF686" s="1">
        <f>(Table1[[#This Row],[predicted_0]]-Table1[[#This Row],[actual_0]])/Table1[[#This Row],[actual_0]]</f>
        <v>8.1632653061224483E-2</v>
      </c>
      <c r="EG686" s="1">
        <f>(Table1[[#This Row],[predicted_1]]-Table1[[#This Row],[actual_1]])/Table1[[#This Row],[actual_1]]</f>
        <v>3.0837004405286344E-2</v>
      </c>
      <c r="EH686" s="1">
        <f>(Table1[[#This Row],[predicted_2]]-Table1[[#This Row],[actual_2]])/Table1[[#This Row],[actual_2]]</f>
        <v>-3.294573643410853E-2</v>
      </c>
      <c r="EI686" s="1">
        <f>(Table1[[#This Row],[predicted_3]]-Table1[[#This Row],[actual_3]])/Table1[[#This Row],[actual_3]]</f>
        <v>-7.9207920792079209E-3</v>
      </c>
      <c r="EJ686" s="1">
        <f>(Table1[[#This Row],[predicted_4]]-Table1[[#This Row],[actual_4]])/Table1[[#This Row],[actual_4]]</f>
        <v>3.7678207739307537E-2</v>
      </c>
      <c r="EK686" s="1">
        <f>(Table1[[#This Row],[predicted_5]]-Table1[[#This Row],[actual_5]])/Table1[[#This Row],[actual_5]]</f>
        <v>-1.1210762331838565E-3</v>
      </c>
      <c r="EL686" s="1">
        <f>(Table1[[#This Row],[predicted_6]]-Table1[[#This Row],[actual_6]])/Table1[[#This Row],[actual_6]]</f>
        <v>-1.4613778705636743E-2</v>
      </c>
      <c r="EM686" s="1">
        <f>(Table1[[#This Row],[predicted_7]]-Table1[[#This Row],[actual_7]])/Table1[[#This Row],[actual_7]]</f>
        <v>-5.3501945525291826E-2</v>
      </c>
      <c r="EN686" s="1">
        <f>(Table1[[#This Row],[predicted_8]]-Table1[[#This Row],[actual_8]])/Table1[[#This Row],[actual_8]]</f>
        <v>7.0841889117043116E-2</v>
      </c>
      <c r="EO686" s="1">
        <f>(Table1[[#This Row],[predicted_9]]-Table1[[#This Row],[actual_9]])/Table1[[#This Row],[actual_9]]</f>
        <v>-0.10802775024777007</v>
      </c>
      <c r="EP686" s="1">
        <f>1+(Table1[[#This Row],[error_ratio_0]]-EF$2)</f>
        <v>1.0795918367346939</v>
      </c>
      <c r="EQ686" s="1">
        <f>1+(Table1[[#This Row],[error_ratio_1]]-EG$2)</f>
        <v>1.0290748898678415</v>
      </c>
      <c r="ER686" s="1">
        <f>1+(Table1[[#This Row],[error_ratio_2]]-EH$2)</f>
        <v>0.9718992248062015</v>
      </c>
      <c r="ES686" s="1">
        <f>1+(Table1[[#This Row],[error_ratio_3]]-EI$2)</f>
        <v>0.98217821782178216</v>
      </c>
      <c r="ET686" s="1">
        <f>1+(Table1[[#This Row],[error_ratio_4]]-EJ$2)</f>
        <v>1.0366598778004072</v>
      </c>
      <c r="EU686" s="1">
        <f>1+(Table1[[#This Row],[error_ratio_5]]-EK$2)</f>
        <v>0.99775784753363228</v>
      </c>
      <c r="EV686" s="1">
        <f>1+(Table1[[#This Row],[error_ratio_6]]-EL$2)</f>
        <v>0.99164926931106467</v>
      </c>
      <c r="EW686" s="1">
        <f>1+(Table1[[#This Row],[error_ratio_7]]-EM$2)</f>
        <v>0.94455252918287935</v>
      </c>
      <c r="EX686" s="1">
        <f>1+(Table1[[#This Row],[error_ratio_8]]-EN$2)</f>
        <v>1.0739219712525667</v>
      </c>
      <c r="EY686" s="1">
        <f>1+(Table1[[#This Row],[error_ratio_9]]-EO$2)</f>
        <v>0.89593657086223988</v>
      </c>
    </row>
    <row r="687" spans="1:155" x14ac:dyDescent="0.75">
      <c r="A687">
        <v>100</v>
      </c>
      <c r="B687">
        <v>100</v>
      </c>
      <c r="C687">
        <v>100</v>
      </c>
      <c r="D687">
        <v>100</v>
      </c>
      <c r="E687">
        <v>10</v>
      </c>
      <c r="F687">
        <v>10</v>
      </c>
      <c r="G687">
        <v>10</v>
      </c>
      <c r="H687">
        <v>10</v>
      </c>
      <c r="I687">
        <v>100</v>
      </c>
      <c r="J687">
        <v>10</v>
      </c>
      <c r="K687">
        <v>997</v>
      </c>
      <c r="L687">
        <v>1171</v>
      </c>
      <c r="M687">
        <v>1077</v>
      </c>
      <c r="N687">
        <v>1051</v>
      </c>
      <c r="O687">
        <v>981</v>
      </c>
      <c r="P687">
        <v>898</v>
      </c>
      <c r="Q687">
        <v>910</v>
      </c>
      <c r="R687">
        <v>974</v>
      </c>
      <c r="S687">
        <v>1020</v>
      </c>
      <c r="T687">
        <v>921</v>
      </c>
      <c r="U687">
        <v>980</v>
      </c>
      <c r="V687">
        <v>1135</v>
      </c>
      <c r="W687">
        <v>1032</v>
      </c>
      <c r="X687">
        <v>1010</v>
      </c>
      <c r="Y687">
        <v>982</v>
      </c>
      <c r="Z687">
        <v>892</v>
      </c>
      <c r="AA687">
        <v>958</v>
      </c>
      <c r="AB687">
        <v>1028</v>
      </c>
      <c r="AC687">
        <v>974</v>
      </c>
      <c r="AD687">
        <v>1009</v>
      </c>
      <c r="AE687">
        <v>974</v>
      </c>
      <c r="AF687">
        <v>0</v>
      </c>
      <c r="AG687">
        <v>1</v>
      </c>
      <c r="AH687">
        <v>0</v>
      </c>
      <c r="AI687">
        <v>0</v>
      </c>
      <c r="AJ687">
        <v>0</v>
      </c>
      <c r="AK687">
        <v>1</v>
      </c>
      <c r="AL687">
        <v>1</v>
      </c>
      <c r="AM687">
        <v>3</v>
      </c>
      <c r="AN687">
        <v>0</v>
      </c>
      <c r="AO687">
        <v>0</v>
      </c>
      <c r="AP687">
        <v>1130</v>
      </c>
      <c r="AQ687">
        <v>1</v>
      </c>
      <c r="AR687">
        <v>4</v>
      </c>
      <c r="AS687">
        <v>0</v>
      </c>
      <c r="AT687">
        <v>0</v>
      </c>
      <c r="AU687">
        <v>0</v>
      </c>
      <c r="AV687">
        <v>0</v>
      </c>
      <c r="AW687">
        <v>0</v>
      </c>
      <c r="AX687">
        <v>0</v>
      </c>
      <c r="AY687">
        <v>0</v>
      </c>
      <c r="AZ687">
        <v>1</v>
      </c>
      <c r="BA687">
        <v>1025</v>
      </c>
      <c r="BB687">
        <v>1</v>
      </c>
      <c r="BC687">
        <v>1</v>
      </c>
      <c r="BD687">
        <v>0</v>
      </c>
      <c r="BE687">
        <v>0</v>
      </c>
      <c r="BF687">
        <v>2</v>
      </c>
      <c r="BG687">
        <v>2</v>
      </c>
      <c r="BH687">
        <v>0</v>
      </c>
      <c r="BI687">
        <v>0</v>
      </c>
      <c r="BJ687">
        <v>0</v>
      </c>
      <c r="BK687">
        <v>1</v>
      </c>
      <c r="BL687">
        <v>996</v>
      </c>
      <c r="BM687">
        <v>0</v>
      </c>
      <c r="BN687">
        <v>8</v>
      </c>
      <c r="BO687">
        <v>0</v>
      </c>
      <c r="BP687">
        <v>1</v>
      </c>
      <c r="BQ687">
        <v>4</v>
      </c>
      <c r="BR687">
        <v>0</v>
      </c>
      <c r="BS687">
        <v>0</v>
      </c>
      <c r="BT687">
        <v>8</v>
      </c>
      <c r="BU687">
        <v>10</v>
      </c>
      <c r="BV687">
        <v>0</v>
      </c>
      <c r="BW687">
        <v>946</v>
      </c>
      <c r="BX687">
        <v>1</v>
      </c>
      <c r="BY687">
        <v>3</v>
      </c>
      <c r="BZ687">
        <v>0</v>
      </c>
      <c r="CA687">
        <v>7</v>
      </c>
      <c r="CB687">
        <v>7</v>
      </c>
      <c r="CC687">
        <v>1</v>
      </c>
      <c r="CD687">
        <v>0</v>
      </c>
      <c r="CE687">
        <v>1</v>
      </c>
      <c r="CF687">
        <v>27</v>
      </c>
      <c r="CG687">
        <v>0</v>
      </c>
      <c r="CH687">
        <v>859</v>
      </c>
      <c r="CI687">
        <v>0</v>
      </c>
      <c r="CJ687">
        <v>0</v>
      </c>
      <c r="CK687">
        <v>4</v>
      </c>
      <c r="CL687">
        <v>0</v>
      </c>
      <c r="CM687">
        <v>12</v>
      </c>
      <c r="CN687">
        <v>4</v>
      </c>
      <c r="CO687">
        <v>5</v>
      </c>
      <c r="CP687">
        <v>3</v>
      </c>
      <c r="CQ687">
        <v>8</v>
      </c>
      <c r="CR687">
        <v>4</v>
      </c>
      <c r="CS687">
        <v>906</v>
      </c>
      <c r="CT687">
        <v>0</v>
      </c>
      <c r="CU687">
        <v>16</v>
      </c>
      <c r="CV687">
        <v>0</v>
      </c>
      <c r="CW687">
        <v>1</v>
      </c>
      <c r="CX687">
        <v>18</v>
      </c>
      <c r="CY687">
        <v>32</v>
      </c>
      <c r="CZ687">
        <v>11</v>
      </c>
      <c r="DA687">
        <v>1</v>
      </c>
      <c r="DB687">
        <v>1</v>
      </c>
      <c r="DC687">
        <v>0</v>
      </c>
      <c r="DD687">
        <v>960</v>
      </c>
      <c r="DE687">
        <v>3</v>
      </c>
      <c r="DF687">
        <v>1</v>
      </c>
      <c r="DG687">
        <v>1</v>
      </c>
      <c r="DH687">
        <v>0</v>
      </c>
      <c r="DI687">
        <v>1</v>
      </c>
      <c r="DJ687">
        <v>1</v>
      </c>
      <c r="DK687">
        <v>1</v>
      </c>
      <c r="DL687">
        <v>1</v>
      </c>
      <c r="DM687">
        <v>0</v>
      </c>
      <c r="DN687">
        <v>4</v>
      </c>
      <c r="DO687">
        <v>964</v>
      </c>
      <c r="DP687">
        <v>1</v>
      </c>
      <c r="DQ687">
        <v>8</v>
      </c>
      <c r="DR687">
        <v>10</v>
      </c>
      <c r="DS687">
        <v>0</v>
      </c>
      <c r="DT687">
        <v>8</v>
      </c>
      <c r="DU687">
        <v>24</v>
      </c>
      <c r="DV687">
        <v>24</v>
      </c>
      <c r="DW687">
        <v>0</v>
      </c>
      <c r="DX687">
        <v>6</v>
      </c>
      <c r="DY687">
        <v>17</v>
      </c>
      <c r="DZ687">
        <v>912</v>
      </c>
      <c r="EA687">
        <v>0.96719999999999995</v>
      </c>
      <c r="EB687">
        <v>0.96787536114390704</v>
      </c>
      <c r="EC687">
        <v>0.96683432025365301</v>
      </c>
      <c r="ED687">
        <v>0.96685773127805996</v>
      </c>
      <c r="EE687">
        <f>SUM(Table1[[#This Row],[ratio_0]:[ratio_9]])</f>
        <v>550</v>
      </c>
      <c r="EF687" s="1">
        <f>(Table1[[#This Row],[predicted_0]]-Table1[[#This Row],[actual_0]])/Table1[[#This Row],[actual_0]]</f>
        <v>1.7346938775510204E-2</v>
      </c>
      <c r="EG687" s="1">
        <f>(Table1[[#This Row],[predicted_1]]-Table1[[#This Row],[actual_1]])/Table1[[#This Row],[actual_1]]</f>
        <v>3.1718061674008813E-2</v>
      </c>
      <c r="EH687" s="1">
        <f>(Table1[[#This Row],[predicted_2]]-Table1[[#This Row],[actual_2]])/Table1[[#This Row],[actual_2]]</f>
        <v>4.3604651162790699E-2</v>
      </c>
      <c r="EI687" s="1">
        <f>(Table1[[#This Row],[predicted_3]]-Table1[[#This Row],[actual_3]])/Table1[[#This Row],[actual_3]]</f>
        <v>4.0594059405940595E-2</v>
      </c>
      <c r="EJ687" s="1">
        <f>(Table1[[#This Row],[predicted_4]]-Table1[[#This Row],[actual_4]])/Table1[[#This Row],[actual_4]]</f>
        <v>-1.0183299389002036E-3</v>
      </c>
      <c r="EK687" s="1">
        <f>(Table1[[#This Row],[predicted_5]]-Table1[[#This Row],[actual_5]])/Table1[[#This Row],[actual_5]]</f>
        <v>6.7264573991031393E-3</v>
      </c>
      <c r="EL687" s="1">
        <f>(Table1[[#This Row],[predicted_6]]-Table1[[#This Row],[actual_6]])/Table1[[#This Row],[actual_6]]</f>
        <v>-5.0104384133611693E-2</v>
      </c>
      <c r="EM687" s="1">
        <f>(Table1[[#This Row],[predicted_7]]-Table1[[#This Row],[actual_7]])/Table1[[#This Row],[actual_7]]</f>
        <v>-5.2529182879377433E-2</v>
      </c>
      <c r="EN687" s="1">
        <f>(Table1[[#This Row],[predicted_8]]-Table1[[#This Row],[actual_8]])/Table1[[#This Row],[actual_8]]</f>
        <v>4.7227926078028747E-2</v>
      </c>
      <c r="EO687" s="1">
        <f>(Table1[[#This Row],[predicted_9]]-Table1[[#This Row],[actual_9]])/Table1[[#This Row],[actual_9]]</f>
        <v>-8.7215064420218036E-2</v>
      </c>
      <c r="EP687" s="1">
        <f>1+(Table1[[#This Row],[error_ratio_0]]-EF$2)</f>
        <v>1.0153061224489797</v>
      </c>
      <c r="EQ687" s="1">
        <f>1+(Table1[[#This Row],[error_ratio_1]]-EG$2)</f>
        <v>1.0299559471365638</v>
      </c>
      <c r="ER687" s="1">
        <f>1+(Table1[[#This Row],[error_ratio_2]]-EH$2)</f>
        <v>1.0484496124031009</v>
      </c>
      <c r="ES687" s="1">
        <f>1+(Table1[[#This Row],[error_ratio_3]]-EI$2)</f>
        <v>1.0306930693069307</v>
      </c>
      <c r="ET687" s="1">
        <f>1+(Table1[[#This Row],[error_ratio_4]]-EJ$2)</f>
        <v>0.99796334012219956</v>
      </c>
      <c r="EU687" s="1">
        <f>1+(Table1[[#This Row],[error_ratio_5]]-EK$2)</f>
        <v>1.0056053811659194</v>
      </c>
      <c r="EV687" s="1">
        <f>1+(Table1[[#This Row],[error_ratio_6]]-EL$2)</f>
        <v>0.95615866388308979</v>
      </c>
      <c r="EW687" s="1">
        <f>1+(Table1[[#This Row],[error_ratio_7]]-EM$2)</f>
        <v>0.94552529182879375</v>
      </c>
      <c r="EX687" s="1">
        <f>1+(Table1[[#This Row],[error_ratio_8]]-EN$2)</f>
        <v>1.0503080082135523</v>
      </c>
      <c r="EY687" s="1">
        <f>1+(Table1[[#This Row],[error_ratio_9]]-EO$2)</f>
        <v>0.9167492566897919</v>
      </c>
    </row>
    <row r="688" spans="1:155" x14ac:dyDescent="0.75">
      <c r="A688">
        <v>10</v>
      </c>
      <c r="B688">
        <v>100</v>
      </c>
      <c r="C688">
        <v>100</v>
      </c>
      <c r="D688">
        <v>100</v>
      </c>
      <c r="E688">
        <v>10</v>
      </c>
      <c r="F688">
        <v>10</v>
      </c>
      <c r="G688">
        <v>10</v>
      </c>
      <c r="H688">
        <v>10</v>
      </c>
      <c r="I688">
        <v>100</v>
      </c>
      <c r="J688">
        <v>10</v>
      </c>
      <c r="K688">
        <v>958</v>
      </c>
      <c r="L688">
        <v>1227</v>
      </c>
      <c r="M688">
        <v>1054</v>
      </c>
      <c r="N688">
        <v>1107</v>
      </c>
      <c r="O688">
        <v>939</v>
      </c>
      <c r="P688">
        <v>863</v>
      </c>
      <c r="Q688">
        <v>976</v>
      </c>
      <c r="R688">
        <v>909</v>
      </c>
      <c r="S688">
        <v>1024</v>
      </c>
      <c r="T688">
        <v>943</v>
      </c>
      <c r="U688">
        <v>980</v>
      </c>
      <c r="V688">
        <v>1135</v>
      </c>
      <c r="W688">
        <v>1032</v>
      </c>
      <c r="X688">
        <v>1010</v>
      </c>
      <c r="Y688">
        <v>982</v>
      </c>
      <c r="Z688">
        <v>892</v>
      </c>
      <c r="AA688">
        <v>958</v>
      </c>
      <c r="AB688">
        <v>1028</v>
      </c>
      <c r="AC688">
        <v>974</v>
      </c>
      <c r="AD688">
        <v>1009</v>
      </c>
      <c r="AE688">
        <v>938</v>
      </c>
      <c r="AF688">
        <v>2</v>
      </c>
      <c r="AG688">
        <v>2</v>
      </c>
      <c r="AH688">
        <v>2</v>
      </c>
      <c r="AI688">
        <v>1</v>
      </c>
      <c r="AJ688">
        <v>0</v>
      </c>
      <c r="AK688">
        <v>27</v>
      </c>
      <c r="AL688">
        <v>1</v>
      </c>
      <c r="AM688">
        <v>5</v>
      </c>
      <c r="AN688">
        <v>2</v>
      </c>
      <c r="AO688">
        <v>0</v>
      </c>
      <c r="AP688">
        <v>1132</v>
      </c>
      <c r="AQ688">
        <v>0</v>
      </c>
      <c r="AR688">
        <v>2</v>
      </c>
      <c r="AS688">
        <v>0</v>
      </c>
      <c r="AT688">
        <v>1</v>
      </c>
      <c r="AU688">
        <v>0</v>
      </c>
      <c r="AV688">
        <v>0</v>
      </c>
      <c r="AW688">
        <v>0</v>
      </c>
      <c r="AX688">
        <v>0</v>
      </c>
      <c r="AY688">
        <v>0</v>
      </c>
      <c r="AZ688">
        <v>5</v>
      </c>
      <c r="BA688">
        <v>1021</v>
      </c>
      <c r="BB688">
        <v>3</v>
      </c>
      <c r="BC688">
        <v>0</v>
      </c>
      <c r="BD688">
        <v>0</v>
      </c>
      <c r="BE688">
        <v>1</v>
      </c>
      <c r="BF688">
        <v>0</v>
      </c>
      <c r="BG688">
        <v>2</v>
      </c>
      <c r="BH688">
        <v>0</v>
      </c>
      <c r="BI688">
        <v>1</v>
      </c>
      <c r="BJ688">
        <v>0</v>
      </c>
      <c r="BK688">
        <v>1</v>
      </c>
      <c r="BL688">
        <v>1004</v>
      </c>
      <c r="BM688">
        <v>0</v>
      </c>
      <c r="BN688">
        <v>2</v>
      </c>
      <c r="BO688">
        <v>0</v>
      </c>
      <c r="BP688">
        <v>0</v>
      </c>
      <c r="BQ688">
        <v>2</v>
      </c>
      <c r="BR688">
        <v>0</v>
      </c>
      <c r="BS688">
        <v>0</v>
      </c>
      <c r="BT688">
        <v>22</v>
      </c>
      <c r="BU688">
        <v>3</v>
      </c>
      <c r="BV688">
        <v>8</v>
      </c>
      <c r="BW688">
        <v>920</v>
      </c>
      <c r="BX688">
        <v>0</v>
      </c>
      <c r="BY688">
        <v>9</v>
      </c>
      <c r="BZ688">
        <v>0</v>
      </c>
      <c r="CA688">
        <v>7</v>
      </c>
      <c r="CB688">
        <v>13</v>
      </c>
      <c r="CC688">
        <v>2</v>
      </c>
      <c r="CD688">
        <v>2</v>
      </c>
      <c r="CE688">
        <v>1</v>
      </c>
      <c r="CF688">
        <v>21</v>
      </c>
      <c r="CG688">
        <v>0</v>
      </c>
      <c r="CH688">
        <v>846</v>
      </c>
      <c r="CI688">
        <v>9</v>
      </c>
      <c r="CJ688">
        <v>1</v>
      </c>
      <c r="CK688">
        <v>10</v>
      </c>
      <c r="CL688">
        <v>0</v>
      </c>
      <c r="CM688">
        <v>9</v>
      </c>
      <c r="CN688">
        <v>6</v>
      </c>
      <c r="CO688">
        <v>0</v>
      </c>
      <c r="CP688">
        <v>0</v>
      </c>
      <c r="CQ688">
        <v>5</v>
      </c>
      <c r="CR688">
        <v>2</v>
      </c>
      <c r="CS688">
        <v>929</v>
      </c>
      <c r="CT688">
        <v>0</v>
      </c>
      <c r="CU688">
        <v>7</v>
      </c>
      <c r="CV688">
        <v>0</v>
      </c>
      <c r="CW688">
        <v>2</v>
      </c>
      <c r="CX688">
        <v>49</v>
      </c>
      <c r="CY688">
        <v>22</v>
      </c>
      <c r="CZ688">
        <v>42</v>
      </c>
      <c r="DA688">
        <v>3</v>
      </c>
      <c r="DB688">
        <v>0</v>
      </c>
      <c r="DC688">
        <v>0</v>
      </c>
      <c r="DD688">
        <v>902</v>
      </c>
      <c r="DE688">
        <v>4</v>
      </c>
      <c r="DF688">
        <v>4</v>
      </c>
      <c r="DG688">
        <v>1</v>
      </c>
      <c r="DH688">
        <v>1</v>
      </c>
      <c r="DI688">
        <v>3</v>
      </c>
      <c r="DJ688">
        <v>1</v>
      </c>
      <c r="DK688">
        <v>0</v>
      </c>
      <c r="DL688">
        <v>0</v>
      </c>
      <c r="DM688">
        <v>0</v>
      </c>
      <c r="DN688">
        <v>0</v>
      </c>
      <c r="DO688">
        <v>968</v>
      </c>
      <c r="DP688">
        <v>0</v>
      </c>
      <c r="DQ688">
        <v>5</v>
      </c>
      <c r="DR688">
        <v>8</v>
      </c>
      <c r="DS688">
        <v>1</v>
      </c>
      <c r="DT688">
        <v>24</v>
      </c>
      <c r="DU688">
        <v>10</v>
      </c>
      <c r="DV688">
        <v>12</v>
      </c>
      <c r="DW688">
        <v>1</v>
      </c>
      <c r="DX688">
        <v>5</v>
      </c>
      <c r="DY688">
        <v>19</v>
      </c>
      <c r="DZ688">
        <v>924</v>
      </c>
      <c r="EA688">
        <v>0.95840000000000003</v>
      </c>
      <c r="EB688">
        <v>0.96067195113995396</v>
      </c>
      <c r="EC688">
        <v>0.95799527336189605</v>
      </c>
      <c r="ED688">
        <v>0.95836046686456999</v>
      </c>
      <c r="EE688">
        <f>SUM(Table1[[#This Row],[ratio_0]:[ratio_9]])</f>
        <v>460</v>
      </c>
      <c r="EF688" s="1">
        <f>(Table1[[#This Row],[predicted_0]]-Table1[[#This Row],[actual_0]])/Table1[[#This Row],[actual_0]]</f>
        <v>-2.2448979591836733E-2</v>
      </c>
      <c r="EG688" s="1">
        <f>(Table1[[#This Row],[predicted_1]]-Table1[[#This Row],[actual_1]])/Table1[[#This Row],[actual_1]]</f>
        <v>8.1057268722466963E-2</v>
      </c>
      <c r="EH688" s="1">
        <f>(Table1[[#This Row],[predicted_2]]-Table1[[#This Row],[actual_2]])/Table1[[#This Row],[actual_2]]</f>
        <v>2.1317829457364341E-2</v>
      </c>
      <c r="EI688" s="1">
        <f>(Table1[[#This Row],[predicted_3]]-Table1[[#This Row],[actual_3]])/Table1[[#This Row],[actual_3]]</f>
        <v>9.6039603960396042E-2</v>
      </c>
      <c r="EJ688" s="1">
        <f>(Table1[[#This Row],[predicted_4]]-Table1[[#This Row],[actual_4]])/Table1[[#This Row],[actual_4]]</f>
        <v>-4.3788187372708759E-2</v>
      </c>
      <c r="EK688" s="1">
        <f>(Table1[[#This Row],[predicted_5]]-Table1[[#This Row],[actual_5]])/Table1[[#This Row],[actual_5]]</f>
        <v>-3.2511210762331835E-2</v>
      </c>
      <c r="EL688" s="1">
        <f>(Table1[[#This Row],[predicted_6]]-Table1[[#This Row],[actual_6]])/Table1[[#This Row],[actual_6]]</f>
        <v>1.8789144050104383E-2</v>
      </c>
      <c r="EM688" s="1">
        <f>(Table1[[#This Row],[predicted_7]]-Table1[[#This Row],[actual_7]])/Table1[[#This Row],[actual_7]]</f>
        <v>-0.11575875486381323</v>
      </c>
      <c r="EN688" s="1">
        <f>(Table1[[#This Row],[predicted_8]]-Table1[[#This Row],[actual_8]])/Table1[[#This Row],[actual_8]]</f>
        <v>5.1334702258726897E-2</v>
      </c>
      <c r="EO688" s="1">
        <f>(Table1[[#This Row],[predicted_9]]-Table1[[#This Row],[actual_9]])/Table1[[#This Row],[actual_9]]</f>
        <v>-6.5411298315163527E-2</v>
      </c>
      <c r="EP688" s="1">
        <f>1+(Table1[[#This Row],[error_ratio_0]]-EF$2)</f>
        <v>0.97551020408163269</v>
      </c>
      <c r="EQ688" s="1">
        <f>1+(Table1[[#This Row],[error_ratio_1]]-EG$2)</f>
        <v>1.079295154185022</v>
      </c>
      <c r="ER688" s="1">
        <f>1+(Table1[[#This Row],[error_ratio_2]]-EH$2)</f>
        <v>1.0261627906976745</v>
      </c>
      <c r="ES688" s="1">
        <f>1+(Table1[[#This Row],[error_ratio_3]]-EI$2)</f>
        <v>1.0861386138613862</v>
      </c>
      <c r="ET688" s="1">
        <f>1+(Table1[[#This Row],[error_ratio_4]]-EJ$2)</f>
        <v>0.95519348268839099</v>
      </c>
      <c r="EU688" s="1">
        <f>1+(Table1[[#This Row],[error_ratio_5]]-EK$2)</f>
        <v>0.96636771300448432</v>
      </c>
      <c r="EV688" s="1">
        <f>1+(Table1[[#This Row],[error_ratio_6]]-EL$2)</f>
        <v>1.0250521920668059</v>
      </c>
      <c r="EW688" s="1">
        <f>1+(Table1[[#This Row],[error_ratio_7]]-EM$2)</f>
        <v>0.88229571984435795</v>
      </c>
      <c r="EX688" s="1">
        <f>1+(Table1[[#This Row],[error_ratio_8]]-EN$2)</f>
        <v>1.0544147843942504</v>
      </c>
      <c r="EY688" s="1">
        <f>1+(Table1[[#This Row],[error_ratio_9]]-EO$2)</f>
        <v>0.93855302279484643</v>
      </c>
    </row>
    <row r="689" spans="1:155" x14ac:dyDescent="0.75">
      <c r="A689">
        <v>100</v>
      </c>
      <c r="B689">
        <v>10</v>
      </c>
      <c r="C689">
        <v>100</v>
      </c>
      <c r="D689">
        <v>100</v>
      </c>
      <c r="E689">
        <v>10</v>
      </c>
      <c r="F689">
        <v>10</v>
      </c>
      <c r="G689">
        <v>10</v>
      </c>
      <c r="H689">
        <v>10</v>
      </c>
      <c r="I689">
        <v>100</v>
      </c>
      <c r="J689">
        <v>10</v>
      </c>
      <c r="K689">
        <v>1005</v>
      </c>
      <c r="L689">
        <v>1143</v>
      </c>
      <c r="M689">
        <v>1058</v>
      </c>
      <c r="N689">
        <v>1086</v>
      </c>
      <c r="O689">
        <v>974</v>
      </c>
      <c r="P689">
        <v>833</v>
      </c>
      <c r="Q689">
        <v>950</v>
      </c>
      <c r="R689">
        <v>989</v>
      </c>
      <c r="S689">
        <v>976</v>
      </c>
      <c r="T689">
        <v>986</v>
      </c>
      <c r="U689">
        <v>980</v>
      </c>
      <c r="V689">
        <v>1135</v>
      </c>
      <c r="W689">
        <v>1032</v>
      </c>
      <c r="X689">
        <v>1010</v>
      </c>
      <c r="Y689">
        <v>982</v>
      </c>
      <c r="Z689">
        <v>892</v>
      </c>
      <c r="AA689">
        <v>958</v>
      </c>
      <c r="AB689">
        <v>1028</v>
      </c>
      <c r="AC689">
        <v>974</v>
      </c>
      <c r="AD689">
        <v>1009</v>
      </c>
      <c r="AE689">
        <v>976</v>
      </c>
      <c r="AF689">
        <v>0</v>
      </c>
      <c r="AG689">
        <v>0</v>
      </c>
      <c r="AH689">
        <v>0</v>
      </c>
      <c r="AI689">
        <v>0</v>
      </c>
      <c r="AJ689">
        <v>0</v>
      </c>
      <c r="AK689">
        <v>1</v>
      </c>
      <c r="AL689">
        <v>1</v>
      </c>
      <c r="AM689">
        <v>2</v>
      </c>
      <c r="AN689">
        <v>0</v>
      </c>
      <c r="AO689">
        <v>0</v>
      </c>
      <c r="AP689">
        <v>1125</v>
      </c>
      <c r="AQ689">
        <v>1</v>
      </c>
      <c r="AR689">
        <v>4</v>
      </c>
      <c r="AS689">
        <v>0</v>
      </c>
      <c r="AT689">
        <v>2</v>
      </c>
      <c r="AU689">
        <v>1</v>
      </c>
      <c r="AV689">
        <v>1</v>
      </c>
      <c r="AW689">
        <v>0</v>
      </c>
      <c r="AX689">
        <v>1</v>
      </c>
      <c r="AY689">
        <v>2</v>
      </c>
      <c r="AZ689">
        <v>2</v>
      </c>
      <c r="BA689">
        <v>1023</v>
      </c>
      <c r="BB689">
        <v>0</v>
      </c>
      <c r="BC689">
        <v>0</v>
      </c>
      <c r="BD689">
        <v>0</v>
      </c>
      <c r="BE689">
        <v>1</v>
      </c>
      <c r="BF689">
        <v>4</v>
      </c>
      <c r="BG689">
        <v>0</v>
      </c>
      <c r="BH689">
        <v>0</v>
      </c>
      <c r="BI689">
        <v>0</v>
      </c>
      <c r="BJ689">
        <v>0</v>
      </c>
      <c r="BK689">
        <v>3</v>
      </c>
      <c r="BL689">
        <v>1000</v>
      </c>
      <c r="BM689">
        <v>0</v>
      </c>
      <c r="BN689">
        <v>0</v>
      </c>
      <c r="BO689">
        <v>0</v>
      </c>
      <c r="BP689">
        <v>6</v>
      </c>
      <c r="BQ689">
        <v>1</v>
      </c>
      <c r="BR689">
        <v>0</v>
      </c>
      <c r="BS689">
        <v>1</v>
      </c>
      <c r="BT689">
        <v>2</v>
      </c>
      <c r="BU689">
        <v>8</v>
      </c>
      <c r="BV689">
        <v>0</v>
      </c>
      <c r="BW689">
        <v>946</v>
      </c>
      <c r="BX689">
        <v>0</v>
      </c>
      <c r="BY689">
        <v>12</v>
      </c>
      <c r="BZ689">
        <v>0</v>
      </c>
      <c r="CA689">
        <v>5</v>
      </c>
      <c r="CB689">
        <v>8</v>
      </c>
      <c r="CC689">
        <v>2</v>
      </c>
      <c r="CD689">
        <v>0</v>
      </c>
      <c r="CE689">
        <v>0</v>
      </c>
      <c r="CF689">
        <v>62</v>
      </c>
      <c r="CG689">
        <v>1</v>
      </c>
      <c r="CH689">
        <v>818</v>
      </c>
      <c r="CI689">
        <v>2</v>
      </c>
      <c r="CJ689">
        <v>1</v>
      </c>
      <c r="CK689">
        <v>4</v>
      </c>
      <c r="CL689">
        <v>2</v>
      </c>
      <c r="CM689">
        <v>12</v>
      </c>
      <c r="CN689">
        <v>3</v>
      </c>
      <c r="CO689">
        <v>1</v>
      </c>
      <c r="CP689">
        <v>1</v>
      </c>
      <c r="CQ689">
        <v>2</v>
      </c>
      <c r="CR689">
        <v>7</v>
      </c>
      <c r="CS689">
        <v>930</v>
      </c>
      <c r="CT689">
        <v>0</v>
      </c>
      <c r="CU689">
        <v>2</v>
      </c>
      <c r="CV689">
        <v>0</v>
      </c>
      <c r="CW689">
        <v>3</v>
      </c>
      <c r="CX689">
        <v>7</v>
      </c>
      <c r="CY689">
        <v>22</v>
      </c>
      <c r="CZ689">
        <v>1</v>
      </c>
      <c r="DA689">
        <v>3</v>
      </c>
      <c r="DB689">
        <v>0</v>
      </c>
      <c r="DC689">
        <v>0</v>
      </c>
      <c r="DD689">
        <v>966</v>
      </c>
      <c r="DE689">
        <v>4</v>
      </c>
      <c r="DF689">
        <v>22</v>
      </c>
      <c r="DG689">
        <v>2</v>
      </c>
      <c r="DH689">
        <v>0</v>
      </c>
      <c r="DI689">
        <v>0</v>
      </c>
      <c r="DJ689">
        <v>5</v>
      </c>
      <c r="DK689">
        <v>1</v>
      </c>
      <c r="DL689">
        <v>3</v>
      </c>
      <c r="DM689">
        <v>1</v>
      </c>
      <c r="DN689">
        <v>6</v>
      </c>
      <c r="DO689">
        <v>951</v>
      </c>
      <c r="DP689">
        <v>5</v>
      </c>
      <c r="DQ689">
        <v>7</v>
      </c>
      <c r="DR689">
        <v>4</v>
      </c>
      <c r="DS689">
        <v>0</v>
      </c>
      <c r="DT689">
        <v>13</v>
      </c>
      <c r="DU689">
        <v>21</v>
      </c>
      <c r="DV689">
        <v>3</v>
      </c>
      <c r="DW689">
        <v>2</v>
      </c>
      <c r="DX689">
        <v>4</v>
      </c>
      <c r="DY689">
        <v>7</v>
      </c>
      <c r="DZ689">
        <v>948</v>
      </c>
      <c r="EA689">
        <v>0.96830000000000005</v>
      </c>
      <c r="EB689">
        <v>0.96879078852127998</v>
      </c>
      <c r="EC689">
        <v>0.96752576538474999</v>
      </c>
      <c r="ED689">
        <v>0.96783771612930702</v>
      </c>
      <c r="EE689">
        <f>SUM(Table1[[#This Row],[ratio_0]:[ratio_9]])</f>
        <v>460</v>
      </c>
      <c r="EF689" s="1">
        <f>(Table1[[#This Row],[predicted_0]]-Table1[[#This Row],[actual_0]])/Table1[[#This Row],[actual_0]]</f>
        <v>2.5510204081632654E-2</v>
      </c>
      <c r="EG689" s="1">
        <f>(Table1[[#This Row],[predicted_1]]-Table1[[#This Row],[actual_1]])/Table1[[#This Row],[actual_1]]</f>
        <v>7.048458149779736E-3</v>
      </c>
      <c r="EH689" s="1">
        <f>(Table1[[#This Row],[predicted_2]]-Table1[[#This Row],[actual_2]])/Table1[[#This Row],[actual_2]]</f>
        <v>2.5193798449612403E-2</v>
      </c>
      <c r="EI689" s="1">
        <f>(Table1[[#This Row],[predicted_3]]-Table1[[#This Row],[actual_3]])/Table1[[#This Row],[actual_3]]</f>
        <v>7.5247524752475245E-2</v>
      </c>
      <c r="EJ689" s="1">
        <f>(Table1[[#This Row],[predicted_4]]-Table1[[#This Row],[actual_4]])/Table1[[#This Row],[actual_4]]</f>
        <v>-8.1466395112016286E-3</v>
      </c>
      <c r="EK689" s="1">
        <f>(Table1[[#This Row],[predicted_5]]-Table1[[#This Row],[actual_5]])/Table1[[#This Row],[actual_5]]</f>
        <v>-6.614349775784753E-2</v>
      </c>
      <c r="EL689" s="1">
        <f>(Table1[[#This Row],[predicted_6]]-Table1[[#This Row],[actual_6]])/Table1[[#This Row],[actual_6]]</f>
        <v>-8.350730688935281E-3</v>
      </c>
      <c r="EM689" s="1">
        <f>(Table1[[#This Row],[predicted_7]]-Table1[[#This Row],[actual_7]])/Table1[[#This Row],[actual_7]]</f>
        <v>-3.7937743190661476E-2</v>
      </c>
      <c r="EN689" s="1">
        <f>(Table1[[#This Row],[predicted_8]]-Table1[[#This Row],[actual_8]])/Table1[[#This Row],[actual_8]]</f>
        <v>2.0533880903490761E-3</v>
      </c>
      <c r="EO689" s="1">
        <f>(Table1[[#This Row],[predicted_9]]-Table1[[#This Row],[actual_9]])/Table1[[#This Row],[actual_9]]</f>
        <v>-2.2794846382556987E-2</v>
      </c>
      <c r="EP689" s="1">
        <f>1+(Table1[[#This Row],[error_ratio_0]]-EF$2)</f>
        <v>1.023469387755102</v>
      </c>
      <c r="EQ689" s="1">
        <f>1+(Table1[[#This Row],[error_ratio_1]]-EG$2)</f>
        <v>1.0052863436123347</v>
      </c>
      <c r="ER689" s="1">
        <f>1+(Table1[[#This Row],[error_ratio_2]]-EH$2)</f>
        <v>1.0300387596899225</v>
      </c>
      <c r="ES689" s="1">
        <f>1+(Table1[[#This Row],[error_ratio_3]]-EI$2)</f>
        <v>1.0653465346534654</v>
      </c>
      <c r="ET689" s="1">
        <f>1+(Table1[[#This Row],[error_ratio_4]]-EJ$2)</f>
        <v>0.99083503054989819</v>
      </c>
      <c r="EU689" s="1">
        <f>1+(Table1[[#This Row],[error_ratio_5]]-EK$2)</f>
        <v>0.93273542600896864</v>
      </c>
      <c r="EV689" s="1">
        <f>1+(Table1[[#This Row],[error_ratio_6]]-EL$2)</f>
        <v>0.9979123173277662</v>
      </c>
      <c r="EW689" s="1">
        <f>1+(Table1[[#This Row],[error_ratio_7]]-EM$2)</f>
        <v>0.96011673151750976</v>
      </c>
      <c r="EX689" s="1">
        <f>1+(Table1[[#This Row],[error_ratio_8]]-EN$2)</f>
        <v>1.0051334702258727</v>
      </c>
      <c r="EY689" s="1">
        <f>1+(Table1[[#This Row],[error_ratio_9]]-EO$2)</f>
        <v>0.98116947472745297</v>
      </c>
    </row>
    <row r="690" spans="1:155" x14ac:dyDescent="0.75">
      <c r="A690">
        <v>10</v>
      </c>
      <c r="B690">
        <v>10</v>
      </c>
      <c r="C690">
        <v>100</v>
      </c>
      <c r="D690">
        <v>100</v>
      </c>
      <c r="E690">
        <v>10</v>
      </c>
      <c r="F690">
        <v>10</v>
      </c>
      <c r="G690">
        <v>10</v>
      </c>
      <c r="H690">
        <v>10</v>
      </c>
      <c r="I690">
        <v>100</v>
      </c>
      <c r="J690">
        <v>10</v>
      </c>
      <c r="K690">
        <v>989</v>
      </c>
      <c r="L690">
        <v>1133</v>
      </c>
      <c r="M690">
        <v>1043</v>
      </c>
      <c r="N690">
        <v>1146</v>
      </c>
      <c r="O690">
        <v>957</v>
      </c>
      <c r="P690">
        <v>876</v>
      </c>
      <c r="Q690">
        <v>917</v>
      </c>
      <c r="R690">
        <v>1027</v>
      </c>
      <c r="S690">
        <v>1005</v>
      </c>
      <c r="T690">
        <v>907</v>
      </c>
      <c r="U690">
        <v>980</v>
      </c>
      <c r="V690">
        <v>1135</v>
      </c>
      <c r="W690">
        <v>1032</v>
      </c>
      <c r="X690">
        <v>1010</v>
      </c>
      <c r="Y690">
        <v>982</v>
      </c>
      <c r="Z690">
        <v>892</v>
      </c>
      <c r="AA690">
        <v>958</v>
      </c>
      <c r="AB690">
        <v>1028</v>
      </c>
      <c r="AC690">
        <v>974</v>
      </c>
      <c r="AD690">
        <v>1009</v>
      </c>
      <c r="AE690">
        <v>963</v>
      </c>
      <c r="AF690">
        <v>0</v>
      </c>
      <c r="AG690">
        <v>4</v>
      </c>
      <c r="AH690">
        <v>2</v>
      </c>
      <c r="AI690">
        <v>0</v>
      </c>
      <c r="AJ690">
        <v>3</v>
      </c>
      <c r="AK690">
        <v>1</v>
      </c>
      <c r="AL690">
        <v>2</v>
      </c>
      <c r="AM690">
        <v>5</v>
      </c>
      <c r="AN690">
        <v>0</v>
      </c>
      <c r="AO690">
        <v>0</v>
      </c>
      <c r="AP690">
        <v>1118</v>
      </c>
      <c r="AQ690">
        <v>3</v>
      </c>
      <c r="AR690">
        <v>9</v>
      </c>
      <c r="AS690">
        <v>0</v>
      </c>
      <c r="AT690">
        <v>0</v>
      </c>
      <c r="AU690">
        <v>3</v>
      </c>
      <c r="AV690">
        <v>0</v>
      </c>
      <c r="AW690">
        <v>2</v>
      </c>
      <c r="AX690">
        <v>0</v>
      </c>
      <c r="AY690">
        <v>1</v>
      </c>
      <c r="AZ690">
        <v>0</v>
      </c>
      <c r="BA690">
        <v>1003</v>
      </c>
      <c r="BB690">
        <v>9</v>
      </c>
      <c r="BC690">
        <v>0</v>
      </c>
      <c r="BD690">
        <v>0</v>
      </c>
      <c r="BE690">
        <v>0</v>
      </c>
      <c r="BF690">
        <v>18</v>
      </c>
      <c r="BG690">
        <v>1</v>
      </c>
      <c r="BH690">
        <v>0</v>
      </c>
      <c r="BI690">
        <v>0</v>
      </c>
      <c r="BJ690">
        <v>0</v>
      </c>
      <c r="BK690">
        <v>0</v>
      </c>
      <c r="BL690">
        <v>1007</v>
      </c>
      <c r="BM690">
        <v>0</v>
      </c>
      <c r="BN690">
        <v>1</v>
      </c>
      <c r="BO690">
        <v>0</v>
      </c>
      <c r="BP690">
        <v>1</v>
      </c>
      <c r="BQ690">
        <v>1</v>
      </c>
      <c r="BR690">
        <v>0</v>
      </c>
      <c r="BS690">
        <v>1</v>
      </c>
      <c r="BT690">
        <v>1</v>
      </c>
      <c r="BU690">
        <v>15</v>
      </c>
      <c r="BV690">
        <v>1</v>
      </c>
      <c r="BW690">
        <v>932</v>
      </c>
      <c r="BX690">
        <v>0</v>
      </c>
      <c r="BY690">
        <v>6</v>
      </c>
      <c r="BZ690">
        <v>6</v>
      </c>
      <c r="CA690">
        <v>11</v>
      </c>
      <c r="CB690">
        <v>9</v>
      </c>
      <c r="CC690">
        <v>2</v>
      </c>
      <c r="CD690">
        <v>0</v>
      </c>
      <c r="CE690">
        <v>1</v>
      </c>
      <c r="CF690">
        <v>48</v>
      </c>
      <c r="CG690">
        <v>0</v>
      </c>
      <c r="CH690">
        <v>838</v>
      </c>
      <c r="CI690">
        <v>1</v>
      </c>
      <c r="CJ690">
        <v>0</v>
      </c>
      <c r="CK690">
        <v>2</v>
      </c>
      <c r="CL690">
        <v>0</v>
      </c>
      <c r="CM690">
        <v>16</v>
      </c>
      <c r="CN690">
        <v>2</v>
      </c>
      <c r="CO690">
        <v>1</v>
      </c>
      <c r="CP690">
        <v>0</v>
      </c>
      <c r="CQ690">
        <v>7</v>
      </c>
      <c r="CR690">
        <v>13</v>
      </c>
      <c r="CS690">
        <v>906</v>
      </c>
      <c r="CT690">
        <v>0</v>
      </c>
      <c r="CU690">
        <v>13</v>
      </c>
      <c r="CV690">
        <v>0</v>
      </c>
      <c r="CW690">
        <v>1</v>
      </c>
      <c r="CX690">
        <v>4</v>
      </c>
      <c r="CY690">
        <v>7</v>
      </c>
      <c r="CZ690">
        <v>27</v>
      </c>
      <c r="DA690">
        <v>0</v>
      </c>
      <c r="DB690">
        <v>0</v>
      </c>
      <c r="DC690">
        <v>0</v>
      </c>
      <c r="DD690">
        <v>985</v>
      </c>
      <c r="DE690">
        <v>3</v>
      </c>
      <c r="DF690">
        <v>1</v>
      </c>
      <c r="DG690">
        <v>0</v>
      </c>
      <c r="DH690">
        <v>0</v>
      </c>
      <c r="DI690">
        <v>8</v>
      </c>
      <c r="DJ690">
        <v>19</v>
      </c>
      <c r="DK690">
        <v>0</v>
      </c>
      <c r="DL690">
        <v>1</v>
      </c>
      <c r="DM690">
        <v>0</v>
      </c>
      <c r="DN690">
        <v>3</v>
      </c>
      <c r="DO690">
        <v>941</v>
      </c>
      <c r="DP690">
        <v>2</v>
      </c>
      <c r="DQ690">
        <v>5</v>
      </c>
      <c r="DR690">
        <v>8</v>
      </c>
      <c r="DS690">
        <v>1</v>
      </c>
      <c r="DT690">
        <v>24</v>
      </c>
      <c r="DU690">
        <v>18</v>
      </c>
      <c r="DV690">
        <v>20</v>
      </c>
      <c r="DW690">
        <v>0</v>
      </c>
      <c r="DX690">
        <v>12</v>
      </c>
      <c r="DY690">
        <v>26</v>
      </c>
      <c r="DZ690">
        <v>895</v>
      </c>
      <c r="EA690">
        <v>0.95879999999999999</v>
      </c>
      <c r="EB690">
        <v>0.96015235012164302</v>
      </c>
      <c r="EC690">
        <v>0.95821768035173205</v>
      </c>
      <c r="ED690">
        <v>0.95844813157203101</v>
      </c>
      <c r="EE690">
        <f>SUM(Table1[[#This Row],[ratio_0]:[ratio_9]])</f>
        <v>370</v>
      </c>
      <c r="EF690" s="1">
        <f>(Table1[[#This Row],[predicted_0]]-Table1[[#This Row],[actual_0]])/Table1[[#This Row],[actual_0]]</f>
        <v>9.1836734693877559E-3</v>
      </c>
      <c r="EG690" s="1">
        <f>(Table1[[#This Row],[predicted_1]]-Table1[[#This Row],[actual_1]])/Table1[[#This Row],[actual_1]]</f>
        <v>-1.762114537444934E-3</v>
      </c>
      <c r="EH690" s="1">
        <f>(Table1[[#This Row],[predicted_2]]-Table1[[#This Row],[actual_2]])/Table1[[#This Row],[actual_2]]</f>
        <v>1.065891472868217E-2</v>
      </c>
      <c r="EI690" s="1">
        <f>(Table1[[#This Row],[predicted_3]]-Table1[[#This Row],[actual_3]])/Table1[[#This Row],[actual_3]]</f>
        <v>0.13465346534653466</v>
      </c>
      <c r="EJ690" s="1">
        <f>(Table1[[#This Row],[predicted_4]]-Table1[[#This Row],[actual_4]])/Table1[[#This Row],[actual_4]]</f>
        <v>-2.5458248472505093E-2</v>
      </c>
      <c r="EK690" s="1">
        <f>(Table1[[#This Row],[predicted_5]]-Table1[[#This Row],[actual_5]])/Table1[[#This Row],[actual_5]]</f>
        <v>-1.7937219730941704E-2</v>
      </c>
      <c r="EL690" s="1">
        <f>(Table1[[#This Row],[predicted_6]]-Table1[[#This Row],[actual_6]])/Table1[[#This Row],[actual_6]]</f>
        <v>-4.2797494780793317E-2</v>
      </c>
      <c r="EM690" s="1">
        <f>(Table1[[#This Row],[predicted_7]]-Table1[[#This Row],[actual_7]])/Table1[[#This Row],[actual_7]]</f>
        <v>-9.727626459143969E-4</v>
      </c>
      <c r="EN690" s="1">
        <f>(Table1[[#This Row],[predicted_8]]-Table1[[#This Row],[actual_8]])/Table1[[#This Row],[actual_8]]</f>
        <v>3.1827515400410678E-2</v>
      </c>
      <c r="EO690" s="1">
        <f>(Table1[[#This Row],[predicted_9]]-Table1[[#This Row],[actual_9]])/Table1[[#This Row],[actual_9]]</f>
        <v>-0.10109018830525272</v>
      </c>
      <c r="EP690" s="1">
        <f>1+(Table1[[#This Row],[error_ratio_0]]-EF$2)</f>
        <v>1.0071428571428571</v>
      </c>
      <c r="EQ690" s="1">
        <f>1+(Table1[[#This Row],[error_ratio_1]]-EG$2)</f>
        <v>0.99647577092511008</v>
      </c>
      <c r="ER690" s="1">
        <f>1+(Table1[[#This Row],[error_ratio_2]]-EH$2)</f>
        <v>1.0155038759689923</v>
      </c>
      <c r="ES690" s="1">
        <f>1+(Table1[[#This Row],[error_ratio_3]]-EI$2)</f>
        <v>1.1247524752475249</v>
      </c>
      <c r="ET690" s="1">
        <f>1+(Table1[[#This Row],[error_ratio_4]]-EJ$2)</f>
        <v>0.97352342158859473</v>
      </c>
      <c r="EU690" s="1">
        <f>1+(Table1[[#This Row],[error_ratio_5]]-EK$2)</f>
        <v>0.98094170403587444</v>
      </c>
      <c r="EV690" s="1">
        <f>1+(Table1[[#This Row],[error_ratio_6]]-EL$2)</f>
        <v>0.9634655532359081</v>
      </c>
      <c r="EW690" s="1">
        <f>1+(Table1[[#This Row],[error_ratio_7]]-EM$2)</f>
        <v>0.99708171206225682</v>
      </c>
      <c r="EX690" s="1">
        <f>1+(Table1[[#This Row],[error_ratio_8]]-EN$2)</f>
        <v>1.0349075975359343</v>
      </c>
      <c r="EY690" s="1">
        <f>1+(Table1[[#This Row],[error_ratio_9]]-EO$2)</f>
        <v>0.90287413280475715</v>
      </c>
    </row>
    <row r="691" spans="1:155" x14ac:dyDescent="0.75">
      <c r="A691">
        <v>100</v>
      </c>
      <c r="B691">
        <v>100</v>
      </c>
      <c r="C691">
        <v>10</v>
      </c>
      <c r="D691">
        <v>100</v>
      </c>
      <c r="E691">
        <v>10</v>
      </c>
      <c r="F691">
        <v>10</v>
      </c>
      <c r="G691">
        <v>10</v>
      </c>
      <c r="H691">
        <v>10</v>
      </c>
      <c r="I691">
        <v>100</v>
      </c>
      <c r="J691">
        <v>10</v>
      </c>
      <c r="K691">
        <v>1046</v>
      </c>
      <c r="L691">
        <v>1169</v>
      </c>
      <c r="M691">
        <v>964</v>
      </c>
      <c r="N691">
        <v>1036</v>
      </c>
      <c r="O691">
        <v>1012</v>
      </c>
      <c r="P691">
        <v>877</v>
      </c>
      <c r="Q691">
        <v>920</v>
      </c>
      <c r="R691">
        <v>978</v>
      </c>
      <c r="S691">
        <v>1022</v>
      </c>
      <c r="T691">
        <v>976</v>
      </c>
      <c r="U691">
        <v>980</v>
      </c>
      <c r="V691">
        <v>1135</v>
      </c>
      <c r="W691">
        <v>1032</v>
      </c>
      <c r="X691">
        <v>1010</v>
      </c>
      <c r="Y691">
        <v>982</v>
      </c>
      <c r="Z691">
        <v>892</v>
      </c>
      <c r="AA691">
        <v>958</v>
      </c>
      <c r="AB691">
        <v>1028</v>
      </c>
      <c r="AC691">
        <v>974</v>
      </c>
      <c r="AD691">
        <v>1009</v>
      </c>
      <c r="AE691">
        <v>977</v>
      </c>
      <c r="AF691">
        <v>0</v>
      </c>
      <c r="AG691">
        <v>0</v>
      </c>
      <c r="AH691">
        <v>0</v>
      </c>
      <c r="AI691">
        <v>0</v>
      </c>
      <c r="AJ691">
        <v>0</v>
      </c>
      <c r="AK691">
        <v>0</v>
      </c>
      <c r="AL691">
        <v>0</v>
      </c>
      <c r="AM691">
        <v>3</v>
      </c>
      <c r="AN691">
        <v>0</v>
      </c>
      <c r="AO691">
        <v>0</v>
      </c>
      <c r="AP691">
        <v>1132</v>
      </c>
      <c r="AQ691">
        <v>0</v>
      </c>
      <c r="AR691">
        <v>0</v>
      </c>
      <c r="AS691">
        <v>0</v>
      </c>
      <c r="AT691">
        <v>0</v>
      </c>
      <c r="AU691">
        <v>2</v>
      </c>
      <c r="AV691">
        <v>0</v>
      </c>
      <c r="AW691">
        <v>1</v>
      </c>
      <c r="AX691">
        <v>0</v>
      </c>
      <c r="AY691">
        <v>10</v>
      </c>
      <c r="AZ691">
        <v>12</v>
      </c>
      <c r="BA691">
        <v>948</v>
      </c>
      <c r="BB691">
        <v>9</v>
      </c>
      <c r="BC691">
        <v>9</v>
      </c>
      <c r="BD691">
        <v>0</v>
      </c>
      <c r="BE691">
        <v>2</v>
      </c>
      <c r="BF691">
        <v>10</v>
      </c>
      <c r="BG691">
        <v>32</v>
      </c>
      <c r="BH691">
        <v>0</v>
      </c>
      <c r="BI691">
        <v>1</v>
      </c>
      <c r="BJ691">
        <v>0</v>
      </c>
      <c r="BK691">
        <v>2</v>
      </c>
      <c r="BL691">
        <v>999</v>
      </c>
      <c r="BM691">
        <v>0</v>
      </c>
      <c r="BN691">
        <v>3</v>
      </c>
      <c r="BO691">
        <v>0</v>
      </c>
      <c r="BP691">
        <v>3</v>
      </c>
      <c r="BQ691">
        <v>1</v>
      </c>
      <c r="BR691">
        <v>1</v>
      </c>
      <c r="BS691">
        <v>0</v>
      </c>
      <c r="BT691">
        <v>6</v>
      </c>
      <c r="BU691">
        <v>1</v>
      </c>
      <c r="BV691">
        <v>0</v>
      </c>
      <c r="BW691">
        <v>956</v>
      </c>
      <c r="BX691">
        <v>0</v>
      </c>
      <c r="BY691">
        <v>8</v>
      </c>
      <c r="BZ691">
        <v>0</v>
      </c>
      <c r="CA691">
        <v>4</v>
      </c>
      <c r="CB691">
        <v>7</v>
      </c>
      <c r="CC691">
        <v>10</v>
      </c>
      <c r="CD691">
        <v>0</v>
      </c>
      <c r="CE691">
        <v>0</v>
      </c>
      <c r="CF691">
        <v>15</v>
      </c>
      <c r="CG691">
        <v>2</v>
      </c>
      <c r="CH691">
        <v>857</v>
      </c>
      <c r="CI691">
        <v>2</v>
      </c>
      <c r="CJ691">
        <v>0</v>
      </c>
      <c r="CK691">
        <v>5</v>
      </c>
      <c r="CL691">
        <v>1</v>
      </c>
      <c r="CM691">
        <v>26</v>
      </c>
      <c r="CN691">
        <v>4</v>
      </c>
      <c r="CO691">
        <v>0</v>
      </c>
      <c r="CP691">
        <v>0</v>
      </c>
      <c r="CQ691">
        <v>16</v>
      </c>
      <c r="CR691">
        <v>3</v>
      </c>
      <c r="CS691">
        <v>906</v>
      </c>
      <c r="CT691">
        <v>0</v>
      </c>
      <c r="CU691">
        <v>3</v>
      </c>
      <c r="CV691">
        <v>0</v>
      </c>
      <c r="CW691">
        <v>9</v>
      </c>
      <c r="CX691">
        <v>12</v>
      </c>
      <c r="CY691">
        <v>13</v>
      </c>
      <c r="CZ691">
        <v>3</v>
      </c>
      <c r="DA691">
        <v>8</v>
      </c>
      <c r="DB691">
        <v>0</v>
      </c>
      <c r="DC691">
        <v>0</v>
      </c>
      <c r="DD691">
        <v>962</v>
      </c>
      <c r="DE691">
        <v>3</v>
      </c>
      <c r="DF691">
        <v>18</v>
      </c>
      <c r="DG691">
        <v>6</v>
      </c>
      <c r="DH691">
        <v>0</v>
      </c>
      <c r="DI691">
        <v>0</v>
      </c>
      <c r="DJ691">
        <v>0</v>
      </c>
      <c r="DK691">
        <v>0</v>
      </c>
      <c r="DL691">
        <v>1</v>
      </c>
      <c r="DM691">
        <v>0</v>
      </c>
      <c r="DN691">
        <v>1</v>
      </c>
      <c r="DO691">
        <v>962</v>
      </c>
      <c r="DP691">
        <v>4</v>
      </c>
      <c r="DQ691">
        <v>7</v>
      </c>
      <c r="DR691">
        <v>3</v>
      </c>
      <c r="DS691">
        <v>0</v>
      </c>
      <c r="DT691">
        <v>10</v>
      </c>
      <c r="DU691">
        <v>21</v>
      </c>
      <c r="DV691">
        <v>13</v>
      </c>
      <c r="DW691">
        <v>0</v>
      </c>
      <c r="DX691">
        <v>2</v>
      </c>
      <c r="DY691">
        <v>8</v>
      </c>
      <c r="DZ691">
        <v>945</v>
      </c>
      <c r="EA691">
        <v>0.96440000000000003</v>
      </c>
      <c r="EB691">
        <v>0.96498826320487496</v>
      </c>
      <c r="EC691">
        <v>0.96420633687743895</v>
      </c>
      <c r="ED691">
        <v>0.96413736658080196</v>
      </c>
      <c r="EE691">
        <f>SUM(Table1[[#This Row],[ratio_0]:[ratio_9]])</f>
        <v>460</v>
      </c>
      <c r="EF691" s="1">
        <f>(Table1[[#This Row],[predicted_0]]-Table1[[#This Row],[actual_0]])/Table1[[#This Row],[actual_0]]</f>
        <v>6.7346938775510207E-2</v>
      </c>
      <c r="EG691" s="1">
        <f>(Table1[[#This Row],[predicted_1]]-Table1[[#This Row],[actual_1]])/Table1[[#This Row],[actual_1]]</f>
        <v>2.9955947136563875E-2</v>
      </c>
      <c r="EH691" s="1">
        <f>(Table1[[#This Row],[predicted_2]]-Table1[[#This Row],[actual_2]])/Table1[[#This Row],[actual_2]]</f>
        <v>-6.589147286821706E-2</v>
      </c>
      <c r="EI691" s="1">
        <f>(Table1[[#This Row],[predicted_3]]-Table1[[#This Row],[actual_3]])/Table1[[#This Row],[actual_3]]</f>
        <v>2.5742574257425741E-2</v>
      </c>
      <c r="EJ691" s="1">
        <f>(Table1[[#This Row],[predicted_4]]-Table1[[#This Row],[actual_4]])/Table1[[#This Row],[actual_4]]</f>
        <v>3.0549898167006109E-2</v>
      </c>
      <c r="EK691" s="1">
        <f>(Table1[[#This Row],[predicted_5]]-Table1[[#This Row],[actual_5]])/Table1[[#This Row],[actual_5]]</f>
        <v>-1.6816143497757848E-2</v>
      </c>
      <c r="EL691" s="1">
        <f>(Table1[[#This Row],[predicted_6]]-Table1[[#This Row],[actual_6]])/Table1[[#This Row],[actual_6]]</f>
        <v>-3.9665970772442591E-2</v>
      </c>
      <c r="EM691" s="1">
        <f>(Table1[[#This Row],[predicted_7]]-Table1[[#This Row],[actual_7]])/Table1[[#This Row],[actual_7]]</f>
        <v>-4.8638132295719845E-2</v>
      </c>
      <c r="EN691" s="1">
        <f>(Table1[[#This Row],[predicted_8]]-Table1[[#This Row],[actual_8]])/Table1[[#This Row],[actual_8]]</f>
        <v>4.9281314168377825E-2</v>
      </c>
      <c r="EO691" s="1">
        <f>(Table1[[#This Row],[predicted_9]]-Table1[[#This Row],[actual_9]])/Table1[[#This Row],[actual_9]]</f>
        <v>-3.2705649157581763E-2</v>
      </c>
      <c r="EP691" s="1">
        <f>1+(Table1[[#This Row],[error_ratio_0]]-EF$2)</f>
        <v>1.0653061224489795</v>
      </c>
      <c r="EQ691" s="1">
        <f>1+(Table1[[#This Row],[error_ratio_1]]-EG$2)</f>
        <v>1.0281938325991189</v>
      </c>
      <c r="ER691" s="1">
        <f>1+(Table1[[#This Row],[error_ratio_2]]-EH$2)</f>
        <v>0.93895348837209303</v>
      </c>
      <c r="ES691" s="1">
        <f>1+(Table1[[#This Row],[error_ratio_3]]-EI$2)</f>
        <v>1.0158415841584159</v>
      </c>
      <c r="ET691" s="1">
        <f>1+(Table1[[#This Row],[error_ratio_4]]-EJ$2)</f>
        <v>1.0295315682281059</v>
      </c>
      <c r="EU691" s="1">
        <f>1+(Table1[[#This Row],[error_ratio_5]]-EK$2)</f>
        <v>0.98206278026905824</v>
      </c>
      <c r="EV691" s="1">
        <f>1+(Table1[[#This Row],[error_ratio_6]]-EL$2)</f>
        <v>0.96659707724425892</v>
      </c>
      <c r="EW691" s="1">
        <f>1+(Table1[[#This Row],[error_ratio_7]]-EM$2)</f>
        <v>0.94941634241245132</v>
      </c>
      <c r="EX691" s="1">
        <f>1+(Table1[[#This Row],[error_ratio_8]]-EN$2)</f>
        <v>1.0523613963039014</v>
      </c>
      <c r="EY691" s="1">
        <f>1+(Table1[[#This Row],[error_ratio_9]]-EO$2)</f>
        <v>0.9712586719524281</v>
      </c>
    </row>
    <row r="692" spans="1:155" x14ac:dyDescent="0.75">
      <c r="A692">
        <v>10</v>
      </c>
      <c r="B692">
        <v>100</v>
      </c>
      <c r="C692">
        <v>10</v>
      </c>
      <c r="D692">
        <v>100</v>
      </c>
      <c r="E692">
        <v>10</v>
      </c>
      <c r="F692">
        <v>10</v>
      </c>
      <c r="G692">
        <v>10</v>
      </c>
      <c r="H692">
        <v>10</v>
      </c>
      <c r="I692">
        <v>100</v>
      </c>
      <c r="J692">
        <v>10</v>
      </c>
      <c r="K692">
        <v>953</v>
      </c>
      <c r="L692">
        <v>1221</v>
      </c>
      <c r="M692">
        <v>1026</v>
      </c>
      <c r="N692">
        <v>1297</v>
      </c>
      <c r="O692">
        <v>1026</v>
      </c>
      <c r="P692">
        <v>839</v>
      </c>
      <c r="Q692">
        <v>849</v>
      </c>
      <c r="R692">
        <v>705</v>
      </c>
      <c r="S692">
        <v>1161</v>
      </c>
      <c r="T692">
        <v>923</v>
      </c>
      <c r="U692">
        <v>980</v>
      </c>
      <c r="V692">
        <v>1135</v>
      </c>
      <c r="W692">
        <v>1032</v>
      </c>
      <c r="X692">
        <v>1010</v>
      </c>
      <c r="Y692">
        <v>982</v>
      </c>
      <c r="Z692">
        <v>892</v>
      </c>
      <c r="AA692">
        <v>958</v>
      </c>
      <c r="AB692">
        <v>1028</v>
      </c>
      <c r="AC692">
        <v>974</v>
      </c>
      <c r="AD692">
        <v>1009</v>
      </c>
      <c r="AE692">
        <v>934</v>
      </c>
      <c r="AF692">
        <v>1</v>
      </c>
      <c r="AG692">
        <v>7</v>
      </c>
      <c r="AH692">
        <v>15</v>
      </c>
      <c r="AI692">
        <v>1</v>
      </c>
      <c r="AJ692">
        <v>6</v>
      </c>
      <c r="AK692">
        <v>0</v>
      </c>
      <c r="AL692">
        <v>1</v>
      </c>
      <c r="AM692">
        <v>15</v>
      </c>
      <c r="AN692">
        <v>0</v>
      </c>
      <c r="AO692">
        <v>0</v>
      </c>
      <c r="AP692">
        <v>1133</v>
      </c>
      <c r="AQ692">
        <v>0</v>
      </c>
      <c r="AR692">
        <v>2</v>
      </c>
      <c r="AS692">
        <v>0</v>
      </c>
      <c r="AT692">
        <v>0</v>
      </c>
      <c r="AU692">
        <v>0</v>
      </c>
      <c r="AV692">
        <v>0</v>
      </c>
      <c r="AW692">
        <v>0</v>
      </c>
      <c r="AX692">
        <v>0</v>
      </c>
      <c r="AY692">
        <v>1</v>
      </c>
      <c r="AZ692">
        <v>17</v>
      </c>
      <c r="BA692">
        <v>965</v>
      </c>
      <c r="BB692">
        <v>30</v>
      </c>
      <c r="BC692">
        <v>1</v>
      </c>
      <c r="BD692">
        <v>0</v>
      </c>
      <c r="BE692">
        <v>0</v>
      </c>
      <c r="BF692">
        <v>1</v>
      </c>
      <c r="BG692">
        <v>17</v>
      </c>
      <c r="BH692">
        <v>0</v>
      </c>
      <c r="BI692">
        <v>0</v>
      </c>
      <c r="BJ692">
        <v>0</v>
      </c>
      <c r="BK692">
        <v>0</v>
      </c>
      <c r="BL692">
        <v>1005</v>
      </c>
      <c r="BM692">
        <v>0</v>
      </c>
      <c r="BN692">
        <v>0</v>
      </c>
      <c r="BO692">
        <v>0</v>
      </c>
      <c r="BP692">
        <v>0</v>
      </c>
      <c r="BQ692">
        <v>4</v>
      </c>
      <c r="BR692">
        <v>1</v>
      </c>
      <c r="BS692">
        <v>1</v>
      </c>
      <c r="BT692">
        <v>8</v>
      </c>
      <c r="BU692">
        <v>14</v>
      </c>
      <c r="BV692">
        <v>1</v>
      </c>
      <c r="BW692">
        <v>951</v>
      </c>
      <c r="BX692">
        <v>0</v>
      </c>
      <c r="BY692">
        <v>0</v>
      </c>
      <c r="BZ692">
        <v>0</v>
      </c>
      <c r="CA692">
        <v>6</v>
      </c>
      <c r="CB692">
        <v>1</v>
      </c>
      <c r="CC692">
        <v>2</v>
      </c>
      <c r="CD692">
        <v>1</v>
      </c>
      <c r="CE692">
        <v>1</v>
      </c>
      <c r="CF692">
        <v>39</v>
      </c>
      <c r="CG692">
        <v>0</v>
      </c>
      <c r="CH692">
        <v>819</v>
      </c>
      <c r="CI692">
        <v>1</v>
      </c>
      <c r="CJ692">
        <v>0</v>
      </c>
      <c r="CK692">
        <v>27</v>
      </c>
      <c r="CL692">
        <v>2</v>
      </c>
      <c r="CM692">
        <v>10</v>
      </c>
      <c r="CN692">
        <v>18</v>
      </c>
      <c r="CO692">
        <v>11</v>
      </c>
      <c r="CP692">
        <v>4</v>
      </c>
      <c r="CQ692">
        <v>33</v>
      </c>
      <c r="CR692">
        <v>9</v>
      </c>
      <c r="CS692">
        <v>848</v>
      </c>
      <c r="CT692">
        <v>0</v>
      </c>
      <c r="CU692">
        <v>25</v>
      </c>
      <c r="CV692">
        <v>0</v>
      </c>
      <c r="CW692">
        <v>1</v>
      </c>
      <c r="CX692">
        <v>37</v>
      </c>
      <c r="CY692">
        <v>27</v>
      </c>
      <c r="CZ692">
        <v>182</v>
      </c>
      <c r="DA692">
        <v>7</v>
      </c>
      <c r="DB692">
        <v>1</v>
      </c>
      <c r="DC692">
        <v>0</v>
      </c>
      <c r="DD692">
        <v>701</v>
      </c>
      <c r="DE692">
        <v>45</v>
      </c>
      <c r="DF692">
        <v>27</v>
      </c>
      <c r="DG692">
        <v>0</v>
      </c>
      <c r="DH692">
        <v>0</v>
      </c>
      <c r="DI692">
        <v>1</v>
      </c>
      <c r="DJ692">
        <v>3</v>
      </c>
      <c r="DK692">
        <v>1</v>
      </c>
      <c r="DL692">
        <v>0</v>
      </c>
      <c r="DM692">
        <v>0</v>
      </c>
      <c r="DN692">
        <v>0</v>
      </c>
      <c r="DO692">
        <v>969</v>
      </c>
      <c r="DP692">
        <v>0</v>
      </c>
      <c r="DQ692">
        <v>4</v>
      </c>
      <c r="DR692">
        <v>6</v>
      </c>
      <c r="DS692">
        <v>0</v>
      </c>
      <c r="DT692">
        <v>16</v>
      </c>
      <c r="DU692">
        <v>32</v>
      </c>
      <c r="DV692">
        <v>4</v>
      </c>
      <c r="DW692">
        <v>0</v>
      </c>
      <c r="DX692">
        <v>2</v>
      </c>
      <c r="DY692">
        <v>53</v>
      </c>
      <c r="DZ692">
        <v>892</v>
      </c>
      <c r="EA692">
        <v>0.92169999999999996</v>
      </c>
      <c r="EB692">
        <v>0.93206520274010096</v>
      </c>
      <c r="EC692">
        <v>0.92140135462738304</v>
      </c>
      <c r="ED692">
        <v>0.92094209625907497</v>
      </c>
      <c r="EE692">
        <f>SUM(Table1[[#This Row],[ratio_0]:[ratio_9]])</f>
        <v>370</v>
      </c>
      <c r="EF692" s="1">
        <f>(Table1[[#This Row],[predicted_0]]-Table1[[#This Row],[actual_0]])/Table1[[#This Row],[actual_0]]</f>
        <v>-2.7551020408163266E-2</v>
      </c>
      <c r="EG692" s="1">
        <f>(Table1[[#This Row],[predicted_1]]-Table1[[#This Row],[actual_1]])/Table1[[#This Row],[actual_1]]</f>
        <v>7.5770925110132156E-2</v>
      </c>
      <c r="EH692" s="1">
        <f>(Table1[[#This Row],[predicted_2]]-Table1[[#This Row],[actual_2]])/Table1[[#This Row],[actual_2]]</f>
        <v>-5.8139534883720929E-3</v>
      </c>
      <c r="EI692" s="1">
        <f>(Table1[[#This Row],[predicted_3]]-Table1[[#This Row],[actual_3]])/Table1[[#This Row],[actual_3]]</f>
        <v>0.28415841584158413</v>
      </c>
      <c r="EJ692" s="1">
        <f>(Table1[[#This Row],[predicted_4]]-Table1[[#This Row],[actual_4]])/Table1[[#This Row],[actual_4]]</f>
        <v>4.4806517311608958E-2</v>
      </c>
      <c r="EK692" s="1">
        <f>(Table1[[#This Row],[predicted_5]]-Table1[[#This Row],[actual_5]])/Table1[[#This Row],[actual_5]]</f>
        <v>-5.9417040358744393E-2</v>
      </c>
      <c r="EL692" s="1">
        <f>(Table1[[#This Row],[predicted_6]]-Table1[[#This Row],[actual_6]])/Table1[[#This Row],[actual_6]]</f>
        <v>-0.11377870563674322</v>
      </c>
      <c r="EM692" s="1">
        <f>(Table1[[#This Row],[predicted_7]]-Table1[[#This Row],[actual_7]])/Table1[[#This Row],[actual_7]]</f>
        <v>-0.31420233463035019</v>
      </c>
      <c r="EN692" s="1">
        <f>(Table1[[#This Row],[predicted_8]]-Table1[[#This Row],[actual_8]])/Table1[[#This Row],[actual_8]]</f>
        <v>0.19199178644763859</v>
      </c>
      <c r="EO692" s="1">
        <f>(Table1[[#This Row],[predicted_9]]-Table1[[#This Row],[actual_9]])/Table1[[#This Row],[actual_9]]</f>
        <v>-8.523290386521308E-2</v>
      </c>
      <c r="EP692" s="1">
        <f>1+(Table1[[#This Row],[error_ratio_0]]-EF$2)</f>
        <v>0.9704081632653061</v>
      </c>
      <c r="EQ692" s="1">
        <f>1+(Table1[[#This Row],[error_ratio_1]]-EG$2)</f>
        <v>1.0740088105726873</v>
      </c>
      <c r="ER692" s="1">
        <f>1+(Table1[[#This Row],[error_ratio_2]]-EH$2)</f>
        <v>0.99903100775193798</v>
      </c>
      <c r="ES692" s="1">
        <f>1+(Table1[[#This Row],[error_ratio_3]]-EI$2)</f>
        <v>1.2742574257425743</v>
      </c>
      <c r="ET692" s="1">
        <f>1+(Table1[[#This Row],[error_ratio_4]]-EJ$2)</f>
        <v>1.0437881873727088</v>
      </c>
      <c r="EU692" s="1">
        <f>1+(Table1[[#This Row],[error_ratio_5]]-EK$2)</f>
        <v>0.9394618834080718</v>
      </c>
      <c r="EV692" s="1">
        <f>1+(Table1[[#This Row],[error_ratio_6]]-EL$2)</f>
        <v>0.89248434237995822</v>
      </c>
      <c r="EW692" s="1">
        <f>1+(Table1[[#This Row],[error_ratio_7]]-EM$2)</f>
        <v>0.68385214007782102</v>
      </c>
      <c r="EX692" s="1">
        <f>1+(Table1[[#This Row],[error_ratio_8]]-EN$2)</f>
        <v>1.1950718685831623</v>
      </c>
      <c r="EY692" s="1">
        <f>1+(Table1[[#This Row],[error_ratio_9]]-EO$2)</f>
        <v>0.91873141724479679</v>
      </c>
    </row>
    <row r="693" spans="1:155" x14ac:dyDescent="0.75">
      <c r="A693">
        <v>100</v>
      </c>
      <c r="B693">
        <v>10</v>
      </c>
      <c r="C693">
        <v>10</v>
      </c>
      <c r="D693">
        <v>100</v>
      </c>
      <c r="E693">
        <v>10</v>
      </c>
      <c r="F693">
        <v>10</v>
      </c>
      <c r="G693">
        <v>10</v>
      </c>
      <c r="H693">
        <v>10</v>
      </c>
      <c r="I693">
        <v>100</v>
      </c>
      <c r="J693">
        <v>10</v>
      </c>
      <c r="K693">
        <v>1006</v>
      </c>
      <c r="L693">
        <v>1139</v>
      </c>
      <c r="M693">
        <v>1002</v>
      </c>
      <c r="N693">
        <v>1074</v>
      </c>
      <c r="O693">
        <v>1007</v>
      </c>
      <c r="P693">
        <v>896</v>
      </c>
      <c r="Q693">
        <v>917</v>
      </c>
      <c r="R693">
        <v>965</v>
      </c>
      <c r="S693">
        <v>1049</v>
      </c>
      <c r="T693">
        <v>945</v>
      </c>
      <c r="U693">
        <v>980</v>
      </c>
      <c r="V693">
        <v>1135</v>
      </c>
      <c r="W693">
        <v>1032</v>
      </c>
      <c r="X693">
        <v>1010</v>
      </c>
      <c r="Y693">
        <v>982</v>
      </c>
      <c r="Z693">
        <v>892</v>
      </c>
      <c r="AA693">
        <v>958</v>
      </c>
      <c r="AB693">
        <v>1028</v>
      </c>
      <c r="AC693">
        <v>974</v>
      </c>
      <c r="AD693">
        <v>1009</v>
      </c>
      <c r="AE693">
        <v>974</v>
      </c>
      <c r="AF693">
        <v>1</v>
      </c>
      <c r="AG693">
        <v>0</v>
      </c>
      <c r="AH693">
        <v>1</v>
      </c>
      <c r="AI693">
        <v>0</v>
      </c>
      <c r="AJ693">
        <v>0</v>
      </c>
      <c r="AK693">
        <v>1</v>
      </c>
      <c r="AL693">
        <v>1</v>
      </c>
      <c r="AM693">
        <v>2</v>
      </c>
      <c r="AN693">
        <v>0</v>
      </c>
      <c r="AO693">
        <v>0</v>
      </c>
      <c r="AP693">
        <v>1123</v>
      </c>
      <c r="AQ693">
        <v>1</v>
      </c>
      <c r="AR693">
        <v>5</v>
      </c>
      <c r="AS693">
        <v>0</v>
      </c>
      <c r="AT693">
        <v>3</v>
      </c>
      <c r="AU693">
        <v>0</v>
      </c>
      <c r="AV693">
        <v>1</v>
      </c>
      <c r="AW693">
        <v>2</v>
      </c>
      <c r="AX693">
        <v>0</v>
      </c>
      <c r="AY693">
        <v>5</v>
      </c>
      <c r="AZ693">
        <v>0</v>
      </c>
      <c r="BA693">
        <v>972</v>
      </c>
      <c r="BB693">
        <v>27</v>
      </c>
      <c r="BC693">
        <v>1</v>
      </c>
      <c r="BD693">
        <v>2</v>
      </c>
      <c r="BE693">
        <v>0</v>
      </c>
      <c r="BF693">
        <v>5</v>
      </c>
      <c r="BG693">
        <v>20</v>
      </c>
      <c r="BH693">
        <v>0</v>
      </c>
      <c r="BI693">
        <v>0</v>
      </c>
      <c r="BJ693">
        <v>0</v>
      </c>
      <c r="BK693">
        <v>1</v>
      </c>
      <c r="BL693">
        <v>991</v>
      </c>
      <c r="BM693">
        <v>0</v>
      </c>
      <c r="BN693">
        <v>11</v>
      </c>
      <c r="BO693">
        <v>0</v>
      </c>
      <c r="BP693">
        <v>0</v>
      </c>
      <c r="BQ693">
        <v>7</v>
      </c>
      <c r="BR693">
        <v>0</v>
      </c>
      <c r="BS693">
        <v>4</v>
      </c>
      <c r="BT693">
        <v>3</v>
      </c>
      <c r="BU693">
        <v>3</v>
      </c>
      <c r="BV693">
        <v>0</v>
      </c>
      <c r="BW693">
        <v>960</v>
      </c>
      <c r="BX693">
        <v>0</v>
      </c>
      <c r="BY693">
        <v>7</v>
      </c>
      <c r="BZ693">
        <v>0</v>
      </c>
      <c r="CA693">
        <v>1</v>
      </c>
      <c r="CB693">
        <v>4</v>
      </c>
      <c r="CC693">
        <v>2</v>
      </c>
      <c r="CD693">
        <v>1</v>
      </c>
      <c r="CE693">
        <v>0</v>
      </c>
      <c r="CF693">
        <v>7</v>
      </c>
      <c r="CG693">
        <v>1</v>
      </c>
      <c r="CH693">
        <v>856</v>
      </c>
      <c r="CI693">
        <v>1</v>
      </c>
      <c r="CJ693">
        <v>0</v>
      </c>
      <c r="CK693">
        <v>21</v>
      </c>
      <c r="CL693">
        <v>3</v>
      </c>
      <c r="CM693">
        <v>13</v>
      </c>
      <c r="CN693">
        <v>5</v>
      </c>
      <c r="CO693">
        <v>3</v>
      </c>
      <c r="CP693">
        <v>2</v>
      </c>
      <c r="CQ693">
        <v>1</v>
      </c>
      <c r="CR693">
        <v>16</v>
      </c>
      <c r="CS693">
        <v>908</v>
      </c>
      <c r="CT693">
        <v>0</v>
      </c>
      <c r="CU693">
        <v>10</v>
      </c>
      <c r="CV693">
        <v>0</v>
      </c>
      <c r="CW693">
        <v>2</v>
      </c>
      <c r="CX693">
        <v>4</v>
      </c>
      <c r="CY693">
        <v>22</v>
      </c>
      <c r="CZ693">
        <v>34</v>
      </c>
      <c r="DA693">
        <v>7</v>
      </c>
      <c r="DB693">
        <v>0</v>
      </c>
      <c r="DC693">
        <v>0</v>
      </c>
      <c r="DD693">
        <v>951</v>
      </c>
      <c r="DE693">
        <v>3</v>
      </c>
      <c r="DF693">
        <v>5</v>
      </c>
      <c r="DG693">
        <v>0</v>
      </c>
      <c r="DH693">
        <v>0</v>
      </c>
      <c r="DI693">
        <v>0</v>
      </c>
      <c r="DJ693">
        <v>4</v>
      </c>
      <c r="DK693">
        <v>3</v>
      </c>
      <c r="DL693">
        <v>0</v>
      </c>
      <c r="DM693">
        <v>0</v>
      </c>
      <c r="DN693">
        <v>1</v>
      </c>
      <c r="DO693">
        <v>964</v>
      </c>
      <c r="DP693">
        <v>2</v>
      </c>
      <c r="DQ693">
        <v>6</v>
      </c>
      <c r="DR693">
        <v>2</v>
      </c>
      <c r="DS693">
        <v>0</v>
      </c>
      <c r="DT693">
        <v>3</v>
      </c>
      <c r="DU693">
        <v>34</v>
      </c>
      <c r="DV693">
        <v>8</v>
      </c>
      <c r="DW693">
        <v>0</v>
      </c>
      <c r="DX693">
        <v>6</v>
      </c>
      <c r="DY693">
        <v>19</v>
      </c>
      <c r="DZ693">
        <v>931</v>
      </c>
      <c r="EA693">
        <v>0.96299999999999997</v>
      </c>
      <c r="EB693">
        <v>0.96354392375034303</v>
      </c>
      <c r="EC693">
        <v>0.96289254520352796</v>
      </c>
      <c r="ED693">
        <v>0.96269950968034701</v>
      </c>
      <c r="EE693">
        <f>SUM(Table1[[#This Row],[ratio_0]:[ratio_9]])</f>
        <v>370</v>
      </c>
      <c r="EF693" s="1">
        <f>(Table1[[#This Row],[predicted_0]]-Table1[[#This Row],[actual_0]])/Table1[[#This Row],[actual_0]]</f>
        <v>2.6530612244897958E-2</v>
      </c>
      <c r="EG693" s="1">
        <f>(Table1[[#This Row],[predicted_1]]-Table1[[#This Row],[actual_1]])/Table1[[#This Row],[actual_1]]</f>
        <v>3.524229074889868E-3</v>
      </c>
      <c r="EH693" s="1">
        <f>(Table1[[#This Row],[predicted_2]]-Table1[[#This Row],[actual_2]])/Table1[[#This Row],[actual_2]]</f>
        <v>-2.9069767441860465E-2</v>
      </c>
      <c r="EI693" s="1">
        <f>(Table1[[#This Row],[predicted_3]]-Table1[[#This Row],[actual_3]])/Table1[[#This Row],[actual_3]]</f>
        <v>6.3366336633663367E-2</v>
      </c>
      <c r="EJ693" s="1">
        <f>(Table1[[#This Row],[predicted_4]]-Table1[[#This Row],[actual_4]])/Table1[[#This Row],[actual_4]]</f>
        <v>2.5458248472505093E-2</v>
      </c>
      <c r="EK693" s="1">
        <f>(Table1[[#This Row],[predicted_5]]-Table1[[#This Row],[actual_5]])/Table1[[#This Row],[actual_5]]</f>
        <v>4.4843049327354259E-3</v>
      </c>
      <c r="EL693" s="1">
        <f>(Table1[[#This Row],[predicted_6]]-Table1[[#This Row],[actual_6]])/Table1[[#This Row],[actual_6]]</f>
        <v>-4.2797494780793317E-2</v>
      </c>
      <c r="EM693" s="1">
        <f>(Table1[[#This Row],[predicted_7]]-Table1[[#This Row],[actual_7]])/Table1[[#This Row],[actual_7]]</f>
        <v>-6.1284046692607001E-2</v>
      </c>
      <c r="EN693" s="1">
        <f>(Table1[[#This Row],[predicted_8]]-Table1[[#This Row],[actual_8]])/Table1[[#This Row],[actual_8]]</f>
        <v>7.7002053388090352E-2</v>
      </c>
      <c r="EO693" s="1">
        <f>(Table1[[#This Row],[predicted_9]]-Table1[[#This Row],[actual_9]])/Table1[[#This Row],[actual_9]]</f>
        <v>-6.3429137760158572E-2</v>
      </c>
      <c r="EP693" s="1">
        <f>1+(Table1[[#This Row],[error_ratio_0]]-EF$2)</f>
        <v>1.0244897959183674</v>
      </c>
      <c r="EQ693" s="1">
        <f>1+(Table1[[#This Row],[error_ratio_1]]-EG$2)</f>
        <v>1.0017621145374449</v>
      </c>
      <c r="ER693" s="1">
        <f>1+(Table1[[#This Row],[error_ratio_2]]-EH$2)</f>
        <v>0.97577519379844957</v>
      </c>
      <c r="ES693" s="1">
        <f>1+(Table1[[#This Row],[error_ratio_3]]-EI$2)</f>
        <v>1.0534653465346535</v>
      </c>
      <c r="ET693" s="1">
        <f>1+(Table1[[#This Row],[error_ratio_4]]-EJ$2)</f>
        <v>1.0244399185336048</v>
      </c>
      <c r="EU693" s="1">
        <f>1+(Table1[[#This Row],[error_ratio_5]]-EK$2)</f>
        <v>1.0033632286995515</v>
      </c>
      <c r="EV693" s="1">
        <f>1+(Table1[[#This Row],[error_ratio_6]]-EL$2)</f>
        <v>0.9634655532359081</v>
      </c>
      <c r="EW693" s="1">
        <f>1+(Table1[[#This Row],[error_ratio_7]]-EM$2)</f>
        <v>0.9367704280155642</v>
      </c>
      <c r="EX693" s="1">
        <f>1+(Table1[[#This Row],[error_ratio_8]]-EN$2)</f>
        <v>1.0800821355236139</v>
      </c>
      <c r="EY693" s="1">
        <f>1+(Table1[[#This Row],[error_ratio_9]]-EO$2)</f>
        <v>0.94053518334985131</v>
      </c>
    </row>
    <row r="694" spans="1:155" x14ac:dyDescent="0.75">
      <c r="A694">
        <v>10</v>
      </c>
      <c r="B694">
        <v>10</v>
      </c>
      <c r="C694">
        <v>10</v>
      </c>
      <c r="D694">
        <v>100</v>
      </c>
      <c r="E694">
        <v>10</v>
      </c>
      <c r="F694">
        <v>10</v>
      </c>
      <c r="G694">
        <v>10</v>
      </c>
      <c r="H694">
        <v>10</v>
      </c>
      <c r="I694">
        <v>100</v>
      </c>
      <c r="J694">
        <v>10</v>
      </c>
      <c r="K694">
        <v>964</v>
      </c>
      <c r="L694">
        <v>1102</v>
      </c>
      <c r="M694">
        <v>1077</v>
      </c>
      <c r="N694">
        <v>1126</v>
      </c>
      <c r="O694">
        <v>933</v>
      </c>
      <c r="P694">
        <v>810</v>
      </c>
      <c r="Q694">
        <v>946</v>
      </c>
      <c r="R694">
        <v>969</v>
      </c>
      <c r="S694">
        <v>1044</v>
      </c>
      <c r="T694">
        <v>1029</v>
      </c>
      <c r="U694">
        <v>980</v>
      </c>
      <c r="V694">
        <v>1135</v>
      </c>
      <c r="W694">
        <v>1032</v>
      </c>
      <c r="X694">
        <v>1010</v>
      </c>
      <c r="Y694">
        <v>982</v>
      </c>
      <c r="Z694">
        <v>892</v>
      </c>
      <c r="AA694">
        <v>958</v>
      </c>
      <c r="AB694">
        <v>1028</v>
      </c>
      <c r="AC694">
        <v>974</v>
      </c>
      <c r="AD694">
        <v>1009</v>
      </c>
      <c r="AE694">
        <v>947</v>
      </c>
      <c r="AF694">
        <v>0</v>
      </c>
      <c r="AG694">
        <v>9</v>
      </c>
      <c r="AH694">
        <v>1</v>
      </c>
      <c r="AI694">
        <v>0</v>
      </c>
      <c r="AJ694">
        <v>1</v>
      </c>
      <c r="AK694">
        <v>7</v>
      </c>
      <c r="AL694">
        <v>1</v>
      </c>
      <c r="AM694">
        <v>14</v>
      </c>
      <c r="AN694">
        <v>0</v>
      </c>
      <c r="AO694">
        <v>0</v>
      </c>
      <c r="AP694">
        <v>1098</v>
      </c>
      <c r="AQ694">
        <v>2</v>
      </c>
      <c r="AR694">
        <v>11</v>
      </c>
      <c r="AS694">
        <v>0</v>
      </c>
      <c r="AT694">
        <v>0</v>
      </c>
      <c r="AU694">
        <v>1</v>
      </c>
      <c r="AV694">
        <v>1</v>
      </c>
      <c r="AW694">
        <v>21</v>
      </c>
      <c r="AX694">
        <v>1</v>
      </c>
      <c r="AY694">
        <v>2</v>
      </c>
      <c r="AZ694">
        <v>0</v>
      </c>
      <c r="BA694">
        <v>1007</v>
      </c>
      <c r="BB694">
        <v>8</v>
      </c>
      <c r="BC694">
        <v>0</v>
      </c>
      <c r="BD694">
        <v>0</v>
      </c>
      <c r="BE694">
        <v>1</v>
      </c>
      <c r="BF694">
        <v>4</v>
      </c>
      <c r="BG694">
        <v>10</v>
      </c>
      <c r="BH694">
        <v>0</v>
      </c>
      <c r="BI694">
        <v>1</v>
      </c>
      <c r="BJ694">
        <v>0</v>
      </c>
      <c r="BK694">
        <v>5</v>
      </c>
      <c r="BL694">
        <v>1000</v>
      </c>
      <c r="BM694">
        <v>0</v>
      </c>
      <c r="BN694">
        <v>1</v>
      </c>
      <c r="BO694">
        <v>0</v>
      </c>
      <c r="BP694">
        <v>0</v>
      </c>
      <c r="BQ694">
        <v>2</v>
      </c>
      <c r="BR694">
        <v>1</v>
      </c>
      <c r="BS694">
        <v>0</v>
      </c>
      <c r="BT694">
        <v>0</v>
      </c>
      <c r="BU694">
        <v>21</v>
      </c>
      <c r="BV694">
        <v>0</v>
      </c>
      <c r="BW694">
        <v>922</v>
      </c>
      <c r="BX694">
        <v>0</v>
      </c>
      <c r="BY694">
        <v>6</v>
      </c>
      <c r="BZ694">
        <v>1</v>
      </c>
      <c r="CA694">
        <v>8</v>
      </c>
      <c r="CB694">
        <v>24</v>
      </c>
      <c r="CC694">
        <v>2</v>
      </c>
      <c r="CD694">
        <v>0</v>
      </c>
      <c r="CE694">
        <v>2</v>
      </c>
      <c r="CF694">
        <v>62</v>
      </c>
      <c r="CG694">
        <v>0</v>
      </c>
      <c r="CH694">
        <v>805</v>
      </c>
      <c r="CI694">
        <v>3</v>
      </c>
      <c r="CJ694">
        <v>2</v>
      </c>
      <c r="CK694">
        <v>8</v>
      </c>
      <c r="CL694">
        <v>8</v>
      </c>
      <c r="CM694">
        <v>7</v>
      </c>
      <c r="CN694">
        <v>1</v>
      </c>
      <c r="CO694">
        <v>6</v>
      </c>
      <c r="CP694">
        <v>1</v>
      </c>
      <c r="CQ694">
        <v>2</v>
      </c>
      <c r="CR694">
        <v>1</v>
      </c>
      <c r="CS694">
        <v>928</v>
      </c>
      <c r="CT694">
        <v>0</v>
      </c>
      <c r="CU694">
        <v>12</v>
      </c>
      <c r="CV694">
        <v>0</v>
      </c>
      <c r="CW694">
        <v>1</v>
      </c>
      <c r="CX694">
        <v>3</v>
      </c>
      <c r="CY694">
        <v>23</v>
      </c>
      <c r="CZ694">
        <v>23</v>
      </c>
      <c r="DA694">
        <v>1</v>
      </c>
      <c r="DB694">
        <v>0</v>
      </c>
      <c r="DC694">
        <v>0</v>
      </c>
      <c r="DD694">
        <v>954</v>
      </c>
      <c r="DE694">
        <v>4</v>
      </c>
      <c r="DF694">
        <v>19</v>
      </c>
      <c r="DG694">
        <v>0</v>
      </c>
      <c r="DH694">
        <v>0</v>
      </c>
      <c r="DI694">
        <v>1</v>
      </c>
      <c r="DJ694">
        <v>5</v>
      </c>
      <c r="DK694">
        <v>0</v>
      </c>
      <c r="DL694">
        <v>0</v>
      </c>
      <c r="DM694">
        <v>0</v>
      </c>
      <c r="DN694">
        <v>0</v>
      </c>
      <c r="DO694">
        <v>956</v>
      </c>
      <c r="DP694">
        <v>12</v>
      </c>
      <c r="DQ694">
        <v>4</v>
      </c>
      <c r="DR694">
        <v>0</v>
      </c>
      <c r="DS694">
        <v>1</v>
      </c>
      <c r="DT694">
        <v>15</v>
      </c>
      <c r="DU694">
        <v>8</v>
      </c>
      <c r="DV694">
        <v>2</v>
      </c>
      <c r="DW694">
        <v>0</v>
      </c>
      <c r="DX694">
        <v>6</v>
      </c>
      <c r="DY694">
        <v>9</v>
      </c>
      <c r="DZ694">
        <v>964</v>
      </c>
      <c r="EA694">
        <v>0.95809999999999995</v>
      </c>
      <c r="EB694">
        <v>0.96019100539125202</v>
      </c>
      <c r="EC694">
        <v>0.95745894055660197</v>
      </c>
      <c r="ED694">
        <v>0.95798278144702897</v>
      </c>
      <c r="EE694">
        <f>SUM(Table1[[#This Row],[ratio_0]:[ratio_9]])</f>
        <v>280</v>
      </c>
      <c r="EF694" s="1">
        <f>(Table1[[#This Row],[predicted_0]]-Table1[[#This Row],[actual_0]])/Table1[[#This Row],[actual_0]]</f>
        <v>-1.6326530612244899E-2</v>
      </c>
      <c r="EG694" s="1">
        <f>(Table1[[#This Row],[predicted_1]]-Table1[[#This Row],[actual_1]])/Table1[[#This Row],[actual_1]]</f>
        <v>-2.9074889867841409E-2</v>
      </c>
      <c r="EH694" s="1">
        <f>(Table1[[#This Row],[predicted_2]]-Table1[[#This Row],[actual_2]])/Table1[[#This Row],[actual_2]]</f>
        <v>4.3604651162790699E-2</v>
      </c>
      <c r="EI694" s="1">
        <f>(Table1[[#This Row],[predicted_3]]-Table1[[#This Row],[actual_3]])/Table1[[#This Row],[actual_3]]</f>
        <v>0.11485148514851486</v>
      </c>
      <c r="EJ694" s="1">
        <f>(Table1[[#This Row],[predicted_4]]-Table1[[#This Row],[actual_4]])/Table1[[#This Row],[actual_4]]</f>
        <v>-4.9898167006109981E-2</v>
      </c>
      <c r="EK694" s="1">
        <f>(Table1[[#This Row],[predicted_5]]-Table1[[#This Row],[actual_5]])/Table1[[#This Row],[actual_5]]</f>
        <v>-9.1928251121076235E-2</v>
      </c>
      <c r="EL694" s="1">
        <f>(Table1[[#This Row],[predicted_6]]-Table1[[#This Row],[actual_6]])/Table1[[#This Row],[actual_6]]</f>
        <v>-1.2526096033402923E-2</v>
      </c>
      <c r="EM694" s="1">
        <f>(Table1[[#This Row],[predicted_7]]-Table1[[#This Row],[actual_7]])/Table1[[#This Row],[actual_7]]</f>
        <v>-5.7392996108949414E-2</v>
      </c>
      <c r="EN694" s="1">
        <f>(Table1[[#This Row],[predicted_8]]-Table1[[#This Row],[actual_8]])/Table1[[#This Row],[actual_8]]</f>
        <v>7.1868583162217656E-2</v>
      </c>
      <c r="EO694" s="1">
        <f>(Table1[[#This Row],[predicted_9]]-Table1[[#This Row],[actual_9]])/Table1[[#This Row],[actual_9]]</f>
        <v>1.9821605550049554E-2</v>
      </c>
      <c r="EP694" s="1">
        <f>1+(Table1[[#This Row],[error_ratio_0]]-EF$2)</f>
        <v>0.98163265306122449</v>
      </c>
      <c r="EQ694" s="1">
        <f>1+(Table1[[#This Row],[error_ratio_1]]-EG$2)</f>
        <v>0.96916299559471364</v>
      </c>
      <c r="ER694" s="1">
        <f>1+(Table1[[#This Row],[error_ratio_2]]-EH$2)</f>
        <v>1.0484496124031009</v>
      </c>
      <c r="ES694" s="1">
        <f>1+(Table1[[#This Row],[error_ratio_3]]-EI$2)</f>
        <v>1.104950495049505</v>
      </c>
      <c r="ET694" s="1">
        <f>1+(Table1[[#This Row],[error_ratio_4]]-EJ$2)</f>
        <v>0.94908350305498979</v>
      </c>
      <c r="EU694" s="1">
        <f>1+(Table1[[#This Row],[error_ratio_5]]-EK$2)</f>
        <v>0.90695067264573992</v>
      </c>
      <c r="EV694" s="1">
        <f>1+(Table1[[#This Row],[error_ratio_6]]-EL$2)</f>
        <v>0.99373695198329859</v>
      </c>
      <c r="EW694" s="1">
        <f>1+(Table1[[#This Row],[error_ratio_7]]-EM$2)</f>
        <v>0.94066147859922178</v>
      </c>
      <c r="EX694" s="1">
        <f>1+(Table1[[#This Row],[error_ratio_8]]-EN$2)</f>
        <v>1.0749486652977414</v>
      </c>
      <c r="EY694" s="1">
        <f>1+(Table1[[#This Row],[error_ratio_9]]-EO$2)</f>
        <v>1.0237859266600595</v>
      </c>
    </row>
    <row r="695" spans="1:155" x14ac:dyDescent="0.75">
      <c r="A695">
        <v>100</v>
      </c>
      <c r="B695">
        <v>100</v>
      </c>
      <c r="C695">
        <v>100</v>
      </c>
      <c r="D695">
        <v>10</v>
      </c>
      <c r="E695">
        <v>10</v>
      </c>
      <c r="F695">
        <v>10</v>
      </c>
      <c r="G695">
        <v>10</v>
      </c>
      <c r="H695">
        <v>10</v>
      </c>
      <c r="I695">
        <v>100</v>
      </c>
      <c r="J695">
        <v>10</v>
      </c>
      <c r="K695">
        <v>1064</v>
      </c>
      <c r="L695">
        <v>1152</v>
      </c>
      <c r="M695">
        <v>1124</v>
      </c>
      <c r="N695">
        <v>1106</v>
      </c>
      <c r="O695">
        <v>1073</v>
      </c>
      <c r="P695">
        <v>734</v>
      </c>
      <c r="Q695">
        <v>908</v>
      </c>
      <c r="R695">
        <v>934</v>
      </c>
      <c r="S695">
        <v>1041</v>
      </c>
      <c r="T695">
        <v>864</v>
      </c>
      <c r="U695">
        <v>980</v>
      </c>
      <c r="V695">
        <v>1135</v>
      </c>
      <c r="W695">
        <v>1032</v>
      </c>
      <c r="X695">
        <v>1010</v>
      </c>
      <c r="Y695">
        <v>982</v>
      </c>
      <c r="Z695">
        <v>892</v>
      </c>
      <c r="AA695">
        <v>958</v>
      </c>
      <c r="AB695">
        <v>1028</v>
      </c>
      <c r="AC695">
        <v>974</v>
      </c>
      <c r="AD695">
        <v>1009</v>
      </c>
      <c r="AE695">
        <v>977</v>
      </c>
      <c r="AF695">
        <v>0</v>
      </c>
      <c r="AG695">
        <v>0</v>
      </c>
      <c r="AH695">
        <v>0</v>
      </c>
      <c r="AI695">
        <v>0</v>
      </c>
      <c r="AJ695">
        <v>0</v>
      </c>
      <c r="AK695">
        <v>0</v>
      </c>
      <c r="AL695">
        <v>1</v>
      </c>
      <c r="AM695">
        <v>2</v>
      </c>
      <c r="AN695">
        <v>0</v>
      </c>
      <c r="AO695">
        <v>0</v>
      </c>
      <c r="AP695">
        <v>1126</v>
      </c>
      <c r="AQ695">
        <v>1</v>
      </c>
      <c r="AR695">
        <v>1</v>
      </c>
      <c r="AS695">
        <v>0</v>
      </c>
      <c r="AT695">
        <v>0</v>
      </c>
      <c r="AU695">
        <v>3</v>
      </c>
      <c r="AV695">
        <v>0</v>
      </c>
      <c r="AW695">
        <v>4</v>
      </c>
      <c r="AX695">
        <v>0</v>
      </c>
      <c r="AY695">
        <v>3</v>
      </c>
      <c r="AZ695">
        <v>1</v>
      </c>
      <c r="BA695">
        <v>1023</v>
      </c>
      <c r="BB695">
        <v>0</v>
      </c>
      <c r="BC695">
        <v>0</v>
      </c>
      <c r="BD695">
        <v>0</v>
      </c>
      <c r="BE695">
        <v>0</v>
      </c>
      <c r="BF695">
        <v>0</v>
      </c>
      <c r="BG695">
        <v>5</v>
      </c>
      <c r="BH695">
        <v>0</v>
      </c>
      <c r="BI695">
        <v>11</v>
      </c>
      <c r="BJ695">
        <v>0</v>
      </c>
      <c r="BK695">
        <v>12</v>
      </c>
      <c r="BL695">
        <v>977</v>
      </c>
      <c r="BM695">
        <v>1</v>
      </c>
      <c r="BN695">
        <v>3</v>
      </c>
      <c r="BO695">
        <v>1</v>
      </c>
      <c r="BP695">
        <v>3</v>
      </c>
      <c r="BQ695">
        <v>2</v>
      </c>
      <c r="BR695">
        <v>0</v>
      </c>
      <c r="BS695">
        <v>13</v>
      </c>
      <c r="BT695">
        <v>1</v>
      </c>
      <c r="BU695">
        <v>8</v>
      </c>
      <c r="BV695">
        <v>0</v>
      </c>
      <c r="BW695">
        <v>946</v>
      </c>
      <c r="BX695">
        <v>0</v>
      </c>
      <c r="BY695">
        <v>1</v>
      </c>
      <c r="BZ695">
        <v>0</v>
      </c>
      <c r="CA695">
        <v>11</v>
      </c>
      <c r="CB695">
        <v>2</v>
      </c>
      <c r="CC695">
        <v>20</v>
      </c>
      <c r="CD695">
        <v>0</v>
      </c>
      <c r="CE695">
        <v>2</v>
      </c>
      <c r="CF695">
        <v>109</v>
      </c>
      <c r="CG695">
        <v>3</v>
      </c>
      <c r="CH695">
        <v>725</v>
      </c>
      <c r="CI695">
        <v>3</v>
      </c>
      <c r="CJ695">
        <v>1</v>
      </c>
      <c r="CK695">
        <v>28</v>
      </c>
      <c r="CL695">
        <v>1</v>
      </c>
      <c r="CM695">
        <v>23</v>
      </c>
      <c r="CN695">
        <v>3</v>
      </c>
      <c r="CO695">
        <v>1</v>
      </c>
      <c r="CP695">
        <v>0</v>
      </c>
      <c r="CQ695">
        <v>17</v>
      </c>
      <c r="CR695">
        <v>4</v>
      </c>
      <c r="CS695">
        <v>900</v>
      </c>
      <c r="CT695">
        <v>0</v>
      </c>
      <c r="CU695">
        <v>10</v>
      </c>
      <c r="CV695">
        <v>0</v>
      </c>
      <c r="CW695">
        <v>2</v>
      </c>
      <c r="CX695">
        <v>18</v>
      </c>
      <c r="CY695">
        <v>65</v>
      </c>
      <c r="CZ695">
        <v>1</v>
      </c>
      <c r="DA695">
        <v>7</v>
      </c>
      <c r="DB695">
        <v>0</v>
      </c>
      <c r="DC695">
        <v>0</v>
      </c>
      <c r="DD695">
        <v>921</v>
      </c>
      <c r="DE695">
        <v>8</v>
      </c>
      <c r="DF695">
        <v>6</v>
      </c>
      <c r="DG695">
        <v>6</v>
      </c>
      <c r="DH695">
        <v>0</v>
      </c>
      <c r="DI695">
        <v>7</v>
      </c>
      <c r="DJ695">
        <v>4</v>
      </c>
      <c r="DK695">
        <v>6</v>
      </c>
      <c r="DL695">
        <v>0</v>
      </c>
      <c r="DM695">
        <v>0</v>
      </c>
      <c r="DN695">
        <v>1</v>
      </c>
      <c r="DO695">
        <v>947</v>
      </c>
      <c r="DP695">
        <v>3</v>
      </c>
      <c r="DQ695">
        <v>9</v>
      </c>
      <c r="DR695">
        <v>3</v>
      </c>
      <c r="DS695">
        <v>5</v>
      </c>
      <c r="DT695">
        <v>14</v>
      </c>
      <c r="DU695">
        <v>93</v>
      </c>
      <c r="DV695">
        <v>2</v>
      </c>
      <c r="DW695">
        <v>0</v>
      </c>
      <c r="DX695">
        <v>7</v>
      </c>
      <c r="DY695">
        <v>24</v>
      </c>
      <c r="DZ695">
        <v>852</v>
      </c>
      <c r="EA695">
        <v>0.93940000000000001</v>
      </c>
      <c r="EB695">
        <v>0.94316322578445599</v>
      </c>
      <c r="EC695">
        <v>0.93757867103950698</v>
      </c>
      <c r="ED695">
        <v>0.937871396516468</v>
      </c>
      <c r="EE695">
        <f>SUM(Table1[[#This Row],[ratio_0]:[ratio_9]])</f>
        <v>460</v>
      </c>
      <c r="EF695" s="1">
        <f>(Table1[[#This Row],[predicted_0]]-Table1[[#This Row],[actual_0]])/Table1[[#This Row],[actual_0]]</f>
        <v>8.5714285714285715E-2</v>
      </c>
      <c r="EG695" s="1">
        <f>(Table1[[#This Row],[predicted_1]]-Table1[[#This Row],[actual_1]])/Table1[[#This Row],[actual_1]]</f>
        <v>1.4977973568281937E-2</v>
      </c>
      <c r="EH695" s="1">
        <f>(Table1[[#This Row],[predicted_2]]-Table1[[#This Row],[actual_2]])/Table1[[#This Row],[actual_2]]</f>
        <v>8.9147286821705432E-2</v>
      </c>
      <c r="EI695" s="1">
        <f>(Table1[[#This Row],[predicted_3]]-Table1[[#This Row],[actual_3]])/Table1[[#This Row],[actual_3]]</f>
        <v>9.5049504950495051E-2</v>
      </c>
      <c r="EJ695" s="1">
        <f>(Table1[[#This Row],[predicted_4]]-Table1[[#This Row],[actual_4]])/Table1[[#This Row],[actual_4]]</f>
        <v>9.2668024439918534E-2</v>
      </c>
      <c r="EK695" s="1">
        <f>(Table1[[#This Row],[predicted_5]]-Table1[[#This Row],[actual_5]])/Table1[[#This Row],[actual_5]]</f>
        <v>-0.17713004484304934</v>
      </c>
      <c r="EL695" s="1">
        <f>(Table1[[#This Row],[predicted_6]]-Table1[[#This Row],[actual_6]])/Table1[[#This Row],[actual_6]]</f>
        <v>-5.2192066805845511E-2</v>
      </c>
      <c r="EM695" s="1">
        <f>(Table1[[#This Row],[predicted_7]]-Table1[[#This Row],[actual_7]])/Table1[[#This Row],[actual_7]]</f>
        <v>-9.1439688715953302E-2</v>
      </c>
      <c r="EN695" s="1">
        <f>(Table1[[#This Row],[predicted_8]]-Table1[[#This Row],[actual_8]])/Table1[[#This Row],[actual_8]]</f>
        <v>6.8788501026694052E-2</v>
      </c>
      <c r="EO695" s="1">
        <f>(Table1[[#This Row],[predicted_9]]-Table1[[#This Row],[actual_9]])/Table1[[#This Row],[actual_9]]</f>
        <v>-0.14370664023785926</v>
      </c>
      <c r="EP695" s="1">
        <f>1+(Table1[[#This Row],[error_ratio_0]]-EF$2)</f>
        <v>1.083673469387755</v>
      </c>
      <c r="EQ695" s="1">
        <f>1+(Table1[[#This Row],[error_ratio_1]]-EG$2)</f>
        <v>1.0132158590308371</v>
      </c>
      <c r="ER695" s="1">
        <f>1+(Table1[[#This Row],[error_ratio_2]]-EH$2)</f>
        <v>1.0939922480620154</v>
      </c>
      <c r="ES695" s="1">
        <f>1+(Table1[[#This Row],[error_ratio_3]]-EI$2)</f>
        <v>1.0851485148514852</v>
      </c>
      <c r="ET695" s="1">
        <f>1+(Table1[[#This Row],[error_ratio_4]]-EJ$2)</f>
        <v>1.0916496945010183</v>
      </c>
      <c r="EU695" s="1">
        <f>1+(Table1[[#This Row],[error_ratio_5]]-EK$2)</f>
        <v>0.8217488789237668</v>
      </c>
      <c r="EV695" s="1">
        <f>1+(Table1[[#This Row],[error_ratio_6]]-EL$2)</f>
        <v>0.95407098121085598</v>
      </c>
      <c r="EW695" s="1">
        <f>1+(Table1[[#This Row],[error_ratio_7]]-EM$2)</f>
        <v>0.9066147859922179</v>
      </c>
      <c r="EX695" s="1">
        <f>1+(Table1[[#This Row],[error_ratio_8]]-EN$2)</f>
        <v>1.0718685831622177</v>
      </c>
      <c r="EY695" s="1">
        <f>1+(Table1[[#This Row],[error_ratio_9]]-EO$2)</f>
        <v>0.86025768087215071</v>
      </c>
    </row>
    <row r="696" spans="1:155" x14ac:dyDescent="0.75">
      <c r="A696">
        <v>100</v>
      </c>
      <c r="B696">
        <v>10</v>
      </c>
      <c r="C696">
        <v>100</v>
      </c>
      <c r="D696">
        <v>10</v>
      </c>
      <c r="E696">
        <v>10</v>
      </c>
      <c r="F696">
        <v>10</v>
      </c>
      <c r="G696">
        <v>10</v>
      </c>
      <c r="H696">
        <v>10</v>
      </c>
      <c r="I696">
        <v>100</v>
      </c>
      <c r="J696">
        <v>10</v>
      </c>
      <c r="K696">
        <v>10000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980</v>
      </c>
      <c r="V696">
        <v>1135</v>
      </c>
      <c r="W696">
        <v>1032</v>
      </c>
      <c r="X696">
        <v>1010</v>
      </c>
      <c r="Y696">
        <v>982</v>
      </c>
      <c r="Z696">
        <v>892</v>
      </c>
      <c r="AA696">
        <v>958</v>
      </c>
      <c r="AB696">
        <v>1028</v>
      </c>
      <c r="AC696">
        <v>974</v>
      </c>
      <c r="AD696">
        <v>1009</v>
      </c>
      <c r="AE696">
        <v>980</v>
      </c>
      <c r="AF696">
        <v>0</v>
      </c>
      <c r="AG696">
        <v>0</v>
      </c>
      <c r="AH696">
        <v>0</v>
      </c>
      <c r="AI696">
        <v>0</v>
      </c>
      <c r="AJ696">
        <v>0</v>
      </c>
      <c r="AK696">
        <v>0</v>
      </c>
      <c r="AL696">
        <v>0</v>
      </c>
      <c r="AM696">
        <v>0</v>
      </c>
      <c r="AN696">
        <v>0</v>
      </c>
      <c r="AO696">
        <v>1135</v>
      </c>
      <c r="AP696">
        <v>0</v>
      </c>
      <c r="AQ696">
        <v>0</v>
      </c>
      <c r="AR696">
        <v>0</v>
      </c>
      <c r="AS696">
        <v>0</v>
      </c>
      <c r="AT696">
        <v>0</v>
      </c>
      <c r="AU696">
        <v>0</v>
      </c>
      <c r="AV696">
        <v>0</v>
      </c>
      <c r="AW696">
        <v>0</v>
      </c>
      <c r="AX696">
        <v>0</v>
      </c>
      <c r="AY696">
        <v>1032</v>
      </c>
      <c r="AZ696">
        <v>0</v>
      </c>
      <c r="BA696">
        <v>0</v>
      </c>
      <c r="BB696">
        <v>0</v>
      </c>
      <c r="BC696">
        <v>0</v>
      </c>
      <c r="BD696">
        <v>0</v>
      </c>
      <c r="BE696">
        <v>0</v>
      </c>
      <c r="BF696">
        <v>0</v>
      </c>
      <c r="BG696">
        <v>0</v>
      </c>
      <c r="BH696">
        <v>0</v>
      </c>
      <c r="BI696">
        <v>1010</v>
      </c>
      <c r="BJ696">
        <v>0</v>
      </c>
      <c r="BK696">
        <v>0</v>
      </c>
      <c r="BL696">
        <v>0</v>
      </c>
      <c r="BM696">
        <v>0</v>
      </c>
      <c r="BN696">
        <v>0</v>
      </c>
      <c r="BO696">
        <v>0</v>
      </c>
      <c r="BP696">
        <v>0</v>
      </c>
      <c r="BQ696">
        <v>0</v>
      </c>
      <c r="BR696">
        <v>0</v>
      </c>
      <c r="BS696">
        <v>982</v>
      </c>
      <c r="BT696">
        <v>0</v>
      </c>
      <c r="BU696">
        <v>0</v>
      </c>
      <c r="BV696">
        <v>0</v>
      </c>
      <c r="BW696">
        <v>0</v>
      </c>
      <c r="BX696">
        <v>0</v>
      </c>
      <c r="BY696">
        <v>0</v>
      </c>
      <c r="BZ696">
        <v>0</v>
      </c>
      <c r="CA696">
        <v>0</v>
      </c>
      <c r="CB696">
        <v>0</v>
      </c>
      <c r="CC696">
        <v>892</v>
      </c>
      <c r="CD696">
        <v>0</v>
      </c>
      <c r="CE696">
        <v>0</v>
      </c>
      <c r="CF696">
        <v>0</v>
      </c>
      <c r="CG696">
        <v>0</v>
      </c>
      <c r="CH696">
        <v>0</v>
      </c>
      <c r="CI696">
        <v>0</v>
      </c>
      <c r="CJ696">
        <v>0</v>
      </c>
      <c r="CK696">
        <v>0</v>
      </c>
      <c r="CL696">
        <v>0</v>
      </c>
      <c r="CM696">
        <v>958</v>
      </c>
      <c r="CN696">
        <v>0</v>
      </c>
      <c r="CO696">
        <v>0</v>
      </c>
      <c r="CP696">
        <v>0</v>
      </c>
      <c r="CQ696">
        <v>0</v>
      </c>
      <c r="CR696">
        <v>0</v>
      </c>
      <c r="CS696">
        <v>0</v>
      </c>
      <c r="CT696">
        <v>0</v>
      </c>
      <c r="CU696">
        <v>0</v>
      </c>
      <c r="CV696">
        <v>0</v>
      </c>
      <c r="CW696">
        <v>1028</v>
      </c>
      <c r="CX696">
        <v>0</v>
      </c>
      <c r="CY696">
        <v>0</v>
      </c>
      <c r="CZ696">
        <v>0</v>
      </c>
      <c r="DA696">
        <v>0</v>
      </c>
      <c r="DB696">
        <v>0</v>
      </c>
      <c r="DC696">
        <v>0</v>
      </c>
      <c r="DD696">
        <v>0</v>
      </c>
      <c r="DE696">
        <v>0</v>
      </c>
      <c r="DF696">
        <v>0</v>
      </c>
      <c r="DG696">
        <v>974</v>
      </c>
      <c r="DH696">
        <v>0</v>
      </c>
      <c r="DI696">
        <v>0</v>
      </c>
      <c r="DJ696">
        <v>0</v>
      </c>
      <c r="DK696">
        <v>0</v>
      </c>
      <c r="DL696">
        <v>0</v>
      </c>
      <c r="DM696">
        <v>0</v>
      </c>
      <c r="DN696">
        <v>0</v>
      </c>
      <c r="DO696">
        <v>0</v>
      </c>
      <c r="DP696">
        <v>0</v>
      </c>
      <c r="DQ696">
        <v>1009</v>
      </c>
      <c r="DR696">
        <v>0</v>
      </c>
      <c r="DS696">
        <v>0</v>
      </c>
      <c r="DT696">
        <v>0</v>
      </c>
      <c r="DU696">
        <v>0</v>
      </c>
      <c r="DV696">
        <v>0</v>
      </c>
      <c r="DW696">
        <v>0</v>
      </c>
      <c r="DX696">
        <v>0</v>
      </c>
      <c r="DY696">
        <v>0</v>
      </c>
      <c r="DZ696">
        <v>0</v>
      </c>
      <c r="EA696">
        <v>9.8000000000000004E-2</v>
      </c>
      <c r="EB696">
        <v>9.8000000000000004E-2</v>
      </c>
      <c r="EC696">
        <v>0.1</v>
      </c>
      <c r="ED696">
        <v>0.178506375227686</v>
      </c>
      <c r="EE696">
        <f>SUM(Table1[[#This Row],[ratio_0]:[ratio_9]])</f>
        <v>370</v>
      </c>
      <c r="EF696" s="1">
        <f>(Table1[[#This Row],[predicted_0]]-Table1[[#This Row],[actual_0]])/Table1[[#This Row],[actual_0]]</f>
        <v>9.204081632653061</v>
      </c>
      <c r="EG696" s="1">
        <f>(Table1[[#This Row],[predicted_1]]-Table1[[#This Row],[actual_1]])/Table1[[#This Row],[actual_1]]</f>
        <v>-1</v>
      </c>
      <c r="EH696" s="1">
        <f>(Table1[[#This Row],[predicted_2]]-Table1[[#This Row],[actual_2]])/Table1[[#This Row],[actual_2]]</f>
        <v>-1</v>
      </c>
      <c r="EI696" s="1">
        <f>(Table1[[#This Row],[predicted_3]]-Table1[[#This Row],[actual_3]])/Table1[[#This Row],[actual_3]]</f>
        <v>-1</v>
      </c>
      <c r="EJ696" s="1">
        <f>(Table1[[#This Row],[predicted_4]]-Table1[[#This Row],[actual_4]])/Table1[[#This Row],[actual_4]]</f>
        <v>-1</v>
      </c>
      <c r="EK696" s="1">
        <f>(Table1[[#This Row],[predicted_5]]-Table1[[#This Row],[actual_5]])/Table1[[#This Row],[actual_5]]</f>
        <v>-1</v>
      </c>
      <c r="EL696" s="1">
        <f>(Table1[[#This Row],[predicted_6]]-Table1[[#This Row],[actual_6]])/Table1[[#This Row],[actual_6]]</f>
        <v>-1</v>
      </c>
      <c r="EM696" s="1">
        <f>(Table1[[#This Row],[predicted_7]]-Table1[[#This Row],[actual_7]])/Table1[[#This Row],[actual_7]]</f>
        <v>-1</v>
      </c>
      <c r="EN696" s="1">
        <f>(Table1[[#This Row],[predicted_8]]-Table1[[#This Row],[actual_8]])/Table1[[#This Row],[actual_8]]</f>
        <v>-1</v>
      </c>
      <c r="EO696" s="1">
        <f>(Table1[[#This Row],[predicted_9]]-Table1[[#This Row],[actual_9]])/Table1[[#This Row],[actual_9]]</f>
        <v>-1</v>
      </c>
      <c r="EP696" s="1">
        <f>1+(Table1[[#This Row],[error_ratio_0]]-EF$2)</f>
        <v>10.20204081632653</v>
      </c>
      <c r="EQ696" s="1">
        <f>1+(Table1[[#This Row],[error_ratio_1]]-EG$2)</f>
        <v>-1.7621145374449032E-3</v>
      </c>
      <c r="ER696" s="1">
        <f>1+(Table1[[#This Row],[error_ratio_2]]-EH$2)</f>
        <v>4.8449612403100861E-3</v>
      </c>
      <c r="ES696" s="1">
        <f>1+(Table1[[#This Row],[error_ratio_3]]-EI$2)</f>
        <v>-9.9009900990099098E-3</v>
      </c>
      <c r="ET696" s="1">
        <f>1+(Table1[[#This Row],[error_ratio_4]]-EJ$2)</f>
        <v>-1.0183299389001643E-3</v>
      </c>
      <c r="EU696" s="1">
        <f>1+(Table1[[#This Row],[error_ratio_5]]-EK$2)</f>
        <v>-1.1210762331839152E-3</v>
      </c>
      <c r="EV696" s="1">
        <f>1+(Table1[[#This Row],[error_ratio_6]]-EL$2)</f>
        <v>6.2630480167014113E-3</v>
      </c>
      <c r="EW696" s="1">
        <f>1+(Table1[[#This Row],[error_ratio_7]]-EM$2)</f>
        <v>-1.9455252918287869E-3</v>
      </c>
      <c r="EX696" s="1">
        <f>1+(Table1[[#This Row],[error_ratio_8]]-EN$2)</f>
        <v>3.0800821355235763E-3</v>
      </c>
      <c r="EY696" s="1">
        <f>1+(Table1[[#This Row],[error_ratio_9]]-EO$2)</f>
        <v>3.964321110009883E-3</v>
      </c>
    </row>
    <row r="697" spans="1:155" x14ac:dyDescent="0.75">
      <c r="A697">
        <v>10</v>
      </c>
      <c r="B697">
        <v>10</v>
      </c>
      <c r="C697">
        <v>100</v>
      </c>
      <c r="D697">
        <v>10</v>
      </c>
      <c r="E697">
        <v>10</v>
      </c>
      <c r="F697">
        <v>10</v>
      </c>
      <c r="G697">
        <v>10</v>
      </c>
      <c r="H697">
        <v>10</v>
      </c>
      <c r="I697">
        <v>100</v>
      </c>
      <c r="J697">
        <v>10</v>
      </c>
      <c r="K697">
        <v>948</v>
      </c>
      <c r="L697">
        <v>1099</v>
      </c>
      <c r="M697">
        <v>1147</v>
      </c>
      <c r="N697">
        <v>945</v>
      </c>
      <c r="O697">
        <v>739</v>
      </c>
      <c r="P697">
        <v>824</v>
      </c>
      <c r="Q697">
        <v>904</v>
      </c>
      <c r="R697">
        <v>993</v>
      </c>
      <c r="S697">
        <v>1176</v>
      </c>
      <c r="T697">
        <v>1225</v>
      </c>
      <c r="U697">
        <v>980</v>
      </c>
      <c r="V697">
        <v>1135</v>
      </c>
      <c r="W697">
        <v>1032</v>
      </c>
      <c r="X697">
        <v>1010</v>
      </c>
      <c r="Y697">
        <v>982</v>
      </c>
      <c r="Z697">
        <v>892</v>
      </c>
      <c r="AA697">
        <v>958</v>
      </c>
      <c r="AB697">
        <v>1028</v>
      </c>
      <c r="AC697">
        <v>974</v>
      </c>
      <c r="AD697">
        <v>1009</v>
      </c>
      <c r="AE697">
        <v>933</v>
      </c>
      <c r="AF697">
        <v>0</v>
      </c>
      <c r="AG697">
        <v>17</v>
      </c>
      <c r="AH697">
        <v>0</v>
      </c>
      <c r="AI697">
        <v>0</v>
      </c>
      <c r="AJ697">
        <v>1</v>
      </c>
      <c r="AK697">
        <v>6</v>
      </c>
      <c r="AL697">
        <v>1</v>
      </c>
      <c r="AM697">
        <v>22</v>
      </c>
      <c r="AN697">
        <v>0</v>
      </c>
      <c r="AO697">
        <v>0</v>
      </c>
      <c r="AP697">
        <v>1091</v>
      </c>
      <c r="AQ697">
        <v>11</v>
      </c>
      <c r="AR697">
        <v>1</v>
      </c>
      <c r="AS697">
        <v>0</v>
      </c>
      <c r="AT697">
        <v>0</v>
      </c>
      <c r="AU697">
        <v>1</v>
      </c>
      <c r="AV697">
        <v>3</v>
      </c>
      <c r="AW697">
        <v>28</v>
      </c>
      <c r="AX697">
        <v>0</v>
      </c>
      <c r="AY697">
        <v>0</v>
      </c>
      <c r="AZ697">
        <v>0</v>
      </c>
      <c r="BA697">
        <v>1025</v>
      </c>
      <c r="BB697">
        <v>1</v>
      </c>
      <c r="BC697">
        <v>0</v>
      </c>
      <c r="BD697">
        <v>0</v>
      </c>
      <c r="BE697">
        <v>0</v>
      </c>
      <c r="BF697">
        <v>3</v>
      </c>
      <c r="BG697">
        <v>3</v>
      </c>
      <c r="BH697">
        <v>0</v>
      </c>
      <c r="BI697">
        <v>0</v>
      </c>
      <c r="BJ697">
        <v>0</v>
      </c>
      <c r="BK697">
        <v>19</v>
      </c>
      <c r="BL697">
        <v>929</v>
      </c>
      <c r="BM697">
        <v>0</v>
      </c>
      <c r="BN697">
        <v>19</v>
      </c>
      <c r="BO697">
        <v>0</v>
      </c>
      <c r="BP697">
        <v>6</v>
      </c>
      <c r="BQ697">
        <v>27</v>
      </c>
      <c r="BR697">
        <v>10</v>
      </c>
      <c r="BS697">
        <v>1</v>
      </c>
      <c r="BT697">
        <v>0</v>
      </c>
      <c r="BU697">
        <v>30</v>
      </c>
      <c r="BV697">
        <v>1</v>
      </c>
      <c r="BW697">
        <v>739</v>
      </c>
      <c r="BX697">
        <v>0</v>
      </c>
      <c r="BY697">
        <v>2</v>
      </c>
      <c r="BZ697">
        <v>1</v>
      </c>
      <c r="CA697">
        <v>39</v>
      </c>
      <c r="CB697">
        <v>169</v>
      </c>
      <c r="CC697">
        <v>3</v>
      </c>
      <c r="CD697">
        <v>0</v>
      </c>
      <c r="CE697">
        <v>3</v>
      </c>
      <c r="CF697">
        <v>7</v>
      </c>
      <c r="CG697">
        <v>0</v>
      </c>
      <c r="CH697">
        <v>801</v>
      </c>
      <c r="CI697">
        <v>2</v>
      </c>
      <c r="CJ697">
        <v>1</v>
      </c>
      <c r="CK697">
        <v>45</v>
      </c>
      <c r="CL697">
        <v>30</v>
      </c>
      <c r="CM697">
        <v>7</v>
      </c>
      <c r="CN697">
        <v>1</v>
      </c>
      <c r="CO697">
        <v>14</v>
      </c>
      <c r="CP697">
        <v>0</v>
      </c>
      <c r="CQ697">
        <v>0</v>
      </c>
      <c r="CR697">
        <v>2</v>
      </c>
      <c r="CS697">
        <v>893</v>
      </c>
      <c r="CT697">
        <v>0</v>
      </c>
      <c r="CU697">
        <v>40</v>
      </c>
      <c r="CV697">
        <v>1</v>
      </c>
      <c r="CW697">
        <v>2</v>
      </c>
      <c r="CX697">
        <v>4</v>
      </c>
      <c r="CY697">
        <v>27</v>
      </c>
      <c r="CZ697">
        <v>6</v>
      </c>
      <c r="DA697">
        <v>0</v>
      </c>
      <c r="DB697">
        <v>0</v>
      </c>
      <c r="DC697">
        <v>0</v>
      </c>
      <c r="DD697">
        <v>966</v>
      </c>
      <c r="DE697">
        <v>4</v>
      </c>
      <c r="DF697">
        <v>19</v>
      </c>
      <c r="DG697">
        <v>0</v>
      </c>
      <c r="DH697">
        <v>0</v>
      </c>
      <c r="DI697">
        <v>0</v>
      </c>
      <c r="DJ697">
        <v>0</v>
      </c>
      <c r="DK697">
        <v>0</v>
      </c>
      <c r="DL697">
        <v>0</v>
      </c>
      <c r="DM697">
        <v>0</v>
      </c>
      <c r="DN697">
        <v>4</v>
      </c>
      <c r="DO697">
        <v>963</v>
      </c>
      <c r="DP697">
        <v>7</v>
      </c>
      <c r="DQ697">
        <v>2</v>
      </c>
      <c r="DR697">
        <v>3</v>
      </c>
      <c r="DS697">
        <v>1</v>
      </c>
      <c r="DT697">
        <v>0</v>
      </c>
      <c r="DU697">
        <v>0</v>
      </c>
      <c r="DV697">
        <v>1</v>
      </c>
      <c r="DW697">
        <v>0</v>
      </c>
      <c r="DX697">
        <v>8</v>
      </c>
      <c r="DY697">
        <v>5</v>
      </c>
      <c r="DZ697">
        <v>989</v>
      </c>
      <c r="EA697">
        <v>0.93289999999999995</v>
      </c>
      <c r="EB697">
        <v>0.94125556189721105</v>
      </c>
      <c r="EC697">
        <v>0.93175450076505795</v>
      </c>
      <c r="ED697">
        <v>0.93244846709303597</v>
      </c>
      <c r="EE697">
        <f>SUM(Table1[[#This Row],[ratio_0]:[ratio_9]])</f>
        <v>280</v>
      </c>
      <c r="EF697" s="1">
        <f>(Table1[[#This Row],[predicted_0]]-Table1[[#This Row],[actual_0]])/Table1[[#This Row],[actual_0]]</f>
        <v>-3.2653061224489799E-2</v>
      </c>
      <c r="EG697" s="1">
        <f>(Table1[[#This Row],[predicted_1]]-Table1[[#This Row],[actual_1]])/Table1[[#This Row],[actual_1]]</f>
        <v>-3.1718061674008813E-2</v>
      </c>
      <c r="EH697" s="1">
        <f>(Table1[[#This Row],[predicted_2]]-Table1[[#This Row],[actual_2]])/Table1[[#This Row],[actual_2]]</f>
        <v>0.11143410852713179</v>
      </c>
      <c r="EI697" s="1">
        <f>(Table1[[#This Row],[predicted_3]]-Table1[[#This Row],[actual_3]])/Table1[[#This Row],[actual_3]]</f>
        <v>-6.4356435643564358E-2</v>
      </c>
      <c r="EJ697" s="1">
        <f>(Table1[[#This Row],[predicted_4]]-Table1[[#This Row],[actual_4]])/Table1[[#This Row],[actual_4]]</f>
        <v>-0.24745417515274948</v>
      </c>
      <c r="EK697" s="1">
        <f>(Table1[[#This Row],[predicted_5]]-Table1[[#This Row],[actual_5]])/Table1[[#This Row],[actual_5]]</f>
        <v>-7.623318385650224E-2</v>
      </c>
      <c r="EL697" s="1">
        <f>(Table1[[#This Row],[predicted_6]]-Table1[[#This Row],[actual_6]])/Table1[[#This Row],[actual_6]]</f>
        <v>-5.6367432150313153E-2</v>
      </c>
      <c r="EM697" s="1">
        <f>(Table1[[#This Row],[predicted_7]]-Table1[[#This Row],[actual_7]])/Table1[[#This Row],[actual_7]]</f>
        <v>-3.4046692607003888E-2</v>
      </c>
      <c r="EN697" s="1">
        <f>(Table1[[#This Row],[predicted_8]]-Table1[[#This Row],[actual_8]])/Table1[[#This Row],[actual_8]]</f>
        <v>0.20739219712525667</v>
      </c>
      <c r="EO697" s="1">
        <f>(Table1[[#This Row],[predicted_9]]-Table1[[#This Row],[actual_9]])/Table1[[#This Row],[actual_9]]</f>
        <v>0.21407333994053518</v>
      </c>
      <c r="EP697" s="1">
        <f>1+(Table1[[#This Row],[error_ratio_0]]-EF$2)</f>
        <v>0.96530612244897962</v>
      </c>
      <c r="EQ697" s="1">
        <f>1+(Table1[[#This Row],[error_ratio_1]]-EG$2)</f>
        <v>0.96651982378854628</v>
      </c>
      <c r="ER697" s="1">
        <f>1+(Table1[[#This Row],[error_ratio_2]]-EH$2)</f>
        <v>1.1162790697674418</v>
      </c>
      <c r="ES697" s="1">
        <f>1+(Table1[[#This Row],[error_ratio_3]]-EI$2)</f>
        <v>0.92574257425742579</v>
      </c>
      <c r="ET697" s="1">
        <f>1+(Table1[[#This Row],[error_ratio_4]]-EJ$2)</f>
        <v>0.75152749490835036</v>
      </c>
      <c r="EU697" s="1">
        <f>1+(Table1[[#This Row],[error_ratio_5]]-EK$2)</f>
        <v>0.92264573991031384</v>
      </c>
      <c r="EV697" s="1">
        <f>1+(Table1[[#This Row],[error_ratio_6]]-EL$2)</f>
        <v>0.94989561586638827</v>
      </c>
      <c r="EW697" s="1">
        <f>1+(Table1[[#This Row],[error_ratio_7]]-EM$2)</f>
        <v>0.96400778210116733</v>
      </c>
      <c r="EX697" s="1">
        <f>1+(Table1[[#This Row],[error_ratio_8]]-EN$2)</f>
        <v>1.2104722792607803</v>
      </c>
      <c r="EY697" s="1">
        <f>1+(Table1[[#This Row],[error_ratio_9]]-EO$2)</f>
        <v>1.218037661050545</v>
      </c>
    </row>
    <row r="698" spans="1:155" x14ac:dyDescent="0.75">
      <c r="A698">
        <v>100</v>
      </c>
      <c r="B698">
        <v>100</v>
      </c>
      <c r="C698">
        <v>10</v>
      </c>
      <c r="D698">
        <v>10</v>
      </c>
      <c r="E698">
        <v>10</v>
      </c>
      <c r="F698">
        <v>10</v>
      </c>
      <c r="G698">
        <v>10</v>
      </c>
      <c r="H698">
        <v>10</v>
      </c>
      <c r="I698">
        <v>100</v>
      </c>
      <c r="J698">
        <v>10</v>
      </c>
      <c r="K698">
        <v>1041</v>
      </c>
      <c r="L698">
        <v>1169</v>
      </c>
      <c r="M698">
        <v>1047</v>
      </c>
      <c r="N698">
        <v>949</v>
      </c>
      <c r="O698">
        <v>960</v>
      </c>
      <c r="P698">
        <v>844</v>
      </c>
      <c r="Q698">
        <v>921</v>
      </c>
      <c r="R698">
        <v>968</v>
      </c>
      <c r="S698">
        <v>1144</v>
      </c>
      <c r="T698">
        <v>957</v>
      </c>
      <c r="U698">
        <v>980</v>
      </c>
      <c r="V698">
        <v>1135</v>
      </c>
      <c r="W698">
        <v>1032</v>
      </c>
      <c r="X698">
        <v>1010</v>
      </c>
      <c r="Y698">
        <v>982</v>
      </c>
      <c r="Z698">
        <v>892</v>
      </c>
      <c r="AA698">
        <v>958</v>
      </c>
      <c r="AB698">
        <v>1028</v>
      </c>
      <c r="AC698">
        <v>974</v>
      </c>
      <c r="AD698">
        <v>1009</v>
      </c>
      <c r="AE698">
        <v>977</v>
      </c>
      <c r="AF698">
        <v>0</v>
      </c>
      <c r="AG698">
        <v>0</v>
      </c>
      <c r="AH698">
        <v>0</v>
      </c>
      <c r="AI698">
        <v>0</v>
      </c>
      <c r="AJ698">
        <v>0</v>
      </c>
      <c r="AK698">
        <v>0</v>
      </c>
      <c r="AL698">
        <v>0</v>
      </c>
      <c r="AM698">
        <v>3</v>
      </c>
      <c r="AN698">
        <v>0</v>
      </c>
      <c r="AO698">
        <v>0</v>
      </c>
      <c r="AP698">
        <v>1133</v>
      </c>
      <c r="AQ698">
        <v>0</v>
      </c>
      <c r="AR698">
        <v>1</v>
      </c>
      <c r="AS698">
        <v>0</v>
      </c>
      <c r="AT698">
        <v>0</v>
      </c>
      <c r="AU698">
        <v>0</v>
      </c>
      <c r="AV698">
        <v>0</v>
      </c>
      <c r="AW698">
        <v>1</v>
      </c>
      <c r="AX698">
        <v>0</v>
      </c>
      <c r="AY698">
        <v>8</v>
      </c>
      <c r="AZ698">
        <v>3</v>
      </c>
      <c r="BA698">
        <v>981</v>
      </c>
      <c r="BB698">
        <v>0</v>
      </c>
      <c r="BC698">
        <v>4</v>
      </c>
      <c r="BD698">
        <v>0</v>
      </c>
      <c r="BE698">
        <v>3</v>
      </c>
      <c r="BF698">
        <v>6</v>
      </c>
      <c r="BG698">
        <v>27</v>
      </c>
      <c r="BH698">
        <v>0</v>
      </c>
      <c r="BI698">
        <v>1</v>
      </c>
      <c r="BJ698">
        <v>0</v>
      </c>
      <c r="BK698">
        <v>5</v>
      </c>
      <c r="BL698">
        <v>938</v>
      </c>
      <c r="BM698">
        <v>0</v>
      </c>
      <c r="BN698">
        <v>11</v>
      </c>
      <c r="BO698">
        <v>0</v>
      </c>
      <c r="BP698">
        <v>4</v>
      </c>
      <c r="BQ698">
        <v>46</v>
      </c>
      <c r="BR698">
        <v>5</v>
      </c>
      <c r="BS698">
        <v>8</v>
      </c>
      <c r="BT698">
        <v>8</v>
      </c>
      <c r="BU698">
        <v>2</v>
      </c>
      <c r="BV698">
        <v>0</v>
      </c>
      <c r="BW698">
        <v>934</v>
      </c>
      <c r="BX698">
        <v>0</v>
      </c>
      <c r="BY698">
        <v>7</v>
      </c>
      <c r="BZ698">
        <v>2</v>
      </c>
      <c r="CA698">
        <v>6</v>
      </c>
      <c r="CB698">
        <v>15</v>
      </c>
      <c r="CC698">
        <v>10</v>
      </c>
      <c r="CD698">
        <v>5</v>
      </c>
      <c r="CE698">
        <v>1</v>
      </c>
      <c r="CF698">
        <v>6</v>
      </c>
      <c r="CG698">
        <v>1</v>
      </c>
      <c r="CH698">
        <v>825</v>
      </c>
      <c r="CI698">
        <v>6</v>
      </c>
      <c r="CJ698">
        <v>4</v>
      </c>
      <c r="CK698">
        <v>28</v>
      </c>
      <c r="CL698">
        <v>6</v>
      </c>
      <c r="CM698">
        <v>19</v>
      </c>
      <c r="CN698">
        <v>5</v>
      </c>
      <c r="CO698">
        <v>0</v>
      </c>
      <c r="CP698">
        <v>0</v>
      </c>
      <c r="CQ698">
        <v>8</v>
      </c>
      <c r="CR698">
        <v>2</v>
      </c>
      <c r="CS698">
        <v>903</v>
      </c>
      <c r="CT698">
        <v>0</v>
      </c>
      <c r="CU698">
        <v>21</v>
      </c>
      <c r="CV698">
        <v>0</v>
      </c>
      <c r="CW698">
        <v>5</v>
      </c>
      <c r="CX698">
        <v>9</v>
      </c>
      <c r="CY698">
        <v>57</v>
      </c>
      <c r="CZ698">
        <v>2</v>
      </c>
      <c r="DA698">
        <v>1</v>
      </c>
      <c r="DB698">
        <v>0</v>
      </c>
      <c r="DC698">
        <v>0</v>
      </c>
      <c r="DD698">
        <v>940</v>
      </c>
      <c r="DE698">
        <v>9</v>
      </c>
      <c r="DF698">
        <v>5</v>
      </c>
      <c r="DG698">
        <v>1</v>
      </c>
      <c r="DH698">
        <v>0</v>
      </c>
      <c r="DI698">
        <v>1</v>
      </c>
      <c r="DJ698">
        <v>0</v>
      </c>
      <c r="DK698">
        <v>0</v>
      </c>
      <c r="DL698">
        <v>0</v>
      </c>
      <c r="DM698">
        <v>1</v>
      </c>
      <c r="DN698">
        <v>3</v>
      </c>
      <c r="DO698">
        <v>964</v>
      </c>
      <c r="DP698">
        <v>4</v>
      </c>
      <c r="DQ698">
        <v>12</v>
      </c>
      <c r="DR698">
        <v>6</v>
      </c>
      <c r="DS698">
        <v>0</v>
      </c>
      <c r="DT698">
        <v>2</v>
      </c>
      <c r="DU698">
        <v>12</v>
      </c>
      <c r="DV698">
        <v>6</v>
      </c>
      <c r="DW698">
        <v>1</v>
      </c>
      <c r="DX698">
        <v>9</v>
      </c>
      <c r="DY698">
        <v>39</v>
      </c>
      <c r="DZ698">
        <v>922</v>
      </c>
      <c r="EA698">
        <v>0.95169999999999999</v>
      </c>
      <c r="EB698">
        <v>0.95411166480304799</v>
      </c>
      <c r="EC698">
        <v>0.95109736719968296</v>
      </c>
      <c r="ED698">
        <v>0.95153363212140796</v>
      </c>
      <c r="EE698">
        <f>SUM(Table1[[#This Row],[ratio_0]:[ratio_9]])</f>
        <v>370</v>
      </c>
      <c r="EF698" s="1">
        <f>(Table1[[#This Row],[predicted_0]]-Table1[[#This Row],[actual_0]])/Table1[[#This Row],[actual_0]]</f>
        <v>6.224489795918367E-2</v>
      </c>
      <c r="EG698" s="1">
        <f>(Table1[[#This Row],[predicted_1]]-Table1[[#This Row],[actual_1]])/Table1[[#This Row],[actual_1]]</f>
        <v>2.9955947136563875E-2</v>
      </c>
      <c r="EH698" s="1">
        <f>(Table1[[#This Row],[predicted_2]]-Table1[[#This Row],[actual_2]])/Table1[[#This Row],[actual_2]]</f>
        <v>1.4534883720930232E-2</v>
      </c>
      <c r="EI698" s="1">
        <f>(Table1[[#This Row],[predicted_3]]-Table1[[#This Row],[actual_3]])/Table1[[#This Row],[actual_3]]</f>
        <v>-6.0396039603960394E-2</v>
      </c>
      <c r="EJ698" s="1">
        <f>(Table1[[#This Row],[predicted_4]]-Table1[[#This Row],[actual_4]])/Table1[[#This Row],[actual_4]]</f>
        <v>-2.2403258655804479E-2</v>
      </c>
      <c r="EK698" s="1">
        <f>(Table1[[#This Row],[predicted_5]]-Table1[[#This Row],[actual_5]])/Table1[[#This Row],[actual_5]]</f>
        <v>-5.3811659192825115E-2</v>
      </c>
      <c r="EL698" s="1">
        <f>(Table1[[#This Row],[predicted_6]]-Table1[[#This Row],[actual_6]])/Table1[[#This Row],[actual_6]]</f>
        <v>-3.8622129436325675E-2</v>
      </c>
      <c r="EM698" s="1">
        <f>(Table1[[#This Row],[predicted_7]]-Table1[[#This Row],[actual_7]])/Table1[[#This Row],[actual_7]]</f>
        <v>-5.8365758754863814E-2</v>
      </c>
      <c r="EN698" s="1">
        <f>(Table1[[#This Row],[predicted_8]]-Table1[[#This Row],[actual_8]])/Table1[[#This Row],[actual_8]]</f>
        <v>0.17453798767967146</v>
      </c>
      <c r="EO698" s="1">
        <f>(Table1[[#This Row],[predicted_9]]-Table1[[#This Row],[actual_9]])/Table1[[#This Row],[actual_9]]</f>
        <v>-5.1536174430128839E-2</v>
      </c>
      <c r="EP698" s="1">
        <f>1+(Table1[[#This Row],[error_ratio_0]]-EF$2)</f>
        <v>1.060204081632653</v>
      </c>
      <c r="EQ698" s="1">
        <f>1+(Table1[[#This Row],[error_ratio_1]]-EG$2)</f>
        <v>1.0281938325991189</v>
      </c>
      <c r="ER698" s="1">
        <f>1+(Table1[[#This Row],[error_ratio_2]]-EH$2)</f>
        <v>1.0193798449612403</v>
      </c>
      <c r="ES698" s="1">
        <f>1+(Table1[[#This Row],[error_ratio_3]]-EI$2)</f>
        <v>0.92970297029702975</v>
      </c>
      <c r="ET698" s="1">
        <f>1+(Table1[[#This Row],[error_ratio_4]]-EJ$2)</f>
        <v>0.97657841140529533</v>
      </c>
      <c r="EU698" s="1">
        <f>1+(Table1[[#This Row],[error_ratio_5]]-EK$2)</f>
        <v>0.94506726457399104</v>
      </c>
      <c r="EV698" s="1">
        <f>1+(Table1[[#This Row],[error_ratio_6]]-EL$2)</f>
        <v>0.96764091858037582</v>
      </c>
      <c r="EW698" s="1">
        <f>1+(Table1[[#This Row],[error_ratio_7]]-EM$2)</f>
        <v>0.93968871595330739</v>
      </c>
      <c r="EX698" s="1">
        <f>1+(Table1[[#This Row],[error_ratio_8]]-EN$2)</f>
        <v>1.177618069815195</v>
      </c>
      <c r="EY698" s="1">
        <f>1+(Table1[[#This Row],[error_ratio_9]]-EO$2)</f>
        <v>0.95242814667988107</v>
      </c>
    </row>
    <row r="699" spans="1:155" x14ac:dyDescent="0.75">
      <c r="A699">
        <v>100</v>
      </c>
      <c r="B699">
        <v>10</v>
      </c>
      <c r="C699">
        <v>10</v>
      </c>
      <c r="D699">
        <v>10</v>
      </c>
      <c r="E699">
        <v>10</v>
      </c>
      <c r="F699">
        <v>10</v>
      </c>
      <c r="G699">
        <v>10</v>
      </c>
      <c r="H699">
        <v>10</v>
      </c>
      <c r="I699">
        <v>100</v>
      </c>
      <c r="J699">
        <v>10</v>
      </c>
      <c r="K699">
        <v>1086</v>
      </c>
      <c r="L699">
        <v>1117</v>
      </c>
      <c r="M699">
        <v>1037</v>
      </c>
      <c r="N699">
        <v>913</v>
      </c>
      <c r="O699">
        <v>954</v>
      </c>
      <c r="P699">
        <v>930</v>
      </c>
      <c r="Q699">
        <v>846</v>
      </c>
      <c r="R699">
        <v>1004</v>
      </c>
      <c r="S699">
        <v>1130</v>
      </c>
      <c r="T699">
        <v>983</v>
      </c>
      <c r="U699">
        <v>980</v>
      </c>
      <c r="V699">
        <v>1135</v>
      </c>
      <c r="W699">
        <v>1032</v>
      </c>
      <c r="X699">
        <v>1010</v>
      </c>
      <c r="Y699">
        <v>982</v>
      </c>
      <c r="Z699">
        <v>892</v>
      </c>
      <c r="AA699">
        <v>958</v>
      </c>
      <c r="AB699">
        <v>1028</v>
      </c>
      <c r="AC699">
        <v>974</v>
      </c>
      <c r="AD699">
        <v>1009</v>
      </c>
      <c r="AE699">
        <v>975</v>
      </c>
      <c r="AF699">
        <v>0</v>
      </c>
      <c r="AG699">
        <v>0</v>
      </c>
      <c r="AH699">
        <v>0</v>
      </c>
      <c r="AI699">
        <v>0</v>
      </c>
      <c r="AJ699">
        <v>0</v>
      </c>
      <c r="AK699">
        <v>0</v>
      </c>
      <c r="AL699">
        <v>1</v>
      </c>
      <c r="AM699">
        <v>4</v>
      </c>
      <c r="AN699">
        <v>0</v>
      </c>
      <c r="AO699">
        <v>0</v>
      </c>
      <c r="AP699">
        <v>1104</v>
      </c>
      <c r="AQ699">
        <v>7</v>
      </c>
      <c r="AR699">
        <v>2</v>
      </c>
      <c r="AS699">
        <v>2</v>
      </c>
      <c r="AT699">
        <v>2</v>
      </c>
      <c r="AU699">
        <v>0</v>
      </c>
      <c r="AV699">
        <v>1</v>
      </c>
      <c r="AW699">
        <v>17</v>
      </c>
      <c r="AX699">
        <v>0</v>
      </c>
      <c r="AY699">
        <v>17</v>
      </c>
      <c r="AZ699">
        <v>0</v>
      </c>
      <c r="BA699">
        <v>988</v>
      </c>
      <c r="BB699">
        <v>1</v>
      </c>
      <c r="BC699">
        <v>4</v>
      </c>
      <c r="BD699">
        <v>1</v>
      </c>
      <c r="BE699">
        <v>0</v>
      </c>
      <c r="BF699">
        <v>6</v>
      </c>
      <c r="BG699">
        <v>15</v>
      </c>
      <c r="BH699">
        <v>0</v>
      </c>
      <c r="BI699">
        <v>6</v>
      </c>
      <c r="BJ699">
        <v>0</v>
      </c>
      <c r="BK699">
        <v>12</v>
      </c>
      <c r="BL699">
        <v>900</v>
      </c>
      <c r="BM699">
        <v>0</v>
      </c>
      <c r="BN699">
        <v>49</v>
      </c>
      <c r="BO699">
        <v>0</v>
      </c>
      <c r="BP699">
        <v>11</v>
      </c>
      <c r="BQ699">
        <v>31</v>
      </c>
      <c r="BR699">
        <v>1</v>
      </c>
      <c r="BS699">
        <v>6</v>
      </c>
      <c r="BT699">
        <v>1</v>
      </c>
      <c r="BU699">
        <v>0</v>
      </c>
      <c r="BV699">
        <v>0</v>
      </c>
      <c r="BW699">
        <v>923</v>
      </c>
      <c r="BX699">
        <v>0</v>
      </c>
      <c r="BY699">
        <v>3</v>
      </c>
      <c r="BZ699">
        <v>1</v>
      </c>
      <c r="CA699">
        <v>7</v>
      </c>
      <c r="CB699">
        <v>41</v>
      </c>
      <c r="CC699">
        <v>10</v>
      </c>
      <c r="CD699">
        <v>1</v>
      </c>
      <c r="CE699">
        <v>0</v>
      </c>
      <c r="CF699">
        <v>4</v>
      </c>
      <c r="CG699">
        <v>0</v>
      </c>
      <c r="CH699">
        <v>856</v>
      </c>
      <c r="CI699">
        <v>0</v>
      </c>
      <c r="CJ699">
        <v>3</v>
      </c>
      <c r="CK699">
        <v>16</v>
      </c>
      <c r="CL699">
        <v>2</v>
      </c>
      <c r="CM699">
        <v>47</v>
      </c>
      <c r="CN699">
        <v>6</v>
      </c>
      <c r="CO699">
        <v>8</v>
      </c>
      <c r="CP699">
        <v>1</v>
      </c>
      <c r="CQ699">
        <v>12</v>
      </c>
      <c r="CR699">
        <v>8</v>
      </c>
      <c r="CS699">
        <v>843</v>
      </c>
      <c r="CT699">
        <v>0</v>
      </c>
      <c r="CU699">
        <v>33</v>
      </c>
      <c r="CV699">
        <v>0</v>
      </c>
      <c r="CW699">
        <v>2</v>
      </c>
      <c r="CX699">
        <v>3</v>
      </c>
      <c r="CY699">
        <v>19</v>
      </c>
      <c r="CZ699">
        <v>0</v>
      </c>
      <c r="DA699">
        <v>4</v>
      </c>
      <c r="DB699">
        <v>0</v>
      </c>
      <c r="DC699">
        <v>0</v>
      </c>
      <c r="DD699">
        <v>974</v>
      </c>
      <c r="DE699">
        <v>21</v>
      </c>
      <c r="DF699">
        <v>5</v>
      </c>
      <c r="DG699">
        <v>6</v>
      </c>
      <c r="DH699">
        <v>0</v>
      </c>
      <c r="DI699">
        <v>3</v>
      </c>
      <c r="DJ699">
        <v>0</v>
      </c>
      <c r="DK699">
        <v>1</v>
      </c>
      <c r="DL699">
        <v>1</v>
      </c>
      <c r="DM699">
        <v>0</v>
      </c>
      <c r="DN699">
        <v>1</v>
      </c>
      <c r="DO699">
        <v>962</v>
      </c>
      <c r="DP699">
        <v>0</v>
      </c>
      <c r="DQ699">
        <v>17</v>
      </c>
      <c r="DR699">
        <v>2</v>
      </c>
      <c r="DS699">
        <v>0</v>
      </c>
      <c r="DT699">
        <v>5</v>
      </c>
      <c r="DU699">
        <v>8</v>
      </c>
      <c r="DV699">
        <v>13</v>
      </c>
      <c r="DW699">
        <v>0</v>
      </c>
      <c r="DX699">
        <v>6</v>
      </c>
      <c r="DY699">
        <v>24</v>
      </c>
      <c r="DZ699">
        <v>934</v>
      </c>
      <c r="EA699">
        <v>0.94589999999999996</v>
      </c>
      <c r="EB699">
        <v>0.94806500764597201</v>
      </c>
      <c r="EC699">
        <v>0.94563761371721</v>
      </c>
      <c r="ED699">
        <v>0.94539929295668801</v>
      </c>
      <c r="EE699">
        <f>SUM(Table1[[#This Row],[ratio_0]:[ratio_9]])</f>
        <v>280</v>
      </c>
      <c r="EF699" s="1">
        <f>(Table1[[#This Row],[predicted_0]]-Table1[[#This Row],[actual_0]])/Table1[[#This Row],[actual_0]]</f>
        <v>0.10816326530612246</v>
      </c>
      <c r="EG699" s="1">
        <f>(Table1[[#This Row],[predicted_1]]-Table1[[#This Row],[actual_1]])/Table1[[#This Row],[actual_1]]</f>
        <v>-1.5859030837004406E-2</v>
      </c>
      <c r="EH699" s="1">
        <f>(Table1[[#This Row],[predicted_2]]-Table1[[#This Row],[actual_2]])/Table1[[#This Row],[actual_2]]</f>
        <v>4.8449612403100775E-3</v>
      </c>
      <c r="EI699" s="1">
        <f>(Table1[[#This Row],[predicted_3]]-Table1[[#This Row],[actual_3]])/Table1[[#This Row],[actual_3]]</f>
        <v>-9.6039603960396042E-2</v>
      </c>
      <c r="EJ699" s="1">
        <f>(Table1[[#This Row],[predicted_4]]-Table1[[#This Row],[actual_4]])/Table1[[#This Row],[actual_4]]</f>
        <v>-2.8513238289205704E-2</v>
      </c>
      <c r="EK699" s="1">
        <f>(Table1[[#This Row],[predicted_5]]-Table1[[#This Row],[actual_5]])/Table1[[#This Row],[actual_5]]</f>
        <v>4.2600896860986545E-2</v>
      </c>
      <c r="EL699" s="1">
        <f>(Table1[[#This Row],[predicted_6]]-Table1[[#This Row],[actual_6]])/Table1[[#This Row],[actual_6]]</f>
        <v>-0.11691022964509394</v>
      </c>
      <c r="EM699" s="1">
        <f>(Table1[[#This Row],[predicted_7]]-Table1[[#This Row],[actual_7]])/Table1[[#This Row],[actual_7]]</f>
        <v>-2.3346303501945526E-2</v>
      </c>
      <c r="EN699" s="1">
        <f>(Table1[[#This Row],[predicted_8]]-Table1[[#This Row],[actual_8]])/Table1[[#This Row],[actual_8]]</f>
        <v>0.16016427104722791</v>
      </c>
      <c r="EO699" s="1">
        <f>(Table1[[#This Row],[predicted_9]]-Table1[[#This Row],[actual_9]])/Table1[[#This Row],[actual_9]]</f>
        <v>-2.576808721506442E-2</v>
      </c>
      <c r="EP699" s="1">
        <f>1+(Table1[[#This Row],[error_ratio_0]]-EF$2)</f>
        <v>1.1061224489795918</v>
      </c>
      <c r="EQ699" s="1">
        <f>1+(Table1[[#This Row],[error_ratio_1]]-EG$2)</f>
        <v>0.98237885462555063</v>
      </c>
      <c r="ER699" s="1">
        <f>1+(Table1[[#This Row],[error_ratio_2]]-EH$2)</f>
        <v>1.0096899224806202</v>
      </c>
      <c r="ES699" s="1">
        <f>1+(Table1[[#This Row],[error_ratio_3]]-EI$2)</f>
        <v>0.89405940594059408</v>
      </c>
      <c r="ET699" s="1">
        <f>1+(Table1[[#This Row],[error_ratio_4]]-EJ$2)</f>
        <v>0.97046843177189412</v>
      </c>
      <c r="EU699" s="1">
        <f>1+(Table1[[#This Row],[error_ratio_5]]-EK$2)</f>
        <v>1.0414798206278026</v>
      </c>
      <c r="EV699" s="1">
        <f>1+(Table1[[#This Row],[error_ratio_6]]-EL$2)</f>
        <v>0.88935281837160751</v>
      </c>
      <c r="EW699" s="1">
        <f>1+(Table1[[#This Row],[error_ratio_7]]-EM$2)</f>
        <v>0.97470817120622566</v>
      </c>
      <c r="EX699" s="1">
        <f>1+(Table1[[#This Row],[error_ratio_8]]-EN$2)</f>
        <v>1.1632443531827514</v>
      </c>
      <c r="EY699" s="1">
        <f>1+(Table1[[#This Row],[error_ratio_9]]-EO$2)</f>
        <v>0.97819623389494548</v>
      </c>
    </row>
    <row r="700" spans="1:155" x14ac:dyDescent="0.75">
      <c r="A700">
        <v>10</v>
      </c>
      <c r="B700">
        <v>10</v>
      </c>
      <c r="C700">
        <v>10</v>
      </c>
      <c r="D700">
        <v>10</v>
      </c>
      <c r="E700">
        <v>10</v>
      </c>
      <c r="F700">
        <v>10</v>
      </c>
      <c r="G700">
        <v>10</v>
      </c>
      <c r="H700">
        <v>10</v>
      </c>
      <c r="I700">
        <v>100</v>
      </c>
      <c r="J700">
        <v>10</v>
      </c>
      <c r="K700">
        <v>985</v>
      </c>
      <c r="L700">
        <v>1130</v>
      </c>
      <c r="M700">
        <v>1073</v>
      </c>
      <c r="N700">
        <v>959</v>
      </c>
      <c r="O700">
        <v>1152</v>
      </c>
      <c r="P700">
        <v>893</v>
      </c>
      <c r="Q700">
        <v>893</v>
      </c>
      <c r="R700">
        <v>1141</v>
      </c>
      <c r="S700">
        <v>1034</v>
      </c>
      <c r="T700">
        <v>740</v>
      </c>
      <c r="U700">
        <v>980</v>
      </c>
      <c r="V700">
        <v>1135</v>
      </c>
      <c r="W700">
        <v>1032</v>
      </c>
      <c r="X700">
        <v>1010</v>
      </c>
      <c r="Y700">
        <v>982</v>
      </c>
      <c r="Z700">
        <v>892</v>
      </c>
      <c r="AA700">
        <v>958</v>
      </c>
      <c r="AB700">
        <v>1028</v>
      </c>
      <c r="AC700">
        <v>974</v>
      </c>
      <c r="AD700">
        <v>1009</v>
      </c>
      <c r="AE700">
        <v>958</v>
      </c>
      <c r="AF700">
        <v>1</v>
      </c>
      <c r="AG700">
        <v>9</v>
      </c>
      <c r="AH700">
        <v>0</v>
      </c>
      <c r="AI700">
        <v>1</v>
      </c>
      <c r="AJ700">
        <v>1</v>
      </c>
      <c r="AK700">
        <v>1</v>
      </c>
      <c r="AL700">
        <v>6</v>
      </c>
      <c r="AM700">
        <v>2</v>
      </c>
      <c r="AN700">
        <v>1</v>
      </c>
      <c r="AO700">
        <v>0</v>
      </c>
      <c r="AP700">
        <v>1114</v>
      </c>
      <c r="AQ700">
        <v>5</v>
      </c>
      <c r="AR700">
        <v>4</v>
      </c>
      <c r="AS700">
        <v>0</v>
      </c>
      <c r="AT700">
        <v>3</v>
      </c>
      <c r="AU700">
        <v>0</v>
      </c>
      <c r="AV700">
        <v>7</v>
      </c>
      <c r="AW700">
        <v>1</v>
      </c>
      <c r="AX700">
        <v>1</v>
      </c>
      <c r="AY700">
        <v>6</v>
      </c>
      <c r="AZ700">
        <v>1</v>
      </c>
      <c r="BA700">
        <v>998</v>
      </c>
      <c r="BB700">
        <v>4</v>
      </c>
      <c r="BC700">
        <v>2</v>
      </c>
      <c r="BD700">
        <v>1</v>
      </c>
      <c r="BE700">
        <v>1</v>
      </c>
      <c r="BF700">
        <v>12</v>
      </c>
      <c r="BG700">
        <v>7</v>
      </c>
      <c r="BH700">
        <v>0</v>
      </c>
      <c r="BI700">
        <v>1</v>
      </c>
      <c r="BJ700">
        <v>0</v>
      </c>
      <c r="BK700">
        <v>15</v>
      </c>
      <c r="BL700">
        <v>941</v>
      </c>
      <c r="BM700">
        <v>0</v>
      </c>
      <c r="BN700">
        <v>23</v>
      </c>
      <c r="BO700">
        <v>0</v>
      </c>
      <c r="BP700">
        <v>19</v>
      </c>
      <c r="BQ700">
        <v>11</v>
      </c>
      <c r="BR700">
        <v>0</v>
      </c>
      <c r="BS700">
        <v>0</v>
      </c>
      <c r="BT700">
        <v>4</v>
      </c>
      <c r="BU700">
        <v>8</v>
      </c>
      <c r="BV700">
        <v>0</v>
      </c>
      <c r="BW700">
        <v>963</v>
      </c>
      <c r="BX700">
        <v>0</v>
      </c>
      <c r="BY700">
        <v>3</v>
      </c>
      <c r="BZ700">
        <v>1</v>
      </c>
      <c r="CA700">
        <v>2</v>
      </c>
      <c r="CB700">
        <v>1</v>
      </c>
      <c r="CC700">
        <v>3</v>
      </c>
      <c r="CD700">
        <v>0</v>
      </c>
      <c r="CE700">
        <v>1</v>
      </c>
      <c r="CF700">
        <v>4</v>
      </c>
      <c r="CG700">
        <v>1</v>
      </c>
      <c r="CH700">
        <v>852</v>
      </c>
      <c r="CI700">
        <v>3</v>
      </c>
      <c r="CJ700">
        <v>6</v>
      </c>
      <c r="CK700">
        <v>19</v>
      </c>
      <c r="CL700">
        <v>3</v>
      </c>
      <c r="CM700">
        <v>12</v>
      </c>
      <c r="CN700">
        <v>4</v>
      </c>
      <c r="CO700">
        <v>10</v>
      </c>
      <c r="CP700">
        <v>0</v>
      </c>
      <c r="CQ700">
        <v>15</v>
      </c>
      <c r="CR700">
        <v>7</v>
      </c>
      <c r="CS700">
        <v>885</v>
      </c>
      <c r="CT700">
        <v>0</v>
      </c>
      <c r="CU700">
        <v>25</v>
      </c>
      <c r="CV700">
        <v>0</v>
      </c>
      <c r="CW700">
        <v>1</v>
      </c>
      <c r="CX700">
        <v>2</v>
      </c>
      <c r="CY700">
        <v>20</v>
      </c>
      <c r="CZ700">
        <v>0</v>
      </c>
      <c r="DA700">
        <v>4</v>
      </c>
      <c r="DB700">
        <v>0</v>
      </c>
      <c r="DC700">
        <v>0</v>
      </c>
      <c r="DD700">
        <v>994</v>
      </c>
      <c r="DE700">
        <v>3</v>
      </c>
      <c r="DF700">
        <v>4</v>
      </c>
      <c r="DG700">
        <v>0</v>
      </c>
      <c r="DH700">
        <v>1</v>
      </c>
      <c r="DI700">
        <v>3</v>
      </c>
      <c r="DJ700">
        <v>0</v>
      </c>
      <c r="DK700">
        <v>7</v>
      </c>
      <c r="DL700">
        <v>0</v>
      </c>
      <c r="DM700">
        <v>0</v>
      </c>
      <c r="DN700">
        <v>9</v>
      </c>
      <c r="DO700">
        <v>954</v>
      </c>
      <c r="DP700">
        <v>0</v>
      </c>
      <c r="DQ700">
        <v>4</v>
      </c>
      <c r="DR700">
        <v>3</v>
      </c>
      <c r="DS700">
        <v>4</v>
      </c>
      <c r="DT700">
        <v>6</v>
      </c>
      <c r="DU700">
        <v>159</v>
      </c>
      <c r="DV700">
        <v>6</v>
      </c>
      <c r="DW700">
        <v>0</v>
      </c>
      <c r="DX700">
        <v>87</v>
      </c>
      <c r="DY700">
        <v>10</v>
      </c>
      <c r="DZ700">
        <v>730</v>
      </c>
      <c r="EA700">
        <v>0.93889999999999996</v>
      </c>
      <c r="EB700">
        <v>0.94311114761270498</v>
      </c>
      <c r="EC700">
        <v>0.93872753056569502</v>
      </c>
      <c r="ED700">
        <v>0.93776672435264297</v>
      </c>
      <c r="EE700">
        <f>SUM(Table1[[#This Row],[ratio_0]:[ratio_9]])</f>
        <v>190</v>
      </c>
      <c r="EF700" s="1">
        <f>(Table1[[#This Row],[predicted_0]]-Table1[[#This Row],[actual_0]])/Table1[[#This Row],[actual_0]]</f>
        <v>5.1020408163265302E-3</v>
      </c>
      <c r="EG700" s="1">
        <f>(Table1[[#This Row],[predicted_1]]-Table1[[#This Row],[actual_1]])/Table1[[#This Row],[actual_1]]</f>
        <v>-4.4052863436123352E-3</v>
      </c>
      <c r="EH700" s="1">
        <f>(Table1[[#This Row],[predicted_2]]-Table1[[#This Row],[actual_2]])/Table1[[#This Row],[actual_2]]</f>
        <v>3.9728682170542637E-2</v>
      </c>
      <c r="EI700" s="1">
        <f>(Table1[[#This Row],[predicted_3]]-Table1[[#This Row],[actual_3]])/Table1[[#This Row],[actual_3]]</f>
        <v>-5.0495049504950498E-2</v>
      </c>
      <c r="EJ700" s="1">
        <f>(Table1[[#This Row],[predicted_4]]-Table1[[#This Row],[actual_4]])/Table1[[#This Row],[actual_4]]</f>
        <v>0.17311608961303462</v>
      </c>
      <c r="EK700" s="1">
        <f>(Table1[[#This Row],[predicted_5]]-Table1[[#This Row],[actual_5]])/Table1[[#This Row],[actual_5]]</f>
        <v>1.1210762331838565E-3</v>
      </c>
      <c r="EL700" s="1">
        <f>(Table1[[#This Row],[predicted_6]]-Table1[[#This Row],[actual_6]])/Table1[[#This Row],[actual_6]]</f>
        <v>-6.7849686847599164E-2</v>
      </c>
      <c r="EM700" s="1">
        <f>(Table1[[#This Row],[predicted_7]]-Table1[[#This Row],[actual_7]])/Table1[[#This Row],[actual_7]]</f>
        <v>0.10992217898832685</v>
      </c>
      <c r="EN700" s="1">
        <f>(Table1[[#This Row],[predicted_8]]-Table1[[#This Row],[actual_8]])/Table1[[#This Row],[actual_8]]</f>
        <v>6.1601642710472276E-2</v>
      </c>
      <c r="EO700" s="1">
        <f>(Table1[[#This Row],[predicted_9]]-Table1[[#This Row],[actual_9]])/Table1[[#This Row],[actual_9]]</f>
        <v>-0.26660059464816649</v>
      </c>
      <c r="EP700" s="1">
        <f>1+(Table1[[#This Row],[error_ratio_0]]-EF$2)</f>
        <v>1.0030612244897958</v>
      </c>
      <c r="EQ700" s="1">
        <f>1+(Table1[[#This Row],[error_ratio_1]]-EG$2)</f>
        <v>0.99383259911894273</v>
      </c>
      <c r="ER700" s="1">
        <f>1+(Table1[[#This Row],[error_ratio_2]]-EH$2)</f>
        <v>1.0445736434108528</v>
      </c>
      <c r="ES700" s="1">
        <f>1+(Table1[[#This Row],[error_ratio_3]]-EI$2)</f>
        <v>0.93960396039603955</v>
      </c>
      <c r="ET700" s="1">
        <f>1+(Table1[[#This Row],[error_ratio_4]]-EJ$2)</f>
        <v>1.1720977596741344</v>
      </c>
      <c r="EU700" s="1">
        <f>1+(Table1[[#This Row],[error_ratio_5]]-EK$2)</f>
        <v>1</v>
      </c>
      <c r="EV700" s="1">
        <f>1+(Table1[[#This Row],[error_ratio_6]]-EL$2)</f>
        <v>0.93841336116910234</v>
      </c>
      <c r="EW700" s="1">
        <f>1+(Table1[[#This Row],[error_ratio_7]]-EM$2)</f>
        <v>1.1079766536964981</v>
      </c>
      <c r="EX700" s="1">
        <f>1+(Table1[[#This Row],[error_ratio_8]]-EN$2)</f>
        <v>1.0646817248459959</v>
      </c>
      <c r="EY700" s="1">
        <f>1+(Table1[[#This Row],[error_ratio_9]]-EO$2)</f>
        <v>0.73736372646184345</v>
      </c>
    </row>
    <row r="701" spans="1:155" x14ac:dyDescent="0.75">
      <c r="A701">
        <v>100</v>
      </c>
      <c r="B701">
        <v>100</v>
      </c>
      <c r="C701">
        <v>100</v>
      </c>
      <c r="D701">
        <v>100</v>
      </c>
      <c r="E701">
        <v>100</v>
      </c>
      <c r="F701">
        <v>100</v>
      </c>
      <c r="G701">
        <v>100</v>
      </c>
      <c r="H701">
        <v>100</v>
      </c>
      <c r="I701">
        <v>10</v>
      </c>
      <c r="J701">
        <v>10</v>
      </c>
      <c r="K701">
        <v>991</v>
      </c>
      <c r="L701">
        <v>1146</v>
      </c>
      <c r="M701">
        <v>1049</v>
      </c>
      <c r="N701">
        <v>1043</v>
      </c>
      <c r="O701">
        <v>997</v>
      </c>
      <c r="P701">
        <v>901</v>
      </c>
      <c r="Q701">
        <v>965</v>
      </c>
      <c r="R701">
        <v>1045</v>
      </c>
      <c r="S701">
        <v>910</v>
      </c>
      <c r="T701">
        <v>953</v>
      </c>
      <c r="U701">
        <v>980</v>
      </c>
      <c r="V701">
        <v>1135</v>
      </c>
      <c r="W701">
        <v>1032</v>
      </c>
      <c r="X701">
        <v>1010</v>
      </c>
      <c r="Y701">
        <v>982</v>
      </c>
      <c r="Z701">
        <v>892</v>
      </c>
      <c r="AA701">
        <v>958</v>
      </c>
      <c r="AB701">
        <v>1028</v>
      </c>
      <c r="AC701">
        <v>974</v>
      </c>
      <c r="AD701">
        <v>1009</v>
      </c>
      <c r="AE701">
        <v>974</v>
      </c>
      <c r="AF701">
        <v>0</v>
      </c>
      <c r="AG701">
        <v>0</v>
      </c>
      <c r="AH701">
        <v>1</v>
      </c>
      <c r="AI701">
        <v>0</v>
      </c>
      <c r="AJ701">
        <v>0</v>
      </c>
      <c r="AK701">
        <v>2</v>
      </c>
      <c r="AL701">
        <v>2</v>
      </c>
      <c r="AM701">
        <v>1</v>
      </c>
      <c r="AN701">
        <v>0</v>
      </c>
      <c r="AO701">
        <v>0</v>
      </c>
      <c r="AP701">
        <v>1131</v>
      </c>
      <c r="AQ701">
        <v>1</v>
      </c>
      <c r="AR701">
        <v>1</v>
      </c>
      <c r="AS701">
        <v>0</v>
      </c>
      <c r="AT701">
        <v>0</v>
      </c>
      <c r="AU701">
        <v>2</v>
      </c>
      <c r="AV701">
        <v>0</v>
      </c>
      <c r="AW701">
        <v>0</v>
      </c>
      <c r="AX701">
        <v>0</v>
      </c>
      <c r="AY701">
        <v>1</v>
      </c>
      <c r="AZ701">
        <v>1</v>
      </c>
      <c r="BA701">
        <v>1024</v>
      </c>
      <c r="BB701">
        <v>0</v>
      </c>
      <c r="BC701">
        <v>1</v>
      </c>
      <c r="BD701">
        <v>0</v>
      </c>
      <c r="BE701">
        <v>0</v>
      </c>
      <c r="BF701">
        <v>5</v>
      </c>
      <c r="BG701">
        <v>0</v>
      </c>
      <c r="BH701">
        <v>0</v>
      </c>
      <c r="BI701">
        <v>0</v>
      </c>
      <c r="BJ701">
        <v>0</v>
      </c>
      <c r="BK701">
        <v>1</v>
      </c>
      <c r="BL701">
        <v>1004</v>
      </c>
      <c r="BM701">
        <v>0</v>
      </c>
      <c r="BN701">
        <v>3</v>
      </c>
      <c r="BO701">
        <v>0</v>
      </c>
      <c r="BP701">
        <v>2</v>
      </c>
      <c r="BQ701">
        <v>0</v>
      </c>
      <c r="BR701">
        <v>0</v>
      </c>
      <c r="BS701">
        <v>0</v>
      </c>
      <c r="BT701">
        <v>0</v>
      </c>
      <c r="BU701">
        <v>2</v>
      </c>
      <c r="BV701">
        <v>0</v>
      </c>
      <c r="BW701">
        <v>977</v>
      </c>
      <c r="BX701">
        <v>0</v>
      </c>
      <c r="BY701">
        <v>2</v>
      </c>
      <c r="BZ701">
        <v>0</v>
      </c>
      <c r="CA701">
        <v>0</v>
      </c>
      <c r="CB701">
        <v>1</v>
      </c>
      <c r="CC701">
        <v>1</v>
      </c>
      <c r="CD701">
        <v>0</v>
      </c>
      <c r="CE701">
        <v>1</v>
      </c>
      <c r="CF701">
        <v>9</v>
      </c>
      <c r="CG701">
        <v>0</v>
      </c>
      <c r="CH701">
        <v>879</v>
      </c>
      <c r="CI701">
        <v>1</v>
      </c>
      <c r="CJ701">
        <v>0</v>
      </c>
      <c r="CK701">
        <v>1</v>
      </c>
      <c r="CL701">
        <v>0</v>
      </c>
      <c r="CM701">
        <v>3</v>
      </c>
      <c r="CN701">
        <v>1</v>
      </c>
      <c r="CO701">
        <v>0</v>
      </c>
      <c r="CP701">
        <v>0</v>
      </c>
      <c r="CQ701">
        <v>1</v>
      </c>
      <c r="CR701">
        <v>2</v>
      </c>
      <c r="CS701">
        <v>951</v>
      </c>
      <c r="CT701">
        <v>0</v>
      </c>
      <c r="CU701">
        <v>0</v>
      </c>
      <c r="CV701">
        <v>0</v>
      </c>
      <c r="CW701">
        <v>0</v>
      </c>
      <c r="CX701">
        <v>3</v>
      </c>
      <c r="CY701">
        <v>6</v>
      </c>
      <c r="CZ701">
        <v>0</v>
      </c>
      <c r="DA701">
        <v>0</v>
      </c>
      <c r="DB701">
        <v>0</v>
      </c>
      <c r="DC701">
        <v>0</v>
      </c>
      <c r="DD701">
        <v>1019</v>
      </c>
      <c r="DE701">
        <v>0</v>
      </c>
      <c r="DF701">
        <v>0</v>
      </c>
      <c r="DG701">
        <v>4</v>
      </c>
      <c r="DH701">
        <v>3</v>
      </c>
      <c r="DI701">
        <v>13</v>
      </c>
      <c r="DJ701">
        <v>17</v>
      </c>
      <c r="DK701">
        <v>5</v>
      </c>
      <c r="DL701">
        <v>6</v>
      </c>
      <c r="DM701">
        <v>7</v>
      </c>
      <c r="DN701">
        <v>8</v>
      </c>
      <c r="DO701">
        <v>907</v>
      </c>
      <c r="DP701">
        <v>4</v>
      </c>
      <c r="DQ701">
        <v>8</v>
      </c>
      <c r="DR701">
        <v>7</v>
      </c>
      <c r="DS701">
        <v>1</v>
      </c>
      <c r="DT701">
        <v>11</v>
      </c>
      <c r="DU701">
        <v>13</v>
      </c>
      <c r="DV701">
        <v>11</v>
      </c>
      <c r="DW701">
        <v>0</v>
      </c>
      <c r="DX701">
        <v>9</v>
      </c>
      <c r="DY701">
        <v>1</v>
      </c>
      <c r="DZ701">
        <v>948</v>
      </c>
      <c r="EA701">
        <v>0.98140000000000005</v>
      </c>
      <c r="EB701">
        <v>0.98161233035862405</v>
      </c>
      <c r="EC701">
        <v>0.98116889980553301</v>
      </c>
      <c r="ED701">
        <v>0.98114729001828105</v>
      </c>
      <c r="EE701">
        <f>SUM(Table1[[#This Row],[ratio_0]:[ratio_9]])</f>
        <v>820</v>
      </c>
      <c r="EF701" s="1">
        <f>(Table1[[#This Row],[predicted_0]]-Table1[[#This Row],[actual_0]])/Table1[[#This Row],[actual_0]]</f>
        <v>1.1224489795918367E-2</v>
      </c>
      <c r="EG701" s="1">
        <f>(Table1[[#This Row],[predicted_1]]-Table1[[#This Row],[actual_1]])/Table1[[#This Row],[actual_1]]</f>
        <v>9.6916299559471359E-3</v>
      </c>
      <c r="EH701" s="1">
        <f>(Table1[[#This Row],[predicted_2]]-Table1[[#This Row],[actual_2]])/Table1[[#This Row],[actual_2]]</f>
        <v>1.6472868217054265E-2</v>
      </c>
      <c r="EI701" s="1">
        <f>(Table1[[#This Row],[predicted_3]]-Table1[[#This Row],[actual_3]])/Table1[[#This Row],[actual_3]]</f>
        <v>3.2673267326732675E-2</v>
      </c>
      <c r="EJ701" s="1">
        <f>(Table1[[#This Row],[predicted_4]]-Table1[[#This Row],[actual_4]])/Table1[[#This Row],[actual_4]]</f>
        <v>1.5274949083503055E-2</v>
      </c>
      <c r="EK701" s="1">
        <f>(Table1[[#This Row],[predicted_5]]-Table1[[#This Row],[actual_5]])/Table1[[#This Row],[actual_5]]</f>
        <v>1.0089686098654708E-2</v>
      </c>
      <c r="EL701" s="1">
        <f>(Table1[[#This Row],[predicted_6]]-Table1[[#This Row],[actual_6]])/Table1[[#This Row],[actual_6]]</f>
        <v>7.3068893528183713E-3</v>
      </c>
      <c r="EM701" s="1">
        <f>(Table1[[#This Row],[predicted_7]]-Table1[[#This Row],[actual_7]])/Table1[[#This Row],[actual_7]]</f>
        <v>1.6536964980544747E-2</v>
      </c>
      <c r="EN701" s="1">
        <f>(Table1[[#This Row],[predicted_8]]-Table1[[#This Row],[actual_8]])/Table1[[#This Row],[actual_8]]</f>
        <v>-6.5708418891170434E-2</v>
      </c>
      <c r="EO701" s="1">
        <f>(Table1[[#This Row],[predicted_9]]-Table1[[#This Row],[actual_9]])/Table1[[#This Row],[actual_9]]</f>
        <v>-5.550049554013875E-2</v>
      </c>
      <c r="EP701" s="1">
        <f>1+(Table1[[#This Row],[error_ratio_0]]-EF$2)</f>
        <v>1.0091836734693878</v>
      </c>
      <c r="EQ701" s="1">
        <f>1+(Table1[[#This Row],[error_ratio_1]]-EG$2)</f>
        <v>1.0079295154185022</v>
      </c>
      <c r="ER701" s="1">
        <f>1+(Table1[[#This Row],[error_ratio_2]]-EH$2)</f>
        <v>1.0213178294573644</v>
      </c>
      <c r="ES701" s="1">
        <f>1+(Table1[[#This Row],[error_ratio_3]]-EI$2)</f>
        <v>1.0227722772277228</v>
      </c>
      <c r="ET701" s="1">
        <f>1+(Table1[[#This Row],[error_ratio_4]]-EJ$2)</f>
        <v>1.0142566191446027</v>
      </c>
      <c r="EU701" s="1">
        <f>1+(Table1[[#This Row],[error_ratio_5]]-EK$2)</f>
        <v>1.0089686098654709</v>
      </c>
      <c r="EV701" s="1">
        <f>1+(Table1[[#This Row],[error_ratio_6]]-EL$2)</f>
        <v>1.0135699373695197</v>
      </c>
      <c r="EW701" s="1">
        <f>1+(Table1[[#This Row],[error_ratio_7]]-EM$2)</f>
        <v>1.0145914396887159</v>
      </c>
      <c r="EX701" s="1">
        <f>1+(Table1[[#This Row],[error_ratio_8]]-EN$2)</f>
        <v>0.93737166324435317</v>
      </c>
      <c r="EY701" s="1">
        <f>1+(Table1[[#This Row],[error_ratio_9]]-EO$2)</f>
        <v>0.94846382556987119</v>
      </c>
    </row>
    <row r="702" spans="1:155" x14ac:dyDescent="0.75">
      <c r="A702">
        <v>10</v>
      </c>
      <c r="B702">
        <v>100</v>
      </c>
      <c r="C702">
        <v>100</v>
      </c>
      <c r="D702">
        <v>100</v>
      </c>
      <c r="E702">
        <v>100</v>
      </c>
      <c r="F702">
        <v>100</v>
      </c>
      <c r="G702">
        <v>100</v>
      </c>
      <c r="H702">
        <v>100</v>
      </c>
      <c r="I702">
        <v>10</v>
      </c>
      <c r="J702">
        <v>10</v>
      </c>
      <c r="K702">
        <v>981</v>
      </c>
      <c r="L702">
        <v>1155</v>
      </c>
      <c r="M702">
        <v>1040</v>
      </c>
      <c r="N702">
        <v>1010</v>
      </c>
      <c r="O702">
        <v>1030</v>
      </c>
      <c r="P702">
        <v>900</v>
      </c>
      <c r="Q702">
        <v>977</v>
      </c>
      <c r="R702">
        <v>1058</v>
      </c>
      <c r="S702">
        <v>903</v>
      </c>
      <c r="T702">
        <v>946</v>
      </c>
      <c r="U702">
        <v>980</v>
      </c>
      <c r="V702">
        <v>1135</v>
      </c>
      <c r="W702">
        <v>1032</v>
      </c>
      <c r="X702">
        <v>1010</v>
      </c>
      <c r="Y702">
        <v>982</v>
      </c>
      <c r="Z702">
        <v>892</v>
      </c>
      <c r="AA702">
        <v>958</v>
      </c>
      <c r="AB702">
        <v>1028</v>
      </c>
      <c r="AC702">
        <v>974</v>
      </c>
      <c r="AD702">
        <v>1009</v>
      </c>
      <c r="AE702">
        <v>966</v>
      </c>
      <c r="AF702">
        <v>0</v>
      </c>
      <c r="AG702">
        <v>0</v>
      </c>
      <c r="AH702">
        <v>0</v>
      </c>
      <c r="AI702">
        <v>0</v>
      </c>
      <c r="AJ702">
        <v>1</v>
      </c>
      <c r="AK702">
        <v>8</v>
      </c>
      <c r="AL702">
        <v>3</v>
      </c>
      <c r="AM702">
        <v>2</v>
      </c>
      <c r="AN702">
        <v>0</v>
      </c>
      <c r="AO702">
        <v>0</v>
      </c>
      <c r="AP702">
        <v>1132</v>
      </c>
      <c r="AQ702">
        <v>0</v>
      </c>
      <c r="AR702">
        <v>0</v>
      </c>
      <c r="AS702">
        <v>0</v>
      </c>
      <c r="AT702">
        <v>1</v>
      </c>
      <c r="AU702">
        <v>2</v>
      </c>
      <c r="AV702">
        <v>0</v>
      </c>
      <c r="AW702">
        <v>0</v>
      </c>
      <c r="AX702">
        <v>0</v>
      </c>
      <c r="AY702">
        <v>5</v>
      </c>
      <c r="AZ702">
        <v>6</v>
      </c>
      <c r="BA702">
        <v>1011</v>
      </c>
      <c r="BB702">
        <v>0</v>
      </c>
      <c r="BC702">
        <v>2</v>
      </c>
      <c r="BD702">
        <v>0</v>
      </c>
      <c r="BE702">
        <v>1</v>
      </c>
      <c r="BF702">
        <v>7</v>
      </c>
      <c r="BG702">
        <v>0</v>
      </c>
      <c r="BH702">
        <v>0</v>
      </c>
      <c r="BI702">
        <v>0</v>
      </c>
      <c r="BJ702">
        <v>0</v>
      </c>
      <c r="BK702">
        <v>2</v>
      </c>
      <c r="BL702">
        <v>1000</v>
      </c>
      <c r="BM702">
        <v>0</v>
      </c>
      <c r="BN702">
        <v>3</v>
      </c>
      <c r="BO702">
        <v>0</v>
      </c>
      <c r="BP702">
        <v>2</v>
      </c>
      <c r="BQ702">
        <v>0</v>
      </c>
      <c r="BR702">
        <v>3</v>
      </c>
      <c r="BS702">
        <v>0</v>
      </c>
      <c r="BT702">
        <v>0</v>
      </c>
      <c r="BU702">
        <v>0</v>
      </c>
      <c r="BV702">
        <v>0</v>
      </c>
      <c r="BW702">
        <v>980</v>
      </c>
      <c r="BX702">
        <v>0</v>
      </c>
      <c r="BY702">
        <v>2</v>
      </c>
      <c r="BZ702">
        <v>0</v>
      </c>
      <c r="CA702">
        <v>0</v>
      </c>
      <c r="CB702">
        <v>0</v>
      </c>
      <c r="CC702">
        <v>2</v>
      </c>
      <c r="CD702">
        <v>0</v>
      </c>
      <c r="CE702">
        <v>0</v>
      </c>
      <c r="CF702">
        <v>4</v>
      </c>
      <c r="CG702">
        <v>0</v>
      </c>
      <c r="CH702">
        <v>882</v>
      </c>
      <c r="CI702">
        <v>2</v>
      </c>
      <c r="CJ702">
        <v>1</v>
      </c>
      <c r="CK702">
        <v>0</v>
      </c>
      <c r="CL702">
        <v>1</v>
      </c>
      <c r="CM702">
        <v>2</v>
      </c>
      <c r="CN702">
        <v>2</v>
      </c>
      <c r="CO702">
        <v>1</v>
      </c>
      <c r="CP702">
        <v>0</v>
      </c>
      <c r="CQ702">
        <v>2</v>
      </c>
      <c r="CR702">
        <v>3</v>
      </c>
      <c r="CS702">
        <v>948</v>
      </c>
      <c r="CT702">
        <v>0</v>
      </c>
      <c r="CU702">
        <v>0</v>
      </c>
      <c r="CV702">
        <v>0</v>
      </c>
      <c r="CW702">
        <v>0</v>
      </c>
      <c r="CX702">
        <v>3</v>
      </c>
      <c r="CY702">
        <v>7</v>
      </c>
      <c r="CZ702">
        <v>0</v>
      </c>
      <c r="DA702">
        <v>0</v>
      </c>
      <c r="DB702">
        <v>0</v>
      </c>
      <c r="DC702">
        <v>0</v>
      </c>
      <c r="DD702">
        <v>1018</v>
      </c>
      <c r="DE702">
        <v>0</v>
      </c>
      <c r="DF702">
        <v>0</v>
      </c>
      <c r="DG702">
        <v>3</v>
      </c>
      <c r="DH702">
        <v>4</v>
      </c>
      <c r="DI702">
        <v>19</v>
      </c>
      <c r="DJ702">
        <v>3</v>
      </c>
      <c r="DK702">
        <v>8</v>
      </c>
      <c r="DL702">
        <v>3</v>
      </c>
      <c r="DM702">
        <v>14</v>
      </c>
      <c r="DN702">
        <v>12</v>
      </c>
      <c r="DO702">
        <v>900</v>
      </c>
      <c r="DP702">
        <v>8</v>
      </c>
      <c r="DQ702">
        <v>3</v>
      </c>
      <c r="DR702">
        <v>8</v>
      </c>
      <c r="DS702">
        <v>0</v>
      </c>
      <c r="DT702">
        <v>3</v>
      </c>
      <c r="DU702">
        <v>38</v>
      </c>
      <c r="DV702">
        <v>7</v>
      </c>
      <c r="DW702">
        <v>0</v>
      </c>
      <c r="DX702">
        <v>15</v>
      </c>
      <c r="DY702">
        <v>1</v>
      </c>
      <c r="DZ702">
        <v>934</v>
      </c>
      <c r="EA702">
        <v>0.97709999999999997</v>
      </c>
      <c r="EB702">
        <v>0.97749696313252199</v>
      </c>
      <c r="EC702">
        <v>0.97691014444142499</v>
      </c>
      <c r="ED702">
        <v>0.97687071745823095</v>
      </c>
      <c r="EE702">
        <f>SUM(Table1[[#This Row],[ratio_0]:[ratio_9]])</f>
        <v>730</v>
      </c>
      <c r="EF702" s="1">
        <f>(Table1[[#This Row],[predicted_0]]-Table1[[#This Row],[actual_0]])/Table1[[#This Row],[actual_0]]</f>
        <v>1.0204081632653062E-3</v>
      </c>
      <c r="EG702" s="1">
        <f>(Table1[[#This Row],[predicted_1]]-Table1[[#This Row],[actual_1]])/Table1[[#This Row],[actual_1]]</f>
        <v>1.7621145374449341E-2</v>
      </c>
      <c r="EH702" s="1">
        <f>(Table1[[#This Row],[predicted_2]]-Table1[[#This Row],[actual_2]])/Table1[[#This Row],[actual_2]]</f>
        <v>7.7519379844961239E-3</v>
      </c>
      <c r="EI702" s="1">
        <f>(Table1[[#This Row],[predicted_3]]-Table1[[#This Row],[actual_3]])/Table1[[#This Row],[actual_3]]</f>
        <v>0</v>
      </c>
      <c r="EJ702" s="1">
        <f>(Table1[[#This Row],[predicted_4]]-Table1[[#This Row],[actual_4]])/Table1[[#This Row],[actual_4]]</f>
        <v>4.8879837067209775E-2</v>
      </c>
      <c r="EK702" s="1">
        <f>(Table1[[#This Row],[predicted_5]]-Table1[[#This Row],[actual_5]])/Table1[[#This Row],[actual_5]]</f>
        <v>8.9686098654708519E-3</v>
      </c>
      <c r="EL702" s="1">
        <f>(Table1[[#This Row],[predicted_6]]-Table1[[#This Row],[actual_6]])/Table1[[#This Row],[actual_6]]</f>
        <v>1.9832985386221295E-2</v>
      </c>
      <c r="EM702" s="1">
        <f>(Table1[[#This Row],[predicted_7]]-Table1[[#This Row],[actual_7]])/Table1[[#This Row],[actual_7]]</f>
        <v>2.9182879377431907E-2</v>
      </c>
      <c r="EN702" s="1">
        <f>(Table1[[#This Row],[predicted_8]]-Table1[[#This Row],[actual_8]])/Table1[[#This Row],[actual_8]]</f>
        <v>-7.2895277207392195E-2</v>
      </c>
      <c r="EO702" s="1">
        <f>(Table1[[#This Row],[predicted_9]]-Table1[[#This Row],[actual_9]])/Table1[[#This Row],[actual_9]]</f>
        <v>-6.2438057482656094E-2</v>
      </c>
      <c r="EP702" s="1">
        <f>1+(Table1[[#This Row],[error_ratio_0]]-EF$2)</f>
        <v>0.99897959183673468</v>
      </c>
      <c r="EQ702" s="1">
        <f>1+(Table1[[#This Row],[error_ratio_1]]-EG$2)</f>
        <v>1.0158590308370044</v>
      </c>
      <c r="ER702" s="1">
        <f>1+(Table1[[#This Row],[error_ratio_2]]-EH$2)</f>
        <v>1.0125968992248062</v>
      </c>
      <c r="ES702" s="1">
        <f>1+(Table1[[#This Row],[error_ratio_3]]-EI$2)</f>
        <v>0.99009900990099009</v>
      </c>
      <c r="ET702" s="1">
        <f>1+(Table1[[#This Row],[error_ratio_4]]-EJ$2)</f>
        <v>1.0478615071283095</v>
      </c>
      <c r="EU702" s="1">
        <f>1+(Table1[[#This Row],[error_ratio_5]]-EK$2)</f>
        <v>1.007847533632287</v>
      </c>
      <c r="EV702" s="1">
        <f>1+(Table1[[#This Row],[error_ratio_6]]-EL$2)</f>
        <v>1.0260960334029228</v>
      </c>
      <c r="EW702" s="1">
        <f>1+(Table1[[#This Row],[error_ratio_7]]-EM$2)</f>
        <v>1.027237354085603</v>
      </c>
      <c r="EX702" s="1">
        <f>1+(Table1[[#This Row],[error_ratio_8]]-EN$2)</f>
        <v>0.93018480492813138</v>
      </c>
      <c r="EY702" s="1">
        <f>1+(Table1[[#This Row],[error_ratio_9]]-EO$2)</f>
        <v>0.94152626362735381</v>
      </c>
    </row>
    <row r="703" spans="1:155" x14ac:dyDescent="0.75">
      <c r="A703">
        <v>10</v>
      </c>
      <c r="B703">
        <v>10</v>
      </c>
      <c r="C703">
        <v>100</v>
      </c>
      <c r="D703">
        <v>100</v>
      </c>
      <c r="E703">
        <v>100</v>
      </c>
      <c r="F703">
        <v>100</v>
      </c>
      <c r="G703">
        <v>100</v>
      </c>
      <c r="H703">
        <v>100</v>
      </c>
      <c r="I703">
        <v>10</v>
      </c>
      <c r="J703">
        <v>10</v>
      </c>
      <c r="K703">
        <v>957</v>
      </c>
      <c r="L703">
        <v>1150</v>
      </c>
      <c r="M703">
        <v>1057</v>
      </c>
      <c r="N703">
        <v>1049</v>
      </c>
      <c r="O703">
        <v>1017</v>
      </c>
      <c r="P703">
        <v>937</v>
      </c>
      <c r="Q703">
        <v>985</v>
      </c>
      <c r="R703">
        <v>1034</v>
      </c>
      <c r="S703">
        <v>853</v>
      </c>
      <c r="T703">
        <v>961</v>
      </c>
      <c r="U703">
        <v>980</v>
      </c>
      <c r="V703">
        <v>1135</v>
      </c>
      <c r="W703">
        <v>1032</v>
      </c>
      <c r="X703">
        <v>1010</v>
      </c>
      <c r="Y703">
        <v>982</v>
      </c>
      <c r="Z703">
        <v>892</v>
      </c>
      <c r="AA703">
        <v>958</v>
      </c>
      <c r="AB703">
        <v>1028</v>
      </c>
      <c r="AC703">
        <v>974</v>
      </c>
      <c r="AD703">
        <v>1009</v>
      </c>
      <c r="AE703">
        <v>943</v>
      </c>
      <c r="AF703">
        <v>1</v>
      </c>
      <c r="AG703">
        <v>0</v>
      </c>
      <c r="AH703">
        <v>0</v>
      </c>
      <c r="AI703">
        <v>6</v>
      </c>
      <c r="AJ703">
        <v>12</v>
      </c>
      <c r="AK703">
        <v>11</v>
      </c>
      <c r="AL703">
        <v>1</v>
      </c>
      <c r="AM703">
        <v>0</v>
      </c>
      <c r="AN703">
        <v>6</v>
      </c>
      <c r="AO703">
        <v>0</v>
      </c>
      <c r="AP703">
        <v>1125</v>
      </c>
      <c r="AQ703">
        <v>1</v>
      </c>
      <c r="AR703">
        <v>3</v>
      </c>
      <c r="AS703">
        <v>0</v>
      </c>
      <c r="AT703">
        <v>3</v>
      </c>
      <c r="AU703">
        <v>3</v>
      </c>
      <c r="AV703">
        <v>0</v>
      </c>
      <c r="AW703">
        <v>0</v>
      </c>
      <c r="AX703">
        <v>0</v>
      </c>
      <c r="AY703">
        <v>1</v>
      </c>
      <c r="AZ703">
        <v>0</v>
      </c>
      <c r="BA703">
        <v>1020</v>
      </c>
      <c r="BB703">
        <v>0</v>
      </c>
      <c r="BC703">
        <v>4</v>
      </c>
      <c r="BD703">
        <v>0</v>
      </c>
      <c r="BE703">
        <v>2</v>
      </c>
      <c r="BF703">
        <v>5</v>
      </c>
      <c r="BG703">
        <v>0</v>
      </c>
      <c r="BH703">
        <v>0</v>
      </c>
      <c r="BI703">
        <v>0</v>
      </c>
      <c r="BJ703">
        <v>0</v>
      </c>
      <c r="BK703">
        <v>1</v>
      </c>
      <c r="BL703">
        <v>1003</v>
      </c>
      <c r="BM703">
        <v>0</v>
      </c>
      <c r="BN703">
        <v>2</v>
      </c>
      <c r="BO703">
        <v>0</v>
      </c>
      <c r="BP703">
        <v>4</v>
      </c>
      <c r="BQ703">
        <v>0</v>
      </c>
      <c r="BR703">
        <v>0</v>
      </c>
      <c r="BS703">
        <v>0</v>
      </c>
      <c r="BT703">
        <v>0</v>
      </c>
      <c r="BU703">
        <v>0</v>
      </c>
      <c r="BV703">
        <v>0</v>
      </c>
      <c r="BW703">
        <v>977</v>
      </c>
      <c r="BX703">
        <v>0</v>
      </c>
      <c r="BY703">
        <v>4</v>
      </c>
      <c r="BZ703">
        <v>0</v>
      </c>
      <c r="CA703">
        <v>0</v>
      </c>
      <c r="CB703">
        <v>1</v>
      </c>
      <c r="CC703">
        <v>0</v>
      </c>
      <c r="CD703">
        <v>0</v>
      </c>
      <c r="CE703">
        <v>0</v>
      </c>
      <c r="CF703">
        <v>6</v>
      </c>
      <c r="CG703">
        <v>0</v>
      </c>
      <c r="CH703">
        <v>884</v>
      </c>
      <c r="CI703">
        <v>2</v>
      </c>
      <c r="CJ703">
        <v>0</v>
      </c>
      <c r="CK703">
        <v>0</v>
      </c>
      <c r="CL703">
        <v>0</v>
      </c>
      <c r="CM703">
        <v>0</v>
      </c>
      <c r="CN703">
        <v>2</v>
      </c>
      <c r="CO703">
        <v>0</v>
      </c>
      <c r="CP703">
        <v>0</v>
      </c>
      <c r="CQ703">
        <v>1</v>
      </c>
      <c r="CR703">
        <v>4</v>
      </c>
      <c r="CS703">
        <v>951</v>
      </c>
      <c r="CT703">
        <v>0</v>
      </c>
      <c r="CU703">
        <v>0</v>
      </c>
      <c r="CV703">
        <v>0</v>
      </c>
      <c r="CW703">
        <v>1</v>
      </c>
      <c r="CX703">
        <v>4</v>
      </c>
      <c r="CY703">
        <v>11</v>
      </c>
      <c r="CZ703">
        <v>1</v>
      </c>
      <c r="DA703">
        <v>0</v>
      </c>
      <c r="DB703">
        <v>0</v>
      </c>
      <c r="DC703">
        <v>0</v>
      </c>
      <c r="DD703">
        <v>1006</v>
      </c>
      <c r="DE703">
        <v>0</v>
      </c>
      <c r="DF703">
        <v>5</v>
      </c>
      <c r="DG703">
        <v>11</v>
      </c>
      <c r="DH703">
        <v>10</v>
      </c>
      <c r="DI703">
        <v>23</v>
      </c>
      <c r="DJ703">
        <v>23</v>
      </c>
      <c r="DK703">
        <v>8</v>
      </c>
      <c r="DL703">
        <v>21</v>
      </c>
      <c r="DM703">
        <v>12</v>
      </c>
      <c r="DN703">
        <v>7</v>
      </c>
      <c r="DO703">
        <v>853</v>
      </c>
      <c r="DP703">
        <v>6</v>
      </c>
      <c r="DQ703">
        <v>1</v>
      </c>
      <c r="DR703">
        <v>8</v>
      </c>
      <c r="DS703">
        <v>1</v>
      </c>
      <c r="DT703">
        <v>13</v>
      </c>
      <c r="DU703">
        <v>21</v>
      </c>
      <c r="DV703">
        <v>11</v>
      </c>
      <c r="DW703">
        <v>0</v>
      </c>
      <c r="DX703">
        <v>11</v>
      </c>
      <c r="DY703">
        <v>0</v>
      </c>
      <c r="DZ703">
        <v>943</v>
      </c>
      <c r="EA703">
        <v>0.97050000000000003</v>
      </c>
      <c r="EB703">
        <v>0.97085533765994902</v>
      </c>
      <c r="EC703">
        <v>0.97024665203217098</v>
      </c>
      <c r="ED703">
        <v>0.96990755977313203</v>
      </c>
      <c r="EE703">
        <f>SUM(Table1[[#This Row],[ratio_0]:[ratio_9]])</f>
        <v>640</v>
      </c>
      <c r="EF703" s="1">
        <f>(Table1[[#This Row],[predicted_0]]-Table1[[#This Row],[actual_0]])/Table1[[#This Row],[actual_0]]</f>
        <v>-2.3469387755102041E-2</v>
      </c>
      <c r="EG703" s="1">
        <f>(Table1[[#This Row],[predicted_1]]-Table1[[#This Row],[actual_1]])/Table1[[#This Row],[actual_1]]</f>
        <v>1.3215859030837005E-2</v>
      </c>
      <c r="EH703" s="1">
        <f>(Table1[[#This Row],[predicted_2]]-Table1[[#This Row],[actual_2]])/Table1[[#This Row],[actual_2]]</f>
        <v>2.4224806201550389E-2</v>
      </c>
      <c r="EI703" s="1">
        <f>(Table1[[#This Row],[predicted_3]]-Table1[[#This Row],[actual_3]])/Table1[[#This Row],[actual_3]]</f>
        <v>3.8613861386138613E-2</v>
      </c>
      <c r="EJ703" s="1">
        <f>(Table1[[#This Row],[predicted_4]]-Table1[[#This Row],[actual_4]])/Table1[[#This Row],[actual_4]]</f>
        <v>3.5641547861507125E-2</v>
      </c>
      <c r="EK703" s="1">
        <f>(Table1[[#This Row],[predicted_5]]-Table1[[#This Row],[actual_5]])/Table1[[#This Row],[actual_5]]</f>
        <v>5.0448430493273543E-2</v>
      </c>
      <c r="EL703" s="1">
        <f>(Table1[[#This Row],[predicted_6]]-Table1[[#This Row],[actual_6]])/Table1[[#This Row],[actual_6]]</f>
        <v>2.8183716075156576E-2</v>
      </c>
      <c r="EM703" s="1">
        <f>(Table1[[#This Row],[predicted_7]]-Table1[[#This Row],[actual_7]])/Table1[[#This Row],[actual_7]]</f>
        <v>5.8365758754863814E-3</v>
      </c>
      <c r="EN703" s="1">
        <f>(Table1[[#This Row],[predicted_8]]-Table1[[#This Row],[actual_8]])/Table1[[#This Row],[actual_8]]</f>
        <v>-0.12422997946611909</v>
      </c>
      <c r="EO703" s="1">
        <f>(Table1[[#This Row],[predicted_9]]-Table1[[#This Row],[actual_9]])/Table1[[#This Row],[actual_9]]</f>
        <v>-4.7571853320118929E-2</v>
      </c>
      <c r="EP703" s="1">
        <f>1+(Table1[[#This Row],[error_ratio_0]]-EF$2)</f>
        <v>0.97448979591836737</v>
      </c>
      <c r="EQ703" s="1">
        <f>1+(Table1[[#This Row],[error_ratio_1]]-EG$2)</f>
        <v>1.011453744493392</v>
      </c>
      <c r="ER703" s="1">
        <f>1+(Table1[[#This Row],[error_ratio_2]]-EH$2)</f>
        <v>1.0290697674418605</v>
      </c>
      <c r="ES703" s="1">
        <f>1+(Table1[[#This Row],[error_ratio_3]]-EI$2)</f>
        <v>1.0287128712871287</v>
      </c>
      <c r="ET703" s="1">
        <f>1+(Table1[[#This Row],[error_ratio_4]]-EJ$2)</f>
        <v>1.0346232179226069</v>
      </c>
      <c r="EU703" s="1">
        <f>1+(Table1[[#This Row],[error_ratio_5]]-EK$2)</f>
        <v>1.0493273542600896</v>
      </c>
      <c r="EV703" s="1">
        <f>1+(Table1[[#This Row],[error_ratio_6]]-EL$2)</f>
        <v>1.034446764091858</v>
      </c>
      <c r="EW703" s="1">
        <f>1+(Table1[[#This Row],[error_ratio_7]]-EM$2)</f>
        <v>1.0038910505836576</v>
      </c>
      <c r="EX703" s="1">
        <f>1+(Table1[[#This Row],[error_ratio_8]]-EN$2)</f>
        <v>0.87885010266940455</v>
      </c>
      <c r="EY703" s="1">
        <f>1+(Table1[[#This Row],[error_ratio_9]]-EO$2)</f>
        <v>0.95639246778989095</v>
      </c>
    </row>
    <row r="704" spans="1:155" x14ac:dyDescent="0.75">
      <c r="A704">
        <v>100</v>
      </c>
      <c r="B704">
        <v>100</v>
      </c>
      <c r="C704">
        <v>10</v>
      </c>
      <c r="D704">
        <v>100</v>
      </c>
      <c r="E704">
        <v>100</v>
      </c>
      <c r="F704">
        <v>100</v>
      </c>
      <c r="G704">
        <v>100</v>
      </c>
      <c r="H704">
        <v>100</v>
      </c>
      <c r="I704">
        <v>10</v>
      </c>
      <c r="J704">
        <v>10</v>
      </c>
      <c r="K704">
        <v>997</v>
      </c>
      <c r="L704">
        <v>1131</v>
      </c>
      <c r="M704">
        <v>1004</v>
      </c>
      <c r="N704">
        <v>1023</v>
      </c>
      <c r="O704">
        <v>1003</v>
      </c>
      <c r="P704">
        <v>989</v>
      </c>
      <c r="Q704">
        <v>964</v>
      </c>
      <c r="R704">
        <v>1043</v>
      </c>
      <c r="S704">
        <v>906</v>
      </c>
      <c r="T704">
        <v>940</v>
      </c>
      <c r="U704">
        <v>980</v>
      </c>
      <c r="V704">
        <v>1135</v>
      </c>
      <c r="W704">
        <v>1032</v>
      </c>
      <c r="X704">
        <v>1010</v>
      </c>
      <c r="Y704">
        <v>982</v>
      </c>
      <c r="Z704">
        <v>892</v>
      </c>
      <c r="AA704">
        <v>958</v>
      </c>
      <c r="AB704">
        <v>1028</v>
      </c>
      <c r="AC704">
        <v>974</v>
      </c>
      <c r="AD704">
        <v>1009</v>
      </c>
      <c r="AE704">
        <v>974</v>
      </c>
      <c r="AF704">
        <v>0</v>
      </c>
      <c r="AG704">
        <v>0</v>
      </c>
      <c r="AH704">
        <v>0</v>
      </c>
      <c r="AI704">
        <v>0</v>
      </c>
      <c r="AJ704">
        <v>0</v>
      </c>
      <c r="AK704">
        <v>4</v>
      </c>
      <c r="AL704">
        <v>2</v>
      </c>
      <c r="AM704">
        <v>0</v>
      </c>
      <c r="AN704">
        <v>0</v>
      </c>
      <c r="AO704">
        <v>0</v>
      </c>
      <c r="AP704">
        <v>1122</v>
      </c>
      <c r="AQ704">
        <v>2</v>
      </c>
      <c r="AR704">
        <v>1</v>
      </c>
      <c r="AS704">
        <v>0</v>
      </c>
      <c r="AT704">
        <v>3</v>
      </c>
      <c r="AU704">
        <v>2</v>
      </c>
      <c r="AV704">
        <v>4</v>
      </c>
      <c r="AW704">
        <v>1</v>
      </c>
      <c r="AX704">
        <v>0</v>
      </c>
      <c r="AY704">
        <v>6</v>
      </c>
      <c r="AZ704">
        <v>3</v>
      </c>
      <c r="BA704">
        <v>990</v>
      </c>
      <c r="BB704">
        <v>14</v>
      </c>
      <c r="BC704">
        <v>2</v>
      </c>
      <c r="BD704">
        <v>4</v>
      </c>
      <c r="BE704">
        <v>2</v>
      </c>
      <c r="BF704">
        <v>9</v>
      </c>
      <c r="BG704">
        <v>2</v>
      </c>
      <c r="BH704">
        <v>0</v>
      </c>
      <c r="BI704">
        <v>0</v>
      </c>
      <c r="BJ704">
        <v>0</v>
      </c>
      <c r="BK704">
        <v>1</v>
      </c>
      <c r="BL704">
        <v>988</v>
      </c>
      <c r="BM704">
        <v>0</v>
      </c>
      <c r="BN704">
        <v>19</v>
      </c>
      <c r="BO704">
        <v>0</v>
      </c>
      <c r="BP704">
        <v>1</v>
      </c>
      <c r="BQ704">
        <v>1</v>
      </c>
      <c r="BR704">
        <v>0</v>
      </c>
      <c r="BS704">
        <v>0</v>
      </c>
      <c r="BT704">
        <v>0</v>
      </c>
      <c r="BU704">
        <v>0</v>
      </c>
      <c r="BV704">
        <v>0</v>
      </c>
      <c r="BW704">
        <v>976</v>
      </c>
      <c r="BX704">
        <v>0</v>
      </c>
      <c r="BY704">
        <v>5</v>
      </c>
      <c r="BZ704">
        <v>0</v>
      </c>
      <c r="CA704">
        <v>1</v>
      </c>
      <c r="CB704">
        <v>0</v>
      </c>
      <c r="CC704">
        <v>1</v>
      </c>
      <c r="CD704">
        <v>0</v>
      </c>
      <c r="CE704">
        <v>0</v>
      </c>
      <c r="CF704">
        <v>2</v>
      </c>
      <c r="CG704">
        <v>0</v>
      </c>
      <c r="CH704">
        <v>888</v>
      </c>
      <c r="CI704">
        <v>1</v>
      </c>
      <c r="CJ704">
        <v>0</v>
      </c>
      <c r="CK704">
        <v>0</v>
      </c>
      <c r="CL704">
        <v>0</v>
      </c>
      <c r="CM704">
        <v>4</v>
      </c>
      <c r="CN704">
        <v>1</v>
      </c>
      <c r="CO704">
        <v>1</v>
      </c>
      <c r="CP704">
        <v>1</v>
      </c>
      <c r="CQ704">
        <v>1</v>
      </c>
      <c r="CR704">
        <v>9</v>
      </c>
      <c r="CS704">
        <v>941</v>
      </c>
      <c r="CT704">
        <v>0</v>
      </c>
      <c r="CU704">
        <v>0</v>
      </c>
      <c r="CV704">
        <v>0</v>
      </c>
      <c r="CW704">
        <v>0</v>
      </c>
      <c r="CX704">
        <v>2</v>
      </c>
      <c r="CY704">
        <v>6</v>
      </c>
      <c r="CZ704">
        <v>1</v>
      </c>
      <c r="DA704">
        <v>0</v>
      </c>
      <c r="DB704">
        <v>1</v>
      </c>
      <c r="DC704">
        <v>0</v>
      </c>
      <c r="DD704">
        <v>1017</v>
      </c>
      <c r="DE704">
        <v>0</v>
      </c>
      <c r="DF704">
        <v>1</v>
      </c>
      <c r="DG704">
        <v>8</v>
      </c>
      <c r="DH704">
        <v>0</v>
      </c>
      <c r="DI704">
        <v>4</v>
      </c>
      <c r="DJ704">
        <v>11</v>
      </c>
      <c r="DK704">
        <v>1</v>
      </c>
      <c r="DL704">
        <v>32</v>
      </c>
      <c r="DM704">
        <v>8</v>
      </c>
      <c r="DN704">
        <v>4</v>
      </c>
      <c r="DO704">
        <v>898</v>
      </c>
      <c r="DP704">
        <v>8</v>
      </c>
      <c r="DQ704">
        <v>4</v>
      </c>
      <c r="DR704">
        <v>3</v>
      </c>
      <c r="DS704">
        <v>0</v>
      </c>
      <c r="DT704">
        <v>5</v>
      </c>
      <c r="DU704">
        <v>23</v>
      </c>
      <c r="DV704">
        <v>33</v>
      </c>
      <c r="DW704">
        <v>1</v>
      </c>
      <c r="DX704">
        <v>6</v>
      </c>
      <c r="DY704">
        <v>3</v>
      </c>
      <c r="DZ704">
        <v>931</v>
      </c>
      <c r="EA704">
        <v>0.97250000000000003</v>
      </c>
      <c r="EB704">
        <v>0.97245818082950897</v>
      </c>
      <c r="EC704">
        <v>0.97255709684269398</v>
      </c>
      <c r="ED704">
        <v>0.97196376737232504</v>
      </c>
      <c r="EE704">
        <f>SUM(Table1[[#This Row],[ratio_0]:[ratio_9]])</f>
        <v>730</v>
      </c>
      <c r="EF704" s="1">
        <f>(Table1[[#This Row],[predicted_0]]-Table1[[#This Row],[actual_0]])/Table1[[#This Row],[actual_0]]</f>
        <v>1.7346938775510204E-2</v>
      </c>
      <c r="EG704" s="1">
        <f>(Table1[[#This Row],[predicted_1]]-Table1[[#This Row],[actual_1]])/Table1[[#This Row],[actual_1]]</f>
        <v>-3.524229074889868E-3</v>
      </c>
      <c r="EH704" s="1">
        <f>(Table1[[#This Row],[predicted_2]]-Table1[[#This Row],[actual_2]])/Table1[[#This Row],[actual_2]]</f>
        <v>-2.7131782945736434E-2</v>
      </c>
      <c r="EI704" s="1">
        <f>(Table1[[#This Row],[predicted_3]]-Table1[[#This Row],[actual_3]])/Table1[[#This Row],[actual_3]]</f>
        <v>1.2871287128712871E-2</v>
      </c>
      <c r="EJ704" s="1">
        <f>(Table1[[#This Row],[predicted_4]]-Table1[[#This Row],[actual_4]])/Table1[[#This Row],[actual_4]]</f>
        <v>2.1384928716904276E-2</v>
      </c>
      <c r="EK704" s="1">
        <f>(Table1[[#This Row],[predicted_5]]-Table1[[#This Row],[actual_5]])/Table1[[#This Row],[actual_5]]</f>
        <v>0.10874439461883408</v>
      </c>
      <c r="EL704" s="1">
        <f>(Table1[[#This Row],[predicted_6]]-Table1[[#This Row],[actual_6]])/Table1[[#This Row],[actual_6]]</f>
        <v>6.2630480167014616E-3</v>
      </c>
      <c r="EM704" s="1">
        <f>(Table1[[#This Row],[predicted_7]]-Table1[[#This Row],[actual_7]])/Table1[[#This Row],[actual_7]]</f>
        <v>1.4591439688715954E-2</v>
      </c>
      <c r="EN704" s="1">
        <f>(Table1[[#This Row],[predicted_8]]-Table1[[#This Row],[actual_8]])/Table1[[#This Row],[actual_8]]</f>
        <v>-6.9815195071868577E-2</v>
      </c>
      <c r="EO704" s="1">
        <f>(Table1[[#This Row],[predicted_9]]-Table1[[#This Row],[actual_9]])/Table1[[#This Row],[actual_9]]</f>
        <v>-6.8384539147670967E-2</v>
      </c>
      <c r="EP704" s="1">
        <f>1+(Table1[[#This Row],[error_ratio_0]]-EF$2)</f>
        <v>1.0153061224489797</v>
      </c>
      <c r="EQ704" s="1">
        <f>1+(Table1[[#This Row],[error_ratio_1]]-EG$2)</f>
        <v>0.99471365638766518</v>
      </c>
      <c r="ER704" s="1">
        <f>1+(Table1[[#This Row],[error_ratio_2]]-EH$2)</f>
        <v>0.9777131782945736</v>
      </c>
      <c r="ES704" s="1">
        <f>1+(Table1[[#This Row],[error_ratio_3]]-EI$2)</f>
        <v>1.002970297029703</v>
      </c>
      <c r="ET704" s="1">
        <f>1+(Table1[[#This Row],[error_ratio_4]]-EJ$2)</f>
        <v>1.0203665987780042</v>
      </c>
      <c r="EU704" s="1">
        <f>1+(Table1[[#This Row],[error_ratio_5]]-EK$2)</f>
        <v>1.1076233183856503</v>
      </c>
      <c r="EV704" s="1">
        <f>1+(Table1[[#This Row],[error_ratio_6]]-EL$2)</f>
        <v>1.0125260960334028</v>
      </c>
      <c r="EW704" s="1">
        <f>1+(Table1[[#This Row],[error_ratio_7]]-EM$2)</f>
        <v>1.0126459143968871</v>
      </c>
      <c r="EX704" s="1">
        <f>1+(Table1[[#This Row],[error_ratio_8]]-EN$2)</f>
        <v>0.93326488706365507</v>
      </c>
      <c r="EY704" s="1">
        <f>1+(Table1[[#This Row],[error_ratio_9]]-EO$2)</f>
        <v>0.93557978196233893</v>
      </c>
    </row>
    <row r="705" spans="1:155" x14ac:dyDescent="0.75">
      <c r="A705">
        <v>10</v>
      </c>
      <c r="B705">
        <v>100</v>
      </c>
      <c r="C705">
        <v>10</v>
      </c>
      <c r="D705">
        <v>100</v>
      </c>
      <c r="E705">
        <v>100</v>
      </c>
      <c r="F705">
        <v>100</v>
      </c>
      <c r="G705">
        <v>100</v>
      </c>
      <c r="H705">
        <v>100</v>
      </c>
      <c r="I705">
        <v>10</v>
      </c>
      <c r="J705">
        <v>10</v>
      </c>
      <c r="K705">
        <v>962</v>
      </c>
      <c r="L705">
        <v>1129</v>
      </c>
      <c r="M705">
        <v>994</v>
      </c>
      <c r="N705">
        <v>1062</v>
      </c>
      <c r="O705">
        <v>998</v>
      </c>
      <c r="P705">
        <v>913</v>
      </c>
      <c r="Q705">
        <v>964</v>
      </c>
      <c r="R705">
        <v>1046</v>
      </c>
      <c r="S705">
        <v>963</v>
      </c>
      <c r="T705">
        <v>969</v>
      </c>
      <c r="U705">
        <v>980</v>
      </c>
      <c r="V705">
        <v>1135</v>
      </c>
      <c r="W705">
        <v>1032</v>
      </c>
      <c r="X705">
        <v>1010</v>
      </c>
      <c r="Y705">
        <v>982</v>
      </c>
      <c r="Z705">
        <v>892</v>
      </c>
      <c r="AA705">
        <v>958</v>
      </c>
      <c r="AB705">
        <v>1028</v>
      </c>
      <c r="AC705">
        <v>974</v>
      </c>
      <c r="AD705">
        <v>1009</v>
      </c>
      <c r="AE705">
        <v>949</v>
      </c>
      <c r="AF705">
        <v>0</v>
      </c>
      <c r="AG705">
        <v>0</v>
      </c>
      <c r="AH705">
        <v>2</v>
      </c>
      <c r="AI705">
        <v>3</v>
      </c>
      <c r="AJ705">
        <v>9</v>
      </c>
      <c r="AK705">
        <v>7</v>
      </c>
      <c r="AL705">
        <v>3</v>
      </c>
      <c r="AM705">
        <v>4</v>
      </c>
      <c r="AN705">
        <v>3</v>
      </c>
      <c r="AO705">
        <v>0</v>
      </c>
      <c r="AP705">
        <v>1121</v>
      </c>
      <c r="AQ705">
        <v>2</v>
      </c>
      <c r="AR705">
        <v>1</v>
      </c>
      <c r="AS705">
        <v>0</v>
      </c>
      <c r="AT705">
        <v>2</v>
      </c>
      <c r="AU705">
        <v>1</v>
      </c>
      <c r="AV705">
        <v>3</v>
      </c>
      <c r="AW705">
        <v>5</v>
      </c>
      <c r="AX705">
        <v>0</v>
      </c>
      <c r="AY705">
        <v>4</v>
      </c>
      <c r="AZ705">
        <v>1</v>
      </c>
      <c r="BA705">
        <v>987</v>
      </c>
      <c r="BB705">
        <v>21</v>
      </c>
      <c r="BC705">
        <v>4</v>
      </c>
      <c r="BD705">
        <v>1</v>
      </c>
      <c r="BE705">
        <v>2</v>
      </c>
      <c r="BF705">
        <v>7</v>
      </c>
      <c r="BG705">
        <v>5</v>
      </c>
      <c r="BH705">
        <v>0</v>
      </c>
      <c r="BI705">
        <v>0</v>
      </c>
      <c r="BJ705">
        <v>0</v>
      </c>
      <c r="BK705">
        <v>0</v>
      </c>
      <c r="BL705">
        <v>1008</v>
      </c>
      <c r="BM705">
        <v>0</v>
      </c>
      <c r="BN705">
        <v>0</v>
      </c>
      <c r="BO705">
        <v>0</v>
      </c>
      <c r="BP705">
        <v>2</v>
      </c>
      <c r="BQ705">
        <v>0</v>
      </c>
      <c r="BR705">
        <v>0</v>
      </c>
      <c r="BS705">
        <v>0</v>
      </c>
      <c r="BT705">
        <v>0</v>
      </c>
      <c r="BU705">
        <v>1</v>
      </c>
      <c r="BV705">
        <v>0</v>
      </c>
      <c r="BW705">
        <v>976</v>
      </c>
      <c r="BX705">
        <v>0</v>
      </c>
      <c r="BY705">
        <v>4</v>
      </c>
      <c r="BZ705">
        <v>0</v>
      </c>
      <c r="CA705">
        <v>0</v>
      </c>
      <c r="CB705">
        <v>1</v>
      </c>
      <c r="CC705">
        <v>1</v>
      </c>
      <c r="CD705">
        <v>0</v>
      </c>
      <c r="CE705">
        <v>0</v>
      </c>
      <c r="CF705">
        <v>8</v>
      </c>
      <c r="CG705">
        <v>0</v>
      </c>
      <c r="CH705">
        <v>882</v>
      </c>
      <c r="CI705">
        <v>1</v>
      </c>
      <c r="CJ705">
        <v>0</v>
      </c>
      <c r="CK705">
        <v>0</v>
      </c>
      <c r="CL705">
        <v>0</v>
      </c>
      <c r="CM705">
        <v>3</v>
      </c>
      <c r="CN705">
        <v>2</v>
      </c>
      <c r="CO705">
        <v>1</v>
      </c>
      <c r="CP705">
        <v>0</v>
      </c>
      <c r="CQ705">
        <v>1</v>
      </c>
      <c r="CR705">
        <v>5</v>
      </c>
      <c r="CS705">
        <v>946</v>
      </c>
      <c r="CT705">
        <v>0</v>
      </c>
      <c r="CU705">
        <v>0</v>
      </c>
      <c r="CV705">
        <v>0</v>
      </c>
      <c r="CW705">
        <v>0</v>
      </c>
      <c r="CX705">
        <v>2</v>
      </c>
      <c r="CY705">
        <v>1</v>
      </c>
      <c r="CZ705">
        <v>2</v>
      </c>
      <c r="DA705">
        <v>0</v>
      </c>
      <c r="DB705">
        <v>0</v>
      </c>
      <c r="DC705">
        <v>0</v>
      </c>
      <c r="DD705">
        <v>1016</v>
      </c>
      <c r="DE705">
        <v>2</v>
      </c>
      <c r="DF705">
        <v>5</v>
      </c>
      <c r="DG705">
        <v>1</v>
      </c>
      <c r="DH705">
        <v>0</v>
      </c>
      <c r="DI705">
        <v>2</v>
      </c>
      <c r="DJ705">
        <v>7</v>
      </c>
      <c r="DK705">
        <v>3</v>
      </c>
      <c r="DL705">
        <v>8</v>
      </c>
      <c r="DM705">
        <v>2</v>
      </c>
      <c r="DN705">
        <v>4</v>
      </c>
      <c r="DO705">
        <v>943</v>
      </c>
      <c r="DP705">
        <v>4</v>
      </c>
      <c r="DQ705">
        <v>4</v>
      </c>
      <c r="DR705">
        <v>3</v>
      </c>
      <c r="DS705">
        <v>0</v>
      </c>
      <c r="DT705">
        <v>13</v>
      </c>
      <c r="DU705">
        <v>11</v>
      </c>
      <c r="DV705">
        <v>6</v>
      </c>
      <c r="DW705">
        <v>1</v>
      </c>
      <c r="DX705">
        <v>11</v>
      </c>
      <c r="DY705">
        <v>4</v>
      </c>
      <c r="DZ705">
        <v>956</v>
      </c>
      <c r="EA705">
        <v>0.97840000000000005</v>
      </c>
      <c r="EB705">
        <v>0.97839755604490997</v>
      </c>
      <c r="EC705">
        <v>0.97845729361364098</v>
      </c>
      <c r="ED705">
        <v>0.978252029384031</v>
      </c>
      <c r="EE705">
        <f>SUM(Table1[[#This Row],[ratio_0]:[ratio_9]])</f>
        <v>640</v>
      </c>
      <c r="EF705" s="1">
        <f>(Table1[[#This Row],[predicted_0]]-Table1[[#This Row],[actual_0]])/Table1[[#This Row],[actual_0]]</f>
        <v>-1.8367346938775512E-2</v>
      </c>
      <c r="EG705" s="1">
        <f>(Table1[[#This Row],[predicted_1]]-Table1[[#This Row],[actual_1]])/Table1[[#This Row],[actual_1]]</f>
        <v>-5.2863436123348016E-3</v>
      </c>
      <c r="EH705" s="1">
        <f>(Table1[[#This Row],[predicted_2]]-Table1[[#This Row],[actual_2]])/Table1[[#This Row],[actual_2]]</f>
        <v>-3.6821705426356592E-2</v>
      </c>
      <c r="EI705" s="1">
        <f>(Table1[[#This Row],[predicted_3]]-Table1[[#This Row],[actual_3]])/Table1[[#This Row],[actual_3]]</f>
        <v>5.1485148514851482E-2</v>
      </c>
      <c r="EJ705" s="1">
        <f>(Table1[[#This Row],[predicted_4]]-Table1[[#This Row],[actual_4]])/Table1[[#This Row],[actual_4]]</f>
        <v>1.6293279022403257E-2</v>
      </c>
      <c r="EK705" s="1">
        <f>(Table1[[#This Row],[predicted_5]]-Table1[[#This Row],[actual_5]])/Table1[[#This Row],[actual_5]]</f>
        <v>2.3542600896860985E-2</v>
      </c>
      <c r="EL705" s="1">
        <f>(Table1[[#This Row],[predicted_6]]-Table1[[#This Row],[actual_6]])/Table1[[#This Row],[actual_6]]</f>
        <v>6.2630480167014616E-3</v>
      </c>
      <c r="EM705" s="1">
        <f>(Table1[[#This Row],[predicted_7]]-Table1[[#This Row],[actual_7]])/Table1[[#This Row],[actual_7]]</f>
        <v>1.7509727626459144E-2</v>
      </c>
      <c r="EN705" s="1">
        <f>(Table1[[#This Row],[predicted_8]]-Table1[[#This Row],[actual_8]])/Table1[[#This Row],[actual_8]]</f>
        <v>-1.1293634496919919E-2</v>
      </c>
      <c r="EO705" s="1">
        <f>(Table1[[#This Row],[predicted_9]]-Table1[[#This Row],[actual_9]])/Table1[[#This Row],[actual_9]]</f>
        <v>-3.9643211100099107E-2</v>
      </c>
      <c r="EP705" s="1">
        <f>1+(Table1[[#This Row],[error_ratio_0]]-EF$2)</f>
        <v>0.97959183673469385</v>
      </c>
      <c r="EQ705" s="1">
        <f>1+(Table1[[#This Row],[error_ratio_1]]-EG$2)</f>
        <v>0.99295154185022028</v>
      </c>
      <c r="ER705" s="1">
        <f>1+(Table1[[#This Row],[error_ratio_2]]-EH$2)</f>
        <v>0.96802325581395343</v>
      </c>
      <c r="ES705" s="1">
        <f>1+(Table1[[#This Row],[error_ratio_3]]-EI$2)</f>
        <v>1.0415841584158416</v>
      </c>
      <c r="ET705" s="1">
        <f>1+(Table1[[#This Row],[error_ratio_4]]-EJ$2)</f>
        <v>1.0152749490835031</v>
      </c>
      <c r="EU705" s="1">
        <f>1+(Table1[[#This Row],[error_ratio_5]]-EK$2)</f>
        <v>1.0224215246636772</v>
      </c>
      <c r="EV705" s="1">
        <f>1+(Table1[[#This Row],[error_ratio_6]]-EL$2)</f>
        <v>1.0125260960334028</v>
      </c>
      <c r="EW705" s="1">
        <f>1+(Table1[[#This Row],[error_ratio_7]]-EM$2)</f>
        <v>1.0155642023346303</v>
      </c>
      <c r="EX705" s="1">
        <f>1+(Table1[[#This Row],[error_ratio_8]]-EN$2)</f>
        <v>0.99178644763860369</v>
      </c>
      <c r="EY705" s="1">
        <f>1+(Table1[[#This Row],[error_ratio_9]]-EO$2)</f>
        <v>0.96432111000991083</v>
      </c>
    </row>
    <row r="706" spans="1:155" x14ac:dyDescent="0.75">
      <c r="A706">
        <v>100</v>
      </c>
      <c r="B706">
        <v>10</v>
      </c>
      <c r="C706">
        <v>10</v>
      </c>
      <c r="D706">
        <v>100</v>
      </c>
      <c r="E706">
        <v>100</v>
      </c>
      <c r="F706">
        <v>100</v>
      </c>
      <c r="G706">
        <v>100</v>
      </c>
      <c r="H706">
        <v>100</v>
      </c>
      <c r="I706">
        <v>10</v>
      </c>
      <c r="J706">
        <v>10</v>
      </c>
      <c r="K706">
        <v>1001</v>
      </c>
      <c r="L706">
        <v>1120</v>
      </c>
      <c r="M706">
        <v>926</v>
      </c>
      <c r="N706">
        <v>1177</v>
      </c>
      <c r="O706">
        <v>1003</v>
      </c>
      <c r="P706">
        <v>922</v>
      </c>
      <c r="Q706">
        <v>972</v>
      </c>
      <c r="R706">
        <v>1061</v>
      </c>
      <c r="S706">
        <v>913</v>
      </c>
      <c r="T706">
        <v>905</v>
      </c>
      <c r="U706">
        <v>980</v>
      </c>
      <c r="V706">
        <v>1135</v>
      </c>
      <c r="W706">
        <v>1032</v>
      </c>
      <c r="X706">
        <v>1010</v>
      </c>
      <c r="Y706">
        <v>982</v>
      </c>
      <c r="Z706">
        <v>892</v>
      </c>
      <c r="AA706">
        <v>958</v>
      </c>
      <c r="AB706">
        <v>1028</v>
      </c>
      <c r="AC706">
        <v>974</v>
      </c>
      <c r="AD706">
        <v>1009</v>
      </c>
      <c r="AE706">
        <v>975</v>
      </c>
      <c r="AF706">
        <v>0</v>
      </c>
      <c r="AG706">
        <v>0</v>
      </c>
      <c r="AH706">
        <v>0</v>
      </c>
      <c r="AI706">
        <v>0</v>
      </c>
      <c r="AJ706">
        <v>0</v>
      </c>
      <c r="AK706">
        <v>3</v>
      </c>
      <c r="AL706">
        <v>2</v>
      </c>
      <c r="AM706">
        <v>0</v>
      </c>
      <c r="AN706">
        <v>0</v>
      </c>
      <c r="AO706">
        <v>0</v>
      </c>
      <c r="AP706">
        <v>1110</v>
      </c>
      <c r="AQ706">
        <v>0</v>
      </c>
      <c r="AR706">
        <v>6</v>
      </c>
      <c r="AS706">
        <v>0</v>
      </c>
      <c r="AT706">
        <v>3</v>
      </c>
      <c r="AU706">
        <v>5</v>
      </c>
      <c r="AV706">
        <v>9</v>
      </c>
      <c r="AW706">
        <v>2</v>
      </c>
      <c r="AX706">
        <v>0</v>
      </c>
      <c r="AY706">
        <v>10</v>
      </c>
      <c r="AZ706">
        <v>4</v>
      </c>
      <c r="BA706">
        <v>920</v>
      </c>
      <c r="BB706">
        <v>64</v>
      </c>
      <c r="BC706">
        <v>4</v>
      </c>
      <c r="BD706">
        <v>0</v>
      </c>
      <c r="BE706">
        <v>4</v>
      </c>
      <c r="BF706">
        <v>24</v>
      </c>
      <c r="BG706">
        <v>2</v>
      </c>
      <c r="BH706">
        <v>0</v>
      </c>
      <c r="BI706">
        <v>0</v>
      </c>
      <c r="BJ706">
        <v>0</v>
      </c>
      <c r="BK706">
        <v>0</v>
      </c>
      <c r="BL706">
        <v>1008</v>
      </c>
      <c r="BM706">
        <v>0</v>
      </c>
      <c r="BN706">
        <v>2</v>
      </c>
      <c r="BO706">
        <v>0</v>
      </c>
      <c r="BP706">
        <v>0</v>
      </c>
      <c r="BQ706">
        <v>0</v>
      </c>
      <c r="BR706">
        <v>0</v>
      </c>
      <c r="BS706">
        <v>2</v>
      </c>
      <c r="BT706">
        <v>0</v>
      </c>
      <c r="BU706">
        <v>1</v>
      </c>
      <c r="BV706">
        <v>1</v>
      </c>
      <c r="BW706">
        <v>971</v>
      </c>
      <c r="BX706">
        <v>0</v>
      </c>
      <c r="BY706">
        <v>4</v>
      </c>
      <c r="BZ706">
        <v>1</v>
      </c>
      <c r="CA706">
        <v>2</v>
      </c>
      <c r="CB706">
        <v>0</v>
      </c>
      <c r="CC706">
        <v>2</v>
      </c>
      <c r="CD706">
        <v>0</v>
      </c>
      <c r="CE706">
        <v>0</v>
      </c>
      <c r="CF706">
        <v>5</v>
      </c>
      <c r="CG706">
        <v>0</v>
      </c>
      <c r="CH706">
        <v>883</v>
      </c>
      <c r="CI706">
        <v>2</v>
      </c>
      <c r="CJ706">
        <v>0</v>
      </c>
      <c r="CK706">
        <v>0</v>
      </c>
      <c r="CL706">
        <v>0</v>
      </c>
      <c r="CM706">
        <v>5</v>
      </c>
      <c r="CN706">
        <v>2</v>
      </c>
      <c r="CO706">
        <v>1</v>
      </c>
      <c r="CP706">
        <v>0</v>
      </c>
      <c r="CQ706">
        <v>1</v>
      </c>
      <c r="CR706">
        <v>3</v>
      </c>
      <c r="CS706">
        <v>946</v>
      </c>
      <c r="CT706">
        <v>0</v>
      </c>
      <c r="CU706">
        <v>0</v>
      </c>
      <c r="CV706">
        <v>0</v>
      </c>
      <c r="CW706">
        <v>0</v>
      </c>
      <c r="CX706">
        <v>1</v>
      </c>
      <c r="CY706">
        <v>1</v>
      </c>
      <c r="CZ706">
        <v>18</v>
      </c>
      <c r="DA706">
        <v>0</v>
      </c>
      <c r="DB706">
        <v>0</v>
      </c>
      <c r="DC706">
        <v>0</v>
      </c>
      <c r="DD706">
        <v>1008</v>
      </c>
      <c r="DE706">
        <v>0</v>
      </c>
      <c r="DF706">
        <v>0</v>
      </c>
      <c r="DG706">
        <v>2</v>
      </c>
      <c r="DH706">
        <v>0</v>
      </c>
      <c r="DI706">
        <v>3</v>
      </c>
      <c r="DJ706">
        <v>34</v>
      </c>
      <c r="DK706">
        <v>5</v>
      </c>
      <c r="DL706">
        <v>13</v>
      </c>
      <c r="DM706">
        <v>8</v>
      </c>
      <c r="DN706">
        <v>2</v>
      </c>
      <c r="DO706">
        <v>901</v>
      </c>
      <c r="DP706">
        <v>6</v>
      </c>
      <c r="DQ706">
        <v>5</v>
      </c>
      <c r="DR706">
        <v>3</v>
      </c>
      <c r="DS706">
        <v>0</v>
      </c>
      <c r="DT706">
        <v>41</v>
      </c>
      <c r="DU706">
        <v>22</v>
      </c>
      <c r="DV706">
        <v>18</v>
      </c>
      <c r="DW706">
        <v>0</v>
      </c>
      <c r="DX706">
        <v>15</v>
      </c>
      <c r="DY706">
        <v>6</v>
      </c>
      <c r="DZ706">
        <v>899</v>
      </c>
      <c r="EA706">
        <v>0.96209999999999996</v>
      </c>
      <c r="EB706">
        <v>0.96443537348833996</v>
      </c>
      <c r="EC706">
        <v>0.96251240374615998</v>
      </c>
      <c r="ED706">
        <v>0.96219668928250301</v>
      </c>
      <c r="EE706">
        <f>SUM(Table1[[#This Row],[ratio_0]:[ratio_9]])</f>
        <v>640</v>
      </c>
      <c r="EF706" s="1">
        <f>(Table1[[#This Row],[predicted_0]]-Table1[[#This Row],[actual_0]])/Table1[[#This Row],[actual_0]]</f>
        <v>2.1428571428571429E-2</v>
      </c>
      <c r="EG706" s="1">
        <f>(Table1[[#This Row],[predicted_1]]-Table1[[#This Row],[actual_1]])/Table1[[#This Row],[actual_1]]</f>
        <v>-1.3215859030837005E-2</v>
      </c>
      <c r="EH706" s="1">
        <f>(Table1[[#This Row],[predicted_2]]-Table1[[#This Row],[actual_2]])/Table1[[#This Row],[actual_2]]</f>
        <v>-0.10271317829457365</v>
      </c>
      <c r="EI706" s="1">
        <f>(Table1[[#This Row],[predicted_3]]-Table1[[#This Row],[actual_3]])/Table1[[#This Row],[actual_3]]</f>
        <v>0.16534653465346535</v>
      </c>
      <c r="EJ706" s="1">
        <f>(Table1[[#This Row],[predicted_4]]-Table1[[#This Row],[actual_4]])/Table1[[#This Row],[actual_4]]</f>
        <v>2.1384928716904276E-2</v>
      </c>
      <c r="EK706" s="1">
        <f>(Table1[[#This Row],[predicted_5]]-Table1[[#This Row],[actual_5]])/Table1[[#This Row],[actual_5]]</f>
        <v>3.3632286995515695E-2</v>
      </c>
      <c r="EL706" s="1">
        <f>(Table1[[#This Row],[predicted_6]]-Table1[[#This Row],[actual_6]])/Table1[[#This Row],[actual_6]]</f>
        <v>1.4613778705636743E-2</v>
      </c>
      <c r="EM706" s="1">
        <f>(Table1[[#This Row],[predicted_7]]-Table1[[#This Row],[actual_7]])/Table1[[#This Row],[actual_7]]</f>
        <v>3.2101167315175094E-2</v>
      </c>
      <c r="EN706" s="1">
        <f>(Table1[[#This Row],[predicted_8]]-Table1[[#This Row],[actual_8]])/Table1[[#This Row],[actual_8]]</f>
        <v>-6.2628336755646816E-2</v>
      </c>
      <c r="EO706" s="1">
        <f>(Table1[[#This Row],[predicted_9]]-Table1[[#This Row],[actual_9]])/Table1[[#This Row],[actual_9]]</f>
        <v>-0.10307234886025768</v>
      </c>
      <c r="EP706" s="1">
        <f>1+(Table1[[#This Row],[error_ratio_0]]-EF$2)</f>
        <v>1.0193877551020407</v>
      </c>
      <c r="EQ706" s="1">
        <f>1+(Table1[[#This Row],[error_ratio_1]]-EG$2)</f>
        <v>0.9850220264317181</v>
      </c>
      <c r="ER706" s="1">
        <f>1+(Table1[[#This Row],[error_ratio_2]]-EH$2)</f>
        <v>0.90213178294573648</v>
      </c>
      <c r="ES706" s="1">
        <f>1+(Table1[[#This Row],[error_ratio_3]]-EI$2)</f>
        <v>1.1554455445544554</v>
      </c>
      <c r="ET706" s="1">
        <f>1+(Table1[[#This Row],[error_ratio_4]]-EJ$2)</f>
        <v>1.0203665987780042</v>
      </c>
      <c r="EU706" s="1">
        <f>1+(Table1[[#This Row],[error_ratio_5]]-EK$2)</f>
        <v>1.0325112107623318</v>
      </c>
      <c r="EV706" s="1">
        <f>1+(Table1[[#This Row],[error_ratio_6]]-EL$2)</f>
        <v>1.0208768267223383</v>
      </c>
      <c r="EW706" s="1">
        <f>1+(Table1[[#This Row],[error_ratio_7]]-EM$2)</f>
        <v>1.0301556420233462</v>
      </c>
      <c r="EX706" s="1">
        <f>1+(Table1[[#This Row],[error_ratio_8]]-EN$2)</f>
        <v>0.94045174537987675</v>
      </c>
      <c r="EY706" s="1">
        <f>1+(Table1[[#This Row],[error_ratio_9]]-EO$2)</f>
        <v>0.90089197224975226</v>
      </c>
    </row>
    <row r="707" spans="1:155" x14ac:dyDescent="0.75">
      <c r="A707">
        <v>10</v>
      </c>
      <c r="B707">
        <v>10</v>
      </c>
      <c r="C707">
        <v>10</v>
      </c>
      <c r="D707">
        <v>100</v>
      </c>
      <c r="E707">
        <v>100</v>
      </c>
      <c r="F707">
        <v>100</v>
      </c>
      <c r="G707">
        <v>100</v>
      </c>
      <c r="H707">
        <v>100</v>
      </c>
      <c r="I707">
        <v>10</v>
      </c>
      <c r="J707">
        <v>10</v>
      </c>
      <c r="K707">
        <v>957</v>
      </c>
      <c r="L707">
        <v>1065</v>
      </c>
      <c r="M707">
        <v>971</v>
      </c>
      <c r="N707">
        <v>1042</v>
      </c>
      <c r="O707">
        <v>1093</v>
      </c>
      <c r="P707">
        <v>922</v>
      </c>
      <c r="Q707">
        <v>1019</v>
      </c>
      <c r="R707">
        <v>1076</v>
      </c>
      <c r="S707">
        <v>966</v>
      </c>
      <c r="T707">
        <v>889</v>
      </c>
      <c r="U707">
        <v>980</v>
      </c>
      <c r="V707">
        <v>1135</v>
      </c>
      <c r="W707">
        <v>1032</v>
      </c>
      <c r="X707">
        <v>1010</v>
      </c>
      <c r="Y707">
        <v>982</v>
      </c>
      <c r="Z707">
        <v>892</v>
      </c>
      <c r="AA707">
        <v>958</v>
      </c>
      <c r="AB707">
        <v>1028</v>
      </c>
      <c r="AC707">
        <v>974</v>
      </c>
      <c r="AD707">
        <v>1009</v>
      </c>
      <c r="AE707">
        <v>940</v>
      </c>
      <c r="AF707">
        <v>0</v>
      </c>
      <c r="AG707">
        <v>0</v>
      </c>
      <c r="AH707">
        <v>0</v>
      </c>
      <c r="AI707">
        <v>3</v>
      </c>
      <c r="AJ707">
        <v>4</v>
      </c>
      <c r="AK707">
        <v>21</v>
      </c>
      <c r="AL707">
        <v>10</v>
      </c>
      <c r="AM707">
        <v>2</v>
      </c>
      <c r="AN707">
        <v>0</v>
      </c>
      <c r="AO707">
        <v>0</v>
      </c>
      <c r="AP707">
        <v>1063</v>
      </c>
      <c r="AQ707">
        <v>1</v>
      </c>
      <c r="AR707">
        <v>7</v>
      </c>
      <c r="AS707">
        <v>4</v>
      </c>
      <c r="AT707">
        <v>2</v>
      </c>
      <c r="AU707">
        <v>34</v>
      </c>
      <c r="AV707">
        <v>3</v>
      </c>
      <c r="AW707">
        <v>21</v>
      </c>
      <c r="AX707">
        <v>0</v>
      </c>
      <c r="AY707">
        <v>3</v>
      </c>
      <c r="AZ707">
        <v>0</v>
      </c>
      <c r="BA707">
        <v>964</v>
      </c>
      <c r="BB707">
        <v>10</v>
      </c>
      <c r="BC707">
        <v>8</v>
      </c>
      <c r="BD707">
        <v>4</v>
      </c>
      <c r="BE707">
        <v>2</v>
      </c>
      <c r="BF707">
        <v>17</v>
      </c>
      <c r="BG707">
        <v>24</v>
      </c>
      <c r="BH707">
        <v>0</v>
      </c>
      <c r="BI707">
        <v>0</v>
      </c>
      <c r="BJ707">
        <v>0</v>
      </c>
      <c r="BK707">
        <v>1</v>
      </c>
      <c r="BL707">
        <v>1000</v>
      </c>
      <c r="BM707">
        <v>1</v>
      </c>
      <c r="BN707">
        <v>5</v>
      </c>
      <c r="BO707">
        <v>0</v>
      </c>
      <c r="BP707">
        <v>2</v>
      </c>
      <c r="BQ707">
        <v>1</v>
      </c>
      <c r="BR707">
        <v>0</v>
      </c>
      <c r="BS707">
        <v>0</v>
      </c>
      <c r="BT707">
        <v>0</v>
      </c>
      <c r="BU707">
        <v>0</v>
      </c>
      <c r="BV707">
        <v>0</v>
      </c>
      <c r="BW707">
        <v>981</v>
      </c>
      <c r="BX707">
        <v>0</v>
      </c>
      <c r="BY707">
        <v>1</v>
      </c>
      <c r="BZ707">
        <v>0</v>
      </c>
      <c r="CA707">
        <v>0</v>
      </c>
      <c r="CB707">
        <v>0</v>
      </c>
      <c r="CC707">
        <v>1</v>
      </c>
      <c r="CD707">
        <v>0</v>
      </c>
      <c r="CE707">
        <v>0</v>
      </c>
      <c r="CF707">
        <v>6</v>
      </c>
      <c r="CG707">
        <v>0</v>
      </c>
      <c r="CH707">
        <v>877</v>
      </c>
      <c r="CI707">
        <v>2</v>
      </c>
      <c r="CJ707">
        <v>4</v>
      </c>
      <c r="CK707">
        <v>1</v>
      </c>
      <c r="CL707">
        <v>1</v>
      </c>
      <c r="CM707">
        <v>3</v>
      </c>
      <c r="CN707">
        <v>0</v>
      </c>
      <c r="CO707">
        <v>0</v>
      </c>
      <c r="CP707">
        <v>0</v>
      </c>
      <c r="CQ707">
        <v>11</v>
      </c>
      <c r="CR707">
        <v>3</v>
      </c>
      <c r="CS707">
        <v>941</v>
      </c>
      <c r="CT707">
        <v>0</v>
      </c>
      <c r="CU707">
        <v>0</v>
      </c>
      <c r="CV707">
        <v>0</v>
      </c>
      <c r="CW707">
        <v>0</v>
      </c>
      <c r="CX707">
        <v>2</v>
      </c>
      <c r="CY707">
        <v>3</v>
      </c>
      <c r="CZ707">
        <v>2</v>
      </c>
      <c r="DA707">
        <v>0</v>
      </c>
      <c r="DB707">
        <v>0</v>
      </c>
      <c r="DC707">
        <v>0</v>
      </c>
      <c r="DD707">
        <v>1017</v>
      </c>
      <c r="DE707">
        <v>4</v>
      </c>
      <c r="DF707">
        <v>0</v>
      </c>
      <c r="DG707">
        <v>7</v>
      </c>
      <c r="DH707">
        <v>0</v>
      </c>
      <c r="DI707">
        <v>2</v>
      </c>
      <c r="DJ707">
        <v>6</v>
      </c>
      <c r="DK707">
        <v>15</v>
      </c>
      <c r="DL707">
        <v>12</v>
      </c>
      <c r="DM707">
        <v>17</v>
      </c>
      <c r="DN707">
        <v>3</v>
      </c>
      <c r="DO707">
        <v>909</v>
      </c>
      <c r="DP707">
        <v>3</v>
      </c>
      <c r="DQ707">
        <v>3</v>
      </c>
      <c r="DR707">
        <v>0</v>
      </c>
      <c r="DS707">
        <v>0</v>
      </c>
      <c r="DT707">
        <v>11</v>
      </c>
      <c r="DU707">
        <v>70</v>
      </c>
      <c r="DV707">
        <v>15</v>
      </c>
      <c r="DW707">
        <v>1</v>
      </c>
      <c r="DX707">
        <v>20</v>
      </c>
      <c r="DY707">
        <v>4</v>
      </c>
      <c r="DZ707">
        <v>885</v>
      </c>
      <c r="EA707">
        <v>0.9577</v>
      </c>
      <c r="EB707">
        <v>0.95866808535933201</v>
      </c>
      <c r="EC707">
        <v>0.95840458545517804</v>
      </c>
      <c r="ED707">
        <v>0.95749692415454402</v>
      </c>
      <c r="EE707">
        <f>SUM(Table1[[#This Row],[ratio_0]:[ratio_9]])</f>
        <v>550</v>
      </c>
      <c r="EF707" s="1">
        <f>(Table1[[#This Row],[predicted_0]]-Table1[[#This Row],[actual_0]])/Table1[[#This Row],[actual_0]]</f>
        <v>-2.3469387755102041E-2</v>
      </c>
      <c r="EG707" s="1">
        <f>(Table1[[#This Row],[predicted_1]]-Table1[[#This Row],[actual_1]])/Table1[[#This Row],[actual_1]]</f>
        <v>-6.1674008810572688E-2</v>
      </c>
      <c r="EH707" s="1">
        <f>(Table1[[#This Row],[predicted_2]]-Table1[[#This Row],[actual_2]])/Table1[[#This Row],[actual_2]]</f>
        <v>-5.9108527131782947E-2</v>
      </c>
      <c r="EI707" s="1">
        <f>(Table1[[#This Row],[predicted_3]]-Table1[[#This Row],[actual_3]])/Table1[[#This Row],[actual_3]]</f>
        <v>3.1683168316831684E-2</v>
      </c>
      <c r="EJ707" s="1">
        <f>(Table1[[#This Row],[predicted_4]]-Table1[[#This Row],[actual_4]])/Table1[[#This Row],[actual_4]]</f>
        <v>0.11303462321792261</v>
      </c>
      <c r="EK707" s="1">
        <f>(Table1[[#This Row],[predicted_5]]-Table1[[#This Row],[actual_5]])/Table1[[#This Row],[actual_5]]</f>
        <v>3.3632286995515695E-2</v>
      </c>
      <c r="EL707" s="1">
        <f>(Table1[[#This Row],[predicted_6]]-Table1[[#This Row],[actual_6]])/Table1[[#This Row],[actual_6]]</f>
        <v>6.3674321503131528E-2</v>
      </c>
      <c r="EM707" s="1">
        <f>(Table1[[#This Row],[predicted_7]]-Table1[[#This Row],[actual_7]])/Table1[[#This Row],[actual_7]]</f>
        <v>4.6692607003891051E-2</v>
      </c>
      <c r="EN707" s="1">
        <f>(Table1[[#This Row],[predicted_8]]-Table1[[#This Row],[actual_8]])/Table1[[#This Row],[actual_8]]</f>
        <v>-8.2135523613963042E-3</v>
      </c>
      <c r="EO707" s="1">
        <f>(Table1[[#This Row],[predicted_9]]-Table1[[#This Row],[actual_9]])/Table1[[#This Row],[actual_9]]</f>
        <v>-0.11892963330029732</v>
      </c>
      <c r="EP707" s="1">
        <f>1+(Table1[[#This Row],[error_ratio_0]]-EF$2)</f>
        <v>0.97448979591836737</v>
      </c>
      <c r="EQ707" s="1">
        <f>1+(Table1[[#This Row],[error_ratio_1]]-EG$2)</f>
        <v>0.93656387665198237</v>
      </c>
      <c r="ER707" s="1">
        <f>1+(Table1[[#This Row],[error_ratio_2]]-EH$2)</f>
        <v>0.94573643410852715</v>
      </c>
      <c r="ES707" s="1">
        <f>1+(Table1[[#This Row],[error_ratio_3]]-EI$2)</f>
        <v>1.0217821782178218</v>
      </c>
      <c r="ET707" s="1">
        <f>1+(Table1[[#This Row],[error_ratio_4]]-EJ$2)</f>
        <v>1.1120162932790225</v>
      </c>
      <c r="EU707" s="1">
        <f>1+(Table1[[#This Row],[error_ratio_5]]-EK$2)</f>
        <v>1.0325112107623318</v>
      </c>
      <c r="EV707" s="1">
        <f>1+(Table1[[#This Row],[error_ratio_6]]-EL$2)</f>
        <v>1.0699373695198331</v>
      </c>
      <c r="EW707" s="1">
        <f>1+(Table1[[#This Row],[error_ratio_7]]-EM$2)</f>
        <v>1.0447470817120623</v>
      </c>
      <c r="EX707" s="1">
        <f>1+(Table1[[#This Row],[error_ratio_8]]-EN$2)</f>
        <v>0.99486652977412726</v>
      </c>
      <c r="EY707" s="1">
        <f>1+(Table1[[#This Row],[error_ratio_9]]-EO$2)</f>
        <v>0.88503468780971262</v>
      </c>
    </row>
    <row r="708" spans="1:155" x14ac:dyDescent="0.75">
      <c r="A708">
        <v>100</v>
      </c>
      <c r="B708">
        <v>100</v>
      </c>
      <c r="C708">
        <v>100</v>
      </c>
      <c r="D708">
        <v>10</v>
      </c>
      <c r="E708">
        <v>100</v>
      </c>
      <c r="F708">
        <v>100</v>
      </c>
      <c r="G708">
        <v>100</v>
      </c>
      <c r="H708">
        <v>100</v>
      </c>
      <c r="I708">
        <v>10</v>
      </c>
      <c r="J708">
        <v>10</v>
      </c>
      <c r="K708">
        <v>995</v>
      </c>
      <c r="L708">
        <v>1159</v>
      </c>
      <c r="M708">
        <v>1055</v>
      </c>
      <c r="N708">
        <v>1004</v>
      </c>
      <c r="O708">
        <v>1032</v>
      </c>
      <c r="P708">
        <v>913</v>
      </c>
      <c r="Q708">
        <v>959</v>
      </c>
      <c r="R708">
        <v>1046</v>
      </c>
      <c r="S708">
        <v>928</v>
      </c>
      <c r="T708">
        <v>909</v>
      </c>
      <c r="U708">
        <v>980</v>
      </c>
      <c r="V708">
        <v>1135</v>
      </c>
      <c r="W708">
        <v>1032</v>
      </c>
      <c r="X708">
        <v>1010</v>
      </c>
      <c r="Y708">
        <v>982</v>
      </c>
      <c r="Z708">
        <v>892</v>
      </c>
      <c r="AA708">
        <v>958</v>
      </c>
      <c r="AB708">
        <v>1028</v>
      </c>
      <c r="AC708">
        <v>974</v>
      </c>
      <c r="AD708">
        <v>1009</v>
      </c>
      <c r="AE708">
        <v>971</v>
      </c>
      <c r="AF708">
        <v>1</v>
      </c>
      <c r="AG708">
        <v>0</v>
      </c>
      <c r="AH708">
        <v>0</v>
      </c>
      <c r="AI708">
        <v>0</v>
      </c>
      <c r="AJ708">
        <v>1</v>
      </c>
      <c r="AK708">
        <v>4</v>
      </c>
      <c r="AL708">
        <v>2</v>
      </c>
      <c r="AM708">
        <v>1</v>
      </c>
      <c r="AN708">
        <v>0</v>
      </c>
      <c r="AO708">
        <v>0</v>
      </c>
      <c r="AP708">
        <v>1135</v>
      </c>
      <c r="AQ708">
        <v>0</v>
      </c>
      <c r="AR708">
        <v>0</v>
      </c>
      <c r="AS708">
        <v>0</v>
      </c>
      <c r="AT708">
        <v>0</v>
      </c>
      <c r="AU708">
        <v>0</v>
      </c>
      <c r="AV708">
        <v>0</v>
      </c>
      <c r="AW708">
        <v>0</v>
      </c>
      <c r="AX708">
        <v>0</v>
      </c>
      <c r="AY708">
        <v>2</v>
      </c>
      <c r="AZ708">
        <v>3</v>
      </c>
      <c r="BA708">
        <v>1019</v>
      </c>
      <c r="BB708">
        <v>0</v>
      </c>
      <c r="BC708">
        <v>1</v>
      </c>
      <c r="BD708">
        <v>0</v>
      </c>
      <c r="BE708">
        <v>0</v>
      </c>
      <c r="BF708">
        <v>7</v>
      </c>
      <c r="BG708">
        <v>0</v>
      </c>
      <c r="BH708">
        <v>0</v>
      </c>
      <c r="BI708">
        <v>2</v>
      </c>
      <c r="BJ708">
        <v>0</v>
      </c>
      <c r="BK708">
        <v>7</v>
      </c>
      <c r="BL708">
        <v>981</v>
      </c>
      <c r="BM708">
        <v>0</v>
      </c>
      <c r="BN708">
        <v>11</v>
      </c>
      <c r="BO708">
        <v>0</v>
      </c>
      <c r="BP708">
        <v>6</v>
      </c>
      <c r="BQ708">
        <v>2</v>
      </c>
      <c r="BR708">
        <v>1</v>
      </c>
      <c r="BS708">
        <v>0</v>
      </c>
      <c r="BT708">
        <v>0</v>
      </c>
      <c r="BU708">
        <v>2</v>
      </c>
      <c r="BV708">
        <v>0</v>
      </c>
      <c r="BW708">
        <v>975</v>
      </c>
      <c r="BX708">
        <v>0</v>
      </c>
      <c r="BY708">
        <v>5</v>
      </c>
      <c r="BZ708">
        <v>0</v>
      </c>
      <c r="CA708">
        <v>0</v>
      </c>
      <c r="CB708">
        <v>0</v>
      </c>
      <c r="CC708">
        <v>2</v>
      </c>
      <c r="CD708">
        <v>0</v>
      </c>
      <c r="CE708">
        <v>0</v>
      </c>
      <c r="CF708">
        <v>6</v>
      </c>
      <c r="CG708">
        <v>0</v>
      </c>
      <c r="CH708">
        <v>881</v>
      </c>
      <c r="CI708">
        <v>2</v>
      </c>
      <c r="CJ708">
        <v>1</v>
      </c>
      <c r="CK708">
        <v>0</v>
      </c>
      <c r="CL708">
        <v>0</v>
      </c>
      <c r="CM708">
        <v>4</v>
      </c>
      <c r="CN708">
        <v>4</v>
      </c>
      <c r="CO708">
        <v>1</v>
      </c>
      <c r="CP708">
        <v>0</v>
      </c>
      <c r="CQ708">
        <v>0</v>
      </c>
      <c r="CR708">
        <v>5</v>
      </c>
      <c r="CS708">
        <v>944</v>
      </c>
      <c r="CT708">
        <v>0</v>
      </c>
      <c r="CU708">
        <v>0</v>
      </c>
      <c r="CV708">
        <v>0</v>
      </c>
      <c r="CW708">
        <v>1</v>
      </c>
      <c r="CX708">
        <v>8</v>
      </c>
      <c r="CY708">
        <v>7</v>
      </c>
      <c r="CZ708">
        <v>0</v>
      </c>
      <c r="DA708">
        <v>0</v>
      </c>
      <c r="DB708">
        <v>0</v>
      </c>
      <c r="DC708">
        <v>0</v>
      </c>
      <c r="DD708">
        <v>1012</v>
      </c>
      <c r="DE708">
        <v>0</v>
      </c>
      <c r="DF708">
        <v>0</v>
      </c>
      <c r="DG708">
        <v>6</v>
      </c>
      <c r="DH708">
        <v>1</v>
      </c>
      <c r="DI708">
        <v>17</v>
      </c>
      <c r="DJ708">
        <v>6</v>
      </c>
      <c r="DK708">
        <v>3</v>
      </c>
      <c r="DL708">
        <v>8</v>
      </c>
      <c r="DM708">
        <v>4</v>
      </c>
      <c r="DN708">
        <v>8</v>
      </c>
      <c r="DO708">
        <v>918</v>
      </c>
      <c r="DP708">
        <v>3</v>
      </c>
      <c r="DQ708">
        <v>7</v>
      </c>
      <c r="DR708">
        <v>7</v>
      </c>
      <c r="DS708">
        <v>2</v>
      </c>
      <c r="DT708">
        <v>11</v>
      </c>
      <c r="DU708">
        <v>53</v>
      </c>
      <c r="DV708">
        <v>7</v>
      </c>
      <c r="DW708">
        <v>0</v>
      </c>
      <c r="DX708">
        <v>10</v>
      </c>
      <c r="DY708">
        <v>7</v>
      </c>
      <c r="DZ708">
        <v>905</v>
      </c>
      <c r="EA708">
        <v>0.97409999999999997</v>
      </c>
      <c r="EB708">
        <v>0.97445360797890201</v>
      </c>
      <c r="EC708">
        <v>0.97393012114510502</v>
      </c>
      <c r="ED708">
        <v>0.97376860717853198</v>
      </c>
      <c r="EE708">
        <f>SUM(Table1[[#This Row],[ratio_0]:[ratio_9]])</f>
        <v>730</v>
      </c>
      <c r="EF708" s="1">
        <f>(Table1[[#This Row],[predicted_0]]-Table1[[#This Row],[actual_0]])/Table1[[#This Row],[actual_0]]</f>
        <v>1.5306122448979591E-2</v>
      </c>
      <c r="EG708" s="1">
        <f>(Table1[[#This Row],[predicted_1]]-Table1[[#This Row],[actual_1]])/Table1[[#This Row],[actual_1]]</f>
        <v>2.1145374449339206E-2</v>
      </c>
      <c r="EH708" s="1">
        <f>(Table1[[#This Row],[predicted_2]]-Table1[[#This Row],[actual_2]])/Table1[[#This Row],[actual_2]]</f>
        <v>2.2286821705426358E-2</v>
      </c>
      <c r="EI708" s="1">
        <f>(Table1[[#This Row],[predicted_3]]-Table1[[#This Row],[actual_3]])/Table1[[#This Row],[actual_3]]</f>
        <v>-5.9405940594059407E-3</v>
      </c>
      <c r="EJ708" s="1">
        <f>(Table1[[#This Row],[predicted_4]]-Table1[[#This Row],[actual_4]])/Table1[[#This Row],[actual_4]]</f>
        <v>5.0916496945010187E-2</v>
      </c>
      <c r="EK708" s="1">
        <f>(Table1[[#This Row],[predicted_5]]-Table1[[#This Row],[actual_5]])/Table1[[#This Row],[actual_5]]</f>
        <v>2.3542600896860985E-2</v>
      </c>
      <c r="EL708" s="1">
        <f>(Table1[[#This Row],[predicted_6]]-Table1[[#This Row],[actual_6]])/Table1[[#This Row],[actual_6]]</f>
        <v>1.0438413361169101E-3</v>
      </c>
      <c r="EM708" s="1">
        <f>(Table1[[#This Row],[predicted_7]]-Table1[[#This Row],[actual_7]])/Table1[[#This Row],[actual_7]]</f>
        <v>1.7509727626459144E-2</v>
      </c>
      <c r="EN708" s="1">
        <f>(Table1[[#This Row],[predicted_8]]-Table1[[#This Row],[actual_8]])/Table1[[#This Row],[actual_8]]</f>
        <v>-4.7227926078028747E-2</v>
      </c>
      <c r="EO708" s="1">
        <f>(Table1[[#This Row],[predicted_9]]-Table1[[#This Row],[actual_9]])/Table1[[#This Row],[actual_9]]</f>
        <v>-9.9108027750247768E-2</v>
      </c>
      <c r="EP708" s="1">
        <f>1+(Table1[[#This Row],[error_ratio_0]]-EF$2)</f>
        <v>1.013265306122449</v>
      </c>
      <c r="EQ708" s="1">
        <f>1+(Table1[[#This Row],[error_ratio_1]]-EG$2)</f>
        <v>1.0193832599118944</v>
      </c>
      <c r="ER708" s="1">
        <f>1+(Table1[[#This Row],[error_ratio_2]]-EH$2)</f>
        <v>1.0271317829457365</v>
      </c>
      <c r="ES708" s="1">
        <f>1+(Table1[[#This Row],[error_ratio_3]]-EI$2)</f>
        <v>0.98415841584158414</v>
      </c>
      <c r="ET708" s="1">
        <f>1+(Table1[[#This Row],[error_ratio_4]]-EJ$2)</f>
        <v>1.0498981670061101</v>
      </c>
      <c r="EU708" s="1">
        <f>1+(Table1[[#This Row],[error_ratio_5]]-EK$2)</f>
        <v>1.0224215246636772</v>
      </c>
      <c r="EV708" s="1">
        <f>1+(Table1[[#This Row],[error_ratio_6]]-EL$2)</f>
        <v>1.0073068893528183</v>
      </c>
      <c r="EW708" s="1">
        <f>1+(Table1[[#This Row],[error_ratio_7]]-EM$2)</f>
        <v>1.0155642023346303</v>
      </c>
      <c r="EX708" s="1">
        <f>1+(Table1[[#This Row],[error_ratio_8]]-EN$2)</f>
        <v>0.95585215605749485</v>
      </c>
      <c r="EY708" s="1">
        <f>1+(Table1[[#This Row],[error_ratio_9]]-EO$2)</f>
        <v>0.90485629335976214</v>
      </c>
    </row>
    <row r="709" spans="1:155" x14ac:dyDescent="0.75">
      <c r="A709">
        <v>10</v>
      </c>
      <c r="B709">
        <v>100</v>
      </c>
      <c r="C709">
        <v>100</v>
      </c>
      <c r="D709">
        <v>10</v>
      </c>
      <c r="E709">
        <v>100</v>
      </c>
      <c r="F709">
        <v>100</v>
      </c>
      <c r="G709">
        <v>100</v>
      </c>
      <c r="H709">
        <v>100</v>
      </c>
      <c r="I709">
        <v>10</v>
      </c>
      <c r="J709">
        <v>10</v>
      </c>
      <c r="K709">
        <v>0</v>
      </c>
      <c r="L709">
        <v>28</v>
      </c>
      <c r="M709">
        <v>849</v>
      </c>
      <c r="N709">
        <v>401</v>
      </c>
      <c r="O709">
        <v>929</v>
      </c>
      <c r="P709">
        <v>916</v>
      </c>
      <c r="Q709">
        <v>519</v>
      </c>
      <c r="R709">
        <v>6350</v>
      </c>
      <c r="S709">
        <v>1</v>
      </c>
      <c r="T709">
        <v>7</v>
      </c>
      <c r="U709">
        <v>980</v>
      </c>
      <c r="V709">
        <v>1135</v>
      </c>
      <c r="W709">
        <v>1032</v>
      </c>
      <c r="X709">
        <v>1010</v>
      </c>
      <c r="Y709">
        <v>982</v>
      </c>
      <c r="Z709">
        <v>892</v>
      </c>
      <c r="AA709">
        <v>958</v>
      </c>
      <c r="AB709">
        <v>1028</v>
      </c>
      <c r="AC709">
        <v>974</v>
      </c>
      <c r="AD709">
        <v>1009</v>
      </c>
      <c r="AE709">
        <v>0</v>
      </c>
      <c r="AF709">
        <v>11</v>
      </c>
      <c r="AG709">
        <v>12</v>
      </c>
      <c r="AH709">
        <v>38</v>
      </c>
      <c r="AI709">
        <v>0</v>
      </c>
      <c r="AJ709">
        <v>2</v>
      </c>
      <c r="AK709">
        <v>1</v>
      </c>
      <c r="AL709">
        <v>916</v>
      </c>
      <c r="AM709">
        <v>0</v>
      </c>
      <c r="AN709">
        <v>0</v>
      </c>
      <c r="AO709">
        <v>0</v>
      </c>
      <c r="AP709">
        <v>9</v>
      </c>
      <c r="AQ709">
        <v>8</v>
      </c>
      <c r="AR709">
        <v>1</v>
      </c>
      <c r="AS709">
        <v>302</v>
      </c>
      <c r="AT709">
        <v>1</v>
      </c>
      <c r="AU709">
        <v>1</v>
      </c>
      <c r="AV709">
        <v>813</v>
      </c>
      <c r="AW709">
        <v>0</v>
      </c>
      <c r="AX709">
        <v>0</v>
      </c>
      <c r="AY709">
        <v>0</v>
      </c>
      <c r="AZ709">
        <v>1</v>
      </c>
      <c r="BA709">
        <v>554</v>
      </c>
      <c r="BB709">
        <v>26</v>
      </c>
      <c r="BC709">
        <v>15</v>
      </c>
      <c r="BD709">
        <v>20</v>
      </c>
      <c r="BE709">
        <v>0</v>
      </c>
      <c r="BF709">
        <v>414</v>
      </c>
      <c r="BG709">
        <v>0</v>
      </c>
      <c r="BH709">
        <v>2</v>
      </c>
      <c r="BI709">
        <v>0</v>
      </c>
      <c r="BJ709">
        <v>1</v>
      </c>
      <c r="BK709">
        <v>68</v>
      </c>
      <c r="BL709">
        <v>331</v>
      </c>
      <c r="BM709">
        <v>37</v>
      </c>
      <c r="BN709">
        <v>330</v>
      </c>
      <c r="BO709">
        <v>6</v>
      </c>
      <c r="BP709">
        <v>232</v>
      </c>
      <c r="BQ709">
        <v>1</v>
      </c>
      <c r="BR709">
        <v>4</v>
      </c>
      <c r="BS709">
        <v>0</v>
      </c>
      <c r="BT709">
        <v>0</v>
      </c>
      <c r="BU709">
        <v>65</v>
      </c>
      <c r="BV709">
        <v>0</v>
      </c>
      <c r="BW709">
        <v>378</v>
      </c>
      <c r="BX709">
        <v>0</v>
      </c>
      <c r="BY709">
        <v>0</v>
      </c>
      <c r="BZ709">
        <v>539</v>
      </c>
      <c r="CA709">
        <v>0</v>
      </c>
      <c r="CB709">
        <v>0</v>
      </c>
      <c r="CC709">
        <v>0</v>
      </c>
      <c r="CD709">
        <v>0</v>
      </c>
      <c r="CE709">
        <v>9</v>
      </c>
      <c r="CF709">
        <v>1</v>
      </c>
      <c r="CG709">
        <v>2</v>
      </c>
      <c r="CH709">
        <v>400</v>
      </c>
      <c r="CI709">
        <v>8</v>
      </c>
      <c r="CJ709">
        <v>472</v>
      </c>
      <c r="CK709">
        <v>0</v>
      </c>
      <c r="CL709">
        <v>0</v>
      </c>
      <c r="CM709">
        <v>0</v>
      </c>
      <c r="CN709">
        <v>5</v>
      </c>
      <c r="CO709">
        <v>40</v>
      </c>
      <c r="CP709">
        <v>1</v>
      </c>
      <c r="CQ709">
        <v>165</v>
      </c>
      <c r="CR709">
        <v>71</v>
      </c>
      <c r="CS709">
        <v>497</v>
      </c>
      <c r="CT709">
        <v>179</v>
      </c>
      <c r="CU709">
        <v>0</v>
      </c>
      <c r="CV709">
        <v>0</v>
      </c>
      <c r="CW709">
        <v>0</v>
      </c>
      <c r="CX709">
        <v>0</v>
      </c>
      <c r="CY709">
        <v>0</v>
      </c>
      <c r="CZ709">
        <v>0</v>
      </c>
      <c r="DA709">
        <v>0</v>
      </c>
      <c r="DB709">
        <v>3</v>
      </c>
      <c r="DC709">
        <v>0</v>
      </c>
      <c r="DD709">
        <v>1025</v>
      </c>
      <c r="DE709">
        <v>0</v>
      </c>
      <c r="DF709">
        <v>0</v>
      </c>
      <c r="DG709">
        <v>0</v>
      </c>
      <c r="DH709">
        <v>0</v>
      </c>
      <c r="DI709">
        <v>89</v>
      </c>
      <c r="DJ709">
        <v>2</v>
      </c>
      <c r="DK709">
        <v>19</v>
      </c>
      <c r="DL709">
        <v>83</v>
      </c>
      <c r="DM709">
        <v>5</v>
      </c>
      <c r="DN709">
        <v>775</v>
      </c>
      <c r="DO709">
        <v>0</v>
      </c>
      <c r="DP709">
        <v>1</v>
      </c>
      <c r="DQ709">
        <v>0</v>
      </c>
      <c r="DR709">
        <v>1</v>
      </c>
      <c r="DS709">
        <v>4</v>
      </c>
      <c r="DT709">
        <v>1</v>
      </c>
      <c r="DU709">
        <v>11</v>
      </c>
      <c r="DV709">
        <v>6</v>
      </c>
      <c r="DW709">
        <v>1</v>
      </c>
      <c r="DX709">
        <v>985</v>
      </c>
      <c r="DY709">
        <v>0</v>
      </c>
      <c r="DZ709">
        <v>0</v>
      </c>
      <c r="EA709">
        <v>0.31940000000000002</v>
      </c>
      <c r="EB709">
        <v>0.41799953723021599</v>
      </c>
      <c r="EC709">
        <v>0.32217040594122598</v>
      </c>
      <c r="ED709">
        <v>0.31806861376551698</v>
      </c>
      <c r="EE709">
        <f>SUM(Table1[[#This Row],[ratio_0]:[ratio_9]])</f>
        <v>640</v>
      </c>
      <c r="EF709" s="1">
        <f>(Table1[[#This Row],[predicted_0]]-Table1[[#This Row],[actual_0]])/Table1[[#This Row],[actual_0]]</f>
        <v>-1</v>
      </c>
      <c r="EG709" s="1">
        <f>(Table1[[#This Row],[predicted_1]]-Table1[[#This Row],[actual_1]])/Table1[[#This Row],[actual_1]]</f>
        <v>-0.97533039647577091</v>
      </c>
      <c r="EH709" s="1">
        <f>(Table1[[#This Row],[predicted_2]]-Table1[[#This Row],[actual_2]])/Table1[[#This Row],[actual_2]]</f>
        <v>-0.17732558139534885</v>
      </c>
      <c r="EI709" s="1">
        <f>(Table1[[#This Row],[predicted_3]]-Table1[[#This Row],[actual_3]])/Table1[[#This Row],[actual_3]]</f>
        <v>-0.60297029702970295</v>
      </c>
      <c r="EJ709" s="1">
        <f>(Table1[[#This Row],[predicted_4]]-Table1[[#This Row],[actual_4]])/Table1[[#This Row],[actual_4]]</f>
        <v>-5.3971486761710798E-2</v>
      </c>
      <c r="EK709" s="1">
        <f>(Table1[[#This Row],[predicted_5]]-Table1[[#This Row],[actual_5]])/Table1[[#This Row],[actual_5]]</f>
        <v>2.6905829596412557E-2</v>
      </c>
      <c r="EL709" s="1">
        <f>(Table1[[#This Row],[predicted_6]]-Table1[[#This Row],[actual_6]])/Table1[[#This Row],[actual_6]]</f>
        <v>-0.45824634655532359</v>
      </c>
      <c r="EM709" s="1">
        <f>(Table1[[#This Row],[predicted_7]]-Table1[[#This Row],[actual_7]])/Table1[[#This Row],[actual_7]]</f>
        <v>5.1770428015564205</v>
      </c>
      <c r="EN709" s="1">
        <f>(Table1[[#This Row],[predicted_8]]-Table1[[#This Row],[actual_8]])/Table1[[#This Row],[actual_8]]</f>
        <v>-0.99897330595482547</v>
      </c>
      <c r="EO709" s="1">
        <f>(Table1[[#This Row],[predicted_9]]-Table1[[#This Row],[actual_9]])/Table1[[#This Row],[actual_9]]</f>
        <v>-0.99306243805748262</v>
      </c>
      <c r="EP709" s="1">
        <f>1+(Table1[[#This Row],[error_ratio_0]]-EF$2)</f>
        <v>-2.0408163265306367E-3</v>
      </c>
      <c r="EQ709" s="1">
        <f>1+(Table1[[#This Row],[error_ratio_1]]-EG$2)</f>
        <v>2.2907488986784186E-2</v>
      </c>
      <c r="ER709" s="1">
        <f>1+(Table1[[#This Row],[error_ratio_2]]-EH$2)</f>
        <v>0.82751937984496127</v>
      </c>
      <c r="ES709" s="1">
        <f>1+(Table1[[#This Row],[error_ratio_3]]-EI$2)</f>
        <v>0.38712871287128714</v>
      </c>
      <c r="ET709" s="1">
        <f>1+(Table1[[#This Row],[error_ratio_4]]-EJ$2)</f>
        <v>0.94501018329938902</v>
      </c>
      <c r="EU709" s="1">
        <f>1+(Table1[[#This Row],[error_ratio_5]]-EK$2)</f>
        <v>1.0257847533632287</v>
      </c>
      <c r="EV709" s="1">
        <f>1+(Table1[[#This Row],[error_ratio_6]]-EL$2)</f>
        <v>0.54801670146137793</v>
      </c>
      <c r="EW709" s="1">
        <f>1+(Table1[[#This Row],[error_ratio_7]]-EM$2)</f>
        <v>6.1750972762645917</v>
      </c>
      <c r="EX709" s="1">
        <f>1+(Table1[[#This Row],[error_ratio_8]]-EN$2)</f>
        <v>4.1067761806981018E-3</v>
      </c>
      <c r="EY709" s="1">
        <f>1+(Table1[[#This Row],[error_ratio_9]]-EO$2)</f>
        <v>1.0901883052527261E-2</v>
      </c>
    </row>
    <row r="710" spans="1:155" x14ac:dyDescent="0.75">
      <c r="A710">
        <v>100</v>
      </c>
      <c r="B710">
        <v>10</v>
      </c>
      <c r="C710">
        <v>100</v>
      </c>
      <c r="D710">
        <v>10</v>
      </c>
      <c r="E710">
        <v>100</v>
      </c>
      <c r="F710">
        <v>100</v>
      </c>
      <c r="G710">
        <v>100</v>
      </c>
      <c r="H710">
        <v>100</v>
      </c>
      <c r="I710">
        <v>10</v>
      </c>
      <c r="J710">
        <v>10</v>
      </c>
      <c r="K710">
        <v>968</v>
      </c>
      <c r="L710">
        <v>1085</v>
      </c>
      <c r="M710">
        <v>1084</v>
      </c>
      <c r="N710">
        <v>899</v>
      </c>
      <c r="O710">
        <v>1003</v>
      </c>
      <c r="P710">
        <v>1064</v>
      </c>
      <c r="Q710">
        <v>974</v>
      </c>
      <c r="R710">
        <v>1082</v>
      </c>
      <c r="S710">
        <v>891</v>
      </c>
      <c r="T710">
        <v>950</v>
      </c>
      <c r="U710">
        <v>980</v>
      </c>
      <c r="V710">
        <v>1135</v>
      </c>
      <c r="W710">
        <v>1032</v>
      </c>
      <c r="X710">
        <v>1010</v>
      </c>
      <c r="Y710">
        <v>982</v>
      </c>
      <c r="Z710">
        <v>892</v>
      </c>
      <c r="AA710">
        <v>958</v>
      </c>
      <c r="AB710">
        <v>1028</v>
      </c>
      <c r="AC710">
        <v>974</v>
      </c>
      <c r="AD710">
        <v>1009</v>
      </c>
      <c r="AE710">
        <v>961</v>
      </c>
      <c r="AF710">
        <v>0</v>
      </c>
      <c r="AG710">
        <v>1</v>
      </c>
      <c r="AH710">
        <v>0</v>
      </c>
      <c r="AI710">
        <v>0</v>
      </c>
      <c r="AJ710">
        <v>8</v>
      </c>
      <c r="AK710">
        <v>6</v>
      </c>
      <c r="AL710">
        <v>3</v>
      </c>
      <c r="AM710">
        <v>1</v>
      </c>
      <c r="AN710">
        <v>0</v>
      </c>
      <c r="AO710">
        <v>0</v>
      </c>
      <c r="AP710">
        <v>1082</v>
      </c>
      <c r="AQ710">
        <v>9</v>
      </c>
      <c r="AR710">
        <v>2</v>
      </c>
      <c r="AS710">
        <v>0</v>
      </c>
      <c r="AT710">
        <v>2</v>
      </c>
      <c r="AU710">
        <v>10</v>
      </c>
      <c r="AV710">
        <v>13</v>
      </c>
      <c r="AW710">
        <v>17</v>
      </c>
      <c r="AX710">
        <v>0</v>
      </c>
      <c r="AY710">
        <v>0</v>
      </c>
      <c r="AZ710">
        <v>0</v>
      </c>
      <c r="BA710">
        <v>1026</v>
      </c>
      <c r="BB710">
        <v>0</v>
      </c>
      <c r="BC710">
        <v>0</v>
      </c>
      <c r="BD710">
        <v>0</v>
      </c>
      <c r="BE710">
        <v>0</v>
      </c>
      <c r="BF710">
        <v>6</v>
      </c>
      <c r="BG710">
        <v>0</v>
      </c>
      <c r="BH710">
        <v>0</v>
      </c>
      <c r="BI710">
        <v>0</v>
      </c>
      <c r="BJ710">
        <v>0</v>
      </c>
      <c r="BK710">
        <v>13</v>
      </c>
      <c r="BL710">
        <v>895</v>
      </c>
      <c r="BM710">
        <v>0</v>
      </c>
      <c r="BN710">
        <v>84</v>
      </c>
      <c r="BO710">
        <v>0</v>
      </c>
      <c r="BP710">
        <v>11</v>
      </c>
      <c r="BQ710">
        <v>1</v>
      </c>
      <c r="BR710">
        <v>6</v>
      </c>
      <c r="BS710">
        <v>0</v>
      </c>
      <c r="BT710">
        <v>0</v>
      </c>
      <c r="BU710">
        <v>2</v>
      </c>
      <c r="BV710">
        <v>0</v>
      </c>
      <c r="BW710">
        <v>978</v>
      </c>
      <c r="BX710">
        <v>0</v>
      </c>
      <c r="BY710">
        <v>1</v>
      </c>
      <c r="BZ710">
        <v>1</v>
      </c>
      <c r="CA710">
        <v>0</v>
      </c>
      <c r="CB710">
        <v>0</v>
      </c>
      <c r="CC710">
        <v>0</v>
      </c>
      <c r="CD710">
        <v>0</v>
      </c>
      <c r="CE710">
        <v>0</v>
      </c>
      <c r="CF710">
        <v>0</v>
      </c>
      <c r="CG710">
        <v>0</v>
      </c>
      <c r="CH710">
        <v>891</v>
      </c>
      <c r="CI710">
        <v>1</v>
      </c>
      <c r="CJ710">
        <v>0</v>
      </c>
      <c r="CK710">
        <v>0</v>
      </c>
      <c r="CL710">
        <v>0</v>
      </c>
      <c r="CM710">
        <v>3</v>
      </c>
      <c r="CN710">
        <v>1</v>
      </c>
      <c r="CO710">
        <v>2</v>
      </c>
      <c r="CP710">
        <v>0</v>
      </c>
      <c r="CQ710">
        <v>1</v>
      </c>
      <c r="CR710">
        <v>4</v>
      </c>
      <c r="CS710">
        <v>947</v>
      </c>
      <c r="CT710">
        <v>0</v>
      </c>
      <c r="CU710">
        <v>0</v>
      </c>
      <c r="CV710">
        <v>0</v>
      </c>
      <c r="CW710">
        <v>0</v>
      </c>
      <c r="CX710">
        <v>1</v>
      </c>
      <c r="CY710">
        <v>5</v>
      </c>
      <c r="CZ710">
        <v>0</v>
      </c>
      <c r="DA710">
        <v>0</v>
      </c>
      <c r="DB710">
        <v>1</v>
      </c>
      <c r="DC710">
        <v>0</v>
      </c>
      <c r="DD710">
        <v>1021</v>
      </c>
      <c r="DE710">
        <v>0</v>
      </c>
      <c r="DF710">
        <v>0</v>
      </c>
      <c r="DG710">
        <v>3</v>
      </c>
      <c r="DH710">
        <v>0</v>
      </c>
      <c r="DI710">
        <v>22</v>
      </c>
      <c r="DJ710">
        <v>2</v>
      </c>
      <c r="DK710">
        <v>3</v>
      </c>
      <c r="DL710">
        <v>46</v>
      </c>
      <c r="DM710">
        <v>9</v>
      </c>
      <c r="DN710">
        <v>13</v>
      </c>
      <c r="DO710">
        <v>870</v>
      </c>
      <c r="DP710">
        <v>6</v>
      </c>
      <c r="DQ710">
        <v>1</v>
      </c>
      <c r="DR710">
        <v>1</v>
      </c>
      <c r="DS710">
        <v>4</v>
      </c>
      <c r="DT710">
        <v>0</v>
      </c>
      <c r="DU710">
        <v>21</v>
      </c>
      <c r="DV710">
        <v>28</v>
      </c>
      <c r="DW710">
        <v>0</v>
      </c>
      <c r="DX710">
        <v>14</v>
      </c>
      <c r="DY710">
        <v>2</v>
      </c>
      <c r="DZ710">
        <v>938</v>
      </c>
      <c r="EA710">
        <v>0.96089999999999998</v>
      </c>
      <c r="EB710">
        <v>0.96242310643103501</v>
      </c>
      <c r="EC710">
        <v>0.96136120004203796</v>
      </c>
      <c r="ED710">
        <v>0.96039901674804096</v>
      </c>
      <c r="EE710">
        <f>SUM(Table1[[#This Row],[ratio_0]:[ratio_9]])</f>
        <v>640</v>
      </c>
      <c r="EF710" s="1">
        <f>(Table1[[#This Row],[predicted_0]]-Table1[[#This Row],[actual_0]])/Table1[[#This Row],[actual_0]]</f>
        <v>-1.2244897959183673E-2</v>
      </c>
      <c r="EG710" s="1">
        <f>(Table1[[#This Row],[predicted_1]]-Table1[[#This Row],[actual_1]])/Table1[[#This Row],[actual_1]]</f>
        <v>-4.405286343612335E-2</v>
      </c>
      <c r="EH710" s="1">
        <f>(Table1[[#This Row],[predicted_2]]-Table1[[#This Row],[actual_2]])/Table1[[#This Row],[actual_2]]</f>
        <v>5.0387596899224806E-2</v>
      </c>
      <c r="EI710" s="1">
        <f>(Table1[[#This Row],[predicted_3]]-Table1[[#This Row],[actual_3]])/Table1[[#This Row],[actual_3]]</f>
        <v>-0.1099009900990099</v>
      </c>
      <c r="EJ710" s="1">
        <f>(Table1[[#This Row],[predicted_4]]-Table1[[#This Row],[actual_4]])/Table1[[#This Row],[actual_4]]</f>
        <v>2.1384928716904276E-2</v>
      </c>
      <c r="EK710" s="1">
        <f>(Table1[[#This Row],[predicted_5]]-Table1[[#This Row],[actual_5]])/Table1[[#This Row],[actual_5]]</f>
        <v>0.19282511210762332</v>
      </c>
      <c r="EL710" s="1">
        <f>(Table1[[#This Row],[predicted_6]]-Table1[[#This Row],[actual_6]])/Table1[[#This Row],[actual_6]]</f>
        <v>1.6701461377870562E-2</v>
      </c>
      <c r="EM710" s="1">
        <f>(Table1[[#This Row],[predicted_7]]-Table1[[#This Row],[actual_7]])/Table1[[#This Row],[actual_7]]</f>
        <v>5.2529182879377433E-2</v>
      </c>
      <c r="EN710" s="1">
        <f>(Table1[[#This Row],[predicted_8]]-Table1[[#This Row],[actual_8]])/Table1[[#This Row],[actual_8]]</f>
        <v>-8.5215605749486653E-2</v>
      </c>
      <c r="EO710" s="1">
        <f>(Table1[[#This Row],[predicted_9]]-Table1[[#This Row],[actual_9]])/Table1[[#This Row],[actual_9]]</f>
        <v>-5.8473736372646183E-2</v>
      </c>
      <c r="EP710" s="1">
        <f>1+(Table1[[#This Row],[error_ratio_0]]-EF$2)</f>
        <v>0.98571428571428577</v>
      </c>
      <c r="EQ710" s="1">
        <f>1+(Table1[[#This Row],[error_ratio_1]]-EG$2)</f>
        <v>0.95418502202643174</v>
      </c>
      <c r="ER710" s="1">
        <f>1+(Table1[[#This Row],[error_ratio_2]]-EH$2)</f>
        <v>1.055232558139535</v>
      </c>
      <c r="ES710" s="1">
        <f>1+(Table1[[#This Row],[error_ratio_3]]-EI$2)</f>
        <v>0.8801980198019802</v>
      </c>
      <c r="ET710" s="1">
        <f>1+(Table1[[#This Row],[error_ratio_4]]-EJ$2)</f>
        <v>1.0203665987780042</v>
      </c>
      <c r="EU710" s="1">
        <f>1+(Table1[[#This Row],[error_ratio_5]]-EK$2)</f>
        <v>1.1917040358744395</v>
      </c>
      <c r="EV710" s="1">
        <f>1+(Table1[[#This Row],[error_ratio_6]]-EL$2)</f>
        <v>1.0229645093945721</v>
      </c>
      <c r="EW710" s="1">
        <f>1+(Table1[[#This Row],[error_ratio_7]]-EM$2)</f>
        <v>1.0505836575875487</v>
      </c>
      <c r="EX710" s="1">
        <f>1+(Table1[[#This Row],[error_ratio_8]]-EN$2)</f>
        <v>0.91786447638603696</v>
      </c>
      <c r="EY710" s="1">
        <f>1+(Table1[[#This Row],[error_ratio_9]]-EO$2)</f>
        <v>0.94549058473736369</v>
      </c>
    </row>
    <row r="711" spans="1:155" x14ac:dyDescent="0.75">
      <c r="A711">
        <v>10</v>
      </c>
      <c r="B711">
        <v>10</v>
      </c>
      <c r="C711">
        <v>100</v>
      </c>
      <c r="D711">
        <v>10</v>
      </c>
      <c r="E711">
        <v>100</v>
      </c>
      <c r="F711">
        <v>100</v>
      </c>
      <c r="G711">
        <v>100</v>
      </c>
      <c r="H711">
        <v>100</v>
      </c>
      <c r="I711">
        <v>10</v>
      </c>
      <c r="J711">
        <v>10</v>
      </c>
      <c r="K711">
        <v>977</v>
      </c>
      <c r="L711">
        <v>1111</v>
      </c>
      <c r="M711">
        <v>1131</v>
      </c>
      <c r="N711">
        <v>939</v>
      </c>
      <c r="O711">
        <v>996</v>
      </c>
      <c r="P711">
        <v>923</v>
      </c>
      <c r="Q711">
        <v>930</v>
      </c>
      <c r="R711">
        <v>1048</v>
      </c>
      <c r="S711">
        <v>961</v>
      </c>
      <c r="T711">
        <v>984</v>
      </c>
      <c r="U711">
        <v>980</v>
      </c>
      <c r="V711">
        <v>1135</v>
      </c>
      <c r="W711">
        <v>1032</v>
      </c>
      <c r="X711">
        <v>1010</v>
      </c>
      <c r="Y711">
        <v>982</v>
      </c>
      <c r="Z711">
        <v>892</v>
      </c>
      <c r="AA711">
        <v>958</v>
      </c>
      <c r="AB711">
        <v>1028</v>
      </c>
      <c r="AC711">
        <v>974</v>
      </c>
      <c r="AD711">
        <v>1009</v>
      </c>
      <c r="AE711">
        <v>952</v>
      </c>
      <c r="AF711">
        <v>0</v>
      </c>
      <c r="AG711">
        <v>19</v>
      </c>
      <c r="AH711">
        <v>0</v>
      </c>
      <c r="AI711">
        <v>4</v>
      </c>
      <c r="AJ711">
        <v>1</v>
      </c>
      <c r="AK711">
        <v>0</v>
      </c>
      <c r="AL711">
        <v>1</v>
      </c>
      <c r="AM711">
        <v>3</v>
      </c>
      <c r="AN711">
        <v>0</v>
      </c>
      <c r="AO711">
        <v>0</v>
      </c>
      <c r="AP711">
        <v>1107</v>
      </c>
      <c r="AQ711">
        <v>10</v>
      </c>
      <c r="AR711">
        <v>1</v>
      </c>
      <c r="AS711">
        <v>0</v>
      </c>
      <c r="AT711">
        <v>2</v>
      </c>
      <c r="AU711">
        <v>3</v>
      </c>
      <c r="AV711">
        <v>7</v>
      </c>
      <c r="AW711">
        <v>5</v>
      </c>
      <c r="AX711">
        <v>0</v>
      </c>
      <c r="AY711">
        <v>0</v>
      </c>
      <c r="AZ711">
        <v>0</v>
      </c>
      <c r="BA711">
        <v>1026</v>
      </c>
      <c r="BB711">
        <v>0</v>
      </c>
      <c r="BC711">
        <v>2</v>
      </c>
      <c r="BD711">
        <v>0</v>
      </c>
      <c r="BE711">
        <v>0</v>
      </c>
      <c r="BF711">
        <v>3</v>
      </c>
      <c r="BG711">
        <v>1</v>
      </c>
      <c r="BH711">
        <v>0</v>
      </c>
      <c r="BI711">
        <v>0</v>
      </c>
      <c r="BJ711">
        <v>0</v>
      </c>
      <c r="BK711">
        <v>33</v>
      </c>
      <c r="BL711">
        <v>923</v>
      </c>
      <c r="BM711">
        <v>1</v>
      </c>
      <c r="BN711">
        <v>24</v>
      </c>
      <c r="BO711">
        <v>0</v>
      </c>
      <c r="BP711">
        <v>10</v>
      </c>
      <c r="BQ711">
        <v>15</v>
      </c>
      <c r="BR711">
        <v>4</v>
      </c>
      <c r="BS711">
        <v>0</v>
      </c>
      <c r="BT711">
        <v>0</v>
      </c>
      <c r="BU711">
        <v>0</v>
      </c>
      <c r="BV711">
        <v>0</v>
      </c>
      <c r="BW711">
        <v>966</v>
      </c>
      <c r="BX711">
        <v>0</v>
      </c>
      <c r="BY711">
        <v>2</v>
      </c>
      <c r="BZ711">
        <v>1</v>
      </c>
      <c r="CA711">
        <v>0</v>
      </c>
      <c r="CB711">
        <v>13</v>
      </c>
      <c r="CC711">
        <v>1</v>
      </c>
      <c r="CD711">
        <v>0</v>
      </c>
      <c r="CE711">
        <v>2</v>
      </c>
      <c r="CF711">
        <v>11</v>
      </c>
      <c r="CG711">
        <v>0</v>
      </c>
      <c r="CH711">
        <v>869</v>
      </c>
      <c r="CI711">
        <v>1</v>
      </c>
      <c r="CJ711">
        <v>0</v>
      </c>
      <c r="CK711">
        <v>5</v>
      </c>
      <c r="CL711">
        <v>3</v>
      </c>
      <c r="CM711">
        <v>15</v>
      </c>
      <c r="CN711">
        <v>0</v>
      </c>
      <c r="CO711">
        <v>8</v>
      </c>
      <c r="CP711">
        <v>0</v>
      </c>
      <c r="CQ711">
        <v>7</v>
      </c>
      <c r="CR711">
        <v>7</v>
      </c>
      <c r="CS711">
        <v>920</v>
      </c>
      <c r="CT711">
        <v>0</v>
      </c>
      <c r="CU711">
        <v>1</v>
      </c>
      <c r="CV711">
        <v>0</v>
      </c>
      <c r="CW711">
        <v>1</v>
      </c>
      <c r="CX711">
        <v>0</v>
      </c>
      <c r="CY711">
        <v>15</v>
      </c>
      <c r="CZ711">
        <v>0</v>
      </c>
      <c r="DA711">
        <v>1</v>
      </c>
      <c r="DB711">
        <v>0</v>
      </c>
      <c r="DC711">
        <v>0</v>
      </c>
      <c r="DD711">
        <v>1009</v>
      </c>
      <c r="DE711">
        <v>2</v>
      </c>
      <c r="DF711">
        <v>0</v>
      </c>
      <c r="DG711">
        <v>3</v>
      </c>
      <c r="DH711">
        <v>0</v>
      </c>
      <c r="DI711">
        <v>15</v>
      </c>
      <c r="DJ711">
        <v>1</v>
      </c>
      <c r="DK711">
        <v>6</v>
      </c>
      <c r="DL711">
        <v>8</v>
      </c>
      <c r="DM711">
        <v>4</v>
      </c>
      <c r="DN711">
        <v>5</v>
      </c>
      <c r="DO711">
        <v>926</v>
      </c>
      <c r="DP711">
        <v>6</v>
      </c>
      <c r="DQ711">
        <v>5</v>
      </c>
      <c r="DR711">
        <v>4</v>
      </c>
      <c r="DS711">
        <v>3</v>
      </c>
      <c r="DT711">
        <v>3</v>
      </c>
      <c r="DU711">
        <v>9</v>
      </c>
      <c r="DV711">
        <v>12</v>
      </c>
      <c r="DW711">
        <v>0</v>
      </c>
      <c r="DX711">
        <v>12</v>
      </c>
      <c r="DY711">
        <v>3</v>
      </c>
      <c r="DZ711">
        <v>958</v>
      </c>
      <c r="EA711">
        <v>0.96560000000000001</v>
      </c>
      <c r="EB711">
        <v>0.96614985581077895</v>
      </c>
      <c r="EC711">
        <v>0.96547534988031303</v>
      </c>
      <c r="ED711">
        <v>0.96539335431460305</v>
      </c>
      <c r="EE711">
        <f>SUM(Table1[[#This Row],[ratio_0]:[ratio_9]])</f>
        <v>550</v>
      </c>
      <c r="EF711" s="1">
        <f>(Table1[[#This Row],[predicted_0]]-Table1[[#This Row],[actual_0]])/Table1[[#This Row],[actual_0]]</f>
        <v>-3.0612244897959182E-3</v>
      </c>
      <c r="EG711" s="1">
        <f>(Table1[[#This Row],[predicted_1]]-Table1[[#This Row],[actual_1]])/Table1[[#This Row],[actual_1]]</f>
        <v>-2.1145374449339206E-2</v>
      </c>
      <c r="EH711" s="1">
        <f>(Table1[[#This Row],[predicted_2]]-Table1[[#This Row],[actual_2]])/Table1[[#This Row],[actual_2]]</f>
        <v>9.5930232558139539E-2</v>
      </c>
      <c r="EI711" s="1">
        <f>(Table1[[#This Row],[predicted_3]]-Table1[[#This Row],[actual_3]])/Table1[[#This Row],[actual_3]]</f>
        <v>-7.0297029702970304E-2</v>
      </c>
      <c r="EJ711" s="1">
        <f>(Table1[[#This Row],[predicted_4]]-Table1[[#This Row],[actual_4]])/Table1[[#This Row],[actual_4]]</f>
        <v>1.4256619144602852E-2</v>
      </c>
      <c r="EK711" s="1">
        <f>(Table1[[#This Row],[predicted_5]]-Table1[[#This Row],[actual_5]])/Table1[[#This Row],[actual_5]]</f>
        <v>3.4753363228699555E-2</v>
      </c>
      <c r="EL711" s="1">
        <f>(Table1[[#This Row],[predicted_6]]-Table1[[#This Row],[actual_6]])/Table1[[#This Row],[actual_6]]</f>
        <v>-2.9227557411273485E-2</v>
      </c>
      <c r="EM711" s="1">
        <f>(Table1[[#This Row],[predicted_7]]-Table1[[#This Row],[actual_7]])/Table1[[#This Row],[actual_7]]</f>
        <v>1.9455252918287938E-2</v>
      </c>
      <c r="EN711" s="1">
        <f>(Table1[[#This Row],[predicted_8]]-Table1[[#This Row],[actual_8]])/Table1[[#This Row],[actual_8]]</f>
        <v>-1.3347022587268994E-2</v>
      </c>
      <c r="EO711" s="1">
        <f>(Table1[[#This Row],[predicted_9]]-Table1[[#This Row],[actual_9]])/Table1[[#This Row],[actual_9]]</f>
        <v>-2.4777006937561942E-2</v>
      </c>
      <c r="EP711" s="1">
        <f>1+(Table1[[#This Row],[error_ratio_0]]-EF$2)</f>
        <v>0.99489795918367352</v>
      </c>
      <c r="EQ711" s="1">
        <f>1+(Table1[[#This Row],[error_ratio_1]]-EG$2)</f>
        <v>0.97709251101321581</v>
      </c>
      <c r="ER711" s="1">
        <f>1+(Table1[[#This Row],[error_ratio_2]]-EH$2)</f>
        <v>1.1007751937984496</v>
      </c>
      <c r="ES711" s="1">
        <f>1+(Table1[[#This Row],[error_ratio_3]]-EI$2)</f>
        <v>0.91980198019801984</v>
      </c>
      <c r="ET711" s="1">
        <f>1+(Table1[[#This Row],[error_ratio_4]]-EJ$2)</f>
        <v>1.0132382892057026</v>
      </c>
      <c r="EU711" s="1">
        <f>1+(Table1[[#This Row],[error_ratio_5]]-EK$2)</f>
        <v>1.0336322869955157</v>
      </c>
      <c r="EV711" s="1">
        <f>1+(Table1[[#This Row],[error_ratio_6]]-EL$2)</f>
        <v>0.97703549060542794</v>
      </c>
      <c r="EW711" s="1">
        <f>1+(Table1[[#This Row],[error_ratio_7]]-EM$2)</f>
        <v>1.0175097276264591</v>
      </c>
      <c r="EX711" s="1">
        <f>1+(Table1[[#This Row],[error_ratio_8]]-EN$2)</f>
        <v>0.98973305954825463</v>
      </c>
      <c r="EY711" s="1">
        <f>1+(Table1[[#This Row],[error_ratio_9]]-EO$2)</f>
        <v>0.97918731417244798</v>
      </c>
    </row>
    <row r="712" spans="1:155" x14ac:dyDescent="0.75">
      <c r="A712">
        <v>100</v>
      </c>
      <c r="B712">
        <v>100</v>
      </c>
      <c r="C712">
        <v>10</v>
      </c>
      <c r="D712">
        <v>10</v>
      </c>
      <c r="E712">
        <v>100</v>
      </c>
      <c r="F712">
        <v>100</v>
      </c>
      <c r="G712">
        <v>100</v>
      </c>
      <c r="H712">
        <v>100</v>
      </c>
      <c r="I712">
        <v>10</v>
      </c>
      <c r="J712">
        <v>10</v>
      </c>
      <c r="K712">
        <v>998</v>
      </c>
      <c r="L712">
        <v>1138</v>
      </c>
      <c r="M712">
        <v>927</v>
      </c>
      <c r="N712">
        <v>939</v>
      </c>
      <c r="O712">
        <v>1061</v>
      </c>
      <c r="P712">
        <v>998</v>
      </c>
      <c r="Q712">
        <v>977</v>
      </c>
      <c r="R712">
        <v>1093</v>
      </c>
      <c r="S712">
        <v>1050</v>
      </c>
      <c r="T712">
        <v>819</v>
      </c>
      <c r="U712">
        <v>980</v>
      </c>
      <c r="V712">
        <v>1135</v>
      </c>
      <c r="W712">
        <v>1032</v>
      </c>
      <c r="X712">
        <v>1010</v>
      </c>
      <c r="Y712">
        <v>982</v>
      </c>
      <c r="Z712">
        <v>892</v>
      </c>
      <c r="AA712">
        <v>958</v>
      </c>
      <c r="AB712">
        <v>1028</v>
      </c>
      <c r="AC712">
        <v>974</v>
      </c>
      <c r="AD712">
        <v>1009</v>
      </c>
      <c r="AE712">
        <v>972</v>
      </c>
      <c r="AF712">
        <v>0</v>
      </c>
      <c r="AG712">
        <v>1</v>
      </c>
      <c r="AH712">
        <v>0</v>
      </c>
      <c r="AI712">
        <v>0</v>
      </c>
      <c r="AJ712">
        <v>1</v>
      </c>
      <c r="AK712">
        <v>2</v>
      </c>
      <c r="AL712">
        <v>2</v>
      </c>
      <c r="AM712">
        <v>2</v>
      </c>
      <c r="AN712">
        <v>0</v>
      </c>
      <c r="AO712">
        <v>0</v>
      </c>
      <c r="AP712">
        <v>1127</v>
      </c>
      <c r="AQ712">
        <v>0</v>
      </c>
      <c r="AR712">
        <v>1</v>
      </c>
      <c r="AS712">
        <v>0</v>
      </c>
      <c r="AT712">
        <v>1</v>
      </c>
      <c r="AU712">
        <v>4</v>
      </c>
      <c r="AV712">
        <v>2</v>
      </c>
      <c r="AW712">
        <v>0</v>
      </c>
      <c r="AX712">
        <v>0</v>
      </c>
      <c r="AY712">
        <v>10</v>
      </c>
      <c r="AZ712">
        <v>4</v>
      </c>
      <c r="BA712">
        <v>923</v>
      </c>
      <c r="BB712">
        <v>2</v>
      </c>
      <c r="BC712">
        <v>9</v>
      </c>
      <c r="BD712">
        <v>1</v>
      </c>
      <c r="BE712">
        <v>8</v>
      </c>
      <c r="BF712">
        <v>53</v>
      </c>
      <c r="BG712">
        <v>22</v>
      </c>
      <c r="BH712">
        <v>0</v>
      </c>
      <c r="BI712">
        <v>2</v>
      </c>
      <c r="BJ712">
        <v>0</v>
      </c>
      <c r="BK712">
        <v>1</v>
      </c>
      <c r="BL712">
        <v>929</v>
      </c>
      <c r="BM712">
        <v>0</v>
      </c>
      <c r="BN712">
        <v>56</v>
      </c>
      <c r="BO712">
        <v>1</v>
      </c>
      <c r="BP712">
        <v>11</v>
      </c>
      <c r="BQ712">
        <v>10</v>
      </c>
      <c r="BR712">
        <v>0</v>
      </c>
      <c r="BS712">
        <v>0</v>
      </c>
      <c r="BT712">
        <v>0</v>
      </c>
      <c r="BU712">
        <v>0</v>
      </c>
      <c r="BV712">
        <v>0</v>
      </c>
      <c r="BW712">
        <v>977</v>
      </c>
      <c r="BX712">
        <v>0</v>
      </c>
      <c r="BY712">
        <v>5</v>
      </c>
      <c r="BZ712">
        <v>0</v>
      </c>
      <c r="CA712">
        <v>0</v>
      </c>
      <c r="CB712">
        <v>0</v>
      </c>
      <c r="CC712">
        <v>3</v>
      </c>
      <c r="CD712">
        <v>0</v>
      </c>
      <c r="CE712">
        <v>0</v>
      </c>
      <c r="CF712">
        <v>0</v>
      </c>
      <c r="CG712">
        <v>0</v>
      </c>
      <c r="CH712">
        <v>887</v>
      </c>
      <c r="CI712">
        <v>2</v>
      </c>
      <c r="CJ712">
        <v>0</v>
      </c>
      <c r="CK712">
        <v>0</v>
      </c>
      <c r="CL712">
        <v>0</v>
      </c>
      <c r="CM712">
        <v>5</v>
      </c>
      <c r="CN712">
        <v>2</v>
      </c>
      <c r="CO712">
        <v>0</v>
      </c>
      <c r="CP712">
        <v>0</v>
      </c>
      <c r="CQ712">
        <v>1</v>
      </c>
      <c r="CR712">
        <v>2</v>
      </c>
      <c r="CS712">
        <v>948</v>
      </c>
      <c r="CT712">
        <v>0</v>
      </c>
      <c r="CU712">
        <v>0</v>
      </c>
      <c r="CV712">
        <v>0</v>
      </c>
      <c r="CW712">
        <v>0</v>
      </c>
      <c r="CX712">
        <v>2</v>
      </c>
      <c r="CY712">
        <v>0</v>
      </c>
      <c r="CZ712">
        <v>0</v>
      </c>
      <c r="DA712">
        <v>0</v>
      </c>
      <c r="DB712">
        <v>0</v>
      </c>
      <c r="DC712">
        <v>0</v>
      </c>
      <c r="DD712">
        <v>1015</v>
      </c>
      <c r="DE712">
        <v>11</v>
      </c>
      <c r="DF712">
        <v>0</v>
      </c>
      <c r="DG712">
        <v>2</v>
      </c>
      <c r="DH712">
        <v>0</v>
      </c>
      <c r="DI712">
        <v>2</v>
      </c>
      <c r="DJ712">
        <v>1</v>
      </c>
      <c r="DK712">
        <v>3</v>
      </c>
      <c r="DL712">
        <v>17</v>
      </c>
      <c r="DM712">
        <v>7</v>
      </c>
      <c r="DN712">
        <v>4</v>
      </c>
      <c r="DO712">
        <v>936</v>
      </c>
      <c r="DP712">
        <v>2</v>
      </c>
      <c r="DQ712">
        <v>4</v>
      </c>
      <c r="DR712">
        <v>3</v>
      </c>
      <c r="DS712">
        <v>0</v>
      </c>
      <c r="DT712">
        <v>6</v>
      </c>
      <c r="DU712">
        <v>71</v>
      </c>
      <c r="DV712">
        <v>33</v>
      </c>
      <c r="DW712">
        <v>0</v>
      </c>
      <c r="DX712">
        <v>6</v>
      </c>
      <c r="DY712">
        <v>69</v>
      </c>
      <c r="DZ712">
        <v>817</v>
      </c>
      <c r="EA712">
        <v>0.95309999999999995</v>
      </c>
      <c r="EB712">
        <v>0.95468648007525403</v>
      </c>
      <c r="EC712">
        <v>0.95358869560877701</v>
      </c>
      <c r="ED712">
        <v>0.95208547149343703</v>
      </c>
      <c r="EE712">
        <f>SUM(Table1[[#This Row],[ratio_0]:[ratio_9]])</f>
        <v>640</v>
      </c>
      <c r="EF712" s="1">
        <f>(Table1[[#This Row],[predicted_0]]-Table1[[#This Row],[actual_0]])/Table1[[#This Row],[actual_0]]</f>
        <v>1.8367346938775512E-2</v>
      </c>
      <c r="EG712" s="1">
        <f>(Table1[[#This Row],[predicted_1]]-Table1[[#This Row],[actual_1]])/Table1[[#This Row],[actual_1]]</f>
        <v>2.6431718061674008E-3</v>
      </c>
      <c r="EH712" s="1">
        <f>(Table1[[#This Row],[predicted_2]]-Table1[[#This Row],[actual_2]])/Table1[[#This Row],[actual_2]]</f>
        <v>-0.10174418604651163</v>
      </c>
      <c r="EI712" s="1">
        <f>(Table1[[#This Row],[predicted_3]]-Table1[[#This Row],[actual_3]])/Table1[[#This Row],[actual_3]]</f>
        <v>-7.0297029702970304E-2</v>
      </c>
      <c r="EJ712" s="1">
        <f>(Table1[[#This Row],[predicted_4]]-Table1[[#This Row],[actual_4]])/Table1[[#This Row],[actual_4]]</f>
        <v>8.044806517311609E-2</v>
      </c>
      <c r="EK712" s="1">
        <f>(Table1[[#This Row],[predicted_5]]-Table1[[#This Row],[actual_5]])/Table1[[#This Row],[actual_5]]</f>
        <v>0.11883408071748879</v>
      </c>
      <c r="EL712" s="1">
        <f>(Table1[[#This Row],[predicted_6]]-Table1[[#This Row],[actual_6]])/Table1[[#This Row],[actual_6]]</f>
        <v>1.9832985386221295E-2</v>
      </c>
      <c r="EM712" s="1">
        <f>(Table1[[#This Row],[predicted_7]]-Table1[[#This Row],[actual_7]])/Table1[[#This Row],[actual_7]]</f>
        <v>6.3229571984435795E-2</v>
      </c>
      <c r="EN712" s="1">
        <f>(Table1[[#This Row],[predicted_8]]-Table1[[#This Row],[actual_8]])/Table1[[#This Row],[actual_8]]</f>
        <v>7.8028747433264892E-2</v>
      </c>
      <c r="EO712" s="1">
        <f>(Table1[[#This Row],[predicted_9]]-Table1[[#This Row],[actual_9]])/Table1[[#This Row],[actual_9]]</f>
        <v>-0.18830525272547077</v>
      </c>
      <c r="EP712" s="1">
        <f>1+(Table1[[#This Row],[error_ratio_0]]-EF$2)</f>
        <v>1.0163265306122449</v>
      </c>
      <c r="EQ712" s="1">
        <f>1+(Table1[[#This Row],[error_ratio_1]]-EG$2)</f>
        <v>1.0008810572687226</v>
      </c>
      <c r="ER712" s="1">
        <f>1+(Table1[[#This Row],[error_ratio_2]]-EH$2)</f>
        <v>0.9031007751937985</v>
      </c>
      <c r="ES712" s="1">
        <f>1+(Table1[[#This Row],[error_ratio_3]]-EI$2)</f>
        <v>0.91980198019801984</v>
      </c>
      <c r="ET712" s="1">
        <f>1+(Table1[[#This Row],[error_ratio_4]]-EJ$2)</f>
        <v>1.0794297352342159</v>
      </c>
      <c r="EU712" s="1">
        <f>1+(Table1[[#This Row],[error_ratio_5]]-EK$2)</f>
        <v>1.1177130044843049</v>
      </c>
      <c r="EV712" s="1">
        <f>1+(Table1[[#This Row],[error_ratio_6]]-EL$2)</f>
        <v>1.0260960334029228</v>
      </c>
      <c r="EW712" s="1">
        <f>1+(Table1[[#This Row],[error_ratio_7]]-EM$2)</f>
        <v>1.061284046692607</v>
      </c>
      <c r="EX712" s="1">
        <f>1+(Table1[[#This Row],[error_ratio_8]]-EN$2)</f>
        <v>1.0811088295687885</v>
      </c>
      <c r="EY712" s="1">
        <f>1+(Table1[[#This Row],[error_ratio_9]]-EO$2)</f>
        <v>0.81565906838453917</v>
      </c>
    </row>
    <row r="713" spans="1:155" x14ac:dyDescent="0.75">
      <c r="A713">
        <v>100</v>
      </c>
      <c r="B713">
        <v>10</v>
      </c>
      <c r="C713">
        <v>10</v>
      </c>
      <c r="D713">
        <v>10</v>
      </c>
      <c r="E713">
        <v>100</v>
      </c>
      <c r="F713">
        <v>100</v>
      </c>
      <c r="G713">
        <v>100</v>
      </c>
      <c r="H713">
        <v>100</v>
      </c>
      <c r="I713">
        <v>10</v>
      </c>
      <c r="J713">
        <v>10</v>
      </c>
      <c r="K713">
        <v>1061</v>
      </c>
      <c r="L713">
        <v>1120</v>
      </c>
      <c r="M713">
        <v>990</v>
      </c>
      <c r="N713">
        <v>973</v>
      </c>
      <c r="O713">
        <v>1000</v>
      </c>
      <c r="P713">
        <v>935</v>
      </c>
      <c r="Q713">
        <v>948</v>
      </c>
      <c r="R713">
        <v>1121</v>
      </c>
      <c r="S713">
        <v>991</v>
      </c>
      <c r="T713">
        <v>861</v>
      </c>
      <c r="U713">
        <v>980</v>
      </c>
      <c r="V713">
        <v>1135</v>
      </c>
      <c r="W713">
        <v>1032</v>
      </c>
      <c r="X713">
        <v>1010</v>
      </c>
      <c r="Y713">
        <v>982</v>
      </c>
      <c r="Z713">
        <v>892</v>
      </c>
      <c r="AA713">
        <v>958</v>
      </c>
      <c r="AB713">
        <v>1028</v>
      </c>
      <c r="AC713">
        <v>974</v>
      </c>
      <c r="AD713">
        <v>1009</v>
      </c>
      <c r="AE713">
        <v>976</v>
      </c>
      <c r="AF713">
        <v>0</v>
      </c>
      <c r="AG713">
        <v>0</v>
      </c>
      <c r="AH713">
        <v>0</v>
      </c>
      <c r="AI713">
        <v>0</v>
      </c>
      <c r="AJ713">
        <v>0</v>
      </c>
      <c r="AK713">
        <v>1</v>
      </c>
      <c r="AL713">
        <v>1</v>
      </c>
      <c r="AM713">
        <v>2</v>
      </c>
      <c r="AN713">
        <v>0</v>
      </c>
      <c r="AO713">
        <v>0</v>
      </c>
      <c r="AP713">
        <v>1110</v>
      </c>
      <c r="AQ713">
        <v>4</v>
      </c>
      <c r="AR713">
        <v>3</v>
      </c>
      <c r="AS713">
        <v>0</v>
      </c>
      <c r="AT713">
        <v>2</v>
      </c>
      <c r="AU713">
        <v>2</v>
      </c>
      <c r="AV713">
        <v>6</v>
      </c>
      <c r="AW713">
        <v>8</v>
      </c>
      <c r="AX713">
        <v>0</v>
      </c>
      <c r="AY713">
        <v>19</v>
      </c>
      <c r="AZ713">
        <v>1</v>
      </c>
      <c r="BA713">
        <v>975</v>
      </c>
      <c r="BB713">
        <v>5</v>
      </c>
      <c r="BC713">
        <v>1</v>
      </c>
      <c r="BD713">
        <v>2</v>
      </c>
      <c r="BE713">
        <v>0</v>
      </c>
      <c r="BF713">
        <v>23</v>
      </c>
      <c r="BG713">
        <v>6</v>
      </c>
      <c r="BH713">
        <v>0</v>
      </c>
      <c r="BI713">
        <v>5</v>
      </c>
      <c r="BJ713">
        <v>0</v>
      </c>
      <c r="BK713">
        <v>3</v>
      </c>
      <c r="BL713">
        <v>955</v>
      </c>
      <c r="BM713">
        <v>1</v>
      </c>
      <c r="BN713">
        <v>11</v>
      </c>
      <c r="BO713">
        <v>0</v>
      </c>
      <c r="BP713">
        <v>8</v>
      </c>
      <c r="BQ713">
        <v>27</v>
      </c>
      <c r="BR713">
        <v>0</v>
      </c>
      <c r="BS713">
        <v>0</v>
      </c>
      <c r="BT713">
        <v>1</v>
      </c>
      <c r="BU713">
        <v>2</v>
      </c>
      <c r="BV713">
        <v>0</v>
      </c>
      <c r="BW713">
        <v>972</v>
      </c>
      <c r="BX713">
        <v>0</v>
      </c>
      <c r="BY713">
        <v>1</v>
      </c>
      <c r="BZ713">
        <v>0</v>
      </c>
      <c r="CA713">
        <v>5</v>
      </c>
      <c r="CB713">
        <v>1</v>
      </c>
      <c r="CC713">
        <v>3</v>
      </c>
      <c r="CD713">
        <v>0</v>
      </c>
      <c r="CE713">
        <v>0</v>
      </c>
      <c r="CF713">
        <v>3</v>
      </c>
      <c r="CG713">
        <v>0</v>
      </c>
      <c r="CH713">
        <v>882</v>
      </c>
      <c r="CI713">
        <v>2</v>
      </c>
      <c r="CJ713">
        <v>0</v>
      </c>
      <c r="CK713">
        <v>2</v>
      </c>
      <c r="CL713">
        <v>0</v>
      </c>
      <c r="CM713">
        <v>12</v>
      </c>
      <c r="CN713">
        <v>3</v>
      </c>
      <c r="CO713">
        <v>1</v>
      </c>
      <c r="CP713">
        <v>0</v>
      </c>
      <c r="CQ713">
        <v>1</v>
      </c>
      <c r="CR713">
        <v>3</v>
      </c>
      <c r="CS713">
        <v>937</v>
      </c>
      <c r="CT713">
        <v>0</v>
      </c>
      <c r="CU713">
        <v>1</v>
      </c>
      <c r="CV713">
        <v>0</v>
      </c>
      <c r="CW713">
        <v>1</v>
      </c>
      <c r="CX713">
        <v>2</v>
      </c>
      <c r="CY713">
        <v>4</v>
      </c>
      <c r="CZ713">
        <v>1</v>
      </c>
      <c r="DA713">
        <v>0</v>
      </c>
      <c r="DB713">
        <v>0</v>
      </c>
      <c r="DC713">
        <v>0</v>
      </c>
      <c r="DD713">
        <v>1019</v>
      </c>
      <c r="DE713">
        <v>1</v>
      </c>
      <c r="DF713">
        <v>0</v>
      </c>
      <c r="DG713">
        <v>27</v>
      </c>
      <c r="DH713">
        <v>0</v>
      </c>
      <c r="DI713">
        <v>1</v>
      </c>
      <c r="DJ713">
        <v>0</v>
      </c>
      <c r="DK713">
        <v>7</v>
      </c>
      <c r="DL713">
        <v>12</v>
      </c>
      <c r="DM713">
        <v>4</v>
      </c>
      <c r="DN713">
        <v>3</v>
      </c>
      <c r="DO713">
        <v>919</v>
      </c>
      <c r="DP713">
        <v>1</v>
      </c>
      <c r="DQ713">
        <v>18</v>
      </c>
      <c r="DR713">
        <v>3</v>
      </c>
      <c r="DS713">
        <v>0</v>
      </c>
      <c r="DT713">
        <v>6</v>
      </c>
      <c r="DU713">
        <v>18</v>
      </c>
      <c r="DV713">
        <v>23</v>
      </c>
      <c r="DW713">
        <v>1</v>
      </c>
      <c r="DX713">
        <v>61</v>
      </c>
      <c r="DY713">
        <v>20</v>
      </c>
      <c r="DZ713">
        <v>859</v>
      </c>
      <c r="EA713">
        <v>0.96040000000000003</v>
      </c>
      <c r="EB713">
        <v>0.961505250627115</v>
      </c>
      <c r="EC713">
        <v>0.96070041242422899</v>
      </c>
      <c r="ED713">
        <v>0.96004408463686397</v>
      </c>
      <c r="EE713">
        <f>SUM(Table1[[#This Row],[ratio_0]:[ratio_9]])</f>
        <v>550</v>
      </c>
      <c r="EF713" s="1">
        <f>(Table1[[#This Row],[predicted_0]]-Table1[[#This Row],[actual_0]])/Table1[[#This Row],[actual_0]]</f>
        <v>8.2653061224489802E-2</v>
      </c>
      <c r="EG713" s="1">
        <f>(Table1[[#This Row],[predicted_1]]-Table1[[#This Row],[actual_1]])/Table1[[#This Row],[actual_1]]</f>
        <v>-1.3215859030837005E-2</v>
      </c>
      <c r="EH713" s="1">
        <f>(Table1[[#This Row],[predicted_2]]-Table1[[#This Row],[actual_2]])/Table1[[#This Row],[actual_2]]</f>
        <v>-4.0697674418604654E-2</v>
      </c>
      <c r="EI713" s="1">
        <f>(Table1[[#This Row],[predicted_3]]-Table1[[#This Row],[actual_3]])/Table1[[#This Row],[actual_3]]</f>
        <v>-3.6633663366336632E-2</v>
      </c>
      <c r="EJ713" s="1">
        <f>(Table1[[#This Row],[predicted_4]]-Table1[[#This Row],[actual_4]])/Table1[[#This Row],[actual_4]]</f>
        <v>1.8329938900203666E-2</v>
      </c>
      <c r="EK713" s="1">
        <f>(Table1[[#This Row],[predicted_5]]-Table1[[#This Row],[actual_5]])/Table1[[#This Row],[actual_5]]</f>
        <v>4.820627802690583E-2</v>
      </c>
      <c r="EL713" s="1">
        <f>(Table1[[#This Row],[predicted_6]]-Table1[[#This Row],[actual_6]])/Table1[[#This Row],[actual_6]]</f>
        <v>-1.0438413361169102E-2</v>
      </c>
      <c r="EM713" s="1">
        <f>(Table1[[#This Row],[predicted_7]]-Table1[[#This Row],[actual_7]])/Table1[[#This Row],[actual_7]]</f>
        <v>9.0466926070038908E-2</v>
      </c>
      <c r="EN713" s="1">
        <f>(Table1[[#This Row],[predicted_8]]-Table1[[#This Row],[actual_8]])/Table1[[#This Row],[actual_8]]</f>
        <v>1.7453798767967144E-2</v>
      </c>
      <c r="EO713" s="1">
        <f>(Table1[[#This Row],[predicted_9]]-Table1[[#This Row],[actual_9]])/Table1[[#This Row],[actual_9]]</f>
        <v>-0.1466798810703667</v>
      </c>
      <c r="EP713" s="1">
        <f>1+(Table1[[#This Row],[error_ratio_0]]-EF$2)</f>
        <v>1.0806122448979592</v>
      </c>
      <c r="EQ713" s="1">
        <f>1+(Table1[[#This Row],[error_ratio_1]]-EG$2)</f>
        <v>0.9850220264317181</v>
      </c>
      <c r="ER713" s="1">
        <f>1+(Table1[[#This Row],[error_ratio_2]]-EH$2)</f>
        <v>0.96414728682170547</v>
      </c>
      <c r="ES713" s="1">
        <f>1+(Table1[[#This Row],[error_ratio_3]]-EI$2)</f>
        <v>0.95346534653465342</v>
      </c>
      <c r="ET713" s="1">
        <f>1+(Table1[[#This Row],[error_ratio_4]]-EJ$2)</f>
        <v>1.0173116089613035</v>
      </c>
      <c r="EU713" s="1">
        <f>1+(Table1[[#This Row],[error_ratio_5]]-EK$2)</f>
        <v>1.047085201793722</v>
      </c>
      <c r="EV713" s="1">
        <f>1+(Table1[[#This Row],[error_ratio_6]]-EL$2)</f>
        <v>0.99582463465553239</v>
      </c>
      <c r="EW713" s="1">
        <f>1+(Table1[[#This Row],[error_ratio_7]]-EM$2)</f>
        <v>1.08852140077821</v>
      </c>
      <c r="EX713" s="1">
        <f>1+(Table1[[#This Row],[error_ratio_8]]-EN$2)</f>
        <v>1.0205338809034907</v>
      </c>
      <c r="EY713" s="1">
        <f>1+(Table1[[#This Row],[error_ratio_9]]-EO$2)</f>
        <v>0.85728444003964321</v>
      </c>
    </row>
    <row r="714" spans="1:155" x14ac:dyDescent="0.75">
      <c r="A714">
        <v>10</v>
      </c>
      <c r="B714">
        <v>10</v>
      </c>
      <c r="C714">
        <v>10</v>
      </c>
      <c r="D714">
        <v>10</v>
      </c>
      <c r="E714">
        <v>100</v>
      </c>
      <c r="F714">
        <v>100</v>
      </c>
      <c r="G714">
        <v>100</v>
      </c>
      <c r="H714">
        <v>100</v>
      </c>
      <c r="I714">
        <v>10</v>
      </c>
      <c r="J714">
        <v>10</v>
      </c>
      <c r="K714">
        <v>905</v>
      </c>
      <c r="L714">
        <v>1082</v>
      </c>
      <c r="M714">
        <v>1005</v>
      </c>
      <c r="N714">
        <v>1034</v>
      </c>
      <c r="O714">
        <v>1033</v>
      </c>
      <c r="P714">
        <v>935</v>
      </c>
      <c r="Q714">
        <v>1021</v>
      </c>
      <c r="R714">
        <v>1131</v>
      </c>
      <c r="S714">
        <v>890</v>
      </c>
      <c r="T714">
        <v>964</v>
      </c>
      <c r="U714">
        <v>980</v>
      </c>
      <c r="V714">
        <v>1135</v>
      </c>
      <c r="W714">
        <v>1032</v>
      </c>
      <c r="X714">
        <v>1010</v>
      </c>
      <c r="Y714">
        <v>982</v>
      </c>
      <c r="Z714">
        <v>892</v>
      </c>
      <c r="AA714">
        <v>958</v>
      </c>
      <c r="AB714">
        <v>1028</v>
      </c>
      <c r="AC714">
        <v>974</v>
      </c>
      <c r="AD714">
        <v>1009</v>
      </c>
      <c r="AE714">
        <v>902</v>
      </c>
      <c r="AF714">
        <v>0</v>
      </c>
      <c r="AG714">
        <v>3</v>
      </c>
      <c r="AH714">
        <v>0</v>
      </c>
      <c r="AI714">
        <v>8</v>
      </c>
      <c r="AJ714">
        <v>15</v>
      </c>
      <c r="AK714">
        <v>39</v>
      </c>
      <c r="AL714">
        <v>5</v>
      </c>
      <c r="AM714">
        <v>1</v>
      </c>
      <c r="AN714">
        <v>7</v>
      </c>
      <c r="AO714">
        <v>0</v>
      </c>
      <c r="AP714">
        <v>1081</v>
      </c>
      <c r="AQ714">
        <v>0</v>
      </c>
      <c r="AR714">
        <v>8</v>
      </c>
      <c r="AS714">
        <v>12</v>
      </c>
      <c r="AT714">
        <v>3</v>
      </c>
      <c r="AU714">
        <v>11</v>
      </c>
      <c r="AV714">
        <v>15</v>
      </c>
      <c r="AW714">
        <v>5</v>
      </c>
      <c r="AX714">
        <v>0</v>
      </c>
      <c r="AY714">
        <v>1</v>
      </c>
      <c r="AZ714">
        <v>0</v>
      </c>
      <c r="BA714">
        <v>987</v>
      </c>
      <c r="BB714">
        <v>7</v>
      </c>
      <c r="BC714">
        <v>9</v>
      </c>
      <c r="BD714">
        <v>3</v>
      </c>
      <c r="BE714">
        <v>3</v>
      </c>
      <c r="BF714">
        <v>20</v>
      </c>
      <c r="BG714">
        <v>1</v>
      </c>
      <c r="BH714">
        <v>1</v>
      </c>
      <c r="BI714">
        <v>0</v>
      </c>
      <c r="BJ714">
        <v>0</v>
      </c>
      <c r="BK714">
        <v>2</v>
      </c>
      <c r="BL714">
        <v>988</v>
      </c>
      <c r="BM714">
        <v>0</v>
      </c>
      <c r="BN714">
        <v>7</v>
      </c>
      <c r="BO714">
        <v>0</v>
      </c>
      <c r="BP714">
        <v>12</v>
      </c>
      <c r="BQ714">
        <v>0</v>
      </c>
      <c r="BR714">
        <v>1</v>
      </c>
      <c r="BS714">
        <v>0</v>
      </c>
      <c r="BT714">
        <v>0</v>
      </c>
      <c r="BU714">
        <v>0</v>
      </c>
      <c r="BV714">
        <v>0</v>
      </c>
      <c r="BW714">
        <v>977</v>
      </c>
      <c r="BX714">
        <v>0</v>
      </c>
      <c r="BY714">
        <v>1</v>
      </c>
      <c r="BZ714">
        <v>1</v>
      </c>
      <c r="CA714">
        <v>1</v>
      </c>
      <c r="CB714">
        <v>2</v>
      </c>
      <c r="CC714">
        <v>0</v>
      </c>
      <c r="CD714">
        <v>0</v>
      </c>
      <c r="CE714">
        <v>0</v>
      </c>
      <c r="CF714">
        <v>8</v>
      </c>
      <c r="CG714">
        <v>0</v>
      </c>
      <c r="CH714">
        <v>877</v>
      </c>
      <c r="CI714">
        <v>2</v>
      </c>
      <c r="CJ714">
        <v>3</v>
      </c>
      <c r="CK714">
        <v>0</v>
      </c>
      <c r="CL714">
        <v>2</v>
      </c>
      <c r="CM714">
        <v>0</v>
      </c>
      <c r="CN714">
        <v>0</v>
      </c>
      <c r="CO714">
        <v>0</v>
      </c>
      <c r="CP714">
        <v>0</v>
      </c>
      <c r="CQ714">
        <v>3</v>
      </c>
      <c r="CR714">
        <v>3</v>
      </c>
      <c r="CS714">
        <v>952</v>
      </c>
      <c r="CT714">
        <v>0</v>
      </c>
      <c r="CU714">
        <v>0</v>
      </c>
      <c r="CV714">
        <v>0</v>
      </c>
      <c r="CW714">
        <v>0</v>
      </c>
      <c r="CX714">
        <v>0</v>
      </c>
      <c r="CY714">
        <v>3</v>
      </c>
      <c r="CZ714">
        <v>0</v>
      </c>
      <c r="DA714">
        <v>0</v>
      </c>
      <c r="DB714">
        <v>0</v>
      </c>
      <c r="DC714">
        <v>0</v>
      </c>
      <c r="DD714">
        <v>1024</v>
      </c>
      <c r="DE714">
        <v>1</v>
      </c>
      <c r="DF714">
        <v>0</v>
      </c>
      <c r="DG714">
        <v>1</v>
      </c>
      <c r="DH714">
        <v>1</v>
      </c>
      <c r="DI714">
        <v>10</v>
      </c>
      <c r="DJ714">
        <v>13</v>
      </c>
      <c r="DK714">
        <v>9</v>
      </c>
      <c r="DL714">
        <v>21</v>
      </c>
      <c r="DM714">
        <v>12</v>
      </c>
      <c r="DN714">
        <v>23</v>
      </c>
      <c r="DO714">
        <v>879</v>
      </c>
      <c r="DP714">
        <v>5</v>
      </c>
      <c r="DQ714">
        <v>1</v>
      </c>
      <c r="DR714">
        <v>0</v>
      </c>
      <c r="DS714">
        <v>0</v>
      </c>
      <c r="DT714">
        <v>10</v>
      </c>
      <c r="DU714">
        <v>15</v>
      </c>
      <c r="DV714">
        <v>6</v>
      </c>
      <c r="DW714">
        <v>1</v>
      </c>
      <c r="DX714">
        <v>28</v>
      </c>
      <c r="DY714">
        <v>2</v>
      </c>
      <c r="DZ714">
        <v>946</v>
      </c>
      <c r="EA714">
        <v>0.96130000000000004</v>
      </c>
      <c r="EB714">
        <v>0.96239007760998196</v>
      </c>
      <c r="EC714">
        <v>0.96154083578068195</v>
      </c>
      <c r="ED714">
        <v>0.96105639719478198</v>
      </c>
      <c r="EE714">
        <f>SUM(Table1[[#This Row],[ratio_0]:[ratio_9]])</f>
        <v>460</v>
      </c>
      <c r="EF714" s="1">
        <f>(Table1[[#This Row],[predicted_0]]-Table1[[#This Row],[actual_0]])/Table1[[#This Row],[actual_0]]</f>
        <v>-7.6530612244897961E-2</v>
      </c>
      <c r="EG714" s="1">
        <f>(Table1[[#This Row],[predicted_1]]-Table1[[#This Row],[actual_1]])/Table1[[#This Row],[actual_1]]</f>
        <v>-4.6696035242290747E-2</v>
      </c>
      <c r="EH714" s="1">
        <f>(Table1[[#This Row],[predicted_2]]-Table1[[#This Row],[actual_2]])/Table1[[#This Row],[actual_2]]</f>
        <v>-2.616279069767442E-2</v>
      </c>
      <c r="EI714" s="1">
        <f>(Table1[[#This Row],[predicted_3]]-Table1[[#This Row],[actual_3]])/Table1[[#This Row],[actual_3]]</f>
        <v>2.3762376237623763E-2</v>
      </c>
      <c r="EJ714" s="1">
        <f>(Table1[[#This Row],[predicted_4]]-Table1[[#This Row],[actual_4]])/Table1[[#This Row],[actual_4]]</f>
        <v>5.1934826883910386E-2</v>
      </c>
      <c r="EK714" s="1">
        <f>(Table1[[#This Row],[predicted_5]]-Table1[[#This Row],[actual_5]])/Table1[[#This Row],[actual_5]]</f>
        <v>4.820627802690583E-2</v>
      </c>
      <c r="EL714" s="1">
        <f>(Table1[[#This Row],[predicted_6]]-Table1[[#This Row],[actual_6]])/Table1[[#This Row],[actual_6]]</f>
        <v>6.5762004175365346E-2</v>
      </c>
      <c r="EM714" s="1">
        <f>(Table1[[#This Row],[predicted_7]]-Table1[[#This Row],[actual_7]])/Table1[[#This Row],[actual_7]]</f>
        <v>0.10019455252918288</v>
      </c>
      <c r="EN714" s="1">
        <f>(Table1[[#This Row],[predicted_8]]-Table1[[#This Row],[actual_8]])/Table1[[#This Row],[actual_8]]</f>
        <v>-8.6242299794661192E-2</v>
      </c>
      <c r="EO714" s="1">
        <f>(Table1[[#This Row],[predicted_9]]-Table1[[#This Row],[actual_9]])/Table1[[#This Row],[actual_9]]</f>
        <v>-4.4598612487611496E-2</v>
      </c>
      <c r="EP714" s="1">
        <f>1+(Table1[[#This Row],[error_ratio_0]]-EF$2)</f>
        <v>0.92142857142857149</v>
      </c>
      <c r="EQ714" s="1">
        <f>1+(Table1[[#This Row],[error_ratio_1]]-EG$2)</f>
        <v>0.95154185022026427</v>
      </c>
      <c r="ER714" s="1">
        <f>1+(Table1[[#This Row],[error_ratio_2]]-EH$2)</f>
        <v>0.97868217054263562</v>
      </c>
      <c r="ES714" s="1">
        <f>1+(Table1[[#This Row],[error_ratio_3]]-EI$2)</f>
        <v>1.0138613861386139</v>
      </c>
      <c r="ET714" s="1">
        <f>1+(Table1[[#This Row],[error_ratio_4]]-EJ$2)</f>
        <v>1.0509164969450102</v>
      </c>
      <c r="EU714" s="1">
        <f>1+(Table1[[#This Row],[error_ratio_5]]-EK$2)</f>
        <v>1.047085201793722</v>
      </c>
      <c r="EV714" s="1">
        <f>1+(Table1[[#This Row],[error_ratio_6]]-EL$2)</f>
        <v>1.0720250521920669</v>
      </c>
      <c r="EW714" s="1">
        <f>1+(Table1[[#This Row],[error_ratio_7]]-EM$2)</f>
        <v>1.0982490272373542</v>
      </c>
      <c r="EX714" s="1">
        <f>1+(Table1[[#This Row],[error_ratio_8]]-EN$2)</f>
        <v>0.91683778234086244</v>
      </c>
      <c r="EY714" s="1">
        <f>1+(Table1[[#This Row],[error_ratio_9]]-EO$2)</f>
        <v>0.95936570862239845</v>
      </c>
    </row>
    <row r="715" spans="1:155" x14ac:dyDescent="0.75">
      <c r="A715">
        <v>100</v>
      </c>
      <c r="B715">
        <v>100</v>
      </c>
      <c r="C715">
        <v>100</v>
      </c>
      <c r="D715">
        <v>100</v>
      </c>
      <c r="E715">
        <v>10</v>
      </c>
      <c r="F715">
        <v>100</v>
      </c>
      <c r="G715">
        <v>100</v>
      </c>
      <c r="H715">
        <v>100</v>
      </c>
      <c r="I715">
        <v>10</v>
      </c>
      <c r="J715">
        <v>10</v>
      </c>
      <c r="K715">
        <v>1032</v>
      </c>
      <c r="L715">
        <v>1168</v>
      </c>
      <c r="M715">
        <v>1055</v>
      </c>
      <c r="N715">
        <v>990</v>
      </c>
      <c r="O715">
        <v>941</v>
      </c>
      <c r="P715">
        <v>970</v>
      </c>
      <c r="Q715">
        <v>971</v>
      </c>
      <c r="R715">
        <v>1036</v>
      </c>
      <c r="S715">
        <v>886</v>
      </c>
      <c r="T715">
        <v>951</v>
      </c>
      <c r="U715">
        <v>980</v>
      </c>
      <c r="V715">
        <v>1135</v>
      </c>
      <c r="W715">
        <v>1032</v>
      </c>
      <c r="X715">
        <v>1010</v>
      </c>
      <c r="Y715">
        <v>982</v>
      </c>
      <c r="Z715">
        <v>892</v>
      </c>
      <c r="AA715">
        <v>958</v>
      </c>
      <c r="AB715">
        <v>1028</v>
      </c>
      <c r="AC715">
        <v>974</v>
      </c>
      <c r="AD715">
        <v>1009</v>
      </c>
      <c r="AE715">
        <v>978</v>
      </c>
      <c r="AF715">
        <v>1</v>
      </c>
      <c r="AG715">
        <v>0</v>
      </c>
      <c r="AH715">
        <v>0</v>
      </c>
      <c r="AI715">
        <v>0</v>
      </c>
      <c r="AJ715">
        <v>0</v>
      </c>
      <c r="AK715">
        <v>0</v>
      </c>
      <c r="AL715">
        <v>1</v>
      </c>
      <c r="AM715">
        <v>0</v>
      </c>
      <c r="AN715">
        <v>0</v>
      </c>
      <c r="AO715">
        <v>0</v>
      </c>
      <c r="AP715">
        <v>1134</v>
      </c>
      <c r="AQ715">
        <v>0</v>
      </c>
      <c r="AR715">
        <v>0</v>
      </c>
      <c r="AS715">
        <v>0</v>
      </c>
      <c r="AT715">
        <v>1</v>
      </c>
      <c r="AU715">
        <v>0</v>
      </c>
      <c r="AV715">
        <v>0</v>
      </c>
      <c r="AW715">
        <v>0</v>
      </c>
      <c r="AX715">
        <v>0</v>
      </c>
      <c r="AY715">
        <v>2</v>
      </c>
      <c r="AZ715">
        <v>2</v>
      </c>
      <c r="BA715">
        <v>1024</v>
      </c>
      <c r="BB715">
        <v>1</v>
      </c>
      <c r="BC715">
        <v>0</v>
      </c>
      <c r="BD715">
        <v>0</v>
      </c>
      <c r="BE715">
        <v>0</v>
      </c>
      <c r="BF715">
        <v>3</v>
      </c>
      <c r="BG715">
        <v>0</v>
      </c>
      <c r="BH715">
        <v>0</v>
      </c>
      <c r="BI715">
        <v>2</v>
      </c>
      <c r="BJ715">
        <v>1</v>
      </c>
      <c r="BK715">
        <v>2</v>
      </c>
      <c r="BL715">
        <v>980</v>
      </c>
      <c r="BM715">
        <v>0</v>
      </c>
      <c r="BN715">
        <v>21</v>
      </c>
      <c r="BO715">
        <v>0</v>
      </c>
      <c r="BP715">
        <v>3</v>
      </c>
      <c r="BQ715">
        <v>1</v>
      </c>
      <c r="BR715">
        <v>0</v>
      </c>
      <c r="BS715">
        <v>6</v>
      </c>
      <c r="BT715">
        <v>9</v>
      </c>
      <c r="BU715">
        <v>11</v>
      </c>
      <c r="BV715">
        <v>0</v>
      </c>
      <c r="BW715">
        <v>932</v>
      </c>
      <c r="BX715">
        <v>0</v>
      </c>
      <c r="BY715">
        <v>14</v>
      </c>
      <c r="BZ715">
        <v>4</v>
      </c>
      <c r="CA715">
        <v>2</v>
      </c>
      <c r="CB715">
        <v>4</v>
      </c>
      <c r="CC715">
        <v>2</v>
      </c>
      <c r="CD715">
        <v>0</v>
      </c>
      <c r="CE715">
        <v>0</v>
      </c>
      <c r="CF715">
        <v>0</v>
      </c>
      <c r="CG715">
        <v>0</v>
      </c>
      <c r="CH715">
        <v>888</v>
      </c>
      <c r="CI715">
        <v>2</v>
      </c>
      <c r="CJ715">
        <v>0</v>
      </c>
      <c r="CK715">
        <v>0</v>
      </c>
      <c r="CL715">
        <v>0</v>
      </c>
      <c r="CM715">
        <v>11</v>
      </c>
      <c r="CN715">
        <v>3</v>
      </c>
      <c r="CO715">
        <v>0</v>
      </c>
      <c r="CP715">
        <v>0</v>
      </c>
      <c r="CQ715">
        <v>1</v>
      </c>
      <c r="CR715">
        <v>3</v>
      </c>
      <c r="CS715">
        <v>940</v>
      </c>
      <c r="CT715">
        <v>0</v>
      </c>
      <c r="CU715">
        <v>0</v>
      </c>
      <c r="CV715">
        <v>0</v>
      </c>
      <c r="CW715">
        <v>2</v>
      </c>
      <c r="CX715">
        <v>6</v>
      </c>
      <c r="CY715">
        <v>5</v>
      </c>
      <c r="CZ715">
        <v>0</v>
      </c>
      <c r="DA715">
        <v>0</v>
      </c>
      <c r="DB715">
        <v>0</v>
      </c>
      <c r="DC715">
        <v>0</v>
      </c>
      <c r="DD715">
        <v>1014</v>
      </c>
      <c r="DE715">
        <v>0</v>
      </c>
      <c r="DF715">
        <v>1</v>
      </c>
      <c r="DG715">
        <v>17</v>
      </c>
      <c r="DH715">
        <v>3</v>
      </c>
      <c r="DI715">
        <v>11</v>
      </c>
      <c r="DJ715">
        <v>5</v>
      </c>
      <c r="DK715">
        <v>1</v>
      </c>
      <c r="DL715">
        <v>30</v>
      </c>
      <c r="DM715">
        <v>13</v>
      </c>
      <c r="DN715">
        <v>5</v>
      </c>
      <c r="DO715">
        <v>883</v>
      </c>
      <c r="DP715">
        <v>6</v>
      </c>
      <c r="DQ715">
        <v>12</v>
      </c>
      <c r="DR715">
        <v>9</v>
      </c>
      <c r="DS715">
        <v>2</v>
      </c>
      <c r="DT715">
        <v>4</v>
      </c>
      <c r="DU715">
        <v>7</v>
      </c>
      <c r="DV715">
        <v>27</v>
      </c>
      <c r="DW715">
        <v>2</v>
      </c>
      <c r="DX715">
        <v>6</v>
      </c>
      <c r="DY715">
        <v>0</v>
      </c>
      <c r="DZ715">
        <v>940</v>
      </c>
      <c r="EA715">
        <v>0.97130000000000005</v>
      </c>
      <c r="EB715">
        <v>0.97168654102185203</v>
      </c>
      <c r="EC715">
        <v>0.971000089789401</v>
      </c>
      <c r="ED715">
        <v>0.97072166119020198</v>
      </c>
      <c r="EE715">
        <f>SUM(Table1[[#This Row],[ratio_0]:[ratio_9]])</f>
        <v>730</v>
      </c>
      <c r="EF715" s="1">
        <f>(Table1[[#This Row],[predicted_0]]-Table1[[#This Row],[actual_0]])/Table1[[#This Row],[actual_0]]</f>
        <v>5.3061224489795916E-2</v>
      </c>
      <c r="EG715" s="1">
        <f>(Table1[[#This Row],[predicted_1]]-Table1[[#This Row],[actual_1]])/Table1[[#This Row],[actual_1]]</f>
        <v>2.9074889867841409E-2</v>
      </c>
      <c r="EH715" s="1">
        <f>(Table1[[#This Row],[predicted_2]]-Table1[[#This Row],[actual_2]])/Table1[[#This Row],[actual_2]]</f>
        <v>2.2286821705426358E-2</v>
      </c>
      <c r="EI715" s="1">
        <f>(Table1[[#This Row],[predicted_3]]-Table1[[#This Row],[actual_3]])/Table1[[#This Row],[actual_3]]</f>
        <v>-1.9801980198019802E-2</v>
      </c>
      <c r="EJ715" s="1">
        <f>(Table1[[#This Row],[predicted_4]]-Table1[[#This Row],[actual_4]])/Table1[[#This Row],[actual_4]]</f>
        <v>-4.1751527494908347E-2</v>
      </c>
      <c r="EK715" s="1">
        <f>(Table1[[#This Row],[predicted_5]]-Table1[[#This Row],[actual_5]])/Table1[[#This Row],[actual_5]]</f>
        <v>8.744394618834081E-2</v>
      </c>
      <c r="EL715" s="1">
        <f>(Table1[[#This Row],[predicted_6]]-Table1[[#This Row],[actual_6]])/Table1[[#This Row],[actual_6]]</f>
        <v>1.3569937369519834E-2</v>
      </c>
      <c r="EM715" s="1">
        <f>(Table1[[#This Row],[predicted_7]]-Table1[[#This Row],[actual_7]])/Table1[[#This Row],[actual_7]]</f>
        <v>7.7821011673151752E-3</v>
      </c>
      <c r="EN715" s="1">
        <f>(Table1[[#This Row],[predicted_8]]-Table1[[#This Row],[actual_8]])/Table1[[#This Row],[actual_8]]</f>
        <v>-9.034907597535935E-2</v>
      </c>
      <c r="EO715" s="1">
        <f>(Table1[[#This Row],[predicted_9]]-Table1[[#This Row],[actual_9]])/Table1[[#This Row],[actual_9]]</f>
        <v>-5.7482656095143705E-2</v>
      </c>
      <c r="EP715" s="1">
        <f>1+(Table1[[#This Row],[error_ratio_0]]-EF$2)</f>
        <v>1.0510204081632653</v>
      </c>
      <c r="EQ715" s="1">
        <f>1+(Table1[[#This Row],[error_ratio_1]]-EG$2)</f>
        <v>1.0273127753303966</v>
      </c>
      <c r="ER715" s="1">
        <f>1+(Table1[[#This Row],[error_ratio_2]]-EH$2)</f>
        <v>1.0271317829457365</v>
      </c>
      <c r="ES715" s="1">
        <f>1+(Table1[[#This Row],[error_ratio_3]]-EI$2)</f>
        <v>0.97029702970297027</v>
      </c>
      <c r="ET715" s="1">
        <f>1+(Table1[[#This Row],[error_ratio_4]]-EJ$2)</f>
        <v>0.95723014256619143</v>
      </c>
      <c r="EU715" s="1">
        <f>1+(Table1[[#This Row],[error_ratio_5]]-EK$2)</f>
        <v>1.086322869955157</v>
      </c>
      <c r="EV715" s="1">
        <f>1+(Table1[[#This Row],[error_ratio_6]]-EL$2)</f>
        <v>1.0198329853862214</v>
      </c>
      <c r="EW715" s="1">
        <f>1+(Table1[[#This Row],[error_ratio_7]]-EM$2)</f>
        <v>1.0058365758754864</v>
      </c>
      <c r="EX715" s="1">
        <f>1+(Table1[[#This Row],[error_ratio_8]]-EN$2)</f>
        <v>0.91273100616016423</v>
      </c>
      <c r="EY715" s="1">
        <f>1+(Table1[[#This Row],[error_ratio_9]]-EO$2)</f>
        <v>0.94648166501486619</v>
      </c>
    </row>
    <row r="716" spans="1:155" x14ac:dyDescent="0.75">
      <c r="A716">
        <v>10</v>
      </c>
      <c r="B716">
        <v>100</v>
      </c>
      <c r="C716">
        <v>100</v>
      </c>
      <c r="D716">
        <v>100</v>
      </c>
      <c r="E716">
        <v>10</v>
      </c>
      <c r="F716">
        <v>100</v>
      </c>
      <c r="G716">
        <v>100</v>
      </c>
      <c r="H716">
        <v>100</v>
      </c>
      <c r="I716">
        <v>10</v>
      </c>
      <c r="J716">
        <v>10</v>
      </c>
      <c r="K716">
        <v>986</v>
      </c>
      <c r="L716">
        <v>1145</v>
      </c>
      <c r="M716">
        <v>1045</v>
      </c>
      <c r="N716">
        <v>1063</v>
      </c>
      <c r="O716">
        <v>975</v>
      </c>
      <c r="P716">
        <v>919</v>
      </c>
      <c r="Q716">
        <v>956</v>
      </c>
      <c r="R716">
        <v>1048</v>
      </c>
      <c r="S716">
        <v>927</v>
      </c>
      <c r="T716">
        <v>936</v>
      </c>
      <c r="U716">
        <v>980</v>
      </c>
      <c r="V716">
        <v>1135</v>
      </c>
      <c r="W716">
        <v>1032</v>
      </c>
      <c r="X716">
        <v>1010</v>
      </c>
      <c r="Y716">
        <v>982</v>
      </c>
      <c r="Z716">
        <v>892</v>
      </c>
      <c r="AA716">
        <v>958</v>
      </c>
      <c r="AB716">
        <v>1028</v>
      </c>
      <c r="AC716">
        <v>974</v>
      </c>
      <c r="AD716">
        <v>1009</v>
      </c>
      <c r="AE716">
        <v>960</v>
      </c>
      <c r="AF716">
        <v>0</v>
      </c>
      <c r="AG716">
        <v>5</v>
      </c>
      <c r="AH716">
        <v>1</v>
      </c>
      <c r="AI716">
        <v>0</v>
      </c>
      <c r="AJ716">
        <v>3</v>
      </c>
      <c r="AK716">
        <v>4</v>
      </c>
      <c r="AL716">
        <v>5</v>
      </c>
      <c r="AM716">
        <v>2</v>
      </c>
      <c r="AN716">
        <v>0</v>
      </c>
      <c r="AO716">
        <v>0</v>
      </c>
      <c r="AP716">
        <v>1130</v>
      </c>
      <c r="AQ716">
        <v>2</v>
      </c>
      <c r="AR716">
        <v>1</v>
      </c>
      <c r="AS716">
        <v>0</v>
      </c>
      <c r="AT716">
        <v>1</v>
      </c>
      <c r="AU716">
        <v>1</v>
      </c>
      <c r="AV716">
        <v>0</v>
      </c>
      <c r="AW716">
        <v>0</v>
      </c>
      <c r="AX716">
        <v>0</v>
      </c>
      <c r="AY716">
        <v>1</v>
      </c>
      <c r="AZ716">
        <v>2</v>
      </c>
      <c r="BA716">
        <v>1015</v>
      </c>
      <c r="BB716">
        <v>9</v>
      </c>
      <c r="BC716">
        <v>0</v>
      </c>
      <c r="BD716">
        <v>0</v>
      </c>
      <c r="BE716">
        <v>0</v>
      </c>
      <c r="BF716">
        <v>4</v>
      </c>
      <c r="BG716">
        <v>1</v>
      </c>
      <c r="BH716">
        <v>0</v>
      </c>
      <c r="BI716">
        <v>0</v>
      </c>
      <c r="BJ716">
        <v>0</v>
      </c>
      <c r="BK716">
        <v>1</v>
      </c>
      <c r="BL716">
        <v>1004</v>
      </c>
      <c r="BM716">
        <v>0</v>
      </c>
      <c r="BN716">
        <v>3</v>
      </c>
      <c r="BO716">
        <v>0</v>
      </c>
      <c r="BP716">
        <v>1</v>
      </c>
      <c r="BQ716">
        <v>1</v>
      </c>
      <c r="BR716">
        <v>0</v>
      </c>
      <c r="BS716">
        <v>4</v>
      </c>
      <c r="BT716">
        <v>0</v>
      </c>
      <c r="BU716">
        <v>2</v>
      </c>
      <c r="BV716">
        <v>1</v>
      </c>
      <c r="BW716">
        <v>958</v>
      </c>
      <c r="BX716">
        <v>0</v>
      </c>
      <c r="BY716">
        <v>4</v>
      </c>
      <c r="BZ716">
        <v>2</v>
      </c>
      <c r="CA716">
        <v>2</v>
      </c>
      <c r="CB716">
        <v>9</v>
      </c>
      <c r="CC716">
        <v>2</v>
      </c>
      <c r="CD716">
        <v>0</v>
      </c>
      <c r="CE716">
        <v>0</v>
      </c>
      <c r="CF716">
        <v>5</v>
      </c>
      <c r="CG716">
        <v>0</v>
      </c>
      <c r="CH716">
        <v>883</v>
      </c>
      <c r="CI716">
        <v>1</v>
      </c>
      <c r="CJ716">
        <v>1</v>
      </c>
      <c r="CK716">
        <v>0</v>
      </c>
      <c r="CL716">
        <v>0</v>
      </c>
      <c r="CM716">
        <v>6</v>
      </c>
      <c r="CN716">
        <v>3</v>
      </c>
      <c r="CO716">
        <v>2</v>
      </c>
      <c r="CP716">
        <v>0</v>
      </c>
      <c r="CQ716">
        <v>1</v>
      </c>
      <c r="CR716">
        <v>4</v>
      </c>
      <c r="CS716">
        <v>942</v>
      </c>
      <c r="CT716">
        <v>0</v>
      </c>
      <c r="CU716">
        <v>0</v>
      </c>
      <c r="CV716">
        <v>0</v>
      </c>
      <c r="CW716">
        <v>0</v>
      </c>
      <c r="CX716">
        <v>3</v>
      </c>
      <c r="CY716">
        <v>8</v>
      </c>
      <c r="CZ716">
        <v>6</v>
      </c>
      <c r="DA716">
        <v>0</v>
      </c>
      <c r="DB716">
        <v>0</v>
      </c>
      <c r="DC716">
        <v>0</v>
      </c>
      <c r="DD716">
        <v>1009</v>
      </c>
      <c r="DE716">
        <v>1</v>
      </c>
      <c r="DF716">
        <v>1</v>
      </c>
      <c r="DG716">
        <v>6</v>
      </c>
      <c r="DH716">
        <v>1</v>
      </c>
      <c r="DI716">
        <v>9</v>
      </c>
      <c r="DJ716">
        <v>23</v>
      </c>
      <c r="DK716">
        <v>3</v>
      </c>
      <c r="DL716">
        <v>9</v>
      </c>
      <c r="DM716">
        <v>3</v>
      </c>
      <c r="DN716">
        <v>6</v>
      </c>
      <c r="DO716">
        <v>913</v>
      </c>
      <c r="DP716">
        <v>1</v>
      </c>
      <c r="DQ716">
        <v>7</v>
      </c>
      <c r="DR716">
        <v>6</v>
      </c>
      <c r="DS716">
        <v>1</v>
      </c>
      <c r="DT716">
        <v>13</v>
      </c>
      <c r="DU716">
        <v>13</v>
      </c>
      <c r="DV716">
        <v>16</v>
      </c>
      <c r="DW716">
        <v>1</v>
      </c>
      <c r="DX716">
        <v>20</v>
      </c>
      <c r="DY716">
        <v>7</v>
      </c>
      <c r="DZ716">
        <v>925</v>
      </c>
      <c r="EA716">
        <v>0.97389999999999999</v>
      </c>
      <c r="EB716">
        <v>0.97409973470440903</v>
      </c>
      <c r="EC716">
        <v>0.97371804517662597</v>
      </c>
      <c r="ED716">
        <v>0.97361389774332296</v>
      </c>
      <c r="EE716">
        <f>SUM(Table1[[#This Row],[ratio_0]:[ratio_9]])</f>
        <v>640</v>
      </c>
      <c r="EF716" s="1">
        <f>(Table1[[#This Row],[predicted_0]]-Table1[[#This Row],[actual_0]])/Table1[[#This Row],[actual_0]]</f>
        <v>6.1224489795918364E-3</v>
      </c>
      <c r="EG716" s="1">
        <f>(Table1[[#This Row],[predicted_1]]-Table1[[#This Row],[actual_1]])/Table1[[#This Row],[actual_1]]</f>
        <v>8.8105726872246704E-3</v>
      </c>
      <c r="EH716" s="1">
        <f>(Table1[[#This Row],[predicted_2]]-Table1[[#This Row],[actual_2]])/Table1[[#This Row],[actual_2]]</f>
        <v>1.2596899224806201E-2</v>
      </c>
      <c r="EI716" s="1">
        <f>(Table1[[#This Row],[predicted_3]]-Table1[[#This Row],[actual_3]])/Table1[[#This Row],[actual_3]]</f>
        <v>5.2475247524752473E-2</v>
      </c>
      <c r="EJ716" s="1">
        <f>(Table1[[#This Row],[predicted_4]]-Table1[[#This Row],[actual_4]])/Table1[[#This Row],[actual_4]]</f>
        <v>-7.1283095723014261E-3</v>
      </c>
      <c r="EK716" s="1">
        <f>(Table1[[#This Row],[predicted_5]]-Table1[[#This Row],[actual_5]])/Table1[[#This Row],[actual_5]]</f>
        <v>3.0269058295964126E-2</v>
      </c>
      <c r="EL716" s="1">
        <f>(Table1[[#This Row],[predicted_6]]-Table1[[#This Row],[actual_6]])/Table1[[#This Row],[actual_6]]</f>
        <v>-2.0876826722338203E-3</v>
      </c>
      <c r="EM716" s="1">
        <f>(Table1[[#This Row],[predicted_7]]-Table1[[#This Row],[actual_7]])/Table1[[#This Row],[actual_7]]</f>
        <v>1.9455252918287938E-2</v>
      </c>
      <c r="EN716" s="1">
        <f>(Table1[[#This Row],[predicted_8]]-Table1[[#This Row],[actual_8]])/Table1[[#This Row],[actual_8]]</f>
        <v>-4.8254620123203286E-2</v>
      </c>
      <c r="EO716" s="1">
        <f>(Table1[[#This Row],[predicted_9]]-Table1[[#This Row],[actual_9]])/Table1[[#This Row],[actual_9]]</f>
        <v>-7.2348860257680878E-2</v>
      </c>
      <c r="EP716" s="1">
        <f>1+(Table1[[#This Row],[error_ratio_0]]-EF$2)</f>
        <v>1.0040816326530613</v>
      </c>
      <c r="EQ716" s="1">
        <f>1+(Table1[[#This Row],[error_ratio_1]]-EG$2)</f>
        <v>1.0070484581497798</v>
      </c>
      <c r="ER716" s="1">
        <f>1+(Table1[[#This Row],[error_ratio_2]]-EH$2)</f>
        <v>1.0174418604651163</v>
      </c>
      <c r="ES716" s="1">
        <f>1+(Table1[[#This Row],[error_ratio_3]]-EI$2)</f>
        <v>1.0425742574257426</v>
      </c>
      <c r="ET716" s="1">
        <f>1+(Table1[[#This Row],[error_ratio_4]]-EJ$2)</f>
        <v>0.99185336048879835</v>
      </c>
      <c r="EU716" s="1">
        <f>1+(Table1[[#This Row],[error_ratio_5]]-EK$2)</f>
        <v>1.0291479820627802</v>
      </c>
      <c r="EV716" s="1">
        <f>1+(Table1[[#This Row],[error_ratio_6]]-EL$2)</f>
        <v>1.0041753653444676</v>
      </c>
      <c r="EW716" s="1">
        <f>1+(Table1[[#This Row],[error_ratio_7]]-EM$2)</f>
        <v>1.0175097276264591</v>
      </c>
      <c r="EX716" s="1">
        <f>1+(Table1[[#This Row],[error_ratio_8]]-EN$2)</f>
        <v>0.95482546201232033</v>
      </c>
      <c r="EY716" s="1">
        <f>1+(Table1[[#This Row],[error_ratio_9]]-EO$2)</f>
        <v>0.93161546085232905</v>
      </c>
    </row>
    <row r="717" spans="1:155" x14ac:dyDescent="0.75">
      <c r="A717">
        <v>100</v>
      </c>
      <c r="B717">
        <v>10</v>
      </c>
      <c r="C717">
        <v>100</v>
      </c>
      <c r="D717">
        <v>100</v>
      </c>
      <c r="E717">
        <v>10</v>
      </c>
      <c r="F717">
        <v>100</v>
      </c>
      <c r="G717">
        <v>100</v>
      </c>
      <c r="H717">
        <v>100</v>
      </c>
      <c r="I717">
        <v>10</v>
      </c>
      <c r="J717">
        <v>10</v>
      </c>
      <c r="K717">
        <v>1012</v>
      </c>
      <c r="L717">
        <v>1090</v>
      </c>
      <c r="M717">
        <v>1147</v>
      </c>
      <c r="N717">
        <v>1059</v>
      </c>
      <c r="O717">
        <v>927</v>
      </c>
      <c r="P717">
        <v>919</v>
      </c>
      <c r="Q717">
        <v>994</v>
      </c>
      <c r="R717">
        <v>1098</v>
      </c>
      <c r="S717">
        <v>762</v>
      </c>
      <c r="T717">
        <v>992</v>
      </c>
      <c r="U717">
        <v>980</v>
      </c>
      <c r="V717">
        <v>1135</v>
      </c>
      <c r="W717">
        <v>1032</v>
      </c>
      <c r="X717">
        <v>1010</v>
      </c>
      <c r="Y717">
        <v>982</v>
      </c>
      <c r="Z717">
        <v>892</v>
      </c>
      <c r="AA717">
        <v>958</v>
      </c>
      <c r="AB717">
        <v>1028</v>
      </c>
      <c r="AC717">
        <v>974</v>
      </c>
      <c r="AD717">
        <v>1009</v>
      </c>
      <c r="AE717">
        <v>975</v>
      </c>
      <c r="AF717">
        <v>0</v>
      </c>
      <c r="AG717">
        <v>1</v>
      </c>
      <c r="AH717">
        <v>1</v>
      </c>
      <c r="AI717">
        <v>0</v>
      </c>
      <c r="AJ717">
        <v>0</v>
      </c>
      <c r="AK717">
        <v>1</v>
      </c>
      <c r="AL717">
        <v>2</v>
      </c>
      <c r="AM717">
        <v>0</v>
      </c>
      <c r="AN717">
        <v>0</v>
      </c>
      <c r="AO717">
        <v>0</v>
      </c>
      <c r="AP717">
        <v>1088</v>
      </c>
      <c r="AQ717">
        <v>18</v>
      </c>
      <c r="AR717">
        <v>2</v>
      </c>
      <c r="AS717">
        <v>0</v>
      </c>
      <c r="AT717">
        <v>5</v>
      </c>
      <c r="AU717">
        <v>13</v>
      </c>
      <c r="AV717">
        <v>9</v>
      </c>
      <c r="AW717">
        <v>0</v>
      </c>
      <c r="AX717">
        <v>0</v>
      </c>
      <c r="AY717">
        <v>2</v>
      </c>
      <c r="AZ717">
        <v>0</v>
      </c>
      <c r="BA717">
        <v>1024</v>
      </c>
      <c r="BB717">
        <v>0</v>
      </c>
      <c r="BC717">
        <v>0</v>
      </c>
      <c r="BD717">
        <v>0</v>
      </c>
      <c r="BE717">
        <v>0</v>
      </c>
      <c r="BF717">
        <v>6</v>
      </c>
      <c r="BG717">
        <v>0</v>
      </c>
      <c r="BH717">
        <v>0</v>
      </c>
      <c r="BI717">
        <v>0</v>
      </c>
      <c r="BJ717">
        <v>0</v>
      </c>
      <c r="BK717">
        <v>2</v>
      </c>
      <c r="BL717">
        <v>1002</v>
      </c>
      <c r="BM717">
        <v>0</v>
      </c>
      <c r="BN717">
        <v>3</v>
      </c>
      <c r="BO717">
        <v>0</v>
      </c>
      <c r="BP717">
        <v>3</v>
      </c>
      <c r="BQ717">
        <v>0</v>
      </c>
      <c r="BR717">
        <v>0</v>
      </c>
      <c r="BS717">
        <v>1</v>
      </c>
      <c r="BT717">
        <v>0</v>
      </c>
      <c r="BU717">
        <v>14</v>
      </c>
      <c r="BV717">
        <v>0</v>
      </c>
      <c r="BW717">
        <v>914</v>
      </c>
      <c r="BX717">
        <v>0</v>
      </c>
      <c r="BY717">
        <v>17</v>
      </c>
      <c r="BZ717">
        <v>15</v>
      </c>
      <c r="CA717">
        <v>1</v>
      </c>
      <c r="CB717">
        <v>20</v>
      </c>
      <c r="CC717">
        <v>2</v>
      </c>
      <c r="CD717">
        <v>0</v>
      </c>
      <c r="CE717">
        <v>1</v>
      </c>
      <c r="CF717">
        <v>7</v>
      </c>
      <c r="CG717">
        <v>0</v>
      </c>
      <c r="CH717">
        <v>881</v>
      </c>
      <c r="CI717">
        <v>1</v>
      </c>
      <c r="CJ717">
        <v>0</v>
      </c>
      <c r="CK717">
        <v>0</v>
      </c>
      <c r="CL717">
        <v>0</v>
      </c>
      <c r="CM717">
        <v>8</v>
      </c>
      <c r="CN717">
        <v>0</v>
      </c>
      <c r="CO717">
        <v>1</v>
      </c>
      <c r="CP717">
        <v>0</v>
      </c>
      <c r="CQ717">
        <v>1</v>
      </c>
      <c r="CR717">
        <v>4</v>
      </c>
      <c r="CS717">
        <v>944</v>
      </c>
      <c r="CT717">
        <v>0</v>
      </c>
      <c r="CU717">
        <v>0</v>
      </c>
      <c r="CV717">
        <v>0</v>
      </c>
      <c r="CW717">
        <v>1</v>
      </c>
      <c r="CX717">
        <v>0</v>
      </c>
      <c r="CY717">
        <v>5</v>
      </c>
      <c r="CZ717">
        <v>0</v>
      </c>
      <c r="DA717">
        <v>0</v>
      </c>
      <c r="DB717">
        <v>0</v>
      </c>
      <c r="DC717">
        <v>0</v>
      </c>
      <c r="DD717">
        <v>1022</v>
      </c>
      <c r="DE717">
        <v>0</v>
      </c>
      <c r="DF717">
        <v>0</v>
      </c>
      <c r="DG717">
        <v>19</v>
      </c>
      <c r="DH717">
        <v>0</v>
      </c>
      <c r="DI717">
        <v>80</v>
      </c>
      <c r="DJ717">
        <v>36</v>
      </c>
      <c r="DK717">
        <v>6</v>
      </c>
      <c r="DL717">
        <v>21</v>
      </c>
      <c r="DM717">
        <v>15</v>
      </c>
      <c r="DN717">
        <v>20</v>
      </c>
      <c r="DO717">
        <v>760</v>
      </c>
      <c r="DP717">
        <v>17</v>
      </c>
      <c r="DQ717">
        <v>4</v>
      </c>
      <c r="DR717">
        <v>2</v>
      </c>
      <c r="DS717">
        <v>1</v>
      </c>
      <c r="DT717">
        <v>11</v>
      </c>
      <c r="DU717">
        <v>6</v>
      </c>
      <c r="DV717">
        <v>5</v>
      </c>
      <c r="DW717">
        <v>3</v>
      </c>
      <c r="DX717">
        <v>21</v>
      </c>
      <c r="DY717">
        <v>1</v>
      </c>
      <c r="DZ717">
        <v>955</v>
      </c>
      <c r="EA717">
        <v>0.95650000000000002</v>
      </c>
      <c r="EB717">
        <v>0.95857285888605903</v>
      </c>
      <c r="EC717">
        <v>0.95625560478461702</v>
      </c>
      <c r="ED717">
        <v>0.95546120658841205</v>
      </c>
      <c r="EE717">
        <f>SUM(Table1[[#This Row],[ratio_0]:[ratio_9]])</f>
        <v>640</v>
      </c>
      <c r="EF717" s="1">
        <f>(Table1[[#This Row],[predicted_0]]-Table1[[#This Row],[actual_0]])/Table1[[#This Row],[actual_0]]</f>
        <v>3.2653061224489799E-2</v>
      </c>
      <c r="EG717" s="1">
        <f>(Table1[[#This Row],[predicted_1]]-Table1[[#This Row],[actual_1]])/Table1[[#This Row],[actual_1]]</f>
        <v>-3.9647577092511016E-2</v>
      </c>
      <c r="EH717" s="1">
        <f>(Table1[[#This Row],[predicted_2]]-Table1[[#This Row],[actual_2]])/Table1[[#This Row],[actual_2]]</f>
        <v>0.11143410852713179</v>
      </c>
      <c r="EI717" s="1">
        <f>(Table1[[#This Row],[predicted_3]]-Table1[[#This Row],[actual_3]])/Table1[[#This Row],[actual_3]]</f>
        <v>4.8514851485148516E-2</v>
      </c>
      <c r="EJ717" s="1">
        <f>(Table1[[#This Row],[predicted_4]]-Table1[[#This Row],[actual_4]])/Table1[[#This Row],[actual_4]]</f>
        <v>-5.6008146639511203E-2</v>
      </c>
      <c r="EK717" s="1">
        <f>(Table1[[#This Row],[predicted_5]]-Table1[[#This Row],[actual_5]])/Table1[[#This Row],[actual_5]]</f>
        <v>3.0269058295964126E-2</v>
      </c>
      <c r="EL717" s="1">
        <f>(Table1[[#This Row],[predicted_6]]-Table1[[#This Row],[actual_6]])/Table1[[#This Row],[actual_6]]</f>
        <v>3.7578288100208766E-2</v>
      </c>
      <c r="EM717" s="1">
        <f>(Table1[[#This Row],[predicted_7]]-Table1[[#This Row],[actual_7]])/Table1[[#This Row],[actual_7]]</f>
        <v>6.8093385214007776E-2</v>
      </c>
      <c r="EN717" s="1">
        <f>(Table1[[#This Row],[predicted_8]]-Table1[[#This Row],[actual_8]])/Table1[[#This Row],[actual_8]]</f>
        <v>-0.21765913757700206</v>
      </c>
      <c r="EO717" s="1">
        <f>(Table1[[#This Row],[predicted_9]]-Table1[[#This Row],[actual_9]])/Table1[[#This Row],[actual_9]]</f>
        <v>-1.6848364717542121E-2</v>
      </c>
      <c r="EP717" s="1">
        <f>1+(Table1[[#This Row],[error_ratio_0]]-EF$2)</f>
        <v>1.0306122448979591</v>
      </c>
      <c r="EQ717" s="1">
        <f>1+(Table1[[#This Row],[error_ratio_1]]-EG$2)</f>
        <v>0.958590308370044</v>
      </c>
      <c r="ER717" s="1">
        <f>1+(Table1[[#This Row],[error_ratio_2]]-EH$2)</f>
        <v>1.1162790697674418</v>
      </c>
      <c r="ES717" s="1">
        <f>1+(Table1[[#This Row],[error_ratio_3]]-EI$2)</f>
        <v>1.0386138613861386</v>
      </c>
      <c r="ET717" s="1">
        <f>1+(Table1[[#This Row],[error_ratio_4]]-EJ$2)</f>
        <v>0.94297352342158858</v>
      </c>
      <c r="EU717" s="1">
        <f>1+(Table1[[#This Row],[error_ratio_5]]-EK$2)</f>
        <v>1.0291479820627802</v>
      </c>
      <c r="EV717" s="1">
        <f>1+(Table1[[#This Row],[error_ratio_6]]-EL$2)</f>
        <v>1.0438413361169103</v>
      </c>
      <c r="EW717" s="1">
        <f>1+(Table1[[#This Row],[error_ratio_7]]-EM$2)</f>
        <v>1.066147859922179</v>
      </c>
      <c r="EX717" s="1">
        <f>1+(Table1[[#This Row],[error_ratio_8]]-EN$2)</f>
        <v>0.78542094455852152</v>
      </c>
      <c r="EY717" s="1">
        <f>1+(Table1[[#This Row],[error_ratio_9]]-EO$2)</f>
        <v>0.98711595639246774</v>
      </c>
    </row>
    <row r="718" spans="1:155" x14ac:dyDescent="0.75">
      <c r="A718">
        <v>10</v>
      </c>
      <c r="B718">
        <v>10</v>
      </c>
      <c r="C718">
        <v>100</v>
      </c>
      <c r="D718">
        <v>100</v>
      </c>
      <c r="E718">
        <v>10</v>
      </c>
      <c r="F718">
        <v>100</v>
      </c>
      <c r="G718">
        <v>100</v>
      </c>
      <c r="H718">
        <v>100</v>
      </c>
      <c r="I718">
        <v>10</v>
      </c>
      <c r="J718">
        <v>10</v>
      </c>
      <c r="K718">
        <v>993</v>
      </c>
      <c r="L718">
        <v>1108</v>
      </c>
      <c r="M718">
        <v>1073</v>
      </c>
      <c r="N718">
        <v>1054</v>
      </c>
      <c r="O718">
        <v>895</v>
      </c>
      <c r="P718">
        <v>892</v>
      </c>
      <c r="Q718">
        <v>949</v>
      </c>
      <c r="R718">
        <v>1040</v>
      </c>
      <c r="S718">
        <v>939</v>
      </c>
      <c r="T718">
        <v>1057</v>
      </c>
      <c r="U718">
        <v>980</v>
      </c>
      <c r="V718">
        <v>1135</v>
      </c>
      <c r="W718">
        <v>1032</v>
      </c>
      <c r="X718">
        <v>1010</v>
      </c>
      <c r="Y718">
        <v>982</v>
      </c>
      <c r="Z718">
        <v>892</v>
      </c>
      <c r="AA718">
        <v>958</v>
      </c>
      <c r="AB718">
        <v>1028</v>
      </c>
      <c r="AC718">
        <v>974</v>
      </c>
      <c r="AD718">
        <v>1009</v>
      </c>
      <c r="AE718">
        <v>967</v>
      </c>
      <c r="AF718">
        <v>0</v>
      </c>
      <c r="AG718">
        <v>3</v>
      </c>
      <c r="AH718">
        <v>1</v>
      </c>
      <c r="AI718">
        <v>0</v>
      </c>
      <c r="AJ718">
        <v>0</v>
      </c>
      <c r="AK718">
        <v>3</v>
      </c>
      <c r="AL718">
        <v>4</v>
      </c>
      <c r="AM718">
        <v>2</v>
      </c>
      <c r="AN718">
        <v>0</v>
      </c>
      <c r="AO718">
        <v>0</v>
      </c>
      <c r="AP718">
        <v>1105</v>
      </c>
      <c r="AQ718">
        <v>5</v>
      </c>
      <c r="AR718">
        <v>10</v>
      </c>
      <c r="AS718">
        <v>0</v>
      </c>
      <c r="AT718">
        <v>0</v>
      </c>
      <c r="AU718">
        <v>2</v>
      </c>
      <c r="AV718">
        <v>5</v>
      </c>
      <c r="AW718">
        <v>8</v>
      </c>
      <c r="AX718">
        <v>0</v>
      </c>
      <c r="AY718">
        <v>1</v>
      </c>
      <c r="AZ718">
        <v>0</v>
      </c>
      <c r="BA718">
        <v>1027</v>
      </c>
      <c r="BB718">
        <v>1</v>
      </c>
      <c r="BC718">
        <v>0</v>
      </c>
      <c r="BD718">
        <v>0</v>
      </c>
      <c r="BE718">
        <v>0</v>
      </c>
      <c r="BF718">
        <v>3</v>
      </c>
      <c r="BG718">
        <v>0</v>
      </c>
      <c r="BH718">
        <v>0</v>
      </c>
      <c r="BI718">
        <v>0</v>
      </c>
      <c r="BJ718">
        <v>0</v>
      </c>
      <c r="BK718">
        <v>1</v>
      </c>
      <c r="BL718">
        <v>1003</v>
      </c>
      <c r="BM718">
        <v>0</v>
      </c>
      <c r="BN718">
        <v>1</v>
      </c>
      <c r="BO718">
        <v>0</v>
      </c>
      <c r="BP718">
        <v>2</v>
      </c>
      <c r="BQ718">
        <v>1</v>
      </c>
      <c r="BR718">
        <v>2</v>
      </c>
      <c r="BS718">
        <v>1</v>
      </c>
      <c r="BT718">
        <v>0</v>
      </c>
      <c r="BU718">
        <v>9</v>
      </c>
      <c r="BV718">
        <v>0</v>
      </c>
      <c r="BW718">
        <v>890</v>
      </c>
      <c r="BX718">
        <v>0</v>
      </c>
      <c r="BY718">
        <v>4</v>
      </c>
      <c r="BZ718">
        <v>10</v>
      </c>
      <c r="CA718">
        <v>1</v>
      </c>
      <c r="CB718">
        <v>67</v>
      </c>
      <c r="CC718">
        <v>1</v>
      </c>
      <c r="CD718">
        <v>0</v>
      </c>
      <c r="CE718">
        <v>0</v>
      </c>
      <c r="CF718">
        <v>12</v>
      </c>
      <c r="CG718">
        <v>0</v>
      </c>
      <c r="CH718">
        <v>875</v>
      </c>
      <c r="CI718">
        <v>2</v>
      </c>
      <c r="CJ718">
        <v>1</v>
      </c>
      <c r="CK718">
        <v>0</v>
      </c>
      <c r="CL718">
        <v>1</v>
      </c>
      <c r="CM718">
        <v>9</v>
      </c>
      <c r="CN718">
        <v>1</v>
      </c>
      <c r="CO718">
        <v>4</v>
      </c>
      <c r="CP718">
        <v>1</v>
      </c>
      <c r="CQ718">
        <v>1</v>
      </c>
      <c r="CR718">
        <v>4</v>
      </c>
      <c r="CS718">
        <v>937</v>
      </c>
      <c r="CT718">
        <v>0</v>
      </c>
      <c r="CU718">
        <v>1</v>
      </c>
      <c r="CV718">
        <v>0</v>
      </c>
      <c r="CW718">
        <v>1</v>
      </c>
      <c r="CX718">
        <v>0</v>
      </c>
      <c r="CY718">
        <v>12</v>
      </c>
      <c r="CZ718">
        <v>4</v>
      </c>
      <c r="DA718">
        <v>0</v>
      </c>
      <c r="DB718">
        <v>0</v>
      </c>
      <c r="DC718">
        <v>0</v>
      </c>
      <c r="DD718">
        <v>1003</v>
      </c>
      <c r="DE718">
        <v>1</v>
      </c>
      <c r="DF718">
        <v>7</v>
      </c>
      <c r="DG718">
        <v>7</v>
      </c>
      <c r="DH718">
        <v>0</v>
      </c>
      <c r="DI718">
        <v>12</v>
      </c>
      <c r="DJ718">
        <v>14</v>
      </c>
      <c r="DK718">
        <v>2</v>
      </c>
      <c r="DL718">
        <v>4</v>
      </c>
      <c r="DM718">
        <v>1</v>
      </c>
      <c r="DN718">
        <v>5</v>
      </c>
      <c r="DO718">
        <v>921</v>
      </c>
      <c r="DP718">
        <v>8</v>
      </c>
      <c r="DQ718">
        <v>6</v>
      </c>
      <c r="DR718">
        <v>2</v>
      </c>
      <c r="DS718">
        <v>0</v>
      </c>
      <c r="DT718">
        <v>8</v>
      </c>
      <c r="DU718">
        <v>2</v>
      </c>
      <c r="DV718">
        <v>8</v>
      </c>
      <c r="DW718">
        <v>0</v>
      </c>
      <c r="DX718">
        <v>7</v>
      </c>
      <c r="DY718">
        <v>4</v>
      </c>
      <c r="DZ718">
        <v>972</v>
      </c>
      <c r="EA718">
        <v>0.97</v>
      </c>
      <c r="EB718">
        <v>0.97073992802341702</v>
      </c>
      <c r="EC718">
        <v>0.96984581822951499</v>
      </c>
      <c r="ED718">
        <v>0.96990042878178195</v>
      </c>
      <c r="EE718">
        <f>SUM(Table1[[#This Row],[ratio_0]:[ratio_9]])</f>
        <v>550</v>
      </c>
      <c r="EF718" s="1">
        <f>(Table1[[#This Row],[predicted_0]]-Table1[[#This Row],[actual_0]])/Table1[[#This Row],[actual_0]]</f>
        <v>1.3265306122448979E-2</v>
      </c>
      <c r="EG718" s="1">
        <f>(Table1[[#This Row],[predicted_1]]-Table1[[#This Row],[actual_1]])/Table1[[#This Row],[actual_1]]</f>
        <v>-2.378854625550661E-2</v>
      </c>
      <c r="EH718" s="1">
        <f>(Table1[[#This Row],[predicted_2]]-Table1[[#This Row],[actual_2]])/Table1[[#This Row],[actual_2]]</f>
        <v>3.9728682170542637E-2</v>
      </c>
      <c r="EI718" s="1">
        <f>(Table1[[#This Row],[predicted_3]]-Table1[[#This Row],[actual_3]])/Table1[[#This Row],[actual_3]]</f>
        <v>4.3564356435643561E-2</v>
      </c>
      <c r="EJ718" s="1">
        <f>(Table1[[#This Row],[predicted_4]]-Table1[[#This Row],[actual_4]])/Table1[[#This Row],[actual_4]]</f>
        <v>-8.8594704684317724E-2</v>
      </c>
      <c r="EK718" s="1">
        <f>(Table1[[#This Row],[predicted_5]]-Table1[[#This Row],[actual_5]])/Table1[[#This Row],[actual_5]]</f>
        <v>0</v>
      </c>
      <c r="EL718" s="1">
        <f>(Table1[[#This Row],[predicted_6]]-Table1[[#This Row],[actual_6]])/Table1[[#This Row],[actual_6]]</f>
        <v>-9.3945720250521916E-3</v>
      </c>
      <c r="EM718" s="1">
        <f>(Table1[[#This Row],[predicted_7]]-Table1[[#This Row],[actual_7]])/Table1[[#This Row],[actual_7]]</f>
        <v>1.1673151750972763E-2</v>
      </c>
      <c r="EN718" s="1">
        <f>(Table1[[#This Row],[predicted_8]]-Table1[[#This Row],[actual_8]])/Table1[[#This Row],[actual_8]]</f>
        <v>-3.5934291581108828E-2</v>
      </c>
      <c r="EO718" s="1">
        <f>(Table1[[#This Row],[predicted_9]]-Table1[[#This Row],[actual_9]])/Table1[[#This Row],[actual_9]]</f>
        <v>4.7571853320118929E-2</v>
      </c>
      <c r="EP718" s="1">
        <f>1+(Table1[[#This Row],[error_ratio_0]]-EF$2)</f>
        <v>1.0112244897959184</v>
      </c>
      <c r="EQ718" s="1">
        <f>1+(Table1[[#This Row],[error_ratio_1]]-EG$2)</f>
        <v>0.97444933920704846</v>
      </c>
      <c r="ER718" s="1">
        <f>1+(Table1[[#This Row],[error_ratio_2]]-EH$2)</f>
        <v>1.0445736434108528</v>
      </c>
      <c r="ES718" s="1">
        <f>1+(Table1[[#This Row],[error_ratio_3]]-EI$2)</f>
        <v>1.0336633663366337</v>
      </c>
      <c r="ET718" s="1">
        <f>1+(Table1[[#This Row],[error_ratio_4]]-EJ$2)</f>
        <v>0.9103869653767821</v>
      </c>
      <c r="EU718" s="1">
        <f>1+(Table1[[#This Row],[error_ratio_5]]-EK$2)</f>
        <v>0.9988789237668162</v>
      </c>
      <c r="EV718" s="1">
        <f>1+(Table1[[#This Row],[error_ratio_6]]-EL$2)</f>
        <v>0.99686847599164929</v>
      </c>
      <c r="EW718" s="1">
        <f>1+(Table1[[#This Row],[error_ratio_7]]-EM$2)</f>
        <v>1.0097276264591439</v>
      </c>
      <c r="EX718" s="1">
        <f>1+(Table1[[#This Row],[error_ratio_8]]-EN$2)</f>
        <v>0.96714579055441474</v>
      </c>
      <c r="EY718" s="1">
        <f>1+(Table1[[#This Row],[error_ratio_9]]-EO$2)</f>
        <v>1.0515361744301288</v>
      </c>
    </row>
    <row r="719" spans="1:155" x14ac:dyDescent="0.75">
      <c r="A719">
        <v>10</v>
      </c>
      <c r="B719">
        <v>100</v>
      </c>
      <c r="C719">
        <v>10</v>
      </c>
      <c r="D719">
        <v>100</v>
      </c>
      <c r="E719">
        <v>10</v>
      </c>
      <c r="F719">
        <v>100</v>
      </c>
      <c r="G719">
        <v>100</v>
      </c>
      <c r="H719">
        <v>100</v>
      </c>
      <c r="I719">
        <v>10</v>
      </c>
      <c r="J719">
        <v>10</v>
      </c>
      <c r="K719">
        <v>992</v>
      </c>
      <c r="L719">
        <v>1207</v>
      </c>
      <c r="M719">
        <v>949</v>
      </c>
      <c r="N719">
        <v>1050</v>
      </c>
      <c r="O719">
        <v>889</v>
      </c>
      <c r="P719">
        <v>913</v>
      </c>
      <c r="Q719">
        <v>1012</v>
      </c>
      <c r="R719">
        <v>1092</v>
      </c>
      <c r="S719">
        <v>920</v>
      </c>
      <c r="T719">
        <v>976</v>
      </c>
      <c r="U719">
        <v>980</v>
      </c>
      <c r="V719">
        <v>1135</v>
      </c>
      <c r="W719">
        <v>1032</v>
      </c>
      <c r="X719">
        <v>1010</v>
      </c>
      <c r="Y719">
        <v>982</v>
      </c>
      <c r="Z719">
        <v>892</v>
      </c>
      <c r="AA719">
        <v>958</v>
      </c>
      <c r="AB719">
        <v>1028</v>
      </c>
      <c r="AC719">
        <v>974</v>
      </c>
      <c r="AD719">
        <v>1009</v>
      </c>
      <c r="AE719">
        <v>963</v>
      </c>
      <c r="AF719">
        <v>1</v>
      </c>
      <c r="AG719">
        <v>0</v>
      </c>
      <c r="AH719">
        <v>0</v>
      </c>
      <c r="AI719">
        <v>0</v>
      </c>
      <c r="AJ719">
        <v>0</v>
      </c>
      <c r="AK719">
        <v>13</v>
      </c>
      <c r="AL719">
        <v>1</v>
      </c>
      <c r="AM719">
        <v>2</v>
      </c>
      <c r="AN719">
        <v>0</v>
      </c>
      <c r="AO719">
        <v>0</v>
      </c>
      <c r="AP719">
        <v>1134</v>
      </c>
      <c r="AQ719">
        <v>0</v>
      </c>
      <c r="AR719">
        <v>0</v>
      </c>
      <c r="AS719">
        <v>0</v>
      </c>
      <c r="AT719">
        <v>1</v>
      </c>
      <c r="AU719">
        <v>0</v>
      </c>
      <c r="AV719">
        <v>0</v>
      </c>
      <c r="AW719">
        <v>0</v>
      </c>
      <c r="AX719">
        <v>0</v>
      </c>
      <c r="AY719">
        <v>8</v>
      </c>
      <c r="AZ719">
        <v>28</v>
      </c>
      <c r="BA719">
        <v>939</v>
      </c>
      <c r="BB719">
        <v>13</v>
      </c>
      <c r="BC719">
        <v>0</v>
      </c>
      <c r="BD719">
        <v>2</v>
      </c>
      <c r="BE719">
        <v>7</v>
      </c>
      <c r="BF719">
        <v>34</v>
      </c>
      <c r="BG719">
        <v>1</v>
      </c>
      <c r="BH719">
        <v>0</v>
      </c>
      <c r="BI719">
        <v>0</v>
      </c>
      <c r="BJ719">
        <v>0</v>
      </c>
      <c r="BK719">
        <v>1</v>
      </c>
      <c r="BL719">
        <v>1001</v>
      </c>
      <c r="BM719">
        <v>0</v>
      </c>
      <c r="BN719">
        <v>3</v>
      </c>
      <c r="BO719">
        <v>0</v>
      </c>
      <c r="BP719">
        <v>5</v>
      </c>
      <c r="BQ719">
        <v>0</v>
      </c>
      <c r="BR719">
        <v>0</v>
      </c>
      <c r="BS719">
        <v>4</v>
      </c>
      <c r="BT719">
        <v>14</v>
      </c>
      <c r="BU719">
        <v>2</v>
      </c>
      <c r="BV719">
        <v>0</v>
      </c>
      <c r="BW719">
        <v>886</v>
      </c>
      <c r="BX719">
        <v>0</v>
      </c>
      <c r="BY719">
        <v>41</v>
      </c>
      <c r="BZ719">
        <v>7</v>
      </c>
      <c r="CA719">
        <v>4</v>
      </c>
      <c r="CB719">
        <v>24</v>
      </c>
      <c r="CC719">
        <v>1</v>
      </c>
      <c r="CD719">
        <v>0</v>
      </c>
      <c r="CE719">
        <v>0</v>
      </c>
      <c r="CF719">
        <v>3</v>
      </c>
      <c r="CG719">
        <v>0</v>
      </c>
      <c r="CH719">
        <v>885</v>
      </c>
      <c r="CI719">
        <v>2</v>
      </c>
      <c r="CJ719">
        <v>1</v>
      </c>
      <c r="CK719">
        <v>0</v>
      </c>
      <c r="CL719">
        <v>0</v>
      </c>
      <c r="CM719">
        <v>2</v>
      </c>
      <c r="CN719">
        <v>2</v>
      </c>
      <c r="CO719">
        <v>0</v>
      </c>
      <c r="CP719">
        <v>1</v>
      </c>
      <c r="CQ719">
        <v>0</v>
      </c>
      <c r="CR719">
        <v>6</v>
      </c>
      <c r="CS719">
        <v>946</v>
      </c>
      <c r="CT719">
        <v>0</v>
      </c>
      <c r="CU719">
        <v>1</v>
      </c>
      <c r="CV719">
        <v>0</v>
      </c>
      <c r="CW719">
        <v>1</v>
      </c>
      <c r="CX719">
        <v>6</v>
      </c>
      <c r="CY719">
        <v>2</v>
      </c>
      <c r="CZ719">
        <v>1</v>
      </c>
      <c r="DA719">
        <v>0</v>
      </c>
      <c r="DB719">
        <v>1</v>
      </c>
      <c r="DC719">
        <v>0</v>
      </c>
      <c r="DD719">
        <v>1017</v>
      </c>
      <c r="DE719">
        <v>0</v>
      </c>
      <c r="DF719">
        <v>0</v>
      </c>
      <c r="DG719">
        <v>7</v>
      </c>
      <c r="DH719">
        <v>8</v>
      </c>
      <c r="DI719">
        <v>5</v>
      </c>
      <c r="DJ719">
        <v>16</v>
      </c>
      <c r="DK719">
        <v>1</v>
      </c>
      <c r="DL719">
        <v>7</v>
      </c>
      <c r="DM719">
        <v>0</v>
      </c>
      <c r="DN719">
        <v>14</v>
      </c>
      <c r="DO719">
        <v>909</v>
      </c>
      <c r="DP719">
        <v>7</v>
      </c>
      <c r="DQ719">
        <v>6</v>
      </c>
      <c r="DR719">
        <v>14</v>
      </c>
      <c r="DS719">
        <v>0</v>
      </c>
      <c r="DT719">
        <v>15</v>
      </c>
      <c r="DU719">
        <v>2</v>
      </c>
      <c r="DV719">
        <v>8</v>
      </c>
      <c r="DW719">
        <v>3</v>
      </c>
      <c r="DX719">
        <v>13</v>
      </c>
      <c r="DY719">
        <v>3</v>
      </c>
      <c r="DZ719">
        <v>945</v>
      </c>
      <c r="EA719">
        <v>0.96250000000000002</v>
      </c>
      <c r="EB719">
        <v>0.96414212922894804</v>
      </c>
      <c r="EC719">
        <v>0.96237468901952194</v>
      </c>
      <c r="ED719">
        <v>0.96244781531224999</v>
      </c>
      <c r="EE719">
        <f>SUM(Table1[[#This Row],[ratio_0]:[ratio_9]])</f>
        <v>550</v>
      </c>
      <c r="EF719" s="1">
        <f>(Table1[[#This Row],[predicted_0]]-Table1[[#This Row],[actual_0]])/Table1[[#This Row],[actual_0]]</f>
        <v>1.2244897959183673E-2</v>
      </c>
      <c r="EG719" s="1">
        <f>(Table1[[#This Row],[predicted_1]]-Table1[[#This Row],[actual_1]])/Table1[[#This Row],[actual_1]]</f>
        <v>6.3436123348017626E-2</v>
      </c>
      <c r="EH719" s="1">
        <f>(Table1[[#This Row],[predicted_2]]-Table1[[#This Row],[actual_2]])/Table1[[#This Row],[actual_2]]</f>
        <v>-8.0426356589147291E-2</v>
      </c>
      <c r="EI719" s="1">
        <f>(Table1[[#This Row],[predicted_3]]-Table1[[#This Row],[actual_3]])/Table1[[#This Row],[actual_3]]</f>
        <v>3.9603960396039604E-2</v>
      </c>
      <c r="EJ719" s="1">
        <f>(Table1[[#This Row],[predicted_4]]-Table1[[#This Row],[actual_4]])/Table1[[#This Row],[actual_4]]</f>
        <v>-9.4704684317718946E-2</v>
      </c>
      <c r="EK719" s="1">
        <f>(Table1[[#This Row],[predicted_5]]-Table1[[#This Row],[actual_5]])/Table1[[#This Row],[actual_5]]</f>
        <v>2.3542600896860985E-2</v>
      </c>
      <c r="EL719" s="1">
        <f>(Table1[[#This Row],[predicted_6]]-Table1[[#This Row],[actual_6]])/Table1[[#This Row],[actual_6]]</f>
        <v>5.6367432150313153E-2</v>
      </c>
      <c r="EM719" s="1">
        <f>(Table1[[#This Row],[predicted_7]]-Table1[[#This Row],[actual_7]])/Table1[[#This Row],[actual_7]]</f>
        <v>6.2256809338521402E-2</v>
      </c>
      <c r="EN719" s="1">
        <f>(Table1[[#This Row],[predicted_8]]-Table1[[#This Row],[actual_8]])/Table1[[#This Row],[actual_8]]</f>
        <v>-5.5441478439425054E-2</v>
      </c>
      <c r="EO719" s="1">
        <f>(Table1[[#This Row],[predicted_9]]-Table1[[#This Row],[actual_9]])/Table1[[#This Row],[actual_9]]</f>
        <v>-3.2705649157581763E-2</v>
      </c>
      <c r="EP719" s="1">
        <f>1+(Table1[[#This Row],[error_ratio_0]]-EF$2)</f>
        <v>1.010204081632653</v>
      </c>
      <c r="EQ719" s="1">
        <f>1+(Table1[[#This Row],[error_ratio_1]]-EG$2)</f>
        <v>1.0616740088105727</v>
      </c>
      <c r="ER719" s="1">
        <f>1+(Table1[[#This Row],[error_ratio_2]]-EH$2)</f>
        <v>0.92441860465116277</v>
      </c>
      <c r="ES719" s="1">
        <f>1+(Table1[[#This Row],[error_ratio_3]]-EI$2)</f>
        <v>1.0297029702970297</v>
      </c>
      <c r="ET719" s="1">
        <f>1+(Table1[[#This Row],[error_ratio_4]]-EJ$2)</f>
        <v>0.90427698574338089</v>
      </c>
      <c r="EU719" s="1">
        <f>1+(Table1[[#This Row],[error_ratio_5]]-EK$2)</f>
        <v>1.0224215246636772</v>
      </c>
      <c r="EV719" s="1">
        <f>1+(Table1[[#This Row],[error_ratio_6]]-EL$2)</f>
        <v>1.0626304801670146</v>
      </c>
      <c r="EW719" s="1">
        <f>1+(Table1[[#This Row],[error_ratio_7]]-EM$2)</f>
        <v>1.0603112840466926</v>
      </c>
      <c r="EX719" s="1">
        <f>1+(Table1[[#This Row],[error_ratio_8]]-EN$2)</f>
        <v>0.94763860369609854</v>
      </c>
      <c r="EY719" s="1">
        <f>1+(Table1[[#This Row],[error_ratio_9]]-EO$2)</f>
        <v>0.9712586719524281</v>
      </c>
    </row>
    <row r="720" spans="1:155" x14ac:dyDescent="0.75">
      <c r="A720">
        <v>100</v>
      </c>
      <c r="B720">
        <v>10</v>
      </c>
      <c r="C720">
        <v>10</v>
      </c>
      <c r="D720">
        <v>100</v>
      </c>
      <c r="E720">
        <v>10</v>
      </c>
      <c r="F720">
        <v>100</v>
      </c>
      <c r="G720">
        <v>100</v>
      </c>
      <c r="H720">
        <v>100</v>
      </c>
      <c r="I720">
        <v>10</v>
      </c>
      <c r="J720">
        <v>10</v>
      </c>
      <c r="K720">
        <v>1015</v>
      </c>
      <c r="L720">
        <v>1190</v>
      </c>
      <c r="M720">
        <v>921</v>
      </c>
      <c r="N720">
        <v>1064</v>
      </c>
      <c r="O720">
        <v>998</v>
      </c>
      <c r="P720">
        <v>1029</v>
      </c>
      <c r="Q720">
        <v>1008</v>
      </c>
      <c r="R720">
        <v>1093</v>
      </c>
      <c r="S720">
        <v>762</v>
      </c>
      <c r="T720">
        <v>920</v>
      </c>
      <c r="U720">
        <v>980</v>
      </c>
      <c r="V720">
        <v>1135</v>
      </c>
      <c r="W720">
        <v>1032</v>
      </c>
      <c r="X720">
        <v>1010</v>
      </c>
      <c r="Y720">
        <v>982</v>
      </c>
      <c r="Z720">
        <v>892</v>
      </c>
      <c r="AA720">
        <v>958</v>
      </c>
      <c r="AB720">
        <v>1028</v>
      </c>
      <c r="AC720">
        <v>974</v>
      </c>
      <c r="AD720">
        <v>1009</v>
      </c>
      <c r="AE720">
        <v>971</v>
      </c>
      <c r="AF720">
        <v>1</v>
      </c>
      <c r="AG720">
        <v>0</v>
      </c>
      <c r="AH720">
        <v>0</v>
      </c>
      <c r="AI720">
        <v>0</v>
      </c>
      <c r="AJ720">
        <v>1</v>
      </c>
      <c r="AK720">
        <v>6</v>
      </c>
      <c r="AL720">
        <v>1</v>
      </c>
      <c r="AM720">
        <v>0</v>
      </c>
      <c r="AN720">
        <v>0</v>
      </c>
      <c r="AO720">
        <v>0</v>
      </c>
      <c r="AP720">
        <v>1123</v>
      </c>
      <c r="AQ720">
        <v>2</v>
      </c>
      <c r="AR720">
        <v>0</v>
      </c>
      <c r="AS720">
        <v>0</v>
      </c>
      <c r="AT720">
        <v>4</v>
      </c>
      <c r="AU720">
        <v>2</v>
      </c>
      <c r="AV720">
        <v>4</v>
      </c>
      <c r="AW720">
        <v>0</v>
      </c>
      <c r="AX720">
        <v>0</v>
      </c>
      <c r="AY720">
        <v>16</v>
      </c>
      <c r="AZ720">
        <v>19</v>
      </c>
      <c r="BA720">
        <v>910</v>
      </c>
      <c r="BB720">
        <v>18</v>
      </c>
      <c r="BC720">
        <v>5</v>
      </c>
      <c r="BD720">
        <v>3</v>
      </c>
      <c r="BE720">
        <v>9</v>
      </c>
      <c r="BF720">
        <v>50</v>
      </c>
      <c r="BG720">
        <v>2</v>
      </c>
      <c r="BH720">
        <v>0</v>
      </c>
      <c r="BI720">
        <v>1</v>
      </c>
      <c r="BJ720">
        <v>0</v>
      </c>
      <c r="BK720">
        <v>0</v>
      </c>
      <c r="BL720">
        <v>976</v>
      </c>
      <c r="BM720">
        <v>0</v>
      </c>
      <c r="BN720">
        <v>30</v>
      </c>
      <c r="BO720">
        <v>0</v>
      </c>
      <c r="BP720">
        <v>2</v>
      </c>
      <c r="BQ720">
        <v>1</v>
      </c>
      <c r="BR720">
        <v>0</v>
      </c>
      <c r="BS720">
        <v>2</v>
      </c>
      <c r="BT720">
        <v>11</v>
      </c>
      <c r="BU720">
        <v>0</v>
      </c>
      <c r="BV720">
        <v>0</v>
      </c>
      <c r="BW720">
        <v>960</v>
      </c>
      <c r="BX720">
        <v>0</v>
      </c>
      <c r="BY720">
        <v>8</v>
      </c>
      <c r="BZ720">
        <v>1</v>
      </c>
      <c r="CA720">
        <v>0</v>
      </c>
      <c r="CB720">
        <v>0</v>
      </c>
      <c r="CC720">
        <v>1</v>
      </c>
      <c r="CD720">
        <v>0</v>
      </c>
      <c r="CE720">
        <v>0</v>
      </c>
      <c r="CF720">
        <v>3</v>
      </c>
      <c r="CG720">
        <v>0</v>
      </c>
      <c r="CH720">
        <v>881</v>
      </c>
      <c r="CI720">
        <v>7</v>
      </c>
      <c r="CJ720">
        <v>0</v>
      </c>
      <c r="CK720">
        <v>0</v>
      </c>
      <c r="CL720">
        <v>0</v>
      </c>
      <c r="CM720">
        <v>8</v>
      </c>
      <c r="CN720">
        <v>3</v>
      </c>
      <c r="CO720">
        <v>0</v>
      </c>
      <c r="CP720">
        <v>0</v>
      </c>
      <c r="CQ720">
        <v>2</v>
      </c>
      <c r="CR720">
        <v>3</v>
      </c>
      <c r="CS720">
        <v>942</v>
      </c>
      <c r="CT720">
        <v>0</v>
      </c>
      <c r="CU720">
        <v>0</v>
      </c>
      <c r="CV720">
        <v>0</v>
      </c>
      <c r="CW720">
        <v>1</v>
      </c>
      <c r="CX720">
        <v>3</v>
      </c>
      <c r="CY720">
        <v>3</v>
      </c>
      <c r="CZ720">
        <v>4</v>
      </c>
      <c r="DA720">
        <v>0</v>
      </c>
      <c r="DB720">
        <v>1</v>
      </c>
      <c r="DC720">
        <v>0</v>
      </c>
      <c r="DD720">
        <v>1013</v>
      </c>
      <c r="DE720">
        <v>0</v>
      </c>
      <c r="DF720">
        <v>3</v>
      </c>
      <c r="DG720">
        <v>8</v>
      </c>
      <c r="DH720">
        <v>22</v>
      </c>
      <c r="DI720">
        <v>6</v>
      </c>
      <c r="DJ720">
        <v>57</v>
      </c>
      <c r="DK720">
        <v>5</v>
      </c>
      <c r="DL720">
        <v>59</v>
      </c>
      <c r="DM720">
        <v>34</v>
      </c>
      <c r="DN720">
        <v>11</v>
      </c>
      <c r="DO720">
        <v>759</v>
      </c>
      <c r="DP720">
        <v>13</v>
      </c>
      <c r="DQ720">
        <v>7</v>
      </c>
      <c r="DR720">
        <v>8</v>
      </c>
      <c r="DS720">
        <v>0</v>
      </c>
      <c r="DT720">
        <v>6</v>
      </c>
      <c r="DU720">
        <v>26</v>
      </c>
      <c r="DV720">
        <v>47</v>
      </c>
      <c r="DW720">
        <v>0</v>
      </c>
      <c r="DX720">
        <v>11</v>
      </c>
      <c r="DY720">
        <v>0</v>
      </c>
      <c r="DZ720">
        <v>904</v>
      </c>
      <c r="EA720">
        <v>0.94389999999999996</v>
      </c>
      <c r="EB720">
        <v>0.94637947569301795</v>
      </c>
      <c r="EC720">
        <v>0.94375325715680403</v>
      </c>
      <c r="ED720">
        <v>0.94246566947167698</v>
      </c>
      <c r="EE720">
        <f>SUM(Table1[[#This Row],[ratio_0]:[ratio_9]])</f>
        <v>550</v>
      </c>
      <c r="EF720" s="1">
        <f>(Table1[[#This Row],[predicted_0]]-Table1[[#This Row],[actual_0]])/Table1[[#This Row],[actual_0]]</f>
        <v>3.5714285714285712E-2</v>
      </c>
      <c r="EG720" s="1">
        <f>(Table1[[#This Row],[predicted_1]]-Table1[[#This Row],[actual_1]])/Table1[[#This Row],[actual_1]]</f>
        <v>4.8458149779735685E-2</v>
      </c>
      <c r="EH720" s="1">
        <f>(Table1[[#This Row],[predicted_2]]-Table1[[#This Row],[actual_2]])/Table1[[#This Row],[actual_2]]</f>
        <v>-0.10755813953488372</v>
      </c>
      <c r="EI720" s="1">
        <f>(Table1[[#This Row],[predicted_3]]-Table1[[#This Row],[actual_3]])/Table1[[#This Row],[actual_3]]</f>
        <v>5.3465346534653464E-2</v>
      </c>
      <c r="EJ720" s="1">
        <f>(Table1[[#This Row],[predicted_4]]-Table1[[#This Row],[actual_4]])/Table1[[#This Row],[actual_4]]</f>
        <v>1.6293279022403257E-2</v>
      </c>
      <c r="EK720" s="1">
        <f>(Table1[[#This Row],[predicted_5]]-Table1[[#This Row],[actual_5]])/Table1[[#This Row],[actual_5]]</f>
        <v>0.15358744394618834</v>
      </c>
      <c r="EL720" s="1">
        <f>(Table1[[#This Row],[predicted_6]]-Table1[[#This Row],[actual_6]])/Table1[[#This Row],[actual_6]]</f>
        <v>5.2192066805845511E-2</v>
      </c>
      <c r="EM720" s="1">
        <f>(Table1[[#This Row],[predicted_7]]-Table1[[#This Row],[actual_7]])/Table1[[#This Row],[actual_7]]</f>
        <v>6.3229571984435795E-2</v>
      </c>
      <c r="EN720" s="1">
        <f>(Table1[[#This Row],[predicted_8]]-Table1[[#This Row],[actual_8]])/Table1[[#This Row],[actual_8]]</f>
        <v>-0.21765913757700206</v>
      </c>
      <c r="EO720" s="1">
        <f>(Table1[[#This Row],[predicted_9]]-Table1[[#This Row],[actual_9]])/Table1[[#This Row],[actual_9]]</f>
        <v>-8.820614469772052E-2</v>
      </c>
      <c r="EP720" s="1">
        <f>1+(Table1[[#This Row],[error_ratio_0]]-EF$2)</f>
        <v>1.0336734693877552</v>
      </c>
      <c r="EQ720" s="1">
        <f>1+(Table1[[#This Row],[error_ratio_1]]-EG$2)</f>
        <v>1.0466960352422907</v>
      </c>
      <c r="ER720" s="1">
        <f>1+(Table1[[#This Row],[error_ratio_2]]-EH$2)</f>
        <v>0.8972868217054264</v>
      </c>
      <c r="ES720" s="1">
        <f>1+(Table1[[#This Row],[error_ratio_3]]-EI$2)</f>
        <v>1.0435643564356436</v>
      </c>
      <c r="ET720" s="1">
        <f>1+(Table1[[#This Row],[error_ratio_4]]-EJ$2)</f>
        <v>1.0152749490835031</v>
      </c>
      <c r="EU720" s="1">
        <f>1+(Table1[[#This Row],[error_ratio_5]]-EK$2)</f>
        <v>1.1524663677130045</v>
      </c>
      <c r="EV720" s="1">
        <f>1+(Table1[[#This Row],[error_ratio_6]]-EL$2)</f>
        <v>1.0584551148225469</v>
      </c>
      <c r="EW720" s="1">
        <f>1+(Table1[[#This Row],[error_ratio_7]]-EM$2)</f>
        <v>1.061284046692607</v>
      </c>
      <c r="EX720" s="1">
        <f>1+(Table1[[#This Row],[error_ratio_8]]-EN$2)</f>
        <v>0.78542094455852152</v>
      </c>
      <c r="EY720" s="1">
        <f>1+(Table1[[#This Row],[error_ratio_9]]-EO$2)</f>
        <v>0.9157581764122894</v>
      </c>
    </row>
    <row r="721" spans="1:155" x14ac:dyDescent="0.75">
      <c r="A721">
        <v>10</v>
      </c>
      <c r="B721">
        <v>10</v>
      </c>
      <c r="C721">
        <v>10</v>
      </c>
      <c r="D721">
        <v>100</v>
      </c>
      <c r="E721">
        <v>10</v>
      </c>
      <c r="F721">
        <v>100</v>
      </c>
      <c r="G721">
        <v>100</v>
      </c>
      <c r="H721">
        <v>100</v>
      </c>
      <c r="I721">
        <v>10</v>
      </c>
      <c r="J721">
        <v>10</v>
      </c>
      <c r="K721">
        <v>1006</v>
      </c>
      <c r="L721">
        <v>1120</v>
      </c>
      <c r="M721">
        <v>989</v>
      </c>
      <c r="N721">
        <v>1085</v>
      </c>
      <c r="O721">
        <v>973</v>
      </c>
      <c r="P721">
        <v>952</v>
      </c>
      <c r="Q721">
        <v>966</v>
      </c>
      <c r="R721">
        <v>1078</v>
      </c>
      <c r="S721">
        <v>880</v>
      </c>
      <c r="T721">
        <v>951</v>
      </c>
      <c r="U721">
        <v>980</v>
      </c>
      <c r="V721">
        <v>1135</v>
      </c>
      <c r="W721">
        <v>1032</v>
      </c>
      <c r="X721">
        <v>1010</v>
      </c>
      <c r="Y721">
        <v>982</v>
      </c>
      <c r="Z721">
        <v>892</v>
      </c>
      <c r="AA721">
        <v>958</v>
      </c>
      <c r="AB721">
        <v>1028</v>
      </c>
      <c r="AC721">
        <v>974</v>
      </c>
      <c r="AD721">
        <v>1009</v>
      </c>
      <c r="AE721">
        <v>964</v>
      </c>
      <c r="AF721">
        <v>0</v>
      </c>
      <c r="AG721">
        <v>1</v>
      </c>
      <c r="AH721">
        <v>1</v>
      </c>
      <c r="AI721">
        <v>0</v>
      </c>
      <c r="AJ721">
        <v>5</v>
      </c>
      <c r="AK721">
        <v>4</v>
      </c>
      <c r="AL721">
        <v>4</v>
      </c>
      <c r="AM721">
        <v>1</v>
      </c>
      <c r="AN721">
        <v>0</v>
      </c>
      <c r="AO721">
        <v>0</v>
      </c>
      <c r="AP721">
        <v>1109</v>
      </c>
      <c r="AQ721">
        <v>3</v>
      </c>
      <c r="AR721">
        <v>3</v>
      </c>
      <c r="AS721">
        <v>0</v>
      </c>
      <c r="AT721">
        <v>6</v>
      </c>
      <c r="AU721">
        <v>4</v>
      </c>
      <c r="AV721">
        <v>2</v>
      </c>
      <c r="AW721">
        <v>8</v>
      </c>
      <c r="AX721">
        <v>0</v>
      </c>
      <c r="AY721">
        <v>11</v>
      </c>
      <c r="AZ721">
        <v>3</v>
      </c>
      <c r="BA721">
        <v>957</v>
      </c>
      <c r="BB721">
        <v>28</v>
      </c>
      <c r="BC721">
        <v>1</v>
      </c>
      <c r="BD721">
        <v>2</v>
      </c>
      <c r="BE721">
        <v>6</v>
      </c>
      <c r="BF721">
        <v>23</v>
      </c>
      <c r="BG721">
        <v>1</v>
      </c>
      <c r="BH721">
        <v>0</v>
      </c>
      <c r="BI721">
        <v>1</v>
      </c>
      <c r="BJ721">
        <v>0</v>
      </c>
      <c r="BK721">
        <v>0</v>
      </c>
      <c r="BL721">
        <v>997</v>
      </c>
      <c r="BM721">
        <v>0</v>
      </c>
      <c r="BN721">
        <v>9</v>
      </c>
      <c r="BO721">
        <v>0</v>
      </c>
      <c r="BP721">
        <v>3</v>
      </c>
      <c r="BQ721">
        <v>0</v>
      </c>
      <c r="BR721">
        <v>0</v>
      </c>
      <c r="BS721">
        <v>0</v>
      </c>
      <c r="BT721">
        <v>1</v>
      </c>
      <c r="BU721">
        <v>2</v>
      </c>
      <c r="BV721">
        <v>2</v>
      </c>
      <c r="BW721">
        <v>951</v>
      </c>
      <c r="BX721">
        <v>2</v>
      </c>
      <c r="BY721">
        <v>13</v>
      </c>
      <c r="BZ721">
        <v>3</v>
      </c>
      <c r="CA721">
        <v>2</v>
      </c>
      <c r="CB721">
        <v>6</v>
      </c>
      <c r="CC721">
        <v>2</v>
      </c>
      <c r="CD721">
        <v>0</v>
      </c>
      <c r="CE721">
        <v>0</v>
      </c>
      <c r="CF721">
        <v>5</v>
      </c>
      <c r="CG721">
        <v>0</v>
      </c>
      <c r="CH721">
        <v>883</v>
      </c>
      <c r="CI721">
        <v>2</v>
      </c>
      <c r="CJ721">
        <v>0</v>
      </c>
      <c r="CK721">
        <v>0</v>
      </c>
      <c r="CL721">
        <v>0</v>
      </c>
      <c r="CM721">
        <v>12</v>
      </c>
      <c r="CN721">
        <v>1</v>
      </c>
      <c r="CO721">
        <v>1</v>
      </c>
      <c r="CP721">
        <v>1</v>
      </c>
      <c r="CQ721">
        <v>0</v>
      </c>
      <c r="CR721">
        <v>7</v>
      </c>
      <c r="CS721">
        <v>935</v>
      </c>
      <c r="CT721">
        <v>0</v>
      </c>
      <c r="CU721">
        <v>0</v>
      </c>
      <c r="CV721">
        <v>1</v>
      </c>
      <c r="CW721">
        <v>0</v>
      </c>
      <c r="CX721">
        <v>2</v>
      </c>
      <c r="CY721">
        <v>5</v>
      </c>
      <c r="CZ721">
        <v>1</v>
      </c>
      <c r="DA721">
        <v>0</v>
      </c>
      <c r="DB721">
        <v>2</v>
      </c>
      <c r="DC721">
        <v>0</v>
      </c>
      <c r="DD721">
        <v>1017</v>
      </c>
      <c r="DE721">
        <v>0</v>
      </c>
      <c r="DF721">
        <v>1</v>
      </c>
      <c r="DG721">
        <v>10</v>
      </c>
      <c r="DH721">
        <v>0</v>
      </c>
      <c r="DI721">
        <v>20</v>
      </c>
      <c r="DJ721">
        <v>43</v>
      </c>
      <c r="DK721">
        <v>3</v>
      </c>
      <c r="DL721">
        <v>13</v>
      </c>
      <c r="DM721">
        <v>2</v>
      </c>
      <c r="DN721">
        <v>10</v>
      </c>
      <c r="DO721">
        <v>864</v>
      </c>
      <c r="DP721">
        <v>9</v>
      </c>
      <c r="DQ721">
        <v>6</v>
      </c>
      <c r="DR721">
        <v>4</v>
      </c>
      <c r="DS721">
        <v>0</v>
      </c>
      <c r="DT721">
        <v>4</v>
      </c>
      <c r="DU721">
        <v>18</v>
      </c>
      <c r="DV721">
        <v>23</v>
      </c>
      <c r="DW721">
        <v>0</v>
      </c>
      <c r="DX721">
        <v>16</v>
      </c>
      <c r="DY721">
        <v>4</v>
      </c>
      <c r="DZ721">
        <v>934</v>
      </c>
      <c r="EA721">
        <v>0.96109999999999995</v>
      </c>
      <c r="EB721">
        <v>0.96151425815121305</v>
      </c>
      <c r="EC721">
        <v>0.96115862548454101</v>
      </c>
      <c r="ED721">
        <v>0.960666964929064</v>
      </c>
      <c r="EE721">
        <f>SUM(Table1[[#This Row],[ratio_0]:[ratio_9]])</f>
        <v>460</v>
      </c>
      <c r="EF721" s="1">
        <f>(Table1[[#This Row],[predicted_0]]-Table1[[#This Row],[actual_0]])/Table1[[#This Row],[actual_0]]</f>
        <v>2.6530612244897958E-2</v>
      </c>
      <c r="EG721" s="1">
        <f>(Table1[[#This Row],[predicted_1]]-Table1[[#This Row],[actual_1]])/Table1[[#This Row],[actual_1]]</f>
        <v>-1.3215859030837005E-2</v>
      </c>
      <c r="EH721" s="1">
        <f>(Table1[[#This Row],[predicted_2]]-Table1[[#This Row],[actual_2]])/Table1[[#This Row],[actual_2]]</f>
        <v>-4.1666666666666664E-2</v>
      </c>
      <c r="EI721" s="1">
        <f>(Table1[[#This Row],[predicted_3]]-Table1[[#This Row],[actual_3]])/Table1[[#This Row],[actual_3]]</f>
        <v>7.4257425742574254E-2</v>
      </c>
      <c r="EJ721" s="1">
        <f>(Table1[[#This Row],[predicted_4]]-Table1[[#This Row],[actual_4]])/Table1[[#This Row],[actual_4]]</f>
        <v>-9.1649694501018328E-3</v>
      </c>
      <c r="EK721" s="1">
        <f>(Table1[[#This Row],[predicted_5]]-Table1[[#This Row],[actual_5]])/Table1[[#This Row],[actual_5]]</f>
        <v>6.726457399103139E-2</v>
      </c>
      <c r="EL721" s="1">
        <f>(Table1[[#This Row],[predicted_6]]-Table1[[#This Row],[actual_6]])/Table1[[#This Row],[actual_6]]</f>
        <v>8.350730688935281E-3</v>
      </c>
      <c r="EM721" s="1">
        <f>(Table1[[#This Row],[predicted_7]]-Table1[[#This Row],[actual_7]])/Table1[[#This Row],[actual_7]]</f>
        <v>4.8638132295719845E-2</v>
      </c>
      <c r="EN721" s="1">
        <f>(Table1[[#This Row],[predicted_8]]-Table1[[#This Row],[actual_8]])/Table1[[#This Row],[actual_8]]</f>
        <v>-9.6509240246406572E-2</v>
      </c>
      <c r="EO721" s="1">
        <f>(Table1[[#This Row],[predicted_9]]-Table1[[#This Row],[actual_9]])/Table1[[#This Row],[actual_9]]</f>
        <v>-5.7482656095143705E-2</v>
      </c>
      <c r="EP721" s="1">
        <f>1+(Table1[[#This Row],[error_ratio_0]]-EF$2)</f>
        <v>1.0244897959183674</v>
      </c>
      <c r="EQ721" s="1">
        <f>1+(Table1[[#This Row],[error_ratio_1]]-EG$2)</f>
        <v>0.9850220264317181</v>
      </c>
      <c r="ER721" s="1">
        <f>1+(Table1[[#This Row],[error_ratio_2]]-EH$2)</f>
        <v>0.96317829457364346</v>
      </c>
      <c r="ES721" s="1">
        <f>1+(Table1[[#This Row],[error_ratio_3]]-EI$2)</f>
        <v>1.0643564356435644</v>
      </c>
      <c r="ET721" s="1">
        <f>1+(Table1[[#This Row],[error_ratio_4]]-EJ$2)</f>
        <v>0.98981670061099791</v>
      </c>
      <c r="EU721" s="1">
        <f>1+(Table1[[#This Row],[error_ratio_5]]-EK$2)</f>
        <v>1.0661434977578474</v>
      </c>
      <c r="EV721" s="1">
        <f>1+(Table1[[#This Row],[error_ratio_6]]-EL$2)</f>
        <v>1.0146137787056368</v>
      </c>
      <c r="EW721" s="1">
        <f>1+(Table1[[#This Row],[error_ratio_7]]-EM$2)</f>
        <v>1.0466926070038911</v>
      </c>
      <c r="EX721" s="1">
        <f>1+(Table1[[#This Row],[error_ratio_8]]-EN$2)</f>
        <v>0.90657084188911707</v>
      </c>
      <c r="EY721" s="1">
        <f>1+(Table1[[#This Row],[error_ratio_9]]-EO$2)</f>
        <v>0.94648166501486619</v>
      </c>
    </row>
    <row r="722" spans="1:155" x14ac:dyDescent="0.75">
      <c r="A722">
        <v>100</v>
      </c>
      <c r="B722">
        <v>100</v>
      </c>
      <c r="C722">
        <v>100</v>
      </c>
      <c r="D722">
        <v>10</v>
      </c>
      <c r="E722">
        <v>10</v>
      </c>
      <c r="F722">
        <v>100</v>
      </c>
      <c r="G722">
        <v>100</v>
      </c>
      <c r="H722">
        <v>100</v>
      </c>
      <c r="I722">
        <v>10</v>
      </c>
      <c r="J722">
        <v>10</v>
      </c>
      <c r="K722">
        <v>1001</v>
      </c>
      <c r="L722">
        <v>1142</v>
      </c>
      <c r="M722">
        <v>1081</v>
      </c>
      <c r="N722">
        <v>1003</v>
      </c>
      <c r="O722">
        <v>872</v>
      </c>
      <c r="P722">
        <v>922</v>
      </c>
      <c r="Q722">
        <v>954</v>
      </c>
      <c r="R722">
        <v>1074</v>
      </c>
      <c r="S722">
        <v>939</v>
      </c>
      <c r="T722">
        <v>1012</v>
      </c>
      <c r="U722">
        <v>980</v>
      </c>
      <c r="V722">
        <v>1135</v>
      </c>
      <c r="W722">
        <v>1032</v>
      </c>
      <c r="X722">
        <v>1010</v>
      </c>
      <c r="Y722">
        <v>982</v>
      </c>
      <c r="Z722">
        <v>892</v>
      </c>
      <c r="AA722">
        <v>958</v>
      </c>
      <c r="AB722">
        <v>1028</v>
      </c>
      <c r="AC722">
        <v>974</v>
      </c>
      <c r="AD722">
        <v>1009</v>
      </c>
      <c r="AE722">
        <v>974</v>
      </c>
      <c r="AF722">
        <v>1</v>
      </c>
      <c r="AG722">
        <v>0</v>
      </c>
      <c r="AH722">
        <v>0</v>
      </c>
      <c r="AI722">
        <v>0</v>
      </c>
      <c r="AJ722">
        <v>1</v>
      </c>
      <c r="AK722">
        <v>1</v>
      </c>
      <c r="AL722">
        <v>2</v>
      </c>
      <c r="AM722">
        <v>1</v>
      </c>
      <c r="AN722">
        <v>0</v>
      </c>
      <c r="AO722">
        <v>0</v>
      </c>
      <c r="AP722">
        <v>1129</v>
      </c>
      <c r="AQ722">
        <v>3</v>
      </c>
      <c r="AR722">
        <v>0</v>
      </c>
      <c r="AS722">
        <v>0</v>
      </c>
      <c r="AT722">
        <v>0</v>
      </c>
      <c r="AU722">
        <v>1</v>
      </c>
      <c r="AV722">
        <v>1</v>
      </c>
      <c r="AW722">
        <v>1</v>
      </c>
      <c r="AX722">
        <v>0</v>
      </c>
      <c r="AY722">
        <v>0</v>
      </c>
      <c r="AZ722">
        <v>1</v>
      </c>
      <c r="BA722">
        <v>1026</v>
      </c>
      <c r="BB722">
        <v>1</v>
      </c>
      <c r="BC722">
        <v>0</v>
      </c>
      <c r="BD722">
        <v>0</v>
      </c>
      <c r="BE722">
        <v>0</v>
      </c>
      <c r="BF722">
        <v>4</v>
      </c>
      <c r="BG722">
        <v>0</v>
      </c>
      <c r="BH722">
        <v>0</v>
      </c>
      <c r="BI722">
        <v>3</v>
      </c>
      <c r="BJ722">
        <v>0</v>
      </c>
      <c r="BK722">
        <v>7</v>
      </c>
      <c r="BL722">
        <v>982</v>
      </c>
      <c r="BM722">
        <v>0</v>
      </c>
      <c r="BN722">
        <v>7</v>
      </c>
      <c r="BO722">
        <v>0</v>
      </c>
      <c r="BP722">
        <v>8</v>
      </c>
      <c r="BQ722">
        <v>3</v>
      </c>
      <c r="BR722">
        <v>0</v>
      </c>
      <c r="BS722">
        <v>3</v>
      </c>
      <c r="BT722">
        <v>2</v>
      </c>
      <c r="BU722">
        <v>17</v>
      </c>
      <c r="BV722">
        <v>0</v>
      </c>
      <c r="BW722">
        <v>871</v>
      </c>
      <c r="BX722">
        <v>1</v>
      </c>
      <c r="BY722">
        <v>5</v>
      </c>
      <c r="BZ722">
        <v>17</v>
      </c>
      <c r="CA722">
        <v>12</v>
      </c>
      <c r="CB722">
        <v>54</v>
      </c>
      <c r="CC722">
        <v>2</v>
      </c>
      <c r="CD722">
        <v>0</v>
      </c>
      <c r="CE722">
        <v>0</v>
      </c>
      <c r="CF722">
        <v>5</v>
      </c>
      <c r="CG722">
        <v>0</v>
      </c>
      <c r="CH722">
        <v>882</v>
      </c>
      <c r="CI722">
        <v>1</v>
      </c>
      <c r="CJ722">
        <v>1</v>
      </c>
      <c r="CK722">
        <v>0</v>
      </c>
      <c r="CL722">
        <v>1</v>
      </c>
      <c r="CM722">
        <v>8</v>
      </c>
      <c r="CN722">
        <v>2</v>
      </c>
      <c r="CO722">
        <v>0</v>
      </c>
      <c r="CP722">
        <v>0</v>
      </c>
      <c r="CQ722">
        <v>1</v>
      </c>
      <c r="CR722">
        <v>4</v>
      </c>
      <c r="CS722">
        <v>943</v>
      </c>
      <c r="CT722">
        <v>0</v>
      </c>
      <c r="CU722">
        <v>0</v>
      </c>
      <c r="CV722">
        <v>0</v>
      </c>
      <c r="CW722">
        <v>1</v>
      </c>
      <c r="CX722">
        <v>1</v>
      </c>
      <c r="CY722">
        <v>11</v>
      </c>
      <c r="CZ722">
        <v>0</v>
      </c>
      <c r="DA722">
        <v>0</v>
      </c>
      <c r="DB722">
        <v>0</v>
      </c>
      <c r="DC722">
        <v>0</v>
      </c>
      <c r="DD722">
        <v>1014</v>
      </c>
      <c r="DE722">
        <v>0</v>
      </c>
      <c r="DF722">
        <v>1</v>
      </c>
      <c r="DG722">
        <v>6</v>
      </c>
      <c r="DH722">
        <v>0</v>
      </c>
      <c r="DI722">
        <v>15</v>
      </c>
      <c r="DJ722">
        <v>8</v>
      </c>
      <c r="DK722">
        <v>0</v>
      </c>
      <c r="DL722">
        <v>16</v>
      </c>
      <c r="DM722">
        <v>2</v>
      </c>
      <c r="DN722">
        <v>9</v>
      </c>
      <c r="DO722">
        <v>916</v>
      </c>
      <c r="DP722">
        <v>2</v>
      </c>
      <c r="DQ722">
        <v>4</v>
      </c>
      <c r="DR722">
        <v>6</v>
      </c>
      <c r="DS722">
        <v>2</v>
      </c>
      <c r="DT722">
        <v>7</v>
      </c>
      <c r="DU722">
        <v>0</v>
      </c>
      <c r="DV722">
        <v>11</v>
      </c>
      <c r="DW722">
        <v>1</v>
      </c>
      <c r="DX722">
        <v>18</v>
      </c>
      <c r="DY722">
        <v>6</v>
      </c>
      <c r="DZ722">
        <v>954</v>
      </c>
      <c r="EA722">
        <v>0.96909999999999996</v>
      </c>
      <c r="EB722">
        <v>0.96960939783177602</v>
      </c>
      <c r="EC722">
        <v>0.96874751291253902</v>
      </c>
      <c r="ED722">
        <v>0.96867557491509704</v>
      </c>
      <c r="EE722">
        <f>SUM(Table1[[#This Row],[ratio_0]:[ratio_9]])</f>
        <v>640</v>
      </c>
      <c r="EF722" s="1">
        <f>(Table1[[#This Row],[predicted_0]]-Table1[[#This Row],[actual_0]])/Table1[[#This Row],[actual_0]]</f>
        <v>2.1428571428571429E-2</v>
      </c>
      <c r="EG722" s="1">
        <f>(Table1[[#This Row],[predicted_1]]-Table1[[#This Row],[actual_1]])/Table1[[#This Row],[actual_1]]</f>
        <v>6.1674008810572688E-3</v>
      </c>
      <c r="EH722" s="1">
        <f>(Table1[[#This Row],[predicted_2]]-Table1[[#This Row],[actual_2]])/Table1[[#This Row],[actual_2]]</f>
        <v>4.7480620155038761E-2</v>
      </c>
      <c r="EI722" s="1">
        <f>(Table1[[#This Row],[predicted_3]]-Table1[[#This Row],[actual_3]])/Table1[[#This Row],[actual_3]]</f>
        <v>-6.9306930693069308E-3</v>
      </c>
      <c r="EJ722" s="1">
        <f>(Table1[[#This Row],[predicted_4]]-Table1[[#This Row],[actual_4]])/Table1[[#This Row],[actual_4]]</f>
        <v>-0.11201629327902241</v>
      </c>
      <c r="EK722" s="1">
        <f>(Table1[[#This Row],[predicted_5]]-Table1[[#This Row],[actual_5]])/Table1[[#This Row],[actual_5]]</f>
        <v>3.3632286995515695E-2</v>
      </c>
      <c r="EL722" s="1">
        <f>(Table1[[#This Row],[predicted_6]]-Table1[[#This Row],[actual_6]])/Table1[[#This Row],[actual_6]]</f>
        <v>-4.1753653444676405E-3</v>
      </c>
      <c r="EM722" s="1">
        <f>(Table1[[#This Row],[predicted_7]]-Table1[[#This Row],[actual_7]])/Table1[[#This Row],[actual_7]]</f>
        <v>4.4747081712062257E-2</v>
      </c>
      <c r="EN722" s="1">
        <f>(Table1[[#This Row],[predicted_8]]-Table1[[#This Row],[actual_8]])/Table1[[#This Row],[actual_8]]</f>
        <v>-3.5934291581108828E-2</v>
      </c>
      <c r="EO722" s="1">
        <f>(Table1[[#This Row],[predicted_9]]-Table1[[#This Row],[actual_9]])/Table1[[#This Row],[actual_9]]</f>
        <v>2.973240832507433E-3</v>
      </c>
      <c r="EP722" s="1">
        <f>1+(Table1[[#This Row],[error_ratio_0]]-EF$2)</f>
        <v>1.0193877551020407</v>
      </c>
      <c r="EQ722" s="1">
        <f>1+(Table1[[#This Row],[error_ratio_1]]-EG$2)</f>
        <v>1.0044052863436124</v>
      </c>
      <c r="ER722" s="1">
        <f>1+(Table1[[#This Row],[error_ratio_2]]-EH$2)</f>
        <v>1.0523255813953489</v>
      </c>
      <c r="ES722" s="1">
        <f>1+(Table1[[#This Row],[error_ratio_3]]-EI$2)</f>
        <v>0.98316831683168315</v>
      </c>
      <c r="ET722" s="1">
        <f>1+(Table1[[#This Row],[error_ratio_4]]-EJ$2)</f>
        <v>0.88696537678207743</v>
      </c>
      <c r="EU722" s="1">
        <f>1+(Table1[[#This Row],[error_ratio_5]]-EK$2)</f>
        <v>1.0325112107623318</v>
      </c>
      <c r="EV722" s="1">
        <f>1+(Table1[[#This Row],[error_ratio_6]]-EL$2)</f>
        <v>1.0020876826722338</v>
      </c>
      <c r="EW722" s="1">
        <f>1+(Table1[[#This Row],[error_ratio_7]]-EM$2)</f>
        <v>1.0428015564202335</v>
      </c>
      <c r="EX722" s="1">
        <f>1+(Table1[[#This Row],[error_ratio_8]]-EN$2)</f>
        <v>0.96714579055441474</v>
      </c>
      <c r="EY722" s="1">
        <f>1+(Table1[[#This Row],[error_ratio_9]]-EO$2)</f>
        <v>1.0069375619425174</v>
      </c>
    </row>
    <row r="723" spans="1:155" x14ac:dyDescent="0.75">
      <c r="A723">
        <v>10</v>
      </c>
      <c r="B723">
        <v>100</v>
      </c>
      <c r="C723">
        <v>100</v>
      </c>
      <c r="D723">
        <v>10</v>
      </c>
      <c r="E723">
        <v>10</v>
      </c>
      <c r="F723">
        <v>100</v>
      </c>
      <c r="G723">
        <v>100</v>
      </c>
      <c r="H723">
        <v>100</v>
      </c>
      <c r="I723">
        <v>10</v>
      </c>
      <c r="J723">
        <v>10</v>
      </c>
      <c r="K723">
        <v>966</v>
      </c>
      <c r="L723">
        <v>1175</v>
      </c>
      <c r="M723">
        <v>1130</v>
      </c>
      <c r="N723">
        <v>988</v>
      </c>
      <c r="O723">
        <v>907</v>
      </c>
      <c r="P723">
        <v>934</v>
      </c>
      <c r="Q723">
        <v>959</v>
      </c>
      <c r="R723">
        <v>1034</v>
      </c>
      <c r="S723">
        <v>874</v>
      </c>
      <c r="T723">
        <v>1033</v>
      </c>
      <c r="U723">
        <v>980</v>
      </c>
      <c r="V723">
        <v>1135</v>
      </c>
      <c r="W723">
        <v>1032</v>
      </c>
      <c r="X723">
        <v>1010</v>
      </c>
      <c r="Y723">
        <v>982</v>
      </c>
      <c r="Z723">
        <v>892</v>
      </c>
      <c r="AA723">
        <v>958</v>
      </c>
      <c r="AB723">
        <v>1028</v>
      </c>
      <c r="AC723">
        <v>974</v>
      </c>
      <c r="AD723">
        <v>1009</v>
      </c>
      <c r="AE723">
        <v>945</v>
      </c>
      <c r="AF723">
        <v>0</v>
      </c>
      <c r="AG723">
        <v>22</v>
      </c>
      <c r="AH723">
        <v>0</v>
      </c>
      <c r="AI723">
        <v>0</v>
      </c>
      <c r="AJ723">
        <v>3</v>
      </c>
      <c r="AK723">
        <v>3</v>
      </c>
      <c r="AL723">
        <v>4</v>
      </c>
      <c r="AM723">
        <v>1</v>
      </c>
      <c r="AN723">
        <v>2</v>
      </c>
      <c r="AO723">
        <v>0</v>
      </c>
      <c r="AP723">
        <v>1131</v>
      </c>
      <c r="AQ723">
        <v>1</v>
      </c>
      <c r="AR723">
        <v>2</v>
      </c>
      <c r="AS723">
        <v>0</v>
      </c>
      <c r="AT723">
        <v>1</v>
      </c>
      <c r="AU723">
        <v>0</v>
      </c>
      <c r="AV723">
        <v>0</v>
      </c>
      <c r="AW723">
        <v>0</v>
      </c>
      <c r="AX723">
        <v>0</v>
      </c>
      <c r="AY723">
        <v>0</v>
      </c>
      <c r="AZ723">
        <v>1</v>
      </c>
      <c r="BA723">
        <v>1029</v>
      </c>
      <c r="BB723">
        <v>1</v>
      </c>
      <c r="BC723">
        <v>0</v>
      </c>
      <c r="BD723">
        <v>0</v>
      </c>
      <c r="BE723">
        <v>0</v>
      </c>
      <c r="BF723">
        <v>1</v>
      </c>
      <c r="BG723">
        <v>0</v>
      </c>
      <c r="BH723">
        <v>0</v>
      </c>
      <c r="BI723">
        <v>0</v>
      </c>
      <c r="BJ723">
        <v>0</v>
      </c>
      <c r="BK723">
        <v>10</v>
      </c>
      <c r="BL723">
        <v>965</v>
      </c>
      <c r="BM723">
        <v>0</v>
      </c>
      <c r="BN723">
        <v>24</v>
      </c>
      <c r="BO723">
        <v>0</v>
      </c>
      <c r="BP723">
        <v>9</v>
      </c>
      <c r="BQ723">
        <v>2</v>
      </c>
      <c r="BR723">
        <v>0</v>
      </c>
      <c r="BS723">
        <v>0</v>
      </c>
      <c r="BT723">
        <v>16</v>
      </c>
      <c r="BU723">
        <v>14</v>
      </c>
      <c r="BV723">
        <v>0</v>
      </c>
      <c r="BW723">
        <v>900</v>
      </c>
      <c r="BX723">
        <v>0</v>
      </c>
      <c r="BY723">
        <v>6</v>
      </c>
      <c r="BZ723">
        <v>7</v>
      </c>
      <c r="CA723">
        <v>1</v>
      </c>
      <c r="CB723">
        <v>38</v>
      </c>
      <c r="CC723">
        <v>1</v>
      </c>
      <c r="CD723">
        <v>0</v>
      </c>
      <c r="CE723">
        <v>1</v>
      </c>
      <c r="CF723">
        <v>3</v>
      </c>
      <c r="CG723">
        <v>0</v>
      </c>
      <c r="CH723">
        <v>883</v>
      </c>
      <c r="CI723">
        <v>4</v>
      </c>
      <c r="CJ723">
        <v>0</v>
      </c>
      <c r="CK723">
        <v>0</v>
      </c>
      <c r="CL723">
        <v>0</v>
      </c>
      <c r="CM723">
        <v>5</v>
      </c>
      <c r="CN723">
        <v>4</v>
      </c>
      <c r="CO723">
        <v>2</v>
      </c>
      <c r="CP723">
        <v>1</v>
      </c>
      <c r="CQ723">
        <v>1</v>
      </c>
      <c r="CR723">
        <v>5</v>
      </c>
      <c r="CS723">
        <v>940</v>
      </c>
      <c r="CT723">
        <v>0</v>
      </c>
      <c r="CU723">
        <v>0</v>
      </c>
      <c r="CV723">
        <v>0</v>
      </c>
      <c r="CW723">
        <v>0</v>
      </c>
      <c r="CX723">
        <v>13</v>
      </c>
      <c r="CY723">
        <v>17</v>
      </c>
      <c r="CZ723">
        <v>0</v>
      </c>
      <c r="DA723">
        <v>0</v>
      </c>
      <c r="DB723">
        <v>1</v>
      </c>
      <c r="DC723">
        <v>0</v>
      </c>
      <c r="DD723">
        <v>996</v>
      </c>
      <c r="DE723">
        <v>0</v>
      </c>
      <c r="DF723">
        <v>1</v>
      </c>
      <c r="DG723">
        <v>13</v>
      </c>
      <c r="DH723">
        <v>1</v>
      </c>
      <c r="DI723">
        <v>34</v>
      </c>
      <c r="DJ723">
        <v>11</v>
      </c>
      <c r="DK723">
        <v>3</v>
      </c>
      <c r="DL723">
        <v>9</v>
      </c>
      <c r="DM723">
        <v>6</v>
      </c>
      <c r="DN723">
        <v>5</v>
      </c>
      <c r="DO723">
        <v>868</v>
      </c>
      <c r="DP723">
        <v>24</v>
      </c>
      <c r="DQ723">
        <v>2</v>
      </c>
      <c r="DR723">
        <v>9</v>
      </c>
      <c r="DS723">
        <v>0</v>
      </c>
      <c r="DT723">
        <v>5</v>
      </c>
      <c r="DU723">
        <v>3</v>
      </c>
      <c r="DV723">
        <v>8</v>
      </c>
      <c r="DW723">
        <v>0</v>
      </c>
      <c r="DX723">
        <v>12</v>
      </c>
      <c r="DY723">
        <v>2</v>
      </c>
      <c r="DZ723">
        <v>968</v>
      </c>
      <c r="EA723">
        <v>0.96250000000000002</v>
      </c>
      <c r="EB723">
        <v>0.96394812723192702</v>
      </c>
      <c r="EC723">
        <v>0.962032590304715</v>
      </c>
      <c r="ED723">
        <v>0.962256800817897</v>
      </c>
      <c r="EE723">
        <f>SUM(Table1[[#This Row],[ratio_0]:[ratio_9]])</f>
        <v>550</v>
      </c>
      <c r="EF723" s="1">
        <f>(Table1[[#This Row],[predicted_0]]-Table1[[#This Row],[actual_0]])/Table1[[#This Row],[actual_0]]</f>
        <v>-1.4285714285714285E-2</v>
      </c>
      <c r="EG723" s="1">
        <f>(Table1[[#This Row],[predicted_1]]-Table1[[#This Row],[actual_1]])/Table1[[#This Row],[actual_1]]</f>
        <v>3.5242290748898682E-2</v>
      </c>
      <c r="EH723" s="1">
        <f>(Table1[[#This Row],[predicted_2]]-Table1[[#This Row],[actual_2]])/Table1[[#This Row],[actual_2]]</f>
        <v>9.4961240310077522E-2</v>
      </c>
      <c r="EI723" s="1">
        <f>(Table1[[#This Row],[predicted_3]]-Table1[[#This Row],[actual_3]])/Table1[[#This Row],[actual_3]]</f>
        <v>-2.1782178217821781E-2</v>
      </c>
      <c r="EJ723" s="1">
        <f>(Table1[[#This Row],[predicted_4]]-Table1[[#This Row],[actual_4]])/Table1[[#This Row],[actual_4]]</f>
        <v>-7.637474541751528E-2</v>
      </c>
      <c r="EK723" s="1">
        <f>(Table1[[#This Row],[predicted_5]]-Table1[[#This Row],[actual_5]])/Table1[[#This Row],[actual_5]]</f>
        <v>4.708520179372197E-2</v>
      </c>
      <c r="EL723" s="1">
        <f>(Table1[[#This Row],[predicted_6]]-Table1[[#This Row],[actual_6]])/Table1[[#This Row],[actual_6]]</f>
        <v>1.0438413361169101E-3</v>
      </c>
      <c r="EM723" s="1">
        <f>(Table1[[#This Row],[predicted_7]]-Table1[[#This Row],[actual_7]])/Table1[[#This Row],[actual_7]]</f>
        <v>5.8365758754863814E-3</v>
      </c>
      <c r="EN723" s="1">
        <f>(Table1[[#This Row],[predicted_8]]-Table1[[#This Row],[actual_8]])/Table1[[#This Row],[actual_8]]</f>
        <v>-0.10266940451745379</v>
      </c>
      <c r="EO723" s="1">
        <f>(Table1[[#This Row],[predicted_9]]-Table1[[#This Row],[actual_9]])/Table1[[#This Row],[actual_9]]</f>
        <v>2.3785926660059464E-2</v>
      </c>
      <c r="EP723" s="1">
        <f>1+(Table1[[#This Row],[error_ratio_0]]-EF$2)</f>
        <v>0.98367346938775513</v>
      </c>
      <c r="EQ723" s="1">
        <f>1+(Table1[[#This Row],[error_ratio_1]]-EG$2)</f>
        <v>1.0334801762114538</v>
      </c>
      <c r="ER723" s="1">
        <f>1+(Table1[[#This Row],[error_ratio_2]]-EH$2)</f>
        <v>1.0998062015503876</v>
      </c>
      <c r="ES723" s="1">
        <f>1+(Table1[[#This Row],[error_ratio_3]]-EI$2)</f>
        <v>0.96831683168316829</v>
      </c>
      <c r="ET723" s="1">
        <f>1+(Table1[[#This Row],[error_ratio_4]]-EJ$2)</f>
        <v>0.92260692464358451</v>
      </c>
      <c r="EU723" s="1">
        <f>1+(Table1[[#This Row],[error_ratio_5]]-EK$2)</f>
        <v>1.0459641255605381</v>
      </c>
      <c r="EV723" s="1">
        <f>1+(Table1[[#This Row],[error_ratio_6]]-EL$2)</f>
        <v>1.0073068893528183</v>
      </c>
      <c r="EW723" s="1">
        <f>1+(Table1[[#This Row],[error_ratio_7]]-EM$2)</f>
        <v>1.0038910505836576</v>
      </c>
      <c r="EX723" s="1">
        <f>1+(Table1[[#This Row],[error_ratio_8]]-EN$2)</f>
        <v>0.90041067761806981</v>
      </c>
      <c r="EY723" s="1">
        <f>1+(Table1[[#This Row],[error_ratio_9]]-EO$2)</f>
        <v>1.0277502477700693</v>
      </c>
    </row>
    <row r="724" spans="1:155" x14ac:dyDescent="0.75">
      <c r="A724">
        <v>100</v>
      </c>
      <c r="B724">
        <v>10</v>
      </c>
      <c r="C724">
        <v>100</v>
      </c>
      <c r="D724">
        <v>10</v>
      </c>
      <c r="E724">
        <v>10</v>
      </c>
      <c r="F724">
        <v>100</v>
      </c>
      <c r="G724">
        <v>100</v>
      </c>
      <c r="H724">
        <v>100</v>
      </c>
      <c r="I724">
        <v>10</v>
      </c>
      <c r="J724">
        <v>10</v>
      </c>
      <c r="K724">
        <v>1048</v>
      </c>
      <c r="L724">
        <v>1157</v>
      </c>
      <c r="M724">
        <v>1059</v>
      </c>
      <c r="N724">
        <v>959</v>
      </c>
      <c r="O724">
        <v>925</v>
      </c>
      <c r="P724">
        <v>909</v>
      </c>
      <c r="Q724">
        <v>964</v>
      </c>
      <c r="R724">
        <v>1198</v>
      </c>
      <c r="S724">
        <v>899</v>
      </c>
      <c r="T724">
        <v>882</v>
      </c>
      <c r="U724">
        <v>980</v>
      </c>
      <c r="V724">
        <v>1135</v>
      </c>
      <c r="W724">
        <v>1032</v>
      </c>
      <c r="X724">
        <v>1010</v>
      </c>
      <c r="Y724">
        <v>982</v>
      </c>
      <c r="Z724">
        <v>892</v>
      </c>
      <c r="AA724">
        <v>958</v>
      </c>
      <c r="AB724">
        <v>1028</v>
      </c>
      <c r="AC724">
        <v>974</v>
      </c>
      <c r="AD724">
        <v>1009</v>
      </c>
      <c r="AE724">
        <v>978</v>
      </c>
      <c r="AF724">
        <v>0</v>
      </c>
      <c r="AG724">
        <v>0</v>
      </c>
      <c r="AH724">
        <v>0</v>
      </c>
      <c r="AI724">
        <v>0</v>
      </c>
      <c r="AJ724">
        <v>0</v>
      </c>
      <c r="AK724">
        <v>0</v>
      </c>
      <c r="AL724">
        <v>2</v>
      </c>
      <c r="AM724">
        <v>0</v>
      </c>
      <c r="AN724">
        <v>0</v>
      </c>
      <c r="AO724">
        <v>0</v>
      </c>
      <c r="AP724">
        <v>1123</v>
      </c>
      <c r="AQ724">
        <v>5</v>
      </c>
      <c r="AR724">
        <v>1</v>
      </c>
      <c r="AS724">
        <v>0</v>
      </c>
      <c r="AT724">
        <v>1</v>
      </c>
      <c r="AU724">
        <v>3</v>
      </c>
      <c r="AV724">
        <v>2</v>
      </c>
      <c r="AW724">
        <v>0</v>
      </c>
      <c r="AX724">
        <v>0</v>
      </c>
      <c r="AY724">
        <v>3</v>
      </c>
      <c r="AZ724">
        <v>0</v>
      </c>
      <c r="BA724">
        <v>1013</v>
      </c>
      <c r="BB724">
        <v>0</v>
      </c>
      <c r="BC724">
        <v>0</v>
      </c>
      <c r="BD724">
        <v>0</v>
      </c>
      <c r="BE724">
        <v>3</v>
      </c>
      <c r="BF724">
        <v>13</v>
      </c>
      <c r="BG724">
        <v>0</v>
      </c>
      <c r="BH724">
        <v>0</v>
      </c>
      <c r="BI724">
        <v>7</v>
      </c>
      <c r="BJ724">
        <v>0</v>
      </c>
      <c r="BK724">
        <v>9</v>
      </c>
      <c r="BL724">
        <v>948</v>
      </c>
      <c r="BM724">
        <v>0</v>
      </c>
      <c r="BN724">
        <v>19</v>
      </c>
      <c r="BO724">
        <v>0</v>
      </c>
      <c r="BP724">
        <v>13</v>
      </c>
      <c r="BQ724">
        <v>12</v>
      </c>
      <c r="BR724">
        <v>2</v>
      </c>
      <c r="BS724">
        <v>7</v>
      </c>
      <c r="BT724">
        <v>16</v>
      </c>
      <c r="BU724">
        <v>2</v>
      </c>
      <c r="BV724">
        <v>0</v>
      </c>
      <c r="BW724">
        <v>911</v>
      </c>
      <c r="BX724">
        <v>0</v>
      </c>
      <c r="BY724">
        <v>8</v>
      </c>
      <c r="BZ724">
        <v>13</v>
      </c>
      <c r="CA724">
        <v>2</v>
      </c>
      <c r="CB724">
        <v>23</v>
      </c>
      <c r="CC724">
        <v>5</v>
      </c>
      <c r="CD724">
        <v>0</v>
      </c>
      <c r="CE724">
        <v>0</v>
      </c>
      <c r="CF724">
        <v>2</v>
      </c>
      <c r="CG724">
        <v>0</v>
      </c>
      <c r="CH724">
        <v>878</v>
      </c>
      <c r="CI724">
        <v>2</v>
      </c>
      <c r="CJ724">
        <v>5</v>
      </c>
      <c r="CK724">
        <v>0</v>
      </c>
      <c r="CL724">
        <v>0</v>
      </c>
      <c r="CM724">
        <v>10</v>
      </c>
      <c r="CN724">
        <v>3</v>
      </c>
      <c r="CO724">
        <v>0</v>
      </c>
      <c r="CP724">
        <v>0</v>
      </c>
      <c r="CQ724">
        <v>1</v>
      </c>
      <c r="CR724">
        <v>2</v>
      </c>
      <c r="CS724">
        <v>942</v>
      </c>
      <c r="CT724">
        <v>0</v>
      </c>
      <c r="CU724">
        <v>0</v>
      </c>
      <c r="CV724">
        <v>0</v>
      </c>
      <c r="CW724">
        <v>1</v>
      </c>
      <c r="CX724">
        <v>2</v>
      </c>
      <c r="CY724">
        <v>14</v>
      </c>
      <c r="CZ724">
        <v>0</v>
      </c>
      <c r="DA724">
        <v>0</v>
      </c>
      <c r="DB724">
        <v>0</v>
      </c>
      <c r="DC724">
        <v>0</v>
      </c>
      <c r="DD724">
        <v>1011</v>
      </c>
      <c r="DE724">
        <v>0</v>
      </c>
      <c r="DF724">
        <v>0</v>
      </c>
      <c r="DG724">
        <v>26</v>
      </c>
      <c r="DH724">
        <v>5</v>
      </c>
      <c r="DI724">
        <v>13</v>
      </c>
      <c r="DJ724">
        <v>0</v>
      </c>
      <c r="DK724">
        <v>5</v>
      </c>
      <c r="DL724">
        <v>4</v>
      </c>
      <c r="DM724">
        <v>5</v>
      </c>
      <c r="DN724">
        <v>31</v>
      </c>
      <c r="DO724">
        <v>884</v>
      </c>
      <c r="DP724">
        <v>1</v>
      </c>
      <c r="DQ724">
        <v>11</v>
      </c>
      <c r="DR724">
        <v>8</v>
      </c>
      <c r="DS724">
        <v>3</v>
      </c>
      <c r="DT724">
        <v>8</v>
      </c>
      <c r="DU724">
        <v>8</v>
      </c>
      <c r="DV724">
        <v>5</v>
      </c>
      <c r="DW724">
        <v>1</v>
      </c>
      <c r="DX724">
        <v>108</v>
      </c>
      <c r="DY724">
        <v>1</v>
      </c>
      <c r="DZ724">
        <v>856</v>
      </c>
      <c r="EA724">
        <v>0.95440000000000003</v>
      </c>
      <c r="EB724">
        <v>0.95745950012012404</v>
      </c>
      <c r="EC724">
        <v>0.95423168393132696</v>
      </c>
      <c r="ED724">
        <v>0.95445742408479595</v>
      </c>
      <c r="EE724">
        <f>SUM(Table1[[#This Row],[ratio_0]:[ratio_9]])</f>
        <v>550</v>
      </c>
      <c r="EF724" s="1">
        <f>(Table1[[#This Row],[predicted_0]]-Table1[[#This Row],[actual_0]])/Table1[[#This Row],[actual_0]]</f>
        <v>6.9387755102040816E-2</v>
      </c>
      <c r="EG724" s="1">
        <f>(Table1[[#This Row],[predicted_1]]-Table1[[#This Row],[actual_1]])/Table1[[#This Row],[actual_1]]</f>
        <v>1.9383259911894272E-2</v>
      </c>
      <c r="EH724" s="1">
        <f>(Table1[[#This Row],[predicted_2]]-Table1[[#This Row],[actual_2]])/Table1[[#This Row],[actual_2]]</f>
        <v>2.616279069767442E-2</v>
      </c>
      <c r="EI724" s="1">
        <f>(Table1[[#This Row],[predicted_3]]-Table1[[#This Row],[actual_3]])/Table1[[#This Row],[actual_3]]</f>
        <v>-5.0495049504950498E-2</v>
      </c>
      <c r="EJ724" s="1">
        <f>(Table1[[#This Row],[predicted_4]]-Table1[[#This Row],[actual_4]])/Table1[[#This Row],[actual_4]]</f>
        <v>-5.8044806517311608E-2</v>
      </c>
      <c r="EK724" s="1">
        <f>(Table1[[#This Row],[predicted_5]]-Table1[[#This Row],[actual_5]])/Table1[[#This Row],[actual_5]]</f>
        <v>1.905829596412556E-2</v>
      </c>
      <c r="EL724" s="1">
        <f>(Table1[[#This Row],[predicted_6]]-Table1[[#This Row],[actual_6]])/Table1[[#This Row],[actual_6]]</f>
        <v>6.2630480167014616E-3</v>
      </c>
      <c r="EM724" s="1">
        <f>(Table1[[#This Row],[predicted_7]]-Table1[[#This Row],[actual_7]])/Table1[[#This Row],[actual_7]]</f>
        <v>0.16536964980544747</v>
      </c>
      <c r="EN724" s="1">
        <f>(Table1[[#This Row],[predicted_8]]-Table1[[#This Row],[actual_8]])/Table1[[#This Row],[actual_8]]</f>
        <v>-7.7002053388090352E-2</v>
      </c>
      <c r="EO724" s="1">
        <f>(Table1[[#This Row],[predicted_9]]-Table1[[#This Row],[actual_9]])/Table1[[#This Row],[actual_9]]</f>
        <v>-0.12586719524281467</v>
      </c>
      <c r="EP724" s="1">
        <f>1+(Table1[[#This Row],[error_ratio_0]]-EF$2)</f>
        <v>1.0673469387755101</v>
      </c>
      <c r="EQ724" s="1">
        <f>1+(Table1[[#This Row],[error_ratio_1]]-EG$2)</f>
        <v>1.0176211453744493</v>
      </c>
      <c r="ER724" s="1">
        <f>1+(Table1[[#This Row],[error_ratio_2]]-EH$2)</f>
        <v>1.0310077519379846</v>
      </c>
      <c r="ES724" s="1">
        <f>1+(Table1[[#This Row],[error_ratio_3]]-EI$2)</f>
        <v>0.93960396039603955</v>
      </c>
      <c r="ET724" s="1">
        <f>1+(Table1[[#This Row],[error_ratio_4]]-EJ$2)</f>
        <v>0.94093686354378814</v>
      </c>
      <c r="EU724" s="1">
        <f>1+(Table1[[#This Row],[error_ratio_5]]-EK$2)</f>
        <v>1.0179372197309418</v>
      </c>
      <c r="EV724" s="1">
        <f>1+(Table1[[#This Row],[error_ratio_6]]-EL$2)</f>
        <v>1.0125260960334028</v>
      </c>
      <c r="EW724" s="1">
        <f>1+(Table1[[#This Row],[error_ratio_7]]-EM$2)</f>
        <v>1.1634241245136188</v>
      </c>
      <c r="EX724" s="1">
        <f>1+(Table1[[#This Row],[error_ratio_8]]-EN$2)</f>
        <v>0.92607802874743328</v>
      </c>
      <c r="EY724" s="1">
        <f>1+(Table1[[#This Row],[error_ratio_9]]-EO$2)</f>
        <v>0.87809712586719524</v>
      </c>
    </row>
    <row r="725" spans="1:155" x14ac:dyDescent="0.75">
      <c r="A725">
        <v>10</v>
      </c>
      <c r="B725">
        <v>10</v>
      </c>
      <c r="C725">
        <v>100</v>
      </c>
      <c r="D725">
        <v>10</v>
      </c>
      <c r="E725">
        <v>10</v>
      </c>
      <c r="F725">
        <v>100</v>
      </c>
      <c r="G725">
        <v>100</v>
      </c>
      <c r="H725">
        <v>100</v>
      </c>
      <c r="I725">
        <v>10</v>
      </c>
      <c r="J725">
        <v>10</v>
      </c>
      <c r="K725">
        <v>986</v>
      </c>
      <c r="L725">
        <v>1118</v>
      </c>
      <c r="M725">
        <v>1017</v>
      </c>
      <c r="N725">
        <v>1012</v>
      </c>
      <c r="O725">
        <v>987</v>
      </c>
      <c r="P725">
        <v>920</v>
      </c>
      <c r="Q725">
        <v>956</v>
      </c>
      <c r="R725">
        <v>1121</v>
      </c>
      <c r="S725">
        <v>933</v>
      </c>
      <c r="T725">
        <v>950</v>
      </c>
      <c r="U725">
        <v>980</v>
      </c>
      <c r="V725">
        <v>1135</v>
      </c>
      <c r="W725">
        <v>1032</v>
      </c>
      <c r="X725">
        <v>1010</v>
      </c>
      <c r="Y725">
        <v>982</v>
      </c>
      <c r="Z725">
        <v>892</v>
      </c>
      <c r="AA725">
        <v>958</v>
      </c>
      <c r="AB725">
        <v>1028</v>
      </c>
      <c r="AC725">
        <v>974</v>
      </c>
      <c r="AD725">
        <v>1009</v>
      </c>
      <c r="AE725">
        <v>961</v>
      </c>
      <c r="AF725">
        <v>0</v>
      </c>
      <c r="AG725">
        <v>3</v>
      </c>
      <c r="AH725">
        <v>0</v>
      </c>
      <c r="AI725">
        <v>2</v>
      </c>
      <c r="AJ725">
        <v>2</v>
      </c>
      <c r="AK725">
        <v>5</v>
      </c>
      <c r="AL725">
        <v>3</v>
      </c>
      <c r="AM725">
        <v>3</v>
      </c>
      <c r="AN725">
        <v>1</v>
      </c>
      <c r="AO725">
        <v>0</v>
      </c>
      <c r="AP725">
        <v>1113</v>
      </c>
      <c r="AQ725">
        <v>4</v>
      </c>
      <c r="AR725">
        <v>6</v>
      </c>
      <c r="AS725">
        <v>0</v>
      </c>
      <c r="AT725">
        <v>1</v>
      </c>
      <c r="AU725">
        <v>2</v>
      </c>
      <c r="AV725">
        <v>8</v>
      </c>
      <c r="AW725">
        <v>1</v>
      </c>
      <c r="AX725">
        <v>0</v>
      </c>
      <c r="AY725">
        <v>2</v>
      </c>
      <c r="AZ725">
        <v>1</v>
      </c>
      <c r="BA725">
        <v>993</v>
      </c>
      <c r="BB725">
        <v>0</v>
      </c>
      <c r="BC725">
        <v>1</v>
      </c>
      <c r="BD725">
        <v>0</v>
      </c>
      <c r="BE725">
        <v>0</v>
      </c>
      <c r="BF725">
        <v>29</v>
      </c>
      <c r="BG725">
        <v>6</v>
      </c>
      <c r="BH725">
        <v>0</v>
      </c>
      <c r="BI725">
        <v>0</v>
      </c>
      <c r="BJ725">
        <v>0</v>
      </c>
      <c r="BK725">
        <v>2</v>
      </c>
      <c r="BL725">
        <v>984</v>
      </c>
      <c r="BM725">
        <v>0</v>
      </c>
      <c r="BN725">
        <v>16</v>
      </c>
      <c r="BO725">
        <v>0</v>
      </c>
      <c r="BP725">
        <v>7</v>
      </c>
      <c r="BQ725">
        <v>1</v>
      </c>
      <c r="BR725">
        <v>0</v>
      </c>
      <c r="BS725">
        <v>0</v>
      </c>
      <c r="BT725">
        <v>0</v>
      </c>
      <c r="BU725">
        <v>2</v>
      </c>
      <c r="BV725">
        <v>0</v>
      </c>
      <c r="BW725">
        <v>952</v>
      </c>
      <c r="BX725">
        <v>0</v>
      </c>
      <c r="BY725">
        <v>4</v>
      </c>
      <c r="BZ725">
        <v>7</v>
      </c>
      <c r="CA725">
        <v>3</v>
      </c>
      <c r="CB725">
        <v>14</v>
      </c>
      <c r="CC725">
        <v>2</v>
      </c>
      <c r="CD725">
        <v>0</v>
      </c>
      <c r="CE725">
        <v>1</v>
      </c>
      <c r="CF725">
        <v>11</v>
      </c>
      <c r="CG725">
        <v>0</v>
      </c>
      <c r="CH725">
        <v>874</v>
      </c>
      <c r="CI725">
        <v>4</v>
      </c>
      <c r="CJ725">
        <v>0</v>
      </c>
      <c r="CK725">
        <v>0</v>
      </c>
      <c r="CL725">
        <v>0</v>
      </c>
      <c r="CM725">
        <v>6</v>
      </c>
      <c r="CN725">
        <v>0</v>
      </c>
      <c r="CO725">
        <v>2</v>
      </c>
      <c r="CP725">
        <v>0</v>
      </c>
      <c r="CQ725">
        <v>13</v>
      </c>
      <c r="CR725">
        <v>3</v>
      </c>
      <c r="CS725">
        <v>934</v>
      </c>
      <c r="CT725">
        <v>0</v>
      </c>
      <c r="CU725">
        <v>0</v>
      </c>
      <c r="CV725">
        <v>0</v>
      </c>
      <c r="CW725">
        <v>1</v>
      </c>
      <c r="CX725">
        <v>1</v>
      </c>
      <c r="CY725">
        <v>3</v>
      </c>
      <c r="CZ725">
        <v>0</v>
      </c>
      <c r="DA725">
        <v>0</v>
      </c>
      <c r="DB725">
        <v>1</v>
      </c>
      <c r="DC725">
        <v>0</v>
      </c>
      <c r="DD725">
        <v>1022</v>
      </c>
      <c r="DE725">
        <v>0</v>
      </c>
      <c r="DF725">
        <v>0</v>
      </c>
      <c r="DG725">
        <v>10</v>
      </c>
      <c r="DH725">
        <v>0</v>
      </c>
      <c r="DI725">
        <v>6</v>
      </c>
      <c r="DJ725">
        <v>3</v>
      </c>
      <c r="DK725">
        <v>4</v>
      </c>
      <c r="DL725">
        <v>7</v>
      </c>
      <c r="DM725">
        <v>7</v>
      </c>
      <c r="DN725">
        <v>16</v>
      </c>
      <c r="DO725">
        <v>917</v>
      </c>
      <c r="DP725">
        <v>4</v>
      </c>
      <c r="DQ725">
        <v>4</v>
      </c>
      <c r="DR725">
        <v>3</v>
      </c>
      <c r="DS725">
        <v>1</v>
      </c>
      <c r="DT725">
        <v>8</v>
      </c>
      <c r="DU725">
        <v>15</v>
      </c>
      <c r="DV725">
        <v>16</v>
      </c>
      <c r="DW725">
        <v>0</v>
      </c>
      <c r="DX725">
        <v>29</v>
      </c>
      <c r="DY725">
        <v>2</v>
      </c>
      <c r="DZ725">
        <v>931</v>
      </c>
      <c r="EA725">
        <v>0.96809999999999996</v>
      </c>
      <c r="EB725">
        <v>0.96849694219224802</v>
      </c>
      <c r="EC725">
        <v>0.96802518525274694</v>
      </c>
      <c r="ED725">
        <v>0.96791623518603898</v>
      </c>
      <c r="EE725">
        <f>SUM(Table1[[#This Row],[ratio_0]:[ratio_9]])</f>
        <v>460</v>
      </c>
      <c r="EF725" s="1">
        <f>(Table1[[#This Row],[predicted_0]]-Table1[[#This Row],[actual_0]])/Table1[[#This Row],[actual_0]]</f>
        <v>6.1224489795918364E-3</v>
      </c>
      <c r="EG725" s="1">
        <f>(Table1[[#This Row],[predicted_1]]-Table1[[#This Row],[actual_1]])/Table1[[#This Row],[actual_1]]</f>
        <v>-1.4977973568281937E-2</v>
      </c>
      <c r="EH725" s="1">
        <f>(Table1[[#This Row],[predicted_2]]-Table1[[#This Row],[actual_2]])/Table1[[#This Row],[actual_2]]</f>
        <v>-1.4534883720930232E-2</v>
      </c>
      <c r="EI725" s="1">
        <f>(Table1[[#This Row],[predicted_3]]-Table1[[#This Row],[actual_3]])/Table1[[#This Row],[actual_3]]</f>
        <v>1.9801980198019802E-3</v>
      </c>
      <c r="EJ725" s="1">
        <f>(Table1[[#This Row],[predicted_4]]-Table1[[#This Row],[actual_4]])/Table1[[#This Row],[actual_4]]</f>
        <v>5.0916496945010185E-3</v>
      </c>
      <c r="EK725" s="1">
        <f>(Table1[[#This Row],[predicted_5]]-Table1[[#This Row],[actual_5]])/Table1[[#This Row],[actual_5]]</f>
        <v>3.1390134529147982E-2</v>
      </c>
      <c r="EL725" s="1">
        <f>(Table1[[#This Row],[predicted_6]]-Table1[[#This Row],[actual_6]])/Table1[[#This Row],[actual_6]]</f>
        <v>-2.0876826722338203E-3</v>
      </c>
      <c r="EM725" s="1">
        <f>(Table1[[#This Row],[predicted_7]]-Table1[[#This Row],[actual_7]])/Table1[[#This Row],[actual_7]]</f>
        <v>9.0466926070038908E-2</v>
      </c>
      <c r="EN725" s="1">
        <f>(Table1[[#This Row],[predicted_8]]-Table1[[#This Row],[actual_8]])/Table1[[#This Row],[actual_8]]</f>
        <v>-4.2094455852156057E-2</v>
      </c>
      <c r="EO725" s="1">
        <f>(Table1[[#This Row],[predicted_9]]-Table1[[#This Row],[actual_9]])/Table1[[#This Row],[actual_9]]</f>
        <v>-5.8473736372646183E-2</v>
      </c>
      <c r="EP725" s="1">
        <f>1+(Table1[[#This Row],[error_ratio_0]]-EF$2)</f>
        <v>1.0040816326530613</v>
      </c>
      <c r="EQ725" s="1">
        <f>1+(Table1[[#This Row],[error_ratio_1]]-EG$2)</f>
        <v>0.98325991189427309</v>
      </c>
      <c r="ER725" s="1">
        <f>1+(Table1[[#This Row],[error_ratio_2]]-EH$2)</f>
        <v>0.99031007751937983</v>
      </c>
      <c r="ES725" s="1">
        <f>1+(Table1[[#This Row],[error_ratio_3]]-EI$2)</f>
        <v>0.99207920792079207</v>
      </c>
      <c r="ET725" s="1">
        <f>1+(Table1[[#This Row],[error_ratio_4]]-EJ$2)</f>
        <v>1.0040733197556009</v>
      </c>
      <c r="EU725" s="1">
        <f>1+(Table1[[#This Row],[error_ratio_5]]-EK$2)</f>
        <v>1.0302690582959642</v>
      </c>
      <c r="EV725" s="1">
        <f>1+(Table1[[#This Row],[error_ratio_6]]-EL$2)</f>
        <v>1.0041753653444676</v>
      </c>
      <c r="EW725" s="1">
        <f>1+(Table1[[#This Row],[error_ratio_7]]-EM$2)</f>
        <v>1.08852140077821</v>
      </c>
      <c r="EX725" s="1">
        <f>1+(Table1[[#This Row],[error_ratio_8]]-EN$2)</f>
        <v>0.96098562628336759</v>
      </c>
      <c r="EY725" s="1">
        <f>1+(Table1[[#This Row],[error_ratio_9]]-EO$2)</f>
        <v>0.94549058473736369</v>
      </c>
    </row>
    <row r="726" spans="1:155" x14ac:dyDescent="0.75">
      <c r="A726">
        <v>100</v>
      </c>
      <c r="B726">
        <v>100</v>
      </c>
      <c r="C726">
        <v>10</v>
      </c>
      <c r="D726">
        <v>10</v>
      </c>
      <c r="E726">
        <v>10</v>
      </c>
      <c r="F726">
        <v>100</v>
      </c>
      <c r="G726">
        <v>100</v>
      </c>
      <c r="H726">
        <v>100</v>
      </c>
      <c r="I726">
        <v>10</v>
      </c>
      <c r="J726">
        <v>10</v>
      </c>
      <c r="K726">
        <v>1028</v>
      </c>
      <c r="L726">
        <v>1157</v>
      </c>
      <c r="M726">
        <v>971</v>
      </c>
      <c r="N726">
        <v>1040</v>
      </c>
      <c r="O726">
        <v>1051</v>
      </c>
      <c r="P726">
        <v>911</v>
      </c>
      <c r="Q726">
        <v>1010</v>
      </c>
      <c r="R726">
        <v>1089</v>
      </c>
      <c r="S726">
        <v>961</v>
      </c>
      <c r="T726">
        <v>782</v>
      </c>
      <c r="U726">
        <v>980</v>
      </c>
      <c r="V726">
        <v>1135</v>
      </c>
      <c r="W726">
        <v>1032</v>
      </c>
      <c r="X726">
        <v>1010</v>
      </c>
      <c r="Y726">
        <v>982</v>
      </c>
      <c r="Z726">
        <v>892</v>
      </c>
      <c r="AA726">
        <v>958</v>
      </c>
      <c r="AB726">
        <v>1028</v>
      </c>
      <c r="AC726">
        <v>974</v>
      </c>
      <c r="AD726">
        <v>1009</v>
      </c>
      <c r="AE726">
        <v>977</v>
      </c>
      <c r="AF726">
        <v>0</v>
      </c>
      <c r="AG726">
        <v>0</v>
      </c>
      <c r="AH726">
        <v>0</v>
      </c>
      <c r="AI726">
        <v>0</v>
      </c>
      <c r="AJ726">
        <v>0</v>
      </c>
      <c r="AK726">
        <v>2</v>
      </c>
      <c r="AL726">
        <v>1</v>
      </c>
      <c r="AM726">
        <v>0</v>
      </c>
      <c r="AN726">
        <v>0</v>
      </c>
      <c r="AO726">
        <v>0</v>
      </c>
      <c r="AP726">
        <v>1125</v>
      </c>
      <c r="AQ726">
        <v>0</v>
      </c>
      <c r="AR726">
        <v>1</v>
      </c>
      <c r="AS726">
        <v>0</v>
      </c>
      <c r="AT726">
        <v>1</v>
      </c>
      <c r="AU726">
        <v>8</v>
      </c>
      <c r="AV726">
        <v>0</v>
      </c>
      <c r="AW726">
        <v>0</v>
      </c>
      <c r="AX726">
        <v>0</v>
      </c>
      <c r="AY726">
        <v>8</v>
      </c>
      <c r="AZ726">
        <v>12</v>
      </c>
      <c r="BA726">
        <v>961</v>
      </c>
      <c r="BB726">
        <v>5</v>
      </c>
      <c r="BC726">
        <v>11</v>
      </c>
      <c r="BD726">
        <v>2</v>
      </c>
      <c r="BE726">
        <v>9</v>
      </c>
      <c r="BF726">
        <v>23</v>
      </c>
      <c r="BG726">
        <v>1</v>
      </c>
      <c r="BH726">
        <v>0</v>
      </c>
      <c r="BI726">
        <v>1</v>
      </c>
      <c r="BJ726">
        <v>0</v>
      </c>
      <c r="BK726">
        <v>3</v>
      </c>
      <c r="BL726">
        <v>980</v>
      </c>
      <c r="BM726">
        <v>0</v>
      </c>
      <c r="BN726">
        <v>11</v>
      </c>
      <c r="BO726">
        <v>0</v>
      </c>
      <c r="BP726">
        <v>11</v>
      </c>
      <c r="BQ726">
        <v>4</v>
      </c>
      <c r="BR726">
        <v>0</v>
      </c>
      <c r="BS726">
        <v>1</v>
      </c>
      <c r="BT726">
        <v>1</v>
      </c>
      <c r="BU726">
        <v>0</v>
      </c>
      <c r="BV726">
        <v>0</v>
      </c>
      <c r="BW726">
        <v>958</v>
      </c>
      <c r="BX726">
        <v>2</v>
      </c>
      <c r="BY726">
        <v>14</v>
      </c>
      <c r="BZ726">
        <v>0</v>
      </c>
      <c r="CA726">
        <v>2</v>
      </c>
      <c r="CB726">
        <v>4</v>
      </c>
      <c r="CC726">
        <v>1</v>
      </c>
      <c r="CD726">
        <v>0</v>
      </c>
      <c r="CE726">
        <v>0</v>
      </c>
      <c r="CF726">
        <v>30</v>
      </c>
      <c r="CG726">
        <v>0</v>
      </c>
      <c r="CH726">
        <v>856</v>
      </c>
      <c r="CI726">
        <v>3</v>
      </c>
      <c r="CJ726">
        <v>2</v>
      </c>
      <c r="CK726">
        <v>0</v>
      </c>
      <c r="CL726">
        <v>0</v>
      </c>
      <c r="CM726">
        <v>7</v>
      </c>
      <c r="CN726">
        <v>1</v>
      </c>
      <c r="CO726">
        <v>0</v>
      </c>
      <c r="CP726">
        <v>0</v>
      </c>
      <c r="CQ726">
        <v>1</v>
      </c>
      <c r="CR726">
        <v>4</v>
      </c>
      <c r="CS726">
        <v>945</v>
      </c>
      <c r="CT726">
        <v>0</v>
      </c>
      <c r="CU726">
        <v>0</v>
      </c>
      <c r="CV726">
        <v>0</v>
      </c>
      <c r="CW726">
        <v>3</v>
      </c>
      <c r="CX726">
        <v>3</v>
      </c>
      <c r="CY726">
        <v>5</v>
      </c>
      <c r="CZ726">
        <v>1</v>
      </c>
      <c r="DA726">
        <v>0</v>
      </c>
      <c r="DB726">
        <v>0</v>
      </c>
      <c r="DC726">
        <v>0</v>
      </c>
      <c r="DD726">
        <v>1014</v>
      </c>
      <c r="DE726">
        <v>2</v>
      </c>
      <c r="DF726">
        <v>0</v>
      </c>
      <c r="DG726">
        <v>18</v>
      </c>
      <c r="DH726">
        <v>6</v>
      </c>
      <c r="DI726">
        <v>1</v>
      </c>
      <c r="DJ726">
        <v>10</v>
      </c>
      <c r="DK726">
        <v>1</v>
      </c>
      <c r="DL726">
        <v>12</v>
      </c>
      <c r="DM726">
        <v>28</v>
      </c>
      <c r="DN726">
        <v>12</v>
      </c>
      <c r="DO726">
        <v>886</v>
      </c>
      <c r="DP726">
        <v>0</v>
      </c>
      <c r="DQ726">
        <v>12</v>
      </c>
      <c r="DR726">
        <v>9</v>
      </c>
      <c r="DS726">
        <v>1</v>
      </c>
      <c r="DT726">
        <v>13</v>
      </c>
      <c r="DU726">
        <v>80</v>
      </c>
      <c r="DV726">
        <v>23</v>
      </c>
      <c r="DW726">
        <v>1</v>
      </c>
      <c r="DX726">
        <v>26</v>
      </c>
      <c r="DY726">
        <v>66</v>
      </c>
      <c r="DZ726">
        <v>778</v>
      </c>
      <c r="EA726">
        <v>0.94799999999999995</v>
      </c>
      <c r="EB726">
        <v>0.94894942762847101</v>
      </c>
      <c r="EC726">
        <v>0.94783508854945597</v>
      </c>
      <c r="ED726">
        <v>0.946529521819512</v>
      </c>
      <c r="EE726">
        <f>SUM(Table1[[#This Row],[ratio_0]:[ratio_9]])</f>
        <v>550</v>
      </c>
      <c r="EF726" s="1">
        <f>(Table1[[#This Row],[predicted_0]]-Table1[[#This Row],[actual_0]])/Table1[[#This Row],[actual_0]]</f>
        <v>4.8979591836734691E-2</v>
      </c>
      <c r="EG726" s="1">
        <f>(Table1[[#This Row],[predicted_1]]-Table1[[#This Row],[actual_1]])/Table1[[#This Row],[actual_1]]</f>
        <v>1.9383259911894272E-2</v>
      </c>
      <c r="EH726" s="1">
        <f>(Table1[[#This Row],[predicted_2]]-Table1[[#This Row],[actual_2]])/Table1[[#This Row],[actual_2]]</f>
        <v>-5.9108527131782947E-2</v>
      </c>
      <c r="EI726" s="1">
        <f>(Table1[[#This Row],[predicted_3]]-Table1[[#This Row],[actual_3]])/Table1[[#This Row],[actual_3]]</f>
        <v>2.9702970297029702E-2</v>
      </c>
      <c r="EJ726" s="1">
        <f>(Table1[[#This Row],[predicted_4]]-Table1[[#This Row],[actual_4]])/Table1[[#This Row],[actual_4]]</f>
        <v>7.0264765784114058E-2</v>
      </c>
      <c r="EK726" s="1">
        <f>(Table1[[#This Row],[predicted_5]]-Table1[[#This Row],[actual_5]])/Table1[[#This Row],[actual_5]]</f>
        <v>2.1300448430493273E-2</v>
      </c>
      <c r="EL726" s="1">
        <f>(Table1[[#This Row],[predicted_6]]-Table1[[#This Row],[actual_6]])/Table1[[#This Row],[actual_6]]</f>
        <v>5.4279749478079335E-2</v>
      </c>
      <c r="EM726" s="1">
        <f>(Table1[[#This Row],[predicted_7]]-Table1[[#This Row],[actual_7]])/Table1[[#This Row],[actual_7]]</f>
        <v>5.9338521400778207E-2</v>
      </c>
      <c r="EN726" s="1">
        <f>(Table1[[#This Row],[predicted_8]]-Table1[[#This Row],[actual_8]])/Table1[[#This Row],[actual_8]]</f>
        <v>-1.3347022587268994E-2</v>
      </c>
      <c r="EO726" s="1">
        <f>(Table1[[#This Row],[predicted_9]]-Table1[[#This Row],[actual_9]])/Table1[[#This Row],[actual_9]]</f>
        <v>-0.22497522299306244</v>
      </c>
      <c r="EP726" s="1">
        <f>1+(Table1[[#This Row],[error_ratio_0]]-EF$2)</f>
        <v>1.046938775510204</v>
      </c>
      <c r="EQ726" s="1">
        <f>1+(Table1[[#This Row],[error_ratio_1]]-EG$2)</f>
        <v>1.0176211453744493</v>
      </c>
      <c r="ER726" s="1">
        <f>1+(Table1[[#This Row],[error_ratio_2]]-EH$2)</f>
        <v>0.94573643410852715</v>
      </c>
      <c r="ES726" s="1">
        <f>1+(Table1[[#This Row],[error_ratio_3]]-EI$2)</f>
        <v>1.0198019801980198</v>
      </c>
      <c r="ET726" s="1">
        <f>1+(Table1[[#This Row],[error_ratio_4]]-EJ$2)</f>
        <v>1.0692464358452138</v>
      </c>
      <c r="EU726" s="1">
        <f>1+(Table1[[#This Row],[error_ratio_5]]-EK$2)</f>
        <v>1.0201793721973094</v>
      </c>
      <c r="EV726" s="1">
        <f>1+(Table1[[#This Row],[error_ratio_6]]-EL$2)</f>
        <v>1.0605427974947808</v>
      </c>
      <c r="EW726" s="1">
        <f>1+(Table1[[#This Row],[error_ratio_7]]-EM$2)</f>
        <v>1.0573929961089494</v>
      </c>
      <c r="EX726" s="1">
        <f>1+(Table1[[#This Row],[error_ratio_8]]-EN$2)</f>
        <v>0.98973305954825463</v>
      </c>
      <c r="EY726" s="1">
        <f>1+(Table1[[#This Row],[error_ratio_9]]-EO$2)</f>
        <v>0.7789890981169475</v>
      </c>
    </row>
    <row r="727" spans="1:155" x14ac:dyDescent="0.75">
      <c r="A727">
        <v>10</v>
      </c>
      <c r="B727">
        <v>100</v>
      </c>
      <c r="C727">
        <v>10</v>
      </c>
      <c r="D727">
        <v>10</v>
      </c>
      <c r="E727">
        <v>10</v>
      </c>
      <c r="F727">
        <v>100</v>
      </c>
      <c r="G727">
        <v>100</v>
      </c>
      <c r="H727">
        <v>100</v>
      </c>
      <c r="I727">
        <v>10</v>
      </c>
      <c r="J727">
        <v>10</v>
      </c>
      <c r="K727">
        <v>995</v>
      </c>
      <c r="L727">
        <v>1251</v>
      </c>
      <c r="M727">
        <v>986</v>
      </c>
      <c r="N727">
        <v>863</v>
      </c>
      <c r="O727">
        <v>911</v>
      </c>
      <c r="P727">
        <v>1032</v>
      </c>
      <c r="Q727">
        <v>962</v>
      </c>
      <c r="R727">
        <v>1085</v>
      </c>
      <c r="S727">
        <v>956</v>
      </c>
      <c r="T727">
        <v>959</v>
      </c>
      <c r="U727">
        <v>980</v>
      </c>
      <c r="V727">
        <v>1135</v>
      </c>
      <c r="W727">
        <v>1032</v>
      </c>
      <c r="X727">
        <v>1010</v>
      </c>
      <c r="Y727">
        <v>982</v>
      </c>
      <c r="Z727">
        <v>892</v>
      </c>
      <c r="AA727">
        <v>958</v>
      </c>
      <c r="AB727">
        <v>1028</v>
      </c>
      <c r="AC727">
        <v>974</v>
      </c>
      <c r="AD727">
        <v>1009</v>
      </c>
      <c r="AE727">
        <v>962</v>
      </c>
      <c r="AF727">
        <v>2</v>
      </c>
      <c r="AG727">
        <v>0</v>
      </c>
      <c r="AH727">
        <v>0</v>
      </c>
      <c r="AI727">
        <v>0</v>
      </c>
      <c r="AJ727">
        <v>1</v>
      </c>
      <c r="AK727">
        <v>9</v>
      </c>
      <c r="AL727">
        <v>3</v>
      </c>
      <c r="AM727">
        <v>3</v>
      </c>
      <c r="AN727">
        <v>0</v>
      </c>
      <c r="AO727">
        <v>0</v>
      </c>
      <c r="AP727">
        <v>1135</v>
      </c>
      <c r="AQ727">
        <v>0</v>
      </c>
      <c r="AR727">
        <v>0</v>
      </c>
      <c r="AS727">
        <v>0</v>
      </c>
      <c r="AT727">
        <v>0</v>
      </c>
      <c r="AU727">
        <v>0</v>
      </c>
      <c r="AV727">
        <v>0</v>
      </c>
      <c r="AW727">
        <v>0</v>
      </c>
      <c r="AX727">
        <v>0</v>
      </c>
      <c r="AY727">
        <v>11</v>
      </c>
      <c r="AZ727">
        <v>31</v>
      </c>
      <c r="BA727">
        <v>956</v>
      </c>
      <c r="BB727">
        <v>0</v>
      </c>
      <c r="BC727">
        <v>3</v>
      </c>
      <c r="BD727">
        <v>1</v>
      </c>
      <c r="BE727">
        <v>6</v>
      </c>
      <c r="BF727">
        <v>21</v>
      </c>
      <c r="BG727">
        <v>3</v>
      </c>
      <c r="BH727">
        <v>0</v>
      </c>
      <c r="BI727">
        <v>5</v>
      </c>
      <c r="BJ727">
        <v>10</v>
      </c>
      <c r="BK727">
        <v>17</v>
      </c>
      <c r="BL727">
        <v>860</v>
      </c>
      <c r="BM727">
        <v>0</v>
      </c>
      <c r="BN727">
        <v>90</v>
      </c>
      <c r="BO727">
        <v>0</v>
      </c>
      <c r="BP727">
        <v>21</v>
      </c>
      <c r="BQ727">
        <v>7</v>
      </c>
      <c r="BR727">
        <v>0</v>
      </c>
      <c r="BS727">
        <v>1</v>
      </c>
      <c r="BT727">
        <v>25</v>
      </c>
      <c r="BU727">
        <v>1</v>
      </c>
      <c r="BV727">
        <v>0</v>
      </c>
      <c r="BW727">
        <v>899</v>
      </c>
      <c r="BX727">
        <v>0</v>
      </c>
      <c r="BY727">
        <v>9</v>
      </c>
      <c r="BZ727">
        <v>2</v>
      </c>
      <c r="CA727">
        <v>6</v>
      </c>
      <c r="CB727">
        <v>39</v>
      </c>
      <c r="CC727">
        <v>1</v>
      </c>
      <c r="CD727">
        <v>0</v>
      </c>
      <c r="CE727">
        <v>0</v>
      </c>
      <c r="CF727">
        <v>0</v>
      </c>
      <c r="CG727">
        <v>0</v>
      </c>
      <c r="CH727">
        <v>888</v>
      </c>
      <c r="CI727">
        <v>3</v>
      </c>
      <c r="CJ727">
        <v>0</v>
      </c>
      <c r="CK727">
        <v>0</v>
      </c>
      <c r="CL727">
        <v>0</v>
      </c>
      <c r="CM727">
        <v>5</v>
      </c>
      <c r="CN727">
        <v>5</v>
      </c>
      <c r="CO727">
        <v>0</v>
      </c>
      <c r="CP727">
        <v>0</v>
      </c>
      <c r="CQ727">
        <v>2</v>
      </c>
      <c r="CR727">
        <v>12</v>
      </c>
      <c r="CS727">
        <v>934</v>
      </c>
      <c r="CT727">
        <v>0</v>
      </c>
      <c r="CU727">
        <v>0</v>
      </c>
      <c r="CV727">
        <v>0</v>
      </c>
      <c r="CW727">
        <v>1</v>
      </c>
      <c r="CX727">
        <v>11</v>
      </c>
      <c r="CY727">
        <v>5</v>
      </c>
      <c r="CZ727">
        <v>0</v>
      </c>
      <c r="DA727">
        <v>0</v>
      </c>
      <c r="DB727">
        <v>0</v>
      </c>
      <c r="DC727">
        <v>0</v>
      </c>
      <c r="DD727">
        <v>1009</v>
      </c>
      <c r="DE727">
        <v>1</v>
      </c>
      <c r="DF727">
        <v>1</v>
      </c>
      <c r="DG727">
        <v>5</v>
      </c>
      <c r="DH727">
        <v>15</v>
      </c>
      <c r="DI727">
        <v>6</v>
      </c>
      <c r="DJ727">
        <v>1</v>
      </c>
      <c r="DK727">
        <v>2</v>
      </c>
      <c r="DL727">
        <v>18</v>
      </c>
      <c r="DM727">
        <v>0</v>
      </c>
      <c r="DN727">
        <v>7</v>
      </c>
      <c r="DO727">
        <v>919</v>
      </c>
      <c r="DP727">
        <v>1</v>
      </c>
      <c r="DQ727">
        <v>4</v>
      </c>
      <c r="DR727">
        <v>17</v>
      </c>
      <c r="DS727">
        <v>1</v>
      </c>
      <c r="DT727">
        <v>2</v>
      </c>
      <c r="DU727">
        <v>5</v>
      </c>
      <c r="DV727">
        <v>22</v>
      </c>
      <c r="DW727">
        <v>1</v>
      </c>
      <c r="DX727">
        <v>22</v>
      </c>
      <c r="DY727">
        <v>17</v>
      </c>
      <c r="DZ727">
        <v>918</v>
      </c>
      <c r="EA727">
        <v>0.94799999999999995</v>
      </c>
      <c r="EB727">
        <v>0.95068910120592498</v>
      </c>
      <c r="EC727">
        <v>0.94802775407854001</v>
      </c>
      <c r="ED727">
        <v>0.94774532561248703</v>
      </c>
      <c r="EE727">
        <f>SUM(Table1[[#This Row],[ratio_0]:[ratio_9]])</f>
        <v>460</v>
      </c>
      <c r="EF727" s="1">
        <f>(Table1[[#This Row],[predicted_0]]-Table1[[#This Row],[actual_0]])/Table1[[#This Row],[actual_0]]</f>
        <v>1.5306122448979591E-2</v>
      </c>
      <c r="EG727" s="1">
        <f>(Table1[[#This Row],[predicted_1]]-Table1[[#This Row],[actual_1]])/Table1[[#This Row],[actual_1]]</f>
        <v>0.10220264317180616</v>
      </c>
      <c r="EH727" s="1">
        <f>(Table1[[#This Row],[predicted_2]]-Table1[[#This Row],[actual_2]])/Table1[[#This Row],[actual_2]]</f>
        <v>-4.4573643410852716E-2</v>
      </c>
      <c r="EI727" s="1">
        <f>(Table1[[#This Row],[predicted_3]]-Table1[[#This Row],[actual_3]])/Table1[[#This Row],[actual_3]]</f>
        <v>-0.14554455445544554</v>
      </c>
      <c r="EJ727" s="1">
        <f>(Table1[[#This Row],[predicted_4]]-Table1[[#This Row],[actual_4]])/Table1[[#This Row],[actual_4]]</f>
        <v>-7.2301425661914456E-2</v>
      </c>
      <c r="EK727" s="1">
        <f>(Table1[[#This Row],[predicted_5]]-Table1[[#This Row],[actual_5]])/Table1[[#This Row],[actual_5]]</f>
        <v>0.15695067264573992</v>
      </c>
      <c r="EL727" s="1">
        <f>(Table1[[#This Row],[predicted_6]]-Table1[[#This Row],[actual_6]])/Table1[[#This Row],[actual_6]]</f>
        <v>4.1753653444676405E-3</v>
      </c>
      <c r="EM727" s="1">
        <f>(Table1[[#This Row],[predicted_7]]-Table1[[#This Row],[actual_7]])/Table1[[#This Row],[actual_7]]</f>
        <v>5.544747081712062E-2</v>
      </c>
      <c r="EN727" s="1">
        <f>(Table1[[#This Row],[predicted_8]]-Table1[[#This Row],[actual_8]])/Table1[[#This Row],[actual_8]]</f>
        <v>-1.8480492813141684E-2</v>
      </c>
      <c r="EO727" s="1">
        <f>(Table1[[#This Row],[predicted_9]]-Table1[[#This Row],[actual_9]])/Table1[[#This Row],[actual_9]]</f>
        <v>-4.9554013875123884E-2</v>
      </c>
      <c r="EP727" s="1">
        <f>1+(Table1[[#This Row],[error_ratio_0]]-EF$2)</f>
        <v>1.013265306122449</v>
      </c>
      <c r="EQ727" s="1">
        <f>1+(Table1[[#This Row],[error_ratio_1]]-EG$2)</f>
        <v>1.1004405286343613</v>
      </c>
      <c r="ER727" s="1">
        <f>1+(Table1[[#This Row],[error_ratio_2]]-EH$2)</f>
        <v>0.9602713178294574</v>
      </c>
      <c r="ES727" s="1">
        <f>1+(Table1[[#This Row],[error_ratio_3]]-EI$2)</f>
        <v>0.84455445544554453</v>
      </c>
      <c r="ET727" s="1">
        <f>1+(Table1[[#This Row],[error_ratio_4]]-EJ$2)</f>
        <v>0.92668024439918528</v>
      </c>
      <c r="EU727" s="1">
        <f>1+(Table1[[#This Row],[error_ratio_5]]-EK$2)</f>
        <v>1.155829596412556</v>
      </c>
      <c r="EV727" s="1">
        <f>1+(Table1[[#This Row],[error_ratio_6]]-EL$2)</f>
        <v>1.010438413361169</v>
      </c>
      <c r="EW727" s="1">
        <f>1+(Table1[[#This Row],[error_ratio_7]]-EM$2)</f>
        <v>1.0535019455252919</v>
      </c>
      <c r="EX727" s="1">
        <f>1+(Table1[[#This Row],[error_ratio_8]]-EN$2)</f>
        <v>0.9845995893223819</v>
      </c>
      <c r="EY727" s="1">
        <f>1+(Table1[[#This Row],[error_ratio_9]]-EO$2)</f>
        <v>0.95441030723488607</v>
      </c>
    </row>
    <row r="728" spans="1:155" x14ac:dyDescent="0.75">
      <c r="A728">
        <v>100</v>
      </c>
      <c r="B728">
        <v>10</v>
      </c>
      <c r="C728">
        <v>10</v>
      </c>
      <c r="D728">
        <v>10</v>
      </c>
      <c r="E728">
        <v>10</v>
      </c>
      <c r="F728">
        <v>100</v>
      </c>
      <c r="G728">
        <v>100</v>
      </c>
      <c r="H728">
        <v>100</v>
      </c>
      <c r="I728">
        <v>10</v>
      </c>
      <c r="J728">
        <v>10</v>
      </c>
      <c r="K728">
        <v>957</v>
      </c>
      <c r="L728">
        <v>1120</v>
      </c>
      <c r="M728">
        <v>950</v>
      </c>
      <c r="N728">
        <v>1033</v>
      </c>
      <c r="O728">
        <v>957</v>
      </c>
      <c r="P728">
        <v>894</v>
      </c>
      <c r="Q728">
        <v>1020</v>
      </c>
      <c r="R728">
        <v>1080</v>
      </c>
      <c r="S728">
        <v>955</v>
      </c>
      <c r="T728">
        <v>1034</v>
      </c>
      <c r="U728">
        <v>980</v>
      </c>
      <c r="V728">
        <v>1135</v>
      </c>
      <c r="W728">
        <v>1032</v>
      </c>
      <c r="X728">
        <v>1010</v>
      </c>
      <c r="Y728">
        <v>982</v>
      </c>
      <c r="Z728">
        <v>892</v>
      </c>
      <c r="AA728">
        <v>958</v>
      </c>
      <c r="AB728">
        <v>1028</v>
      </c>
      <c r="AC728">
        <v>974</v>
      </c>
      <c r="AD728">
        <v>1009</v>
      </c>
      <c r="AE728">
        <v>948</v>
      </c>
      <c r="AF728">
        <v>0</v>
      </c>
      <c r="AG728">
        <v>0</v>
      </c>
      <c r="AH728">
        <v>0</v>
      </c>
      <c r="AI728">
        <v>0</v>
      </c>
      <c r="AJ728">
        <v>5</v>
      </c>
      <c r="AK728">
        <v>20</v>
      </c>
      <c r="AL728">
        <v>3</v>
      </c>
      <c r="AM728">
        <v>4</v>
      </c>
      <c r="AN728">
        <v>0</v>
      </c>
      <c r="AO728">
        <v>0</v>
      </c>
      <c r="AP728">
        <v>1115</v>
      </c>
      <c r="AQ728">
        <v>4</v>
      </c>
      <c r="AR728">
        <v>3</v>
      </c>
      <c r="AS728">
        <v>0</v>
      </c>
      <c r="AT728">
        <v>1</v>
      </c>
      <c r="AU728">
        <v>6</v>
      </c>
      <c r="AV728">
        <v>2</v>
      </c>
      <c r="AW728">
        <v>3</v>
      </c>
      <c r="AX728">
        <v>1</v>
      </c>
      <c r="AY728">
        <v>3</v>
      </c>
      <c r="AZ728">
        <v>1</v>
      </c>
      <c r="BA728">
        <v>935</v>
      </c>
      <c r="BB728">
        <v>24</v>
      </c>
      <c r="BC728">
        <v>0</v>
      </c>
      <c r="BD728">
        <v>4</v>
      </c>
      <c r="BE728">
        <v>7</v>
      </c>
      <c r="BF728">
        <v>41</v>
      </c>
      <c r="BG728">
        <v>17</v>
      </c>
      <c r="BH728">
        <v>0</v>
      </c>
      <c r="BI728">
        <v>0</v>
      </c>
      <c r="BJ728">
        <v>0</v>
      </c>
      <c r="BK728">
        <v>0</v>
      </c>
      <c r="BL728">
        <v>984</v>
      </c>
      <c r="BM728">
        <v>1</v>
      </c>
      <c r="BN728">
        <v>6</v>
      </c>
      <c r="BO728">
        <v>0</v>
      </c>
      <c r="BP728">
        <v>10</v>
      </c>
      <c r="BQ728">
        <v>1</v>
      </c>
      <c r="BR728">
        <v>8</v>
      </c>
      <c r="BS728">
        <v>2</v>
      </c>
      <c r="BT728">
        <v>0</v>
      </c>
      <c r="BU728">
        <v>2</v>
      </c>
      <c r="BV728">
        <v>0</v>
      </c>
      <c r="BW728">
        <v>937</v>
      </c>
      <c r="BX728">
        <v>0</v>
      </c>
      <c r="BY728">
        <v>19</v>
      </c>
      <c r="BZ728">
        <v>1</v>
      </c>
      <c r="CA728">
        <v>0</v>
      </c>
      <c r="CB728">
        <v>21</v>
      </c>
      <c r="CC728">
        <v>0</v>
      </c>
      <c r="CD728">
        <v>0</v>
      </c>
      <c r="CE728">
        <v>1</v>
      </c>
      <c r="CF728">
        <v>11</v>
      </c>
      <c r="CG728">
        <v>1</v>
      </c>
      <c r="CH728">
        <v>872</v>
      </c>
      <c r="CI728">
        <v>3</v>
      </c>
      <c r="CJ728">
        <v>1</v>
      </c>
      <c r="CK728">
        <v>0</v>
      </c>
      <c r="CL728">
        <v>3</v>
      </c>
      <c r="CM728">
        <v>0</v>
      </c>
      <c r="CN728">
        <v>1</v>
      </c>
      <c r="CO728">
        <v>0</v>
      </c>
      <c r="CP728">
        <v>0</v>
      </c>
      <c r="CQ728">
        <v>1</v>
      </c>
      <c r="CR728">
        <v>1</v>
      </c>
      <c r="CS728">
        <v>955</v>
      </c>
      <c r="CT728">
        <v>0</v>
      </c>
      <c r="CU728">
        <v>0</v>
      </c>
      <c r="CV728">
        <v>0</v>
      </c>
      <c r="CW728">
        <v>0</v>
      </c>
      <c r="CX728">
        <v>2</v>
      </c>
      <c r="CY728">
        <v>6</v>
      </c>
      <c r="CZ728">
        <v>1</v>
      </c>
      <c r="DA728">
        <v>1</v>
      </c>
      <c r="DB728">
        <v>0</v>
      </c>
      <c r="DC728">
        <v>0</v>
      </c>
      <c r="DD728">
        <v>1006</v>
      </c>
      <c r="DE728">
        <v>3</v>
      </c>
      <c r="DF728">
        <v>9</v>
      </c>
      <c r="DG728">
        <v>0</v>
      </c>
      <c r="DH728">
        <v>0</v>
      </c>
      <c r="DI728">
        <v>2</v>
      </c>
      <c r="DJ728">
        <v>6</v>
      </c>
      <c r="DK728">
        <v>7</v>
      </c>
      <c r="DL728">
        <v>3</v>
      </c>
      <c r="DM728">
        <v>8</v>
      </c>
      <c r="DN728">
        <v>8</v>
      </c>
      <c r="DO728">
        <v>926</v>
      </c>
      <c r="DP728">
        <v>14</v>
      </c>
      <c r="DQ728">
        <v>4</v>
      </c>
      <c r="DR728">
        <v>1</v>
      </c>
      <c r="DS728">
        <v>0</v>
      </c>
      <c r="DT728">
        <v>4</v>
      </c>
      <c r="DU728">
        <v>9</v>
      </c>
      <c r="DV728">
        <v>2</v>
      </c>
      <c r="DW728">
        <v>2</v>
      </c>
      <c r="DX728">
        <v>8</v>
      </c>
      <c r="DY728">
        <v>1</v>
      </c>
      <c r="DZ728">
        <v>978</v>
      </c>
      <c r="EA728">
        <v>0.96560000000000001</v>
      </c>
      <c r="EB728">
        <v>0.96606309446278504</v>
      </c>
      <c r="EC728">
        <v>0.96572074941780095</v>
      </c>
      <c r="ED728">
        <v>0.96550683575718299</v>
      </c>
      <c r="EE728">
        <f>SUM(Table1[[#This Row],[ratio_0]:[ratio_9]])</f>
        <v>460</v>
      </c>
      <c r="EF728" s="1">
        <f>(Table1[[#This Row],[predicted_0]]-Table1[[#This Row],[actual_0]])/Table1[[#This Row],[actual_0]]</f>
        <v>-2.3469387755102041E-2</v>
      </c>
      <c r="EG728" s="1">
        <f>(Table1[[#This Row],[predicted_1]]-Table1[[#This Row],[actual_1]])/Table1[[#This Row],[actual_1]]</f>
        <v>-1.3215859030837005E-2</v>
      </c>
      <c r="EH728" s="1">
        <f>(Table1[[#This Row],[predicted_2]]-Table1[[#This Row],[actual_2]])/Table1[[#This Row],[actual_2]]</f>
        <v>-7.9457364341085274E-2</v>
      </c>
      <c r="EI728" s="1">
        <f>(Table1[[#This Row],[predicted_3]]-Table1[[#This Row],[actual_3]])/Table1[[#This Row],[actual_3]]</f>
        <v>2.2772277227722772E-2</v>
      </c>
      <c r="EJ728" s="1">
        <f>(Table1[[#This Row],[predicted_4]]-Table1[[#This Row],[actual_4]])/Table1[[#This Row],[actual_4]]</f>
        <v>-2.5458248472505093E-2</v>
      </c>
      <c r="EK728" s="1">
        <f>(Table1[[#This Row],[predicted_5]]-Table1[[#This Row],[actual_5]])/Table1[[#This Row],[actual_5]]</f>
        <v>2.242152466367713E-3</v>
      </c>
      <c r="EL728" s="1">
        <f>(Table1[[#This Row],[predicted_6]]-Table1[[#This Row],[actual_6]])/Table1[[#This Row],[actual_6]]</f>
        <v>6.471816283924843E-2</v>
      </c>
      <c r="EM728" s="1">
        <f>(Table1[[#This Row],[predicted_7]]-Table1[[#This Row],[actual_7]])/Table1[[#This Row],[actual_7]]</f>
        <v>5.0583657587548639E-2</v>
      </c>
      <c r="EN728" s="1">
        <f>(Table1[[#This Row],[predicted_8]]-Table1[[#This Row],[actual_8]])/Table1[[#This Row],[actual_8]]</f>
        <v>-1.9507186858316223E-2</v>
      </c>
      <c r="EO728" s="1">
        <f>(Table1[[#This Row],[predicted_9]]-Table1[[#This Row],[actual_9]])/Table1[[#This Row],[actual_9]]</f>
        <v>2.4777006937561942E-2</v>
      </c>
      <c r="EP728" s="1">
        <f>1+(Table1[[#This Row],[error_ratio_0]]-EF$2)</f>
        <v>0.97448979591836737</v>
      </c>
      <c r="EQ728" s="1">
        <f>1+(Table1[[#This Row],[error_ratio_1]]-EG$2)</f>
        <v>0.9850220264317181</v>
      </c>
      <c r="ER728" s="1">
        <f>1+(Table1[[#This Row],[error_ratio_2]]-EH$2)</f>
        <v>0.92538759689922478</v>
      </c>
      <c r="ES728" s="1">
        <f>1+(Table1[[#This Row],[error_ratio_3]]-EI$2)</f>
        <v>1.0128712871287129</v>
      </c>
      <c r="ET728" s="1">
        <f>1+(Table1[[#This Row],[error_ratio_4]]-EJ$2)</f>
        <v>0.97352342158859473</v>
      </c>
      <c r="EU728" s="1">
        <f>1+(Table1[[#This Row],[error_ratio_5]]-EK$2)</f>
        <v>1.0011210762331839</v>
      </c>
      <c r="EV728" s="1">
        <f>1+(Table1[[#This Row],[error_ratio_6]]-EL$2)</f>
        <v>1.07098121085595</v>
      </c>
      <c r="EW728" s="1">
        <f>1+(Table1[[#This Row],[error_ratio_7]]-EM$2)</f>
        <v>1.0486381322957199</v>
      </c>
      <c r="EX728" s="1">
        <f>1+(Table1[[#This Row],[error_ratio_8]]-EN$2)</f>
        <v>0.98357289527720737</v>
      </c>
      <c r="EY728" s="1">
        <f>1+(Table1[[#This Row],[error_ratio_9]]-EO$2)</f>
        <v>1.0287413280475719</v>
      </c>
    </row>
    <row r="729" spans="1:155" x14ac:dyDescent="0.75">
      <c r="A729">
        <v>10</v>
      </c>
      <c r="B729">
        <v>10</v>
      </c>
      <c r="C729">
        <v>10</v>
      </c>
      <c r="D729">
        <v>10</v>
      </c>
      <c r="E729">
        <v>10</v>
      </c>
      <c r="F729">
        <v>100</v>
      </c>
      <c r="G729">
        <v>100</v>
      </c>
      <c r="H729">
        <v>100</v>
      </c>
      <c r="I729">
        <v>10</v>
      </c>
      <c r="J729">
        <v>10</v>
      </c>
      <c r="K729">
        <v>978</v>
      </c>
      <c r="L729">
        <v>1132</v>
      </c>
      <c r="M729">
        <v>1032</v>
      </c>
      <c r="N729">
        <v>950</v>
      </c>
      <c r="O729">
        <v>826</v>
      </c>
      <c r="P729">
        <v>988</v>
      </c>
      <c r="Q729">
        <v>932</v>
      </c>
      <c r="R729">
        <v>1109</v>
      </c>
      <c r="S729">
        <v>884</v>
      </c>
      <c r="T729">
        <v>1169</v>
      </c>
      <c r="U729">
        <v>980</v>
      </c>
      <c r="V729">
        <v>1135</v>
      </c>
      <c r="W729">
        <v>1032</v>
      </c>
      <c r="X729">
        <v>1010</v>
      </c>
      <c r="Y729">
        <v>982</v>
      </c>
      <c r="Z729">
        <v>892</v>
      </c>
      <c r="AA729">
        <v>958</v>
      </c>
      <c r="AB729">
        <v>1028</v>
      </c>
      <c r="AC729">
        <v>974</v>
      </c>
      <c r="AD729">
        <v>1009</v>
      </c>
      <c r="AE729">
        <v>958</v>
      </c>
      <c r="AF729">
        <v>1</v>
      </c>
      <c r="AG729">
        <v>0</v>
      </c>
      <c r="AH729">
        <v>0</v>
      </c>
      <c r="AI729">
        <v>0</v>
      </c>
      <c r="AJ729">
        <v>10</v>
      </c>
      <c r="AK729">
        <v>3</v>
      </c>
      <c r="AL729">
        <v>2</v>
      </c>
      <c r="AM729">
        <v>4</v>
      </c>
      <c r="AN729">
        <v>2</v>
      </c>
      <c r="AO729">
        <v>0</v>
      </c>
      <c r="AP729">
        <v>1116</v>
      </c>
      <c r="AQ729">
        <v>1</v>
      </c>
      <c r="AR729">
        <v>4</v>
      </c>
      <c r="AS729">
        <v>0</v>
      </c>
      <c r="AT729">
        <v>4</v>
      </c>
      <c r="AU729">
        <v>1</v>
      </c>
      <c r="AV729">
        <v>9</v>
      </c>
      <c r="AW729">
        <v>0</v>
      </c>
      <c r="AX729">
        <v>0</v>
      </c>
      <c r="AY729">
        <v>6</v>
      </c>
      <c r="AZ729">
        <v>5</v>
      </c>
      <c r="BA729">
        <v>997</v>
      </c>
      <c r="BB729">
        <v>6</v>
      </c>
      <c r="BC729">
        <v>0</v>
      </c>
      <c r="BD729">
        <v>3</v>
      </c>
      <c r="BE729">
        <v>0</v>
      </c>
      <c r="BF729">
        <v>14</v>
      </c>
      <c r="BG729">
        <v>1</v>
      </c>
      <c r="BH729">
        <v>0</v>
      </c>
      <c r="BI729">
        <v>0</v>
      </c>
      <c r="BJ729">
        <v>0</v>
      </c>
      <c r="BK729">
        <v>8</v>
      </c>
      <c r="BL729">
        <v>927</v>
      </c>
      <c r="BM729">
        <v>0</v>
      </c>
      <c r="BN729">
        <v>53</v>
      </c>
      <c r="BO729">
        <v>0</v>
      </c>
      <c r="BP729">
        <v>10</v>
      </c>
      <c r="BQ729">
        <v>3</v>
      </c>
      <c r="BR729">
        <v>9</v>
      </c>
      <c r="BS729">
        <v>0</v>
      </c>
      <c r="BT729">
        <v>2</v>
      </c>
      <c r="BU729">
        <v>14</v>
      </c>
      <c r="BV729">
        <v>0</v>
      </c>
      <c r="BW729">
        <v>824</v>
      </c>
      <c r="BX729">
        <v>0</v>
      </c>
      <c r="BY729">
        <v>5</v>
      </c>
      <c r="BZ729">
        <v>27</v>
      </c>
      <c r="CA729">
        <v>1</v>
      </c>
      <c r="CB729">
        <v>109</v>
      </c>
      <c r="CC729">
        <v>0</v>
      </c>
      <c r="CD729">
        <v>0</v>
      </c>
      <c r="CE729">
        <v>0</v>
      </c>
      <c r="CF729">
        <v>2</v>
      </c>
      <c r="CG729">
        <v>0</v>
      </c>
      <c r="CH729">
        <v>884</v>
      </c>
      <c r="CI729">
        <v>1</v>
      </c>
      <c r="CJ729">
        <v>0</v>
      </c>
      <c r="CK729">
        <v>1</v>
      </c>
      <c r="CL729">
        <v>4</v>
      </c>
      <c r="CM729">
        <v>7</v>
      </c>
      <c r="CN729">
        <v>3</v>
      </c>
      <c r="CO729">
        <v>3</v>
      </c>
      <c r="CP729">
        <v>0</v>
      </c>
      <c r="CQ729">
        <v>1</v>
      </c>
      <c r="CR729">
        <v>19</v>
      </c>
      <c r="CS729">
        <v>922</v>
      </c>
      <c r="CT729">
        <v>0</v>
      </c>
      <c r="CU729">
        <v>2</v>
      </c>
      <c r="CV729">
        <v>1</v>
      </c>
      <c r="CW729">
        <v>2</v>
      </c>
      <c r="CX729">
        <v>1</v>
      </c>
      <c r="CY729">
        <v>5</v>
      </c>
      <c r="CZ729">
        <v>0</v>
      </c>
      <c r="DA729">
        <v>0</v>
      </c>
      <c r="DB729">
        <v>1</v>
      </c>
      <c r="DC729">
        <v>0</v>
      </c>
      <c r="DD729">
        <v>1015</v>
      </c>
      <c r="DE729">
        <v>1</v>
      </c>
      <c r="DF729">
        <v>3</v>
      </c>
      <c r="DG729">
        <v>3</v>
      </c>
      <c r="DH729">
        <v>0</v>
      </c>
      <c r="DI729">
        <v>4</v>
      </c>
      <c r="DJ729">
        <v>5</v>
      </c>
      <c r="DK729">
        <v>1</v>
      </c>
      <c r="DL729">
        <v>9</v>
      </c>
      <c r="DM729">
        <v>0</v>
      </c>
      <c r="DN729">
        <v>18</v>
      </c>
      <c r="DO729">
        <v>871</v>
      </c>
      <c r="DP729">
        <v>63</v>
      </c>
      <c r="DQ729">
        <v>2</v>
      </c>
      <c r="DR729">
        <v>4</v>
      </c>
      <c r="DS729">
        <v>0</v>
      </c>
      <c r="DT729">
        <v>6</v>
      </c>
      <c r="DU729">
        <v>0</v>
      </c>
      <c r="DV729">
        <v>5</v>
      </c>
      <c r="DW729">
        <v>0</v>
      </c>
      <c r="DX729">
        <v>14</v>
      </c>
      <c r="DY729">
        <v>0</v>
      </c>
      <c r="DZ729">
        <v>978</v>
      </c>
      <c r="EA729">
        <v>0.94920000000000004</v>
      </c>
      <c r="EB729">
        <v>0.95260220534652396</v>
      </c>
      <c r="EC729">
        <v>0.94881560678341204</v>
      </c>
      <c r="ED729">
        <v>0.94882743154520199</v>
      </c>
      <c r="EE729">
        <f>SUM(Table1[[#This Row],[ratio_0]:[ratio_9]])</f>
        <v>370</v>
      </c>
      <c r="EF729" s="1">
        <f>(Table1[[#This Row],[predicted_0]]-Table1[[#This Row],[actual_0]])/Table1[[#This Row],[actual_0]]</f>
        <v>-2.0408163265306124E-3</v>
      </c>
      <c r="EG729" s="1">
        <f>(Table1[[#This Row],[predicted_1]]-Table1[[#This Row],[actual_1]])/Table1[[#This Row],[actual_1]]</f>
        <v>-2.6431718061674008E-3</v>
      </c>
      <c r="EH729" s="1">
        <f>(Table1[[#This Row],[predicted_2]]-Table1[[#This Row],[actual_2]])/Table1[[#This Row],[actual_2]]</f>
        <v>0</v>
      </c>
      <c r="EI729" s="1">
        <f>(Table1[[#This Row],[predicted_3]]-Table1[[#This Row],[actual_3]])/Table1[[#This Row],[actual_3]]</f>
        <v>-5.9405940594059403E-2</v>
      </c>
      <c r="EJ729" s="1">
        <f>(Table1[[#This Row],[predicted_4]]-Table1[[#This Row],[actual_4]])/Table1[[#This Row],[actual_4]]</f>
        <v>-0.15885947046843177</v>
      </c>
      <c r="EK729" s="1">
        <f>(Table1[[#This Row],[predicted_5]]-Table1[[#This Row],[actual_5]])/Table1[[#This Row],[actual_5]]</f>
        <v>0.10762331838565023</v>
      </c>
      <c r="EL729" s="1">
        <f>(Table1[[#This Row],[predicted_6]]-Table1[[#This Row],[actual_6]])/Table1[[#This Row],[actual_6]]</f>
        <v>-2.7139874739039668E-2</v>
      </c>
      <c r="EM729" s="1">
        <f>(Table1[[#This Row],[predicted_7]]-Table1[[#This Row],[actual_7]])/Table1[[#This Row],[actual_7]]</f>
        <v>7.8793774319066145E-2</v>
      </c>
      <c r="EN729" s="1">
        <f>(Table1[[#This Row],[predicted_8]]-Table1[[#This Row],[actual_8]])/Table1[[#This Row],[actual_8]]</f>
        <v>-9.2402464065708415E-2</v>
      </c>
      <c r="EO729" s="1">
        <f>(Table1[[#This Row],[predicted_9]]-Table1[[#This Row],[actual_9]])/Table1[[#This Row],[actual_9]]</f>
        <v>0.15857284440039643</v>
      </c>
      <c r="EP729" s="1">
        <f>1+(Table1[[#This Row],[error_ratio_0]]-EF$2)</f>
        <v>0.99591836734693873</v>
      </c>
      <c r="EQ729" s="1">
        <f>1+(Table1[[#This Row],[error_ratio_1]]-EG$2)</f>
        <v>0.99559471365638763</v>
      </c>
      <c r="ER729" s="1">
        <f>1+(Table1[[#This Row],[error_ratio_2]]-EH$2)</f>
        <v>1.0048449612403101</v>
      </c>
      <c r="ES729" s="1">
        <f>1+(Table1[[#This Row],[error_ratio_3]]-EI$2)</f>
        <v>0.93069306930693074</v>
      </c>
      <c r="ET729" s="1">
        <f>1+(Table1[[#This Row],[error_ratio_4]]-EJ$2)</f>
        <v>0.84012219959266798</v>
      </c>
      <c r="EU729" s="1">
        <f>1+(Table1[[#This Row],[error_ratio_5]]-EK$2)</f>
        <v>1.1065022421524664</v>
      </c>
      <c r="EV729" s="1">
        <f>1+(Table1[[#This Row],[error_ratio_6]]-EL$2)</f>
        <v>0.97912317327766174</v>
      </c>
      <c r="EW729" s="1">
        <f>1+(Table1[[#This Row],[error_ratio_7]]-EM$2)</f>
        <v>1.0768482490272373</v>
      </c>
      <c r="EX729" s="1">
        <f>1+(Table1[[#This Row],[error_ratio_8]]-EN$2)</f>
        <v>0.91067761806981518</v>
      </c>
      <c r="EY729" s="1">
        <f>1+(Table1[[#This Row],[error_ratio_9]]-EO$2)</f>
        <v>1.1625371655104064</v>
      </c>
    </row>
    <row r="730" spans="1:155" x14ac:dyDescent="0.75">
      <c r="A730">
        <v>100</v>
      </c>
      <c r="B730">
        <v>100</v>
      </c>
      <c r="C730">
        <v>100</v>
      </c>
      <c r="D730">
        <v>100</v>
      </c>
      <c r="E730">
        <v>100</v>
      </c>
      <c r="F730">
        <v>10</v>
      </c>
      <c r="G730">
        <v>100</v>
      </c>
      <c r="H730">
        <v>100</v>
      </c>
      <c r="I730">
        <v>10</v>
      </c>
      <c r="J730">
        <v>10</v>
      </c>
      <c r="K730">
        <v>987</v>
      </c>
      <c r="L730">
        <v>1166</v>
      </c>
      <c r="M730">
        <v>1035</v>
      </c>
      <c r="N730">
        <v>1096</v>
      </c>
      <c r="O730">
        <v>1011</v>
      </c>
      <c r="P730">
        <v>820</v>
      </c>
      <c r="Q730">
        <v>971</v>
      </c>
      <c r="R730">
        <v>1048</v>
      </c>
      <c r="S730">
        <v>907</v>
      </c>
      <c r="T730">
        <v>959</v>
      </c>
      <c r="U730">
        <v>980</v>
      </c>
      <c r="V730">
        <v>1135</v>
      </c>
      <c r="W730">
        <v>1032</v>
      </c>
      <c r="X730">
        <v>1010</v>
      </c>
      <c r="Y730">
        <v>982</v>
      </c>
      <c r="Z730">
        <v>892</v>
      </c>
      <c r="AA730">
        <v>958</v>
      </c>
      <c r="AB730">
        <v>1028</v>
      </c>
      <c r="AC730">
        <v>974</v>
      </c>
      <c r="AD730">
        <v>1009</v>
      </c>
      <c r="AE730">
        <v>969</v>
      </c>
      <c r="AF730">
        <v>2</v>
      </c>
      <c r="AG730">
        <v>1</v>
      </c>
      <c r="AH730">
        <v>1</v>
      </c>
      <c r="AI730">
        <v>0</v>
      </c>
      <c r="AJ730">
        <v>0</v>
      </c>
      <c r="AK730">
        <v>4</v>
      </c>
      <c r="AL730">
        <v>2</v>
      </c>
      <c r="AM730">
        <v>1</v>
      </c>
      <c r="AN730">
        <v>0</v>
      </c>
      <c r="AO730">
        <v>0</v>
      </c>
      <c r="AP730">
        <v>1134</v>
      </c>
      <c r="AQ730">
        <v>0</v>
      </c>
      <c r="AR730">
        <v>1</v>
      </c>
      <c r="AS730">
        <v>0</v>
      </c>
      <c r="AT730">
        <v>0</v>
      </c>
      <c r="AU730">
        <v>0</v>
      </c>
      <c r="AV730">
        <v>0</v>
      </c>
      <c r="AW730">
        <v>0</v>
      </c>
      <c r="AX730">
        <v>0</v>
      </c>
      <c r="AY730">
        <v>1</v>
      </c>
      <c r="AZ730">
        <v>7</v>
      </c>
      <c r="BA730">
        <v>1015</v>
      </c>
      <c r="BB730">
        <v>1</v>
      </c>
      <c r="BC730">
        <v>1</v>
      </c>
      <c r="BD730">
        <v>0</v>
      </c>
      <c r="BE730">
        <v>0</v>
      </c>
      <c r="BF730">
        <v>7</v>
      </c>
      <c r="BG730">
        <v>0</v>
      </c>
      <c r="BH730">
        <v>0</v>
      </c>
      <c r="BI730">
        <v>0</v>
      </c>
      <c r="BJ730">
        <v>0</v>
      </c>
      <c r="BK730">
        <v>2</v>
      </c>
      <c r="BL730">
        <v>1006</v>
      </c>
      <c r="BM730">
        <v>0</v>
      </c>
      <c r="BN730">
        <v>0</v>
      </c>
      <c r="BO730">
        <v>0</v>
      </c>
      <c r="BP730">
        <v>2</v>
      </c>
      <c r="BQ730">
        <v>0</v>
      </c>
      <c r="BR730">
        <v>0</v>
      </c>
      <c r="BS730">
        <v>0</v>
      </c>
      <c r="BT730">
        <v>0</v>
      </c>
      <c r="BU730">
        <v>3</v>
      </c>
      <c r="BV730">
        <v>0</v>
      </c>
      <c r="BW730">
        <v>975</v>
      </c>
      <c r="BX730">
        <v>0</v>
      </c>
      <c r="BY730">
        <v>3</v>
      </c>
      <c r="BZ730">
        <v>0</v>
      </c>
      <c r="CA730">
        <v>0</v>
      </c>
      <c r="CB730">
        <v>1</v>
      </c>
      <c r="CC730">
        <v>5</v>
      </c>
      <c r="CD730">
        <v>1</v>
      </c>
      <c r="CE730">
        <v>1</v>
      </c>
      <c r="CF730">
        <v>56</v>
      </c>
      <c r="CG730">
        <v>1</v>
      </c>
      <c r="CH730">
        <v>809</v>
      </c>
      <c r="CI730">
        <v>6</v>
      </c>
      <c r="CJ730">
        <v>2</v>
      </c>
      <c r="CK730">
        <v>9</v>
      </c>
      <c r="CL730">
        <v>2</v>
      </c>
      <c r="CM730">
        <v>4</v>
      </c>
      <c r="CN730">
        <v>3</v>
      </c>
      <c r="CO730">
        <v>0</v>
      </c>
      <c r="CP730">
        <v>0</v>
      </c>
      <c r="CQ730">
        <v>1</v>
      </c>
      <c r="CR730">
        <v>1</v>
      </c>
      <c r="CS730">
        <v>949</v>
      </c>
      <c r="CT730">
        <v>0</v>
      </c>
      <c r="CU730">
        <v>0</v>
      </c>
      <c r="CV730">
        <v>0</v>
      </c>
      <c r="CW730">
        <v>1</v>
      </c>
      <c r="CX730">
        <v>5</v>
      </c>
      <c r="CY730">
        <v>5</v>
      </c>
      <c r="CZ730">
        <v>0</v>
      </c>
      <c r="DA730">
        <v>1</v>
      </c>
      <c r="DB730">
        <v>0</v>
      </c>
      <c r="DC730">
        <v>0</v>
      </c>
      <c r="DD730">
        <v>1016</v>
      </c>
      <c r="DE730">
        <v>0</v>
      </c>
      <c r="DF730">
        <v>0</v>
      </c>
      <c r="DG730">
        <v>4</v>
      </c>
      <c r="DH730">
        <v>5</v>
      </c>
      <c r="DI730">
        <v>8</v>
      </c>
      <c r="DJ730">
        <v>17</v>
      </c>
      <c r="DK730">
        <v>7</v>
      </c>
      <c r="DL730">
        <v>5</v>
      </c>
      <c r="DM730">
        <v>8</v>
      </c>
      <c r="DN730">
        <v>10</v>
      </c>
      <c r="DO730">
        <v>897</v>
      </c>
      <c r="DP730">
        <v>13</v>
      </c>
      <c r="DQ730">
        <v>3</v>
      </c>
      <c r="DR730">
        <v>9</v>
      </c>
      <c r="DS730">
        <v>0</v>
      </c>
      <c r="DT730">
        <v>14</v>
      </c>
      <c r="DU730">
        <v>25</v>
      </c>
      <c r="DV730">
        <v>5</v>
      </c>
      <c r="DW730">
        <v>1</v>
      </c>
      <c r="DX730">
        <v>9</v>
      </c>
      <c r="DY730">
        <v>0</v>
      </c>
      <c r="DZ730">
        <v>943</v>
      </c>
      <c r="EA730">
        <v>0.97130000000000005</v>
      </c>
      <c r="EB730">
        <v>0.97229544515701305</v>
      </c>
      <c r="EC730">
        <v>0.97017490881825097</v>
      </c>
      <c r="ED730">
        <v>0.97067146044068098</v>
      </c>
      <c r="EE730">
        <f>SUM(Table1[[#This Row],[ratio_0]:[ratio_9]])</f>
        <v>730</v>
      </c>
      <c r="EF730" s="1">
        <f>(Table1[[#This Row],[predicted_0]]-Table1[[#This Row],[actual_0]])/Table1[[#This Row],[actual_0]]</f>
        <v>7.1428571428571426E-3</v>
      </c>
      <c r="EG730" s="1">
        <f>(Table1[[#This Row],[predicted_1]]-Table1[[#This Row],[actual_1]])/Table1[[#This Row],[actual_1]]</f>
        <v>2.7312775330396475E-2</v>
      </c>
      <c r="EH730" s="1">
        <f>(Table1[[#This Row],[predicted_2]]-Table1[[#This Row],[actual_2]])/Table1[[#This Row],[actual_2]]</f>
        <v>2.9069767441860465E-3</v>
      </c>
      <c r="EI730" s="1">
        <f>(Table1[[#This Row],[predicted_3]]-Table1[[#This Row],[actual_3]])/Table1[[#This Row],[actual_3]]</f>
        <v>8.5148514851485155E-2</v>
      </c>
      <c r="EJ730" s="1">
        <f>(Table1[[#This Row],[predicted_4]]-Table1[[#This Row],[actual_4]])/Table1[[#This Row],[actual_4]]</f>
        <v>2.9531568228105907E-2</v>
      </c>
      <c r="EK730" s="1">
        <f>(Table1[[#This Row],[predicted_5]]-Table1[[#This Row],[actual_5]])/Table1[[#This Row],[actual_5]]</f>
        <v>-8.0717488789237665E-2</v>
      </c>
      <c r="EL730" s="1">
        <f>(Table1[[#This Row],[predicted_6]]-Table1[[#This Row],[actual_6]])/Table1[[#This Row],[actual_6]]</f>
        <v>1.3569937369519834E-2</v>
      </c>
      <c r="EM730" s="1">
        <f>(Table1[[#This Row],[predicted_7]]-Table1[[#This Row],[actual_7]])/Table1[[#This Row],[actual_7]]</f>
        <v>1.9455252918287938E-2</v>
      </c>
      <c r="EN730" s="1">
        <f>(Table1[[#This Row],[predicted_8]]-Table1[[#This Row],[actual_8]])/Table1[[#This Row],[actual_8]]</f>
        <v>-6.8788501026694052E-2</v>
      </c>
      <c r="EO730" s="1">
        <f>(Table1[[#This Row],[predicted_9]]-Table1[[#This Row],[actual_9]])/Table1[[#This Row],[actual_9]]</f>
        <v>-4.9554013875123884E-2</v>
      </c>
      <c r="EP730" s="1">
        <f>1+(Table1[[#This Row],[error_ratio_0]]-EF$2)</f>
        <v>1.0051020408163265</v>
      </c>
      <c r="EQ730" s="1">
        <f>1+(Table1[[#This Row],[error_ratio_1]]-EG$2)</f>
        <v>1.0255506607929514</v>
      </c>
      <c r="ER730" s="1">
        <f>1+(Table1[[#This Row],[error_ratio_2]]-EH$2)</f>
        <v>1.0077519379844961</v>
      </c>
      <c r="ES730" s="1">
        <f>1+(Table1[[#This Row],[error_ratio_3]]-EI$2)</f>
        <v>1.0752475247524753</v>
      </c>
      <c r="ET730" s="1">
        <f>1+(Table1[[#This Row],[error_ratio_4]]-EJ$2)</f>
        <v>1.0285132382892057</v>
      </c>
      <c r="EU730" s="1">
        <f>1+(Table1[[#This Row],[error_ratio_5]]-EK$2)</f>
        <v>0.91816143497757852</v>
      </c>
      <c r="EV730" s="1">
        <f>1+(Table1[[#This Row],[error_ratio_6]]-EL$2)</f>
        <v>1.0198329853862214</v>
      </c>
      <c r="EW730" s="1">
        <f>1+(Table1[[#This Row],[error_ratio_7]]-EM$2)</f>
        <v>1.0175097276264591</v>
      </c>
      <c r="EX730" s="1">
        <f>1+(Table1[[#This Row],[error_ratio_8]]-EN$2)</f>
        <v>0.93429158110882959</v>
      </c>
      <c r="EY730" s="1">
        <f>1+(Table1[[#This Row],[error_ratio_9]]-EO$2)</f>
        <v>0.95441030723488607</v>
      </c>
    </row>
    <row r="731" spans="1:155" x14ac:dyDescent="0.75">
      <c r="A731">
        <v>10</v>
      </c>
      <c r="B731">
        <v>100</v>
      </c>
      <c r="C731">
        <v>100</v>
      </c>
      <c r="D731">
        <v>100</v>
      </c>
      <c r="E731">
        <v>100</v>
      </c>
      <c r="F731">
        <v>10</v>
      </c>
      <c r="G731">
        <v>100</v>
      </c>
      <c r="H731">
        <v>100</v>
      </c>
      <c r="I731">
        <v>10</v>
      </c>
      <c r="J731">
        <v>10</v>
      </c>
      <c r="K731">
        <v>976</v>
      </c>
      <c r="L731">
        <v>1140</v>
      </c>
      <c r="M731">
        <v>1053</v>
      </c>
      <c r="N731">
        <v>1059</v>
      </c>
      <c r="O731">
        <v>1075</v>
      </c>
      <c r="P731">
        <v>864</v>
      </c>
      <c r="Q731">
        <v>980</v>
      </c>
      <c r="R731">
        <v>1048</v>
      </c>
      <c r="S731">
        <v>893</v>
      </c>
      <c r="T731">
        <v>912</v>
      </c>
      <c r="U731">
        <v>980</v>
      </c>
      <c r="V731">
        <v>1135</v>
      </c>
      <c r="W731">
        <v>1032</v>
      </c>
      <c r="X731">
        <v>1010</v>
      </c>
      <c r="Y731">
        <v>982</v>
      </c>
      <c r="Z731">
        <v>892</v>
      </c>
      <c r="AA731">
        <v>958</v>
      </c>
      <c r="AB731">
        <v>1028</v>
      </c>
      <c r="AC731">
        <v>974</v>
      </c>
      <c r="AD731">
        <v>1009</v>
      </c>
      <c r="AE731">
        <v>960</v>
      </c>
      <c r="AF731">
        <v>1</v>
      </c>
      <c r="AG731">
        <v>2</v>
      </c>
      <c r="AH731">
        <v>0</v>
      </c>
      <c r="AI731">
        <v>4</v>
      </c>
      <c r="AJ731">
        <v>1</v>
      </c>
      <c r="AK731">
        <v>8</v>
      </c>
      <c r="AL731">
        <v>2</v>
      </c>
      <c r="AM731">
        <v>2</v>
      </c>
      <c r="AN731">
        <v>0</v>
      </c>
      <c r="AO731">
        <v>0</v>
      </c>
      <c r="AP731">
        <v>1127</v>
      </c>
      <c r="AQ731">
        <v>1</v>
      </c>
      <c r="AR731">
        <v>2</v>
      </c>
      <c r="AS731">
        <v>0</v>
      </c>
      <c r="AT731">
        <v>1</v>
      </c>
      <c r="AU731">
        <v>1</v>
      </c>
      <c r="AV731">
        <v>3</v>
      </c>
      <c r="AW731">
        <v>0</v>
      </c>
      <c r="AX731">
        <v>0</v>
      </c>
      <c r="AY731">
        <v>0</v>
      </c>
      <c r="AZ731">
        <v>0</v>
      </c>
      <c r="BA731">
        <v>1023</v>
      </c>
      <c r="BB731">
        <v>3</v>
      </c>
      <c r="BC731">
        <v>2</v>
      </c>
      <c r="BD731">
        <v>0</v>
      </c>
      <c r="BE731">
        <v>1</v>
      </c>
      <c r="BF731">
        <v>3</v>
      </c>
      <c r="BG731">
        <v>0</v>
      </c>
      <c r="BH731">
        <v>0</v>
      </c>
      <c r="BI731">
        <v>0</v>
      </c>
      <c r="BJ731">
        <v>0</v>
      </c>
      <c r="BK731">
        <v>3</v>
      </c>
      <c r="BL731">
        <v>1001</v>
      </c>
      <c r="BM731">
        <v>0</v>
      </c>
      <c r="BN731">
        <v>1</v>
      </c>
      <c r="BO731">
        <v>0</v>
      </c>
      <c r="BP731">
        <v>5</v>
      </c>
      <c r="BQ731">
        <v>0</v>
      </c>
      <c r="BR731">
        <v>0</v>
      </c>
      <c r="BS731">
        <v>0</v>
      </c>
      <c r="BT731">
        <v>0</v>
      </c>
      <c r="BU731">
        <v>0</v>
      </c>
      <c r="BV731">
        <v>0</v>
      </c>
      <c r="BW731">
        <v>981</v>
      </c>
      <c r="BX731">
        <v>0</v>
      </c>
      <c r="BY731">
        <v>1</v>
      </c>
      <c r="BZ731">
        <v>0</v>
      </c>
      <c r="CA731">
        <v>0</v>
      </c>
      <c r="CB731">
        <v>0</v>
      </c>
      <c r="CC731">
        <v>2</v>
      </c>
      <c r="CD731">
        <v>0</v>
      </c>
      <c r="CE731">
        <v>1</v>
      </c>
      <c r="CF731">
        <v>19</v>
      </c>
      <c r="CG731">
        <v>3</v>
      </c>
      <c r="CH731">
        <v>850</v>
      </c>
      <c r="CI731">
        <v>8</v>
      </c>
      <c r="CJ731">
        <v>4</v>
      </c>
      <c r="CK731">
        <v>1</v>
      </c>
      <c r="CL731">
        <v>4</v>
      </c>
      <c r="CM731">
        <v>2</v>
      </c>
      <c r="CN731">
        <v>2</v>
      </c>
      <c r="CO731">
        <v>1</v>
      </c>
      <c r="CP731">
        <v>0</v>
      </c>
      <c r="CQ731">
        <v>4</v>
      </c>
      <c r="CR731">
        <v>1</v>
      </c>
      <c r="CS731">
        <v>948</v>
      </c>
      <c r="CT731">
        <v>0</v>
      </c>
      <c r="CU731">
        <v>0</v>
      </c>
      <c r="CV731">
        <v>0</v>
      </c>
      <c r="CW731">
        <v>0</v>
      </c>
      <c r="CX731">
        <v>1</v>
      </c>
      <c r="CY731">
        <v>12</v>
      </c>
      <c r="CZ731">
        <v>1</v>
      </c>
      <c r="DA731">
        <v>0</v>
      </c>
      <c r="DB731">
        <v>0</v>
      </c>
      <c r="DC731">
        <v>0</v>
      </c>
      <c r="DD731">
        <v>1014</v>
      </c>
      <c r="DE731">
        <v>0</v>
      </c>
      <c r="DF731">
        <v>0</v>
      </c>
      <c r="DG731">
        <v>8</v>
      </c>
      <c r="DH731">
        <v>4</v>
      </c>
      <c r="DI731">
        <v>8</v>
      </c>
      <c r="DJ731">
        <v>21</v>
      </c>
      <c r="DK731">
        <v>15</v>
      </c>
      <c r="DL731">
        <v>6</v>
      </c>
      <c r="DM731">
        <v>12</v>
      </c>
      <c r="DN731">
        <v>5</v>
      </c>
      <c r="DO731">
        <v>888</v>
      </c>
      <c r="DP731">
        <v>7</v>
      </c>
      <c r="DQ731">
        <v>4</v>
      </c>
      <c r="DR731">
        <v>5</v>
      </c>
      <c r="DS731">
        <v>2</v>
      </c>
      <c r="DT731">
        <v>12</v>
      </c>
      <c r="DU731">
        <v>66</v>
      </c>
      <c r="DV731">
        <v>4</v>
      </c>
      <c r="DW731">
        <v>1</v>
      </c>
      <c r="DX731">
        <v>12</v>
      </c>
      <c r="DY731">
        <v>2</v>
      </c>
      <c r="DZ731">
        <v>901</v>
      </c>
      <c r="EA731">
        <v>0.96930000000000005</v>
      </c>
      <c r="EB731">
        <v>0.97025424893085599</v>
      </c>
      <c r="EC731">
        <v>0.96874185772713695</v>
      </c>
      <c r="ED731">
        <v>0.96877206570882801</v>
      </c>
      <c r="EE731">
        <f>SUM(Table1[[#This Row],[ratio_0]:[ratio_9]])</f>
        <v>640</v>
      </c>
      <c r="EF731" s="1">
        <f>(Table1[[#This Row],[predicted_0]]-Table1[[#This Row],[actual_0]])/Table1[[#This Row],[actual_0]]</f>
        <v>-4.0816326530612249E-3</v>
      </c>
      <c r="EG731" s="1">
        <f>(Table1[[#This Row],[predicted_1]]-Table1[[#This Row],[actual_1]])/Table1[[#This Row],[actual_1]]</f>
        <v>4.4052863436123352E-3</v>
      </c>
      <c r="EH731" s="1">
        <f>(Table1[[#This Row],[predicted_2]]-Table1[[#This Row],[actual_2]])/Table1[[#This Row],[actual_2]]</f>
        <v>2.0348837209302327E-2</v>
      </c>
      <c r="EI731" s="1">
        <f>(Table1[[#This Row],[predicted_3]]-Table1[[#This Row],[actual_3]])/Table1[[#This Row],[actual_3]]</f>
        <v>4.8514851485148516E-2</v>
      </c>
      <c r="EJ731" s="1">
        <f>(Table1[[#This Row],[predicted_4]]-Table1[[#This Row],[actual_4]])/Table1[[#This Row],[actual_4]]</f>
        <v>9.4704684317718946E-2</v>
      </c>
      <c r="EK731" s="1">
        <f>(Table1[[#This Row],[predicted_5]]-Table1[[#This Row],[actual_5]])/Table1[[#This Row],[actual_5]]</f>
        <v>-3.1390134529147982E-2</v>
      </c>
      <c r="EL731" s="1">
        <f>(Table1[[#This Row],[predicted_6]]-Table1[[#This Row],[actual_6]])/Table1[[#This Row],[actual_6]]</f>
        <v>2.2964509394572025E-2</v>
      </c>
      <c r="EM731" s="1">
        <f>(Table1[[#This Row],[predicted_7]]-Table1[[#This Row],[actual_7]])/Table1[[#This Row],[actual_7]]</f>
        <v>1.9455252918287938E-2</v>
      </c>
      <c r="EN731" s="1">
        <f>(Table1[[#This Row],[predicted_8]]-Table1[[#This Row],[actual_8]])/Table1[[#This Row],[actual_8]]</f>
        <v>-8.3162217659137574E-2</v>
      </c>
      <c r="EO731" s="1">
        <f>(Table1[[#This Row],[predicted_9]]-Table1[[#This Row],[actual_9]])/Table1[[#This Row],[actual_9]]</f>
        <v>-9.6134786917740342E-2</v>
      </c>
      <c r="EP731" s="1">
        <f>1+(Table1[[#This Row],[error_ratio_0]]-EF$2)</f>
        <v>0.9938775510204082</v>
      </c>
      <c r="EQ731" s="1">
        <f>1+(Table1[[#This Row],[error_ratio_1]]-EG$2)</f>
        <v>1.0026431718061675</v>
      </c>
      <c r="ER731" s="1">
        <f>1+(Table1[[#This Row],[error_ratio_2]]-EH$2)</f>
        <v>1.0251937984496124</v>
      </c>
      <c r="ES731" s="1">
        <f>1+(Table1[[#This Row],[error_ratio_3]]-EI$2)</f>
        <v>1.0386138613861386</v>
      </c>
      <c r="ET731" s="1">
        <f>1+(Table1[[#This Row],[error_ratio_4]]-EJ$2)</f>
        <v>1.0936863543788187</v>
      </c>
      <c r="EU731" s="1">
        <f>1+(Table1[[#This Row],[error_ratio_5]]-EK$2)</f>
        <v>0.96748878923766812</v>
      </c>
      <c r="EV731" s="1">
        <f>1+(Table1[[#This Row],[error_ratio_6]]-EL$2)</f>
        <v>1.0292275574112735</v>
      </c>
      <c r="EW731" s="1">
        <f>1+(Table1[[#This Row],[error_ratio_7]]-EM$2)</f>
        <v>1.0175097276264591</v>
      </c>
      <c r="EX731" s="1">
        <f>1+(Table1[[#This Row],[error_ratio_8]]-EN$2)</f>
        <v>0.91991786447638602</v>
      </c>
      <c r="EY731" s="1">
        <f>1+(Table1[[#This Row],[error_ratio_9]]-EO$2)</f>
        <v>0.90782953419226953</v>
      </c>
    </row>
    <row r="732" spans="1:155" x14ac:dyDescent="0.75">
      <c r="A732">
        <v>100</v>
      </c>
      <c r="B732">
        <v>10</v>
      </c>
      <c r="C732">
        <v>100</v>
      </c>
      <c r="D732">
        <v>100</v>
      </c>
      <c r="E732">
        <v>100</v>
      </c>
      <c r="F732">
        <v>10</v>
      </c>
      <c r="G732">
        <v>100</v>
      </c>
      <c r="H732">
        <v>100</v>
      </c>
      <c r="I732">
        <v>10</v>
      </c>
      <c r="J732">
        <v>10</v>
      </c>
      <c r="K732">
        <v>1009</v>
      </c>
      <c r="L732">
        <v>1116</v>
      </c>
      <c r="M732">
        <v>1044</v>
      </c>
      <c r="N732">
        <v>1031</v>
      </c>
      <c r="O732">
        <v>1000</v>
      </c>
      <c r="P732">
        <v>899</v>
      </c>
      <c r="Q732">
        <v>956</v>
      </c>
      <c r="R732">
        <v>1062</v>
      </c>
      <c r="S732">
        <v>906</v>
      </c>
      <c r="T732">
        <v>977</v>
      </c>
      <c r="U732">
        <v>980</v>
      </c>
      <c r="V732">
        <v>1135</v>
      </c>
      <c r="W732">
        <v>1032</v>
      </c>
      <c r="X732">
        <v>1010</v>
      </c>
      <c r="Y732">
        <v>982</v>
      </c>
      <c r="Z732">
        <v>892</v>
      </c>
      <c r="AA732">
        <v>958</v>
      </c>
      <c r="AB732">
        <v>1028</v>
      </c>
      <c r="AC732">
        <v>974</v>
      </c>
      <c r="AD732">
        <v>1009</v>
      </c>
      <c r="AE732">
        <v>976</v>
      </c>
      <c r="AF732">
        <v>0</v>
      </c>
      <c r="AG732">
        <v>0</v>
      </c>
      <c r="AH732">
        <v>0</v>
      </c>
      <c r="AI732">
        <v>0</v>
      </c>
      <c r="AJ732">
        <v>0</v>
      </c>
      <c r="AK732">
        <v>0</v>
      </c>
      <c r="AL732">
        <v>2</v>
      </c>
      <c r="AM732">
        <v>2</v>
      </c>
      <c r="AN732">
        <v>0</v>
      </c>
      <c r="AO732">
        <v>0</v>
      </c>
      <c r="AP732">
        <v>1110</v>
      </c>
      <c r="AQ732">
        <v>6</v>
      </c>
      <c r="AR732">
        <v>3</v>
      </c>
      <c r="AS732">
        <v>0</v>
      </c>
      <c r="AT732">
        <v>1</v>
      </c>
      <c r="AU732">
        <v>4</v>
      </c>
      <c r="AV732">
        <v>9</v>
      </c>
      <c r="AW732">
        <v>2</v>
      </c>
      <c r="AX732">
        <v>0</v>
      </c>
      <c r="AY732">
        <v>4</v>
      </c>
      <c r="AZ732">
        <v>0</v>
      </c>
      <c r="BA732">
        <v>1021</v>
      </c>
      <c r="BB732">
        <v>0</v>
      </c>
      <c r="BC732">
        <v>1</v>
      </c>
      <c r="BD732">
        <v>0</v>
      </c>
      <c r="BE732">
        <v>0</v>
      </c>
      <c r="BF732">
        <v>6</v>
      </c>
      <c r="BG732">
        <v>0</v>
      </c>
      <c r="BH732">
        <v>0</v>
      </c>
      <c r="BI732">
        <v>0</v>
      </c>
      <c r="BJ732">
        <v>0</v>
      </c>
      <c r="BK732">
        <v>2</v>
      </c>
      <c r="BL732">
        <v>999</v>
      </c>
      <c r="BM732">
        <v>0</v>
      </c>
      <c r="BN732">
        <v>4</v>
      </c>
      <c r="BO732">
        <v>0</v>
      </c>
      <c r="BP732">
        <v>5</v>
      </c>
      <c r="BQ732">
        <v>0</v>
      </c>
      <c r="BR732">
        <v>0</v>
      </c>
      <c r="BS732">
        <v>0</v>
      </c>
      <c r="BT732">
        <v>0</v>
      </c>
      <c r="BU732">
        <v>0</v>
      </c>
      <c r="BV732">
        <v>0</v>
      </c>
      <c r="BW732">
        <v>979</v>
      </c>
      <c r="BX732">
        <v>0</v>
      </c>
      <c r="BY732">
        <v>1</v>
      </c>
      <c r="BZ732">
        <v>0</v>
      </c>
      <c r="CA732">
        <v>0</v>
      </c>
      <c r="CB732">
        <v>2</v>
      </c>
      <c r="CC732">
        <v>3</v>
      </c>
      <c r="CD732">
        <v>0</v>
      </c>
      <c r="CE732">
        <v>1</v>
      </c>
      <c r="CF732">
        <v>13</v>
      </c>
      <c r="CG732">
        <v>0</v>
      </c>
      <c r="CH732">
        <v>869</v>
      </c>
      <c r="CI732">
        <v>4</v>
      </c>
      <c r="CJ732">
        <v>1</v>
      </c>
      <c r="CK732">
        <v>1</v>
      </c>
      <c r="CL732">
        <v>0</v>
      </c>
      <c r="CM732">
        <v>9</v>
      </c>
      <c r="CN732">
        <v>1</v>
      </c>
      <c r="CO732">
        <v>1</v>
      </c>
      <c r="CP732">
        <v>0</v>
      </c>
      <c r="CQ732">
        <v>1</v>
      </c>
      <c r="CR732">
        <v>2</v>
      </c>
      <c r="CS732">
        <v>944</v>
      </c>
      <c r="CT732">
        <v>0</v>
      </c>
      <c r="CU732">
        <v>0</v>
      </c>
      <c r="CV732">
        <v>0</v>
      </c>
      <c r="CW732">
        <v>1</v>
      </c>
      <c r="CX732">
        <v>0</v>
      </c>
      <c r="CY732">
        <v>4</v>
      </c>
      <c r="CZ732">
        <v>3</v>
      </c>
      <c r="DA732">
        <v>1</v>
      </c>
      <c r="DB732">
        <v>1</v>
      </c>
      <c r="DC732">
        <v>0</v>
      </c>
      <c r="DD732">
        <v>1018</v>
      </c>
      <c r="DE732">
        <v>0</v>
      </c>
      <c r="DF732">
        <v>0</v>
      </c>
      <c r="DG732">
        <v>10</v>
      </c>
      <c r="DH732">
        <v>1</v>
      </c>
      <c r="DI732">
        <v>8</v>
      </c>
      <c r="DJ732">
        <v>10</v>
      </c>
      <c r="DK732">
        <v>5</v>
      </c>
      <c r="DL732">
        <v>11</v>
      </c>
      <c r="DM732">
        <v>2</v>
      </c>
      <c r="DN732">
        <v>5</v>
      </c>
      <c r="DO732">
        <v>900</v>
      </c>
      <c r="DP732">
        <v>22</v>
      </c>
      <c r="DQ732">
        <v>6</v>
      </c>
      <c r="DR732">
        <v>4</v>
      </c>
      <c r="DS732">
        <v>1</v>
      </c>
      <c r="DT732">
        <v>3</v>
      </c>
      <c r="DU732">
        <v>13</v>
      </c>
      <c r="DV732">
        <v>11</v>
      </c>
      <c r="DW732">
        <v>1</v>
      </c>
      <c r="DX732">
        <v>16</v>
      </c>
      <c r="DY732">
        <v>1</v>
      </c>
      <c r="DZ732">
        <v>953</v>
      </c>
      <c r="EA732">
        <v>0.97689999999999999</v>
      </c>
      <c r="EB732">
        <v>0.97693080420308398</v>
      </c>
      <c r="EC732">
        <v>0.97676849285635203</v>
      </c>
      <c r="ED732">
        <v>0.976622228682553</v>
      </c>
      <c r="EE732">
        <f>SUM(Table1[[#This Row],[ratio_0]:[ratio_9]])</f>
        <v>640</v>
      </c>
      <c r="EF732" s="1">
        <f>(Table1[[#This Row],[predicted_0]]-Table1[[#This Row],[actual_0]])/Table1[[#This Row],[actual_0]]</f>
        <v>2.9591836734693878E-2</v>
      </c>
      <c r="EG732" s="1">
        <f>(Table1[[#This Row],[predicted_1]]-Table1[[#This Row],[actual_1]])/Table1[[#This Row],[actual_1]]</f>
        <v>-1.6740088105726872E-2</v>
      </c>
      <c r="EH732" s="1">
        <f>(Table1[[#This Row],[predicted_2]]-Table1[[#This Row],[actual_2]])/Table1[[#This Row],[actual_2]]</f>
        <v>1.1627906976744186E-2</v>
      </c>
      <c r="EI732" s="1">
        <f>(Table1[[#This Row],[predicted_3]]-Table1[[#This Row],[actual_3]])/Table1[[#This Row],[actual_3]]</f>
        <v>2.0792079207920793E-2</v>
      </c>
      <c r="EJ732" s="1">
        <f>(Table1[[#This Row],[predicted_4]]-Table1[[#This Row],[actual_4]])/Table1[[#This Row],[actual_4]]</f>
        <v>1.8329938900203666E-2</v>
      </c>
      <c r="EK732" s="1">
        <f>(Table1[[#This Row],[predicted_5]]-Table1[[#This Row],[actual_5]])/Table1[[#This Row],[actual_5]]</f>
        <v>7.8475336322869956E-3</v>
      </c>
      <c r="EL732" s="1">
        <f>(Table1[[#This Row],[predicted_6]]-Table1[[#This Row],[actual_6]])/Table1[[#This Row],[actual_6]]</f>
        <v>-2.0876826722338203E-3</v>
      </c>
      <c r="EM732" s="1">
        <f>(Table1[[#This Row],[predicted_7]]-Table1[[#This Row],[actual_7]])/Table1[[#This Row],[actual_7]]</f>
        <v>3.3073929961089495E-2</v>
      </c>
      <c r="EN732" s="1">
        <f>(Table1[[#This Row],[predicted_8]]-Table1[[#This Row],[actual_8]])/Table1[[#This Row],[actual_8]]</f>
        <v>-6.9815195071868577E-2</v>
      </c>
      <c r="EO732" s="1">
        <f>(Table1[[#This Row],[predicted_9]]-Table1[[#This Row],[actual_9]])/Table1[[#This Row],[actual_9]]</f>
        <v>-3.1714568880079286E-2</v>
      </c>
      <c r="EP732" s="1">
        <f>1+(Table1[[#This Row],[error_ratio_0]]-EF$2)</f>
        <v>1.0275510204081633</v>
      </c>
      <c r="EQ732" s="1">
        <f>1+(Table1[[#This Row],[error_ratio_1]]-EG$2)</f>
        <v>0.98149779735682818</v>
      </c>
      <c r="ER732" s="1">
        <f>1+(Table1[[#This Row],[error_ratio_2]]-EH$2)</f>
        <v>1.0164728682170543</v>
      </c>
      <c r="ES732" s="1">
        <f>1+(Table1[[#This Row],[error_ratio_3]]-EI$2)</f>
        <v>1.0108910891089109</v>
      </c>
      <c r="ET732" s="1">
        <f>1+(Table1[[#This Row],[error_ratio_4]]-EJ$2)</f>
        <v>1.0173116089613035</v>
      </c>
      <c r="EU732" s="1">
        <f>1+(Table1[[#This Row],[error_ratio_5]]-EK$2)</f>
        <v>1.006726457399103</v>
      </c>
      <c r="EV732" s="1">
        <f>1+(Table1[[#This Row],[error_ratio_6]]-EL$2)</f>
        <v>1.0041753653444676</v>
      </c>
      <c r="EW732" s="1">
        <f>1+(Table1[[#This Row],[error_ratio_7]]-EM$2)</f>
        <v>1.0311284046692606</v>
      </c>
      <c r="EX732" s="1">
        <f>1+(Table1[[#This Row],[error_ratio_8]]-EN$2)</f>
        <v>0.93326488706365507</v>
      </c>
      <c r="EY732" s="1">
        <f>1+(Table1[[#This Row],[error_ratio_9]]-EO$2)</f>
        <v>0.9722497522299306</v>
      </c>
    </row>
    <row r="733" spans="1:155" x14ac:dyDescent="0.75">
      <c r="A733">
        <v>10</v>
      </c>
      <c r="B733">
        <v>10</v>
      </c>
      <c r="C733">
        <v>100</v>
      </c>
      <c r="D733">
        <v>100</v>
      </c>
      <c r="E733">
        <v>100</v>
      </c>
      <c r="F733">
        <v>10</v>
      </c>
      <c r="G733">
        <v>100</v>
      </c>
      <c r="H733">
        <v>100</v>
      </c>
      <c r="I733">
        <v>10</v>
      </c>
      <c r="J733">
        <v>10</v>
      </c>
      <c r="K733">
        <v>980</v>
      </c>
      <c r="L733">
        <v>1138</v>
      </c>
      <c r="M733">
        <v>1112</v>
      </c>
      <c r="N733">
        <v>1146</v>
      </c>
      <c r="O733">
        <v>1008</v>
      </c>
      <c r="P733">
        <v>889</v>
      </c>
      <c r="Q733">
        <v>984</v>
      </c>
      <c r="R733">
        <v>1048</v>
      </c>
      <c r="S733">
        <v>820</v>
      </c>
      <c r="T733">
        <v>875</v>
      </c>
      <c r="U733">
        <v>980</v>
      </c>
      <c r="V733">
        <v>1135</v>
      </c>
      <c r="W733">
        <v>1032</v>
      </c>
      <c r="X733">
        <v>1010</v>
      </c>
      <c r="Y733">
        <v>982</v>
      </c>
      <c r="Z733">
        <v>892</v>
      </c>
      <c r="AA733">
        <v>958</v>
      </c>
      <c r="AB733">
        <v>1028</v>
      </c>
      <c r="AC733">
        <v>974</v>
      </c>
      <c r="AD733">
        <v>1009</v>
      </c>
      <c r="AE733">
        <v>962</v>
      </c>
      <c r="AF733">
        <v>1</v>
      </c>
      <c r="AG733">
        <v>4</v>
      </c>
      <c r="AH733">
        <v>1</v>
      </c>
      <c r="AI733">
        <v>1</v>
      </c>
      <c r="AJ733">
        <v>0</v>
      </c>
      <c r="AK733">
        <v>5</v>
      </c>
      <c r="AL733">
        <v>5</v>
      </c>
      <c r="AM733">
        <v>1</v>
      </c>
      <c r="AN733">
        <v>0</v>
      </c>
      <c r="AO733">
        <v>0</v>
      </c>
      <c r="AP733">
        <v>1122</v>
      </c>
      <c r="AQ733">
        <v>4</v>
      </c>
      <c r="AR733">
        <v>5</v>
      </c>
      <c r="AS733">
        <v>0</v>
      </c>
      <c r="AT733">
        <v>1</v>
      </c>
      <c r="AU733">
        <v>2</v>
      </c>
      <c r="AV733">
        <v>1</v>
      </c>
      <c r="AW733">
        <v>0</v>
      </c>
      <c r="AX733">
        <v>0</v>
      </c>
      <c r="AY733">
        <v>0</v>
      </c>
      <c r="AZ733">
        <v>0</v>
      </c>
      <c r="BA733">
        <v>1024</v>
      </c>
      <c r="BB733">
        <v>4</v>
      </c>
      <c r="BC733">
        <v>2</v>
      </c>
      <c r="BD733">
        <v>0</v>
      </c>
      <c r="BE733">
        <v>0</v>
      </c>
      <c r="BF733">
        <v>2</v>
      </c>
      <c r="BG733">
        <v>0</v>
      </c>
      <c r="BH733">
        <v>0</v>
      </c>
      <c r="BI733">
        <v>0</v>
      </c>
      <c r="BJ733">
        <v>0</v>
      </c>
      <c r="BK733">
        <v>1</v>
      </c>
      <c r="BL733">
        <v>1003</v>
      </c>
      <c r="BM733">
        <v>0</v>
      </c>
      <c r="BN733">
        <v>3</v>
      </c>
      <c r="BO733">
        <v>0</v>
      </c>
      <c r="BP733">
        <v>3</v>
      </c>
      <c r="BQ733">
        <v>0</v>
      </c>
      <c r="BR733">
        <v>0</v>
      </c>
      <c r="BS733">
        <v>0</v>
      </c>
      <c r="BT733">
        <v>1</v>
      </c>
      <c r="BU733">
        <v>2</v>
      </c>
      <c r="BV733">
        <v>0</v>
      </c>
      <c r="BW733">
        <v>973</v>
      </c>
      <c r="BX733">
        <v>0</v>
      </c>
      <c r="BY733">
        <v>2</v>
      </c>
      <c r="BZ733">
        <v>1</v>
      </c>
      <c r="CA733">
        <v>0</v>
      </c>
      <c r="CB733">
        <v>3</v>
      </c>
      <c r="CC733">
        <v>2</v>
      </c>
      <c r="CD733">
        <v>0</v>
      </c>
      <c r="CE733">
        <v>1</v>
      </c>
      <c r="CF733">
        <v>32</v>
      </c>
      <c r="CG733">
        <v>0</v>
      </c>
      <c r="CH733">
        <v>841</v>
      </c>
      <c r="CI733">
        <v>10</v>
      </c>
      <c r="CJ733">
        <v>5</v>
      </c>
      <c r="CK733">
        <v>1</v>
      </c>
      <c r="CL733">
        <v>0</v>
      </c>
      <c r="CM733">
        <v>4</v>
      </c>
      <c r="CN733">
        <v>2</v>
      </c>
      <c r="CO733">
        <v>5</v>
      </c>
      <c r="CP733">
        <v>0</v>
      </c>
      <c r="CQ733">
        <v>2</v>
      </c>
      <c r="CR733">
        <v>1</v>
      </c>
      <c r="CS733">
        <v>944</v>
      </c>
      <c r="CT733">
        <v>0</v>
      </c>
      <c r="CU733">
        <v>0</v>
      </c>
      <c r="CV733">
        <v>0</v>
      </c>
      <c r="CW733">
        <v>0</v>
      </c>
      <c r="CX733">
        <v>2</v>
      </c>
      <c r="CY733">
        <v>22</v>
      </c>
      <c r="CZ733">
        <v>5</v>
      </c>
      <c r="DA733">
        <v>0</v>
      </c>
      <c r="DB733">
        <v>0</v>
      </c>
      <c r="DC733">
        <v>0</v>
      </c>
      <c r="DD733">
        <v>996</v>
      </c>
      <c r="DE733">
        <v>2</v>
      </c>
      <c r="DF733">
        <v>1</v>
      </c>
      <c r="DG733">
        <v>10</v>
      </c>
      <c r="DH733">
        <v>4</v>
      </c>
      <c r="DI733">
        <v>47</v>
      </c>
      <c r="DJ733">
        <v>60</v>
      </c>
      <c r="DK733">
        <v>7</v>
      </c>
      <c r="DL733">
        <v>14</v>
      </c>
      <c r="DM733">
        <v>21</v>
      </c>
      <c r="DN733">
        <v>6</v>
      </c>
      <c r="DO733">
        <v>804</v>
      </c>
      <c r="DP733">
        <v>1</v>
      </c>
      <c r="DQ733">
        <v>2</v>
      </c>
      <c r="DR733">
        <v>6</v>
      </c>
      <c r="DS733">
        <v>2</v>
      </c>
      <c r="DT733">
        <v>36</v>
      </c>
      <c r="DU733">
        <v>23</v>
      </c>
      <c r="DV733">
        <v>29</v>
      </c>
      <c r="DW733">
        <v>0</v>
      </c>
      <c r="DX733">
        <v>29</v>
      </c>
      <c r="DY733">
        <v>12</v>
      </c>
      <c r="DZ733">
        <v>870</v>
      </c>
      <c r="EA733">
        <v>0.95389999999999997</v>
      </c>
      <c r="EB733">
        <v>0.95594436775298397</v>
      </c>
      <c r="EC733">
        <v>0.95311160905441294</v>
      </c>
      <c r="ED733">
        <v>0.95284466153337</v>
      </c>
      <c r="EE733">
        <f>SUM(Table1[[#This Row],[ratio_0]:[ratio_9]])</f>
        <v>550</v>
      </c>
      <c r="EF733" s="1">
        <f>(Table1[[#This Row],[predicted_0]]-Table1[[#This Row],[actual_0]])/Table1[[#This Row],[actual_0]]</f>
        <v>0</v>
      </c>
      <c r="EG733" s="1">
        <f>(Table1[[#This Row],[predicted_1]]-Table1[[#This Row],[actual_1]])/Table1[[#This Row],[actual_1]]</f>
        <v>2.6431718061674008E-3</v>
      </c>
      <c r="EH733" s="1">
        <f>(Table1[[#This Row],[predicted_2]]-Table1[[#This Row],[actual_2]])/Table1[[#This Row],[actual_2]]</f>
        <v>7.7519379844961239E-2</v>
      </c>
      <c r="EI733" s="1">
        <f>(Table1[[#This Row],[predicted_3]]-Table1[[#This Row],[actual_3]])/Table1[[#This Row],[actual_3]]</f>
        <v>0.13465346534653466</v>
      </c>
      <c r="EJ733" s="1">
        <f>(Table1[[#This Row],[predicted_4]]-Table1[[#This Row],[actual_4]])/Table1[[#This Row],[actual_4]]</f>
        <v>2.6476578411405296E-2</v>
      </c>
      <c r="EK733" s="1">
        <f>(Table1[[#This Row],[predicted_5]]-Table1[[#This Row],[actual_5]])/Table1[[#This Row],[actual_5]]</f>
        <v>-3.3632286995515697E-3</v>
      </c>
      <c r="EL733" s="1">
        <f>(Table1[[#This Row],[predicted_6]]-Table1[[#This Row],[actual_6]])/Table1[[#This Row],[actual_6]]</f>
        <v>2.7139874739039668E-2</v>
      </c>
      <c r="EM733" s="1">
        <f>(Table1[[#This Row],[predicted_7]]-Table1[[#This Row],[actual_7]])/Table1[[#This Row],[actual_7]]</f>
        <v>1.9455252918287938E-2</v>
      </c>
      <c r="EN733" s="1">
        <f>(Table1[[#This Row],[predicted_8]]-Table1[[#This Row],[actual_8]])/Table1[[#This Row],[actual_8]]</f>
        <v>-0.15811088295687886</v>
      </c>
      <c r="EO733" s="1">
        <f>(Table1[[#This Row],[predicted_9]]-Table1[[#This Row],[actual_9]])/Table1[[#This Row],[actual_9]]</f>
        <v>-0.13280475718533202</v>
      </c>
      <c r="EP733" s="1">
        <f>1+(Table1[[#This Row],[error_ratio_0]]-EF$2)</f>
        <v>0.99795918367346936</v>
      </c>
      <c r="EQ733" s="1">
        <f>1+(Table1[[#This Row],[error_ratio_1]]-EG$2)</f>
        <v>1.0008810572687226</v>
      </c>
      <c r="ER733" s="1">
        <f>1+(Table1[[#This Row],[error_ratio_2]]-EH$2)</f>
        <v>1.0823643410852712</v>
      </c>
      <c r="ES733" s="1">
        <f>1+(Table1[[#This Row],[error_ratio_3]]-EI$2)</f>
        <v>1.1247524752475249</v>
      </c>
      <c r="ET733" s="1">
        <f>1+(Table1[[#This Row],[error_ratio_4]]-EJ$2)</f>
        <v>1.025458248472505</v>
      </c>
      <c r="EU733" s="1">
        <f>1+(Table1[[#This Row],[error_ratio_5]]-EK$2)</f>
        <v>0.99551569506726456</v>
      </c>
      <c r="EV733" s="1">
        <f>1+(Table1[[#This Row],[error_ratio_6]]-EL$2)</f>
        <v>1.0334029227557411</v>
      </c>
      <c r="EW733" s="1">
        <f>1+(Table1[[#This Row],[error_ratio_7]]-EM$2)</f>
        <v>1.0175097276264591</v>
      </c>
      <c r="EX733" s="1">
        <f>1+(Table1[[#This Row],[error_ratio_8]]-EN$2)</f>
        <v>0.84496919917864477</v>
      </c>
      <c r="EY733" s="1">
        <f>1+(Table1[[#This Row],[error_ratio_9]]-EO$2)</f>
        <v>0.87115956392467786</v>
      </c>
    </row>
    <row r="734" spans="1:155" x14ac:dyDescent="0.75">
      <c r="A734">
        <v>100</v>
      </c>
      <c r="B734">
        <v>100</v>
      </c>
      <c r="C734">
        <v>10</v>
      </c>
      <c r="D734">
        <v>100</v>
      </c>
      <c r="E734">
        <v>100</v>
      </c>
      <c r="F734">
        <v>10</v>
      </c>
      <c r="G734">
        <v>100</v>
      </c>
      <c r="H734">
        <v>100</v>
      </c>
      <c r="I734">
        <v>10</v>
      </c>
      <c r="J734">
        <v>10</v>
      </c>
      <c r="K734">
        <v>996</v>
      </c>
      <c r="L734">
        <v>1153</v>
      </c>
      <c r="M734">
        <v>1005</v>
      </c>
      <c r="N734">
        <v>1023</v>
      </c>
      <c r="O734">
        <v>1022</v>
      </c>
      <c r="P734">
        <v>875</v>
      </c>
      <c r="Q734">
        <v>978</v>
      </c>
      <c r="R734">
        <v>1063</v>
      </c>
      <c r="S734">
        <v>954</v>
      </c>
      <c r="T734">
        <v>931</v>
      </c>
      <c r="U734">
        <v>980</v>
      </c>
      <c r="V734">
        <v>1135</v>
      </c>
      <c r="W734">
        <v>1032</v>
      </c>
      <c r="X734">
        <v>1010</v>
      </c>
      <c r="Y734">
        <v>982</v>
      </c>
      <c r="Z734">
        <v>892</v>
      </c>
      <c r="AA734">
        <v>958</v>
      </c>
      <c r="AB734">
        <v>1028</v>
      </c>
      <c r="AC734">
        <v>974</v>
      </c>
      <c r="AD734">
        <v>1009</v>
      </c>
      <c r="AE734">
        <v>972</v>
      </c>
      <c r="AF734">
        <v>2</v>
      </c>
      <c r="AG734">
        <v>0</v>
      </c>
      <c r="AH734">
        <v>0</v>
      </c>
      <c r="AI734">
        <v>0</v>
      </c>
      <c r="AJ734">
        <v>0</v>
      </c>
      <c r="AK734">
        <v>1</v>
      </c>
      <c r="AL734">
        <v>3</v>
      </c>
      <c r="AM734">
        <v>0</v>
      </c>
      <c r="AN734">
        <v>2</v>
      </c>
      <c r="AO734">
        <v>0</v>
      </c>
      <c r="AP734">
        <v>1124</v>
      </c>
      <c r="AQ734">
        <v>3</v>
      </c>
      <c r="AR734">
        <v>0</v>
      </c>
      <c r="AS734">
        <v>0</v>
      </c>
      <c r="AT734">
        <v>1</v>
      </c>
      <c r="AU734">
        <v>7</v>
      </c>
      <c r="AV734">
        <v>0</v>
      </c>
      <c r="AW734">
        <v>0</v>
      </c>
      <c r="AX734">
        <v>0</v>
      </c>
      <c r="AY734">
        <v>5</v>
      </c>
      <c r="AZ734">
        <v>8</v>
      </c>
      <c r="BA734">
        <v>989</v>
      </c>
      <c r="BB734">
        <v>7</v>
      </c>
      <c r="BC734">
        <v>7</v>
      </c>
      <c r="BD734">
        <v>0</v>
      </c>
      <c r="BE734">
        <v>2</v>
      </c>
      <c r="BF734">
        <v>12</v>
      </c>
      <c r="BG734">
        <v>2</v>
      </c>
      <c r="BH734">
        <v>0</v>
      </c>
      <c r="BI734">
        <v>0</v>
      </c>
      <c r="BJ734">
        <v>1</v>
      </c>
      <c r="BK734">
        <v>2</v>
      </c>
      <c r="BL734">
        <v>997</v>
      </c>
      <c r="BM734">
        <v>0</v>
      </c>
      <c r="BN734">
        <v>4</v>
      </c>
      <c r="BO734">
        <v>0</v>
      </c>
      <c r="BP734">
        <v>4</v>
      </c>
      <c r="BQ734">
        <v>2</v>
      </c>
      <c r="BR734">
        <v>0</v>
      </c>
      <c r="BS734">
        <v>0</v>
      </c>
      <c r="BT734">
        <v>0</v>
      </c>
      <c r="BU734">
        <v>0</v>
      </c>
      <c r="BV734">
        <v>0</v>
      </c>
      <c r="BW734">
        <v>980</v>
      </c>
      <c r="BX734">
        <v>0</v>
      </c>
      <c r="BY734">
        <v>1</v>
      </c>
      <c r="BZ734">
        <v>0</v>
      </c>
      <c r="CA734">
        <v>1</v>
      </c>
      <c r="CB734">
        <v>0</v>
      </c>
      <c r="CC734">
        <v>4</v>
      </c>
      <c r="CD734">
        <v>0</v>
      </c>
      <c r="CE734">
        <v>0</v>
      </c>
      <c r="CF734">
        <v>11</v>
      </c>
      <c r="CG734">
        <v>0</v>
      </c>
      <c r="CH734">
        <v>859</v>
      </c>
      <c r="CI734">
        <v>13</v>
      </c>
      <c r="CJ734">
        <v>1</v>
      </c>
      <c r="CK734">
        <v>4</v>
      </c>
      <c r="CL734">
        <v>0</v>
      </c>
      <c r="CM734">
        <v>7</v>
      </c>
      <c r="CN734">
        <v>3</v>
      </c>
      <c r="CO734">
        <v>0</v>
      </c>
      <c r="CP734">
        <v>0</v>
      </c>
      <c r="CQ734">
        <v>8</v>
      </c>
      <c r="CR734">
        <v>1</v>
      </c>
      <c r="CS734">
        <v>939</v>
      </c>
      <c r="CT734">
        <v>0</v>
      </c>
      <c r="CU734">
        <v>0</v>
      </c>
      <c r="CV734">
        <v>0</v>
      </c>
      <c r="CW734">
        <v>0</v>
      </c>
      <c r="CX734">
        <v>8</v>
      </c>
      <c r="CY734">
        <v>5</v>
      </c>
      <c r="CZ734">
        <v>1</v>
      </c>
      <c r="DA734">
        <v>0</v>
      </c>
      <c r="DB734">
        <v>0</v>
      </c>
      <c r="DC734">
        <v>0</v>
      </c>
      <c r="DD734">
        <v>1013</v>
      </c>
      <c r="DE734">
        <v>1</v>
      </c>
      <c r="DF734">
        <v>0</v>
      </c>
      <c r="DG734">
        <v>5</v>
      </c>
      <c r="DH734">
        <v>3</v>
      </c>
      <c r="DI734">
        <v>4</v>
      </c>
      <c r="DJ734">
        <v>1</v>
      </c>
      <c r="DK734">
        <v>3</v>
      </c>
      <c r="DL734">
        <v>2</v>
      </c>
      <c r="DM734">
        <v>15</v>
      </c>
      <c r="DN734">
        <v>9</v>
      </c>
      <c r="DO734">
        <v>932</v>
      </c>
      <c r="DP734">
        <v>0</v>
      </c>
      <c r="DQ734">
        <v>3</v>
      </c>
      <c r="DR734">
        <v>4</v>
      </c>
      <c r="DS734">
        <v>2</v>
      </c>
      <c r="DT734">
        <v>6</v>
      </c>
      <c r="DU734">
        <v>24</v>
      </c>
      <c r="DV734">
        <v>8</v>
      </c>
      <c r="DW734">
        <v>0</v>
      </c>
      <c r="DX734">
        <v>21</v>
      </c>
      <c r="DY734">
        <v>12</v>
      </c>
      <c r="DZ734">
        <v>929</v>
      </c>
      <c r="EA734">
        <v>0.97340000000000004</v>
      </c>
      <c r="EB734">
        <v>0.97379113754219504</v>
      </c>
      <c r="EC734">
        <v>0.97317429781972098</v>
      </c>
      <c r="ED734">
        <v>0.97319814655157</v>
      </c>
      <c r="EE734">
        <f>SUM(Table1[[#This Row],[ratio_0]:[ratio_9]])</f>
        <v>640</v>
      </c>
      <c r="EF734" s="1">
        <f>(Table1[[#This Row],[predicted_0]]-Table1[[#This Row],[actual_0]])/Table1[[#This Row],[actual_0]]</f>
        <v>1.6326530612244899E-2</v>
      </c>
      <c r="EG734" s="1">
        <f>(Table1[[#This Row],[predicted_1]]-Table1[[#This Row],[actual_1]])/Table1[[#This Row],[actual_1]]</f>
        <v>1.5859030837004406E-2</v>
      </c>
      <c r="EH734" s="1">
        <f>(Table1[[#This Row],[predicted_2]]-Table1[[#This Row],[actual_2]])/Table1[[#This Row],[actual_2]]</f>
        <v>-2.616279069767442E-2</v>
      </c>
      <c r="EI734" s="1">
        <f>(Table1[[#This Row],[predicted_3]]-Table1[[#This Row],[actual_3]])/Table1[[#This Row],[actual_3]]</f>
        <v>1.2871287128712871E-2</v>
      </c>
      <c r="EJ734" s="1">
        <f>(Table1[[#This Row],[predicted_4]]-Table1[[#This Row],[actual_4]])/Table1[[#This Row],[actual_4]]</f>
        <v>4.0733197556008148E-2</v>
      </c>
      <c r="EK734" s="1">
        <f>(Table1[[#This Row],[predicted_5]]-Table1[[#This Row],[actual_5]])/Table1[[#This Row],[actual_5]]</f>
        <v>-1.905829596412556E-2</v>
      </c>
      <c r="EL734" s="1">
        <f>(Table1[[#This Row],[predicted_6]]-Table1[[#This Row],[actual_6]])/Table1[[#This Row],[actual_6]]</f>
        <v>2.0876826722338204E-2</v>
      </c>
      <c r="EM734" s="1">
        <f>(Table1[[#This Row],[predicted_7]]-Table1[[#This Row],[actual_7]])/Table1[[#This Row],[actual_7]]</f>
        <v>3.4046692607003888E-2</v>
      </c>
      <c r="EN734" s="1">
        <f>(Table1[[#This Row],[predicted_8]]-Table1[[#This Row],[actual_8]])/Table1[[#This Row],[actual_8]]</f>
        <v>-2.0533880903490759E-2</v>
      </c>
      <c r="EO734" s="1">
        <f>(Table1[[#This Row],[predicted_9]]-Table1[[#This Row],[actual_9]])/Table1[[#This Row],[actual_9]]</f>
        <v>-7.7304261645193259E-2</v>
      </c>
      <c r="EP734" s="1">
        <f>1+(Table1[[#This Row],[error_ratio_0]]-EF$2)</f>
        <v>1.0142857142857142</v>
      </c>
      <c r="EQ734" s="1">
        <f>1+(Table1[[#This Row],[error_ratio_1]]-EG$2)</f>
        <v>1.0140969162995594</v>
      </c>
      <c r="ER734" s="1">
        <f>1+(Table1[[#This Row],[error_ratio_2]]-EH$2)</f>
        <v>0.97868217054263562</v>
      </c>
      <c r="ES734" s="1">
        <f>1+(Table1[[#This Row],[error_ratio_3]]-EI$2)</f>
        <v>1.002970297029703</v>
      </c>
      <c r="ET734" s="1">
        <f>1+(Table1[[#This Row],[error_ratio_4]]-EJ$2)</f>
        <v>1.039714867617108</v>
      </c>
      <c r="EU734" s="1">
        <f>1+(Table1[[#This Row],[error_ratio_5]]-EK$2)</f>
        <v>0.97982062780269064</v>
      </c>
      <c r="EV734" s="1">
        <f>1+(Table1[[#This Row],[error_ratio_6]]-EL$2)</f>
        <v>1.0271398747390397</v>
      </c>
      <c r="EW734" s="1">
        <f>1+(Table1[[#This Row],[error_ratio_7]]-EM$2)</f>
        <v>1.032101167315175</v>
      </c>
      <c r="EX734" s="1">
        <f>1+(Table1[[#This Row],[error_ratio_8]]-EN$2)</f>
        <v>0.98254620123203285</v>
      </c>
      <c r="EY734" s="1">
        <f>1+(Table1[[#This Row],[error_ratio_9]]-EO$2)</f>
        <v>0.92666005946481667</v>
      </c>
    </row>
    <row r="735" spans="1:155" x14ac:dyDescent="0.75">
      <c r="A735">
        <v>10</v>
      </c>
      <c r="B735">
        <v>100</v>
      </c>
      <c r="C735">
        <v>10</v>
      </c>
      <c r="D735">
        <v>100</v>
      </c>
      <c r="E735">
        <v>100</v>
      </c>
      <c r="F735">
        <v>10</v>
      </c>
      <c r="G735">
        <v>100</v>
      </c>
      <c r="H735">
        <v>100</v>
      </c>
      <c r="I735">
        <v>10</v>
      </c>
      <c r="J735">
        <v>10</v>
      </c>
      <c r="K735">
        <v>991</v>
      </c>
      <c r="L735">
        <v>1148</v>
      </c>
      <c r="M735">
        <v>949</v>
      </c>
      <c r="N735">
        <v>1031</v>
      </c>
      <c r="O735">
        <v>1043</v>
      </c>
      <c r="P735">
        <v>799</v>
      </c>
      <c r="Q735">
        <v>967</v>
      </c>
      <c r="R735">
        <v>1061</v>
      </c>
      <c r="S735">
        <v>915</v>
      </c>
      <c r="T735">
        <v>1096</v>
      </c>
      <c r="U735">
        <v>980</v>
      </c>
      <c r="V735">
        <v>1135</v>
      </c>
      <c r="W735">
        <v>1032</v>
      </c>
      <c r="X735">
        <v>1010</v>
      </c>
      <c r="Y735">
        <v>982</v>
      </c>
      <c r="Z735">
        <v>892</v>
      </c>
      <c r="AA735">
        <v>958</v>
      </c>
      <c r="AB735">
        <v>1028</v>
      </c>
      <c r="AC735">
        <v>974</v>
      </c>
      <c r="AD735">
        <v>1009</v>
      </c>
      <c r="AE735">
        <v>956</v>
      </c>
      <c r="AF735">
        <v>0</v>
      </c>
      <c r="AG735">
        <v>0</v>
      </c>
      <c r="AH735">
        <v>0</v>
      </c>
      <c r="AI735">
        <v>11</v>
      </c>
      <c r="AJ735">
        <v>0</v>
      </c>
      <c r="AK735">
        <v>3</v>
      </c>
      <c r="AL735">
        <v>2</v>
      </c>
      <c r="AM735">
        <v>3</v>
      </c>
      <c r="AN735">
        <v>5</v>
      </c>
      <c r="AO735">
        <v>0</v>
      </c>
      <c r="AP735">
        <v>1131</v>
      </c>
      <c r="AQ735">
        <v>1</v>
      </c>
      <c r="AR735">
        <v>0</v>
      </c>
      <c r="AS735">
        <v>2</v>
      </c>
      <c r="AT735">
        <v>1</v>
      </c>
      <c r="AU735">
        <v>0</v>
      </c>
      <c r="AV735">
        <v>0</v>
      </c>
      <c r="AW735">
        <v>0</v>
      </c>
      <c r="AX735">
        <v>0</v>
      </c>
      <c r="AY735">
        <v>10</v>
      </c>
      <c r="AZ735">
        <v>3</v>
      </c>
      <c r="BA735">
        <v>940</v>
      </c>
      <c r="BB735">
        <v>15</v>
      </c>
      <c r="BC735">
        <v>24</v>
      </c>
      <c r="BD735">
        <v>0</v>
      </c>
      <c r="BE735">
        <v>5</v>
      </c>
      <c r="BF735">
        <v>33</v>
      </c>
      <c r="BG735">
        <v>1</v>
      </c>
      <c r="BH735">
        <v>1</v>
      </c>
      <c r="BI735">
        <v>0</v>
      </c>
      <c r="BJ735">
        <v>0</v>
      </c>
      <c r="BK735">
        <v>0</v>
      </c>
      <c r="BL735">
        <v>997</v>
      </c>
      <c r="BM735">
        <v>0</v>
      </c>
      <c r="BN735">
        <v>4</v>
      </c>
      <c r="BO735">
        <v>0</v>
      </c>
      <c r="BP735">
        <v>4</v>
      </c>
      <c r="BQ735">
        <v>0</v>
      </c>
      <c r="BR735">
        <v>5</v>
      </c>
      <c r="BS735">
        <v>0</v>
      </c>
      <c r="BT735">
        <v>0</v>
      </c>
      <c r="BU735">
        <v>0</v>
      </c>
      <c r="BV735">
        <v>0</v>
      </c>
      <c r="BW735">
        <v>972</v>
      </c>
      <c r="BX735">
        <v>0</v>
      </c>
      <c r="BY735">
        <v>3</v>
      </c>
      <c r="BZ735">
        <v>1</v>
      </c>
      <c r="CA735">
        <v>1</v>
      </c>
      <c r="CB735">
        <v>5</v>
      </c>
      <c r="CC735">
        <v>5</v>
      </c>
      <c r="CD735">
        <v>1</v>
      </c>
      <c r="CE735">
        <v>0</v>
      </c>
      <c r="CF735">
        <v>10</v>
      </c>
      <c r="CG735">
        <v>2</v>
      </c>
      <c r="CH735">
        <v>786</v>
      </c>
      <c r="CI735">
        <v>11</v>
      </c>
      <c r="CJ735">
        <v>3</v>
      </c>
      <c r="CK735">
        <v>13</v>
      </c>
      <c r="CL735">
        <v>61</v>
      </c>
      <c r="CM735">
        <v>10</v>
      </c>
      <c r="CN735">
        <v>4</v>
      </c>
      <c r="CO735">
        <v>0</v>
      </c>
      <c r="CP735">
        <v>0</v>
      </c>
      <c r="CQ735">
        <v>14</v>
      </c>
      <c r="CR735">
        <v>1</v>
      </c>
      <c r="CS735">
        <v>929</v>
      </c>
      <c r="CT735">
        <v>0</v>
      </c>
      <c r="CU735">
        <v>0</v>
      </c>
      <c r="CV735">
        <v>0</v>
      </c>
      <c r="CW735">
        <v>1</v>
      </c>
      <c r="CX735">
        <v>1</v>
      </c>
      <c r="CY735">
        <v>4</v>
      </c>
      <c r="CZ735">
        <v>2</v>
      </c>
      <c r="DA735">
        <v>0</v>
      </c>
      <c r="DB735">
        <v>0</v>
      </c>
      <c r="DC735">
        <v>0</v>
      </c>
      <c r="DD735">
        <v>1008</v>
      </c>
      <c r="DE735">
        <v>2</v>
      </c>
      <c r="DF735">
        <v>10</v>
      </c>
      <c r="DG735">
        <v>5</v>
      </c>
      <c r="DH735">
        <v>4</v>
      </c>
      <c r="DI735">
        <v>4</v>
      </c>
      <c r="DJ735">
        <v>4</v>
      </c>
      <c r="DK735">
        <v>8</v>
      </c>
      <c r="DL735">
        <v>5</v>
      </c>
      <c r="DM735">
        <v>16</v>
      </c>
      <c r="DN735">
        <v>5</v>
      </c>
      <c r="DO735">
        <v>893</v>
      </c>
      <c r="DP735">
        <v>30</v>
      </c>
      <c r="DQ735">
        <v>4</v>
      </c>
      <c r="DR735">
        <v>4</v>
      </c>
      <c r="DS735">
        <v>0</v>
      </c>
      <c r="DT735">
        <v>3</v>
      </c>
      <c r="DU735">
        <v>10</v>
      </c>
      <c r="DV735">
        <v>2</v>
      </c>
      <c r="DW735">
        <v>0</v>
      </c>
      <c r="DX735">
        <v>5</v>
      </c>
      <c r="DY735">
        <v>2</v>
      </c>
      <c r="DZ735">
        <v>979</v>
      </c>
      <c r="EA735">
        <v>0.95909999999999995</v>
      </c>
      <c r="EB735">
        <v>0.96030240041314796</v>
      </c>
      <c r="EC735">
        <v>0.95783287432999398</v>
      </c>
      <c r="ED735">
        <v>0.95823726157016198</v>
      </c>
      <c r="EE735">
        <f>SUM(Table1[[#This Row],[ratio_0]:[ratio_9]])</f>
        <v>550</v>
      </c>
      <c r="EF735" s="1">
        <f>(Table1[[#This Row],[predicted_0]]-Table1[[#This Row],[actual_0]])/Table1[[#This Row],[actual_0]]</f>
        <v>1.1224489795918367E-2</v>
      </c>
      <c r="EG735" s="1">
        <f>(Table1[[#This Row],[predicted_1]]-Table1[[#This Row],[actual_1]])/Table1[[#This Row],[actual_1]]</f>
        <v>1.145374449339207E-2</v>
      </c>
      <c r="EH735" s="1">
        <f>(Table1[[#This Row],[predicted_2]]-Table1[[#This Row],[actual_2]])/Table1[[#This Row],[actual_2]]</f>
        <v>-8.0426356589147291E-2</v>
      </c>
      <c r="EI735" s="1">
        <f>(Table1[[#This Row],[predicted_3]]-Table1[[#This Row],[actual_3]])/Table1[[#This Row],[actual_3]]</f>
        <v>2.0792079207920793E-2</v>
      </c>
      <c r="EJ735" s="1">
        <f>(Table1[[#This Row],[predicted_4]]-Table1[[#This Row],[actual_4]])/Table1[[#This Row],[actual_4]]</f>
        <v>6.2118126272912425E-2</v>
      </c>
      <c r="EK735" s="1">
        <f>(Table1[[#This Row],[predicted_5]]-Table1[[#This Row],[actual_5]])/Table1[[#This Row],[actual_5]]</f>
        <v>-0.10426008968609865</v>
      </c>
      <c r="EL735" s="1">
        <f>(Table1[[#This Row],[predicted_6]]-Table1[[#This Row],[actual_6]])/Table1[[#This Row],[actual_6]]</f>
        <v>9.3945720250521916E-3</v>
      </c>
      <c r="EM735" s="1">
        <f>(Table1[[#This Row],[predicted_7]]-Table1[[#This Row],[actual_7]])/Table1[[#This Row],[actual_7]]</f>
        <v>3.2101167315175094E-2</v>
      </c>
      <c r="EN735" s="1">
        <f>(Table1[[#This Row],[predicted_8]]-Table1[[#This Row],[actual_8]])/Table1[[#This Row],[actual_8]]</f>
        <v>-6.0574948665297744E-2</v>
      </c>
      <c r="EO735" s="1">
        <f>(Table1[[#This Row],[predicted_9]]-Table1[[#This Row],[actual_9]])/Table1[[#This Row],[actual_9]]</f>
        <v>8.6223984142715565E-2</v>
      </c>
      <c r="EP735" s="1">
        <f>1+(Table1[[#This Row],[error_ratio_0]]-EF$2)</f>
        <v>1.0091836734693878</v>
      </c>
      <c r="EQ735" s="1">
        <f>1+(Table1[[#This Row],[error_ratio_1]]-EG$2)</f>
        <v>1.0096916299559471</v>
      </c>
      <c r="ER735" s="1">
        <f>1+(Table1[[#This Row],[error_ratio_2]]-EH$2)</f>
        <v>0.92441860465116277</v>
      </c>
      <c r="ES735" s="1">
        <f>1+(Table1[[#This Row],[error_ratio_3]]-EI$2)</f>
        <v>1.0108910891089109</v>
      </c>
      <c r="ET735" s="1">
        <f>1+(Table1[[#This Row],[error_ratio_4]]-EJ$2)</f>
        <v>1.0610997963340123</v>
      </c>
      <c r="EU735" s="1">
        <f>1+(Table1[[#This Row],[error_ratio_5]]-EK$2)</f>
        <v>0.89461883408071752</v>
      </c>
      <c r="EV735" s="1">
        <f>1+(Table1[[#This Row],[error_ratio_6]]-EL$2)</f>
        <v>1.0156576200417538</v>
      </c>
      <c r="EW735" s="1">
        <f>1+(Table1[[#This Row],[error_ratio_7]]-EM$2)</f>
        <v>1.0301556420233462</v>
      </c>
      <c r="EX735" s="1">
        <f>1+(Table1[[#This Row],[error_ratio_8]]-EN$2)</f>
        <v>0.94250513347022591</v>
      </c>
      <c r="EY735" s="1">
        <f>1+(Table1[[#This Row],[error_ratio_9]]-EO$2)</f>
        <v>1.0901883052527255</v>
      </c>
    </row>
    <row r="736" spans="1:155" x14ac:dyDescent="0.75">
      <c r="A736">
        <v>100</v>
      </c>
      <c r="B736">
        <v>10</v>
      </c>
      <c r="C736">
        <v>10</v>
      </c>
      <c r="D736">
        <v>100</v>
      </c>
      <c r="E736">
        <v>100</v>
      </c>
      <c r="F736">
        <v>10</v>
      </c>
      <c r="G736">
        <v>100</v>
      </c>
      <c r="H736">
        <v>100</v>
      </c>
      <c r="I736">
        <v>10</v>
      </c>
      <c r="J736">
        <v>10</v>
      </c>
      <c r="K736">
        <v>1040</v>
      </c>
      <c r="L736">
        <v>1134</v>
      </c>
      <c r="M736">
        <v>1003</v>
      </c>
      <c r="N736">
        <v>1020</v>
      </c>
      <c r="O736">
        <v>1029</v>
      </c>
      <c r="P736">
        <v>850</v>
      </c>
      <c r="Q736">
        <v>939</v>
      </c>
      <c r="R736">
        <v>1214</v>
      </c>
      <c r="S736">
        <v>981</v>
      </c>
      <c r="T736">
        <v>790</v>
      </c>
      <c r="U736">
        <v>980</v>
      </c>
      <c r="V736">
        <v>1135</v>
      </c>
      <c r="W736">
        <v>1032</v>
      </c>
      <c r="X736">
        <v>1010</v>
      </c>
      <c r="Y736">
        <v>982</v>
      </c>
      <c r="Z736">
        <v>892</v>
      </c>
      <c r="AA736">
        <v>958</v>
      </c>
      <c r="AB736">
        <v>1028</v>
      </c>
      <c r="AC736">
        <v>974</v>
      </c>
      <c r="AD736">
        <v>1009</v>
      </c>
      <c r="AE736">
        <v>978</v>
      </c>
      <c r="AF736">
        <v>0</v>
      </c>
      <c r="AG736">
        <v>0</v>
      </c>
      <c r="AH736">
        <v>0</v>
      </c>
      <c r="AI736">
        <v>0</v>
      </c>
      <c r="AJ736">
        <v>0</v>
      </c>
      <c r="AK736">
        <v>0</v>
      </c>
      <c r="AL736">
        <v>2</v>
      </c>
      <c r="AM736">
        <v>0</v>
      </c>
      <c r="AN736">
        <v>0</v>
      </c>
      <c r="AO736">
        <v>2</v>
      </c>
      <c r="AP736">
        <v>1119</v>
      </c>
      <c r="AQ736">
        <v>3</v>
      </c>
      <c r="AR736">
        <v>0</v>
      </c>
      <c r="AS736">
        <v>1</v>
      </c>
      <c r="AT736">
        <v>1</v>
      </c>
      <c r="AU736">
        <v>0</v>
      </c>
      <c r="AV736">
        <v>8</v>
      </c>
      <c r="AW736">
        <v>1</v>
      </c>
      <c r="AX736">
        <v>0</v>
      </c>
      <c r="AY736">
        <v>2</v>
      </c>
      <c r="AZ736">
        <v>3</v>
      </c>
      <c r="BA736">
        <v>979</v>
      </c>
      <c r="BB736">
        <v>14</v>
      </c>
      <c r="BC736">
        <v>11</v>
      </c>
      <c r="BD736">
        <v>0</v>
      </c>
      <c r="BE736">
        <v>0</v>
      </c>
      <c r="BF736">
        <v>21</v>
      </c>
      <c r="BG736">
        <v>2</v>
      </c>
      <c r="BH736">
        <v>0</v>
      </c>
      <c r="BI736">
        <v>9</v>
      </c>
      <c r="BJ736">
        <v>1</v>
      </c>
      <c r="BK736">
        <v>5</v>
      </c>
      <c r="BL736">
        <v>979</v>
      </c>
      <c r="BM736">
        <v>0</v>
      </c>
      <c r="BN736">
        <v>6</v>
      </c>
      <c r="BO736">
        <v>0</v>
      </c>
      <c r="BP736">
        <v>9</v>
      </c>
      <c r="BQ736">
        <v>1</v>
      </c>
      <c r="BR736">
        <v>0</v>
      </c>
      <c r="BS736">
        <v>0</v>
      </c>
      <c r="BT736">
        <v>0</v>
      </c>
      <c r="BU736">
        <v>0</v>
      </c>
      <c r="BV736">
        <v>0</v>
      </c>
      <c r="BW736">
        <v>974</v>
      </c>
      <c r="BX736">
        <v>0</v>
      </c>
      <c r="BY736">
        <v>0</v>
      </c>
      <c r="BZ736">
        <v>5</v>
      </c>
      <c r="CA736">
        <v>1</v>
      </c>
      <c r="CB736">
        <v>2</v>
      </c>
      <c r="CC736">
        <v>14</v>
      </c>
      <c r="CD736">
        <v>0</v>
      </c>
      <c r="CE736">
        <v>2</v>
      </c>
      <c r="CF736">
        <v>11</v>
      </c>
      <c r="CG736">
        <v>0</v>
      </c>
      <c r="CH736">
        <v>823</v>
      </c>
      <c r="CI736">
        <v>12</v>
      </c>
      <c r="CJ736">
        <v>17</v>
      </c>
      <c r="CK736">
        <v>13</v>
      </c>
      <c r="CL736">
        <v>0</v>
      </c>
      <c r="CM736">
        <v>15</v>
      </c>
      <c r="CN736">
        <v>3</v>
      </c>
      <c r="CO736">
        <v>3</v>
      </c>
      <c r="CP736">
        <v>0</v>
      </c>
      <c r="CQ736">
        <v>10</v>
      </c>
      <c r="CR736">
        <v>2</v>
      </c>
      <c r="CS736">
        <v>924</v>
      </c>
      <c r="CT736">
        <v>0</v>
      </c>
      <c r="CU736">
        <v>1</v>
      </c>
      <c r="CV736">
        <v>0</v>
      </c>
      <c r="CW736">
        <v>0</v>
      </c>
      <c r="CX736">
        <v>2</v>
      </c>
      <c r="CY736">
        <v>4</v>
      </c>
      <c r="CZ736">
        <v>2</v>
      </c>
      <c r="DA736">
        <v>0</v>
      </c>
      <c r="DB736">
        <v>0</v>
      </c>
      <c r="DC736">
        <v>0</v>
      </c>
      <c r="DD736">
        <v>1020</v>
      </c>
      <c r="DE736">
        <v>0</v>
      </c>
      <c r="DF736">
        <v>0</v>
      </c>
      <c r="DG736">
        <v>15</v>
      </c>
      <c r="DH736">
        <v>2</v>
      </c>
      <c r="DI736">
        <v>6</v>
      </c>
      <c r="DJ736">
        <v>5</v>
      </c>
      <c r="DK736">
        <v>6</v>
      </c>
      <c r="DL736">
        <v>0</v>
      </c>
      <c r="DM736">
        <v>2</v>
      </c>
      <c r="DN736">
        <v>17</v>
      </c>
      <c r="DO736">
        <v>920</v>
      </c>
      <c r="DP736">
        <v>1</v>
      </c>
      <c r="DQ736">
        <v>5</v>
      </c>
      <c r="DR736">
        <v>4</v>
      </c>
      <c r="DS736">
        <v>1</v>
      </c>
      <c r="DT736">
        <v>9</v>
      </c>
      <c r="DU736">
        <v>27</v>
      </c>
      <c r="DV736">
        <v>18</v>
      </c>
      <c r="DW736">
        <v>1</v>
      </c>
      <c r="DX736">
        <v>115</v>
      </c>
      <c r="DY736">
        <v>42</v>
      </c>
      <c r="DZ736">
        <v>787</v>
      </c>
      <c r="EA736">
        <v>0.95030000000000003</v>
      </c>
      <c r="EB736">
        <v>0.95360624879037104</v>
      </c>
      <c r="EC736">
        <v>0.94975777026785302</v>
      </c>
      <c r="ED736">
        <v>0.94950904420729598</v>
      </c>
      <c r="EE736">
        <f>SUM(Table1[[#This Row],[ratio_0]:[ratio_9]])</f>
        <v>550</v>
      </c>
      <c r="EF736" s="1">
        <f>(Table1[[#This Row],[predicted_0]]-Table1[[#This Row],[actual_0]])/Table1[[#This Row],[actual_0]]</f>
        <v>6.1224489795918366E-2</v>
      </c>
      <c r="EG736" s="1">
        <f>(Table1[[#This Row],[predicted_1]]-Table1[[#This Row],[actual_1]])/Table1[[#This Row],[actual_1]]</f>
        <v>-8.81057268722467E-4</v>
      </c>
      <c r="EH736" s="1">
        <f>(Table1[[#This Row],[predicted_2]]-Table1[[#This Row],[actual_2]])/Table1[[#This Row],[actual_2]]</f>
        <v>-2.8100775193798451E-2</v>
      </c>
      <c r="EI736" s="1">
        <f>(Table1[[#This Row],[predicted_3]]-Table1[[#This Row],[actual_3]])/Table1[[#This Row],[actual_3]]</f>
        <v>9.9009900990099011E-3</v>
      </c>
      <c r="EJ736" s="1">
        <f>(Table1[[#This Row],[predicted_4]]-Table1[[#This Row],[actual_4]])/Table1[[#This Row],[actual_4]]</f>
        <v>4.7861507128309569E-2</v>
      </c>
      <c r="EK736" s="1">
        <f>(Table1[[#This Row],[predicted_5]]-Table1[[#This Row],[actual_5]])/Table1[[#This Row],[actual_5]]</f>
        <v>-4.708520179372197E-2</v>
      </c>
      <c r="EL736" s="1">
        <f>(Table1[[#This Row],[predicted_6]]-Table1[[#This Row],[actual_6]])/Table1[[#This Row],[actual_6]]</f>
        <v>-1.9832985386221295E-2</v>
      </c>
      <c r="EM736" s="1">
        <f>(Table1[[#This Row],[predicted_7]]-Table1[[#This Row],[actual_7]])/Table1[[#This Row],[actual_7]]</f>
        <v>0.18093385214007782</v>
      </c>
      <c r="EN736" s="1">
        <f>(Table1[[#This Row],[predicted_8]]-Table1[[#This Row],[actual_8]])/Table1[[#This Row],[actual_8]]</f>
        <v>7.1868583162217657E-3</v>
      </c>
      <c r="EO736" s="1">
        <f>(Table1[[#This Row],[predicted_9]]-Table1[[#This Row],[actual_9]])/Table1[[#This Row],[actual_9]]</f>
        <v>-0.21704658077304262</v>
      </c>
      <c r="EP736" s="1">
        <f>1+(Table1[[#This Row],[error_ratio_0]]-EF$2)</f>
        <v>1.0591836734693878</v>
      </c>
      <c r="EQ736" s="1">
        <f>1+(Table1[[#This Row],[error_ratio_1]]-EG$2)</f>
        <v>0.99735682819383265</v>
      </c>
      <c r="ER736" s="1">
        <f>1+(Table1[[#This Row],[error_ratio_2]]-EH$2)</f>
        <v>0.97674418604651159</v>
      </c>
      <c r="ES736" s="1">
        <f>1+(Table1[[#This Row],[error_ratio_3]]-EI$2)</f>
        <v>1</v>
      </c>
      <c r="ET736" s="1">
        <f>1+(Table1[[#This Row],[error_ratio_4]]-EJ$2)</f>
        <v>1.0468431771894093</v>
      </c>
      <c r="EU736" s="1">
        <f>1+(Table1[[#This Row],[error_ratio_5]]-EK$2)</f>
        <v>0.9517937219730942</v>
      </c>
      <c r="EV736" s="1">
        <f>1+(Table1[[#This Row],[error_ratio_6]]-EL$2)</f>
        <v>0.98643006263048016</v>
      </c>
      <c r="EW736" s="1">
        <f>1+(Table1[[#This Row],[error_ratio_7]]-EM$2)</f>
        <v>1.1789883268482491</v>
      </c>
      <c r="EX736" s="1">
        <f>1+(Table1[[#This Row],[error_ratio_8]]-EN$2)</f>
        <v>1.0102669404517455</v>
      </c>
      <c r="EY736" s="1">
        <f>1+(Table1[[#This Row],[error_ratio_9]]-EO$2)</f>
        <v>0.78691774033696726</v>
      </c>
    </row>
    <row r="737" spans="1:155" x14ac:dyDescent="0.75">
      <c r="A737">
        <v>10</v>
      </c>
      <c r="B737">
        <v>10</v>
      </c>
      <c r="C737">
        <v>10</v>
      </c>
      <c r="D737">
        <v>100</v>
      </c>
      <c r="E737">
        <v>100</v>
      </c>
      <c r="F737">
        <v>10</v>
      </c>
      <c r="G737">
        <v>100</v>
      </c>
      <c r="H737">
        <v>100</v>
      </c>
      <c r="I737">
        <v>10</v>
      </c>
      <c r="J737">
        <v>10</v>
      </c>
      <c r="K737">
        <v>969</v>
      </c>
      <c r="L737">
        <v>1096</v>
      </c>
      <c r="M737">
        <v>1015</v>
      </c>
      <c r="N737">
        <v>1030</v>
      </c>
      <c r="O737">
        <v>1067</v>
      </c>
      <c r="P737">
        <v>838</v>
      </c>
      <c r="Q737">
        <v>1115</v>
      </c>
      <c r="R737">
        <v>1071</v>
      </c>
      <c r="S737">
        <v>868</v>
      </c>
      <c r="T737">
        <v>931</v>
      </c>
      <c r="U737">
        <v>980</v>
      </c>
      <c r="V737">
        <v>1135</v>
      </c>
      <c r="W737">
        <v>1032</v>
      </c>
      <c r="X737">
        <v>1010</v>
      </c>
      <c r="Y737">
        <v>982</v>
      </c>
      <c r="Z737">
        <v>892</v>
      </c>
      <c r="AA737">
        <v>958</v>
      </c>
      <c r="AB737">
        <v>1028</v>
      </c>
      <c r="AC737">
        <v>974</v>
      </c>
      <c r="AD737">
        <v>1009</v>
      </c>
      <c r="AE737">
        <v>954</v>
      </c>
      <c r="AF737">
        <v>0</v>
      </c>
      <c r="AG737">
        <v>1</v>
      </c>
      <c r="AH737">
        <v>1</v>
      </c>
      <c r="AI737">
        <v>3</v>
      </c>
      <c r="AJ737">
        <v>1</v>
      </c>
      <c r="AK737">
        <v>10</v>
      </c>
      <c r="AL737">
        <v>8</v>
      </c>
      <c r="AM737">
        <v>2</v>
      </c>
      <c r="AN737">
        <v>0</v>
      </c>
      <c r="AO737">
        <v>0</v>
      </c>
      <c r="AP737">
        <v>1084</v>
      </c>
      <c r="AQ737">
        <v>2</v>
      </c>
      <c r="AR737">
        <v>1</v>
      </c>
      <c r="AS737">
        <v>3</v>
      </c>
      <c r="AT737">
        <v>0</v>
      </c>
      <c r="AU737">
        <v>43</v>
      </c>
      <c r="AV737">
        <v>2</v>
      </c>
      <c r="AW737">
        <v>0</v>
      </c>
      <c r="AX737">
        <v>0</v>
      </c>
      <c r="AY737">
        <v>2</v>
      </c>
      <c r="AZ737">
        <v>3</v>
      </c>
      <c r="BA737">
        <v>991</v>
      </c>
      <c r="BB737">
        <v>4</v>
      </c>
      <c r="BC737">
        <v>15</v>
      </c>
      <c r="BD737">
        <v>0</v>
      </c>
      <c r="BE737">
        <v>8</v>
      </c>
      <c r="BF737">
        <v>9</v>
      </c>
      <c r="BG737">
        <v>0</v>
      </c>
      <c r="BH737">
        <v>0</v>
      </c>
      <c r="BI737">
        <v>1</v>
      </c>
      <c r="BJ737">
        <v>0</v>
      </c>
      <c r="BK737">
        <v>3</v>
      </c>
      <c r="BL737">
        <v>998</v>
      </c>
      <c r="BM737">
        <v>0</v>
      </c>
      <c r="BN737">
        <v>2</v>
      </c>
      <c r="BO737">
        <v>1</v>
      </c>
      <c r="BP737">
        <v>5</v>
      </c>
      <c r="BQ737">
        <v>0</v>
      </c>
      <c r="BR737">
        <v>0</v>
      </c>
      <c r="BS737">
        <v>0</v>
      </c>
      <c r="BT737">
        <v>0</v>
      </c>
      <c r="BU737">
        <v>0</v>
      </c>
      <c r="BV737">
        <v>0</v>
      </c>
      <c r="BW737">
        <v>980</v>
      </c>
      <c r="BX737">
        <v>0</v>
      </c>
      <c r="BY737">
        <v>2</v>
      </c>
      <c r="BZ737">
        <v>0</v>
      </c>
      <c r="CA737">
        <v>0</v>
      </c>
      <c r="CB737">
        <v>0</v>
      </c>
      <c r="CC737">
        <v>3</v>
      </c>
      <c r="CD737">
        <v>0</v>
      </c>
      <c r="CE737">
        <v>1</v>
      </c>
      <c r="CF737">
        <v>18</v>
      </c>
      <c r="CG737">
        <v>1</v>
      </c>
      <c r="CH737">
        <v>821</v>
      </c>
      <c r="CI737">
        <v>43</v>
      </c>
      <c r="CJ737">
        <v>4</v>
      </c>
      <c r="CK737">
        <v>1</v>
      </c>
      <c r="CL737">
        <v>0</v>
      </c>
      <c r="CM737">
        <v>2</v>
      </c>
      <c r="CN737">
        <v>0</v>
      </c>
      <c r="CO737">
        <v>1</v>
      </c>
      <c r="CP737">
        <v>0</v>
      </c>
      <c r="CQ737">
        <v>3</v>
      </c>
      <c r="CR737">
        <v>1</v>
      </c>
      <c r="CS737">
        <v>951</v>
      </c>
      <c r="CT737">
        <v>0</v>
      </c>
      <c r="CU737">
        <v>0</v>
      </c>
      <c r="CV737">
        <v>0</v>
      </c>
      <c r="CW737">
        <v>0</v>
      </c>
      <c r="CX737">
        <v>2</v>
      </c>
      <c r="CY737">
        <v>11</v>
      </c>
      <c r="CZ737">
        <v>0</v>
      </c>
      <c r="DA737">
        <v>4</v>
      </c>
      <c r="DB737">
        <v>0</v>
      </c>
      <c r="DC737">
        <v>0</v>
      </c>
      <c r="DD737">
        <v>1010</v>
      </c>
      <c r="DE737">
        <v>0</v>
      </c>
      <c r="DF737">
        <v>1</v>
      </c>
      <c r="DG737">
        <v>4</v>
      </c>
      <c r="DH737">
        <v>3</v>
      </c>
      <c r="DI737">
        <v>2</v>
      </c>
      <c r="DJ737">
        <v>3</v>
      </c>
      <c r="DK737">
        <v>15</v>
      </c>
      <c r="DL737">
        <v>4</v>
      </c>
      <c r="DM737">
        <v>57</v>
      </c>
      <c r="DN737">
        <v>21</v>
      </c>
      <c r="DO737">
        <v>860</v>
      </c>
      <c r="DP737">
        <v>5</v>
      </c>
      <c r="DQ737">
        <v>3</v>
      </c>
      <c r="DR737">
        <v>4</v>
      </c>
      <c r="DS737">
        <v>3</v>
      </c>
      <c r="DT737">
        <v>5</v>
      </c>
      <c r="DU737">
        <v>43</v>
      </c>
      <c r="DV737">
        <v>9</v>
      </c>
      <c r="DW737">
        <v>0</v>
      </c>
      <c r="DX737">
        <v>12</v>
      </c>
      <c r="DY737">
        <v>5</v>
      </c>
      <c r="DZ737">
        <v>925</v>
      </c>
      <c r="EA737">
        <v>0.95740000000000003</v>
      </c>
      <c r="EB737">
        <v>0.95973319309331595</v>
      </c>
      <c r="EC737">
        <v>0.95701820428876605</v>
      </c>
      <c r="ED737">
        <v>0.957034960025409</v>
      </c>
      <c r="EE737">
        <f>SUM(Table1[[#This Row],[ratio_0]:[ratio_9]])</f>
        <v>460</v>
      </c>
      <c r="EF737" s="1">
        <f>(Table1[[#This Row],[predicted_0]]-Table1[[#This Row],[actual_0]])/Table1[[#This Row],[actual_0]]</f>
        <v>-1.1224489795918367E-2</v>
      </c>
      <c r="EG737" s="1">
        <f>(Table1[[#This Row],[predicted_1]]-Table1[[#This Row],[actual_1]])/Table1[[#This Row],[actual_1]]</f>
        <v>-3.4361233480176209E-2</v>
      </c>
      <c r="EH737" s="1">
        <f>(Table1[[#This Row],[predicted_2]]-Table1[[#This Row],[actual_2]])/Table1[[#This Row],[actual_2]]</f>
        <v>-1.6472868217054265E-2</v>
      </c>
      <c r="EI737" s="1">
        <f>(Table1[[#This Row],[predicted_3]]-Table1[[#This Row],[actual_3]])/Table1[[#This Row],[actual_3]]</f>
        <v>1.9801980198019802E-2</v>
      </c>
      <c r="EJ737" s="1">
        <f>(Table1[[#This Row],[predicted_4]]-Table1[[#This Row],[actual_4]])/Table1[[#This Row],[actual_4]]</f>
        <v>8.6558044806517312E-2</v>
      </c>
      <c r="EK737" s="1">
        <f>(Table1[[#This Row],[predicted_5]]-Table1[[#This Row],[actual_5]])/Table1[[#This Row],[actual_5]]</f>
        <v>-6.0538116591928252E-2</v>
      </c>
      <c r="EL737" s="1">
        <f>(Table1[[#This Row],[predicted_6]]-Table1[[#This Row],[actual_6]])/Table1[[#This Row],[actual_6]]</f>
        <v>0.1638830897703549</v>
      </c>
      <c r="EM737" s="1">
        <f>(Table1[[#This Row],[predicted_7]]-Table1[[#This Row],[actual_7]])/Table1[[#This Row],[actual_7]]</f>
        <v>4.1828793774319063E-2</v>
      </c>
      <c r="EN737" s="1">
        <f>(Table1[[#This Row],[predicted_8]]-Table1[[#This Row],[actual_8]])/Table1[[#This Row],[actual_8]]</f>
        <v>-0.10882956878850103</v>
      </c>
      <c r="EO737" s="1">
        <f>(Table1[[#This Row],[predicted_9]]-Table1[[#This Row],[actual_9]])/Table1[[#This Row],[actual_9]]</f>
        <v>-7.7304261645193259E-2</v>
      </c>
      <c r="EP737" s="1">
        <f>1+(Table1[[#This Row],[error_ratio_0]]-EF$2)</f>
        <v>0.98673469387755097</v>
      </c>
      <c r="EQ737" s="1">
        <f>1+(Table1[[#This Row],[error_ratio_1]]-EG$2)</f>
        <v>0.96387665198237882</v>
      </c>
      <c r="ER737" s="1">
        <f>1+(Table1[[#This Row],[error_ratio_2]]-EH$2)</f>
        <v>0.98837209302325579</v>
      </c>
      <c r="ES737" s="1">
        <f>1+(Table1[[#This Row],[error_ratio_3]]-EI$2)</f>
        <v>1.0099009900990099</v>
      </c>
      <c r="ET737" s="1">
        <f>1+(Table1[[#This Row],[error_ratio_4]]-EJ$2)</f>
        <v>1.0855397148676171</v>
      </c>
      <c r="EU737" s="1">
        <f>1+(Table1[[#This Row],[error_ratio_5]]-EK$2)</f>
        <v>0.93834080717488788</v>
      </c>
      <c r="EV737" s="1">
        <f>1+(Table1[[#This Row],[error_ratio_6]]-EL$2)</f>
        <v>1.1701461377870563</v>
      </c>
      <c r="EW737" s="1">
        <f>1+(Table1[[#This Row],[error_ratio_7]]-EM$2)</f>
        <v>1.0398832684824904</v>
      </c>
      <c r="EX737" s="1">
        <f>1+(Table1[[#This Row],[error_ratio_8]]-EN$2)</f>
        <v>0.89425051334702255</v>
      </c>
      <c r="EY737" s="1">
        <f>1+(Table1[[#This Row],[error_ratio_9]]-EO$2)</f>
        <v>0.92666005946481667</v>
      </c>
    </row>
    <row r="738" spans="1:155" x14ac:dyDescent="0.75">
      <c r="A738">
        <v>100</v>
      </c>
      <c r="B738">
        <v>100</v>
      </c>
      <c r="C738">
        <v>100</v>
      </c>
      <c r="D738">
        <v>10</v>
      </c>
      <c r="E738">
        <v>100</v>
      </c>
      <c r="F738">
        <v>10</v>
      </c>
      <c r="G738">
        <v>100</v>
      </c>
      <c r="H738">
        <v>100</v>
      </c>
      <c r="I738">
        <v>10</v>
      </c>
      <c r="J738">
        <v>10</v>
      </c>
      <c r="K738">
        <v>1037</v>
      </c>
      <c r="L738">
        <v>1151</v>
      </c>
      <c r="M738">
        <v>1074</v>
      </c>
      <c r="N738">
        <v>968</v>
      </c>
      <c r="O738">
        <v>1023</v>
      </c>
      <c r="P738">
        <v>895</v>
      </c>
      <c r="Q738">
        <v>940</v>
      </c>
      <c r="R738">
        <v>1047</v>
      </c>
      <c r="S738">
        <v>903</v>
      </c>
      <c r="T738">
        <v>962</v>
      </c>
      <c r="U738">
        <v>980</v>
      </c>
      <c r="V738">
        <v>1135</v>
      </c>
      <c r="W738">
        <v>1032</v>
      </c>
      <c r="X738">
        <v>1010</v>
      </c>
      <c r="Y738">
        <v>982</v>
      </c>
      <c r="Z738">
        <v>892</v>
      </c>
      <c r="AA738">
        <v>958</v>
      </c>
      <c r="AB738">
        <v>1028</v>
      </c>
      <c r="AC738">
        <v>974</v>
      </c>
      <c r="AD738">
        <v>1009</v>
      </c>
      <c r="AE738">
        <v>977</v>
      </c>
      <c r="AF738">
        <v>1</v>
      </c>
      <c r="AG738">
        <v>0</v>
      </c>
      <c r="AH738">
        <v>0</v>
      </c>
      <c r="AI738">
        <v>0</v>
      </c>
      <c r="AJ738">
        <v>0</v>
      </c>
      <c r="AK738">
        <v>0</v>
      </c>
      <c r="AL738">
        <v>2</v>
      </c>
      <c r="AM738">
        <v>0</v>
      </c>
      <c r="AN738">
        <v>0</v>
      </c>
      <c r="AO738">
        <v>0</v>
      </c>
      <c r="AP738">
        <v>1133</v>
      </c>
      <c r="AQ738">
        <v>0</v>
      </c>
      <c r="AR738">
        <v>1</v>
      </c>
      <c r="AS738">
        <v>0</v>
      </c>
      <c r="AT738">
        <v>1</v>
      </c>
      <c r="AU738">
        <v>0</v>
      </c>
      <c r="AV738">
        <v>0</v>
      </c>
      <c r="AW738">
        <v>0</v>
      </c>
      <c r="AX738">
        <v>0</v>
      </c>
      <c r="AY738">
        <v>3</v>
      </c>
      <c r="AZ738">
        <v>2</v>
      </c>
      <c r="BA738">
        <v>1021</v>
      </c>
      <c r="BB738">
        <v>0</v>
      </c>
      <c r="BC738">
        <v>1</v>
      </c>
      <c r="BD738">
        <v>0</v>
      </c>
      <c r="BE738">
        <v>1</v>
      </c>
      <c r="BF738">
        <v>4</v>
      </c>
      <c r="BG738">
        <v>0</v>
      </c>
      <c r="BH738">
        <v>0</v>
      </c>
      <c r="BI738">
        <v>5</v>
      </c>
      <c r="BJ738">
        <v>0</v>
      </c>
      <c r="BK738">
        <v>20</v>
      </c>
      <c r="BL738">
        <v>953</v>
      </c>
      <c r="BM738">
        <v>0</v>
      </c>
      <c r="BN738">
        <v>16</v>
      </c>
      <c r="BO738">
        <v>0</v>
      </c>
      <c r="BP738">
        <v>9</v>
      </c>
      <c r="BQ738">
        <v>6</v>
      </c>
      <c r="BR738">
        <v>1</v>
      </c>
      <c r="BS738">
        <v>0</v>
      </c>
      <c r="BT738">
        <v>0</v>
      </c>
      <c r="BU738">
        <v>3</v>
      </c>
      <c r="BV738">
        <v>0</v>
      </c>
      <c r="BW738">
        <v>977</v>
      </c>
      <c r="BX738">
        <v>0</v>
      </c>
      <c r="BY738">
        <v>1</v>
      </c>
      <c r="BZ738">
        <v>0</v>
      </c>
      <c r="CA738">
        <v>0</v>
      </c>
      <c r="CB738">
        <v>1</v>
      </c>
      <c r="CC738">
        <v>6</v>
      </c>
      <c r="CD738">
        <v>1</v>
      </c>
      <c r="CE738">
        <v>0</v>
      </c>
      <c r="CF738">
        <v>7</v>
      </c>
      <c r="CG738">
        <v>0</v>
      </c>
      <c r="CH738">
        <v>868</v>
      </c>
      <c r="CI738">
        <v>4</v>
      </c>
      <c r="CJ738">
        <v>3</v>
      </c>
      <c r="CK738">
        <v>1</v>
      </c>
      <c r="CL738">
        <v>2</v>
      </c>
      <c r="CM738">
        <v>17</v>
      </c>
      <c r="CN738">
        <v>3</v>
      </c>
      <c r="CO738">
        <v>0</v>
      </c>
      <c r="CP738">
        <v>0</v>
      </c>
      <c r="CQ738">
        <v>6</v>
      </c>
      <c r="CR738">
        <v>2</v>
      </c>
      <c r="CS738">
        <v>930</v>
      </c>
      <c r="CT738">
        <v>0</v>
      </c>
      <c r="CU738">
        <v>0</v>
      </c>
      <c r="CV738">
        <v>0</v>
      </c>
      <c r="CW738">
        <v>1</v>
      </c>
      <c r="CX738">
        <v>4</v>
      </c>
      <c r="CY738">
        <v>11</v>
      </c>
      <c r="CZ738">
        <v>0</v>
      </c>
      <c r="DA738">
        <v>2</v>
      </c>
      <c r="DB738">
        <v>0</v>
      </c>
      <c r="DC738">
        <v>0</v>
      </c>
      <c r="DD738">
        <v>1007</v>
      </c>
      <c r="DE738">
        <v>0</v>
      </c>
      <c r="DF738">
        <v>3</v>
      </c>
      <c r="DG738">
        <v>21</v>
      </c>
      <c r="DH738">
        <v>2</v>
      </c>
      <c r="DI738">
        <v>19</v>
      </c>
      <c r="DJ738">
        <v>1</v>
      </c>
      <c r="DK738">
        <v>4</v>
      </c>
      <c r="DL738">
        <v>4</v>
      </c>
      <c r="DM738">
        <v>4</v>
      </c>
      <c r="DN738">
        <v>9</v>
      </c>
      <c r="DO738">
        <v>896</v>
      </c>
      <c r="DP738">
        <v>14</v>
      </c>
      <c r="DQ738">
        <v>7</v>
      </c>
      <c r="DR738">
        <v>5</v>
      </c>
      <c r="DS738">
        <v>0</v>
      </c>
      <c r="DT738">
        <v>6</v>
      </c>
      <c r="DU738">
        <v>33</v>
      </c>
      <c r="DV738">
        <v>4</v>
      </c>
      <c r="DW738">
        <v>0</v>
      </c>
      <c r="DX738">
        <v>13</v>
      </c>
      <c r="DY738">
        <v>0</v>
      </c>
      <c r="DZ738">
        <v>941</v>
      </c>
      <c r="EA738">
        <v>0.97030000000000005</v>
      </c>
      <c r="EB738">
        <v>0.970810058105116</v>
      </c>
      <c r="EC738">
        <v>0.96989534560195501</v>
      </c>
      <c r="ED738">
        <v>0.969939251991214</v>
      </c>
      <c r="EE738">
        <f>SUM(Table1[[#This Row],[ratio_0]:[ratio_9]])</f>
        <v>640</v>
      </c>
      <c r="EF738" s="1">
        <f>(Table1[[#This Row],[predicted_0]]-Table1[[#This Row],[actual_0]])/Table1[[#This Row],[actual_0]]</f>
        <v>5.8163265306122446E-2</v>
      </c>
      <c r="EG738" s="1">
        <f>(Table1[[#This Row],[predicted_1]]-Table1[[#This Row],[actual_1]])/Table1[[#This Row],[actual_1]]</f>
        <v>1.4096916299559472E-2</v>
      </c>
      <c r="EH738" s="1">
        <f>(Table1[[#This Row],[predicted_2]]-Table1[[#This Row],[actual_2]])/Table1[[#This Row],[actual_2]]</f>
        <v>4.0697674418604654E-2</v>
      </c>
      <c r="EI738" s="1">
        <f>(Table1[[#This Row],[predicted_3]]-Table1[[#This Row],[actual_3]])/Table1[[#This Row],[actual_3]]</f>
        <v>-4.1584158415841586E-2</v>
      </c>
      <c r="EJ738" s="1">
        <f>(Table1[[#This Row],[predicted_4]]-Table1[[#This Row],[actual_4]])/Table1[[#This Row],[actual_4]]</f>
        <v>4.1751527494908347E-2</v>
      </c>
      <c r="EK738" s="1">
        <f>(Table1[[#This Row],[predicted_5]]-Table1[[#This Row],[actual_5]])/Table1[[#This Row],[actual_5]]</f>
        <v>3.3632286995515697E-3</v>
      </c>
      <c r="EL738" s="1">
        <f>(Table1[[#This Row],[predicted_6]]-Table1[[#This Row],[actual_6]])/Table1[[#This Row],[actual_6]]</f>
        <v>-1.8789144050104383E-2</v>
      </c>
      <c r="EM738" s="1">
        <f>(Table1[[#This Row],[predicted_7]]-Table1[[#This Row],[actual_7]])/Table1[[#This Row],[actual_7]]</f>
        <v>1.8482490272373541E-2</v>
      </c>
      <c r="EN738" s="1">
        <f>(Table1[[#This Row],[predicted_8]]-Table1[[#This Row],[actual_8]])/Table1[[#This Row],[actual_8]]</f>
        <v>-7.2895277207392195E-2</v>
      </c>
      <c r="EO738" s="1">
        <f>(Table1[[#This Row],[predicted_9]]-Table1[[#This Row],[actual_9]])/Table1[[#This Row],[actual_9]]</f>
        <v>-4.6580773042616451E-2</v>
      </c>
      <c r="EP738" s="1">
        <f>1+(Table1[[#This Row],[error_ratio_0]]-EF$2)</f>
        <v>1.0561224489795917</v>
      </c>
      <c r="EQ738" s="1">
        <f>1+(Table1[[#This Row],[error_ratio_1]]-EG$2)</f>
        <v>1.0123348017621145</v>
      </c>
      <c r="ER738" s="1">
        <f>1+(Table1[[#This Row],[error_ratio_2]]-EH$2)</f>
        <v>1.0455426356589148</v>
      </c>
      <c r="ES738" s="1">
        <f>1+(Table1[[#This Row],[error_ratio_3]]-EI$2)</f>
        <v>0.94851485148514847</v>
      </c>
      <c r="ET738" s="1">
        <f>1+(Table1[[#This Row],[error_ratio_4]]-EJ$2)</f>
        <v>1.0407331975560081</v>
      </c>
      <c r="EU738" s="1">
        <f>1+(Table1[[#This Row],[error_ratio_5]]-EK$2)</f>
        <v>1.0022421524663676</v>
      </c>
      <c r="EV738" s="1">
        <f>1+(Table1[[#This Row],[error_ratio_6]]-EL$2)</f>
        <v>0.98747390396659707</v>
      </c>
      <c r="EW738" s="1">
        <f>1+(Table1[[#This Row],[error_ratio_7]]-EM$2)</f>
        <v>1.0165369649805447</v>
      </c>
      <c r="EX738" s="1">
        <f>1+(Table1[[#This Row],[error_ratio_8]]-EN$2)</f>
        <v>0.93018480492813138</v>
      </c>
      <c r="EY738" s="1">
        <f>1+(Table1[[#This Row],[error_ratio_9]]-EO$2)</f>
        <v>0.95738354806739345</v>
      </c>
    </row>
    <row r="739" spans="1:155" x14ac:dyDescent="0.75">
      <c r="A739">
        <v>10</v>
      </c>
      <c r="B739">
        <v>100</v>
      </c>
      <c r="C739">
        <v>100</v>
      </c>
      <c r="D739">
        <v>10</v>
      </c>
      <c r="E739">
        <v>100</v>
      </c>
      <c r="F739">
        <v>10</v>
      </c>
      <c r="G739">
        <v>100</v>
      </c>
      <c r="H739">
        <v>100</v>
      </c>
      <c r="I739">
        <v>10</v>
      </c>
      <c r="J739">
        <v>10</v>
      </c>
      <c r="K739">
        <v>903</v>
      </c>
      <c r="L739">
        <v>1147</v>
      </c>
      <c r="M739">
        <v>1061</v>
      </c>
      <c r="N739">
        <v>988</v>
      </c>
      <c r="O739">
        <v>980</v>
      </c>
      <c r="P739">
        <v>911</v>
      </c>
      <c r="Q739">
        <v>1021</v>
      </c>
      <c r="R739">
        <v>1060</v>
      </c>
      <c r="S739">
        <v>976</v>
      </c>
      <c r="T739">
        <v>953</v>
      </c>
      <c r="U739">
        <v>980</v>
      </c>
      <c r="V739">
        <v>1135</v>
      </c>
      <c r="W739">
        <v>1032</v>
      </c>
      <c r="X739">
        <v>1010</v>
      </c>
      <c r="Y739">
        <v>982</v>
      </c>
      <c r="Z739">
        <v>892</v>
      </c>
      <c r="AA739">
        <v>958</v>
      </c>
      <c r="AB739">
        <v>1028</v>
      </c>
      <c r="AC739">
        <v>974</v>
      </c>
      <c r="AD739">
        <v>1009</v>
      </c>
      <c r="AE739">
        <v>902</v>
      </c>
      <c r="AF739">
        <v>2</v>
      </c>
      <c r="AG739">
        <v>8</v>
      </c>
      <c r="AH739">
        <v>0</v>
      </c>
      <c r="AI739">
        <v>4</v>
      </c>
      <c r="AJ739">
        <v>3</v>
      </c>
      <c r="AK739">
        <v>37</v>
      </c>
      <c r="AL739">
        <v>4</v>
      </c>
      <c r="AM739">
        <v>17</v>
      </c>
      <c r="AN739">
        <v>3</v>
      </c>
      <c r="AO739">
        <v>0</v>
      </c>
      <c r="AP739">
        <v>1128</v>
      </c>
      <c r="AQ739">
        <v>0</v>
      </c>
      <c r="AR739">
        <v>1</v>
      </c>
      <c r="AS739">
        <v>0</v>
      </c>
      <c r="AT739">
        <v>1</v>
      </c>
      <c r="AU739">
        <v>2</v>
      </c>
      <c r="AV739">
        <v>3</v>
      </c>
      <c r="AW739">
        <v>0</v>
      </c>
      <c r="AX739">
        <v>0</v>
      </c>
      <c r="AY739">
        <v>0</v>
      </c>
      <c r="AZ739">
        <v>1</v>
      </c>
      <c r="BA739">
        <v>1022</v>
      </c>
      <c r="BB739">
        <v>0</v>
      </c>
      <c r="BC739">
        <v>0</v>
      </c>
      <c r="BD739">
        <v>0</v>
      </c>
      <c r="BE739">
        <v>2</v>
      </c>
      <c r="BF739">
        <v>5</v>
      </c>
      <c r="BG739">
        <v>2</v>
      </c>
      <c r="BH739">
        <v>0</v>
      </c>
      <c r="BI739">
        <v>0</v>
      </c>
      <c r="BJ739">
        <v>0</v>
      </c>
      <c r="BK739">
        <v>9</v>
      </c>
      <c r="BL739">
        <v>966</v>
      </c>
      <c r="BM739">
        <v>0</v>
      </c>
      <c r="BN739">
        <v>16</v>
      </c>
      <c r="BO739">
        <v>0</v>
      </c>
      <c r="BP739">
        <v>10</v>
      </c>
      <c r="BQ739">
        <v>8</v>
      </c>
      <c r="BR739">
        <v>1</v>
      </c>
      <c r="BS739">
        <v>0</v>
      </c>
      <c r="BT739">
        <v>3</v>
      </c>
      <c r="BU739">
        <v>2</v>
      </c>
      <c r="BV739">
        <v>0</v>
      </c>
      <c r="BW739">
        <v>960</v>
      </c>
      <c r="BX739">
        <v>0</v>
      </c>
      <c r="BY739">
        <v>14</v>
      </c>
      <c r="BZ739">
        <v>1</v>
      </c>
      <c r="CA739">
        <v>0</v>
      </c>
      <c r="CB739">
        <v>2</v>
      </c>
      <c r="CC739">
        <v>0</v>
      </c>
      <c r="CD739">
        <v>1</v>
      </c>
      <c r="CE739">
        <v>0</v>
      </c>
      <c r="CF739">
        <v>11</v>
      </c>
      <c r="CG739">
        <v>0</v>
      </c>
      <c r="CH739">
        <v>865</v>
      </c>
      <c r="CI739">
        <v>5</v>
      </c>
      <c r="CJ739">
        <v>3</v>
      </c>
      <c r="CK739">
        <v>5</v>
      </c>
      <c r="CL739">
        <v>2</v>
      </c>
      <c r="CM739">
        <v>0</v>
      </c>
      <c r="CN739">
        <v>3</v>
      </c>
      <c r="CO739">
        <v>0</v>
      </c>
      <c r="CP739">
        <v>0</v>
      </c>
      <c r="CQ739">
        <v>1</v>
      </c>
      <c r="CR739">
        <v>3</v>
      </c>
      <c r="CS739">
        <v>951</v>
      </c>
      <c r="CT739">
        <v>0</v>
      </c>
      <c r="CU739">
        <v>0</v>
      </c>
      <c r="CV739">
        <v>0</v>
      </c>
      <c r="CW739">
        <v>0</v>
      </c>
      <c r="CX739">
        <v>2</v>
      </c>
      <c r="CY739">
        <v>11</v>
      </c>
      <c r="CZ739">
        <v>1</v>
      </c>
      <c r="DA739">
        <v>0</v>
      </c>
      <c r="DB739">
        <v>0</v>
      </c>
      <c r="DC739">
        <v>0</v>
      </c>
      <c r="DD739">
        <v>1012</v>
      </c>
      <c r="DE739">
        <v>2</v>
      </c>
      <c r="DF739">
        <v>0</v>
      </c>
      <c r="DG739">
        <v>0</v>
      </c>
      <c r="DH739">
        <v>2</v>
      </c>
      <c r="DI739">
        <v>6</v>
      </c>
      <c r="DJ739">
        <v>2</v>
      </c>
      <c r="DK739">
        <v>3</v>
      </c>
      <c r="DL739">
        <v>9</v>
      </c>
      <c r="DM739">
        <v>7</v>
      </c>
      <c r="DN739">
        <v>6</v>
      </c>
      <c r="DO739">
        <v>934</v>
      </c>
      <c r="DP739">
        <v>5</v>
      </c>
      <c r="DQ739">
        <v>1</v>
      </c>
      <c r="DR739">
        <v>5</v>
      </c>
      <c r="DS739">
        <v>3</v>
      </c>
      <c r="DT739">
        <v>7</v>
      </c>
      <c r="DU739">
        <v>12</v>
      </c>
      <c r="DV739">
        <v>14</v>
      </c>
      <c r="DW739">
        <v>3</v>
      </c>
      <c r="DX739">
        <v>16</v>
      </c>
      <c r="DY739">
        <v>8</v>
      </c>
      <c r="DZ739">
        <v>940</v>
      </c>
      <c r="EA739">
        <v>0.96799999999999997</v>
      </c>
      <c r="EB739">
        <v>0.96818833460541598</v>
      </c>
      <c r="EC739">
        <v>0.96759907738741102</v>
      </c>
      <c r="ED739">
        <v>0.96749076994306404</v>
      </c>
      <c r="EE739">
        <f>SUM(Table1[[#This Row],[ratio_0]:[ratio_9]])</f>
        <v>550</v>
      </c>
      <c r="EF739" s="1">
        <f>(Table1[[#This Row],[predicted_0]]-Table1[[#This Row],[actual_0]])/Table1[[#This Row],[actual_0]]</f>
        <v>-7.857142857142857E-2</v>
      </c>
      <c r="EG739" s="1">
        <f>(Table1[[#This Row],[predicted_1]]-Table1[[#This Row],[actual_1]])/Table1[[#This Row],[actual_1]]</f>
        <v>1.0572687224669603E-2</v>
      </c>
      <c r="EH739" s="1">
        <f>(Table1[[#This Row],[predicted_2]]-Table1[[#This Row],[actual_2]])/Table1[[#This Row],[actual_2]]</f>
        <v>2.8100775193798451E-2</v>
      </c>
      <c r="EI739" s="1">
        <f>(Table1[[#This Row],[predicted_3]]-Table1[[#This Row],[actual_3]])/Table1[[#This Row],[actual_3]]</f>
        <v>-2.1782178217821781E-2</v>
      </c>
      <c r="EJ739" s="1">
        <f>(Table1[[#This Row],[predicted_4]]-Table1[[#This Row],[actual_4]])/Table1[[#This Row],[actual_4]]</f>
        <v>-2.0366598778004071E-3</v>
      </c>
      <c r="EK739" s="1">
        <f>(Table1[[#This Row],[predicted_5]]-Table1[[#This Row],[actual_5]])/Table1[[#This Row],[actual_5]]</f>
        <v>2.1300448430493273E-2</v>
      </c>
      <c r="EL739" s="1">
        <f>(Table1[[#This Row],[predicted_6]]-Table1[[#This Row],[actual_6]])/Table1[[#This Row],[actual_6]]</f>
        <v>6.5762004175365346E-2</v>
      </c>
      <c r="EM739" s="1">
        <f>(Table1[[#This Row],[predicted_7]]-Table1[[#This Row],[actual_7]])/Table1[[#This Row],[actual_7]]</f>
        <v>3.1128404669260701E-2</v>
      </c>
      <c r="EN739" s="1">
        <f>(Table1[[#This Row],[predicted_8]]-Table1[[#This Row],[actual_8]])/Table1[[#This Row],[actual_8]]</f>
        <v>2.0533880903490761E-3</v>
      </c>
      <c r="EO739" s="1">
        <f>(Table1[[#This Row],[predicted_9]]-Table1[[#This Row],[actual_9]])/Table1[[#This Row],[actual_9]]</f>
        <v>-5.550049554013875E-2</v>
      </c>
      <c r="EP739" s="1">
        <f>1+(Table1[[#This Row],[error_ratio_0]]-EF$2)</f>
        <v>0.91938775510204085</v>
      </c>
      <c r="EQ739" s="1">
        <f>1+(Table1[[#This Row],[error_ratio_1]]-EG$2)</f>
        <v>1.0088105726872247</v>
      </c>
      <c r="ER739" s="1">
        <f>1+(Table1[[#This Row],[error_ratio_2]]-EH$2)</f>
        <v>1.0329457364341086</v>
      </c>
      <c r="ES739" s="1">
        <f>1+(Table1[[#This Row],[error_ratio_3]]-EI$2)</f>
        <v>0.96831683168316829</v>
      </c>
      <c r="ET739" s="1">
        <f>1+(Table1[[#This Row],[error_ratio_4]]-EJ$2)</f>
        <v>0.9969450101832994</v>
      </c>
      <c r="EU739" s="1">
        <f>1+(Table1[[#This Row],[error_ratio_5]]-EK$2)</f>
        <v>1.0201793721973094</v>
      </c>
      <c r="EV739" s="1">
        <f>1+(Table1[[#This Row],[error_ratio_6]]-EL$2)</f>
        <v>1.0720250521920669</v>
      </c>
      <c r="EW739" s="1">
        <f>1+(Table1[[#This Row],[error_ratio_7]]-EM$2)</f>
        <v>1.0291828793774318</v>
      </c>
      <c r="EX739" s="1">
        <f>1+(Table1[[#This Row],[error_ratio_8]]-EN$2)</f>
        <v>1.0051334702258727</v>
      </c>
      <c r="EY739" s="1">
        <f>1+(Table1[[#This Row],[error_ratio_9]]-EO$2)</f>
        <v>0.94846382556987119</v>
      </c>
    </row>
    <row r="740" spans="1:155" x14ac:dyDescent="0.75">
      <c r="A740">
        <v>10</v>
      </c>
      <c r="B740">
        <v>10</v>
      </c>
      <c r="C740">
        <v>100</v>
      </c>
      <c r="D740">
        <v>10</v>
      </c>
      <c r="E740">
        <v>100</v>
      </c>
      <c r="F740">
        <v>10</v>
      </c>
      <c r="G740">
        <v>100</v>
      </c>
      <c r="H740">
        <v>100</v>
      </c>
      <c r="I740">
        <v>10</v>
      </c>
      <c r="J740">
        <v>10</v>
      </c>
      <c r="K740">
        <v>950</v>
      </c>
      <c r="L740">
        <v>1111</v>
      </c>
      <c r="M740">
        <v>1356</v>
      </c>
      <c r="N740">
        <v>1036</v>
      </c>
      <c r="O740">
        <v>959</v>
      </c>
      <c r="P740">
        <v>880</v>
      </c>
      <c r="Q740">
        <v>1010</v>
      </c>
      <c r="R740">
        <v>1060</v>
      </c>
      <c r="S740">
        <v>681</v>
      </c>
      <c r="T740">
        <v>957</v>
      </c>
      <c r="U740">
        <v>980</v>
      </c>
      <c r="V740">
        <v>1135</v>
      </c>
      <c r="W740">
        <v>1032</v>
      </c>
      <c r="X740">
        <v>1010</v>
      </c>
      <c r="Y740">
        <v>982</v>
      </c>
      <c r="Z740">
        <v>892</v>
      </c>
      <c r="AA740">
        <v>958</v>
      </c>
      <c r="AB740">
        <v>1028</v>
      </c>
      <c r="AC740">
        <v>974</v>
      </c>
      <c r="AD740">
        <v>1009</v>
      </c>
      <c r="AE740">
        <v>940</v>
      </c>
      <c r="AF740">
        <v>0</v>
      </c>
      <c r="AG740">
        <v>18</v>
      </c>
      <c r="AH740">
        <v>0</v>
      </c>
      <c r="AI740">
        <v>0</v>
      </c>
      <c r="AJ740">
        <v>8</v>
      </c>
      <c r="AK740">
        <v>10</v>
      </c>
      <c r="AL740">
        <v>3</v>
      </c>
      <c r="AM740">
        <v>1</v>
      </c>
      <c r="AN740">
        <v>0</v>
      </c>
      <c r="AO740">
        <v>0</v>
      </c>
      <c r="AP740">
        <v>1106</v>
      </c>
      <c r="AQ740">
        <v>12</v>
      </c>
      <c r="AR740">
        <v>1</v>
      </c>
      <c r="AS740">
        <v>1</v>
      </c>
      <c r="AT740">
        <v>2</v>
      </c>
      <c r="AU740">
        <v>7</v>
      </c>
      <c r="AV740">
        <v>5</v>
      </c>
      <c r="AW740">
        <v>1</v>
      </c>
      <c r="AX740">
        <v>0</v>
      </c>
      <c r="AY740">
        <v>1</v>
      </c>
      <c r="AZ740">
        <v>0</v>
      </c>
      <c r="BA740">
        <v>1027</v>
      </c>
      <c r="BB740">
        <v>0</v>
      </c>
      <c r="BC740">
        <v>1</v>
      </c>
      <c r="BD740">
        <v>0</v>
      </c>
      <c r="BE740">
        <v>2</v>
      </c>
      <c r="BF740">
        <v>1</v>
      </c>
      <c r="BG740">
        <v>0</v>
      </c>
      <c r="BH740">
        <v>0</v>
      </c>
      <c r="BI740">
        <v>0</v>
      </c>
      <c r="BJ740">
        <v>0</v>
      </c>
      <c r="BK740">
        <v>32</v>
      </c>
      <c r="BL740">
        <v>966</v>
      </c>
      <c r="BM740">
        <v>0</v>
      </c>
      <c r="BN740">
        <v>1</v>
      </c>
      <c r="BO740">
        <v>0</v>
      </c>
      <c r="BP740">
        <v>9</v>
      </c>
      <c r="BQ740">
        <v>2</v>
      </c>
      <c r="BR740">
        <v>0</v>
      </c>
      <c r="BS740">
        <v>0</v>
      </c>
      <c r="BT740">
        <v>0</v>
      </c>
      <c r="BU740">
        <v>8</v>
      </c>
      <c r="BV740">
        <v>0</v>
      </c>
      <c r="BW740">
        <v>950</v>
      </c>
      <c r="BX740">
        <v>0</v>
      </c>
      <c r="BY740">
        <v>5</v>
      </c>
      <c r="BZ740">
        <v>2</v>
      </c>
      <c r="CA740">
        <v>0</v>
      </c>
      <c r="CB740">
        <v>17</v>
      </c>
      <c r="CC740">
        <v>2</v>
      </c>
      <c r="CD740">
        <v>0</v>
      </c>
      <c r="CE740">
        <v>3</v>
      </c>
      <c r="CF740">
        <v>36</v>
      </c>
      <c r="CG740">
        <v>0</v>
      </c>
      <c r="CH740">
        <v>829</v>
      </c>
      <c r="CI740">
        <v>15</v>
      </c>
      <c r="CJ740">
        <v>5</v>
      </c>
      <c r="CK740">
        <v>0</v>
      </c>
      <c r="CL740">
        <v>2</v>
      </c>
      <c r="CM740">
        <v>1</v>
      </c>
      <c r="CN740">
        <v>0</v>
      </c>
      <c r="CO740">
        <v>5</v>
      </c>
      <c r="CP740">
        <v>0</v>
      </c>
      <c r="CQ740">
        <v>0</v>
      </c>
      <c r="CR740">
        <v>1</v>
      </c>
      <c r="CS740">
        <v>951</v>
      </c>
      <c r="CT740">
        <v>0</v>
      </c>
      <c r="CU740">
        <v>0</v>
      </c>
      <c r="CV740">
        <v>0</v>
      </c>
      <c r="CW740">
        <v>1</v>
      </c>
      <c r="CX740">
        <v>1</v>
      </c>
      <c r="CY740">
        <v>28</v>
      </c>
      <c r="CZ740">
        <v>0</v>
      </c>
      <c r="DA740">
        <v>0</v>
      </c>
      <c r="DB740">
        <v>0</v>
      </c>
      <c r="DC740">
        <v>0</v>
      </c>
      <c r="DD740">
        <v>998</v>
      </c>
      <c r="DE740">
        <v>0</v>
      </c>
      <c r="DF740">
        <v>0</v>
      </c>
      <c r="DG740">
        <v>4</v>
      </c>
      <c r="DH740">
        <v>0</v>
      </c>
      <c r="DI740">
        <v>212</v>
      </c>
      <c r="DJ740">
        <v>20</v>
      </c>
      <c r="DK740">
        <v>1</v>
      </c>
      <c r="DL740">
        <v>27</v>
      </c>
      <c r="DM740">
        <v>18</v>
      </c>
      <c r="DN740">
        <v>13</v>
      </c>
      <c r="DO740">
        <v>675</v>
      </c>
      <c r="DP740">
        <v>4</v>
      </c>
      <c r="DQ740">
        <v>1</v>
      </c>
      <c r="DR740">
        <v>4</v>
      </c>
      <c r="DS740">
        <v>11</v>
      </c>
      <c r="DT740">
        <v>13</v>
      </c>
      <c r="DU740">
        <v>6</v>
      </c>
      <c r="DV740">
        <v>12</v>
      </c>
      <c r="DW740">
        <v>2</v>
      </c>
      <c r="DX740">
        <v>24</v>
      </c>
      <c r="DY740">
        <v>2</v>
      </c>
      <c r="DZ740">
        <v>934</v>
      </c>
      <c r="EA740">
        <v>0.93759999999999999</v>
      </c>
      <c r="EB740">
        <v>0.94576905584680504</v>
      </c>
      <c r="EC740">
        <v>0.93642070252149701</v>
      </c>
      <c r="ED740">
        <v>0.93661782270288096</v>
      </c>
      <c r="EE740">
        <f>SUM(Table1[[#This Row],[ratio_0]:[ratio_9]])</f>
        <v>460</v>
      </c>
      <c r="EF740" s="1">
        <f>(Table1[[#This Row],[predicted_0]]-Table1[[#This Row],[actual_0]])/Table1[[#This Row],[actual_0]]</f>
        <v>-3.0612244897959183E-2</v>
      </c>
      <c r="EG740" s="1">
        <f>(Table1[[#This Row],[predicted_1]]-Table1[[#This Row],[actual_1]])/Table1[[#This Row],[actual_1]]</f>
        <v>-2.1145374449339206E-2</v>
      </c>
      <c r="EH740" s="1">
        <f>(Table1[[#This Row],[predicted_2]]-Table1[[#This Row],[actual_2]])/Table1[[#This Row],[actual_2]]</f>
        <v>0.31395348837209303</v>
      </c>
      <c r="EI740" s="1">
        <f>(Table1[[#This Row],[predicted_3]]-Table1[[#This Row],[actual_3]])/Table1[[#This Row],[actual_3]]</f>
        <v>2.5742574257425741E-2</v>
      </c>
      <c r="EJ740" s="1">
        <f>(Table1[[#This Row],[predicted_4]]-Table1[[#This Row],[actual_4]])/Table1[[#This Row],[actual_4]]</f>
        <v>-2.3421588594704685E-2</v>
      </c>
      <c r="EK740" s="1">
        <f>(Table1[[#This Row],[predicted_5]]-Table1[[#This Row],[actual_5]])/Table1[[#This Row],[actual_5]]</f>
        <v>-1.3452914798206279E-2</v>
      </c>
      <c r="EL740" s="1">
        <f>(Table1[[#This Row],[predicted_6]]-Table1[[#This Row],[actual_6]])/Table1[[#This Row],[actual_6]]</f>
        <v>5.4279749478079335E-2</v>
      </c>
      <c r="EM740" s="1">
        <f>(Table1[[#This Row],[predicted_7]]-Table1[[#This Row],[actual_7]])/Table1[[#This Row],[actual_7]]</f>
        <v>3.1128404669260701E-2</v>
      </c>
      <c r="EN740" s="1">
        <f>(Table1[[#This Row],[predicted_8]]-Table1[[#This Row],[actual_8]])/Table1[[#This Row],[actual_8]]</f>
        <v>-0.30082135523613962</v>
      </c>
      <c r="EO740" s="1">
        <f>(Table1[[#This Row],[predicted_9]]-Table1[[#This Row],[actual_9]])/Table1[[#This Row],[actual_9]]</f>
        <v>-5.1536174430128839E-2</v>
      </c>
      <c r="EP740" s="1">
        <f>1+(Table1[[#This Row],[error_ratio_0]]-EF$2)</f>
        <v>0.96734693877551026</v>
      </c>
      <c r="EQ740" s="1">
        <f>1+(Table1[[#This Row],[error_ratio_1]]-EG$2)</f>
        <v>0.97709251101321581</v>
      </c>
      <c r="ER740" s="1">
        <f>1+(Table1[[#This Row],[error_ratio_2]]-EH$2)</f>
        <v>1.318798449612403</v>
      </c>
      <c r="ES740" s="1">
        <f>1+(Table1[[#This Row],[error_ratio_3]]-EI$2)</f>
        <v>1.0158415841584159</v>
      </c>
      <c r="ET740" s="1">
        <f>1+(Table1[[#This Row],[error_ratio_4]]-EJ$2)</f>
        <v>0.97556008146639517</v>
      </c>
      <c r="EU740" s="1">
        <f>1+(Table1[[#This Row],[error_ratio_5]]-EK$2)</f>
        <v>0.98542600896860988</v>
      </c>
      <c r="EV740" s="1">
        <f>1+(Table1[[#This Row],[error_ratio_6]]-EL$2)</f>
        <v>1.0605427974947808</v>
      </c>
      <c r="EW740" s="1">
        <f>1+(Table1[[#This Row],[error_ratio_7]]-EM$2)</f>
        <v>1.0291828793774318</v>
      </c>
      <c r="EX740" s="1">
        <f>1+(Table1[[#This Row],[error_ratio_8]]-EN$2)</f>
        <v>0.70225872689938407</v>
      </c>
      <c r="EY740" s="1">
        <f>1+(Table1[[#This Row],[error_ratio_9]]-EO$2)</f>
        <v>0.95242814667988107</v>
      </c>
    </row>
    <row r="741" spans="1:155" x14ac:dyDescent="0.75">
      <c r="A741">
        <v>100</v>
      </c>
      <c r="B741">
        <v>100</v>
      </c>
      <c r="C741">
        <v>10</v>
      </c>
      <c r="D741">
        <v>10</v>
      </c>
      <c r="E741">
        <v>100</v>
      </c>
      <c r="F741">
        <v>10</v>
      </c>
      <c r="G741">
        <v>100</v>
      </c>
      <c r="H741">
        <v>100</v>
      </c>
      <c r="I741">
        <v>10</v>
      </c>
      <c r="J741">
        <v>10</v>
      </c>
      <c r="K741">
        <v>1005</v>
      </c>
      <c r="L741">
        <v>1152</v>
      </c>
      <c r="M741">
        <v>1001</v>
      </c>
      <c r="N741">
        <v>1010</v>
      </c>
      <c r="O741">
        <v>1031</v>
      </c>
      <c r="P741">
        <v>898</v>
      </c>
      <c r="Q741">
        <v>965</v>
      </c>
      <c r="R741">
        <v>1068</v>
      </c>
      <c r="S741">
        <v>920</v>
      </c>
      <c r="T741">
        <v>950</v>
      </c>
      <c r="U741">
        <v>980</v>
      </c>
      <c r="V741">
        <v>1135</v>
      </c>
      <c r="W741">
        <v>1032</v>
      </c>
      <c r="X741">
        <v>1010</v>
      </c>
      <c r="Y741">
        <v>982</v>
      </c>
      <c r="Z741">
        <v>892</v>
      </c>
      <c r="AA741">
        <v>958</v>
      </c>
      <c r="AB741">
        <v>1028</v>
      </c>
      <c r="AC741">
        <v>974</v>
      </c>
      <c r="AD741">
        <v>1009</v>
      </c>
      <c r="AE741">
        <v>972</v>
      </c>
      <c r="AF741">
        <v>0</v>
      </c>
      <c r="AG741">
        <v>0</v>
      </c>
      <c r="AH741">
        <v>0</v>
      </c>
      <c r="AI741">
        <v>0</v>
      </c>
      <c r="AJ741">
        <v>0</v>
      </c>
      <c r="AK741">
        <v>3</v>
      </c>
      <c r="AL741">
        <v>3</v>
      </c>
      <c r="AM741">
        <v>2</v>
      </c>
      <c r="AN741">
        <v>0</v>
      </c>
      <c r="AO741">
        <v>0</v>
      </c>
      <c r="AP741">
        <v>1127</v>
      </c>
      <c r="AQ741">
        <v>1</v>
      </c>
      <c r="AR741">
        <v>1</v>
      </c>
      <c r="AS741">
        <v>0</v>
      </c>
      <c r="AT741">
        <v>3</v>
      </c>
      <c r="AU741">
        <v>2</v>
      </c>
      <c r="AV741">
        <v>1</v>
      </c>
      <c r="AW741">
        <v>0</v>
      </c>
      <c r="AX741">
        <v>0</v>
      </c>
      <c r="AY741">
        <v>9</v>
      </c>
      <c r="AZ741">
        <v>11</v>
      </c>
      <c r="BA741">
        <v>980</v>
      </c>
      <c r="BB741">
        <v>4</v>
      </c>
      <c r="BC741">
        <v>9</v>
      </c>
      <c r="BD741">
        <v>1</v>
      </c>
      <c r="BE741">
        <v>3</v>
      </c>
      <c r="BF741">
        <v>15</v>
      </c>
      <c r="BG741">
        <v>0</v>
      </c>
      <c r="BH741">
        <v>0</v>
      </c>
      <c r="BI741">
        <v>4</v>
      </c>
      <c r="BJ741">
        <v>1</v>
      </c>
      <c r="BK741">
        <v>6</v>
      </c>
      <c r="BL741">
        <v>973</v>
      </c>
      <c r="BM741">
        <v>0</v>
      </c>
      <c r="BN741">
        <v>13</v>
      </c>
      <c r="BO741">
        <v>0</v>
      </c>
      <c r="BP741">
        <v>9</v>
      </c>
      <c r="BQ741">
        <v>2</v>
      </c>
      <c r="BR741">
        <v>2</v>
      </c>
      <c r="BS741">
        <v>0</v>
      </c>
      <c r="BT741">
        <v>0</v>
      </c>
      <c r="BU741">
        <v>0</v>
      </c>
      <c r="BV741">
        <v>0</v>
      </c>
      <c r="BW741">
        <v>980</v>
      </c>
      <c r="BX741">
        <v>0</v>
      </c>
      <c r="BY741">
        <v>0</v>
      </c>
      <c r="BZ741">
        <v>1</v>
      </c>
      <c r="CA741">
        <v>0</v>
      </c>
      <c r="CB741">
        <v>1</v>
      </c>
      <c r="CC741">
        <v>4</v>
      </c>
      <c r="CD741">
        <v>0</v>
      </c>
      <c r="CE741">
        <v>0</v>
      </c>
      <c r="CF741">
        <v>13</v>
      </c>
      <c r="CG741">
        <v>1</v>
      </c>
      <c r="CH741">
        <v>851</v>
      </c>
      <c r="CI741">
        <v>8</v>
      </c>
      <c r="CJ741">
        <v>2</v>
      </c>
      <c r="CK741">
        <v>11</v>
      </c>
      <c r="CL741">
        <v>2</v>
      </c>
      <c r="CM741">
        <v>4</v>
      </c>
      <c r="CN741">
        <v>2</v>
      </c>
      <c r="CO741">
        <v>0</v>
      </c>
      <c r="CP741">
        <v>1</v>
      </c>
      <c r="CQ741">
        <v>9</v>
      </c>
      <c r="CR741">
        <v>1</v>
      </c>
      <c r="CS741">
        <v>940</v>
      </c>
      <c r="CT741">
        <v>0</v>
      </c>
      <c r="CU741">
        <v>1</v>
      </c>
      <c r="CV741">
        <v>0</v>
      </c>
      <c r="CW741">
        <v>1</v>
      </c>
      <c r="CX741">
        <v>3</v>
      </c>
      <c r="CY741">
        <v>8</v>
      </c>
      <c r="CZ741">
        <v>0</v>
      </c>
      <c r="DA741">
        <v>0</v>
      </c>
      <c r="DB741">
        <v>0</v>
      </c>
      <c r="DC741">
        <v>0</v>
      </c>
      <c r="DD741">
        <v>1015</v>
      </c>
      <c r="DE741">
        <v>0</v>
      </c>
      <c r="DF741">
        <v>1</v>
      </c>
      <c r="DG741">
        <v>4</v>
      </c>
      <c r="DH741">
        <v>3</v>
      </c>
      <c r="DI741">
        <v>5</v>
      </c>
      <c r="DJ741">
        <v>11</v>
      </c>
      <c r="DK741">
        <v>9</v>
      </c>
      <c r="DL741">
        <v>9</v>
      </c>
      <c r="DM741">
        <v>9</v>
      </c>
      <c r="DN741">
        <v>11</v>
      </c>
      <c r="DO741">
        <v>902</v>
      </c>
      <c r="DP741">
        <v>11</v>
      </c>
      <c r="DQ741">
        <v>7</v>
      </c>
      <c r="DR741">
        <v>5</v>
      </c>
      <c r="DS741">
        <v>1</v>
      </c>
      <c r="DT741">
        <v>7</v>
      </c>
      <c r="DU741">
        <v>23</v>
      </c>
      <c r="DV741">
        <v>20</v>
      </c>
      <c r="DW741">
        <v>0</v>
      </c>
      <c r="DX741">
        <v>11</v>
      </c>
      <c r="DY741">
        <v>2</v>
      </c>
      <c r="DZ741">
        <v>933</v>
      </c>
      <c r="EA741">
        <v>0.96730000000000005</v>
      </c>
      <c r="EB741">
        <v>0.96730528803115301</v>
      </c>
      <c r="EC741">
        <v>0.96690871000504497</v>
      </c>
      <c r="ED741">
        <v>0.96680425178562301</v>
      </c>
      <c r="EE741">
        <f>SUM(Table1[[#This Row],[ratio_0]:[ratio_9]])</f>
        <v>550</v>
      </c>
      <c r="EF741" s="1">
        <f>(Table1[[#This Row],[predicted_0]]-Table1[[#This Row],[actual_0]])/Table1[[#This Row],[actual_0]]</f>
        <v>2.5510204081632654E-2</v>
      </c>
      <c r="EG741" s="1">
        <f>(Table1[[#This Row],[predicted_1]]-Table1[[#This Row],[actual_1]])/Table1[[#This Row],[actual_1]]</f>
        <v>1.4977973568281937E-2</v>
      </c>
      <c r="EH741" s="1">
        <f>(Table1[[#This Row],[predicted_2]]-Table1[[#This Row],[actual_2]])/Table1[[#This Row],[actual_2]]</f>
        <v>-3.0038759689922482E-2</v>
      </c>
      <c r="EI741" s="1">
        <f>(Table1[[#This Row],[predicted_3]]-Table1[[#This Row],[actual_3]])/Table1[[#This Row],[actual_3]]</f>
        <v>0</v>
      </c>
      <c r="EJ741" s="1">
        <f>(Table1[[#This Row],[predicted_4]]-Table1[[#This Row],[actual_4]])/Table1[[#This Row],[actual_4]]</f>
        <v>4.9898167006109981E-2</v>
      </c>
      <c r="EK741" s="1">
        <f>(Table1[[#This Row],[predicted_5]]-Table1[[#This Row],[actual_5]])/Table1[[#This Row],[actual_5]]</f>
        <v>6.7264573991031393E-3</v>
      </c>
      <c r="EL741" s="1">
        <f>(Table1[[#This Row],[predicted_6]]-Table1[[#This Row],[actual_6]])/Table1[[#This Row],[actual_6]]</f>
        <v>7.3068893528183713E-3</v>
      </c>
      <c r="EM741" s="1">
        <f>(Table1[[#This Row],[predicted_7]]-Table1[[#This Row],[actual_7]])/Table1[[#This Row],[actual_7]]</f>
        <v>3.8910505836575876E-2</v>
      </c>
      <c r="EN741" s="1">
        <f>(Table1[[#This Row],[predicted_8]]-Table1[[#This Row],[actual_8]])/Table1[[#This Row],[actual_8]]</f>
        <v>-5.5441478439425054E-2</v>
      </c>
      <c r="EO741" s="1">
        <f>(Table1[[#This Row],[predicted_9]]-Table1[[#This Row],[actual_9]])/Table1[[#This Row],[actual_9]]</f>
        <v>-5.8473736372646183E-2</v>
      </c>
      <c r="EP741" s="1">
        <f>1+(Table1[[#This Row],[error_ratio_0]]-EF$2)</f>
        <v>1.023469387755102</v>
      </c>
      <c r="EQ741" s="1">
        <f>1+(Table1[[#This Row],[error_ratio_1]]-EG$2)</f>
        <v>1.0132158590308371</v>
      </c>
      <c r="ER741" s="1">
        <f>1+(Table1[[#This Row],[error_ratio_2]]-EH$2)</f>
        <v>0.97480620155038755</v>
      </c>
      <c r="ES741" s="1">
        <f>1+(Table1[[#This Row],[error_ratio_3]]-EI$2)</f>
        <v>0.99009900990099009</v>
      </c>
      <c r="ET741" s="1">
        <f>1+(Table1[[#This Row],[error_ratio_4]]-EJ$2)</f>
        <v>1.0488798370672097</v>
      </c>
      <c r="EU741" s="1">
        <f>1+(Table1[[#This Row],[error_ratio_5]]-EK$2)</f>
        <v>1.0056053811659194</v>
      </c>
      <c r="EV741" s="1">
        <f>1+(Table1[[#This Row],[error_ratio_6]]-EL$2)</f>
        <v>1.0135699373695197</v>
      </c>
      <c r="EW741" s="1">
        <f>1+(Table1[[#This Row],[error_ratio_7]]-EM$2)</f>
        <v>1.0369649805447472</v>
      </c>
      <c r="EX741" s="1">
        <f>1+(Table1[[#This Row],[error_ratio_8]]-EN$2)</f>
        <v>0.94763860369609854</v>
      </c>
      <c r="EY741" s="1">
        <f>1+(Table1[[#This Row],[error_ratio_9]]-EO$2)</f>
        <v>0.94549058473736369</v>
      </c>
    </row>
    <row r="742" spans="1:155" x14ac:dyDescent="0.75">
      <c r="A742">
        <v>10</v>
      </c>
      <c r="B742">
        <v>100</v>
      </c>
      <c r="C742">
        <v>10</v>
      </c>
      <c r="D742">
        <v>10</v>
      </c>
      <c r="E742">
        <v>100</v>
      </c>
      <c r="F742">
        <v>10</v>
      </c>
      <c r="G742">
        <v>100</v>
      </c>
      <c r="H742">
        <v>100</v>
      </c>
      <c r="I742">
        <v>10</v>
      </c>
      <c r="J742">
        <v>10</v>
      </c>
      <c r="K742">
        <v>968</v>
      </c>
      <c r="L742">
        <v>1173</v>
      </c>
      <c r="M742">
        <v>974</v>
      </c>
      <c r="N742">
        <v>1013</v>
      </c>
      <c r="O742">
        <v>1022</v>
      </c>
      <c r="P742">
        <v>836</v>
      </c>
      <c r="Q742">
        <v>1039</v>
      </c>
      <c r="R742">
        <v>1212</v>
      </c>
      <c r="S742">
        <v>801</v>
      </c>
      <c r="T742">
        <v>962</v>
      </c>
      <c r="U742">
        <v>980</v>
      </c>
      <c r="V742">
        <v>1135</v>
      </c>
      <c r="W742">
        <v>1032</v>
      </c>
      <c r="X742">
        <v>1010</v>
      </c>
      <c r="Y742">
        <v>982</v>
      </c>
      <c r="Z742">
        <v>892</v>
      </c>
      <c r="AA742">
        <v>958</v>
      </c>
      <c r="AB742">
        <v>1028</v>
      </c>
      <c r="AC742">
        <v>974</v>
      </c>
      <c r="AD742">
        <v>1009</v>
      </c>
      <c r="AE742">
        <v>939</v>
      </c>
      <c r="AF742">
        <v>2</v>
      </c>
      <c r="AG742">
        <v>1</v>
      </c>
      <c r="AH742">
        <v>0</v>
      </c>
      <c r="AI742">
        <v>5</v>
      </c>
      <c r="AJ742">
        <v>0</v>
      </c>
      <c r="AK742">
        <v>13</v>
      </c>
      <c r="AL742">
        <v>18</v>
      </c>
      <c r="AM742">
        <v>1</v>
      </c>
      <c r="AN742">
        <v>1</v>
      </c>
      <c r="AO742">
        <v>0</v>
      </c>
      <c r="AP742">
        <v>1132</v>
      </c>
      <c r="AQ742">
        <v>1</v>
      </c>
      <c r="AR742">
        <v>0</v>
      </c>
      <c r="AS742">
        <v>0</v>
      </c>
      <c r="AT742">
        <v>1</v>
      </c>
      <c r="AU742">
        <v>0</v>
      </c>
      <c r="AV742">
        <v>1</v>
      </c>
      <c r="AW742">
        <v>0</v>
      </c>
      <c r="AX742">
        <v>0</v>
      </c>
      <c r="AY742">
        <v>6</v>
      </c>
      <c r="AZ742">
        <v>7</v>
      </c>
      <c r="BA742">
        <v>955</v>
      </c>
      <c r="BB742">
        <v>3</v>
      </c>
      <c r="BC742">
        <v>5</v>
      </c>
      <c r="BD742">
        <v>0</v>
      </c>
      <c r="BE742">
        <v>1</v>
      </c>
      <c r="BF742">
        <v>54</v>
      </c>
      <c r="BG742">
        <v>0</v>
      </c>
      <c r="BH742">
        <v>1</v>
      </c>
      <c r="BI742">
        <v>6</v>
      </c>
      <c r="BJ742">
        <v>0</v>
      </c>
      <c r="BK742">
        <v>4</v>
      </c>
      <c r="BL742">
        <v>965</v>
      </c>
      <c r="BM742">
        <v>0</v>
      </c>
      <c r="BN742">
        <v>11</v>
      </c>
      <c r="BO742">
        <v>0</v>
      </c>
      <c r="BP742">
        <v>22</v>
      </c>
      <c r="BQ742">
        <v>2</v>
      </c>
      <c r="BR742">
        <v>0</v>
      </c>
      <c r="BS742">
        <v>0</v>
      </c>
      <c r="BT742">
        <v>3</v>
      </c>
      <c r="BU742">
        <v>1</v>
      </c>
      <c r="BV742">
        <v>0</v>
      </c>
      <c r="BW742">
        <v>973</v>
      </c>
      <c r="BX742">
        <v>0</v>
      </c>
      <c r="BY742">
        <v>2</v>
      </c>
      <c r="BZ742">
        <v>0</v>
      </c>
      <c r="CA742">
        <v>0</v>
      </c>
      <c r="CB742">
        <v>3</v>
      </c>
      <c r="CC742">
        <v>2</v>
      </c>
      <c r="CD742">
        <v>2</v>
      </c>
      <c r="CE742">
        <v>1</v>
      </c>
      <c r="CF742">
        <v>15</v>
      </c>
      <c r="CG742">
        <v>6</v>
      </c>
      <c r="CH742">
        <v>806</v>
      </c>
      <c r="CI742">
        <v>26</v>
      </c>
      <c r="CJ742">
        <v>14</v>
      </c>
      <c r="CK742">
        <v>2</v>
      </c>
      <c r="CL742">
        <v>18</v>
      </c>
      <c r="CM742">
        <v>3</v>
      </c>
      <c r="CN742">
        <v>2</v>
      </c>
      <c r="CO742">
        <v>0</v>
      </c>
      <c r="CP742">
        <v>0</v>
      </c>
      <c r="CQ742">
        <v>7</v>
      </c>
      <c r="CR742">
        <v>0</v>
      </c>
      <c r="CS742">
        <v>946</v>
      </c>
      <c r="CT742">
        <v>0</v>
      </c>
      <c r="CU742">
        <v>0</v>
      </c>
      <c r="CV742">
        <v>0</v>
      </c>
      <c r="CW742">
        <v>0</v>
      </c>
      <c r="CX742">
        <v>7</v>
      </c>
      <c r="CY742">
        <v>1</v>
      </c>
      <c r="CZ742">
        <v>0</v>
      </c>
      <c r="DA742">
        <v>0</v>
      </c>
      <c r="DB742">
        <v>0</v>
      </c>
      <c r="DC742">
        <v>0</v>
      </c>
      <c r="DD742">
        <v>1020</v>
      </c>
      <c r="DE742">
        <v>0</v>
      </c>
      <c r="DF742">
        <v>0</v>
      </c>
      <c r="DG742">
        <v>6</v>
      </c>
      <c r="DH742">
        <v>12</v>
      </c>
      <c r="DI742">
        <v>10</v>
      </c>
      <c r="DJ742">
        <v>21</v>
      </c>
      <c r="DK742">
        <v>6</v>
      </c>
      <c r="DL742">
        <v>10</v>
      </c>
      <c r="DM742">
        <v>51</v>
      </c>
      <c r="DN742">
        <v>44</v>
      </c>
      <c r="DO742">
        <v>796</v>
      </c>
      <c r="DP742">
        <v>18</v>
      </c>
      <c r="DQ742">
        <v>6</v>
      </c>
      <c r="DR742">
        <v>6</v>
      </c>
      <c r="DS742">
        <v>0</v>
      </c>
      <c r="DT742">
        <v>9</v>
      </c>
      <c r="DU742">
        <v>20</v>
      </c>
      <c r="DV742">
        <v>8</v>
      </c>
      <c r="DW742">
        <v>0</v>
      </c>
      <c r="DX742">
        <v>39</v>
      </c>
      <c r="DY742">
        <v>0</v>
      </c>
      <c r="DZ742">
        <v>921</v>
      </c>
      <c r="EA742">
        <v>0.94530000000000003</v>
      </c>
      <c r="EB742">
        <v>0.94875799180711196</v>
      </c>
      <c r="EC742">
        <v>0.944050090778771</v>
      </c>
      <c r="ED742">
        <v>0.944468989302925</v>
      </c>
      <c r="EE742">
        <f>SUM(Table1[[#This Row],[ratio_0]:[ratio_9]])</f>
        <v>460</v>
      </c>
      <c r="EF742" s="1">
        <f>(Table1[[#This Row],[predicted_0]]-Table1[[#This Row],[actual_0]])/Table1[[#This Row],[actual_0]]</f>
        <v>-1.2244897959183673E-2</v>
      </c>
      <c r="EG742" s="1">
        <f>(Table1[[#This Row],[predicted_1]]-Table1[[#This Row],[actual_1]])/Table1[[#This Row],[actual_1]]</f>
        <v>3.3480176211453744E-2</v>
      </c>
      <c r="EH742" s="1">
        <f>(Table1[[#This Row],[predicted_2]]-Table1[[#This Row],[actual_2]])/Table1[[#This Row],[actual_2]]</f>
        <v>-5.6201550387596902E-2</v>
      </c>
      <c r="EI742" s="1">
        <f>(Table1[[#This Row],[predicted_3]]-Table1[[#This Row],[actual_3]])/Table1[[#This Row],[actual_3]]</f>
        <v>2.9702970297029703E-3</v>
      </c>
      <c r="EJ742" s="1">
        <f>(Table1[[#This Row],[predicted_4]]-Table1[[#This Row],[actual_4]])/Table1[[#This Row],[actual_4]]</f>
        <v>4.0733197556008148E-2</v>
      </c>
      <c r="EK742" s="1">
        <f>(Table1[[#This Row],[predicted_5]]-Table1[[#This Row],[actual_5]])/Table1[[#This Row],[actual_5]]</f>
        <v>-6.2780269058295965E-2</v>
      </c>
      <c r="EL742" s="1">
        <f>(Table1[[#This Row],[predicted_6]]-Table1[[#This Row],[actual_6]])/Table1[[#This Row],[actual_6]]</f>
        <v>8.4551148225469733E-2</v>
      </c>
      <c r="EM742" s="1">
        <f>(Table1[[#This Row],[predicted_7]]-Table1[[#This Row],[actual_7]])/Table1[[#This Row],[actual_7]]</f>
        <v>0.17898832684824903</v>
      </c>
      <c r="EN742" s="1">
        <f>(Table1[[#This Row],[predicted_8]]-Table1[[#This Row],[actual_8]])/Table1[[#This Row],[actual_8]]</f>
        <v>-0.17761806981519507</v>
      </c>
      <c r="EO742" s="1">
        <f>(Table1[[#This Row],[predicted_9]]-Table1[[#This Row],[actual_9]])/Table1[[#This Row],[actual_9]]</f>
        <v>-4.6580773042616451E-2</v>
      </c>
      <c r="EP742" s="1">
        <f>1+(Table1[[#This Row],[error_ratio_0]]-EF$2)</f>
        <v>0.98571428571428577</v>
      </c>
      <c r="EQ742" s="1">
        <f>1+(Table1[[#This Row],[error_ratio_1]]-EG$2)</f>
        <v>1.0317180616740087</v>
      </c>
      <c r="ER742" s="1">
        <f>1+(Table1[[#This Row],[error_ratio_2]]-EH$2)</f>
        <v>0.9486434108527132</v>
      </c>
      <c r="ES742" s="1">
        <f>1+(Table1[[#This Row],[error_ratio_3]]-EI$2)</f>
        <v>0.99306930693069306</v>
      </c>
      <c r="ET742" s="1">
        <f>1+(Table1[[#This Row],[error_ratio_4]]-EJ$2)</f>
        <v>1.039714867617108</v>
      </c>
      <c r="EU742" s="1">
        <f>1+(Table1[[#This Row],[error_ratio_5]]-EK$2)</f>
        <v>0.93609865470852016</v>
      </c>
      <c r="EV742" s="1">
        <f>1+(Table1[[#This Row],[error_ratio_6]]-EL$2)</f>
        <v>1.0908141962421711</v>
      </c>
      <c r="EW742" s="1">
        <f>1+(Table1[[#This Row],[error_ratio_7]]-EM$2)</f>
        <v>1.1770428015564203</v>
      </c>
      <c r="EX742" s="1">
        <f>1+(Table1[[#This Row],[error_ratio_8]]-EN$2)</f>
        <v>0.82546201232032856</v>
      </c>
      <c r="EY742" s="1">
        <f>1+(Table1[[#This Row],[error_ratio_9]]-EO$2)</f>
        <v>0.95738354806739345</v>
      </c>
    </row>
    <row r="743" spans="1:155" x14ac:dyDescent="0.75">
      <c r="A743">
        <v>100</v>
      </c>
      <c r="B743">
        <v>10</v>
      </c>
      <c r="C743">
        <v>10</v>
      </c>
      <c r="D743">
        <v>10</v>
      </c>
      <c r="E743">
        <v>100</v>
      </c>
      <c r="F743">
        <v>10</v>
      </c>
      <c r="G743">
        <v>100</v>
      </c>
      <c r="H743">
        <v>100</v>
      </c>
      <c r="I743">
        <v>10</v>
      </c>
      <c r="J743">
        <v>10</v>
      </c>
      <c r="K743">
        <v>1030</v>
      </c>
      <c r="L743">
        <v>1122</v>
      </c>
      <c r="M743">
        <v>873</v>
      </c>
      <c r="N743">
        <v>1011</v>
      </c>
      <c r="O743">
        <v>1003</v>
      </c>
      <c r="P743">
        <v>1003</v>
      </c>
      <c r="Q743">
        <v>968</v>
      </c>
      <c r="R743">
        <v>1127</v>
      </c>
      <c r="S743">
        <v>929</v>
      </c>
      <c r="T743">
        <v>934</v>
      </c>
      <c r="U743">
        <v>980</v>
      </c>
      <c r="V743">
        <v>1135</v>
      </c>
      <c r="W743">
        <v>1032</v>
      </c>
      <c r="X743">
        <v>1010</v>
      </c>
      <c r="Y743">
        <v>982</v>
      </c>
      <c r="Z743">
        <v>892</v>
      </c>
      <c r="AA743">
        <v>958</v>
      </c>
      <c r="AB743">
        <v>1028</v>
      </c>
      <c r="AC743">
        <v>974</v>
      </c>
      <c r="AD743">
        <v>1009</v>
      </c>
      <c r="AE743">
        <v>976</v>
      </c>
      <c r="AF743">
        <v>0</v>
      </c>
      <c r="AG743">
        <v>0</v>
      </c>
      <c r="AH743">
        <v>0</v>
      </c>
      <c r="AI743">
        <v>0</v>
      </c>
      <c r="AJ743">
        <v>0</v>
      </c>
      <c r="AK743">
        <v>1</v>
      </c>
      <c r="AL743">
        <v>1</v>
      </c>
      <c r="AM743">
        <v>2</v>
      </c>
      <c r="AN743">
        <v>0</v>
      </c>
      <c r="AO743">
        <v>0</v>
      </c>
      <c r="AP743">
        <v>1105</v>
      </c>
      <c r="AQ743">
        <v>1</v>
      </c>
      <c r="AR743">
        <v>7</v>
      </c>
      <c r="AS743">
        <v>1</v>
      </c>
      <c r="AT743">
        <v>2</v>
      </c>
      <c r="AU743">
        <v>3</v>
      </c>
      <c r="AV743">
        <v>10</v>
      </c>
      <c r="AW743">
        <v>6</v>
      </c>
      <c r="AX743">
        <v>0</v>
      </c>
      <c r="AY743">
        <v>25</v>
      </c>
      <c r="AZ743">
        <v>13</v>
      </c>
      <c r="BA743">
        <v>868</v>
      </c>
      <c r="BB743">
        <v>42</v>
      </c>
      <c r="BC743">
        <v>9</v>
      </c>
      <c r="BD743">
        <v>1</v>
      </c>
      <c r="BE743">
        <v>4</v>
      </c>
      <c r="BF743">
        <v>62</v>
      </c>
      <c r="BG743">
        <v>8</v>
      </c>
      <c r="BH743">
        <v>0</v>
      </c>
      <c r="BI743">
        <v>6</v>
      </c>
      <c r="BJ743">
        <v>0</v>
      </c>
      <c r="BK743">
        <v>1</v>
      </c>
      <c r="BL743">
        <v>941</v>
      </c>
      <c r="BM743">
        <v>2</v>
      </c>
      <c r="BN743">
        <v>49</v>
      </c>
      <c r="BO743">
        <v>0</v>
      </c>
      <c r="BP743">
        <v>7</v>
      </c>
      <c r="BQ743">
        <v>4</v>
      </c>
      <c r="BR743">
        <v>0</v>
      </c>
      <c r="BS743">
        <v>0</v>
      </c>
      <c r="BT743">
        <v>0</v>
      </c>
      <c r="BU743">
        <v>0</v>
      </c>
      <c r="BV743">
        <v>0</v>
      </c>
      <c r="BW743">
        <v>973</v>
      </c>
      <c r="BX743">
        <v>0</v>
      </c>
      <c r="BY743">
        <v>2</v>
      </c>
      <c r="BZ743">
        <v>1</v>
      </c>
      <c r="CA743">
        <v>2</v>
      </c>
      <c r="CB743">
        <v>4</v>
      </c>
      <c r="CC743">
        <v>3</v>
      </c>
      <c r="CD743">
        <v>0</v>
      </c>
      <c r="CE743">
        <v>0</v>
      </c>
      <c r="CF743">
        <v>1</v>
      </c>
      <c r="CG743">
        <v>0</v>
      </c>
      <c r="CH743">
        <v>882</v>
      </c>
      <c r="CI743">
        <v>5</v>
      </c>
      <c r="CJ743">
        <v>0</v>
      </c>
      <c r="CK743">
        <v>1</v>
      </c>
      <c r="CL743">
        <v>0</v>
      </c>
      <c r="CM743">
        <v>6</v>
      </c>
      <c r="CN743">
        <v>1</v>
      </c>
      <c r="CO743">
        <v>0</v>
      </c>
      <c r="CP743">
        <v>0</v>
      </c>
      <c r="CQ743">
        <v>1</v>
      </c>
      <c r="CR743">
        <v>2</v>
      </c>
      <c r="CS743">
        <v>948</v>
      </c>
      <c r="CT743">
        <v>0</v>
      </c>
      <c r="CU743">
        <v>0</v>
      </c>
      <c r="CV743">
        <v>0</v>
      </c>
      <c r="CW743">
        <v>1</v>
      </c>
      <c r="CX743">
        <v>1</v>
      </c>
      <c r="CY743">
        <v>2</v>
      </c>
      <c r="CZ743">
        <v>3</v>
      </c>
      <c r="DA743">
        <v>1</v>
      </c>
      <c r="DB743">
        <v>0</v>
      </c>
      <c r="DC743">
        <v>0</v>
      </c>
      <c r="DD743">
        <v>1019</v>
      </c>
      <c r="DE743">
        <v>1</v>
      </c>
      <c r="DF743">
        <v>0</v>
      </c>
      <c r="DG743">
        <v>7</v>
      </c>
      <c r="DH743">
        <v>0</v>
      </c>
      <c r="DI743">
        <v>0</v>
      </c>
      <c r="DJ743">
        <v>13</v>
      </c>
      <c r="DK743">
        <v>4</v>
      </c>
      <c r="DL743">
        <v>35</v>
      </c>
      <c r="DM743">
        <v>4</v>
      </c>
      <c r="DN743">
        <v>7</v>
      </c>
      <c r="DO743">
        <v>901</v>
      </c>
      <c r="DP743">
        <v>3</v>
      </c>
      <c r="DQ743">
        <v>6</v>
      </c>
      <c r="DR743">
        <v>2</v>
      </c>
      <c r="DS743">
        <v>1</v>
      </c>
      <c r="DT743">
        <v>4</v>
      </c>
      <c r="DU743">
        <v>12</v>
      </c>
      <c r="DV743">
        <v>32</v>
      </c>
      <c r="DW743">
        <v>1</v>
      </c>
      <c r="DX743">
        <v>20</v>
      </c>
      <c r="DY743">
        <v>4</v>
      </c>
      <c r="DZ743">
        <v>927</v>
      </c>
      <c r="EA743">
        <v>0.95399999999999996</v>
      </c>
      <c r="EB743">
        <v>0.95527818154196797</v>
      </c>
      <c r="EC743">
        <v>0.95464688319106406</v>
      </c>
      <c r="ED743">
        <v>0.95353035731430102</v>
      </c>
      <c r="EE743">
        <f>SUM(Table1[[#This Row],[ratio_0]:[ratio_9]])</f>
        <v>460</v>
      </c>
      <c r="EF743" s="1">
        <f>(Table1[[#This Row],[predicted_0]]-Table1[[#This Row],[actual_0]])/Table1[[#This Row],[actual_0]]</f>
        <v>5.1020408163265307E-2</v>
      </c>
      <c r="EG743" s="1">
        <f>(Table1[[#This Row],[predicted_1]]-Table1[[#This Row],[actual_1]])/Table1[[#This Row],[actual_1]]</f>
        <v>-1.145374449339207E-2</v>
      </c>
      <c r="EH743" s="1">
        <f>(Table1[[#This Row],[predicted_2]]-Table1[[#This Row],[actual_2]])/Table1[[#This Row],[actual_2]]</f>
        <v>-0.15406976744186046</v>
      </c>
      <c r="EI743" s="1">
        <f>(Table1[[#This Row],[predicted_3]]-Table1[[#This Row],[actual_3]])/Table1[[#This Row],[actual_3]]</f>
        <v>9.9009900990099011E-4</v>
      </c>
      <c r="EJ743" s="1">
        <f>(Table1[[#This Row],[predicted_4]]-Table1[[#This Row],[actual_4]])/Table1[[#This Row],[actual_4]]</f>
        <v>2.1384928716904276E-2</v>
      </c>
      <c r="EK743" s="1">
        <f>(Table1[[#This Row],[predicted_5]]-Table1[[#This Row],[actual_5]])/Table1[[#This Row],[actual_5]]</f>
        <v>0.12443946188340807</v>
      </c>
      <c r="EL743" s="1">
        <f>(Table1[[#This Row],[predicted_6]]-Table1[[#This Row],[actual_6]])/Table1[[#This Row],[actual_6]]</f>
        <v>1.0438413361169102E-2</v>
      </c>
      <c r="EM743" s="1">
        <f>(Table1[[#This Row],[predicted_7]]-Table1[[#This Row],[actual_7]])/Table1[[#This Row],[actual_7]]</f>
        <v>9.6303501945525297E-2</v>
      </c>
      <c r="EN743" s="1">
        <f>(Table1[[#This Row],[predicted_8]]-Table1[[#This Row],[actual_8]])/Table1[[#This Row],[actual_8]]</f>
        <v>-4.6201232032854207E-2</v>
      </c>
      <c r="EO743" s="1">
        <f>(Table1[[#This Row],[predicted_9]]-Table1[[#This Row],[actual_9]])/Table1[[#This Row],[actual_9]]</f>
        <v>-7.4331020812685833E-2</v>
      </c>
      <c r="EP743" s="1">
        <f>1+(Table1[[#This Row],[error_ratio_0]]-EF$2)</f>
        <v>1.0489795918367346</v>
      </c>
      <c r="EQ743" s="1">
        <f>1+(Table1[[#This Row],[error_ratio_1]]-EG$2)</f>
        <v>0.986784140969163</v>
      </c>
      <c r="ER743" s="1">
        <f>1+(Table1[[#This Row],[error_ratio_2]]-EH$2)</f>
        <v>0.85077519379844957</v>
      </c>
      <c r="ES743" s="1">
        <f>1+(Table1[[#This Row],[error_ratio_3]]-EI$2)</f>
        <v>0.99108910891089108</v>
      </c>
      <c r="ET743" s="1">
        <f>1+(Table1[[#This Row],[error_ratio_4]]-EJ$2)</f>
        <v>1.0203665987780042</v>
      </c>
      <c r="EU743" s="1">
        <f>1+(Table1[[#This Row],[error_ratio_5]]-EK$2)</f>
        <v>1.1233183856502242</v>
      </c>
      <c r="EV743" s="1">
        <f>1+(Table1[[#This Row],[error_ratio_6]]-EL$2)</f>
        <v>1.0167014613778707</v>
      </c>
      <c r="EW743" s="1">
        <f>1+(Table1[[#This Row],[error_ratio_7]]-EM$2)</f>
        <v>1.0943579766536966</v>
      </c>
      <c r="EX743" s="1">
        <f>1+(Table1[[#This Row],[error_ratio_8]]-EN$2)</f>
        <v>0.95687885010266938</v>
      </c>
      <c r="EY743" s="1">
        <f>1+(Table1[[#This Row],[error_ratio_9]]-EO$2)</f>
        <v>0.92963330029732405</v>
      </c>
    </row>
    <row r="744" spans="1:155" x14ac:dyDescent="0.75">
      <c r="A744">
        <v>10</v>
      </c>
      <c r="B744">
        <v>10</v>
      </c>
      <c r="C744">
        <v>10</v>
      </c>
      <c r="D744">
        <v>10</v>
      </c>
      <c r="E744">
        <v>100</v>
      </c>
      <c r="F744">
        <v>10</v>
      </c>
      <c r="G744">
        <v>100</v>
      </c>
      <c r="H744">
        <v>100</v>
      </c>
      <c r="I744">
        <v>10</v>
      </c>
      <c r="J744">
        <v>10</v>
      </c>
      <c r="K744">
        <v>963</v>
      </c>
      <c r="L744">
        <v>1125</v>
      </c>
      <c r="M744">
        <v>992</v>
      </c>
      <c r="N744">
        <v>954</v>
      </c>
      <c r="O744">
        <v>1044</v>
      </c>
      <c r="P744">
        <v>874</v>
      </c>
      <c r="Q744">
        <v>1071</v>
      </c>
      <c r="R744">
        <v>1087</v>
      </c>
      <c r="S744">
        <v>900</v>
      </c>
      <c r="T744">
        <v>990</v>
      </c>
      <c r="U744">
        <v>980</v>
      </c>
      <c r="V744">
        <v>1135</v>
      </c>
      <c r="W744">
        <v>1032</v>
      </c>
      <c r="X744">
        <v>1010</v>
      </c>
      <c r="Y744">
        <v>982</v>
      </c>
      <c r="Z744">
        <v>892</v>
      </c>
      <c r="AA744">
        <v>958</v>
      </c>
      <c r="AB744">
        <v>1028</v>
      </c>
      <c r="AC744">
        <v>974</v>
      </c>
      <c r="AD744">
        <v>1009</v>
      </c>
      <c r="AE744">
        <v>946</v>
      </c>
      <c r="AF744">
        <v>0</v>
      </c>
      <c r="AG744">
        <v>0</v>
      </c>
      <c r="AH744">
        <v>0</v>
      </c>
      <c r="AI744">
        <v>0</v>
      </c>
      <c r="AJ744">
        <v>1</v>
      </c>
      <c r="AK744">
        <v>22</v>
      </c>
      <c r="AL744">
        <v>7</v>
      </c>
      <c r="AM744">
        <v>4</v>
      </c>
      <c r="AN744">
        <v>0</v>
      </c>
      <c r="AO744">
        <v>0</v>
      </c>
      <c r="AP744">
        <v>1114</v>
      </c>
      <c r="AQ744">
        <v>1</v>
      </c>
      <c r="AR744">
        <v>2</v>
      </c>
      <c r="AS744">
        <v>1</v>
      </c>
      <c r="AT744">
        <v>1</v>
      </c>
      <c r="AU744">
        <v>8</v>
      </c>
      <c r="AV744">
        <v>7</v>
      </c>
      <c r="AW744">
        <v>1</v>
      </c>
      <c r="AX744">
        <v>0</v>
      </c>
      <c r="AY744">
        <v>8</v>
      </c>
      <c r="AZ744">
        <v>7</v>
      </c>
      <c r="BA744">
        <v>972</v>
      </c>
      <c r="BB744">
        <v>1</v>
      </c>
      <c r="BC744">
        <v>5</v>
      </c>
      <c r="BD744">
        <v>0</v>
      </c>
      <c r="BE744">
        <v>12</v>
      </c>
      <c r="BF744">
        <v>20</v>
      </c>
      <c r="BG744">
        <v>7</v>
      </c>
      <c r="BH744">
        <v>0</v>
      </c>
      <c r="BI744">
        <v>1</v>
      </c>
      <c r="BJ744">
        <v>0</v>
      </c>
      <c r="BK744">
        <v>10</v>
      </c>
      <c r="BL744">
        <v>946</v>
      </c>
      <c r="BM744">
        <v>4</v>
      </c>
      <c r="BN744">
        <v>14</v>
      </c>
      <c r="BO744">
        <v>0</v>
      </c>
      <c r="BP744">
        <v>16</v>
      </c>
      <c r="BQ744">
        <v>7</v>
      </c>
      <c r="BR744">
        <v>12</v>
      </c>
      <c r="BS744">
        <v>0</v>
      </c>
      <c r="BT744">
        <v>0</v>
      </c>
      <c r="BU744">
        <v>0</v>
      </c>
      <c r="BV744">
        <v>0</v>
      </c>
      <c r="BW744">
        <v>968</v>
      </c>
      <c r="BX744">
        <v>0</v>
      </c>
      <c r="BY744">
        <v>14</v>
      </c>
      <c r="BZ744">
        <v>0</v>
      </c>
      <c r="CA744">
        <v>0</v>
      </c>
      <c r="CB744">
        <v>0</v>
      </c>
      <c r="CC744">
        <v>1</v>
      </c>
      <c r="CD744">
        <v>0</v>
      </c>
      <c r="CE744">
        <v>0</v>
      </c>
      <c r="CF744">
        <v>4</v>
      </c>
      <c r="CG744">
        <v>2</v>
      </c>
      <c r="CH744">
        <v>844</v>
      </c>
      <c r="CI744">
        <v>23</v>
      </c>
      <c r="CJ744">
        <v>2</v>
      </c>
      <c r="CK744">
        <v>1</v>
      </c>
      <c r="CL744">
        <v>15</v>
      </c>
      <c r="CM744">
        <v>0</v>
      </c>
      <c r="CN744">
        <v>1</v>
      </c>
      <c r="CO744">
        <v>0</v>
      </c>
      <c r="CP744">
        <v>0</v>
      </c>
      <c r="CQ744">
        <v>1</v>
      </c>
      <c r="CR744">
        <v>1</v>
      </c>
      <c r="CS744">
        <v>955</v>
      </c>
      <c r="CT744">
        <v>0</v>
      </c>
      <c r="CU744">
        <v>0</v>
      </c>
      <c r="CV744">
        <v>0</v>
      </c>
      <c r="CW744">
        <v>0</v>
      </c>
      <c r="CX744">
        <v>1</v>
      </c>
      <c r="CY744">
        <v>6</v>
      </c>
      <c r="CZ744">
        <v>0</v>
      </c>
      <c r="DA744">
        <v>1</v>
      </c>
      <c r="DB744">
        <v>0</v>
      </c>
      <c r="DC744">
        <v>1</v>
      </c>
      <c r="DD744">
        <v>1016</v>
      </c>
      <c r="DE744">
        <v>0</v>
      </c>
      <c r="DF744">
        <v>3</v>
      </c>
      <c r="DG744">
        <v>4</v>
      </c>
      <c r="DH744">
        <v>1</v>
      </c>
      <c r="DI744">
        <v>3</v>
      </c>
      <c r="DJ744">
        <v>0</v>
      </c>
      <c r="DK744">
        <v>15</v>
      </c>
      <c r="DL744">
        <v>11</v>
      </c>
      <c r="DM744">
        <v>34</v>
      </c>
      <c r="DN744">
        <v>11</v>
      </c>
      <c r="DO744">
        <v>878</v>
      </c>
      <c r="DP744">
        <v>17</v>
      </c>
      <c r="DQ744">
        <v>3</v>
      </c>
      <c r="DR744">
        <v>1</v>
      </c>
      <c r="DS744">
        <v>0</v>
      </c>
      <c r="DT744">
        <v>1</v>
      </c>
      <c r="DU744">
        <v>47</v>
      </c>
      <c r="DV744">
        <v>2</v>
      </c>
      <c r="DW744">
        <v>2</v>
      </c>
      <c r="DX744">
        <v>8</v>
      </c>
      <c r="DY744">
        <v>2</v>
      </c>
      <c r="DZ744">
        <v>943</v>
      </c>
      <c r="EA744">
        <v>0.95820000000000005</v>
      </c>
      <c r="EB744">
        <v>0.95913535729346699</v>
      </c>
      <c r="EC744">
        <v>0.95784511675397499</v>
      </c>
      <c r="ED744">
        <v>0.957742869093413</v>
      </c>
      <c r="EE744">
        <f>SUM(Table1[[#This Row],[ratio_0]:[ratio_9]])</f>
        <v>370</v>
      </c>
      <c r="EF744" s="1">
        <f>(Table1[[#This Row],[predicted_0]]-Table1[[#This Row],[actual_0]])/Table1[[#This Row],[actual_0]]</f>
        <v>-1.7346938775510204E-2</v>
      </c>
      <c r="EG744" s="1">
        <f>(Table1[[#This Row],[predicted_1]]-Table1[[#This Row],[actual_1]])/Table1[[#This Row],[actual_1]]</f>
        <v>-8.8105726872246704E-3</v>
      </c>
      <c r="EH744" s="1">
        <f>(Table1[[#This Row],[predicted_2]]-Table1[[#This Row],[actual_2]])/Table1[[#This Row],[actual_2]]</f>
        <v>-3.875968992248062E-2</v>
      </c>
      <c r="EI744" s="1">
        <f>(Table1[[#This Row],[predicted_3]]-Table1[[#This Row],[actual_3]])/Table1[[#This Row],[actual_3]]</f>
        <v>-5.5445544554455446E-2</v>
      </c>
      <c r="EJ744" s="1">
        <f>(Table1[[#This Row],[predicted_4]]-Table1[[#This Row],[actual_4]])/Table1[[#This Row],[actual_4]]</f>
        <v>6.313645621181263E-2</v>
      </c>
      <c r="EK744" s="1">
        <f>(Table1[[#This Row],[predicted_5]]-Table1[[#This Row],[actual_5]])/Table1[[#This Row],[actual_5]]</f>
        <v>-2.0179372197309416E-2</v>
      </c>
      <c r="EL744" s="1">
        <f>(Table1[[#This Row],[predicted_6]]-Table1[[#This Row],[actual_6]])/Table1[[#This Row],[actual_6]]</f>
        <v>0.11795407098121086</v>
      </c>
      <c r="EM744" s="1">
        <f>(Table1[[#This Row],[predicted_7]]-Table1[[#This Row],[actual_7]])/Table1[[#This Row],[actual_7]]</f>
        <v>5.7392996108949414E-2</v>
      </c>
      <c r="EN744" s="1">
        <f>(Table1[[#This Row],[predicted_8]]-Table1[[#This Row],[actual_8]])/Table1[[#This Row],[actual_8]]</f>
        <v>-7.5975359342915813E-2</v>
      </c>
      <c r="EO744" s="1">
        <f>(Table1[[#This Row],[predicted_9]]-Table1[[#This Row],[actual_9]])/Table1[[#This Row],[actual_9]]</f>
        <v>-1.8830525272547076E-2</v>
      </c>
      <c r="EP744" s="1">
        <f>1+(Table1[[#This Row],[error_ratio_0]]-EF$2)</f>
        <v>0.98061224489795917</v>
      </c>
      <c r="EQ744" s="1">
        <f>1+(Table1[[#This Row],[error_ratio_1]]-EG$2)</f>
        <v>0.98942731277533036</v>
      </c>
      <c r="ER744" s="1">
        <f>1+(Table1[[#This Row],[error_ratio_2]]-EH$2)</f>
        <v>0.96608527131782951</v>
      </c>
      <c r="ES744" s="1">
        <f>1+(Table1[[#This Row],[error_ratio_3]]-EI$2)</f>
        <v>0.9346534653465346</v>
      </c>
      <c r="ET744" s="1">
        <f>1+(Table1[[#This Row],[error_ratio_4]]-EJ$2)</f>
        <v>1.0621181262729125</v>
      </c>
      <c r="EU744" s="1">
        <f>1+(Table1[[#This Row],[error_ratio_5]]-EK$2)</f>
        <v>0.97869955156950672</v>
      </c>
      <c r="EV744" s="1">
        <f>1+(Table1[[#This Row],[error_ratio_6]]-EL$2)</f>
        <v>1.1242171189979122</v>
      </c>
      <c r="EW744" s="1">
        <f>1+(Table1[[#This Row],[error_ratio_7]]-EM$2)</f>
        <v>1.0554474708171206</v>
      </c>
      <c r="EX744" s="1">
        <f>1+(Table1[[#This Row],[error_ratio_8]]-EN$2)</f>
        <v>0.9271047227926078</v>
      </c>
      <c r="EY744" s="1">
        <f>1+(Table1[[#This Row],[error_ratio_9]]-EO$2)</f>
        <v>0.98513379583746286</v>
      </c>
    </row>
    <row r="745" spans="1:155" x14ac:dyDescent="0.75">
      <c r="A745">
        <v>100</v>
      </c>
      <c r="B745">
        <v>100</v>
      </c>
      <c r="C745">
        <v>100</v>
      </c>
      <c r="D745">
        <v>100</v>
      </c>
      <c r="E745">
        <v>10</v>
      </c>
      <c r="F745">
        <v>10</v>
      </c>
      <c r="G745">
        <v>100</v>
      </c>
      <c r="H745">
        <v>100</v>
      </c>
      <c r="I745">
        <v>10</v>
      </c>
      <c r="J745">
        <v>10</v>
      </c>
      <c r="K745">
        <v>1009</v>
      </c>
      <c r="L745">
        <v>1169</v>
      </c>
      <c r="M745">
        <v>1079</v>
      </c>
      <c r="N745">
        <v>1024</v>
      </c>
      <c r="O745">
        <v>1104</v>
      </c>
      <c r="P745">
        <v>823</v>
      </c>
      <c r="Q745">
        <v>990</v>
      </c>
      <c r="R745">
        <v>1060</v>
      </c>
      <c r="S745">
        <v>929</v>
      </c>
      <c r="T745">
        <v>813</v>
      </c>
      <c r="U745">
        <v>980</v>
      </c>
      <c r="V745">
        <v>1135</v>
      </c>
      <c r="W745">
        <v>1032</v>
      </c>
      <c r="X745">
        <v>1010</v>
      </c>
      <c r="Y745">
        <v>982</v>
      </c>
      <c r="Z745">
        <v>892</v>
      </c>
      <c r="AA745">
        <v>958</v>
      </c>
      <c r="AB745">
        <v>1028</v>
      </c>
      <c r="AC745">
        <v>974</v>
      </c>
      <c r="AD745">
        <v>1009</v>
      </c>
      <c r="AE745">
        <v>974</v>
      </c>
      <c r="AF745">
        <v>1</v>
      </c>
      <c r="AG745">
        <v>1</v>
      </c>
      <c r="AH745">
        <v>0</v>
      </c>
      <c r="AI745">
        <v>0</v>
      </c>
      <c r="AJ745">
        <v>0</v>
      </c>
      <c r="AK745">
        <v>3</v>
      </c>
      <c r="AL745">
        <v>1</v>
      </c>
      <c r="AM745">
        <v>0</v>
      </c>
      <c r="AN745">
        <v>0</v>
      </c>
      <c r="AO745">
        <v>0</v>
      </c>
      <c r="AP745">
        <v>1133</v>
      </c>
      <c r="AQ745">
        <v>0</v>
      </c>
      <c r="AR745">
        <v>0</v>
      </c>
      <c r="AS745">
        <v>0</v>
      </c>
      <c r="AT745">
        <v>1</v>
      </c>
      <c r="AU745">
        <v>0</v>
      </c>
      <c r="AV745">
        <v>1</v>
      </c>
      <c r="AW745">
        <v>0</v>
      </c>
      <c r="AX745">
        <v>0</v>
      </c>
      <c r="AY745">
        <v>1</v>
      </c>
      <c r="AZ745">
        <v>3</v>
      </c>
      <c r="BA745">
        <v>1025</v>
      </c>
      <c r="BB745">
        <v>0</v>
      </c>
      <c r="BC745">
        <v>0</v>
      </c>
      <c r="BD745">
        <v>0</v>
      </c>
      <c r="BE745">
        <v>1</v>
      </c>
      <c r="BF745">
        <v>2</v>
      </c>
      <c r="BG745">
        <v>0</v>
      </c>
      <c r="BH745">
        <v>0</v>
      </c>
      <c r="BI745">
        <v>0</v>
      </c>
      <c r="BJ745">
        <v>0</v>
      </c>
      <c r="BK745">
        <v>6</v>
      </c>
      <c r="BL745">
        <v>995</v>
      </c>
      <c r="BM745">
        <v>0</v>
      </c>
      <c r="BN745">
        <v>2</v>
      </c>
      <c r="BO745">
        <v>0</v>
      </c>
      <c r="BP745">
        <v>5</v>
      </c>
      <c r="BQ745">
        <v>2</v>
      </c>
      <c r="BR745">
        <v>0</v>
      </c>
      <c r="BS745">
        <v>0</v>
      </c>
      <c r="BT745">
        <v>9</v>
      </c>
      <c r="BU745">
        <v>4</v>
      </c>
      <c r="BV745">
        <v>0</v>
      </c>
      <c r="BW745">
        <v>958</v>
      </c>
      <c r="BX745">
        <v>0</v>
      </c>
      <c r="BY745">
        <v>8</v>
      </c>
      <c r="BZ745">
        <v>2</v>
      </c>
      <c r="CA745">
        <v>1</v>
      </c>
      <c r="CB745">
        <v>0</v>
      </c>
      <c r="CC745">
        <v>5</v>
      </c>
      <c r="CD745">
        <v>2</v>
      </c>
      <c r="CE745">
        <v>1</v>
      </c>
      <c r="CF745">
        <v>22</v>
      </c>
      <c r="CG745">
        <v>1</v>
      </c>
      <c r="CH745">
        <v>812</v>
      </c>
      <c r="CI745">
        <v>19</v>
      </c>
      <c r="CJ745">
        <v>3</v>
      </c>
      <c r="CK745">
        <v>27</v>
      </c>
      <c r="CL745">
        <v>0</v>
      </c>
      <c r="CM745">
        <v>2</v>
      </c>
      <c r="CN745">
        <v>3</v>
      </c>
      <c r="CO745">
        <v>3</v>
      </c>
      <c r="CP745">
        <v>0</v>
      </c>
      <c r="CQ745">
        <v>2</v>
      </c>
      <c r="CR745">
        <v>0</v>
      </c>
      <c r="CS745">
        <v>948</v>
      </c>
      <c r="CT745">
        <v>0</v>
      </c>
      <c r="CU745">
        <v>0</v>
      </c>
      <c r="CV745">
        <v>0</v>
      </c>
      <c r="CW745">
        <v>2</v>
      </c>
      <c r="CX745">
        <v>3</v>
      </c>
      <c r="CY745">
        <v>17</v>
      </c>
      <c r="CZ745">
        <v>1</v>
      </c>
      <c r="DA745">
        <v>0</v>
      </c>
      <c r="DB745">
        <v>0</v>
      </c>
      <c r="DC745">
        <v>0</v>
      </c>
      <c r="DD745">
        <v>1005</v>
      </c>
      <c r="DE745">
        <v>0</v>
      </c>
      <c r="DF745">
        <v>0</v>
      </c>
      <c r="DG745">
        <v>14</v>
      </c>
      <c r="DH745">
        <v>7</v>
      </c>
      <c r="DI745">
        <v>21</v>
      </c>
      <c r="DJ745">
        <v>1</v>
      </c>
      <c r="DK745">
        <v>9</v>
      </c>
      <c r="DL745">
        <v>2</v>
      </c>
      <c r="DM745">
        <v>9</v>
      </c>
      <c r="DN745">
        <v>11</v>
      </c>
      <c r="DO745">
        <v>898</v>
      </c>
      <c r="DP745">
        <v>2</v>
      </c>
      <c r="DQ745">
        <v>11</v>
      </c>
      <c r="DR745">
        <v>8</v>
      </c>
      <c r="DS745">
        <v>1</v>
      </c>
      <c r="DT745">
        <v>5</v>
      </c>
      <c r="DU745">
        <v>134</v>
      </c>
      <c r="DV745">
        <v>6</v>
      </c>
      <c r="DW745">
        <v>2</v>
      </c>
      <c r="DX745">
        <v>30</v>
      </c>
      <c r="DY745">
        <v>1</v>
      </c>
      <c r="DZ745">
        <v>811</v>
      </c>
      <c r="EA745">
        <v>0.95589999999999997</v>
      </c>
      <c r="EB745">
        <v>0.95803976012176395</v>
      </c>
      <c r="EC745">
        <v>0.95492803918137403</v>
      </c>
      <c r="ED745">
        <v>0.95477612903777598</v>
      </c>
      <c r="EE745">
        <f>SUM(Table1[[#This Row],[ratio_0]:[ratio_9]])</f>
        <v>640</v>
      </c>
      <c r="EF745" s="1">
        <f>(Table1[[#This Row],[predicted_0]]-Table1[[#This Row],[actual_0]])/Table1[[#This Row],[actual_0]]</f>
        <v>2.9591836734693878E-2</v>
      </c>
      <c r="EG745" s="1">
        <f>(Table1[[#This Row],[predicted_1]]-Table1[[#This Row],[actual_1]])/Table1[[#This Row],[actual_1]]</f>
        <v>2.9955947136563875E-2</v>
      </c>
      <c r="EH745" s="1">
        <f>(Table1[[#This Row],[predicted_2]]-Table1[[#This Row],[actual_2]])/Table1[[#This Row],[actual_2]]</f>
        <v>4.5542635658914726E-2</v>
      </c>
      <c r="EI745" s="1">
        <f>(Table1[[#This Row],[predicted_3]]-Table1[[#This Row],[actual_3]])/Table1[[#This Row],[actual_3]]</f>
        <v>1.3861386138613862E-2</v>
      </c>
      <c r="EJ745" s="1">
        <f>(Table1[[#This Row],[predicted_4]]-Table1[[#This Row],[actual_4]])/Table1[[#This Row],[actual_4]]</f>
        <v>0.12423625254582485</v>
      </c>
      <c r="EK745" s="1">
        <f>(Table1[[#This Row],[predicted_5]]-Table1[[#This Row],[actual_5]])/Table1[[#This Row],[actual_5]]</f>
        <v>-7.73542600896861E-2</v>
      </c>
      <c r="EL745" s="1">
        <f>(Table1[[#This Row],[predicted_6]]-Table1[[#This Row],[actual_6]])/Table1[[#This Row],[actual_6]]</f>
        <v>3.3402922755741124E-2</v>
      </c>
      <c r="EM745" s="1">
        <f>(Table1[[#This Row],[predicted_7]]-Table1[[#This Row],[actual_7]])/Table1[[#This Row],[actual_7]]</f>
        <v>3.1128404669260701E-2</v>
      </c>
      <c r="EN745" s="1">
        <f>(Table1[[#This Row],[predicted_8]]-Table1[[#This Row],[actual_8]])/Table1[[#This Row],[actual_8]]</f>
        <v>-4.6201232032854207E-2</v>
      </c>
      <c r="EO745" s="1">
        <f>(Table1[[#This Row],[predicted_9]]-Table1[[#This Row],[actual_9]])/Table1[[#This Row],[actual_9]]</f>
        <v>-0.19425173439048563</v>
      </c>
      <c r="EP745" s="1">
        <f>1+(Table1[[#This Row],[error_ratio_0]]-EF$2)</f>
        <v>1.0275510204081633</v>
      </c>
      <c r="EQ745" s="1">
        <f>1+(Table1[[#This Row],[error_ratio_1]]-EG$2)</f>
        <v>1.0281938325991189</v>
      </c>
      <c r="ER745" s="1">
        <f>1+(Table1[[#This Row],[error_ratio_2]]-EH$2)</f>
        <v>1.0503875968992249</v>
      </c>
      <c r="ES745" s="1">
        <f>1+(Table1[[#This Row],[error_ratio_3]]-EI$2)</f>
        <v>1.003960396039604</v>
      </c>
      <c r="ET745" s="1">
        <f>1+(Table1[[#This Row],[error_ratio_4]]-EJ$2)</f>
        <v>1.1232179226069245</v>
      </c>
      <c r="EU745" s="1">
        <f>1+(Table1[[#This Row],[error_ratio_5]]-EK$2)</f>
        <v>0.92152466367713004</v>
      </c>
      <c r="EV745" s="1">
        <f>1+(Table1[[#This Row],[error_ratio_6]]-EL$2)</f>
        <v>1.0396659707724425</v>
      </c>
      <c r="EW745" s="1">
        <f>1+(Table1[[#This Row],[error_ratio_7]]-EM$2)</f>
        <v>1.0291828793774318</v>
      </c>
      <c r="EX745" s="1">
        <f>1+(Table1[[#This Row],[error_ratio_8]]-EN$2)</f>
        <v>0.95687885010266938</v>
      </c>
      <c r="EY745" s="1">
        <f>1+(Table1[[#This Row],[error_ratio_9]]-EO$2)</f>
        <v>0.80971258671952429</v>
      </c>
    </row>
    <row r="746" spans="1:155" x14ac:dyDescent="0.75">
      <c r="A746">
        <v>10</v>
      </c>
      <c r="B746">
        <v>100</v>
      </c>
      <c r="C746">
        <v>100</v>
      </c>
      <c r="D746">
        <v>100</v>
      </c>
      <c r="E746">
        <v>10</v>
      </c>
      <c r="F746">
        <v>10</v>
      </c>
      <c r="G746">
        <v>100</v>
      </c>
      <c r="H746">
        <v>100</v>
      </c>
      <c r="I746">
        <v>10</v>
      </c>
      <c r="J746">
        <v>10</v>
      </c>
      <c r="K746">
        <v>983</v>
      </c>
      <c r="L746">
        <v>1170</v>
      </c>
      <c r="M746">
        <v>1039</v>
      </c>
      <c r="N746">
        <v>1026</v>
      </c>
      <c r="O746">
        <v>937</v>
      </c>
      <c r="P746">
        <v>870</v>
      </c>
      <c r="Q746">
        <v>973</v>
      </c>
      <c r="R746">
        <v>1033</v>
      </c>
      <c r="S746">
        <v>945</v>
      </c>
      <c r="T746">
        <v>1024</v>
      </c>
      <c r="U746">
        <v>980</v>
      </c>
      <c r="V746">
        <v>1135</v>
      </c>
      <c r="W746">
        <v>1032</v>
      </c>
      <c r="X746">
        <v>1010</v>
      </c>
      <c r="Y746">
        <v>982</v>
      </c>
      <c r="Z746">
        <v>892</v>
      </c>
      <c r="AA746">
        <v>958</v>
      </c>
      <c r="AB746">
        <v>1028</v>
      </c>
      <c r="AC746">
        <v>974</v>
      </c>
      <c r="AD746">
        <v>1009</v>
      </c>
      <c r="AE746">
        <v>962</v>
      </c>
      <c r="AF746">
        <v>2</v>
      </c>
      <c r="AG746">
        <v>4</v>
      </c>
      <c r="AH746">
        <v>2</v>
      </c>
      <c r="AI746">
        <v>0</v>
      </c>
      <c r="AJ746">
        <v>1</v>
      </c>
      <c r="AK746">
        <v>3</v>
      </c>
      <c r="AL746">
        <v>2</v>
      </c>
      <c r="AM746">
        <v>2</v>
      </c>
      <c r="AN746">
        <v>2</v>
      </c>
      <c r="AO746">
        <v>0</v>
      </c>
      <c r="AP746">
        <v>1131</v>
      </c>
      <c r="AQ746">
        <v>0</v>
      </c>
      <c r="AR746">
        <v>1</v>
      </c>
      <c r="AS746">
        <v>0</v>
      </c>
      <c r="AT746">
        <v>1</v>
      </c>
      <c r="AU746">
        <v>2</v>
      </c>
      <c r="AV746">
        <v>0</v>
      </c>
      <c r="AW746">
        <v>0</v>
      </c>
      <c r="AX746">
        <v>0</v>
      </c>
      <c r="AY746">
        <v>0</v>
      </c>
      <c r="AZ746">
        <v>2</v>
      </c>
      <c r="BA746">
        <v>1018</v>
      </c>
      <c r="BB746">
        <v>2</v>
      </c>
      <c r="BC746">
        <v>0</v>
      </c>
      <c r="BD746">
        <v>0</v>
      </c>
      <c r="BE746">
        <v>1</v>
      </c>
      <c r="BF746">
        <v>6</v>
      </c>
      <c r="BG746">
        <v>3</v>
      </c>
      <c r="BH746">
        <v>0</v>
      </c>
      <c r="BI746">
        <v>0</v>
      </c>
      <c r="BJ746">
        <v>0</v>
      </c>
      <c r="BK746">
        <v>2</v>
      </c>
      <c r="BL746">
        <v>1002</v>
      </c>
      <c r="BM746">
        <v>0</v>
      </c>
      <c r="BN746">
        <v>4</v>
      </c>
      <c r="BO746">
        <v>0</v>
      </c>
      <c r="BP746">
        <v>0</v>
      </c>
      <c r="BQ746">
        <v>2</v>
      </c>
      <c r="BR746">
        <v>0</v>
      </c>
      <c r="BS746">
        <v>3</v>
      </c>
      <c r="BT746">
        <v>15</v>
      </c>
      <c r="BU746">
        <v>2</v>
      </c>
      <c r="BV746">
        <v>1</v>
      </c>
      <c r="BW746">
        <v>926</v>
      </c>
      <c r="BX746">
        <v>0</v>
      </c>
      <c r="BY746">
        <v>9</v>
      </c>
      <c r="BZ746">
        <v>3</v>
      </c>
      <c r="CA746">
        <v>1</v>
      </c>
      <c r="CB746">
        <v>22</v>
      </c>
      <c r="CC746">
        <v>2</v>
      </c>
      <c r="CD746">
        <v>1</v>
      </c>
      <c r="CE746">
        <v>1</v>
      </c>
      <c r="CF746">
        <v>11</v>
      </c>
      <c r="CG746">
        <v>1</v>
      </c>
      <c r="CH746">
        <v>855</v>
      </c>
      <c r="CI746">
        <v>11</v>
      </c>
      <c r="CJ746">
        <v>1</v>
      </c>
      <c r="CK746">
        <v>4</v>
      </c>
      <c r="CL746">
        <v>5</v>
      </c>
      <c r="CM746">
        <v>8</v>
      </c>
      <c r="CN746">
        <v>4</v>
      </c>
      <c r="CO746">
        <v>1</v>
      </c>
      <c r="CP746">
        <v>0</v>
      </c>
      <c r="CQ746">
        <v>1</v>
      </c>
      <c r="CR746">
        <v>1</v>
      </c>
      <c r="CS746">
        <v>943</v>
      </c>
      <c r="CT746">
        <v>0</v>
      </c>
      <c r="CU746">
        <v>0</v>
      </c>
      <c r="CV746">
        <v>0</v>
      </c>
      <c r="CW746">
        <v>0</v>
      </c>
      <c r="CX746">
        <v>5</v>
      </c>
      <c r="CY746">
        <v>6</v>
      </c>
      <c r="CZ746">
        <v>3</v>
      </c>
      <c r="DA746">
        <v>1</v>
      </c>
      <c r="DB746">
        <v>0</v>
      </c>
      <c r="DC746">
        <v>0</v>
      </c>
      <c r="DD746">
        <v>1012</v>
      </c>
      <c r="DE746">
        <v>0</v>
      </c>
      <c r="DF746">
        <v>1</v>
      </c>
      <c r="DG746">
        <v>4</v>
      </c>
      <c r="DH746">
        <v>3</v>
      </c>
      <c r="DI746">
        <v>5</v>
      </c>
      <c r="DJ746">
        <v>2</v>
      </c>
      <c r="DK746">
        <v>4</v>
      </c>
      <c r="DL746">
        <v>3</v>
      </c>
      <c r="DM746">
        <v>4</v>
      </c>
      <c r="DN746">
        <v>4</v>
      </c>
      <c r="DO746">
        <v>929</v>
      </c>
      <c r="DP746">
        <v>16</v>
      </c>
      <c r="DQ746">
        <v>4</v>
      </c>
      <c r="DR746">
        <v>7</v>
      </c>
      <c r="DS746">
        <v>0</v>
      </c>
      <c r="DT746">
        <v>2</v>
      </c>
      <c r="DU746">
        <v>4</v>
      </c>
      <c r="DV746">
        <v>5</v>
      </c>
      <c r="DW746">
        <v>0</v>
      </c>
      <c r="DX746">
        <v>5</v>
      </c>
      <c r="DY746">
        <v>4</v>
      </c>
      <c r="DZ746">
        <v>978</v>
      </c>
      <c r="EA746">
        <v>0.97560000000000002</v>
      </c>
      <c r="EB746">
        <v>0.97597042567848902</v>
      </c>
      <c r="EC746">
        <v>0.97499689002162204</v>
      </c>
      <c r="ED746">
        <v>0.97535153875124203</v>
      </c>
      <c r="EE746">
        <f>SUM(Table1[[#This Row],[ratio_0]:[ratio_9]])</f>
        <v>550</v>
      </c>
      <c r="EF746" s="1">
        <f>(Table1[[#This Row],[predicted_0]]-Table1[[#This Row],[actual_0]])/Table1[[#This Row],[actual_0]]</f>
        <v>3.0612244897959182E-3</v>
      </c>
      <c r="EG746" s="1">
        <f>(Table1[[#This Row],[predicted_1]]-Table1[[#This Row],[actual_1]])/Table1[[#This Row],[actual_1]]</f>
        <v>3.0837004405286344E-2</v>
      </c>
      <c r="EH746" s="1">
        <f>(Table1[[#This Row],[predicted_2]]-Table1[[#This Row],[actual_2]])/Table1[[#This Row],[actual_2]]</f>
        <v>6.7829457364341084E-3</v>
      </c>
      <c r="EI746" s="1">
        <f>(Table1[[#This Row],[predicted_3]]-Table1[[#This Row],[actual_3]])/Table1[[#This Row],[actual_3]]</f>
        <v>1.5841584158415842E-2</v>
      </c>
      <c r="EJ746" s="1">
        <f>(Table1[[#This Row],[predicted_4]]-Table1[[#This Row],[actual_4]])/Table1[[#This Row],[actual_4]]</f>
        <v>-4.5824847250509164E-2</v>
      </c>
      <c r="EK746" s="1">
        <f>(Table1[[#This Row],[predicted_5]]-Table1[[#This Row],[actual_5]])/Table1[[#This Row],[actual_5]]</f>
        <v>-2.4663677130044841E-2</v>
      </c>
      <c r="EL746" s="1">
        <f>(Table1[[#This Row],[predicted_6]]-Table1[[#This Row],[actual_6]])/Table1[[#This Row],[actual_6]]</f>
        <v>1.5657620041753653E-2</v>
      </c>
      <c r="EM746" s="1">
        <f>(Table1[[#This Row],[predicted_7]]-Table1[[#This Row],[actual_7]])/Table1[[#This Row],[actual_7]]</f>
        <v>4.8638132295719845E-3</v>
      </c>
      <c r="EN746" s="1">
        <f>(Table1[[#This Row],[predicted_8]]-Table1[[#This Row],[actual_8]])/Table1[[#This Row],[actual_8]]</f>
        <v>-2.9774127310061602E-2</v>
      </c>
      <c r="EO746" s="1">
        <f>(Table1[[#This Row],[predicted_9]]-Table1[[#This Row],[actual_9]])/Table1[[#This Row],[actual_9]]</f>
        <v>1.4866204162537165E-2</v>
      </c>
      <c r="EP746" s="1">
        <f>1+(Table1[[#This Row],[error_ratio_0]]-EF$2)</f>
        <v>1.0010204081632652</v>
      </c>
      <c r="EQ746" s="1">
        <f>1+(Table1[[#This Row],[error_ratio_1]]-EG$2)</f>
        <v>1.0290748898678415</v>
      </c>
      <c r="ER746" s="1">
        <f>1+(Table1[[#This Row],[error_ratio_2]]-EH$2)</f>
        <v>1.0116279069767442</v>
      </c>
      <c r="ES746" s="1">
        <f>1+(Table1[[#This Row],[error_ratio_3]]-EI$2)</f>
        <v>1.0059405940594059</v>
      </c>
      <c r="ET746" s="1">
        <f>1+(Table1[[#This Row],[error_ratio_4]]-EJ$2)</f>
        <v>0.95315682281059066</v>
      </c>
      <c r="EU746" s="1">
        <f>1+(Table1[[#This Row],[error_ratio_5]]-EK$2)</f>
        <v>0.97421524663677128</v>
      </c>
      <c r="EV746" s="1">
        <f>1+(Table1[[#This Row],[error_ratio_6]]-EL$2)</f>
        <v>1.0219206680584552</v>
      </c>
      <c r="EW746" s="1">
        <f>1+(Table1[[#This Row],[error_ratio_7]]-EM$2)</f>
        <v>1.0029182879377432</v>
      </c>
      <c r="EX746" s="1">
        <f>1+(Table1[[#This Row],[error_ratio_8]]-EN$2)</f>
        <v>0.97330595482546201</v>
      </c>
      <c r="EY746" s="1">
        <f>1+(Table1[[#This Row],[error_ratio_9]]-EO$2)</f>
        <v>1.0188305252725471</v>
      </c>
    </row>
    <row r="747" spans="1:155" x14ac:dyDescent="0.75">
      <c r="A747">
        <v>100</v>
      </c>
      <c r="B747">
        <v>10</v>
      </c>
      <c r="C747">
        <v>100</v>
      </c>
      <c r="D747">
        <v>100</v>
      </c>
      <c r="E747">
        <v>10</v>
      </c>
      <c r="F747">
        <v>10</v>
      </c>
      <c r="G747">
        <v>100</v>
      </c>
      <c r="H747">
        <v>100</v>
      </c>
      <c r="I747">
        <v>10</v>
      </c>
      <c r="J747">
        <v>10</v>
      </c>
      <c r="K747">
        <v>977</v>
      </c>
      <c r="L747">
        <v>1105</v>
      </c>
      <c r="M747">
        <v>1054</v>
      </c>
      <c r="N747">
        <v>1164</v>
      </c>
      <c r="O747">
        <v>969</v>
      </c>
      <c r="P747">
        <v>835</v>
      </c>
      <c r="Q747">
        <v>981</v>
      </c>
      <c r="R747">
        <v>1119</v>
      </c>
      <c r="S747">
        <v>900</v>
      </c>
      <c r="T747">
        <v>896</v>
      </c>
      <c r="U747">
        <v>980</v>
      </c>
      <c r="V747">
        <v>1135</v>
      </c>
      <c r="W747">
        <v>1032</v>
      </c>
      <c r="X747">
        <v>1010</v>
      </c>
      <c r="Y747">
        <v>982</v>
      </c>
      <c r="Z747">
        <v>892</v>
      </c>
      <c r="AA747">
        <v>958</v>
      </c>
      <c r="AB747">
        <v>1028</v>
      </c>
      <c r="AC747">
        <v>974</v>
      </c>
      <c r="AD747">
        <v>1009</v>
      </c>
      <c r="AE747">
        <v>961</v>
      </c>
      <c r="AF747">
        <v>0</v>
      </c>
      <c r="AG747">
        <v>0</v>
      </c>
      <c r="AH747">
        <v>1</v>
      </c>
      <c r="AI747">
        <v>0</v>
      </c>
      <c r="AJ747">
        <v>0</v>
      </c>
      <c r="AK747">
        <v>13</v>
      </c>
      <c r="AL747">
        <v>1</v>
      </c>
      <c r="AM747">
        <v>4</v>
      </c>
      <c r="AN747">
        <v>0</v>
      </c>
      <c r="AO747">
        <v>0</v>
      </c>
      <c r="AP747">
        <v>1104</v>
      </c>
      <c r="AQ747">
        <v>3</v>
      </c>
      <c r="AR747">
        <v>9</v>
      </c>
      <c r="AS747">
        <v>0</v>
      </c>
      <c r="AT747">
        <v>0</v>
      </c>
      <c r="AU747">
        <v>3</v>
      </c>
      <c r="AV747">
        <v>14</v>
      </c>
      <c r="AW747">
        <v>2</v>
      </c>
      <c r="AX747">
        <v>0</v>
      </c>
      <c r="AY747">
        <v>0</v>
      </c>
      <c r="AZ747">
        <v>0</v>
      </c>
      <c r="BA747">
        <v>1023</v>
      </c>
      <c r="BB747">
        <v>1</v>
      </c>
      <c r="BC747">
        <v>0</v>
      </c>
      <c r="BD747">
        <v>0</v>
      </c>
      <c r="BE747">
        <v>0</v>
      </c>
      <c r="BF747">
        <v>8</v>
      </c>
      <c r="BG747">
        <v>0</v>
      </c>
      <c r="BH747">
        <v>0</v>
      </c>
      <c r="BI747">
        <v>0</v>
      </c>
      <c r="BJ747">
        <v>0</v>
      </c>
      <c r="BK747">
        <v>2</v>
      </c>
      <c r="BL747">
        <v>1002</v>
      </c>
      <c r="BM747">
        <v>0</v>
      </c>
      <c r="BN747">
        <v>0</v>
      </c>
      <c r="BO747">
        <v>0</v>
      </c>
      <c r="BP747">
        <v>6</v>
      </c>
      <c r="BQ747">
        <v>0</v>
      </c>
      <c r="BR747">
        <v>0</v>
      </c>
      <c r="BS747">
        <v>3</v>
      </c>
      <c r="BT747">
        <v>0</v>
      </c>
      <c r="BU747">
        <v>3</v>
      </c>
      <c r="BV747">
        <v>4</v>
      </c>
      <c r="BW747">
        <v>950</v>
      </c>
      <c r="BX747">
        <v>0</v>
      </c>
      <c r="BY747">
        <v>11</v>
      </c>
      <c r="BZ747">
        <v>6</v>
      </c>
      <c r="CA747">
        <v>2</v>
      </c>
      <c r="CB747">
        <v>3</v>
      </c>
      <c r="CC747">
        <v>2</v>
      </c>
      <c r="CD747">
        <v>0</v>
      </c>
      <c r="CE747">
        <v>1</v>
      </c>
      <c r="CF747">
        <v>71</v>
      </c>
      <c r="CG747">
        <v>0</v>
      </c>
      <c r="CH747">
        <v>809</v>
      </c>
      <c r="CI747">
        <v>4</v>
      </c>
      <c r="CJ747">
        <v>3</v>
      </c>
      <c r="CK747">
        <v>2</v>
      </c>
      <c r="CL747">
        <v>0</v>
      </c>
      <c r="CM747">
        <v>3</v>
      </c>
      <c r="CN747">
        <v>0</v>
      </c>
      <c r="CO747">
        <v>1</v>
      </c>
      <c r="CP747">
        <v>1</v>
      </c>
      <c r="CQ747">
        <v>1</v>
      </c>
      <c r="CR747">
        <v>7</v>
      </c>
      <c r="CS747">
        <v>945</v>
      </c>
      <c r="CT747">
        <v>0</v>
      </c>
      <c r="CU747">
        <v>0</v>
      </c>
      <c r="CV747">
        <v>0</v>
      </c>
      <c r="CW747">
        <v>1</v>
      </c>
      <c r="CX747">
        <v>0</v>
      </c>
      <c r="CY747">
        <v>6</v>
      </c>
      <c r="CZ747">
        <v>1</v>
      </c>
      <c r="DA747">
        <v>0</v>
      </c>
      <c r="DB747">
        <v>0</v>
      </c>
      <c r="DC747">
        <v>0</v>
      </c>
      <c r="DD747">
        <v>1019</v>
      </c>
      <c r="DE747">
        <v>1</v>
      </c>
      <c r="DF747">
        <v>0</v>
      </c>
      <c r="DG747">
        <v>0</v>
      </c>
      <c r="DH747">
        <v>0</v>
      </c>
      <c r="DI747">
        <v>12</v>
      </c>
      <c r="DJ747">
        <v>41</v>
      </c>
      <c r="DK747">
        <v>2</v>
      </c>
      <c r="DL747">
        <v>10</v>
      </c>
      <c r="DM747">
        <v>3</v>
      </c>
      <c r="DN747">
        <v>14</v>
      </c>
      <c r="DO747">
        <v>888</v>
      </c>
      <c r="DP747">
        <v>4</v>
      </c>
      <c r="DQ747">
        <v>7</v>
      </c>
      <c r="DR747">
        <v>1</v>
      </c>
      <c r="DS747">
        <v>3</v>
      </c>
      <c r="DT747">
        <v>33</v>
      </c>
      <c r="DU747">
        <v>16</v>
      </c>
      <c r="DV747">
        <v>9</v>
      </c>
      <c r="DW747">
        <v>2</v>
      </c>
      <c r="DX747">
        <v>48</v>
      </c>
      <c r="DY747">
        <v>1</v>
      </c>
      <c r="DZ747">
        <v>889</v>
      </c>
      <c r="EA747">
        <v>0.95899999999999996</v>
      </c>
      <c r="EB747">
        <v>0.961617718328872</v>
      </c>
      <c r="EC747">
        <v>0.95814717394886695</v>
      </c>
      <c r="ED747">
        <v>0.95862012754417503</v>
      </c>
      <c r="EE747">
        <f>SUM(Table1[[#This Row],[ratio_0]:[ratio_9]])</f>
        <v>550</v>
      </c>
      <c r="EF747" s="1">
        <f>(Table1[[#This Row],[predicted_0]]-Table1[[#This Row],[actual_0]])/Table1[[#This Row],[actual_0]]</f>
        <v>-3.0612244897959182E-3</v>
      </c>
      <c r="EG747" s="1">
        <f>(Table1[[#This Row],[predicted_1]]-Table1[[#This Row],[actual_1]])/Table1[[#This Row],[actual_1]]</f>
        <v>-2.643171806167401E-2</v>
      </c>
      <c r="EH747" s="1">
        <f>(Table1[[#This Row],[predicted_2]]-Table1[[#This Row],[actual_2]])/Table1[[#This Row],[actual_2]]</f>
        <v>2.1317829457364341E-2</v>
      </c>
      <c r="EI747" s="1">
        <f>(Table1[[#This Row],[predicted_3]]-Table1[[#This Row],[actual_3]])/Table1[[#This Row],[actual_3]]</f>
        <v>0.15247524752475247</v>
      </c>
      <c r="EJ747" s="1">
        <f>(Table1[[#This Row],[predicted_4]]-Table1[[#This Row],[actual_4]])/Table1[[#This Row],[actual_4]]</f>
        <v>-1.3238289205702648E-2</v>
      </c>
      <c r="EK747" s="1">
        <f>(Table1[[#This Row],[predicted_5]]-Table1[[#This Row],[actual_5]])/Table1[[#This Row],[actual_5]]</f>
        <v>-6.3901345291479825E-2</v>
      </c>
      <c r="EL747" s="1">
        <f>(Table1[[#This Row],[predicted_6]]-Table1[[#This Row],[actual_6]])/Table1[[#This Row],[actual_6]]</f>
        <v>2.4008350730688934E-2</v>
      </c>
      <c r="EM747" s="1">
        <f>(Table1[[#This Row],[predicted_7]]-Table1[[#This Row],[actual_7]])/Table1[[#This Row],[actual_7]]</f>
        <v>8.8521400778210121E-2</v>
      </c>
      <c r="EN747" s="1">
        <f>(Table1[[#This Row],[predicted_8]]-Table1[[#This Row],[actual_8]])/Table1[[#This Row],[actual_8]]</f>
        <v>-7.5975359342915813E-2</v>
      </c>
      <c r="EO747" s="1">
        <f>(Table1[[#This Row],[predicted_9]]-Table1[[#This Row],[actual_9]])/Table1[[#This Row],[actual_9]]</f>
        <v>-0.11199207135777998</v>
      </c>
      <c r="EP747" s="1">
        <f>1+(Table1[[#This Row],[error_ratio_0]]-EF$2)</f>
        <v>0.99489795918367352</v>
      </c>
      <c r="EQ747" s="1">
        <f>1+(Table1[[#This Row],[error_ratio_1]]-EG$2)</f>
        <v>0.9718061674008811</v>
      </c>
      <c r="ER747" s="1">
        <f>1+(Table1[[#This Row],[error_ratio_2]]-EH$2)</f>
        <v>1.0261627906976745</v>
      </c>
      <c r="ES747" s="1">
        <f>1+(Table1[[#This Row],[error_ratio_3]]-EI$2)</f>
        <v>1.1425742574257425</v>
      </c>
      <c r="ET747" s="1">
        <f>1+(Table1[[#This Row],[error_ratio_4]]-EJ$2)</f>
        <v>0.98574338085539714</v>
      </c>
      <c r="EU747" s="1">
        <f>1+(Table1[[#This Row],[error_ratio_5]]-EK$2)</f>
        <v>0.93497757847533636</v>
      </c>
      <c r="EV747" s="1">
        <f>1+(Table1[[#This Row],[error_ratio_6]]-EL$2)</f>
        <v>1.0302713987473904</v>
      </c>
      <c r="EW747" s="1">
        <f>1+(Table1[[#This Row],[error_ratio_7]]-EM$2)</f>
        <v>1.0865758754863812</v>
      </c>
      <c r="EX747" s="1">
        <f>1+(Table1[[#This Row],[error_ratio_8]]-EN$2)</f>
        <v>0.9271047227926078</v>
      </c>
      <c r="EY747" s="1">
        <f>1+(Table1[[#This Row],[error_ratio_9]]-EO$2)</f>
        <v>0.89197224975222988</v>
      </c>
    </row>
    <row r="748" spans="1:155" x14ac:dyDescent="0.75">
      <c r="A748">
        <v>10</v>
      </c>
      <c r="B748">
        <v>10</v>
      </c>
      <c r="C748">
        <v>100</v>
      </c>
      <c r="D748">
        <v>100</v>
      </c>
      <c r="E748">
        <v>10</v>
      </c>
      <c r="F748">
        <v>10</v>
      </c>
      <c r="G748">
        <v>100</v>
      </c>
      <c r="H748">
        <v>100</v>
      </c>
      <c r="I748">
        <v>10</v>
      </c>
      <c r="J748">
        <v>10</v>
      </c>
      <c r="K748">
        <v>988</v>
      </c>
      <c r="L748">
        <v>1138</v>
      </c>
      <c r="M748">
        <v>1063</v>
      </c>
      <c r="N748">
        <v>1021</v>
      </c>
      <c r="O748">
        <v>953</v>
      </c>
      <c r="P748">
        <v>859</v>
      </c>
      <c r="Q748">
        <v>1014</v>
      </c>
      <c r="R748">
        <v>1058</v>
      </c>
      <c r="S748">
        <v>924</v>
      </c>
      <c r="T748">
        <v>982</v>
      </c>
      <c r="U748">
        <v>980</v>
      </c>
      <c r="V748">
        <v>1135</v>
      </c>
      <c r="W748">
        <v>1032</v>
      </c>
      <c r="X748">
        <v>1010</v>
      </c>
      <c r="Y748">
        <v>982</v>
      </c>
      <c r="Z748">
        <v>892</v>
      </c>
      <c r="AA748">
        <v>958</v>
      </c>
      <c r="AB748">
        <v>1028</v>
      </c>
      <c r="AC748">
        <v>974</v>
      </c>
      <c r="AD748">
        <v>1009</v>
      </c>
      <c r="AE748">
        <v>968</v>
      </c>
      <c r="AF748">
        <v>0</v>
      </c>
      <c r="AG748">
        <v>2</v>
      </c>
      <c r="AH748">
        <v>0</v>
      </c>
      <c r="AI748">
        <v>0</v>
      </c>
      <c r="AJ748">
        <v>0</v>
      </c>
      <c r="AK748">
        <v>6</v>
      </c>
      <c r="AL748">
        <v>3</v>
      </c>
      <c r="AM748">
        <v>1</v>
      </c>
      <c r="AN748">
        <v>0</v>
      </c>
      <c r="AO748">
        <v>0</v>
      </c>
      <c r="AP748">
        <v>1123</v>
      </c>
      <c r="AQ748">
        <v>2</v>
      </c>
      <c r="AR748">
        <v>3</v>
      </c>
      <c r="AS748">
        <v>0</v>
      </c>
      <c r="AT748">
        <v>2</v>
      </c>
      <c r="AU748">
        <v>4</v>
      </c>
      <c r="AV748">
        <v>0</v>
      </c>
      <c r="AW748">
        <v>1</v>
      </c>
      <c r="AX748">
        <v>0</v>
      </c>
      <c r="AY748">
        <v>0</v>
      </c>
      <c r="AZ748">
        <v>0</v>
      </c>
      <c r="BA748">
        <v>1025</v>
      </c>
      <c r="BB748">
        <v>0</v>
      </c>
      <c r="BC748">
        <v>0</v>
      </c>
      <c r="BD748">
        <v>0</v>
      </c>
      <c r="BE748">
        <v>1</v>
      </c>
      <c r="BF748">
        <v>5</v>
      </c>
      <c r="BG748">
        <v>1</v>
      </c>
      <c r="BH748">
        <v>0</v>
      </c>
      <c r="BI748">
        <v>0</v>
      </c>
      <c r="BJ748">
        <v>0</v>
      </c>
      <c r="BK748">
        <v>6</v>
      </c>
      <c r="BL748">
        <v>993</v>
      </c>
      <c r="BM748">
        <v>0</v>
      </c>
      <c r="BN748">
        <v>1</v>
      </c>
      <c r="BO748">
        <v>0</v>
      </c>
      <c r="BP748">
        <v>7</v>
      </c>
      <c r="BQ748">
        <v>2</v>
      </c>
      <c r="BR748">
        <v>1</v>
      </c>
      <c r="BS748">
        <v>0</v>
      </c>
      <c r="BT748">
        <v>7</v>
      </c>
      <c r="BU748">
        <v>3</v>
      </c>
      <c r="BV748">
        <v>0</v>
      </c>
      <c r="BW748">
        <v>932</v>
      </c>
      <c r="BX748">
        <v>0</v>
      </c>
      <c r="BY748">
        <v>24</v>
      </c>
      <c r="BZ748">
        <v>3</v>
      </c>
      <c r="CA748">
        <v>2</v>
      </c>
      <c r="CB748">
        <v>11</v>
      </c>
      <c r="CC748">
        <v>4</v>
      </c>
      <c r="CD748">
        <v>0</v>
      </c>
      <c r="CE748">
        <v>1</v>
      </c>
      <c r="CF748">
        <v>14</v>
      </c>
      <c r="CG748">
        <v>1</v>
      </c>
      <c r="CH748">
        <v>847</v>
      </c>
      <c r="CI748">
        <v>13</v>
      </c>
      <c r="CJ748">
        <v>2</v>
      </c>
      <c r="CK748">
        <v>7</v>
      </c>
      <c r="CL748">
        <v>3</v>
      </c>
      <c r="CM748">
        <v>3</v>
      </c>
      <c r="CN748">
        <v>2</v>
      </c>
      <c r="CO748">
        <v>0</v>
      </c>
      <c r="CP748">
        <v>0</v>
      </c>
      <c r="CQ748">
        <v>5</v>
      </c>
      <c r="CR748">
        <v>1</v>
      </c>
      <c r="CS748">
        <v>947</v>
      </c>
      <c r="CT748">
        <v>0</v>
      </c>
      <c r="CU748">
        <v>0</v>
      </c>
      <c r="CV748">
        <v>0</v>
      </c>
      <c r="CW748">
        <v>0</v>
      </c>
      <c r="CX748">
        <v>2</v>
      </c>
      <c r="CY748">
        <v>9</v>
      </c>
      <c r="CZ748">
        <v>0</v>
      </c>
      <c r="DA748">
        <v>0</v>
      </c>
      <c r="DB748">
        <v>0</v>
      </c>
      <c r="DC748">
        <v>0</v>
      </c>
      <c r="DD748">
        <v>1015</v>
      </c>
      <c r="DE748">
        <v>1</v>
      </c>
      <c r="DF748">
        <v>1</v>
      </c>
      <c r="DG748">
        <v>8</v>
      </c>
      <c r="DH748">
        <v>0</v>
      </c>
      <c r="DI748">
        <v>13</v>
      </c>
      <c r="DJ748">
        <v>2</v>
      </c>
      <c r="DK748">
        <v>7</v>
      </c>
      <c r="DL748">
        <v>3</v>
      </c>
      <c r="DM748">
        <v>17</v>
      </c>
      <c r="DN748">
        <v>10</v>
      </c>
      <c r="DO748">
        <v>906</v>
      </c>
      <c r="DP748">
        <v>8</v>
      </c>
      <c r="DQ748">
        <v>5</v>
      </c>
      <c r="DR748">
        <v>4</v>
      </c>
      <c r="DS748">
        <v>2</v>
      </c>
      <c r="DT748">
        <v>9</v>
      </c>
      <c r="DU748">
        <v>8</v>
      </c>
      <c r="DV748">
        <v>5</v>
      </c>
      <c r="DW748">
        <v>2</v>
      </c>
      <c r="DX748">
        <v>13</v>
      </c>
      <c r="DY748">
        <v>3</v>
      </c>
      <c r="DZ748">
        <v>958</v>
      </c>
      <c r="EA748">
        <v>0.97140000000000004</v>
      </c>
      <c r="EB748">
        <v>0.971676056843506</v>
      </c>
      <c r="EC748">
        <v>0.97077144001544402</v>
      </c>
      <c r="ED748">
        <v>0.97095998862337796</v>
      </c>
      <c r="EE748">
        <f>SUM(Table1[[#This Row],[ratio_0]:[ratio_9]])</f>
        <v>460</v>
      </c>
      <c r="EF748" s="1">
        <f>(Table1[[#This Row],[predicted_0]]-Table1[[#This Row],[actual_0]])/Table1[[#This Row],[actual_0]]</f>
        <v>8.1632653061224497E-3</v>
      </c>
      <c r="EG748" s="1">
        <f>(Table1[[#This Row],[predicted_1]]-Table1[[#This Row],[actual_1]])/Table1[[#This Row],[actual_1]]</f>
        <v>2.6431718061674008E-3</v>
      </c>
      <c r="EH748" s="1">
        <f>(Table1[[#This Row],[predicted_2]]-Table1[[#This Row],[actual_2]])/Table1[[#This Row],[actual_2]]</f>
        <v>3.0038759689922482E-2</v>
      </c>
      <c r="EI748" s="1">
        <f>(Table1[[#This Row],[predicted_3]]-Table1[[#This Row],[actual_3]])/Table1[[#This Row],[actual_3]]</f>
        <v>1.089108910891089E-2</v>
      </c>
      <c r="EJ748" s="1">
        <f>(Table1[[#This Row],[predicted_4]]-Table1[[#This Row],[actual_4]])/Table1[[#This Row],[actual_4]]</f>
        <v>-2.9531568228105907E-2</v>
      </c>
      <c r="EK748" s="1">
        <f>(Table1[[#This Row],[predicted_5]]-Table1[[#This Row],[actual_5]])/Table1[[#This Row],[actual_5]]</f>
        <v>-3.6995515695067267E-2</v>
      </c>
      <c r="EL748" s="1">
        <f>(Table1[[#This Row],[predicted_6]]-Table1[[#This Row],[actual_6]])/Table1[[#This Row],[actual_6]]</f>
        <v>5.845511482254697E-2</v>
      </c>
      <c r="EM748" s="1">
        <f>(Table1[[#This Row],[predicted_7]]-Table1[[#This Row],[actual_7]])/Table1[[#This Row],[actual_7]]</f>
        <v>2.9182879377431907E-2</v>
      </c>
      <c r="EN748" s="1">
        <f>(Table1[[#This Row],[predicted_8]]-Table1[[#This Row],[actual_8]])/Table1[[#This Row],[actual_8]]</f>
        <v>-5.1334702258726897E-2</v>
      </c>
      <c r="EO748" s="1">
        <f>(Table1[[#This Row],[predicted_9]]-Table1[[#This Row],[actual_9]])/Table1[[#This Row],[actual_9]]</f>
        <v>-2.6759167492566897E-2</v>
      </c>
      <c r="EP748" s="1">
        <f>1+(Table1[[#This Row],[error_ratio_0]]-EF$2)</f>
        <v>1.0061224489795919</v>
      </c>
      <c r="EQ748" s="1">
        <f>1+(Table1[[#This Row],[error_ratio_1]]-EG$2)</f>
        <v>1.0008810572687226</v>
      </c>
      <c r="ER748" s="1">
        <f>1+(Table1[[#This Row],[error_ratio_2]]-EH$2)</f>
        <v>1.0348837209302326</v>
      </c>
      <c r="ES748" s="1">
        <f>1+(Table1[[#This Row],[error_ratio_3]]-EI$2)</f>
        <v>1.000990099009901</v>
      </c>
      <c r="ET748" s="1">
        <f>1+(Table1[[#This Row],[error_ratio_4]]-EJ$2)</f>
        <v>0.96945010183299385</v>
      </c>
      <c r="EU748" s="1">
        <f>1+(Table1[[#This Row],[error_ratio_5]]-EK$2)</f>
        <v>0.96188340807174888</v>
      </c>
      <c r="EV748" s="1">
        <f>1+(Table1[[#This Row],[error_ratio_6]]-EL$2)</f>
        <v>1.0647181628392484</v>
      </c>
      <c r="EW748" s="1">
        <f>1+(Table1[[#This Row],[error_ratio_7]]-EM$2)</f>
        <v>1.027237354085603</v>
      </c>
      <c r="EX748" s="1">
        <f>1+(Table1[[#This Row],[error_ratio_8]]-EN$2)</f>
        <v>0.95174537987679675</v>
      </c>
      <c r="EY748" s="1">
        <f>1+(Table1[[#This Row],[error_ratio_9]]-EO$2)</f>
        <v>0.97720515361744298</v>
      </c>
    </row>
    <row r="749" spans="1:155" x14ac:dyDescent="0.75">
      <c r="A749">
        <v>100</v>
      </c>
      <c r="B749">
        <v>100</v>
      </c>
      <c r="C749">
        <v>10</v>
      </c>
      <c r="D749">
        <v>100</v>
      </c>
      <c r="E749">
        <v>10</v>
      </c>
      <c r="F749">
        <v>10</v>
      </c>
      <c r="G749">
        <v>100</v>
      </c>
      <c r="H749">
        <v>100</v>
      </c>
      <c r="I749">
        <v>10</v>
      </c>
      <c r="J749">
        <v>10</v>
      </c>
      <c r="K749">
        <v>1061</v>
      </c>
      <c r="L749">
        <v>1187</v>
      </c>
      <c r="M749">
        <v>953</v>
      </c>
      <c r="N749">
        <v>1189</v>
      </c>
      <c r="O749">
        <v>966</v>
      </c>
      <c r="P749">
        <v>785</v>
      </c>
      <c r="Q749">
        <v>963</v>
      </c>
      <c r="R749">
        <v>1097</v>
      </c>
      <c r="S749">
        <v>894</v>
      </c>
      <c r="T749">
        <v>905</v>
      </c>
      <c r="U749">
        <v>980</v>
      </c>
      <c r="V749">
        <v>1135</v>
      </c>
      <c r="W749">
        <v>1032</v>
      </c>
      <c r="X749">
        <v>1010</v>
      </c>
      <c r="Y749">
        <v>982</v>
      </c>
      <c r="Z749">
        <v>892</v>
      </c>
      <c r="AA749">
        <v>958</v>
      </c>
      <c r="AB749">
        <v>1028</v>
      </c>
      <c r="AC749">
        <v>974</v>
      </c>
      <c r="AD749">
        <v>1009</v>
      </c>
      <c r="AE749">
        <v>976</v>
      </c>
      <c r="AF749">
        <v>1</v>
      </c>
      <c r="AG749">
        <v>0</v>
      </c>
      <c r="AH749">
        <v>1</v>
      </c>
      <c r="AI749">
        <v>0</v>
      </c>
      <c r="AJ749">
        <v>0</v>
      </c>
      <c r="AK749">
        <v>1</v>
      </c>
      <c r="AL749">
        <v>1</v>
      </c>
      <c r="AM749">
        <v>0</v>
      </c>
      <c r="AN749">
        <v>0</v>
      </c>
      <c r="AO749">
        <v>0</v>
      </c>
      <c r="AP749">
        <v>1132</v>
      </c>
      <c r="AQ749">
        <v>0</v>
      </c>
      <c r="AR749">
        <v>1</v>
      </c>
      <c r="AS749">
        <v>0</v>
      </c>
      <c r="AT749">
        <v>0</v>
      </c>
      <c r="AU749">
        <v>0</v>
      </c>
      <c r="AV749">
        <v>0</v>
      </c>
      <c r="AW749">
        <v>1</v>
      </c>
      <c r="AX749">
        <v>1</v>
      </c>
      <c r="AY749">
        <v>23</v>
      </c>
      <c r="AZ749">
        <v>19</v>
      </c>
      <c r="BA749">
        <v>936</v>
      </c>
      <c r="BB749">
        <v>32</v>
      </c>
      <c r="BC749">
        <v>2</v>
      </c>
      <c r="BD749">
        <v>0</v>
      </c>
      <c r="BE749">
        <v>3</v>
      </c>
      <c r="BF749">
        <v>17</v>
      </c>
      <c r="BG749">
        <v>0</v>
      </c>
      <c r="BH749">
        <v>0</v>
      </c>
      <c r="BI749">
        <v>1</v>
      </c>
      <c r="BJ749">
        <v>0</v>
      </c>
      <c r="BK749">
        <v>0</v>
      </c>
      <c r="BL749">
        <v>1007</v>
      </c>
      <c r="BM749">
        <v>0</v>
      </c>
      <c r="BN749">
        <v>0</v>
      </c>
      <c r="BO749">
        <v>0</v>
      </c>
      <c r="BP749">
        <v>2</v>
      </c>
      <c r="BQ749">
        <v>0</v>
      </c>
      <c r="BR749">
        <v>0</v>
      </c>
      <c r="BS749">
        <v>2</v>
      </c>
      <c r="BT749">
        <v>10</v>
      </c>
      <c r="BU749">
        <v>2</v>
      </c>
      <c r="BV749">
        <v>1</v>
      </c>
      <c r="BW749">
        <v>947</v>
      </c>
      <c r="BX749">
        <v>0</v>
      </c>
      <c r="BY749">
        <v>6</v>
      </c>
      <c r="BZ749">
        <v>4</v>
      </c>
      <c r="CA749">
        <v>1</v>
      </c>
      <c r="CB749">
        <v>9</v>
      </c>
      <c r="CC749">
        <v>18</v>
      </c>
      <c r="CD749">
        <v>2</v>
      </c>
      <c r="CE749">
        <v>0</v>
      </c>
      <c r="CF749">
        <v>73</v>
      </c>
      <c r="CG749">
        <v>1</v>
      </c>
      <c r="CH749">
        <v>783</v>
      </c>
      <c r="CI749">
        <v>7</v>
      </c>
      <c r="CJ749">
        <v>1</v>
      </c>
      <c r="CK749">
        <v>7</v>
      </c>
      <c r="CL749">
        <v>0</v>
      </c>
      <c r="CM749">
        <v>10</v>
      </c>
      <c r="CN749">
        <v>2</v>
      </c>
      <c r="CO749">
        <v>0</v>
      </c>
      <c r="CP749">
        <v>0</v>
      </c>
      <c r="CQ749">
        <v>2</v>
      </c>
      <c r="CR749">
        <v>0</v>
      </c>
      <c r="CS749">
        <v>942</v>
      </c>
      <c r="CT749">
        <v>0</v>
      </c>
      <c r="CU749">
        <v>2</v>
      </c>
      <c r="CV749">
        <v>0</v>
      </c>
      <c r="CW749">
        <v>1</v>
      </c>
      <c r="CX749">
        <v>8</v>
      </c>
      <c r="CY749">
        <v>4</v>
      </c>
      <c r="CZ749">
        <v>5</v>
      </c>
      <c r="DA749">
        <v>0</v>
      </c>
      <c r="DB749">
        <v>0</v>
      </c>
      <c r="DC749">
        <v>0</v>
      </c>
      <c r="DD749">
        <v>1007</v>
      </c>
      <c r="DE749">
        <v>0</v>
      </c>
      <c r="DF749">
        <v>3</v>
      </c>
      <c r="DG749">
        <v>19</v>
      </c>
      <c r="DH749">
        <v>6</v>
      </c>
      <c r="DI749">
        <v>11</v>
      </c>
      <c r="DJ749">
        <v>35</v>
      </c>
      <c r="DK749">
        <v>3</v>
      </c>
      <c r="DL749">
        <v>1</v>
      </c>
      <c r="DM749">
        <v>4</v>
      </c>
      <c r="DN749">
        <v>10</v>
      </c>
      <c r="DO749">
        <v>882</v>
      </c>
      <c r="DP749">
        <v>3</v>
      </c>
      <c r="DQ749">
        <v>11</v>
      </c>
      <c r="DR749">
        <v>7</v>
      </c>
      <c r="DS749">
        <v>0</v>
      </c>
      <c r="DT749">
        <v>34</v>
      </c>
      <c r="DU749">
        <v>11</v>
      </c>
      <c r="DV749">
        <v>1</v>
      </c>
      <c r="DW749">
        <v>0</v>
      </c>
      <c r="DX749">
        <v>55</v>
      </c>
      <c r="DY749">
        <v>1</v>
      </c>
      <c r="DZ749">
        <v>889</v>
      </c>
      <c r="EA749">
        <v>0.95009999999999994</v>
      </c>
      <c r="EB749">
        <v>0.95454757177920602</v>
      </c>
      <c r="EC749">
        <v>0.94889278230201302</v>
      </c>
      <c r="ED749">
        <v>0.94982229970195198</v>
      </c>
      <c r="EE749">
        <f>SUM(Table1[[#This Row],[ratio_0]:[ratio_9]])</f>
        <v>550</v>
      </c>
      <c r="EF749" s="1">
        <f>(Table1[[#This Row],[predicted_0]]-Table1[[#This Row],[actual_0]])/Table1[[#This Row],[actual_0]]</f>
        <v>8.2653061224489802E-2</v>
      </c>
      <c r="EG749" s="1">
        <f>(Table1[[#This Row],[predicted_1]]-Table1[[#This Row],[actual_1]])/Table1[[#This Row],[actual_1]]</f>
        <v>4.5814977973568281E-2</v>
      </c>
      <c r="EH749" s="1">
        <f>(Table1[[#This Row],[predicted_2]]-Table1[[#This Row],[actual_2]])/Table1[[#This Row],[actual_2]]</f>
        <v>-7.6550387596899222E-2</v>
      </c>
      <c r="EI749" s="1">
        <f>(Table1[[#This Row],[predicted_3]]-Table1[[#This Row],[actual_3]])/Table1[[#This Row],[actual_3]]</f>
        <v>0.17722772277227722</v>
      </c>
      <c r="EJ749" s="1">
        <f>(Table1[[#This Row],[predicted_4]]-Table1[[#This Row],[actual_4]])/Table1[[#This Row],[actual_4]]</f>
        <v>-1.6293279022403257E-2</v>
      </c>
      <c r="EK749" s="1">
        <f>(Table1[[#This Row],[predicted_5]]-Table1[[#This Row],[actual_5]])/Table1[[#This Row],[actual_5]]</f>
        <v>-0.11995515695067265</v>
      </c>
      <c r="EL749" s="1">
        <f>(Table1[[#This Row],[predicted_6]]-Table1[[#This Row],[actual_6]])/Table1[[#This Row],[actual_6]]</f>
        <v>5.2192066805845511E-3</v>
      </c>
      <c r="EM749" s="1">
        <f>(Table1[[#This Row],[predicted_7]]-Table1[[#This Row],[actual_7]])/Table1[[#This Row],[actual_7]]</f>
        <v>6.7120622568093383E-2</v>
      </c>
      <c r="EN749" s="1">
        <f>(Table1[[#This Row],[predicted_8]]-Table1[[#This Row],[actual_8]])/Table1[[#This Row],[actual_8]]</f>
        <v>-8.2135523613963035E-2</v>
      </c>
      <c r="EO749" s="1">
        <f>(Table1[[#This Row],[predicted_9]]-Table1[[#This Row],[actual_9]])/Table1[[#This Row],[actual_9]]</f>
        <v>-0.10307234886025768</v>
      </c>
      <c r="EP749" s="1">
        <f>1+(Table1[[#This Row],[error_ratio_0]]-EF$2)</f>
        <v>1.0806122448979592</v>
      </c>
      <c r="EQ749" s="1">
        <f>1+(Table1[[#This Row],[error_ratio_1]]-EG$2)</f>
        <v>1.0440528634361232</v>
      </c>
      <c r="ER749" s="1">
        <f>1+(Table1[[#This Row],[error_ratio_2]]-EH$2)</f>
        <v>0.92829457364341084</v>
      </c>
      <c r="ES749" s="1">
        <f>1+(Table1[[#This Row],[error_ratio_3]]-EI$2)</f>
        <v>1.1673267326732673</v>
      </c>
      <c r="ET749" s="1">
        <f>1+(Table1[[#This Row],[error_ratio_4]]-EJ$2)</f>
        <v>0.98268839103869654</v>
      </c>
      <c r="EU749" s="1">
        <f>1+(Table1[[#This Row],[error_ratio_5]]-EK$2)</f>
        <v>0.87892376681614348</v>
      </c>
      <c r="EV749" s="1">
        <f>1+(Table1[[#This Row],[error_ratio_6]]-EL$2)</f>
        <v>1.0114822546972859</v>
      </c>
      <c r="EW749" s="1">
        <f>1+(Table1[[#This Row],[error_ratio_7]]-EM$2)</f>
        <v>1.0651750972762646</v>
      </c>
      <c r="EX749" s="1">
        <f>1+(Table1[[#This Row],[error_ratio_8]]-EN$2)</f>
        <v>0.92094455852156054</v>
      </c>
      <c r="EY749" s="1">
        <f>1+(Table1[[#This Row],[error_ratio_9]]-EO$2)</f>
        <v>0.90089197224975226</v>
      </c>
    </row>
    <row r="750" spans="1:155" x14ac:dyDescent="0.75">
      <c r="A750">
        <v>100</v>
      </c>
      <c r="B750">
        <v>10</v>
      </c>
      <c r="C750">
        <v>10</v>
      </c>
      <c r="D750">
        <v>100</v>
      </c>
      <c r="E750">
        <v>10</v>
      </c>
      <c r="F750">
        <v>10</v>
      </c>
      <c r="G750">
        <v>100</v>
      </c>
      <c r="H750">
        <v>100</v>
      </c>
      <c r="I750">
        <v>10</v>
      </c>
      <c r="J750">
        <v>10</v>
      </c>
      <c r="K750">
        <v>1039</v>
      </c>
      <c r="L750">
        <v>1157</v>
      </c>
      <c r="M750">
        <v>988</v>
      </c>
      <c r="N750">
        <v>1023</v>
      </c>
      <c r="O750">
        <v>948</v>
      </c>
      <c r="P750">
        <v>863</v>
      </c>
      <c r="Q750">
        <v>1041</v>
      </c>
      <c r="R750">
        <v>1091</v>
      </c>
      <c r="S750">
        <v>802</v>
      </c>
      <c r="T750">
        <v>1048</v>
      </c>
      <c r="U750">
        <v>980</v>
      </c>
      <c r="V750">
        <v>1135</v>
      </c>
      <c r="W750">
        <v>1032</v>
      </c>
      <c r="X750">
        <v>1010</v>
      </c>
      <c r="Y750">
        <v>982</v>
      </c>
      <c r="Z750">
        <v>892</v>
      </c>
      <c r="AA750">
        <v>958</v>
      </c>
      <c r="AB750">
        <v>1028</v>
      </c>
      <c r="AC750">
        <v>974</v>
      </c>
      <c r="AD750">
        <v>1009</v>
      </c>
      <c r="AE750">
        <v>977</v>
      </c>
      <c r="AF750">
        <v>0</v>
      </c>
      <c r="AG750">
        <v>0</v>
      </c>
      <c r="AH750">
        <v>0</v>
      </c>
      <c r="AI750">
        <v>0</v>
      </c>
      <c r="AJ750">
        <v>0</v>
      </c>
      <c r="AK750">
        <v>1</v>
      </c>
      <c r="AL750">
        <v>2</v>
      </c>
      <c r="AM750">
        <v>0</v>
      </c>
      <c r="AN750">
        <v>0</v>
      </c>
      <c r="AO750">
        <v>0</v>
      </c>
      <c r="AP750">
        <v>1127</v>
      </c>
      <c r="AQ750">
        <v>2</v>
      </c>
      <c r="AR750">
        <v>1</v>
      </c>
      <c r="AS750">
        <v>0</v>
      </c>
      <c r="AT750">
        <v>0</v>
      </c>
      <c r="AU750">
        <v>4</v>
      </c>
      <c r="AV750">
        <v>1</v>
      </c>
      <c r="AW750">
        <v>0</v>
      </c>
      <c r="AX750">
        <v>0</v>
      </c>
      <c r="AY750">
        <v>13</v>
      </c>
      <c r="AZ750">
        <v>8</v>
      </c>
      <c r="BA750">
        <v>975</v>
      </c>
      <c r="BB750">
        <v>3</v>
      </c>
      <c r="BC750">
        <v>3</v>
      </c>
      <c r="BD750">
        <v>0</v>
      </c>
      <c r="BE750">
        <v>3</v>
      </c>
      <c r="BF750">
        <v>27</v>
      </c>
      <c r="BG750">
        <v>0</v>
      </c>
      <c r="BH750">
        <v>0</v>
      </c>
      <c r="BI750">
        <v>6</v>
      </c>
      <c r="BJ750">
        <v>0</v>
      </c>
      <c r="BK750">
        <v>2</v>
      </c>
      <c r="BL750">
        <v>990</v>
      </c>
      <c r="BM750">
        <v>0</v>
      </c>
      <c r="BN750">
        <v>7</v>
      </c>
      <c r="BO750">
        <v>0</v>
      </c>
      <c r="BP750">
        <v>3</v>
      </c>
      <c r="BQ750">
        <v>0</v>
      </c>
      <c r="BR750">
        <v>2</v>
      </c>
      <c r="BS750">
        <v>0</v>
      </c>
      <c r="BT750">
        <v>4</v>
      </c>
      <c r="BU750">
        <v>0</v>
      </c>
      <c r="BV750">
        <v>0</v>
      </c>
      <c r="BW750">
        <v>929</v>
      </c>
      <c r="BX750">
        <v>0</v>
      </c>
      <c r="BY750">
        <v>5</v>
      </c>
      <c r="BZ750">
        <v>7</v>
      </c>
      <c r="CA750">
        <v>1</v>
      </c>
      <c r="CB750">
        <v>36</v>
      </c>
      <c r="CC750">
        <v>7</v>
      </c>
      <c r="CD750">
        <v>1</v>
      </c>
      <c r="CE750">
        <v>1</v>
      </c>
      <c r="CF750">
        <v>6</v>
      </c>
      <c r="CG750">
        <v>2</v>
      </c>
      <c r="CH750">
        <v>843</v>
      </c>
      <c r="CI750">
        <v>22</v>
      </c>
      <c r="CJ750">
        <v>4</v>
      </c>
      <c r="CK750">
        <v>0</v>
      </c>
      <c r="CL750">
        <v>6</v>
      </c>
      <c r="CM750">
        <v>5</v>
      </c>
      <c r="CN750">
        <v>2</v>
      </c>
      <c r="CO750">
        <v>0</v>
      </c>
      <c r="CP750">
        <v>0</v>
      </c>
      <c r="CQ750">
        <v>1</v>
      </c>
      <c r="CR750">
        <v>1</v>
      </c>
      <c r="CS750">
        <v>949</v>
      </c>
      <c r="CT750">
        <v>0</v>
      </c>
      <c r="CU750">
        <v>0</v>
      </c>
      <c r="CV750">
        <v>0</v>
      </c>
      <c r="CW750">
        <v>1</v>
      </c>
      <c r="CX750">
        <v>3</v>
      </c>
      <c r="CY750">
        <v>1</v>
      </c>
      <c r="CZ750">
        <v>1</v>
      </c>
      <c r="DA750">
        <v>0</v>
      </c>
      <c r="DB750">
        <v>0</v>
      </c>
      <c r="DC750">
        <v>0</v>
      </c>
      <c r="DD750">
        <v>1016</v>
      </c>
      <c r="DE750">
        <v>0</v>
      </c>
      <c r="DF750">
        <v>6</v>
      </c>
      <c r="DG750">
        <v>25</v>
      </c>
      <c r="DH750">
        <v>7</v>
      </c>
      <c r="DI750">
        <v>7</v>
      </c>
      <c r="DJ750">
        <v>17</v>
      </c>
      <c r="DK750">
        <v>6</v>
      </c>
      <c r="DL750">
        <v>8</v>
      </c>
      <c r="DM750">
        <v>56</v>
      </c>
      <c r="DN750">
        <v>19</v>
      </c>
      <c r="DO750">
        <v>801</v>
      </c>
      <c r="DP750">
        <v>28</v>
      </c>
      <c r="DQ750">
        <v>5</v>
      </c>
      <c r="DR750">
        <v>5</v>
      </c>
      <c r="DS750">
        <v>0</v>
      </c>
      <c r="DT750">
        <v>5</v>
      </c>
      <c r="DU750">
        <v>7</v>
      </c>
      <c r="DV750">
        <v>4</v>
      </c>
      <c r="DW750">
        <v>1</v>
      </c>
      <c r="DX750">
        <v>12</v>
      </c>
      <c r="DY750">
        <v>0</v>
      </c>
      <c r="DZ750">
        <v>970</v>
      </c>
      <c r="EA750">
        <v>0.9577</v>
      </c>
      <c r="EB750">
        <v>0.95929697902799604</v>
      </c>
      <c r="EC750">
        <v>0.956861363242133</v>
      </c>
      <c r="ED750">
        <v>0.95674468982469096</v>
      </c>
      <c r="EE750">
        <f>SUM(Table1[[#This Row],[ratio_0]:[ratio_9]])</f>
        <v>460</v>
      </c>
      <c r="EF750" s="1">
        <f>(Table1[[#This Row],[predicted_0]]-Table1[[#This Row],[actual_0]])/Table1[[#This Row],[actual_0]]</f>
        <v>6.0204081632653061E-2</v>
      </c>
      <c r="EG750" s="1">
        <f>(Table1[[#This Row],[predicted_1]]-Table1[[#This Row],[actual_1]])/Table1[[#This Row],[actual_1]]</f>
        <v>1.9383259911894272E-2</v>
      </c>
      <c r="EH750" s="1">
        <f>(Table1[[#This Row],[predicted_2]]-Table1[[#This Row],[actual_2]])/Table1[[#This Row],[actual_2]]</f>
        <v>-4.2635658914728682E-2</v>
      </c>
      <c r="EI750" s="1">
        <f>(Table1[[#This Row],[predicted_3]]-Table1[[#This Row],[actual_3]])/Table1[[#This Row],[actual_3]]</f>
        <v>1.2871287128712871E-2</v>
      </c>
      <c r="EJ750" s="1">
        <f>(Table1[[#This Row],[predicted_4]]-Table1[[#This Row],[actual_4]])/Table1[[#This Row],[actual_4]]</f>
        <v>-3.4623217922606926E-2</v>
      </c>
      <c r="EK750" s="1">
        <f>(Table1[[#This Row],[predicted_5]]-Table1[[#This Row],[actual_5]])/Table1[[#This Row],[actual_5]]</f>
        <v>-3.2511210762331835E-2</v>
      </c>
      <c r="EL750" s="1">
        <f>(Table1[[#This Row],[predicted_6]]-Table1[[#This Row],[actual_6]])/Table1[[#This Row],[actual_6]]</f>
        <v>8.663883089770355E-2</v>
      </c>
      <c r="EM750" s="1">
        <f>(Table1[[#This Row],[predicted_7]]-Table1[[#This Row],[actual_7]])/Table1[[#This Row],[actual_7]]</f>
        <v>6.1284046692607001E-2</v>
      </c>
      <c r="EN750" s="1">
        <f>(Table1[[#This Row],[predicted_8]]-Table1[[#This Row],[actual_8]])/Table1[[#This Row],[actual_8]]</f>
        <v>-0.17659137577002054</v>
      </c>
      <c r="EO750" s="1">
        <f>(Table1[[#This Row],[predicted_9]]-Table1[[#This Row],[actual_9]])/Table1[[#This Row],[actual_9]]</f>
        <v>3.865213082259663E-2</v>
      </c>
      <c r="EP750" s="1">
        <f>1+(Table1[[#This Row],[error_ratio_0]]-EF$2)</f>
        <v>1.0581632653061224</v>
      </c>
      <c r="EQ750" s="1">
        <f>1+(Table1[[#This Row],[error_ratio_1]]-EG$2)</f>
        <v>1.0176211453744493</v>
      </c>
      <c r="ER750" s="1">
        <f>1+(Table1[[#This Row],[error_ratio_2]]-EH$2)</f>
        <v>0.96220930232558144</v>
      </c>
      <c r="ES750" s="1">
        <f>1+(Table1[[#This Row],[error_ratio_3]]-EI$2)</f>
        <v>1.002970297029703</v>
      </c>
      <c r="ET750" s="1">
        <f>1+(Table1[[#This Row],[error_ratio_4]]-EJ$2)</f>
        <v>0.96435845213849292</v>
      </c>
      <c r="EU750" s="1">
        <f>1+(Table1[[#This Row],[error_ratio_5]]-EK$2)</f>
        <v>0.96636771300448432</v>
      </c>
      <c r="EV750" s="1">
        <f>1+(Table1[[#This Row],[error_ratio_6]]-EL$2)</f>
        <v>1.0929018789144049</v>
      </c>
      <c r="EW750" s="1">
        <f>1+(Table1[[#This Row],[error_ratio_7]]-EM$2)</f>
        <v>1.0593385214007782</v>
      </c>
      <c r="EX750" s="1">
        <f>1+(Table1[[#This Row],[error_ratio_8]]-EN$2)</f>
        <v>0.82648870636550309</v>
      </c>
      <c r="EY750" s="1">
        <f>1+(Table1[[#This Row],[error_ratio_9]]-EO$2)</f>
        <v>1.0426164519326064</v>
      </c>
    </row>
    <row r="751" spans="1:155" x14ac:dyDescent="0.75">
      <c r="A751">
        <v>10</v>
      </c>
      <c r="B751">
        <v>10</v>
      </c>
      <c r="C751">
        <v>10</v>
      </c>
      <c r="D751">
        <v>100</v>
      </c>
      <c r="E751">
        <v>10</v>
      </c>
      <c r="F751">
        <v>10</v>
      </c>
      <c r="G751">
        <v>100</v>
      </c>
      <c r="H751">
        <v>100</v>
      </c>
      <c r="I751">
        <v>10</v>
      </c>
      <c r="J751">
        <v>10</v>
      </c>
      <c r="K751">
        <v>926</v>
      </c>
      <c r="L751">
        <v>1109</v>
      </c>
      <c r="M751">
        <v>1016</v>
      </c>
      <c r="N751">
        <v>1102</v>
      </c>
      <c r="O751">
        <v>927</v>
      </c>
      <c r="P751">
        <v>824</v>
      </c>
      <c r="Q751">
        <v>1016</v>
      </c>
      <c r="R751">
        <v>1091</v>
      </c>
      <c r="S751">
        <v>980</v>
      </c>
      <c r="T751">
        <v>1009</v>
      </c>
      <c r="U751">
        <v>980</v>
      </c>
      <c r="V751">
        <v>1135</v>
      </c>
      <c r="W751">
        <v>1032</v>
      </c>
      <c r="X751">
        <v>1010</v>
      </c>
      <c r="Y751">
        <v>982</v>
      </c>
      <c r="Z751">
        <v>892</v>
      </c>
      <c r="AA751">
        <v>958</v>
      </c>
      <c r="AB751">
        <v>1028</v>
      </c>
      <c r="AC751">
        <v>974</v>
      </c>
      <c r="AD751">
        <v>1009</v>
      </c>
      <c r="AE751">
        <v>918</v>
      </c>
      <c r="AF751">
        <v>0</v>
      </c>
      <c r="AG751">
        <v>5</v>
      </c>
      <c r="AH751">
        <v>2</v>
      </c>
      <c r="AI751">
        <v>1</v>
      </c>
      <c r="AJ751">
        <v>2</v>
      </c>
      <c r="AK751">
        <v>35</v>
      </c>
      <c r="AL751">
        <v>4</v>
      </c>
      <c r="AM751">
        <v>7</v>
      </c>
      <c r="AN751">
        <v>6</v>
      </c>
      <c r="AO751">
        <v>0</v>
      </c>
      <c r="AP751">
        <v>1107</v>
      </c>
      <c r="AQ751">
        <v>5</v>
      </c>
      <c r="AR751">
        <v>4</v>
      </c>
      <c r="AS751">
        <v>0</v>
      </c>
      <c r="AT751">
        <v>0</v>
      </c>
      <c r="AU751">
        <v>4</v>
      </c>
      <c r="AV751">
        <v>14</v>
      </c>
      <c r="AW751">
        <v>1</v>
      </c>
      <c r="AX751">
        <v>0</v>
      </c>
      <c r="AY751">
        <v>0</v>
      </c>
      <c r="AZ751">
        <v>0</v>
      </c>
      <c r="BA751">
        <v>986</v>
      </c>
      <c r="BB751">
        <v>15</v>
      </c>
      <c r="BC751">
        <v>2</v>
      </c>
      <c r="BD751">
        <v>0</v>
      </c>
      <c r="BE751">
        <v>4</v>
      </c>
      <c r="BF751">
        <v>21</v>
      </c>
      <c r="BG751">
        <v>4</v>
      </c>
      <c r="BH751">
        <v>0</v>
      </c>
      <c r="BI751">
        <v>0</v>
      </c>
      <c r="BJ751">
        <v>0</v>
      </c>
      <c r="BK751">
        <v>1</v>
      </c>
      <c r="BL751">
        <v>1007</v>
      </c>
      <c r="BM751">
        <v>0</v>
      </c>
      <c r="BN751">
        <v>1</v>
      </c>
      <c r="BO751">
        <v>0</v>
      </c>
      <c r="BP751">
        <v>0</v>
      </c>
      <c r="BQ751">
        <v>1</v>
      </c>
      <c r="BR751">
        <v>0</v>
      </c>
      <c r="BS751">
        <v>0</v>
      </c>
      <c r="BT751">
        <v>0</v>
      </c>
      <c r="BU751">
        <v>5</v>
      </c>
      <c r="BV751">
        <v>0</v>
      </c>
      <c r="BW751">
        <v>916</v>
      </c>
      <c r="BX751">
        <v>0</v>
      </c>
      <c r="BY751">
        <v>6</v>
      </c>
      <c r="BZ751">
        <v>7</v>
      </c>
      <c r="CA751">
        <v>4</v>
      </c>
      <c r="CB751">
        <v>44</v>
      </c>
      <c r="CC751">
        <v>2</v>
      </c>
      <c r="CD751">
        <v>1</v>
      </c>
      <c r="CE751">
        <v>1</v>
      </c>
      <c r="CF751">
        <v>47</v>
      </c>
      <c r="CG751">
        <v>0</v>
      </c>
      <c r="CH751">
        <v>815</v>
      </c>
      <c r="CI751">
        <v>11</v>
      </c>
      <c r="CJ751">
        <v>1</v>
      </c>
      <c r="CK751">
        <v>11</v>
      </c>
      <c r="CL751">
        <v>3</v>
      </c>
      <c r="CM751">
        <v>1</v>
      </c>
      <c r="CN751">
        <v>0</v>
      </c>
      <c r="CO751">
        <v>3</v>
      </c>
      <c r="CP751">
        <v>0</v>
      </c>
      <c r="CQ751">
        <v>2</v>
      </c>
      <c r="CR751">
        <v>1</v>
      </c>
      <c r="CS751">
        <v>950</v>
      </c>
      <c r="CT751">
        <v>0</v>
      </c>
      <c r="CU751">
        <v>1</v>
      </c>
      <c r="CV751">
        <v>0</v>
      </c>
      <c r="CW751">
        <v>0</v>
      </c>
      <c r="CX751">
        <v>0</v>
      </c>
      <c r="CY751">
        <v>5</v>
      </c>
      <c r="CZ751">
        <v>5</v>
      </c>
      <c r="DA751">
        <v>0</v>
      </c>
      <c r="DB751">
        <v>0</v>
      </c>
      <c r="DC751">
        <v>0</v>
      </c>
      <c r="DD751">
        <v>1016</v>
      </c>
      <c r="DE751">
        <v>2</v>
      </c>
      <c r="DF751">
        <v>0</v>
      </c>
      <c r="DG751">
        <v>5</v>
      </c>
      <c r="DH751">
        <v>0</v>
      </c>
      <c r="DI751">
        <v>2</v>
      </c>
      <c r="DJ751">
        <v>16</v>
      </c>
      <c r="DK751">
        <v>3</v>
      </c>
      <c r="DL751">
        <v>2</v>
      </c>
      <c r="DM751">
        <v>4</v>
      </c>
      <c r="DN751">
        <v>7</v>
      </c>
      <c r="DO751">
        <v>931</v>
      </c>
      <c r="DP751">
        <v>4</v>
      </c>
      <c r="DQ751">
        <v>0</v>
      </c>
      <c r="DR751">
        <v>1</v>
      </c>
      <c r="DS751">
        <v>3</v>
      </c>
      <c r="DT751">
        <v>6</v>
      </c>
      <c r="DU751">
        <v>3</v>
      </c>
      <c r="DV751">
        <v>3</v>
      </c>
      <c r="DW751">
        <v>2</v>
      </c>
      <c r="DX751">
        <v>21</v>
      </c>
      <c r="DY751">
        <v>18</v>
      </c>
      <c r="DZ751">
        <v>952</v>
      </c>
      <c r="EA751">
        <v>0.95979999999999999</v>
      </c>
      <c r="EB751">
        <v>0.96108377667135703</v>
      </c>
      <c r="EC751">
        <v>0.95903252017901397</v>
      </c>
      <c r="ED751">
        <v>0.959382327325636</v>
      </c>
      <c r="EE751">
        <f>SUM(Table1[[#This Row],[ratio_0]:[ratio_9]])</f>
        <v>370</v>
      </c>
      <c r="EF751" s="1">
        <f>(Table1[[#This Row],[predicted_0]]-Table1[[#This Row],[actual_0]])/Table1[[#This Row],[actual_0]]</f>
        <v>-5.5102040816326532E-2</v>
      </c>
      <c r="EG751" s="1">
        <f>(Table1[[#This Row],[predicted_1]]-Table1[[#This Row],[actual_1]])/Table1[[#This Row],[actual_1]]</f>
        <v>-2.2907488986784141E-2</v>
      </c>
      <c r="EH751" s="1">
        <f>(Table1[[#This Row],[predicted_2]]-Table1[[#This Row],[actual_2]])/Table1[[#This Row],[actual_2]]</f>
        <v>-1.5503875968992248E-2</v>
      </c>
      <c r="EI751" s="1">
        <f>(Table1[[#This Row],[predicted_3]]-Table1[[#This Row],[actual_3]])/Table1[[#This Row],[actual_3]]</f>
        <v>9.1089108910891087E-2</v>
      </c>
      <c r="EJ751" s="1">
        <f>(Table1[[#This Row],[predicted_4]]-Table1[[#This Row],[actual_4]])/Table1[[#This Row],[actual_4]]</f>
        <v>-5.6008146639511203E-2</v>
      </c>
      <c r="EK751" s="1">
        <f>(Table1[[#This Row],[predicted_5]]-Table1[[#This Row],[actual_5]])/Table1[[#This Row],[actual_5]]</f>
        <v>-7.623318385650224E-2</v>
      </c>
      <c r="EL751" s="1">
        <f>(Table1[[#This Row],[predicted_6]]-Table1[[#This Row],[actual_6]])/Table1[[#This Row],[actual_6]]</f>
        <v>6.0542797494780795E-2</v>
      </c>
      <c r="EM751" s="1">
        <f>(Table1[[#This Row],[predicted_7]]-Table1[[#This Row],[actual_7]])/Table1[[#This Row],[actual_7]]</f>
        <v>6.1284046692607001E-2</v>
      </c>
      <c r="EN751" s="1">
        <f>(Table1[[#This Row],[predicted_8]]-Table1[[#This Row],[actual_8]])/Table1[[#This Row],[actual_8]]</f>
        <v>6.1601642710472282E-3</v>
      </c>
      <c r="EO751" s="1">
        <f>(Table1[[#This Row],[predicted_9]]-Table1[[#This Row],[actual_9]])/Table1[[#This Row],[actual_9]]</f>
        <v>0</v>
      </c>
      <c r="EP751" s="1">
        <f>1+(Table1[[#This Row],[error_ratio_0]]-EF$2)</f>
        <v>0.94285714285714284</v>
      </c>
      <c r="EQ751" s="1">
        <f>1+(Table1[[#This Row],[error_ratio_1]]-EG$2)</f>
        <v>0.97533039647577091</v>
      </c>
      <c r="ER751" s="1">
        <f>1+(Table1[[#This Row],[error_ratio_2]]-EH$2)</f>
        <v>0.98934108527131781</v>
      </c>
      <c r="ES751" s="1">
        <f>1+(Table1[[#This Row],[error_ratio_3]]-EI$2)</f>
        <v>1.0811881188118813</v>
      </c>
      <c r="ET751" s="1">
        <f>1+(Table1[[#This Row],[error_ratio_4]]-EJ$2)</f>
        <v>0.94297352342158858</v>
      </c>
      <c r="EU751" s="1">
        <f>1+(Table1[[#This Row],[error_ratio_5]]-EK$2)</f>
        <v>0.92264573991031384</v>
      </c>
      <c r="EV751" s="1">
        <f>1+(Table1[[#This Row],[error_ratio_6]]-EL$2)</f>
        <v>1.0668058455114822</v>
      </c>
      <c r="EW751" s="1">
        <f>1+(Table1[[#This Row],[error_ratio_7]]-EM$2)</f>
        <v>1.0593385214007782</v>
      </c>
      <c r="EX751" s="1">
        <f>1+(Table1[[#This Row],[error_ratio_8]]-EN$2)</f>
        <v>1.0092402464065708</v>
      </c>
      <c r="EY751" s="1">
        <f>1+(Table1[[#This Row],[error_ratio_9]]-EO$2)</f>
        <v>1.00396432111001</v>
      </c>
    </row>
    <row r="752" spans="1:155" x14ac:dyDescent="0.75">
      <c r="A752">
        <v>100</v>
      </c>
      <c r="B752">
        <v>100</v>
      </c>
      <c r="C752">
        <v>100</v>
      </c>
      <c r="D752">
        <v>10</v>
      </c>
      <c r="E752">
        <v>10</v>
      </c>
      <c r="F752">
        <v>10</v>
      </c>
      <c r="G752">
        <v>100</v>
      </c>
      <c r="H752">
        <v>100</v>
      </c>
      <c r="I752">
        <v>10</v>
      </c>
      <c r="J752">
        <v>10</v>
      </c>
      <c r="K752">
        <v>1021</v>
      </c>
      <c r="L752">
        <v>1191</v>
      </c>
      <c r="M752">
        <v>1057</v>
      </c>
      <c r="N752">
        <v>931</v>
      </c>
      <c r="O752">
        <v>921</v>
      </c>
      <c r="P752">
        <v>878</v>
      </c>
      <c r="Q752">
        <v>976</v>
      </c>
      <c r="R752">
        <v>1117</v>
      </c>
      <c r="S752">
        <v>900</v>
      </c>
      <c r="T752">
        <v>1008</v>
      </c>
      <c r="U752">
        <v>980</v>
      </c>
      <c r="V752">
        <v>1135</v>
      </c>
      <c r="W752">
        <v>1032</v>
      </c>
      <c r="X752">
        <v>1010</v>
      </c>
      <c r="Y752">
        <v>982</v>
      </c>
      <c r="Z752">
        <v>892</v>
      </c>
      <c r="AA752">
        <v>958</v>
      </c>
      <c r="AB752">
        <v>1028</v>
      </c>
      <c r="AC752">
        <v>974</v>
      </c>
      <c r="AD752">
        <v>1009</v>
      </c>
      <c r="AE752">
        <v>973</v>
      </c>
      <c r="AF752">
        <v>1</v>
      </c>
      <c r="AG752">
        <v>0</v>
      </c>
      <c r="AH752">
        <v>0</v>
      </c>
      <c r="AI752">
        <v>0</v>
      </c>
      <c r="AJ752">
        <v>0</v>
      </c>
      <c r="AK752">
        <v>0</v>
      </c>
      <c r="AL752">
        <v>2</v>
      </c>
      <c r="AM752">
        <v>1</v>
      </c>
      <c r="AN752">
        <v>3</v>
      </c>
      <c r="AO752">
        <v>0</v>
      </c>
      <c r="AP752">
        <v>1133</v>
      </c>
      <c r="AQ752">
        <v>0</v>
      </c>
      <c r="AR752">
        <v>1</v>
      </c>
      <c r="AS752">
        <v>0</v>
      </c>
      <c r="AT752">
        <v>0</v>
      </c>
      <c r="AU752">
        <v>0</v>
      </c>
      <c r="AV752">
        <v>1</v>
      </c>
      <c r="AW752">
        <v>0</v>
      </c>
      <c r="AX752">
        <v>0</v>
      </c>
      <c r="AY752">
        <v>2</v>
      </c>
      <c r="AZ752">
        <v>1</v>
      </c>
      <c r="BA752">
        <v>1018</v>
      </c>
      <c r="BB752">
        <v>0</v>
      </c>
      <c r="BC752">
        <v>0</v>
      </c>
      <c r="BD752">
        <v>0</v>
      </c>
      <c r="BE752">
        <v>2</v>
      </c>
      <c r="BF752">
        <v>9</v>
      </c>
      <c r="BG752">
        <v>0</v>
      </c>
      <c r="BH752">
        <v>0</v>
      </c>
      <c r="BI752">
        <v>8</v>
      </c>
      <c r="BJ752">
        <v>2</v>
      </c>
      <c r="BK752">
        <v>16</v>
      </c>
      <c r="BL752">
        <v>925</v>
      </c>
      <c r="BM752">
        <v>0</v>
      </c>
      <c r="BN752">
        <v>31</v>
      </c>
      <c r="BO752">
        <v>0</v>
      </c>
      <c r="BP752">
        <v>19</v>
      </c>
      <c r="BQ752">
        <v>3</v>
      </c>
      <c r="BR752">
        <v>6</v>
      </c>
      <c r="BS752">
        <v>5</v>
      </c>
      <c r="BT752">
        <v>20</v>
      </c>
      <c r="BU752">
        <v>4</v>
      </c>
      <c r="BV752">
        <v>0</v>
      </c>
      <c r="BW752">
        <v>912</v>
      </c>
      <c r="BX752">
        <v>0</v>
      </c>
      <c r="BY752">
        <v>14</v>
      </c>
      <c r="BZ752">
        <v>6</v>
      </c>
      <c r="CA752">
        <v>1</v>
      </c>
      <c r="CB752">
        <v>20</v>
      </c>
      <c r="CC752">
        <v>9</v>
      </c>
      <c r="CD752">
        <v>3</v>
      </c>
      <c r="CE752">
        <v>2</v>
      </c>
      <c r="CF752">
        <v>3</v>
      </c>
      <c r="CG752">
        <v>0</v>
      </c>
      <c r="CH752">
        <v>843</v>
      </c>
      <c r="CI752">
        <v>10</v>
      </c>
      <c r="CJ752">
        <v>11</v>
      </c>
      <c r="CK752">
        <v>2</v>
      </c>
      <c r="CL752">
        <v>9</v>
      </c>
      <c r="CM752">
        <v>8</v>
      </c>
      <c r="CN752">
        <v>3</v>
      </c>
      <c r="CO752">
        <v>0</v>
      </c>
      <c r="CP752">
        <v>0</v>
      </c>
      <c r="CQ752">
        <v>1</v>
      </c>
      <c r="CR752">
        <v>1</v>
      </c>
      <c r="CS752">
        <v>945</v>
      </c>
      <c r="CT752">
        <v>0</v>
      </c>
      <c r="CU752">
        <v>0</v>
      </c>
      <c r="CV752">
        <v>0</v>
      </c>
      <c r="CW752">
        <v>0</v>
      </c>
      <c r="CX752">
        <v>4</v>
      </c>
      <c r="CY752">
        <v>4</v>
      </c>
      <c r="CZ752">
        <v>0</v>
      </c>
      <c r="DA752">
        <v>0</v>
      </c>
      <c r="DB752">
        <v>0</v>
      </c>
      <c r="DC752">
        <v>0</v>
      </c>
      <c r="DD752">
        <v>1020</v>
      </c>
      <c r="DE752">
        <v>0</v>
      </c>
      <c r="DF752">
        <v>0</v>
      </c>
      <c r="DG752">
        <v>13</v>
      </c>
      <c r="DH752">
        <v>13</v>
      </c>
      <c r="DI752">
        <v>11</v>
      </c>
      <c r="DJ752">
        <v>1</v>
      </c>
      <c r="DK752">
        <v>3</v>
      </c>
      <c r="DL752">
        <v>1</v>
      </c>
      <c r="DM752">
        <v>4</v>
      </c>
      <c r="DN752">
        <v>22</v>
      </c>
      <c r="DO752">
        <v>892</v>
      </c>
      <c r="DP752">
        <v>14</v>
      </c>
      <c r="DQ752">
        <v>3</v>
      </c>
      <c r="DR752">
        <v>11</v>
      </c>
      <c r="DS752">
        <v>2</v>
      </c>
      <c r="DT752">
        <v>1</v>
      </c>
      <c r="DU752">
        <v>5</v>
      </c>
      <c r="DV752">
        <v>2</v>
      </c>
      <c r="DW752">
        <v>1</v>
      </c>
      <c r="DX752">
        <v>27</v>
      </c>
      <c r="DY752">
        <v>1</v>
      </c>
      <c r="DZ752">
        <v>956</v>
      </c>
      <c r="EA752">
        <v>0.9617</v>
      </c>
      <c r="EB752">
        <v>0.963223358606626</v>
      </c>
      <c r="EC752">
        <v>0.96090866849074397</v>
      </c>
      <c r="ED752">
        <v>0.96137083690386604</v>
      </c>
      <c r="EE752">
        <f>SUM(Table1[[#This Row],[ratio_0]:[ratio_9]])</f>
        <v>550</v>
      </c>
      <c r="EF752" s="1">
        <f>(Table1[[#This Row],[predicted_0]]-Table1[[#This Row],[actual_0]])/Table1[[#This Row],[actual_0]]</f>
        <v>4.1836734693877553E-2</v>
      </c>
      <c r="EG752" s="1">
        <f>(Table1[[#This Row],[predicted_1]]-Table1[[#This Row],[actual_1]])/Table1[[#This Row],[actual_1]]</f>
        <v>4.933920704845815E-2</v>
      </c>
      <c r="EH752" s="1">
        <f>(Table1[[#This Row],[predicted_2]]-Table1[[#This Row],[actual_2]])/Table1[[#This Row],[actual_2]]</f>
        <v>2.4224806201550389E-2</v>
      </c>
      <c r="EI752" s="1">
        <f>(Table1[[#This Row],[predicted_3]]-Table1[[#This Row],[actual_3]])/Table1[[#This Row],[actual_3]]</f>
        <v>-7.8217821782178218E-2</v>
      </c>
      <c r="EJ752" s="1">
        <f>(Table1[[#This Row],[predicted_4]]-Table1[[#This Row],[actual_4]])/Table1[[#This Row],[actual_4]]</f>
        <v>-6.2118126272912425E-2</v>
      </c>
      <c r="EK752" s="1">
        <f>(Table1[[#This Row],[predicted_5]]-Table1[[#This Row],[actual_5]])/Table1[[#This Row],[actual_5]]</f>
        <v>-1.5695067264573991E-2</v>
      </c>
      <c r="EL752" s="1">
        <f>(Table1[[#This Row],[predicted_6]]-Table1[[#This Row],[actual_6]])/Table1[[#This Row],[actual_6]]</f>
        <v>1.8789144050104383E-2</v>
      </c>
      <c r="EM752" s="1">
        <f>(Table1[[#This Row],[predicted_7]]-Table1[[#This Row],[actual_7]])/Table1[[#This Row],[actual_7]]</f>
        <v>8.6575875486381321E-2</v>
      </c>
      <c r="EN752" s="1">
        <f>(Table1[[#This Row],[predicted_8]]-Table1[[#This Row],[actual_8]])/Table1[[#This Row],[actual_8]]</f>
        <v>-7.5975359342915813E-2</v>
      </c>
      <c r="EO752" s="1">
        <f>(Table1[[#This Row],[predicted_9]]-Table1[[#This Row],[actual_9]])/Table1[[#This Row],[actual_9]]</f>
        <v>-9.9108027750247768E-4</v>
      </c>
      <c r="EP752" s="1">
        <f>1+(Table1[[#This Row],[error_ratio_0]]-EF$2)</f>
        <v>1.0397959183673469</v>
      </c>
      <c r="EQ752" s="1">
        <f>1+(Table1[[#This Row],[error_ratio_1]]-EG$2)</f>
        <v>1.0475770925110133</v>
      </c>
      <c r="ER752" s="1">
        <f>1+(Table1[[#This Row],[error_ratio_2]]-EH$2)</f>
        <v>1.0290697674418605</v>
      </c>
      <c r="ES752" s="1">
        <f>1+(Table1[[#This Row],[error_ratio_3]]-EI$2)</f>
        <v>0.91188118811881191</v>
      </c>
      <c r="ET752" s="1">
        <f>1+(Table1[[#This Row],[error_ratio_4]]-EJ$2)</f>
        <v>0.93686354378818737</v>
      </c>
      <c r="EU752" s="1">
        <f>1+(Table1[[#This Row],[error_ratio_5]]-EK$2)</f>
        <v>0.98318385650224216</v>
      </c>
      <c r="EV752" s="1">
        <f>1+(Table1[[#This Row],[error_ratio_6]]-EL$2)</f>
        <v>1.0250521920668059</v>
      </c>
      <c r="EW752" s="1">
        <f>1+(Table1[[#This Row],[error_ratio_7]]-EM$2)</f>
        <v>1.0846303501945525</v>
      </c>
      <c r="EX752" s="1">
        <f>1+(Table1[[#This Row],[error_ratio_8]]-EN$2)</f>
        <v>0.9271047227926078</v>
      </c>
      <c r="EY752" s="1">
        <f>1+(Table1[[#This Row],[error_ratio_9]]-EO$2)</f>
        <v>1.0029732408325074</v>
      </c>
    </row>
    <row r="753" spans="1:155" x14ac:dyDescent="0.75">
      <c r="A753">
        <v>10</v>
      </c>
      <c r="B753">
        <v>100</v>
      </c>
      <c r="C753">
        <v>100</v>
      </c>
      <c r="D753">
        <v>10</v>
      </c>
      <c r="E753">
        <v>10</v>
      </c>
      <c r="F753">
        <v>10</v>
      </c>
      <c r="G753">
        <v>100</v>
      </c>
      <c r="H753">
        <v>100</v>
      </c>
      <c r="I753">
        <v>10</v>
      </c>
      <c r="J753">
        <v>10</v>
      </c>
      <c r="K753">
        <v>914</v>
      </c>
      <c r="L753">
        <v>1152</v>
      </c>
      <c r="M753">
        <v>1074</v>
      </c>
      <c r="N753">
        <v>905</v>
      </c>
      <c r="O753">
        <v>987</v>
      </c>
      <c r="P753">
        <v>902</v>
      </c>
      <c r="Q753">
        <v>1179</v>
      </c>
      <c r="R753">
        <v>1056</v>
      </c>
      <c r="S753">
        <v>870</v>
      </c>
      <c r="T753">
        <v>961</v>
      </c>
      <c r="U753">
        <v>980</v>
      </c>
      <c r="V753">
        <v>1135</v>
      </c>
      <c r="W753">
        <v>1032</v>
      </c>
      <c r="X753">
        <v>1010</v>
      </c>
      <c r="Y753">
        <v>982</v>
      </c>
      <c r="Z753">
        <v>892</v>
      </c>
      <c r="AA753">
        <v>958</v>
      </c>
      <c r="AB753">
        <v>1028</v>
      </c>
      <c r="AC753">
        <v>974</v>
      </c>
      <c r="AD753">
        <v>1009</v>
      </c>
      <c r="AE753">
        <v>904</v>
      </c>
      <c r="AF753">
        <v>0</v>
      </c>
      <c r="AG753">
        <v>6</v>
      </c>
      <c r="AH753">
        <v>0</v>
      </c>
      <c r="AI753">
        <v>0</v>
      </c>
      <c r="AJ753">
        <v>0</v>
      </c>
      <c r="AK753">
        <v>59</v>
      </c>
      <c r="AL753">
        <v>5</v>
      </c>
      <c r="AM753">
        <v>0</v>
      </c>
      <c r="AN753">
        <v>6</v>
      </c>
      <c r="AO753">
        <v>0</v>
      </c>
      <c r="AP753">
        <v>1129</v>
      </c>
      <c r="AQ753">
        <v>0</v>
      </c>
      <c r="AR753">
        <v>0</v>
      </c>
      <c r="AS753">
        <v>0</v>
      </c>
      <c r="AT753">
        <v>1</v>
      </c>
      <c r="AU753">
        <v>4</v>
      </c>
      <c r="AV753">
        <v>1</v>
      </c>
      <c r="AW753">
        <v>0</v>
      </c>
      <c r="AX753">
        <v>0</v>
      </c>
      <c r="AY753">
        <v>0</v>
      </c>
      <c r="AZ753">
        <v>0</v>
      </c>
      <c r="BA753">
        <v>1023</v>
      </c>
      <c r="BB753">
        <v>0</v>
      </c>
      <c r="BC753">
        <v>0</v>
      </c>
      <c r="BD753">
        <v>0</v>
      </c>
      <c r="BE753">
        <v>5</v>
      </c>
      <c r="BF753">
        <v>4</v>
      </c>
      <c r="BG753">
        <v>0</v>
      </c>
      <c r="BH753">
        <v>0</v>
      </c>
      <c r="BI753">
        <v>2</v>
      </c>
      <c r="BJ753">
        <v>1</v>
      </c>
      <c r="BK753">
        <v>21</v>
      </c>
      <c r="BL753">
        <v>903</v>
      </c>
      <c r="BM753">
        <v>0</v>
      </c>
      <c r="BN753">
        <v>55</v>
      </c>
      <c r="BO753">
        <v>2</v>
      </c>
      <c r="BP753">
        <v>9</v>
      </c>
      <c r="BQ753">
        <v>15</v>
      </c>
      <c r="BR753">
        <v>2</v>
      </c>
      <c r="BS753">
        <v>0</v>
      </c>
      <c r="BT753">
        <v>2</v>
      </c>
      <c r="BU753">
        <v>3</v>
      </c>
      <c r="BV753">
        <v>0</v>
      </c>
      <c r="BW753">
        <v>958</v>
      </c>
      <c r="BX753">
        <v>0</v>
      </c>
      <c r="BY753">
        <v>12</v>
      </c>
      <c r="BZ753">
        <v>3</v>
      </c>
      <c r="CA753">
        <v>1</v>
      </c>
      <c r="CB753">
        <v>3</v>
      </c>
      <c r="CC753">
        <v>1</v>
      </c>
      <c r="CD753">
        <v>0</v>
      </c>
      <c r="CE753">
        <v>0</v>
      </c>
      <c r="CF753">
        <v>1</v>
      </c>
      <c r="CG753">
        <v>0</v>
      </c>
      <c r="CH753">
        <v>830</v>
      </c>
      <c r="CI753">
        <v>52</v>
      </c>
      <c r="CJ753">
        <v>4</v>
      </c>
      <c r="CK753">
        <v>0</v>
      </c>
      <c r="CL753">
        <v>4</v>
      </c>
      <c r="CM753">
        <v>0</v>
      </c>
      <c r="CN753">
        <v>0</v>
      </c>
      <c r="CO753">
        <v>0</v>
      </c>
      <c r="CP753">
        <v>0</v>
      </c>
      <c r="CQ753">
        <v>1</v>
      </c>
      <c r="CR753">
        <v>1</v>
      </c>
      <c r="CS753">
        <v>956</v>
      </c>
      <c r="CT753">
        <v>0</v>
      </c>
      <c r="CU753">
        <v>0</v>
      </c>
      <c r="CV753">
        <v>0</v>
      </c>
      <c r="CW753">
        <v>1</v>
      </c>
      <c r="CX753">
        <v>8</v>
      </c>
      <c r="CY753">
        <v>10</v>
      </c>
      <c r="CZ753">
        <v>0</v>
      </c>
      <c r="DA753">
        <v>0</v>
      </c>
      <c r="DB753">
        <v>0</v>
      </c>
      <c r="DC753">
        <v>0</v>
      </c>
      <c r="DD753">
        <v>1008</v>
      </c>
      <c r="DE753">
        <v>1</v>
      </c>
      <c r="DF753">
        <v>0</v>
      </c>
      <c r="DG753">
        <v>3</v>
      </c>
      <c r="DH753">
        <v>3</v>
      </c>
      <c r="DI753">
        <v>10</v>
      </c>
      <c r="DJ753">
        <v>1</v>
      </c>
      <c r="DK753">
        <v>5</v>
      </c>
      <c r="DL753">
        <v>4</v>
      </c>
      <c r="DM753">
        <v>84</v>
      </c>
      <c r="DN753">
        <v>6</v>
      </c>
      <c r="DO753">
        <v>846</v>
      </c>
      <c r="DP753">
        <v>12</v>
      </c>
      <c r="DQ753">
        <v>3</v>
      </c>
      <c r="DR753">
        <v>9</v>
      </c>
      <c r="DS753">
        <v>1</v>
      </c>
      <c r="DT753">
        <v>0</v>
      </c>
      <c r="DU753">
        <v>23</v>
      </c>
      <c r="DV753">
        <v>11</v>
      </c>
      <c r="DW753">
        <v>5</v>
      </c>
      <c r="DX753">
        <v>16</v>
      </c>
      <c r="DY753">
        <v>7</v>
      </c>
      <c r="DZ753">
        <v>934</v>
      </c>
      <c r="EA753">
        <v>0.94910000000000005</v>
      </c>
      <c r="EB753">
        <v>0.95199134151769105</v>
      </c>
      <c r="EC753">
        <v>0.948126367251098</v>
      </c>
      <c r="ED753">
        <v>0.948276986180418</v>
      </c>
      <c r="EE753">
        <f>SUM(Table1[[#This Row],[ratio_0]:[ratio_9]])</f>
        <v>460</v>
      </c>
      <c r="EF753" s="1">
        <f>(Table1[[#This Row],[predicted_0]]-Table1[[#This Row],[actual_0]])/Table1[[#This Row],[actual_0]]</f>
        <v>-6.7346938775510207E-2</v>
      </c>
      <c r="EG753" s="1">
        <f>(Table1[[#This Row],[predicted_1]]-Table1[[#This Row],[actual_1]])/Table1[[#This Row],[actual_1]]</f>
        <v>1.4977973568281937E-2</v>
      </c>
      <c r="EH753" s="1">
        <f>(Table1[[#This Row],[predicted_2]]-Table1[[#This Row],[actual_2]])/Table1[[#This Row],[actual_2]]</f>
        <v>4.0697674418604654E-2</v>
      </c>
      <c r="EI753" s="1">
        <f>(Table1[[#This Row],[predicted_3]]-Table1[[#This Row],[actual_3]])/Table1[[#This Row],[actual_3]]</f>
        <v>-0.10396039603960396</v>
      </c>
      <c r="EJ753" s="1">
        <f>(Table1[[#This Row],[predicted_4]]-Table1[[#This Row],[actual_4]])/Table1[[#This Row],[actual_4]]</f>
        <v>5.0916496945010185E-3</v>
      </c>
      <c r="EK753" s="1">
        <f>(Table1[[#This Row],[predicted_5]]-Table1[[#This Row],[actual_5]])/Table1[[#This Row],[actual_5]]</f>
        <v>1.1210762331838564E-2</v>
      </c>
      <c r="EL753" s="1">
        <f>(Table1[[#This Row],[predicted_6]]-Table1[[#This Row],[actual_6]])/Table1[[#This Row],[actual_6]]</f>
        <v>0.23068893528183715</v>
      </c>
      <c r="EM753" s="1">
        <f>(Table1[[#This Row],[predicted_7]]-Table1[[#This Row],[actual_7]])/Table1[[#This Row],[actual_7]]</f>
        <v>2.7237354085603113E-2</v>
      </c>
      <c r="EN753" s="1">
        <f>(Table1[[#This Row],[predicted_8]]-Table1[[#This Row],[actual_8]])/Table1[[#This Row],[actual_8]]</f>
        <v>-0.10677618069815195</v>
      </c>
      <c r="EO753" s="1">
        <f>(Table1[[#This Row],[predicted_9]]-Table1[[#This Row],[actual_9]])/Table1[[#This Row],[actual_9]]</f>
        <v>-4.7571853320118929E-2</v>
      </c>
      <c r="EP753" s="1">
        <f>1+(Table1[[#This Row],[error_ratio_0]]-EF$2)</f>
        <v>0.93061224489795924</v>
      </c>
      <c r="EQ753" s="1">
        <f>1+(Table1[[#This Row],[error_ratio_1]]-EG$2)</f>
        <v>1.0132158590308371</v>
      </c>
      <c r="ER753" s="1">
        <f>1+(Table1[[#This Row],[error_ratio_2]]-EH$2)</f>
        <v>1.0455426356589148</v>
      </c>
      <c r="ES753" s="1">
        <f>1+(Table1[[#This Row],[error_ratio_3]]-EI$2)</f>
        <v>0.88613861386138615</v>
      </c>
      <c r="ET753" s="1">
        <f>1+(Table1[[#This Row],[error_ratio_4]]-EJ$2)</f>
        <v>1.0040733197556009</v>
      </c>
      <c r="EU753" s="1">
        <f>1+(Table1[[#This Row],[error_ratio_5]]-EK$2)</f>
        <v>1.0100896860986548</v>
      </c>
      <c r="EV753" s="1">
        <f>1+(Table1[[#This Row],[error_ratio_6]]-EL$2)</f>
        <v>1.2369519832985385</v>
      </c>
      <c r="EW753" s="1">
        <f>1+(Table1[[#This Row],[error_ratio_7]]-EM$2)</f>
        <v>1.0252918287937742</v>
      </c>
      <c r="EX753" s="1">
        <f>1+(Table1[[#This Row],[error_ratio_8]]-EN$2)</f>
        <v>0.89630390143737171</v>
      </c>
      <c r="EY753" s="1">
        <f>1+(Table1[[#This Row],[error_ratio_9]]-EO$2)</f>
        <v>0.95639246778989095</v>
      </c>
    </row>
    <row r="754" spans="1:155" x14ac:dyDescent="0.75">
      <c r="A754">
        <v>100</v>
      </c>
      <c r="B754">
        <v>10</v>
      </c>
      <c r="C754">
        <v>100</v>
      </c>
      <c r="D754">
        <v>10</v>
      </c>
      <c r="E754">
        <v>10</v>
      </c>
      <c r="F754">
        <v>10</v>
      </c>
      <c r="G754">
        <v>100</v>
      </c>
      <c r="H754">
        <v>100</v>
      </c>
      <c r="I754">
        <v>10</v>
      </c>
      <c r="J754">
        <v>10</v>
      </c>
      <c r="K754">
        <v>1044</v>
      </c>
      <c r="L754">
        <v>1040</v>
      </c>
      <c r="M754">
        <v>1071</v>
      </c>
      <c r="N754">
        <v>1007</v>
      </c>
      <c r="O754">
        <v>930</v>
      </c>
      <c r="P754">
        <v>860</v>
      </c>
      <c r="Q754">
        <v>985</v>
      </c>
      <c r="R754">
        <v>1056</v>
      </c>
      <c r="S754">
        <v>955</v>
      </c>
      <c r="T754">
        <v>1052</v>
      </c>
      <c r="U754">
        <v>980</v>
      </c>
      <c r="V754">
        <v>1135</v>
      </c>
      <c r="W754">
        <v>1032</v>
      </c>
      <c r="X754">
        <v>1010</v>
      </c>
      <c r="Y754">
        <v>982</v>
      </c>
      <c r="Z754">
        <v>892</v>
      </c>
      <c r="AA754">
        <v>958</v>
      </c>
      <c r="AB754">
        <v>1028</v>
      </c>
      <c r="AC754">
        <v>974</v>
      </c>
      <c r="AD754">
        <v>1009</v>
      </c>
      <c r="AE754">
        <v>977</v>
      </c>
      <c r="AF754">
        <v>0</v>
      </c>
      <c r="AG754">
        <v>0</v>
      </c>
      <c r="AH754">
        <v>1</v>
      </c>
      <c r="AI754">
        <v>0</v>
      </c>
      <c r="AJ754">
        <v>0</v>
      </c>
      <c r="AK754">
        <v>1</v>
      </c>
      <c r="AL754">
        <v>1</v>
      </c>
      <c r="AM754">
        <v>0</v>
      </c>
      <c r="AN754">
        <v>0</v>
      </c>
      <c r="AO754">
        <v>0</v>
      </c>
      <c r="AP754">
        <v>1036</v>
      </c>
      <c r="AQ754">
        <v>1</v>
      </c>
      <c r="AR754">
        <v>10</v>
      </c>
      <c r="AS754">
        <v>1</v>
      </c>
      <c r="AT754">
        <v>1</v>
      </c>
      <c r="AU754">
        <v>6</v>
      </c>
      <c r="AV754">
        <v>22</v>
      </c>
      <c r="AW754">
        <v>58</v>
      </c>
      <c r="AX754">
        <v>0</v>
      </c>
      <c r="AY754">
        <v>9</v>
      </c>
      <c r="AZ754">
        <v>0</v>
      </c>
      <c r="BA754">
        <v>1018</v>
      </c>
      <c r="BB754">
        <v>1</v>
      </c>
      <c r="BC754">
        <v>1</v>
      </c>
      <c r="BD754">
        <v>0</v>
      </c>
      <c r="BE754">
        <v>1</v>
      </c>
      <c r="BF754">
        <v>2</v>
      </c>
      <c r="BG754">
        <v>0</v>
      </c>
      <c r="BH754">
        <v>0</v>
      </c>
      <c r="BI754">
        <v>6</v>
      </c>
      <c r="BJ754">
        <v>0</v>
      </c>
      <c r="BK754">
        <v>7</v>
      </c>
      <c r="BL754">
        <v>968</v>
      </c>
      <c r="BM754">
        <v>0</v>
      </c>
      <c r="BN754">
        <v>11</v>
      </c>
      <c r="BO754">
        <v>0</v>
      </c>
      <c r="BP754">
        <v>6</v>
      </c>
      <c r="BQ754">
        <v>2</v>
      </c>
      <c r="BR754">
        <v>10</v>
      </c>
      <c r="BS754">
        <v>6</v>
      </c>
      <c r="BT754">
        <v>0</v>
      </c>
      <c r="BU754">
        <v>6</v>
      </c>
      <c r="BV754">
        <v>0</v>
      </c>
      <c r="BW754">
        <v>914</v>
      </c>
      <c r="BX754">
        <v>0</v>
      </c>
      <c r="BY754">
        <v>10</v>
      </c>
      <c r="BZ754">
        <v>7</v>
      </c>
      <c r="CA754">
        <v>3</v>
      </c>
      <c r="CB754">
        <v>36</v>
      </c>
      <c r="CC754">
        <v>15</v>
      </c>
      <c r="CD754">
        <v>0</v>
      </c>
      <c r="CE754">
        <v>0</v>
      </c>
      <c r="CF754">
        <v>8</v>
      </c>
      <c r="CG754">
        <v>0</v>
      </c>
      <c r="CH754">
        <v>833</v>
      </c>
      <c r="CI754">
        <v>12</v>
      </c>
      <c r="CJ754">
        <v>5</v>
      </c>
      <c r="CK754">
        <v>0</v>
      </c>
      <c r="CL754">
        <v>19</v>
      </c>
      <c r="CM754">
        <v>7</v>
      </c>
      <c r="CN754">
        <v>1</v>
      </c>
      <c r="CO754">
        <v>0</v>
      </c>
      <c r="CP754">
        <v>0</v>
      </c>
      <c r="CQ754">
        <v>1</v>
      </c>
      <c r="CR754">
        <v>2</v>
      </c>
      <c r="CS754">
        <v>947</v>
      </c>
      <c r="CT754">
        <v>0</v>
      </c>
      <c r="CU754">
        <v>0</v>
      </c>
      <c r="CV754">
        <v>0</v>
      </c>
      <c r="CW754">
        <v>1</v>
      </c>
      <c r="CX754">
        <v>0</v>
      </c>
      <c r="CY754">
        <v>20</v>
      </c>
      <c r="CZ754">
        <v>5</v>
      </c>
      <c r="DA754">
        <v>0</v>
      </c>
      <c r="DB754">
        <v>0</v>
      </c>
      <c r="DC754">
        <v>0</v>
      </c>
      <c r="DD754">
        <v>1000</v>
      </c>
      <c r="DE754">
        <v>0</v>
      </c>
      <c r="DF754">
        <v>2</v>
      </c>
      <c r="DG754">
        <v>15</v>
      </c>
      <c r="DH754">
        <v>0</v>
      </c>
      <c r="DI754">
        <v>17</v>
      </c>
      <c r="DJ754">
        <v>11</v>
      </c>
      <c r="DK754">
        <v>3</v>
      </c>
      <c r="DL754">
        <v>10</v>
      </c>
      <c r="DM754">
        <v>7</v>
      </c>
      <c r="DN754">
        <v>5</v>
      </c>
      <c r="DO754">
        <v>888</v>
      </c>
      <c r="DP754">
        <v>18</v>
      </c>
      <c r="DQ754">
        <v>8</v>
      </c>
      <c r="DR754">
        <v>3</v>
      </c>
      <c r="DS754">
        <v>2</v>
      </c>
      <c r="DT754">
        <v>3</v>
      </c>
      <c r="DU754">
        <v>10</v>
      </c>
      <c r="DV754">
        <v>3</v>
      </c>
      <c r="DW754">
        <v>1</v>
      </c>
      <c r="DX754">
        <v>8</v>
      </c>
      <c r="DY754">
        <v>4</v>
      </c>
      <c r="DZ754">
        <v>967</v>
      </c>
      <c r="EA754">
        <v>0.95479999999999998</v>
      </c>
      <c r="EB754">
        <v>0.955259806167985</v>
      </c>
      <c r="EC754">
        <v>0.95505334540918996</v>
      </c>
      <c r="ED754">
        <v>0.95465588695824699</v>
      </c>
      <c r="EE754">
        <f>SUM(Table1[[#This Row],[ratio_0]:[ratio_9]])</f>
        <v>460</v>
      </c>
      <c r="EF754" s="1">
        <f>(Table1[[#This Row],[predicted_0]]-Table1[[#This Row],[actual_0]])/Table1[[#This Row],[actual_0]]</f>
        <v>6.5306122448979598E-2</v>
      </c>
      <c r="EG754" s="1">
        <f>(Table1[[#This Row],[predicted_1]]-Table1[[#This Row],[actual_1]])/Table1[[#This Row],[actual_1]]</f>
        <v>-8.3700440528634359E-2</v>
      </c>
      <c r="EH754" s="1">
        <f>(Table1[[#This Row],[predicted_2]]-Table1[[#This Row],[actual_2]])/Table1[[#This Row],[actual_2]]</f>
        <v>3.7790697674418602E-2</v>
      </c>
      <c r="EI754" s="1">
        <f>(Table1[[#This Row],[predicted_3]]-Table1[[#This Row],[actual_3]])/Table1[[#This Row],[actual_3]]</f>
        <v>-2.9702970297029703E-3</v>
      </c>
      <c r="EJ754" s="1">
        <f>(Table1[[#This Row],[predicted_4]]-Table1[[#This Row],[actual_4]])/Table1[[#This Row],[actual_4]]</f>
        <v>-5.2953156822810592E-2</v>
      </c>
      <c r="EK754" s="1">
        <f>(Table1[[#This Row],[predicted_5]]-Table1[[#This Row],[actual_5]])/Table1[[#This Row],[actual_5]]</f>
        <v>-3.5874439461883408E-2</v>
      </c>
      <c r="EL754" s="1">
        <f>(Table1[[#This Row],[predicted_6]]-Table1[[#This Row],[actual_6]])/Table1[[#This Row],[actual_6]]</f>
        <v>2.8183716075156576E-2</v>
      </c>
      <c r="EM754" s="1">
        <f>(Table1[[#This Row],[predicted_7]]-Table1[[#This Row],[actual_7]])/Table1[[#This Row],[actual_7]]</f>
        <v>2.7237354085603113E-2</v>
      </c>
      <c r="EN754" s="1">
        <f>(Table1[[#This Row],[predicted_8]]-Table1[[#This Row],[actual_8]])/Table1[[#This Row],[actual_8]]</f>
        <v>-1.9507186858316223E-2</v>
      </c>
      <c r="EO754" s="1">
        <f>(Table1[[#This Row],[predicted_9]]-Table1[[#This Row],[actual_9]])/Table1[[#This Row],[actual_9]]</f>
        <v>4.261645193260654E-2</v>
      </c>
      <c r="EP754" s="1">
        <f>1+(Table1[[#This Row],[error_ratio_0]]-EF$2)</f>
        <v>1.0632653061224491</v>
      </c>
      <c r="EQ754" s="1">
        <f>1+(Table1[[#This Row],[error_ratio_1]]-EG$2)</f>
        <v>0.91453744493392075</v>
      </c>
      <c r="ER754" s="1">
        <f>1+(Table1[[#This Row],[error_ratio_2]]-EH$2)</f>
        <v>1.0426356589147288</v>
      </c>
      <c r="ES754" s="1">
        <f>1+(Table1[[#This Row],[error_ratio_3]]-EI$2)</f>
        <v>0.98712871287128712</v>
      </c>
      <c r="ET754" s="1">
        <f>1+(Table1[[#This Row],[error_ratio_4]]-EJ$2)</f>
        <v>0.94602851323828918</v>
      </c>
      <c r="EU754" s="1">
        <f>1+(Table1[[#This Row],[error_ratio_5]]-EK$2)</f>
        <v>0.96300448430493268</v>
      </c>
      <c r="EV754" s="1">
        <f>1+(Table1[[#This Row],[error_ratio_6]]-EL$2)</f>
        <v>1.034446764091858</v>
      </c>
      <c r="EW754" s="1">
        <f>1+(Table1[[#This Row],[error_ratio_7]]-EM$2)</f>
        <v>1.0252918287937742</v>
      </c>
      <c r="EX754" s="1">
        <f>1+(Table1[[#This Row],[error_ratio_8]]-EN$2)</f>
        <v>0.98357289527720737</v>
      </c>
      <c r="EY754" s="1">
        <f>1+(Table1[[#This Row],[error_ratio_9]]-EO$2)</f>
        <v>1.0465807730426164</v>
      </c>
    </row>
    <row r="755" spans="1:155" x14ac:dyDescent="0.75">
      <c r="A755">
        <v>10</v>
      </c>
      <c r="B755">
        <v>10</v>
      </c>
      <c r="C755">
        <v>100</v>
      </c>
      <c r="D755">
        <v>10</v>
      </c>
      <c r="E755">
        <v>10</v>
      </c>
      <c r="F755">
        <v>10</v>
      </c>
      <c r="G755">
        <v>100</v>
      </c>
      <c r="H755">
        <v>100</v>
      </c>
      <c r="I755">
        <v>10</v>
      </c>
      <c r="J755">
        <v>10</v>
      </c>
      <c r="K755">
        <v>916</v>
      </c>
      <c r="L755">
        <v>1126</v>
      </c>
      <c r="M755">
        <v>1070</v>
      </c>
      <c r="N755">
        <v>976</v>
      </c>
      <c r="O755">
        <v>891</v>
      </c>
      <c r="P755">
        <v>926</v>
      </c>
      <c r="Q755">
        <v>1060</v>
      </c>
      <c r="R755">
        <v>1141</v>
      </c>
      <c r="S755">
        <v>843</v>
      </c>
      <c r="T755">
        <v>1051</v>
      </c>
      <c r="U755">
        <v>980</v>
      </c>
      <c r="V755">
        <v>1135</v>
      </c>
      <c r="W755">
        <v>1032</v>
      </c>
      <c r="X755">
        <v>1010</v>
      </c>
      <c r="Y755">
        <v>982</v>
      </c>
      <c r="Z755">
        <v>892</v>
      </c>
      <c r="AA755">
        <v>958</v>
      </c>
      <c r="AB755">
        <v>1028</v>
      </c>
      <c r="AC755">
        <v>974</v>
      </c>
      <c r="AD755">
        <v>1009</v>
      </c>
      <c r="AE755">
        <v>912</v>
      </c>
      <c r="AF755">
        <v>1</v>
      </c>
      <c r="AG755">
        <v>9</v>
      </c>
      <c r="AH755">
        <v>0</v>
      </c>
      <c r="AI755">
        <v>0</v>
      </c>
      <c r="AJ755">
        <v>13</v>
      </c>
      <c r="AK755">
        <v>27</v>
      </c>
      <c r="AL755">
        <v>6</v>
      </c>
      <c r="AM755">
        <v>2</v>
      </c>
      <c r="AN755">
        <v>10</v>
      </c>
      <c r="AO755">
        <v>0</v>
      </c>
      <c r="AP755">
        <v>1115</v>
      </c>
      <c r="AQ755">
        <v>0</v>
      </c>
      <c r="AR755">
        <v>6</v>
      </c>
      <c r="AS755">
        <v>0</v>
      </c>
      <c r="AT755">
        <v>2</v>
      </c>
      <c r="AU755">
        <v>3</v>
      </c>
      <c r="AV755">
        <v>9</v>
      </c>
      <c r="AW755">
        <v>0</v>
      </c>
      <c r="AX755">
        <v>0</v>
      </c>
      <c r="AY755">
        <v>0</v>
      </c>
      <c r="AZ755">
        <v>0</v>
      </c>
      <c r="BA755">
        <v>1012</v>
      </c>
      <c r="BB755">
        <v>1</v>
      </c>
      <c r="BC755">
        <v>0</v>
      </c>
      <c r="BD755">
        <v>2</v>
      </c>
      <c r="BE755">
        <v>8</v>
      </c>
      <c r="BF755">
        <v>9</v>
      </c>
      <c r="BG755">
        <v>0</v>
      </c>
      <c r="BH755">
        <v>0</v>
      </c>
      <c r="BI755">
        <v>0</v>
      </c>
      <c r="BJ755">
        <v>0</v>
      </c>
      <c r="BK755">
        <v>19</v>
      </c>
      <c r="BL755">
        <v>947</v>
      </c>
      <c r="BM755">
        <v>0</v>
      </c>
      <c r="BN755">
        <v>18</v>
      </c>
      <c r="BO755">
        <v>0</v>
      </c>
      <c r="BP755">
        <v>23</v>
      </c>
      <c r="BQ755">
        <v>2</v>
      </c>
      <c r="BR755">
        <v>1</v>
      </c>
      <c r="BS755">
        <v>0</v>
      </c>
      <c r="BT755">
        <v>1</v>
      </c>
      <c r="BU755">
        <v>5</v>
      </c>
      <c r="BV755">
        <v>0</v>
      </c>
      <c r="BW755">
        <v>881</v>
      </c>
      <c r="BX755">
        <v>0</v>
      </c>
      <c r="BY755">
        <v>22</v>
      </c>
      <c r="BZ755">
        <v>10</v>
      </c>
      <c r="CA755">
        <v>0</v>
      </c>
      <c r="CB755">
        <v>63</v>
      </c>
      <c r="CC755">
        <v>1</v>
      </c>
      <c r="CD755">
        <v>1</v>
      </c>
      <c r="CE755">
        <v>0</v>
      </c>
      <c r="CF755">
        <v>9</v>
      </c>
      <c r="CG755">
        <v>0</v>
      </c>
      <c r="CH755">
        <v>859</v>
      </c>
      <c r="CI755">
        <v>6</v>
      </c>
      <c r="CJ755">
        <v>8</v>
      </c>
      <c r="CK755">
        <v>0</v>
      </c>
      <c r="CL755">
        <v>8</v>
      </c>
      <c r="CM755">
        <v>0</v>
      </c>
      <c r="CN755">
        <v>1</v>
      </c>
      <c r="CO755">
        <v>0</v>
      </c>
      <c r="CP755">
        <v>0</v>
      </c>
      <c r="CQ755">
        <v>1</v>
      </c>
      <c r="CR755">
        <v>1</v>
      </c>
      <c r="CS755">
        <v>955</v>
      </c>
      <c r="CT755">
        <v>0</v>
      </c>
      <c r="CU755">
        <v>0</v>
      </c>
      <c r="CV755">
        <v>0</v>
      </c>
      <c r="CW755">
        <v>0</v>
      </c>
      <c r="CX755">
        <v>0</v>
      </c>
      <c r="CY755">
        <v>7</v>
      </c>
      <c r="CZ755">
        <v>0</v>
      </c>
      <c r="DA755">
        <v>0</v>
      </c>
      <c r="DB755">
        <v>0</v>
      </c>
      <c r="DC755">
        <v>0</v>
      </c>
      <c r="DD755">
        <v>1020</v>
      </c>
      <c r="DE755">
        <v>0</v>
      </c>
      <c r="DF755">
        <v>1</v>
      </c>
      <c r="DG755">
        <v>2</v>
      </c>
      <c r="DH755">
        <v>3</v>
      </c>
      <c r="DI755">
        <v>16</v>
      </c>
      <c r="DJ755">
        <v>8</v>
      </c>
      <c r="DK755">
        <v>6</v>
      </c>
      <c r="DL755">
        <v>23</v>
      </c>
      <c r="DM755">
        <v>37</v>
      </c>
      <c r="DN755">
        <v>26</v>
      </c>
      <c r="DO755">
        <v>838</v>
      </c>
      <c r="DP755">
        <v>15</v>
      </c>
      <c r="DQ755">
        <v>1</v>
      </c>
      <c r="DR755">
        <v>4</v>
      </c>
      <c r="DS755">
        <v>2</v>
      </c>
      <c r="DT755">
        <v>5</v>
      </c>
      <c r="DU755">
        <v>3</v>
      </c>
      <c r="DV755">
        <v>8</v>
      </c>
      <c r="DW755">
        <v>2</v>
      </c>
      <c r="DX755">
        <v>30</v>
      </c>
      <c r="DY755">
        <v>1</v>
      </c>
      <c r="DZ755">
        <v>953</v>
      </c>
      <c r="EA755">
        <v>0.94920000000000004</v>
      </c>
      <c r="EB755">
        <v>0.95140881573820901</v>
      </c>
      <c r="EC755">
        <v>0.94853436665549695</v>
      </c>
      <c r="ED755">
        <v>0.94852635988174705</v>
      </c>
      <c r="EE755">
        <f>SUM(Table1[[#This Row],[ratio_0]:[ratio_9]])</f>
        <v>370</v>
      </c>
      <c r="EF755" s="1">
        <f>(Table1[[#This Row],[predicted_0]]-Table1[[#This Row],[actual_0]])/Table1[[#This Row],[actual_0]]</f>
        <v>-6.5306122448979598E-2</v>
      </c>
      <c r="EG755" s="1">
        <f>(Table1[[#This Row],[predicted_1]]-Table1[[#This Row],[actual_1]])/Table1[[#This Row],[actual_1]]</f>
        <v>-7.9295154185022032E-3</v>
      </c>
      <c r="EH755" s="1">
        <f>(Table1[[#This Row],[predicted_2]]-Table1[[#This Row],[actual_2]])/Table1[[#This Row],[actual_2]]</f>
        <v>3.6821705426356592E-2</v>
      </c>
      <c r="EI755" s="1">
        <f>(Table1[[#This Row],[predicted_3]]-Table1[[#This Row],[actual_3]])/Table1[[#This Row],[actual_3]]</f>
        <v>-3.3663366336633666E-2</v>
      </c>
      <c r="EJ755" s="1">
        <f>(Table1[[#This Row],[predicted_4]]-Table1[[#This Row],[actual_4]])/Table1[[#This Row],[actual_4]]</f>
        <v>-9.2668024439918534E-2</v>
      </c>
      <c r="EK755" s="1">
        <f>(Table1[[#This Row],[predicted_5]]-Table1[[#This Row],[actual_5]])/Table1[[#This Row],[actual_5]]</f>
        <v>3.811659192825112E-2</v>
      </c>
      <c r="EL755" s="1">
        <f>(Table1[[#This Row],[predicted_6]]-Table1[[#This Row],[actual_6]])/Table1[[#This Row],[actual_6]]</f>
        <v>0.10647181628392484</v>
      </c>
      <c r="EM755" s="1">
        <f>(Table1[[#This Row],[predicted_7]]-Table1[[#This Row],[actual_7]])/Table1[[#This Row],[actual_7]]</f>
        <v>0.10992217898832685</v>
      </c>
      <c r="EN755" s="1">
        <f>(Table1[[#This Row],[predicted_8]]-Table1[[#This Row],[actual_8]])/Table1[[#This Row],[actual_8]]</f>
        <v>-0.13449691991786447</v>
      </c>
      <c r="EO755" s="1">
        <f>(Table1[[#This Row],[predicted_9]]-Table1[[#This Row],[actual_9]])/Table1[[#This Row],[actual_9]]</f>
        <v>4.1625371655104063E-2</v>
      </c>
      <c r="EP755" s="1">
        <f>1+(Table1[[#This Row],[error_ratio_0]]-EF$2)</f>
        <v>0.93265306122448977</v>
      </c>
      <c r="EQ755" s="1">
        <f>1+(Table1[[#This Row],[error_ratio_1]]-EG$2)</f>
        <v>0.99030837004405281</v>
      </c>
      <c r="ER755" s="1">
        <f>1+(Table1[[#This Row],[error_ratio_2]]-EH$2)</f>
        <v>1.0416666666666667</v>
      </c>
      <c r="ES755" s="1">
        <f>1+(Table1[[#This Row],[error_ratio_3]]-EI$2)</f>
        <v>0.9564356435643564</v>
      </c>
      <c r="ET755" s="1">
        <f>1+(Table1[[#This Row],[error_ratio_4]]-EJ$2)</f>
        <v>0.90631364562118122</v>
      </c>
      <c r="EU755" s="1">
        <f>1+(Table1[[#This Row],[error_ratio_5]]-EK$2)</f>
        <v>1.0369955156950672</v>
      </c>
      <c r="EV755" s="1">
        <f>1+(Table1[[#This Row],[error_ratio_6]]-EL$2)</f>
        <v>1.1127348643006263</v>
      </c>
      <c r="EW755" s="1">
        <f>1+(Table1[[#This Row],[error_ratio_7]]-EM$2)</f>
        <v>1.1079766536964981</v>
      </c>
      <c r="EX755" s="1">
        <f>1+(Table1[[#This Row],[error_ratio_8]]-EN$2)</f>
        <v>0.86858316221765919</v>
      </c>
      <c r="EY755" s="1">
        <f>1+(Table1[[#This Row],[error_ratio_9]]-EO$2)</f>
        <v>1.045589692765114</v>
      </c>
    </row>
    <row r="756" spans="1:155" x14ac:dyDescent="0.75">
      <c r="A756">
        <v>100</v>
      </c>
      <c r="B756">
        <v>100</v>
      </c>
      <c r="C756">
        <v>10</v>
      </c>
      <c r="D756">
        <v>10</v>
      </c>
      <c r="E756">
        <v>10</v>
      </c>
      <c r="F756">
        <v>10</v>
      </c>
      <c r="G756">
        <v>100</v>
      </c>
      <c r="H756">
        <v>100</v>
      </c>
      <c r="I756">
        <v>10</v>
      </c>
      <c r="J756">
        <v>10</v>
      </c>
      <c r="K756">
        <v>1019</v>
      </c>
      <c r="L756">
        <v>1154</v>
      </c>
      <c r="M756">
        <v>1002</v>
      </c>
      <c r="N756">
        <v>745</v>
      </c>
      <c r="O756">
        <v>946</v>
      </c>
      <c r="P756">
        <v>942</v>
      </c>
      <c r="Q756">
        <v>1021</v>
      </c>
      <c r="R756">
        <v>1087</v>
      </c>
      <c r="S756">
        <v>1136</v>
      </c>
      <c r="T756">
        <v>948</v>
      </c>
      <c r="U756">
        <v>980</v>
      </c>
      <c r="V756">
        <v>1135</v>
      </c>
      <c r="W756">
        <v>1032</v>
      </c>
      <c r="X756">
        <v>1010</v>
      </c>
      <c r="Y756">
        <v>982</v>
      </c>
      <c r="Z756">
        <v>892</v>
      </c>
      <c r="AA756">
        <v>958</v>
      </c>
      <c r="AB756">
        <v>1028</v>
      </c>
      <c r="AC756">
        <v>974</v>
      </c>
      <c r="AD756">
        <v>1009</v>
      </c>
      <c r="AE756">
        <v>971</v>
      </c>
      <c r="AF756">
        <v>0</v>
      </c>
      <c r="AG756">
        <v>0</v>
      </c>
      <c r="AH756">
        <v>0</v>
      </c>
      <c r="AI756">
        <v>0</v>
      </c>
      <c r="AJ756">
        <v>0</v>
      </c>
      <c r="AK756">
        <v>1</v>
      </c>
      <c r="AL756">
        <v>3</v>
      </c>
      <c r="AM756">
        <v>5</v>
      </c>
      <c r="AN756">
        <v>0</v>
      </c>
      <c r="AO756">
        <v>0</v>
      </c>
      <c r="AP756">
        <v>1128</v>
      </c>
      <c r="AQ756">
        <v>1</v>
      </c>
      <c r="AR756">
        <v>1</v>
      </c>
      <c r="AS756">
        <v>0</v>
      </c>
      <c r="AT756">
        <v>2</v>
      </c>
      <c r="AU756">
        <v>1</v>
      </c>
      <c r="AV756">
        <v>0</v>
      </c>
      <c r="AW756">
        <v>2</v>
      </c>
      <c r="AX756">
        <v>0</v>
      </c>
      <c r="AY756">
        <v>8</v>
      </c>
      <c r="AZ756">
        <v>4</v>
      </c>
      <c r="BA756">
        <v>984</v>
      </c>
      <c r="BB756">
        <v>0</v>
      </c>
      <c r="BC756">
        <v>1</v>
      </c>
      <c r="BD756">
        <v>4</v>
      </c>
      <c r="BE756">
        <v>9</v>
      </c>
      <c r="BF756">
        <v>15</v>
      </c>
      <c r="BG756">
        <v>7</v>
      </c>
      <c r="BH756">
        <v>0</v>
      </c>
      <c r="BI756">
        <v>4</v>
      </c>
      <c r="BJ756">
        <v>1</v>
      </c>
      <c r="BK756">
        <v>7</v>
      </c>
      <c r="BL756">
        <v>744</v>
      </c>
      <c r="BM756">
        <v>0</v>
      </c>
      <c r="BN756">
        <v>62</v>
      </c>
      <c r="BO756">
        <v>1</v>
      </c>
      <c r="BP756">
        <v>14</v>
      </c>
      <c r="BQ756">
        <v>171</v>
      </c>
      <c r="BR756">
        <v>6</v>
      </c>
      <c r="BS756">
        <v>5</v>
      </c>
      <c r="BT756">
        <v>5</v>
      </c>
      <c r="BU756">
        <v>3</v>
      </c>
      <c r="BV756">
        <v>0</v>
      </c>
      <c r="BW756">
        <v>927</v>
      </c>
      <c r="BX756">
        <v>0</v>
      </c>
      <c r="BY756">
        <v>34</v>
      </c>
      <c r="BZ756">
        <v>5</v>
      </c>
      <c r="CA756">
        <v>2</v>
      </c>
      <c r="CB756">
        <v>1</v>
      </c>
      <c r="CC756">
        <v>5</v>
      </c>
      <c r="CD756">
        <v>0</v>
      </c>
      <c r="CE756">
        <v>0</v>
      </c>
      <c r="CF756">
        <v>0</v>
      </c>
      <c r="CG756">
        <v>0</v>
      </c>
      <c r="CH756">
        <v>852</v>
      </c>
      <c r="CI756">
        <v>11</v>
      </c>
      <c r="CJ756">
        <v>2</v>
      </c>
      <c r="CK756">
        <v>22</v>
      </c>
      <c r="CL756">
        <v>0</v>
      </c>
      <c r="CM756">
        <v>8</v>
      </c>
      <c r="CN756">
        <v>2</v>
      </c>
      <c r="CO756">
        <v>0</v>
      </c>
      <c r="CP756">
        <v>0</v>
      </c>
      <c r="CQ756">
        <v>0</v>
      </c>
      <c r="CR756">
        <v>1</v>
      </c>
      <c r="CS756">
        <v>947</v>
      </c>
      <c r="CT756">
        <v>0</v>
      </c>
      <c r="CU756">
        <v>0</v>
      </c>
      <c r="CV756">
        <v>0</v>
      </c>
      <c r="CW756">
        <v>0</v>
      </c>
      <c r="CX756">
        <v>4</v>
      </c>
      <c r="CY756">
        <v>5</v>
      </c>
      <c r="CZ756">
        <v>0</v>
      </c>
      <c r="DA756">
        <v>0</v>
      </c>
      <c r="DB756">
        <v>0</v>
      </c>
      <c r="DC756">
        <v>0</v>
      </c>
      <c r="DD756">
        <v>1017</v>
      </c>
      <c r="DE756">
        <v>1</v>
      </c>
      <c r="DF756">
        <v>1</v>
      </c>
      <c r="DG756">
        <v>10</v>
      </c>
      <c r="DH756">
        <v>4</v>
      </c>
      <c r="DI756">
        <v>2</v>
      </c>
      <c r="DJ756">
        <v>0</v>
      </c>
      <c r="DK756">
        <v>3</v>
      </c>
      <c r="DL756">
        <v>5</v>
      </c>
      <c r="DM756">
        <v>14</v>
      </c>
      <c r="DN756">
        <v>12</v>
      </c>
      <c r="DO756">
        <v>918</v>
      </c>
      <c r="DP756">
        <v>6</v>
      </c>
      <c r="DQ756">
        <v>8</v>
      </c>
      <c r="DR756">
        <v>6</v>
      </c>
      <c r="DS756">
        <v>0</v>
      </c>
      <c r="DT756">
        <v>0</v>
      </c>
      <c r="DU756">
        <v>15</v>
      </c>
      <c r="DV756">
        <v>16</v>
      </c>
      <c r="DW756">
        <v>3</v>
      </c>
      <c r="DX756">
        <v>19</v>
      </c>
      <c r="DY756">
        <v>8</v>
      </c>
      <c r="DZ756">
        <v>934</v>
      </c>
      <c r="EA756">
        <v>0.94220000000000004</v>
      </c>
      <c r="EB756">
        <v>0.945188761637346</v>
      </c>
      <c r="EC756">
        <v>0.94199112339972402</v>
      </c>
      <c r="ED756">
        <v>0.94066343296802502</v>
      </c>
      <c r="EE756">
        <f>SUM(Table1[[#This Row],[ratio_0]:[ratio_9]])</f>
        <v>460</v>
      </c>
      <c r="EF756" s="1">
        <f>(Table1[[#This Row],[predicted_0]]-Table1[[#This Row],[actual_0]])/Table1[[#This Row],[actual_0]]</f>
        <v>3.9795918367346937E-2</v>
      </c>
      <c r="EG756" s="1">
        <f>(Table1[[#This Row],[predicted_1]]-Table1[[#This Row],[actual_1]])/Table1[[#This Row],[actual_1]]</f>
        <v>1.6740088105726872E-2</v>
      </c>
      <c r="EH756" s="1">
        <f>(Table1[[#This Row],[predicted_2]]-Table1[[#This Row],[actual_2]])/Table1[[#This Row],[actual_2]]</f>
        <v>-2.9069767441860465E-2</v>
      </c>
      <c r="EI756" s="1">
        <f>(Table1[[#This Row],[predicted_3]]-Table1[[#This Row],[actual_3]])/Table1[[#This Row],[actual_3]]</f>
        <v>-0.26237623762376239</v>
      </c>
      <c r="EJ756" s="1">
        <f>(Table1[[#This Row],[predicted_4]]-Table1[[#This Row],[actual_4]])/Table1[[#This Row],[actual_4]]</f>
        <v>-3.6659877800407331E-2</v>
      </c>
      <c r="EK756" s="1">
        <f>(Table1[[#This Row],[predicted_5]]-Table1[[#This Row],[actual_5]])/Table1[[#This Row],[actual_5]]</f>
        <v>5.6053811659192827E-2</v>
      </c>
      <c r="EL756" s="1">
        <f>(Table1[[#This Row],[predicted_6]]-Table1[[#This Row],[actual_6]])/Table1[[#This Row],[actual_6]]</f>
        <v>6.5762004175365346E-2</v>
      </c>
      <c r="EM756" s="1">
        <f>(Table1[[#This Row],[predicted_7]]-Table1[[#This Row],[actual_7]])/Table1[[#This Row],[actual_7]]</f>
        <v>5.7392996108949414E-2</v>
      </c>
      <c r="EN756" s="1">
        <f>(Table1[[#This Row],[predicted_8]]-Table1[[#This Row],[actual_8]])/Table1[[#This Row],[actual_8]]</f>
        <v>0.16632443531827515</v>
      </c>
      <c r="EO756" s="1">
        <f>(Table1[[#This Row],[predicted_9]]-Table1[[#This Row],[actual_9]])/Table1[[#This Row],[actual_9]]</f>
        <v>-6.0455896927651138E-2</v>
      </c>
      <c r="EP756" s="1">
        <f>1+(Table1[[#This Row],[error_ratio_0]]-EF$2)</f>
        <v>1.0377551020408162</v>
      </c>
      <c r="EQ756" s="1">
        <f>1+(Table1[[#This Row],[error_ratio_1]]-EG$2)</f>
        <v>1.014977973568282</v>
      </c>
      <c r="ER756" s="1">
        <f>1+(Table1[[#This Row],[error_ratio_2]]-EH$2)</f>
        <v>0.97577519379844957</v>
      </c>
      <c r="ES756" s="1">
        <f>1+(Table1[[#This Row],[error_ratio_3]]-EI$2)</f>
        <v>0.7277227722772277</v>
      </c>
      <c r="ET756" s="1">
        <f>1+(Table1[[#This Row],[error_ratio_4]]-EJ$2)</f>
        <v>0.96232179226069248</v>
      </c>
      <c r="EU756" s="1">
        <f>1+(Table1[[#This Row],[error_ratio_5]]-EK$2)</f>
        <v>1.054932735426009</v>
      </c>
      <c r="EV756" s="1">
        <f>1+(Table1[[#This Row],[error_ratio_6]]-EL$2)</f>
        <v>1.0720250521920669</v>
      </c>
      <c r="EW756" s="1">
        <f>1+(Table1[[#This Row],[error_ratio_7]]-EM$2)</f>
        <v>1.0554474708171206</v>
      </c>
      <c r="EX756" s="1">
        <f>1+(Table1[[#This Row],[error_ratio_8]]-EN$2)</f>
        <v>1.1694045174537988</v>
      </c>
      <c r="EY756" s="1">
        <f>1+(Table1[[#This Row],[error_ratio_9]]-EO$2)</f>
        <v>0.94350842418235881</v>
      </c>
    </row>
    <row r="757" spans="1:155" x14ac:dyDescent="0.75">
      <c r="A757">
        <v>10</v>
      </c>
      <c r="B757">
        <v>100</v>
      </c>
      <c r="C757">
        <v>10</v>
      </c>
      <c r="D757">
        <v>10</v>
      </c>
      <c r="E757">
        <v>10</v>
      </c>
      <c r="F757">
        <v>10</v>
      </c>
      <c r="G757">
        <v>100</v>
      </c>
      <c r="H757">
        <v>100</v>
      </c>
      <c r="I757">
        <v>10</v>
      </c>
      <c r="J757">
        <v>10</v>
      </c>
      <c r="K757">
        <v>1001</v>
      </c>
      <c r="L757">
        <v>1143</v>
      </c>
      <c r="M757">
        <v>1015</v>
      </c>
      <c r="N757">
        <v>986</v>
      </c>
      <c r="O757">
        <v>925</v>
      </c>
      <c r="P757">
        <v>878</v>
      </c>
      <c r="Q757">
        <v>991</v>
      </c>
      <c r="R757">
        <v>1045</v>
      </c>
      <c r="S757">
        <v>848</v>
      </c>
      <c r="T757">
        <v>1168</v>
      </c>
      <c r="U757">
        <v>980</v>
      </c>
      <c r="V757">
        <v>1135</v>
      </c>
      <c r="W757">
        <v>1032</v>
      </c>
      <c r="X757">
        <v>1010</v>
      </c>
      <c r="Y757">
        <v>982</v>
      </c>
      <c r="Z757">
        <v>892</v>
      </c>
      <c r="AA757">
        <v>958</v>
      </c>
      <c r="AB757">
        <v>1028</v>
      </c>
      <c r="AC757">
        <v>974</v>
      </c>
      <c r="AD757">
        <v>1009</v>
      </c>
      <c r="AE757">
        <v>963</v>
      </c>
      <c r="AF757">
        <v>0</v>
      </c>
      <c r="AG757">
        <v>0</v>
      </c>
      <c r="AH757">
        <v>1</v>
      </c>
      <c r="AI757">
        <v>0</v>
      </c>
      <c r="AJ757">
        <v>2</v>
      </c>
      <c r="AK757">
        <v>11</v>
      </c>
      <c r="AL757">
        <v>2</v>
      </c>
      <c r="AM757">
        <v>1</v>
      </c>
      <c r="AN757">
        <v>0</v>
      </c>
      <c r="AO757">
        <v>0</v>
      </c>
      <c r="AP757">
        <v>1126</v>
      </c>
      <c r="AQ757">
        <v>0</v>
      </c>
      <c r="AR757">
        <v>3</v>
      </c>
      <c r="AS757">
        <v>0</v>
      </c>
      <c r="AT757">
        <v>1</v>
      </c>
      <c r="AU757">
        <v>2</v>
      </c>
      <c r="AV757">
        <v>2</v>
      </c>
      <c r="AW757">
        <v>0</v>
      </c>
      <c r="AX757">
        <v>1</v>
      </c>
      <c r="AY757">
        <v>8</v>
      </c>
      <c r="AZ757">
        <v>10</v>
      </c>
      <c r="BA757">
        <v>986</v>
      </c>
      <c r="BB757">
        <v>1</v>
      </c>
      <c r="BC757">
        <v>3</v>
      </c>
      <c r="BD757">
        <v>0</v>
      </c>
      <c r="BE757">
        <v>7</v>
      </c>
      <c r="BF757">
        <v>17</v>
      </c>
      <c r="BG757">
        <v>0</v>
      </c>
      <c r="BH757">
        <v>0</v>
      </c>
      <c r="BI757">
        <v>4</v>
      </c>
      <c r="BJ757">
        <v>0</v>
      </c>
      <c r="BK757">
        <v>8</v>
      </c>
      <c r="BL757">
        <v>956</v>
      </c>
      <c r="BM757">
        <v>0</v>
      </c>
      <c r="BN757">
        <v>20</v>
      </c>
      <c r="BO757">
        <v>1</v>
      </c>
      <c r="BP757">
        <v>7</v>
      </c>
      <c r="BQ757">
        <v>2</v>
      </c>
      <c r="BR757">
        <v>12</v>
      </c>
      <c r="BS757">
        <v>2</v>
      </c>
      <c r="BT757">
        <v>1</v>
      </c>
      <c r="BU757">
        <v>5</v>
      </c>
      <c r="BV757">
        <v>0</v>
      </c>
      <c r="BW757">
        <v>912</v>
      </c>
      <c r="BX757">
        <v>0</v>
      </c>
      <c r="BY757">
        <v>4</v>
      </c>
      <c r="BZ757">
        <v>1</v>
      </c>
      <c r="CA757">
        <v>0</v>
      </c>
      <c r="CB757">
        <v>57</v>
      </c>
      <c r="CC757">
        <v>4</v>
      </c>
      <c r="CD757">
        <v>0</v>
      </c>
      <c r="CE757">
        <v>0</v>
      </c>
      <c r="CF757">
        <v>12</v>
      </c>
      <c r="CG757">
        <v>0</v>
      </c>
      <c r="CH757">
        <v>835</v>
      </c>
      <c r="CI757">
        <v>8</v>
      </c>
      <c r="CJ757">
        <v>1</v>
      </c>
      <c r="CK757">
        <v>1</v>
      </c>
      <c r="CL757">
        <v>31</v>
      </c>
      <c r="CM757">
        <v>4</v>
      </c>
      <c r="CN757">
        <v>2</v>
      </c>
      <c r="CO757">
        <v>0</v>
      </c>
      <c r="CP757">
        <v>0</v>
      </c>
      <c r="CQ757">
        <v>1</v>
      </c>
      <c r="CR757">
        <v>1</v>
      </c>
      <c r="CS757">
        <v>950</v>
      </c>
      <c r="CT757">
        <v>0</v>
      </c>
      <c r="CU757">
        <v>0</v>
      </c>
      <c r="CV757">
        <v>0</v>
      </c>
      <c r="CW757">
        <v>1</v>
      </c>
      <c r="CX757">
        <v>2</v>
      </c>
      <c r="CY757">
        <v>5</v>
      </c>
      <c r="CZ757">
        <v>4</v>
      </c>
      <c r="DA757">
        <v>0</v>
      </c>
      <c r="DB757">
        <v>0</v>
      </c>
      <c r="DC757">
        <v>0</v>
      </c>
      <c r="DD757">
        <v>1005</v>
      </c>
      <c r="DE757">
        <v>0</v>
      </c>
      <c r="DF757">
        <v>11</v>
      </c>
      <c r="DG757">
        <v>10</v>
      </c>
      <c r="DH757">
        <v>0</v>
      </c>
      <c r="DI757">
        <v>11</v>
      </c>
      <c r="DJ757">
        <v>7</v>
      </c>
      <c r="DK757">
        <v>6</v>
      </c>
      <c r="DL757">
        <v>15</v>
      </c>
      <c r="DM757">
        <v>6</v>
      </c>
      <c r="DN757">
        <v>6</v>
      </c>
      <c r="DO757">
        <v>844</v>
      </c>
      <c r="DP757">
        <v>69</v>
      </c>
      <c r="DQ757">
        <v>5</v>
      </c>
      <c r="DR757">
        <v>2</v>
      </c>
      <c r="DS757">
        <v>0</v>
      </c>
      <c r="DT757">
        <v>2</v>
      </c>
      <c r="DU757">
        <v>3</v>
      </c>
      <c r="DV757">
        <v>4</v>
      </c>
      <c r="DW757">
        <v>2</v>
      </c>
      <c r="DX757">
        <v>4</v>
      </c>
      <c r="DY757">
        <v>0</v>
      </c>
      <c r="DZ757">
        <v>987</v>
      </c>
      <c r="EA757">
        <v>0.95640000000000003</v>
      </c>
      <c r="EB757">
        <v>0.95858058343349495</v>
      </c>
      <c r="EC757">
        <v>0.95555018513232703</v>
      </c>
      <c r="ED757">
        <v>0.95597535580469295</v>
      </c>
      <c r="EE757">
        <f>SUM(Table1[[#This Row],[ratio_0]:[ratio_9]])</f>
        <v>370</v>
      </c>
      <c r="EF757" s="1">
        <f>(Table1[[#This Row],[predicted_0]]-Table1[[#This Row],[actual_0]])/Table1[[#This Row],[actual_0]]</f>
        <v>2.1428571428571429E-2</v>
      </c>
      <c r="EG757" s="1">
        <f>(Table1[[#This Row],[predicted_1]]-Table1[[#This Row],[actual_1]])/Table1[[#This Row],[actual_1]]</f>
        <v>7.048458149779736E-3</v>
      </c>
      <c r="EH757" s="1">
        <f>(Table1[[#This Row],[predicted_2]]-Table1[[#This Row],[actual_2]])/Table1[[#This Row],[actual_2]]</f>
        <v>-1.6472868217054265E-2</v>
      </c>
      <c r="EI757" s="1">
        <f>(Table1[[#This Row],[predicted_3]]-Table1[[#This Row],[actual_3]])/Table1[[#This Row],[actual_3]]</f>
        <v>-2.3762376237623763E-2</v>
      </c>
      <c r="EJ757" s="1">
        <f>(Table1[[#This Row],[predicted_4]]-Table1[[#This Row],[actual_4]])/Table1[[#This Row],[actual_4]]</f>
        <v>-5.8044806517311608E-2</v>
      </c>
      <c r="EK757" s="1">
        <f>(Table1[[#This Row],[predicted_5]]-Table1[[#This Row],[actual_5]])/Table1[[#This Row],[actual_5]]</f>
        <v>-1.5695067264573991E-2</v>
      </c>
      <c r="EL757" s="1">
        <f>(Table1[[#This Row],[predicted_6]]-Table1[[#This Row],[actual_6]])/Table1[[#This Row],[actual_6]]</f>
        <v>3.444676409185804E-2</v>
      </c>
      <c r="EM757" s="1">
        <f>(Table1[[#This Row],[predicted_7]]-Table1[[#This Row],[actual_7]])/Table1[[#This Row],[actual_7]]</f>
        <v>1.6536964980544747E-2</v>
      </c>
      <c r="EN757" s="1">
        <f>(Table1[[#This Row],[predicted_8]]-Table1[[#This Row],[actual_8]])/Table1[[#This Row],[actual_8]]</f>
        <v>-0.12936344969199179</v>
      </c>
      <c r="EO757" s="1">
        <f>(Table1[[#This Row],[predicted_9]]-Table1[[#This Row],[actual_9]])/Table1[[#This Row],[actual_9]]</f>
        <v>0.15758176412289396</v>
      </c>
      <c r="EP757" s="1">
        <f>1+(Table1[[#This Row],[error_ratio_0]]-EF$2)</f>
        <v>1.0193877551020407</v>
      </c>
      <c r="EQ757" s="1">
        <f>1+(Table1[[#This Row],[error_ratio_1]]-EG$2)</f>
        <v>1.0052863436123347</v>
      </c>
      <c r="ER757" s="1">
        <f>1+(Table1[[#This Row],[error_ratio_2]]-EH$2)</f>
        <v>0.98837209302325579</v>
      </c>
      <c r="ES757" s="1">
        <f>1+(Table1[[#This Row],[error_ratio_3]]-EI$2)</f>
        <v>0.96633663366336631</v>
      </c>
      <c r="ET757" s="1">
        <f>1+(Table1[[#This Row],[error_ratio_4]]-EJ$2)</f>
        <v>0.94093686354378814</v>
      </c>
      <c r="EU757" s="1">
        <f>1+(Table1[[#This Row],[error_ratio_5]]-EK$2)</f>
        <v>0.98318385650224216</v>
      </c>
      <c r="EV757" s="1">
        <f>1+(Table1[[#This Row],[error_ratio_6]]-EL$2)</f>
        <v>1.0407098121085594</v>
      </c>
      <c r="EW757" s="1">
        <f>1+(Table1[[#This Row],[error_ratio_7]]-EM$2)</f>
        <v>1.0145914396887159</v>
      </c>
      <c r="EX757" s="1">
        <f>1+(Table1[[#This Row],[error_ratio_8]]-EN$2)</f>
        <v>0.87371663244353182</v>
      </c>
      <c r="EY757" s="1">
        <f>1+(Table1[[#This Row],[error_ratio_9]]-EO$2)</f>
        <v>1.1615460852329038</v>
      </c>
    </row>
    <row r="758" spans="1:155" x14ac:dyDescent="0.75">
      <c r="A758">
        <v>100</v>
      </c>
      <c r="B758">
        <v>10</v>
      </c>
      <c r="C758">
        <v>10</v>
      </c>
      <c r="D758">
        <v>10</v>
      </c>
      <c r="E758">
        <v>10</v>
      </c>
      <c r="F758">
        <v>10</v>
      </c>
      <c r="G758">
        <v>100</v>
      </c>
      <c r="H758">
        <v>100</v>
      </c>
      <c r="I758">
        <v>10</v>
      </c>
      <c r="J758">
        <v>10</v>
      </c>
      <c r="K758">
        <v>1010</v>
      </c>
      <c r="L758">
        <v>1110</v>
      </c>
      <c r="M758">
        <v>996</v>
      </c>
      <c r="N758">
        <v>1124</v>
      </c>
      <c r="O758">
        <v>954</v>
      </c>
      <c r="P758">
        <v>854</v>
      </c>
      <c r="Q758">
        <v>960</v>
      </c>
      <c r="R758">
        <v>1066</v>
      </c>
      <c r="S758">
        <v>885</v>
      </c>
      <c r="T758">
        <v>1041</v>
      </c>
      <c r="U758">
        <v>980</v>
      </c>
      <c r="V758">
        <v>1135</v>
      </c>
      <c r="W758">
        <v>1032</v>
      </c>
      <c r="X758">
        <v>1010</v>
      </c>
      <c r="Y758">
        <v>982</v>
      </c>
      <c r="Z758">
        <v>892</v>
      </c>
      <c r="AA758">
        <v>958</v>
      </c>
      <c r="AB758">
        <v>1028</v>
      </c>
      <c r="AC758">
        <v>974</v>
      </c>
      <c r="AD758">
        <v>1009</v>
      </c>
      <c r="AE758">
        <v>976</v>
      </c>
      <c r="AF758">
        <v>0</v>
      </c>
      <c r="AG758">
        <v>0</v>
      </c>
      <c r="AH758">
        <v>0</v>
      </c>
      <c r="AI758">
        <v>0</v>
      </c>
      <c r="AJ758">
        <v>0</v>
      </c>
      <c r="AK758">
        <v>0</v>
      </c>
      <c r="AL758">
        <v>2</v>
      </c>
      <c r="AM758">
        <v>2</v>
      </c>
      <c r="AN758">
        <v>0</v>
      </c>
      <c r="AO758">
        <v>4</v>
      </c>
      <c r="AP758">
        <v>1104</v>
      </c>
      <c r="AQ758">
        <v>1</v>
      </c>
      <c r="AR758">
        <v>9</v>
      </c>
      <c r="AS758">
        <v>0</v>
      </c>
      <c r="AT758">
        <v>1</v>
      </c>
      <c r="AU758">
        <v>4</v>
      </c>
      <c r="AV758">
        <v>6</v>
      </c>
      <c r="AW758">
        <v>6</v>
      </c>
      <c r="AX758">
        <v>0</v>
      </c>
      <c r="AY758">
        <v>5</v>
      </c>
      <c r="AZ758">
        <v>0</v>
      </c>
      <c r="BA758">
        <v>977</v>
      </c>
      <c r="BB758">
        <v>16</v>
      </c>
      <c r="BC758">
        <v>6</v>
      </c>
      <c r="BD758">
        <v>1</v>
      </c>
      <c r="BE758">
        <v>2</v>
      </c>
      <c r="BF758">
        <v>25</v>
      </c>
      <c r="BG758">
        <v>0</v>
      </c>
      <c r="BH758">
        <v>0</v>
      </c>
      <c r="BI758">
        <v>0</v>
      </c>
      <c r="BJ758">
        <v>0</v>
      </c>
      <c r="BK758">
        <v>4</v>
      </c>
      <c r="BL758">
        <v>991</v>
      </c>
      <c r="BM758">
        <v>0</v>
      </c>
      <c r="BN758">
        <v>5</v>
      </c>
      <c r="BO758">
        <v>0</v>
      </c>
      <c r="BP758">
        <v>4</v>
      </c>
      <c r="BQ758">
        <v>1</v>
      </c>
      <c r="BR758">
        <v>5</v>
      </c>
      <c r="BS758">
        <v>0</v>
      </c>
      <c r="BT758">
        <v>0</v>
      </c>
      <c r="BU758">
        <v>0</v>
      </c>
      <c r="BV758">
        <v>0</v>
      </c>
      <c r="BW758">
        <v>937</v>
      </c>
      <c r="BX758">
        <v>0</v>
      </c>
      <c r="BY758">
        <v>6</v>
      </c>
      <c r="BZ758">
        <v>4</v>
      </c>
      <c r="CA758">
        <v>1</v>
      </c>
      <c r="CB758">
        <v>34</v>
      </c>
      <c r="CC758">
        <v>6</v>
      </c>
      <c r="CD758">
        <v>0</v>
      </c>
      <c r="CE758">
        <v>0</v>
      </c>
      <c r="CF758">
        <v>56</v>
      </c>
      <c r="CG758">
        <v>1</v>
      </c>
      <c r="CH758">
        <v>819</v>
      </c>
      <c r="CI758">
        <v>2</v>
      </c>
      <c r="CJ758">
        <v>1</v>
      </c>
      <c r="CK758">
        <v>1</v>
      </c>
      <c r="CL758">
        <v>6</v>
      </c>
      <c r="CM758">
        <v>8</v>
      </c>
      <c r="CN758">
        <v>2</v>
      </c>
      <c r="CO758">
        <v>0</v>
      </c>
      <c r="CP758">
        <v>0</v>
      </c>
      <c r="CQ758">
        <v>1</v>
      </c>
      <c r="CR758">
        <v>3</v>
      </c>
      <c r="CS758">
        <v>942</v>
      </c>
      <c r="CT758">
        <v>0</v>
      </c>
      <c r="CU758">
        <v>1</v>
      </c>
      <c r="CV758">
        <v>1</v>
      </c>
      <c r="CW758">
        <v>1</v>
      </c>
      <c r="CX758">
        <v>2</v>
      </c>
      <c r="CY758">
        <v>7</v>
      </c>
      <c r="CZ758">
        <v>4</v>
      </c>
      <c r="DA758">
        <v>1</v>
      </c>
      <c r="DB758">
        <v>0</v>
      </c>
      <c r="DC758">
        <v>0</v>
      </c>
      <c r="DD758">
        <v>1001</v>
      </c>
      <c r="DE758">
        <v>0</v>
      </c>
      <c r="DF758">
        <v>12</v>
      </c>
      <c r="DG758">
        <v>6</v>
      </c>
      <c r="DH758">
        <v>0</v>
      </c>
      <c r="DI758">
        <v>6</v>
      </c>
      <c r="DJ758">
        <v>32</v>
      </c>
      <c r="DK758">
        <v>4</v>
      </c>
      <c r="DL758">
        <v>17</v>
      </c>
      <c r="DM758">
        <v>4</v>
      </c>
      <c r="DN758">
        <v>9</v>
      </c>
      <c r="DO758">
        <v>871</v>
      </c>
      <c r="DP758">
        <v>25</v>
      </c>
      <c r="DQ758">
        <v>4</v>
      </c>
      <c r="DR758">
        <v>2</v>
      </c>
      <c r="DS758">
        <v>1</v>
      </c>
      <c r="DT758">
        <v>16</v>
      </c>
      <c r="DU758">
        <v>4</v>
      </c>
      <c r="DV758">
        <v>8</v>
      </c>
      <c r="DW758">
        <v>0</v>
      </c>
      <c r="DX758">
        <v>14</v>
      </c>
      <c r="DY758">
        <v>2</v>
      </c>
      <c r="DZ758">
        <v>958</v>
      </c>
      <c r="EA758">
        <v>0.95760000000000001</v>
      </c>
      <c r="EB758">
        <v>0.958944836119204</v>
      </c>
      <c r="EC758">
        <v>0.95695750912889199</v>
      </c>
      <c r="ED758">
        <v>0.95728613289992803</v>
      </c>
      <c r="EE758">
        <f>SUM(Table1[[#This Row],[ratio_0]:[ratio_9]])</f>
        <v>370</v>
      </c>
      <c r="EF758" s="1">
        <f>(Table1[[#This Row],[predicted_0]]-Table1[[#This Row],[actual_0]])/Table1[[#This Row],[actual_0]]</f>
        <v>3.0612244897959183E-2</v>
      </c>
      <c r="EG758" s="1">
        <f>(Table1[[#This Row],[predicted_1]]-Table1[[#This Row],[actual_1]])/Table1[[#This Row],[actual_1]]</f>
        <v>-2.2026431718061675E-2</v>
      </c>
      <c r="EH758" s="1">
        <f>(Table1[[#This Row],[predicted_2]]-Table1[[#This Row],[actual_2]])/Table1[[#This Row],[actual_2]]</f>
        <v>-3.4883720930232558E-2</v>
      </c>
      <c r="EI758" s="1">
        <f>(Table1[[#This Row],[predicted_3]]-Table1[[#This Row],[actual_3]])/Table1[[#This Row],[actual_3]]</f>
        <v>0.11287128712871287</v>
      </c>
      <c r="EJ758" s="1">
        <f>(Table1[[#This Row],[predicted_4]]-Table1[[#This Row],[actual_4]])/Table1[[#This Row],[actual_4]]</f>
        <v>-2.8513238289205704E-2</v>
      </c>
      <c r="EK758" s="1">
        <f>(Table1[[#This Row],[predicted_5]]-Table1[[#This Row],[actual_5]])/Table1[[#This Row],[actual_5]]</f>
        <v>-4.2600896860986545E-2</v>
      </c>
      <c r="EL758" s="1">
        <f>(Table1[[#This Row],[predicted_6]]-Table1[[#This Row],[actual_6]])/Table1[[#This Row],[actual_6]]</f>
        <v>2.0876826722338203E-3</v>
      </c>
      <c r="EM758" s="1">
        <f>(Table1[[#This Row],[predicted_7]]-Table1[[#This Row],[actual_7]])/Table1[[#This Row],[actual_7]]</f>
        <v>3.6964980544747082E-2</v>
      </c>
      <c r="EN758" s="1">
        <f>(Table1[[#This Row],[predicted_8]]-Table1[[#This Row],[actual_8]])/Table1[[#This Row],[actual_8]]</f>
        <v>-9.1375770020533875E-2</v>
      </c>
      <c r="EO758" s="1">
        <f>(Table1[[#This Row],[predicted_9]]-Table1[[#This Row],[actual_9]])/Table1[[#This Row],[actual_9]]</f>
        <v>3.1714568880079286E-2</v>
      </c>
      <c r="EP758" s="1">
        <f>1+(Table1[[#This Row],[error_ratio_0]]-EF$2)</f>
        <v>1.0285714285714285</v>
      </c>
      <c r="EQ758" s="1">
        <f>1+(Table1[[#This Row],[error_ratio_1]]-EG$2)</f>
        <v>0.97621145374449336</v>
      </c>
      <c r="ER758" s="1">
        <f>1+(Table1[[#This Row],[error_ratio_2]]-EH$2)</f>
        <v>0.96996124031007747</v>
      </c>
      <c r="ES758" s="1">
        <f>1+(Table1[[#This Row],[error_ratio_3]]-EI$2)</f>
        <v>1.1029702970297031</v>
      </c>
      <c r="ET758" s="1">
        <f>1+(Table1[[#This Row],[error_ratio_4]]-EJ$2)</f>
        <v>0.97046843177189412</v>
      </c>
      <c r="EU758" s="1">
        <f>1+(Table1[[#This Row],[error_ratio_5]]-EK$2)</f>
        <v>0.95627802690582964</v>
      </c>
      <c r="EV758" s="1">
        <f>1+(Table1[[#This Row],[error_ratio_6]]-EL$2)</f>
        <v>1.0083507306889352</v>
      </c>
      <c r="EW758" s="1">
        <f>1+(Table1[[#This Row],[error_ratio_7]]-EM$2)</f>
        <v>1.0350194552529184</v>
      </c>
      <c r="EX758" s="1">
        <f>1+(Table1[[#This Row],[error_ratio_8]]-EN$2)</f>
        <v>0.9117043121149897</v>
      </c>
      <c r="EY758" s="1">
        <f>1+(Table1[[#This Row],[error_ratio_9]]-EO$2)</f>
        <v>1.0356788899900893</v>
      </c>
    </row>
    <row r="759" spans="1:155" x14ac:dyDescent="0.75">
      <c r="A759">
        <v>10</v>
      </c>
      <c r="B759">
        <v>10</v>
      </c>
      <c r="C759">
        <v>10</v>
      </c>
      <c r="D759">
        <v>10</v>
      </c>
      <c r="E759">
        <v>10</v>
      </c>
      <c r="F759">
        <v>10</v>
      </c>
      <c r="G759">
        <v>100</v>
      </c>
      <c r="H759">
        <v>100</v>
      </c>
      <c r="I759">
        <v>10</v>
      </c>
      <c r="J759">
        <v>10</v>
      </c>
      <c r="K759">
        <v>993</v>
      </c>
      <c r="L759">
        <v>1133</v>
      </c>
      <c r="M759">
        <v>967</v>
      </c>
      <c r="N759">
        <v>992</v>
      </c>
      <c r="O759">
        <v>930</v>
      </c>
      <c r="P759">
        <v>799</v>
      </c>
      <c r="Q759">
        <v>1035</v>
      </c>
      <c r="R759">
        <v>1073</v>
      </c>
      <c r="S759">
        <v>1100</v>
      </c>
      <c r="T759">
        <v>978</v>
      </c>
      <c r="U759">
        <v>980</v>
      </c>
      <c r="V759">
        <v>1135</v>
      </c>
      <c r="W759">
        <v>1032</v>
      </c>
      <c r="X759">
        <v>1010</v>
      </c>
      <c r="Y759">
        <v>982</v>
      </c>
      <c r="Z759">
        <v>892</v>
      </c>
      <c r="AA759">
        <v>958</v>
      </c>
      <c r="AB759">
        <v>1028</v>
      </c>
      <c r="AC759">
        <v>974</v>
      </c>
      <c r="AD759">
        <v>1009</v>
      </c>
      <c r="AE759">
        <v>956</v>
      </c>
      <c r="AF759">
        <v>0</v>
      </c>
      <c r="AG759">
        <v>0</v>
      </c>
      <c r="AH759">
        <v>0</v>
      </c>
      <c r="AI759">
        <v>0</v>
      </c>
      <c r="AJ759">
        <v>0</v>
      </c>
      <c r="AK759">
        <v>14</v>
      </c>
      <c r="AL759">
        <v>4</v>
      </c>
      <c r="AM759">
        <v>6</v>
      </c>
      <c r="AN759">
        <v>0</v>
      </c>
      <c r="AO759">
        <v>0</v>
      </c>
      <c r="AP759">
        <v>1119</v>
      </c>
      <c r="AQ759">
        <v>1</v>
      </c>
      <c r="AR759">
        <v>2</v>
      </c>
      <c r="AS759">
        <v>0</v>
      </c>
      <c r="AT759">
        <v>0</v>
      </c>
      <c r="AU759">
        <v>5</v>
      </c>
      <c r="AV759">
        <v>1</v>
      </c>
      <c r="AW759">
        <v>7</v>
      </c>
      <c r="AX759">
        <v>0</v>
      </c>
      <c r="AY759">
        <v>8</v>
      </c>
      <c r="AZ759">
        <v>7</v>
      </c>
      <c r="BA759">
        <v>958</v>
      </c>
      <c r="BB759">
        <v>16</v>
      </c>
      <c r="BC759">
        <v>5</v>
      </c>
      <c r="BD759">
        <v>0</v>
      </c>
      <c r="BE759">
        <v>9</v>
      </c>
      <c r="BF759">
        <v>18</v>
      </c>
      <c r="BG759">
        <v>11</v>
      </c>
      <c r="BH759">
        <v>0</v>
      </c>
      <c r="BI759">
        <v>8</v>
      </c>
      <c r="BJ759">
        <v>0</v>
      </c>
      <c r="BK759">
        <v>3</v>
      </c>
      <c r="BL759">
        <v>961</v>
      </c>
      <c r="BM759">
        <v>1</v>
      </c>
      <c r="BN759">
        <v>10</v>
      </c>
      <c r="BO759">
        <v>1</v>
      </c>
      <c r="BP759">
        <v>8</v>
      </c>
      <c r="BQ759">
        <v>18</v>
      </c>
      <c r="BR759">
        <v>0</v>
      </c>
      <c r="BS759">
        <v>1</v>
      </c>
      <c r="BT759">
        <v>0</v>
      </c>
      <c r="BU759">
        <v>1</v>
      </c>
      <c r="BV759">
        <v>0</v>
      </c>
      <c r="BW759">
        <v>916</v>
      </c>
      <c r="BX759">
        <v>0</v>
      </c>
      <c r="BY759">
        <v>26</v>
      </c>
      <c r="BZ759">
        <v>5</v>
      </c>
      <c r="CA759">
        <v>9</v>
      </c>
      <c r="CB759">
        <v>24</v>
      </c>
      <c r="CC759">
        <v>7</v>
      </c>
      <c r="CD759">
        <v>1</v>
      </c>
      <c r="CE759">
        <v>0</v>
      </c>
      <c r="CF759">
        <v>5</v>
      </c>
      <c r="CG759">
        <v>0</v>
      </c>
      <c r="CH759">
        <v>788</v>
      </c>
      <c r="CI759">
        <v>24</v>
      </c>
      <c r="CJ759">
        <v>6</v>
      </c>
      <c r="CK759">
        <v>55</v>
      </c>
      <c r="CL759">
        <v>6</v>
      </c>
      <c r="CM759">
        <v>5</v>
      </c>
      <c r="CN759">
        <v>2</v>
      </c>
      <c r="CO759">
        <v>0</v>
      </c>
      <c r="CP759">
        <v>0</v>
      </c>
      <c r="CQ759">
        <v>1</v>
      </c>
      <c r="CR759">
        <v>1</v>
      </c>
      <c r="CS759">
        <v>949</v>
      </c>
      <c r="CT759">
        <v>0</v>
      </c>
      <c r="CU759">
        <v>0</v>
      </c>
      <c r="CV759">
        <v>0</v>
      </c>
      <c r="CW759">
        <v>1</v>
      </c>
      <c r="CX759">
        <v>2</v>
      </c>
      <c r="CY759">
        <v>4</v>
      </c>
      <c r="CZ759">
        <v>5</v>
      </c>
      <c r="DA759">
        <v>0</v>
      </c>
      <c r="DB759">
        <v>0</v>
      </c>
      <c r="DC759">
        <v>0</v>
      </c>
      <c r="DD759">
        <v>1013</v>
      </c>
      <c r="DE759">
        <v>2</v>
      </c>
      <c r="DF759">
        <v>1</v>
      </c>
      <c r="DG759">
        <v>3</v>
      </c>
      <c r="DH759">
        <v>0</v>
      </c>
      <c r="DI759">
        <v>0</v>
      </c>
      <c r="DJ759">
        <v>1</v>
      </c>
      <c r="DK759">
        <v>2</v>
      </c>
      <c r="DL759">
        <v>0</v>
      </c>
      <c r="DM759">
        <v>4</v>
      </c>
      <c r="DN759">
        <v>4</v>
      </c>
      <c r="DO759">
        <v>960</v>
      </c>
      <c r="DP759">
        <v>0</v>
      </c>
      <c r="DQ759">
        <v>4</v>
      </c>
      <c r="DR759">
        <v>2</v>
      </c>
      <c r="DS759">
        <v>0</v>
      </c>
      <c r="DT759">
        <v>2</v>
      </c>
      <c r="DU759">
        <v>5</v>
      </c>
      <c r="DV759">
        <v>0</v>
      </c>
      <c r="DW759">
        <v>3</v>
      </c>
      <c r="DX759">
        <v>14</v>
      </c>
      <c r="DY759">
        <v>32</v>
      </c>
      <c r="DZ759">
        <v>947</v>
      </c>
      <c r="EA759">
        <v>0.95669999999999999</v>
      </c>
      <c r="EB759">
        <v>0.95830246476554104</v>
      </c>
      <c r="EC759">
        <v>0.95575846001704301</v>
      </c>
      <c r="ED759">
        <v>0.95601052008781895</v>
      </c>
      <c r="EE759">
        <f>SUM(Table1[[#This Row],[ratio_0]:[ratio_9]])</f>
        <v>280</v>
      </c>
      <c r="EF759" s="1">
        <f>(Table1[[#This Row],[predicted_0]]-Table1[[#This Row],[actual_0]])/Table1[[#This Row],[actual_0]]</f>
        <v>1.3265306122448979E-2</v>
      </c>
      <c r="EG759" s="1">
        <f>(Table1[[#This Row],[predicted_1]]-Table1[[#This Row],[actual_1]])/Table1[[#This Row],[actual_1]]</f>
        <v>-1.762114537444934E-3</v>
      </c>
      <c r="EH759" s="1">
        <f>(Table1[[#This Row],[predicted_2]]-Table1[[#This Row],[actual_2]])/Table1[[#This Row],[actual_2]]</f>
        <v>-6.2984496124031009E-2</v>
      </c>
      <c r="EI759" s="1">
        <f>(Table1[[#This Row],[predicted_3]]-Table1[[#This Row],[actual_3]])/Table1[[#This Row],[actual_3]]</f>
        <v>-1.782178217821782E-2</v>
      </c>
      <c r="EJ759" s="1">
        <f>(Table1[[#This Row],[predicted_4]]-Table1[[#This Row],[actual_4]])/Table1[[#This Row],[actual_4]]</f>
        <v>-5.2953156822810592E-2</v>
      </c>
      <c r="EK759" s="1">
        <f>(Table1[[#This Row],[predicted_5]]-Table1[[#This Row],[actual_5]])/Table1[[#This Row],[actual_5]]</f>
        <v>-0.10426008968609865</v>
      </c>
      <c r="EL759" s="1">
        <f>(Table1[[#This Row],[predicted_6]]-Table1[[#This Row],[actual_6]])/Table1[[#This Row],[actual_6]]</f>
        <v>8.0375782881002084E-2</v>
      </c>
      <c r="EM759" s="1">
        <f>(Table1[[#This Row],[predicted_7]]-Table1[[#This Row],[actual_7]])/Table1[[#This Row],[actual_7]]</f>
        <v>4.3774319066147857E-2</v>
      </c>
      <c r="EN759" s="1">
        <f>(Table1[[#This Row],[predicted_8]]-Table1[[#This Row],[actual_8]])/Table1[[#This Row],[actual_8]]</f>
        <v>0.12936344969199179</v>
      </c>
      <c r="EO759" s="1">
        <f>(Table1[[#This Row],[predicted_9]]-Table1[[#This Row],[actual_9]])/Table1[[#This Row],[actual_9]]</f>
        <v>-3.0723488602576808E-2</v>
      </c>
      <c r="EP759" s="1">
        <f>1+(Table1[[#This Row],[error_ratio_0]]-EF$2)</f>
        <v>1.0112244897959184</v>
      </c>
      <c r="EQ759" s="1">
        <f>1+(Table1[[#This Row],[error_ratio_1]]-EG$2)</f>
        <v>0.99647577092511008</v>
      </c>
      <c r="ER759" s="1">
        <f>1+(Table1[[#This Row],[error_ratio_2]]-EH$2)</f>
        <v>0.94186046511627908</v>
      </c>
      <c r="ES759" s="1">
        <f>1+(Table1[[#This Row],[error_ratio_3]]-EI$2)</f>
        <v>0.97227722772277225</v>
      </c>
      <c r="ET759" s="1">
        <f>1+(Table1[[#This Row],[error_ratio_4]]-EJ$2)</f>
        <v>0.94602851323828918</v>
      </c>
      <c r="EU759" s="1">
        <f>1+(Table1[[#This Row],[error_ratio_5]]-EK$2)</f>
        <v>0.89461883408071752</v>
      </c>
      <c r="EV759" s="1">
        <f>1+(Table1[[#This Row],[error_ratio_6]]-EL$2)</f>
        <v>1.0866388308977035</v>
      </c>
      <c r="EW759" s="1">
        <f>1+(Table1[[#This Row],[error_ratio_7]]-EM$2)</f>
        <v>1.0418287937743191</v>
      </c>
      <c r="EX759" s="1">
        <f>1+(Table1[[#This Row],[error_ratio_8]]-EN$2)</f>
        <v>1.1324435318275154</v>
      </c>
      <c r="EY759" s="1">
        <f>1+(Table1[[#This Row],[error_ratio_9]]-EO$2)</f>
        <v>0.9732408325074331</v>
      </c>
    </row>
    <row r="760" spans="1:155" x14ac:dyDescent="0.75">
      <c r="A760">
        <v>100</v>
      </c>
      <c r="B760">
        <v>100</v>
      </c>
      <c r="C760">
        <v>100</v>
      </c>
      <c r="D760">
        <v>100</v>
      </c>
      <c r="E760">
        <v>100</v>
      </c>
      <c r="F760">
        <v>100</v>
      </c>
      <c r="G760">
        <v>10</v>
      </c>
      <c r="H760">
        <v>100</v>
      </c>
      <c r="I760">
        <v>10</v>
      </c>
      <c r="J760">
        <v>10</v>
      </c>
      <c r="K760">
        <v>1003</v>
      </c>
      <c r="L760">
        <v>1149</v>
      </c>
      <c r="M760">
        <v>1057</v>
      </c>
      <c r="N760">
        <v>1044</v>
      </c>
      <c r="O760">
        <v>935</v>
      </c>
      <c r="P760">
        <v>984</v>
      </c>
      <c r="Q760">
        <v>894</v>
      </c>
      <c r="R760">
        <v>1040</v>
      </c>
      <c r="S760">
        <v>875</v>
      </c>
      <c r="T760">
        <v>1019</v>
      </c>
      <c r="U760">
        <v>980</v>
      </c>
      <c r="V760">
        <v>1135</v>
      </c>
      <c r="W760">
        <v>1032</v>
      </c>
      <c r="X760">
        <v>1010</v>
      </c>
      <c r="Y760">
        <v>982</v>
      </c>
      <c r="Z760">
        <v>892</v>
      </c>
      <c r="AA760">
        <v>958</v>
      </c>
      <c r="AB760">
        <v>1028</v>
      </c>
      <c r="AC760">
        <v>974</v>
      </c>
      <c r="AD760">
        <v>1009</v>
      </c>
      <c r="AE760">
        <v>973</v>
      </c>
      <c r="AF760">
        <v>1</v>
      </c>
      <c r="AG760">
        <v>1</v>
      </c>
      <c r="AH760">
        <v>0</v>
      </c>
      <c r="AI760">
        <v>0</v>
      </c>
      <c r="AJ760">
        <v>0</v>
      </c>
      <c r="AK760">
        <v>1</v>
      </c>
      <c r="AL760">
        <v>2</v>
      </c>
      <c r="AM760">
        <v>2</v>
      </c>
      <c r="AN760">
        <v>0</v>
      </c>
      <c r="AO760">
        <v>0</v>
      </c>
      <c r="AP760">
        <v>1131</v>
      </c>
      <c r="AQ760">
        <v>2</v>
      </c>
      <c r="AR760">
        <v>1</v>
      </c>
      <c r="AS760">
        <v>0</v>
      </c>
      <c r="AT760">
        <v>1</v>
      </c>
      <c r="AU760">
        <v>0</v>
      </c>
      <c r="AV760">
        <v>0</v>
      </c>
      <c r="AW760">
        <v>0</v>
      </c>
      <c r="AX760">
        <v>0</v>
      </c>
      <c r="AY760">
        <v>0</v>
      </c>
      <c r="AZ760">
        <v>2</v>
      </c>
      <c r="BA760">
        <v>1024</v>
      </c>
      <c r="BB760">
        <v>0</v>
      </c>
      <c r="BC760">
        <v>0</v>
      </c>
      <c r="BD760">
        <v>0</v>
      </c>
      <c r="BE760">
        <v>0</v>
      </c>
      <c r="BF760">
        <v>6</v>
      </c>
      <c r="BG760">
        <v>0</v>
      </c>
      <c r="BH760">
        <v>0</v>
      </c>
      <c r="BI760">
        <v>0</v>
      </c>
      <c r="BJ760">
        <v>0</v>
      </c>
      <c r="BK760">
        <v>3</v>
      </c>
      <c r="BL760">
        <v>998</v>
      </c>
      <c r="BM760">
        <v>0</v>
      </c>
      <c r="BN760">
        <v>6</v>
      </c>
      <c r="BO760">
        <v>0</v>
      </c>
      <c r="BP760">
        <v>2</v>
      </c>
      <c r="BQ760">
        <v>0</v>
      </c>
      <c r="BR760">
        <v>1</v>
      </c>
      <c r="BS760">
        <v>0</v>
      </c>
      <c r="BT760">
        <v>2</v>
      </c>
      <c r="BU760">
        <v>1</v>
      </c>
      <c r="BV760">
        <v>0</v>
      </c>
      <c r="BW760">
        <v>930</v>
      </c>
      <c r="BX760">
        <v>0</v>
      </c>
      <c r="BY760">
        <v>2</v>
      </c>
      <c r="BZ760">
        <v>7</v>
      </c>
      <c r="CA760">
        <v>0</v>
      </c>
      <c r="CB760">
        <v>40</v>
      </c>
      <c r="CC760">
        <v>1</v>
      </c>
      <c r="CD760">
        <v>0</v>
      </c>
      <c r="CE760">
        <v>0</v>
      </c>
      <c r="CF760">
        <v>3</v>
      </c>
      <c r="CG760">
        <v>0</v>
      </c>
      <c r="CH760">
        <v>886</v>
      </c>
      <c r="CI760">
        <v>1</v>
      </c>
      <c r="CJ760">
        <v>1</v>
      </c>
      <c r="CK760">
        <v>0</v>
      </c>
      <c r="CL760">
        <v>0</v>
      </c>
      <c r="CM760">
        <v>18</v>
      </c>
      <c r="CN760">
        <v>3</v>
      </c>
      <c r="CO760">
        <v>0</v>
      </c>
      <c r="CP760">
        <v>1</v>
      </c>
      <c r="CQ760">
        <v>5</v>
      </c>
      <c r="CR760">
        <v>43</v>
      </c>
      <c r="CS760">
        <v>888</v>
      </c>
      <c r="CT760">
        <v>0</v>
      </c>
      <c r="CU760">
        <v>0</v>
      </c>
      <c r="CV760">
        <v>0</v>
      </c>
      <c r="CW760">
        <v>1</v>
      </c>
      <c r="CX760">
        <v>2</v>
      </c>
      <c r="CY760">
        <v>10</v>
      </c>
      <c r="CZ760">
        <v>4</v>
      </c>
      <c r="DA760">
        <v>0</v>
      </c>
      <c r="DB760">
        <v>0</v>
      </c>
      <c r="DC760">
        <v>0</v>
      </c>
      <c r="DD760">
        <v>1006</v>
      </c>
      <c r="DE760">
        <v>0</v>
      </c>
      <c r="DF760">
        <v>5</v>
      </c>
      <c r="DG760">
        <v>4</v>
      </c>
      <c r="DH760">
        <v>3</v>
      </c>
      <c r="DI760">
        <v>14</v>
      </c>
      <c r="DJ760">
        <v>18</v>
      </c>
      <c r="DK760">
        <v>0</v>
      </c>
      <c r="DL760">
        <v>39</v>
      </c>
      <c r="DM760">
        <v>2</v>
      </c>
      <c r="DN760">
        <v>6</v>
      </c>
      <c r="DO760">
        <v>873</v>
      </c>
      <c r="DP760">
        <v>15</v>
      </c>
      <c r="DQ760">
        <v>6</v>
      </c>
      <c r="DR760">
        <v>5</v>
      </c>
      <c r="DS760">
        <v>2</v>
      </c>
      <c r="DT760">
        <v>19</v>
      </c>
      <c r="DU760">
        <v>0</v>
      </c>
      <c r="DV760">
        <v>9</v>
      </c>
      <c r="DW760">
        <v>0</v>
      </c>
      <c r="DX760">
        <v>10</v>
      </c>
      <c r="DY760">
        <v>0</v>
      </c>
      <c r="DZ760">
        <v>958</v>
      </c>
      <c r="EA760">
        <v>0.9667</v>
      </c>
      <c r="EB760">
        <v>0.96726490652927899</v>
      </c>
      <c r="EC760">
        <v>0.96613093090034696</v>
      </c>
      <c r="ED760">
        <v>0.96596252853112297</v>
      </c>
      <c r="EE760">
        <f>SUM(Table1[[#This Row],[ratio_0]:[ratio_9]])</f>
        <v>730</v>
      </c>
      <c r="EF760" s="1">
        <f>(Table1[[#This Row],[predicted_0]]-Table1[[#This Row],[actual_0]])/Table1[[#This Row],[actual_0]]</f>
        <v>2.3469387755102041E-2</v>
      </c>
      <c r="EG760" s="1">
        <f>(Table1[[#This Row],[predicted_1]]-Table1[[#This Row],[actual_1]])/Table1[[#This Row],[actual_1]]</f>
        <v>1.2334801762114538E-2</v>
      </c>
      <c r="EH760" s="1">
        <f>(Table1[[#This Row],[predicted_2]]-Table1[[#This Row],[actual_2]])/Table1[[#This Row],[actual_2]]</f>
        <v>2.4224806201550389E-2</v>
      </c>
      <c r="EI760" s="1">
        <f>(Table1[[#This Row],[predicted_3]]-Table1[[#This Row],[actual_3]])/Table1[[#This Row],[actual_3]]</f>
        <v>3.3663366336633666E-2</v>
      </c>
      <c r="EJ760" s="1">
        <f>(Table1[[#This Row],[predicted_4]]-Table1[[#This Row],[actual_4]])/Table1[[#This Row],[actual_4]]</f>
        <v>-4.7861507128309569E-2</v>
      </c>
      <c r="EK760" s="1">
        <f>(Table1[[#This Row],[predicted_5]]-Table1[[#This Row],[actual_5]])/Table1[[#This Row],[actual_5]]</f>
        <v>0.1031390134529148</v>
      </c>
      <c r="EL760" s="1">
        <f>(Table1[[#This Row],[predicted_6]]-Table1[[#This Row],[actual_6]])/Table1[[#This Row],[actual_6]]</f>
        <v>-6.6805845511482248E-2</v>
      </c>
      <c r="EM760" s="1">
        <f>(Table1[[#This Row],[predicted_7]]-Table1[[#This Row],[actual_7]])/Table1[[#This Row],[actual_7]]</f>
        <v>1.1673151750972763E-2</v>
      </c>
      <c r="EN760" s="1">
        <f>(Table1[[#This Row],[predicted_8]]-Table1[[#This Row],[actual_8]])/Table1[[#This Row],[actual_8]]</f>
        <v>-0.10164271047227925</v>
      </c>
      <c r="EO760" s="1">
        <f>(Table1[[#This Row],[predicted_9]]-Table1[[#This Row],[actual_9]])/Table1[[#This Row],[actual_9]]</f>
        <v>9.9108027750247768E-3</v>
      </c>
      <c r="EP760" s="1">
        <f>1+(Table1[[#This Row],[error_ratio_0]]-EF$2)</f>
        <v>1.0214285714285714</v>
      </c>
      <c r="EQ760" s="1">
        <f>1+(Table1[[#This Row],[error_ratio_1]]-EG$2)</f>
        <v>1.0105726872246696</v>
      </c>
      <c r="ER760" s="1">
        <f>1+(Table1[[#This Row],[error_ratio_2]]-EH$2)</f>
        <v>1.0290697674418605</v>
      </c>
      <c r="ES760" s="1">
        <f>1+(Table1[[#This Row],[error_ratio_3]]-EI$2)</f>
        <v>1.0237623762376238</v>
      </c>
      <c r="ET760" s="1">
        <f>1+(Table1[[#This Row],[error_ratio_4]]-EJ$2)</f>
        <v>0.95112016293279023</v>
      </c>
      <c r="EU760" s="1">
        <f>1+(Table1[[#This Row],[error_ratio_5]]-EK$2)</f>
        <v>1.102017937219731</v>
      </c>
      <c r="EV760" s="1">
        <f>1+(Table1[[#This Row],[error_ratio_6]]-EL$2)</f>
        <v>0.93945720250521925</v>
      </c>
      <c r="EW760" s="1">
        <f>1+(Table1[[#This Row],[error_ratio_7]]-EM$2)</f>
        <v>1.0097276264591439</v>
      </c>
      <c r="EX760" s="1">
        <f>1+(Table1[[#This Row],[error_ratio_8]]-EN$2)</f>
        <v>0.90143737166324434</v>
      </c>
      <c r="EY760" s="1">
        <f>1+(Table1[[#This Row],[error_ratio_9]]-EO$2)</f>
        <v>1.0138751238850348</v>
      </c>
    </row>
    <row r="761" spans="1:155" x14ac:dyDescent="0.75">
      <c r="A761">
        <v>10</v>
      </c>
      <c r="B761">
        <v>100</v>
      </c>
      <c r="C761">
        <v>100</v>
      </c>
      <c r="D761">
        <v>100</v>
      </c>
      <c r="E761">
        <v>100</v>
      </c>
      <c r="F761">
        <v>100</v>
      </c>
      <c r="G761">
        <v>10</v>
      </c>
      <c r="H761">
        <v>100</v>
      </c>
      <c r="I761">
        <v>10</v>
      </c>
      <c r="J761">
        <v>10</v>
      </c>
      <c r="K761">
        <v>944</v>
      </c>
      <c r="L761">
        <v>1139</v>
      </c>
      <c r="M761">
        <v>1103</v>
      </c>
      <c r="N761">
        <v>1063</v>
      </c>
      <c r="O761">
        <v>1002</v>
      </c>
      <c r="P761">
        <v>975</v>
      </c>
      <c r="Q761">
        <v>922</v>
      </c>
      <c r="R761">
        <v>1040</v>
      </c>
      <c r="S761">
        <v>882</v>
      </c>
      <c r="T761">
        <v>930</v>
      </c>
      <c r="U761">
        <v>980</v>
      </c>
      <c r="V761">
        <v>1135</v>
      </c>
      <c r="W761">
        <v>1032</v>
      </c>
      <c r="X761">
        <v>1010</v>
      </c>
      <c r="Y761">
        <v>982</v>
      </c>
      <c r="Z761">
        <v>892</v>
      </c>
      <c r="AA761">
        <v>958</v>
      </c>
      <c r="AB761">
        <v>1028</v>
      </c>
      <c r="AC761">
        <v>974</v>
      </c>
      <c r="AD761">
        <v>1009</v>
      </c>
      <c r="AE761">
        <v>931</v>
      </c>
      <c r="AF761">
        <v>1</v>
      </c>
      <c r="AG761">
        <v>19</v>
      </c>
      <c r="AH761">
        <v>2</v>
      </c>
      <c r="AI761">
        <v>4</v>
      </c>
      <c r="AJ761">
        <v>16</v>
      </c>
      <c r="AK761">
        <v>2</v>
      </c>
      <c r="AL761">
        <v>3</v>
      </c>
      <c r="AM761">
        <v>1</v>
      </c>
      <c r="AN761">
        <v>1</v>
      </c>
      <c r="AO761">
        <v>0</v>
      </c>
      <c r="AP761">
        <v>1125</v>
      </c>
      <c r="AQ761">
        <v>1</v>
      </c>
      <c r="AR761">
        <v>3</v>
      </c>
      <c r="AS761">
        <v>0</v>
      </c>
      <c r="AT761">
        <v>1</v>
      </c>
      <c r="AU761">
        <v>4</v>
      </c>
      <c r="AV761">
        <v>0</v>
      </c>
      <c r="AW761">
        <v>1</v>
      </c>
      <c r="AX761">
        <v>0</v>
      </c>
      <c r="AY761">
        <v>0</v>
      </c>
      <c r="AZ761">
        <v>0</v>
      </c>
      <c r="BA761">
        <v>1023</v>
      </c>
      <c r="BB761">
        <v>2</v>
      </c>
      <c r="BC761">
        <v>0</v>
      </c>
      <c r="BD761">
        <v>0</v>
      </c>
      <c r="BE761">
        <v>0</v>
      </c>
      <c r="BF761">
        <v>7</v>
      </c>
      <c r="BG761">
        <v>0</v>
      </c>
      <c r="BH761">
        <v>0</v>
      </c>
      <c r="BI761">
        <v>0</v>
      </c>
      <c r="BJ761">
        <v>0</v>
      </c>
      <c r="BK761">
        <v>2</v>
      </c>
      <c r="BL761">
        <v>1004</v>
      </c>
      <c r="BM761">
        <v>0</v>
      </c>
      <c r="BN761">
        <v>3</v>
      </c>
      <c r="BO761">
        <v>0</v>
      </c>
      <c r="BP761">
        <v>1</v>
      </c>
      <c r="BQ761">
        <v>0</v>
      </c>
      <c r="BR761">
        <v>0</v>
      </c>
      <c r="BS761">
        <v>0</v>
      </c>
      <c r="BT761">
        <v>0</v>
      </c>
      <c r="BU761">
        <v>9</v>
      </c>
      <c r="BV761">
        <v>0</v>
      </c>
      <c r="BW761">
        <v>967</v>
      </c>
      <c r="BX761">
        <v>0</v>
      </c>
      <c r="BY761">
        <v>2</v>
      </c>
      <c r="BZ761">
        <v>2</v>
      </c>
      <c r="CA761">
        <v>0</v>
      </c>
      <c r="CB761">
        <v>2</v>
      </c>
      <c r="CC761">
        <v>0</v>
      </c>
      <c r="CD761">
        <v>0</v>
      </c>
      <c r="CE761">
        <v>0</v>
      </c>
      <c r="CF761">
        <v>4</v>
      </c>
      <c r="CG761">
        <v>0</v>
      </c>
      <c r="CH761">
        <v>888</v>
      </c>
      <c r="CI761">
        <v>0</v>
      </c>
      <c r="CJ761">
        <v>0</v>
      </c>
      <c r="CK761">
        <v>0</v>
      </c>
      <c r="CL761">
        <v>0</v>
      </c>
      <c r="CM761">
        <v>6</v>
      </c>
      <c r="CN761">
        <v>3</v>
      </c>
      <c r="CO761">
        <v>3</v>
      </c>
      <c r="CP761">
        <v>0</v>
      </c>
      <c r="CQ761">
        <v>17</v>
      </c>
      <c r="CR761">
        <v>17</v>
      </c>
      <c r="CS761">
        <v>912</v>
      </c>
      <c r="CT761">
        <v>0</v>
      </c>
      <c r="CU761">
        <v>0</v>
      </c>
      <c r="CV761">
        <v>0</v>
      </c>
      <c r="CW761">
        <v>1</v>
      </c>
      <c r="CX761">
        <v>1</v>
      </c>
      <c r="CY761">
        <v>11</v>
      </c>
      <c r="CZ761">
        <v>8</v>
      </c>
      <c r="DA761">
        <v>0</v>
      </c>
      <c r="DB761">
        <v>2</v>
      </c>
      <c r="DC761">
        <v>0</v>
      </c>
      <c r="DD761">
        <v>1003</v>
      </c>
      <c r="DE761">
        <v>0</v>
      </c>
      <c r="DF761">
        <v>2</v>
      </c>
      <c r="DG761">
        <v>3</v>
      </c>
      <c r="DH761">
        <v>2</v>
      </c>
      <c r="DI761">
        <v>29</v>
      </c>
      <c r="DJ761">
        <v>17</v>
      </c>
      <c r="DK761">
        <v>3</v>
      </c>
      <c r="DL761">
        <v>25</v>
      </c>
      <c r="DM761">
        <v>1</v>
      </c>
      <c r="DN761">
        <v>10</v>
      </c>
      <c r="DO761">
        <v>879</v>
      </c>
      <c r="DP761">
        <v>5</v>
      </c>
      <c r="DQ761">
        <v>3</v>
      </c>
      <c r="DR761">
        <v>7</v>
      </c>
      <c r="DS761">
        <v>6</v>
      </c>
      <c r="DT761">
        <v>23</v>
      </c>
      <c r="DU761">
        <v>11</v>
      </c>
      <c r="DV761">
        <v>23</v>
      </c>
      <c r="DW761">
        <v>1</v>
      </c>
      <c r="DX761">
        <v>14</v>
      </c>
      <c r="DY761">
        <v>1</v>
      </c>
      <c r="DZ761">
        <v>920</v>
      </c>
      <c r="EA761">
        <v>0.96519999999999995</v>
      </c>
      <c r="EB761">
        <v>0.966116670440891</v>
      </c>
      <c r="EC761">
        <v>0.96486908024060303</v>
      </c>
      <c r="ED761">
        <v>0.964660990107572</v>
      </c>
      <c r="EE761">
        <f>SUM(Table1[[#This Row],[ratio_0]:[ratio_9]])</f>
        <v>640</v>
      </c>
      <c r="EF761" s="1">
        <f>(Table1[[#This Row],[predicted_0]]-Table1[[#This Row],[actual_0]])/Table1[[#This Row],[actual_0]]</f>
        <v>-3.6734693877551024E-2</v>
      </c>
      <c r="EG761" s="1">
        <f>(Table1[[#This Row],[predicted_1]]-Table1[[#This Row],[actual_1]])/Table1[[#This Row],[actual_1]]</f>
        <v>3.524229074889868E-3</v>
      </c>
      <c r="EH761" s="1">
        <f>(Table1[[#This Row],[predicted_2]]-Table1[[#This Row],[actual_2]])/Table1[[#This Row],[actual_2]]</f>
        <v>6.8798449612403098E-2</v>
      </c>
      <c r="EI761" s="1">
        <f>(Table1[[#This Row],[predicted_3]]-Table1[[#This Row],[actual_3]])/Table1[[#This Row],[actual_3]]</f>
        <v>5.2475247524752473E-2</v>
      </c>
      <c r="EJ761" s="1">
        <f>(Table1[[#This Row],[predicted_4]]-Table1[[#This Row],[actual_4]])/Table1[[#This Row],[actual_4]]</f>
        <v>2.0366598778004074E-2</v>
      </c>
      <c r="EK761" s="1">
        <f>(Table1[[#This Row],[predicted_5]]-Table1[[#This Row],[actual_5]])/Table1[[#This Row],[actual_5]]</f>
        <v>9.3049327354260095E-2</v>
      </c>
      <c r="EL761" s="1">
        <f>(Table1[[#This Row],[predicted_6]]-Table1[[#This Row],[actual_6]])/Table1[[#This Row],[actual_6]]</f>
        <v>-3.7578288100208766E-2</v>
      </c>
      <c r="EM761" s="1">
        <f>(Table1[[#This Row],[predicted_7]]-Table1[[#This Row],[actual_7]])/Table1[[#This Row],[actual_7]]</f>
        <v>1.1673151750972763E-2</v>
      </c>
      <c r="EN761" s="1">
        <f>(Table1[[#This Row],[predicted_8]]-Table1[[#This Row],[actual_8]])/Table1[[#This Row],[actual_8]]</f>
        <v>-9.4455852156057493E-2</v>
      </c>
      <c r="EO761" s="1">
        <f>(Table1[[#This Row],[predicted_9]]-Table1[[#This Row],[actual_9]])/Table1[[#This Row],[actual_9]]</f>
        <v>-7.8295341922695744E-2</v>
      </c>
      <c r="EP761" s="1">
        <f>1+(Table1[[#This Row],[error_ratio_0]]-EF$2)</f>
        <v>0.96122448979591835</v>
      </c>
      <c r="EQ761" s="1">
        <f>1+(Table1[[#This Row],[error_ratio_1]]-EG$2)</f>
        <v>1.0017621145374449</v>
      </c>
      <c r="ER761" s="1">
        <f>1+(Table1[[#This Row],[error_ratio_2]]-EH$2)</f>
        <v>1.0736434108527131</v>
      </c>
      <c r="ES761" s="1">
        <f>1+(Table1[[#This Row],[error_ratio_3]]-EI$2)</f>
        <v>1.0425742574257426</v>
      </c>
      <c r="ET761" s="1">
        <f>1+(Table1[[#This Row],[error_ratio_4]]-EJ$2)</f>
        <v>1.0193482688391038</v>
      </c>
      <c r="EU761" s="1">
        <f>1+(Table1[[#This Row],[error_ratio_5]]-EK$2)</f>
        <v>1.0919282511210762</v>
      </c>
      <c r="EV761" s="1">
        <f>1+(Table1[[#This Row],[error_ratio_6]]-EL$2)</f>
        <v>0.96868475991649272</v>
      </c>
      <c r="EW761" s="1">
        <f>1+(Table1[[#This Row],[error_ratio_7]]-EM$2)</f>
        <v>1.0097276264591439</v>
      </c>
      <c r="EX761" s="1">
        <f>1+(Table1[[#This Row],[error_ratio_8]]-EN$2)</f>
        <v>0.90862422997946612</v>
      </c>
      <c r="EY761" s="1">
        <f>1+(Table1[[#This Row],[error_ratio_9]]-EO$2)</f>
        <v>0.92566897918731417</v>
      </c>
    </row>
    <row r="762" spans="1:155" x14ac:dyDescent="0.75">
      <c r="A762">
        <v>100</v>
      </c>
      <c r="B762">
        <v>10</v>
      </c>
      <c r="C762">
        <v>100</v>
      </c>
      <c r="D762">
        <v>100</v>
      </c>
      <c r="E762">
        <v>100</v>
      </c>
      <c r="F762">
        <v>100</v>
      </c>
      <c r="G762">
        <v>10</v>
      </c>
      <c r="H762">
        <v>100</v>
      </c>
      <c r="I762">
        <v>10</v>
      </c>
      <c r="J762">
        <v>10</v>
      </c>
      <c r="K762">
        <v>1004</v>
      </c>
      <c r="L762">
        <v>1113</v>
      </c>
      <c r="M762">
        <v>1047</v>
      </c>
      <c r="N762">
        <v>1027</v>
      </c>
      <c r="O762">
        <v>1065</v>
      </c>
      <c r="P762">
        <v>913</v>
      </c>
      <c r="Q762">
        <v>947</v>
      </c>
      <c r="R762">
        <v>1068</v>
      </c>
      <c r="S762">
        <v>974</v>
      </c>
      <c r="T762">
        <v>842</v>
      </c>
      <c r="U762">
        <v>980</v>
      </c>
      <c r="V762">
        <v>1135</v>
      </c>
      <c r="W762">
        <v>1032</v>
      </c>
      <c r="X762">
        <v>1010</v>
      </c>
      <c r="Y762">
        <v>982</v>
      </c>
      <c r="Z762">
        <v>892</v>
      </c>
      <c r="AA762">
        <v>958</v>
      </c>
      <c r="AB762">
        <v>1028</v>
      </c>
      <c r="AC762">
        <v>974</v>
      </c>
      <c r="AD762">
        <v>1009</v>
      </c>
      <c r="AE762">
        <v>975</v>
      </c>
      <c r="AF762">
        <v>0</v>
      </c>
      <c r="AG762">
        <v>1</v>
      </c>
      <c r="AH762">
        <v>0</v>
      </c>
      <c r="AI762">
        <v>0</v>
      </c>
      <c r="AJ762">
        <v>0</v>
      </c>
      <c r="AK762">
        <v>1</v>
      </c>
      <c r="AL762">
        <v>1</v>
      </c>
      <c r="AM762">
        <v>2</v>
      </c>
      <c r="AN762">
        <v>0</v>
      </c>
      <c r="AO762">
        <v>0</v>
      </c>
      <c r="AP762">
        <v>1109</v>
      </c>
      <c r="AQ762">
        <v>5</v>
      </c>
      <c r="AR762">
        <v>4</v>
      </c>
      <c r="AS762">
        <v>5</v>
      </c>
      <c r="AT762">
        <v>1</v>
      </c>
      <c r="AU762">
        <v>3</v>
      </c>
      <c r="AV762">
        <v>8</v>
      </c>
      <c r="AW762">
        <v>0</v>
      </c>
      <c r="AX762">
        <v>0</v>
      </c>
      <c r="AY762">
        <v>3</v>
      </c>
      <c r="AZ762">
        <v>0</v>
      </c>
      <c r="BA762">
        <v>1020</v>
      </c>
      <c r="BB762">
        <v>2</v>
      </c>
      <c r="BC762">
        <v>1</v>
      </c>
      <c r="BD762">
        <v>0</v>
      </c>
      <c r="BE762">
        <v>1</v>
      </c>
      <c r="BF762">
        <v>3</v>
      </c>
      <c r="BG762">
        <v>2</v>
      </c>
      <c r="BH762">
        <v>0</v>
      </c>
      <c r="BI762">
        <v>0</v>
      </c>
      <c r="BJ762">
        <v>0</v>
      </c>
      <c r="BK762">
        <v>2</v>
      </c>
      <c r="BL762">
        <v>1002</v>
      </c>
      <c r="BM762">
        <v>0</v>
      </c>
      <c r="BN762">
        <v>3</v>
      </c>
      <c r="BO762">
        <v>0</v>
      </c>
      <c r="BP762">
        <v>2</v>
      </c>
      <c r="BQ762">
        <v>1</v>
      </c>
      <c r="BR762">
        <v>0</v>
      </c>
      <c r="BS762">
        <v>0</v>
      </c>
      <c r="BT762">
        <v>0</v>
      </c>
      <c r="BU762">
        <v>0</v>
      </c>
      <c r="BV762">
        <v>0</v>
      </c>
      <c r="BW762">
        <v>981</v>
      </c>
      <c r="BX762">
        <v>0</v>
      </c>
      <c r="BY762">
        <v>0</v>
      </c>
      <c r="BZ762">
        <v>1</v>
      </c>
      <c r="CA762">
        <v>0</v>
      </c>
      <c r="CB762">
        <v>0</v>
      </c>
      <c r="CC762">
        <v>2</v>
      </c>
      <c r="CD762">
        <v>0</v>
      </c>
      <c r="CE762">
        <v>1</v>
      </c>
      <c r="CF762">
        <v>7</v>
      </c>
      <c r="CG762">
        <v>0</v>
      </c>
      <c r="CH762">
        <v>879</v>
      </c>
      <c r="CI762">
        <v>1</v>
      </c>
      <c r="CJ762">
        <v>0</v>
      </c>
      <c r="CK762">
        <v>2</v>
      </c>
      <c r="CL762">
        <v>0</v>
      </c>
      <c r="CM762">
        <v>9</v>
      </c>
      <c r="CN762">
        <v>2</v>
      </c>
      <c r="CO762">
        <v>0</v>
      </c>
      <c r="CP762">
        <v>0</v>
      </c>
      <c r="CQ762">
        <v>5</v>
      </c>
      <c r="CR762">
        <v>8</v>
      </c>
      <c r="CS762">
        <v>934</v>
      </c>
      <c r="CT762">
        <v>0</v>
      </c>
      <c r="CU762">
        <v>0</v>
      </c>
      <c r="CV762">
        <v>0</v>
      </c>
      <c r="CW762">
        <v>2</v>
      </c>
      <c r="CX762">
        <v>0</v>
      </c>
      <c r="CY762">
        <v>8</v>
      </c>
      <c r="CZ762">
        <v>1</v>
      </c>
      <c r="DA762">
        <v>0</v>
      </c>
      <c r="DB762">
        <v>0</v>
      </c>
      <c r="DC762">
        <v>0</v>
      </c>
      <c r="DD762">
        <v>1016</v>
      </c>
      <c r="DE762">
        <v>1</v>
      </c>
      <c r="DF762">
        <v>0</v>
      </c>
      <c r="DG762">
        <v>6</v>
      </c>
      <c r="DH762">
        <v>0</v>
      </c>
      <c r="DI762">
        <v>8</v>
      </c>
      <c r="DJ762">
        <v>1</v>
      </c>
      <c r="DK762">
        <v>10</v>
      </c>
      <c r="DL762">
        <v>6</v>
      </c>
      <c r="DM762">
        <v>7</v>
      </c>
      <c r="DN762">
        <v>9</v>
      </c>
      <c r="DO762">
        <v>927</v>
      </c>
      <c r="DP762">
        <v>0</v>
      </c>
      <c r="DQ762">
        <v>7</v>
      </c>
      <c r="DR762">
        <v>2</v>
      </c>
      <c r="DS762">
        <v>2</v>
      </c>
      <c r="DT762">
        <v>10</v>
      </c>
      <c r="DU762">
        <v>63</v>
      </c>
      <c r="DV762">
        <v>16</v>
      </c>
      <c r="DW762">
        <v>0</v>
      </c>
      <c r="DX762">
        <v>28</v>
      </c>
      <c r="DY762">
        <v>39</v>
      </c>
      <c r="DZ762">
        <v>842</v>
      </c>
      <c r="EA762">
        <v>0.96850000000000003</v>
      </c>
      <c r="EB762">
        <v>0.96906065085646498</v>
      </c>
      <c r="EC762">
        <v>0.96863590798867505</v>
      </c>
      <c r="ED762">
        <v>0.96785623859560499</v>
      </c>
      <c r="EE762">
        <f>SUM(Table1[[#This Row],[ratio_0]:[ratio_9]])</f>
        <v>640</v>
      </c>
      <c r="EF762" s="1">
        <f>(Table1[[#This Row],[predicted_0]]-Table1[[#This Row],[actual_0]])/Table1[[#This Row],[actual_0]]</f>
        <v>2.4489795918367346E-2</v>
      </c>
      <c r="EG762" s="1">
        <f>(Table1[[#This Row],[predicted_1]]-Table1[[#This Row],[actual_1]])/Table1[[#This Row],[actual_1]]</f>
        <v>-1.9383259911894272E-2</v>
      </c>
      <c r="EH762" s="1">
        <f>(Table1[[#This Row],[predicted_2]]-Table1[[#This Row],[actual_2]])/Table1[[#This Row],[actual_2]]</f>
        <v>1.4534883720930232E-2</v>
      </c>
      <c r="EI762" s="1">
        <f>(Table1[[#This Row],[predicted_3]]-Table1[[#This Row],[actual_3]])/Table1[[#This Row],[actual_3]]</f>
        <v>1.6831683168316833E-2</v>
      </c>
      <c r="EJ762" s="1">
        <f>(Table1[[#This Row],[predicted_4]]-Table1[[#This Row],[actual_4]])/Table1[[#This Row],[actual_4]]</f>
        <v>8.45213849287169E-2</v>
      </c>
      <c r="EK762" s="1">
        <f>(Table1[[#This Row],[predicted_5]]-Table1[[#This Row],[actual_5]])/Table1[[#This Row],[actual_5]]</f>
        <v>2.3542600896860985E-2</v>
      </c>
      <c r="EL762" s="1">
        <f>(Table1[[#This Row],[predicted_6]]-Table1[[#This Row],[actual_6]])/Table1[[#This Row],[actual_6]]</f>
        <v>-1.1482254697286013E-2</v>
      </c>
      <c r="EM762" s="1">
        <f>(Table1[[#This Row],[predicted_7]]-Table1[[#This Row],[actual_7]])/Table1[[#This Row],[actual_7]]</f>
        <v>3.8910505836575876E-2</v>
      </c>
      <c r="EN762" s="1">
        <f>(Table1[[#This Row],[predicted_8]]-Table1[[#This Row],[actual_8]])/Table1[[#This Row],[actual_8]]</f>
        <v>0</v>
      </c>
      <c r="EO762" s="1">
        <f>(Table1[[#This Row],[predicted_9]]-Table1[[#This Row],[actual_9]])/Table1[[#This Row],[actual_9]]</f>
        <v>-0.16551040634291378</v>
      </c>
      <c r="EP762" s="1">
        <f>1+(Table1[[#This Row],[error_ratio_0]]-EF$2)</f>
        <v>1.0224489795918368</v>
      </c>
      <c r="EQ762" s="1">
        <f>1+(Table1[[#This Row],[error_ratio_1]]-EG$2)</f>
        <v>0.97885462555066083</v>
      </c>
      <c r="ER762" s="1">
        <f>1+(Table1[[#This Row],[error_ratio_2]]-EH$2)</f>
        <v>1.0193798449612403</v>
      </c>
      <c r="ES762" s="1">
        <f>1+(Table1[[#This Row],[error_ratio_3]]-EI$2)</f>
        <v>1.0069306930693069</v>
      </c>
      <c r="ET762" s="1">
        <f>1+(Table1[[#This Row],[error_ratio_4]]-EJ$2)</f>
        <v>1.0835030549898166</v>
      </c>
      <c r="EU762" s="1">
        <f>1+(Table1[[#This Row],[error_ratio_5]]-EK$2)</f>
        <v>1.0224215246636772</v>
      </c>
      <c r="EV762" s="1">
        <f>1+(Table1[[#This Row],[error_ratio_6]]-EL$2)</f>
        <v>0.99478079331941549</v>
      </c>
      <c r="EW762" s="1">
        <f>1+(Table1[[#This Row],[error_ratio_7]]-EM$2)</f>
        <v>1.0369649805447472</v>
      </c>
      <c r="EX762" s="1">
        <f>1+(Table1[[#This Row],[error_ratio_8]]-EN$2)</f>
        <v>1.0030800821355237</v>
      </c>
      <c r="EY762" s="1">
        <f>1+(Table1[[#This Row],[error_ratio_9]]-EO$2)</f>
        <v>0.83845391476709619</v>
      </c>
    </row>
    <row r="763" spans="1:155" x14ac:dyDescent="0.75">
      <c r="A763">
        <v>10</v>
      </c>
      <c r="B763">
        <v>10</v>
      </c>
      <c r="C763">
        <v>100</v>
      </c>
      <c r="D763">
        <v>100</v>
      </c>
      <c r="E763">
        <v>100</v>
      </c>
      <c r="F763">
        <v>100</v>
      </c>
      <c r="G763">
        <v>10</v>
      </c>
      <c r="H763">
        <v>100</v>
      </c>
      <c r="I763">
        <v>10</v>
      </c>
      <c r="J763">
        <v>10</v>
      </c>
      <c r="K763">
        <v>972</v>
      </c>
      <c r="L763">
        <v>1123</v>
      </c>
      <c r="M763">
        <v>1030</v>
      </c>
      <c r="N763">
        <v>1024</v>
      </c>
      <c r="O763">
        <v>1299</v>
      </c>
      <c r="P763">
        <v>911</v>
      </c>
      <c r="Q763">
        <v>906</v>
      </c>
      <c r="R763">
        <v>1090</v>
      </c>
      <c r="S763">
        <v>883</v>
      </c>
      <c r="T763">
        <v>762</v>
      </c>
      <c r="U763">
        <v>980</v>
      </c>
      <c r="V763">
        <v>1135</v>
      </c>
      <c r="W763">
        <v>1032</v>
      </c>
      <c r="X763">
        <v>1010</v>
      </c>
      <c r="Y763">
        <v>982</v>
      </c>
      <c r="Z763">
        <v>892</v>
      </c>
      <c r="AA763">
        <v>958</v>
      </c>
      <c r="AB763">
        <v>1028</v>
      </c>
      <c r="AC763">
        <v>974</v>
      </c>
      <c r="AD763">
        <v>1009</v>
      </c>
      <c r="AE763">
        <v>947</v>
      </c>
      <c r="AF763">
        <v>1</v>
      </c>
      <c r="AG763">
        <v>1</v>
      </c>
      <c r="AH763">
        <v>0</v>
      </c>
      <c r="AI763">
        <v>26</v>
      </c>
      <c r="AJ763">
        <v>1</v>
      </c>
      <c r="AK763">
        <v>2</v>
      </c>
      <c r="AL763">
        <v>1</v>
      </c>
      <c r="AM763">
        <v>1</v>
      </c>
      <c r="AN763">
        <v>0</v>
      </c>
      <c r="AO763">
        <v>0</v>
      </c>
      <c r="AP763">
        <v>1114</v>
      </c>
      <c r="AQ763">
        <v>1</v>
      </c>
      <c r="AR763">
        <v>4</v>
      </c>
      <c r="AS763">
        <v>11</v>
      </c>
      <c r="AT763">
        <v>3</v>
      </c>
      <c r="AU763">
        <v>0</v>
      </c>
      <c r="AV763">
        <v>1</v>
      </c>
      <c r="AW763">
        <v>1</v>
      </c>
      <c r="AX763">
        <v>0</v>
      </c>
      <c r="AY763">
        <v>1</v>
      </c>
      <c r="AZ763">
        <v>1</v>
      </c>
      <c r="BA763">
        <v>1004</v>
      </c>
      <c r="BB763">
        <v>3</v>
      </c>
      <c r="BC763">
        <v>6</v>
      </c>
      <c r="BD763">
        <v>0</v>
      </c>
      <c r="BE763">
        <v>0</v>
      </c>
      <c r="BF763">
        <v>16</v>
      </c>
      <c r="BG763">
        <v>1</v>
      </c>
      <c r="BH763">
        <v>0</v>
      </c>
      <c r="BI763">
        <v>0</v>
      </c>
      <c r="BJ763">
        <v>0</v>
      </c>
      <c r="BK763">
        <v>1</v>
      </c>
      <c r="BL763">
        <v>995</v>
      </c>
      <c r="BM763">
        <v>0</v>
      </c>
      <c r="BN763">
        <v>6</v>
      </c>
      <c r="BO763">
        <v>0</v>
      </c>
      <c r="BP763">
        <v>4</v>
      </c>
      <c r="BQ763">
        <v>1</v>
      </c>
      <c r="BR763">
        <v>3</v>
      </c>
      <c r="BS763">
        <v>0</v>
      </c>
      <c r="BT763">
        <v>0</v>
      </c>
      <c r="BU763">
        <v>0</v>
      </c>
      <c r="BV763">
        <v>0</v>
      </c>
      <c r="BW763">
        <v>982</v>
      </c>
      <c r="BX763">
        <v>0</v>
      </c>
      <c r="BY763">
        <v>0</v>
      </c>
      <c r="BZ763">
        <v>0</v>
      </c>
      <c r="CA763">
        <v>0</v>
      </c>
      <c r="CB763">
        <v>0</v>
      </c>
      <c r="CC763">
        <v>3</v>
      </c>
      <c r="CD763">
        <v>0</v>
      </c>
      <c r="CE763">
        <v>0</v>
      </c>
      <c r="CF763">
        <v>4</v>
      </c>
      <c r="CG763">
        <v>0</v>
      </c>
      <c r="CH763">
        <v>880</v>
      </c>
      <c r="CI763">
        <v>2</v>
      </c>
      <c r="CJ763">
        <v>3</v>
      </c>
      <c r="CK763">
        <v>0</v>
      </c>
      <c r="CL763">
        <v>0</v>
      </c>
      <c r="CM763">
        <v>7</v>
      </c>
      <c r="CN763">
        <v>3</v>
      </c>
      <c r="CO763">
        <v>0</v>
      </c>
      <c r="CP763">
        <v>0</v>
      </c>
      <c r="CQ763">
        <v>46</v>
      </c>
      <c r="CR763">
        <v>7</v>
      </c>
      <c r="CS763">
        <v>893</v>
      </c>
      <c r="CT763">
        <v>0</v>
      </c>
      <c r="CU763">
        <v>2</v>
      </c>
      <c r="CV763">
        <v>0</v>
      </c>
      <c r="CW763">
        <v>2</v>
      </c>
      <c r="CX763">
        <v>0</v>
      </c>
      <c r="CY763">
        <v>6</v>
      </c>
      <c r="CZ763">
        <v>3</v>
      </c>
      <c r="DA763">
        <v>5</v>
      </c>
      <c r="DB763">
        <v>0</v>
      </c>
      <c r="DC763">
        <v>0</v>
      </c>
      <c r="DD763">
        <v>1011</v>
      </c>
      <c r="DE763">
        <v>1</v>
      </c>
      <c r="DF763">
        <v>0</v>
      </c>
      <c r="DG763">
        <v>8</v>
      </c>
      <c r="DH763">
        <v>1</v>
      </c>
      <c r="DI763">
        <v>16</v>
      </c>
      <c r="DJ763">
        <v>10</v>
      </c>
      <c r="DK763">
        <v>23</v>
      </c>
      <c r="DL763">
        <v>8</v>
      </c>
      <c r="DM763">
        <v>9</v>
      </c>
      <c r="DN763">
        <v>19</v>
      </c>
      <c r="DO763">
        <v>876</v>
      </c>
      <c r="DP763">
        <v>4</v>
      </c>
      <c r="DQ763">
        <v>4</v>
      </c>
      <c r="DR763">
        <v>3</v>
      </c>
      <c r="DS763">
        <v>1</v>
      </c>
      <c r="DT763">
        <v>5</v>
      </c>
      <c r="DU763">
        <v>200</v>
      </c>
      <c r="DV763">
        <v>6</v>
      </c>
      <c r="DW763">
        <v>0</v>
      </c>
      <c r="DX763">
        <v>35</v>
      </c>
      <c r="DY763">
        <v>0</v>
      </c>
      <c r="DZ763">
        <v>755</v>
      </c>
      <c r="EA763">
        <v>0.94569999999999999</v>
      </c>
      <c r="EB763">
        <v>0.95307004230008996</v>
      </c>
      <c r="EC763">
        <v>0.94556510863357301</v>
      </c>
      <c r="ED763">
        <v>0.94552686499848704</v>
      </c>
      <c r="EE763">
        <f>SUM(Table1[[#This Row],[ratio_0]:[ratio_9]])</f>
        <v>550</v>
      </c>
      <c r="EF763" s="1">
        <f>(Table1[[#This Row],[predicted_0]]-Table1[[#This Row],[actual_0]])/Table1[[#This Row],[actual_0]]</f>
        <v>-8.1632653061224497E-3</v>
      </c>
      <c r="EG763" s="1">
        <f>(Table1[[#This Row],[predicted_1]]-Table1[[#This Row],[actual_1]])/Table1[[#This Row],[actual_1]]</f>
        <v>-1.0572687224669603E-2</v>
      </c>
      <c r="EH763" s="1">
        <f>(Table1[[#This Row],[predicted_2]]-Table1[[#This Row],[actual_2]])/Table1[[#This Row],[actual_2]]</f>
        <v>-1.937984496124031E-3</v>
      </c>
      <c r="EI763" s="1">
        <f>(Table1[[#This Row],[predicted_3]]-Table1[[#This Row],[actual_3]])/Table1[[#This Row],[actual_3]]</f>
        <v>1.3861386138613862E-2</v>
      </c>
      <c r="EJ763" s="1">
        <f>(Table1[[#This Row],[predicted_4]]-Table1[[#This Row],[actual_4]])/Table1[[#This Row],[actual_4]]</f>
        <v>0.32281059063136458</v>
      </c>
      <c r="EK763" s="1">
        <f>(Table1[[#This Row],[predicted_5]]-Table1[[#This Row],[actual_5]])/Table1[[#This Row],[actual_5]]</f>
        <v>2.1300448430493273E-2</v>
      </c>
      <c r="EL763" s="1">
        <f>(Table1[[#This Row],[predicted_6]]-Table1[[#This Row],[actual_6]])/Table1[[#This Row],[actual_6]]</f>
        <v>-5.4279749478079335E-2</v>
      </c>
      <c r="EM763" s="1">
        <f>(Table1[[#This Row],[predicted_7]]-Table1[[#This Row],[actual_7]])/Table1[[#This Row],[actual_7]]</f>
        <v>6.0311284046692608E-2</v>
      </c>
      <c r="EN763" s="1">
        <f>(Table1[[#This Row],[predicted_8]]-Table1[[#This Row],[actual_8]])/Table1[[#This Row],[actual_8]]</f>
        <v>-9.3429158110882954E-2</v>
      </c>
      <c r="EO763" s="1">
        <f>(Table1[[#This Row],[predicted_9]]-Table1[[#This Row],[actual_9]])/Table1[[#This Row],[actual_9]]</f>
        <v>-0.24479682854311199</v>
      </c>
      <c r="EP763" s="1">
        <f>1+(Table1[[#This Row],[error_ratio_0]]-EF$2)</f>
        <v>0.98979591836734693</v>
      </c>
      <c r="EQ763" s="1">
        <f>1+(Table1[[#This Row],[error_ratio_1]]-EG$2)</f>
        <v>0.98766519823788546</v>
      </c>
      <c r="ER763" s="1">
        <f>1+(Table1[[#This Row],[error_ratio_2]]-EH$2)</f>
        <v>1.0029069767441861</v>
      </c>
      <c r="ES763" s="1">
        <f>1+(Table1[[#This Row],[error_ratio_3]]-EI$2)</f>
        <v>1.003960396039604</v>
      </c>
      <c r="ET763" s="1">
        <f>1+(Table1[[#This Row],[error_ratio_4]]-EJ$2)</f>
        <v>1.3217922606924644</v>
      </c>
      <c r="EU763" s="1">
        <f>1+(Table1[[#This Row],[error_ratio_5]]-EK$2)</f>
        <v>1.0201793721973094</v>
      </c>
      <c r="EV763" s="1">
        <f>1+(Table1[[#This Row],[error_ratio_6]]-EL$2)</f>
        <v>0.95198329853862207</v>
      </c>
      <c r="EW763" s="1">
        <f>1+(Table1[[#This Row],[error_ratio_7]]-EM$2)</f>
        <v>1.0583657587548638</v>
      </c>
      <c r="EX763" s="1">
        <f>1+(Table1[[#This Row],[error_ratio_8]]-EN$2)</f>
        <v>0.90965092402464065</v>
      </c>
      <c r="EY763" s="1">
        <f>1+(Table1[[#This Row],[error_ratio_9]]-EO$2)</f>
        <v>0.75916749256689786</v>
      </c>
    </row>
    <row r="764" spans="1:155" x14ac:dyDescent="0.75">
      <c r="A764">
        <v>100</v>
      </c>
      <c r="B764">
        <v>100</v>
      </c>
      <c r="C764">
        <v>10</v>
      </c>
      <c r="D764">
        <v>100</v>
      </c>
      <c r="E764">
        <v>100</v>
      </c>
      <c r="F764">
        <v>100</v>
      </c>
      <c r="G764">
        <v>10</v>
      </c>
      <c r="H764">
        <v>100</v>
      </c>
      <c r="I764">
        <v>10</v>
      </c>
      <c r="J764">
        <v>10</v>
      </c>
      <c r="K764">
        <v>1064</v>
      </c>
      <c r="L764">
        <v>1149</v>
      </c>
      <c r="M764">
        <v>976</v>
      </c>
      <c r="N764">
        <v>1035</v>
      </c>
      <c r="O764">
        <v>985</v>
      </c>
      <c r="P764">
        <v>910</v>
      </c>
      <c r="Q764">
        <v>882</v>
      </c>
      <c r="R764">
        <v>1211</v>
      </c>
      <c r="S764">
        <v>880</v>
      </c>
      <c r="T764">
        <v>908</v>
      </c>
      <c r="U764">
        <v>980</v>
      </c>
      <c r="V764">
        <v>1135</v>
      </c>
      <c r="W764">
        <v>1032</v>
      </c>
      <c r="X764">
        <v>1010</v>
      </c>
      <c r="Y764">
        <v>982</v>
      </c>
      <c r="Z764">
        <v>892</v>
      </c>
      <c r="AA764">
        <v>958</v>
      </c>
      <c r="AB764">
        <v>1028</v>
      </c>
      <c r="AC764">
        <v>974</v>
      </c>
      <c r="AD764">
        <v>1009</v>
      </c>
      <c r="AE764">
        <v>976</v>
      </c>
      <c r="AF764">
        <v>1</v>
      </c>
      <c r="AG764">
        <v>0</v>
      </c>
      <c r="AH764">
        <v>0</v>
      </c>
      <c r="AI764">
        <v>0</v>
      </c>
      <c r="AJ764">
        <v>0</v>
      </c>
      <c r="AK764">
        <v>0</v>
      </c>
      <c r="AL764">
        <v>3</v>
      </c>
      <c r="AM764">
        <v>0</v>
      </c>
      <c r="AN764">
        <v>0</v>
      </c>
      <c r="AO764">
        <v>0</v>
      </c>
      <c r="AP764">
        <v>1130</v>
      </c>
      <c r="AQ764">
        <v>0</v>
      </c>
      <c r="AR764">
        <v>1</v>
      </c>
      <c r="AS764">
        <v>0</v>
      </c>
      <c r="AT764">
        <v>1</v>
      </c>
      <c r="AU764">
        <v>0</v>
      </c>
      <c r="AV764">
        <v>3</v>
      </c>
      <c r="AW764">
        <v>0</v>
      </c>
      <c r="AX764">
        <v>0</v>
      </c>
      <c r="AY764">
        <v>16</v>
      </c>
      <c r="AZ764">
        <v>3</v>
      </c>
      <c r="BA764">
        <v>959</v>
      </c>
      <c r="BB764">
        <v>6</v>
      </c>
      <c r="BC764">
        <v>3</v>
      </c>
      <c r="BD764">
        <v>0</v>
      </c>
      <c r="BE764">
        <v>0</v>
      </c>
      <c r="BF764">
        <v>45</v>
      </c>
      <c r="BG764">
        <v>0</v>
      </c>
      <c r="BH764">
        <v>0</v>
      </c>
      <c r="BI764">
        <v>0</v>
      </c>
      <c r="BJ764">
        <v>0</v>
      </c>
      <c r="BK764">
        <v>2</v>
      </c>
      <c r="BL764">
        <v>999</v>
      </c>
      <c r="BM764">
        <v>0</v>
      </c>
      <c r="BN764">
        <v>4</v>
      </c>
      <c r="BO764">
        <v>0</v>
      </c>
      <c r="BP764">
        <v>4</v>
      </c>
      <c r="BQ764">
        <v>1</v>
      </c>
      <c r="BR764">
        <v>0</v>
      </c>
      <c r="BS764">
        <v>1</v>
      </c>
      <c r="BT764">
        <v>0</v>
      </c>
      <c r="BU764">
        <v>0</v>
      </c>
      <c r="BV764">
        <v>0</v>
      </c>
      <c r="BW764">
        <v>962</v>
      </c>
      <c r="BX764">
        <v>0</v>
      </c>
      <c r="BY764">
        <v>0</v>
      </c>
      <c r="BZ764">
        <v>16</v>
      </c>
      <c r="CA764">
        <v>0</v>
      </c>
      <c r="CB764">
        <v>3</v>
      </c>
      <c r="CC764">
        <v>3</v>
      </c>
      <c r="CD764">
        <v>0</v>
      </c>
      <c r="CE764">
        <v>0</v>
      </c>
      <c r="CF764">
        <v>3</v>
      </c>
      <c r="CG764">
        <v>0</v>
      </c>
      <c r="CH764">
        <v>880</v>
      </c>
      <c r="CI764">
        <v>1</v>
      </c>
      <c r="CJ764">
        <v>3</v>
      </c>
      <c r="CK764">
        <v>1</v>
      </c>
      <c r="CL764">
        <v>1</v>
      </c>
      <c r="CM764">
        <v>42</v>
      </c>
      <c r="CN764">
        <v>4</v>
      </c>
      <c r="CO764">
        <v>1</v>
      </c>
      <c r="CP764">
        <v>3</v>
      </c>
      <c r="CQ764">
        <v>14</v>
      </c>
      <c r="CR764">
        <v>11</v>
      </c>
      <c r="CS764">
        <v>881</v>
      </c>
      <c r="CT764">
        <v>1</v>
      </c>
      <c r="CU764">
        <v>1</v>
      </c>
      <c r="CV764">
        <v>0</v>
      </c>
      <c r="CW764">
        <v>0</v>
      </c>
      <c r="CX764">
        <v>2</v>
      </c>
      <c r="CY764">
        <v>3</v>
      </c>
      <c r="CZ764">
        <v>1</v>
      </c>
      <c r="DA764">
        <v>0</v>
      </c>
      <c r="DB764">
        <v>0</v>
      </c>
      <c r="DC764">
        <v>0</v>
      </c>
      <c r="DD764">
        <v>1022</v>
      </c>
      <c r="DE764">
        <v>0</v>
      </c>
      <c r="DF764">
        <v>0</v>
      </c>
      <c r="DG764">
        <v>21</v>
      </c>
      <c r="DH764">
        <v>4</v>
      </c>
      <c r="DI764">
        <v>11</v>
      </c>
      <c r="DJ764">
        <v>13</v>
      </c>
      <c r="DK764">
        <v>0</v>
      </c>
      <c r="DL764">
        <v>10</v>
      </c>
      <c r="DM764">
        <v>0</v>
      </c>
      <c r="DN764">
        <v>35</v>
      </c>
      <c r="DO764">
        <v>874</v>
      </c>
      <c r="DP764">
        <v>6</v>
      </c>
      <c r="DQ764">
        <v>5</v>
      </c>
      <c r="DR764">
        <v>5</v>
      </c>
      <c r="DS764">
        <v>0</v>
      </c>
      <c r="DT764">
        <v>9</v>
      </c>
      <c r="DU764">
        <v>6</v>
      </c>
      <c r="DV764">
        <v>4</v>
      </c>
      <c r="DW764">
        <v>0</v>
      </c>
      <c r="DX764">
        <v>79</v>
      </c>
      <c r="DY764">
        <v>3</v>
      </c>
      <c r="DZ764">
        <v>898</v>
      </c>
      <c r="EA764">
        <v>0.95809999999999995</v>
      </c>
      <c r="EB764">
        <v>0.96172046377750997</v>
      </c>
      <c r="EC764">
        <v>0.95771743701329604</v>
      </c>
      <c r="ED764">
        <v>0.95817337020245497</v>
      </c>
      <c r="EE764">
        <f>SUM(Table1[[#This Row],[ratio_0]:[ratio_9]])</f>
        <v>640</v>
      </c>
      <c r="EF764" s="1">
        <f>(Table1[[#This Row],[predicted_0]]-Table1[[#This Row],[actual_0]])/Table1[[#This Row],[actual_0]]</f>
        <v>8.5714285714285715E-2</v>
      </c>
      <c r="EG764" s="1">
        <f>(Table1[[#This Row],[predicted_1]]-Table1[[#This Row],[actual_1]])/Table1[[#This Row],[actual_1]]</f>
        <v>1.2334801762114538E-2</v>
      </c>
      <c r="EH764" s="1">
        <f>(Table1[[#This Row],[predicted_2]]-Table1[[#This Row],[actual_2]])/Table1[[#This Row],[actual_2]]</f>
        <v>-5.4263565891472867E-2</v>
      </c>
      <c r="EI764" s="1">
        <f>(Table1[[#This Row],[predicted_3]]-Table1[[#This Row],[actual_3]])/Table1[[#This Row],[actual_3]]</f>
        <v>2.4752475247524754E-2</v>
      </c>
      <c r="EJ764" s="1">
        <f>(Table1[[#This Row],[predicted_4]]-Table1[[#This Row],[actual_4]])/Table1[[#This Row],[actual_4]]</f>
        <v>3.0549898167006109E-3</v>
      </c>
      <c r="EK764" s="1">
        <f>(Table1[[#This Row],[predicted_5]]-Table1[[#This Row],[actual_5]])/Table1[[#This Row],[actual_5]]</f>
        <v>2.0179372197309416E-2</v>
      </c>
      <c r="EL764" s="1">
        <f>(Table1[[#This Row],[predicted_6]]-Table1[[#This Row],[actual_6]])/Table1[[#This Row],[actual_6]]</f>
        <v>-7.9331941544885182E-2</v>
      </c>
      <c r="EM764" s="1">
        <f>(Table1[[#This Row],[predicted_7]]-Table1[[#This Row],[actual_7]])/Table1[[#This Row],[actual_7]]</f>
        <v>0.17801556420233464</v>
      </c>
      <c r="EN764" s="1">
        <f>(Table1[[#This Row],[predicted_8]]-Table1[[#This Row],[actual_8]])/Table1[[#This Row],[actual_8]]</f>
        <v>-9.6509240246406572E-2</v>
      </c>
      <c r="EO764" s="1">
        <f>(Table1[[#This Row],[predicted_9]]-Table1[[#This Row],[actual_9]])/Table1[[#This Row],[actual_9]]</f>
        <v>-0.10009910802775025</v>
      </c>
      <c r="EP764" s="1">
        <f>1+(Table1[[#This Row],[error_ratio_0]]-EF$2)</f>
        <v>1.083673469387755</v>
      </c>
      <c r="EQ764" s="1">
        <f>1+(Table1[[#This Row],[error_ratio_1]]-EG$2)</f>
        <v>1.0105726872246696</v>
      </c>
      <c r="ER764" s="1">
        <f>1+(Table1[[#This Row],[error_ratio_2]]-EH$2)</f>
        <v>0.95058139534883723</v>
      </c>
      <c r="ES764" s="1">
        <f>1+(Table1[[#This Row],[error_ratio_3]]-EI$2)</f>
        <v>1.0148514851485149</v>
      </c>
      <c r="ET764" s="1">
        <f>1+(Table1[[#This Row],[error_ratio_4]]-EJ$2)</f>
        <v>1.0020366598778003</v>
      </c>
      <c r="EU764" s="1">
        <f>1+(Table1[[#This Row],[error_ratio_5]]-EK$2)</f>
        <v>1.0190582959641254</v>
      </c>
      <c r="EV764" s="1">
        <f>1+(Table1[[#This Row],[error_ratio_6]]-EL$2)</f>
        <v>0.92693110647181631</v>
      </c>
      <c r="EW764" s="1">
        <f>1+(Table1[[#This Row],[error_ratio_7]]-EM$2)</f>
        <v>1.1760700389105059</v>
      </c>
      <c r="EX764" s="1">
        <f>1+(Table1[[#This Row],[error_ratio_8]]-EN$2)</f>
        <v>0.90657084188911707</v>
      </c>
      <c r="EY764" s="1">
        <f>1+(Table1[[#This Row],[error_ratio_9]]-EO$2)</f>
        <v>0.90386521308225964</v>
      </c>
    </row>
    <row r="765" spans="1:155" x14ac:dyDescent="0.75">
      <c r="A765">
        <v>10</v>
      </c>
      <c r="B765">
        <v>100</v>
      </c>
      <c r="C765">
        <v>10</v>
      </c>
      <c r="D765">
        <v>100</v>
      </c>
      <c r="E765">
        <v>100</v>
      </c>
      <c r="F765">
        <v>100</v>
      </c>
      <c r="G765">
        <v>10</v>
      </c>
      <c r="H765">
        <v>100</v>
      </c>
      <c r="I765">
        <v>10</v>
      </c>
      <c r="J765">
        <v>10</v>
      </c>
      <c r="K765">
        <v>953</v>
      </c>
      <c r="L765">
        <v>1140</v>
      </c>
      <c r="M765">
        <v>1012</v>
      </c>
      <c r="N765">
        <v>1093</v>
      </c>
      <c r="O765">
        <v>1086</v>
      </c>
      <c r="P765">
        <v>960</v>
      </c>
      <c r="Q765">
        <v>901</v>
      </c>
      <c r="R765">
        <v>1108</v>
      </c>
      <c r="S765">
        <v>870</v>
      </c>
      <c r="T765">
        <v>877</v>
      </c>
      <c r="U765">
        <v>980</v>
      </c>
      <c r="V765">
        <v>1135</v>
      </c>
      <c r="W765">
        <v>1032</v>
      </c>
      <c r="X765">
        <v>1010</v>
      </c>
      <c r="Y765">
        <v>982</v>
      </c>
      <c r="Z765">
        <v>892</v>
      </c>
      <c r="AA765">
        <v>958</v>
      </c>
      <c r="AB765">
        <v>1028</v>
      </c>
      <c r="AC765">
        <v>974</v>
      </c>
      <c r="AD765">
        <v>1009</v>
      </c>
      <c r="AE765">
        <v>933</v>
      </c>
      <c r="AF765">
        <v>1</v>
      </c>
      <c r="AG765">
        <v>1</v>
      </c>
      <c r="AH765">
        <v>0</v>
      </c>
      <c r="AI765">
        <v>21</v>
      </c>
      <c r="AJ765">
        <v>5</v>
      </c>
      <c r="AK765">
        <v>4</v>
      </c>
      <c r="AL765">
        <v>14</v>
      </c>
      <c r="AM765">
        <v>1</v>
      </c>
      <c r="AN765">
        <v>0</v>
      </c>
      <c r="AO765">
        <v>0</v>
      </c>
      <c r="AP765">
        <v>1124</v>
      </c>
      <c r="AQ765">
        <v>0</v>
      </c>
      <c r="AR765">
        <v>0</v>
      </c>
      <c r="AS765">
        <v>4</v>
      </c>
      <c r="AT765">
        <v>2</v>
      </c>
      <c r="AU765">
        <v>2</v>
      </c>
      <c r="AV765">
        <v>3</v>
      </c>
      <c r="AW765">
        <v>0</v>
      </c>
      <c r="AX765">
        <v>0</v>
      </c>
      <c r="AY765">
        <v>4</v>
      </c>
      <c r="AZ765">
        <v>3</v>
      </c>
      <c r="BA765">
        <v>986</v>
      </c>
      <c r="BB765">
        <v>12</v>
      </c>
      <c r="BC765">
        <v>15</v>
      </c>
      <c r="BD765">
        <v>3</v>
      </c>
      <c r="BE765">
        <v>0</v>
      </c>
      <c r="BF765">
        <v>8</v>
      </c>
      <c r="BG765">
        <v>1</v>
      </c>
      <c r="BH765">
        <v>0</v>
      </c>
      <c r="BI765">
        <v>0</v>
      </c>
      <c r="BJ765">
        <v>0</v>
      </c>
      <c r="BK765">
        <v>1</v>
      </c>
      <c r="BL765">
        <v>1005</v>
      </c>
      <c r="BM765">
        <v>0</v>
      </c>
      <c r="BN765">
        <v>3</v>
      </c>
      <c r="BO765">
        <v>0</v>
      </c>
      <c r="BP765">
        <v>1</v>
      </c>
      <c r="BQ765">
        <v>0</v>
      </c>
      <c r="BR765">
        <v>0</v>
      </c>
      <c r="BS765">
        <v>0</v>
      </c>
      <c r="BT765">
        <v>0</v>
      </c>
      <c r="BU765">
        <v>0</v>
      </c>
      <c r="BV765">
        <v>0</v>
      </c>
      <c r="BW765">
        <v>978</v>
      </c>
      <c r="BX765">
        <v>0</v>
      </c>
      <c r="BY765">
        <v>0</v>
      </c>
      <c r="BZ765">
        <v>3</v>
      </c>
      <c r="CA765">
        <v>0</v>
      </c>
      <c r="CB765">
        <v>1</v>
      </c>
      <c r="CC765">
        <v>1</v>
      </c>
      <c r="CD765">
        <v>0</v>
      </c>
      <c r="CE765">
        <v>1</v>
      </c>
      <c r="CF765">
        <v>13</v>
      </c>
      <c r="CG765">
        <v>0</v>
      </c>
      <c r="CH765">
        <v>875</v>
      </c>
      <c r="CI765">
        <v>0</v>
      </c>
      <c r="CJ765">
        <v>1</v>
      </c>
      <c r="CK765">
        <v>1</v>
      </c>
      <c r="CL765">
        <v>0</v>
      </c>
      <c r="CM765">
        <v>7</v>
      </c>
      <c r="CN765">
        <v>5</v>
      </c>
      <c r="CO765">
        <v>1</v>
      </c>
      <c r="CP765">
        <v>0</v>
      </c>
      <c r="CQ765">
        <v>22</v>
      </c>
      <c r="CR765">
        <v>29</v>
      </c>
      <c r="CS765">
        <v>893</v>
      </c>
      <c r="CT765">
        <v>0</v>
      </c>
      <c r="CU765">
        <v>1</v>
      </c>
      <c r="CV765">
        <v>0</v>
      </c>
      <c r="CW765">
        <v>1</v>
      </c>
      <c r="CX765">
        <v>2</v>
      </c>
      <c r="CY765">
        <v>9</v>
      </c>
      <c r="CZ765">
        <v>1</v>
      </c>
      <c r="DA765">
        <v>0</v>
      </c>
      <c r="DB765">
        <v>0</v>
      </c>
      <c r="DC765">
        <v>0</v>
      </c>
      <c r="DD765">
        <v>1015</v>
      </c>
      <c r="DE765">
        <v>0</v>
      </c>
      <c r="DF765">
        <v>0</v>
      </c>
      <c r="DG765">
        <v>6</v>
      </c>
      <c r="DH765">
        <v>2</v>
      </c>
      <c r="DI765">
        <v>12</v>
      </c>
      <c r="DJ765">
        <v>47</v>
      </c>
      <c r="DK765">
        <v>9</v>
      </c>
      <c r="DL765">
        <v>19</v>
      </c>
      <c r="DM765">
        <v>1</v>
      </c>
      <c r="DN765">
        <v>10</v>
      </c>
      <c r="DO765">
        <v>865</v>
      </c>
      <c r="DP765">
        <v>3</v>
      </c>
      <c r="DQ765">
        <v>1</v>
      </c>
      <c r="DR765">
        <v>3</v>
      </c>
      <c r="DS765">
        <v>1</v>
      </c>
      <c r="DT765">
        <v>15</v>
      </c>
      <c r="DU765">
        <v>37</v>
      </c>
      <c r="DV765">
        <v>24</v>
      </c>
      <c r="DW765">
        <v>1</v>
      </c>
      <c r="DX765">
        <v>53</v>
      </c>
      <c r="DY765">
        <v>1</v>
      </c>
      <c r="DZ765">
        <v>873</v>
      </c>
      <c r="EA765">
        <v>0.95469999999999999</v>
      </c>
      <c r="EB765">
        <v>0.95676631507882604</v>
      </c>
      <c r="EC765">
        <v>0.95425012622816496</v>
      </c>
      <c r="ED765">
        <v>0.953984173524563</v>
      </c>
      <c r="EE765">
        <f>SUM(Table1[[#This Row],[ratio_0]:[ratio_9]])</f>
        <v>550</v>
      </c>
      <c r="EF765" s="1">
        <f>(Table1[[#This Row],[predicted_0]]-Table1[[#This Row],[actual_0]])/Table1[[#This Row],[actual_0]]</f>
        <v>-2.7551020408163266E-2</v>
      </c>
      <c r="EG765" s="1">
        <f>(Table1[[#This Row],[predicted_1]]-Table1[[#This Row],[actual_1]])/Table1[[#This Row],[actual_1]]</f>
        <v>4.4052863436123352E-3</v>
      </c>
      <c r="EH765" s="1">
        <f>(Table1[[#This Row],[predicted_2]]-Table1[[#This Row],[actual_2]])/Table1[[#This Row],[actual_2]]</f>
        <v>-1.937984496124031E-2</v>
      </c>
      <c r="EI765" s="1">
        <f>(Table1[[#This Row],[predicted_3]]-Table1[[#This Row],[actual_3]])/Table1[[#This Row],[actual_3]]</f>
        <v>8.2178217821782182E-2</v>
      </c>
      <c r="EJ765" s="1">
        <f>(Table1[[#This Row],[predicted_4]]-Table1[[#This Row],[actual_4]])/Table1[[#This Row],[actual_4]]</f>
        <v>0.10590631364562118</v>
      </c>
      <c r="EK765" s="1">
        <f>(Table1[[#This Row],[predicted_5]]-Table1[[#This Row],[actual_5]])/Table1[[#This Row],[actual_5]]</f>
        <v>7.623318385650224E-2</v>
      </c>
      <c r="EL765" s="1">
        <f>(Table1[[#This Row],[predicted_6]]-Table1[[#This Row],[actual_6]])/Table1[[#This Row],[actual_6]]</f>
        <v>-5.9498956158663886E-2</v>
      </c>
      <c r="EM765" s="1">
        <f>(Table1[[#This Row],[predicted_7]]-Table1[[#This Row],[actual_7]])/Table1[[#This Row],[actual_7]]</f>
        <v>7.7821011673151752E-2</v>
      </c>
      <c r="EN765" s="1">
        <f>(Table1[[#This Row],[predicted_8]]-Table1[[#This Row],[actual_8]])/Table1[[#This Row],[actual_8]]</f>
        <v>-0.10677618069815195</v>
      </c>
      <c r="EO765" s="1">
        <f>(Table1[[#This Row],[predicted_9]]-Table1[[#This Row],[actual_9]])/Table1[[#This Row],[actual_9]]</f>
        <v>-0.13082259663032705</v>
      </c>
      <c r="EP765" s="1">
        <f>1+(Table1[[#This Row],[error_ratio_0]]-EF$2)</f>
        <v>0.9704081632653061</v>
      </c>
      <c r="EQ765" s="1">
        <f>1+(Table1[[#This Row],[error_ratio_1]]-EG$2)</f>
        <v>1.0026431718061675</v>
      </c>
      <c r="ER765" s="1">
        <f>1+(Table1[[#This Row],[error_ratio_2]]-EH$2)</f>
        <v>0.98546511627906974</v>
      </c>
      <c r="ES765" s="1">
        <f>1+(Table1[[#This Row],[error_ratio_3]]-EI$2)</f>
        <v>1.0722772277227723</v>
      </c>
      <c r="ET765" s="1">
        <f>1+(Table1[[#This Row],[error_ratio_4]]-EJ$2)</f>
        <v>1.1048879837067209</v>
      </c>
      <c r="EU765" s="1">
        <f>1+(Table1[[#This Row],[error_ratio_5]]-EK$2)</f>
        <v>1.0751121076233183</v>
      </c>
      <c r="EV765" s="1">
        <f>1+(Table1[[#This Row],[error_ratio_6]]-EL$2)</f>
        <v>0.94676409185803756</v>
      </c>
      <c r="EW765" s="1">
        <f>1+(Table1[[#This Row],[error_ratio_7]]-EM$2)</f>
        <v>1.0758754863813229</v>
      </c>
      <c r="EX765" s="1">
        <f>1+(Table1[[#This Row],[error_ratio_8]]-EN$2)</f>
        <v>0.89630390143737171</v>
      </c>
      <c r="EY765" s="1">
        <f>1+(Table1[[#This Row],[error_ratio_9]]-EO$2)</f>
        <v>0.87314172447968286</v>
      </c>
    </row>
    <row r="766" spans="1:155" x14ac:dyDescent="0.75">
      <c r="A766">
        <v>100</v>
      </c>
      <c r="B766">
        <v>10</v>
      </c>
      <c r="C766">
        <v>10</v>
      </c>
      <c r="D766">
        <v>100</v>
      </c>
      <c r="E766">
        <v>100</v>
      </c>
      <c r="F766">
        <v>100</v>
      </c>
      <c r="G766">
        <v>10</v>
      </c>
      <c r="H766">
        <v>100</v>
      </c>
      <c r="I766">
        <v>10</v>
      </c>
      <c r="J766">
        <v>10</v>
      </c>
      <c r="K766">
        <v>967</v>
      </c>
      <c r="L766">
        <v>1102</v>
      </c>
      <c r="M766">
        <v>931</v>
      </c>
      <c r="N766">
        <v>1508</v>
      </c>
      <c r="O766">
        <v>1018</v>
      </c>
      <c r="P766">
        <v>993</v>
      </c>
      <c r="Q766">
        <v>937</v>
      </c>
      <c r="R766">
        <v>1092</v>
      </c>
      <c r="S766">
        <v>499</v>
      </c>
      <c r="T766">
        <v>953</v>
      </c>
      <c r="U766">
        <v>980</v>
      </c>
      <c r="V766">
        <v>1135</v>
      </c>
      <c r="W766">
        <v>1032</v>
      </c>
      <c r="X766">
        <v>1010</v>
      </c>
      <c r="Y766">
        <v>982</v>
      </c>
      <c r="Z766">
        <v>892</v>
      </c>
      <c r="AA766">
        <v>958</v>
      </c>
      <c r="AB766">
        <v>1028</v>
      </c>
      <c r="AC766">
        <v>974</v>
      </c>
      <c r="AD766">
        <v>1009</v>
      </c>
      <c r="AE766">
        <v>949</v>
      </c>
      <c r="AF766">
        <v>0</v>
      </c>
      <c r="AG766">
        <v>0</v>
      </c>
      <c r="AH766">
        <v>4</v>
      </c>
      <c r="AI766">
        <v>0</v>
      </c>
      <c r="AJ766">
        <v>23</v>
      </c>
      <c r="AK766">
        <v>2</v>
      </c>
      <c r="AL766">
        <v>2</v>
      </c>
      <c r="AM766">
        <v>0</v>
      </c>
      <c r="AN766">
        <v>0</v>
      </c>
      <c r="AO766">
        <v>0</v>
      </c>
      <c r="AP766">
        <v>1100</v>
      </c>
      <c r="AQ766">
        <v>0</v>
      </c>
      <c r="AR766">
        <v>11</v>
      </c>
      <c r="AS766">
        <v>2</v>
      </c>
      <c r="AT766">
        <v>2</v>
      </c>
      <c r="AU766">
        <v>5</v>
      </c>
      <c r="AV766">
        <v>14</v>
      </c>
      <c r="AW766">
        <v>1</v>
      </c>
      <c r="AX766">
        <v>0</v>
      </c>
      <c r="AY766">
        <v>7</v>
      </c>
      <c r="AZ766">
        <v>0</v>
      </c>
      <c r="BA766">
        <v>926</v>
      </c>
      <c r="BB766">
        <v>69</v>
      </c>
      <c r="BC766">
        <v>3</v>
      </c>
      <c r="BD766">
        <v>1</v>
      </c>
      <c r="BE766">
        <v>1</v>
      </c>
      <c r="BF766">
        <v>25</v>
      </c>
      <c r="BG766">
        <v>0</v>
      </c>
      <c r="BH766">
        <v>0</v>
      </c>
      <c r="BI766">
        <v>0</v>
      </c>
      <c r="BJ766">
        <v>0</v>
      </c>
      <c r="BK766">
        <v>0</v>
      </c>
      <c r="BL766">
        <v>1008</v>
      </c>
      <c r="BM766">
        <v>0</v>
      </c>
      <c r="BN766">
        <v>0</v>
      </c>
      <c r="BO766">
        <v>0</v>
      </c>
      <c r="BP766">
        <v>2</v>
      </c>
      <c r="BQ766">
        <v>0</v>
      </c>
      <c r="BR766">
        <v>0</v>
      </c>
      <c r="BS766">
        <v>0</v>
      </c>
      <c r="BT766">
        <v>0</v>
      </c>
      <c r="BU766">
        <v>0</v>
      </c>
      <c r="BV766">
        <v>1</v>
      </c>
      <c r="BW766">
        <v>975</v>
      </c>
      <c r="BX766">
        <v>0</v>
      </c>
      <c r="BY766">
        <v>2</v>
      </c>
      <c r="BZ766">
        <v>1</v>
      </c>
      <c r="CA766">
        <v>0</v>
      </c>
      <c r="CB766">
        <v>3</v>
      </c>
      <c r="CC766">
        <v>0</v>
      </c>
      <c r="CD766">
        <v>0</v>
      </c>
      <c r="CE766">
        <v>0</v>
      </c>
      <c r="CF766">
        <v>37</v>
      </c>
      <c r="CG766">
        <v>0</v>
      </c>
      <c r="CH766">
        <v>854</v>
      </c>
      <c r="CI766">
        <v>1</v>
      </c>
      <c r="CJ766">
        <v>0</v>
      </c>
      <c r="CK766">
        <v>0</v>
      </c>
      <c r="CL766">
        <v>0</v>
      </c>
      <c r="CM766">
        <v>6</v>
      </c>
      <c r="CN766">
        <v>1</v>
      </c>
      <c r="CO766">
        <v>1</v>
      </c>
      <c r="CP766">
        <v>1</v>
      </c>
      <c r="CQ766">
        <v>2</v>
      </c>
      <c r="CR766">
        <v>28</v>
      </c>
      <c r="CS766">
        <v>919</v>
      </c>
      <c r="CT766">
        <v>0</v>
      </c>
      <c r="CU766">
        <v>0</v>
      </c>
      <c r="CV766">
        <v>0</v>
      </c>
      <c r="CW766">
        <v>1</v>
      </c>
      <c r="CX766">
        <v>0</v>
      </c>
      <c r="CY766">
        <v>2</v>
      </c>
      <c r="CZ766">
        <v>11</v>
      </c>
      <c r="DA766">
        <v>2</v>
      </c>
      <c r="DB766">
        <v>0</v>
      </c>
      <c r="DC766">
        <v>0</v>
      </c>
      <c r="DD766">
        <v>1011</v>
      </c>
      <c r="DE766">
        <v>0</v>
      </c>
      <c r="DF766">
        <v>1</v>
      </c>
      <c r="DG766">
        <v>1</v>
      </c>
      <c r="DH766">
        <v>1</v>
      </c>
      <c r="DI766">
        <v>2</v>
      </c>
      <c r="DJ766">
        <v>337</v>
      </c>
      <c r="DK766">
        <v>18</v>
      </c>
      <c r="DL766">
        <v>74</v>
      </c>
      <c r="DM766">
        <v>7</v>
      </c>
      <c r="DN766">
        <v>14</v>
      </c>
      <c r="DO766">
        <v>498</v>
      </c>
      <c r="DP766">
        <v>22</v>
      </c>
      <c r="DQ766">
        <v>3</v>
      </c>
      <c r="DR766">
        <v>0</v>
      </c>
      <c r="DS766">
        <v>0</v>
      </c>
      <c r="DT766">
        <v>29</v>
      </c>
      <c r="DU766">
        <v>16</v>
      </c>
      <c r="DV766">
        <v>11</v>
      </c>
      <c r="DW766">
        <v>0</v>
      </c>
      <c r="DX766">
        <v>23</v>
      </c>
      <c r="DY766">
        <v>0</v>
      </c>
      <c r="DZ766">
        <v>927</v>
      </c>
      <c r="EA766">
        <v>0.91669999999999996</v>
      </c>
      <c r="EB766">
        <v>0.93377434021544203</v>
      </c>
      <c r="EC766">
        <v>0.91558860344384296</v>
      </c>
      <c r="ED766">
        <v>0.91283028224830598</v>
      </c>
      <c r="EE766">
        <f>SUM(Table1[[#This Row],[ratio_0]:[ratio_9]])</f>
        <v>550</v>
      </c>
      <c r="EF766" s="1">
        <f>(Table1[[#This Row],[predicted_0]]-Table1[[#This Row],[actual_0]])/Table1[[#This Row],[actual_0]]</f>
        <v>-1.3265306122448979E-2</v>
      </c>
      <c r="EG766" s="1">
        <f>(Table1[[#This Row],[predicted_1]]-Table1[[#This Row],[actual_1]])/Table1[[#This Row],[actual_1]]</f>
        <v>-2.9074889867841409E-2</v>
      </c>
      <c r="EH766" s="1">
        <f>(Table1[[#This Row],[predicted_2]]-Table1[[#This Row],[actual_2]])/Table1[[#This Row],[actual_2]]</f>
        <v>-9.7868217054263559E-2</v>
      </c>
      <c r="EI766" s="1">
        <f>(Table1[[#This Row],[predicted_3]]-Table1[[#This Row],[actual_3]])/Table1[[#This Row],[actual_3]]</f>
        <v>0.49306930693069306</v>
      </c>
      <c r="EJ766" s="1">
        <f>(Table1[[#This Row],[predicted_4]]-Table1[[#This Row],[actual_4]])/Table1[[#This Row],[actual_4]]</f>
        <v>3.6659877800407331E-2</v>
      </c>
      <c r="EK766" s="1">
        <f>(Table1[[#This Row],[predicted_5]]-Table1[[#This Row],[actual_5]])/Table1[[#This Row],[actual_5]]</f>
        <v>0.1132286995515695</v>
      </c>
      <c r="EL766" s="1">
        <f>(Table1[[#This Row],[predicted_6]]-Table1[[#This Row],[actual_6]])/Table1[[#This Row],[actual_6]]</f>
        <v>-2.1920668058455117E-2</v>
      </c>
      <c r="EM766" s="1">
        <f>(Table1[[#This Row],[predicted_7]]-Table1[[#This Row],[actual_7]])/Table1[[#This Row],[actual_7]]</f>
        <v>6.2256809338521402E-2</v>
      </c>
      <c r="EN766" s="1">
        <f>(Table1[[#This Row],[predicted_8]]-Table1[[#This Row],[actual_8]])/Table1[[#This Row],[actual_8]]</f>
        <v>-0.48767967145790553</v>
      </c>
      <c r="EO766" s="1">
        <f>(Table1[[#This Row],[predicted_9]]-Table1[[#This Row],[actual_9]])/Table1[[#This Row],[actual_9]]</f>
        <v>-5.550049554013875E-2</v>
      </c>
      <c r="EP766" s="1">
        <f>1+(Table1[[#This Row],[error_ratio_0]]-EF$2)</f>
        <v>0.98469387755102045</v>
      </c>
      <c r="EQ766" s="1">
        <f>1+(Table1[[#This Row],[error_ratio_1]]-EG$2)</f>
        <v>0.96916299559471364</v>
      </c>
      <c r="ER766" s="1">
        <f>1+(Table1[[#This Row],[error_ratio_2]]-EH$2)</f>
        <v>0.90697674418604657</v>
      </c>
      <c r="ES766" s="1">
        <f>1+(Table1[[#This Row],[error_ratio_3]]-EI$2)</f>
        <v>1.4831683168316832</v>
      </c>
      <c r="ET766" s="1">
        <f>1+(Table1[[#This Row],[error_ratio_4]]-EJ$2)</f>
        <v>1.0356415478615071</v>
      </c>
      <c r="EU766" s="1">
        <f>1+(Table1[[#This Row],[error_ratio_5]]-EK$2)</f>
        <v>1.1121076233183858</v>
      </c>
      <c r="EV766" s="1">
        <f>1+(Table1[[#This Row],[error_ratio_6]]-EL$2)</f>
        <v>0.98434237995824636</v>
      </c>
      <c r="EW766" s="1">
        <f>1+(Table1[[#This Row],[error_ratio_7]]-EM$2)</f>
        <v>1.0603112840466926</v>
      </c>
      <c r="EX766" s="1">
        <f>1+(Table1[[#This Row],[error_ratio_8]]-EN$2)</f>
        <v>0.5154004106776181</v>
      </c>
      <c r="EY766" s="1">
        <f>1+(Table1[[#This Row],[error_ratio_9]]-EO$2)</f>
        <v>0.94846382556987119</v>
      </c>
    </row>
    <row r="767" spans="1:155" x14ac:dyDescent="0.75">
      <c r="A767">
        <v>10</v>
      </c>
      <c r="B767">
        <v>10</v>
      </c>
      <c r="C767">
        <v>10</v>
      </c>
      <c r="D767">
        <v>100</v>
      </c>
      <c r="E767">
        <v>100</v>
      </c>
      <c r="F767">
        <v>100</v>
      </c>
      <c r="G767">
        <v>10</v>
      </c>
      <c r="H767">
        <v>100</v>
      </c>
      <c r="I767">
        <v>10</v>
      </c>
      <c r="J767">
        <v>10</v>
      </c>
      <c r="K767">
        <v>1013</v>
      </c>
      <c r="L767">
        <v>1106</v>
      </c>
      <c r="M767">
        <v>1055</v>
      </c>
      <c r="N767">
        <v>1023</v>
      </c>
      <c r="O767">
        <v>984</v>
      </c>
      <c r="P767">
        <v>944</v>
      </c>
      <c r="Q767">
        <v>892</v>
      </c>
      <c r="R767">
        <v>1046</v>
      </c>
      <c r="S767">
        <v>965</v>
      </c>
      <c r="T767">
        <v>972</v>
      </c>
      <c r="U767">
        <v>980</v>
      </c>
      <c r="V767">
        <v>1135</v>
      </c>
      <c r="W767">
        <v>1032</v>
      </c>
      <c r="X767">
        <v>1010</v>
      </c>
      <c r="Y767">
        <v>982</v>
      </c>
      <c r="Z767">
        <v>892</v>
      </c>
      <c r="AA767">
        <v>958</v>
      </c>
      <c r="AB767">
        <v>1028</v>
      </c>
      <c r="AC767">
        <v>974</v>
      </c>
      <c r="AD767">
        <v>1009</v>
      </c>
      <c r="AE767">
        <v>963</v>
      </c>
      <c r="AF767">
        <v>0</v>
      </c>
      <c r="AG767">
        <v>2</v>
      </c>
      <c r="AH767">
        <v>0</v>
      </c>
      <c r="AI767">
        <v>0</v>
      </c>
      <c r="AJ767">
        <v>9</v>
      </c>
      <c r="AK767">
        <v>1</v>
      </c>
      <c r="AL767">
        <v>3</v>
      </c>
      <c r="AM767">
        <v>1</v>
      </c>
      <c r="AN767">
        <v>1</v>
      </c>
      <c r="AO767">
        <v>0</v>
      </c>
      <c r="AP767">
        <v>1102</v>
      </c>
      <c r="AQ767">
        <v>5</v>
      </c>
      <c r="AR767">
        <v>4</v>
      </c>
      <c r="AS767">
        <v>1</v>
      </c>
      <c r="AT767">
        <v>1</v>
      </c>
      <c r="AU767">
        <v>1</v>
      </c>
      <c r="AV767">
        <v>11</v>
      </c>
      <c r="AW767">
        <v>10</v>
      </c>
      <c r="AX767">
        <v>0</v>
      </c>
      <c r="AY767">
        <v>6</v>
      </c>
      <c r="AZ767">
        <v>0</v>
      </c>
      <c r="BA767">
        <v>1003</v>
      </c>
      <c r="BB767">
        <v>7</v>
      </c>
      <c r="BC767">
        <v>2</v>
      </c>
      <c r="BD767">
        <v>0</v>
      </c>
      <c r="BE767">
        <v>0</v>
      </c>
      <c r="BF767">
        <v>10</v>
      </c>
      <c r="BG767">
        <v>4</v>
      </c>
      <c r="BH767">
        <v>0</v>
      </c>
      <c r="BI767">
        <v>0</v>
      </c>
      <c r="BJ767">
        <v>0</v>
      </c>
      <c r="BK767">
        <v>3</v>
      </c>
      <c r="BL767">
        <v>995</v>
      </c>
      <c r="BM767">
        <v>0</v>
      </c>
      <c r="BN767">
        <v>7</v>
      </c>
      <c r="BO767">
        <v>0</v>
      </c>
      <c r="BP767">
        <v>1</v>
      </c>
      <c r="BQ767">
        <v>4</v>
      </c>
      <c r="BR767">
        <v>0</v>
      </c>
      <c r="BS767">
        <v>0</v>
      </c>
      <c r="BT767">
        <v>0</v>
      </c>
      <c r="BU767">
        <v>10</v>
      </c>
      <c r="BV767">
        <v>0</v>
      </c>
      <c r="BW767">
        <v>953</v>
      </c>
      <c r="BX767">
        <v>2</v>
      </c>
      <c r="BY767">
        <v>2</v>
      </c>
      <c r="BZ767">
        <v>2</v>
      </c>
      <c r="CA767">
        <v>0</v>
      </c>
      <c r="CB767">
        <v>13</v>
      </c>
      <c r="CC767">
        <v>3</v>
      </c>
      <c r="CD767">
        <v>0</v>
      </c>
      <c r="CE767">
        <v>0</v>
      </c>
      <c r="CF767">
        <v>5</v>
      </c>
      <c r="CG767">
        <v>0</v>
      </c>
      <c r="CH767">
        <v>880</v>
      </c>
      <c r="CI767">
        <v>1</v>
      </c>
      <c r="CJ767">
        <v>0</v>
      </c>
      <c r="CK767">
        <v>3</v>
      </c>
      <c r="CL767">
        <v>0</v>
      </c>
      <c r="CM767">
        <v>29</v>
      </c>
      <c r="CN767">
        <v>3</v>
      </c>
      <c r="CO767">
        <v>7</v>
      </c>
      <c r="CP767">
        <v>0</v>
      </c>
      <c r="CQ767">
        <v>6</v>
      </c>
      <c r="CR767">
        <v>20</v>
      </c>
      <c r="CS767">
        <v>887</v>
      </c>
      <c r="CT767">
        <v>0</v>
      </c>
      <c r="CU767">
        <v>6</v>
      </c>
      <c r="CV767">
        <v>0</v>
      </c>
      <c r="CW767">
        <v>1</v>
      </c>
      <c r="CX767">
        <v>0</v>
      </c>
      <c r="CY767">
        <v>16</v>
      </c>
      <c r="CZ767">
        <v>2</v>
      </c>
      <c r="DA767">
        <v>1</v>
      </c>
      <c r="DB767">
        <v>0</v>
      </c>
      <c r="DC767">
        <v>0</v>
      </c>
      <c r="DD767">
        <v>1005</v>
      </c>
      <c r="DE767">
        <v>1</v>
      </c>
      <c r="DF767">
        <v>2</v>
      </c>
      <c r="DG767">
        <v>6</v>
      </c>
      <c r="DH767">
        <v>0</v>
      </c>
      <c r="DI767">
        <v>8</v>
      </c>
      <c r="DJ767">
        <v>4</v>
      </c>
      <c r="DK767">
        <v>6</v>
      </c>
      <c r="DL767">
        <v>5</v>
      </c>
      <c r="DM767">
        <v>0</v>
      </c>
      <c r="DN767">
        <v>7</v>
      </c>
      <c r="DO767">
        <v>932</v>
      </c>
      <c r="DP767">
        <v>6</v>
      </c>
      <c r="DQ767">
        <v>5</v>
      </c>
      <c r="DR767">
        <v>1</v>
      </c>
      <c r="DS767">
        <v>1</v>
      </c>
      <c r="DT767">
        <v>6</v>
      </c>
      <c r="DU767">
        <v>15</v>
      </c>
      <c r="DV767">
        <v>20</v>
      </c>
      <c r="DW767">
        <v>0</v>
      </c>
      <c r="DX767">
        <v>7</v>
      </c>
      <c r="DY767">
        <v>4</v>
      </c>
      <c r="DZ767">
        <v>950</v>
      </c>
      <c r="EA767">
        <v>0.96699999999999997</v>
      </c>
      <c r="EB767">
        <v>0.96694318102524801</v>
      </c>
      <c r="EC767">
        <v>0.96695602659977098</v>
      </c>
      <c r="ED767">
        <v>0.96664884985369104</v>
      </c>
      <c r="EE767">
        <f>SUM(Table1[[#This Row],[ratio_0]:[ratio_9]])</f>
        <v>460</v>
      </c>
      <c r="EF767" s="1">
        <f>(Table1[[#This Row],[predicted_0]]-Table1[[#This Row],[actual_0]])/Table1[[#This Row],[actual_0]]</f>
        <v>3.3673469387755103E-2</v>
      </c>
      <c r="EG767" s="1">
        <f>(Table1[[#This Row],[predicted_1]]-Table1[[#This Row],[actual_1]])/Table1[[#This Row],[actual_1]]</f>
        <v>-2.5550660792951541E-2</v>
      </c>
      <c r="EH767" s="1">
        <f>(Table1[[#This Row],[predicted_2]]-Table1[[#This Row],[actual_2]])/Table1[[#This Row],[actual_2]]</f>
        <v>2.2286821705426358E-2</v>
      </c>
      <c r="EI767" s="1">
        <f>(Table1[[#This Row],[predicted_3]]-Table1[[#This Row],[actual_3]])/Table1[[#This Row],[actual_3]]</f>
        <v>1.2871287128712871E-2</v>
      </c>
      <c r="EJ767" s="1">
        <f>(Table1[[#This Row],[predicted_4]]-Table1[[#This Row],[actual_4]])/Table1[[#This Row],[actual_4]]</f>
        <v>2.0366598778004071E-3</v>
      </c>
      <c r="EK767" s="1">
        <f>(Table1[[#This Row],[predicted_5]]-Table1[[#This Row],[actual_5]])/Table1[[#This Row],[actual_5]]</f>
        <v>5.829596412556054E-2</v>
      </c>
      <c r="EL767" s="1">
        <f>(Table1[[#This Row],[predicted_6]]-Table1[[#This Row],[actual_6]])/Table1[[#This Row],[actual_6]]</f>
        <v>-6.889352818371608E-2</v>
      </c>
      <c r="EM767" s="1">
        <f>(Table1[[#This Row],[predicted_7]]-Table1[[#This Row],[actual_7]])/Table1[[#This Row],[actual_7]]</f>
        <v>1.7509727626459144E-2</v>
      </c>
      <c r="EN767" s="1">
        <f>(Table1[[#This Row],[predicted_8]]-Table1[[#This Row],[actual_8]])/Table1[[#This Row],[actual_8]]</f>
        <v>-9.2402464065708418E-3</v>
      </c>
      <c r="EO767" s="1">
        <f>(Table1[[#This Row],[predicted_9]]-Table1[[#This Row],[actual_9]])/Table1[[#This Row],[actual_9]]</f>
        <v>-3.6669970267591674E-2</v>
      </c>
      <c r="EP767" s="1">
        <f>1+(Table1[[#This Row],[error_ratio_0]]-EF$2)</f>
        <v>1.0316326530612245</v>
      </c>
      <c r="EQ767" s="1">
        <f>1+(Table1[[#This Row],[error_ratio_1]]-EG$2)</f>
        <v>0.97268722466960356</v>
      </c>
      <c r="ER767" s="1">
        <f>1+(Table1[[#This Row],[error_ratio_2]]-EH$2)</f>
        <v>1.0271317829457365</v>
      </c>
      <c r="ES767" s="1">
        <f>1+(Table1[[#This Row],[error_ratio_3]]-EI$2)</f>
        <v>1.002970297029703</v>
      </c>
      <c r="ET767" s="1">
        <f>1+(Table1[[#This Row],[error_ratio_4]]-EJ$2)</f>
        <v>1.0010183299389002</v>
      </c>
      <c r="EU767" s="1">
        <f>1+(Table1[[#This Row],[error_ratio_5]]-EK$2)</f>
        <v>1.0571748878923768</v>
      </c>
      <c r="EV767" s="1">
        <f>1+(Table1[[#This Row],[error_ratio_6]]-EL$2)</f>
        <v>0.93736951983298544</v>
      </c>
      <c r="EW767" s="1">
        <f>1+(Table1[[#This Row],[error_ratio_7]]-EM$2)</f>
        <v>1.0155642023346303</v>
      </c>
      <c r="EX767" s="1">
        <f>1+(Table1[[#This Row],[error_ratio_8]]-EN$2)</f>
        <v>0.99383983572895274</v>
      </c>
      <c r="EY767" s="1">
        <f>1+(Table1[[#This Row],[error_ratio_9]]-EO$2)</f>
        <v>0.96729435084241822</v>
      </c>
    </row>
    <row r="768" spans="1:155" x14ac:dyDescent="0.75">
      <c r="A768">
        <v>100</v>
      </c>
      <c r="B768">
        <v>100</v>
      </c>
      <c r="C768">
        <v>100</v>
      </c>
      <c r="D768">
        <v>10</v>
      </c>
      <c r="E768">
        <v>100</v>
      </c>
      <c r="F768">
        <v>100</v>
      </c>
      <c r="G768">
        <v>10</v>
      </c>
      <c r="H768">
        <v>100</v>
      </c>
      <c r="I768">
        <v>10</v>
      </c>
      <c r="J768">
        <v>10</v>
      </c>
      <c r="K768">
        <v>1024</v>
      </c>
      <c r="L768">
        <v>1142</v>
      </c>
      <c r="M768">
        <v>1050</v>
      </c>
      <c r="N768">
        <v>965</v>
      </c>
      <c r="O768">
        <v>1031</v>
      </c>
      <c r="P768">
        <v>960</v>
      </c>
      <c r="Q768">
        <v>898</v>
      </c>
      <c r="R768">
        <v>1093</v>
      </c>
      <c r="S768">
        <v>955</v>
      </c>
      <c r="T768">
        <v>882</v>
      </c>
      <c r="U768">
        <v>980</v>
      </c>
      <c r="V768">
        <v>1135</v>
      </c>
      <c r="W768">
        <v>1032</v>
      </c>
      <c r="X768">
        <v>1010</v>
      </c>
      <c r="Y768">
        <v>982</v>
      </c>
      <c r="Z768">
        <v>892</v>
      </c>
      <c r="AA768">
        <v>958</v>
      </c>
      <c r="AB768">
        <v>1028</v>
      </c>
      <c r="AC768">
        <v>974</v>
      </c>
      <c r="AD768">
        <v>1009</v>
      </c>
      <c r="AE768">
        <v>975</v>
      </c>
      <c r="AF768">
        <v>1</v>
      </c>
      <c r="AG768">
        <v>0</v>
      </c>
      <c r="AH768">
        <v>0</v>
      </c>
      <c r="AI768">
        <v>0</v>
      </c>
      <c r="AJ768">
        <v>1</v>
      </c>
      <c r="AK768">
        <v>0</v>
      </c>
      <c r="AL768">
        <v>2</v>
      </c>
      <c r="AM768">
        <v>1</v>
      </c>
      <c r="AN768">
        <v>0</v>
      </c>
      <c r="AO768">
        <v>0</v>
      </c>
      <c r="AP768">
        <v>1129</v>
      </c>
      <c r="AQ768">
        <v>2</v>
      </c>
      <c r="AR768">
        <v>0</v>
      </c>
      <c r="AS768">
        <v>0</v>
      </c>
      <c r="AT768">
        <v>2</v>
      </c>
      <c r="AU768">
        <v>0</v>
      </c>
      <c r="AV768">
        <v>2</v>
      </c>
      <c r="AW768">
        <v>0</v>
      </c>
      <c r="AX768">
        <v>0</v>
      </c>
      <c r="AY768">
        <v>0</v>
      </c>
      <c r="AZ768">
        <v>0</v>
      </c>
      <c r="BA768">
        <v>1023</v>
      </c>
      <c r="BB768">
        <v>0</v>
      </c>
      <c r="BC768">
        <v>1</v>
      </c>
      <c r="BD768">
        <v>0</v>
      </c>
      <c r="BE768">
        <v>0</v>
      </c>
      <c r="BF768">
        <v>6</v>
      </c>
      <c r="BG768">
        <v>2</v>
      </c>
      <c r="BH768">
        <v>0</v>
      </c>
      <c r="BI768">
        <v>8</v>
      </c>
      <c r="BJ768">
        <v>0</v>
      </c>
      <c r="BK768">
        <v>3</v>
      </c>
      <c r="BL768">
        <v>957</v>
      </c>
      <c r="BM768">
        <v>0</v>
      </c>
      <c r="BN768">
        <v>16</v>
      </c>
      <c r="BO768">
        <v>0</v>
      </c>
      <c r="BP768">
        <v>11</v>
      </c>
      <c r="BQ768">
        <v>15</v>
      </c>
      <c r="BR768">
        <v>0</v>
      </c>
      <c r="BS768">
        <v>0</v>
      </c>
      <c r="BT768">
        <v>0</v>
      </c>
      <c r="BU768">
        <v>2</v>
      </c>
      <c r="BV768">
        <v>0</v>
      </c>
      <c r="BW768">
        <v>978</v>
      </c>
      <c r="BX768">
        <v>0</v>
      </c>
      <c r="BY768">
        <v>0</v>
      </c>
      <c r="BZ768">
        <v>2</v>
      </c>
      <c r="CA768">
        <v>0</v>
      </c>
      <c r="CB768">
        <v>0</v>
      </c>
      <c r="CC768">
        <v>3</v>
      </c>
      <c r="CD768">
        <v>0</v>
      </c>
      <c r="CE768">
        <v>0</v>
      </c>
      <c r="CF768">
        <v>2</v>
      </c>
      <c r="CG768">
        <v>0</v>
      </c>
      <c r="CH768">
        <v>884</v>
      </c>
      <c r="CI768">
        <v>1</v>
      </c>
      <c r="CJ768">
        <v>2</v>
      </c>
      <c r="CK768">
        <v>0</v>
      </c>
      <c r="CL768">
        <v>0</v>
      </c>
      <c r="CM768">
        <v>25</v>
      </c>
      <c r="CN768">
        <v>6</v>
      </c>
      <c r="CO768">
        <v>2</v>
      </c>
      <c r="CP768">
        <v>0</v>
      </c>
      <c r="CQ768">
        <v>4</v>
      </c>
      <c r="CR768">
        <v>22</v>
      </c>
      <c r="CS768">
        <v>897</v>
      </c>
      <c r="CT768">
        <v>0</v>
      </c>
      <c r="CU768">
        <v>2</v>
      </c>
      <c r="CV768">
        <v>0</v>
      </c>
      <c r="CW768">
        <v>2</v>
      </c>
      <c r="CX768">
        <v>1</v>
      </c>
      <c r="CY768">
        <v>4</v>
      </c>
      <c r="CZ768">
        <v>0</v>
      </c>
      <c r="DA768">
        <v>0</v>
      </c>
      <c r="DB768">
        <v>0</v>
      </c>
      <c r="DC768">
        <v>0</v>
      </c>
      <c r="DD768">
        <v>1020</v>
      </c>
      <c r="DE768">
        <v>1</v>
      </c>
      <c r="DF768">
        <v>0</v>
      </c>
      <c r="DG768">
        <v>4</v>
      </c>
      <c r="DH768">
        <v>1</v>
      </c>
      <c r="DI768">
        <v>11</v>
      </c>
      <c r="DJ768">
        <v>1</v>
      </c>
      <c r="DK768">
        <v>7</v>
      </c>
      <c r="DL768">
        <v>13</v>
      </c>
      <c r="DM768">
        <v>0</v>
      </c>
      <c r="DN768">
        <v>8</v>
      </c>
      <c r="DO768">
        <v>927</v>
      </c>
      <c r="DP768">
        <v>2</v>
      </c>
      <c r="DQ768">
        <v>7</v>
      </c>
      <c r="DR768">
        <v>4</v>
      </c>
      <c r="DS768">
        <v>3</v>
      </c>
      <c r="DT768">
        <v>5</v>
      </c>
      <c r="DU768">
        <v>41</v>
      </c>
      <c r="DV768">
        <v>22</v>
      </c>
      <c r="DW768">
        <v>0</v>
      </c>
      <c r="DX768">
        <v>40</v>
      </c>
      <c r="DY768">
        <v>7</v>
      </c>
      <c r="DZ768">
        <v>880</v>
      </c>
      <c r="EA768">
        <v>0.96699999999999997</v>
      </c>
      <c r="EB768">
        <v>0.96766982042257299</v>
      </c>
      <c r="EC768">
        <v>0.96678131096014797</v>
      </c>
      <c r="ED768">
        <v>0.96631096493659896</v>
      </c>
      <c r="EE768">
        <f>SUM(Table1[[#This Row],[ratio_0]:[ratio_9]])</f>
        <v>640</v>
      </c>
      <c r="EF768" s="1">
        <f>(Table1[[#This Row],[predicted_0]]-Table1[[#This Row],[actual_0]])/Table1[[#This Row],[actual_0]]</f>
        <v>4.4897959183673466E-2</v>
      </c>
      <c r="EG768" s="1">
        <f>(Table1[[#This Row],[predicted_1]]-Table1[[#This Row],[actual_1]])/Table1[[#This Row],[actual_1]]</f>
        <v>6.1674008810572688E-3</v>
      </c>
      <c r="EH768" s="1">
        <f>(Table1[[#This Row],[predicted_2]]-Table1[[#This Row],[actual_2]])/Table1[[#This Row],[actual_2]]</f>
        <v>1.7441860465116279E-2</v>
      </c>
      <c r="EI768" s="1">
        <f>(Table1[[#This Row],[predicted_3]]-Table1[[#This Row],[actual_3]])/Table1[[#This Row],[actual_3]]</f>
        <v>-4.4554455445544552E-2</v>
      </c>
      <c r="EJ768" s="1">
        <f>(Table1[[#This Row],[predicted_4]]-Table1[[#This Row],[actual_4]])/Table1[[#This Row],[actual_4]]</f>
        <v>4.9898167006109981E-2</v>
      </c>
      <c r="EK768" s="1">
        <f>(Table1[[#This Row],[predicted_5]]-Table1[[#This Row],[actual_5]])/Table1[[#This Row],[actual_5]]</f>
        <v>7.623318385650224E-2</v>
      </c>
      <c r="EL768" s="1">
        <f>(Table1[[#This Row],[predicted_6]]-Table1[[#This Row],[actual_6]])/Table1[[#This Row],[actual_6]]</f>
        <v>-6.2630480167014613E-2</v>
      </c>
      <c r="EM768" s="1">
        <f>(Table1[[#This Row],[predicted_7]]-Table1[[#This Row],[actual_7]])/Table1[[#This Row],[actual_7]]</f>
        <v>6.3229571984435795E-2</v>
      </c>
      <c r="EN768" s="1">
        <f>(Table1[[#This Row],[predicted_8]]-Table1[[#This Row],[actual_8]])/Table1[[#This Row],[actual_8]]</f>
        <v>-1.9507186858316223E-2</v>
      </c>
      <c r="EO768" s="1">
        <f>(Table1[[#This Row],[predicted_9]]-Table1[[#This Row],[actual_9]])/Table1[[#This Row],[actual_9]]</f>
        <v>-0.12586719524281467</v>
      </c>
      <c r="EP768" s="1">
        <f>1+(Table1[[#This Row],[error_ratio_0]]-EF$2)</f>
        <v>1.0428571428571429</v>
      </c>
      <c r="EQ768" s="1">
        <f>1+(Table1[[#This Row],[error_ratio_1]]-EG$2)</f>
        <v>1.0044052863436124</v>
      </c>
      <c r="ER768" s="1">
        <f>1+(Table1[[#This Row],[error_ratio_2]]-EH$2)</f>
        <v>1.0222868217054264</v>
      </c>
      <c r="ES768" s="1">
        <f>1+(Table1[[#This Row],[error_ratio_3]]-EI$2)</f>
        <v>0.9455445544554455</v>
      </c>
      <c r="ET768" s="1">
        <f>1+(Table1[[#This Row],[error_ratio_4]]-EJ$2)</f>
        <v>1.0488798370672097</v>
      </c>
      <c r="EU768" s="1">
        <f>1+(Table1[[#This Row],[error_ratio_5]]-EK$2)</f>
        <v>1.0751121076233183</v>
      </c>
      <c r="EV768" s="1">
        <f>1+(Table1[[#This Row],[error_ratio_6]]-EL$2)</f>
        <v>0.94363256784968685</v>
      </c>
      <c r="EW768" s="1">
        <f>1+(Table1[[#This Row],[error_ratio_7]]-EM$2)</f>
        <v>1.061284046692607</v>
      </c>
      <c r="EX768" s="1">
        <f>1+(Table1[[#This Row],[error_ratio_8]]-EN$2)</f>
        <v>0.98357289527720737</v>
      </c>
      <c r="EY768" s="1">
        <f>1+(Table1[[#This Row],[error_ratio_9]]-EO$2)</f>
        <v>0.87809712586719524</v>
      </c>
    </row>
    <row r="769" spans="1:155" x14ac:dyDescent="0.75">
      <c r="A769">
        <v>100</v>
      </c>
      <c r="B769">
        <v>10</v>
      </c>
      <c r="C769">
        <v>100</v>
      </c>
      <c r="D769">
        <v>10</v>
      </c>
      <c r="E769">
        <v>100</v>
      </c>
      <c r="F769">
        <v>100</v>
      </c>
      <c r="G769">
        <v>10</v>
      </c>
      <c r="H769">
        <v>100</v>
      </c>
      <c r="I769">
        <v>10</v>
      </c>
      <c r="J769">
        <v>10</v>
      </c>
      <c r="K769">
        <v>1008</v>
      </c>
      <c r="L769">
        <v>1131</v>
      </c>
      <c r="M769">
        <v>1094</v>
      </c>
      <c r="N769">
        <v>955</v>
      </c>
      <c r="O769">
        <v>1050</v>
      </c>
      <c r="P769">
        <v>1028</v>
      </c>
      <c r="Q769">
        <v>931</v>
      </c>
      <c r="R769">
        <v>1134</v>
      </c>
      <c r="S769">
        <v>818</v>
      </c>
      <c r="T769">
        <v>851</v>
      </c>
      <c r="U769">
        <v>980</v>
      </c>
      <c r="V769">
        <v>1135</v>
      </c>
      <c r="W769">
        <v>1032</v>
      </c>
      <c r="X769">
        <v>1010</v>
      </c>
      <c r="Y769">
        <v>982</v>
      </c>
      <c r="Z769">
        <v>892</v>
      </c>
      <c r="AA769">
        <v>958</v>
      </c>
      <c r="AB769">
        <v>1028</v>
      </c>
      <c r="AC769">
        <v>974</v>
      </c>
      <c r="AD769">
        <v>1009</v>
      </c>
      <c r="AE769">
        <v>973</v>
      </c>
      <c r="AF769">
        <v>1</v>
      </c>
      <c r="AG769">
        <v>0</v>
      </c>
      <c r="AH769">
        <v>0</v>
      </c>
      <c r="AI769">
        <v>0</v>
      </c>
      <c r="AJ769">
        <v>4</v>
      </c>
      <c r="AK769">
        <v>0</v>
      </c>
      <c r="AL769">
        <v>2</v>
      </c>
      <c r="AM769">
        <v>0</v>
      </c>
      <c r="AN769">
        <v>0</v>
      </c>
      <c r="AO769">
        <v>0</v>
      </c>
      <c r="AP769">
        <v>1114</v>
      </c>
      <c r="AQ769">
        <v>9</v>
      </c>
      <c r="AR769">
        <v>0</v>
      </c>
      <c r="AS769">
        <v>1</v>
      </c>
      <c r="AT769">
        <v>3</v>
      </c>
      <c r="AU769">
        <v>6</v>
      </c>
      <c r="AV769">
        <v>2</v>
      </c>
      <c r="AW769">
        <v>0</v>
      </c>
      <c r="AX769">
        <v>0</v>
      </c>
      <c r="AY769">
        <v>1</v>
      </c>
      <c r="AZ769">
        <v>0</v>
      </c>
      <c r="BA769">
        <v>1022</v>
      </c>
      <c r="BB769">
        <v>2</v>
      </c>
      <c r="BC769">
        <v>0</v>
      </c>
      <c r="BD769">
        <v>1</v>
      </c>
      <c r="BE769">
        <v>0</v>
      </c>
      <c r="BF769">
        <v>6</v>
      </c>
      <c r="BG769">
        <v>0</v>
      </c>
      <c r="BH769">
        <v>0</v>
      </c>
      <c r="BI769">
        <v>0</v>
      </c>
      <c r="BJ769">
        <v>0</v>
      </c>
      <c r="BK769">
        <v>23</v>
      </c>
      <c r="BL769">
        <v>933</v>
      </c>
      <c r="BM769">
        <v>1</v>
      </c>
      <c r="BN769">
        <v>41</v>
      </c>
      <c r="BO769">
        <v>0</v>
      </c>
      <c r="BP769">
        <v>12</v>
      </c>
      <c r="BQ769">
        <v>0</v>
      </c>
      <c r="BR769">
        <v>0</v>
      </c>
      <c r="BS769">
        <v>0</v>
      </c>
      <c r="BT769">
        <v>1</v>
      </c>
      <c r="BU769">
        <v>1</v>
      </c>
      <c r="BV769">
        <v>0</v>
      </c>
      <c r="BW769">
        <v>976</v>
      </c>
      <c r="BX769">
        <v>0</v>
      </c>
      <c r="BY769">
        <v>3</v>
      </c>
      <c r="BZ769">
        <v>1</v>
      </c>
      <c r="CA769">
        <v>0</v>
      </c>
      <c r="CB769">
        <v>0</v>
      </c>
      <c r="CC769">
        <v>3</v>
      </c>
      <c r="CD769">
        <v>0</v>
      </c>
      <c r="CE769">
        <v>0</v>
      </c>
      <c r="CF769">
        <v>4</v>
      </c>
      <c r="CG769">
        <v>0</v>
      </c>
      <c r="CH769">
        <v>883</v>
      </c>
      <c r="CI769">
        <v>2</v>
      </c>
      <c r="CJ769">
        <v>0</v>
      </c>
      <c r="CK769">
        <v>0</v>
      </c>
      <c r="CL769">
        <v>0</v>
      </c>
      <c r="CM769">
        <v>16</v>
      </c>
      <c r="CN769">
        <v>2</v>
      </c>
      <c r="CO769">
        <v>2</v>
      </c>
      <c r="CP769">
        <v>0</v>
      </c>
      <c r="CQ769">
        <v>7</v>
      </c>
      <c r="CR769">
        <v>22</v>
      </c>
      <c r="CS769">
        <v>909</v>
      </c>
      <c r="CT769">
        <v>0</v>
      </c>
      <c r="CU769">
        <v>0</v>
      </c>
      <c r="CV769">
        <v>0</v>
      </c>
      <c r="CW769">
        <v>1</v>
      </c>
      <c r="CX769">
        <v>1</v>
      </c>
      <c r="CY769">
        <v>7</v>
      </c>
      <c r="CZ769">
        <v>0</v>
      </c>
      <c r="DA769">
        <v>2</v>
      </c>
      <c r="DB769">
        <v>1</v>
      </c>
      <c r="DC769">
        <v>0</v>
      </c>
      <c r="DD769">
        <v>1016</v>
      </c>
      <c r="DE769">
        <v>0</v>
      </c>
      <c r="DF769">
        <v>0</v>
      </c>
      <c r="DG769">
        <v>10</v>
      </c>
      <c r="DH769">
        <v>6</v>
      </c>
      <c r="DI769">
        <v>26</v>
      </c>
      <c r="DJ769">
        <v>9</v>
      </c>
      <c r="DK769">
        <v>16</v>
      </c>
      <c r="DL769">
        <v>53</v>
      </c>
      <c r="DM769">
        <v>11</v>
      </c>
      <c r="DN769">
        <v>21</v>
      </c>
      <c r="DO769">
        <v>817</v>
      </c>
      <c r="DP769">
        <v>5</v>
      </c>
      <c r="DQ769">
        <v>4</v>
      </c>
      <c r="DR769">
        <v>6</v>
      </c>
      <c r="DS769">
        <v>4</v>
      </c>
      <c r="DT769">
        <v>7</v>
      </c>
      <c r="DU769">
        <v>47</v>
      </c>
      <c r="DV769">
        <v>20</v>
      </c>
      <c r="DW769">
        <v>0</v>
      </c>
      <c r="DX769">
        <v>74</v>
      </c>
      <c r="DY769">
        <v>1</v>
      </c>
      <c r="DZ769">
        <v>846</v>
      </c>
      <c r="EA769">
        <v>0.94889999999999997</v>
      </c>
      <c r="EB769">
        <v>0.95150850032586598</v>
      </c>
      <c r="EC769">
        <v>0.94866693006929004</v>
      </c>
      <c r="ED769">
        <v>0.947736566761187</v>
      </c>
      <c r="EE769">
        <f>SUM(Table1[[#This Row],[ratio_0]:[ratio_9]])</f>
        <v>550</v>
      </c>
      <c r="EF769" s="1">
        <f>(Table1[[#This Row],[predicted_0]]-Table1[[#This Row],[actual_0]])/Table1[[#This Row],[actual_0]]</f>
        <v>2.8571428571428571E-2</v>
      </c>
      <c r="EG769" s="1">
        <f>(Table1[[#This Row],[predicted_1]]-Table1[[#This Row],[actual_1]])/Table1[[#This Row],[actual_1]]</f>
        <v>-3.524229074889868E-3</v>
      </c>
      <c r="EH769" s="1">
        <f>(Table1[[#This Row],[predicted_2]]-Table1[[#This Row],[actual_2]])/Table1[[#This Row],[actual_2]]</f>
        <v>6.0077519379844964E-2</v>
      </c>
      <c r="EI769" s="1">
        <f>(Table1[[#This Row],[predicted_3]]-Table1[[#This Row],[actual_3]])/Table1[[#This Row],[actual_3]]</f>
        <v>-5.4455445544554455E-2</v>
      </c>
      <c r="EJ769" s="1">
        <f>(Table1[[#This Row],[predicted_4]]-Table1[[#This Row],[actual_4]])/Table1[[#This Row],[actual_4]]</f>
        <v>6.9246435845213852E-2</v>
      </c>
      <c r="EK769" s="1">
        <f>(Table1[[#This Row],[predicted_5]]-Table1[[#This Row],[actual_5]])/Table1[[#This Row],[actual_5]]</f>
        <v>0.15246636771300448</v>
      </c>
      <c r="EL769" s="1">
        <f>(Table1[[#This Row],[predicted_6]]-Table1[[#This Row],[actual_6]])/Table1[[#This Row],[actual_6]]</f>
        <v>-2.8183716075156576E-2</v>
      </c>
      <c r="EM769" s="1">
        <f>(Table1[[#This Row],[predicted_7]]-Table1[[#This Row],[actual_7]])/Table1[[#This Row],[actual_7]]</f>
        <v>0.10311284046692606</v>
      </c>
      <c r="EN769" s="1">
        <f>(Table1[[#This Row],[predicted_8]]-Table1[[#This Row],[actual_8]])/Table1[[#This Row],[actual_8]]</f>
        <v>-0.16016427104722791</v>
      </c>
      <c r="EO769" s="1">
        <f>(Table1[[#This Row],[predicted_9]]-Table1[[#This Row],[actual_9]])/Table1[[#This Row],[actual_9]]</f>
        <v>-0.15659068384539149</v>
      </c>
      <c r="EP769" s="1">
        <f>1+(Table1[[#This Row],[error_ratio_0]]-EF$2)</f>
        <v>1.0265306122448981</v>
      </c>
      <c r="EQ769" s="1">
        <f>1+(Table1[[#This Row],[error_ratio_1]]-EG$2)</f>
        <v>0.99471365638766518</v>
      </c>
      <c r="ER769" s="1">
        <f>1+(Table1[[#This Row],[error_ratio_2]]-EH$2)</f>
        <v>1.0649224806201549</v>
      </c>
      <c r="ES769" s="1">
        <f>1+(Table1[[#This Row],[error_ratio_3]]-EI$2)</f>
        <v>0.93564356435643559</v>
      </c>
      <c r="ET769" s="1">
        <f>1+(Table1[[#This Row],[error_ratio_4]]-EJ$2)</f>
        <v>1.0682281059063137</v>
      </c>
      <c r="EU769" s="1">
        <f>1+(Table1[[#This Row],[error_ratio_5]]-EK$2)</f>
        <v>1.1513452914798206</v>
      </c>
      <c r="EV769" s="1">
        <f>1+(Table1[[#This Row],[error_ratio_6]]-EL$2)</f>
        <v>0.97807933194154484</v>
      </c>
      <c r="EW769" s="1">
        <f>1+(Table1[[#This Row],[error_ratio_7]]-EM$2)</f>
        <v>1.1011673151750974</v>
      </c>
      <c r="EX769" s="1">
        <f>1+(Table1[[#This Row],[error_ratio_8]]-EN$2)</f>
        <v>0.84291581108829572</v>
      </c>
      <c r="EY769" s="1">
        <f>1+(Table1[[#This Row],[error_ratio_9]]-EO$2)</f>
        <v>0.84737363726461845</v>
      </c>
    </row>
    <row r="770" spans="1:155" x14ac:dyDescent="0.75">
      <c r="A770">
        <v>10</v>
      </c>
      <c r="B770">
        <v>10</v>
      </c>
      <c r="C770">
        <v>100</v>
      </c>
      <c r="D770">
        <v>10</v>
      </c>
      <c r="E770">
        <v>100</v>
      </c>
      <c r="F770">
        <v>100</v>
      </c>
      <c r="G770">
        <v>10</v>
      </c>
      <c r="H770">
        <v>100</v>
      </c>
      <c r="I770">
        <v>10</v>
      </c>
      <c r="J770">
        <v>10</v>
      </c>
      <c r="K770">
        <v>964</v>
      </c>
      <c r="L770">
        <v>1115</v>
      </c>
      <c r="M770">
        <v>1023</v>
      </c>
      <c r="N770">
        <v>908</v>
      </c>
      <c r="O770">
        <v>1463</v>
      </c>
      <c r="P770">
        <v>956</v>
      </c>
      <c r="Q770">
        <v>813</v>
      </c>
      <c r="R770">
        <v>1149</v>
      </c>
      <c r="S770">
        <v>931</v>
      </c>
      <c r="T770">
        <v>678</v>
      </c>
      <c r="U770">
        <v>980</v>
      </c>
      <c r="V770">
        <v>1135</v>
      </c>
      <c r="W770">
        <v>1032</v>
      </c>
      <c r="X770">
        <v>1010</v>
      </c>
      <c r="Y770">
        <v>982</v>
      </c>
      <c r="Z770">
        <v>892</v>
      </c>
      <c r="AA770">
        <v>958</v>
      </c>
      <c r="AB770">
        <v>1028</v>
      </c>
      <c r="AC770">
        <v>974</v>
      </c>
      <c r="AD770">
        <v>1009</v>
      </c>
      <c r="AE770">
        <v>940</v>
      </c>
      <c r="AF770">
        <v>0</v>
      </c>
      <c r="AG770">
        <v>4</v>
      </c>
      <c r="AH770">
        <v>0</v>
      </c>
      <c r="AI770">
        <v>27</v>
      </c>
      <c r="AJ770">
        <v>1</v>
      </c>
      <c r="AK770">
        <v>2</v>
      </c>
      <c r="AL770">
        <v>3</v>
      </c>
      <c r="AM770">
        <v>2</v>
      </c>
      <c r="AN770">
        <v>1</v>
      </c>
      <c r="AO770">
        <v>0</v>
      </c>
      <c r="AP770">
        <v>1110</v>
      </c>
      <c r="AQ770">
        <v>6</v>
      </c>
      <c r="AR770">
        <v>0</v>
      </c>
      <c r="AS770">
        <v>13</v>
      </c>
      <c r="AT770">
        <v>0</v>
      </c>
      <c r="AU770">
        <v>2</v>
      </c>
      <c r="AV770">
        <v>2</v>
      </c>
      <c r="AW770">
        <v>2</v>
      </c>
      <c r="AX770">
        <v>0</v>
      </c>
      <c r="AY770">
        <v>2</v>
      </c>
      <c r="AZ770">
        <v>0</v>
      </c>
      <c r="BA770">
        <v>989</v>
      </c>
      <c r="BB770">
        <v>0</v>
      </c>
      <c r="BC770">
        <v>30</v>
      </c>
      <c r="BD770">
        <v>0</v>
      </c>
      <c r="BE770">
        <v>0</v>
      </c>
      <c r="BF770">
        <v>8</v>
      </c>
      <c r="BG770">
        <v>3</v>
      </c>
      <c r="BH770">
        <v>0</v>
      </c>
      <c r="BI770">
        <v>1</v>
      </c>
      <c r="BJ770">
        <v>0</v>
      </c>
      <c r="BK770">
        <v>7</v>
      </c>
      <c r="BL770">
        <v>904</v>
      </c>
      <c r="BM770">
        <v>17</v>
      </c>
      <c r="BN770">
        <v>42</v>
      </c>
      <c r="BO770">
        <v>0</v>
      </c>
      <c r="BP770">
        <v>20</v>
      </c>
      <c r="BQ770">
        <v>16</v>
      </c>
      <c r="BR770">
        <v>3</v>
      </c>
      <c r="BS770">
        <v>0</v>
      </c>
      <c r="BT770">
        <v>0</v>
      </c>
      <c r="BU770">
        <v>0</v>
      </c>
      <c r="BV770">
        <v>0</v>
      </c>
      <c r="BW770">
        <v>981</v>
      </c>
      <c r="BX770">
        <v>0</v>
      </c>
      <c r="BY770">
        <v>0</v>
      </c>
      <c r="BZ770">
        <v>0</v>
      </c>
      <c r="CA770">
        <v>0</v>
      </c>
      <c r="CB770">
        <v>1</v>
      </c>
      <c r="CC770">
        <v>4</v>
      </c>
      <c r="CD770">
        <v>0</v>
      </c>
      <c r="CE770">
        <v>2</v>
      </c>
      <c r="CF770">
        <v>3</v>
      </c>
      <c r="CG770">
        <v>1</v>
      </c>
      <c r="CH770">
        <v>878</v>
      </c>
      <c r="CI770">
        <v>2</v>
      </c>
      <c r="CJ770">
        <v>2</v>
      </c>
      <c r="CK770">
        <v>0</v>
      </c>
      <c r="CL770">
        <v>0</v>
      </c>
      <c r="CM770">
        <v>7</v>
      </c>
      <c r="CN770">
        <v>1</v>
      </c>
      <c r="CO770">
        <v>0</v>
      </c>
      <c r="CP770">
        <v>0</v>
      </c>
      <c r="CQ770">
        <v>131</v>
      </c>
      <c r="CR770">
        <v>10</v>
      </c>
      <c r="CS770">
        <v>807</v>
      </c>
      <c r="CT770">
        <v>0</v>
      </c>
      <c r="CU770">
        <v>2</v>
      </c>
      <c r="CV770">
        <v>0</v>
      </c>
      <c r="CW770">
        <v>2</v>
      </c>
      <c r="CX770">
        <v>1</v>
      </c>
      <c r="CY770">
        <v>8</v>
      </c>
      <c r="CZ770">
        <v>0</v>
      </c>
      <c r="DA770">
        <v>2</v>
      </c>
      <c r="DB770">
        <v>0</v>
      </c>
      <c r="DC770">
        <v>0</v>
      </c>
      <c r="DD770">
        <v>1015</v>
      </c>
      <c r="DE770">
        <v>0</v>
      </c>
      <c r="DF770">
        <v>0</v>
      </c>
      <c r="DG770">
        <v>6</v>
      </c>
      <c r="DH770">
        <v>1</v>
      </c>
      <c r="DI770">
        <v>4</v>
      </c>
      <c r="DJ770">
        <v>1</v>
      </c>
      <c r="DK770">
        <v>26</v>
      </c>
      <c r="DL770">
        <v>16</v>
      </c>
      <c r="DM770">
        <v>0</v>
      </c>
      <c r="DN770">
        <v>18</v>
      </c>
      <c r="DO770">
        <v>899</v>
      </c>
      <c r="DP770">
        <v>3</v>
      </c>
      <c r="DQ770">
        <v>2</v>
      </c>
      <c r="DR770">
        <v>2</v>
      </c>
      <c r="DS770">
        <v>3</v>
      </c>
      <c r="DT770">
        <v>0</v>
      </c>
      <c r="DU770">
        <v>235</v>
      </c>
      <c r="DV770">
        <v>9</v>
      </c>
      <c r="DW770">
        <v>0</v>
      </c>
      <c r="DX770">
        <v>81</v>
      </c>
      <c r="DY770">
        <v>7</v>
      </c>
      <c r="DZ770">
        <v>670</v>
      </c>
      <c r="EA770">
        <v>0.91930000000000001</v>
      </c>
      <c r="EB770">
        <v>0.93517543119211199</v>
      </c>
      <c r="EC770">
        <v>0.91905824592197005</v>
      </c>
      <c r="ED770">
        <v>0.91935611501242598</v>
      </c>
      <c r="EE770">
        <f>SUM(Table1[[#This Row],[ratio_0]:[ratio_9]])</f>
        <v>460</v>
      </c>
      <c r="EF770" s="1">
        <f>(Table1[[#This Row],[predicted_0]]-Table1[[#This Row],[actual_0]])/Table1[[#This Row],[actual_0]]</f>
        <v>-1.6326530612244899E-2</v>
      </c>
      <c r="EG770" s="1">
        <f>(Table1[[#This Row],[predicted_1]]-Table1[[#This Row],[actual_1]])/Table1[[#This Row],[actual_1]]</f>
        <v>-1.7621145374449341E-2</v>
      </c>
      <c r="EH770" s="1">
        <f>(Table1[[#This Row],[predicted_2]]-Table1[[#This Row],[actual_2]])/Table1[[#This Row],[actual_2]]</f>
        <v>-8.7209302325581394E-3</v>
      </c>
      <c r="EI770" s="1">
        <f>(Table1[[#This Row],[predicted_3]]-Table1[[#This Row],[actual_3]])/Table1[[#This Row],[actual_3]]</f>
        <v>-0.100990099009901</v>
      </c>
      <c r="EJ770" s="1">
        <f>(Table1[[#This Row],[predicted_4]]-Table1[[#This Row],[actual_4]])/Table1[[#This Row],[actual_4]]</f>
        <v>0.48981670061099797</v>
      </c>
      <c r="EK770" s="1">
        <f>(Table1[[#This Row],[predicted_5]]-Table1[[#This Row],[actual_5]])/Table1[[#This Row],[actual_5]]</f>
        <v>7.1748878923766815E-2</v>
      </c>
      <c r="EL770" s="1">
        <f>(Table1[[#This Row],[predicted_6]]-Table1[[#This Row],[actual_6]])/Table1[[#This Row],[actual_6]]</f>
        <v>-0.15135699373695199</v>
      </c>
      <c r="EM770" s="1">
        <f>(Table1[[#This Row],[predicted_7]]-Table1[[#This Row],[actual_7]])/Table1[[#This Row],[actual_7]]</f>
        <v>0.11770428015564202</v>
      </c>
      <c r="EN770" s="1">
        <f>(Table1[[#This Row],[predicted_8]]-Table1[[#This Row],[actual_8]])/Table1[[#This Row],[actual_8]]</f>
        <v>-4.4147843942505136E-2</v>
      </c>
      <c r="EO770" s="1">
        <f>(Table1[[#This Row],[predicted_9]]-Table1[[#This Row],[actual_9]])/Table1[[#This Row],[actual_9]]</f>
        <v>-0.32804757185332012</v>
      </c>
      <c r="EP770" s="1">
        <f>1+(Table1[[#This Row],[error_ratio_0]]-EF$2)</f>
        <v>0.98163265306122449</v>
      </c>
      <c r="EQ770" s="1">
        <f>1+(Table1[[#This Row],[error_ratio_1]]-EG$2)</f>
        <v>0.98061674008810573</v>
      </c>
      <c r="ER770" s="1">
        <f>1+(Table1[[#This Row],[error_ratio_2]]-EH$2)</f>
        <v>0.99612403100775193</v>
      </c>
      <c r="ES770" s="1">
        <f>1+(Table1[[#This Row],[error_ratio_3]]-EI$2)</f>
        <v>0.88910891089108912</v>
      </c>
      <c r="ET770" s="1">
        <f>1+(Table1[[#This Row],[error_ratio_4]]-EJ$2)</f>
        <v>1.4887983706720977</v>
      </c>
      <c r="EU770" s="1">
        <f>1+(Table1[[#This Row],[error_ratio_5]]-EK$2)</f>
        <v>1.0706278026905829</v>
      </c>
      <c r="EV770" s="1">
        <f>1+(Table1[[#This Row],[error_ratio_6]]-EL$2)</f>
        <v>0.85490605427974953</v>
      </c>
      <c r="EW770" s="1">
        <f>1+(Table1[[#This Row],[error_ratio_7]]-EM$2)</f>
        <v>1.1157587548638133</v>
      </c>
      <c r="EX770" s="1">
        <f>1+(Table1[[#This Row],[error_ratio_8]]-EN$2)</f>
        <v>0.95893223819301843</v>
      </c>
      <c r="EY770" s="1">
        <f>1+(Table1[[#This Row],[error_ratio_9]]-EO$2)</f>
        <v>0.67591674925668976</v>
      </c>
    </row>
    <row r="771" spans="1:155" x14ac:dyDescent="0.75">
      <c r="A771">
        <v>100</v>
      </c>
      <c r="B771">
        <v>100</v>
      </c>
      <c r="C771">
        <v>10</v>
      </c>
      <c r="D771">
        <v>10</v>
      </c>
      <c r="E771">
        <v>100</v>
      </c>
      <c r="F771">
        <v>100</v>
      </c>
      <c r="G771">
        <v>10</v>
      </c>
      <c r="H771">
        <v>100</v>
      </c>
      <c r="I771">
        <v>10</v>
      </c>
      <c r="J771">
        <v>10</v>
      </c>
      <c r="K771">
        <v>1004</v>
      </c>
      <c r="L771">
        <v>1151</v>
      </c>
      <c r="M771">
        <v>1041</v>
      </c>
      <c r="N771">
        <v>1135</v>
      </c>
      <c r="O771">
        <v>994</v>
      </c>
      <c r="P771">
        <v>1030</v>
      </c>
      <c r="Q771">
        <v>829</v>
      </c>
      <c r="R771">
        <v>1065</v>
      </c>
      <c r="S771">
        <v>799</v>
      </c>
      <c r="T771">
        <v>952</v>
      </c>
      <c r="U771">
        <v>980</v>
      </c>
      <c r="V771">
        <v>1135</v>
      </c>
      <c r="W771">
        <v>1032</v>
      </c>
      <c r="X771">
        <v>1010</v>
      </c>
      <c r="Y771">
        <v>982</v>
      </c>
      <c r="Z771">
        <v>892</v>
      </c>
      <c r="AA771">
        <v>958</v>
      </c>
      <c r="AB771">
        <v>1028</v>
      </c>
      <c r="AC771">
        <v>974</v>
      </c>
      <c r="AD771">
        <v>1009</v>
      </c>
      <c r="AE771">
        <v>972</v>
      </c>
      <c r="AF771">
        <v>1</v>
      </c>
      <c r="AG771">
        <v>0</v>
      </c>
      <c r="AH771">
        <v>1</v>
      </c>
      <c r="AI771">
        <v>1</v>
      </c>
      <c r="AJ771">
        <v>4</v>
      </c>
      <c r="AK771">
        <v>1</v>
      </c>
      <c r="AL771">
        <v>0</v>
      </c>
      <c r="AM771">
        <v>0</v>
      </c>
      <c r="AN771">
        <v>0</v>
      </c>
      <c r="AO771">
        <v>0</v>
      </c>
      <c r="AP771">
        <v>1130</v>
      </c>
      <c r="AQ771">
        <v>0</v>
      </c>
      <c r="AR771">
        <v>2</v>
      </c>
      <c r="AS771">
        <v>1</v>
      </c>
      <c r="AT771">
        <v>1</v>
      </c>
      <c r="AU771">
        <v>0</v>
      </c>
      <c r="AV771">
        <v>1</v>
      </c>
      <c r="AW771">
        <v>0</v>
      </c>
      <c r="AX771">
        <v>0</v>
      </c>
      <c r="AY771">
        <v>1</v>
      </c>
      <c r="AZ771">
        <v>5</v>
      </c>
      <c r="BA771">
        <v>1000</v>
      </c>
      <c r="BB771">
        <v>12</v>
      </c>
      <c r="BC771">
        <v>0</v>
      </c>
      <c r="BD771">
        <v>2</v>
      </c>
      <c r="BE771">
        <v>1</v>
      </c>
      <c r="BF771">
        <v>11</v>
      </c>
      <c r="BG771">
        <v>0</v>
      </c>
      <c r="BH771">
        <v>0</v>
      </c>
      <c r="BI771">
        <v>0</v>
      </c>
      <c r="BJ771">
        <v>0</v>
      </c>
      <c r="BK771">
        <v>4</v>
      </c>
      <c r="BL771">
        <v>997</v>
      </c>
      <c r="BM771">
        <v>0</v>
      </c>
      <c r="BN771">
        <v>3</v>
      </c>
      <c r="BO771">
        <v>0</v>
      </c>
      <c r="BP771">
        <v>5</v>
      </c>
      <c r="BQ771">
        <v>0</v>
      </c>
      <c r="BR771">
        <v>1</v>
      </c>
      <c r="BS771">
        <v>0</v>
      </c>
      <c r="BT771">
        <v>0</v>
      </c>
      <c r="BU771">
        <v>2</v>
      </c>
      <c r="BV771">
        <v>0</v>
      </c>
      <c r="BW771">
        <v>968</v>
      </c>
      <c r="BX771">
        <v>0</v>
      </c>
      <c r="BY771">
        <v>3</v>
      </c>
      <c r="BZ771">
        <v>3</v>
      </c>
      <c r="CA771">
        <v>0</v>
      </c>
      <c r="CB771">
        <v>6</v>
      </c>
      <c r="CC771">
        <v>1</v>
      </c>
      <c r="CD771">
        <v>0</v>
      </c>
      <c r="CE771">
        <v>0</v>
      </c>
      <c r="CF771">
        <v>22</v>
      </c>
      <c r="CG771">
        <v>0</v>
      </c>
      <c r="CH771">
        <v>868</v>
      </c>
      <c r="CI771">
        <v>0</v>
      </c>
      <c r="CJ771">
        <v>0</v>
      </c>
      <c r="CK771">
        <v>0</v>
      </c>
      <c r="CL771">
        <v>1</v>
      </c>
      <c r="CM771">
        <v>23</v>
      </c>
      <c r="CN771">
        <v>6</v>
      </c>
      <c r="CO771">
        <v>4</v>
      </c>
      <c r="CP771">
        <v>0</v>
      </c>
      <c r="CQ771">
        <v>14</v>
      </c>
      <c r="CR771">
        <v>86</v>
      </c>
      <c r="CS771">
        <v>823</v>
      </c>
      <c r="CT771">
        <v>0</v>
      </c>
      <c r="CU771">
        <v>1</v>
      </c>
      <c r="CV771">
        <v>1</v>
      </c>
      <c r="CW771">
        <v>1</v>
      </c>
      <c r="CX771">
        <v>3</v>
      </c>
      <c r="CY771">
        <v>12</v>
      </c>
      <c r="CZ771">
        <v>3</v>
      </c>
      <c r="DA771">
        <v>0</v>
      </c>
      <c r="DB771">
        <v>1</v>
      </c>
      <c r="DC771">
        <v>0</v>
      </c>
      <c r="DD771">
        <v>1006</v>
      </c>
      <c r="DE771">
        <v>1</v>
      </c>
      <c r="DF771">
        <v>1</v>
      </c>
      <c r="DG771">
        <v>1</v>
      </c>
      <c r="DH771">
        <v>1</v>
      </c>
      <c r="DI771">
        <v>18</v>
      </c>
      <c r="DJ771">
        <v>86</v>
      </c>
      <c r="DK771">
        <v>6</v>
      </c>
      <c r="DL771">
        <v>34</v>
      </c>
      <c r="DM771">
        <v>1</v>
      </c>
      <c r="DN771">
        <v>19</v>
      </c>
      <c r="DO771">
        <v>797</v>
      </c>
      <c r="DP771">
        <v>11</v>
      </c>
      <c r="DQ771">
        <v>5</v>
      </c>
      <c r="DR771">
        <v>5</v>
      </c>
      <c r="DS771">
        <v>1</v>
      </c>
      <c r="DT771">
        <v>12</v>
      </c>
      <c r="DU771">
        <v>4</v>
      </c>
      <c r="DV771">
        <v>31</v>
      </c>
      <c r="DW771">
        <v>0</v>
      </c>
      <c r="DX771">
        <v>20</v>
      </c>
      <c r="DY771">
        <v>0</v>
      </c>
      <c r="DZ771">
        <v>931</v>
      </c>
      <c r="EA771">
        <v>0.94920000000000004</v>
      </c>
      <c r="EB771">
        <v>0.95182742318528701</v>
      </c>
      <c r="EC771">
        <v>0.94810414943155596</v>
      </c>
      <c r="ED771">
        <v>0.94767901944469901</v>
      </c>
      <c r="EE771">
        <f>SUM(Table1[[#This Row],[ratio_0]:[ratio_9]])</f>
        <v>550</v>
      </c>
      <c r="EF771" s="1">
        <f>(Table1[[#This Row],[predicted_0]]-Table1[[#This Row],[actual_0]])/Table1[[#This Row],[actual_0]]</f>
        <v>2.4489795918367346E-2</v>
      </c>
      <c r="EG771" s="1">
        <f>(Table1[[#This Row],[predicted_1]]-Table1[[#This Row],[actual_1]])/Table1[[#This Row],[actual_1]]</f>
        <v>1.4096916299559472E-2</v>
      </c>
      <c r="EH771" s="1">
        <f>(Table1[[#This Row],[predicted_2]]-Table1[[#This Row],[actual_2]])/Table1[[#This Row],[actual_2]]</f>
        <v>8.7209302325581394E-3</v>
      </c>
      <c r="EI771" s="1">
        <f>(Table1[[#This Row],[predicted_3]]-Table1[[#This Row],[actual_3]])/Table1[[#This Row],[actual_3]]</f>
        <v>0.12376237623762376</v>
      </c>
      <c r="EJ771" s="1">
        <f>(Table1[[#This Row],[predicted_4]]-Table1[[#This Row],[actual_4]])/Table1[[#This Row],[actual_4]]</f>
        <v>1.2219959266802444E-2</v>
      </c>
      <c r="EK771" s="1">
        <f>(Table1[[#This Row],[predicted_5]]-Table1[[#This Row],[actual_5]])/Table1[[#This Row],[actual_5]]</f>
        <v>0.1547085201793722</v>
      </c>
      <c r="EL771" s="1">
        <f>(Table1[[#This Row],[predicted_6]]-Table1[[#This Row],[actual_6]])/Table1[[#This Row],[actual_6]]</f>
        <v>-0.13465553235908143</v>
      </c>
      <c r="EM771" s="1">
        <f>(Table1[[#This Row],[predicted_7]]-Table1[[#This Row],[actual_7]])/Table1[[#This Row],[actual_7]]</f>
        <v>3.5992217898832682E-2</v>
      </c>
      <c r="EN771" s="1">
        <f>(Table1[[#This Row],[predicted_8]]-Table1[[#This Row],[actual_8]])/Table1[[#This Row],[actual_8]]</f>
        <v>-0.17967145790554415</v>
      </c>
      <c r="EO771" s="1">
        <f>(Table1[[#This Row],[predicted_9]]-Table1[[#This Row],[actual_9]])/Table1[[#This Row],[actual_9]]</f>
        <v>-5.6491575817641228E-2</v>
      </c>
      <c r="EP771" s="1">
        <f>1+(Table1[[#This Row],[error_ratio_0]]-EF$2)</f>
        <v>1.0224489795918368</v>
      </c>
      <c r="EQ771" s="1">
        <f>1+(Table1[[#This Row],[error_ratio_1]]-EG$2)</f>
        <v>1.0123348017621145</v>
      </c>
      <c r="ER771" s="1">
        <f>1+(Table1[[#This Row],[error_ratio_2]]-EH$2)</f>
        <v>1.0135658914728682</v>
      </c>
      <c r="ES771" s="1">
        <f>1+(Table1[[#This Row],[error_ratio_3]]-EI$2)</f>
        <v>1.113861386138614</v>
      </c>
      <c r="ET771" s="1">
        <f>1+(Table1[[#This Row],[error_ratio_4]]-EJ$2)</f>
        <v>1.0112016293279023</v>
      </c>
      <c r="EU771" s="1">
        <f>1+(Table1[[#This Row],[error_ratio_5]]-EK$2)</f>
        <v>1.1535874439461884</v>
      </c>
      <c r="EV771" s="1">
        <f>1+(Table1[[#This Row],[error_ratio_6]]-EL$2)</f>
        <v>0.87160751565762007</v>
      </c>
      <c r="EW771" s="1">
        <f>1+(Table1[[#This Row],[error_ratio_7]]-EM$2)</f>
        <v>1.034046692607004</v>
      </c>
      <c r="EX771" s="1">
        <f>1+(Table1[[#This Row],[error_ratio_8]]-EN$2)</f>
        <v>0.8234086242299794</v>
      </c>
      <c r="EY771" s="1">
        <f>1+(Table1[[#This Row],[error_ratio_9]]-EO$2)</f>
        <v>0.94747274529236869</v>
      </c>
    </row>
    <row r="772" spans="1:155" x14ac:dyDescent="0.75">
      <c r="A772">
        <v>10</v>
      </c>
      <c r="B772">
        <v>100</v>
      </c>
      <c r="C772">
        <v>10</v>
      </c>
      <c r="D772">
        <v>10</v>
      </c>
      <c r="E772">
        <v>100</v>
      </c>
      <c r="F772">
        <v>100</v>
      </c>
      <c r="G772">
        <v>10</v>
      </c>
      <c r="H772">
        <v>100</v>
      </c>
      <c r="I772">
        <v>10</v>
      </c>
      <c r="J772">
        <v>10</v>
      </c>
      <c r="K772">
        <v>1000</v>
      </c>
      <c r="L772">
        <v>1200</v>
      </c>
      <c r="M772">
        <v>1061</v>
      </c>
      <c r="N772">
        <v>951</v>
      </c>
      <c r="O772">
        <v>965</v>
      </c>
      <c r="P772">
        <v>1098</v>
      </c>
      <c r="Q772">
        <v>903</v>
      </c>
      <c r="R772">
        <v>1020</v>
      </c>
      <c r="S772">
        <v>812</v>
      </c>
      <c r="T772">
        <v>990</v>
      </c>
      <c r="U772">
        <v>980</v>
      </c>
      <c r="V772">
        <v>1135</v>
      </c>
      <c r="W772">
        <v>1032</v>
      </c>
      <c r="X772">
        <v>1010</v>
      </c>
      <c r="Y772">
        <v>982</v>
      </c>
      <c r="Z772">
        <v>892</v>
      </c>
      <c r="AA772">
        <v>958</v>
      </c>
      <c r="AB772">
        <v>1028</v>
      </c>
      <c r="AC772">
        <v>974</v>
      </c>
      <c r="AD772">
        <v>1009</v>
      </c>
      <c r="AE772">
        <v>967</v>
      </c>
      <c r="AF772">
        <v>1</v>
      </c>
      <c r="AG772">
        <v>2</v>
      </c>
      <c r="AH772">
        <v>1</v>
      </c>
      <c r="AI772">
        <v>0</v>
      </c>
      <c r="AJ772">
        <v>6</v>
      </c>
      <c r="AK772">
        <v>1</v>
      </c>
      <c r="AL772">
        <v>1</v>
      </c>
      <c r="AM772">
        <v>1</v>
      </c>
      <c r="AN772">
        <v>0</v>
      </c>
      <c r="AO772">
        <v>0</v>
      </c>
      <c r="AP772">
        <v>1135</v>
      </c>
      <c r="AQ772">
        <v>0</v>
      </c>
      <c r="AR772">
        <v>0</v>
      </c>
      <c r="AS772">
        <v>0</v>
      </c>
      <c r="AT772">
        <v>0</v>
      </c>
      <c r="AU772">
        <v>0</v>
      </c>
      <c r="AV772">
        <v>0</v>
      </c>
      <c r="AW772">
        <v>0</v>
      </c>
      <c r="AX772">
        <v>0</v>
      </c>
      <c r="AY772">
        <v>2</v>
      </c>
      <c r="AZ772">
        <v>22</v>
      </c>
      <c r="BA772">
        <v>995</v>
      </c>
      <c r="BB772">
        <v>3</v>
      </c>
      <c r="BC772">
        <v>0</v>
      </c>
      <c r="BD772">
        <v>2</v>
      </c>
      <c r="BE772">
        <v>1</v>
      </c>
      <c r="BF772">
        <v>7</v>
      </c>
      <c r="BG772">
        <v>0</v>
      </c>
      <c r="BH772">
        <v>0</v>
      </c>
      <c r="BI772">
        <v>1</v>
      </c>
      <c r="BJ772">
        <v>1</v>
      </c>
      <c r="BK772">
        <v>7</v>
      </c>
      <c r="BL772">
        <v>937</v>
      </c>
      <c r="BM772">
        <v>0</v>
      </c>
      <c r="BN772">
        <v>46</v>
      </c>
      <c r="BO772">
        <v>0</v>
      </c>
      <c r="BP772">
        <v>8</v>
      </c>
      <c r="BQ772">
        <v>6</v>
      </c>
      <c r="BR772">
        <v>4</v>
      </c>
      <c r="BS772">
        <v>0</v>
      </c>
      <c r="BT772">
        <v>7</v>
      </c>
      <c r="BU772">
        <v>7</v>
      </c>
      <c r="BV772">
        <v>0</v>
      </c>
      <c r="BW772">
        <v>955</v>
      </c>
      <c r="BX772">
        <v>0</v>
      </c>
      <c r="BY772">
        <v>1</v>
      </c>
      <c r="BZ772">
        <v>1</v>
      </c>
      <c r="CA772">
        <v>1</v>
      </c>
      <c r="CB772">
        <v>10</v>
      </c>
      <c r="CC772">
        <v>2</v>
      </c>
      <c r="CD772">
        <v>1</v>
      </c>
      <c r="CE772">
        <v>0</v>
      </c>
      <c r="CF772">
        <v>0</v>
      </c>
      <c r="CG772">
        <v>0</v>
      </c>
      <c r="CH772">
        <v>887</v>
      </c>
      <c r="CI772">
        <v>1</v>
      </c>
      <c r="CJ772">
        <v>1</v>
      </c>
      <c r="CK772">
        <v>0</v>
      </c>
      <c r="CL772">
        <v>0</v>
      </c>
      <c r="CM772">
        <v>14</v>
      </c>
      <c r="CN772">
        <v>7</v>
      </c>
      <c r="CO772">
        <v>3</v>
      </c>
      <c r="CP772">
        <v>0</v>
      </c>
      <c r="CQ772">
        <v>0</v>
      </c>
      <c r="CR772">
        <v>36</v>
      </c>
      <c r="CS772">
        <v>898</v>
      </c>
      <c r="CT772">
        <v>0</v>
      </c>
      <c r="CU772">
        <v>0</v>
      </c>
      <c r="CV772">
        <v>0</v>
      </c>
      <c r="CW772">
        <v>0</v>
      </c>
      <c r="CX772">
        <v>10</v>
      </c>
      <c r="CY772">
        <v>18</v>
      </c>
      <c r="CZ772">
        <v>0</v>
      </c>
      <c r="DA772">
        <v>1</v>
      </c>
      <c r="DB772">
        <v>1</v>
      </c>
      <c r="DC772">
        <v>0</v>
      </c>
      <c r="DD772">
        <v>993</v>
      </c>
      <c r="DE772">
        <v>0</v>
      </c>
      <c r="DF772">
        <v>5</v>
      </c>
      <c r="DG772">
        <v>10</v>
      </c>
      <c r="DH772">
        <v>6</v>
      </c>
      <c r="DI772">
        <v>29</v>
      </c>
      <c r="DJ772">
        <v>6</v>
      </c>
      <c r="DK772">
        <v>3</v>
      </c>
      <c r="DL772">
        <v>102</v>
      </c>
      <c r="DM772">
        <v>1</v>
      </c>
      <c r="DN772">
        <v>4</v>
      </c>
      <c r="DO772">
        <v>802</v>
      </c>
      <c r="DP772">
        <v>11</v>
      </c>
      <c r="DQ772">
        <v>4</v>
      </c>
      <c r="DR772">
        <v>10</v>
      </c>
      <c r="DS772">
        <v>0</v>
      </c>
      <c r="DT772">
        <v>4</v>
      </c>
      <c r="DU772">
        <v>6</v>
      </c>
      <c r="DV772">
        <v>18</v>
      </c>
      <c r="DW772">
        <v>0</v>
      </c>
      <c r="DX772">
        <v>5</v>
      </c>
      <c r="DY772">
        <v>2</v>
      </c>
      <c r="DZ772">
        <v>960</v>
      </c>
      <c r="EA772">
        <v>0.95289999999999997</v>
      </c>
      <c r="EB772">
        <v>0.95587502610920605</v>
      </c>
      <c r="EC772">
        <v>0.95236729813185905</v>
      </c>
      <c r="ED772">
        <v>0.95211829799358805</v>
      </c>
      <c r="EE772">
        <f>SUM(Table1[[#This Row],[ratio_0]:[ratio_9]])</f>
        <v>460</v>
      </c>
      <c r="EF772" s="1">
        <f>(Table1[[#This Row],[predicted_0]]-Table1[[#This Row],[actual_0]])/Table1[[#This Row],[actual_0]]</f>
        <v>2.0408163265306121E-2</v>
      </c>
      <c r="EG772" s="1">
        <f>(Table1[[#This Row],[predicted_1]]-Table1[[#This Row],[actual_1]])/Table1[[#This Row],[actual_1]]</f>
        <v>5.7268722466960353E-2</v>
      </c>
      <c r="EH772" s="1">
        <f>(Table1[[#This Row],[predicted_2]]-Table1[[#This Row],[actual_2]])/Table1[[#This Row],[actual_2]]</f>
        <v>2.8100775193798451E-2</v>
      </c>
      <c r="EI772" s="1">
        <f>(Table1[[#This Row],[predicted_3]]-Table1[[#This Row],[actual_3]])/Table1[[#This Row],[actual_3]]</f>
        <v>-5.8415841584158419E-2</v>
      </c>
      <c r="EJ772" s="1">
        <f>(Table1[[#This Row],[predicted_4]]-Table1[[#This Row],[actual_4]])/Table1[[#This Row],[actual_4]]</f>
        <v>-1.7311608961303463E-2</v>
      </c>
      <c r="EK772" s="1">
        <f>(Table1[[#This Row],[predicted_5]]-Table1[[#This Row],[actual_5]])/Table1[[#This Row],[actual_5]]</f>
        <v>0.23094170403587444</v>
      </c>
      <c r="EL772" s="1">
        <f>(Table1[[#This Row],[predicted_6]]-Table1[[#This Row],[actual_6]])/Table1[[#This Row],[actual_6]]</f>
        <v>-5.7411273486430062E-2</v>
      </c>
      <c r="EM772" s="1">
        <f>(Table1[[#This Row],[predicted_7]]-Table1[[#This Row],[actual_7]])/Table1[[#This Row],[actual_7]]</f>
        <v>-7.7821011673151752E-3</v>
      </c>
      <c r="EN772" s="1">
        <f>(Table1[[#This Row],[predicted_8]]-Table1[[#This Row],[actual_8]])/Table1[[#This Row],[actual_8]]</f>
        <v>-0.16632443531827515</v>
      </c>
      <c r="EO772" s="1">
        <f>(Table1[[#This Row],[predicted_9]]-Table1[[#This Row],[actual_9]])/Table1[[#This Row],[actual_9]]</f>
        <v>-1.8830525272547076E-2</v>
      </c>
      <c r="EP772" s="1">
        <f>1+(Table1[[#This Row],[error_ratio_0]]-EF$2)</f>
        <v>1.0183673469387755</v>
      </c>
      <c r="EQ772" s="1">
        <f>1+(Table1[[#This Row],[error_ratio_1]]-EG$2)</f>
        <v>1.0555066079295155</v>
      </c>
      <c r="ER772" s="1">
        <f>1+(Table1[[#This Row],[error_ratio_2]]-EH$2)</f>
        <v>1.0329457364341086</v>
      </c>
      <c r="ES772" s="1">
        <f>1+(Table1[[#This Row],[error_ratio_3]]-EI$2)</f>
        <v>0.93168316831683162</v>
      </c>
      <c r="ET772" s="1">
        <f>1+(Table1[[#This Row],[error_ratio_4]]-EJ$2)</f>
        <v>0.98167006109979638</v>
      </c>
      <c r="EU772" s="1">
        <f>1+(Table1[[#This Row],[error_ratio_5]]-EK$2)</f>
        <v>1.2298206278026906</v>
      </c>
      <c r="EV772" s="1">
        <f>1+(Table1[[#This Row],[error_ratio_6]]-EL$2)</f>
        <v>0.94885177453027136</v>
      </c>
      <c r="EW772" s="1">
        <f>1+(Table1[[#This Row],[error_ratio_7]]-EM$2)</f>
        <v>0.99027237354085607</v>
      </c>
      <c r="EX772" s="1">
        <f>1+(Table1[[#This Row],[error_ratio_8]]-EN$2)</f>
        <v>0.83675564681724846</v>
      </c>
      <c r="EY772" s="1">
        <f>1+(Table1[[#This Row],[error_ratio_9]]-EO$2)</f>
        <v>0.98513379583746286</v>
      </c>
    </row>
    <row r="773" spans="1:155" x14ac:dyDescent="0.75">
      <c r="A773">
        <v>100</v>
      </c>
      <c r="B773">
        <v>10</v>
      </c>
      <c r="C773">
        <v>10</v>
      </c>
      <c r="D773">
        <v>10</v>
      </c>
      <c r="E773">
        <v>100</v>
      </c>
      <c r="F773">
        <v>100</v>
      </c>
      <c r="G773">
        <v>10</v>
      </c>
      <c r="H773">
        <v>100</v>
      </c>
      <c r="I773">
        <v>10</v>
      </c>
      <c r="J773">
        <v>10</v>
      </c>
      <c r="K773">
        <v>1028</v>
      </c>
      <c r="L773">
        <v>1091</v>
      </c>
      <c r="M773">
        <v>921</v>
      </c>
      <c r="N773">
        <v>873</v>
      </c>
      <c r="O773">
        <v>1061</v>
      </c>
      <c r="P773">
        <v>994</v>
      </c>
      <c r="Q773">
        <v>933</v>
      </c>
      <c r="R773">
        <v>1152</v>
      </c>
      <c r="S773">
        <v>1308</v>
      </c>
      <c r="T773">
        <v>639</v>
      </c>
      <c r="U773">
        <v>980</v>
      </c>
      <c r="V773">
        <v>1135</v>
      </c>
      <c r="W773">
        <v>1032</v>
      </c>
      <c r="X773">
        <v>1010</v>
      </c>
      <c r="Y773">
        <v>982</v>
      </c>
      <c r="Z773">
        <v>892</v>
      </c>
      <c r="AA773">
        <v>958</v>
      </c>
      <c r="AB773">
        <v>1028</v>
      </c>
      <c r="AC773">
        <v>974</v>
      </c>
      <c r="AD773">
        <v>1009</v>
      </c>
      <c r="AE773">
        <v>970</v>
      </c>
      <c r="AF773">
        <v>0</v>
      </c>
      <c r="AG773">
        <v>0</v>
      </c>
      <c r="AH773">
        <v>0</v>
      </c>
      <c r="AI773">
        <v>0</v>
      </c>
      <c r="AJ773">
        <v>5</v>
      </c>
      <c r="AK773">
        <v>0</v>
      </c>
      <c r="AL773">
        <v>2</v>
      </c>
      <c r="AM773">
        <v>3</v>
      </c>
      <c r="AN773">
        <v>0</v>
      </c>
      <c r="AO773">
        <v>2</v>
      </c>
      <c r="AP773">
        <v>1088</v>
      </c>
      <c r="AQ773">
        <v>3</v>
      </c>
      <c r="AR773">
        <v>3</v>
      </c>
      <c r="AS773">
        <v>0</v>
      </c>
      <c r="AT773">
        <v>2</v>
      </c>
      <c r="AU773">
        <v>2</v>
      </c>
      <c r="AV773">
        <v>13</v>
      </c>
      <c r="AW773">
        <v>22</v>
      </c>
      <c r="AX773">
        <v>0</v>
      </c>
      <c r="AY773">
        <v>17</v>
      </c>
      <c r="AZ773">
        <v>0</v>
      </c>
      <c r="BA773">
        <v>914</v>
      </c>
      <c r="BB773">
        <v>0</v>
      </c>
      <c r="BC773">
        <v>6</v>
      </c>
      <c r="BD773">
        <v>5</v>
      </c>
      <c r="BE773">
        <v>1</v>
      </c>
      <c r="BF773">
        <v>50</v>
      </c>
      <c r="BG773">
        <v>39</v>
      </c>
      <c r="BH773">
        <v>0</v>
      </c>
      <c r="BI773">
        <v>2</v>
      </c>
      <c r="BJ773">
        <v>0</v>
      </c>
      <c r="BK773">
        <v>0</v>
      </c>
      <c r="BL773">
        <v>868</v>
      </c>
      <c r="BM773">
        <v>0</v>
      </c>
      <c r="BN773">
        <v>76</v>
      </c>
      <c r="BO773">
        <v>0</v>
      </c>
      <c r="BP773">
        <v>12</v>
      </c>
      <c r="BQ773">
        <v>52</v>
      </c>
      <c r="BR773">
        <v>0</v>
      </c>
      <c r="BS773">
        <v>2</v>
      </c>
      <c r="BT773">
        <v>0</v>
      </c>
      <c r="BU773">
        <v>2</v>
      </c>
      <c r="BV773">
        <v>0</v>
      </c>
      <c r="BW773">
        <v>969</v>
      </c>
      <c r="BX773">
        <v>0</v>
      </c>
      <c r="BY773">
        <v>3</v>
      </c>
      <c r="BZ773">
        <v>4</v>
      </c>
      <c r="CA773">
        <v>2</v>
      </c>
      <c r="CB773">
        <v>0</v>
      </c>
      <c r="CC773">
        <v>0</v>
      </c>
      <c r="CD773">
        <v>0</v>
      </c>
      <c r="CE773">
        <v>0</v>
      </c>
      <c r="CF773">
        <v>0</v>
      </c>
      <c r="CG773">
        <v>0</v>
      </c>
      <c r="CH773">
        <v>885</v>
      </c>
      <c r="CI773">
        <v>2</v>
      </c>
      <c r="CJ773">
        <v>0</v>
      </c>
      <c r="CK773">
        <v>5</v>
      </c>
      <c r="CL773">
        <v>0</v>
      </c>
      <c r="CM773">
        <v>19</v>
      </c>
      <c r="CN773">
        <v>1</v>
      </c>
      <c r="CO773">
        <v>1</v>
      </c>
      <c r="CP773">
        <v>0</v>
      </c>
      <c r="CQ773">
        <v>4</v>
      </c>
      <c r="CR773">
        <v>3</v>
      </c>
      <c r="CS773">
        <v>924</v>
      </c>
      <c r="CT773">
        <v>0</v>
      </c>
      <c r="CU773">
        <v>6</v>
      </c>
      <c r="CV773">
        <v>0</v>
      </c>
      <c r="CW773">
        <v>1</v>
      </c>
      <c r="CX773">
        <v>1</v>
      </c>
      <c r="CY773">
        <v>1</v>
      </c>
      <c r="CZ773">
        <v>0</v>
      </c>
      <c r="DA773">
        <v>0</v>
      </c>
      <c r="DB773">
        <v>0</v>
      </c>
      <c r="DC773">
        <v>0</v>
      </c>
      <c r="DD773">
        <v>1020</v>
      </c>
      <c r="DE773">
        <v>5</v>
      </c>
      <c r="DF773">
        <v>0</v>
      </c>
      <c r="DG773">
        <v>6</v>
      </c>
      <c r="DH773">
        <v>0</v>
      </c>
      <c r="DI773">
        <v>0</v>
      </c>
      <c r="DJ773">
        <v>0</v>
      </c>
      <c r="DK773">
        <v>4</v>
      </c>
      <c r="DL773">
        <v>0</v>
      </c>
      <c r="DM773">
        <v>1</v>
      </c>
      <c r="DN773">
        <v>1</v>
      </c>
      <c r="DO773">
        <v>962</v>
      </c>
      <c r="DP773">
        <v>0</v>
      </c>
      <c r="DQ773">
        <v>9</v>
      </c>
      <c r="DR773">
        <v>1</v>
      </c>
      <c r="DS773">
        <v>0</v>
      </c>
      <c r="DT773">
        <v>2</v>
      </c>
      <c r="DU773">
        <v>78</v>
      </c>
      <c r="DV773">
        <v>18</v>
      </c>
      <c r="DW773">
        <v>0</v>
      </c>
      <c r="DX773">
        <v>50</v>
      </c>
      <c r="DY773">
        <v>212</v>
      </c>
      <c r="DZ773">
        <v>639</v>
      </c>
      <c r="EA773">
        <v>0.92390000000000005</v>
      </c>
      <c r="EB773">
        <v>0.93423779570286802</v>
      </c>
      <c r="EC773">
        <v>0.92500725214088397</v>
      </c>
      <c r="ED773">
        <v>0.92203478248412896</v>
      </c>
      <c r="EE773">
        <f>SUM(Table1[[#This Row],[ratio_0]:[ratio_9]])</f>
        <v>460</v>
      </c>
      <c r="EF773" s="1">
        <f>(Table1[[#This Row],[predicted_0]]-Table1[[#This Row],[actual_0]])/Table1[[#This Row],[actual_0]]</f>
        <v>4.8979591836734691E-2</v>
      </c>
      <c r="EG773" s="1">
        <f>(Table1[[#This Row],[predicted_1]]-Table1[[#This Row],[actual_1]])/Table1[[#This Row],[actual_1]]</f>
        <v>-3.8766519823788544E-2</v>
      </c>
      <c r="EH773" s="1">
        <f>(Table1[[#This Row],[predicted_2]]-Table1[[#This Row],[actual_2]])/Table1[[#This Row],[actual_2]]</f>
        <v>-0.10755813953488372</v>
      </c>
      <c r="EI773" s="1">
        <f>(Table1[[#This Row],[predicted_3]]-Table1[[#This Row],[actual_3]])/Table1[[#This Row],[actual_3]]</f>
        <v>-0.13564356435643565</v>
      </c>
      <c r="EJ773" s="1">
        <f>(Table1[[#This Row],[predicted_4]]-Table1[[#This Row],[actual_4]])/Table1[[#This Row],[actual_4]]</f>
        <v>8.044806517311609E-2</v>
      </c>
      <c r="EK773" s="1">
        <f>(Table1[[#This Row],[predicted_5]]-Table1[[#This Row],[actual_5]])/Table1[[#This Row],[actual_5]]</f>
        <v>0.11434977578475336</v>
      </c>
      <c r="EL773" s="1">
        <f>(Table1[[#This Row],[predicted_6]]-Table1[[#This Row],[actual_6]])/Table1[[#This Row],[actual_6]]</f>
        <v>-2.6096033402922755E-2</v>
      </c>
      <c r="EM773" s="1">
        <f>(Table1[[#This Row],[predicted_7]]-Table1[[#This Row],[actual_7]])/Table1[[#This Row],[actual_7]]</f>
        <v>0.12062256809338522</v>
      </c>
      <c r="EN773" s="1">
        <f>(Table1[[#This Row],[predicted_8]]-Table1[[#This Row],[actual_8]])/Table1[[#This Row],[actual_8]]</f>
        <v>0.34291581108829566</v>
      </c>
      <c r="EO773" s="1">
        <f>(Table1[[#This Row],[predicted_9]]-Table1[[#This Row],[actual_9]])/Table1[[#This Row],[actual_9]]</f>
        <v>-0.36669970267591673</v>
      </c>
      <c r="EP773" s="1">
        <f>1+(Table1[[#This Row],[error_ratio_0]]-EF$2)</f>
        <v>1.046938775510204</v>
      </c>
      <c r="EQ773" s="1">
        <f>1+(Table1[[#This Row],[error_ratio_1]]-EG$2)</f>
        <v>0.95947136563876656</v>
      </c>
      <c r="ER773" s="1">
        <f>1+(Table1[[#This Row],[error_ratio_2]]-EH$2)</f>
        <v>0.8972868217054264</v>
      </c>
      <c r="ES773" s="1">
        <f>1+(Table1[[#This Row],[error_ratio_3]]-EI$2)</f>
        <v>0.85445544554455444</v>
      </c>
      <c r="ET773" s="1">
        <f>1+(Table1[[#This Row],[error_ratio_4]]-EJ$2)</f>
        <v>1.0794297352342159</v>
      </c>
      <c r="EU773" s="1">
        <f>1+(Table1[[#This Row],[error_ratio_5]]-EK$2)</f>
        <v>1.1132286995515694</v>
      </c>
      <c r="EV773" s="1">
        <f>1+(Table1[[#This Row],[error_ratio_6]]-EL$2)</f>
        <v>0.98016701461377875</v>
      </c>
      <c r="EW773" s="1">
        <f>1+(Table1[[#This Row],[error_ratio_7]]-EM$2)</f>
        <v>1.1186770428015564</v>
      </c>
      <c r="EX773" s="1">
        <f>1+(Table1[[#This Row],[error_ratio_8]]-EN$2)</f>
        <v>1.3459958932238192</v>
      </c>
      <c r="EY773" s="1">
        <f>1+(Table1[[#This Row],[error_ratio_9]]-EO$2)</f>
        <v>0.63726461843409321</v>
      </c>
    </row>
    <row r="774" spans="1:155" x14ac:dyDescent="0.75">
      <c r="A774">
        <v>10</v>
      </c>
      <c r="B774">
        <v>10</v>
      </c>
      <c r="C774">
        <v>10</v>
      </c>
      <c r="D774">
        <v>10</v>
      </c>
      <c r="E774">
        <v>100</v>
      </c>
      <c r="F774">
        <v>100</v>
      </c>
      <c r="G774">
        <v>10</v>
      </c>
      <c r="H774">
        <v>100</v>
      </c>
      <c r="I774">
        <v>10</v>
      </c>
      <c r="J774">
        <v>10</v>
      </c>
      <c r="K774">
        <v>1007</v>
      </c>
      <c r="L774">
        <v>1135</v>
      </c>
      <c r="M774">
        <v>951</v>
      </c>
      <c r="N774">
        <v>892</v>
      </c>
      <c r="O774">
        <v>1222</v>
      </c>
      <c r="P774">
        <v>1025</v>
      </c>
      <c r="Q774">
        <v>852</v>
      </c>
      <c r="R774">
        <v>1104</v>
      </c>
      <c r="S774">
        <v>966</v>
      </c>
      <c r="T774">
        <v>846</v>
      </c>
      <c r="U774">
        <v>980</v>
      </c>
      <c r="V774">
        <v>1135</v>
      </c>
      <c r="W774">
        <v>1032</v>
      </c>
      <c r="X774">
        <v>1010</v>
      </c>
      <c r="Y774">
        <v>982</v>
      </c>
      <c r="Z774">
        <v>892</v>
      </c>
      <c r="AA774">
        <v>958</v>
      </c>
      <c r="AB774">
        <v>1028</v>
      </c>
      <c r="AC774">
        <v>974</v>
      </c>
      <c r="AD774">
        <v>1009</v>
      </c>
      <c r="AE774">
        <v>966</v>
      </c>
      <c r="AF774">
        <v>0</v>
      </c>
      <c r="AG774">
        <v>0</v>
      </c>
      <c r="AH774">
        <v>0</v>
      </c>
      <c r="AI774">
        <v>2</v>
      </c>
      <c r="AJ774">
        <v>5</v>
      </c>
      <c r="AK774">
        <v>2</v>
      </c>
      <c r="AL774">
        <v>2</v>
      </c>
      <c r="AM774">
        <v>3</v>
      </c>
      <c r="AN774">
        <v>0</v>
      </c>
      <c r="AO774">
        <v>0</v>
      </c>
      <c r="AP774">
        <v>1119</v>
      </c>
      <c r="AQ774">
        <v>2</v>
      </c>
      <c r="AR774">
        <v>1</v>
      </c>
      <c r="AS774">
        <v>3</v>
      </c>
      <c r="AT774">
        <v>1</v>
      </c>
      <c r="AU774">
        <v>1</v>
      </c>
      <c r="AV774">
        <v>6</v>
      </c>
      <c r="AW774">
        <v>2</v>
      </c>
      <c r="AX774">
        <v>0</v>
      </c>
      <c r="AY774">
        <v>16</v>
      </c>
      <c r="AZ774">
        <v>4</v>
      </c>
      <c r="BA774">
        <v>943</v>
      </c>
      <c r="BB774">
        <v>4</v>
      </c>
      <c r="BC774">
        <v>14</v>
      </c>
      <c r="BD774">
        <v>3</v>
      </c>
      <c r="BE774">
        <v>0</v>
      </c>
      <c r="BF774">
        <v>32</v>
      </c>
      <c r="BG774">
        <v>16</v>
      </c>
      <c r="BH774">
        <v>0</v>
      </c>
      <c r="BI774">
        <v>1</v>
      </c>
      <c r="BJ774">
        <v>0</v>
      </c>
      <c r="BK774">
        <v>0</v>
      </c>
      <c r="BL774">
        <v>885</v>
      </c>
      <c r="BM774">
        <v>1</v>
      </c>
      <c r="BN774">
        <v>86</v>
      </c>
      <c r="BO774">
        <v>0</v>
      </c>
      <c r="BP774">
        <v>12</v>
      </c>
      <c r="BQ774">
        <v>16</v>
      </c>
      <c r="BR774">
        <v>9</v>
      </c>
      <c r="BS774">
        <v>0</v>
      </c>
      <c r="BT774">
        <v>0</v>
      </c>
      <c r="BU774">
        <v>0</v>
      </c>
      <c r="BV774">
        <v>0</v>
      </c>
      <c r="BW774">
        <v>982</v>
      </c>
      <c r="BX774">
        <v>0</v>
      </c>
      <c r="BY774">
        <v>0</v>
      </c>
      <c r="BZ774">
        <v>0</v>
      </c>
      <c r="CA774">
        <v>0</v>
      </c>
      <c r="CB774">
        <v>0</v>
      </c>
      <c r="CC774">
        <v>1</v>
      </c>
      <c r="CD774">
        <v>0</v>
      </c>
      <c r="CE774">
        <v>0</v>
      </c>
      <c r="CF774">
        <v>0</v>
      </c>
      <c r="CG774">
        <v>1</v>
      </c>
      <c r="CH774">
        <v>887</v>
      </c>
      <c r="CI774">
        <v>0</v>
      </c>
      <c r="CJ774">
        <v>1</v>
      </c>
      <c r="CK774">
        <v>2</v>
      </c>
      <c r="CL774">
        <v>0</v>
      </c>
      <c r="CM774">
        <v>7</v>
      </c>
      <c r="CN774">
        <v>3</v>
      </c>
      <c r="CO774">
        <v>0</v>
      </c>
      <c r="CP774">
        <v>0</v>
      </c>
      <c r="CQ774">
        <v>79</v>
      </c>
      <c r="CR774">
        <v>19</v>
      </c>
      <c r="CS774">
        <v>848</v>
      </c>
      <c r="CT774">
        <v>0</v>
      </c>
      <c r="CU774">
        <v>2</v>
      </c>
      <c r="CV774">
        <v>0</v>
      </c>
      <c r="CW774">
        <v>1</v>
      </c>
      <c r="CX774">
        <v>1</v>
      </c>
      <c r="CY774">
        <v>5</v>
      </c>
      <c r="CZ774">
        <v>1</v>
      </c>
      <c r="DA774">
        <v>2</v>
      </c>
      <c r="DB774">
        <v>0</v>
      </c>
      <c r="DC774">
        <v>0</v>
      </c>
      <c r="DD774">
        <v>1016</v>
      </c>
      <c r="DE774">
        <v>1</v>
      </c>
      <c r="DF774">
        <v>1</v>
      </c>
      <c r="DG774">
        <v>4</v>
      </c>
      <c r="DH774">
        <v>3</v>
      </c>
      <c r="DI774">
        <v>1</v>
      </c>
      <c r="DJ774">
        <v>0</v>
      </c>
      <c r="DK774">
        <v>19</v>
      </c>
      <c r="DL774">
        <v>13</v>
      </c>
      <c r="DM774">
        <v>1</v>
      </c>
      <c r="DN774">
        <v>13</v>
      </c>
      <c r="DO774">
        <v>920</v>
      </c>
      <c r="DP774">
        <v>0</v>
      </c>
      <c r="DQ774">
        <v>11</v>
      </c>
      <c r="DR774">
        <v>5</v>
      </c>
      <c r="DS774">
        <v>0</v>
      </c>
      <c r="DT774">
        <v>1</v>
      </c>
      <c r="DU774">
        <v>119</v>
      </c>
      <c r="DV774">
        <v>11</v>
      </c>
      <c r="DW774">
        <v>0</v>
      </c>
      <c r="DX774">
        <v>22</v>
      </c>
      <c r="DY774">
        <v>4</v>
      </c>
      <c r="DZ774">
        <v>836</v>
      </c>
      <c r="EA774">
        <v>0.94020000000000004</v>
      </c>
      <c r="EB774">
        <v>0.94540505064731695</v>
      </c>
      <c r="EC774">
        <v>0.94026152367624705</v>
      </c>
      <c r="ED774">
        <v>0.93963316812314202</v>
      </c>
      <c r="EE774">
        <f>SUM(Table1[[#This Row],[ratio_0]:[ratio_9]])</f>
        <v>370</v>
      </c>
      <c r="EF774" s="1">
        <f>(Table1[[#This Row],[predicted_0]]-Table1[[#This Row],[actual_0]])/Table1[[#This Row],[actual_0]]</f>
        <v>2.7551020408163266E-2</v>
      </c>
      <c r="EG774" s="1">
        <f>(Table1[[#This Row],[predicted_1]]-Table1[[#This Row],[actual_1]])/Table1[[#This Row],[actual_1]]</f>
        <v>0</v>
      </c>
      <c r="EH774" s="1">
        <f>(Table1[[#This Row],[predicted_2]]-Table1[[#This Row],[actual_2]])/Table1[[#This Row],[actual_2]]</f>
        <v>-7.8488372093023256E-2</v>
      </c>
      <c r="EI774" s="1">
        <f>(Table1[[#This Row],[predicted_3]]-Table1[[#This Row],[actual_3]])/Table1[[#This Row],[actual_3]]</f>
        <v>-0.11683168316831684</v>
      </c>
      <c r="EJ774" s="1">
        <f>(Table1[[#This Row],[predicted_4]]-Table1[[#This Row],[actual_4]])/Table1[[#This Row],[actual_4]]</f>
        <v>0.24439918533604887</v>
      </c>
      <c r="EK774" s="1">
        <f>(Table1[[#This Row],[predicted_5]]-Table1[[#This Row],[actual_5]])/Table1[[#This Row],[actual_5]]</f>
        <v>0.1491031390134529</v>
      </c>
      <c r="EL774" s="1">
        <f>(Table1[[#This Row],[predicted_6]]-Table1[[#This Row],[actual_6]])/Table1[[#This Row],[actual_6]]</f>
        <v>-0.11064718162839249</v>
      </c>
      <c r="EM774" s="1">
        <f>(Table1[[#This Row],[predicted_7]]-Table1[[#This Row],[actual_7]])/Table1[[#This Row],[actual_7]]</f>
        <v>7.3929961089494164E-2</v>
      </c>
      <c r="EN774" s="1">
        <f>(Table1[[#This Row],[predicted_8]]-Table1[[#This Row],[actual_8]])/Table1[[#This Row],[actual_8]]</f>
        <v>-8.2135523613963042E-3</v>
      </c>
      <c r="EO774" s="1">
        <f>(Table1[[#This Row],[predicted_9]]-Table1[[#This Row],[actual_9]])/Table1[[#This Row],[actual_9]]</f>
        <v>-0.16154608523290387</v>
      </c>
      <c r="EP774" s="1">
        <f>1+(Table1[[#This Row],[error_ratio_0]]-EF$2)</f>
        <v>1.0255102040816326</v>
      </c>
      <c r="EQ774" s="1">
        <f>1+(Table1[[#This Row],[error_ratio_1]]-EG$2)</f>
        <v>0.9982378854625551</v>
      </c>
      <c r="ER774" s="1">
        <f>1+(Table1[[#This Row],[error_ratio_2]]-EH$2)</f>
        <v>0.9263565891472868</v>
      </c>
      <c r="ES774" s="1">
        <f>1+(Table1[[#This Row],[error_ratio_3]]-EI$2)</f>
        <v>0.87326732673267327</v>
      </c>
      <c r="ET774" s="1">
        <f>1+(Table1[[#This Row],[error_ratio_4]]-EJ$2)</f>
        <v>1.2433808553971486</v>
      </c>
      <c r="EU774" s="1">
        <f>1+(Table1[[#This Row],[error_ratio_5]]-EK$2)</f>
        <v>1.147982062780269</v>
      </c>
      <c r="EV774" s="1">
        <f>1+(Table1[[#This Row],[error_ratio_6]]-EL$2)</f>
        <v>0.89561586638830892</v>
      </c>
      <c r="EW774" s="1">
        <f>1+(Table1[[#This Row],[error_ratio_7]]-EM$2)</f>
        <v>1.0719844357976653</v>
      </c>
      <c r="EX774" s="1">
        <f>1+(Table1[[#This Row],[error_ratio_8]]-EN$2)</f>
        <v>0.99486652977412726</v>
      </c>
      <c r="EY774" s="1">
        <f>1+(Table1[[#This Row],[error_ratio_9]]-EO$2)</f>
        <v>0.84241823587710607</v>
      </c>
    </row>
    <row r="775" spans="1:155" x14ac:dyDescent="0.75">
      <c r="A775">
        <v>100</v>
      </c>
      <c r="B775">
        <v>100</v>
      </c>
      <c r="C775">
        <v>100</v>
      </c>
      <c r="D775">
        <v>100</v>
      </c>
      <c r="E775">
        <v>10</v>
      </c>
      <c r="F775">
        <v>100</v>
      </c>
      <c r="G775">
        <v>10</v>
      </c>
      <c r="H775">
        <v>100</v>
      </c>
      <c r="I775">
        <v>10</v>
      </c>
      <c r="J775">
        <v>10</v>
      </c>
      <c r="K775">
        <v>1031</v>
      </c>
      <c r="L775">
        <v>1169</v>
      </c>
      <c r="M775">
        <v>1074</v>
      </c>
      <c r="N775">
        <v>1039</v>
      </c>
      <c r="O775">
        <v>953</v>
      </c>
      <c r="P775">
        <v>920</v>
      </c>
      <c r="Q775">
        <v>935</v>
      </c>
      <c r="R775">
        <v>1050</v>
      </c>
      <c r="S775">
        <v>861</v>
      </c>
      <c r="T775">
        <v>968</v>
      </c>
      <c r="U775">
        <v>980</v>
      </c>
      <c r="V775">
        <v>1135</v>
      </c>
      <c r="W775">
        <v>1032</v>
      </c>
      <c r="X775">
        <v>1010</v>
      </c>
      <c r="Y775">
        <v>982</v>
      </c>
      <c r="Z775">
        <v>892</v>
      </c>
      <c r="AA775">
        <v>958</v>
      </c>
      <c r="AB775">
        <v>1028</v>
      </c>
      <c r="AC775">
        <v>974</v>
      </c>
      <c r="AD775">
        <v>1009</v>
      </c>
      <c r="AE775">
        <v>976</v>
      </c>
      <c r="AF775">
        <v>2</v>
      </c>
      <c r="AG775">
        <v>0</v>
      </c>
      <c r="AH775">
        <v>0</v>
      </c>
      <c r="AI775">
        <v>0</v>
      </c>
      <c r="AJ775">
        <v>0</v>
      </c>
      <c r="AK775">
        <v>0</v>
      </c>
      <c r="AL775">
        <v>2</v>
      </c>
      <c r="AM775">
        <v>0</v>
      </c>
      <c r="AN775">
        <v>0</v>
      </c>
      <c r="AO775">
        <v>0</v>
      </c>
      <c r="AP775">
        <v>1132</v>
      </c>
      <c r="AQ775">
        <v>1</v>
      </c>
      <c r="AR775">
        <v>1</v>
      </c>
      <c r="AS775">
        <v>0</v>
      </c>
      <c r="AT775">
        <v>0</v>
      </c>
      <c r="AU775">
        <v>0</v>
      </c>
      <c r="AV775">
        <v>1</v>
      </c>
      <c r="AW775">
        <v>0</v>
      </c>
      <c r="AX775">
        <v>0</v>
      </c>
      <c r="AY775">
        <v>0</v>
      </c>
      <c r="AZ775">
        <v>3</v>
      </c>
      <c r="BA775">
        <v>1026</v>
      </c>
      <c r="BB775">
        <v>0</v>
      </c>
      <c r="BC775">
        <v>0</v>
      </c>
      <c r="BD775">
        <v>0</v>
      </c>
      <c r="BE775">
        <v>1</v>
      </c>
      <c r="BF775">
        <v>2</v>
      </c>
      <c r="BG775">
        <v>0</v>
      </c>
      <c r="BH775">
        <v>0</v>
      </c>
      <c r="BI775">
        <v>0</v>
      </c>
      <c r="BJ775">
        <v>0</v>
      </c>
      <c r="BK775">
        <v>1</v>
      </c>
      <c r="BL775">
        <v>1004</v>
      </c>
      <c r="BM775">
        <v>0</v>
      </c>
      <c r="BN775">
        <v>5</v>
      </c>
      <c r="BO775">
        <v>0</v>
      </c>
      <c r="BP775">
        <v>0</v>
      </c>
      <c r="BQ775">
        <v>0</v>
      </c>
      <c r="BR775">
        <v>0</v>
      </c>
      <c r="BS775">
        <v>2</v>
      </c>
      <c r="BT775">
        <v>11</v>
      </c>
      <c r="BU775">
        <v>6</v>
      </c>
      <c r="BV775">
        <v>0</v>
      </c>
      <c r="BW775">
        <v>941</v>
      </c>
      <c r="BX775">
        <v>0</v>
      </c>
      <c r="BY775">
        <v>6</v>
      </c>
      <c r="BZ775">
        <v>4</v>
      </c>
      <c r="CA775">
        <v>2</v>
      </c>
      <c r="CB775">
        <v>10</v>
      </c>
      <c r="CC775">
        <v>2</v>
      </c>
      <c r="CD775">
        <v>0</v>
      </c>
      <c r="CE775">
        <v>0</v>
      </c>
      <c r="CF775">
        <v>4</v>
      </c>
      <c r="CG775">
        <v>0</v>
      </c>
      <c r="CH775">
        <v>884</v>
      </c>
      <c r="CI775">
        <v>1</v>
      </c>
      <c r="CJ775">
        <v>1</v>
      </c>
      <c r="CK775">
        <v>0</v>
      </c>
      <c r="CL775">
        <v>0</v>
      </c>
      <c r="CM775">
        <v>14</v>
      </c>
      <c r="CN775">
        <v>6</v>
      </c>
      <c r="CO775">
        <v>1</v>
      </c>
      <c r="CP775">
        <v>0</v>
      </c>
      <c r="CQ775">
        <v>2</v>
      </c>
      <c r="CR775">
        <v>10</v>
      </c>
      <c r="CS775">
        <v>925</v>
      </c>
      <c r="CT775">
        <v>0</v>
      </c>
      <c r="CU775">
        <v>0</v>
      </c>
      <c r="CV775">
        <v>0</v>
      </c>
      <c r="CW775">
        <v>1</v>
      </c>
      <c r="CX775">
        <v>2</v>
      </c>
      <c r="CY775">
        <v>10</v>
      </c>
      <c r="CZ775">
        <v>2</v>
      </c>
      <c r="DA775">
        <v>0</v>
      </c>
      <c r="DB775">
        <v>0</v>
      </c>
      <c r="DC775">
        <v>0</v>
      </c>
      <c r="DD775">
        <v>1013</v>
      </c>
      <c r="DE775">
        <v>0</v>
      </c>
      <c r="DF775">
        <v>0</v>
      </c>
      <c r="DG775">
        <v>27</v>
      </c>
      <c r="DH775">
        <v>4</v>
      </c>
      <c r="DI775">
        <v>27</v>
      </c>
      <c r="DJ775">
        <v>24</v>
      </c>
      <c r="DK775">
        <v>1</v>
      </c>
      <c r="DL775">
        <v>17</v>
      </c>
      <c r="DM775">
        <v>2</v>
      </c>
      <c r="DN775">
        <v>6</v>
      </c>
      <c r="DO775">
        <v>857</v>
      </c>
      <c r="DP775">
        <v>9</v>
      </c>
      <c r="DQ775">
        <v>9</v>
      </c>
      <c r="DR775">
        <v>9</v>
      </c>
      <c r="DS775">
        <v>2</v>
      </c>
      <c r="DT775">
        <v>4</v>
      </c>
      <c r="DU775">
        <v>9</v>
      </c>
      <c r="DV775">
        <v>4</v>
      </c>
      <c r="DW775">
        <v>0</v>
      </c>
      <c r="DX775">
        <v>21</v>
      </c>
      <c r="DY775">
        <v>2</v>
      </c>
      <c r="DZ775">
        <v>949</v>
      </c>
      <c r="EA775">
        <v>0.97070000000000001</v>
      </c>
      <c r="EB775">
        <v>0.971469438387212</v>
      </c>
      <c r="EC775">
        <v>0.97021742869164695</v>
      </c>
      <c r="ED775">
        <v>0.97023378057957899</v>
      </c>
      <c r="EE775">
        <f>SUM(Table1[[#This Row],[ratio_0]:[ratio_9]])</f>
        <v>640</v>
      </c>
      <c r="EF775" s="1">
        <f>(Table1[[#This Row],[predicted_0]]-Table1[[#This Row],[actual_0]])/Table1[[#This Row],[actual_0]]</f>
        <v>5.2040816326530612E-2</v>
      </c>
      <c r="EG775" s="1">
        <f>(Table1[[#This Row],[predicted_1]]-Table1[[#This Row],[actual_1]])/Table1[[#This Row],[actual_1]]</f>
        <v>2.9955947136563875E-2</v>
      </c>
      <c r="EH775" s="1">
        <f>(Table1[[#This Row],[predicted_2]]-Table1[[#This Row],[actual_2]])/Table1[[#This Row],[actual_2]]</f>
        <v>4.0697674418604654E-2</v>
      </c>
      <c r="EI775" s="1">
        <f>(Table1[[#This Row],[predicted_3]]-Table1[[#This Row],[actual_3]])/Table1[[#This Row],[actual_3]]</f>
        <v>2.8712871287128714E-2</v>
      </c>
      <c r="EJ775" s="1">
        <f>(Table1[[#This Row],[predicted_4]]-Table1[[#This Row],[actual_4]])/Table1[[#This Row],[actual_4]]</f>
        <v>-2.9531568228105907E-2</v>
      </c>
      <c r="EK775" s="1">
        <f>(Table1[[#This Row],[predicted_5]]-Table1[[#This Row],[actual_5]])/Table1[[#This Row],[actual_5]]</f>
        <v>3.1390134529147982E-2</v>
      </c>
      <c r="EL775" s="1">
        <f>(Table1[[#This Row],[predicted_6]]-Table1[[#This Row],[actual_6]])/Table1[[#This Row],[actual_6]]</f>
        <v>-2.4008350730688934E-2</v>
      </c>
      <c r="EM775" s="1">
        <f>(Table1[[#This Row],[predicted_7]]-Table1[[#This Row],[actual_7]])/Table1[[#This Row],[actual_7]]</f>
        <v>2.1400778210116732E-2</v>
      </c>
      <c r="EN775" s="1">
        <f>(Table1[[#This Row],[predicted_8]]-Table1[[#This Row],[actual_8]])/Table1[[#This Row],[actual_8]]</f>
        <v>-0.11601642710472279</v>
      </c>
      <c r="EO775" s="1">
        <f>(Table1[[#This Row],[predicted_9]]-Table1[[#This Row],[actual_9]])/Table1[[#This Row],[actual_9]]</f>
        <v>-4.0634291377601585E-2</v>
      </c>
      <c r="EP775" s="1">
        <f>1+(Table1[[#This Row],[error_ratio_0]]-EF$2)</f>
        <v>1.05</v>
      </c>
      <c r="EQ775" s="1">
        <f>1+(Table1[[#This Row],[error_ratio_1]]-EG$2)</f>
        <v>1.0281938325991189</v>
      </c>
      <c r="ER775" s="1">
        <f>1+(Table1[[#This Row],[error_ratio_2]]-EH$2)</f>
        <v>1.0455426356589148</v>
      </c>
      <c r="ES775" s="1">
        <f>1+(Table1[[#This Row],[error_ratio_3]]-EI$2)</f>
        <v>1.0188118811881188</v>
      </c>
      <c r="ET775" s="1">
        <f>1+(Table1[[#This Row],[error_ratio_4]]-EJ$2)</f>
        <v>0.96945010183299385</v>
      </c>
      <c r="EU775" s="1">
        <f>1+(Table1[[#This Row],[error_ratio_5]]-EK$2)</f>
        <v>1.0302690582959642</v>
      </c>
      <c r="EV775" s="1">
        <f>1+(Table1[[#This Row],[error_ratio_6]]-EL$2)</f>
        <v>0.98225469728601256</v>
      </c>
      <c r="EW775" s="1">
        <f>1+(Table1[[#This Row],[error_ratio_7]]-EM$2)</f>
        <v>1.0194552529182879</v>
      </c>
      <c r="EX775" s="1">
        <f>1+(Table1[[#This Row],[error_ratio_8]]-EN$2)</f>
        <v>0.88706365503080087</v>
      </c>
      <c r="EY775" s="1">
        <f>1+(Table1[[#This Row],[error_ratio_9]]-EO$2)</f>
        <v>0.96333002973240833</v>
      </c>
    </row>
    <row r="776" spans="1:155" x14ac:dyDescent="0.75">
      <c r="A776">
        <v>10</v>
      </c>
      <c r="B776">
        <v>100</v>
      </c>
      <c r="C776">
        <v>100</v>
      </c>
      <c r="D776">
        <v>100</v>
      </c>
      <c r="E776">
        <v>10</v>
      </c>
      <c r="F776">
        <v>100</v>
      </c>
      <c r="G776">
        <v>10</v>
      </c>
      <c r="H776">
        <v>100</v>
      </c>
      <c r="I776">
        <v>10</v>
      </c>
      <c r="J776">
        <v>10</v>
      </c>
      <c r="K776">
        <v>994</v>
      </c>
      <c r="L776">
        <v>1176</v>
      </c>
      <c r="M776">
        <v>1063</v>
      </c>
      <c r="N776">
        <v>1064</v>
      </c>
      <c r="O776">
        <v>914</v>
      </c>
      <c r="P776">
        <v>908</v>
      </c>
      <c r="Q776">
        <v>910</v>
      </c>
      <c r="R776">
        <v>1048</v>
      </c>
      <c r="S776">
        <v>938</v>
      </c>
      <c r="T776">
        <v>985</v>
      </c>
      <c r="U776">
        <v>980</v>
      </c>
      <c r="V776">
        <v>1135</v>
      </c>
      <c r="W776">
        <v>1032</v>
      </c>
      <c r="X776">
        <v>1010</v>
      </c>
      <c r="Y776">
        <v>982</v>
      </c>
      <c r="Z776">
        <v>892</v>
      </c>
      <c r="AA776">
        <v>958</v>
      </c>
      <c r="AB776">
        <v>1028</v>
      </c>
      <c r="AC776">
        <v>974</v>
      </c>
      <c r="AD776">
        <v>1009</v>
      </c>
      <c r="AE776">
        <v>969</v>
      </c>
      <c r="AF776">
        <v>2</v>
      </c>
      <c r="AG776">
        <v>2</v>
      </c>
      <c r="AH776">
        <v>2</v>
      </c>
      <c r="AI776">
        <v>0</v>
      </c>
      <c r="AJ776">
        <v>1</v>
      </c>
      <c r="AK776">
        <v>0</v>
      </c>
      <c r="AL776">
        <v>2</v>
      </c>
      <c r="AM776">
        <v>2</v>
      </c>
      <c r="AN776">
        <v>0</v>
      </c>
      <c r="AO776">
        <v>0</v>
      </c>
      <c r="AP776">
        <v>1130</v>
      </c>
      <c r="AQ776">
        <v>2</v>
      </c>
      <c r="AR776">
        <v>2</v>
      </c>
      <c r="AS776">
        <v>0</v>
      </c>
      <c r="AT776">
        <v>1</v>
      </c>
      <c r="AU776">
        <v>0</v>
      </c>
      <c r="AV776">
        <v>0</v>
      </c>
      <c r="AW776">
        <v>0</v>
      </c>
      <c r="AX776">
        <v>0</v>
      </c>
      <c r="AY776">
        <v>2</v>
      </c>
      <c r="AZ776">
        <v>1</v>
      </c>
      <c r="BA776">
        <v>1024</v>
      </c>
      <c r="BB776">
        <v>1</v>
      </c>
      <c r="BC776">
        <v>0</v>
      </c>
      <c r="BD776">
        <v>0</v>
      </c>
      <c r="BE776">
        <v>0</v>
      </c>
      <c r="BF776">
        <v>4</v>
      </c>
      <c r="BG776">
        <v>0</v>
      </c>
      <c r="BH776">
        <v>0</v>
      </c>
      <c r="BI776">
        <v>0</v>
      </c>
      <c r="BJ776">
        <v>0</v>
      </c>
      <c r="BK776">
        <v>1</v>
      </c>
      <c r="BL776">
        <v>1004</v>
      </c>
      <c r="BM776">
        <v>0</v>
      </c>
      <c r="BN776">
        <v>1</v>
      </c>
      <c r="BO776">
        <v>0</v>
      </c>
      <c r="BP776">
        <v>2</v>
      </c>
      <c r="BQ776">
        <v>2</v>
      </c>
      <c r="BR776">
        <v>0</v>
      </c>
      <c r="BS776">
        <v>2</v>
      </c>
      <c r="BT776">
        <v>8</v>
      </c>
      <c r="BU776">
        <v>9</v>
      </c>
      <c r="BV776">
        <v>3</v>
      </c>
      <c r="BW776">
        <v>906</v>
      </c>
      <c r="BX776">
        <v>0</v>
      </c>
      <c r="BY776">
        <v>5</v>
      </c>
      <c r="BZ776">
        <v>15</v>
      </c>
      <c r="CA776">
        <v>6</v>
      </c>
      <c r="CB776">
        <v>28</v>
      </c>
      <c r="CC776">
        <v>1</v>
      </c>
      <c r="CD776">
        <v>0</v>
      </c>
      <c r="CE776">
        <v>0</v>
      </c>
      <c r="CF776">
        <v>13</v>
      </c>
      <c r="CG776">
        <v>0</v>
      </c>
      <c r="CH776">
        <v>873</v>
      </c>
      <c r="CI776">
        <v>0</v>
      </c>
      <c r="CJ776">
        <v>1</v>
      </c>
      <c r="CK776">
        <v>4</v>
      </c>
      <c r="CL776">
        <v>0</v>
      </c>
      <c r="CM776">
        <v>11</v>
      </c>
      <c r="CN776">
        <v>10</v>
      </c>
      <c r="CO776">
        <v>2</v>
      </c>
      <c r="CP776">
        <v>2</v>
      </c>
      <c r="CQ776">
        <v>8</v>
      </c>
      <c r="CR776">
        <v>17</v>
      </c>
      <c r="CS776">
        <v>904</v>
      </c>
      <c r="CT776">
        <v>0</v>
      </c>
      <c r="CU776">
        <v>4</v>
      </c>
      <c r="CV776">
        <v>0</v>
      </c>
      <c r="CW776">
        <v>2</v>
      </c>
      <c r="CX776">
        <v>4</v>
      </c>
      <c r="CY776">
        <v>6</v>
      </c>
      <c r="CZ776">
        <v>2</v>
      </c>
      <c r="DA776">
        <v>0</v>
      </c>
      <c r="DB776">
        <v>0</v>
      </c>
      <c r="DC776">
        <v>0</v>
      </c>
      <c r="DD776">
        <v>1012</v>
      </c>
      <c r="DE776">
        <v>1</v>
      </c>
      <c r="DF776">
        <v>1</v>
      </c>
      <c r="DG776">
        <v>1</v>
      </c>
      <c r="DH776">
        <v>15</v>
      </c>
      <c r="DI776">
        <v>17</v>
      </c>
      <c r="DJ776">
        <v>23</v>
      </c>
      <c r="DK776">
        <v>0</v>
      </c>
      <c r="DL776">
        <v>4</v>
      </c>
      <c r="DM776">
        <v>0</v>
      </c>
      <c r="DN776">
        <v>4</v>
      </c>
      <c r="DO776">
        <v>905</v>
      </c>
      <c r="DP776">
        <v>5</v>
      </c>
      <c r="DQ776">
        <v>6</v>
      </c>
      <c r="DR776">
        <v>6</v>
      </c>
      <c r="DS776">
        <v>0</v>
      </c>
      <c r="DT776">
        <v>12</v>
      </c>
      <c r="DU776">
        <v>0</v>
      </c>
      <c r="DV776">
        <v>11</v>
      </c>
      <c r="DW776">
        <v>1</v>
      </c>
      <c r="DX776">
        <v>8</v>
      </c>
      <c r="DY776">
        <v>14</v>
      </c>
      <c r="DZ776">
        <v>951</v>
      </c>
      <c r="EA776">
        <v>0.96779999999999999</v>
      </c>
      <c r="EB776">
        <v>0.96847113082047598</v>
      </c>
      <c r="EC776">
        <v>0.96717279883325202</v>
      </c>
      <c r="ED776">
        <v>0.96744800396756203</v>
      </c>
      <c r="EE776">
        <f>SUM(Table1[[#This Row],[ratio_0]:[ratio_9]])</f>
        <v>550</v>
      </c>
      <c r="EF776" s="1">
        <f>(Table1[[#This Row],[predicted_0]]-Table1[[#This Row],[actual_0]])/Table1[[#This Row],[actual_0]]</f>
        <v>1.4285714285714285E-2</v>
      </c>
      <c r="EG776" s="1">
        <f>(Table1[[#This Row],[predicted_1]]-Table1[[#This Row],[actual_1]])/Table1[[#This Row],[actual_1]]</f>
        <v>3.6123348017621147E-2</v>
      </c>
      <c r="EH776" s="1">
        <f>(Table1[[#This Row],[predicted_2]]-Table1[[#This Row],[actual_2]])/Table1[[#This Row],[actual_2]]</f>
        <v>3.0038759689922482E-2</v>
      </c>
      <c r="EI776" s="1">
        <f>(Table1[[#This Row],[predicted_3]]-Table1[[#This Row],[actual_3]])/Table1[[#This Row],[actual_3]]</f>
        <v>5.3465346534653464E-2</v>
      </c>
      <c r="EJ776" s="1">
        <f>(Table1[[#This Row],[predicted_4]]-Table1[[#This Row],[actual_4]])/Table1[[#This Row],[actual_4]]</f>
        <v>-6.9246435845213852E-2</v>
      </c>
      <c r="EK776" s="1">
        <f>(Table1[[#This Row],[predicted_5]]-Table1[[#This Row],[actual_5]])/Table1[[#This Row],[actual_5]]</f>
        <v>1.7937219730941704E-2</v>
      </c>
      <c r="EL776" s="1">
        <f>(Table1[[#This Row],[predicted_6]]-Table1[[#This Row],[actual_6]])/Table1[[#This Row],[actual_6]]</f>
        <v>-5.0104384133611693E-2</v>
      </c>
      <c r="EM776" s="1">
        <f>(Table1[[#This Row],[predicted_7]]-Table1[[#This Row],[actual_7]])/Table1[[#This Row],[actual_7]]</f>
        <v>1.9455252918287938E-2</v>
      </c>
      <c r="EN776" s="1">
        <f>(Table1[[#This Row],[predicted_8]]-Table1[[#This Row],[actual_8]])/Table1[[#This Row],[actual_8]]</f>
        <v>-3.6960985626283367E-2</v>
      </c>
      <c r="EO776" s="1">
        <f>(Table1[[#This Row],[predicted_9]]-Table1[[#This Row],[actual_9]])/Table1[[#This Row],[actual_9]]</f>
        <v>-2.3785926660059464E-2</v>
      </c>
      <c r="EP776" s="1">
        <f>1+(Table1[[#This Row],[error_ratio_0]]-EF$2)</f>
        <v>1.0122448979591836</v>
      </c>
      <c r="EQ776" s="1">
        <f>1+(Table1[[#This Row],[error_ratio_1]]-EG$2)</f>
        <v>1.0343612334801762</v>
      </c>
      <c r="ER776" s="1">
        <f>1+(Table1[[#This Row],[error_ratio_2]]-EH$2)</f>
        <v>1.0348837209302326</v>
      </c>
      <c r="ES776" s="1">
        <f>1+(Table1[[#This Row],[error_ratio_3]]-EI$2)</f>
        <v>1.0435643564356436</v>
      </c>
      <c r="ET776" s="1">
        <f>1+(Table1[[#This Row],[error_ratio_4]]-EJ$2)</f>
        <v>0.929735234215886</v>
      </c>
      <c r="EU776" s="1">
        <f>1+(Table1[[#This Row],[error_ratio_5]]-EK$2)</f>
        <v>1.0168161434977578</v>
      </c>
      <c r="EV776" s="1">
        <f>1+(Table1[[#This Row],[error_ratio_6]]-EL$2)</f>
        <v>0.95615866388308979</v>
      </c>
      <c r="EW776" s="1">
        <f>1+(Table1[[#This Row],[error_ratio_7]]-EM$2)</f>
        <v>1.0175097276264591</v>
      </c>
      <c r="EX776" s="1">
        <f>1+(Table1[[#This Row],[error_ratio_8]]-EN$2)</f>
        <v>0.96611909650924022</v>
      </c>
      <c r="EY776" s="1">
        <f>1+(Table1[[#This Row],[error_ratio_9]]-EO$2)</f>
        <v>0.98017839444995047</v>
      </c>
    </row>
    <row r="777" spans="1:155" x14ac:dyDescent="0.75">
      <c r="A777">
        <v>100</v>
      </c>
      <c r="B777">
        <v>10</v>
      </c>
      <c r="C777">
        <v>100</v>
      </c>
      <c r="D777">
        <v>100</v>
      </c>
      <c r="E777">
        <v>10</v>
      </c>
      <c r="F777">
        <v>100</v>
      </c>
      <c r="G777">
        <v>10</v>
      </c>
      <c r="H777">
        <v>100</v>
      </c>
      <c r="I777">
        <v>10</v>
      </c>
      <c r="J777">
        <v>10</v>
      </c>
      <c r="K777">
        <v>1030</v>
      </c>
      <c r="L777">
        <v>1121</v>
      </c>
      <c r="M777">
        <v>1220</v>
      </c>
      <c r="N777">
        <v>1061</v>
      </c>
      <c r="O777">
        <v>929</v>
      </c>
      <c r="P777">
        <v>924</v>
      </c>
      <c r="Q777">
        <v>894</v>
      </c>
      <c r="R777">
        <v>1030</v>
      </c>
      <c r="S777">
        <v>825</v>
      </c>
      <c r="T777">
        <v>966</v>
      </c>
      <c r="U777">
        <v>980</v>
      </c>
      <c r="V777">
        <v>1135</v>
      </c>
      <c r="W777">
        <v>1032</v>
      </c>
      <c r="X777">
        <v>1010</v>
      </c>
      <c r="Y777">
        <v>982</v>
      </c>
      <c r="Z777">
        <v>892</v>
      </c>
      <c r="AA777">
        <v>958</v>
      </c>
      <c r="AB777">
        <v>1028</v>
      </c>
      <c r="AC777">
        <v>974</v>
      </c>
      <c r="AD777">
        <v>1009</v>
      </c>
      <c r="AE777">
        <v>974</v>
      </c>
      <c r="AF777">
        <v>0</v>
      </c>
      <c r="AG777">
        <v>5</v>
      </c>
      <c r="AH777">
        <v>0</v>
      </c>
      <c r="AI777">
        <v>0</v>
      </c>
      <c r="AJ777">
        <v>0</v>
      </c>
      <c r="AK777">
        <v>0</v>
      </c>
      <c r="AL777">
        <v>1</v>
      </c>
      <c r="AM777">
        <v>0</v>
      </c>
      <c r="AN777">
        <v>0</v>
      </c>
      <c r="AO777">
        <v>0</v>
      </c>
      <c r="AP777">
        <v>1113</v>
      </c>
      <c r="AQ777">
        <v>16</v>
      </c>
      <c r="AR777">
        <v>2</v>
      </c>
      <c r="AS777">
        <v>0</v>
      </c>
      <c r="AT777">
        <v>0</v>
      </c>
      <c r="AU777">
        <v>0</v>
      </c>
      <c r="AV777">
        <v>3</v>
      </c>
      <c r="AW777">
        <v>1</v>
      </c>
      <c r="AX777">
        <v>0</v>
      </c>
      <c r="AY777">
        <v>0</v>
      </c>
      <c r="AZ777">
        <v>0</v>
      </c>
      <c r="BA777">
        <v>1030</v>
      </c>
      <c r="BB777">
        <v>0</v>
      </c>
      <c r="BC777">
        <v>0</v>
      </c>
      <c r="BD777">
        <v>0</v>
      </c>
      <c r="BE777">
        <v>0</v>
      </c>
      <c r="BF777">
        <v>2</v>
      </c>
      <c r="BG777">
        <v>0</v>
      </c>
      <c r="BH777">
        <v>0</v>
      </c>
      <c r="BI777">
        <v>0</v>
      </c>
      <c r="BJ777">
        <v>0</v>
      </c>
      <c r="BK777">
        <v>7</v>
      </c>
      <c r="BL777">
        <v>997</v>
      </c>
      <c r="BM777">
        <v>0</v>
      </c>
      <c r="BN777">
        <v>3</v>
      </c>
      <c r="BO777">
        <v>0</v>
      </c>
      <c r="BP777">
        <v>3</v>
      </c>
      <c r="BQ777">
        <v>0</v>
      </c>
      <c r="BR777">
        <v>0</v>
      </c>
      <c r="BS777">
        <v>5</v>
      </c>
      <c r="BT777">
        <v>1</v>
      </c>
      <c r="BU777">
        <v>25</v>
      </c>
      <c r="BV777">
        <v>0</v>
      </c>
      <c r="BW777">
        <v>918</v>
      </c>
      <c r="BX777">
        <v>1</v>
      </c>
      <c r="BY777">
        <v>4</v>
      </c>
      <c r="BZ777">
        <v>5</v>
      </c>
      <c r="CA777">
        <v>4</v>
      </c>
      <c r="CB777">
        <v>19</v>
      </c>
      <c r="CC777">
        <v>2</v>
      </c>
      <c r="CD777">
        <v>0</v>
      </c>
      <c r="CE777">
        <v>2</v>
      </c>
      <c r="CF777">
        <v>9</v>
      </c>
      <c r="CG777">
        <v>0</v>
      </c>
      <c r="CH777">
        <v>876</v>
      </c>
      <c r="CI777">
        <v>2</v>
      </c>
      <c r="CJ777">
        <v>1</v>
      </c>
      <c r="CK777">
        <v>0</v>
      </c>
      <c r="CL777">
        <v>0</v>
      </c>
      <c r="CM777">
        <v>29</v>
      </c>
      <c r="CN777">
        <v>2</v>
      </c>
      <c r="CO777">
        <v>28</v>
      </c>
      <c r="CP777">
        <v>0</v>
      </c>
      <c r="CQ777">
        <v>6</v>
      </c>
      <c r="CR777">
        <v>9</v>
      </c>
      <c r="CS777">
        <v>883</v>
      </c>
      <c r="CT777">
        <v>0</v>
      </c>
      <c r="CU777">
        <v>1</v>
      </c>
      <c r="CV777">
        <v>0</v>
      </c>
      <c r="CW777">
        <v>2</v>
      </c>
      <c r="CX777">
        <v>1</v>
      </c>
      <c r="CY777">
        <v>16</v>
      </c>
      <c r="CZ777">
        <v>8</v>
      </c>
      <c r="DA777">
        <v>0</v>
      </c>
      <c r="DB777">
        <v>0</v>
      </c>
      <c r="DC777">
        <v>0</v>
      </c>
      <c r="DD777">
        <v>1000</v>
      </c>
      <c r="DE777">
        <v>0</v>
      </c>
      <c r="DF777">
        <v>1</v>
      </c>
      <c r="DG777">
        <v>6</v>
      </c>
      <c r="DH777">
        <v>0</v>
      </c>
      <c r="DI777">
        <v>87</v>
      </c>
      <c r="DJ777">
        <v>27</v>
      </c>
      <c r="DK777">
        <v>1</v>
      </c>
      <c r="DL777">
        <v>19</v>
      </c>
      <c r="DM777">
        <v>4</v>
      </c>
      <c r="DN777">
        <v>7</v>
      </c>
      <c r="DO777">
        <v>819</v>
      </c>
      <c r="DP777">
        <v>4</v>
      </c>
      <c r="DQ777">
        <v>12</v>
      </c>
      <c r="DR777">
        <v>4</v>
      </c>
      <c r="DS777">
        <v>4</v>
      </c>
      <c r="DT777">
        <v>18</v>
      </c>
      <c r="DU777">
        <v>4</v>
      </c>
      <c r="DV777">
        <v>16</v>
      </c>
      <c r="DW777">
        <v>1</v>
      </c>
      <c r="DX777">
        <v>8</v>
      </c>
      <c r="DY777">
        <v>0</v>
      </c>
      <c r="DZ777">
        <v>942</v>
      </c>
      <c r="EA777">
        <v>0.95520000000000005</v>
      </c>
      <c r="EB777">
        <v>0.95850997725767395</v>
      </c>
      <c r="EC777">
        <v>0.95455092737740299</v>
      </c>
      <c r="ED777">
        <v>0.95487408433336596</v>
      </c>
      <c r="EE777">
        <f>SUM(Table1[[#This Row],[ratio_0]:[ratio_9]])</f>
        <v>550</v>
      </c>
      <c r="EF777" s="1">
        <f>(Table1[[#This Row],[predicted_0]]-Table1[[#This Row],[actual_0]])/Table1[[#This Row],[actual_0]]</f>
        <v>5.1020408163265307E-2</v>
      </c>
      <c r="EG777" s="1">
        <f>(Table1[[#This Row],[predicted_1]]-Table1[[#This Row],[actual_1]])/Table1[[#This Row],[actual_1]]</f>
        <v>-1.2334801762114538E-2</v>
      </c>
      <c r="EH777" s="1">
        <f>(Table1[[#This Row],[predicted_2]]-Table1[[#This Row],[actual_2]])/Table1[[#This Row],[actual_2]]</f>
        <v>0.18217054263565891</v>
      </c>
      <c r="EI777" s="1">
        <f>(Table1[[#This Row],[predicted_3]]-Table1[[#This Row],[actual_3]])/Table1[[#This Row],[actual_3]]</f>
        <v>5.0495049504950498E-2</v>
      </c>
      <c r="EJ777" s="1">
        <f>(Table1[[#This Row],[predicted_4]]-Table1[[#This Row],[actual_4]])/Table1[[#This Row],[actual_4]]</f>
        <v>-5.3971486761710798E-2</v>
      </c>
      <c r="EK777" s="1">
        <f>(Table1[[#This Row],[predicted_5]]-Table1[[#This Row],[actual_5]])/Table1[[#This Row],[actual_5]]</f>
        <v>3.5874439461883408E-2</v>
      </c>
      <c r="EL777" s="1">
        <f>(Table1[[#This Row],[predicted_6]]-Table1[[#This Row],[actual_6]])/Table1[[#This Row],[actual_6]]</f>
        <v>-6.6805845511482248E-2</v>
      </c>
      <c r="EM777" s="1">
        <f>(Table1[[#This Row],[predicted_7]]-Table1[[#This Row],[actual_7]])/Table1[[#This Row],[actual_7]]</f>
        <v>1.9455252918287938E-3</v>
      </c>
      <c r="EN777" s="1">
        <f>(Table1[[#This Row],[predicted_8]]-Table1[[#This Row],[actual_8]])/Table1[[#This Row],[actual_8]]</f>
        <v>-0.15297741273100615</v>
      </c>
      <c r="EO777" s="1">
        <f>(Table1[[#This Row],[predicted_9]]-Table1[[#This Row],[actual_9]])/Table1[[#This Row],[actual_9]]</f>
        <v>-4.261645193260654E-2</v>
      </c>
      <c r="EP777" s="1">
        <f>1+(Table1[[#This Row],[error_ratio_0]]-EF$2)</f>
        <v>1.0489795918367346</v>
      </c>
      <c r="EQ777" s="1">
        <f>1+(Table1[[#This Row],[error_ratio_1]]-EG$2)</f>
        <v>0.98590308370044055</v>
      </c>
      <c r="ER777" s="1">
        <f>1+(Table1[[#This Row],[error_ratio_2]]-EH$2)</f>
        <v>1.1870155038759691</v>
      </c>
      <c r="ES777" s="1">
        <f>1+(Table1[[#This Row],[error_ratio_3]]-EI$2)</f>
        <v>1.0405940594059406</v>
      </c>
      <c r="ET777" s="1">
        <f>1+(Table1[[#This Row],[error_ratio_4]]-EJ$2)</f>
        <v>0.94501018329938902</v>
      </c>
      <c r="EU777" s="1">
        <f>1+(Table1[[#This Row],[error_ratio_5]]-EK$2)</f>
        <v>1.0347533632286996</v>
      </c>
      <c r="EV777" s="1">
        <f>1+(Table1[[#This Row],[error_ratio_6]]-EL$2)</f>
        <v>0.93945720250521925</v>
      </c>
      <c r="EW777" s="1">
        <f>1+(Table1[[#This Row],[error_ratio_7]]-EM$2)</f>
        <v>1</v>
      </c>
      <c r="EX777" s="1">
        <f>1+(Table1[[#This Row],[error_ratio_8]]-EN$2)</f>
        <v>0.85010266940451751</v>
      </c>
      <c r="EY777" s="1">
        <f>1+(Table1[[#This Row],[error_ratio_9]]-EO$2)</f>
        <v>0.96134786917740334</v>
      </c>
    </row>
    <row r="778" spans="1:155" x14ac:dyDescent="0.75">
      <c r="A778">
        <v>100</v>
      </c>
      <c r="B778">
        <v>100</v>
      </c>
      <c r="C778">
        <v>10</v>
      </c>
      <c r="D778">
        <v>100</v>
      </c>
      <c r="E778">
        <v>10</v>
      </c>
      <c r="F778">
        <v>100</v>
      </c>
      <c r="G778">
        <v>10</v>
      </c>
      <c r="H778">
        <v>100</v>
      </c>
      <c r="I778">
        <v>10</v>
      </c>
      <c r="J778">
        <v>10</v>
      </c>
      <c r="K778">
        <v>1054</v>
      </c>
      <c r="L778">
        <v>1151</v>
      </c>
      <c r="M778">
        <v>918</v>
      </c>
      <c r="N778">
        <v>1130</v>
      </c>
      <c r="O778">
        <v>980</v>
      </c>
      <c r="P778">
        <v>903</v>
      </c>
      <c r="Q778">
        <v>894</v>
      </c>
      <c r="R778">
        <v>1176</v>
      </c>
      <c r="S778">
        <v>788</v>
      </c>
      <c r="T778">
        <v>1006</v>
      </c>
      <c r="U778">
        <v>980</v>
      </c>
      <c r="V778">
        <v>1135</v>
      </c>
      <c r="W778">
        <v>1032</v>
      </c>
      <c r="X778">
        <v>1010</v>
      </c>
      <c r="Y778">
        <v>982</v>
      </c>
      <c r="Z778">
        <v>892</v>
      </c>
      <c r="AA778">
        <v>958</v>
      </c>
      <c r="AB778">
        <v>1028</v>
      </c>
      <c r="AC778">
        <v>974</v>
      </c>
      <c r="AD778">
        <v>1009</v>
      </c>
      <c r="AE778">
        <v>977</v>
      </c>
      <c r="AF778">
        <v>0</v>
      </c>
      <c r="AG778">
        <v>1</v>
      </c>
      <c r="AH778">
        <v>0</v>
      </c>
      <c r="AI778">
        <v>0</v>
      </c>
      <c r="AJ778">
        <v>0</v>
      </c>
      <c r="AK778">
        <v>0</v>
      </c>
      <c r="AL778">
        <v>2</v>
      </c>
      <c r="AM778">
        <v>0</v>
      </c>
      <c r="AN778">
        <v>0</v>
      </c>
      <c r="AO778">
        <v>0</v>
      </c>
      <c r="AP778">
        <v>1129</v>
      </c>
      <c r="AQ778">
        <v>0</v>
      </c>
      <c r="AR778">
        <v>4</v>
      </c>
      <c r="AS778">
        <v>0</v>
      </c>
      <c r="AT778">
        <v>1</v>
      </c>
      <c r="AU778">
        <v>1</v>
      </c>
      <c r="AV778">
        <v>0</v>
      </c>
      <c r="AW778">
        <v>0</v>
      </c>
      <c r="AX778">
        <v>0</v>
      </c>
      <c r="AY778">
        <v>5</v>
      </c>
      <c r="AZ778">
        <v>2</v>
      </c>
      <c r="BA778">
        <v>900</v>
      </c>
      <c r="BB778">
        <v>46</v>
      </c>
      <c r="BC778">
        <v>4</v>
      </c>
      <c r="BD778">
        <v>0</v>
      </c>
      <c r="BE778">
        <v>0</v>
      </c>
      <c r="BF778">
        <v>75</v>
      </c>
      <c r="BG778">
        <v>0</v>
      </c>
      <c r="BH778">
        <v>0</v>
      </c>
      <c r="BI778">
        <v>0</v>
      </c>
      <c r="BJ778">
        <v>0</v>
      </c>
      <c r="BK778">
        <v>0</v>
      </c>
      <c r="BL778">
        <v>1000</v>
      </c>
      <c r="BM778">
        <v>0</v>
      </c>
      <c r="BN778">
        <v>5</v>
      </c>
      <c r="BO778">
        <v>0</v>
      </c>
      <c r="BP778">
        <v>5</v>
      </c>
      <c r="BQ778">
        <v>0</v>
      </c>
      <c r="BR778">
        <v>0</v>
      </c>
      <c r="BS778">
        <v>2</v>
      </c>
      <c r="BT778">
        <v>3</v>
      </c>
      <c r="BU778">
        <v>2</v>
      </c>
      <c r="BV778">
        <v>0</v>
      </c>
      <c r="BW778">
        <v>944</v>
      </c>
      <c r="BX778">
        <v>0</v>
      </c>
      <c r="BY778">
        <v>1</v>
      </c>
      <c r="BZ778">
        <v>12</v>
      </c>
      <c r="CA778">
        <v>0</v>
      </c>
      <c r="CB778">
        <v>18</v>
      </c>
      <c r="CC778">
        <v>5</v>
      </c>
      <c r="CD778">
        <v>0</v>
      </c>
      <c r="CE778">
        <v>0</v>
      </c>
      <c r="CF778">
        <v>8</v>
      </c>
      <c r="CG778">
        <v>0</v>
      </c>
      <c r="CH778">
        <v>877</v>
      </c>
      <c r="CI778">
        <v>0</v>
      </c>
      <c r="CJ778">
        <v>1</v>
      </c>
      <c r="CK778">
        <v>1</v>
      </c>
      <c r="CL778">
        <v>0</v>
      </c>
      <c r="CM778">
        <v>40</v>
      </c>
      <c r="CN778">
        <v>5</v>
      </c>
      <c r="CO778">
        <v>2</v>
      </c>
      <c r="CP778">
        <v>1</v>
      </c>
      <c r="CQ778">
        <v>13</v>
      </c>
      <c r="CR778">
        <v>8</v>
      </c>
      <c r="CS778">
        <v>889</v>
      </c>
      <c r="CT778">
        <v>0</v>
      </c>
      <c r="CU778">
        <v>0</v>
      </c>
      <c r="CV778">
        <v>0</v>
      </c>
      <c r="CW778">
        <v>0</v>
      </c>
      <c r="CX778">
        <v>3</v>
      </c>
      <c r="CY778">
        <v>0</v>
      </c>
      <c r="CZ778">
        <v>1</v>
      </c>
      <c r="DA778">
        <v>0</v>
      </c>
      <c r="DB778">
        <v>0</v>
      </c>
      <c r="DC778">
        <v>0</v>
      </c>
      <c r="DD778">
        <v>1023</v>
      </c>
      <c r="DE778">
        <v>0</v>
      </c>
      <c r="DF778">
        <v>1</v>
      </c>
      <c r="DG778">
        <v>21</v>
      </c>
      <c r="DH778">
        <v>3</v>
      </c>
      <c r="DI778">
        <v>13</v>
      </c>
      <c r="DJ778">
        <v>62</v>
      </c>
      <c r="DK778">
        <v>7</v>
      </c>
      <c r="DL778">
        <v>8</v>
      </c>
      <c r="DM778">
        <v>3</v>
      </c>
      <c r="DN778">
        <v>32</v>
      </c>
      <c r="DO778">
        <v>787</v>
      </c>
      <c r="DP778">
        <v>38</v>
      </c>
      <c r="DQ778">
        <v>4</v>
      </c>
      <c r="DR778">
        <v>6</v>
      </c>
      <c r="DS778">
        <v>0</v>
      </c>
      <c r="DT778">
        <v>8</v>
      </c>
      <c r="DU778">
        <v>12</v>
      </c>
      <c r="DV778">
        <v>4</v>
      </c>
      <c r="DW778">
        <v>0</v>
      </c>
      <c r="DX778">
        <v>26</v>
      </c>
      <c r="DY778">
        <v>0</v>
      </c>
      <c r="DZ778">
        <v>949</v>
      </c>
      <c r="EA778">
        <v>0.94750000000000001</v>
      </c>
      <c r="EB778">
        <v>0.95140275028719601</v>
      </c>
      <c r="EC778">
        <v>0.946998631535928</v>
      </c>
      <c r="ED778">
        <v>0.94691125901219397</v>
      </c>
      <c r="EE778">
        <f>SUM(Table1[[#This Row],[ratio_0]:[ratio_9]])</f>
        <v>550</v>
      </c>
      <c r="EF778" s="1">
        <f>(Table1[[#This Row],[predicted_0]]-Table1[[#This Row],[actual_0]])/Table1[[#This Row],[actual_0]]</f>
        <v>7.5510204081632656E-2</v>
      </c>
      <c r="EG778" s="1">
        <f>(Table1[[#This Row],[predicted_1]]-Table1[[#This Row],[actual_1]])/Table1[[#This Row],[actual_1]]</f>
        <v>1.4096916299559472E-2</v>
      </c>
      <c r="EH778" s="1">
        <f>(Table1[[#This Row],[predicted_2]]-Table1[[#This Row],[actual_2]])/Table1[[#This Row],[actual_2]]</f>
        <v>-0.11046511627906977</v>
      </c>
      <c r="EI778" s="1">
        <f>(Table1[[#This Row],[predicted_3]]-Table1[[#This Row],[actual_3]])/Table1[[#This Row],[actual_3]]</f>
        <v>0.11881188118811881</v>
      </c>
      <c r="EJ778" s="1">
        <f>(Table1[[#This Row],[predicted_4]]-Table1[[#This Row],[actual_4]])/Table1[[#This Row],[actual_4]]</f>
        <v>-2.0366598778004071E-3</v>
      </c>
      <c r="EK778" s="1">
        <f>(Table1[[#This Row],[predicted_5]]-Table1[[#This Row],[actual_5]])/Table1[[#This Row],[actual_5]]</f>
        <v>1.2331838565022421E-2</v>
      </c>
      <c r="EL778" s="1">
        <f>(Table1[[#This Row],[predicted_6]]-Table1[[#This Row],[actual_6]])/Table1[[#This Row],[actual_6]]</f>
        <v>-6.6805845511482248E-2</v>
      </c>
      <c r="EM778" s="1">
        <f>(Table1[[#This Row],[predicted_7]]-Table1[[#This Row],[actual_7]])/Table1[[#This Row],[actual_7]]</f>
        <v>0.14396887159533073</v>
      </c>
      <c r="EN778" s="1">
        <f>(Table1[[#This Row],[predicted_8]]-Table1[[#This Row],[actual_8]])/Table1[[#This Row],[actual_8]]</f>
        <v>-0.19096509240246407</v>
      </c>
      <c r="EO778" s="1">
        <f>(Table1[[#This Row],[predicted_9]]-Table1[[#This Row],[actual_9]])/Table1[[#This Row],[actual_9]]</f>
        <v>-2.973240832507433E-3</v>
      </c>
      <c r="EP778" s="1">
        <f>1+(Table1[[#This Row],[error_ratio_0]]-EF$2)</f>
        <v>1.073469387755102</v>
      </c>
      <c r="EQ778" s="1">
        <f>1+(Table1[[#This Row],[error_ratio_1]]-EG$2)</f>
        <v>1.0123348017621145</v>
      </c>
      <c r="ER778" s="1">
        <f>1+(Table1[[#This Row],[error_ratio_2]]-EH$2)</f>
        <v>0.89437984496124034</v>
      </c>
      <c r="ES778" s="1">
        <f>1+(Table1[[#This Row],[error_ratio_3]]-EI$2)</f>
        <v>1.108910891089109</v>
      </c>
      <c r="ET778" s="1">
        <f>1+(Table1[[#This Row],[error_ratio_4]]-EJ$2)</f>
        <v>0.9969450101832994</v>
      </c>
      <c r="EU778" s="1">
        <f>1+(Table1[[#This Row],[error_ratio_5]]-EK$2)</f>
        <v>1.0112107623318385</v>
      </c>
      <c r="EV778" s="1">
        <f>1+(Table1[[#This Row],[error_ratio_6]]-EL$2)</f>
        <v>0.93945720250521925</v>
      </c>
      <c r="EW778" s="1">
        <f>1+(Table1[[#This Row],[error_ratio_7]]-EM$2)</f>
        <v>1.1420233463035019</v>
      </c>
      <c r="EX778" s="1">
        <f>1+(Table1[[#This Row],[error_ratio_8]]-EN$2)</f>
        <v>0.81211498973305951</v>
      </c>
      <c r="EY778" s="1">
        <f>1+(Table1[[#This Row],[error_ratio_9]]-EO$2)</f>
        <v>1.0009910802775024</v>
      </c>
    </row>
    <row r="779" spans="1:155" x14ac:dyDescent="0.75">
      <c r="A779">
        <v>10</v>
      </c>
      <c r="B779">
        <v>100</v>
      </c>
      <c r="C779">
        <v>10</v>
      </c>
      <c r="D779">
        <v>100</v>
      </c>
      <c r="E779">
        <v>10</v>
      </c>
      <c r="F779">
        <v>100</v>
      </c>
      <c r="G779">
        <v>10</v>
      </c>
      <c r="H779">
        <v>100</v>
      </c>
      <c r="I779">
        <v>10</v>
      </c>
      <c r="J779">
        <v>10</v>
      </c>
      <c r="K779">
        <v>993</v>
      </c>
      <c r="L779">
        <v>1171</v>
      </c>
      <c r="M779">
        <v>1038</v>
      </c>
      <c r="N779">
        <v>1025</v>
      </c>
      <c r="O779">
        <v>965</v>
      </c>
      <c r="P779">
        <v>943</v>
      </c>
      <c r="Q779">
        <v>994</v>
      </c>
      <c r="R779">
        <v>1068</v>
      </c>
      <c r="S779">
        <v>817</v>
      </c>
      <c r="T779">
        <v>986</v>
      </c>
      <c r="U779">
        <v>980</v>
      </c>
      <c r="V779">
        <v>1135</v>
      </c>
      <c r="W779">
        <v>1032</v>
      </c>
      <c r="X779">
        <v>1010</v>
      </c>
      <c r="Y779">
        <v>982</v>
      </c>
      <c r="Z779">
        <v>892</v>
      </c>
      <c r="AA779">
        <v>958</v>
      </c>
      <c r="AB779">
        <v>1028</v>
      </c>
      <c r="AC779">
        <v>974</v>
      </c>
      <c r="AD779">
        <v>1009</v>
      </c>
      <c r="AE779">
        <v>951</v>
      </c>
      <c r="AF779">
        <v>0</v>
      </c>
      <c r="AG779">
        <v>3</v>
      </c>
      <c r="AH779">
        <v>0</v>
      </c>
      <c r="AI779">
        <v>0</v>
      </c>
      <c r="AJ779">
        <v>1</v>
      </c>
      <c r="AK779">
        <v>22</v>
      </c>
      <c r="AL779">
        <v>2</v>
      </c>
      <c r="AM779">
        <v>0</v>
      </c>
      <c r="AN779">
        <v>1</v>
      </c>
      <c r="AO779">
        <v>0</v>
      </c>
      <c r="AP779">
        <v>1132</v>
      </c>
      <c r="AQ779">
        <v>3</v>
      </c>
      <c r="AR779">
        <v>0</v>
      </c>
      <c r="AS779">
        <v>0</v>
      </c>
      <c r="AT779">
        <v>0</v>
      </c>
      <c r="AU779">
        <v>0</v>
      </c>
      <c r="AV779">
        <v>0</v>
      </c>
      <c r="AW779">
        <v>0</v>
      </c>
      <c r="AX779">
        <v>0</v>
      </c>
      <c r="AY779">
        <v>3</v>
      </c>
      <c r="AZ779">
        <v>5</v>
      </c>
      <c r="BA779">
        <v>989</v>
      </c>
      <c r="BB779">
        <v>5</v>
      </c>
      <c r="BC779">
        <v>2</v>
      </c>
      <c r="BD779">
        <v>1</v>
      </c>
      <c r="BE779">
        <v>8</v>
      </c>
      <c r="BF779">
        <v>19</v>
      </c>
      <c r="BG779">
        <v>0</v>
      </c>
      <c r="BH779">
        <v>0</v>
      </c>
      <c r="BI779">
        <v>0</v>
      </c>
      <c r="BJ779">
        <v>0</v>
      </c>
      <c r="BK779">
        <v>5</v>
      </c>
      <c r="BL779">
        <v>991</v>
      </c>
      <c r="BM779">
        <v>0</v>
      </c>
      <c r="BN779">
        <v>6</v>
      </c>
      <c r="BO779">
        <v>1</v>
      </c>
      <c r="BP779">
        <v>2</v>
      </c>
      <c r="BQ779">
        <v>3</v>
      </c>
      <c r="BR779">
        <v>2</v>
      </c>
      <c r="BS779">
        <v>1</v>
      </c>
      <c r="BT779">
        <v>9</v>
      </c>
      <c r="BU779">
        <v>1</v>
      </c>
      <c r="BV779">
        <v>0</v>
      </c>
      <c r="BW779">
        <v>937</v>
      </c>
      <c r="BX779">
        <v>0</v>
      </c>
      <c r="BY779">
        <v>5</v>
      </c>
      <c r="BZ779">
        <v>14</v>
      </c>
      <c r="CA779">
        <v>1</v>
      </c>
      <c r="CB779">
        <v>14</v>
      </c>
      <c r="CC779">
        <v>1</v>
      </c>
      <c r="CD779">
        <v>1</v>
      </c>
      <c r="CE779">
        <v>1</v>
      </c>
      <c r="CF779">
        <v>3</v>
      </c>
      <c r="CG779">
        <v>0</v>
      </c>
      <c r="CH779">
        <v>879</v>
      </c>
      <c r="CI779">
        <v>7</v>
      </c>
      <c r="CJ779">
        <v>0</v>
      </c>
      <c r="CK779">
        <v>0</v>
      </c>
      <c r="CL779">
        <v>0</v>
      </c>
      <c r="CM779">
        <v>13</v>
      </c>
      <c r="CN779">
        <v>7</v>
      </c>
      <c r="CO779">
        <v>0</v>
      </c>
      <c r="CP779">
        <v>0</v>
      </c>
      <c r="CQ779">
        <v>7</v>
      </c>
      <c r="CR779">
        <v>3</v>
      </c>
      <c r="CS779">
        <v>927</v>
      </c>
      <c r="CT779">
        <v>0</v>
      </c>
      <c r="CU779">
        <v>0</v>
      </c>
      <c r="CV779">
        <v>1</v>
      </c>
      <c r="CW779">
        <v>1</v>
      </c>
      <c r="CX779">
        <v>5</v>
      </c>
      <c r="CY779">
        <v>6</v>
      </c>
      <c r="CZ779">
        <v>1</v>
      </c>
      <c r="DA779">
        <v>0</v>
      </c>
      <c r="DB779">
        <v>0</v>
      </c>
      <c r="DC779">
        <v>0</v>
      </c>
      <c r="DD779">
        <v>1014</v>
      </c>
      <c r="DE779">
        <v>1</v>
      </c>
      <c r="DF779">
        <v>0</v>
      </c>
      <c r="DG779">
        <v>17</v>
      </c>
      <c r="DH779">
        <v>5</v>
      </c>
      <c r="DI779">
        <v>30</v>
      </c>
      <c r="DJ779">
        <v>16</v>
      </c>
      <c r="DK779">
        <v>8</v>
      </c>
      <c r="DL779">
        <v>47</v>
      </c>
      <c r="DM779">
        <v>23</v>
      </c>
      <c r="DN779">
        <v>5</v>
      </c>
      <c r="DO779">
        <v>812</v>
      </c>
      <c r="DP779">
        <v>11</v>
      </c>
      <c r="DQ779">
        <v>6</v>
      </c>
      <c r="DR779">
        <v>7</v>
      </c>
      <c r="DS779">
        <v>0</v>
      </c>
      <c r="DT779">
        <v>9</v>
      </c>
      <c r="DU779">
        <v>11</v>
      </c>
      <c r="DV779">
        <v>6</v>
      </c>
      <c r="DW779">
        <v>1</v>
      </c>
      <c r="DX779">
        <v>12</v>
      </c>
      <c r="DY779">
        <v>0</v>
      </c>
      <c r="DZ779">
        <v>957</v>
      </c>
      <c r="EA779">
        <v>0.95889999999999997</v>
      </c>
      <c r="EB779">
        <v>0.95936401735754495</v>
      </c>
      <c r="EC779">
        <v>0.95830492371116205</v>
      </c>
      <c r="ED779">
        <v>0.95793635642584396</v>
      </c>
      <c r="EE779">
        <f>SUM(Table1[[#This Row],[ratio_0]:[ratio_9]])</f>
        <v>460</v>
      </c>
      <c r="EF779" s="1">
        <f>(Table1[[#This Row],[predicted_0]]-Table1[[#This Row],[actual_0]])/Table1[[#This Row],[actual_0]]</f>
        <v>1.3265306122448979E-2</v>
      </c>
      <c r="EG779" s="1">
        <f>(Table1[[#This Row],[predicted_1]]-Table1[[#This Row],[actual_1]])/Table1[[#This Row],[actual_1]]</f>
        <v>3.1718061674008813E-2</v>
      </c>
      <c r="EH779" s="1">
        <f>(Table1[[#This Row],[predicted_2]]-Table1[[#This Row],[actual_2]])/Table1[[#This Row],[actual_2]]</f>
        <v>5.8139534883720929E-3</v>
      </c>
      <c r="EI779" s="1">
        <f>(Table1[[#This Row],[predicted_3]]-Table1[[#This Row],[actual_3]])/Table1[[#This Row],[actual_3]]</f>
        <v>1.4851485148514851E-2</v>
      </c>
      <c r="EJ779" s="1">
        <f>(Table1[[#This Row],[predicted_4]]-Table1[[#This Row],[actual_4]])/Table1[[#This Row],[actual_4]]</f>
        <v>-1.7311608961303463E-2</v>
      </c>
      <c r="EK779" s="1">
        <f>(Table1[[#This Row],[predicted_5]]-Table1[[#This Row],[actual_5]])/Table1[[#This Row],[actual_5]]</f>
        <v>5.717488789237668E-2</v>
      </c>
      <c r="EL779" s="1">
        <f>(Table1[[#This Row],[predicted_6]]-Table1[[#This Row],[actual_6]])/Table1[[#This Row],[actual_6]]</f>
        <v>3.7578288100208766E-2</v>
      </c>
      <c r="EM779" s="1">
        <f>(Table1[[#This Row],[predicted_7]]-Table1[[#This Row],[actual_7]])/Table1[[#This Row],[actual_7]]</f>
        <v>3.8910505836575876E-2</v>
      </c>
      <c r="EN779" s="1">
        <f>(Table1[[#This Row],[predicted_8]]-Table1[[#This Row],[actual_8]])/Table1[[#This Row],[actual_8]]</f>
        <v>-0.16119096509240247</v>
      </c>
      <c r="EO779" s="1">
        <f>(Table1[[#This Row],[predicted_9]]-Table1[[#This Row],[actual_9]])/Table1[[#This Row],[actual_9]]</f>
        <v>-2.2794846382556987E-2</v>
      </c>
      <c r="EP779" s="1">
        <f>1+(Table1[[#This Row],[error_ratio_0]]-EF$2)</f>
        <v>1.0112244897959184</v>
      </c>
      <c r="EQ779" s="1">
        <f>1+(Table1[[#This Row],[error_ratio_1]]-EG$2)</f>
        <v>1.0299559471365638</v>
      </c>
      <c r="ER779" s="1">
        <f>1+(Table1[[#This Row],[error_ratio_2]]-EH$2)</f>
        <v>1.0106589147286822</v>
      </c>
      <c r="ES779" s="1">
        <f>1+(Table1[[#This Row],[error_ratio_3]]-EI$2)</f>
        <v>1.004950495049505</v>
      </c>
      <c r="ET779" s="1">
        <f>1+(Table1[[#This Row],[error_ratio_4]]-EJ$2)</f>
        <v>0.98167006109979638</v>
      </c>
      <c r="EU779" s="1">
        <f>1+(Table1[[#This Row],[error_ratio_5]]-EK$2)</f>
        <v>1.0560538116591929</v>
      </c>
      <c r="EV779" s="1">
        <f>1+(Table1[[#This Row],[error_ratio_6]]-EL$2)</f>
        <v>1.0438413361169103</v>
      </c>
      <c r="EW779" s="1">
        <f>1+(Table1[[#This Row],[error_ratio_7]]-EM$2)</f>
        <v>1.0369649805447472</v>
      </c>
      <c r="EX779" s="1">
        <f>1+(Table1[[#This Row],[error_ratio_8]]-EN$2)</f>
        <v>0.84188911704312108</v>
      </c>
      <c r="EY779" s="1">
        <f>1+(Table1[[#This Row],[error_ratio_9]]-EO$2)</f>
        <v>0.98116947472745297</v>
      </c>
    </row>
    <row r="780" spans="1:155" x14ac:dyDescent="0.75">
      <c r="A780">
        <v>100</v>
      </c>
      <c r="B780">
        <v>10</v>
      </c>
      <c r="C780">
        <v>10</v>
      </c>
      <c r="D780">
        <v>100</v>
      </c>
      <c r="E780">
        <v>10</v>
      </c>
      <c r="F780">
        <v>100</v>
      </c>
      <c r="G780">
        <v>10</v>
      </c>
      <c r="H780">
        <v>100</v>
      </c>
      <c r="I780">
        <v>10</v>
      </c>
      <c r="J780">
        <v>10</v>
      </c>
      <c r="K780">
        <v>1054</v>
      </c>
      <c r="L780">
        <v>1139</v>
      </c>
      <c r="M780">
        <v>886</v>
      </c>
      <c r="N780">
        <v>1021</v>
      </c>
      <c r="O780">
        <v>1037</v>
      </c>
      <c r="P780">
        <v>909</v>
      </c>
      <c r="Q780">
        <v>939</v>
      </c>
      <c r="R780">
        <v>1222</v>
      </c>
      <c r="S780">
        <v>924</v>
      </c>
      <c r="T780">
        <v>869</v>
      </c>
      <c r="U780">
        <v>980</v>
      </c>
      <c r="V780">
        <v>1135</v>
      </c>
      <c r="W780">
        <v>1032</v>
      </c>
      <c r="X780">
        <v>1010</v>
      </c>
      <c r="Y780">
        <v>982</v>
      </c>
      <c r="Z780">
        <v>892</v>
      </c>
      <c r="AA780">
        <v>958</v>
      </c>
      <c r="AB780">
        <v>1028</v>
      </c>
      <c r="AC780">
        <v>974</v>
      </c>
      <c r="AD780">
        <v>1009</v>
      </c>
      <c r="AE780">
        <v>975</v>
      </c>
      <c r="AF780">
        <v>1</v>
      </c>
      <c r="AG780">
        <v>0</v>
      </c>
      <c r="AH780">
        <v>0</v>
      </c>
      <c r="AI780">
        <v>0</v>
      </c>
      <c r="AJ780">
        <v>1</v>
      </c>
      <c r="AK780">
        <v>0</v>
      </c>
      <c r="AL780">
        <v>2</v>
      </c>
      <c r="AM780">
        <v>1</v>
      </c>
      <c r="AN780">
        <v>0</v>
      </c>
      <c r="AO780">
        <v>0</v>
      </c>
      <c r="AP780">
        <v>1115</v>
      </c>
      <c r="AQ780">
        <v>0</v>
      </c>
      <c r="AR780">
        <v>4</v>
      </c>
      <c r="AS780">
        <v>0</v>
      </c>
      <c r="AT780">
        <v>3</v>
      </c>
      <c r="AU780">
        <v>3</v>
      </c>
      <c r="AV780">
        <v>7</v>
      </c>
      <c r="AW780">
        <v>3</v>
      </c>
      <c r="AX780">
        <v>0</v>
      </c>
      <c r="AY780">
        <v>23</v>
      </c>
      <c r="AZ780">
        <v>12</v>
      </c>
      <c r="BA780">
        <v>880</v>
      </c>
      <c r="BB780">
        <v>2</v>
      </c>
      <c r="BC780">
        <v>5</v>
      </c>
      <c r="BD780">
        <v>0</v>
      </c>
      <c r="BE780">
        <v>7</v>
      </c>
      <c r="BF780">
        <v>101</v>
      </c>
      <c r="BG780">
        <v>2</v>
      </c>
      <c r="BH780">
        <v>0</v>
      </c>
      <c r="BI780">
        <v>0</v>
      </c>
      <c r="BJ780">
        <v>0</v>
      </c>
      <c r="BK780">
        <v>0</v>
      </c>
      <c r="BL780">
        <v>998</v>
      </c>
      <c r="BM780">
        <v>1</v>
      </c>
      <c r="BN780">
        <v>2</v>
      </c>
      <c r="BO780">
        <v>0</v>
      </c>
      <c r="BP780">
        <v>7</v>
      </c>
      <c r="BQ780">
        <v>2</v>
      </c>
      <c r="BR780">
        <v>0</v>
      </c>
      <c r="BS780">
        <v>6</v>
      </c>
      <c r="BT780">
        <v>1</v>
      </c>
      <c r="BU780">
        <v>2</v>
      </c>
      <c r="BV780">
        <v>0</v>
      </c>
      <c r="BW780">
        <v>959</v>
      </c>
      <c r="BX780">
        <v>0</v>
      </c>
      <c r="BY780">
        <v>6</v>
      </c>
      <c r="BZ780">
        <v>4</v>
      </c>
      <c r="CA780">
        <v>2</v>
      </c>
      <c r="CB780">
        <v>2</v>
      </c>
      <c r="CC780">
        <v>1</v>
      </c>
      <c r="CD780">
        <v>0</v>
      </c>
      <c r="CE780">
        <v>0</v>
      </c>
      <c r="CF780">
        <v>6</v>
      </c>
      <c r="CG780">
        <v>0</v>
      </c>
      <c r="CH780">
        <v>876</v>
      </c>
      <c r="CI780">
        <v>3</v>
      </c>
      <c r="CJ780">
        <v>1</v>
      </c>
      <c r="CK780">
        <v>5</v>
      </c>
      <c r="CL780">
        <v>0</v>
      </c>
      <c r="CM780">
        <v>26</v>
      </c>
      <c r="CN780">
        <v>3</v>
      </c>
      <c r="CO780">
        <v>0</v>
      </c>
      <c r="CP780">
        <v>0</v>
      </c>
      <c r="CQ780">
        <v>3</v>
      </c>
      <c r="CR780">
        <v>9</v>
      </c>
      <c r="CS780">
        <v>917</v>
      </c>
      <c r="CT780">
        <v>0</v>
      </c>
      <c r="CU780">
        <v>0</v>
      </c>
      <c r="CV780">
        <v>0</v>
      </c>
      <c r="CW780">
        <v>0</v>
      </c>
      <c r="CX780">
        <v>1</v>
      </c>
      <c r="CY780">
        <v>1</v>
      </c>
      <c r="CZ780">
        <v>0</v>
      </c>
      <c r="DA780">
        <v>2</v>
      </c>
      <c r="DB780">
        <v>0</v>
      </c>
      <c r="DC780">
        <v>0</v>
      </c>
      <c r="DD780">
        <v>1024</v>
      </c>
      <c r="DE780">
        <v>0</v>
      </c>
      <c r="DF780">
        <v>0</v>
      </c>
      <c r="DG780">
        <v>13</v>
      </c>
      <c r="DH780">
        <v>3</v>
      </c>
      <c r="DI780">
        <v>3</v>
      </c>
      <c r="DJ780">
        <v>4</v>
      </c>
      <c r="DK780">
        <v>3</v>
      </c>
      <c r="DL780">
        <v>7</v>
      </c>
      <c r="DM780">
        <v>3</v>
      </c>
      <c r="DN780">
        <v>25</v>
      </c>
      <c r="DO780">
        <v>906</v>
      </c>
      <c r="DP780">
        <v>7</v>
      </c>
      <c r="DQ780">
        <v>10</v>
      </c>
      <c r="DR780">
        <v>3</v>
      </c>
      <c r="DS780">
        <v>0</v>
      </c>
      <c r="DT780">
        <v>7</v>
      </c>
      <c r="DU780">
        <v>64</v>
      </c>
      <c r="DV780">
        <v>11</v>
      </c>
      <c r="DW780">
        <v>0</v>
      </c>
      <c r="DX780">
        <v>51</v>
      </c>
      <c r="DY780">
        <v>3</v>
      </c>
      <c r="DZ780">
        <v>860</v>
      </c>
      <c r="EA780">
        <v>0.95099999999999996</v>
      </c>
      <c r="EB780">
        <v>0.95478608862751002</v>
      </c>
      <c r="EC780">
        <v>0.95125752938751496</v>
      </c>
      <c r="ED780">
        <v>0.95100796430020196</v>
      </c>
      <c r="EE780">
        <f>SUM(Table1[[#This Row],[ratio_0]:[ratio_9]])</f>
        <v>460</v>
      </c>
      <c r="EF780" s="1">
        <f>(Table1[[#This Row],[predicted_0]]-Table1[[#This Row],[actual_0]])/Table1[[#This Row],[actual_0]]</f>
        <v>7.5510204081632656E-2</v>
      </c>
      <c r="EG780" s="1">
        <f>(Table1[[#This Row],[predicted_1]]-Table1[[#This Row],[actual_1]])/Table1[[#This Row],[actual_1]]</f>
        <v>3.524229074889868E-3</v>
      </c>
      <c r="EH780" s="1">
        <f>(Table1[[#This Row],[predicted_2]]-Table1[[#This Row],[actual_2]])/Table1[[#This Row],[actual_2]]</f>
        <v>-0.14147286821705427</v>
      </c>
      <c r="EI780" s="1">
        <f>(Table1[[#This Row],[predicted_3]]-Table1[[#This Row],[actual_3]])/Table1[[#This Row],[actual_3]]</f>
        <v>1.089108910891089E-2</v>
      </c>
      <c r="EJ780" s="1">
        <f>(Table1[[#This Row],[predicted_4]]-Table1[[#This Row],[actual_4]])/Table1[[#This Row],[actual_4]]</f>
        <v>5.6008146639511203E-2</v>
      </c>
      <c r="EK780" s="1">
        <f>(Table1[[#This Row],[predicted_5]]-Table1[[#This Row],[actual_5]])/Table1[[#This Row],[actual_5]]</f>
        <v>1.905829596412556E-2</v>
      </c>
      <c r="EL780" s="1">
        <f>(Table1[[#This Row],[predicted_6]]-Table1[[#This Row],[actual_6]])/Table1[[#This Row],[actual_6]]</f>
        <v>-1.9832985386221295E-2</v>
      </c>
      <c r="EM780" s="1">
        <f>(Table1[[#This Row],[predicted_7]]-Table1[[#This Row],[actual_7]])/Table1[[#This Row],[actual_7]]</f>
        <v>0.18871595330739299</v>
      </c>
      <c r="EN780" s="1">
        <f>(Table1[[#This Row],[predicted_8]]-Table1[[#This Row],[actual_8]])/Table1[[#This Row],[actual_8]]</f>
        <v>-5.1334702258726897E-2</v>
      </c>
      <c r="EO780" s="1">
        <f>(Table1[[#This Row],[predicted_9]]-Table1[[#This Row],[actual_9]])/Table1[[#This Row],[actual_9]]</f>
        <v>-0.13875123885034688</v>
      </c>
      <c r="EP780" s="1">
        <f>1+(Table1[[#This Row],[error_ratio_0]]-EF$2)</f>
        <v>1.073469387755102</v>
      </c>
      <c r="EQ780" s="1">
        <f>1+(Table1[[#This Row],[error_ratio_1]]-EG$2)</f>
        <v>1.0017621145374449</v>
      </c>
      <c r="ER780" s="1">
        <f>1+(Table1[[#This Row],[error_ratio_2]]-EH$2)</f>
        <v>0.86337209302325579</v>
      </c>
      <c r="ES780" s="1">
        <f>1+(Table1[[#This Row],[error_ratio_3]]-EI$2)</f>
        <v>1.000990099009901</v>
      </c>
      <c r="ET780" s="1">
        <f>1+(Table1[[#This Row],[error_ratio_4]]-EJ$2)</f>
        <v>1.0549898167006111</v>
      </c>
      <c r="EU780" s="1">
        <f>1+(Table1[[#This Row],[error_ratio_5]]-EK$2)</f>
        <v>1.0179372197309418</v>
      </c>
      <c r="EV780" s="1">
        <f>1+(Table1[[#This Row],[error_ratio_6]]-EL$2)</f>
        <v>0.98643006263048016</v>
      </c>
      <c r="EW780" s="1">
        <f>1+(Table1[[#This Row],[error_ratio_7]]-EM$2)</f>
        <v>1.1867704280155642</v>
      </c>
      <c r="EX780" s="1">
        <f>1+(Table1[[#This Row],[error_ratio_8]]-EN$2)</f>
        <v>0.95174537987679675</v>
      </c>
      <c r="EY780" s="1">
        <f>1+(Table1[[#This Row],[error_ratio_9]]-EO$2)</f>
        <v>0.86521308225966309</v>
      </c>
    </row>
    <row r="781" spans="1:155" x14ac:dyDescent="0.75">
      <c r="A781">
        <v>10</v>
      </c>
      <c r="B781">
        <v>10</v>
      </c>
      <c r="C781">
        <v>10</v>
      </c>
      <c r="D781">
        <v>100</v>
      </c>
      <c r="E781">
        <v>10</v>
      </c>
      <c r="F781">
        <v>100</v>
      </c>
      <c r="G781">
        <v>10</v>
      </c>
      <c r="H781">
        <v>100</v>
      </c>
      <c r="I781">
        <v>10</v>
      </c>
      <c r="J781">
        <v>10</v>
      </c>
      <c r="K781">
        <v>1030</v>
      </c>
      <c r="L781">
        <v>1144</v>
      </c>
      <c r="M781">
        <v>936</v>
      </c>
      <c r="N781">
        <v>1105</v>
      </c>
      <c r="O781">
        <v>900</v>
      </c>
      <c r="P781">
        <v>941</v>
      </c>
      <c r="Q781">
        <v>926</v>
      </c>
      <c r="R781">
        <v>1089</v>
      </c>
      <c r="S781">
        <v>821</v>
      </c>
      <c r="T781">
        <v>1108</v>
      </c>
      <c r="U781">
        <v>980</v>
      </c>
      <c r="V781">
        <v>1135</v>
      </c>
      <c r="W781">
        <v>1032</v>
      </c>
      <c r="X781">
        <v>1010</v>
      </c>
      <c r="Y781">
        <v>982</v>
      </c>
      <c r="Z781">
        <v>892</v>
      </c>
      <c r="AA781">
        <v>958</v>
      </c>
      <c r="AB781">
        <v>1028</v>
      </c>
      <c r="AC781">
        <v>974</v>
      </c>
      <c r="AD781">
        <v>1009</v>
      </c>
      <c r="AE781">
        <v>973</v>
      </c>
      <c r="AF781">
        <v>0</v>
      </c>
      <c r="AG781">
        <v>1</v>
      </c>
      <c r="AH781">
        <v>0</v>
      </c>
      <c r="AI781">
        <v>0</v>
      </c>
      <c r="AJ781">
        <v>3</v>
      </c>
      <c r="AK781">
        <v>1</v>
      </c>
      <c r="AL781">
        <v>1</v>
      </c>
      <c r="AM781">
        <v>1</v>
      </c>
      <c r="AN781">
        <v>0</v>
      </c>
      <c r="AO781">
        <v>0</v>
      </c>
      <c r="AP781">
        <v>1123</v>
      </c>
      <c r="AQ781">
        <v>1</v>
      </c>
      <c r="AR781">
        <v>7</v>
      </c>
      <c r="AS781">
        <v>0</v>
      </c>
      <c r="AT781">
        <v>0</v>
      </c>
      <c r="AU781">
        <v>2</v>
      </c>
      <c r="AV781">
        <v>0</v>
      </c>
      <c r="AW781">
        <v>0</v>
      </c>
      <c r="AX781">
        <v>2</v>
      </c>
      <c r="AY781">
        <v>11</v>
      </c>
      <c r="AZ781">
        <v>6</v>
      </c>
      <c r="BA781">
        <v>930</v>
      </c>
      <c r="BB781">
        <v>16</v>
      </c>
      <c r="BC781">
        <v>3</v>
      </c>
      <c r="BD781">
        <v>0</v>
      </c>
      <c r="BE781">
        <v>6</v>
      </c>
      <c r="BF781">
        <v>57</v>
      </c>
      <c r="BG781">
        <v>1</v>
      </c>
      <c r="BH781">
        <v>2</v>
      </c>
      <c r="BI781">
        <v>1</v>
      </c>
      <c r="BJ781">
        <v>0</v>
      </c>
      <c r="BK781">
        <v>1</v>
      </c>
      <c r="BL781">
        <v>1006</v>
      </c>
      <c r="BM781">
        <v>0</v>
      </c>
      <c r="BN781">
        <v>1</v>
      </c>
      <c r="BO781">
        <v>0</v>
      </c>
      <c r="BP781">
        <v>1</v>
      </c>
      <c r="BQ781">
        <v>0</v>
      </c>
      <c r="BR781">
        <v>0</v>
      </c>
      <c r="BS781">
        <v>6</v>
      </c>
      <c r="BT781">
        <v>1</v>
      </c>
      <c r="BU781">
        <v>0</v>
      </c>
      <c r="BV781">
        <v>0</v>
      </c>
      <c r="BW781">
        <v>890</v>
      </c>
      <c r="BX781">
        <v>0</v>
      </c>
      <c r="BY781">
        <v>12</v>
      </c>
      <c r="BZ781">
        <v>4</v>
      </c>
      <c r="CA781">
        <v>0</v>
      </c>
      <c r="CB781">
        <v>69</v>
      </c>
      <c r="CC781">
        <v>3</v>
      </c>
      <c r="CD781">
        <v>0</v>
      </c>
      <c r="CE781">
        <v>0</v>
      </c>
      <c r="CF781">
        <v>20</v>
      </c>
      <c r="CG781">
        <v>0</v>
      </c>
      <c r="CH781">
        <v>868</v>
      </c>
      <c r="CI781">
        <v>1</v>
      </c>
      <c r="CJ781">
        <v>0</v>
      </c>
      <c r="CK781">
        <v>0</v>
      </c>
      <c r="CL781">
        <v>0</v>
      </c>
      <c r="CM781">
        <v>15</v>
      </c>
      <c r="CN781">
        <v>6</v>
      </c>
      <c r="CO781">
        <v>0</v>
      </c>
      <c r="CP781">
        <v>1</v>
      </c>
      <c r="CQ781">
        <v>2</v>
      </c>
      <c r="CR781">
        <v>34</v>
      </c>
      <c r="CS781">
        <v>900</v>
      </c>
      <c r="CT781">
        <v>0</v>
      </c>
      <c r="CU781">
        <v>0</v>
      </c>
      <c r="CV781">
        <v>0</v>
      </c>
      <c r="CW781">
        <v>0</v>
      </c>
      <c r="CX781">
        <v>1</v>
      </c>
      <c r="CY781">
        <v>0</v>
      </c>
      <c r="CZ781">
        <v>4</v>
      </c>
      <c r="DA781">
        <v>0</v>
      </c>
      <c r="DB781">
        <v>0</v>
      </c>
      <c r="DC781">
        <v>0</v>
      </c>
      <c r="DD781">
        <v>1010</v>
      </c>
      <c r="DE781">
        <v>0</v>
      </c>
      <c r="DF781">
        <v>13</v>
      </c>
      <c r="DG781">
        <v>13</v>
      </c>
      <c r="DH781">
        <v>4</v>
      </c>
      <c r="DI781">
        <v>2</v>
      </c>
      <c r="DJ781">
        <v>42</v>
      </c>
      <c r="DK781">
        <v>3</v>
      </c>
      <c r="DL781">
        <v>29</v>
      </c>
      <c r="DM781">
        <v>3</v>
      </c>
      <c r="DN781">
        <v>12</v>
      </c>
      <c r="DO781">
        <v>819</v>
      </c>
      <c r="DP781">
        <v>47</v>
      </c>
      <c r="DQ781">
        <v>8</v>
      </c>
      <c r="DR781">
        <v>3</v>
      </c>
      <c r="DS781">
        <v>1</v>
      </c>
      <c r="DT781">
        <v>9</v>
      </c>
      <c r="DU781">
        <v>2</v>
      </c>
      <c r="DV781">
        <v>6</v>
      </c>
      <c r="DW781">
        <v>1</v>
      </c>
      <c r="DX781">
        <v>4</v>
      </c>
      <c r="DY781">
        <v>0</v>
      </c>
      <c r="DZ781">
        <v>975</v>
      </c>
      <c r="EA781">
        <v>0.94940000000000002</v>
      </c>
      <c r="EB781">
        <v>0.95185188509656105</v>
      </c>
      <c r="EC781">
        <v>0.94880078347569297</v>
      </c>
      <c r="ED781">
        <v>0.94862290427264295</v>
      </c>
      <c r="EE781">
        <f>SUM(Table1[[#This Row],[ratio_0]:[ratio_9]])</f>
        <v>370</v>
      </c>
      <c r="EF781" s="1">
        <f>(Table1[[#This Row],[predicted_0]]-Table1[[#This Row],[actual_0]])/Table1[[#This Row],[actual_0]]</f>
        <v>5.1020408163265307E-2</v>
      </c>
      <c r="EG781" s="1">
        <f>(Table1[[#This Row],[predicted_1]]-Table1[[#This Row],[actual_1]])/Table1[[#This Row],[actual_1]]</f>
        <v>7.9295154185022032E-3</v>
      </c>
      <c r="EH781" s="1">
        <f>(Table1[[#This Row],[predicted_2]]-Table1[[#This Row],[actual_2]])/Table1[[#This Row],[actual_2]]</f>
        <v>-9.3023255813953487E-2</v>
      </c>
      <c r="EI781" s="1">
        <f>(Table1[[#This Row],[predicted_3]]-Table1[[#This Row],[actual_3]])/Table1[[#This Row],[actual_3]]</f>
        <v>9.405940594059406E-2</v>
      </c>
      <c r="EJ781" s="1">
        <f>(Table1[[#This Row],[predicted_4]]-Table1[[#This Row],[actual_4]])/Table1[[#This Row],[actual_4]]</f>
        <v>-8.3503054989816694E-2</v>
      </c>
      <c r="EK781" s="1">
        <f>(Table1[[#This Row],[predicted_5]]-Table1[[#This Row],[actual_5]])/Table1[[#This Row],[actual_5]]</f>
        <v>5.4932735426008968E-2</v>
      </c>
      <c r="EL781" s="1">
        <f>(Table1[[#This Row],[predicted_6]]-Table1[[#This Row],[actual_6]])/Table1[[#This Row],[actual_6]]</f>
        <v>-3.3402922755741124E-2</v>
      </c>
      <c r="EM781" s="1">
        <f>(Table1[[#This Row],[predicted_7]]-Table1[[#This Row],[actual_7]])/Table1[[#This Row],[actual_7]]</f>
        <v>5.9338521400778207E-2</v>
      </c>
      <c r="EN781" s="1">
        <f>(Table1[[#This Row],[predicted_8]]-Table1[[#This Row],[actual_8]])/Table1[[#This Row],[actual_8]]</f>
        <v>-0.15708418891170431</v>
      </c>
      <c r="EO781" s="1">
        <f>(Table1[[#This Row],[predicted_9]]-Table1[[#This Row],[actual_9]])/Table1[[#This Row],[actual_9]]</f>
        <v>9.8116947472745297E-2</v>
      </c>
      <c r="EP781" s="1">
        <f>1+(Table1[[#This Row],[error_ratio_0]]-EF$2)</f>
        <v>1.0489795918367346</v>
      </c>
      <c r="EQ781" s="1">
        <f>1+(Table1[[#This Row],[error_ratio_1]]-EG$2)</f>
        <v>1.0061674008810573</v>
      </c>
      <c r="ER781" s="1">
        <f>1+(Table1[[#This Row],[error_ratio_2]]-EH$2)</f>
        <v>0.91182170542635654</v>
      </c>
      <c r="ES781" s="1">
        <f>1+(Table1[[#This Row],[error_ratio_3]]-EI$2)</f>
        <v>1.0841584158415842</v>
      </c>
      <c r="ET781" s="1">
        <f>1+(Table1[[#This Row],[error_ratio_4]]-EJ$2)</f>
        <v>0.91547861507128314</v>
      </c>
      <c r="EU781" s="1">
        <f>1+(Table1[[#This Row],[error_ratio_5]]-EK$2)</f>
        <v>1.053811659192825</v>
      </c>
      <c r="EV781" s="1">
        <f>1+(Table1[[#This Row],[error_ratio_6]]-EL$2)</f>
        <v>0.97286012526096033</v>
      </c>
      <c r="EW781" s="1">
        <f>1+(Table1[[#This Row],[error_ratio_7]]-EM$2)</f>
        <v>1.0573929961089494</v>
      </c>
      <c r="EX781" s="1">
        <f>1+(Table1[[#This Row],[error_ratio_8]]-EN$2)</f>
        <v>0.8459958932238193</v>
      </c>
      <c r="EY781" s="1">
        <f>1+(Table1[[#This Row],[error_ratio_9]]-EO$2)</f>
        <v>1.1020812685827552</v>
      </c>
    </row>
    <row r="782" spans="1:155" x14ac:dyDescent="0.75">
      <c r="A782">
        <v>10</v>
      </c>
      <c r="B782">
        <v>100</v>
      </c>
      <c r="C782">
        <v>100</v>
      </c>
      <c r="D782">
        <v>10</v>
      </c>
      <c r="E782">
        <v>10</v>
      </c>
      <c r="F782">
        <v>100</v>
      </c>
      <c r="G782">
        <v>10</v>
      </c>
      <c r="H782">
        <v>100</v>
      </c>
      <c r="I782">
        <v>10</v>
      </c>
      <c r="J782">
        <v>10</v>
      </c>
      <c r="K782">
        <v>992</v>
      </c>
      <c r="L782">
        <v>1166</v>
      </c>
      <c r="M782">
        <v>1063</v>
      </c>
      <c r="N782">
        <v>986</v>
      </c>
      <c r="O782">
        <v>983</v>
      </c>
      <c r="P782">
        <v>937</v>
      </c>
      <c r="Q782">
        <v>918</v>
      </c>
      <c r="R782">
        <v>1136</v>
      </c>
      <c r="S782">
        <v>880</v>
      </c>
      <c r="T782">
        <v>939</v>
      </c>
      <c r="U782">
        <v>980</v>
      </c>
      <c r="V782">
        <v>1135</v>
      </c>
      <c r="W782">
        <v>1032</v>
      </c>
      <c r="X782">
        <v>1010</v>
      </c>
      <c r="Y782">
        <v>982</v>
      </c>
      <c r="Z782">
        <v>892</v>
      </c>
      <c r="AA782">
        <v>958</v>
      </c>
      <c r="AB782">
        <v>1028</v>
      </c>
      <c r="AC782">
        <v>974</v>
      </c>
      <c r="AD782">
        <v>1009</v>
      </c>
      <c r="AE782">
        <v>953</v>
      </c>
      <c r="AF782">
        <v>1</v>
      </c>
      <c r="AG782">
        <v>2</v>
      </c>
      <c r="AH782">
        <v>0</v>
      </c>
      <c r="AI782">
        <v>5</v>
      </c>
      <c r="AJ782">
        <v>1</v>
      </c>
      <c r="AK782">
        <v>3</v>
      </c>
      <c r="AL782">
        <v>7</v>
      </c>
      <c r="AM782">
        <v>3</v>
      </c>
      <c r="AN782">
        <v>5</v>
      </c>
      <c r="AO782">
        <v>0</v>
      </c>
      <c r="AP782">
        <v>1132</v>
      </c>
      <c r="AQ782">
        <v>0</v>
      </c>
      <c r="AR782">
        <v>1</v>
      </c>
      <c r="AS782">
        <v>0</v>
      </c>
      <c r="AT782">
        <v>2</v>
      </c>
      <c r="AU782">
        <v>0</v>
      </c>
      <c r="AV782">
        <v>0</v>
      </c>
      <c r="AW782">
        <v>0</v>
      </c>
      <c r="AX782">
        <v>0</v>
      </c>
      <c r="AY782">
        <v>3</v>
      </c>
      <c r="AZ782">
        <v>3</v>
      </c>
      <c r="BA782">
        <v>1005</v>
      </c>
      <c r="BB782">
        <v>0</v>
      </c>
      <c r="BC782">
        <v>0</v>
      </c>
      <c r="BD782">
        <v>0</v>
      </c>
      <c r="BE782">
        <v>2</v>
      </c>
      <c r="BF782">
        <v>19</v>
      </c>
      <c r="BG782">
        <v>0</v>
      </c>
      <c r="BH782">
        <v>0</v>
      </c>
      <c r="BI782">
        <v>1</v>
      </c>
      <c r="BJ782">
        <v>0</v>
      </c>
      <c r="BK782">
        <v>9</v>
      </c>
      <c r="BL782">
        <v>968</v>
      </c>
      <c r="BM782">
        <v>0</v>
      </c>
      <c r="BN782">
        <v>15</v>
      </c>
      <c r="BO782">
        <v>0</v>
      </c>
      <c r="BP782">
        <v>16</v>
      </c>
      <c r="BQ782">
        <v>1</v>
      </c>
      <c r="BR782">
        <v>0</v>
      </c>
      <c r="BS782">
        <v>0</v>
      </c>
      <c r="BT782">
        <v>9</v>
      </c>
      <c r="BU782">
        <v>4</v>
      </c>
      <c r="BV782">
        <v>0</v>
      </c>
      <c r="BW782">
        <v>941</v>
      </c>
      <c r="BX782">
        <v>2</v>
      </c>
      <c r="BY782">
        <v>5</v>
      </c>
      <c r="BZ782">
        <v>13</v>
      </c>
      <c r="CA782">
        <v>1</v>
      </c>
      <c r="CB782">
        <v>7</v>
      </c>
      <c r="CC782">
        <v>2</v>
      </c>
      <c r="CD782">
        <v>1</v>
      </c>
      <c r="CE782">
        <v>0</v>
      </c>
      <c r="CF782">
        <v>6</v>
      </c>
      <c r="CG782">
        <v>0</v>
      </c>
      <c r="CH782">
        <v>879</v>
      </c>
      <c r="CI782">
        <v>1</v>
      </c>
      <c r="CJ782">
        <v>2</v>
      </c>
      <c r="CK782">
        <v>1</v>
      </c>
      <c r="CL782">
        <v>0</v>
      </c>
      <c r="CM782">
        <v>10</v>
      </c>
      <c r="CN782">
        <v>6</v>
      </c>
      <c r="CO782">
        <v>0</v>
      </c>
      <c r="CP782">
        <v>0</v>
      </c>
      <c r="CQ782">
        <v>18</v>
      </c>
      <c r="CR782">
        <v>13</v>
      </c>
      <c r="CS782">
        <v>906</v>
      </c>
      <c r="CT782">
        <v>1</v>
      </c>
      <c r="CU782">
        <v>2</v>
      </c>
      <c r="CV782">
        <v>2</v>
      </c>
      <c r="CW782">
        <v>1</v>
      </c>
      <c r="CX782">
        <v>3</v>
      </c>
      <c r="CY782">
        <v>4</v>
      </c>
      <c r="CZ782">
        <v>0</v>
      </c>
      <c r="DA782">
        <v>1</v>
      </c>
      <c r="DB782">
        <v>0</v>
      </c>
      <c r="DC782">
        <v>0</v>
      </c>
      <c r="DD782">
        <v>1019</v>
      </c>
      <c r="DE782">
        <v>0</v>
      </c>
      <c r="DF782">
        <v>0</v>
      </c>
      <c r="DG782">
        <v>17</v>
      </c>
      <c r="DH782">
        <v>1</v>
      </c>
      <c r="DI782">
        <v>39</v>
      </c>
      <c r="DJ782">
        <v>5</v>
      </c>
      <c r="DK782">
        <v>2</v>
      </c>
      <c r="DL782">
        <v>9</v>
      </c>
      <c r="DM782">
        <v>1</v>
      </c>
      <c r="DN782">
        <v>15</v>
      </c>
      <c r="DO782">
        <v>871</v>
      </c>
      <c r="DP782">
        <v>14</v>
      </c>
      <c r="DQ782">
        <v>5</v>
      </c>
      <c r="DR782">
        <v>10</v>
      </c>
      <c r="DS782">
        <v>0</v>
      </c>
      <c r="DT782">
        <v>6</v>
      </c>
      <c r="DU782">
        <v>16</v>
      </c>
      <c r="DV782">
        <v>16</v>
      </c>
      <c r="DW782">
        <v>0</v>
      </c>
      <c r="DX782">
        <v>44</v>
      </c>
      <c r="DY782">
        <v>1</v>
      </c>
      <c r="DZ782">
        <v>911</v>
      </c>
      <c r="EA782">
        <v>0.95850000000000002</v>
      </c>
      <c r="EB782">
        <v>0.95979707172773299</v>
      </c>
      <c r="EC782">
        <v>0.95798233730063198</v>
      </c>
      <c r="ED782">
        <v>0.95813280535410095</v>
      </c>
      <c r="EE782">
        <f>SUM(Table1[[#This Row],[ratio_0]:[ratio_9]])</f>
        <v>460</v>
      </c>
      <c r="EF782" s="1">
        <f>(Table1[[#This Row],[predicted_0]]-Table1[[#This Row],[actual_0]])/Table1[[#This Row],[actual_0]]</f>
        <v>1.2244897959183673E-2</v>
      </c>
      <c r="EG782" s="1">
        <f>(Table1[[#This Row],[predicted_1]]-Table1[[#This Row],[actual_1]])/Table1[[#This Row],[actual_1]]</f>
        <v>2.7312775330396475E-2</v>
      </c>
      <c r="EH782" s="1">
        <f>(Table1[[#This Row],[predicted_2]]-Table1[[#This Row],[actual_2]])/Table1[[#This Row],[actual_2]]</f>
        <v>3.0038759689922482E-2</v>
      </c>
      <c r="EI782" s="1">
        <f>(Table1[[#This Row],[predicted_3]]-Table1[[#This Row],[actual_3]])/Table1[[#This Row],[actual_3]]</f>
        <v>-2.3762376237623763E-2</v>
      </c>
      <c r="EJ782" s="1">
        <f>(Table1[[#This Row],[predicted_4]]-Table1[[#This Row],[actual_4]])/Table1[[#This Row],[actual_4]]</f>
        <v>1.0183299389002036E-3</v>
      </c>
      <c r="EK782" s="1">
        <f>(Table1[[#This Row],[predicted_5]]-Table1[[#This Row],[actual_5]])/Table1[[#This Row],[actual_5]]</f>
        <v>5.0448430493273543E-2</v>
      </c>
      <c r="EL782" s="1">
        <f>(Table1[[#This Row],[predicted_6]]-Table1[[#This Row],[actual_6]])/Table1[[#This Row],[actual_6]]</f>
        <v>-4.1753653444676408E-2</v>
      </c>
      <c r="EM782" s="1">
        <f>(Table1[[#This Row],[predicted_7]]-Table1[[#This Row],[actual_7]])/Table1[[#This Row],[actual_7]]</f>
        <v>0.10505836575875487</v>
      </c>
      <c r="EN782" s="1">
        <f>(Table1[[#This Row],[predicted_8]]-Table1[[#This Row],[actual_8]])/Table1[[#This Row],[actual_8]]</f>
        <v>-9.6509240246406572E-2</v>
      </c>
      <c r="EO782" s="1">
        <f>(Table1[[#This Row],[predicted_9]]-Table1[[#This Row],[actual_9]])/Table1[[#This Row],[actual_9]]</f>
        <v>-6.9375619425173438E-2</v>
      </c>
      <c r="EP782" s="1">
        <f>1+(Table1[[#This Row],[error_ratio_0]]-EF$2)</f>
        <v>1.010204081632653</v>
      </c>
      <c r="EQ782" s="1">
        <f>1+(Table1[[#This Row],[error_ratio_1]]-EG$2)</f>
        <v>1.0255506607929514</v>
      </c>
      <c r="ER782" s="1">
        <f>1+(Table1[[#This Row],[error_ratio_2]]-EH$2)</f>
        <v>1.0348837209302326</v>
      </c>
      <c r="ES782" s="1">
        <f>1+(Table1[[#This Row],[error_ratio_3]]-EI$2)</f>
        <v>0.96633663366336631</v>
      </c>
      <c r="ET782" s="1">
        <f>1+(Table1[[#This Row],[error_ratio_4]]-EJ$2)</f>
        <v>1</v>
      </c>
      <c r="EU782" s="1">
        <f>1+(Table1[[#This Row],[error_ratio_5]]-EK$2)</f>
        <v>1.0493273542600896</v>
      </c>
      <c r="EV782" s="1">
        <f>1+(Table1[[#This Row],[error_ratio_6]]-EL$2)</f>
        <v>0.964509394572025</v>
      </c>
      <c r="EW782" s="1">
        <f>1+(Table1[[#This Row],[error_ratio_7]]-EM$2)</f>
        <v>1.1031128404669261</v>
      </c>
      <c r="EX782" s="1">
        <f>1+(Table1[[#This Row],[error_ratio_8]]-EN$2)</f>
        <v>0.90657084188911707</v>
      </c>
      <c r="EY782" s="1">
        <f>1+(Table1[[#This Row],[error_ratio_9]]-EO$2)</f>
        <v>0.93458870168483643</v>
      </c>
    </row>
    <row r="783" spans="1:155" x14ac:dyDescent="0.75">
      <c r="A783">
        <v>100</v>
      </c>
      <c r="B783">
        <v>10</v>
      </c>
      <c r="C783">
        <v>100</v>
      </c>
      <c r="D783">
        <v>10</v>
      </c>
      <c r="E783">
        <v>10</v>
      </c>
      <c r="F783">
        <v>100</v>
      </c>
      <c r="G783">
        <v>10</v>
      </c>
      <c r="H783">
        <v>100</v>
      </c>
      <c r="I783">
        <v>10</v>
      </c>
      <c r="J783">
        <v>10</v>
      </c>
      <c r="K783">
        <v>999</v>
      </c>
      <c r="L783">
        <v>1075</v>
      </c>
      <c r="M783">
        <v>1052</v>
      </c>
      <c r="N783">
        <v>983</v>
      </c>
      <c r="O783">
        <v>956</v>
      </c>
      <c r="P783">
        <v>953</v>
      </c>
      <c r="Q783">
        <v>959</v>
      </c>
      <c r="R783">
        <v>1039</v>
      </c>
      <c r="S783">
        <v>1061</v>
      </c>
      <c r="T783">
        <v>923</v>
      </c>
      <c r="U783">
        <v>980</v>
      </c>
      <c r="V783">
        <v>1135</v>
      </c>
      <c r="W783">
        <v>1032</v>
      </c>
      <c r="X783">
        <v>1010</v>
      </c>
      <c r="Y783">
        <v>982</v>
      </c>
      <c r="Z783">
        <v>892</v>
      </c>
      <c r="AA783">
        <v>958</v>
      </c>
      <c r="AB783">
        <v>1028</v>
      </c>
      <c r="AC783">
        <v>974</v>
      </c>
      <c r="AD783">
        <v>1009</v>
      </c>
      <c r="AE783">
        <v>973</v>
      </c>
      <c r="AF783">
        <v>0</v>
      </c>
      <c r="AG783">
        <v>0</v>
      </c>
      <c r="AH783">
        <v>0</v>
      </c>
      <c r="AI783">
        <v>0</v>
      </c>
      <c r="AJ783">
        <v>0</v>
      </c>
      <c r="AK783">
        <v>4</v>
      </c>
      <c r="AL783">
        <v>1</v>
      </c>
      <c r="AM783">
        <v>2</v>
      </c>
      <c r="AN783">
        <v>0</v>
      </c>
      <c r="AO783">
        <v>0</v>
      </c>
      <c r="AP783">
        <v>1071</v>
      </c>
      <c r="AQ783">
        <v>5</v>
      </c>
      <c r="AR783">
        <v>7</v>
      </c>
      <c r="AS783">
        <v>0</v>
      </c>
      <c r="AT783">
        <v>2</v>
      </c>
      <c r="AU783">
        <v>5</v>
      </c>
      <c r="AV783">
        <v>7</v>
      </c>
      <c r="AW783">
        <v>38</v>
      </c>
      <c r="AX783">
        <v>0</v>
      </c>
      <c r="AY783">
        <v>1</v>
      </c>
      <c r="AZ783">
        <v>0</v>
      </c>
      <c r="BA783">
        <v>1020</v>
      </c>
      <c r="BB783">
        <v>1</v>
      </c>
      <c r="BC783">
        <v>0</v>
      </c>
      <c r="BD783">
        <v>0</v>
      </c>
      <c r="BE783">
        <v>0</v>
      </c>
      <c r="BF783">
        <v>6</v>
      </c>
      <c r="BG783">
        <v>4</v>
      </c>
      <c r="BH783">
        <v>0</v>
      </c>
      <c r="BI783">
        <v>0</v>
      </c>
      <c r="BJ783">
        <v>0</v>
      </c>
      <c r="BK783">
        <v>4</v>
      </c>
      <c r="BL783">
        <v>960</v>
      </c>
      <c r="BM783">
        <v>0</v>
      </c>
      <c r="BN783">
        <v>38</v>
      </c>
      <c r="BO783">
        <v>0</v>
      </c>
      <c r="BP783">
        <v>6</v>
      </c>
      <c r="BQ783">
        <v>2</v>
      </c>
      <c r="BR783">
        <v>0</v>
      </c>
      <c r="BS783">
        <v>0</v>
      </c>
      <c r="BT783">
        <v>0</v>
      </c>
      <c r="BU783">
        <v>9</v>
      </c>
      <c r="BV783">
        <v>0</v>
      </c>
      <c r="BW783">
        <v>946</v>
      </c>
      <c r="BX783">
        <v>0</v>
      </c>
      <c r="BY783">
        <v>6</v>
      </c>
      <c r="BZ783">
        <v>2</v>
      </c>
      <c r="CA783">
        <v>9</v>
      </c>
      <c r="CB783">
        <v>10</v>
      </c>
      <c r="CC783">
        <v>2</v>
      </c>
      <c r="CD783">
        <v>0</v>
      </c>
      <c r="CE783">
        <v>0</v>
      </c>
      <c r="CF783">
        <v>4</v>
      </c>
      <c r="CG783">
        <v>0</v>
      </c>
      <c r="CH783">
        <v>880</v>
      </c>
      <c r="CI783">
        <v>6</v>
      </c>
      <c r="CJ783">
        <v>0</v>
      </c>
      <c r="CK783">
        <v>0</v>
      </c>
      <c r="CL783">
        <v>0</v>
      </c>
      <c r="CM783">
        <v>14</v>
      </c>
      <c r="CN783">
        <v>1</v>
      </c>
      <c r="CO783">
        <v>2</v>
      </c>
      <c r="CP783">
        <v>0</v>
      </c>
      <c r="CQ783">
        <v>4</v>
      </c>
      <c r="CR783">
        <v>6</v>
      </c>
      <c r="CS783">
        <v>931</v>
      </c>
      <c r="CT783">
        <v>0</v>
      </c>
      <c r="CU783">
        <v>0</v>
      </c>
      <c r="CV783">
        <v>0</v>
      </c>
      <c r="CW783">
        <v>1</v>
      </c>
      <c r="CX783">
        <v>1</v>
      </c>
      <c r="CY783">
        <v>8</v>
      </c>
      <c r="CZ783">
        <v>2</v>
      </c>
      <c r="DA783">
        <v>0</v>
      </c>
      <c r="DB783">
        <v>0</v>
      </c>
      <c r="DC783">
        <v>0</v>
      </c>
      <c r="DD783">
        <v>1009</v>
      </c>
      <c r="DE783">
        <v>6</v>
      </c>
      <c r="DF783">
        <v>1</v>
      </c>
      <c r="DG783">
        <v>3</v>
      </c>
      <c r="DH783">
        <v>0</v>
      </c>
      <c r="DI783">
        <v>4</v>
      </c>
      <c r="DJ783">
        <v>4</v>
      </c>
      <c r="DK783">
        <v>2</v>
      </c>
      <c r="DL783">
        <v>9</v>
      </c>
      <c r="DM783">
        <v>5</v>
      </c>
      <c r="DN783">
        <v>1</v>
      </c>
      <c r="DO783">
        <v>945</v>
      </c>
      <c r="DP783">
        <v>1</v>
      </c>
      <c r="DQ783">
        <v>5</v>
      </c>
      <c r="DR783">
        <v>2</v>
      </c>
      <c r="DS783">
        <v>0</v>
      </c>
      <c r="DT783">
        <v>5</v>
      </c>
      <c r="DU783">
        <v>4</v>
      </c>
      <c r="DV783">
        <v>18</v>
      </c>
      <c r="DW783">
        <v>2</v>
      </c>
      <c r="DX783">
        <v>7</v>
      </c>
      <c r="DY783">
        <v>55</v>
      </c>
      <c r="DZ783">
        <v>911</v>
      </c>
      <c r="EA783">
        <v>0.96460000000000001</v>
      </c>
      <c r="EB783">
        <v>0.96489736690031802</v>
      </c>
      <c r="EC783">
        <v>0.96516576267356602</v>
      </c>
      <c r="ED783">
        <v>0.96444225620802404</v>
      </c>
      <c r="EE783">
        <f>SUM(Table1[[#This Row],[ratio_0]:[ratio_9]])</f>
        <v>460</v>
      </c>
      <c r="EF783" s="1">
        <f>(Table1[[#This Row],[predicted_0]]-Table1[[#This Row],[actual_0]])/Table1[[#This Row],[actual_0]]</f>
        <v>1.9387755102040816E-2</v>
      </c>
      <c r="EG783" s="1">
        <f>(Table1[[#This Row],[predicted_1]]-Table1[[#This Row],[actual_1]])/Table1[[#This Row],[actual_1]]</f>
        <v>-5.2863436123348019E-2</v>
      </c>
      <c r="EH783" s="1">
        <f>(Table1[[#This Row],[predicted_2]]-Table1[[#This Row],[actual_2]])/Table1[[#This Row],[actual_2]]</f>
        <v>1.937984496124031E-2</v>
      </c>
      <c r="EI783" s="1">
        <f>(Table1[[#This Row],[predicted_3]]-Table1[[#This Row],[actual_3]])/Table1[[#This Row],[actual_3]]</f>
        <v>-2.6732673267326732E-2</v>
      </c>
      <c r="EJ783" s="1">
        <f>(Table1[[#This Row],[predicted_4]]-Table1[[#This Row],[actual_4]])/Table1[[#This Row],[actual_4]]</f>
        <v>-2.6476578411405296E-2</v>
      </c>
      <c r="EK783" s="1">
        <f>(Table1[[#This Row],[predicted_5]]-Table1[[#This Row],[actual_5]])/Table1[[#This Row],[actual_5]]</f>
        <v>6.838565022421525E-2</v>
      </c>
      <c r="EL783" s="1">
        <f>(Table1[[#This Row],[predicted_6]]-Table1[[#This Row],[actual_6]])/Table1[[#This Row],[actual_6]]</f>
        <v>1.0438413361169101E-3</v>
      </c>
      <c r="EM783" s="1">
        <f>(Table1[[#This Row],[predicted_7]]-Table1[[#This Row],[actual_7]])/Table1[[#This Row],[actual_7]]</f>
        <v>1.0700389105058366E-2</v>
      </c>
      <c r="EN783" s="1">
        <f>(Table1[[#This Row],[predicted_8]]-Table1[[#This Row],[actual_8]])/Table1[[#This Row],[actual_8]]</f>
        <v>8.932238193018481E-2</v>
      </c>
      <c r="EO783" s="1">
        <f>(Table1[[#This Row],[predicted_9]]-Table1[[#This Row],[actual_9]])/Table1[[#This Row],[actual_9]]</f>
        <v>-8.523290386521308E-2</v>
      </c>
      <c r="EP783" s="1">
        <f>1+(Table1[[#This Row],[error_ratio_0]]-EF$2)</f>
        <v>1.0173469387755103</v>
      </c>
      <c r="EQ783" s="1">
        <f>1+(Table1[[#This Row],[error_ratio_1]]-EG$2)</f>
        <v>0.945374449339207</v>
      </c>
      <c r="ER783" s="1">
        <f>1+(Table1[[#This Row],[error_ratio_2]]-EH$2)</f>
        <v>1.0242248062015504</v>
      </c>
      <c r="ES783" s="1">
        <f>1+(Table1[[#This Row],[error_ratio_3]]-EI$2)</f>
        <v>0.96336633663366333</v>
      </c>
      <c r="ET783" s="1">
        <f>1+(Table1[[#This Row],[error_ratio_4]]-EJ$2)</f>
        <v>0.97250509164969445</v>
      </c>
      <c r="EU783" s="1">
        <f>1+(Table1[[#This Row],[error_ratio_5]]-EK$2)</f>
        <v>1.0672645739910314</v>
      </c>
      <c r="EV783" s="1">
        <f>1+(Table1[[#This Row],[error_ratio_6]]-EL$2)</f>
        <v>1.0073068893528183</v>
      </c>
      <c r="EW783" s="1">
        <f>1+(Table1[[#This Row],[error_ratio_7]]-EM$2)</f>
        <v>1.0087548638132295</v>
      </c>
      <c r="EX783" s="1">
        <f>1+(Table1[[#This Row],[error_ratio_8]]-EN$2)</f>
        <v>1.0924024640657084</v>
      </c>
      <c r="EY783" s="1">
        <f>1+(Table1[[#This Row],[error_ratio_9]]-EO$2)</f>
        <v>0.91873141724479679</v>
      </c>
    </row>
    <row r="784" spans="1:155" x14ac:dyDescent="0.75">
      <c r="A784">
        <v>10</v>
      </c>
      <c r="B784">
        <v>10</v>
      </c>
      <c r="C784">
        <v>100</v>
      </c>
      <c r="D784">
        <v>10</v>
      </c>
      <c r="E784">
        <v>10</v>
      </c>
      <c r="F784">
        <v>100</v>
      </c>
      <c r="G784">
        <v>10</v>
      </c>
      <c r="H784">
        <v>100</v>
      </c>
      <c r="I784">
        <v>10</v>
      </c>
      <c r="J784">
        <v>10</v>
      </c>
      <c r="K784">
        <v>1009</v>
      </c>
      <c r="L784">
        <v>1130</v>
      </c>
      <c r="M784">
        <v>1061</v>
      </c>
      <c r="N784">
        <v>986</v>
      </c>
      <c r="O784">
        <v>942</v>
      </c>
      <c r="P784">
        <v>1094</v>
      </c>
      <c r="Q784">
        <v>779</v>
      </c>
      <c r="R784">
        <v>1069</v>
      </c>
      <c r="S784">
        <v>899</v>
      </c>
      <c r="T784">
        <v>1031</v>
      </c>
      <c r="U784">
        <v>980</v>
      </c>
      <c r="V784">
        <v>1135</v>
      </c>
      <c r="W784">
        <v>1032</v>
      </c>
      <c r="X784">
        <v>1010</v>
      </c>
      <c r="Y784">
        <v>982</v>
      </c>
      <c r="Z784">
        <v>892</v>
      </c>
      <c r="AA784">
        <v>958</v>
      </c>
      <c r="AB784">
        <v>1028</v>
      </c>
      <c r="AC784">
        <v>974</v>
      </c>
      <c r="AD784">
        <v>1009</v>
      </c>
      <c r="AE784">
        <v>970</v>
      </c>
      <c r="AF784">
        <v>0</v>
      </c>
      <c r="AG784">
        <v>1</v>
      </c>
      <c r="AH784">
        <v>0</v>
      </c>
      <c r="AI784">
        <v>0</v>
      </c>
      <c r="AJ784">
        <v>2</v>
      </c>
      <c r="AK784">
        <v>1</v>
      </c>
      <c r="AL784">
        <v>3</v>
      </c>
      <c r="AM784">
        <v>3</v>
      </c>
      <c r="AN784">
        <v>0</v>
      </c>
      <c r="AO784">
        <v>0</v>
      </c>
      <c r="AP784">
        <v>1120</v>
      </c>
      <c r="AQ784">
        <v>7</v>
      </c>
      <c r="AR784">
        <v>0</v>
      </c>
      <c r="AS784">
        <v>0</v>
      </c>
      <c r="AT784">
        <v>4</v>
      </c>
      <c r="AU784">
        <v>0</v>
      </c>
      <c r="AV784">
        <v>3</v>
      </c>
      <c r="AW784">
        <v>1</v>
      </c>
      <c r="AX784">
        <v>0</v>
      </c>
      <c r="AY784">
        <v>2</v>
      </c>
      <c r="AZ784">
        <v>0</v>
      </c>
      <c r="BA784">
        <v>1019</v>
      </c>
      <c r="BB784">
        <v>0</v>
      </c>
      <c r="BC784">
        <v>2</v>
      </c>
      <c r="BD784">
        <v>0</v>
      </c>
      <c r="BE784">
        <v>0</v>
      </c>
      <c r="BF784">
        <v>9</v>
      </c>
      <c r="BG784">
        <v>0</v>
      </c>
      <c r="BH784">
        <v>0</v>
      </c>
      <c r="BI784">
        <v>0</v>
      </c>
      <c r="BJ784">
        <v>0</v>
      </c>
      <c r="BK784">
        <v>11</v>
      </c>
      <c r="BL784">
        <v>971</v>
      </c>
      <c r="BM784">
        <v>0</v>
      </c>
      <c r="BN784">
        <v>17</v>
      </c>
      <c r="BO784">
        <v>0</v>
      </c>
      <c r="BP784">
        <v>9</v>
      </c>
      <c r="BQ784">
        <v>1</v>
      </c>
      <c r="BR784">
        <v>1</v>
      </c>
      <c r="BS784">
        <v>1</v>
      </c>
      <c r="BT784">
        <v>2</v>
      </c>
      <c r="BU784">
        <v>4</v>
      </c>
      <c r="BV784">
        <v>0</v>
      </c>
      <c r="BW784">
        <v>918</v>
      </c>
      <c r="BX784">
        <v>0</v>
      </c>
      <c r="BY784">
        <v>0</v>
      </c>
      <c r="BZ784">
        <v>3</v>
      </c>
      <c r="CA784">
        <v>0</v>
      </c>
      <c r="CB784">
        <v>54</v>
      </c>
      <c r="CC784">
        <v>1</v>
      </c>
      <c r="CD784">
        <v>0</v>
      </c>
      <c r="CE784">
        <v>0</v>
      </c>
      <c r="CF784">
        <v>4</v>
      </c>
      <c r="CG784">
        <v>0</v>
      </c>
      <c r="CH784">
        <v>886</v>
      </c>
      <c r="CI784">
        <v>0</v>
      </c>
      <c r="CJ784">
        <v>1</v>
      </c>
      <c r="CK784">
        <v>0</v>
      </c>
      <c r="CL784">
        <v>0</v>
      </c>
      <c r="CM784">
        <v>25</v>
      </c>
      <c r="CN784">
        <v>3</v>
      </c>
      <c r="CO784">
        <v>1</v>
      </c>
      <c r="CP784">
        <v>0</v>
      </c>
      <c r="CQ784">
        <v>14</v>
      </c>
      <c r="CR784">
        <v>136</v>
      </c>
      <c r="CS784">
        <v>778</v>
      </c>
      <c r="CT784">
        <v>0</v>
      </c>
      <c r="CU784">
        <v>1</v>
      </c>
      <c r="CV784">
        <v>0</v>
      </c>
      <c r="CW784">
        <v>1</v>
      </c>
      <c r="CX784">
        <v>2</v>
      </c>
      <c r="CY784">
        <v>6</v>
      </c>
      <c r="CZ784">
        <v>0</v>
      </c>
      <c r="DA784">
        <v>0</v>
      </c>
      <c r="DB784">
        <v>0</v>
      </c>
      <c r="DC784">
        <v>0</v>
      </c>
      <c r="DD784">
        <v>1019</v>
      </c>
      <c r="DE784">
        <v>0</v>
      </c>
      <c r="DF784">
        <v>0</v>
      </c>
      <c r="DG784">
        <v>3</v>
      </c>
      <c r="DH784">
        <v>1</v>
      </c>
      <c r="DI784">
        <v>10</v>
      </c>
      <c r="DJ784">
        <v>4</v>
      </c>
      <c r="DK784">
        <v>3</v>
      </c>
      <c r="DL784">
        <v>40</v>
      </c>
      <c r="DM784">
        <v>0</v>
      </c>
      <c r="DN784">
        <v>12</v>
      </c>
      <c r="DO784">
        <v>892</v>
      </c>
      <c r="DP784">
        <v>9</v>
      </c>
      <c r="DQ784">
        <v>6</v>
      </c>
      <c r="DR784">
        <v>2</v>
      </c>
      <c r="DS784">
        <v>2</v>
      </c>
      <c r="DT784">
        <v>7</v>
      </c>
      <c r="DU784">
        <v>5</v>
      </c>
      <c r="DV784">
        <v>9</v>
      </c>
      <c r="DW784">
        <v>0</v>
      </c>
      <c r="DX784">
        <v>10</v>
      </c>
      <c r="DY784">
        <v>1</v>
      </c>
      <c r="DZ784">
        <v>967</v>
      </c>
      <c r="EA784">
        <v>0.95399999999999996</v>
      </c>
      <c r="EB784">
        <v>0.95641758893954798</v>
      </c>
      <c r="EC784">
        <v>0.953100913756315</v>
      </c>
      <c r="ED784">
        <v>0.952568625754322</v>
      </c>
      <c r="EE784">
        <f>SUM(Table1[[#This Row],[ratio_0]:[ratio_9]])</f>
        <v>370</v>
      </c>
      <c r="EF784" s="1">
        <f>(Table1[[#This Row],[predicted_0]]-Table1[[#This Row],[actual_0]])/Table1[[#This Row],[actual_0]]</f>
        <v>2.9591836734693878E-2</v>
      </c>
      <c r="EG784" s="1">
        <f>(Table1[[#This Row],[predicted_1]]-Table1[[#This Row],[actual_1]])/Table1[[#This Row],[actual_1]]</f>
        <v>-4.4052863436123352E-3</v>
      </c>
      <c r="EH784" s="1">
        <f>(Table1[[#This Row],[predicted_2]]-Table1[[#This Row],[actual_2]])/Table1[[#This Row],[actual_2]]</f>
        <v>2.8100775193798451E-2</v>
      </c>
      <c r="EI784" s="1">
        <f>(Table1[[#This Row],[predicted_3]]-Table1[[#This Row],[actual_3]])/Table1[[#This Row],[actual_3]]</f>
        <v>-2.3762376237623763E-2</v>
      </c>
      <c r="EJ784" s="1">
        <f>(Table1[[#This Row],[predicted_4]]-Table1[[#This Row],[actual_4]])/Table1[[#This Row],[actual_4]]</f>
        <v>-4.0733197556008148E-2</v>
      </c>
      <c r="EK784" s="1">
        <f>(Table1[[#This Row],[predicted_5]]-Table1[[#This Row],[actual_5]])/Table1[[#This Row],[actual_5]]</f>
        <v>0.226457399103139</v>
      </c>
      <c r="EL784" s="1">
        <f>(Table1[[#This Row],[predicted_6]]-Table1[[#This Row],[actual_6]])/Table1[[#This Row],[actual_6]]</f>
        <v>-0.18684759916492694</v>
      </c>
      <c r="EM784" s="1">
        <f>(Table1[[#This Row],[predicted_7]]-Table1[[#This Row],[actual_7]])/Table1[[#This Row],[actual_7]]</f>
        <v>3.9883268482490269E-2</v>
      </c>
      <c r="EN784" s="1">
        <f>(Table1[[#This Row],[predicted_8]]-Table1[[#This Row],[actual_8]])/Table1[[#This Row],[actual_8]]</f>
        <v>-7.7002053388090352E-2</v>
      </c>
      <c r="EO784" s="1">
        <f>(Table1[[#This Row],[predicted_9]]-Table1[[#This Row],[actual_9]])/Table1[[#This Row],[actual_9]]</f>
        <v>2.1803766105054509E-2</v>
      </c>
      <c r="EP784" s="1">
        <f>1+(Table1[[#This Row],[error_ratio_0]]-EF$2)</f>
        <v>1.0275510204081633</v>
      </c>
      <c r="EQ784" s="1">
        <f>1+(Table1[[#This Row],[error_ratio_1]]-EG$2)</f>
        <v>0.99383259911894273</v>
      </c>
      <c r="ER784" s="1">
        <f>1+(Table1[[#This Row],[error_ratio_2]]-EH$2)</f>
        <v>1.0329457364341086</v>
      </c>
      <c r="ES784" s="1">
        <f>1+(Table1[[#This Row],[error_ratio_3]]-EI$2)</f>
        <v>0.96633663366336631</v>
      </c>
      <c r="ET784" s="1">
        <f>1+(Table1[[#This Row],[error_ratio_4]]-EJ$2)</f>
        <v>0.9582484725050916</v>
      </c>
      <c r="EU784" s="1">
        <f>1+(Table1[[#This Row],[error_ratio_5]]-EK$2)</f>
        <v>1.2253363228699552</v>
      </c>
      <c r="EV784" s="1">
        <f>1+(Table1[[#This Row],[error_ratio_6]]-EL$2)</f>
        <v>0.81941544885177453</v>
      </c>
      <c r="EW784" s="1">
        <f>1+(Table1[[#This Row],[error_ratio_7]]-EM$2)</f>
        <v>1.0379377431906616</v>
      </c>
      <c r="EX784" s="1">
        <f>1+(Table1[[#This Row],[error_ratio_8]]-EN$2)</f>
        <v>0.92607802874743328</v>
      </c>
      <c r="EY784" s="1">
        <f>1+(Table1[[#This Row],[error_ratio_9]]-EO$2)</f>
        <v>1.0257680872150645</v>
      </c>
    </row>
    <row r="785" spans="1:155" x14ac:dyDescent="0.75">
      <c r="A785">
        <v>100</v>
      </c>
      <c r="B785">
        <v>100</v>
      </c>
      <c r="C785">
        <v>10</v>
      </c>
      <c r="D785">
        <v>10</v>
      </c>
      <c r="E785">
        <v>10</v>
      </c>
      <c r="F785">
        <v>100</v>
      </c>
      <c r="G785">
        <v>10</v>
      </c>
      <c r="H785">
        <v>100</v>
      </c>
      <c r="I785">
        <v>10</v>
      </c>
      <c r="J785">
        <v>10</v>
      </c>
      <c r="K785">
        <v>1020</v>
      </c>
      <c r="L785">
        <v>1169</v>
      </c>
      <c r="M785">
        <v>979</v>
      </c>
      <c r="N785">
        <v>1046</v>
      </c>
      <c r="O785">
        <v>994</v>
      </c>
      <c r="P785">
        <v>906</v>
      </c>
      <c r="Q785">
        <v>905</v>
      </c>
      <c r="R785">
        <v>1114</v>
      </c>
      <c r="S785">
        <v>863</v>
      </c>
      <c r="T785">
        <v>1004</v>
      </c>
      <c r="U785">
        <v>980</v>
      </c>
      <c r="V785">
        <v>1135</v>
      </c>
      <c r="W785">
        <v>1032</v>
      </c>
      <c r="X785">
        <v>1010</v>
      </c>
      <c r="Y785">
        <v>982</v>
      </c>
      <c r="Z785">
        <v>892</v>
      </c>
      <c r="AA785">
        <v>958</v>
      </c>
      <c r="AB785">
        <v>1028</v>
      </c>
      <c r="AC785">
        <v>974</v>
      </c>
      <c r="AD785">
        <v>1009</v>
      </c>
      <c r="AE785">
        <v>972</v>
      </c>
      <c r="AF785">
        <v>1</v>
      </c>
      <c r="AG785">
        <v>2</v>
      </c>
      <c r="AH785">
        <v>0</v>
      </c>
      <c r="AI785">
        <v>0</v>
      </c>
      <c r="AJ785">
        <v>0</v>
      </c>
      <c r="AK785">
        <v>0</v>
      </c>
      <c r="AL785">
        <v>4</v>
      </c>
      <c r="AM785">
        <v>1</v>
      </c>
      <c r="AN785">
        <v>0</v>
      </c>
      <c r="AO785">
        <v>0</v>
      </c>
      <c r="AP785">
        <v>1134</v>
      </c>
      <c r="AQ785">
        <v>0</v>
      </c>
      <c r="AR785">
        <v>1</v>
      </c>
      <c r="AS785">
        <v>0</v>
      </c>
      <c r="AT785">
        <v>0</v>
      </c>
      <c r="AU785">
        <v>0</v>
      </c>
      <c r="AV785">
        <v>0</v>
      </c>
      <c r="AW785">
        <v>0</v>
      </c>
      <c r="AX785">
        <v>0</v>
      </c>
      <c r="AY785">
        <v>6</v>
      </c>
      <c r="AZ785">
        <v>10</v>
      </c>
      <c r="BA785">
        <v>930</v>
      </c>
      <c r="BB785">
        <v>31</v>
      </c>
      <c r="BC785">
        <v>8</v>
      </c>
      <c r="BD785">
        <v>0</v>
      </c>
      <c r="BE785">
        <v>1</v>
      </c>
      <c r="BF785">
        <v>46</v>
      </c>
      <c r="BG785">
        <v>0</v>
      </c>
      <c r="BH785">
        <v>0</v>
      </c>
      <c r="BI785">
        <v>2</v>
      </c>
      <c r="BJ785">
        <v>0</v>
      </c>
      <c r="BK785">
        <v>3</v>
      </c>
      <c r="BL785">
        <v>983</v>
      </c>
      <c r="BM785">
        <v>0</v>
      </c>
      <c r="BN785">
        <v>4</v>
      </c>
      <c r="BO785">
        <v>0</v>
      </c>
      <c r="BP785">
        <v>11</v>
      </c>
      <c r="BQ785">
        <v>0</v>
      </c>
      <c r="BR785">
        <v>7</v>
      </c>
      <c r="BS785">
        <v>0</v>
      </c>
      <c r="BT785">
        <v>3</v>
      </c>
      <c r="BU785">
        <v>0</v>
      </c>
      <c r="BV785">
        <v>0</v>
      </c>
      <c r="BW785">
        <v>968</v>
      </c>
      <c r="BX785">
        <v>0</v>
      </c>
      <c r="BY785">
        <v>0</v>
      </c>
      <c r="BZ785">
        <v>1</v>
      </c>
      <c r="CA785">
        <v>1</v>
      </c>
      <c r="CB785">
        <v>9</v>
      </c>
      <c r="CC785">
        <v>3</v>
      </c>
      <c r="CD785">
        <v>0</v>
      </c>
      <c r="CE785">
        <v>0</v>
      </c>
      <c r="CF785">
        <v>7</v>
      </c>
      <c r="CG785">
        <v>0</v>
      </c>
      <c r="CH785">
        <v>874</v>
      </c>
      <c r="CI785">
        <v>0</v>
      </c>
      <c r="CJ785">
        <v>2</v>
      </c>
      <c r="CK785">
        <v>2</v>
      </c>
      <c r="CL785">
        <v>4</v>
      </c>
      <c r="CM785">
        <v>21</v>
      </c>
      <c r="CN785">
        <v>10</v>
      </c>
      <c r="CO785">
        <v>3</v>
      </c>
      <c r="CP785">
        <v>1</v>
      </c>
      <c r="CQ785">
        <v>6</v>
      </c>
      <c r="CR785">
        <v>13</v>
      </c>
      <c r="CS785">
        <v>902</v>
      </c>
      <c r="CT785">
        <v>0</v>
      </c>
      <c r="CU785">
        <v>2</v>
      </c>
      <c r="CV785">
        <v>0</v>
      </c>
      <c r="CW785">
        <v>1</v>
      </c>
      <c r="CX785">
        <v>1</v>
      </c>
      <c r="CY785">
        <v>4</v>
      </c>
      <c r="CZ785">
        <v>1</v>
      </c>
      <c r="DA785">
        <v>0</v>
      </c>
      <c r="DB785">
        <v>0</v>
      </c>
      <c r="DC785">
        <v>0</v>
      </c>
      <c r="DD785">
        <v>1019</v>
      </c>
      <c r="DE785">
        <v>0</v>
      </c>
      <c r="DF785">
        <v>2</v>
      </c>
      <c r="DG785">
        <v>12</v>
      </c>
      <c r="DH785">
        <v>3</v>
      </c>
      <c r="DI785">
        <v>37</v>
      </c>
      <c r="DJ785">
        <v>15</v>
      </c>
      <c r="DK785">
        <v>6</v>
      </c>
      <c r="DL785">
        <v>6</v>
      </c>
      <c r="DM785">
        <v>2</v>
      </c>
      <c r="DN785">
        <v>15</v>
      </c>
      <c r="DO785">
        <v>857</v>
      </c>
      <c r="DP785">
        <v>21</v>
      </c>
      <c r="DQ785">
        <v>3</v>
      </c>
      <c r="DR785">
        <v>7</v>
      </c>
      <c r="DS785">
        <v>0</v>
      </c>
      <c r="DT785">
        <v>7</v>
      </c>
      <c r="DU785">
        <v>6</v>
      </c>
      <c r="DV785">
        <v>9</v>
      </c>
      <c r="DW785">
        <v>0</v>
      </c>
      <c r="DX785">
        <v>16</v>
      </c>
      <c r="DY785">
        <v>0</v>
      </c>
      <c r="DZ785">
        <v>961</v>
      </c>
      <c r="EA785">
        <v>0.96</v>
      </c>
      <c r="EB785">
        <v>0.96128691385537401</v>
      </c>
      <c r="EC785">
        <v>0.95960447682722705</v>
      </c>
      <c r="ED785">
        <v>0.95970768082586799</v>
      </c>
      <c r="EE785">
        <f>SUM(Table1[[#This Row],[ratio_0]:[ratio_9]])</f>
        <v>460</v>
      </c>
      <c r="EF785" s="1">
        <f>(Table1[[#This Row],[predicted_0]]-Table1[[#This Row],[actual_0]])/Table1[[#This Row],[actual_0]]</f>
        <v>4.0816326530612242E-2</v>
      </c>
      <c r="EG785" s="1">
        <f>(Table1[[#This Row],[predicted_1]]-Table1[[#This Row],[actual_1]])/Table1[[#This Row],[actual_1]]</f>
        <v>2.9955947136563875E-2</v>
      </c>
      <c r="EH785" s="1">
        <f>(Table1[[#This Row],[predicted_2]]-Table1[[#This Row],[actual_2]])/Table1[[#This Row],[actual_2]]</f>
        <v>-5.1356589147286823E-2</v>
      </c>
      <c r="EI785" s="1">
        <f>(Table1[[#This Row],[predicted_3]]-Table1[[#This Row],[actual_3]])/Table1[[#This Row],[actual_3]]</f>
        <v>3.5643564356435641E-2</v>
      </c>
      <c r="EJ785" s="1">
        <f>(Table1[[#This Row],[predicted_4]]-Table1[[#This Row],[actual_4]])/Table1[[#This Row],[actual_4]]</f>
        <v>1.2219959266802444E-2</v>
      </c>
      <c r="EK785" s="1">
        <f>(Table1[[#This Row],[predicted_5]]-Table1[[#This Row],[actual_5]])/Table1[[#This Row],[actual_5]]</f>
        <v>1.5695067264573991E-2</v>
      </c>
      <c r="EL785" s="1">
        <f>(Table1[[#This Row],[predicted_6]]-Table1[[#This Row],[actual_6]])/Table1[[#This Row],[actual_6]]</f>
        <v>-5.5323590814196244E-2</v>
      </c>
      <c r="EM785" s="1">
        <f>(Table1[[#This Row],[predicted_7]]-Table1[[#This Row],[actual_7]])/Table1[[#This Row],[actual_7]]</f>
        <v>8.3657587548638127E-2</v>
      </c>
      <c r="EN785" s="1">
        <f>(Table1[[#This Row],[predicted_8]]-Table1[[#This Row],[actual_8]])/Table1[[#This Row],[actual_8]]</f>
        <v>-0.11396303901437371</v>
      </c>
      <c r="EO785" s="1">
        <f>(Table1[[#This Row],[predicted_9]]-Table1[[#This Row],[actual_9]])/Table1[[#This Row],[actual_9]]</f>
        <v>-4.9554013875123884E-3</v>
      </c>
      <c r="EP785" s="1">
        <f>1+(Table1[[#This Row],[error_ratio_0]]-EF$2)</f>
        <v>1.0387755102040817</v>
      </c>
      <c r="EQ785" s="1">
        <f>1+(Table1[[#This Row],[error_ratio_1]]-EG$2)</f>
        <v>1.0281938325991189</v>
      </c>
      <c r="ER785" s="1">
        <f>1+(Table1[[#This Row],[error_ratio_2]]-EH$2)</f>
        <v>0.95348837209302328</v>
      </c>
      <c r="ES785" s="1">
        <f>1+(Table1[[#This Row],[error_ratio_3]]-EI$2)</f>
        <v>1.0257425742574258</v>
      </c>
      <c r="ET785" s="1">
        <f>1+(Table1[[#This Row],[error_ratio_4]]-EJ$2)</f>
        <v>1.0112016293279023</v>
      </c>
      <c r="EU785" s="1">
        <f>1+(Table1[[#This Row],[error_ratio_5]]-EK$2)</f>
        <v>1.0145739910313902</v>
      </c>
      <c r="EV785" s="1">
        <f>1+(Table1[[#This Row],[error_ratio_6]]-EL$2)</f>
        <v>0.95093945720250517</v>
      </c>
      <c r="EW785" s="1">
        <f>1+(Table1[[#This Row],[error_ratio_7]]-EM$2)</f>
        <v>1.0817120622568093</v>
      </c>
      <c r="EX785" s="1">
        <f>1+(Table1[[#This Row],[error_ratio_8]]-EN$2)</f>
        <v>0.88911704312114992</v>
      </c>
      <c r="EY785" s="1">
        <f>1+(Table1[[#This Row],[error_ratio_9]]-EO$2)</f>
        <v>0.9990089197224975</v>
      </c>
    </row>
    <row r="786" spans="1:155" x14ac:dyDescent="0.75">
      <c r="A786">
        <v>10</v>
      </c>
      <c r="B786">
        <v>100</v>
      </c>
      <c r="C786">
        <v>10</v>
      </c>
      <c r="D786">
        <v>10</v>
      </c>
      <c r="E786">
        <v>10</v>
      </c>
      <c r="F786">
        <v>100</v>
      </c>
      <c r="G786">
        <v>10</v>
      </c>
      <c r="H786">
        <v>100</v>
      </c>
      <c r="I786">
        <v>10</v>
      </c>
      <c r="J786">
        <v>10</v>
      </c>
      <c r="K786">
        <v>996</v>
      </c>
      <c r="L786">
        <v>1164</v>
      </c>
      <c r="M786">
        <v>885</v>
      </c>
      <c r="N786">
        <v>2151</v>
      </c>
      <c r="O786">
        <v>912</v>
      </c>
      <c r="P786">
        <v>341</v>
      </c>
      <c r="Q786">
        <v>885</v>
      </c>
      <c r="R786">
        <v>1111</v>
      </c>
      <c r="S786">
        <v>604</v>
      </c>
      <c r="T786">
        <v>951</v>
      </c>
      <c r="U786">
        <v>980</v>
      </c>
      <c r="V786">
        <v>1135</v>
      </c>
      <c r="W786">
        <v>1032</v>
      </c>
      <c r="X786">
        <v>1010</v>
      </c>
      <c r="Y786">
        <v>982</v>
      </c>
      <c r="Z786">
        <v>892</v>
      </c>
      <c r="AA786">
        <v>958</v>
      </c>
      <c r="AB786">
        <v>1028</v>
      </c>
      <c r="AC786">
        <v>974</v>
      </c>
      <c r="AD786">
        <v>1009</v>
      </c>
      <c r="AE786">
        <v>952</v>
      </c>
      <c r="AF786">
        <v>2</v>
      </c>
      <c r="AG786">
        <v>2</v>
      </c>
      <c r="AH786">
        <v>16</v>
      </c>
      <c r="AI786">
        <v>0</v>
      </c>
      <c r="AJ786">
        <v>0</v>
      </c>
      <c r="AK786">
        <v>0</v>
      </c>
      <c r="AL786">
        <v>6</v>
      </c>
      <c r="AM786">
        <v>2</v>
      </c>
      <c r="AN786">
        <v>0</v>
      </c>
      <c r="AO786">
        <v>0</v>
      </c>
      <c r="AP786">
        <v>1123</v>
      </c>
      <c r="AQ786">
        <v>0</v>
      </c>
      <c r="AR786">
        <v>9</v>
      </c>
      <c r="AS786">
        <v>0</v>
      </c>
      <c r="AT786">
        <v>0</v>
      </c>
      <c r="AU786">
        <v>0</v>
      </c>
      <c r="AV786">
        <v>3</v>
      </c>
      <c r="AW786">
        <v>0</v>
      </c>
      <c r="AX786">
        <v>0</v>
      </c>
      <c r="AY786">
        <v>2</v>
      </c>
      <c r="AZ786">
        <v>14</v>
      </c>
      <c r="BA786">
        <v>878</v>
      </c>
      <c r="BB786">
        <v>112</v>
      </c>
      <c r="BC786">
        <v>2</v>
      </c>
      <c r="BD786">
        <v>0</v>
      </c>
      <c r="BE786">
        <v>0</v>
      </c>
      <c r="BF786">
        <v>24</v>
      </c>
      <c r="BG786">
        <v>0</v>
      </c>
      <c r="BH786">
        <v>0</v>
      </c>
      <c r="BI786">
        <v>0</v>
      </c>
      <c r="BJ786">
        <v>0</v>
      </c>
      <c r="BK786">
        <v>0</v>
      </c>
      <c r="BL786">
        <v>1005</v>
      </c>
      <c r="BM786">
        <v>0</v>
      </c>
      <c r="BN786">
        <v>0</v>
      </c>
      <c r="BO786">
        <v>0</v>
      </c>
      <c r="BP786">
        <v>5</v>
      </c>
      <c r="BQ786">
        <v>0</v>
      </c>
      <c r="BR786">
        <v>0</v>
      </c>
      <c r="BS786">
        <v>1</v>
      </c>
      <c r="BT786">
        <v>4</v>
      </c>
      <c r="BU786">
        <v>0</v>
      </c>
      <c r="BV786">
        <v>4</v>
      </c>
      <c r="BW786">
        <v>902</v>
      </c>
      <c r="BX786">
        <v>0</v>
      </c>
      <c r="BY786">
        <v>6</v>
      </c>
      <c r="BZ786">
        <v>8</v>
      </c>
      <c r="CA786">
        <v>3</v>
      </c>
      <c r="CB786">
        <v>54</v>
      </c>
      <c r="CC786">
        <v>4</v>
      </c>
      <c r="CD786">
        <v>0</v>
      </c>
      <c r="CE786">
        <v>0</v>
      </c>
      <c r="CF786">
        <v>538</v>
      </c>
      <c r="CG786">
        <v>0</v>
      </c>
      <c r="CH786">
        <v>332</v>
      </c>
      <c r="CI786">
        <v>1</v>
      </c>
      <c r="CJ786">
        <v>2</v>
      </c>
      <c r="CK786">
        <v>14</v>
      </c>
      <c r="CL786">
        <v>1</v>
      </c>
      <c r="CM786">
        <v>29</v>
      </c>
      <c r="CN786">
        <v>7</v>
      </c>
      <c r="CO786">
        <v>2</v>
      </c>
      <c r="CP786">
        <v>9</v>
      </c>
      <c r="CQ786">
        <v>5</v>
      </c>
      <c r="CR786">
        <v>7</v>
      </c>
      <c r="CS786">
        <v>878</v>
      </c>
      <c r="CT786">
        <v>0</v>
      </c>
      <c r="CU786">
        <v>20</v>
      </c>
      <c r="CV786">
        <v>1</v>
      </c>
      <c r="CW786">
        <v>2</v>
      </c>
      <c r="CX786">
        <v>3</v>
      </c>
      <c r="CY786">
        <v>3</v>
      </c>
      <c r="CZ786">
        <v>15</v>
      </c>
      <c r="DA786">
        <v>0</v>
      </c>
      <c r="DB786">
        <v>0</v>
      </c>
      <c r="DC786">
        <v>0</v>
      </c>
      <c r="DD786">
        <v>1005</v>
      </c>
      <c r="DE786">
        <v>0</v>
      </c>
      <c r="DF786">
        <v>0</v>
      </c>
      <c r="DG786">
        <v>1</v>
      </c>
      <c r="DH786">
        <v>6</v>
      </c>
      <c r="DI786">
        <v>0</v>
      </c>
      <c r="DJ786">
        <v>382</v>
      </c>
      <c r="DK786">
        <v>1</v>
      </c>
      <c r="DL786">
        <v>0</v>
      </c>
      <c r="DM786">
        <v>0</v>
      </c>
      <c r="DN786">
        <v>14</v>
      </c>
      <c r="DO786">
        <v>565</v>
      </c>
      <c r="DP786">
        <v>5</v>
      </c>
      <c r="DQ786">
        <v>5</v>
      </c>
      <c r="DR786">
        <v>5</v>
      </c>
      <c r="DS786">
        <v>0</v>
      </c>
      <c r="DT786">
        <v>61</v>
      </c>
      <c r="DU786">
        <v>2</v>
      </c>
      <c r="DV786">
        <v>2</v>
      </c>
      <c r="DW786">
        <v>0</v>
      </c>
      <c r="DX786">
        <v>44</v>
      </c>
      <c r="DY786">
        <v>0</v>
      </c>
      <c r="DZ786">
        <v>890</v>
      </c>
      <c r="EA786">
        <v>0.85299999999999998</v>
      </c>
      <c r="EB786">
        <v>0.91105253042618495</v>
      </c>
      <c r="EC786">
        <v>0.84536742320132996</v>
      </c>
      <c r="ED786">
        <v>0.85001494182292603</v>
      </c>
      <c r="EE786">
        <f>SUM(Table1[[#This Row],[ratio_0]:[ratio_9]])</f>
        <v>370</v>
      </c>
      <c r="EF786" s="1">
        <f>(Table1[[#This Row],[predicted_0]]-Table1[[#This Row],[actual_0]])/Table1[[#This Row],[actual_0]]</f>
        <v>1.6326530612244899E-2</v>
      </c>
      <c r="EG786" s="1">
        <f>(Table1[[#This Row],[predicted_1]]-Table1[[#This Row],[actual_1]])/Table1[[#This Row],[actual_1]]</f>
        <v>2.5550660792951541E-2</v>
      </c>
      <c r="EH786" s="1">
        <f>(Table1[[#This Row],[predicted_2]]-Table1[[#This Row],[actual_2]])/Table1[[#This Row],[actual_2]]</f>
        <v>-0.14244186046511628</v>
      </c>
      <c r="EI786" s="1">
        <f>(Table1[[#This Row],[predicted_3]]-Table1[[#This Row],[actual_3]])/Table1[[#This Row],[actual_3]]</f>
        <v>1.1297029702970296</v>
      </c>
      <c r="EJ786" s="1">
        <f>(Table1[[#This Row],[predicted_4]]-Table1[[#This Row],[actual_4]])/Table1[[#This Row],[actual_4]]</f>
        <v>-7.128309572301425E-2</v>
      </c>
      <c r="EK786" s="1">
        <f>(Table1[[#This Row],[predicted_5]]-Table1[[#This Row],[actual_5]])/Table1[[#This Row],[actual_5]]</f>
        <v>-0.61771300448430488</v>
      </c>
      <c r="EL786" s="1">
        <f>(Table1[[#This Row],[predicted_6]]-Table1[[#This Row],[actual_6]])/Table1[[#This Row],[actual_6]]</f>
        <v>-7.6200417536534448E-2</v>
      </c>
      <c r="EM786" s="1">
        <f>(Table1[[#This Row],[predicted_7]]-Table1[[#This Row],[actual_7]])/Table1[[#This Row],[actual_7]]</f>
        <v>8.0739299610894946E-2</v>
      </c>
      <c r="EN786" s="1">
        <f>(Table1[[#This Row],[predicted_8]]-Table1[[#This Row],[actual_8]])/Table1[[#This Row],[actual_8]]</f>
        <v>-0.37987679671457908</v>
      </c>
      <c r="EO786" s="1">
        <f>(Table1[[#This Row],[predicted_9]]-Table1[[#This Row],[actual_9]])/Table1[[#This Row],[actual_9]]</f>
        <v>-5.7482656095143705E-2</v>
      </c>
      <c r="EP786" s="1">
        <f>1+(Table1[[#This Row],[error_ratio_0]]-EF$2)</f>
        <v>1.0142857142857142</v>
      </c>
      <c r="EQ786" s="1">
        <f>1+(Table1[[#This Row],[error_ratio_1]]-EG$2)</f>
        <v>1.0237885462555065</v>
      </c>
      <c r="ER786" s="1">
        <f>1+(Table1[[#This Row],[error_ratio_2]]-EH$2)</f>
        <v>0.86240310077519378</v>
      </c>
      <c r="ES786" s="1">
        <f>1+(Table1[[#This Row],[error_ratio_3]]-EI$2)</f>
        <v>2.1198019801980195</v>
      </c>
      <c r="ET786" s="1">
        <f>1+(Table1[[#This Row],[error_ratio_4]]-EJ$2)</f>
        <v>0.92769857433808556</v>
      </c>
      <c r="EU786" s="1">
        <f>1+(Table1[[#This Row],[error_ratio_5]]-EK$2)</f>
        <v>0.38116591928251131</v>
      </c>
      <c r="EV786" s="1">
        <f>1+(Table1[[#This Row],[error_ratio_6]]-EL$2)</f>
        <v>0.93006263048016702</v>
      </c>
      <c r="EW786" s="1">
        <f>1+(Table1[[#This Row],[error_ratio_7]]-EM$2)</f>
        <v>1.0787937743190661</v>
      </c>
      <c r="EX786" s="1">
        <f>1+(Table1[[#This Row],[error_ratio_8]]-EN$2)</f>
        <v>0.62320328542094461</v>
      </c>
      <c r="EY786" s="1">
        <f>1+(Table1[[#This Row],[error_ratio_9]]-EO$2)</f>
        <v>0.94648166501486619</v>
      </c>
    </row>
    <row r="787" spans="1:155" x14ac:dyDescent="0.75">
      <c r="A787">
        <v>100</v>
      </c>
      <c r="B787">
        <v>10</v>
      </c>
      <c r="C787">
        <v>10</v>
      </c>
      <c r="D787">
        <v>10</v>
      </c>
      <c r="E787">
        <v>10</v>
      </c>
      <c r="F787">
        <v>100</v>
      </c>
      <c r="G787">
        <v>10</v>
      </c>
      <c r="H787">
        <v>100</v>
      </c>
      <c r="I787">
        <v>10</v>
      </c>
      <c r="J787">
        <v>10</v>
      </c>
      <c r="K787">
        <v>1037</v>
      </c>
      <c r="L787">
        <v>1181</v>
      </c>
      <c r="M787">
        <v>1041</v>
      </c>
      <c r="N787">
        <v>903</v>
      </c>
      <c r="O787">
        <v>1057</v>
      </c>
      <c r="P787">
        <v>964</v>
      </c>
      <c r="Q787">
        <v>907</v>
      </c>
      <c r="R787">
        <v>1102</v>
      </c>
      <c r="S787">
        <v>879</v>
      </c>
      <c r="T787">
        <v>929</v>
      </c>
      <c r="U787">
        <v>980</v>
      </c>
      <c r="V787">
        <v>1135</v>
      </c>
      <c r="W787">
        <v>1032</v>
      </c>
      <c r="X787">
        <v>1010</v>
      </c>
      <c r="Y787">
        <v>982</v>
      </c>
      <c r="Z787">
        <v>892</v>
      </c>
      <c r="AA787">
        <v>958</v>
      </c>
      <c r="AB787">
        <v>1028</v>
      </c>
      <c r="AC787">
        <v>974</v>
      </c>
      <c r="AD787">
        <v>1009</v>
      </c>
      <c r="AE787">
        <v>975</v>
      </c>
      <c r="AF787">
        <v>2</v>
      </c>
      <c r="AG787">
        <v>0</v>
      </c>
      <c r="AH787">
        <v>0</v>
      </c>
      <c r="AI787">
        <v>0</v>
      </c>
      <c r="AJ787">
        <v>1</v>
      </c>
      <c r="AK787">
        <v>0</v>
      </c>
      <c r="AL787">
        <v>2</v>
      </c>
      <c r="AM787">
        <v>0</v>
      </c>
      <c r="AN787">
        <v>0</v>
      </c>
      <c r="AO787">
        <v>0</v>
      </c>
      <c r="AP787">
        <v>1128</v>
      </c>
      <c r="AQ787">
        <v>5</v>
      </c>
      <c r="AR787">
        <v>0</v>
      </c>
      <c r="AS787">
        <v>0</v>
      </c>
      <c r="AT787">
        <v>1</v>
      </c>
      <c r="AU787">
        <v>0</v>
      </c>
      <c r="AV787">
        <v>1</v>
      </c>
      <c r="AW787">
        <v>0</v>
      </c>
      <c r="AX787">
        <v>0</v>
      </c>
      <c r="AY787">
        <v>14</v>
      </c>
      <c r="AZ787">
        <v>8</v>
      </c>
      <c r="BA787">
        <v>987</v>
      </c>
      <c r="BB787">
        <v>0</v>
      </c>
      <c r="BC787">
        <v>10</v>
      </c>
      <c r="BD787">
        <v>0</v>
      </c>
      <c r="BE787">
        <v>1</v>
      </c>
      <c r="BF787">
        <v>10</v>
      </c>
      <c r="BG787">
        <v>2</v>
      </c>
      <c r="BH787">
        <v>0</v>
      </c>
      <c r="BI787">
        <v>2</v>
      </c>
      <c r="BJ787">
        <v>2</v>
      </c>
      <c r="BK787">
        <v>17</v>
      </c>
      <c r="BL787">
        <v>899</v>
      </c>
      <c r="BM787">
        <v>3</v>
      </c>
      <c r="BN787">
        <v>48</v>
      </c>
      <c r="BO787">
        <v>0</v>
      </c>
      <c r="BP787">
        <v>29</v>
      </c>
      <c r="BQ787">
        <v>7</v>
      </c>
      <c r="BR787">
        <v>3</v>
      </c>
      <c r="BS787">
        <v>1</v>
      </c>
      <c r="BT787">
        <v>6</v>
      </c>
      <c r="BU787">
        <v>1</v>
      </c>
      <c r="BV787">
        <v>0</v>
      </c>
      <c r="BW787">
        <v>969</v>
      </c>
      <c r="BX787">
        <v>0</v>
      </c>
      <c r="BY787">
        <v>0</v>
      </c>
      <c r="BZ787">
        <v>4</v>
      </c>
      <c r="CA787">
        <v>1</v>
      </c>
      <c r="CB787">
        <v>0</v>
      </c>
      <c r="CC787">
        <v>1</v>
      </c>
      <c r="CD787">
        <v>0</v>
      </c>
      <c r="CE787">
        <v>1</v>
      </c>
      <c r="CF787">
        <v>1</v>
      </c>
      <c r="CG787">
        <v>0</v>
      </c>
      <c r="CH787">
        <v>883</v>
      </c>
      <c r="CI787">
        <v>0</v>
      </c>
      <c r="CJ787">
        <v>2</v>
      </c>
      <c r="CK787">
        <v>1</v>
      </c>
      <c r="CL787">
        <v>3</v>
      </c>
      <c r="CM787">
        <v>23</v>
      </c>
      <c r="CN787">
        <v>4</v>
      </c>
      <c r="CO787">
        <v>0</v>
      </c>
      <c r="CP787">
        <v>0</v>
      </c>
      <c r="CQ787">
        <v>15</v>
      </c>
      <c r="CR787">
        <v>17</v>
      </c>
      <c r="CS787">
        <v>899</v>
      </c>
      <c r="CT787">
        <v>0</v>
      </c>
      <c r="CU787">
        <v>0</v>
      </c>
      <c r="CV787">
        <v>0</v>
      </c>
      <c r="CW787">
        <v>0</v>
      </c>
      <c r="CX787">
        <v>9</v>
      </c>
      <c r="CY787">
        <v>15</v>
      </c>
      <c r="CZ787">
        <v>0</v>
      </c>
      <c r="DA787">
        <v>0</v>
      </c>
      <c r="DB787">
        <v>0</v>
      </c>
      <c r="DC787">
        <v>0</v>
      </c>
      <c r="DD787">
        <v>1000</v>
      </c>
      <c r="DE787">
        <v>2</v>
      </c>
      <c r="DF787">
        <v>2</v>
      </c>
      <c r="DG787">
        <v>15</v>
      </c>
      <c r="DH787">
        <v>14</v>
      </c>
      <c r="DI787">
        <v>14</v>
      </c>
      <c r="DJ787">
        <v>1</v>
      </c>
      <c r="DK787">
        <v>18</v>
      </c>
      <c r="DL787">
        <v>8</v>
      </c>
      <c r="DM787">
        <v>7</v>
      </c>
      <c r="DN787">
        <v>13</v>
      </c>
      <c r="DO787">
        <v>865</v>
      </c>
      <c r="DP787">
        <v>19</v>
      </c>
      <c r="DQ787">
        <v>6</v>
      </c>
      <c r="DR787">
        <v>8</v>
      </c>
      <c r="DS787">
        <v>1</v>
      </c>
      <c r="DT787">
        <v>2</v>
      </c>
      <c r="DU787">
        <v>42</v>
      </c>
      <c r="DV787">
        <v>6</v>
      </c>
      <c r="DW787">
        <v>0</v>
      </c>
      <c r="DX787">
        <v>41</v>
      </c>
      <c r="DY787">
        <v>1</v>
      </c>
      <c r="DZ787">
        <v>902</v>
      </c>
      <c r="EA787">
        <v>0.95069999999999999</v>
      </c>
      <c r="EB787">
        <v>0.95253826904660599</v>
      </c>
      <c r="EC787">
        <v>0.95051177082031602</v>
      </c>
      <c r="ED787">
        <v>0.95024981841238998</v>
      </c>
      <c r="EE787">
        <f>SUM(Table1[[#This Row],[ratio_0]:[ratio_9]])</f>
        <v>370</v>
      </c>
      <c r="EF787" s="1">
        <f>(Table1[[#This Row],[predicted_0]]-Table1[[#This Row],[actual_0]])/Table1[[#This Row],[actual_0]]</f>
        <v>5.8163265306122446E-2</v>
      </c>
      <c r="EG787" s="1">
        <f>(Table1[[#This Row],[predicted_1]]-Table1[[#This Row],[actual_1]])/Table1[[#This Row],[actual_1]]</f>
        <v>4.0528634361233482E-2</v>
      </c>
      <c r="EH787" s="1">
        <f>(Table1[[#This Row],[predicted_2]]-Table1[[#This Row],[actual_2]])/Table1[[#This Row],[actual_2]]</f>
        <v>8.7209302325581394E-3</v>
      </c>
      <c r="EI787" s="1">
        <f>(Table1[[#This Row],[predicted_3]]-Table1[[#This Row],[actual_3]])/Table1[[#This Row],[actual_3]]</f>
        <v>-0.10594059405940594</v>
      </c>
      <c r="EJ787" s="1">
        <f>(Table1[[#This Row],[predicted_4]]-Table1[[#This Row],[actual_4]])/Table1[[#This Row],[actual_4]]</f>
        <v>7.637474541751528E-2</v>
      </c>
      <c r="EK787" s="1">
        <f>(Table1[[#This Row],[predicted_5]]-Table1[[#This Row],[actual_5]])/Table1[[#This Row],[actual_5]]</f>
        <v>8.0717488789237665E-2</v>
      </c>
      <c r="EL787" s="1">
        <f>(Table1[[#This Row],[predicted_6]]-Table1[[#This Row],[actual_6]])/Table1[[#This Row],[actual_6]]</f>
        <v>-5.3235908141962419E-2</v>
      </c>
      <c r="EM787" s="1">
        <f>(Table1[[#This Row],[predicted_7]]-Table1[[#This Row],[actual_7]])/Table1[[#This Row],[actual_7]]</f>
        <v>7.1984435797665364E-2</v>
      </c>
      <c r="EN787" s="1">
        <f>(Table1[[#This Row],[predicted_8]]-Table1[[#This Row],[actual_8]])/Table1[[#This Row],[actual_8]]</f>
        <v>-9.7535934291581111E-2</v>
      </c>
      <c r="EO787" s="1">
        <f>(Table1[[#This Row],[predicted_9]]-Table1[[#This Row],[actual_9]])/Table1[[#This Row],[actual_9]]</f>
        <v>-7.9286422200198214E-2</v>
      </c>
      <c r="EP787" s="1">
        <f>1+(Table1[[#This Row],[error_ratio_0]]-EF$2)</f>
        <v>1.0561224489795917</v>
      </c>
      <c r="EQ787" s="1">
        <f>1+(Table1[[#This Row],[error_ratio_1]]-EG$2)</f>
        <v>1.0387665198237885</v>
      </c>
      <c r="ER787" s="1">
        <f>1+(Table1[[#This Row],[error_ratio_2]]-EH$2)</f>
        <v>1.0135658914728682</v>
      </c>
      <c r="ES787" s="1">
        <f>1+(Table1[[#This Row],[error_ratio_3]]-EI$2)</f>
        <v>0.88415841584158417</v>
      </c>
      <c r="ET787" s="1">
        <f>1+(Table1[[#This Row],[error_ratio_4]]-EJ$2)</f>
        <v>1.075356415478615</v>
      </c>
      <c r="EU787" s="1">
        <f>1+(Table1[[#This Row],[error_ratio_5]]-EK$2)</f>
        <v>1.0795964125560538</v>
      </c>
      <c r="EV787" s="1">
        <f>1+(Table1[[#This Row],[error_ratio_6]]-EL$2)</f>
        <v>0.95302713987473908</v>
      </c>
      <c r="EW787" s="1">
        <f>1+(Table1[[#This Row],[error_ratio_7]]-EM$2)</f>
        <v>1.0700389105058365</v>
      </c>
      <c r="EX787" s="1">
        <f>1+(Table1[[#This Row],[error_ratio_8]]-EN$2)</f>
        <v>0.90554414784394255</v>
      </c>
      <c r="EY787" s="1">
        <f>1+(Table1[[#This Row],[error_ratio_9]]-EO$2)</f>
        <v>0.92467789890981167</v>
      </c>
    </row>
    <row r="788" spans="1:155" x14ac:dyDescent="0.75">
      <c r="A788">
        <v>10</v>
      </c>
      <c r="B788">
        <v>10</v>
      </c>
      <c r="C788">
        <v>10</v>
      </c>
      <c r="D788">
        <v>10</v>
      </c>
      <c r="E788">
        <v>10</v>
      </c>
      <c r="F788">
        <v>100</v>
      </c>
      <c r="G788">
        <v>10</v>
      </c>
      <c r="H788">
        <v>100</v>
      </c>
      <c r="I788">
        <v>10</v>
      </c>
      <c r="J788">
        <v>10</v>
      </c>
      <c r="K788">
        <v>992</v>
      </c>
      <c r="L788">
        <v>1166</v>
      </c>
      <c r="M788">
        <v>872</v>
      </c>
      <c r="N788">
        <v>875</v>
      </c>
      <c r="O788">
        <v>972</v>
      </c>
      <c r="P788">
        <v>997</v>
      </c>
      <c r="Q788">
        <v>882</v>
      </c>
      <c r="R788">
        <v>1157</v>
      </c>
      <c r="S788">
        <v>1049</v>
      </c>
      <c r="T788">
        <v>1038</v>
      </c>
      <c r="U788">
        <v>980</v>
      </c>
      <c r="V788">
        <v>1135</v>
      </c>
      <c r="W788">
        <v>1032</v>
      </c>
      <c r="X788">
        <v>1010</v>
      </c>
      <c r="Y788">
        <v>982</v>
      </c>
      <c r="Z788">
        <v>892</v>
      </c>
      <c r="AA788">
        <v>958</v>
      </c>
      <c r="AB788">
        <v>1028</v>
      </c>
      <c r="AC788">
        <v>974</v>
      </c>
      <c r="AD788">
        <v>1009</v>
      </c>
      <c r="AE788">
        <v>963</v>
      </c>
      <c r="AF788">
        <v>0</v>
      </c>
      <c r="AG788">
        <v>1</v>
      </c>
      <c r="AH788">
        <v>0</v>
      </c>
      <c r="AI788">
        <v>2</v>
      </c>
      <c r="AJ788">
        <v>2</v>
      </c>
      <c r="AK788">
        <v>3</v>
      </c>
      <c r="AL788">
        <v>2</v>
      </c>
      <c r="AM788">
        <v>4</v>
      </c>
      <c r="AN788">
        <v>3</v>
      </c>
      <c r="AO788">
        <v>0</v>
      </c>
      <c r="AP788">
        <v>1126</v>
      </c>
      <c r="AQ788">
        <v>0</v>
      </c>
      <c r="AR788">
        <v>3</v>
      </c>
      <c r="AS788">
        <v>0</v>
      </c>
      <c r="AT788">
        <v>2</v>
      </c>
      <c r="AU788">
        <v>2</v>
      </c>
      <c r="AV788">
        <v>1</v>
      </c>
      <c r="AW788">
        <v>1</v>
      </c>
      <c r="AX788">
        <v>0</v>
      </c>
      <c r="AY788">
        <v>10</v>
      </c>
      <c r="AZ788">
        <v>17</v>
      </c>
      <c r="BA788">
        <v>870</v>
      </c>
      <c r="BB788">
        <v>7</v>
      </c>
      <c r="BC788">
        <v>11</v>
      </c>
      <c r="BD788">
        <v>3</v>
      </c>
      <c r="BE788">
        <v>4</v>
      </c>
      <c r="BF788">
        <v>60</v>
      </c>
      <c r="BG788">
        <v>50</v>
      </c>
      <c r="BH788">
        <v>0</v>
      </c>
      <c r="BI788">
        <v>1</v>
      </c>
      <c r="BJ788">
        <v>0</v>
      </c>
      <c r="BK788">
        <v>0</v>
      </c>
      <c r="BL788">
        <v>863</v>
      </c>
      <c r="BM788">
        <v>0</v>
      </c>
      <c r="BN788">
        <v>90</v>
      </c>
      <c r="BO788">
        <v>0</v>
      </c>
      <c r="BP788">
        <v>16</v>
      </c>
      <c r="BQ788">
        <v>37</v>
      </c>
      <c r="BR788">
        <v>3</v>
      </c>
      <c r="BS788">
        <v>0</v>
      </c>
      <c r="BT788">
        <v>4</v>
      </c>
      <c r="BU788">
        <v>0</v>
      </c>
      <c r="BV788">
        <v>0</v>
      </c>
      <c r="BW788">
        <v>888</v>
      </c>
      <c r="BX788">
        <v>0</v>
      </c>
      <c r="BY788">
        <v>9</v>
      </c>
      <c r="BZ788">
        <v>8</v>
      </c>
      <c r="CA788">
        <v>2</v>
      </c>
      <c r="CB788">
        <v>71</v>
      </c>
      <c r="CC788">
        <v>0</v>
      </c>
      <c r="CD788">
        <v>0</v>
      </c>
      <c r="CE788">
        <v>0</v>
      </c>
      <c r="CF788">
        <v>0</v>
      </c>
      <c r="CG788">
        <v>0</v>
      </c>
      <c r="CH788">
        <v>881</v>
      </c>
      <c r="CI788">
        <v>1</v>
      </c>
      <c r="CJ788">
        <v>2</v>
      </c>
      <c r="CK788">
        <v>3</v>
      </c>
      <c r="CL788">
        <v>5</v>
      </c>
      <c r="CM788">
        <v>10</v>
      </c>
      <c r="CN788">
        <v>4</v>
      </c>
      <c r="CO788">
        <v>1</v>
      </c>
      <c r="CP788">
        <v>0</v>
      </c>
      <c r="CQ788">
        <v>67</v>
      </c>
      <c r="CR788">
        <v>12</v>
      </c>
      <c r="CS788">
        <v>861</v>
      </c>
      <c r="CT788">
        <v>0</v>
      </c>
      <c r="CU788">
        <v>1</v>
      </c>
      <c r="CV788">
        <v>2</v>
      </c>
      <c r="CW788">
        <v>0</v>
      </c>
      <c r="CX788">
        <v>2</v>
      </c>
      <c r="CY788">
        <v>0</v>
      </c>
      <c r="CZ788">
        <v>1</v>
      </c>
      <c r="DA788">
        <v>0</v>
      </c>
      <c r="DB788">
        <v>0</v>
      </c>
      <c r="DC788">
        <v>0</v>
      </c>
      <c r="DD788">
        <v>1022</v>
      </c>
      <c r="DE788">
        <v>1</v>
      </c>
      <c r="DF788">
        <v>2</v>
      </c>
      <c r="DG788">
        <v>4</v>
      </c>
      <c r="DH788">
        <v>6</v>
      </c>
      <c r="DI788">
        <v>0</v>
      </c>
      <c r="DJ788">
        <v>0</v>
      </c>
      <c r="DK788">
        <v>3</v>
      </c>
      <c r="DL788">
        <v>3</v>
      </c>
      <c r="DM788">
        <v>2</v>
      </c>
      <c r="DN788">
        <v>16</v>
      </c>
      <c r="DO788">
        <v>936</v>
      </c>
      <c r="DP788">
        <v>4</v>
      </c>
      <c r="DQ788">
        <v>4</v>
      </c>
      <c r="DR788">
        <v>7</v>
      </c>
      <c r="DS788">
        <v>0</v>
      </c>
      <c r="DT788">
        <v>1</v>
      </c>
      <c r="DU788">
        <v>1</v>
      </c>
      <c r="DV788">
        <v>4</v>
      </c>
      <c r="DW788">
        <v>0</v>
      </c>
      <c r="DX788">
        <v>30</v>
      </c>
      <c r="DY788">
        <v>14</v>
      </c>
      <c r="DZ788">
        <v>948</v>
      </c>
      <c r="EA788">
        <v>0.93579999999999997</v>
      </c>
      <c r="EB788">
        <v>0.93827667102685597</v>
      </c>
      <c r="EC788">
        <v>0.93575879382197402</v>
      </c>
      <c r="ED788">
        <v>0.93494977876762397</v>
      </c>
      <c r="EE788">
        <f>SUM(Table1[[#This Row],[ratio_0]:[ratio_9]])</f>
        <v>280</v>
      </c>
      <c r="EF788" s="1">
        <f>(Table1[[#This Row],[predicted_0]]-Table1[[#This Row],[actual_0]])/Table1[[#This Row],[actual_0]]</f>
        <v>1.2244897959183673E-2</v>
      </c>
      <c r="EG788" s="1">
        <f>(Table1[[#This Row],[predicted_1]]-Table1[[#This Row],[actual_1]])/Table1[[#This Row],[actual_1]]</f>
        <v>2.7312775330396475E-2</v>
      </c>
      <c r="EH788" s="1">
        <f>(Table1[[#This Row],[predicted_2]]-Table1[[#This Row],[actual_2]])/Table1[[#This Row],[actual_2]]</f>
        <v>-0.15503875968992248</v>
      </c>
      <c r="EI788" s="1">
        <f>(Table1[[#This Row],[predicted_3]]-Table1[[#This Row],[actual_3]])/Table1[[#This Row],[actual_3]]</f>
        <v>-0.13366336633663367</v>
      </c>
      <c r="EJ788" s="1">
        <f>(Table1[[#This Row],[predicted_4]]-Table1[[#This Row],[actual_4]])/Table1[[#This Row],[actual_4]]</f>
        <v>-1.0183299389002037E-2</v>
      </c>
      <c r="EK788" s="1">
        <f>(Table1[[#This Row],[predicted_5]]-Table1[[#This Row],[actual_5]])/Table1[[#This Row],[actual_5]]</f>
        <v>0.11771300448430494</v>
      </c>
      <c r="EL788" s="1">
        <f>(Table1[[#This Row],[predicted_6]]-Table1[[#This Row],[actual_6]])/Table1[[#This Row],[actual_6]]</f>
        <v>-7.9331941544885182E-2</v>
      </c>
      <c r="EM788" s="1">
        <f>(Table1[[#This Row],[predicted_7]]-Table1[[#This Row],[actual_7]])/Table1[[#This Row],[actual_7]]</f>
        <v>0.1254863813229572</v>
      </c>
      <c r="EN788" s="1">
        <f>(Table1[[#This Row],[predicted_8]]-Table1[[#This Row],[actual_8]])/Table1[[#This Row],[actual_8]]</f>
        <v>7.7002053388090352E-2</v>
      </c>
      <c r="EO788" s="1">
        <f>(Table1[[#This Row],[predicted_9]]-Table1[[#This Row],[actual_9]])/Table1[[#This Row],[actual_9]]</f>
        <v>2.8741328047571853E-2</v>
      </c>
      <c r="EP788" s="1">
        <f>1+(Table1[[#This Row],[error_ratio_0]]-EF$2)</f>
        <v>1.010204081632653</v>
      </c>
      <c r="EQ788" s="1">
        <f>1+(Table1[[#This Row],[error_ratio_1]]-EG$2)</f>
        <v>1.0255506607929514</v>
      </c>
      <c r="ER788" s="1">
        <f>1+(Table1[[#This Row],[error_ratio_2]]-EH$2)</f>
        <v>0.84980620155038755</v>
      </c>
      <c r="ES788" s="1">
        <f>1+(Table1[[#This Row],[error_ratio_3]]-EI$2)</f>
        <v>0.85643564356435642</v>
      </c>
      <c r="ET788" s="1">
        <f>1+(Table1[[#This Row],[error_ratio_4]]-EJ$2)</f>
        <v>0.98879837067209775</v>
      </c>
      <c r="EU788" s="1">
        <f>1+(Table1[[#This Row],[error_ratio_5]]-EK$2)</f>
        <v>1.116591928251121</v>
      </c>
      <c r="EV788" s="1">
        <f>1+(Table1[[#This Row],[error_ratio_6]]-EL$2)</f>
        <v>0.92693110647181631</v>
      </c>
      <c r="EW788" s="1">
        <f>1+(Table1[[#This Row],[error_ratio_7]]-EM$2)</f>
        <v>1.1235408560311284</v>
      </c>
      <c r="EX788" s="1">
        <f>1+(Table1[[#This Row],[error_ratio_8]]-EN$2)</f>
        <v>1.0800821355236139</v>
      </c>
      <c r="EY788" s="1">
        <f>1+(Table1[[#This Row],[error_ratio_9]]-EO$2)</f>
        <v>1.0327056491575817</v>
      </c>
    </row>
    <row r="789" spans="1:155" x14ac:dyDescent="0.75">
      <c r="A789">
        <v>100</v>
      </c>
      <c r="B789">
        <v>100</v>
      </c>
      <c r="C789">
        <v>100</v>
      </c>
      <c r="D789">
        <v>100</v>
      </c>
      <c r="E789">
        <v>100</v>
      </c>
      <c r="F789">
        <v>10</v>
      </c>
      <c r="G789">
        <v>10</v>
      </c>
      <c r="H789">
        <v>100</v>
      </c>
      <c r="I789">
        <v>10</v>
      </c>
      <c r="J789">
        <v>10</v>
      </c>
      <c r="K789">
        <v>1005</v>
      </c>
      <c r="L789">
        <v>1149</v>
      </c>
      <c r="M789">
        <v>1044</v>
      </c>
      <c r="N789">
        <v>1028</v>
      </c>
      <c r="O789">
        <v>1001</v>
      </c>
      <c r="P789">
        <v>903</v>
      </c>
      <c r="Q789">
        <v>922</v>
      </c>
      <c r="R789">
        <v>1053</v>
      </c>
      <c r="S789">
        <v>947</v>
      </c>
      <c r="T789">
        <v>948</v>
      </c>
      <c r="U789">
        <v>980</v>
      </c>
      <c r="V789">
        <v>1135</v>
      </c>
      <c r="W789">
        <v>1032</v>
      </c>
      <c r="X789">
        <v>1010</v>
      </c>
      <c r="Y789">
        <v>982</v>
      </c>
      <c r="Z789">
        <v>892</v>
      </c>
      <c r="AA789">
        <v>958</v>
      </c>
      <c r="AB789">
        <v>1028</v>
      </c>
      <c r="AC789">
        <v>974</v>
      </c>
      <c r="AD789">
        <v>1009</v>
      </c>
      <c r="AE789">
        <v>974</v>
      </c>
      <c r="AF789">
        <v>0</v>
      </c>
      <c r="AG789">
        <v>0</v>
      </c>
      <c r="AH789">
        <v>0</v>
      </c>
      <c r="AI789">
        <v>0</v>
      </c>
      <c r="AJ789">
        <v>0</v>
      </c>
      <c r="AK789">
        <v>0</v>
      </c>
      <c r="AL789">
        <v>3</v>
      </c>
      <c r="AM789">
        <v>3</v>
      </c>
      <c r="AN789">
        <v>0</v>
      </c>
      <c r="AO789">
        <v>0</v>
      </c>
      <c r="AP789">
        <v>1133</v>
      </c>
      <c r="AQ789">
        <v>1</v>
      </c>
      <c r="AR789">
        <v>0</v>
      </c>
      <c r="AS789">
        <v>0</v>
      </c>
      <c r="AT789">
        <v>0</v>
      </c>
      <c r="AU789">
        <v>0</v>
      </c>
      <c r="AV789">
        <v>1</v>
      </c>
      <c r="AW789">
        <v>0</v>
      </c>
      <c r="AX789">
        <v>0</v>
      </c>
      <c r="AY789">
        <v>1</v>
      </c>
      <c r="AZ789">
        <v>0</v>
      </c>
      <c r="BA789">
        <v>1025</v>
      </c>
      <c r="BB789">
        <v>1</v>
      </c>
      <c r="BC789">
        <v>1</v>
      </c>
      <c r="BD789">
        <v>0</v>
      </c>
      <c r="BE789">
        <v>0</v>
      </c>
      <c r="BF789">
        <v>4</v>
      </c>
      <c r="BG789">
        <v>0</v>
      </c>
      <c r="BH789">
        <v>0</v>
      </c>
      <c r="BI789">
        <v>0</v>
      </c>
      <c r="BJ789">
        <v>0</v>
      </c>
      <c r="BK789">
        <v>2</v>
      </c>
      <c r="BL789">
        <v>1001</v>
      </c>
      <c r="BM789">
        <v>0</v>
      </c>
      <c r="BN789">
        <v>6</v>
      </c>
      <c r="BO789">
        <v>0</v>
      </c>
      <c r="BP789">
        <v>1</v>
      </c>
      <c r="BQ789">
        <v>0</v>
      </c>
      <c r="BR789">
        <v>0</v>
      </c>
      <c r="BS789">
        <v>0</v>
      </c>
      <c r="BT789">
        <v>0</v>
      </c>
      <c r="BU789">
        <v>1</v>
      </c>
      <c r="BV789">
        <v>0</v>
      </c>
      <c r="BW789">
        <v>977</v>
      </c>
      <c r="BX789">
        <v>0</v>
      </c>
      <c r="BY789">
        <v>0</v>
      </c>
      <c r="BZ789">
        <v>1</v>
      </c>
      <c r="CA789">
        <v>1</v>
      </c>
      <c r="CB789">
        <v>2</v>
      </c>
      <c r="CC789">
        <v>3</v>
      </c>
      <c r="CD789">
        <v>1</v>
      </c>
      <c r="CE789">
        <v>0</v>
      </c>
      <c r="CF789">
        <v>8</v>
      </c>
      <c r="CG789">
        <v>0</v>
      </c>
      <c r="CH789">
        <v>873</v>
      </c>
      <c r="CI789">
        <v>3</v>
      </c>
      <c r="CJ789">
        <v>2</v>
      </c>
      <c r="CK789">
        <v>2</v>
      </c>
      <c r="CL789">
        <v>0</v>
      </c>
      <c r="CM789">
        <v>16</v>
      </c>
      <c r="CN789">
        <v>7</v>
      </c>
      <c r="CO789">
        <v>3</v>
      </c>
      <c r="CP789">
        <v>0</v>
      </c>
      <c r="CQ789">
        <v>3</v>
      </c>
      <c r="CR789">
        <v>9</v>
      </c>
      <c r="CS789">
        <v>918</v>
      </c>
      <c r="CT789">
        <v>0</v>
      </c>
      <c r="CU789">
        <v>2</v>
      </c>
      <c r="CV789">
        <v>0</v>
      </c>
      <c r="CW789">
        <v>1</v>
      </c>
      <c r="CX789">
        <v>2</v>
      </c>
      <c r="CY789">
        <v>3</v>
      </c>
      <c r="CZ789">
        <v>2</v>
      </c>
      <c r="DA789">
        <v>0</v>
      </c>
      <c r="DB789">
        <v>0</v>
      </c>
      <c r="DC789">
        <v>0</v>
      </c>
      <c r="DD789">
        <v>1019</v>
      </c>
      <c r="DE789">
        <v>1</v>
      </c>
      <c r="DF789">
        <v>0</v>
      </c>
      <c r="DG789">
        <v>4</v>
      </c>
      <c r="DH789">
        <v>1</v>
      </c>
      <c r="DI789">
        <v>7</v>
      </c>
      <c r="DJ789">
        <v>4</v>
      </c>
      <c r="DK789">
        <v>3</v>
      </c>
      <c r="DL789">
        <v>6</v>
      </c>
      <c r="DM789">
        <v>1</v>
      </c>
      <c r="DN789">
        <v>8</v>
      </c>
      <c r="DO789">
        <v>937</v>
      </c>
      <c r="DP789">
        <v>3</v>
      </c>
      <c r="DQ789">
        <v>6</v>
      </c>
      <c r="DR789">
        <v>5</v>
      </c>
      <c r="DS789">
        <v>2</v>
      </c>
      <c r="DT789">
        <v>12</v>
      </c>
      <c r="DU789">
        <v>17</v>
      </c>
      <c r="DV789">
        <v>9</v>
      </c>
      <c r="DW789">
        <v>0</v>
      </c>
      <c r="DX789">
        <v>14</v>
      </c>
      <c r="DY789">
        <v>1</v>
      </c>
      <c r="DZ789">
        <v>943</v>
      </c>
      <c r="EA789">
        <v>0.98</v>
      </c>
      <c r="EB789">
        <v>0.98011056186115697</v>
      </c>
      <c r="EC789">
        <v>0.97961220062878995</v>
      </c>
      <c r="ED789">
        <v>0.97965546302483497</v>
      </c>
      <c r="EE789">
        <f>SUM(Table1[[#This Row],[ratio_0]:[ratio_9]])</f>
        <v>640</v>
      </c>
      <c r="EF789" s="1">
        <f>(Table1[[#This Row],[predicted_0]]-Table1[[#This Row],[actual_0]])/Table1[[#This Row],[actual_0]]</f>
        <v>2.5510204081632654E-2</v>
      </c>
      <c r="EG789" s="1">
        <f>(Table1[[#This Row],[predicted_1]]-Table1[[#This Row],[actual_1]])/Table1[[#This Row],[actual_1]]</f>
        <v>1.2334801762114538E-2</v>
      </c>
      <c r="EH789" s="1">
        <f>(Table1[[#This Row],[predicted_2]]-Table1[[#This Row],[actual_2]])/Table1[[#This Row],[actual_2]]</f>
        <v>1.1627906976744186E-2</v>
      </c>
      <c r="EI789" s="1">
        <f>(Table1[[#This Row],[predicted_3]]-Table1[[#This Row],[actual_3]])/Table1[[#This Row],[actual_3]]</f>
        <v>1.782178217821782E-2</v>
      </c>
      <c r="EJ789" s="1">
        <f>(Table1[[#This Row],[predicted_4]]-Table1[[#This Row],[actual_4]])/Table1[[#This Row],[actual_4]]</f>
        <v>1.9348268839103868E-2</v>
      </c>
      <c r="EK789" s="1">
        <f>(Table1[[#This Row],[predicted_5]]-Table1[[#This Row],[actual_5]])/Table1[[#This Row],[actual_5]]</f>
        <v>1.2331838565022421E-2</v>
      </c>
      <c r="EL789" s="1">
        <f>(Table1[[#This Row],[predicted_6]]-Table1[[#This Row],[actual_6]])/Table1[[#This Row],[actual_6]]</f>
        <v>-3.7578288100208766E-2</v>
      </c>
      <c r="EM789" s="1">
        <f>(Table1[[#This Row],[predicted_7]]-Table1[[#This Row],[actual_7]])/Table1[[#This Row],[actual_7]]</f>
        <v>2.4319066147859923E-2</v>
      </c>
      <c r="EN789" s="1">
        <f>(Table1[[#This Row],[predicted_8]]-Table1[[#This Row],[actual_8]])/Table1[[#This Row],[actual_8]]</f>
        <v>-2.7720739219712527E-2</v>
      </c>
      <c r="EO789" s="1">
        <f>(Table1[[#This Row],[predicted_9]]-Table1[[#This Row],[actual_9]])/Table1[[#This Row],[actual_9]]</f>
        <v>-6.0455896927651138E-2</v>
      </c>
      <c r="EP789" s="1">
        <f>1+(Table1[[#This Row],[error_ratio_0]]-EF$2)</f>
        <v>1.023469387755102</v>
      </c>
      <c r="EQ789" s="1">
        <f>1+(Table1[[#This Row],[error_ratio_1]]-EG$2)</f>
        <v>1.0105726872246696</v>
      </c>
      <c r="ER789" s="1">
        <f>1+(Table1[[#This Row],[error_ratio_2]]-EH$2)</f>
        <v>1.0164728682170543</v>
      </c>
      <c r="ES789" s="1">
        <f>1+(Table1[[#This Row],[error_ratio_3]]-EI$2)</f>
        <v>1.0079207920792079</v>
      </c>
      <c r="ET789" s="1">
        <f>1+(Table1[[#This Row],[error_ratio_4]]-EJ$2)</f>
        <v>1.0183299389002036</v>
      </c>
      <c r="EU789" s="1">
        <f>1+(Table1[[#This Row],[error_ratio_5]]-EK$2)</f>
        <v>1.0112107623318385</v>
      </c>
      <c r="EV789" s="1">
        <f>1+(Table1[[#This Row],[error_ratio_6]]-EL$2)</f>
        <v>0.96868475991649272</v>
      </c>
      <c r="EW789" s="1">
        <f>1+(Table1[[#This Row],[error_ratio_7]]-EM$2)</f>
        <v>1.022373540856031</v>
      </c>
      <c r="EX789" s="1">
        <f>1+(Table1[[#This Row],[error_ratio_8]]-EN$2)</f>
        <v>0.97535934291581106</v>
      </c>
      <c r="EY789" s="1">
        <f>1+(Table1[[#This Row],[error_ratio_9]]-EO$2)</f>
        <v>0.94350842418235881</v>
      </c>
    </row>
    <row r="790" spans="1:155" x14ac:dyDescent="0.75">
      <c r="A790">
        <v>10</v>
      </c>
      <c r="B790">
        <v>100</v>
      </c>
      <c r="C790">
        <v>100</v>
      </c>
      <c r="D790">
        <v>100</v>
      </c>
      <c r="E790">
        <v>100</v>
      </c>
      <c r="F790">
        <v>10</v>
      </c>
      <c r="G790">
        <v>10</v>
      </c>
      <c r="H790">
        <v>100</v>
      </c>
      <c r="I790">
        <v>10</v>
      </c>
      <c r="J790">
        <v>10</v>
      </c>
      <c r="K790">
        <v>955</v>
      </c>
      <c r="L790">
        <v>1162</v>
      </c>
      <c r="M790">
        <v>1076</v>
      </c>
      <c r="N790">
        <v>1063</v>
      </c>
      <c r="O790">
        <v>1029</v>
      </c>
      <c r="P790">
        <v>891</v>
      </c>
      <c r="Q790">
        <v>888</v>
      </c>
      <c r="R790">
        <v>1096</v>
      </c>
      <c r="S790">
        <v>907</v>
      </c>
      <c r="T790">
        <v>933</v>
      </c>
      <c r="U790">
        <v>980</v>
      </c>
      <c r="V790">
        <v>1135</v>
      </c>
      <c r="W790">
        <v>1032</v>
      </c>
      <c r="X790">
        <v>1010</v>
      </c>
      <c r="Y790">
        <v>982</v>
      </c>
      <c r="Z790">
        <v>892</v>
      </c>
      <c r="AA790">
        <v>958</v>
      </c>
      <c r="AB790">
        <v>1028</v>
      </c>
      <c r="AC790">
        <v>974</v>
      </c>
      <c r="AD790">
        <v>1009</v>
      </c>
      <c r="AE790">
        <v>941</v>
      </c>
      <c r="AF790">
        <v>1</v>
      </c>
      <c r="AG790">
        <v>15</v>
      </c>
      <c r="AH790">
        <v>1</v>
      </c>
      <c r="AI790">
        <v>1</v>
      </c>
      <c r="AJ790">
        <v>7</v>
      </c>
      <c r="AK790">
        <v>3</v>
      </c>
      <c r="AL790">
        <v>9</v>
      </c>
      <c r="AM790">
        <v>2</v>
      </c>
      <c r="AN790">
        <v>0</v>
      </c>
      <c r="AO790">
        <v>0</v>
      </c>
      <c r="AP790">
        <v>1132</v>
      </c>
      <c r="AQ790">
        <v>1</v>
      </c>
      <c r="AR790">
        <v>1</v>
      </c>
      <c r="AS790">
        <v>0</v>
      </c>
      <c r="AT790">
        <v>0</v>
      </c>
      <c r="AU790">
        <v>0</v>
      </c>
      <c r="AV790">
        <v>1</v>
      </c>
      <c r="AW790">
        <v>0</v>
      </c>
      <c r="AX790">
        <v>0</v>
      </c>
      <c r="AY790">
        <v>0</v>
      </c>
      <c r="AZ790">
        <v>2</v>
      </c>
      <c r="BA790">
        <v>1018</v>
      </c>
      <c r="BB790">
        <v>1</v>
      </c>
      <c r="BC790">
        <v>4</v>
      </c>
      <c r="BD790">
        <v>0</v>
      </c>
      <c r="BE790">
        <v>0</v>
      </c>
      <c r="BF790">
        <v>7</v>
      </c>
      <c r="BG790">
        <v>0</v>
      </c>
      <c r="BH790">
        <v>0</v>
      </c>
      <c r="BI790">
        <v>0</v>
      </c>
      <c r="BJ790">
        <v>0</v>
      </c>
      <c r="BK790">
        <v>2</v>
      </c>
      <c r="BL790">
        <v>1002</v>
      </c>
      <c r="BM790">
        <v>0</v>
      </c>
      <c r="BN790">
        <v>1</v>
      </c>
      <c r="BO790">
        <v>0</v>
      </c>
      <c r="BP790">
        <v>4</v>
      </c>
      <c r="BQ790">
        <v>1</v>
      </c>
      <c r="BR790">
        <v>0</v>
      </c>
      <c r="BS790">
        <v>0</v>
      </c>
      <c r="BT790">
        <v>0</v>
      </c>
      <c r="BU790">
        <v>0</v>
      </c>
      <c r="BV790">
        <v>1</v>
      </c>
      <c r="BW790">
        <v>974</v>
      </c>
      <c r="BX790">
        <v>0</v>
      </c>
      <c r="BY790">
        <v>0</v>
      </c>
      <c r="BZ790">
        <v>0</v>
      </c>
      <c r="CA790">
        <v>1</v>
      </c>
      <c r="CB790">
        <v>6</v>
      </c>
      <c r="CC790">
        <v>2</v>
      </c>
      <c r="CD790">
        <v>1</v>
      </c>
      <c r="CE790">
        <v>0</v>
      </c>
      <c r="CF790">
        <v>21</v>
      </c>
      <c r="CG790">
        <v>0</v>
      </c>
      <c r="CH790">
        <v>857</v>
      </c>
      <c r="CI790">
        <v>1</v>
      </c>
      <c r="CJ790">
        <v>7</v>
      </c>
      <c r="CK790">
        <v>1</v>
      </c>
      <c r="CL790">
        <v>2</v>
      </c>
      <c r="CM790">
        <v>6</v>
      </c>
      <c r="CN790">
        <v>13</v>
      </c>
      <c r="CO790">
        <v>3</v>
      </c>
      <c r="CP790">
        <v>1</v>
      </c>
      <c r="CQ790">
        <v>32</v>
      </c>
      <c r="CR790">
        <v>14</v>
      </c>
      <c r="CS790">
        <v>882</v>
      </c>
      <c r="CT790">
        <v>0</v>
      </c>
      <c r="CU790">
        <v>7</v>
      </c>
      <c r="CV790">
        <v>0</v>
      </c>
      <c r="CW790">
        <v>0</v>
      </c>
      <c r="CX790">
        <v>3</v>
      </c>
      <c r="CY790">
        <v>3</v>
      </c>
      <c r="CZ790">
        <v>2</v>
      </c>
      <c r="DA790">
        <v>0</v>
      </c>
      <c r="DB790">
        <v>0</v>
      </c>
      <c r="DC790">
        <v>0</v>
      </c>
      <c r="DD790">
        <v>1020</v>
      </c>
      <c r="DE790">
        <v>0</v>
      </c>
      <c r="DF790">
        <v>0</v>
      </c>
      <c r="DG790">
        <v>4</v>
      </c>
      <c r="DH790">
        <v>4</v>
      </c>
      <c r="DI790">
        <v>29</v>
      </c>
      <c r="DJ790">
        <v>23</v>
      </c>
      <c r="DK790">
        <v>3</v>
      </c>
      <c r="DL790">
        <v>5</v>
      </c>
      <c r="DM790">
        <v>2</v>
      </c>
      <c r="DN790">
        <v>9</v>
      </c>
      <c r="DO790">
        <v>892</v>
      </c>
      <c r="DP790">
        <v>3</v>
      </c>
      <c r="DQ790">
        <v>2</v>
      </c>
      <c r="DR790">
        <v>6</v>
      </c>
      <c r="DS790">
        <v>5</v>
      </c>
      <c r="DT790">
        <v>10</v>
      </c>
      <c r="DU790">
        <v>15</v>
      </c>
      <c r="DV790">
        <v>7</v>
      </c>
      <c r="DW790">
        <v>0</v>
      </c>
      <c r="DX790">
        <v>39</v>
      </c>
      <c r="DY790">
        <v>3</v>
      </c>
      <c r="DZ790">
        <v>922</v>
      </c>
      <c r="EA790">
        <v>0.96399999999999997</v>
      </c>
      <c r="EB790">
        <v>0.96521975445488395</v>
      </c>
      <c r="EC790">
        <v>0.96311629800425402</v>
      </c>
      <c r="ED790">
        <v>0.96347758969324604</v>
      </c>
      <c r="EE790">
        <f>SUM(Table1[[#This Row],[ratio_0]:[ratio_9]])</f>
        <v>550</v>
      </c>
      <c r="EF790" s="1">
        <f>(Table1[[#This Row],[predicted_0]]-Table1[[#This Row],[actual_0]])/Table1[[#This Row],[actual_0]]</f>
        <v>-2.5510204081632654E-2</v>
      </c>
      <c r="EG790" s="1">
        <f>(Table1[[#This Row],[predicted_1]]-Table1[[#This Row],[actual_1]])/Table1[[#This Row],[actual_1]]</f>
        <v>2.378854625550661E-2</v>
      </c>
      <c r="EH790" s="1">
        <f>(Table1[[#This Row],[predicted_2]]-Table1[[#This Row],[actual_2]])/Table1[[#This Row],[actual_2]]</f>
        <v>4.2635658914728682E-2</v>
      </c>
      <c r="EI790" s="1">
        <f>(Table1[[#This Row],[predicted_3]]-Table1[[#This Row],[actual_3]])/Table1[[#This Row],[actual_3]]</f>
        <v>5.2475247524752473E-2</v>
      </c>
      <c r="EJ790" s="1">
        <f>(Table1[[#This Row],[predicted_4]]-Table1[[#This Row],[actual_4]])/Table1[[#This Row],[actual_4]]</f>
        <v>4.7861507128309569E-2</v>
      </c>
      <c r="EK790" s="1">
        <f>(Table1[[#This Row],[predicted_5]]-Table1[[#This Row],[actual_5]])/Table1[[#This Row],[actual_5]]</f>
        <v>-1.1210762331838565E-3</v>
      </c>
      <c r="EL790" s="1">
        <f>(Table1[[#This Row],[predicted_6]]-Table1[[#This Row],[actual_6]])/Table1[[#This Row],[actual_6]]</f>
        <v>-7.3068893528183715E-2</v>
      </c>
      <c r="EM790" s="1">
        <f>(Table1[[#This Row],[predicted_7]]-Table1[[#This Row],[actual_7]])/Table1[[#This Row],[actual_7]]</f>
        <v>6.6147859922178989E-2</v>
      </c>
      <c r="EN790" s="1">
        <f>(Table1[[#This Row],[predicted_8]]-Table1[[#This Row],[actual_8]])/Table1[[#This Row],[actual_8]]</f>
        <v>-6.8788501026694052E-2</v>
      </c>
      <c r="EO790" s="1">
        <f>(Table1[[#This Row],[predicted_9]]-Table1[[#This Row],[actual_9]])/Table1[[#This Row],[actual_9]]</f>
        <v>-7.5322101090188304E-2</v>
      </c>
      <c r="EP790" s="1">
        <f>1+(Table1[[#This Row],[error_ratio_0]]-EF$2)</f>
        <v>0.97244897959183674</v>
      </c>
      <c r="EQ790" s="1">
        <f>1+(Table1[[#This Row],[error_ratio_1]]-EG$2)</f>
        <v>1.0220264317180616</v>
      </c>
      <c r="ER790" s="1">
        <f>1+(Table1[[#This Row],[error_ratio_2]]-EH$2)</f>
        <v>1.0474806201550388</v>
      </c>
      <c r="ES790" s="1">
        <f>1+(Table1[[#This Row],[error_ratio_3]]-EI$2)</f>
        <v>1.0425742574257426</v>
      </c>
      <c r="ET790" s="1">
        <f>1+(Table1[[#This Row],[error_ratio_4]]-EJ$2)</f>
        <v>1.0468431771894093</v>
      </c>
      <c r="EU790" s="1">
        <f>1+(Table1[[#This Row],[error_ratio_5]]-EK$2)</f>
        <v>0.99775784753363228</v>
      </c>
      <c r="EV790" s="1">
        <f>1+(Table1[[#This Row],[error_ratio_6]]-EL$2)</f>
        <v>0.93319415448851772</v>
      </c>
      <c r="EW790" s="1">
        <f>1+(Table1[[#This Row],[error_ratio_7]]-EM$2)</f>
        <v>1.0642023346303502</v>
      </c>
      <c r="EX790" s="1">
        <f>1+(Table1[[#This Row],[error_ratio_8]]-EN$2)</f>
        <v>0.93429158110882959</v>
      </c>
      <c r="EY790" s="1">
        <f>1+(Table1[[#This Row],[error_ratio_9]]-EO$2)</f>
        <v>0.92864222001982166</v>
      </c>
    </row>
    <row r="791" spans="1:155" x14ac:dyDescent="0.75">
      <c r="A791">
        <v>100</v>
      </c>
      <c r="B791">
        <v>10</v>
      </c>
      <c r="C791">
        <v>100</v>
      </c>
      <c r="D791">
        <v>100</v>
      </c>
      <c r="E791">
        <v>100</v>
      </c>
      <c r="F791">
        <v>10</v>
      </c>
      <c r="G791">
        <v>10</v>
      </c>
      <c r="H791">
        <v>100</v>
      </c>
      <c r="I791">
        <v>10</v>
      </c>
      <c r="J791">
        <v>10</v>
      </c>
      <c r="K791">
        <v>1017</v>
      </c>
      <c r="L791">
        <v>1036</v>
      </c>
      <c r="M791">
        <v>1030</v>
      </c>
      <c r="N791">
        <v>1110</v>
      </c>
      <c r="O791">
        <v>1085</v>
      </c>
      <c r="P791">
        <v>872</v>
      </c>
      <c r="Q791">
        <v>846</v>
      </c>
      <c r="R791">
        <v>1148</v>
      </c>
      <c r="S791">
        <v>1035</v>
      </c>
      <c r="T791">
        <v>821</v>
      </c>
      <c r="U791">
        <v>980</v>
      </c>
      <c r="V791">
        <v>1135</v>
      </c>
      <c r="W791">
        <v>1032</v>
      </c>
      <c r="X791">
        <v>1010</v>
      </c>
      <c r="Y791">
        <v>982</v>
      </c>
      <c r="Z791">
        <v>892</v>
      </c>
      <c r="AA791">
        <v>958</v>
      </c>
      <c r="AB791">
        <v>1028</v>
      </c>
      <c r="AC791">
        <v>974</v>
      </c>
      <c r="AD791">
        <v>1009</v>
      </c>
      <c r="AE791">
        <v>971</v>
      </c>
      <c r="AF791">
        <v>1</v>
      </c>
      <c r="AG791">
        <v>1</v>
      </c>
      <c r="AH791">
        <v>0</v>
      </c>
      <c r="AI791">
        <v>1</v>
      </c>
      <c r="AJ791">
        <v>0</v>
      </c>
      <c r="AK791">
        <v>0</v>
      </c>
      <c r="AL791">
        <v>2</v>
      </c>
      <c r="AM791">
        <v>4</v>
      </c>
      <c r="AN791">
        <v>0</v>
      </c>
      <c r="AO791">
        <v>0</v>
      </c>
      <c r="AP791">
        <v>1031</v>
      </c>
      <c r="AQ791">
        <v>2</v>
      </c>
      <c r="AR791">
        <v>8</v>
      </c>
      <c r="AS791">
        <v>0</v>
      </c>
      <c r="AT791">
        <v>1</v>
      </c>
      <c r="AU791">
        <v>0</v>
      </c>
      <c r="AV791">
        <v>74</v>
      </c>
      <c r="AW791">
        <v>19</v>
      </c>
      <c r="AX791">
        <v>0</v>
      </c>
      <c r="AY791">
        <v>1</v>
      </c>
      <c r="AZ791">
        <v>0</v>
      </c>
      <c r="BA791">
        <v>1006</v>
      </c>
      <c r="BB791">
        <v>1</v>
      </c>
      <c r="BC791">
        <v>1</v>
      </c>
      <c r="BD791">
        <v>2</v>
      </c>
      <c r="BE791">
        <v>0</v>
      </c>
      <c r="BF791">
        <v>19</v>
      </c>
      <c r="BG791">
        <v>2</v>
      </c>
      <c r="BH791">
        <v>0</v>
      </c>
      <c r="BI791">
        <v>0</v>
      </c>
      <c r="BJ791">
        <v>0</v>
      </c>
      <c r="BK791">
        <v>1</v>
      </c>
      <c r="BL791">
        <v>1004</v>
      </c>
      <c r="BM791">
        <v>0</v>
      </c>
      <c r="BN791">
        <v>1</v>
      </c>
      <c r="BO791">
        <v>0</v>
      </c>
      <c r="BP791">
        <v>3</v>
      </c>
      <c r="BQ791">
        <v>1</v>
      </c>
      <c r="BR791">
        <v>0</v>
      </c>
      <c r="BS791">
        <v>0</v>
      </c>
      <c r="BT791">
        <v>0</v>
      </c>
      <c r="BU791">
        <v>4</v>
      </c>
      <c r="BV791">
        <v>1</v>
      </c>
      <c r="BW791">
        <v>975</v>
      </c>
      <c r="BX791">
        <v>0</v>
      </c>
      <c r="BY791">
        <v>0</v>
      </c>
      <c r="BZ791">
        <v>0</v>
      </c>
      <c r="CA791">
        <v>1</v>
      </c>
      <c r="CB791">
        <v>1</v>
      </c>
      <c r="CC791">
        <v>7</v>
      </c>
      <c r="CD791">
        <v>0</v>
      </c>
      <c r="CE791">
        <v>1</v>
      </c>
      <c r="CF791">
        <v>44</v>
      </c>
      <c r="CG791">
        <v>0</v>
      </c>
      <c r="CH791">
        <v>826</v>
      </c>
      <c r="CI791">
        <v>0</v>
      </c>
      <c r="CJ791">
        <v>4</v>
      </c>
      <c r="CK791">
        <v>9</v>
      </c>
      <c r="CL791">
        <v>1</v>
      </c>
      <c r="CM791">
        <v>25</v>
      </c>
      <c r="CN791">
        <v>3</v>
      </c>
      <c r="CO791">
        <v>3</v>
      </c>
      <c r="CP791">
        <v>5</v>
      </c>
      <c r="CQ791">
        <v>33</v>
      </c>
      <c r="CR791">
        <v>18</v>
      </c>
      <c r="CS791">
        <v>846</v>
      </c>
      <c r="CT791">
        <v>0</v>
      </c>
      <c r="CU791">
        <v>25</v>
      </c>
      <c r="CV791">
        <v>0</v>
      </c>
      <c r="CW791">
        <v>1</v>
      </c>
      <c r="CX791">
        <v>0</v>
      </c>
      <c r="CY791">
        <v>4</v>
      </c>
      <c r="CZ791">
        <v>3</v>
      </c>
      <c r="DA791">
        <v>0</v>
      </c>
      <c r="DB791">
        <v>0</v>
      </c>
      <c r="DC791">
        <v>0</v>
      </c>
      <c r="DD791">
        <v>1019</v>
      </c>
      <c r="DE791">
        <v>1</v>
      </c>
      <c r="DF791">
        <v>0</v>
      </c>
      <c r="DG791">
        <v>5</v>
      </c>
      <c r="DH791">
        <v>1</v>
      </c>
      <c r="DI791">
        <v>7</v>
      </c>
      <c r="DJ791">
        <v>20</v>
      </c>
      <c r="DK791">
        <v>2</v>
      </c>
      <c r="DL791">
        <v>1</v>
      </c>
      <c r="DM791">
        <v>0</v>
      </c>
      <c r="DN791">
        <v>5</v>
      </c>
      <c r="DO791">
        <v>933</v>
      </c>
      <c r="DP791">
        <v>0</v>
      </c>
      <c r="DQ791">
        <v>7</v>
      </c>
      <c r="DR791">
        <v>0</v>
      </c>
      <c r="DS791">
        <v>1</v>
      </c>
      <c r="DT791">
        <v>24</v>
      </c>
      <c r="DU791">
        <v>73</v>
      </c>
      <c r="DV791">
        <v>23</v>
      </c>
      <c r="DW791">
        <v>0</v>
      </c>
      <c r="DX791">
        <v>22</v>
      </c>
      <c r="DY791">
        <v>40</v>
      </c>
      <c r="DZ791">
        <v>819</v>
      </c>
      <c r="EA791">
        <v>0.94299999999999995</v>
      </c>
      <c r="EB791">
        <v>0.94636553087575204</v>
      </c>
      <c r="EC791">
        <v>0.943086783507607</v>
      </c>
      <c r="ED791">
        <v>0.94234759828759196</v>
      </c>
      <c r="EE791">
        <f>SUM(Table1[[#This Row],[ratio_0]:[ratio_9]])</f>
        <v>550</v>
      </c>
      <c r="EF791" s="1">
        <f>(Table1[[#This Row],[predicted_0]]-Table1[[#This Row],[actual_0]])/Table1[[#This Row],[actual_0]]</f>
        <v>3.7755102040816328E-2</v>
      </c>
      <c r="EG791" s="1">
        <f>(Table1[[#This Row],[predicted_1]]-Table1[[#This Row],[actual_1]])/Table1[[#This Row],[actual_1]]</f>
        <v>-8.7224669603524235E-2</v>
      </c>
      <c r="EH791" s="1">
        <f>(Table1[[#This Row],[predicted_2]]-Table1[[#This Row],[actual_2]])/Table1[[#This Row],[actual_2]]</f>
        <v>-1.937984496124031E-3</v>
      </c>
      <c r="EI791" s="1">
        <f>(Table1[[#This Row],[predicted_3]]-Table1[[#This Row],[actual_3]])/Table1[[#This Row],[actual_3]]</f>
        <v>9.9009900990099015E-2</v>
      </c>
      <c r="EJ791" s="1">
        <f>(Table1[[#This Row],[predicted_4]]-Table1[[#This Row],[actual_4]])/Table1[[#This Row],[actual_4]]</f>
        <v>0.10488798370672098</v>
      </c>
      <c r="EK791" s="1">
        <f>(Table1[[#This Row],[predicted_5]]-Table1[[#This Row],[actual_5]])/Table1[[#This Row],[actual_5]]</f>
        <v>-2.2421524663677129E-2</v>
      </c>
      <c r="EL791" s="1">
        <f>(Table1[[#This Row],[predicted_6]]-Table1[[#This Row],[actual_6]])/Table1[[#This Row],[actual_6]]</f>
        <v>-0.11691022964509394</v>
      </c>
      <c r="EM791" s="1">
        <f>(Table1[[#This Row],[predicted_7]]-Table1[[#This Row],[actual_7]])/Table1[[#This Row],[actual_7]]</f>
        <v>0.11673151750972763</v>
      </c>
      <c r="EN791" s="1">
        <f>(Table1[[#This Row],[predicted_8]]-Table1[[#This Row],[actual_8]])/Table1[[#This Row],[actual_8]]</f>
        <v>6.2628336755646816E-2</v>
      </c>
      <c r="EO791" s="1">
        <f>(Table1[[#This Row],[predicted_9]]-Table1[[#This Row],[actual_9]])/Table1[[#This Row],[actual_9]]</f>
        <v>-0.1863230921704658</v>
      </c>
      <c r="EP791" s="1">
        <f>1+(Table1[[#This Row],[error_ratio_0]]-EF$2)</f>
        <v>1.0357142857142858</v>
      </c>
      <c r="EQ791" s="1">
        <f>1+(Table1[[#This Row],[error_ratio_1]]-EG$2)</f>
        <v>0.91101321585903083</v>
      </c>
      <c r="ER791" s="1">
        <f>1+(Table1[[#This Row],[error_ratio_2]]-EH$2)</f>
        <v>1.0029069767441861</v>
      </c>
      <c r="ES791" s="1">
        <f>1+(Table1[[#This Row],[error_ratio_3]]-EI$2)</f>
        <v>1.0891089108910892</v>
      </c>
      <c r="ET791" s="1">
        <f>1+(Table1[[#This Row],[error_ratio_4]]-EJ$2)</f>
        <v>1.1038696537678208</v>
      </c>
      <c r="EU791" s="1">
        <f>1+(Table1[[#This Row],[error_ratio_5]]-EK$2)</f>
        <v>0.976457399103139</v>
      </c>
      <c r="EV791" s="1">
        <f>1+(Table1[[#This Row],[error_ratio_6]]-EL$2)</f>
        <v>0.88935281837160751</v>
      </c>
      <c r="EW791" s="1">
        <f>1+(Table1[[#This Row],[error_ratio_7]]-EM$2)</f>
        <v>1.1147859922178989</v>
      </c>
      <c r="EX791" s="1">
        <f>1+(Table1[[#This Row],[error_ratio_8]]-EN$2)</f>
        <v>1.0657084188911705</v>
      </c>
      <c r="EY791" s="1">
        <f>1+(Table1[[#This Row],[error_ratio_9]]-EO$2)</f>
        <v>0.81764122893954405</v>
      </c>
    </row>
    <row r="792" spans="1:155" x14ac:dyDescent="0.75">
      <c r="A792">
        <v>10</v>
      </c>
      <c r="B792">
        <v>10</v>
      </c>
      <c r="C792">
        <v>100</v>
      </c>
      <c r="D792">
        <v>100</v>
      </c>
      <c r="E792">
        <v>100</v>
      </c>
      <c r="F792">
        <v>10</v>
      </c>
      <c r="G792">
        <v>10</v>
      </c>
      <c r="H792">
        <v>100</v>
      </c>
      <c r="I792">
        <v>10</v>
      </c>
      <c r="J792">
        <v>10</v>
      </c>
      <c r="K792">
        <v>976</v>
      </c>
      <c r="L792">
        <v>1180</v>
      </c>
      <c r="M792">
        <v>1070</v>
      </c>
      <c r="N792">
        <v>1096</v>
      </c>
      <c r="O792">
        <v>1163</v>
      </c>
      <c r="P792">
        <v>703</v>
      </c>
      <c r="Q792">
        <v>916</v>
      </c>
      <c r="R792">
        <v>1256</v>
      </c>
      <c r="S792">
        <v>853</v>
      </c>
      <c r="T792">
        <v>787</v>
      </c>
      <c r="U792">
        <v>980</v>
      </c>
      <c r="V792">
        <v>1135</v>
      </c>
      <c r="W792">
        <v>1032</v>
      </c>
      <c r="X792">
        <v>1010</v>
      </c>
      <c r="Y792">
        <v>982</v>
      </c>
      <c r="Z792">
        <v>892</v>
      </c>
      <c r="AA792">
        <v>958</v>
      </c>
      <c r="AB792">
        <v>1028</v>
      </c>
      <c r="AC792">
        <v>974</v>
      </c>
      <c r="AD792">
        <v>1009</v>
      </c>
      <c r="AE792">
        <v>946</v>
      </c>
      <c r="AF792">
        <v>1</v>
      </c>
      <c r="AG792">
        <v>2</v>
      </c>
      <c r="AH792">
        <v>2</v>
      </c>
      <c r="AI792">
        <v>11</v>
      </c>
      <c r="AJ792">
        <v>0</v>
      </c>
      <c r="AK792">
        <v>1</v>
      </c>
      <c r="AL792">
        <v>8</v>
      </c>
      <c r="AM792">
        <v>0</v>
      </c>
      <c r="AN792">
        <v>9</v>
      </c>
      <c r="AO792">
        <v>0</v>
      </c>
      <c r="AP792">
        <v>1125</v>
      </c>
      <c r="AQ792">
        <v>4</v>
      </c>
      <c r="AR792">
        <v>1</v>
      </c>
      <c r="AS792">
        <v>1</v>
      </c>
      <c r="AT792">
        <v>0</v>
      </c>
      <c r="AU792">
        <v>3</v>
      </c>
      <c r="AV792">
        <v>1</v>
      </c>
      <c r="AW792">
        <v>0</v>
      </c>
      <c r="AX792">
        <v>0</v>
      </c>
      <c r="AY792">
        <v>2</v>
      </c>
      <c r="AZ792">
        <v>4</v>
      </c>
      <c r="BA792">
        <v>1010</v>
      </c>
      <c r="BB792">
        <v>0</v>
      </c>
      <c r="BC792">
        <v>6</v>
      </c>
      <c r="BD792">
        <v>0</v>
      </c>
      <c r="BE792">
        <v>0</v>
      </c>
      <c r="BF792">
        <v>10</v>
      </c>
      <c r="BG792">
        <v>0</v>
      </c>
      <c r="BH792">
        <v>0</v>
      </c>
      <c r="BI792">
        <v>1</v>
      </c>
      <c r="BJ792">
        <v>0</v>
      </c>
      <c r="BK792">
        <v>8</v>
      </c>
      <c r="BL792">
        <v>986</v>
      </c>
      <c r="BM792">
        <v>2</v>
      </c>
      <c r="BN792">
        <v>0</v>
      </c>
      <c r="BO792">
        <v>0</v>
      </c>
      <c r="BP792">
        <v>7</v>
      </c>
      <c r="BQ792">
        <v>6</v>
      </c>
      <c r="BR792">
        <v>0</v>
      </c>
      <c r="BS792">
        <v>0</v>
      </c>
      <c r="BT792">
        <v>1</v>
      </c>
      <c r="BU792">
        <v>0</v>
      </c>
      <c r="BV792">
        <v>0</v>
      </c>
      <c r="BW792">
        <v>981</v>
      </c>
      <c r="BX792">
        <v>0</v>
      </c>
      <c r="BY792">
        <v>0</v>
      </c>
      <c r="BZ792">
        <v>0</v>
      </c>
      <c r="CA792">
        <v>0</v>
      </c>
      <c r="CB792">
        <v>0</v>
      </c>
      <c r="CC792">
        <v>6</v>
      </c>
      <c r="CD792">
        <v>3</v>
      </c>
      <c r="CE792">
        <v>0</v>
      </c>
      <c r="CF792">
        <v>93</v>
      </c>
      <c r="CG792">
        <v>7</v>
      </c>
      <c r="CH792">
        <v>702</v>
      </c>
      <c r="CI792">
        <v>12</v>
      </c>
      <c r="CJ792">
        <v>27</v>
      </c>
      <c r="CK792">
        <v>16</v>
      </c>
      <c r="CL792">
        <v>26</v>
      </c>
      <c r="CM792">
        <v>14</v>
      </c>
      <c r="CN792">
        <v>3</v>
      </c>
      <c r="CO792">
        <v>1</v>
      </c>
      <c r="CP792">
        <v>0</v>
      </c>
      <c r="CQ792">
        <v>50</v>
      </c>
      <c r="CR792">
        <v>0</v>
      </c>
      <c r="CS792">
        <v>889</v>
      </c>
      <c r="CT792">
        <v>0</v>
      </c>
      <c r="CU792">
        <v>0</v>
      </c>
      <c r="CV792">
        <v>1</v>
      </c>
      <c r="CW792">
        <v>0</v>
      </c>
      <c r="CX792">
        <v>6</v>
      </c>
      <c r="CY792">
        <v>16</v>
      </c>
      <c r="CZ792">
        <v>1</v>
      </c>
      <c r="DA792">
        <v>1</v>
      </c>
      <c r="DB792">
        <v>0</v>
      </c>
      <c r="DC792">
        <v>0</v>
      </c>
      <c r="DD792">
        <v>1003</v>
      </c>
      <c r="DE792">
        <v>1</v>
      </c>
      <c r="DF792">
        <v>0</v>
      </c>
      <c r="DG792">
        <v>6</v>
      </c>
      <c r="DH792">
        <v>28</v>
      </c>
      <c r="DI792">
        <v>29</v>
      </c>
      <c r="DJ792">
        <v>5</v>
      </c>
      <c r="DK792">
        <v>23</v>
      </c>
      <c r="DL792">
        <v>0</v>
      </c>
      <c r="DM792">
        <v>11</v>
      </c>
      <c r="DN792">
        <v>41</v>
      </c>
      <c r="DO792">
        <v>826</v>
      </c>
      <c r="DP792">
        <v>5</v>
      </c>
      <c r="DQ792">
        <v>1</v>
      </c>
      <c r="DR792">
        <v>9</v>
      </c>
      <c r="DS792">
        <v>0</v>
      </c>
      <c r="DT792">
        <v>8</v>
      </c>
      <c r="DU792">
        <v>81</v>
      </c>
      <c r="DV792">
        <v>1</v>
      </c>
      <c r="DW792">
        <v>0</v>
      </c>
      <c r="DX792">
        <v>159</v>
      </c>
      <c r="DY792">
        <v>4</v>
      </c>
      <c r="DZ792">
        <v>746</v>
      </c>
      <c r="EA792">
        <v>0.9214</v>
      </c>
      <c r="EB792">
        <v>0.92936394269034495</v>
      </c>
      <c r="EC792">
        <v>0.91884435798140196</v>
      </c>
      <c r="ED792">
        <v>0.919350622921281</v>
      </c>
      <c r="EE792">
        <f>SUM(Table1[[#This Row],[ratio_0]:[ratio_9]])</f>
        <v>460</v>
      </c>
      <c r="EF792" s="1">
        <f>(Table1[[#This Row],[predicted_0]]-Table1[[#This Row],[actual_0]])/Table1[[#This Row],[actual_0]]</f>
        <v>-4.0816326530612249E-3</v>
      </c>
      <c r="EG792" s="1">
        <f>(Table1[[#This Row],[predicted_1]]-Table1[[#This Row],[actual_1]])/Table1[[#This Row],[actual_1]]</f>
        <v>3.9647577092511016E-2</v>
      </c>
      <c r="EH792" s="1">
        <f>(Table1[[#This Row],[predicted_2]]-Table1[[#This Row],[actual_2]])/Table1[[#This Row],[actual_2]]</f>
        <v>3.6821705426356592E-2</v>
      </c>
      <c r="EI792" s="1">
        <f>(Table1[[#This Row],[predicted_3]]-Table1[[#This Row],[actual_3]])/Table1[[#This Row],[actual_3]]</f>
        <v>8.5148514851485155E-2</v>
      </c>
      <c r="EJ792" s="1">
        <f>(Table1[[#This Row],[predicted_4]]-Table1[[#This Row],[actual_4]])/Table1[[#This Row],[actual_4]]</f>
        <v>0.18431771894093688</v>
      </c>
      <c r="EK792" s="1">
        <f>(Table1[[#This Row],[predicted_5]]-Table1[[#This Row],[actual_5]])/Table1[[#This Row],[actual_5]]</f>
        <v>-0.21188340807174888</v>
      </c>
      <c r="EL792" s="1">
        <f>(Table1[[#This Row],[predicted_6]]-Table1[[#This Row],[actual_6]])/Table1[[#This Row],[actual_6]]</f>
        <v>-4.3841336116910233E-2</v>
      </c>
      <c r="EM792" s="1">
        <f>(Table1[[#This Row],[predicted_7]]-Table1[[#This Row],[actual_7]])/Table1[[#This Row],[actual_7]]</f>
        <v>0.22178988326848248</v>
      </c>
      <c r="EN792" s="1">
        <f>(Table1[[#This Row],[predicted_8]]-Table1[[#This Row],[actual_8]])/Table1[[#This Row],[actual_8]]</f>
        <v>-0.12422997946611909</v>
      </c>
      <c r="EO792" s="1">
        <f>(Table1[[#This Row],[predicted_9]]-Table1[[#This Row],[actual_9]])/Table1[[#This Row],[actual_9]]</f>
        <v>-0.22001982160555006</v>
      </c>
      <c r="EP792" s="1">
        <f>1+(Table1[[#This Row],[error_ratio_0]]-EF$2)</f>
        <v>0.9938775510204082</v>
      </c>
      <c r="EQ792" s="1">
        <f>1+(Table1[[#This Row],[error_ratio_1]]-EG$2)</f>
        <v>1.037885462555066</v>
      </c>
      <c r="ER792" s="1">
        <f>1+(Table1[[#This Row],[error_ratio_2]]-EH$2)</f>
        <v>1.0416666666666667</v>
      </c>
      <c r="ES792" s="1">
        <f>1+(Table1[[#This Row],[error_ratio_3]]-EI$2)</f>
        <v>1.0752475247524753</v>
      </c>
      <c r="ET792" s="1">
        <f>1+(Table1[[#This Row],[error_ratio_4]]-EJ$2)</f>
        <v>1.1832993890020367</v>
      </c>
      <c r="EU792" s="1">
        <f>1+(Table1[[#This Row],[error_ratio_5]]-EK$2)</f>
        <v>0.7869955156950672</v>
      </c>
      <c r="EV792" s="1">
        <f>1+(Table1[[#This Row],[error_ratio_6]]-EL$2)</f>
        <v>0.9624217118997912</v>
      </c>
      <c r="EW792" s="1">
        <f>1+(Table1[[#This Row],[error_ratio_7]]-EM$2)</f>
        <v>1.2198443579766538</v>
      </c>
      <c r="EX792" s="1">
        <f>1+(Table1[[#This Row],[error_ratio_8]]-EN$2)</f>
        <v>0.87885010266940455</v>
      </c>
      <c r="EY792" s="1">
        <f>1+(Table1[[#This Row],[error_ratio_9]]-EO$2)</f>
        <v>0.78394449950445988</v>
      </c>
    </row>
    <row r="793" spans="1:155" x14ac:dyDescent="0.75">
      <c r="A793">
        <v>100</v>
      </c>
      <c r="B793">
        <v>100</v>
      </c>
      <c r="C793">
        <v>10</v>
      </c>
      <c r="D793">
        <v>100</v>
      </c>
      <c r="E793">
        <v>100</v>
      </c>
      <c r="F793">
        <v>10</v>
      </c>
      <c r="G793">
        <v>10</v>
      </c>
      <c r="H793">
        <v>100</v>
      </c>
      <c r="I793">
        <v>10</v>
      </c>
      <c r="J793">
        <v>10</v>
      </c>
      <c r="K793">
        <v>1062</v>
      </c>
      <c r="L793">
        <v>1161</v>
      </c>
      <c r="M793">
        <v>953</v>
      </c>
      <c r="N793">
        <v>1035</v>
      </c>
      <c r="O793">
        <v>1082</v>
      </c>
      <c r="P793">
        <v>881</v>
      </c>
      <c r="Q793">
        <v>898</v>
      </c>
      <c r="R793">
        <v>1013</v>
      </c>
      <c r="S793">
        <v>1020</v>
      </c>
      <c r="T793">
        <v>895</v>
      </c>
      <c r="U793">
        <v>980</v>
      </c>
      <c r="V793">
        <v>1135</v>
      </c>
      <c r="W793">
        <v>1032</v>
      </c>
      <c r="X793">
        <v>1010</v>
      </c>
      <c r="Y793">
        <v>982</v>
      </c>
      <c r="Z793">
        <v>892</v>
      </c>
      <c r="AA793">
        <v>958</v>
      </c>
      <c r="AB793">
        <v>1028</v>
      </c>
      <c r="AC793">
        <v>974</v>
      </c>
      <c r="AD793">
        <v>1009</v>
      </c>
      <c r="AE793">
        <v>979</v>
      </c>
      <c r="AF793">
        <v>0</v>
      </c>
      <c r="AG793">
        <v>0</v>
      </c>
      <c r="AH793">
        <v>0</v>
      </c>
      <c r="AI793">
        <v>0</v>
      </c>
      <c r="AJ793">
        <v>0</v>
      </c>
      <c r="AK793">
        <v>0</v>
      </c>
      <c r="AL793">
        <v>1</v>
      </c>
      <c r="AM793">
        <v>0</v>
      </c>
      <c r="AN793">
        <v>0</v>
      </c>
      <c r="AO793">
        <v>0</v>
      </c>
      <c r="AP793">
        <v>1133</v>
      </c>
      <c r="AQ793">
        <v>0</v>
      </c>
      <c r="AR793">
        <v>0</v>
      </c>
      <c r="AS793">
        <v>1</v>
      </c>
      <c r="AT793">
        <v>1</v>
      </c>
      <c r="AU793">
        <v>0</v>
      </c>
      <c r="AV793">
        <v>0</v>
      </c>
      <c r="AW793">
        <v>0</v>
      </c>
      <c r="AX793">
        <v>0</v>
      </c>
      <c r="AY793">
        <v>21</v>
      </c>
      <c r="AZ793">
        <v>12</v>
      </c>
      <c r="BA793">
        <v>946</v>
      </c>
      <c r="BB793">
        <v>13</v>
      </c>
      <c r="BC793">
        <v>11</v>
      </c>
      <c r="BD793">
        <v>0</v>
      </c>
      <c r="BE793">
        <v>0</v>
      </c>
      <c r="BF793">
        <v>9</v>
      </c>
      <c r="BG793">
        <v>20</v>
      </c>
      <c r="BH793">
        <v>0</v>
      </c>
      <c r="BI793">
        <v>1</v>
      </c>
      <c r="BJ793">
        <v>0</v>
      </c>
      <c r="BK793">
        <v>0</v>
      </c>
      <c r="BL793">
        <v>1002</v>
      </c>
      <c r="BM793">
        <v>0</v>
      </c>
      <c r="BN793">
        <v>4</v>
      </c>
      <c r="BO793">
        <v>0</v>
      </c>
      <c r="BP793">
        <v>1</v>
      </c>
      <c r="BQ793">
        <v>2</v>
      </c>
      <c r="BR793">
        <v>0</v>
      </c>
      <c r="BS793">
        <v>0</v>
      </c>
      <c r="BT793">
        <v>0</v>
      </c>
      <c r="BU793">
        <v>0</v>
      </c>
      <c r="BV793">
        <v>0</v>
      </c>
      <c r="BW793">
        <v>981</v>
      </c>
      <c r="BX793">
        <v>0</v>
      </c>
      <c r="BY793">
        <v>0</v>
      </c>
      <c r="BZ793">
        <v>0</v>
      </c>
      <c r="CA793">
        <v>1</v>
      </c>
      <c r="CB793">
        <v>0</v>
      </c>
      <c r="CC793">
        <v>8</v>
      </c>
      <c r="CD793">
        <v>0</v>
      </c>
      <c r="CE793">
        <v>0</v>
      </c>
      <c r="CF793">
        <v>9</v>
      </c>
      <c r="CG793">
        <v>0</v>
      </c>
      <c r="CH793">
        <v>865</v>
      </c>
      <c r="CI793">
        <v>4</v>
      </c>
      <c r="CJ793">
        <v>0</v>
      </c>
      <c r="CK793">
        <v>6</v>
      </c>
      <c r="CL793">
        <v>0</v>
      </c>
      <c r="CM793">
        <v>25</v>
      </c>
      <c r="CN793">
        <v>5</v>
      </c>
      <c r="CO793">
        <v>0</v>
      </c>
      <c r="CP793">
        <v>0</v>
      </c>
      <c r="CQ793">
        <v>32</v>
      </c>
      <c r="CR793">
        <v>1</v>
      </c>
      <c r="CS793">
        <v>893</v>
      </c>
      <c r="CT793">
        <v>0</v>
      </c>
      <c r="CU793">
        <v>2</v>
      </c>
      <c r="CV793">
        <v>0</v>
      </c>
      <c r="CW793">
        <v>1</v>
      </c>
      <c r="CX793">
        <v>5</v>
      </c>
      <c r="CY793">
        <v>6</v>
      </c>
      <c r="CZ793">
        <v>7</v>
      </c>
      <c r="DA793">
        <v>7</v>
      </c>
      <c r="DB793">
        <v>0</v>
      </c>
      <c r="DC793">
        <v>0</v>
      </c>
      <c r="DD793">
        <v>995</v>
      </c>
      <c r="DE793">
        <v>4</v>
      </c>
      <c r="DF793">
        <v>3</v>
      </c>
      <c r="DG793">
        <v>17</v>
      </c>
      <c r="DH793">
        <v>1</v>
      </c>
      <c r="DI793">
        <v>1</v>
      </c>
      <c r="DJ793">
        <v>1</v>
      </c>
      <c r="DK793">
        <v>4</v>
      </c>
      <c r="DL793">
        <v>2</v>
      </c>
      <c r="DM793">
        <v>1</v>
      </c>
      <c r="DN793">
        <v>3</v>
      </c>
      <c r="DO793">
        <v>943</v>
      </c>
      <c r="DP793">
        <v>1</v>
      </c>
      <c r="DQ793">
        <v>10</v>
      </c>
      <c r="DR793">
        <v>5</v>
      </c>
      <c r="DS793">
        <v>0</v>
      </c>
      <c r="DT793">
        <v>3</v>
      </c>
      <c r="DU793">
        <v>46</v>
      </c>
      <c r="DV793">
        <v>8</v>
      </c>
      <c r="DW793">
        <v>0</v>
      </c>
      <c r="DX793">
        <v>4</v>
      </c>
      <c r="DY793">
        <v>42</v>
      </c>
      <c r="DZ793">
        <v>891</v>
      </c>
      <c r="EA793">
        <v>0.96279999999999999</v>
      </c>
      <c r="EB793">
        <v>0.96436959122349297</v>
      </c>
      <c r="EC793">
        <v>0.96259501213433996</v>
      </c>
      <c r="ED793">
        <v>0.96242847019408295</v>
      </c>
      <c r="EE793">
        <f>SUM(Table1[[#This Row],[ratio_0]:[ratio_9]])</f>
        <v>550</v>
      </c>
      <c r="EF793" s="1">
        <f>(Table1[[#This Row],[predicted_0]]-Table1[[#This Row],[actual_0]])/Table1[[#This Row],[actual_0]]</f>
        <v>8.3673469387755106E-2</v>
      </c>
      <c r="EG793" s="1">
        <f>(Table1[[#This Row],[predicted_1]]-Table1[[#This Row],[actual_1]])/Table1[[#This Row],[actual_1]]</f>
        <v>2.2907488986784141E-2</v>
      </c>
      <c r="EH793" s="1">
        <f>(Table1[[#This Row],[predicted_2]]-Table1[[#This Row],[actual_2]])/Table1[[#This Row],[actual_2]]</f>
        <v>-7.6550387596899222E-2</v>
      </c>
      <c r="EI793" s="1">
        <f>(Table1[[#This Row],[predicted_3]]-Table1[[#This Row],[actual_3]])/Table1[[#This Row],[actual_3]]</f>
        <v>2.4752475247524754E-2</v>
      </c>
      <c r="EJ793" s="1">
        <f>(Table1[[#This Row],[predicted_4]]-Table1[[#This Row],[actual_4]])/Table1[[#This Row],[actual_4]]</f>
        <v>0.10183299389002037</v>
      </c>
      <c r="EK793" s="1">
        <f>(Table1[[#This Row],[predicted_5]]-Table1[[#This Row],[actual_5]])/Table1[[#This Row],[actual_5]]</f>
        <v>-1.2331838565022421E-2</v>
      </c>
      <c r="EL793" s="1">
        <f>(Table1[[#This Row],[predicted_6]]-Table1[[#This Row],[actual_6]])/Table1[[#This Row],[actual_6]]</f>
        <v>-6.2630480167014613E-2</v>
      </c>
      <c r="EM793" s="1">
        <f>(Table1[[#This Row],[predicted_7]]-Table1[[#This Row],[actual_7]])/Table1[[#This Row],[actual_7]]</f>
        <v>-1.4591439688715954E-2</v>
      </c>
      <c r="EN793" s="1">
        <f>(Table1[[#This Row],[predicted_8]]-Table1[[#This Row],[actual_8]])/Table1[[#This Row],[actual_8]]</f>
        <v>4.7227926078028747E-2</v>
      </c>
      <c r="EO793" s="1">
        <f>(Table1[[#This Row],[predicted_9]]-Table1[[#This Row],[actual_9]])/Table1[[#This Row],[actual_9]]</f>
        <v>-0.11298315163528246</v>
      </c>
      <c r="EP793" s="1">
        <f>1+(Table1[[#This Row],[error_ratio_0]]-EF$2)</f>
        <v>1.0816326530612246</v>
      </c>
      <c r="EQ793" s="1">
        <f>1+(Table1[[#This Row],[error_ratio_1]]-EG$2)</f>
        <v>1.0211453744493393</v>
      </c>
      <c r="ER793" s="1">
        <f>1+(Table1[[#This Row],[error_ratio_2]]-EH$2)</f>
        <v>0.92829457364341084</v>
      </c>
      <c r="ES793" s="1">
        <f>1+(Table1[[#This Row],[error_ratio_3]]-EI$2)</f>
        <v>1.0148514851485149</v>
      </c>
      <c r="ET793" s="1">
        <f>1+(Table1[[#This Row],[error_ratio_4]]-EJ$2)</f>
        <v>1.1008146639511203</v>
      </c>
      <c r="EU793" s="1">
        <f>1+(Table1[[#This Row],[error_ratio_5]]-EK$2)</f>
        <v>0.98654708520179368</v>
      </c>
      <c r="EV793" s="1">
        <f>1+(Table1[[#This Row],[error_ratio_6]]-EL$2)</f>
        <v>0.94363256784968685</v>
      </c>
      <c r="EW793" s="1">
        <f>1+(Table1[[#This Row],[error_ratio_7]]-EM$2)</f>
        <v>0.9834630350194552</v>
      </c>
      <c r="EX793" s="1">
        <f>1+(Table1[[#This Row],[error_ratio_8]]-EN$2)</f>
        <v>1.0503080082135523</v>
      </c>
      <c r="EY793" s="1">
        <f>1+(Table1[[#This Row],[error_ratio_9]]-EO$2)</f>
        <v>0.8909811694747275</v>
      </c>
    </row>
    <row r="794" spans="1:155" x14ac:dyDescent="0.75">
      <c r="A794">
        <v>10</v>
      </c>
      <c r="B794">
        <v>100</v>
      </c>
      <c r="C794">
        <v>10</v>
      </c>
      <c r="D794">
        <v>100</v>
      </c>
      <c r="E794">
        <v>100</v>
      </c>
      <c r="F794">
        <v>10</v>
      </c>
      <c r="G794">
        <v>10</v>
      </c>
      <c r="H794">
        <v>100</v>
      </c>
      <c r="I794">
        <v>10</v>
      </c>
      <c r="J794">
        <v>10</v>
      </c>
      <c r="K794">
        <v>1062</v>
      </c>
      <c r="L794">
        <v>1167</v>
      </c>
      <c r="M794">
        <v>1009</v>
      </c>
      <c r="N794">
        <v>1071</v>
      </c>
      <c r="O794">
        <v>1474</v>
      </c>
      <c r="P794">
        <v>844</v>
      </c>
      <c r="Q794">
        <v>832</v>
      </c>
      <c r="R794">
        <v>1191</v>
      </c>
      <c r="S794">
        <v>947</v>
      </c>
      <c r="T794">
        <v>403</v>
      </c>
      <c r="U794">
        <v>980</v>
      </c>
      <c r="V794">
        <v>1135</v>
      </c>
      <c r="W794">
        <v>1032</v>
      </c>
      <c r="X794">
        <v>1010</v>
      </c>
      <c r="Y794">
        <v>982</v>
      </c>
      <c r="Z794">
        <v>892</v>
      </c>
      <c r="AA794">
        <v>958</v>
      </c>
      <c r="AB794">
        <v>1028</v>
      </c>
      <c r="AC794">
        <v>974</v>
      </c>
      <c r="AD794">
        <v>1009</v>
      </c>
      <c r="AE794">
        <v>969</v>
      </c>
      <c r="AF794">
        <v>2</v>
      </c>
      <c r="AG794">
        <v>0</v>
      </c>
      <c r="AH794">
        <v>0</v>
      </c>
      <c r="AI794">
        <v>0</v>
      </c>
      <c r="AJ794">
        <v>0</v>
      </c>
      <c r="AK794">
        <v>1</v>
      </c>
      <c r="AL794">
        <v>5</v>
      </c>
      <c r="AM794">
        <v>3</v>
      </c>
      <c r="AN794">
        <v>0</v>
      </c>
      <c r="AO794">
        <v>0</v>
      </c>
      <c r="AP794">
        <v>1126</v>
      </c>
      <c r="AQ794">
        <v>2</v>
      </c>
      <c r="AR794">
        <v>2</v>
      </c>
      <c r="AS794">
        <v>0</v>
      </c>
      <c r="AT794">
        <v>0</v>
      </c>
      <c r="AU794">
        <v>0</v>
      </c>
      <c r="AV794">
        <v>5</v>
      </c>
      <c r="AW794">
        <v>0</v>
      </c>
      <c r="AX794">
        <v>0</v>
      </c>
      <c r="AY794">
        <v>17</v>
      </c>
      <c r="AZ794">
        <v>4</v>
      </c>
      <c r="BA794">
        <v>972</v>
      </c>
      <c r="BB794">
        <v>2</v>
      </c>
      <c r="BC794">
        <v>2</v>
      </c>
      <c r="BD794">
        <v>0</v>
      </c>
      <c r="BE794">
        <v>1</v>
      </c>
      <c r="BF794">
        <v>32</v>
      </c>
      <c r="BG794">
        <v>2</v>
      </c>
      <c r="BH794">
        <v>0</v>
      </c>
      <c r="BI794">
        <v>1</v>
      </c>
      <c r="BJ794">
        <v>0</v>
      </c>
      <c r="BK794">
        <v>3</v>
      </c>
      <c r="BL794">
        <v>999</v>
      </c>
      <c r="BM794">
        <v>0</v>
      </c>
      <c r="BN794">
        <v>0</v>
      </c>
      <c r="BO794">
        <v>0</v>
      </c>
      <c r="BP794">
        <v>7</v>
      </c>
      <c r="BQ794">
        <v>0</v>
      </c>
      <c r="BR794">
        <v>0</v>
      </c>
      <c r="BS794">
        <v>0</v>
      </c>
      <c r="BT794">
        <v>0</v>
      </c>
      <c r="BU794">
        <v>2</v>
      </c>
      <c r="BV794">
        <v>0</v>
      </c>
      <c r="BW794">
        <v>980</v>
      </c>
      <c r="BX794">
        <v>0</v>
      </c>
      <c r="BY794">
        <v>0</v>
      </c>
      <c r="BZ794">
        <v>0</v>
      </c>
      <c r="CA794">
        <v>0</v>
      </c>
      <c r="CB794">
        <v>0</v>
      </c>
      <c r="CC794">
        <v>7</v>
      </c>
      <c r="CD794">
        <v>1</v>
      </c>
      <c r="CE794">
        <v>1</v>
      </c>
      <c r="CF794">
        <v>42</v>
      </c>
      <c r="CG794">
        <v>1</v>
      </c>
      <c r="CH794">
        <v>822</v>
      </c>
      <c r="CI794">
        <v>0</v>
      </c>
      <c r="CJ794">
        <v>6</v>
      </c>
      <c r="CK794">
        <v>12</v>
      </c>
      <c r="CL794">
        <v>0</v>
      </c>
      <c r="CM794">
        <v>49</v>
      </c>
      <c r="CN794">
        <v>16</v>
      </c>
      <c r="CO794">
        <v>3</v>
      </c>
      <c r="CP794">
        <v>2</v>
      </c>
      <c r="CQ794">
        <v>16</v>
      </c>
      <c r="CR794">
        <v>16</v>
      </c>
      <c r="CS794">
        <v>830</v>
      </c>
      <c r="CT794">
        <v>0</v>
      </c>
      <c r="CU794">
        <v>26</v>
      </c>
      <c r="CV794">
        <v>0</v>
      </c>
      <c r="CW794">
        <v>0</v>
      </c>
      <c r="CX794">
        <v>4</v>
      </c>
      <c r="CY794">
        <v>11</v>
      </c>
      <c r="CZ794">
        <v>0</v>
      </c>
      <c r="DA794">
        <v>7</v>
      </c>
      <c r="DB794">
        <v>0</v>
      </c>
      <c r="DC794">
        <v>0</v>
      </c>
      <c r="DD794">
        <v>1006</v>
      </c>
      <c r="DE794">
        <v>0</v>
      </c>
      <c r="DF794">
        <v>0</v>
      </c>
      <c r="DG794">
        <v>9</v>
      </c>
      <c r="DH794">
        <v>9</v>
      </c>
      <c r="DI794">
        <v>14</v>
      </c>
      <c r="DJ794">
        <v>12</v>
      </c>
      <c r="DK794">
        <v>11</v>
      </c>
      <c r="DL794">
        <v>0</v>
      </c>
      <c r="DM794">
        <v>0</v>
      </c>
      <c r="DN794">
        <v>32</v>
      </c>
      <c r="DO794">
        <v>887</v>
      </c>
      <c r="DP794">
        <v>0</v>
      </c>
      <c r="DQ794">
        <v>10</v>
      </c>
      <c r="DR794">
        <v>5</v>
      </c>
      <c r="DS794">
        <v>1</v>
      </c>
      <c r="DT794">
        <v>12</v>
      </c>
      <c r="DU794">
        <v>457</v>
      </c>
      <c r="DV794">
        <v>6</v>
      </c>
      <c r="DW794">
        <v>0</v>
      </c>
      <c r="DX794">
        <v>98</v>
      </c>
      <c r="DY794">
        <v>17</v>
      </c>
      <c r="DZ794">
        <v>403</v>
      </c>
      <c r="EA794">
        <v>0.89939999999999998</v>
      </c>
      <c r="EB794">
        <v>0.91910974053600003</v>
      </c>
      <c r="EC794">
        <v>0.898637387526251</v>
      </c>
      <c r="ED794">
        <v>0.89133770371175103</v>
      </c>
      <c r="EE794">
        <f>SUM(Table1[[#This Row],[ratio_0]:[ratio_9]])</f>
        <v>460</v>
      </c>
      <c r="EF794" s="1">
        <f>(Table1[[#This Row],[predicted_0]]-Table1[[#This Row],[actual_0]])/Table1[[#This Row],[actual_0]]</f>
        <v>8.3673469387755106E-2</v>
      </c>
      <c r="EG794" s="1">
        <f>(Table1[[#This Row],[predicted_1]]-Table1[[#This Row],[actual_1]])/Table1[[#This Row],[actual_1]]</f>
        <v>2.8193832599118944E-2</v>
      </c>
      <c r="EH794" s="1">
        <f>(Table1[[#This Row],[predicted_2]]-Table1[[#This Row],[actual_2]])/Table1[[#This Row],[actual_2]]</f>
        <v>-2.2286821705426358E-2</v>
      </c>
      <c r="EI794" s="1">
        <f>(Table1[[#This Row],[predicted_3]]-Table1[[#This Row],[actual_3]])/Table1[[#This Row],[actual_3]]</f>
        <v>6.0396039603960394E-2</v>
      </c>
      <c r="EJ794" s="1">
        <f>(Table1[[#This Row],[predicted_4]]-Table1[[#This Row],[actual_4]])/Table1[[#This Row],[actual_4]]</f>
        <v>0.50101832993890016</v>
      </c>
      <c r="EK794" s="1">
        <f>(Table1[[#This Row],[predicted_5]]-Table1[[#This Row],[actual_5]])/Table1[[#This Row],[actual_5]]</f>
        <v>-5.3811659192825115E-2</v>
      </c>
      <c r="EL794" s="1">
        <f>(Table1[[#This Row],[predicted_6]]-Table1[[#This Row],[actual_6]])/Table1[[#This Row],[actual_6]]</f>
        <v>-0.13152400835073069</v>
      </c>
      <c r="EM794" s="1">
        <f>(Table1[[#This Row],[predicted_7]]-Table1[[#This Row],[actual_7]])/Table1[[#This Row],[actual_7]]</f>
        <v>0.15856031128404668</v>
      </c>
      <c r="EN794" s="1">
        <f>(Table1[[#This Row],[predicted_8]]-Table1[[#This Row],[actual_8]])/Table1[[#This Row],[actual_8]]</f>
        <v>-2.7720739219712527E-2</v>
      </c>
      <c r="EO794" s="1">
        <f>(Table1[[#This Row],[predicted_9]]-Table1[[#This Row],[actual_9]])/Table1[[#This Row],[actual_9]]</f>
        <v>-0.60059464816650143</v>
      </c>
      <c r="EP794" s="1">
        <f>1+(Table1[[#This Row],[error_ratio_0]]-EF$2)</f>
        <v>1.0816326530612246</v>
      </c>
      <c r="EQ794" s="1">
        <f>1+(Table1[[#This Row],[error_ratio_1]]-EG$2)</f>
        <v>1.026431718061674</v>
      </c>
      <c r="ER794" s="1">
        <f>1+(Table1[[#This Row],[error_ratio_2]]-EH$2)</f>
        <v>0.98255813953488369</v>
      </c>
      <c r="ES794" s="1">
        <f>1+(Table1[[#This Row],[error_ratio_3]]-EI$2)</f>
        <v>1.0504950495049505</v>
      </c>
      <c r="ET794" s="1">
        <f>1+(Table1[[#This Row],[error_ratio_4]]-EJ$2)</f>
        <v>1.5</v>
      </c>
      <c r="EU794" s="1">
        <f>1+(Table1[[#This Row],[error_ratio_5]]-EK$2)</f>
        <v>0.94506726457399104</v>
      </c>
      <c r="EV794" s="1">
        <f>1+(Table1[[#This Row],[error_ratio_6]]-EL$2)</f>
        <v>0.87473903966597077</v>
      </c>
      <c r="EW794" s="1">
        <f>1+(Table1[[#This Row],[error_ratio_7]]-EM$2)</f>
        <v>1.1566147859922178</v>
      </c>
      <c r="EX794" s="1">
        <f>1+(Table1[[#This Row],[error_ratio_8]]-EN$2)</f>
        <v>0.97535934291581106</v>
      </c>
      <c r="EY794" s="1">
        <f>1+(Table1[[#This Row],[error_ratio_9]]-EO$2)</f>
        <v>0.40336967294350845</v>
      </c>
    </row>
    <row r="795" spans="1:155" x14ac:dyDescent="0.75">
      <c r="A795">
        <v>10</v>
      </c>
      <c r="B795">
        <v>10</v>
      </c>
      <c r="C795">
        <v>10</v>
      </c>
      <c r="D795">
        <v>100</v>
      </c>
      <c r="E795">
        <v>100</v>
      </c>
      <c r="F795">
        <v>10</v>
      </c>
      <c r="G795">
        <v>10</v>
      </c>
      <c r="H795">
        <v>100</v>
      </c>
      <c r="I795">
        <v>10</v>
      </c>
      <c r="J795">
        <v>10</v>
      </c>
      <c r="K795">
        <v>1039</v>
      </c>
      <c r="L795">
        <v>1159</v>
      </c>
      <c r="M795">
        <v>921</v>
      </c>
      <c r="N795">
        <v>1113</v>
      </c>
      <c r="O795">
        <v>1154</v>
      </c>
      <c r="P795">
        <v>800</v>
      </c>
      <c r="Q795">
        <v>911</v>
      </c>
      <c r="R795">
        <v>1127</v>
      </c>
      <c r="S795">
        <v>857</v>
      </c>
      <c r="T795">
        <v>919</v>
      </c>
      <c r="U795">
        <v>980</v>
      </c>
      <c r="V795">
        <v>1135</v>
      </c>
      <c r="W795">
        <v>1032</v>
      </c>
      <c r="X795">
        <v>1010</v>
      </c>
      <c r="Y795">
        <v>982</v>
      </c>
      <c r="Z795">
        <v>892</v>
      </c>
      <c r="AA795">
        <v>958</v>
      </c>
      <c r="AB795">
        <v>1028</v>
      </c>
      <c r="AC795">
        <v>974</v>
      </c>
      <c r="AD795">
        <v>1009</v>
      </c>
      <c r="AE795">
        <v>966</v>
      </c>
      <c r="AF795">
        <v>1</v>
      </c>
      <c r="AG795">
        <v>0</v>
      </c>
      <c r="AH795">
        <v>1</v>
      </c>
      <c r="AI795">
        <v>7</v>
      </c>
      <c r="AJ795">
        <v>0</v>
      </c>
      <c r="AK795">
        <v>1</v>
      </c>
      <c r="AL795">
        <v>2</v>
      </c>
      <c r="AM795">
        <v>1</v>
      </c>
      <c r="AN795">
        <v>1</v>
      </c>
      <c r="AO795">
        <v>0</v>
      </c>
      <c r="AP795">
        <v>1120</v>
      </c>
      <c r="AQ795">
        <v>3</v>
      </c>
      <c r="AR795">
        <v>2</v>
      </c>
      <c r="AS795">
        <v>1</v>
      </c>
      <c r="AT795">
        <v>0</v>
      </c>
      <c r="AU795">
        <v>6</v>
      </c>
      <c r="AV795">
        <v>2</v>
      </c>
      <c r="AW795">
        <v>1</v>
      </c>
      <c r="AX795">
        <v>0</v>
      </c>
      <c r="AY795">
        <v>10</v>
      </c>
      <c r="AZ795">
        <v>6</v>
      </c>
      <c r="BA795">
        <v>903</v>
      </c>
      <c r="BB795">
        <v>28</v>
      </c>
      <c r="BC795">
        <v>20</v>
      </c>
      <c r="BD795">
        <v>1</v>
      </c>
      <c r="BE795">
        <v>3</v>
      </c>
      <c r="BF795">
        <v>61</v>
      </c>
      <c r="BG795">
        <v>0</v>
      </c>
      <c r="BH795">
        <v>0</v>
      </c>
      <c r="BI795">
        <v>0</v>
      </c>
      <c r="BJ795">
        <v>0</v>
      </c>
      <c r="BK795">
        <v>0</v>
      </c>
      <c r="BL795">
        <v>1000</v>
      </c>
      <c r="BM795">
        <v>1</v>
      </c>
      <c r="BN795">
        <v>1</v>
      </c>
      <c r="BO795">
        <v>0</v>
      </c>
      <c r="BP795">
        <v>6</v>
      </c>
      <c r="BQ795">
        <v>2</v>
      </c>
      <c r="BR795">
        <v>0</v>
      </c>
      <c r="BS795">
        <v>0</v>
      </c>
      <c r="BT795">
        <v>0</v>
      </c>
      <c r="BU795">
        <v>0</v>
      </c>
      <c r="BV795">
        <v>0</v>
      </c>
      <c r="BW795">
        <v>982</v>
      </c>
      <c r="BX795">
        <v>0</v>
      </c>
      <c r="BY795">
        <v>0</v>
      </c>
      <c r="BZ795">
        <v>0</v>
      </c>
      <c r="CA795">
        <v>0</v>
      </c>
      <c r="CB795">
        <v>0</v>
      </c>
      <c r="CC795">
        <v>7</v>
      </c>
      <c r="CD795">
        <v>0</v>
      </c>
      <c r="CE795">
        <v>0</v>
      </c>
      <c r="CF795">
        <v>62</v>
      </c>
      <c r="CG795">
        <v>6</v>
      </c>
      <c r="CH795">
        <v>790</v>
      </c>
      <c r="CI795">
        <v>10</v>
      </c>
      <c r="CJ795">
        <v>5</v>
      </c>
      <c r="CK795">
        <v>11</v>
      </c>
      <c r="CL795">
        <v>1</v>
      </c>
      <c r="CM795">
        <v>27</v>
      </c>
      <c r="CN795">
        <v>3</v>
      </c>
      <c r="CO795">
        <v>1</v>
      </c>
      <c r="CP795">
        <v>0</v>
      </c>
      <c r="CQ795">
        <v>41</v>
      </c>
      <c r="CR795">
        <v>1</v>
      </c>
      <c r="CS795">
        <v>882</v>
      </c>
      <c r="CT795">
        <v>0</v>
      </c>
      <c r="CU795">
        <v>3</v>
      </c>
      <c r="CV795">
        <v>0</v>
      </c>
      <c r="CW795">
        <v>0</v>
      </c>
      <c r="CX795">
        <v>1</v>
      </c>
      <c r="CY795">
        <v>3</v>
      </c>
      <c r="CZ795">
        <v>0</v>
      </c>
      <c r="DA795">
        <v>1</v>
      </c>
      <c r="DB795">
        <v>0</v>
      </c>
      <c r="DC795">
        <v>0</v>
      </c>
      <c r="DD795">
        <v>1023</v>
      </c>
      <c r="DE795">
        <v>0</v>
      </c>
      <c r="DF795">
        <v>0</v>
      </c>
      <c r="DG795">
        <v>24</v>
      </c>
      <c r="DH795">
        <v>24</v>
      </c>
      <c r="DI795">
        <v>11</v>
      </c>
      <c r="DJ795">
        <v>14</v>
      </c>
      <c r="DK795">
        <v>23</v>
      </c>
      <c r="DL795">
        <v>3</v>
      </c>
      <c r="DM795">
        <v>9</v>
      </c>
      <c r="DN795">
        <v>16</v>
      </c>
      <c r="DO795">
        <v>839</v>
      </c>
      <c r="DP795">
        <v>11</v>
      </c>
      <c r="DQ795">
        <v>5</v>
      </c>
      <c r="DR795">
        <v>4</v>
      </c>
      <c r="DS795">
        <v>0</v>
      </c>
      <c r="DT795">
        <v>6</v>
      </c>
      <c r="DU795">
        <v>72</v>
      </c>
      <c r="DV795">
        <v>4</v>
      </c>
      <c r="DW795">
        <v>0</v>
      </c>
      <c r="DX795">
        <v>12</v>
      </c>
      <c r="DY795">
        <v>0</v>
      </c>
      <c r="DZ795">
        <v>906</v>
      </c>
      <c r="EA795">
        <v>0.94110000000000005</v>
      </c>
      <c r="EB795">
        <v>0.94542094135645904</v>
      </c>
      <c r="EC795">
        <v>0.93983669413438997</v>
      </c>
      <c r="ED795">
        <v>0.94029591029225501</v>
      </c>
      <c r="EE795">
        <f>SUM(Table1[[#This Row],[ratio_0]:[ratio_9]])</f>
        <v>370</v>
      </c>
      <c r="EF795" s="1">
        <f>(Table1[[#This Row],[predicted_0]]-Table1[[#This Row],[actual_0]])/Table1[[#This Row],[actual_0]]</f>
        <v>6.0204081632653061E-2</v>
      </c>
      <c r="EG795" s="1">
        <f>(Table1[[#This Row],[predicted_1]]-Table1[[#This Row],[actual_1]])/Table1[[#This Row],[actual_1]]</f>
        <v>2.1145374449339206E-2</v>
      </c>
      <c r="EH795" s="1">
        <f>(Table1[[#This Row],[predicted_2]]-Table1[[#This Row],[actual_2]])/Table1[[#This Row],[actual_2]]</f>
        <v>-0.10755813953488372</v>
      </c>
      <c r="EI795" s="1">
        <f>(Table1[[#This Row],[predicted_3]]-Table1[[#This Row],[actual_3]])/Table1[[#This Row],[actual_3]]</f>
        <v>0.10198019801980197</v>
      </c>
      <c r="EJ795" s="1">
        <f>(Table1[[#This Row],[predicted_4]]-Table1[[#This Row],[actual_4]])/Table1[[#This Row],[actual_4]]</f>
        <v>0.17515274949083504</v>
      </c>
      <c r="EK795" s="1">
        <f>(Table1[[#This Row],[predicted_5]]-Table1[[#This Row],[actual_5]])/Table1[[#This Row],[actual_5]]</f>
        <v>-0.1031390134529148</v>
      </c>
      <c r="EL795" s="1">
        <f>(Table1[[#This Row],[predicted_6]]-Table1[[#This Row],[actual_6]])/Table1[[#This Row],[actual_6]]</f>
        <v>-4.9060542797494784E-2</v>
      </c>
      <c r="EM795" s="1">
        <f>(Table1[[#This Row],[predicted_7]]-Table1[[#This Row],[actual_7]])/Table1[[#This Row],[actual_7]]</f>
        <v>9.6303501945525297E-2</v>
      </c>
      <c r="EN795" s="1">
        <f>(Table1[[#This Row],[predicted_8]]-Table1[[#This Row],[actual_8]])/Table1[[#This Row],[actual_8]]</f>
        <v>-0.12012320328542095</v>
      </c>
      <c r="EO795" s="1">
        <f>(Table1[[#This Row],[predicted_9]]-Table1[[#This Row],[actual_9]])/Table1[[#This Row],[actual_9]]</f>
        <v>-8.9197224975222991E-2</v>
      </c>
      <c r="EP795" s="1">
        <f>1+(Table1[[#This Row],[error_ratio_0]]-EF$2)</f>
        <v>1.0581632653061224</v>
      </c>
      <c r="EQ795" s="1">
        <f>1+(Table1[[#This Row],[error_ratio_1]]-EG$2)</f>
        <v>1.0193832599118944</v>
      </c>
      <c r="ER795" s="1">
        <f>1+(Table1[[#This Row],[error_ratio_2]]-EH$2)</f>
        <v>0.8972868217054264</v>
      </c>
      <c r="ES795" s="1">
        <f>1+(Table1[[#This Row],[error_ratio_3]]-EI$2)</f>
        <v>1.0920792079207922</v>
      </c>
      <c r="ET795" s="1">
        <f>1+(Table1[[#This Row],[error_ratio_4]]-EJ$2)</f>
        <v>1.1741344195519348</v>
      </c>
      <c r="EU795" s="1">
        <f>1+(Table1[[#This Row],[error_ratio_5]]-EK$2)</f>
        <v>0.89573991031390132</v>
      </c>
      <c r="EV795" s="1">
        <f>1+(Table1[[#This Row],[error_ratio_6]]-EL$2)</f>
        <v>0.95720250521920669</v>
      </c>
      <c r="EW795" s="1">
        <f>1+(Table1[[#This Row],[error_ratio_7]]-EM$2)</f>
        <v>1.0943579766536966</v>
      </c>
      <c r="EX795" s="1">
        <f>1+(Table1[[#This Row],[error_ratio_8]]-EN$2)</f>
        <v>0.88295687885010266</v>
      </c>
      <c r="EY795" s="1">
        <f>1+(Table1[[#This Row],[error_ratio_9]]-EO$2)</f>
        <v>0.91476709613478691</v>
      </c>
    </row>
    <row r="796" spans="1:155" x14ac:dyDescent="0.75">
      <c r="A796">
        <v>10</v>
      </c>
      <c r="B796">
        <v>100</v>
      </c>
      <c r="C796">
        <v>100</v>
      </c>
      <c r="D796">
        <v>10</v>
      </c>
      <c r="E796">
        <v>100</v>
      </c>
      <c r="F796">
        <v>10</v>
      </c>
      <c r="G796">
        <v>10</v>
      </c>
      <c r="H796">
        <v>100</v>
      </c>
      <c r="I796">
        <v>10</v>
      </c>
      <c r="J796">
        <v>10</v>
      </c>
      <c r="K796">
        <v>1012</v>
      </c>
      <c r="L796">
        <v>1183</v>
      </c>
      <c r="M796">
        <v>1033</v>
      </c>
      <c r="N796">
        <v>843</v>
      </c>
      <c r="O796">
        <v>1102</v>
      </c>
      <c r="P796">
        <v>593</v>
      </c>
      <c r="Q796">
        <v>879</v>
      </c>
      <c r="R796">
        <v>1090</v>
      </c>
      <c r="S796">
        <v>341</v>
      </c>
      <c r="T796">
        <v>1924</v>
      </c>
      <c r="U796">
        <v>980</v>
      </c>
      <c r="V796">
        <v>1135</v>
      </c>
      <c r="W796">
        <v>1032</v>
      </c>
      <c r="X796">
        <v>1010</v>
      </c>
      <c r="Y796">
        <v>982</v>
      </c>
      <c r="Z796">
        <v>892</v>
      </c>
      <c r="AA796">
        <v>958</v>
      </c>
      <c r="AB796">
        <v>1028</v>
      </c>
      <c r="AC796">
        <v>974</v>
      </c>
      <c r="AD796">
        <v>1009</v>
      </c>
      <c r="AE796">
        <v>960</v>
      </c>
      <c r="AF796">
        <v>2</v>
      </c>
      <c r="AG796">
        <v>2</v>
      </c>
      <c r="AH796">
        <v>1</v>
      </c>
      <c r="AI796">
        <v>2</v>
      </c>
      <c r="AJ796">
        <v>0</v>
      </c>
      <c r="AK796">
        <v>3</v>
      </c>
      <c r="AL796">
        <v>3</v>
      </c>
      <c r="AM796">
        <v>0</v>
      </c>
      <c r="AN796">
        <v>7</v>
      </c>
      <c r="AO796">
        <v>0</v>
      </c>
      <c r="AP796">
        <v>1132</v>
      </c>
      <c r="AQ796">
        <v>1</v>
      </c>
      <c r="AR796">
        <v>0</v>
      </c>
      <c r="AS796">
        <v>0</v>
      </c>
      <c r="AT796">
        <v>0</v>
      </c>
      <c r="AU796">
        <v>0</v>
      </c>
      <c r="AV796">
        <v>2</v>
      </c>
      <c r="AW796">
        <v>0</v>
      </c>
      <c r="AX796">
        <v>0</v>
      </c>
      <c r="AY796">
        <v>0</v>
      </c>
      <c r="AZ796">
        <v>3</v>
      </c>
      <c r="BA796">
        <v>1000</v>
      </c>
      <c r="BB796">
        <v>0</v>
      </c>
      <c r="BC796">
        <v>2</v>
      </c>
      <c r="BD796">
        <v>0</v>
      </c>
      <c r="BE796">
        <v>0</v>
      </c>
      <c r="BF796">
        <v>24</v>
      </c>
      <c r="BG796">
        <v>1</v>
      </c>
      <c r="BH796">
        <v>2</v>
      </c>
      <c r="BI796">
        <v>5</v>
      </c>
      <c r="BJ796">
        <v>5</v>
      </c>
      <c r="BK796">
        <v>13</v>
      </c>
      <c r="BL796">
        <v>831</v>
      </c>
      <c r="BM796">
        <v>2</v>
      </c>
      <c r="BN796">
        <v>7</v>
      </c>
      <c r="BO796">
        <v>1</v>
      </c>
      <c r="BP796">
        <v>20</v>
      </c>
      <c r="BQ796">
        <v>3</v>
      </c>
      <c r="BR796">
        <v>123</v>
      </c>
      <c r="BS796">
        <v>0</v>
      </c>
      <c r="BT796">
        <v>0</v>
      </c>
      <c r="BU796">
        <v>0</v>
      </c>
      <c r="BV796">
        <v>0</v>
      </c>
      <c r="BW796">
        <v>969</v>
      </c>
      <c r="BX796">
        <v>0</v>
      </c>
      <c r="BY796">
        <v>0</v>
      </c>
      <c r="BZ796">
        <v>0</v>
      </c>
      <c r="CA796">
        <v>0</v>
      </c>
      <c r="CB796">
        <v>13</v>
      </c>
      <c r="CC796">
        <v>21</v>
      </c>
      <c r="CD796">
        <v>5</v>
      </c>
      <c r="CE796">
        <v>2</v>
      </c>
      <c r="CF796">
        <v>8</v>
      </c>
      <c r="CG796">
        <v>4</v>
      </c>
      <c r="CH796">
        <v>582</v>
      </c>
      <c r="CI796">
        <v>9</v>
      </c>
      <c r="CJ796">
        <v>2</v>
      </c>
      <c r="CK796">
        <v>4</v>
      </c>
      <c r="CL796">
        <v>255</v>
      </c>
      <c r="CM796">
        <v>13</v>
      </c>
      <c r="CN796">
        <v>7</v>
      </c>
      <c r="CO796">
        <v>2</v>
      </c>
      <c r="CP796">
        <v>0</v>
      </c>
      <c r="CQ796">
        <v>70</v>
      </c>
      <c r="CR796">
        <v>2</v>
      </c>
      <c r="CS796">
        <v>863</v>
      </c>
      <c r="CT796">
        <v>0</v>
      </c>
      <c r="CU796">
        <v>0</v>
      </c>
      <c r="CV796">
        <v>1</v>
      </c>
      <c r="CW796">
        <v>1</v>
      </c>
      <c r="CX796">
        <v>3</v>
      </c>
      <c r="CY796">
        <v>3</v>
      </c>
      <c r="CZ796">
        <v>0</v>
      </c>
      <c r="DA796">
        <v>3</v>
      </c>
      <c r="DB796">
        <v>0</v>
      </c>
      <c r="DC796">
        <v>0</v>
      </c>
      <c r="DD796">
        <v>1015</v>
      </c>
      <c r="DE796">
        <v>0</v>
      </c>
      <c r="DF796">
        <v>3</v>
      </c>
      <c r="DG796">
        <v>10</v>
      </c>
      <c r="DH796">
        <v>24</v>
      </c>
      <c r="DI796">
        <v>8</v>
      </c>
      <c r="DJ796">
        <v>3</v>
      </c>
      <c r="DK796">
        <v>42</v>
      </c>
      <c r="DL796">
        <v>2</v>
      </c>
      <c r="DM796">
        <v>2</v>
      </c>
      <c r="DN796">
        <v>15</v>
      </c>
      <c r="DO796">
        <v>333</v>
      </c>
      <c r="DP796">
        <v>535</v>
      </c>
      <c r="DQ796">
        <v>2</v>
      </c>
      <c r="DR796">
        <v>2</v>
      </c>
      <c r="DS796">
        <v>2</v>
      </c>
      <c r="DT796">
        <v>0</v>
      </c>
      <c r="DU796">
        <v>8</v>
      </c>
      <c r="DV796">
        <v>0</v>
      </c>
      <c r="DW796">
        <v>1</v>
      </c>
      <c r="DX796">
        <v>9</v>
      </c>
      <c r="DY796">
        <v>0</v>
      </c>
      <c r="DZ796">
        <v>985</v>
      </c>
      <c r="EA796">
        <v>0.86699999999999999</v>
      </c>
      <c r="EB796">
        <v>0.91215698078451402</v>
      </c>
      <c r="EC796">
        <v>0.861423361778063</v>
      </c>
      <c r="ED796">
        <v>0.85959450658916103</v>
      </c>
      <c r="EE796">
        <f>SUM(Table1[[#This Row],[ratio_0]:[ratio_9]])</f>
        <v>460</v>
      </c>
      <c r="EF796" s="1">
        <f>(Table1[[#This Row],[predicted_0]]-Table1[[#This Row],[actual_0]])/Table1[[#This Row],[actual_0]]</f>
        <v>3.2653061224489799E-2</v>
      </c>
      <c r="EG796" s="1">
        <f>(Table1[[#This Row],[predicted_1]]-Table1[[#This Row],[actual_1]])/Table1[[#This Row],[actual_1]]</f>
        <v>4.2290748898678412E-2</v>
      </c>
      <c r="EH796" s="1">
        <f>(Table1[[#This Row],[predicted_2]]-Table1[[#This Row],[actual_2]])/Table1[[#This Row],[actual_2]]</f>
        <v>9.6899224806201549E-4</v>
      </c>
      <c r="EI796" s="1">
        <f>(Table1[[#This Row],[predicted_3]]-Table1[[#This Row],[actual_3]])/Table1[[#This Row],[actual_3]]</f>
        <v>-0.16534653465346535</v>
      </c>
      <c r="EJ796" s="1">
        <f>(Table1[[#This Row],[predicted_4]]-Table1[[#This Row],[actual_4]])/Table1[[#This Row],[actual_4]]</f>
        <v>0.12219959266802444</v>
      </c>
      <c r="EK796" s="1">
        <f>(Table1[[#This Row],[predicted_5]]-Table1[[#This Row],[actual_5]])/Table1[[#This Row],[actual_5]]</f>
        <v>-0.33520179372197312</v>
      </c>
      <c r="EL796" s="1">
        <f>(Table1[[#This Row],[predicted_6]]-Table1[[#This Row],[actual_6]])/Table1[[#This Row],[actual_6]]</f>
        <v>-8.2463465553235901E-2</v>
      </c>
      <c r="EM796" s="1">
        <f>(Table1[[#This Row],[predicted_7]]-Table1[[#This Row],[actual_7]])/Table1[[#This Row],[actual_7]]</f>
        <v>6.0311284046692608E-2</v>
      </c>
      <c r="EN796" s="1">
        <f>(Table1[[#This Row],[predicted_8]]-Table1[[#This Row],[actual_8]])/Table1[[#This Row],[actual_8]]</f>
        <v>-0.64989733059548249</v>
      </c>
      <c r="EO796" s="1">
        <f>(Table1[[#This Row],[predicted_9]]-Table1[[#This Row],[actual_9]])/Table1[[#This Row],[actual_9]]</f>
        <v>0.90683845391476714</v>
      </c>
      <c r="EP796" s="1">
        <f>1+(Table1[[#This Row],[error_ratio_0]]-EF$2)</f>
        <v>1.0306122448979591</v>
      </c>
      <c r="EQ796" s="1">
        <f>1+(Table1[[#This Row],[error_ratio_1]]-EG$2)</f>
        <v>1.0405286343612334</v>
      </c>
      <c r="ER796" s="1">
        <f>1+(Table1[[#This Row],[error_ratio_2]]-EH$2)</f>
        <v>1.0058139534883721</v>
      </c>
      <c r="ES796" s="1">
        <f>1+(Table1[[#This Row],[error_ratio_3]]-EI$2)</f>
        <v>0.82475247524752471</v>
      </c>
      <c r="ET796" s="1">
        <f>1+(Table1[[#This Row],[error_ratio_4]]-EJ$2)</f>
        <v>1.1211812627291242</v>
      </c>
      <c r="EU796" s="1">
        <f>1+(Table1[[#This Row],[error_ratio_5]]-EK$2)</f>
        <v>0.66367713004484297</v>
      </c>
      <c r="EV796" s="1">
        <f>1+(Table1[[#This Row],[error_ratio_6]]-EL$2)</f>
        <v>0.92379958246346561</v>
      </c>
      <c r="EW796" s="1">
        <f>1+(Table1[[#This Row],[error_ratio_7]]-EM$2)</f>
        <v>1.0583657587548638</v>
      </c>
      <c r="EX796" s="1">
        <f>1+(Table1[[#This Row],[error_ratio_8]]-EN$2)</f>
        <v>0.35318275154004108</v>
      </c>
      <c r="EY796" s="1">
        <f>1+(Table1[[#This Row],[error_ratio_9]]-EO$2)</f>
        <v>1.9108027750247771</v>
      </c>
    </row>
    <row r="797" spans="1:155" x14ac:dyDescent="0.75">
      <c r="A797">
        <v>100</v>
      </c>
      <c r="B797">
        <v>10</v>
      </c>
      <c r="C797">
        <v>100</v>
      </c>
      <c r="D797">
        <v>10</v>
      </c>
      <c r="E797">
        <v>100</v>
      </c>
      <c r="F797">
        <v>10</v>
      </c>
      <c r="G797">
        <v>10</v>
      </c>
      <c r="H797">
        <v>100</v>
      </c>
      <c r="I797">
        <v>10</v>
      </c>
      <c r="J797">
        <v>10</v>
      </c>
      <c r="K797">
        <v>1023</v>
      </c>
      <c r="L797">
        <v>1087</v>
      </c>
      <c r="M797">
        <v>1078</v>
      </c>
      <c r="N797">
        <v>959</v>
      </c>
      <c r="O797">
        <v>997</v>
      </c>
      <c r="P797">
        <v>894</v>
      </c>
      <c r="Q797">
        <v>942</v>
      </c>
      <c r="R797">
        <v>1113</v>
      </c>
      <c r="S797">
        <v>960</v>
      </c>
      <c r="T797">
        <v>947</v>
      </c>
      <c r="U797">
        <v>980</v>
      </c>
      <c r="V797">
        <v>1135</v>
      </c>
      <c r="W797">
        <v>1032</v>
      </c>
      <c r="X797">
        <v>1010</v>
      </c>
      <c r="Y797">
        <v>982</v>
      </c>
      <c r="Z797">
        <v>892</v>
      </c>
      <c r="AA797">
        <v>958</v>
      </c>
      <c r="AB797">
        <v>1028</v>
      </c>
      <c r="AC797">
        <v>974</v>
      </c>
      <c r="AD797">
        <v>1009</v>
      </c>
      <c r="AE797">
        <v>975</v>
      </c>
      <c r="AF797">
        <v>0</v>
      </c>
      <c r="AG797">
        <v>1</v>
      </c>
      <c r="AH797">
        <v>0</v>
      </c>
      <c r="AI797">
        <v>0</v>
      </c>
      <c r="AJ797">
        <v>0</v>
      </c>
      <c r="AK797">
        <v>0</v>
      </c>
      <c r="AL797">
        <v>2</v>
      </c>
      <c r="AM797">
        <v>2</v>
      </c>
      <c r="AN797">
        <v>0</v>
      </c>
      <c r="AO797">
        <v>0</v>
      </c>
      <c r="AP797">
        <v>1082</v>
      </c>
      <c r="AQ797">
        <v>6</v>
      </c>
      <c r="AR797">
        <v>1</v>
      </c>
      <c r="AS797">
        <v>2</v>
      </c>
      <c r="AT797">
        <v>2</v>
      </c>
      <c r="AU797">
        <v>2</v>
      </c>
      <c r="AV797">
        <v>37</v>
      </c>
      <c r="AW797">
        <v>3</v>
      </c>
      <c r="AX797">
        <v>0</v>
      </c>
      <c r="AY797">
        <v>0</v>
      </c>
      <c r="AZ797">
        <v>0</v>
      </c>
      <c r="BA797">
        <v>1025</v>
      </c>
      <c r="BB797">
        <v>0</v>
      </c>
      <c r="BC797">
        <v>0</v>
      </c>
      <c r="BD797">
        <v>0</v>
      </c>
      <c r="BE797">
        <v>1</v>
      </c>
      <c r="BF797">
        <v>5</v>
      </c>
      <c r="BG797">
        <v>1</v>
      </c>
      <c r="BH797">
        <v>0</v>
      </c>
      <c r="BI797">
        <v>5</v>
      </c>
      <c r="BJ797">
        <v>0</v>
      </c>
      <c r="BK797">
        <v>17</v>
      </c>
      <c r="BL797">
        <v>947</v>
      </c>
      <c r="BM797">
        <v>0</v>
      </c>
      <c r="BN797">
        <v>12</v>
      </c>
      <c r="BO797">
        <v>0</v>
      </c>
      <c r="BP797">
        <v>11</v>
      </c>
      <c r="BQ797">
        <v>6</v>
      </c>
      <c r="BR797">
        <v>12</v>
      </c>
      <c r="BS797">
        <v>2</v>
      </c>
      <c r="BT797">
        <v>0</v>
      </c>
      <c r="BU797">
        <v>2</v>
      </c>
      <c r="BV797">
        <v>0</v>
      </c>
      <c r="BW797">
        <v>966</v>
      </c>
      <c r="BX797">
        <v>0</v>
      </c>
      <c r="BY797">
        <v>10</v>
      </c>
      <c r="BZ797">
        <v>1</v>
      </c>
      <c r="CA797">
        <v>0</v>
      </c>
      <c r="CB797">
        <v>1</v>
      </c>
      <c r="CC797">
        <v>9</v>
      </c>
      <c r="CD797">
        <v>0</v>
      </c>
      <c r="CE797">
        <v>1</v>
      </c>
      <c r="CF797">
        <v>4</v>
      </c>
      <c r="CG797">
        <v>1</v>
      </c>
      <c r="CH797">
        <v>851</v>
      </c>
      <c r="CI797">
        <v>2</v>
      </c>
      <c r="CJ797">
        <v>8</v>
      </c>
      <c r="CK797">
        <v>5</v>
      </c>
      <c r="CL797">
        <v>11</v>
      </c>
      <c r="CM797">
        <v>18</v>
      </c>
      <c r="CN797">
        <v>2</v>
      </c>
      <c r="CO797">
        <v>4</v>
      </c>
      <c r="CP797">
        <v>0</v>
      </c>
      <c r="CQ797">
        <v>1</v>
      </c>
      <c r="CR797">
        <v>5</v>
      </c>
      <c r="CS797">
        <v>923</v>
      </c>
      <c r="CT797">
        <v>0</v>
      </c>
      <c r="CU797">
        <v>5</v>
      </c>
      <c r="CV797">
        <v>0</v>
      </c>
      <c r="CW797">
        <v>1</v>
      </c>
      <c r="CX797">
        <v>0</v>
      </c>
      <c r="CY797">
        <v>7</v>
      </c>
      <c r="CZ797">
        <v>1</v>
      </c>
      <c r="DA797">
        <v>0</v>
      </c>
      <c r="DB797">
        <v>0</v>
      </c>
      <c r="DC797">
        <v>0</v>
      </c>
      <c r="DD797">
        <v>1017</v>
      </c>
      <c r="DE797">
        <v>0</v>
      </c>
      <c r="DF797">
        <v>2</v>
      </c>
      <c r="DG797">
        <v>4</v>
      </c>
      <c r="DH797">
        <v>1</v>
      </c>
      <c r="DI797">
        <v>13</v>
      </c>
      <c r="DJ797">
        <v>4</v>
      </c>
      <c r="DK797">
        <v>0</v>
      </c>
      <c r="DL797">
        <v>3</v>
      </c>
      <c r="DM797">
        <v>3</v>
      </c>
      <c r="DN797">
        <v>13</v>
      </c>
      <c r="DO797">
        <v>927</v>
      </c>
      <c r="DP797">
        <v>6</v>
      </c>
      <c r="DQ797">
        <v>9</v>
      </c>
      <c r="DR797">
        <v>2</v>
      </c>
      <c r="DS797">
        <v>2</v>
      </c>
      <c r="DT797">
        <v>2</v>
      </c>
      <c r="DU797">
        <v>27</v>
      </c>
      <c r="DV797">
        <v>21</v>
      </c>
      <c r="DW797">
        <v>1</v>
      </c>
      <c r="DX797">
        <v>19</v>
      </c>
      <c r="DY797">
        <v>11</v>
      </c>
      <c r="DZ797">
        <v>915</v>
      </c>
      <c r="EA797">
        <v>0.96279999999999999</v>
      </c>
      <c r="EB797">
        <v>0.96330203546868598</v>
      </c>
      <c r="EC797">
        <v>0.96281343339206504</v>
      </c>
      <c r="ED797">
        <v>0.96259488933468695</v>
      </c>
      <c r="EE797">
        <f>SUM(Table1[[#This Row],[ratio_0]:[ratio_9]])</f>
        <v>460</v>
      </c>
      <c r="EF797" s="1">
        <f>(Table1[[#This Row],[predicted_0]]-Table1[[#This Row],[actual_0]])/Table1[[#This Row],[actual_0]]</f>
        <v>4.3877551020408162E-2</v>
      </c>
      <c r="EG797" s="1">
        <f>(Table1[[#This Row],[predicted_1]]-Table1[[#This Row],[actual_1]])/Table1[[#This Row],[actual_1]]</f>
        <v>-4.2290748898678412E-2</v>
      </c>
      <c r="EH797" s="1">
        <f>(Table1[[#This Row],[predicted_2]]-Table1[[#This Row],[actual_2]])/Table1[[#This Row],[actual_2]]</f>
        <v>4.4573643410852716E-2</v>
      </c>
      <c r="EI797" s="1">
        <f>(Table1[[#This Row],[predicted_3]]-Table1[[#This Row],[actual_3]])/Table1[[#This Row],[actual_3]]</f>
        <v>-5.0495049504950498E-2</v>
      </c>
      <c r="EJ797" s="1">
        <f>(Table1[[#This Row],[predicted_4]]-Table1[[#This Row],[actual_4]])/Table1[[#This Row],[actual_4]]</f>
        <v>1.5274949083503055E-2</v>
      </c>
      <c r="EK797" s="1">
        <f>(Table1[[#This Row],[predicted_5]]-Table1[[#This Row],[actual_5]])/Table1[[#This Row],[actual_5]]</f>
        <v>2.242152466367713E-3</v>
      </c>
      <c r="EL797" s="1">
        <f>(Table1[[#This Row],[predicted_6]]-Table1[[#This Row],[actual_6]])/Table1[[#This Row],[actual_6]]</f>
        <v>-1.6701461377870562E-2</v>
      </c>
      <c r="EM797" s="1">
        <f>(Table1[[#This Row],[predicted_7]]-Table1[[#This Row],[actual_7]])/Table1[[#This Row],[actual_7]]</f>
        <v>8.2684824902723733E-2</v>
      </c>
      <c r="EN797" s="1">
        <f>(Table1[[#This Row],[predicted_8]]-Table1[[#This Row],[actual_8]])/Table1[[#This Row],[actual_8]]</f>
        <v>-1.4373716632443531E-2</v>
      </c>
      <c r="EO797" s="1">
        <f>(Table1[[#This Row],[predicted_9]]-Table1[[#This Row],[actual_9]])/Table1[[#This Row],[actual_9]]</f>
        <v>-6.1446977205153616E-2</v>
      </c>
      <c r="EP797" s="1">
        <f>1+(Table1[[#This Row],[error_ratio_0]]-EF$2)</f>
        <v>1.0418367346938775</v>
      </c>
      <c r="EQ797" s="1">
        <f>1+(Table1[[#This Row],[error_ratio_1]]-EG$2)</f>
        <v>0.95594713656387664</v>
      </c>
      <c r="ER797" s="1">
        <f>1+(Table1[[#This Row],[error_ratio_2]]-EH$2)</f>
        <v>1.0494186046511629</v>
      </c>
      <c r="ES797" s="1">
        <f>1+(Table1[[#This Row],[error_ratio_3]]-EI$2)</f>
        <v>0.93960396039603955</v>
      </c>
      <c r="ET797" s="1">
        <f>1+(Table1[[#This Row],[error_ratio_4]]-EJ$2)</f>
        <v>1.0142566191446027</v>
      </c>
      <c r="EU797" s="1">
        <f>1+(Table1[[#This Row],[error_ratio_5]]-EK$2)</f>
        <v>1.0011210762331839</v>
      </c>
      <c r="EV797" s="1">
        <f>1+(Table1[[#This Row],[error_ratio_6]]-EL$2)</f>
        <v>0.98956158663883087</v>
      </c>
      <c r="EW797" s="1">
        <f>1+(Table1[[#This Row],[error_ratio_7]]-EM$2)</f>
        <v>1.0807392996108949</v>
      </c>
      <c r="EX797" s="1">
        <f>1+(Table1[[#This Row],[error_ratio_8]]-EN$2)</f>
        <v>0.98870636550308011</v>
      </c>
      <c r="EY797" s="1">
        <f>1+(Table1[[#This Row],[error_ratio_9]]-EO$2)</f>
        <v>0.94251734390485631</v>
      </c>
    </row>
    <row r="798" spans="1:155" x14ac:dyDescent="0.75">
      <c r="A798">
        <v>10</v>
      </c>
      <c r="B798">
        <v>10</v>
      </c>
      <c r="C798">
        <v>100</v>
      </c>
      <c r="D798">
        <v>10</v>
      </c>
      <c r="E798">
        <v>100</v>
      </c>
      <c r="F798">
        <v>10</v>
      </c>
      <c r="G798">
        <v>10</v>
      </c>
      <c r="H798">
        <v>100</v>
      </c>
      <c r="I798">
        <v>10</v>
      </c>
      <c r="J798">
        <v>10</v>
      </c>
      <c r="K798">
        <v>945</v>
      </c>
      <c r="L798">
        <v>1135</v>
      </c>
      <c r="M798">
        <v>1127</v>
      </c>
      <c r="N798">
        <v>987</v>
      </c>
      <c r="O798">
        <v>1016</v>
      </c>
      <c r="P798">
        <v>876</v>
      </c>
      <c r="Q798">
        <v>891</v>
      </c>
      <c r="R798">
        <v>1094</v>
      </c>
      <c r="S798">
        <v>1004</v>
      </c>
      <c r="T798">
        <v>925</v>
      </c>
      <c r="U798">
        <v>980</v>
      </c>
      <c r="V798">
        <v>1135</v>
      </c>
      <c r="W798">
        <v>1032</v>
      </c>
      <c r="X798">
        <v>1010</v>
      </c>
      <c r="Y798">
        <v>982</v>
      </c>
      <c r="Z798">
        <v>892</v>
      </c>
      <c r="AA798">
        <v>958</v>
      </c>
      <c r="AB798">
        <v>1028</v>
      </c>
      <c r="AC798">
        <v>974</v>
      </c>
      <c r="AD798">
        <v>1009</v>
      </c>
      <c r="AE798">
        <v>930</v>
      </c>
      <c r="AF798">
        <v>2</v>
      </c>
      <c r="AG798">
        <v>38</v>
      </c>
      <c r="AH798">
        <v>0</v>
      </c>
      <c r="AI798">
        <v>2</v>
      </c>
      <c r="AJ798">
        <v>1</v>
      </c>
      <c r="AK798">
        <v>2</v>
      </c>
      <c r="AL798">
        <v>3</v>
      </c>
      <c r="AM798">
        <v>2</v>
      </c>
      <c r="AN798">
        <v>0</v>
      </c>
      <c r="AO798">
        <v>0</v>
      </c>
      <c r="AP798">
        <v>1119</v>
      </c>
      <c r="AQ798">
        <v>6</v>
      </c>
      <c r="AR798">
        <v>2</v>
      </c>
      <c r="AS798">
        <v>0</v>
      </c>
      <c r="AT798">
        <v>0</v>
      </c>
      <c r="AU798">
        <v>0</v>
      </c>
      <c r="AV798">
        <v>6</v>
      </c>
      <c r="AW798">
        <v>2</v>
      </c>
      <c r="AX798">
        <v>0</v>
      </c>
      <c r="AY798">
        <v>0</v>
      </c>
      <c r="AZ798">
        <v>2</v>
      </c>
      <c r="BA798">
        <v>1016</v>
      </c>
      <c r="BB798">
        <v>4</v>
      </c>
      <c r="BC798">
        <v>1</v>
      </c>
      <c r="BD798">
        <v>0</v>
      </c>
      <c r="BE798">
        <v>0</v>
      </c>
      <c r="BF798">
        <v>9</v>
      </c>
      <c r="BG798">
        <v>0</v>
      </c>
      <c r="BH798">
        <v>0</v>
      </c>
      <c r="BI798">
        <v>0</v>
      </c>
      <c r="BJ798">
        <v>0</v>
      </c>
      <c r="BK798">
        <v>18</v>
      </c>
      <c r="BL798">
        <v>956</v>
      </c>
      <c r="BM798">
        <v>0</v>
      </c>
      <c r="BN798">
        <v>20</v>
      </c>
      <c r="BO798">
        <v>0</v>
      </c>
      <c r="BP798">
        <v>10</v>
      </c>
      <c r="BQ798">
        <v>5</v>
      </c>
      <c r="BR798">
        <v>1</v>
      </c>
      <c r="BS798">
        <v>0</v>
      </c>
      <c r="BT798">
        <v>1</v>
      </c>
      <c r="BU798">
        <v>0</v>
      </c>
      <c r="BV798">
        <v>0</v>
      </c>
      <c r="BW798">
        <v>966</v>
      </c>
      <c r="BX798">
        <v>0</v>
      </c>
      <c r="BY798">
        <v>0</v>
      </c>
      <c r="BZ798">
        <v>2</v>
      </c>
      <c r="CA798">
        <v>9</v>
      </c>
      <c r="CB798">
        <v>4</v>
      </c>
      <c r="CC798">
        <v>1</v>
      </c>
      <c r="CD798">
        <v>1</v>
      </c>
      <c r="CE798">
        <v>5</v>
      </c>
      <c r="CF798">
        <v>11</v>
      </c>
      <c r="CG798">
        <v>0</v>
      </c>
      <c r="CH798">
        <v>845</v>
      </c>
      <c r="CI798">
        <v>3</v>
      </c>
      <c r="CJ798">
        <v>6</v>
      </c>
      <c r="CK798">
        <v>20</v>
      </c>
      <c r="CL798">
        <v>0</v>
      </c>
      <c r="CM798">
        <v>9</v>
      </c>
      <c r="CN798">
        <v>4</v>
      </c>
      <c r="CO798">
        <v>11</v>
      </c>
      <c r="CP798">
        <v>0</v>
      </c>
      <c r="CQ798">
        <v>38</v>
      </c>
      <c r="CR798">
        <v>2</v>
      </c>
      <c r="CS798">
        <v>885</v>
      </c>
      <c r="CT798">
        <v>0</v>
      </c>
      <c r="CU798">
        <v>9</v>
      </c>
      <c r="CV798">
        <v>0</v>
      </c>
      <c r="CW798">
        <v>1</v>
      </c>
      <c r="CX798">
        <v>0</v>
      </c>
      <c r="CY798">
        <v>8</v>
      </c>
      <c r="CZ798">
        <v>1</v>
      </c>
      <c r="DA798">
        <v>0</v>
      </c>
      <c r="DB798">
        <v>0</v>
      </c>
      <c r="DC798">
        <v>0</v>
      </c>
      <c r="DD798">
        <v>1018</v>
      </c>
      <c r="DE798">
        <v>0</v>
      </c>
      <c r="DF798">
        <v>0</v>
      </c>
      <c r="DG798">
        <v>3</v>
      </c>
      <c r="DH798">
        <v>5</v>
      </c>
      <c r="DI798">
        <v>18</v>
      </c>
      <c r="DJ798">
        <v>7</v>
      </c>
      <c r="DK798">
        <v>0</v>
      </c>
      <c r="DL798">
        <v>4</v>
      </c>
      <c r="DM798">
        <v>1</v>
      </c>
      <c r="DN798">
        <v>15</v>
      </c>
      <c r="DO798">
        <v>921</v>
      </c>
      <c r="DP798">
        <v>0</v>
      </c>
      <c r="DQ798">
        <v>1</v>
      </c>
      <c r="DR798">
        <v>1</v>
      </c>
      <c r="DS798">
        <v>7</v>
      </c>
      <c r="DT798">
        <v>6</v>
      </c>
      <c r="DU798">
        <v>9</v>
      </c>
      <c r="DV798">
        <v>4</v>
      </c>
      <c r="DW798">
        <v>0</v>
      </c>
      <c r="DX798">
        <v>25</v>
      </c>
      <c r="DY798">
        <v>36</v>
      </c>
      <c r="DZ798">
        <v>920</v>
      </c>
      <c r="EA798">
        <v>0.95760000000000001</v>
      </c>
      <c r="EB798">
        <v>0.959125089268827</v>
      </c>
      <c r="EC798">
        <v>0.95683806179638298</v>
      </c>
      <c r="ED798">
        <v>0.95729849437808101</v>
      </c>
      <c r="EE798">
        <f>SUM(Table1[[#This Row],[ratio_0]:[ratio_9]])</f>
        <v>370</v>
      </c>
      <c r="EF798" s="1">
        <f>(Table1[[#This Row],[predicted_0]]-Table1[[#This Row],[actual_0]])/Table1[[#This Row],[actual_0]]</f>
        <v>-3.5714285714285712E-2</v>
      </c>
      <c r="EG798" s="1">
        <f>(Table1[[#This Row],[predicted_1]]-Table1[[#This Row],[actual_1]])/Table1[[#This Row],[actual_1]]</f>
        <v>0</v>
      </c>
      <c r="EH798" s="1">
        <f>(Table1[[#This Row],[predicted_2]]-Table1[[#This Row],[actual_2]])/Table1[[#This Row],[actual_2]]</f>
        <v>9.205426356589147E-2</v>
      </c>
      <c r="EI798" s="1">
        <f>(Table1[[#This Row],[predicted_3]]-Table1[[#This Row],[actual_3]])/Table1[[#This Row],[actual_3]]</f>
        <v>-2.2772277227722772E-2</v>
      </c>
      <c r="EJ798" s="1">
        <f>(Table1[[#This Row],[predicted_4]]-Table1[[#This Row],[actual_4]])/Table1[[#This Row],[actual_4]]</f>
        <v>3.4623217922606926E-2</v>
      </c>
      <c r="EK798" s="1">
        <f>(Table1[[#This Row],[predicted_5]]-Table1[[#This Row],[actual_5]])/Table1[[#This Row],[actual_5]]</f>
        <v>-1.7937219730941704E-2</v>
      </c>
      <c r="EL798" s="1">
        <f>(Table1[[#This Row],[predicted_6]]-Table1[[#This Row],[actual_6]])/Table1[[#This Row],[actual_6]]</f>
        <v>-6.9937369519832981E-2</v>
      </c>
      <c r="EM798" s="1">
        <f>(Table1[[#This Row],[predicted_7]]-Table1[[#This Row],[actual_7]])/Table1[[#This Row],[actual_7]]</f>
        <v>6.4202334630350189E-2</v>
      </c>
      <c r="EN798" s="1">
        <f>(Table1[[#This Row],[predicted_8]]-Table1[[#This Row],[actual_8]])/Table1[[#This Row],[actual_8]]</f>
        <v>3.0800821355236138E-2</v>
      </c>
      <c r="EO798" s="1">
        <f>(Table1[[#This Row],[predicted_9]]-Table1[[#This Row],[actual_9]])/Table1[[#This Row],[actual_9]]</f>
        <v>-8.3250743310208125E-2</v>
      </c>
      <c r="EP798" s="1">
        <f>1+(Table1[[#This Row],[error_ratio_0]]-EF$2)</f>
        <v>0.96224489795918366</v>
      </c>
      <c r="EQ798" s="1">
        <f>1+(Table1[[#This Row],[error_ratio_1]]-EG$2)</f>
        <v>0.9982378854625551</v>
      </c>
      <c r="ER798" s="1">
        <f>1+(Table1[[#This Row],[error_ratio_2]]-EH$2)</f>
        <v>1.0968992248062015</v>
      </c>
      <c r="ES798" s="1">
        <f>1+(Table1[[#This Row],[error_ratio_3]]-EI$2)</f>
        <v>0.9673267326732673</v>
      </c>
      <c r="ET798" s="1">
        <f>1+(Table1[[#This Row],[error_ratio_4]]-EJ$2)</f>
        <v>1.0336048879837068</v>
      </c>
      <c r="EU798" s="1">
        <f>1+(Table1[[#This Row],[error_ratio_5]]-EK$2)</f>
        <v>0.98094170403587444</v>
      </c>
      <c r="EV798" s="1">
        <f>1+(Table1[[#This Row],[error_ratio_6]]-EL$2)</f>
        <v>0.93632567849686854</v>
      </c>
      <c r="EW798" s="1">
        <f>1+(Table1[[#This Row],[error_ratio_7]]-EM$2)</f>
        <v>1.0622568093385214</v>
      </c>
      <c r="EX798" s="1">
        <f>1+(Table1[[#This Row],[error_ratio_8]]-EN$2)</f>
        <v>1.0338809034907597</v>
      </c>
      <c r="EY798" s="1">
        <f>1+(Table1[[#This Row],[error_ratio_9]]-EO$2)</f>
        <v>0.92071357779980179</v>
      </c>
    </row>
    <row r="799" spans="1:155" x14ac:dyDescent="0.75">
      <c r="A799">
        <v>100</v>
      </c>
      <c r="B799">
        <v>100</v>
      </c>
      <c r="C799">
        <v>10</v>
      </c>
      <c r="D799">
        <v>10</v>
      </c>
      <c r="E799">
        <v>100</v>
      </c>
      <c r="F799">
        <v>10</v>
      </c>
      <c r="G799">
        <v>10</v>
      </c>
      <c r="H799">
        <v>100</v>
      </c>
      <c r="I799">
        <v>10</v>
      </c>
      <c r="J799">
        <v>10</v>
      </c>
      <c r="K799">
        <v>1094</v>
      </c>
      <c r="L799">
        <v>1168</v>
      </c>
      <c r="M799">
        <v>924</v>
      </c>
      <c r="N799">
        <v>992</v>
      </c>
      <c r="O799">
        <v>1098</v>
      </c>
      <c r="P799">
        <v>921</v>
      </c>
      <c r="Q799">
        <v>935</v>
      </c>
      <c r="R799">
        <v>1151</v>
      </c>
      <c r="S799">
        <v>810</v>
      </c>
      <c r="T799">
        <v>907</v>
      </c>
      <c r="U799">
        <v>980</v>
      </c>
      <c r="V799">
        <v>1135</v>
      </c>
      <c r="W799">
        <v>1032</v>
      </c>
      <c r="X799">
        <v>1010</v>
      </c>
      <c r="Y799">
        <v>982</v>
      </c>
      <c r="Z799">
        <v>892</v>
      </c>
      <c r="AA799">
        <v>958</v>
      </c>
      <c r="AB799">
        <v>1028</v>
      </c>
      <c r="AC799">
        <v>974</v>
      </c>
      <c r="AD799">
        <v>1009</v>
      </c>
      <c r="AE799">
        <v>972</v>
      </c>
      <c r="AF799">
        <v>1</v>
      </c>
      <c r="AG799">
        <v>1</v>
      </c>
      <c r="AH799">
        <v>0</v>
      </c>
      <c r="AI799">
        <v>3</v>
      </c>
      <c r="AJ799">
        <v>0</v>
      </c>
      <c r="AK799">
        <v>1</v>
      </c>
      <c r="AL799">
        <v>2</v>
      </c>
      <c r="AM799">
        <v>0</v>
      </c>
      <c r="AN799">
        <v>0</v>
      </c>
      <c r="AO799">
        <v>0</v>
      </c>
      <c r="AP799">
        <v>1132</v>
      </c>
      <c r="AQ799">
        <v>0</v>
      </c>
      <c r="AR799">
        <v>1</v>
      </c>
      <c r="AS799">
        <v>0</v>
      </c>
      <c r="AT799">
        <v>1</v>
      </c>
      <c r="AU799">
        <v>1</v>
      </c>
      <c r="AV799">
        <v>0</v>
      </c>
      <c r="AW799">
        <v>0</v>
      </c>
      <c r="AX799">
        <v>0</v>
      </c>
      <c r="AY799">
        <v>12</v>
      </c>
      <c r="AZ799">
        <v>11</v>
      </c>
      <c r="BA799">
        <v>914</v>
      </c>
      <c r="BB799">
        <v>18</v>
      </c>
      <c r="BC799">
        <v>19</v>
      </c>
      <c r="BD799">
        <v>0</v>
      </c>
      <c r="BE799">
        <v>8</v>
      </c>
      <c r="BF799">
        <v>47</v>
      </c>
      <c r="BG799">
        <v>3</v>
      </c>
      <c r="BH799">
        <v>0</v>
      </c>
      <c r="BI799">
        <v>11</v>
      </c>
      <c r="BJ799">
        <v>1</v>
      </c>
      <c r="BK799">
        <v>2</v>
      </c>
      <c r="BL799">
        <v>952</v>
      </c>
      <c r="BM799">
        <v>1</v>
      </c>
      <c r="BN799">
        <v>22</v>
      </c>
      <c r="BO799">
        <v>0</v>
      </c>
      <c r="BP799">
        <v>17</v>
      </c>
      <c r="BQ799">
        <v>2</v>
      </c>
      <c r="BR799">
        <v>2</v>
      </c>
      <c r="BS799">
        <v>0</v>
      </c>
      <c r="BT799">
        <v>0</v>
      </c>
      <c r="BU799">
        <v>0</v>
      </c>
      <c r="BV799">
        <v>0</v>
      </c>
      <c r="BW799">
        <v>980</v>
      </c>
      <c r="BX799">
        <v>0</v>
      </c>
      <c r="BY799">
        <v>1</v>
      </c>
      <c r="BZ799">
        <v>0</v>
      </c>
      <c r="CA799">
        <v>0</v>
      </c>
      <c r="CB799">
        <v>1</v>
      </c>
      <c r="CC799">
        <v>13</v>
      </c>
      <c r="CD799">
        <v>1</v>
      </c>
      <c r="CE799">
        <v>0</v>
      </c>
      <c r="CF799">
        <v>5</v>
      </c>
      <c r="CG799">
        <v>3</v>
      </c>
      <c r="CH799">
        <v>855</v>
      </c>
      <c r="CI799">
        <v>5</v>
      </c>
      <c r="CJ799">
        <v>4</v>
      </c>
      <c r="CK799">
        <v>1</v>
      </c>
      <c r="CL799">
        <v>5</v>
      </c>
      <c r="CM799">
        <v>15</v>
      </c>
      <c r="CN799">
        <v>3</v>
      </c>
      <c r="CO799">
        <v>0</v>
      </c>
      <c r="CP799">
        <v>0</v>
      </c>
      <c r="CQ799">
        <v>18</v>
      </c>
      <c r="CR799">
        <v>11</v>
      </c>
      <c r="CS799">
        <v>911</v>
      </c>
      <c r="CT799">
        <v>0</v>
      </c>
      <c r="CU799">
        <v>0</v>
      </c>
      <c r="CV799">
        <v>0</v>
      </c>
      <c r="CW799">
        <v>0</v>
      </c>
      <c r="CX799">
        <v>7</v>
      </c>
      <c r="CY799">
        <v>2</v>
      </c>
      <c r="CZ799">
        <v>0</v>
      </c>
      <c r="DA799">
        <v>0</v>
      </c>
      <c r="DB799">
        <v>0</v>
      </c>
      <c r="DC799">
        <v>0</v>
      </c>
      <c r="DD799">
        <v>1019</v>
      </c>
      <c r="DE799">
        <v>0</v>
      </c>
      <c r="DF799">
        <v>0</v>
      </c>
      <c r="DG799">
        <v>65</v>
      </c>
      <c r="DH799">
        <v>5</v>
      </c>
      <c r="DI799">
        <v>5</v>
      </c>
      <c r="DJ799">
        <v>10</v>
      </c>
      <c r="DK799">
        <v>19</v>
      </c>
      <c r="DL799">
        <v>25</v>
      </c>
      <c r="DM799">
        <v>7</v>
      </c>
      <c r="DN799">
        <v>26</v>
      </c>
      <c r="DO799">
        <v>804</v>
      </c>
      <c r="DP799">
        <v>8</v>
      </c>
      <c r="DQ799">
        <v>6</v>
      </c>
      <c r="DR799">
        <v>7</v>
      </c>
      <c r="DS799">
        <v>0</v>
      </c>
      <c r="DT799">
        <v>6</v>
      </c>
      <c r="DU799">
        <v>55</v>
      </c>
      <c r="DV799">
        <v>7</v>
      </c>
      <c r="DW799">
        <v>1</v>
      </c>
      <c r="DX799">
        <v>36</v>
      </c>
      <c r="DY799">
        <v>0</v>
      </c>
      <c r="DZ799">
        <v>891</v>
      </c>
      <c r="EA799">
        <v>0.94299999999999995</v>
      </c>
      <c r="EB799">
        <v>0.94619869472464502</v>
      </c>
      <c r="EC799">
        <v>0.94246093875008397</v>
      </c>
      <c r="ED799">
        <v>0.94206825499899505</v>
      </c>
      <c r="EE799">
        <f>SUM(Table1[[#This Row],[ratio_0]:[ratio_9]])</f>
        <v>460</v>
      </c>
      <c r="EF799" s="1">
        <f>(Table1[[#This Row],[predicted_0]]-Table1[[#This Row],[actual_0]])/Table1[[#This Row],[actual_0]]</f>
        <v>0.11632653061224489</v>
      </c>
      <c r="EG799" s="1">
        <f>(Table1[[#This Row],[predicted_1]]-Table1[[#This Row],[actual_1]])/Table1[[#This Row],[actual_1]]</f>
        <v>2.9074889867841409E-2</v>
      </c>
      <c r="EH799" s="1">
        <f>(Table1[[#This Row],[predicted_2]]-Table1[[#This Row],[actual_2]])/Table1[[#This Row],[actual_2]]</f>
        <v>-0.10465116279069768</v>
      </c>
      <c r="EI799" s="1">
        <f>(Table1[[#This Row],[predicted_3]]-Table1[[#This Row],[actual_3]])/Table1[[#This Row],[actual_3]]</f>
        <v>-1.782178217821782E-2</v>
      </c>
      <c r="EJ799" s="1">
        <f>(Table1[[#This Row],[predicted_4]]-Table1[[#This Row],[actual_4]])/Table1[[#This Row],[actual_4]]</f>
        <v>0.11812627291242363</v>
      </c>
      <c r="EK799" s="1">
        <f>(Table1[[#This Row],[predicted_5]]-Table1[[#This Row],[actual_5]])/Table1[[#This Row],[actual_5]]</f>
        <v>3.2511210762331835E-2</v>
      </c>
      <c r="EL799" s="1">
        <f>(Table1[[#This Row],[predicted_6]]-Table1[[#This Row],[actual_6]])/Table1[[#This Row],[actual_6]]</f>
        <v>-2.4008350730688934E-2</v>
      </c>
      <c r="EM799" s="1">
        <f>(Table1[[#This Row],[predicted_7]]-Table1[[#This Row],[actual_7]])/Table1[[#This Row],[actual_7]]</f>
        <v>0.11964980544747082</v>
      </c>
      <c r="EN799" s="1">
        <f>(Table1[[#This Row],[predicted_8]]-Table1[[#This Row],[actual_8]])/Table1[[#This Row],[actual_8]]</f>
        <v>-0.16837782340862423</v>
      </c>
      <c r="EO799" s="1">
        <f>(Table1[[#This Row],[predicted_9]]-Table1[[#This Row],[actual_9]])/Table1[[#This Row],[actual_9]]</f>
        <v>-0.10109018830525272</v>
      </c>
      <c r="EP799" s="1">
        <f>1+(Table1[[#This Row],[error_ratio_0]]-EF$2)</f>
        <v>1.1142857142857143</v>
      </c>
      <c r="EQ799" s="1">
        <f>1+(Table1[[#This Row],[error_ratio_1]]-EG$2)</f>
        <v>1.0273127753303966</v>
      </c>
      <c r="ER799" s="1">
        <f>1+(Table1[[#This Row],[error_ratio_2]]-EH$2)</f>
        <v>0.90019379844961245</v>
      </c>
      <c r="ES799" s="1">
        <f>1+(Table1[[#This Row],[error_ratio_3]]-EI$2)</f>
        <v>0.97227722772277225</v>
      </c>
      <c r="ET799" s="1">
        <f>1+(Table1[[#This Row],[error_ratio_4]]-EJ$2)</f>
        <v>1.1171079429735233</v>
      </c>
      <c r="EU799" s="1">
        <f>1+(Table1[[#This Row],[error_ratio_5]]-EK$2)</f>
        <v>1.0313901345291481</v>
      </c>
      <c r="EV799" s="1">
        <f>1+(Table1[[#This Row],[error_ratio_6]]-EL$2)</f>
        <v>0.98225469728601256</v>
      </c>
      <c r="EW799" s="1">
        <f>1+(Table1[[#This Row],[error_ratio_7]]-EM$2)</f>
        <v>1.117704280155642</v>
      </c>
      <c r="EX799" s="1">
        <f>1+(Table1[[#This Row],[error_ratio_8]]-EN$2)</f>
        <v>0.8347022587268994</v>
      </c>
      <c r="EY799" s="1">
        <f>1+(Table1[[#This Row],[error_ratio_9]]-EO$2)</f>
        <v>0.90287413280475715</v>
      </c>
    </row>
    <row r="800" spans="1:155" x14ac:dyDescent="0.75">
      <c r="A800">
        <v>10</v>
      </c>
      <c r="B800">
        <v>100</v>
      </c>
      <c r="C800">
        <v>10</v>
      </c>
      <c r="D800">
        <v>10</v>
      </c>
      <c r="E800">
        <v>100</v>
      </c>
      <c r="F800">
        <v>10</v>
      </c>
      <c r="G800">
        <v>10</v>
      </c>
      <c r="H800">
        <v>100</v>
      </c>
      <c r="I800">
        <v>10</v>
      </c>
      <c r="J800">
        <v>10</v>
      </c>
      <c r="K800">
        <v>890</v>
      </c>
      <c r="L800">
        <v>1151</v>
      </c>
      <c r="M800">
        <v>902</v>
      </c>
      <c r="N800">
        <v>1067</v>
      </c>
      <c r="O800">
        <v>1112</v>
      </c>
      <c r="P800">
        <v>913</v>
      </c>
      <c r="Q800">
        <v>983</v>
      </c>
      <c r="R800">
        <v>1081</v>
      </c>
      <c r="S800">
        <v>991</v>
      </c>
      <c r="T800">
        <v>910</v>
      </c>
      <c r="U800">
        <v>980</v>
      </c>
      <c r="V800">
        <v>1135</v>
      </c>
      <c r="W800">
        <v>1032</v>
      </c>
      <c r="X800">
        <v>1010</v>
      </c>
      <c r="Y800">
        <v>982</v>
      </c>
      <c r="Z800">
        <v>892</v>
      </c>
      <c r="AA800">
        <v>958</v>
      </c>
      <c r="AB800">
        <v>1028</v>
      </c>
      <c r="AC800">
        <v>974</v>
      </c>
      <c r="AD800">
        <v>1009</v>
      </c>
      <c r="AE800">
        <v>877</v>
      </c>
      <c r="AF800">
        <v>1</v>
      </c>
      <c r="AG800">
        <v>0</v>
      </c>
      <c r="AH800">
        <v>1</v>
      </c>
      <c r="AI800">
        <v>35</v>
      </c>
      <c r="AJ800">
        <v>8</v>
      </c>
      <c r="AK800">
        <v>39</v>
      </c>
      <c r="AL800">
        <v>5</v>
      </c>
      <c r="AM800">
        <v>6</v>
      </c>
      <c r="AN800">
        <v>8</v>
      </c>
      <c r="AO800">
        <v>0</v>
      </c>
      <c r="AP800">
        <v>1129</v>
      </c>
      <c r="AQ800">
        <v>1</v>
      </c>
      <c r="AR800">
        <v>1</v>
      </c>
      <c r="AS800">
        <v>0</v>
      </c>
      <c r="AT800">
        <v>0</v>
      </c>
      <c r="AU800">
        <v>2</v>
      </c>
      <c r="AV800">
        <v>2</v>
      </c>
      <c r="AW800">
        <v>0</v>
      </c>
      <c r="AX800">
        <v>0</v>
      </c>
      <c r="AY800">
        <v>3</v>
      </c>
      <c r="AZ800">
        <v>10</v>
      </c>
      <c r="BA800">
        <v>898</v>
      </c>
      <c r="BB800">
        <v>27</v>
      </c>
      <c r="BC800">
        <v>16</v>
      </c>
      <c r="BD800">
        <v>4</v>
      </c>
      <c r="BE800">
        <v>10</v>
      </c>
      <c r="BF800">
        <v>31</v>
      </c>
      <c r="BG800">
        <v>32</v>
      </c>
      <c r="BH800">
        <v>1</v>
      </c>
      <c r="BI800">
        <v>1</v>
      </c>
      <c r="BJ800">
        <v>0</v>
      </c>
      <c r="BK800">
        <v>1</v>
      </c>
      <c r="BL800">
        <v>989</v>
      </c>
      <c r="BM800">
        <v>0</v>
      </c>
      <c r="BN800">
        <v>13</v>
      </c>
      <c r="BO800">
        <v>0</v>
      </c>
      <c r="BP800">
        <v>3</v>
      </c>
      <c r="BQ800">
        <v>3</v>
      </c>
      <c r="BR800">
        <v>0</v>
      </c>
      <c r="BS800">
        <v>0</v>
      </c>
      <c r="BT800">
        <v>0</v>
      </c>
      <c r="BU800">
        <v>0</v>
      </c>
      <c r="BV800">
        <v>0</v>
      </c>
      <c r="BW800">
        <v>975</v>
      </c>
      <c r="BX800">
        <v>0</v>
      </c>
      <c r="BY800">
        <v>5</v>
      </c>
      <c r="BZ800">
        <v>2</v>
      </c>
      <c r="CA800">
        <v>0</v>
      </c>
      <c r="CB800">
        <v>0</v>
      </c>
      <c r="CC800">
        <v>2</v>
      </c>
      <c r="CD800">
        <v>0</v>
      </c>
      <c r="CE800">
        <v>0</v>
      </c>
      <c r="CF800">
        <v>10</v>
      </c>
      <c r="CG800">
        <v>1</v>
      </c>
      <c r="CH800">
        <v>867</v>
      </c>
      <c r="CI800">
        <v>6</v>
      </c>
      <c r="CJ800">
        <v>1</v>
      </c>
      <c r="CK800">
        <v>5</v>
      </c>
      <c r="CL800">
        <v>0</v>
      </c>
      <c r="CM800">
        <v>4</v>
      </c>
      <c r="CN800">
        <v>5</v>
      </c>
      <c r="CO800">
        <v>0</v>
      </c>
      <c r="CP800">
        <v>0</v>
      </c>
      <c r="CQ800">
        <v>24</v>
      </c>
      <c r="CR800">
        <v>4</v>
      </c>
      <c r="CS800">
        <v>920</v>
      </c>
      <c r="CT800">
        <v>0</v>
      </c>
      <c r="CU800">
        <v>1</v>
      </c>
      <c r="CV800">
        <v>0</v>
      </c>
      <c r="CW800">
        <v>0</v>
      </c>
      <c r="CX800">
        <v>2</v>
      </c>
      <c r="CY800">
        <v>2</v>
      </c>
      <c r="CZ800">
        <v>7</v>
      </c>
      <c r="DA800">
        <v>0</v>
      </c>
      <c r="DB800">
        <v>0</v>
      </c>
      <c r="DC800">
        <v>0</v>
      </c>
      <c r="DD800">
        <v>1016</v>
      </c>
      <c r="DE800">
        <v>1</v>
      </c>
      <c r="DF800">
        <v>0</v>
      </c>
      <c r="DG800">
        <v>2</v>
      </c>
      <c r="DH800">
        <v>0</v>
      </c>
      <c r="DI800">
        <v>0</v>
      </c>
      <c r="DJ800">
        <v>8</v>
      </c>
      <c r="DK800">
        <v>10</v>
      </c>
      <c r="DL800">
        <v>5</v>
      </c>
      <c r="DM800">
        <v>1</v>
      </c>
      <c r="DN800">
        <v>5</v>
      </c>
      <c r="DO800">
        <v>939</v>
      </c>
      <c r="DP800">
        <v>4</v>
      </c>
      <c r="DQ800">
        <v>1</v>
      </c>
      <c r="DR800">
        <v>4</v>
      </c>
      <c r="DS800">
        <v>0</v>
      </c>
      <c r="DT800">
        <v>24</v>
      </c>
      <c r="DU800">
        <v>51</v>
      </c>
      <c r="DV800">
        <v>12</v>
      </c>
      <c r="DW800">
        <v>0</v>
      </c>
      <c r="DX800">
        <v>16</v>
      </c>
      <c r="DY800">
        <v>4</v>
      </c>
      <c r="DZ800">
        <v>897</v>
      </c>
      <c r="EA800">
        <v>0.95069999999999999</v>
      </c>
      <c r="EB800">
        <v>0.95241809124152899</v>
      </c>
      <c r="EC800">
        <v>0.95055449545364001</v>
      </c>
      <c r="ED800">
        <v>0.95006386207484905</v>
      </c>
      <c r="EE800">
        <f>SUM(Table1[[#This Row],[ratio_0]:[ratio_9]])</f>
        <v>370</v>
      </c>
      <c r="EF800" s="1">
        <f>(Table1[[#This Row],[predicted_0]]-Table1[[#This Row],[actual_0]])/Table1[[#This Row],[actual_0]]</f>
        <v>-9.1836734693877556E-2</v>
      </c>
      <c r="EG800" s="1">
        <f>(Table1[[#This Row],[predicted_1]]-Table1[[#This Row],[actual_1]])/Table1[[#This Row],[actual_1]]</f>
        <v>1.4096916299559472E-2</v>
      </c>
      <c r="EH800" s="1">
        <f>(Table1[[#This Row],[predicted_2]]-Table1[[#This Row],[actual_2]])/Table1[[#This Row],[actual_2]]</f>
        <v>-0.12596899224806202</v>
      </c>
      <c r="EI800" s="1">
        <f>(Table1[[#This Row],[predicted_3]]-Table1[[#This Row],[actual_3]])/Table1[[#This Row],[actual_3]]</f>
        <v>5.6435643564356437E-2</v>
      </c>
      <c r="EJ800" s="1">
        <f>(Table1[[#This Row],[predicted_4]]-Table1[[#This Row],[actual_4]])/Table1[[#This Row],[actual_4]]</f>
        <v>0.13238289205702647</v>
      </c>
      <c r="EK800" s="1">
        <f>(Table1[[#This Row],[predicted_5]]-Table1[[#This Row],[actual_5]])/Table1[[#This Row],[actual_5]]</f>
        <v>2.3542600896860985E-2</v>
      </c>
      <c r="EL800" s="1">
        <f>(Table1[[#This Row],[predicted_6]]-Table1[[#This Row],[actual_6]])/Table1[[#This Row],[actual_6]]</f>
        <v>2.6096033402922755E-2</v>
      </c>
      <c r="EM800" s="1">
        <f>(Table1[[#This Row],[predicted_7]]-Table1[[#This Row],[actual_7]])/Table1[[#This Row],[actual_7]]</f>
        <v>5.1556420233463032E-2</v>
      </c>
      <c r="EN800" s="1">
        <f>(Table1[[#This Row],[predicted_8]]-Table1[[#This Row],[actual_8]])/Table1[[#This Row],[actual_8]]</f>
        <v>1.7453798767967144E-2</v>
      </c>
      <c r="EO800" s="1">
        <f>(Table1[[#This Row],[predicted_9]]-Table1[[#This Row],[actual_9]])/Table1[[#This Row],[actual_9]]</f>
        <v>-9.8116947472745297E-2</v>
      </c>
      <c r="EP800" s="1">
        <f>1+(Table1[[#This Row],[error_ratio_0]]-EF$2)</f>
        <v>0.90612244897959182</v>
      </c>
      <c r="EQ800" s="1">
        <f>1+(Table1[[#This Row],[error_ratio_1]]-EG$2)</f>
        <v>1.0123348017621145</v>
      </c>
      <c r="ER800" s="1">
        <f>1+(Table1[[#This Row],[error_ratio_2]]-EH$2)</f>
        <v>0.87887596899224807</v>
      </c>
      <c r="ES800" s="1">
        <f>1+(Table1[[#This Row],[error_ratio_3]]-EI$2)</f>
        <v>1.0465346534653466</v>
      </c>
      <c r="ET800" s="1">
        <f>1+(Table1[[#This Row],[error_ratio_4]]-EJ$2)</f>
        <v>1.1313645621181263</v>
      </c>
      <c r="EU800" s="1">
        <f>1+(Table1[[#This Row],[error_ratio_5]]-EK$2)</f>
        <v>1.0224215246636772</v>
      </c>
      <c r="EV800" s="1">
        <f>1+(Table1[[#This Row],[error_ratio_6]]-EL$2)</f>
        <v>1.0323590814196242</v>
      </c>
      <c r="EW800" s="1">
        <f>1+(Table1[[#This Row],[error_ratio_7]]-EM$2)</f>
        <v>1.0496108949416343</v>
      </c>
      <c r="EX800" s="1">
        <f>1+(Table1[[#This Row],[error_ratio_8]]-EN$2)</f>
        <v>1.0205338809034907</v>
      </c>
      <c r="EY800" s="1">
        <f>1+(Table1[[#This Row],[error_ratio_9]]-EO$2)</f>
        <v>0.90584737363726464</v>
      </c>
    </row>
    <row r="801" spans="1:155" x14ac:dyDescent="0.75">
      <c r="A801">
        <v>100</v>
      </c>
      <c r="B801">
        <v>10</v>
      </c>
      <c r="C801">
        <v>10</v>
      </c>
      <c r="D801">
        <v>10</v>
      </c>
      <c r="E801">
        <v>100</v>
      </c>
      <c r="F801">
        <v>10</v>
      </c>
      <c r="G801">
        <v>10</v>
      </c>
      <c r="H801">
        <v>100</v>
      </c>
      <c r="I801">
        <v>10</v>
      </c>
      <c r="J801">
        <v>10</v>
      </c>
      <c r="K801">
        <v>1031</v>
      </c>
      <c r="L801">
        <v>1096</v>
      </c>
      <c r="M801">
        <v>1056</v>
      </c>
      <c r="N801">
        <v>986</v>
      </c>
      <c r="O801">
        <v>1050</v>
      </c>
      <c r="P801">
        <v>922</v>
      </c>
      <c r="Q801">
        <v>963</v>
      </c>
      <c r="R801">
        <v>1037</v>
      </c>
      <c r="S801">
        <v>949</v>
      </c>
      <c r="T801">
        <v>910</v>
      </c>
      <c r="U801">
        <v>980</v>
      </c>
      <c r="V801">
        <v>1135</v>
      </c>
      <c r="W801">
        <v>1032</v>
      </c>
      <c r="X801">
        <v>1010</v>
      </c>
      <c r="Y801">
        <v>982</v>
      </c>
      <c r="Z801">
        <v>892</v>
      </c>
      <c r="AA801">
        <v>958</v>
      </c>
      <c r="AB801">
        <v>1028</v>
      </c>
      <c r="AC801">
        <v>974</v>
      </c>
      <c r="AD801">
        <v>1009</v>
      </c>
      <c r="AE801">
        <v>974</v>
      </c>
      <c r="AF801">
        <v>0</v>
      </c>
      <c r="AG801">
        <v>0</v>
      </c>
      <c r="AH801">
        <v>0</v>
      </c>
      <c r="AI801">
        <v>0</v>
      </c>
      <c r="AJ801">
        <v>1</v>
      </c>
      <c r="AK801">
        <v>1</v>
      </c>
      <c r="AL801">
        <v>1</v>
      </c>
      <c r="AM801">
        <v>3</v>
      </c>
      <c r="AN801">
        <v>0</v>
      </c>
      <c r="AO801">
        <v>0</v>
      </c>
      <c r="AP801">
        <v>1093</v>
      </c>
      <c r="AQ801">
        <v>8</v>
      </c>
      <c r="AR801">
        <v>1</v>
      </c>
      <c r="AS801">
        <v>5</v>
      </c>
      <c r="AT801">
        <v>1</v>
      </c>
      <c r="AU801">
        <v>7</v>
      </c>
      <c r="AV801">
        <v>2</v>
      </c>
      <c r="AW801">
        <v>18</v>
      </c>
      <c r="AX801">
        <v>0</v>
      </c>
      <c r="AY801">
        <v>12</v>
      </c>
      <c r="AZ801">
        <v>0</v>
      </c>
      <c r="BA801">
        <v>999</v>
      </c>
      <c r="BB801">
        <v>5</v>
      </c>
      <c r="BC801">
        <v>4</v>
      </c>
      <c r="BD801">
        <v>0</v>
      </c>
      <c r="BE801">
        <v>6</v>
      </c>
      <c r="BF801">
        <v>2</v>
      </c>
      <c r="BG801">
        <v>4</v>
      </c>
      <c r="BH801">
        <v>0</v>
      </c>
      <c r="BI801">
        <v>5</v>
      </c>
      <c r="BJ801">
        <v>0</v>
      </c>
      <c r="BK801">
        <v>10</v>
      </c>
      <c r="BL801">
        <v>963</v>
      </c>
      <c r="BM801">
        <v>0</v>
      </c>
      <c r="BN801">
        <v>23</v>
      </c>
      <c r="BO801">
        <v>0</v>
      </c>
      <c r="BP801">
        <v>7</v>
      </c>
      <c r="BQ801">
        <v>2</v>
      </c>
      <c r="BR801">
        <v>0</v>
      </c>
      <c r="BS801">
        <v>0</v>
      </c>
      <c r="BT801">
        <v>0</v>
      </c>
      <c r="BU801">
        <v>0</v>
      </c>
      <c r="BV801">
        <v>0</v>
      </c>
      <c r="BW801">
        <v>977</v>
      </c>
      <c r="BX801">
        <v>0</v>
      </c>
      <c r="BY801">
        <v>4</v>
      </c>
      <c r="BZ801">
        <v>0</v>
      </c>
      <c r="CA801">
        <v>0</v>
      </c>
      <c r="CB801">
        <v>1</v>
      </c>
      <c r="CC801">
        <v>6</v>
      </c>
      <c r="CD801">
        <v>0</v>
      </c>
      <c r="CE801">
        <v>1</v>
      </c>
      <c r="CF801">
        <v>5</v>
      </c>
      <c r="CG801">
        <v>0</v>
      </c>
      <c r="CH801">
        <v>868</v>
      </c>
      <c r="CI801">
        <v>7</v>
      </c>
      <c r="CJ801">
        <v>0</v>
      </c>
      <c r="CK801">
        <v>4</v>
      </c>
      <c r="CL801">
        <v>1</v>
      </c>
      <c r="CM801">
        <v>19</v>
      </c>
      <c r="CN801">
        <v>2</v>
      </c>
      <c r="CO801">
        <v>0</v>
      </c>
      <c r="CP801">
        <v>0</v>
      </c>
      <c r="CQ801">
        <v>6</v>
      </c>
      <c r="CR801">
        <v>3</v>
      </c>
      <c r="CS801">
        <v>928</v>
      </c>
      <c r="CT801">
        <v>0</v>
      </c>
      <c r="CU801">
        <v>0</v>
      </c>
      <c r="CV801">
        <v>0</v>
      </c>
      <c r="CW801">
        <v>2</v>
      </c>
      <c r="CX801">
        <v>1</v>
      </c>
      <c r="CY801">
        <v>17</v>
      </c>
      <c r="CZ801">
        <v>0</v>
      </c>
      <c r="DA801">
        <v>1</v>
      </c>
      <c r="DB801">
        <v>0</v>
      </c>
      <c r="DC801">
        <v>0</v>
      </c>
      <c r="DD801">
        <v>1006</v>
      </c>
      <c r="DE801">
        <v>1</v>
      </c>
      <c r="DF801">
        <v>0</v>
      </c>
      <c r="DG801">
        <v>3</v>
      </c>
      <c r="DH801">
        <v>0</v>
      </c>
      <c r="DI801">
        <v>19</v>
      </c>
      <c r="DJ801">
        <v>4</v>
      </c>
      <c r="DK801">
        <v>7</v>
      </c>
      <c r="DL801">
        <v>10</v>
      </c>
      <c r="DM801">
        <v>10</v>
      </c>
      <c r="DN801">
        <v>5</v>
      </c>
      <c r="DO801">
        <v>910</v>
      </c>
      <c r="DP801">
        <v>6</v>
      </c>
      <c r="DQ801">
        <v>10</v>
      </c>
      <c r="DR801">
        <v>0</v>
      </c>
      <c r="DS801">
        <v>2</v>
      </c>
      <c r="DT801">
        <v>8</v>
      </c>
      <c r="DU801">
        <v>50</v>
      </c>
      <c r="DV801">
        <v>16</v>
      </c>
      <c r="DW801">
        <v>0</v>
      </c>
      <c r="DX801">
        <v>14</v>
      </c>
      <c r="DY801">
        <v>7</v>
      </c>
      <c r="DZ801">
        <v>902</v>
      </c>
      <c r="EA801">
        <v>0.96199999999999997</v>
      </c>
      <c r="EB801">
        <v>0.96204548798183998</v>
      </c>
      <c r="EC801">
        <v>0.96218942419141895</v>
      </c>
      <c r="ED801">
        <v>0.96159520714844504</v>
      </c>
      <c r="EE801">
        <f>SUM(Table1[[#This Row],[ratio_0]:[ratio_9]])</f>
        <v>370</v>
      </c>
      <c r="EF801" s="1">
        <f>(Table1[[#This Row],[predicted_0]]-Table1[[#This Row],[actual_0]])/Table1[[#This Row],[actual_0]]</f>
        <v>5.2040816326530612E-2</v>
      </c>
      <c r="EG801" s="1">
        <f>(Table1[[#This Row],[predicted_1]]-Table1[[#This Row],[actual_1]])/Table1[[#This Row],[actual_1]]</f>
        <v>-3.4361233480176209E-2</v>
      </c>
      <c r="EH801" s="1">
        <f>(Table1[[#This Row],[predicted_2]]-Table1[[#This Row],[actual_2]])/Table1[[#This Row],[actual_2]]</f>
        <v>2.3255813953488372E-2</v>
      </c>
      <c r="EI801" s="1">
        <f>(Table1[[#This Row],[predicted_3]]-Table1[[#This Row],[actual_3]])/Table1[[#This Row],[actual_3]]</f>
        <v>-2.3762376237623763E-2</v>
      </c>
      <c r="EJ801" s="1">
        <f>(Table1[[#This Row],[predicted_4]]-Table1[[#This Row],[actual_4]])/Table1[[#This Row],[actual_4]]</f>
        <v>6.9246435845213852E-2</v>
      </c>
      <c r="EK801" s="1">
        <f>(Table1[[#This Row],[predicted_5]]-Table1[[#This Row],[actual_5]])/Table1[[#This Row],[actual_5]]</f>
        <v>3.3632286995515695E-2</v>
      </c>
      <c r="EL801" s="1">
        <f>(Table1[[#This Row],[predicted_6]]-Table1[[#This Row],[actual_6]])/Table1[[#This Row],[actual_6]]</f>
        <v>5.2192066805845511E-3</v>
      </c>
      <c r="EM801" s="1">
        <f>(Table1[[#This Row],[predicted_7]]-Table1[[#This Row],[actual_7]])/Table1[[#This Row],[actual_7]]</f>
        <v>8.7548638132295721E-3</v>
      </c>
      <c r="EN801" s="1">
        <f>(Table1[[#This Row],[predicted_8]]-Table1[[#This Row],[actual_8]])/Table1[[#This Row],[actual_8]]</f>
        <v>-2.5667351129363448E-2</v>
      </c>
      <c r="EO801" s="1">
        <f>(Table1[[#This Row],[predicted_9]]-Table1[[#This Row],[actual_9]])/Table1[[#This Row],[actual_9]]</f>
        <v>-9.8116947472745297E-2</v>
      </c>
      <c r="EP801" s="1">
        <f>1+(Table1[[#This Row],[error_ratio_0]]-EF$2)</f>
        <v>1.05</v>
      </c>
      <c r="EQ801" s="1">
        <f>1+(Table1[[#This Row],[error_ratio_1]]-EG$2)</f>
        <v>0.96387665198237882</v>
      </c>
      <c r="ER801" s="1">
        <f>1+(Table1[[#This Row],[error_ratio_2]]-EH$2)</f>
        <v>1.0281007751937985</v>
      </c>
      <c r="ES801" s="1">
        <f>1+(Table1[[#This Row],[error_ratio_3]]-EI$2)</f>
        <v>0.96633663366336631</v>
      </c>
      <c r="ET801" s="1">
        <f>1+(Table1[[#This Row],[error_ratio_4]]-EJ$2)</f>
        <v>1.0682281059063137</v>
      </c>
      <c r="EU801" s="1">
        <f>1+(Table1[[#This Row],[error_ratio_5]]-EK$2)</f>
        <v>1.0325112107623318</v>
      </c>
      <c r="EV801" s="1">
        <f>1+(Table1[[#This Row],[error_ratio_6]]-EL$2)</f>
        <v>1.0114822546972859</v>
      </c>
      <c r="EW801" s="1">
        <f>1+(Table1[[#This Row],[error_ratio_7]]-EM$2)</f>
        <v>1.0068093385214008</v>
      </c>
      <c r="EX801" s="1">
        <f>1+(Table1[[#This Row],[error_ratio_8]]-EN$2)</f>
        <v>0.97741273100616022</v>
      </c>
      <c r="EY801" s="1">
        <f>1+(Table1[[#This Row],[error_ratio_9]]-EO$2)</f>
        <v>0.90584737363726464</v>
      </c>
    </row>
    <row r="802" spans="1:155" x14ac:dyDescent="0.75">
      <c r="A802">
        <v>10</v>
      </c>
      <c r="B802">
        <v>10</v>
      </c>
      <c r="C802">
        <v>10</v>
      </c>
      <c r="D802">
        <v>10</v>
      </c>
      <c r="E802">
        <v>100</v>
      </c>
      <c r="F802">
        <v>10</v>
      </c>
      <c r="G802">
        <v>10</v>
      </c>
      <c r="H802">
        <v>100</v>
      </c>
      <c r="I802">
        <v>10</v>
      </c>
      <c r="J802">
        <v>10</v>
      </c>
      <c r="K802">
        <v>988</v>
      </c>
      <c r="L802">
        <v>1139</v>
      </c>
      <c r="M802">
        <v>1013</v>
      </c>
      <c r="N802">
        <v>945</v>
      </c>
      <c r="O802">
        <v>1040</v>
      </c>
      <c r="P802">
        <v>968</v>
      </c>
      <c r="Q802">
        <v>799</v>
      </c>
      <c r="R802">
        <v>1245</v>
      </c>
      <c r="S802">
        <v>898</v>
      </c>
      <c r="T802">
        <v>965</v>
      </c>
      <c r="U802">
        <v>980</v>
      </c>
      <c r="V802">
        <v>1135</v>
      </c>
      <c r="W802">
        <v>1032</v>
      </c>
      <c r="X802">
        <v>1010</v>
      </c>
      <c r="Y802">
        <v>982</v>
      </c>
      <c r="Z802">
        <v>892</v>
      </c>
      <c r="AA802">
        <v>958</v>
      </c>
      <c r="AB802">
        <v>1028</v>
      </c>
      <c r="AC802">
        <v>974</v>
      </c>
      <c r="AD802">
        <v>1009</v>
      </c>
      <c r="AE802">
        <v>942</v>
      </c>
      <c r="AF802">
        <v>0</v>
      </c>
      <c r="AG802">
        <v>1</v>
      </c>
      <c r="AH802">
        <v>0</v>
      </c>
      <c r="AI802">
        <v>3</v>
      </c>
      <c r="AJ802">
        <v>2</v>
      </c>
      <c r="AK802">
        <v>0</v>
      </c>
      <c r="AL802">
        <v>29</v>
      </c>
      <c r="AM802">
        <v>3</v>
      </c>
      <c r="AN802">
        <v>0</v>
      </c>
      <c r="AO802">
        <v>0</v>
      </c>
      <c r="AP802">
        <v>1123</v>
      </c>
      <c r="AQ802">
        <v>3</v>
      </c>
      <c r="AR802">
        <v>1</v>
      </c>
      <c r="AS802">
        <v>0</v>
      </c>
      <c r="AT802">
        <v>3</v>
      </c>
      <c r="AU802">
        <v>0</v>
      </c>
      <c r="AV802">
        <v>5</v>
      </c>
      <c r="AW802">
        <v>0</v>
      </c>
      <c r="AX802">
        <v>0</v>
      </c>
      <c r="AY802">
        <v>3</v>
      </c>
      <c r="AZ802">
        <v>1</v>
      </c>
      <c r="BA802">
        <v>950</v>
      </c>
      <c r="BB802">
        <v>0</v>
      </c>
      <c r="BC802">
        <v>4</v>
      </c>
      <c r="BD802">
        <v>1</v>
      </c>
      <c r="BE802">
        <v>1</v>
      </c>
      <c r="BF802">
        <v>72</v>
      </c>
      <c r="BG802">
        <v>0</v>
      </c>
      <c r="BH802">
        <v>0</v>
      </c>
      <c r="BI802">
        <v>1</v>
      </c>
      <c r="BJ802">
        <v>0</v>
      </c>
      <c r="BK802">
        <v>14</v>
      </c>
      <c r="BL802">
        <v>933</v>
      </c>
      <c r="BM802">
        <v>1</v>
      </c>
      <c r="BN802">
        <v>17</v>
      </c>
      <c r="BO802">
        <v>0</v>
      </c>
      <c r="BP802">
        <v>31</v>
      </c>
      <c r="BQ802">
        <v>5</v>
      </c>
      <c r="BR802">
        <v>8</v>
      </c>
      <c r="BS802">
        <v>0</v>
      </c>
      <c r="BT802">
        <v>0</v>
      </c>
      <c r="BU802">
        <v>0</v>
      </c>
      <c r="BV802">
        <v>0</v>
      </c>
      <c r="BW802">
        <v>980</v>
      </c>
      <c r="BX802">
        <v>0</v>
      </c>
      <c r="BY802">
        <v>0</v>
      </c>
      <c r="BZ802">
        <v>0</v>
      </c>
      <c r="CA802">
        <v>0</v>
      </c>
      <c r="CB802">
        <v>2</v>
      </c>
      <c r="CC802">
        <v>4</v>
      </c>
      <c r="CD802">
        <v>0</v>
      </c>
      <c r="CE802">
        <v>2</v>
      </c>
      <c r="CF802">
        <v>6</v>
      </c>
      <c r="CG802">
        <v>0</v>
      </c>
      <c r="CH802">
        <v>854</v>
      </c>
      <c r="CI802">
        <v>1</v>
      </c>
      <c r="CJ802">
        <v>15</v>
      </c>
      <c r="CK802">
        <v>2</v>
      </c>
      <c r="CL802">
        <v>8</v>
      </c>
      <c r="CM802">
        <v>29</v>
      </c>
      <c r="CN802">
        <v>6</v>
      </c>
      <c r="CO802">
        <v>20</v>
      </c>
      <c r="CP802">
        <v>0</v>
      </c>
      <c r="CQ802">
        <v>28</v>
      </c>
      <c r="CR802">
        <v>69</v>
      </c>
      <c r="CS802">
        <v>796</v>
      </c>
      <c r="CT802">
        <v>0</v>
      </c>
      <c r="CU802">
        <v>10</v>
      </c>
      <c r="CV802">
        <v>0</v>
      </c>
      <c r="CW802">
        <v>0</v>
      </c>
      <c r="CX802">
        <v>2</v>
      </c>
      <c r="CY802">
        <v>4</v>
      </c>
      <c r="CZ802">
        <v>0</v>
      </c>
      <c r="DA802">
        <v>1</v>
      </c>
      <c r="DB802">
        <v>0</v>
      </c>
      <c r="DC802">
        <v>0</v>
      </c>
      <c r="DD802">
        <v>1019</v>
      </c>
      <c r="DE802">
        <v>1</v>
      </c>
      <c r="DF802">
        <v>1</v>
      </c>
      <c r="DG802">
        <v>6</v>
      </c>
      <c r="DH802">
        <v>5</v>
      </c>
      <c r="DI802">
        <v>18</v>
      </c>
      <c r="DJ802">
        <v>3</v>
      </c>
      <c r="DK802">
        <v>5</v>
      </c>
      <c r="DL802">
        <v>16</v>
      </c>
      <c r="DM802">
        <v>1</v>
      </c>
      <c r="DN802">
        <v>34</v>
      </c>
      <c r="DO802">
        <v>877</v>
      </c>
      <c r="DP802">
        <v>9</v>
      </c>
      <c r="DQ802">
        <v>3</v>
      </c>
      <c r="DR802">
        <v>2</v>
      </c>
      <c r="DS802">
        <v>1</v>
      </c>
      <c r="DT802">
        <v>2</v>
      </c>
      <c r="DU802">
        <v>18</v>
      </c>
      <c r="DV802">
        <v>6</v>
      </c>
      <c r="DW802">
        <v>0</v>
      </c>
      <c r="DX802">
        <v>40</v>
      </c>
      <c r="DY802">
        <v>0</v>
      </c>
      <c r="DZ802">
        <v>937</v>
      </c>
      <c r="EA802">
        <v>0.94110000000000005</v>
      </c>
      <c r="EB802">
        <v>0.94513614172464999</v>
      </c>
      <c r="EC802">
        <v>0.94015149951027199</v>
      </c>
      <c r="ED802">
        <v>0.940520146925233</v>
      </c>
      <c r="EE802">
        <f>SUM(Table1[[#This Row],[ratio_0]:[ratio_9]])</f>
        <v>280</v>
      </c>
      <c r="EF802" s="1">
        <f>(Table1[[#This Row],[predicted_0]]-Table1[[#This Row],[actual_0]])/Table1[[#This Row],[actual_0]]</f>
        <v>8.1632653061224497E-3</v>
      </c>
      <c r="EG802" s="1">
        <f>(Table1[[#This Row],[predicted_1]]-Table1[[#This Row],[actual_1]])/Table1[[#This Row],[actual_1]]</f>
        <v>3.524229074889868E-3</v>
      </c>
      <c r="EH802" s="1">
        <f>(Table1[[#This Row],[predicted_2]]-Table1[[#This Row],[actual_2]])/Table1[[#This Row],[actual_2]]</f>
        <v>-1.8410852713178296E-2</v>
      </c>
      <c r="EI802" s="1">
        <f>(Table1[[#This Row],[predicted_3]]-Table1[[#This Row],[actual_3]])/Table1[[#This Row],[actual_3]]</f>
        <v>-6.4356435643564358E-2</v>
      </c>
      <c r="EJ802" s="1">
        <f>(Table1[[#This Row],[predicted_4]]-Table1[[#This Row],[actual_4]])/Table1[[#This Row],[actual_4]]</f>
        <v>5.9063136456211814E-2</v>
      </c>
      <c r="EK802" s="1">
        <f>(Table1[[#This Row],[predicted_5]]-Table1[[#This Row],[actual_5]])/Table1[[#This Row],[actual_5]]</f>
        <v>8.520179372197309E-2</v>
      </c>
      <c r="EL802" s="1">
        <f>(Table1[[#This Row],[predicted_6]]-Table1[[#This Row],[actual_6]])/Table1[[#This Row],[actual_6]]</f>
        <v>-0.16597077244258873</v>
      </c>
      <c r="EM802" s="1">
        <f>(Table1[[#This Row],[predicted_7]]-Table1[[#This Row],[actual_7]])/Table1[[#This Row],[actual_7]]</f>
        <v>0.21108949416342412</v>
      </c>
      <c r="EN802" s="1">
        <f>(Table1[[#This Row],[predicted_8]]-Table1[[#This Row],[actual_8]])/Table1[[#This Row],[actual_8]]</f>
        <v>-7.8028747433264892E-2</v>
      </c>
      <c r="EO802" s="1">
        <f>(Table1[[#This Row],[predicted_9]]-Table1[[#This Row],[actual_9]])/Table1[[#This Row],[actual_9]]</f>
        <v>-4.3607532210109018E-2</v>
      </c>
      <c r="EP802" s="1">
        <f>1+(Table1[[#This Row],[error_ratio_0]]-EF$2)</f>
        <v>1.0061224489795919</v>
      </c>
      <c r="EQ802" s="1">
        <f>1+(Table1[[#This Row],[error_ratio_1]]-EG$2)</f>
        <v>1.0017621145374449</v>
      </c>
      <c r="ER802" s="1">
        <f>1+(Table1[[#This Row],[error_ratio_2]]-EH$2)</f>
        <v>0.98643410852713176</v>
      </c>
      <c r="ES802" s="1">
        <f>1+(Table1[[#This Row],[error_ratio_3]]-EI$2)</f>
        <v>0.92574257425742579</v>
      </c>
      <c r="ET802" s="1">
        <f>1+(Table1[[#This Row],[error_ratio_4]]-EJ$2)</f>
        <v>1.0580448065173116</v>
      </c>
      <c r="EU802" s="1">
        <f>1+(Table1[[#This Row],[error_ratio_5]]-EK$2)</f>
        <v>1.0840807174887892</v>
      </c>
      <c r="EV802" s="1">
        <f>1+(Table1[[#This Row],[error_ratio_6]]-EL$2)</f>
        <v>0.84029227557411268</v>
      </c>
      <c r="EW802" s="1">
        <f>1+(Table1[[#This Row],[error_ratio_7]]-EM$2)</f>
        <v>1.2091439688715953</v>
      </c>
      <c r="EX802" s="1">
        <f>1+(Table1[[#This Row],[error_ratio_8]]-EN$2)</f>
        <v>0.92505133470225875</v>
      </c>
      <c r="EY802" s="1">
        <f>1+(Table1[[#This Row],[error_ratio_9]]-EO$2)</f>
        <v>0.96035678889990095</v>
      </c>
    </row>
    <row r="803" spans="1:155" x14ac:dyDescent="0.75">
      <c r="A803">
        <v>100</v>
      </c>
      <c r="B803">
        <v>100</v>
      </c>
      <c r="C803">
        <v>100</v>
      </c>
      <c r="D803">
        <v>100</v>
      </c>
      <c r="E803">
        <v>10</v>
      </c>
      <c r="F803">
        <v>10</v>
      </c>
      <c r="G803">
        <v>10</v>
      </c>
      <c r="H803">
        <v>100</v>
      </c>
      <c r="I803">
        <v>10</v>
      </c>
      <c r="J803">
        <v>10</v>
      </c>
      <c r="K803">
        <v>993</v>
      </c>
      <c r="L803">
        <v>1166</v>
      </c>
      <c r="M803">
        <v>1035</v>
      </c>
      <c r="N803">
        <v>1058</v>
      </c>
      <c r="O803">
        <v>911</v>
      </c>
      <c r="P803">
        <v>833</v>
      </c>
      <c r="Q803">
        <v>932</v>
      </c>
      <c r="R803">
        <v>1086</v>
      </c>
      <c r="S803">
        <v>961</v>
      </c>
      <c r="T803">
        <v>1025</v>
      </c>
      <c r="U803">
        <v>980</v>
      </c>
      <c r="V803">
        <v>1135</v>
      </c>
      <c r="W803">
        <v>1032</v>
      </c>
      <c r="X803">
        <v>1010</v>
      </c>
      <c r="Y803">
        <v>982</v>
      </c>
      <c r="Z803">
        <v>892</v>
      </c>
      <c r="AA803">
        <v>958</v>
      </c>
      <c r="AB803">
        <v>1028</v>
      </c>
      <c r="AC803">
        <v>974</v>
      </c>
      <c r="AD803">
        <v>1009</v>
      </c>
      <c r="AE803">
        <v>973</v>
      </c>
      <c r="AF803">
        <v>1</v>
      </c>
      <c r="AG803">
        <v>0</v>
      </c>
      <c r="AH803">
        <v>0</v>
      </c>
      <c r="AI803">
        <v>0</v>
      </c>
      <c r="AJ803">
        <v>0</v>
      </c>
      <c r="AK803">
        <v>0</v>
      </c>
      <c r="AL803">
        <v>4</v>
      </c>
      <c r="AM803">
        <v>2</v>
      </c>
      <c r="AN803">
        <v>0</v>
      </c>
      <c r="AO803">
        <v>0</v>
      </c>
      <c r="AP803">
        <v>1132</v>
      </c>
      <c r="AQ803">
        <v>1</v>
      </c>
      <c r="AR803">
        <v>1</v>
      </c>
      <c r="AS803">
        <v>0</v>
      </c>
      <c r="AT803">
        <v>0</v>
      </c>
      <c r="AU803">
        <v>0</v>
      </c>
      <c r="AV803">
        <v>1</v>
      </c>
      <c r="AW803">
        <v>0</v>
      </c>
      <c r="AX803">
        <v>0</v>
      </c>
      <c r="AY803">
        <v>1</v>
      </c>
      <c r="AZ803">
        <v>1</v>
      </c>
      <c r="BA803">
        <v>1016</v>
      </c>
      <c r="BB803">
        <v>2</v>
      </c>
      <c r="BC803">
        <v>0</v>
      </c>
      <c r="BD803">
        <v>0</v>
      </c>
      <c r="BE803">
        <v>0</v>
      </c>
      <c r="BF803">
        <v>10</v>
      </c>
      <c r="BG803">
        <v>2</v>
      </c>
      <c r="BH803">
        <v>0</v>
      </c>
      <c r="BI803">
        <v>0</v>
      </c>
      <c r="BJ803">
        <v>0</v>
      </c>
      <c r="BK803">
        <v>2</v>
      </c>
      <c r="BL803">
        <v>998</v>
      </c>
      <c r="BM803">
        <v>0</v>
      </c>
      <c r="BN803">
        <v>1</v>
      </c>
      <c r="BO803">
        <v>0</v>
      </c>
      <c r="BP803">
        <v>6</v>
      </c>
      <c r="BQ803">
        <v>2</v>
      </c>
      <c r="BR803">
        <v>1</v>
      </c>
      <c r="BS803">
        <v>1</v>
      </c>
      <c r="BT803">
        <v>16</v>
      </c>
      <c r="BU803">
        <v>4</v>
      </c>
      <c r="BV803">
        <v>0</v>
      </c>
      <c r="BW803">
        <v>899</v>
      </c>
      <c r="BX803">
        <v>0</v>
      </c>
      <c r="BY803">
        <v>7</v>
      </c>
      <c r="BZ803">
        <v>14</v>
      </c>
      <c r="CA803">
        <v>2</v>
      </c>
      <c r="CB803">
        <v>39</v>
      </c>
      <c r="CC803">
        <v>2</v>
      </c>
      <c r="CD803">
        <v>1</v>
      </c>
      <c r="CE803">
        <v>1</v>
      </c>
      <c r="CF803">
        <v>46</v>
      </c>
      <c r="CG803">
        <v>0</v>
      </c>
      <c r="CH803">
        <v>817</v>
      </c>
      <c r="CI803">
        <v>1</v>
      </c>
      <c r="CJ803">
        <v>2</v>
      </c>
      <c r="CK803">
        <v>4</v>
      </c>
      <c r="CL803">
        <v>18</v>
      </c>
      <c r="CM803">
        <v>9</v>
      </c>
      <c r="CN803">
        <v>6</v>
      </c>
      <c r="CO803">
        <v>1</v>
      </c>
      <c r="CP803">
        <v>0</v>
      </c>
      <c r="CQ803">
        <v>2</v>
      </c>
      <c r="CR803">
        <v>11</v>
      </c>
      <c r="CS803">
        <v>923</v>
      </c>
      <c r="CT803">
        <v>0</v>
      </c>
      <c r="CU803">
        <v>6</v>
      </c>
      <c r="CV803">
        <v>0</v>
      </c>
      <c r="CW803">
        <v>1</v>
      </c>
      <c r="CX803">
        <v>1</v>
      </c>
      <c r="CY803">
        <v>3</v>
      </c>
      <c r="CZ803">
        <v>0</v>
      </c>
      <c r="DA803">
        <v>0</v>
      </c>
      <c r="DB803">
        <v>0</v>
      </c>
      <c r="DC803">
        <v>0</v>
      </c>
      <c r="DD803">
        <v>1022</v>
      </c>
      <c r="DE803">
        <v>0</v>
      </c>
      <c r="DF803">
        <v>1</v>
      </c>
      <c r="DG803">
        <v>2</v>
      </c>
      <c r="DH803">
        <v>3</v>
      </c>
      <c r="DI803">
        <v>6</v>
      </c>
      <c r="DJ803">
        <v>4</v>
      </c>
      <c r="DK803">
        <v>2</v>
      </c>
      <c r="DL803">
        <v>3</v>
      </c>
      <c r="DM803">
        <v>0</v>
      </c>
      <c r="DN803">
        <v>7</v>
      </c>
      <c r="DO803">
        <v>939</v>
      </c>
      <c r="DP803">
        <v>8</v>
      </c>
      <c r="DQ803">
        <v>4</v>
      </c>
      <c r="DR803">
        <v>5</v>
      </c>
      <c r="DS803">
        <v>1</v>
      </c>
      <c r="DT803">
        <v>7</v>
      </c>
      <c r="DU803">
        <v>8</v>
      </c>
      <c r="DV803">
        <v>1</v>
      </c>
      <c r="DW803">
        <v>1</v>
      </c>
      <c r="DX803">
        <v>20</v>
      </c>
      <c r="DY803">
        <v>4</v>
      </c>
      <c r="DZ803">
        <v>958</v>
      </c>
      <c r="EA803">
        <v>0.9677</v>
      </c>
      <c r="EB803">
        <v>0.96864040231977999</v>
      </c>
      <c r="EC803">
        <v>0.96653763961723504</v>
      </c>
      <c r="ED803">
        <v>0.96716836390828498</v>
      </c>
      <c r="EE803">
        <f>SUM(Table1[[#This Row],[ratio_0]:[ratio_9]])</f>
        <v>550</v>
      </c>
      <c r="EF803" s="1">
        <f>(Table1[[#This Row],[predicted_0]]-Table1[[#This Row],[actual_0]])/Table1[[#This Row],[actual_0]]</f>
        <v>1.3265306122448979E-2</v>
      </c>
      <c r="EG803" s="1">
        <f>(Table1[[#This Row],[predicted_1]]-Table1[[#This Row],[actual_1]])/Table1[[#This Row],[actual_1]]</f>
        <v>2.7312775330396475E-2</v>
      </c>
      <c r="EH803" s="1">
        <f>(Table1[[#This Row],[predicted_2]]-Table1[[#This Row],[actual_2]])/Table1[[#This Row],[actual_2]]</f>
        <v>2.9069767441860465E-3</v>
      </c>
      <c r="EI803" s="1">
        <f>(Table1[[#This Row],[predicted_3]]-Table1[[#This Row],[actual_3]])/Table1[[#This Row],[actual_3]]</f>
        <v>4.7524752475247525E-2</v>
      </c>
      <c r="EJ803" s="1">
        <f>(Table1[[#This Row],[predicted_4]]-Table1[[#This Row],[actual_4]])/Table1[[#This Row],[actual_4]]</f>
        <v>-7.2301425661914456E-2</v>
      </c>
      <c r="EK803" s="1">
        <f>(Table1[[#This Row],[predicted_5]]-Table1[[#This Row],[actual_5]])/Table1[[#This Row],[actual_5]]</f>
        <v>-6.614349775784753E-2</v>
      </c>
      <c r="EL803" s="1">
        <f>(Table1[[#This Row],[predicted_6]]-Table1[[#This Row],[actual_6]])/Table1[[#This Row],[actual_6]]</f>
        <v>-2.7139874739039668E-2</v>
      </c>
      <c r="EM803" s="1">
        <f>(Table1[[#This Row],[predicted_7]]-Table1[[#This Row],[actual_7]])/Table1[[#This Row],[actual_7]]</f>
        <v>5.642023346303502E-2</v>
      </c>
      <c r="EN803" s="1">
        <f>(Table1[[#This Row],[predicted_8]]-Table1[[#This Row],[actual_8]])/Table1[[#This Row],[actual_8]]</f>
        <v>-1.3347022587268994E-2</v>
      </c>
      <c r="EO803" s="1">
        <f>(Table1[[#This Row],[predicted_9]]-Table1[[#This Row],[actual_9]])/Table1[[#This Row],[actual_9]]</f>
        <v>1.5857284440039643E-2</v>
      </c>
      <c r="EP803" s="1">
        <f>1+(Table1[[#This Row],[error_ratio_0]]-EF$2)</f>
        <v>1.0112244897959184</v>
      </c>
      <c r="EQ803" s="1">
        <f>1+(Table1[[#This Row],[error_ratio_1]]-EG$2)</f>
        <v>1.0255506607929514</v>
      </c>
      <c r="ER803" s="1">
        <f>1+(Table1[[#This Row],[error_ratio_2]]-EH$2)</f>
        <v>1.0077519379844961</v>
      </c>
      <c r="ES803" s="1">
        <f>1+(Table1[[#This Row],[error_ratio_3]]-EI$2)</f>
        <v>1.0376237623762377</v>
      </c>
      <c r="ET803" s="1">
        <f>1+(Table1[[#This Row],[error_ratio_4]]-EJ$2)</f>
        <v>0.92668024439918528</v>
      </c>
      <c r="EU803" s="1">
        <f>1+(Table1[[#This Row],[error_ratio_5]]-EK$2)</f>
        <v>0.93273542600896864</v>
      </c>
      <c r="EV803" s="1">
        <f>1+(Table1[[#This Row],[error_ratio_6]]-EL$2)</f>
        <v>0.97912317327766174</v>
      </c>
      <c r="EW803" s="1">
        <f>1+(Table1[[#This Row],[error_ratio_7]]-EM$2)</f>
        <v>1.0544747081712063</v>
      </c>
      <c r="EX803" s="1">
        <f>1+(Table1[[#This Row],[error_ratio_8]]-EN$2)</f>
        <v>0.98973305954825463</v>
      </c>
      <c r="EY803" s="1">
        <f>1+(Table1[[#This Row],[error_ratio_9]]-EO$2)</f>
        <v>1.0198216055500495</v>
      </c>
    </row>
    <row r="804" spans="1:155" x14ac:dyDescent="0.75">
      <c r="A804">
        <v>10</v>
      </c>
      <c r="B804">
        <v>100</v>
      </c>
      <c r="C804">
        <v>100</v>
      </c>
      <c r="D804">
        <v>100</v>
      </c>
      <c r="E804">
        <v>10</v>
      </c>
      <c r="F804">
        <v>10</v>
      </c>
      <c r="G804">
        <v>10</v>
      </c>
      <c r="H804">
        <v>100</v>
      </c>
      <c r="I804">
        <v>10</v>
      </c>
      <c r="J804">
        <v>10</v>
      </c>
      <c r="K804">
        <v>963</v>
      </c>
      <c r="L804">
        <v>1183</v>
      </c>
      <c r="M804">
        <v>1118</v>
      </c>
      <c r="N804">
        <v>1091</v>
      </c>
      <c r="O804">
        <v>930</v>
      </c>
      <c r="P804">
        <v>843</v>
      </c>
      <c r="Q804">
        <v>970</v>
      </c>
      <c r="R804">
        <v>1052</v>
      </c>
      <c r="S804">
        <v>851</v>
      </c>
      <c r="T804">
        <v>999</v>
      </c>
      <c r="U804">
        <v>980</v>
      </c>
      <c r="V804">
        <v>1135</v>
      </c>
      <c r="W804">
        <v>1032</v>
      </c>
      <c r="X804">
        <v>1010</v>
      </c>
      <c r="Y804">
        <v>982</v>
      </c>
      <c r="Z804">
        <v>892</v>
      </c>
      <c r="AA804">
        <v>958</v>
      </c>
      <c r="AB804">
        <v>1028</v>
      </c>
      <c r="AC804">
        <v>974</v>
      </c>
      <c r="AD804">
        <v>1009</v>
      </c>
      <c r="AE804">
        <v>943</v>
      </c>
      <c r="AF804">
        <v>2</v>
      </c>
      <c r="AG804">
        <v>22</v>
      </c>
      <c r="AH804">
        <v>2</v>
      </c>
      <c r="AI804">
        <v>0</v>
      </c>
      <c r="AJ804">
        <v>2</v>
      </c>
      <c r="AK804">
        <v>5</v>
      </c>
      <c r="AL804">
        <v>2</v>
      </c>
      <c r="AM804">
        <v>1</v>
      </c>
      <c r="AN804">
        <v>1</v>
      </c>
      <c r="AO804">
        <v>0</v>
      </c>
      <c r="AP804">
        <v>1133</v>
      </c>
      <c r="AQ804">
        <v>0</v>
      </c>
      <c r="AR804">
        <v>1</v>
      </c>
      <c r="AS804">
        <v>0</v>
      </c>
      <c r="AT804">
        <v>1</v>
      </c>
      <c r="AU804">
        <v>0</v>
      </c>
      <c r="AV804">
        <v>0</v>
      </c>
      <c r="AW804">
        <v>0</v>
      </c>
      <c r="AX804">
        <v>0</v>
      </c>
      <c r="AY804">
        <v>0</v>
      </c>
      <c r="AZ804">
        <v>1</v>
      </c>
      <c r="BA804">
        <v>1024</v>
      </c>
      <c r="BB804">
        <v>2</v>
      </c>
      <c r="BC804">
        <v>0</v>
      </c>
      <c r="BD804">
        <v>0</v>
      </c>
      <c r="BE804">
        <v>1</v>
      </c>
      <c r="BF804">
        <v>4</v>
      </c>
      <c r="BG804">
        <v>0</v>
      </c>
      <c r="BH804">
        <v>0</v>
      </c>
      <c r="BI804">
        <v>0</v>
      </c>
      <c r="BJ804">
        <v>0</v>
      </c>
      <c r="BK804">
        <v>3</v>
      </c>
      <c r="BL804">
        <v>1003</v>
      </c>
      <c r="BM804">
        <v>0</v>
      </c>
      <c r="BN804">
        <v>2</v>
      </c>
      <c r="BO804">
        <v>0</v>
      </c>
      <c r="BP804">
        <v>1</v>
      </c>
      <c r="BQ804">
        <v>0</v>
      </c>
      <c r="BR804">
        <v>1</v>
      </c>
      <c r="BS804">
        <v>2</v>
      </c>
      <c r="BT804">
        <v>19</v>
      </c>
      <c r="BU804">
        <v>16</v>
      </c>
      <c r="BV804">
        <v>0</v>
      </c>
      <c r="BW804">
        <v>910</v>
      </c>
      <c r="BX804">
        <v>0</v>
      </c>
      <c r="BY804">
        <v>11</v>
      </c>
      <c r="BZ804">
        <v>7</v>
      </c>
      <c r="CA804">
        <v>1</v>
      </c>
      <c r="CB804">
        <v>16</v>
      </c>
      <c r="CC804">
        <v>3</v>
      </c>
      <c r="CD804">
        <v>1</v>
      </c>
      <c r="CE804">
        <v>1</v>
      </c>
      <c r="CF804">
        <v>43</v>
      </c>
      <c r="CG804">
        <v>0</v>
      </c>
      <c r="CH804">
        <v>829</v>
      </c>
      <c r="CI804">
        <v>8</v>
      </c>
      <c r="CJ804">
        <v>1</v>
      </c>
      <c r="CK804">
        <v>4</v>
      </c>
      <c r="CL804">
        <v>2</v>
      </c>
      <c r="CM804">
        <v>8</v>
      </c>
      <c r="CN804">
        <v>5</v>
      </c>
      <c r="CO804">
        <v>6</v>
      </c>
      <c r="CP804">
        <v>1</v>
      </c>
      <c r="CQ804">
        <v>2</v>
      </c>
      <c r="CR804">
        <v>3</v>
      </c>
      <c r="CS804">
        <v>933</v>
      </c>
      <c r="CT804">
        <v>0</v>
      </c>
      <c r="CU804">
        <v>0</v>
      </c>
      <c r="CV804">
        <v>0</v>
      </c>
      <c r="CW804">
        <v>1</v>
      </c>
      <c r="CX804">
        <v>3</v>
      </c>
      <c r="CY804">
        <v>7</v>
      </c>
      <c r="CZ804">
        <v>1</v>
      </c>
      <c r="DA804">
        <v>0</v>
      </c>
      <c r="DB804">
        <v>0</v>
      </c>
      <c r="DC804">
        <v>0</v>
      </c>
      <c r="DD804">
        <v>1014</v>
      </c>
      <c r="DE804">
        <v>0</v>
      </c>
      <c r="DF804">
        <v>2</v>
      </c>
      <c r="DG804">
        <v>4</v>
      </c>
      <c r="DH804">
        <v>11</v>
      </c>
      <c r="DI804">
        <v>39</v>
      </c>
      <c r="DJ804">
        <v>28</v>
      </c>
      <c r="DK804">
        <v>3</v>
      </c>
      <c r="DL804">
        <v>1</v>
      </c>
      <c r="DM804">
        <v>9</v>
      </c>
      <c r="DN804">
        <v>11</v>
      </c>
      <c r="DO804">
        <v>843</v>
      </c>
      <c r="DP804">
        <v>25</v>
      </c>
      <c r="DQ804">
        <v>2</v>
      </c>
      <c r="DR804">
        <v>8</v>
      </c>
      <c r="DS804">
        <v>0</v>
      </c>
      <c r="DT804">
        <v>10</v>
      </c>
      <c r="DU804">
        <v>15</v>
      </c>
      <c r="DV804">
        <v>5</v>
      </c>
      <c r="DW804">
        <v>3</v>
      </c>
      <c r="DX804">
        <v>12</v>
      </c>
      <c r="DY804">
        <v>2</v>
      </c>
      <c r="DZ804">
        <v>952</v>
      </c>
      <c r="EA804">
        <v>0.95840000000000003</v>
      </c>
      <c r="EB804">
        <v>0.96034009981151602</v>
      </c>
      <c r="EC804">
        <v>0.95711493878953002</v>
      </c>
      <c r="ED804">
        <v>0.95779599188884301</v>
      </c>
      <c r="EE804">
        <f>SUM(Table1[[#This Row],[ratio_0]:[ratio_9]])</f>
        <v>460</v>
      </c>
      <c r="EF804" s="1">
        <f>(Table1[[#This Row],[predicted_0]]-Table1[[#This Row],[actual_0]])/Table1[[#This Row],[actual_0]]</f>
        <v>-1.7346938775510204E-2</v>
      </c>
      <c r="EG804" s="1">
        <f>(Table1[[#This Row],[predicted_1]]-Table1[[#This Row],[actual_1]])/Table1[[#This Row],[actual_1]]</f>
        <v>4.2290748898678412E-2</v>
      </c>
      <c r="EH804" s="1">
        <f>(Table1[[#This Row],[predicted_2]]-Table1[[#This Row],[actual_2]])/Table1[[#This Row],[actual_2]]</f>
        <v>8.3333333333333329E-2</v>
      </c>
      <c r="EI804" s="1">
        <f>(Table1[[#This Row],[predicted_3]]-Table1[[#This Row],[actual_3]])/Table1[[#This Row],[actual_3]]</f>
        <v>8.01980198019802E-2</v>
      </c>
      <c r="EJ804" s="1">
        <f>(Table1[[#This Row],[predicted_4]]-Table1[[#This Row],[actual_4]])/Table1[[#This Row],[actual_4]]</f>
        <v>-5.2953156822810592E-2</v>
      </c>
      <c r="EK804" s="1">
        <f>(Table1[[#This Row],[predicted_5]]-Table1[[#This Row],[actual_5]])/Table1[[#This Row],[actual_5]]</f>
        <v>-5.4932735426008968E-2</v>
      </c>
      <c r="EL804" s="1">
        <f>(Table1[[#This Row],[predicted_6]]-Table1[[#This Row],[actual_6]])/Table1[[#This Row],[actual_6]]</f>
        <v>1.2526096033402923E-2</v>
      </c>
      <c r="EM804" s="1">
        <f>(Table1[[#This Row],[predicted_7]]-Table1[[#This Row],[actual_7]])/Table1[[#This Row],[actual_7]]</f>
        <v>2.3346303501945526E-2</v>
      </c>
      <c r="EN804" s="1">
        <f>(Table1[[#This Row],[predicted_8]]-Table1[[#This Row],[actual_8]])/Table1[[#This Row],[actual_8]]</f>
        <v>-0.12628336755646818</v>
      </c>
      <c r="EO804" s="1">
        <f>(Table1[[#This Row],[predicted_9]]-Table1[[#This Row],[actual_9]])/Table1[[#This Row],[actual_9]]</f>
        <v>-9.9108027750247768E-3</v>
      </c>
      <c r="EP804" s="1">
        <f>1+(Table1[[#This Row],[error_ratio_0]]-EF$2)</f>
        <v>0.98061224489795917</v>
      </c>
      <c r="EQ804" s="1">
        <f>1+(Table1[[#This Row],[error_ratio_1]]-EG$2)</f>
        <v>1.0405286343612334</v>
      </c>
      <c r="ER804" s="1">
        <f>1+(Table1[[#This Row],[error_ratio_2]]-EH$2)</f>
        <v>1.0881782945736433</v>
      </c>
      <c r="ES804" s="1">
        <f>1+(Table1[[#This Row],[error_ratio_3]]-EI$2)</f>
        <v>1.0702970297029704</v>
      </c>
      <c r="ET804" s="1">
        <f>1+(Table1[[#This Row],[error_ratio_4]]-EJ$2)</f>
        <v>0.94602851323828918</v>
      </c>
      <c r="EU804" s="1">
        <f>1+(Table1[[#This Row],[error_ratio_5]]-EK$2)</f>
        <v>0.94394618834080712</v>
      </c>
      <c r="EV804" s="1">
        <f>1+(Table1[[#This Row],[error_ratio_6]]-EL$2)</f>
        <v>1.0187891440501045</v>
      </c>
      <c r="EW804" s="1">
        <f>1+(Table1[[#This Row],[error_ratio_7]]-EM$2)</f>
        <v>1.0214007782101167</v>
      </c>
      <c r="EX804" s="1">
        <f>1+(Table1[[#This Row],[error_ratio_8]]-EN$2)</f>
        <v>0.87679671457905539</v>
      </c>
      <c r="EY804" s="1">
        <f>1+(Table1[[#This Row],[error_ratio_9]]-EO$2)</f>
        <v>0.99405351833498512</v>
      </c>
    </row>
    <row r="805" spans="1:155" x14ac:dyDescent="0.75">
      <c r="A805">
        <v>100</v>
      </c>
      <c r="B805">
        <v>10</v>
      </c>
      <c r="C805">
        <v>100</v>
      </c>
      <c r="D805">
        <v>100</v>
      </c>
      <c r="E805">
        <v>10</v>
      </c>
      <c r="F805">
        <v>10</v>
      </c>
      <c r="G805">
        <v>10</v>
      </c>
      <c r="H805">
        <v>100</v>
      </c>
      <c r="I805">
        <v>10</v>
      </c>
      <c r="J805">
        <v>10</v>
      </c>
      <c r="K805">
        <v>1078</v>
      </c>
      <c r="L805">
        <v>1122</v>
      </c>
      <c r="M805">
        <v>1048</v>
      </c>
      <c r="N805">
        <v>1108</v>
      </c>
      <c r="O805">
        <v>1027</v>
      </c>
      <c r="P805">
        <v>760</v>
      </c>
      <c r="Q805">
        <v>867</v>
      </c>
      <c r="R805">
        <v>1080</v>
      </c>
      <c r="S805">
        <v>894</v>
      </c>
      <c r="T805">
        <v>1016</v>
      </c>
      <c r="U805">
        <v>980</v>
      </c>
      <c r="V805">
        <v>1135</v>
      </c>
      <c r="W805">
        <v>1032</v>
      </c>
      <c r="X805">
        <v>1010</v>
      </c>
      <c r="Y805">
        <v>982</v>
      </c>
      <c r="Z805">
        <v>892</v>
      </c>
      <c r="AA805">
        <v>958</v>
      </c>
      <c r="AB805">
        <v>1028</v>
      </c>
      <c r="AC805">
        <v>974</v>
      </c>
      <c r="AD805">
        <v>1009</v>
      </c>
      <c r="AE805">
        <v>975</v>
      </c>
      <c r="AF805">
        <v>0</v>
      </c>
      <c r="AG805">
        <v>1</v>
      </c>
      <c r="AH805">
        <v>0</v>
      </c>
      <c r="AI805">
        <v>0</v>
      </c>
      <c r="AJ805">
        <v>0</v>
      </c>
      <c r="AK805">
        <v>0</v>
      </c>
      <c r="AL805">
        <v>2</v>
      </c>
      <c r="AM805">
        <v>0</v>
      </c>
      <c r="AN805">
        <v>2</v>
      </c>
      <c r="AO805">
        <v>1</v>
      </c>
      <c r="AP805">
        <v>1114</v>
      </c>
      <c r="AQ805">
        <v>6</v>
      </c>
      <c r="AR805">
        <v>4</v>
      </c>
      <c r="AS805">
        <v>1</v>
      </c>
      <c r="AT805">
        <v>0</v>
      </c>
      <c r="AU805">
        <v>0</v>
      </c>
      <c r="AV805">
        <v>8</v>
      </c>
      <c r="AW805">
        <v>1</v>
      </c>
      <c r="AX805">
        <v>0</v>
      </c>
      <c r="AY805">
        <v>7</v>
      </c>
      <c r="AZ805">
        <v>0</v>
      </c>
      <c r="BA805">
        <v>1016</v>
      </c>
      <c r="BB805">
        <v>1</v>
      </c>
      <c r="BC805">
        <v>2</v>
      </c>
      <c r="BD805">
        <v>0</v>
      </c>
      <c r="BE805">
        <v>0</v>
      </c>
      <c r="BF805">
        <v>6</v>
      </c>
      <c r="BG805">
        <v>0</v>
      </c>
      <c r="BH805">
        <v>0</v>
      </c>
      <c r="BI805">
        <v>2</v>
      </c>
      <c r="BJ805">
        <v>0</v>
      </c>
      <c r="BK805">
        <v>3</v>
      </c>
      <c r="BL805">
        <v>998</v>
      </c>
      <c r="BM805">
        <v>0</v>
      </c>
      <c r="BN805">
        <v>0</v>
      </c>
      <c r="BO805">
        <v>0</v>
      </c>
      <c r="BP805">
        <v>4</v>
      </c>
      <c r="BQ805">
        <v>0</v>
      </c>
      <c r="BR805">
        <v>3</v>
      </c>
      <c r="BS805">
        <v>0</v>
      </c>
      <c r="BT805">
        <v>0</v>
      </c>
      <c r="BU805">
        <v>0</v>
      </c>
      <c r="BV805">
        <v>0</v>
      </c>
      <c r="BW805">
        <v>960</v>
      </c>
      <c r="BX805">
        <v>0</v>
      </c>
      <c r="BY805">
        <v>1</v>
      </c>
      <c r="BZ805">
        <v>1</v>
      </c>
      <c r="CA805">
        <v>1</v>
      </c>
      <c r="CB805">
        <v>19</v>
      </c>
      <c r="CC805">
        <v>19</v>
      </c>
      <c r="CD805">
        <v>0</v>
      </c>
      <c r="CE805">
        <v>3</v>
      </c>
      <c r="CF805">
        <v>84</v>
      </c>
      <c r="CG805">
        <v>2</v>
      </c>
      <c r="CH805">
        <v>752</v>
      </c>
      <c r="CI805">
        <v>2</v>
      </c>
      <c r="CJ805">
        <v>7</v>
      </c>
      <c r="CK805">
        <v>5</v>
      </c>
      <c r="CL805">
        <v>18</v>
      </c>
      <c r="CM805">
        <v>44</v>
      </c>
      <c r="CN805">
        <v>5</v>
      </c>
      <c r="CO805">
        <v>3</v>
      </c>
      <c r="CP805">
        <v>0</v>
      </c>
      <c r="CQ805">
        <v>44</v>
      </c>
      <c r="CR805">
        <v>0</v>
      </c>
      <c r="CS805">
        <v>861</v>
      </c>
      <c r="CT805">
        <v>0</v>
      </c>
      <c r="CU805">
        <v>1</v>
      </c>
      <c r="CV805">
        <v>0</v>
      </c>
      <c r="CW805">
        <v>0</v>
      </c>
      <c r="CX805">
        <v>1</v>
      </c>
      <c r="CY805">
        <v>9</v>
      </c>
      <c r="CZ805">
        <v>0</v>
      </c>
      <c r="DA805">
        <v>1</v>
      </c>
      <c r="DB805">
        <v>0</v>
      </c>
      <c r="DC805">
        <v>0</v>
      </c>
      <c r="DD805">
        <v>1016</v>
      </c>
      <c r="DE805">
        <v>1</v>
      </c>
      <c r="DF805">
        <v>0</v>
      </c>
      <c r="DG805">
        <v>27</v>
      </c>
      <c r="DH805">
        <v>1</v>
      </c>
      <c r="DI805">
        <v>7</v>
      </c>
      <c r="DJ805">
        <v>11</v>
      </c>
      <c r="DK805">
        <v>6</v>
      </c>
      <c r="DL805">
        <v>1</v>
      </c>
      <c r="DM805">
        <v>3</v>
      </c>
      <c r="DN805">
        <v>16</v>
      </c>
      <c r="DO805">
        <v>884</v>
      </c>
      <c r="DP805">
        <v>18</v>
      </c>
      <c r="DQ805">
        <v>3</v>
      </c>
      <c r="DR805">
        <v>1</v>
      </c>
      <c r="DS805">
        <v>0</v>
      </c>
      <c r="DT805">
        <v>10</v>
      </c>
      <c r="DU805">
        <v>11</v>
      </c>
      <c r="DV805">
        <v>7</v>
      </c>
      <c r="DW805">
        <v>0</v>
      </c>
      <c r="DX805">
        <v>20</v>
      </c>
      <c r="DY805">
        <v>1</v>
      </c>
      <c r="DZ805">
        <v>956</v>
      </c>
      <c r="EA805">
        <v>0.95320000000000005</v>
      </c>
      <c r="EB805">
        <v>0.95553248862854501</v>
      </c>
      <c r="EC805">
        <v>0.95118012810234998</v>
      </c>
      <c r="ED805">
        <v>0.95182783458445197</v>
      </c>
      <c r="EE805">
        <f>SUM(Table1[[#This Row],[ratio_0]:[ratio_9]])</f>
        <v>460</v>
      </c>
      <c r="EF805" s="1">
        <f>(Table1[[#This Row],[predicted_0]]-Table1[[#This Row],[actual_0]])/Table1[[#This Row],[actual_0]]</f>
        <v>0.1</v>
      </c>
      <c r="EG805" s="1">
        <f>(Table1[[#This Row],[predicted_1]]-Table1[[#This Row],[actual_1]])/Table1[[#This Row],[actual_1]]</f>
        <v>-1.145374449339207E-2</v>
      </c>
      <c r="EH805" s="1">
        <f>(Table1[[#This Row],[predicted_2]]-Table1[[#This Row],[actual_2]])/Table1[[#This Row],[actual_2]]</f>
        <v>1.5503875968992248E-2</v>
      </c>
      <c r="EI805" s="1">
        <f>(Table1[[#This Row],[predicted_3]]-Table1[[#This Row],[actual_3]])/Table1[[#This Row],[actual_3]]</f>
        <v>9.7029702970297033E-2</v>
      </c>
      <c r="EJ805" s="1">
        <f>(Table1[[#This Row],[predicted_4]]-Table1[[#This Row],[actual_4]])/Table1[[#This Row],[actual_4]]</f>
        <v>4.5824847250509164E-2</v>
      </c>
      <c r="EK805" s="1">
        <f>(Table1[[#This Row],[predicted_5]]-Table1[[#This Row],[actual_5]])/Table1[[#This Row],[actual_5]]</f>
        <v>-0.14798206278026907</v>
      </c>
      <c r="EL805" s="1">
        <f>(Table1[[#This Row],[predicted_6]]-Table1[[#This Row],[actual_6]])/Table1[[#This Row],[actual_6]]</f>
        <v>-9.4989561586638835E-2</v>
      </c>
      <c r="EM805" s="1">
        <f>(Table1[[#This Row],[predicted_7]]-Table1[[#This Row],[actual_7]])/Table1[[#This Row],[actual_7]]</f>
        <v>5.0583657587548639E-2</v>
      </c>
      <c r="EN805" s="1">
        <f>(Table1[[#This Row],[predicted_8]]-Table1[[#This Row],[actual_8]])/Table1[[#This Row],[actual_8]]</f>
        <v>-8.2135523613963035E-2</v>
      </c>
      <c r="EO805" s="1">
        <f>(Table1[[#This Row],[predicted_9]]-Table1[[#This Row],[actual_9]])/Table1[[#This Row],[actual_9]]</f>
        <v>6.9375619425173438E-3</v>
      </c>
      <c r="EP805" s="1">
        <f>1+(Table1[[#This Row],[error_ratio_0]]-EF$2)</f>
        <v>1.0979591836734695</v>
      </c>
      <c r="EQ805" s="1">
        <f>1+(Table1[[#This Row],[error_ratio_1]]-EG$2)</f>
        <v>0.986784140969163</v>
      </c>
      <c r="ER805" s="1">
        <f>1+(Table1[[#This Row],[error_ratio_2]]-EH$2)</f>
        <v>1.0203488372093024</v>
      </c>
      <c r="ES805" s="1">
        <f>1+(Table1[[#This Row],[error_ratio_3]]-EI$2)</f>
        <v>1.0871287128712872</v>
      </c>
      <c r="ET805" s="1">
        <f>1+(Table1[[#This Row],[error_ratio_4]]-EJ$2)</f>
        <v>1.044806517311609</v>
      </c>
      <c r="EU805" s="1">
        <f>1+(Table1[[#This Row],[error_ratio_5]]-EK$2)</f>
        <v>0.85089686098654704</v>
      </c>
      <c r="EV805" s="1">
        <f>1+(Table1[[#This Row],[error_ratio_6]]-EL$2)</f>
        <v>0.91127348643006267</v>
      </c>
      <c r="EW805" s="1">
        <f>1+(Table1[[#This Row],[error_ratio_7]]-EM$2)</f>
        <v>1.0486381322957199</v>
      </c>
      <c r="EX805" s="1">
        <f>1+(Table1[[#This Row],[error_ratio_8]]-EN$2)</f>
        <v>0.92094455852156054</v>
      </c>
      <c r="EY805" s="1">
        <f>1+(Table1[[#This Row],[error_ratio_9]]-EO$2)</f>
        <v>1.0109018830525272</v>
      </c>
    </row>
    <row r="806" spans="1:155" x14ac:dyDescent="0.75">
      <c r="A806">
        <v>10</v>
      </c>
      <c r="B806">
        <v>10</v>
      </c>
      <c r="C806">
        <v>100</v>
      </c>
      <c r="D806">
        <v>100</v>
      </c>
      <c r="E806">
        <v>10</v>
      </c>
      <c r="F806">
        <v>10</v>
      </c>
      <c r="G806">
        <v>10</v>
      </c>
      <c r="H806">
        <v>100</v>
      </c>
      <c r="I806">
        <v>10</v>
      </c>
      <c r="J806">
        <v>10</v>
      </c>
      <c r="K806">
        <v>0</v>
      </c>
      <c r="L806">
        <v>0</v>
      </c>
      <c r="M806">
        <v>0</v>
      </c>
      <c r="N806">
        <v>10000</v>
      </c>
      <c r="O806">
        <v>0</v>
      </c>
      <c r="P806">
        <v>0</v>
      </c>
      <c r="Q806">
        <v>0</v>
      </c>
      <c r="R806">
        <v>0</v>
      </c>
      <c r="S806">
        <v>0</v>
      </c>
      <c r="T806">
        <v>0</v>
      </c>
      <c r="U806">
        <v>980</v>
      </c>
      <c r="V806">
        <v>1135</v>
      </c>
      <c r="W806">
        <v>1032</v>
      </c>
      <c r="X806">
        <v>1010</v>
      </c>
      <c r="Y806">
        <v>982</v>
      </c>
      <c r="Z806">
        <v>892</v>
      </c>
      <c r="AA806">
        <v>958</v>
      </c>
      <c r="AB806">
        <v>1028</v>
      </c>
      <c r="AC806">
        <v>974</v>
      </c>
      <c r="AD806">
        <v>1009</v>
      </c>
      <c r="AE806">
        <v>0</v>
      </c>
      <c r="AF806">
        <v>0</v>
      </c>
      <c r="AG806">
        <v>0</v>
      </c>
      <c r="AH806">
        <v>980</v>
      </c>
      <c r="AI806">
        <v>0</v>
      </c>
      <c r="AJ806">
        <v>0</v>
      </c>
      <c r="AK806">
        <v>0</v>
      </c>
      <c r="AL806">
        <v>0</v>
      </c>
      <c r="AM806">
        <v>0</v>
      </c>
      <c r="AN806">
        <v>0</v>
      </c>
      <c r="AO806">
        <v>0</v>
      </c>
      <c r="AP806">
        <v>0</v>
      </c>
      <c r="AQ806">
        <v>0</v>
      </c>
      <c r="AR806">
        <v>1135</v>
      </c>
      <c r="AS806">
        <v>0</v>
      </c>
      <c r="AT806">
        <v>0</v>
      </c>
      <c r="AU806">
        <v>0</v>
      </c>
      <c r="AV806">
        <v>0</v>
      </c>
      <c r="AW806">
        <v>0</v>
      </c>
      <c r="AX806">
        <v>0</v>
      </c>
      <c r="AY806">
        <v>0</v>
      </c>
      <c r="AZ806">
        <v>0</v>
      </c>
      <c r="BA806">
        <v>0</v>
      </c>
      <c r="BB806">
        <v>1032</v>
      </c>
      <c r="BC806">
        <v>0</v>
      </c>
      <c r="BD806">
        <v>0</v>
      </c>
      <c r="BE806">
        <v>0</v>
      </c>
      <c r="BF806">
        <v>0</v>
      </c>
      <c r="BG806">
        <v>0</v>
      </c>
      <c r="BH806">
        <v>0</v>
      </c>
      <c r="BI806">
        <v>0</v>
      </c>
      <c r="BJ806">
        <v>0</v>
      </c>
      <c r="BK806">
        <v>0</v>
      </c>
      <c r="BL806">
        <v>1010</v>
      </c>
      <c r="BM806">
        <v>0</v>
      </c>
      <c r="BN806">
        <v>0</v>
      </c>
      <c r="BO806">
        <v>0</v>
      </c>
      <c r="BP806">
        <v>0</v>
      </c>
      <c r="BQ806">
        <v>0</v>
      </c>
      <c r="BR806">
        <v>0</v>
      </c>
      <c r="BS806">
        <v>0</v>
      </c>
      <c r="BT806">
        <v>0</v>
      </c>
      <c r="BU806">
        <v>0</v>
      </c>
      <c r="BV806">
        <v>982</v>
      </c>
      <c r="BW806">
        <v>0</v>
      </c>
      <c r="BX806">
        <v>0</v>
      </c>
      <c r="BY806">
        <v>0</v>
      </c>
      <c r="BZ806">
        <v>0</v>
      </c>
      <c r="CA806">
        <v>0</v>
      </c>
      <c r="CB806">
        <v>0</v>
      </c>
      <c r="CC806">
        <v>0</v>
      </c>
      <c r="CD806">
        <v>0</v>
      </c>
      <c r="CE806">
        <v>0</v>
      </c>
      <c r="CF806">
        <v>892</v>
      </c>
      <c r="CG806">
        <v>0</v>
      </c>
      <c r="CH806">
        <v>0</v>
      </c>
      <c r="CI806">
        <v>0</v>
      </c>
      <c r="CJ806">
        <v>0</v>
      </c>
      <c r="CK806">
        <v>0</v>
      </c>
      <c r="CL806">
        <v>0</v>
      </c>
      <c r="CM806">
        <v>0</v>
      </c>
      <c r="CN806">
        <v>0</v>
      </c>
      <c r="CO806">
        <v>0</v>
      </c>
      <c r="CP806">
        <v>958</v>
      </c>
      <c r="CQ806">
        <v>0</v>
      </c>
      <c r="CR806">
        <v>0</v>
      </c>
      <c r="CS806">
        <v>0</v>
      </c>
      <c r="CT806">
        <v>0</v>
      </c>
      <c r="CU806">
        <v>0</v>
      </c>
      <c r="CV806">
        <v>0</v>
      </c>
      <c r="CW806">
        <v>0</v>
      </c>
      <c r="CX806">
        <v>0</v>
      </c>
      <c r="CY806">
        <v>0</v>
      </c>
      <c r="CZ806">
        <v>1028</v>
      </c>
      <c r="DA806">
        <v>0</v>
      </c>
      <c r="DB806">
        <v>0</v>
      </c>
      <c r="DC806">
        <v>0</v>
      </c>
      <c r="DD806">
        <v>0</v>
      </c>
      <c r="DE806">
        <v>0</v>
      </c>
      <c r="DF806">
        <v>0</v>
      </c>
      <c r="DG806">
        <v>0</v>
      </c>
      <c r="DH806">
        <v>0</v>
      </c>
      <c r="DI806">
        <v>0</v>
      </c>
      <c r="DJ806">
        <v>974</v>
      </c>
      <c r="DK806">
        <v>0</v>
      </c>
      <c r="DL806">
        <v>0</v>
      </c>
      <c r="DM806">
        <v>0</v>
      </c>
      <c r="DN806">
        <v>0</v>
      </c>
      <c r="DO806">
        <v>0</v>
      </c>
      <c r="DP806">
        <v>0</v>
      </c>
      <c r="DQ806">
        <v>0</v>
      </c>
      <c r="DR806">
        <v>0</v>
      </c>
      <c r="DS806">
        <v>0</v>
      </c>
      <c r="DT806">
        <v>1009</v>
      </c>
      <c r="DU806">
        <v>0</v>
      </c>
      <c r="DV806">
        <v>0</v>
      </c>
      <c r="DW806">
        <v>0</v>
      </c>
      <c r="DX806">
        <v>0</v>
      </c>
      <c r="DY806">
        <v>0</v>
      </c>
      <c r="DZ806">
        <v>0</v>
      </c>
      <c r="EA806">
        <v>0.10100000000000001</v>
      </c>
      <c r="EB806">
        <v>0.10100000000000001</v>
      </c>
      <c r="EC806">
        <v>0.1</v>
      </c>
      <c r="ED806">
        <v>0.18346957311534901</v>
      </c>
      <c r="EE806">
        <f>SUM(Table1[[#This Row],[ratio_0]:[ratio_9]])</f>
        <v>370</v>
      </c>
      <c r="EF806" s="1">
        <f>(Table1[[#This Row],[predicted_0]]-Table1[[#This Row],[actual_0]])/Table1[[#This Row],[actual_0]]</f>
        <v>-1</v>
      </c>
      <c r="EG806" s="1">
        <f>(Table1[[#This Row],[predicted_1]]-Table1[[#This Row],[actual_1]])/Table1[[#This Row],[actual_1]]</f>
        <v>-1</v>
      </c>
      <c r="EH806" s="1">
        <f>(Table1[[#This Row],[predicted_2]]-Table1[[#This Row],[actual_2]])/Table1[[#This Row],[actual_2]]</f>
        <v>-1</v>
      </c>
      <c r="EI806" s="1">
        <f>(Table1[[#This Row],[predicted_3]]-Table1[[#This Row],[actual_3]])/Table1[[#This Row],[actual_3]]</f>
        <v>8.9009900990099009</v>
      </c>
      <c r="EJ806" s="1">
        <f>(Table1[[#This Row],[predicted_4]]-Table1[[#This Row],[actual_4]])/Table1[[#This Row],[actual_4]]</f>
        <v>-1</v>
      </c>
      <c r="EK806" s="1">
        <f>(Table1[[#This Row],[predicted_5]]-Table1[[#This Row],[actual_5]])/Table1[[#This Row],[actual_5]]</f>
        <v>-1</v>
      </c>
      <c r="EL806" s="1">
        <f>(Table1[[#This Row],[predicted_6]]-Table1[[#This Row],[actual_6]])/Table1[[#This Row],[actual_6]]</f>
        <v>-1</v>
      </c>
      <c r="EM806" s="1">
        <f>(Table1[[#This Row],[predicted_7]]-Table1[[#This Row],[actual_7]])/Table1[[#This Row],[actual_7]]</f>
        <v>-1</v>
      </c>
      <c r="EN806" s="1">
        <f>(Table1[[#This Row],[predicted_8]]-Table1[[#This Row],[actual_8]])/Table1[[#This Row],[actual_8]]</f>
        <v>-1</v>
      </c>
      <c r="EO806" s="1">
        <f>(Table1[[#This Row],[predicted_9]]-Table1[[#This Row],[actual_9]])/Table1[[#This Row],[actual_9]]</f>
        <v>-1</v>
      </c>
      <c r="EP806" s="1">
        <f>1+(Table1[[#This Row],[error_ratio_0]]-EF$2)</f>
        <v>-2.0408163265306367E-3</v>
      </c>
      <c r="EQ806" s="1">
        <f>1+(Table1[[#This Row],[error_ratio_1]]-EG$2)</f>
        <v>-1.7621145374449032E-3</v>
      </c>
      <c r="ER806" s="1">
        <f>1+(Table1[[#This Row],[error_ratio_2]]-EH$2)</f>
        <v>4.8449612403100861E-3</v>
      </c>
      <c r="ES806" s="1">
        <f>1+(Table1[[#This Row],[error_ratio_3]]-EI$2)</f>
        <v>9.8910891089108919</v>
      </c>
      <c r="ET806" s="1">
        <f>1+(Table1[[#This Row],[error_ratio_4]]-EJ$2)</f>
        <v>-1.0183299389001643E-3</v>
      </c>
      <c r="EU806" s="1">
        <f>1+(Table1[[#This Row],[error_ratio_5]]-EK$2)</f>
        <v>-1.1210762331839152E-3</v>
      </c>
      <c r="EV806" s="1">
        <f>1+(Table1[[#This Row],[error_ratio_6]]-EL$2)</f>
        <v>6.2630480167014113E-3</v>
      </c>
      <c r="EW806" s="1">
        <f>1+(Table1[[#This Row],[error_ratio_7]]-EM$2)</f>
        <v>-1.9455252918287869E-3</v>
      </c>
      <c r="EX806" s="1">
        <f>1+(Table1[[#This Row],[error_ratio_8]]-EN$2)</f>
        <v>3.0800821355235763E-3</v>
      </c>
      <c r="EY806" s="1">
        <f>1+(Table1[[#This Row],[error_ratio_9]]-EO$2)</f>
        <v>3.964321110009883E-3</v>
      </c>
    </row>
    <row r="807" spans="1:155" x14ac:dyDescent="0.75">
      <c r="A807">
        <v>100</v>
      </c>
      <c r="B807">
        <v>100</v>
      </c>
      <c r="C807">
        <v>10</v>
      </c>
      <c r="D807">
        <v>100</v>
      </c>
      <c r="E807">
        <v>10</v>
      </c>
      <c r="F807">
        <v>10</v>
      </c>
      <c r="G807">
        <v>10</v>
      </c>
      <c r="H807">
        <v>100</v>
      </c>
      <c r="I807">
        <v>10</v>
      </c>
      <c r="J807">
        <v>10</v>
      </c>
      <c r="K807">
        <v>1013</v>
      </c>
      <c r="L807">
        <v>1256</v>
      </c>
      <c r="M807">
        <v>817</v>
      </c>
      <c r="N807">
        <v>1108</v>
      </c>
      <c r="O807">
        <v>971</v>
      </c>
      <c r="P807">
        <v>843</v>
      </c>
      <c r="Q807">
        <v>937</v>
      </c>
      <c r="R807">
        <v>1145</v>
      </c>
      <c r="S807">
        <v>951</v>
      </c>
      <c r="T807">
        <v>959</v>
      </c>
      <c r="U807">
        <v>980</v>
      </c>
      <c r="V807">
        <v>1135</v>
      </c>
      <c r="W807">
        <v>1032</v>
      </c>
      <c r="X807">
        <v>1010</v>
      </c>
      <c r="Y807">
        <v>982</v>
      </c>
      <c r="Z807">
        <v>892</v>
      </c>
      <c r="AA807">
        <v>958</v>
      </c>
      <c r="AB807">
        <v>1028</v>
      </c>
      <c r="AC807">
        <v>974</v>
      </c>
      <c r="AD807">
        <v>1009</v>
      </c>
      <c r="AE807">
        <v>970</v>
      </c>
      <c r="AF807">
        <v>2</v>
      </c>
      <c r="AG807">
        <v>0</v>
      </c>
      <c r="AH807">
        <v>1</v>
      </c>
      <c r="AI807">
        <v>1</v>
      </c>
      <c r="AJ807">
        <v>0</v>
      </c>
      <c r="AK807">
        <v>0</v>
      </c>
      <c r="AL807">
        <v>1</v>
      </c>
      <c r="AM807">
        <v>0</v>
      </c>
      <c r="AN807">
        <v>5</v>
      </c>
      <c r="AO807">
        <v>0</v>
      </c>
      <c r="AP807">
        <v>1133</v>
      </c>
      <c r="AQ807">
        <v>0</v>
      </c>
      <c r="AR807">
        <v>1</v>
      </c>
      <c r="AS807">
        <v>0</v>
      </c>
      <c r="AT807">
        <v>1</v>
      </c>
      <c r="AU807">
        <v>0</v>
      </c>
      <c r="AV807">
        <v>0</v>
      </c>
      <c r="AW807">
        <v>0</v>
      </c>
      <c r="AX807">
        <v>0</v>
      </c>
      <c r="AY807">
        <v>6</v>
      </c>
      <c r="AZ807">
        <v>71</v>
      </c>
      <c r="BA807">
        <v>814</v>
      </c>
      <c r="BB807">
        <v>28</v>
      </c>
      <c r="BC807">
        <v>5</v>
      </c>
      <c r="BD807">
        <v>0</v>
      </c>
      <c r="BE807">
        <v>4</v>
      </c>
      <c r="BF807">
        <v>88</v>
      </c>
      <c r="BG807">
        <v>13</v>
      </c>
      <c r="BH807">
        <v>3</v>
      </c>
      <c r="BI807">
        <v>3</v>
      </c>
      <c r="BJ807">
        <v>0</v>
      </c>
      <c r="BK807">
        <v>0</v>
      </c>
      <c r="BL807">
        <v>1002</v>
      </c>
      <c r="BM807">
        <v>0</v>
      </c>
      <c r="BN807">
        <v>0</v>
      </c>
      <c r="BO807">
        <v>0</v>
      </c>
      <c r="BP807">
        <v>2</v>
      </c>
      <c r="BQ807">
        <v>3</v>
      </c>
      <c r="BR807">
        <v>0</v>
      </c>
      <c r="BS807">
        <v>0</v>
      </c>
      <c r="BT807">
        <v>11</v>
      </c>
      <c r="BU807">
        <v>0</v>
      </c>
      <c r="BV807">
        <v>0</v>
      </c>
      <c r="BW807">
        <v>949</v>
      </c>
      <c r="BX807">
        <v>0</v>
      </c>
      <c r="BY807">
        <v>6</v>
      </c>
      <c r="BZ807">
        <v>3</v>
      </c>
      <c r="CA807">
        <v>3</v>
      </c>
      <c r="CB807">
        <v>10</v>
      </c>
      <c r="CC807">
        <v>7</v>
      </c>
      <c r="CD807">
        <v>1</v>
      </c>
      <c r="CE807">
        <v>0</v>
      </c>
      <c r="CF807">
        <v>43</v>
      </c>
      <c r="CG807">
        <v>0</v>
      </c>
      <c r="CH807">
        <v>823</v>
      </c>
      <c r="CI807">
        <v>4</v>
      </c>
      <c r="CJ807">
        <v>2</v>
      </c>
      <c r="CK807">
        <v>8</v>
      </c>
      <c r="CL807">
        <v>4</v>
      </c>
      <c r="CM807">
        <v>15</v>
      </c>
      <c r="CN807">
        <v>8</v>
      </c>
      <c r="CO807">
        <v>0</v>
      </c>
      <c r="CP807">
        <v>1</v>
      </c>
      <c r="CQ807">
        <v>6</v>
      </c>
      <c r="CR807">
        <v>6</v>
      </c>
      <c r="CS807">
        <v>921</v>
      </c>
      <c r="CT807">
        <v>0</v>
      </c>
      <c r="CU807">
        <v>1</v>
      </c>
      <c r="CV807">
        <v>0</v>
      </c>
      <c r="CW807">
        <v>1</v>
      </c>
      <c r="CX807">
        <v>9</v>
      </c>
      <c r="CY807">
        <v>1</v>
      </c>
      <c r="CZ807">
        <v>1</v>
      </c>
      <c r="DA807">
        <v>0</v>
      </c>
      <c r="DB807">
        <v>0</v>
      </c>
      <c r="DC807">
        <v>0</v>
      </c>
      <c r="DD807">
        <v>1016</v>
      </c>
      <c r="DE807">
        <v>0</v>
      </c>
      <c r="DF807">
        <v>0</v>
      </c>
      <c r="DG807">
        <v>7</v>
      </c>
      <c r="DH807">
        <v>11</v>
      </c>
      <c r="DI807">
        <v>2</v>
      </c>
      <c r="DJ807">
        <v>16</v>
      </c>
      <c r="DK807">
        <v>0</v>
      </c>
      <c r="DL807">
        <v>8</v>
      </c>
      <c r="DM807">
        <v>1</v>
      </c>
      <c r="DN807">
        <v>12</v>
      </c>
      <c r="DO807">
        <v>914</v>
      </c>
      <c r="DP807">
        <v>3</v>
      </c>
      <c r="DQ807">
        <v>4</v>
      </c>
      <c r="DR807">
        <v>10</v>
      </c>
      <c r="DS807">
        <v>0</v>
      </c>
      <c r="DT807">
        <v>15</v>
      </c>
      <c r="DU807">
        <v>10</v>
      </c>
      <c r="DV807">
        <v>5</v>
      </c>
      <c r="DW807">
        <v>1</v>
      </c>
      <c r="DX807">
        <v>21</v>
      </c>
      <c r="DY807">
        <v>9</v>
      </c>
      <c r="DZ807">
        <v>934</v>
      </c>
      <c r="EA807">
        <v>0.9476</v>
      </c>
      <c r="EB807">
        <v>0.95191854371070805</v>
      </c>
      <c r="EC807">
        <v>0.94716856088893198</v>
      </c>
      <c r="ED807">
        <v>0.94742622723299696</v>
      </c>
      <c r="EE807">
        <f>SUM(Table1[[#This Row],[ratio_0]:[ratio_9]])</f>
        <v>460</v>
      </c>
      <c r="EF807" s="1">
        <f>(Table1[[#This Row],[predicted_0]]-Table1[[#This Row],[actual_0]])/Table1[[#This Row],[actual_0]]</f>
        <v>3.3673469387755103E-2</v>
      </c>
      <c r="EG807" s="1">
        <f>(Table1[[#This Row],[predicted_1]]-Table1[[#This Row],[actual_1]])/Table1[[#This Row],[actual_1]]</f>
        <v>0.1066079295154185</v>
      </c>
      <c r="EH807" s="1">
        <f>(Table1[[#This Row],[predicted_2]]-Table1[[#This Row],[actual_2]])/Table1[[#This Row],[actual_2]]</f>
        <v>-0.20833333333333334</v>
      </c>
      <c r="EI807" s="1">
        <f>(Table1[[#This Row],[predicted_3]]-Table1[[#This Row],[actual_3]])/Table1[[#This Row],[actual_3]]</f>
        <v>9.7029702970297033E-2</v>
      </c>
      <c r="EJ807" s="1">
        <f>(Table1[[#This Row],[predicted_4]]-Table1[[#This Row],[actual_4]])/Table1[[#This Row],[actual_4]]</f>
        <v>-1.1201629327902239E-2</v>
      </c>
      <c r="EK807" s="1">
        <f>(Table1[[#This Row],[predicted_5]]-Table1[[#This Row],[actual_5]])/Table1[[#This Row],[actual_5]]</f>
        <v>-5.4932735426008968E-2</v>
      </c>
      <c r="EL807" s="1">
        <f>(Table1[[#This Row],[predicted_6]]-Table1[[#This Row],[actual_6]])/Table1[[#This Row],[actual_6]]</f>
        <v>-2.1920668058455117E-2</v>
      </c>
      <c r="EM807" s="1">
        <f>(Table1[[#This Row],[predicted_7]]-Table1[[#This Row],[actual_7]])/Table1[[#This Row],[actual_7]]</f>
        <v>0.11381322957198443</v>
      </c>
      <c r="EN807" s="1">
        <f>(Table1[[#This Row],[predicted_8]]-Table1[[#This Row],[actual_8]])/Table1[[#This Row],[actual_8]]</f>
        <v>-2.3613963039014373E-2</v>
      </c>
      <c r="EO807" s="1">
        <f>(Table1[[#This Row],[predicted_9]]-Table1[[#This Row],[actual_9]])/Table1[[#This Row],[actual_9]]</f>
        <v>-4.9554013875123884E-2</v>
      </c>
      <c r="EP807" s="1">
        <f>1+(Table1[[#This Row],[error_ratio_0]]-EF$2)</f>
        <v>1.0316326530612245</v>
      </c>
      <c r="EQ807" s="1">
        <f>1+(Table1[[#This Row],[error_ratio_1]]-EG$2)</f>
        <v>1.1048458149779736</v>
      </c>
      <c r="ER807" s="1">
        <f>1+(Table1[[#This Row],[error_ratio_2]]-EH$2)</f>
        <v>0.79651162790697672</v>
      </c>
      <c r="ES807" s="1">
        <f>1+(Table1[[#This Row],[error_ratio_3]]-EI$2)</f>
        <v>1.0871287128712872</v>
      </c>
      <c r="ET807" s="1">
        <f>1+(Table1[[#This Row],[error_ratio_4]]-EJ$2)</f>
        <v>0.98778004073319758</v>
      </c>
      <c r="EU807" s="1">
        <f>1+(Table1[[#This Row],[error_ratio_5]]-EK$2)</f>
        <v>0.94394618834080712</v>
      </c>
      <c r="EV807" s="1">
        <f>1+(Table1[[#This Row],[error_ratio_6]]-EL$2)</f>
        <v>0.98434237995824636</v>
      </c>
      <c r="EW807" s="1">
        <f>1+(Table1[[#This Row],[error_ratio_7]]-EM$2)</f>
        <v>1.1118677042801557</v>
      </c>
      <c r="EX807" s="1">
        <f>1+(Table1[[#This Row],[error_ratio_8]]-EN$2)</f>
        <v>0.97946611909650927</v>
      </c>
      <c r="EY807" s="1">
        <f>1+(Table1[[#This Row],[error_ratio_9]]-EO$2)</f>
        <v>0.95441030723488607</v>
      </c>
    </row>
    <row r="808" spans="1:155" x14ac:dyDescent="0.75">
      <c r="A808">
        <v>10</v>
      </c>
      <c r="B808">
        <v>100</v>
      </c>
      <c r="C808">
        <v>10</v>
      </c>
      <c r="D808">
        <v>100</v>
      </c>
      <c r="E808">
        <v>10</v>
      </c>
      <c r="F808">
        <v>10</v>
      </c>
      <c r="G808">
        <v>10</v>
      </c>
      <c r="H808">
        <v>100</v>
      </c>
      <c r="I808">
        <v>10</v>
      </c>
      <c r="J808">
        <v>10</v>
      </c>
      <c r="K808">
        <v>972</v>
      </c>
      <c r="L808">
        <v>1175</v>
      </c>
      <c r="M808">
        <v>997</v>
      </c>
      <c r="N808">
        <v>1172</v>
      </c>
      <c r="O808">
        <v>950</v>
      </c>
      <c r="P808">
        <v>868</v>
      </c>
      <c r="Q808">
        <v>940</v>
      </c>
      <c r="R808">
        <v>1058</v>
      </c>
      <c r="S808">
        <v>854</v>
      </c>
      <c r="T808">
        <v>1014</v>
      </c>
      <c r="U808">
        <v>980</v>
      </c>
      <c r="V808">
        <v>1135</v>
      </c>
      <c r="W808">
        <v>1032</v>
      </c>
      <c r="X808">
        <v>1010</v>
      </c>
      <c r="Y808">
        <v>982</v>
      </c>
      <c r="Z808">
        <v>892</v>
      </c>
      <c r="AA808">
        <v>958</v>
      </c>
      <c r="AB808">
        <v>1028</v>
      </c>
      <c r="AC808">
        <v>974</v>
      </c>
      <c r="AD808">
        <v>1009</v>
      </c>
      <c r="AE808">
        <v>954</v>
      </c>
      <c r="AF808">
        <v>2</v>
      </c>
      <c r="AG808">
        <v>1</v>
      </c>
      <c r="AH808">
        <v>1</v>
      </c>
      <c r="AI808">
        <v>0</v>
      </c>
      <c r="AJ808">
        <v>10</v>
      </c>
      <c r="AK808">
        <v>4</v>
      </c>
      <c r="AL808">
        <v>2</v>
      </c>
      <c r="AM808">
        <v>2</v>
      </c>
      <c r="AN808">
        <v>4</v>
      </c>
      <c r="AO808">
        <v>0</v>
      </c>
      <c r="AP808">
        <v>1128</v>
      </c>
      <c r="AQ808">
        <v>0</v>
      </c>
      <c r="AR808">
        <v>1</v>
      </c>
      <c r="AS808">
        <v>0</v>
      </c>
      <c r="AT808">
        <v>1</v>
      </c>
      <c r="AU808">
        <v>0</v>
      </c>
      <c r="AV808">
        <v>5</v>
      </c>
      <c r="AW808">
        <v>0</v>
      </c>
      <c r="AX808">
        <v>0</v>
      </c>
      <c r="AY808">
        <v>1</v>
      </c>
      <c r="AZ808">
        <v>24</v>
      </c>
      <c r="BA808">
        <v>973</v>
      </c>
      <c r="BB808">
        <v>13</v>
      </c>
      <c r="BC808">
        <v>1</v>
      </c>
      <c r="BD808">
        <v>2</v>
      </c>
      <c r="BE808">
        <v>0</v>
      </c>
      <c r="BF808">
        <v>15</v>
      </c>
      <c r="BG808">
        <v>1</v>
      </c>
      <c r="BH808">
        <v>2</v>
      </c>
      <c r="BI808">
        <v>0</v>
      </c>
      <c r="BJ808">
        <v>0</v>
      </c>
      <c r="BK808">
        <v>2</v>
      </c>
      <c r="BL808">
        <v>1005</v>
      </c>
      <c r="BM808">
        <v>0</v>
      </c>
      <c r="BN808">
        <v>1</v>
      </c>
      <c r="BO808">
        <v>0</v>
      </c>
      <c r="BP808">
        <v>2</v>
      </c>
      <c r="BQ808">
        <v>0</v>
      </c>
      <c r="BR808">
        <v>0</v>
      </c>
      <c r="BS808">
        <v>3</v>
      </c>
      <c r="BT808">
        <v>1</v>
      </c>
      <c r="BU808">
        <v>5</v>
      </c>
      <c r="BV808">
        <v>0</v>
      </c>
      <c r="BW808">
        <v>942</v>
      </c>
      <c r="BX808">
        <v>0</v>
      </c>
      <c r="BY808">
        <v>5</v>
      </c>
      <c r="BZ808">
        <v>2</v>
      </c>
      <c r="CA808">
        <v>1</v>
      </c>
      <c r="CB808">
        <v>23</v>
      </c>
      <c r="CC808">
        <v>3</v>
      </c>
      <c r="CD808">
        <v>1</v>
      </c>
      <c r="CE808">
        <v>0</v>
      </c>
      <c r="CF808">
        <v>45</v>
      </c>
      <c r="CG808">
        <v>0</v>
      </c>
      <c r="CH808">
        <v>833</v>
      </c>
      <c r="CI808">
        <v>3</v>
      </c>
      <c r="CJ808">
        <v>0</v>
      </c>
      <c r="CK808">
        <v>2</v>
      </c>
      <c r="CL808">
        <v>5</v>
      </c>
      <c r="CM808">
        <v>8</v>
      </c>
      <c r="CN808">
        <v>10</v>
      </c>
      <c r="CO808">
        <v>2</v>
      </c>
      <c r="CP808">
        <v>1</v>
      </c>
      <c r="CQ808">
        <v>3</v>
      </c>
      <c r="CR808">
        <v>8</v>
      </c>
      <c r="CS808">
        <v>925</v>
      </c>
      <c r="CT808">
        <v>0</v>
      </c>
      <c r="CU808">
        <v>1</v>
      </c>
      <c r="CV808">
        <v>0</v>
      </c>
      <c r="CW808">
        <v>0</v>
      </c>
      <c r="CX808">
        <v>4</v>
      </c>
      <c r="CY808">
        <v>2</v>
      </c>
      <c r="CZ808">
        <v>2</v>
      </c>
      <c r="DA808">
        <v>0</v>
      </c>
      <c r="DB808">
        <v>0</v>
      </c>
      <c r="DC808">
        <v>0</v>
      </c>
      <c r="DD808">
        <v>1019</v>
      </c>
      <c r="DE808">
        <v>0</v>
      </c>
      <c r="DF808">
        <v>1</v>
      </c>
      <c r="DG808">
        <v>1</v>
      </c>
      <c r="DH808">
        <v>2</v>
      </c>
      <c r="DI808">
        <v>12</v>
      </c>
      <c r="DJ808">
        <v>90</v>
      </c>
      <c r="DK808">
        <v>0</v>
      </c>
      <c r="DL808">
        <v>8</v>
      </c>
      <c r="DM808">
        <v>2</v>
      </c>
      <c r="DN808">
        <v>4</v>
      </c>
      <c r="DO808">
        <v>847</v>
      </c>
      <c r="DP808">
        <v>8</v>
      </c>
      <c r="DQ808">
        <v>2</v>
      </c>
      <c r="DR808">
        <v>3</v>
      </c>
      <c r="DS808">
        <v>0</v>
      </c>
      <c r="DT808">
        <v>14</v>
      </c>
      <c r="DU808">
        <v>4</v>
      </c>
      <c r="DV808">
        <v>5</v>
      </c>
      <c r="DW808">
        <v>1</v>
      </c>
      <c r="DX808">
        <v>9</v>
      </c>
      <c r="DY808">
        <v>0</v>
      </c>
      <c r="DZ808">
        <v>971</v>
      </c>
      <c r="EA808">
        <v>0.9597</v>
      </c>
      <c r="EB808">
        <v>0.96227516804402102</v>
      </c>
      <c r="EC808">
        <v>0.95870514316876698</v>
      </c>
      <c r="ED808">
        <v>0.95944509385151699</v>
      </c>
      <c r="EE808">
        <f>SUM(Table1[[#This Row],[ratio_0]:[ratio_9]])</f>
        <v>370</v>
      </c>
      <c r="EF808" s="1">
        <f>(Table1[[#This Row],[predicted_0]]-Table1[[#This Row],[actual_0]])/Table1[[#This Row],[actual_0]]</f>
        <v>-8.1632653061224497E-3</v>
      </c>
      <c r="EG808" s="1">
        <f>(Table1[[#This Row],[predicted_1]]-Table1[[#This Row],[actual_1]])/Table1[[#This Row],[actual_1]]</f>
        <v>3.5242290748898682E-2</v>
      </c>
      <c r="EH808" s="1">
        <f>(Table1[[#This Row],[predicted_2]]-Table1[[#This Row],[actual_2]])/Table1[[#This Row],[actual_2]]</f>
        <v>-3.391472868217054E-2</v>
      </c>
      <c r="EI808" s="1">
        <f>(Table1[[#This Row],[predicted_3]]-Table1[[#This Row],[actual_3]])/Table1[[#This Row],[actual_3]]</f>
        <v>0.1603960396039604</v>
      </c>
      <c r="EJ808" s="1">
        <f>(Table1[[#This Row],[predicted_4]]-Table1[[#This Row],[actual_4]])/Table1[[#This Row],[actual_4]]</f>
        <v>-3.2586558044806514E-2</v>
      </c>
      <c r="EK808" s="1">
        <f>(Table1[[#This Row],[predicted_5]]-Table1[[#This Row],[actual_5]])/Table1[[#This Row],[actual_5]]</f>
        <v>-2.6905829596412557E-2</v>
      </c>
      <c r="EL808" s="1">
        <f>(Table1[[#This Row],[predicted_6]]-Table1[[#This Row],[actual_6]])/Table1[[#This Row],[actual_6]]</f>
        <v>-1.8789144050104383E-2</v>
      </c>
      <c r="EM808" s="1">
        <f>(Table1[[#This Row],[predicted_7]]-Table1[[#This Row],[actual_7]])/Table1[[#This Row],[actual_7]]</f>
        <v>2.9182879377431907E-2</v>
      </c>
      <c r="EN808" s="1">
        <f>(Table1[[#This Row],[predicted_8]]-Table1[[#This Row],[actual_8]])/Table1[[#This Row],[actual_8]]</f>
        <v>-0.12320328542094455</v>
      </c>
      <c r="EO808" s="1">
        <f>(Table1[[#This Row],[predicted_9]]-Table1[[#This Row],[actual_9]])/Table1[[#This Row],[actual_9]]</f>
        <v>4.9554013875123884E-3</v>
      </c>
      <c r="EP808" s="1">
        <f>1+(Table1[[#This Row],[error_ratio_0]]-EF$2)</f>
        <v>0.98979591836734693</v>
      </c>
      <c r="EQ808" s="1">
        <f>1+(Table1[[#This Row],[error_ratio_1]]-EG$2)</f>
        <v>1.0334801762114538</v>
      </c>
      <c r="ER808" s="1">
        <f>1+(Table1[[#This Row],[error_ratio_2]]-EH$2)</f>
        <v>0.97093023255813948</v>
      </c>
      <c r="ES808" s="1">
        <f>1+(Table1[[#This Row],[error_ratio_3]]-EI$2)</f>
        <v>1.1504950495049504</v>
      </c>
      <c r="ET808" s="1">
        <f>1+(Table1[[#This Row],[error_ratio_4]]-EJ$2)</f>
        <v>0.96639511201629325</v>
      </c>
      <c r="EU808" s="1">
        <f>1+(Table1[[#This Row],[error_ratio_5]]-EK$2)</f>
        <v>0.97197309417040356</v>
      </c>
      <c r="EV808" s="1">
        <f>1+(Table1[[#This Row],[error_ratio_6]]-EL$2)</f>
        <v>0.98747390396659707</v>
      </c>
      <c r="EW808" s="1">
        <f>1+(Table1[[#This Row],[error_ratio_7]]-EM$2)</f>
        <v>1.027237354085603</v>
      </c>
      <c r="EX808" s="1">
        <f>1+(Table1[[#This Row],[error_ratio_8]]-EN$2)</f>
        <v>0.87987679671457908</v>
      </c>
      <c r="EY808" s="1">
        <f>1+(Table1[[#This Row],[error_ratio_9]]-EO$2)</f>
        <v>1.0089197224975224</v>
      </c>
    </row>
    <row r="809" spans="1:155" x14ac:dyDescent="0.75">
      <c r="A809">
        <v>100</v>
      </c>
      <c r="B809">
        <v>10</v>
      </c>
      <c r="C809">
        <v>10</v>
      </c>
      <c r="D809">
        <v>100</v>
      </c>
      <c r="E809">
        <v>10</v>
      </c>
      <c r="F809">
        <v>10</v>
      </c>
      <c r="G809">
        <v>10</v>
      </c>
      <c r="H809">
        <v>100</v>
      </c>
      <c r="I809">
        <v>10</v>
      </c>
      <c r="J809">
        <v>10</v>
      </c>
      <c r="K809">
        <v>1054</v>
      </c>
      <c r="L809">
        <v>1127</v>
      </c>
      <c r="M809">
        <v>828</v>
      </c>
      <c r="N809">
        <v>1256</v>
      </c>
      <c r="O809">
        <v>884</v>
      </c>
      <c r="P809">
        <v>864</v>
      </c>
      <c r="Q809">
        <v>912</v>
      </c>
      <c r="R809">
        <v>1054</v>
      </c>
      <c r="S809">
        <v>965</v>
      </c>
      <c r="T809">
        <v>1056</v>
      </c>
      <c r="U809">
        <v>980</v>
      </c>
      <c r="V809">
        <v>1135</v>
      </c>
      <c r="W809">
        <v>1032</v>
      </c>
      <c r="X809">
        <v>1010</v>
      </c>
      <c r="Y809">
        <v>982</v>
      </c>
      <c r="Z809">
        <v>892</v>
      </c>
      <c r="AA809">
        <v>958</v>
      </c>
      <c r="AB809">
        <v>1028</v>
      </c>
      <c r="AC809">
        <v>974</v>
      </c>
      <c r="AD809">
        <v>1009</v>
      </c>
      <c r="AE809">
        <v>976</v>
      </c>
      <c r="AF809">
        <v>0</v>
      </c>
      <c r="AG809">
        <v>0</v>
      </c>
      <c r="AH809">
        <v>1</v>
      </c>
      <c r="AI809">
        <v>0</v>
      </c>
      <c r="AJ809">
        <v>0</v>
      </c>
      <c r="AK809">
        <v>0</v>
      </c>
      <c r="AL809">
        <v>2</v>
      </c>
      <c r="AM809">
        <v>1</v>
      </c>
      <c r="AN809">
        <v>0</v>
      </c>
      <c r="AO809">
        <v>0</v>
      </c>
      <c r="AP809">
        <v>1111</v>
      </c>
      <c r="AQ809">
        <v>0</v>
      </c>
      <c r="AR809">
        <v>5</v>
      </c>
      <c r="AS809">
        <v>0</v>
      </c>
      <c r="AT809">
        <v>5</v>
      </c>
      <c r="AU809">
        <v>1</v>
      </c>
      <c r="AV809">
        <v>6</v>
      </c>
      <c r="AW809">
        <v>7</v>
      </c>
      <c r="AX809">
        <v>0</v>
      </c>
      <c r="AY809">
        <v>15</v>
      </c>
      <c r="AZ809">
        <v>8</v>
      </c>
      <c r="BA809">
        <v>824</v>
      </c>
      <c r="BB809">
        <v>153</v>
      </c>
      <c r="BC809">
        <v>6</v>
      </c>
      <c r="BD809">
        <v>0</v>
      </c>
      <c r="BE809">
        <v>0</v>
      </c>
      <c r="BF809">
        <v>21</v>
      </c>
      <c r="BG809">
        <v>5</v>
      </c>
      <c r="BH809">
        <v>0</v>
      </c>
      <c r="BI809">
        <v>0</v>
      </c>
      <c r="BJ809">
        <v>0</v>
      </c>
      <c r="BK809">
        <v>0</v>
      </c>
      <c r="BL809">
        <v>1005</v>
      </c>
      <c r="BM809">
        <v>0</v>
      </c>
      <c r="BN809">
        <v>4</v>
      </c>
      <c r="BO809">
        <v>0</v>
      </c>
      <c r="BP809">
        <v>0</v>
      </c>
      <c r="BQ809">
        <v>1</v>
      </c>
      <c r="BR809">
        <v>0</v>
      </c>
      <c r="BS809">
        <v>5</v>
      </c>
      <c r="BT809">
        <v>0</v>
      </c>
      <c r="BU809">
        <v>2</v>
      </c>
      <c r="BV809">
        <v>4</v>
      </c>
      <c r="BW809">
        <v>874</v>
      </c>
      <c r="BX809">
        <v>0</v>
      </c>
      <c r="BY809">
        <v>8</v>
      </c>
      <c r="BZ809">
        <v>8</v>
      </c>
      <c r="CA809">
        <v>6</v>
      </c>
      <c r="CB809">
        <v>75</v>
      </c>
      <c r="CC809">
        <v>12</v>
      </c>
      <c r="CD809">
        <v>0</v>
      </c>
      <c r="CE809">
        <v>0</v>
      </c>
      <c r="CF809">
        <v>40</v>
      </c>
      <c r="CG809">
        <v>0</v>
      </c>
      <c r="CH809">
        <v>829</v>
      </c>
      <c r="CI809">
        <v>1</v>
      </c>
      <c r="CJ809">
        <v>2</v>
      </c>
      <c r="CK809">
        <v>7</v>
      </c>
      <c r="CL809">
        <v>1</v>
      </c>
      <c r="CM809">
        <v>32</v>
      </c>
      <c r="CN809">
        <v>4</v>
      </c>
      <c r="CO809">
        <v>1</v>
      </c>
      <c r="CP809">
        <v>2</v>
      </c>
      <c r="CQ809">
        <v>4</v>
      </c>
      <c r="CR809">
        <v>13</v>
      </c>
      <c r="CS809">
        <v>902</v>
      </c>
      <c r="CT809">
        <v>0</v>
      </c>
      <c r="CU809">
        <v>0</v>
      </c>
      <c r="CV809">
        <v>0</v>
      </c>
      <c r="CW809">
        <v>1</v>
      </c>
      <c r="CX809">
        <v>1</v>
      </c>
      <c r="CY809">
        <v>1</v>
      </c>
      <c r="CZ809">
        <v>15</v>
      </c>
      <c r="DA809">
        <v>0</v>
      </c>
      <c r="DB809">
        <v>0</v>
      </c>
      <c r="DC809">
        <v>0</v>
      </c>
      <c r="DD809">
        <v>1005</v>
      </c>
      <c r="DE809">
        <v>2</v>
      </c>
      <c r="DF809">
        <v>3</v>
      </c>
      <c r="DG809">
        <v>9</v>
      </c>
      <c r="DH809">
        <v>1</v>
      </c>
      <c r="DI809">
        <v>0</v>
      </c>
      <c r="DJ809">
        <v>23</v>
      </c>
      <c r="DK809">
        <v>0</v>
      </c>
      <c r="DL809">
        <v>3</v>
      </c>
      <c r="DM809">
        <v>0</v>
      </c>
      <c r="DN809">
        <v>1</v>
      </c>
      <c r="DO809">
        <v>929</v>
      </c>
      <c r="DP809">
        <v>8</v>
      </c>
      <c r="DQ809">
        <v>4</v>
      </c>
      <c r="DR809">
        <v>2</v>
      </c>
      <c r="DS809">
        <v>0</v>
      </c>
      <c r="DT809">
        <v>8</v>
      </c>
      <c r="DU809">
        <v>0</v>
      </c>
      <c r="DV809">
        <v>10</v>
      </c>
      <c r="DW809">
        <v>0</v>
      </c>
      <c r="DX809">
        <v>9</v>
      </c>
      <c r="DY809">
        <v>7</v>
      </c>
      <c r="DZ809">
        <v>969</v>
      </c>
      <c r="EA809">
        <v>0.94240000000000002</v>
      </c>
      <c r="EB809">
        <v>0.94781595241667704</v>
      </c>
      <c r="EC809">
        <v>0.94209915753478501</v>
      </c>
      <c r="ED809">
        <v>0.94228518866672595</v>
      </c>
      <c r="EE809">
        <f>SUM(Table1[[#This Row],[ratio_0]:[ratio_9]])</f>
        <v>370</v>
      </c>
      <c r="EF809" s="1">
        <f>(Table1[[#This Row],[predicted_0]]-Table1[[#This Row],[actual_0]])/Table1[[#This Row],[actual_0]]</f>
        <v>7.5510204081632656E-2</v>
      </c>
      <c r="EG809" s="1">
        <f>(Table1[[#This Row],[predicted_1]]-Table1[[#This Row],[actual_1]])/Table1[[#This Row],[actual_1]]</f>
        <v>-7.048458149779736E-3</v>
      </c>
      <c r="EH809" s="1">
        <f>(Table1[[#This Row],[predicted_2]]-Table1[[#This Row],[actual_2]])/Table1[[#This Row],[actual_2]]</f>
        <v>-0.19767441860465115</v>
      </c>
      <c r="EI809" s="1">
        <f>(Table1[[#This Row],[predicted_3]]-Table1[[#This Row],[actual_3]])/Table1[[#This Row],[actual_3]]</f>
        <v>0.24356435643564356</v>
      </c>
      <c r="EJ809" s="1">
        <f>(Table1[[#This Row],[predicted_4]]-Table1[[#This Row],[actual_4]])/Table1[[#This Row],[actual_4]]</f>
        <v>-9.9796334012219962E-2</v>
      </c>
      <c r="EK809" s="1">
        <f>(Table1[[#This Row],[predicted_5]]-Table1[[#This Row],[actual_5]])/Table1[[#This Row],[actual_5]]</f>
        <v>-3.1390134529147982E-2</v>
      </c>
      <c r="EL809" s="1">
        <f>(Table1[[#This Row],[predicted_6]]-Table1[[#This Row],[actual_6]])/Table1[[#This Row],[actual_6]]</f>
        <v>-4.8016701461377868E-2</v>
      </c>
      <c r="EM809" s="1">
        <f>(Table1[[#This Row],[predicted_7]]-Table1[[#This Row],[actual_7]])/Table1[[#This Row],[actual_7]]</f>
        <v>2.5291828793774319E-2</v>
      </c>
      <c r="EN809" s="1">
        <f>(Table1[[#This Row],[predicted_8]]-Table1[[#This Row],[actual_8]])/Table1[[#This Row],[actual_8]]</f>
        <v>-9.2402464065708418E-3</v>
      </c>
      <c r="EO809" s="1">
        <f>(Table1[[#This Row],[predicted_9]]-Table1[[#This Row],[actual_9]])/Table1[[#This Row],[actual_9]]</f>
        <v>4.6580773042616451E-2</v>
      </c>
      <c r="EP809" s="1">
        <f>1+(Table1[[#This Row],[error_ratio_0]]-EF$2)</f>
        <v>1.073469387755102</v>
      </c>
      <c r="EQ809" s="1">
        <f>1+(Table1[[#This Row],[error_ratio_1]]-EG$2)</f>
        <v>0.99118942731277537</v>
      </c>
      <c r="ER809" s="1">
        <f>1+(Table1[[#This Row],[error_ratio_2]]-EH$2)</f>
        <v>0.80717054263565891</v>
      </c>
      <c r="ES809" s="1">
        <f>1+(Table1[[#This Row],[error_ratio_3]]-EI$2)</f>
        <v>1.2336633663366336</v>
      </c>
      <c r="ET809" s="1">
        <f>1+(Table1[[#This Row],[error_ratio_4]]-EJ$2)</f>
        <v>0.89918533604887985</v>
      </c>
      <c r="EU809" s="1">
        <f>1+(Table1[[#This Row],[error_ratio_5]]-EK$2)</f>
        <v>0.96748878923766812</v>
      </c>
      <c r="EV809" s="1">
        <f>1+(Table1[[#This Row],[error_ratio_6]]-EL$2)</f>
        <v>0.95824634655532359</v>
      </c>
      <c r="EW809" s="1">
        <f>1+(Table1[[#This Row],[error_ratio_7]]-EM$2)</f>
        <v>1.0233463035019454</v>
      </c>
      <c r="EX809" s="1">
        <f>1+(Table1[[#This Row],[error_ratio_8]]-EN$2)</f>
        <v>0.99383983572895274</v>
      </c>
      <c r="EY809" s="1">
        <f>1+(Table1[[#This Row],[error_ratio_9]]-EO$2)</f>
        <v>1.0505450941526264</v>
      </c>
    </row>
    <row r="810" spans="1:155" x14ac:dyDescent="0.75">
      <c r="A810">
        <v>10</v>
      </c>
      <c r="B810">
        <v>10</v>
      </c>
      <c r="C810">
        <v>10</v>
      </c>
      <c r="D810">
        <v>100</v>
      </c>
      <c r="E810">
        <v>10</v>
      </c>
      <c r="F810">
        <v>10</v>
      </c>
      <c r="G810">
        <v>10</v>
      </c>
      <c r="H810">
        <v>100</v>
      </c>
      <c r="I810">
        <v>10</v>
      </c>
      <c r="J810">
        <v>10</v>
      </c>
      <c r="K810">
        <v>992</v>
      </c>
      <c r="L810">
        <v>1134</v>
      </c>
      <c r="M810">
        <v>1026</v>
      </c>
      <c r="N810">
        <v>1115</v>
      </c>
      <c r="O810">
        <v>877</v>
      </c>
      <c r="P810">
        <v>864</v>
      </c>
      <c r="Q810">
        <v>957</v>
      </c>
      <c r="R810">
        <v>1096</v>
      </c>
      <c r="S810">
        <v>899</v>
      </c>
      <c r="T810">
        <v>1040</v>
      </c>
      <c r="U810">
        <v>980</v>
      </c>
      <c r="V810">
        <v>1135</v>
      </c>
      <c r="W810">
        <v>1032</v>
      </c>
      <c r="X810">
        <v>1010</v>
      </c>
      <c r="Y810">
        <v>982</v>
      </c>
      <c r="Z810">
        <v>892</v>
      </c>
      <c r="AA810">
        <v>958</v>
      </c>
      <c r="AB810">
        <v>1028</v>
      </c>
      <c r="AC810">
        <v>974</v>
      </c>
      <c r="AD810">
        <v>1009</v>
      </c>
      <c r="AE810">
        <v>963</v>
      </c>
      <c r="AF810">
        <v>1</v>
      </c>
      <c r="AG810">
        <v>3</v>
      </c>
      <c r="AH810">
        <v>2</v>
      </c>
      <c r="AI810">
        <v>0</v>
      </c>
      <c r="AJ810">
        <v>1</v>
      </c>
      <c r="AK810">
        <v>2</v>
      </c>
      <c r="AL810">
        <v>2</v>
      </c>
      <c r="AM810">
        <v>2</v>
      </c>
      <c r="AN810">
        <v>4</v>
      </c>
      <c r="AO810">
        <v>0</v>
      </c>
      <c r="AP810">
        <v>1117</v>
      </c>
      <c r="AQ810">
        <v>2</v>
      </c>
      <c r="AR810">
        <v>9</v>
      </c>
      <c r="AS810">
        <v>0</v>
      </c>
      <c r="AT810">
        <v>0</v>
      </c>
      <c r="AU810">
        <v>1</v>
      </c>
      <c r="AV810">
        <v>3</v>
      </c>
      <c r="AW810">
        <v>3</v>
      </c>
      <c r="AX810">
        <v>0</v>
      </c>
      <c r="AY810">
        <v>1</v>
      </c>
      <c r="AZ810">
        <v>0</v>
      </c>
      <c r="BA810">
        <v>1001</v>
      </c>
      <c r="BB810">
        <v>12</v>
      </c>
      <c r="BC810">
        <v>0</v>
      </c>
      <c r="BD810">
        <v>0</v>
      </c>
      <c r="BE810">
        <v>0</v>
      </c>
      <c r="BF810">
        <v>14</v>
      </c>
      <c r="BG810">
        <v>4</v>
      </c>
      <c r="BH810">
        <v>0</v>
      </c>
      <c r="BI810">
        <v>0</v>
      </c>
      <c r="BJ810">
        <v>0</v>
      </c>
      <c r="BK810">
        <v>1</v>
      </c>
      <c r="BL810">
        <v>1004</v>
      </c>
      <c r="BM810">
        <v>0</v>
      </c>
      <c r="BN810">
        <v>2</v>
      </c>
      <c r="BO810">
        <v>0</v>
      </c>
      <c r="BP810">
        <v>3</v>
      </c>
      <c r="BQ810">
        <v>0</v>
      </c>
      <c r="BR810">
        <v>0</v>
      </c>
      <c r="BS810">
        <v>1</v>
      </c>
      <c r="BT810">
        <v>6</v>
      </c>
      <c r="BU810">
        <v>8</v>
      </c>
      <c r="BV810">
        <v>0</v>
      </c>
      <c r="BW810">
        <v>875</v>
      </c>
      <c r="BX810">
        <v>0</v>
      </c>
      <c r="BY810">
        <v>22</v>
      </c>
      <c r="BZ810">
        <v>23</v>
      </c>
      <c r="CA810">
        <v>5</v>
      </c>
      <c r="CB810">
        <v>42</v>
      </c>
      <c r="CC810">
        <v>2</v>
      </c>
      <c r="CD810">
        <v>0</v>
      </c>
      <c r="CE810">
        <v>1</v>
      </c>
      <c r="CF810">
        <v>40</v>
      </c>
      <c r="CG810">
        <v>0</v>
      </c>
      <c r="CH810">
        <v>841</v>
      </c>
      <c r="CI810">
        <v>2</v>
      </c>
      <c r="CJ810">
        <v>2</v>
      </c>
      <c r="CK810">
        <v>4</v>
      </c>
      <c r="CL810">
        <v>0</v>
      </c>
      <c r="CM810">
        <v>12</v>
      </c>
      <c r="CN810">
        <v>5</v>
      </c>
      <c r="CO810">
        <v>1</v>
      </c>
      <c r="CP810">
        <v>3</v>
      </c>
      <c r="CQ810">
        <v>1</v>
      </c>
      <c r="CR810">
        <v>5</v>
      </c>
      <c r="CS810">
        <v>926</v>
      </c>
      <c r="CT810">
        <v>0</v>
      </c>
      <c r="CU810">
        <v>5</v>
      </c>
      <c r="CV810">
        <v>0</v>
      </c>
      <c r="CW810">
        <v>1</v>
      </c>
      <c r="CX810">
        <v>0</v>
      </c>
      <c r="CY810">
        <v>4</v>
      </c>
      <c r="CZ810">
        <v>2</v>
      </c>
      <c r="DA810">
        <v>0</v>
      </c>
      <c r="DB810">
        <v>0</v>
      </c>
      <c r="DC810">
        <v>0</v>
      </c>
      <c r="DD810">
        <v>1020</v>
      </c>
      <c r="DE810">
        <v>0</v>
      </c>
      <c r="DF810">
        <v>1</v>
      </c>
      <c r="DG810">
        <v>9</v>
      </c>
      <c r="DH810">
        <v>1</v>
      </c>
      <c r="DI810">
        <v>5</v>
      </c>
      <c r="DJ810">
        <v>29</v>
      </c>
      <c r="DK810">
        <v>0</v>
      </c>
      <c r="DL810">
        <v>11</v>
      </c>
      <c r="DM810">
        <v>1</v>
      </c>
      <c r="DN810">
        <v>16</v>
      </c>
      <c r="DO810">
        <v>876</v>
      </c>
      <c r="DP810">
        <v>26</v>
      </c>
      <c r="DQ810">
        <v>3</v>
      </c>
      <c r="DR810">
        <v>4</v>
      </c>
      <c r="DS810">
        <v>0</v>
      </c>
      <c r="DT810">
        <v>14</v>
      </c>
      <c r="DU810">
        <v>1</v>
      </c>
      <c r="DV810">
        <v>4</v>
      </c>
      <c r="DW810">
        <v>3</v>
      </c>
      <c r="DX810">
        <v>13</v>
      </c>
      <c r="DY810">
        <v>0</v>
      </c>
      <c r="DZ810">
        <v>967</v>
      </c>
      <c r="EA810">
        <v>0.95899999999999996</v>
      </c>
      <c r="EB810">
        <v>0.96054437840019902</v>
      </c>
      <c r="EC810">
        <v>0.95812520732781903</v>
      </c>
      <c r="ED810">
        <v>0.95850301422250705</v>
      </c>
      <c r="EE810">
        <f>SUM(Table1[[#This Row],[ratio_0]:[ratio_9]])</f>
        <v>280</v>
      </c>
      <c r="EF810" s="1">
        <f>(Table1[[#This Row],[predicted_0]]-Table1[[#This Row],[actual_0]])/Table1[[#This Row],[actual_0]]</f>
        <v>1.2244897959183673E-2</v>
      </c>
      <c r="EG810" s="1">
        <f>(Table1[[#This Row],[predicted_1]]-Table1[[#This Row],[actual_1]])/Table1[[#This Row],[actual_1]]</f>
        <v>-8.81057268722467E-4</v>
      </c>
      <c r="EH810" s="1">
        <f>(Table1[[#This Row],[predicted_2]]-Table1[[#This Row],[actual_2]])/Table1[[#This Row],[actual_2]]</f>
        <v>-5.8139534883720929E-3</v>
      </c>
      <c r="EI810" s="1">
        <f>(Table1[[#This Row],[predicted_3]]-Table1[[#This Row],[actual_3]])/Table1[[#This Row],[actual_3]]</f>
        <v>0.10396039603960396</v>
      </c>
      <c r="EJ810" s="1">
        <f>(Table1[[#This Row],[predicted_4]]-Table1[[#This Row],[actual_4]])/Table1[[#This Row],[actual_4]]</f>
        <v>-0.10692464358452139</v>
      </c>
      <c r="EK810" s="1">
        <f>(Table1[[#This Row],[predicted_5]]-Table1[[#This Row],[actual_5]])/Table1[[#This Row],[actual_5]]</f>
        <v>-3.1390134529147982E-2</v>
      </c>
      <c r="EL810" s="1">
        <f>(Table1[[#This Row],[predicted_6]]-Table1[[#This Row],[actual_6]])/Table1[[#This Row],[actual_6]]</f>
        <v>-1.0438413361169101E-3</v>
      </c>
      <c r="EM810" s="1">
        <f>(Table1[[#This Row],[predicted_7]]-Table1[[#This Row],[actual_7]])/Table1[[#This Row],[actual_7]]</f>
        <v>6.6147859922178989E-2</v>
      </c>
      <c r="EN810" s="1">
        <f>(Table1[[#This Row],[predicted_8]]-Table1[[#This Row],[actual_8]])/Table1[[#This Row],[actual_8]]</f>
        <v>-7.7002053388090352E-2</v>
      </c>
      <c r="EO810" s="1">
        <f>(Table1[[#This Row],[predicted_9]]-Table1[[#This Row],[actual_9]])/Table1[[#This Row],[actual_9]]</f>
        <v>3.0723488602576808E-2</v>
      </c>
      <c r="EP810" s="1">
        <f>1+(Table1[[#This Row],[error_ratio_0]]-EF$2)</f>
        <v>1.010204081632653</v>
      </c>
      <c r="EQ810" s="1">
        <f>1+(Table1[[#This Row],[error_ratio_1]]-EG$2)</f>
        <v>0.99735682819383265</v>
      </c>
      <c r="ER810" s="1">
        <f>1+(Table1[[#This Row],[error_ratio_2]]-EH$2)</f>
        <v>0.99903100775193798</v>
      </c>
      <c r="ES810" s="1">
        <f>1+(Table1[[#This Row],[error_ratio_3]]-EI$2)</f>
        <v>1.0940594059405941</v>
      </c>
      <c r="ET810" s="1">
        <f>1+(Table1[[#This Row],[error_ratio_4]]-EJ$2)</f>
        <v>0.89205702647657836</v>
      </c>
      <c r="EU810" s="1">
        <f>1+(Table1[[#This Row],[error_ratio_5]]-EK$2)</f>
        <v>0.96748878923766812</v>
      </c>
      <c r="EV810" s="1">
        <f>1+(Table1[[#This Row],[error_ratio_6]]-EL$2)</f>
        <v>1.0052192066805845</v>
      </c>
      <c r="EW810" s="1">
        <f>1+(Table1[[#This Row],[error_ratio_7]]-EM$2)</f>
        <v>1.0642023346303502</v>
      </c>
      <c r="EX810" s="1">
        <f>1+(Table1[[#This Row],[error_ratio_8]]-EN$2)</f>
        <v>0.92607802874743328</v>
      </c>
      <c r="EY810" s="1">
        <f>1+(Table1[[#This Row],[error_ratio_9]]-EO$2)</f>
        <v>1.0346878097125867</v>
      </c>
    </row>
    <row r="811" spans="1:155" x14ac:dyDescent="0.75">
      <c r="A811">
        <v>100</v>
      </c>
      <c r="B811">
        <v>100</v>
      </c>
      <c r="C811">
        <v>100</v>
      </c>
      <c r="D811">
        <v>10</v>
      </c>
      <c r="E811">
        <v>10</v>
      </c>
      <c r="F811">
        <v>10</v>
      </c>
      <c r="G811">
        <v>10</v>
      </c>
      <c r="H811">
        <v>100</v>
      </c>
      <c r="I811">
        <v>10</v>
      </c>
      <c r="J811">
        <v>10</v>
      </c>
      <c r="K811">
        <v>971</v>
      </c>
      <c r="L811">
        <v>1143</v>
      </c>
      <c r="M811">
        <v>1098</v>
      </c>
      <c r="N811">
        <v>1000</v>
      </c>
      <c r="O811">
        <v>889</v>
      </c>
      <c r="P811">
        <v>920</v>
      </c>
      <c r="Q811">
        <v>938</v>
      </c>
      <c r="R811">
        <v>1102</v>
      </c>
      <c r="S811">
        <v>984</v>
      </c>
      <c r="T811">
        <v>955</v>
      </c>
      <c r="U811">
        <v>980</v>
      </c>
      <c r="V811">
        <v>1135</v>
      </c>
      <c r="W811">
        <v>1032</v>
      </c>
      <c r="X811">
        <v>1010</v>
      </c>
      <c r="Y811">
        <v>982</v>
      </c>
      <c r="Z811">
        <v>892</v>
      </c>
      <c r="AA811">
        <v>958</v>
      </c>
      <c r="AB811">
        <v>1028</v>
      </c>
      <c r="AC811">
        <v>974</v>
      </c>
      <c r="AD811">
        <v>1009</v>
      </c>
      <c r="AE811">
        <v>948</v>
      </c>
      <c r="AF811">
        <v>0</v>
      </c>
      <c r="AG811">
        <v>10</v>
      </c>
      <c r="AH811">
        <v>0</v>
      </c>
      <c r="AI811">
        <v>0</v>
      </c>
      <c r="AJ811">
        <v>4</v>
      </c>
      <c r="AK811">
        <v>0</v>
      </c>
      <c r="AL811">
        <v>15</v>
      </c>
      <c r="AM811">
        <v>2</v>
      </c>
      <c r="AN811">
        <v>1</v>
      </c>
      <c r="AO811">
        <v>0</v>
      </c>
      <c r="AP811">
        <v>1128</v>
      </c>
      <c r="AQ811">
        <v>0</v>
      </c>
      <c r="AR811">
        <v>1</v>
      </c>
      <c r="AS811">
        <v>0</v>
      </c>
      <c r="AT811">
        <v>1</v>
      </c>
      <c r="AU811">
        <v>0</v>
      </c>
      <c r="AV811">
        <v>3</v>
      </c>
      <c r="AW811">
        <v>2</v>
      </c>
      <c r="AX811">
        <v>0</v>
      </c>
      <c r="AY811">
        <v>0</v>
      </c>
      <c r="AZ811">
        <v>5</v>
      </c>
      <c r="BA811">
        <v>1016</v>
      </c>
      <c r="BB811">
        <v>5</v>
      </c>
      <c r="BC811">
        <v>0</v>
      </c>
      <c r="BD811">
        <v>1</v>
      </c>
      <c r="BE811">
        <v>0</v>
      </c>
      <c r="BF811">
        <v>5</v>
      </c>
      <c r="BG811">
        <v>0</v>
      </c>
      <c r="BH811">
        <v>0</v>
      </c>
      <c r="BI811">
        <v>0</v>
      </c>
      <c r="BJ811">
        <v>0</v>
      </c>
      <c r="BK811">
        <v>12</v>
      </c>
      <c r="BL811">
        <v>966</v>
      </c>
      <c r="BM811">
        <v>0</v>
      </c>
      <c r="BN811">
        <v>16</v>
      </c>
      <c r="BO811">
        <v>0</v>
      </c>
      <c r="BP811">
        <v>10</v>
      </c>
      <c r="BQ811">
        <v>5</v>
      </c>
      <c r="BR811">
        <v>1</v>
      </c>
      <c r="BS811">
        <v>2</v>
      </c>
      <c r="BT811">
        <v>2</v>
      </c>
      <c r="BU811">
        <v>21</v>
      </c>
      <c r="BV811">
        <v>0</v>
      </c>
      <c r="BW811">
        <v>888</v>
      </c>
      <c r="BX811">
        <v>1</v>
      </c>
      <c r="BY811">
        <v>1</v>
      </c>
      <c r="BZ811">
        <v>12</v>
      </c>
      <c r="CA811">
        <v>15</v>
      </c>
      <c r="CB811">
        <v>40</v>
      </c>
      <c r="CC811">
        <v>2</v>
      </c>
      <c r="CD811">
        <v>1</v>
      </c>
      <c r="CE811">
        <v>2</v>
      </c>
      <c r="CF811">
        <v>12</v>
      </c>
      <c r="CG811">
        <v>0</v>
      </c>
      <c r="CH811">
        <v>863</v>
      </c>
      <c r="CI811">
        <v>2</v>
      </c>
      <c r="CJ811">
        <v>2</v>
      </c>
      <c r="CK811">
        <v>5</v>
      </c>
      <c r="CL811">
        <v>3</v>
      </c>
      <c r="CM811">
        <v>13</v>
      </c>
      <c r="CN811">
        <v>2</v>
      </c>
      <c r="CO811">
        <v>11</v>
      </c>
      <c r="CP811">
        <v>1</v>
      </c>
      <c r="CQ811">
        <v>1</v>
      </c>
      <c r="CR811">
        <v>5</v>
      </c>
      <c r="CS811">
        <v>924</v>
      </c>
      <c r="CT811">
        <v>0</v>
      </c>
      <c r="CU811">
        <v>1</v>
      </c>
      <c r="CV811">
        <v>0</v>
      </c>
      <c r="CW811">
        <v>0</v>
      </c>
      <c r="CX811">
        <v>1</v>
      </c>
      <c r="CY811">
        <v>10</v>
      </c>
      <c r="CZ811">
        <v>0</v>
      </c>
      <c r="DA811">
        <v>0</v>
      </c>
      <c r="DB811">
        <v>0</v>
      </c>
      <c r="DC811">
        <v>0</v>
      </c>
      <c r="DD811">
        <v>1017</v>
      </c>
      <c r="DE811">
        <v>0</v>
      </c>
      <c r="DF811">
        <v>0</v>
      </c>
      <c r="DG811">
        <v>4</v>
      </c>
      <c r="DH811">
        <v>0</v>
      </c>
      <c r="DI811">
        <v>14</v>
      </c>
      <c r="DJ811">
        <v>12</v>
      </c>
      <c r="DK811">
        <v>0</v>
      </c>
      <c r="DL811">
        <v>11</v>
      </c>
      <c r="DM811">
        <v>10</v>
      </c>
      <c r="DN811">
        <v>10</v>
      </c>
      <c r="DO811">
        <v>913</v>
      </c>
      <c r="DP811">
        <v>0</v>
      </c>
      <c r="DQ811">
        <v>2</v>
      </c>
      <c r="DR811">
        <v>4</v>
      </c>
      <c r="DS811">
        <v>2</v>
      </c>
      <c r="DT811">
        <v>3</v>
      </c>
      <c r="DU811">
        <v>0</v>
      </c>
      <c r="DV811">
        <v>18</v>
      </c>
      <c r="DW811">
        <v>1</v>
      </c>
      <c r="DX811">
        <v>28</v>
      </c>
      <c r="DY811">
        <v>41</v>
      </c>
      <c r="DZ811">
        <v>910</v>
      </c>
      <c r="EA811">
        <v>0.95730000000000004</v>
      </c>
      <c r="EB811">
        <v>0.95800943500566704</v>
      </c>
      <c r="EC811">
        <v>0.95669408017094404</v>
      </c>
      <c r="ED811">
        <v>0.956797765488691</v>
      </c>
      <c r="EE811">
        <f>SUM(Table1[[#This Row],[ratio_0]:[ratio_9]])</f>
        <v>460</v>
      </c>
      <c r="EF811" s="1">
        <f>(Table1[[#This Row],[predicted_0]]-Table1[[#This Row],[actual_0]])/Table1[[#This Row],[actual_0]]</f>
        <v>-9.1836734693877559E-3</v>
      </c>
      <c r="EG811" s="1">
        <f>(Table1[[#This Row],[predicted_1]]-Table1[[#This Row],[actual_1]])/Table1[[#This Row],[actual_1]]</f>
        <v>7.048458149779736E-3</v>
      </c>
      <c r="EH811" s="1">
        <f>(Table1[[#This Row],[predicted_2]]-Table1[[#This Row],[actual_2]])/Table1[[#This Row],[actual_2]]</f>
        <v>6.3953488372093026E-2</v>
      </c>
      <c r="EI811" s="1">
        <f>(Table1[[#This Row],[predicted_3]]-Table1[[#This Row],[actual_3]])/Table1[[#This Row],[actual_3]]</f>
        <v>-9.9009900990099011E-3</v>
      </c>
      <c r="EJ811" s="1">
        <f>(Table1[[#This Row],[predicted_4]]-Table1[[#This Row],[actual_4]])/Table1[[#This Row],[actual_4]]</f>
        <v>-9.4704684317718946E-2</v>
      </c>
      <c r="EK811" s="1">
        <f>(Table1[[#This Row],[predicted_5]]-Table1[[#This Row],[actual_5]])/Table1[[#This Row],[actual_5]]</f>
        <v>3.1390134529147982E-2</v>
      </c>
      <c r="EL811" s="1">
        <f>(Table1[[#This Row],[predicted_6]]-Table1[[#This Row],[actual_6]])/Table1[[#This Row],[actual_6]]</f>
        <v>-2.0876826722338204E-2</v>
      </c>
      <c r="EM811" s="1">
        <f>(Table1[[#This Row],[predicted_7]]-Table1[[#This Row],[actual_7]])/Table1[[#This Row],[actual_7]]</f>
        <v>7.1984435797665364E-2</v>
      </c>
      <c r="EN811" s="1">
        <f>(Table1[[#This Row],[predicted_8]]-Table1[[#This Row],[actual_8]])/Table1[[#This Row],[actual_8]]</f>
        <v>1.0266940451745379E-2</v>
      </c>
      <c r="EO811" s="1">
        <f>(Table1[[#This Row],[predicted_9]]-Table1[[#This Row],[actual_9]])/Table1[[#This Row],[actual_9]]</f>
        <v>-5.3518334985133795E-2</v>
      </c>
      <c r="EP811" s="1">
        <f>1+(Table1[[#This Row],[error_ratio_0]]-EF$2)</f>
        <v>0.98877551020408161</v>
      </c>
      <c r="EQ811" s="1">
        <f>1+(Table1[[#This Row],[error_ratio_1]]-EG$2)</f>
        <v>1.0052863436123347</v>
      </c>
      <c r="ER811" s="1">
        <f>1+(Table1[[#This Row],[error_ratio_2]]-EH$2)</f>
        <v>1.068798449612403</v>
      </c>
      <c r="ES811" s="1">
        <f>1+(Table1[[#This Row],[error_ratio_3]]-EI$2)</f>
        <v>0.98019801980198018</v>
      </c>
      <c r="ET811" s="1">
        <f>1+(Table1[[#This Row],[error_ratio_4]]-EJ$2)</f>
        <v>0.90427698574338089</v>
      </c>
      <c r="EU811" s="1">
        <f>1+(Table1[[#This Row],[error_ratio_5]]-EK$2)</f>
        <v>1.0302690582959642</v>
      </c>
      <c r="EV811" s="1">
        <f>1+(Table1[[#This Row],[error_ratio_6]]-EL$2)</f>
        <v>0.98538622129436326</v>
      </c>
      <c r="EW811" s="1">
        <f>1+(Table1[[#This Row],[error_ratio_7]]-EM$2)</f>
        <v>1.0700389105058365</v>
      </c>
      <c r="EX811" s="1">
        <f>1+(Table1[[#This Row],[error_ratio_8]]-EN$2)</f>
        <v>1.0133470225872689</v>
      </c>
      <c r="EY811" s="1">
        <f>1+(Table1[[#This Row],[error_ratio_9]]-EO$2)</f>
        <v>0.95044598612487607</v>
      </c>
    </row>
    <row r="812" spans="1:155" x14ac:dyDescent="0.75">
      <c r="A812">
        <v>10</v>
      </c>
      <c r="B812">
        <v>100</v>
      </c>
      <c r="C812">
        <v>100</v>
      </c>
      <c r="D812">
        <v>10</v>
      </c>
      <c r="E812">
        <v>10</v>
      </c>
      <c r="F812">
        <v>10</v>
      </c>
      <c r="G812">
        <v>10</v>
      </c>
      <c r="H812">
        <v>100</v>
      </c>
      <c r="I812">
        <v>10</v>
      </c>
      <c r="J812">
        <v>10</v>
      </c>
      <c r="K812">
        <v>982</v>
      </c>
      <c r="L812">
        <v>1141</v>
      </c>
      <c r="M812">
        <v>1042</v>
      </c>
      <c r="N812">
        <v>951</v>
      </c>
      <c r="O812">
        <v>982</v>
      </c>
      <c r="P812">
        <v>986</v>
      </c>
      <c r="Q812">
        <v>943</v>
      </c>
      <c r="R812">
        <v>1094</v>
      </c>
      <c r="S812">
        <v>927</v>
      </c>
      <c r="T812">
        <v>952</v>
      </c>
      <c r="U812">
        <v>980</v>
      </c>
      <c r="V812">
        <v>1135</v>
      </c>
      <c r="W812">
        <v>1032</v>
      </c>
      <c r="X812">
        <v>1010</v>
      </c>
      <c r="Y812">
        <v>982</v>
      </c>
      <c r="Z812">
        <v>892</v>
      </c>
      <c r="AA812">
        <v>958</v>
      </c>
      <c r="AB812">
        <v>1028</v>
      </c>
      <c r="AC812">
        <v>974</v>
      </c>
      <c r="AD812">
        <v>1009</v>
      </c>
      <c r="AE812">
        <v>956</v>
      </c>
      <c r="AF812">
        <v>0</v>
      </c>
      <c r="AG812">
        <v>3</v>
      </c>
      <c r="AH812">
        <v>0</v>
      </c>
      <c r="AI812">
        <v>0</v>
      </c>
      <c r="AJ812">
        <v>8</v>
      </c>
      <c r="AK812">
        <v>6</v>
      </c>
      <c r="AL812">
        <v>3</v>
      </c>
      <c r="AM812">
        <v>2</v>
      </c>
      <c r="AN812">
        <v>2</v>
      </c>
      <c r="AO812">
        <v>0</v>
      </c>
      <c r="AP812">
        <v>1129</v>
      </c>
      <c r="AQ812">
        <v>0</v>
      </c>
      <c r="AR812">
        <v>1</v>
      </c>
      <c r="AS812">
        <v>0</v>
      </c>
      <c r="AT812">
        <v>1</v>
      </c>
      <c r="AU812">
        <v>0</v>
      </c>
      <c r="AV812">
        <v>4</v>
      </c>
      <c r="AW812">
        <v>0</v>
      </c>
      <c r="AX812">
        <v>0</v>
      </c>
      <c r="AY812">
        <v>1</v>
      </c>
      <c r="AZ812">
        <v>0</v>
      </c>
      <c r="BA812">
        <v>1010</v>
      </c>
      <c r="BB812">
        <v>3</v>
      </c>
      <c r="BC812">
        <v>0</v>
      </c>
      <c r="BD812">
        <v>2</v>
      </c>
      <c r="BE812">
        <v>2</v>
      </c>
      <c r="BF812">
        <v>12</v>
      </c>
      <c r="BG812">
        <v>2</v>
      </c>
      <c r="BH812">
        <v>0</v>
      </c>
      <c r="BI812">
        <v>3</v>
      </c>
      <c r="BJ812">
        <v>0</v>
      </c>
      <c r="BK812">
        <v>8</v>
      </c>
      <c r="BL812">
        <v>932</v>
      </c>
      <c r="BM812">
        <v>0</v>
      </c>
      <c r="BN812">
        <v>51</v>
      </c>
      <c r="BO812">
        <v>0</v>
      </c>
      <c r="BP812">
        <v>8</v>
      </c>
      <c r="BQ812">
        <v>1</v>
      </c>
      <c r="BR812">
        <v>7</v>
      </c>
      <c r="BS812">
        <v>1</v>
      </c>
      <c r="BT812">
        <v>1</v>
      </c>
      <c r="BU812">
        <v>4</v>
      </c>
      <c r="BV812">
        <v>0</v>
      </c>
      <c r="BW812">
        <v>959</v>
      </c>
      <c r="BX812">
        <v>0</v>
      </c>
      <c r="BY812">
        <v>3</v>
      </c>
      <c r="BZ812">
        <v>3</v>
      </c>
      <c r="CA812">
        <v>2</v>
      </c>
      <c r="CB812">
        <v>9</v>
      </c>
      <c r="CC812">
        <v>3</v>
      </c>
      <c r="CD812">
        <v>0</v>
      </c>
      <c r="CE812">
        <v>1</v>
      </c>
      <c r="CF812">
        <v>2</v>
      </c>
      <c r="CG812">
        <v>0</v>
      </c>
      <c r="CH812">
        <v>882</v>
      </c>
      <c r="CI812">
        <v>1</v>
      </c>
      <c r="CJ812">
        <v>1</v>
      </c>
      <c r="CK812">
        <v>0</v>
      </c>
      <c r="CL812">
        <v>2</v>
      </c>
      <c r="CM812">
        <v>9</v>
      </c>
      <c r="CN812">
        <v>6</v>
      </c>
      <c r="CO812">
        <v>6</v>
      </c>
      <c r="CP812">
        <v>0</v>
      </c>
      <c r="CQ812">
        <v>3</v>
      </c>
      <c r="CR812">
        <v>11</v>
      </c>
      <c r="CS812">
        <v>921</v>
      </c>
      <c r="CT812">
        <v>0</v>
      </c>
      <c r="CU812">
        <v>2</v>
      </c>
      <c r="CV812">
        <v>0</v>
      </c>
      <c r="CW812">
        <v>1</v>
      </c>
      <c r="CX812">
        <v>1</v>
      </c>
      <c r="CY812">
        <v>1</v>
      </c>
      <c r="CZ812">
        <v>3</v>
      </c>
      <c r="DA812">
        <v>0</v>
      </c>
      <c r="DB812">
        <v>0</v>
      </c>
      <c r="DC812">
        <v>0</v>
      </c>
      <c r="DD812">
        <v>1018</v>
      </c>
      <c r="DE812">
        <v>2</v>
      </c>
      <c r="DF812">
        <v>2</v>
      </c>
      <c r="DG812">
        <v>3</v>
      </c>
      <c r="DH812">
        <v>0</v>
      </c>
      <c r="DI812">
        <v>7</v>
      </c>
      <c r="DJ812">
        <v>9</v>
      </c>
      <c r="DK812">
        <v>4</v>
      </c>
      <c r="DL812">
        <v>19</v>
      </c>
      <c r="DM812">
        <v>7</v>
      </c>
      <c r="DN812">
        <v>15</v>
      </c>
      <c r="DO812">
        <v>906</v>
      </c>
      <c r="DP812">
        <v>4</v>
      </c>
      <c r="DQ812">
        <v>5</v>
      </c>
      <c r="DR812">
        <v>4</v>
      </c>
      <c r="DS812">
        <v>2</v>
      </c>
      <c r="DT812">
        <v>1</v>
      </c>
      <c r="DU812">
        <v>16</v>
      </c>
      <c r="DV812">
        <v>12</v>
      </c>
      <c r="DW812">
        <v>3</v>
      </c>
      <c r="DX812">
        <v>30</v>
      </c>
      <c r="DY812">
        <v>10</v>
      </c>
      <c r="DZ812">
        <v>926</v>
      </c>
      <c r="EA812">
        <v>0.96389999999999998</v>
      </c>
      <c r="EB812">
        <v>0.964065464700954</v>
      </c>
      <c r="EC812">
        <v>0.96366213433130699</v>
      </c>
      <c r="ED812">
        <v>0.96330160706366996</v>
      </c>
      <c r="EE812">
        <f>SUM(Table1[[#This Row],[ratio_0]:[ratio_9]])</f>
        <v>370</v>
      </c>
      <c r="EF812" s="1">
        <f>(Table1[[#This Row],[predicted_0]]-Table1[[#This Row],[actual_0]])/Table1[[#This Row],[actual_0]]</f>
        <v>2.0408163265306124E-3</v>
      </c>
      <c r="EG812" s="1">
        <f>(Table1[[#This Row],[predicted_1]]-Table1[[#This Row],[actual_1]])/Table1[[#This Row],[actual_1]]</f>
        <v>5.2863436123348016E-3</v>
      </c>
      <c r="EH812" s="1">
        <f>(Table1[[#This Row],[predicted_2]]-Table1[[#This Row],[actual_2]])/Table1[[#This Row],[actual_2]]</f>
        <v>9.6899224806201549E-3</v>
      </c>
      <c r="EI812" s="1">
        <f>(Table1[[#This Row],[predicted_3]]-Table1[[#This Row],[actual_3]])/Table1[[#This Row],[actual_3]]</f>
        <v>-5.8415841584158419E-2</v>
      </c>
      <c r="EJ812" s="1">
        <f>(Table1[[#This Row],[predicted_4]]-Table1[[#This Row],[actual_4]])/Table1[[#This Row],[actual_4]]</f>
        <v>0</v>
      </c>
      <c r="EK812" s="1">
        <f>(Table1[[#This Row],[predicted_5]]-Table1[[#This Row],[actual_5]])/Table1[[#This Row],[actual_5]]</f>
        <v>0.10538116591928251</v>
      </c>
      <c r="EL812" s="1">
        <f>(Table1[[#This Row],[predicted_6]]-Table1[[#This Row],[actual_6]])/Table1[[#This Row],[actual_6]]</f>
        <v>-1.5657620041753653E-2</v>
      </c>
      <c r="EM812" s="1">
        <f>(Table1[[#This Row],[predicted_7]]-Table1[[#This Row],[actual_7]])/Table1[[#This Row],[actual_7]]</f>
        <v>6.4202334630350189E-2</v>
      </c>
      <c r="EN812" s="1">
        <f>(Table1[[#This Row],[predicted_8]]-Table1[[#This Row],[actual_8]])/Table1[[#This Row],[actual_8]]</f>
        <v>-4.8254620123203286E-2</v>
      </c>
      <c r="EO812" s="1">
        <f>(Table1[[#This Row],[predicted_9]]-Table1[[#This Row],[actual_9]])/Table1[[#This Row],[actual_9]]</f>
        <v>-5.6491575817641228E-2</v>
      </c>
      <c r="EP812" s="1">
        <f>1+(Table1[[#This Row],[error_ratio_0]]-EF$2)</f>
        <v>1</v>
      </c>
      <c r="EQ812" s="1">
        <f>1+(Table1[[#This Row],[error_ratio_1]]-EG$2)</f>
        <v>1.0035242290748898</v>
      </c>
      <c r="ER812" s="1">
        <f>1+(Table1[[#This Row],[error_ratio_2]]-EH$2)</f>
        <v>1.0145348837209303</v>
      </c>
      <c r="ES812" s="1">
        <f>1+(Table1[[#This Row],[error_ratio_3]]-EI$2)</f>
        <v>0.93168316831683162</v>
      </c>
      <c r="ET812" s="1">
        <f>1+(Table1[[#This Row],[error_ratio_4]]-EJ$2)</f>
        <v>0.99898167006109984</v>
      </c>
      <c r="EU812" s="1">
        <f>1+(Table1[[#This Row],[error_ratio_5]]-EK$2)</f>
        <v>1.1042600896860986</v>
      </c>
      <c r="EV812" s="1">
        <f>1+(Table1[[#This Row],[error_ratio_6]]-EL$2)</f>
        <v>0.99060542797494777</v>
      </c>
      <c r="EW812" s="1">
        <f>1+(Table1[[#This Row],[error_ratio_7]]-EM$2)</f>
        <v>1.0622568093385214</v>
      </c>
      <c r="EX812" s="1">
        <f>1+(Table1[[#This Row],[error_ratio_8]]-EN$2)</f>
        <v>0.95482546201232033</v>
      </c>
      <c r="EY812" s="1">
        <f>1+(Table1[[#This Row],[error_ratio_9]]-EO$2)</f>
        <v>0.94747274529236869</v>
      </c>
    </row>
    <row r="813" spans="1:155" x14ac:dyDescent="0.75">
      <c r="A813">
        <v>100</v>
      </c>
      <c r="B813">
        <v>10</v>
      </c>
      <c r="C813">
        <v>100</v>
      </c>
      <c r="D813">
        <v>10</v>
      </c>
      <c r="E813">
        <v>10</v>
      </c>
      <c r="F813">
        <v>10</v>
      </c>
      <c r="G813">
        <v>10</v>
      </c>
      <c r="H813">
        <v>100</v>
      </c>
      <c r="I813">
        <v>10</v>
      </c>
      <c r="J813">
        <v>10</v>
      </c>
      <c r="K813">
        <v>1017</v>
      </c>
      <c r="L813">
        <v>1146</v>
      </c>
      <c r="M813">
        <v>1059</v>
      </c>
      <c r="N813">
        <v>992</v>
      </c>
      <c r="O813">
        <v>960</v>
      </c>
      <c r="P813">
        <v>936</v>
      </c>
      <c r="Q813">
        <v>930</v>
      </c>
      <c r="R813">
        <v>1086</v>
      </c>
      <c r="S813">
        <v>838</v>
      </c>
      <c r="T813">
        <v>1036</v>
      </c>
      <c r="U813">
        <v>980</v>
      </c>
      <c r="V813">
        <v>1135</v>
      </c>
      <c r="W813">
        <v>1032</v>
      </c>
      <c r="X813">
        <v>1010</v>
      </c>
      <c r="Y813">
        <v>982</v>
      </c>
      <c r="Z813">
        <v>892</v>
      </c>
      <c r="AA813">
        <v>958</v>
      </c>
      <c r="AB813">
        <v>1028</v>
      </c>
      <c r="AC813">
        <v>974</v>
      </c>
      <c r="AD813">
        <v>1009</v>
      </c>
      <c r="AE813">
        <v>976</v>
      </c>
      <c r="AF813">
        <v>0</v>
      </c>
      <c r="AG813">
        <v>1</v>
      </c>
      <c r="AH813">
        <v>0</v>
      </c>
      <c r="AI813">
        <v>0</v>
      </c>
      <c r="AJ813">
        <v>1</v>
      </c>
      <c r="AK813">
        <v>0</v>
      </c>
      <c r="AL813">
        <v>2</v>
      </c>
      <c r="AM813">
        <v>0</v>
      </c>
      <c r="AN813">
        <v>0</v>
      </c>
      <c r="AO813">
        <v>1</v>
      </c>
      <c r="AP813">
        <v>1124</v>
      </c>
      <c r="AQ813">
        <v>6</v>
      </c>
      <c r="AR813">
        <v>1</v>
      </c>
      <c r="AS813">
        <v>0</v>
      </c>
      <c r="AT813">
        <v>2</v>
      </c>
      <c r="AU813">
        <v>0</v>
      </c>
      <c r="AV813">
        <v>1</v>
      </c>
      <c r="AW813">
        <v>0</v>
      </c>
      <c r="AX813">
        <v>0</v>
      </c>
      <c r="AY813">
        <v>0</v>
      </c>
      <c r="AZ813">
        <v>0</v>
      </c>
      <c r="BA813">
        <v>1021</v>
      </c>
      <c r="BB813">
        <v>6</v>
      </c>
      <c r="BC813">
        <v>0</v>
      </c>
      <c r="BD813">
        <v>0</v>
      </c>
      <c r="BE813">
        <v>0</v>
      </c>
      <c r="BF813">
        <v>5</v>
      </c>
      <c r="BG813">
        <v>0</v>
      </c>
      <c r="BH813">
        <v>0</v>
      </c>
      <c r="BI813">
        <v>2</v>
      </c>
      <c r="BJ813">
        <v>0</v>
      </c>
      <c r="BK813">
        <v>6</v>
      </c>
      <c r="BL813">
        <v>962</v>
      </c>
      <c r="BM813">
        <v>0</v>
      </c>
      <c r="BN813">
        <v>24</v>
      </c>
      <c r="BO813">
        <v>0</v>
      </c>
      <c r="BP813">
        <v>9</v>
      </c>
      <c r="BQ813">
        <v>5</v>
      </c>
      <c r="BR813">
        <v>2</v>
      </c>
      <c r="BS813">
        <v>1</v>
      </c>
      <c r="BT813">
        <v>1</v>
      </c>
      <c r="BU813">
        <v>5</v>
      </c>
      <c r="BV813">
        <v>0</v>
      </c>
      <c r="BW813">
        <v>939</v>
      </c>
      <c r="BX813">
        <v>0</v>
      </c>
      <c r="BY813">
        <v>10</v>
      </c>
      <c r="BZ813">
        <v>5</v>
      </c>
      <c r="CA813">
        <v>0</v>
      </c>
      <c r="CB813">
        <v>21</v>
      </c>
      <c r="CC813">
        <v>6</v>
      </c>
      <c r="CD813">
        <v>0</v>
      </c>
      <c r="CE813">
        <v>0</v>
      </c>
      <c r="CF813">
        <v>4</v>
      </c>
      <c r="CG813">
        <v>0</v>
      </c>
      <c r="CH813">
        <v>874</v>
      </c>
      <c r="CI813">
        <v>1</v>
      </c>
      <c r="CJ813">
        <v>3</v>
      </c>
      <c r="CK813">
        <v>1</v>
      </c>
      <c r="CL813">
        <v>3</v>
      </c>
      <c r="CM813">
        <v>19</v>
      </c>
      <c r="CN813">
        <v>2</v>
      </c>
      <c r="CO813">
        <v>3</v>
      </c>
      <c r="CP813">
        <v>0</v>
      </c>
      <c r="CQ813">
        <v>4</v>
      </c>
      <c r="CR813">
        <v>10</v>
      </c>
      <c r="CS813">
        <v>917</v>
      </c>
      <c r="CT813">
        <v>0</v>
      </c>
      <c r="CU813">
        <v>2</v>
      </c>
      <c r="CV813">
        <v>1</v>
      </c>
      <c r="CW813">
        <v>1</v>
      </c>
      <c r="CX813">
        <v>2</v>
      </c>
      <c r="CY813">
        <v>8</v>
      </c>
      <c r="CZ813">
        <v>0</v>
      </c>
      <c r="DA813">
        <v>1</v>
      </c>
      <c r="DB813">
        <v>0</v>
      </c>
      <c r="DC813">
        <v>0</v>
      </c>
      <c r="DD813">
        <v>1016</v>
      </c>
      <c r="DE813">
        <v>0</v>
      </c>
      <c r="DF813">
        <v>0</v>
      </c>
      <c r="DG813">
        <v>7</v>
      </c>
      <c r="DH813">
        <v>11</v>
      </c>
      <c r="DI813">
        <v>9</v>
      </c>
      <c r="DJ813">
        <v>15</v>
      </c>
      <c r="DK813">
        <v>3</v>
      </c>
      <c r="DL813">
        <v>19</v>
      </c>
      <c r="DM813">
        <v>1</v>
      </c>
      <c r="DN813">
        <v>18</v>
      </c>
      <c r="DO813">
        <v>828</v>
      </c>
      <c r="DP813">
        <v>63</v>
      </c>
      <c r="DQ813">
        <v>4</v>
      </c>
      <c r="DR813">
        <v>6</v>
      </c>
      <c r="DS813">
        <v>0</v>
      </c>
      <c r="DT813">
        <v>4</v>
      </c>
      <c r="DU813">
        <v>13</v>
      </c>
      <c r="DV813">
        <v>6</v>
      </c>
      <c r="DW813">
        <v>1</v>
      </c>
      <c r="DX813">
        <v>27</v>
      </c>
      <c r="DY813">
        <v>2</v>
      </c>
      <c r="DZ813">
        <v>946</v>
      </c>
      <c r="EA813">
        <v>0.96030000000000004</v>
      </c>
      <c r="EB813">
        <v>0.96090080036237802</v>
      </c>
      <c r="EC813">
        <v>0.95972694760071398</v>
      </c>
      <c r="ED813">
        <v>0.95955846041883996</v>
      </c>
      <c r="EE813">
        <f>SUM(Table1[[#This Row],[ratio_0]:[ratio_9]])</f>
        <v>370</v>
      </c>
      <c r="EF813" s="1">
        <f>(Table1[[#This Row],[predicted_0]]-Table1[[#This Row],[actual_0]])/Table1[[#This Row],[actual_0]]</f>
        <v>3.7755102040816328E-2</v>
      </c>
      <c r="EG813" s="1">
        <f>(Table1[[#This Row],[predicted_1]]-Table1[[#This Row],[actual_1]])/Table1[[#This Row],[actual_1]]</f>
        <v>9.6916299559471359E-3</v>
      </c>
      <c r="EH813" s="1">
        <f>(Table1[[#This Row],[predicted_2]]-Table1[[#This Row],[actual_2]])/Table1[[#This Row],[actual_2]]</f>
        <v>2.616279069767442E-2</v>
      </c>
      <c r="EI813" s="1">
        <f>(Table1[[#This Row],[predicted_3]]-Table1[[#This Row],[actual_3]])/Table1[[#This Row],[actual_3]]</f>
        <v>-1.782178217821782E-2</v>
      </c>
      <c r="EJ813" s="1">
        <f>(Table1[[#This Row],[predicted_4]]-Table1[[#This Row],[actual_4]])/Table1[[#This Row],[actual_4]]</f>
        <v>-2.2403258655804479E-2</v>
      </c>
      <c r="EK813" s="1">
        <f>(Table1[[#This Row],[predicted_5]]-Table1[[#This Row],[actual_5]])/Table1[[#This Row],[actual_5]]</f>
        <v>4.9327354260089683E-2</v>
      </c>
      <c r="EL813" s="1">
        <f>(Table1[[#This Row],[predicted_6]]-Table1[[#This Row],[actual_6]])/Table1[[#This Row],[actual_6]]</f>
        <v>-2.9227557411273485E-2</v>
      </c>
      <c r="EM813" s="1">
        <f>(Table1[[#This Row],[predicted_7]]-Table1[[#This Row],[actual_7]])/Table1[[#This Row],[actual_7]]</f>
        <v>5.642023346303502E-2</v>
      </c>
      <c r="EN813" s="1">
        <f>(Table1[[#This Row],[predicted_8]]-Table1[[#This Row],[actual_8]])/Table1[[#This Row],[actual_8]]</f>
        <v>-0.13963039014373715</v>
      </c>
      <c r="EO813" s="1">
        <f>(Table1[[#This Row],[predicted_9]]-Table1[[#This Row],[actual_9]])/Table1[[#This Row],[actual_9]]</f>
        <v>2.6759167492566897E-2</v>
      </c>
      <c r="EP813" s="1">
        <f>1+(Table1[[#This Row],[error_ratio_0]]-EF$2)</f>
        <v>1.0357142857142858</v>
      </c>
      <c r="EQ813" s="1">
        <f>1+(Table1[[#This Row],[error_ratio_1]]-EG$2)</f>
        <v>1.0079295154185022</v>
      </c>
      <c r="ER813" s="1">
        <f>1+(Table1[[#This Row],[error_ratio_2]]-EH$2)</f>
        <v>1.0310077519379846</v>
      </c>
      <c r="ES813" s="1">
        <f>1+(Table1[[#This Row],[error_ratio_3]]-EI$2)</f>
        <v>0.97227722772277225</v>
      </c>
      <c r="ET813" s="1">
        <f>1+(Table1[[#This Row],[error_ratio_4]]-EJ$2)</f>
        <v>0.97657841140529533</v>
      </c>
      <c r="EU813" s="1">
        <f>1+(Table1[[#This Row],[error_ratio_5]]-EK$2)</f>
        <v>1.0482062780269059</v>
      </c>
      <c r="EV813" s="1">
        <f>1+(Table1[[#This Row],[error_ratio_6]]-EL$2)</f>
        <v>0.97703549060542794</v>
      </c>
      <c r="EW813" s="1">
        <f>1+(Table1[[#This Row],[error_ratio_7]]-EM$2)</f>
        <v>1.0544747081712063</v>
      </c>
      <c r="EX813" s="1">
        <f>1+(Table1[[#This Row],[error_ratio_8]]-EN$2)</f>
        <v>0.86344969199178645</v>
      </c>
      <c r="EY813" s="1">
        <f>1+(Table1[[#This Row],[error_ratio_9]]-EO$2)</f>
        <v>1.0307234886025769</v>
      </c>
    </row>
    <row r="814" spans="1:155" x14ac:dyDescent="0.75">
      <c r="A814">
        <v>10</v>
      </c>
      <c r="B814">
        <v>10</v>
      </c>
      <c r="C814">
        <v>100</v>
      </c>
      <c r="D814">
        <v>10</v>
      </c>
      <c r="E814">
        <v>10</v>
      </c>
      <c r="F814">
        <v>10</v>
      </c>
      <c r="G814">
        <v>10</v>
      </c>
      <c r="H814">
        <v>100</v>
      </c>
      <c r="I814">
        <v>10</v>
      </c>
      <c r="J814">
        <v>10</v>
      </c>
      <c r="K814">
        <v>959</v>
      </c>
      <c r="L814">
        <v>1155</v>
      </c>
      <c r="M814">
        <v>1127</v>
      </c>
      <c r="N814">
        <v>991</v>
      </c>
      <c r="O814">
        <v>971</v>
      </c>
      <c r="P814">
        <v>913</v>
      </c>
      <c r="Q814">
        <v>921</v>
      </c>
      <c r="R814">
        <v>1043</v>
      </c>
      <c r="S814">
        <v>930</v>
      </c>
      <c r="T814">
        <v>990</v>
      </c>
      <c r="U814">
        <v>980</v>
      </c>
      <c r="V814">
        <v>1135</v>
      </c>
      <c r="W814">
        <v>1032</v>
      </c>
      <c r="X814">
        <v>1010</v>
      </c>
      <c r="Y814">
        <v>982</v>
      </c>
      <c r="Z814">
        <v>892</v>
      </c>
      <c r="AA814">
        <v>958</v>
      </c>
      <c r="AB814">
        <v>1028</v>
      </c>
      <c r="AC814">
        <v>974</v>
      </c>
      <c r="AD814">
        <v>1009</v>
      </c>
      <c r="AE814">
        <v>945</v>
      </c>
      <c r="AF814">
        <v>0</v>
      </c>
      <c r="AG814">
        <v>14</v>
      </c>
      <c r="AH814">
        <v>0</v>
      </c>
      <c r="AI814">
        <v>0</v>
      </c>
      <c r="AJ814">
        <v>2</v>
      </c>
      <c r="AK814">
        <v>5</v>
      </c>
      <c r="AL814">
        <v>3</v>
      </c>
      <c r="AM814">
        <v>5</v>
      </c>
      <c r="AN814">
        <v>6</v>
      </c>
      <c r="AO814">
        <v>0</v>
      </c>
      <c r="AP814">
        <v>1126</v>
      </c>
      <c r="AQ814">
        <v>7</v>
      </c>
      <c r="AR814">
        <v>2</v>
      </c>
      <c r="AS814">
        <v>0</v>
      </c>
      <c r="AT814">
        <v>0</v>
      </c>
      <c r="AU814">
        <v>0</v>
      </c>
      <c r="AV814">
        <v>0</v>
      </c>
      <c r="AW814">
        <v>0</v>
      </c>
      <c r="AX814">
        <v>0</v>
      </c>
      <c r="AY814">
        <v>0</v>
      </c>
      <c r="AZ814">
        <v>0</v>
      </c>
      <c r="BA814">
        <v>1028</v>
      </c>
      <c r="BB814">
        <v>1</v>
      </c>
      <c r="BC814">
        <v>0</v>
      </c>
      <c r="BD814">
        <v>0</v>
      </c>
      <c r="BE814">
        <v>0</v>
      </c>
      <c r="BF814">
        <v>1</v>
      </c>
      <c r="BG814">
        <v>2</v>
      </c>
      <c r="BH814">
        <v>0</v>
      </c>
      <c r="BI814">
        <v>1</v>
      </c>
      <c r="BJ814">
        <v>0</v>
      </c>
      <c r="BK814">
        <v>5</v>
      </c>
      <c r="BL814">
        <v>958</v>
      </c>
      <c r="BM814">
        <v>0</v>
      </c>
      <c r="BN814">
        <v>31</v>
      </c>
      <c r="BO814">
        <v>0</v>
      </c>
      <c r="BP814">
        <v>9</v>
      </c>
      <c r="BQ814">
        <v>1</v>
      </c>
      <c r="BR814">
        <v>5</v>
      </c>
      <c r="BS814">
        <v>0</v>
      </c>
      <c r="BT814">
        <v>6</v>
      </c>
      <c r="BU814">
        <v>7</v>
      </c>
      <c r="BV814">
        <v>1</v>
      </c>
      <c r="BW814">
        <v>943</v>
      </c>
      <c r="BX814">
        <v>0</v>
      </c>
      <c r="BY814">
        <v>4</v>
      </c>
      <c r="BZ814">
        <v>7</v>
      </c>
      <c r="CA814">
        <v>1</v>
      </c>
      <c r="CB814">
        <v>13</v>
      </c>
      <c r="CC814">
        <v>1</v>
      </c>
      <c r="CD814">
        <v>2</v>
      </c>
      <c r="CE814">
        <v>2</v>
      </c>
      <c r="CF814">
        <v>11</v>
      </c>
      <c r="CG814">
        <v>1</v>
      </c>
      <c r="CH814">
        <v>863</v>
      </c>
      <c r="CI814">
        <v>2</v>
      </c>
      <c r="CJ814">
        <v>2</v>
      </c>
      <c r="CK814">
        <v>6</v>
      </c>
      <c r="CL814">
        <v>2</v>
      </c>
      <c r="CM814">
        <v>4</v>
      </c>
      <c r="CN814">
        <v>6</v>
      </c>
      <c r="CO814">
        <v>27</v>
      </c>
      <c r="CP814">
        <v>0</v>
      </c>
      <c r="CQ814">
        <v>5</v>
      </c>
      <c r="CR814">
        <v>6</v>
      </c>
      <c r="CS814">
        <v>906</v>
      </c>
      <c r="CT814">
        <v>0</v>
      </c>
      <c r="CU814">
        <v>4</v>
      </c>
      <c r="CV814">
        <v>0</v>
      </c>
      <c r="CW814">
        <v>1</v>
      </c>
      <c r="CX814">
        <v>2</v>
      </c>
      <c r="CY814">
        <v>21</v>
      </c>
      <c r="CZ814">
        <v>0</v>
      </c>
      <c r="DA814">
        <v>0</v>
      </c>
      <c r="DB814">
        <v>0</v>
      </c>
      <c r="DC814">
        <v>0</v>
      </c>
      <c r="DD814">
        <v>1001</v>
      </c>
      <c r="DE814">
        <v>0</v>
      </c>
      <c r="DF814">
        <v>3</v>
      </c>
      <c r="DG814">
        <v>4</v>
      </c>
      <c r="DH814">
        <v>5</v>
      </c>
      <c r="DI814">
        <v>14</v>
      </c>
      <c r="DJ814">
        <v>13</v>
      </c>
      <c r="DK814">
        <v>5</v>
      </c>
      <c r="DL814">
        <v>8</v>
      </c>
      <c r="DM814">
        <v>3</v>
      </c>
      <c r="DN814">
        <v>8</v>
      </c>
      <c r="DO814">
        <v>909</v>
      </c>
      <c r="DP814">
        <v>5</v>
      </c>
      <c r="DQ814">
        <v>3</v>
      </c>
      <c r="DR814">
        <v>8</v>
      </c>
      <c r="DS814">
        <v>2</v>
      </c>
      <c r="DT814">
        <v>5</v>
      </c>
      <c r="DU814">
        <v>17</v>
      </c>
      <c r="DV814">
        <v>3</v>
      </c>
      <c r="DW814">
        <v>1</v>
      </c>
      <c r="DX814">
        <v>12</v>
      </c>
      <c r="DY814">
        <v>2</v>
      </c>
      <c r="DZ814">
        <v>956</v>
      </c>
      <c r="EA814">
        <v>0.96350000000000002</v>
      </c>
      <c r="EB814">
        <v>0.964206975956998</v>
      </c>
      <c r="EC814">
        <v>0.96289622944189301</v>
      </c>
      <c r="ED814">
        <v>0.96322114836346595</v>
      </c>
      <c r="EE814">
        <f>SUM(Table1[[#This Row],[ratio_0]:[ratio_9]])</f>
        <v>280</v>
      </c>
      <c r="EF814" s="1">
        <f>(Table1[[#This Row],[predicted_0]]-Table1[[#This Row],[actual_0]])/Table1[[#This Row],[actual_0]]</f>
        <v>-2.1428571428571429E-2</v>
      </c>
      <c r="EG814" s="1">
        <f>(Table1[[#This Row],[predicted_1]]-Table1[[#This Row],[actual_1]])/Table1[[#This Row],[actual_1]]</f>
        <v>1.7621145374449341E-2</v>
      </c>
      <c r="EH814" s="1">
        <f>(Table1[[#This Row],[predicted_2]]-Table1[[#This Row],[actual_2]])/Table1[[#This Row],[actual_2]]</f>
        <v>9.205426356589147E-2</v>
      </c>
      <c r="EI814" s="1">
        <f>(Table1[[#This Row],[predicted_3]]-Table1[[#This Row],[actual_3]])/Table1[[#This Row],[actual_3]]</f>
        <v>-1.8811881188118811E-2</v>
      </c>
      <c r="EJ814" s="1">
        <f>(Table1[[#This Row],[predicted_4]]-Table1[[#This Row],[actual_4]])/Table1[[#This Row],[actual_4]]</f>
        <v>-1.1201629327902239E-2</v>
      </c>
      <c r="EK814" s="1">
        <f>(Table1[[#This Row],[predicted_5]]-Table1[[#This Row],[actual_5]])/Table1[[#This Row],[actual_5]]</f>
        <v>2.3542600896860985E-2</v>
      </c>
      <c r="EL814" s="1">
        <f>(Table1[[#This Row],[predicted_6]]-Table1[[#This Row],[actual_6]])/Table1[[#This Row],[actual_6]]</f>
        <v>-3.8622129436325675E-2</v>
      </c>
      <c r="EM814" s="1">
        <f>(Table1[[#This Row],[predicted_7]]-Table1[[#This Row],[actual_7]])/Table1[[#This Row],[actual_7]]</f>
        <v>1.4591439688715954E-2</v>
      </c>
      <c r="EN814" s="1">
        <f>(Table1[[#This Row],[predicted_8]]-Table1[[#This Row],[actual_8]])/Table1[[#This Row],[actual_8]]</f>
        <v>-4.5174537987679675E-2</v>
      </c>
      <c r="EO814" s="1">
        <f>(Table1[[#This Row],[predicted_9]]-Table1[[#This Row],[actual_9]])/Table1[[#This Row],[actual_9]]</f>
        <v>-1.8830525272547076E-2</v>
      </c>
      <c r="EP814" s="1">
        <f>1+(Table1[[#This Row],[error_ratio_0]]-EF$2)</f>
        <v>0.97653061224489801</v>
      </c>
      <c r="EQ814" s="1">
        <f>1+(Table1[[#This Row],[error_ratio_1]]-EG$2)</f>
        <v>1.0158590308370044</v>
      </c>
      <c r="ER814" s="1">
        <f>1+(Table1[[#This Row],[error_ratio_2]]-EH$2)</f>
        <v>1.0968992248062015</v>
      </c>
      <c r="ES814" s="1">
        <f>1+(Table1[[#This Row],[error_ratio_3]]-EI$2)</f>
        <v>0.97128712871287126</v>
      </c>
      <c r="ET814" s="1">
        <f>1+(Table1[[#This Row],[error_ratio_4]]-EJ$2)</f>
        <v>0.98778004073319758</v>
      </c>
      <c r="EU814" s="1">
        <f>1+(Table1[[#This Row],[error_ratio_5]]-EK$2)</f>
        <v>1.0224215246636772</v>
      </c>
      <c r="EV814" s="1">
        <f>1+(Table1[[#This Row],[error_ratio_6]]-EL$2)</f>
        <v>0.96764091858037582</v>
      </c>
      <c r="EW814" s="1">
        <f>1+(Table1[[#This Row],[error_ratio_7]]-EM$2)</f>
        <v>1.0126459143968871</v>
      </c>
      <c r="EX814" s="1">
        <f>1+(Table1[[#This Row],[error_ratio_8]]-EN$2)</f>
        <v>0.9579055441478439</v>
      </c>
      <c r="EY814" s="1">
        <f>1+(Table1[[#This Row],[error_ratio_9]]-EO$2)</f>
        <v>0.98513379583746286</v>
      </c>
    </row>
    <row r="815" spans="1:155" x14ac:dyDescent="0.75">
      <c r="A815">
        <v>10</v>
      </c>
      <c r="B815">
        <v>100</v>
      </c>
      <c r="C815">
        <v>10</v>
      </c>
      <c r="D815">
        <v>10</v>
      </c>
      <c r="E815">
        <v>10</v>
      </c>
      <c r="F815">
        <v>10</v>
      </c>
      <c r="G815">
        <v>10</v>
      </c>
      <c r="H815">
        <v>100</v>
      </c>
      <c r="I815">
        <v>10</v>
      </c>
      <c r="J815">
        <v>10</v>
      </c>
      <c r="K815">
        <v>1014</v>
      </c>
      <c r="L815">
        <v>1137</v>
      </c>
      <c r="M815">
        <v>1013</v>
      </c>
      <c r="N815">
        <v>912</v>
      </c>
      <c r="O815">
        <v>856</v>
      </c>
      <c r="P815">
        <v>800</v>
      </c>
      <c r="Q815">
        <v>994</v>
      </c>
      <c r="R815">
        <v>1088</v>
      </c>
      <c r="S815">
        <v>1148</v>
      </c>
      <c r="T815">
        <v>1038</v>
      </c>
      <c r="U815">
        <v>980</v>
      </c>
      <c r="V815">
        <v>1135</v>
      </c>
      <c r="W815">
        <v>1032</v>
      </c>
      <c r="X815">
        <v>1010</v>
      </c>
      <c r="Y815">
        <v>982</v>
      </c>
      <c r="Z815">
        <v>892</v>
      </c>
      <c r="AA815">
        <v>958</v>
      </c>
      <c r="AB815">
        <v>1028</v>
      </c>
      <c r="AC815">
        <v>974</v>
      </c>
      <c r="AD815">
        <v>1009</v>
      </c>
      <c r="AE815">
        <v>961</v>
      </c>
      <c r="AF815">
        <v>1</v>
      </c>
      <c r="AG815">
        <v>2</v>
      </c>
      <c r="AH815">
        <v>1</v>
      </c>
      <c r="AI815">
        <v>0</v>
      </c>
      <c r="AJ815">
        <v>0</v>
      </c>
      <c r="AK815">
        <v>4</v>
      </c>
      <c r="AL815">
        <v>1</v>
      </c>
      <c r="AM815">
        <v>5</v>
      </c>
      <c r="AN815">
        <v>5</v>
      </c>
      <c r="AO815">
        <v>0</v>
      </c>
      <c r="AP815">
        <v>1121</v>
      </c>
      <c r="AQ815">
        <v>2</v>
      </c>
      <c r="AR815">
        <v>1</v>
      </c>
      <c r="AS815">
        <v>0</v>
      </c>
      <c r="AT815">
        <v>0</v>
      </c>
      <c r="AU815">
        <v>6</v>
      </c>
      <c r="AV815">
        <v>3</v>
      </c>
      <c r="AW815">
        <v>2</v>
      </c>
      <c r="AX815">
        <v>0</v>
      </c>
      <c r="AY815">
        <v>8</v>
      </c>
      <c r="AZ815">
        <v>2</v>
      </c>
      <c r="BA815">
        <v>968</v>
      </c>
      <c r="BB815">
        <v>1</v>
      </c>
      <c r="BC815">
        <v>0</v>
      </c>
      <c r="BD815">
        <v>0</v>
      </c>
      <c r="BE815">
        <v>7</v>
      </c>
      <c r="BF815">
        <v>18</v>
      </c>
      <c r="BG815">
        <v>28</v>
      </c>
      <c r="BH815">
        <v>0</v>
      </c>
      <c r="BI815">
        <v>6</v>
      </c>
      <c r="BJ815">
        <v>0</v>
      </c>
      <c r="BK815">
        <v>8</v>
      </c>
      <c r="BL815">
        <v>889</v>
      </c>
      <c r="BM815">
        <v>0</v>
      </c>
      <c r="BN815">
        <v>8</v>
      </c>
      <c r="BO815">
        <v>4</v>
      </c>
      <c r="BP815">
        <v>9</v>
      </c>
      <c r="BQ815">
        <v>85</v>
      </c>
      <c r="BR815">
        <v>1</v>
      </c>
      <c r="BS815">
        <v>0</v>
      </c>
      <c r="BT815">
        <v>3</v>
      </c>
      <c r="BU815">
        <v>21</v>
      </c>
      <c r="BV815">
        <v>0</v>
      </c>
      <c r="BW815">
        <v>851</v>
      </c>
      <c r="BX815">
        <v>0</v>
      </c>
      <c r="BY815">
        <v>18</v>
      </c>
      <c r="BZ815">
        <v>19</v>
      </c>
      <c r="CA815">
        <v>10</v>
      </c>
      <c r="CB815">
        <v>60</v>
      </c>
      <c r="CC815">
        <v>18</v>
      </c>
      <c r="CD815">
        <v>0</v>
      </c>
      <c r="CE815">
        <v>1</v>
      </c>
      <c r="CF815">
        <v>12</v>
      </c>
      <c r="CG815">
        <v>0</v>
      </c>
      <c r="CH815">
        <v>790</v>
      </c>
      <c r="CI815">
        <v>18</v>
      </c>
      <c r="CJ815">
        <v>3</v>
      </c>
      <c r="CK815">
        <v>43</v>
      </c>
      <c r="CL815">
        <v>7</v>
      </c>
      <c r="CM815">
        <v>11</v>
      </c>
      <c r="CN815">
        <v>5</v>
      </c>
      <c r="CO815">
        <v>3</v>
      </c>
      <c r="CP815">
        <v>0</v>
      </c>
      <c r="CQ815">
        <v>1</v>
      </c>
      <c r="CR815">
        <v>1</v>
      </c>
      <c r="CS815">
        <v>933</v>
      </c>
      <c r="CT815">
        <v>1</v>
      </c>
      <c r="CU815">
        <v>3</v>
      </c>
      <c r="CV815">
        <v>0</v>
      </c>
      <c r="CW815">
        <v>2</v>
      </c>
      <c r="CX815">
        <v>1</v>
      </c>
      <c r="CY815">
        <v>6</v>
      </c>
      <c r="CZ815">
        <v>2</v>
      </c>
      <c r="DA815">
        <v>0</v>
      </c>
      <c r="DB815">
        <v>0</v>
      </c>
      <c r="DC815">
        <v>0</v>
      </c>
      <c r="DD815">
        <v>1013</v>
      </c>
      <c r="DE815">
        <v>3</v>
      </c>
      <c r="DF815">
        <v>1</v>
      </c>
      <c r="DG815">
        <v>3</v>
      </c>
      <c r="DH815">
        <v>0</v>
      </c>
      <c r="DI815">
        <v>0</v>
      </c>
      <c r="DJ815">
        <v>3</v>
      </c>
      <c r="DK815">
        <v>2</v>
      </c>
      <c r="DL815">
        <v>1</v>
      </c>
      <c r="DM815">
        <v>4</v>
      </c>
      <c r="DN815">
        <v>9</v>
      </c>
      <c r="DO815">
        <v>946</v>
      </c>
      <c r="DP815">
        <v>6</v>
      </c>
      <c r="DQ815">
        <v>5</v>
      </c>
      <c r="DR815">
        <v>4</v>
      </c>
      <c r="DS815">
        <v>2</v>
      </c>
      <c r="DT815">
        <v>3</v>
      </c>
      <c r="DU815">
        <v>2</v>
      </c>
      <c r="DV815">
        <v>0</v>
      </c>
      <c r="DW815">
        <v>0</v>
      </c>
      <c r="DX815">
        <v>12</v>
      </c>
      <c r="DY815">
        <v>23</v>
      </c>
      <c r="DZ815">
        <v>958</v>
      </c>
      <c r="EA815">
        <v>0.94299999999999995</v>
      </c>
      <c r="EB815">
        <v>0.946234519678397</v>
      </c>
      <c r="EC815">
        <v>0.94187289607720204</v>
      </c>
      <c r="ED815">
        <v>0.94233025722001995</v>
      </c>
      <c r="EE815">
        <f>SUM(Table1[[#This Row],[ratio_0]:[ratio_9]])</f>
        <v>280</v>
      </c>
      <c r="EF815" s="1">
        <f>(Table1[[#This Row],[predicted_0]]-Table1[[#This Row],[actual_0]])/Table1[[#This Row],[actual_0]]</f>
        <v>3.4693877551020408E-2</v>
      </c>
      <c r="EG815" s="1">
        <f>(Table1[[#This Row],[predicted_1]]-Table1[[#This Row],[actual_1]])/Table1[[#This Row],[actual_1]]</f>
        <v>1.762114537444934E-3</v>
      </c>
      <c r="EH815" s="1">
        <f>(Table1[[#This Row],[predicted_2]]-Table1[[#This Row],[actual_2]])/Table1[[#This Row],[actual_2]]</f>
        <v>-1.8410852713178296E-2</v>
      </c>
      <c r="EI815" s="1">
        <f>(Table1[[#This Row],[predicted_3]]-Table1[[#This Row],[actual_3]])/Table1[[#This Row],[actual_3]]</f>
        <v>-9.7029702970297033E-2</v>
      </c>
      <c r="EJ815" s="1">
        <f>(Table1[[#This Row],[predicted_4]]-Table1[[#This Row],[actual_4]])/Table1[[#This Row],[actual_4]]</f>
        <v>-0.12830957230142567</v>
      </c>
      <c r="EK815" s="1">
        <f>(Table1[[#This Row],[predicted_5]]-Table1[[#This Row],[actual_5]])/Table1[[#This Row],[actual_5]]</f>
        <v>-0.1031390134529148</v>
      </c>
      <c r="EL815" s="1">
        <f>(Table1[[#This Row],[predicted_6]]-Table1[[#This Row],[actual_6]])/Table1[[#This Row],[actual_6]]</f>
        <v>3.7578288100208766E-2</v>
      </c>
      <c r="EM815" s="1">
        <f>(Table1[[#This Row],[predicted_7]]-Table1[[#This Row],[actual_7]])/Table1[[#This Row],[actual_7]]</f>
        <v>5.8365758754863814E-2</v>
      </c>
      <c r="EN815" s="1">
        <f>(Table1[[#This Row],[predicted_8]]-Table1[[#This Row],[actual_8]])/Table1[[#This Row],[actual_8]]</f>
        <v>0.17864476386036962</v>
      </c>
      <c r="EO815" s="1">
        <f>(Table1[[#This Row],[predicted_9]]-Table1[[#This Row],[actual_9]])/Table1[[#This Row],[actual_9]]</f>
        <v>2.8741328047571853E-2</v>
      </c>
      <c r="EP815" s="1">
        <f>1+(Table1[[#This Row],[error_ratio_0]]-EF$2)</f>
        <v>1.0326530612244897</v>
      </c>
      <c r="EQ815" s="1">
        <f>1+(Table1[[#This Row],[error_ratio_1]]-EG$2)</f>
        <v>1</v>
      </c>
      <c r="ER815" s="1">
        <f>1+(Table1[[#This Row],[error_ratio_2]]-EH$2)</f>
        <v>0.98643410852713176</v>
      </c>
      <c r="ES815" s="1">
        <f>1+(Table1[[#This Row],[error_ratio_3]]-EI$2)</f>
        <v>0.89306930693069309</v>
      </c>
      <c r="ET815" s="1">
        <f>1+(Table1[[#This Row],[error_ratio_4]]-EJ$2)</f>
        <v>0.87067209775967414</v>
      </c>
      <c r="EU815" s="1">
        <f>1+(Table1[[#This Row],[error_ratio_5]]-EK$2)</f>
        <v>0.89573991031390132</v>
      </c>
      <c r="EV815" s="1">
        <f>1+(Table1[[#This Row],[error_ratio_6]]-EL$2)</f>
        <v>1.0438413361169103</v>
      </c>
      <c r="EW815" s="1">
        <f>1+(Table1[[#This Row],[error_ratio_7]]-EM$2)</f>
        <v>1.056420233463035</v>
      </c>
      <c r="EX815" s="1">
        <f>1+(Table1[[#This Row],[error_ratio_8]]-EN$2)</f>
        <v>1.1817248459958933</v>
      </c>
      <c r="EY815" s="1">
        <f>1+(Table1[[#This Row],[error_ratio_9]]-EO$2)</f>
        <v>1.0327056491575817</v>
      </c>
    </row>
    <row r="816" spans="1:155" x14ac:dyDescent="0.75">
      <c r="A816">
        <v>100</v>
      </c>
      <c r="B816">
        <v>10</v>
      </c>
      <c r="C816">
        <v>10</v>
      </c>
      <c r="D816">
        <v>10</v>
      </c>
      <c r="E816">
        <v>10</v>
      </c>
      <c r="F816">
        <v>10</v>
      </c>
      <c r="G816">
        <v>10</v>
      </c>
      <c r="H816">
        <v>100</v>
      </c>
      <c r="I816">
        <v>10</v>
      </c>
      <c r="J816">
        <v>10</v>
      </c>
      <c r="K816">
        <v>1043</v>
      </c>
      <c r="L816">
        <v>1096</v>
      </c>
      <c r="M816">
        <v>974</v>
      </c>
      <c r="N816">
        <v>1075</v>
      </c>
      <c r="O816">
        <v>962</v>
      </c>
      <c r="P816">
        <v>865</v>
      </c>
      <c r="Q816">
        <v>909</v>
      </c>
      <c r="R816">
        <v>1075</v>
      </c>
      <c r="S816">
        <v>1011</v>
      </c>
      <c r="T816">
        <v>990</v>
      </c>
      <c r="U816">
        <v>980</v>
      </c>
      <c r="V816">
        <v>1135</v>
      </c>
      <c r="W816">
        <v>1032</v>
      </c>
      <c r="X816">
        <v>1010</v>
      </c>
      <c r="Y816">
        <v>982</v>
      </c>
      <c r="Z816">
        <v>892</v>
      </c>
      <c r="AA816">
        <v>958</v>
      </c>
      <c r="AB816">
        <v>1028</v>
      </c>
      <c r="AC816">
        <v>974</v>
      </c>
      <c r="AD816">
        <v>1009</v>
      </c>
      <c r="AE816">
        <v>974</v>
      </c>
      <c r="AF816">
        <v>0</v>
      </c>
      <c r="AG816">
        <v>0</v>
      </c>
      <c r="AH816">
        <v>1</v>
      </c>
      <c r="AI816">
        <v>0</v>
      </c>
      <c r="AJ816">
        <v>1</v>
      </c>
      <c r="AK816">
        <v>0</v>
      </c>
      <c r="AL816">
        <v>3</v>
      </c>
      <c r="AM816">
        <v>1</v>
      </c>
      <c r="AN816">
        <v>0</v>
      </c>
      <c r="AO816">
        <v>1</v>
      </c>
      <c r="AP816">
        <v>1094</v>
      </c>
      <c r="AQ816">
        <v>3</v>
      </c>
      <c r="AR816">
        <v>8</v>
      </c>
      <c r="AS816">
        <v>1</v>
      </c>
      <c r="AT816">
        <v>1</v>
      </c>
      <c r="AU816">
        <v>3</v>
      </c>
      <c r="AV816">
        <v>3</v>
      </c>
      <c r="AW816">
        <v>20</v>
      </c>
      <c r="AX816">
        <v>1</v>
      </c>
      <c r="AY816">
        <v>19</v>
      </c>
      <c r="AZ816">
        <v>0</v>
      </c>
      <c r="BA816">
        <v>949</v>
      </c>
      <c r="BB816">
        <v>39</v>
      </c>
      <c r="BC816">
        <v>0</v>
      </c>
      <c r="BD816">
        <v>0</v>
      </c>
      <c r="BE816">
        <v>0</v>
      </c>
      <c r="BF816">
        <v>21</v>
      </c>
      <c r="BG816">
        <v>4</v>
      </c>
      <c r="BH816">
        <v>0</v>
      </c>
      <c r="BI816">
        <v>2</v>
      </c>
      <c r="BJ816">
        <v>0</v>
      </c>
      <c r="BK816">
        <v>0</v>
      </c>
      <c r="BL816">
        <v>986</v>
      </c>
      <c r="BM816">
        <v>0</v>
      </c>
      <c r="BN816">
        <v>7</v>
      </c>
      <c r="BO816">
        <v>0</v>
      </c>
      <c r="BP816">
        <v>3</v>
      </c>
      <c r="BQ816">
        <v>11</v>
      </c>
      <c r="BR816">
        <v>1</v>
      </c>
      <c r="BS816">
        <v>2</v>
      </c>
      <c r="BT816">
        <v>0</v>
      </c>
      <c r="BU816">
        <v>6</v>
      </c>
      <c r="BV816">
        <v>0</v>
      </c>
      <c r="BW816">
        <v>946</v>
      </c>
      <c r="BX816">
        <v>0</v>
      </c>
      <c r="BY816">
        <v>1</v>
      </c>
      <c r="BZ816">
        <v>12</v>
      </c>
      <c r="CA816">
        <v>3</v>
      </c>
      <c r="CB816">
        <v>12</v>
      </c>
      <c r="CC816">
        <v>8</v>
      </c>
      <c r="CD816">
        <v>0</v>
      </c>
      <c r="CE816">
        <v>0</v>
      </c>
      <c r="CF816">
        <v>15</v>
      </c>
      <c r="CG816">
        <v>0</v>
      </c>
      <c r="CH816">
        <v>835</v>
      </c>
      <c r="CI816">
        <v>2</v>
      </c>
      <c r="CJ816">
        <v>1</v>
      </c>
      <c r="CK816">
        <v>14</v>
      </c>
      <c r="CL816">
        <v>17</v>
      </c>
      <c r="CM816">
        <v>26</v>
      </c>
      <c r="CN816">
        <v>1</v>
      </c>
      <c r="CO816">
        <v>6</v>
      </c>
      <c r="CP816">
        <v>1</v>
      </c>
      <c r="CQ816">
        <v>8</v>
      </c>
      <c r="CR816">
        <v>10</v>
      </c>
      <c r="CS816">
        <v>900</v>
      </c>
      <c r="CT816">
        <v>0</v>
      </c>
      <c r="CU816">
        <v>6</v>
      </c>
      <c r="CV816">
        <v>0</v>
      </c>
      <c r="CW816">
        <v>1</v>
      </c>
      <c r="CX816">
        <v>1</v>
      </c>
      <c r="CY816">
        <v>5</v>
      </c>
      <c r="CZ816">
        <v>6</v>
      </c>
      <c r="DA816">
        <v>0</v>
      </c>
      <c r="DB816">
        <v>0</v>
      </c>
      <c r="DC816">
        <v>0</v>
      </c>
      <c r="DD816">
        <v>1010</v>
      </c>
      <c r="DE816">
        <v>2</v>
      </c>
      <c r="DF816">
        <v>3</v>
      </c>
      <c r="DG816">
        <v>3</v>
      </c>
      <c r="DH816">
        <v>0</v>
      </c>
      <c r="DI816">
        <v>5</v>
      </c>
      <c r="DJ816">
        <v>15</v>
      </c>
      <c r="DK816">
        <v>2</v>
      </c>
      <c r="DL816">
        <v>2</v>
      </c>
      <c r="DM816">
        <v>2</v>
      </c>
      <c r="DN816">
        <v>9</v>
      </c>
      <c r="DO816">
        <v>933</v>
      </c>
      <c r="DP816">
        <v>3</v>
      </c>
      <c r="DQ816">
        <v>7</v>
      </c>
      <c r="DR816">
        <v>0</v>
      </c>
      <c r="DS816">
        <v>0</v>
      </c>
      <c r="DT816">
        <v>4</v>
      </c>
      <c r="DU816">
        <v>5</v>
      </c>
      <c r="DV816">
        <v>9</v>
      </c>
      <c r="DW816">
        <v>1</v>
      </c>
      <c r="DX816">
        <v>13</v>
      </c>
      <c r="DY816">
        <v>17</v>
      </c>
      <c r="DZ816">
        <v>953</v>
      </c>
      <c r="EA816">
        <v>0.95799999999999996</v>
      </c>
      <c r="EB816">
        <v>0.95873565358688295</v>
      </c>
      <c r="EC816">
        <v>0.95773567705705898</v>
      </c>
      <c r="ED816">
        <v>0.95775253994022402</v>
      </c>
      <c r="EE816">
        <f>SUM(Table1[[#This Row],[ratio_0]:[ratio_9]])</f>
        <v>280</v>
      </c>
      <c r="EF816" s="1">
        <f>(Table1[[#This Row],[predicted_0]]-Table1[[#This Row],[actual_0]])/Table1[[#This Row],[actual_0]]</f>
        <v>6.4285714285714279E-2</v>
      </c>
      <c r="EG816" s="1">
        <f>(Table1[[#This Row],[predicted_1]]-Table1[[#This Row],[actual_1]])/Table1[[#This Row],[actual_1]]</f>
        <v>-3.4361233480176209E-2</v>
      </c>
      <c r="EH816" s="1">
        <f>(Table1[[#This Row],[predicted_2]]-Table1[[#This Row],[actual_2]])/Table1[[#This Row],[actual_2]]</f>
        <v>-5.6201550387596902E-2</v>
      </c>
      <c r="EI816" s="1">
        <f>(Table1[[#This Row],[predicted_3]]-Table1[[#This Row],[actual_3]])/Table1[[#This Row],[actual_3]]</f>
        <v>6.4356435643564358E-2</v>
      </c>
      <c r="EJ816" s="1">
        <f>(Table1[[#This Row],[predicted_4]]-Table1[[#This Row],[actual_4]])/Table1[[#This Row],[actual_4]]</f>
        <v>-2.0366598778004074E-2</v>
      </c>
      <c r="EK816" s="1">
        <f>(Table1[[#This Row],[predicted_5]]-Table1[[#This Row],[actual_5]])/Table1[[#This Row],[actual_5]]</f>
        <v>-3.0269058295964126E-2</v>
      </c>
      <c r="EL816" s="1">
        <f>(Table1[[#This Row],[predicted_6]]-Table1[[#This Row],[actual_6]])/Table1[[#This Row],[actual_6]]</f>
        <v>-5.1148225469728602E-2</v>
      </c>
      <c r="EM816" s="1">
        <f>(Table1[[#This Row],[predicted_7]]-Table1[[#This Row],[actual_7]])/Table1[[#This Row],[actual_7]]</f>
        <v>4.5719844357976651E-2</v>
      </c>
      <c r="EN816" s="1">
        <f>(Table1[[#This Row],[predicted_8]]-Table1[[#This Row],[actual_8]])/Table1[[#This Row],[actual_8]]</f>
        <v>3.7987679671457907E-2</v>
      </c>
      <c r="EO816" s="1">
        <f>(Table1[[#This Row],[predicted_9]]-Table1[[#This Row],[actual_9]])/Table1[[#This Row],[actual_9]]</f>
        <v>-1.8830525272547076E-2</v>
      </c>
      <c r="EP816" s="1">
        <f>1+(Table1[[#This Row],[error_ratio_0]]-EF$2)</f>
        <v>1.0622448979591836</v>
      </c>
      <c r="EQ816" s="1">
        <f>1+(Table1[[#This Row],[error_ratio_1]]-EG$2)</f>
        <v>0.96387665198237882</v>
      </c>
      <c r="ER816" s="1">
        <f>1+(Table1[[#This Row],[error_ratio_2]]-EH$2)</f>
        <v>0.9486434108527132</v>
      </c>
      <c r="ES816" s="1">
        <f>1+(Table1[[#This Row],[error_ratio_3]]-EI$2)</f>
        <v>1.0544554455445545</v>
      </c>
      <c r="ET816" s="1">
        <f>1+(Table1[[#This Row],[error_ratio_4]]-EJ$2)</f>
        <v>0.97861507128309577</v>
      </c>
      <c r="EU816" s="1">
        <f>1+(Table1[[#This Row],[error_ratio_5]]-EK$2)</f>
        <v>0.96860986547085204</v>
      </c>
      <c r="EV816" s="1">
        <f>1+(Table1[[#This Row],[error_ratio_6]]-EL$2)</f>
        <v>0.95511482254697289</v>
      </c>
      <c r="EW816" s="1">
        <f>1+(Table1[[#This Row],[error_ratio_7]]-EM$2)</f>
        <v>1.0437743190661479</v>
      </c>
      <c r="EX816" s="1">
        <f>1+(Table1[[#This Row],[error_ratio_8]]-EN$2)</f>
        <v>1.0410677618069815</v>
      </c>
      <c r="EY816" s="1">
        <f>1+(Table1[[#This Row],[error_ratio_9]]-EO$2)</f>
        <v>0.98513379583746286</v>
      </c>
    </row>
    <row r="817" spans="1:155" x14ac:dyDescent="0.75">
      <c r="A817">
        <v>10</v>
      </c>
      <c r="B817">
        <v>10</v>
      </c>
      <c r="C817">
        <v>10</v>
      </c>
      <c r="D817">
        <v>10</v>
      </c>
      <c r="E817">
        <v>10</v>
      </c>
      <c r="F817">
        <v>10</v>
      </c>
      <c r="G817">
        <v>10</v>
      </c>
      <c r="H817">
        <v>100</v>
      </c>
      <c r="I817">
        <v>10</v>
      </c>
      <c r="J817">
        <v>10</v>
      </c>
      <c r="K817">
        <v>1023</v>
      </c>
      <c r="L817">
        <v>1148</v>
      </c>
      <c r="M817">
        <v>969</v>
      </c>
      <c r="N817">
        <v>935</v>
      </c>
      <c r="O817">
        <v>884</v>
      </c>
      <c r="P817">
        <v>844</v>
      </c>
      <c r="Q817">
        <v>977</v>
      </c>
      <c r="R817">
        <v>1176</v>
      </c>
      <c r="S817">
        <v>985</v>
      </c>
      <c r="T817">
        <v>1059</v>
      </c>
      <c r="U817">
        <v>980</v>
      </c>
      <c r="V817">
        <v>1135</v>
      </c>
      <c r="W817">
        <v>1032</v>
      </c>
      <c r="X817">
        <v>1010</v>
      </c>
      <c r="Y817">
        <v>982</v>
      </c>
      <c r="Z817">
        <v>892</v>
      </c>
      <c r="AA817">
        <v>958</v>
      </c>
      <c r="AB817">
        <v>1028</v>
      </c>
      <c r="AC817">
        <v>974</v>
      </c>
      <c r="AD817">
        <v>1009</v>
      </c>
      <c r="AE817">
        <v>961</v>
      </c>
      <c r="AF817">
        <v>1</v>
      </c>
      <c r="AG817">
        <v>0</v>
      </c>
      <c r="AH817">
        <v>0</v>
      </c>
      <c r="AI817">
        <v>0</v>
      </c>
      <c r="AJ817">
        <v>1</v>
      </c>
      <c r="AK817">
        <v>6</v>
      </c>
      <c r="AL817">
        <v>5</v>
      </c>
      <c r="AM817">
        <v>4</v>
      </c>
      <c r="AN817">
        <v>2</v>
      </c>
      <c r="AO817">
        <v>0</v>
      </c>
      <c r="AP817">
        <v>1112</v>
      </c>
      <c r="AQ817">
        <v>3</v>
      </c>
      <c r="AR817">
        <v>1</v>
      </c>
      <c r="AS817">
        <v>0</v>
      </c>
      <c r="AT817">
        <v>0</v>
      </c>
      <c r="AU817">
        <v>1</v>
      </c>
      <c r="AV817">
        <v>17</v>
      </c>
      <c r="AW817">
        <v>1</v>
      </c>
      <c r="AX817">
        <v>0</v>
      </c>
      <c r="AY817">
        <v>15</v>
      </c>
      <c r="AZ817">
        <v>2</v>
      </c>
      <c r="BA817">
        <v>940</v>
      </c>
      <c r="BB817">
        <v>1</v>
      </c>
      <c r="BC817">
        <v>1</v>
      </c>
      <c r="BD817">
        <v>1</v>
      </c>
      <c r="BE817">
        <v>18</v>
      </c>
      <c r="BF817">
        <v>33</v>
      </c>
      <c r="BG817">
        <v>19</v>
      </c>
      <c r="BH817">
        <v>2</v>
      </c>
      <c r="BI817">
        <v>6</v>
      </c>
      <c r="BJ817">
        <v>0</v>
      </c>
      <c r="BK817">
        <v>9</v>
      </c>
      <c r="BL817">
        <v>904</v>
      </c>
      <c r="BM817">
        <v>0</v>
      </c>
      <c r="BN817">
        <v>8</v>
      </c>
      <c r="BO817">
        <v>0</v>
      </c>
      <c r="BP817">
        <v>38</v>
      </c>
      <c r="BQ817">
        <v>33</v>
      </c>
      <c r="BR817">
        <v>12</v>
      </c>
      <c r="BS817">
        <v>2</v>
      </c>
      <c r="BT817">
        <v>12</v>
      </c>
      <c r="BU817">
        <v>4</v>
      </c>
      <c r="BV817">
        <v>0</v>
      </c>
      <c r="BW817">
        <v>875</v>
      </c>
      <c r="BX817">
        <v>0</v>
      </c>
      <c r="BY817">
        <v>12</v>
      </c>
      <c r="BZ817">
        <v>7</v>
      </c>
      <c r="CA817">
        <v>3</v>
      </c>
      <c r="CB817">
        <v>67</v>
      </c>
      <c r="CC817">
        <v>17</v>
      </c>
      <c r="CD817">
        <v>1</v>
      </c>
      <c r="CE817">
        <v>0</v>
      </c>
      <c r="CF817">
        <v>19</v>
      </c>
      <c r="CG817">
        <v>0</v>
      </c>
      <c r="CH817">
        <v>810</v>
      </c>
      <c r="CI817">
        <v>6</v>
      </c>
      <c r="CJ817">
        <v>15</v>
      </c>
      <c r="CK817">
        <v>12</v>
      </c>
      <c r="CL817">
        <v>12</v>
      </c>
      <c r="CM817">
        <v>12</v>
      </c>
      <c r="CN817">
        <v>4</v>
      </c>
      <c r="CO817">
        <v>0</v>
      </c>
      <c r="CP817">
        <v>0</v>
      </c>
      <c r="CQ817">
        <v>2</v>
      </c>
      <c r="CR817">
        <v>12</v>
      </c>
      <c r="CS817">
        <v>926</v>
      </c>
      <c r="CT817">
        <v>0</v>
      </c>
      <c r="CU817">
        <v>2</v>
      </c>
      <c r="CV817">
        <v>0</v>
      </c>
      <c r="CW817">
        <v>1</v>
      </c>
      <c r="CX817">
        <v>2</v>
      </c>
      <c r="CY817">
        <v>8</v>
      </c>
      <c r="CZ817">
        <v>1</v>
      </c>
      <c r="DA817">
        <v>0</v>
      </c>
      <c r="DB817">
        <v>0</v>
      </c>
      <c r="DC817">
        <v>0</v>
      </c>
      <c r="DD817">
        <v>1014</v>
      </c>
      <c r="DE817">
        <v>1</v>
      </c>
      <c r="DF817">
        <v>1</v>
      </c>
      <c r="DG817">
        <v>4</v>
      </c>
      <c r="DH817">
        <v>10</v>
      </c>
      <c r="DI817">
        <v>3</v>
      </c>
      <c r="DJ817">
        <v>5</v>
      </c>
      <c r="DK817">
        <v>4</v>
      </c>
      <c r="DL817">
        <v>4</v>
      </c>
      <c r="DM817">
        <v>6</v>
      </c>
      <c r="DN817">
        <v>20</v>
      </c>
      <c r="DO817">
        <v>906</v>
      </c>
      <c r="DP817">
        <v>12</v>
      </c>
      <c r="DQ817">
        <v>5</v>
      </c>
      <c r="DR817">
        <v>4</v>
      </c>
      <c r="DS817">
        <v>2</v>
      </c>
      <c r="DT817">
        <v>4</v>
      </c>
      <c r="DU817">
        <v>2</v>
      </c>
      <c r="DV817">
        <v>8</v>
      </c>
      <c r="DW817">
        <v>2</v>
      </c>
      <c r="DX817">
        <v>27</v>
      </c>
      <c r="DY817">
        <v>4</v>
      </c>
      <c r="DZ817">
        <v>951</v>
      </c>
      <c r="EA817">
        <v>0.93989999999999996</v>
      </c>
      <c r="EB817">
        <v>0.94223450932361796</v>
      </c>
      <c r="EC817">
        <v>0.93910411402971705</v>
      </c>
      <c r="ED817">
        <v>0.93957674075042896</v>
      </c>
      <c r="EE817">
        <f>SUM(Table1[[#This Row],[ratio_0]:[ratio_9]])</f>
        <v>190</v>
      </c>
      <c r="EF817" s="1">
        <f>(Table1[[#This Row],[predicted_0]]-Table1[[#This Row],[actual_0]])/Table1[[#This Row],[actual_0]]</f>
        <v>4.3877551020408162E-2</v>
      </c>
      <c r="EG817" s="1">
        <f>(Table1[[#This Row],[predicted_1]]-Table1[[#This Row],[actual_1]])/Table1[[#This Row],[actual_1]]</f>
        <v>1.145374449339207E-2</v>
      </c>
      <c r="EH817" s="1">
        <f>(Table1[[#This Row],[predicted_2]]-Table1[[#This Row],[actual_2]])/Table1[[#This Row],[actual_2]]</f>
        <v>-6.1046511627906974E-2</v>
      </c>
      <c r="EI817" s="1">
        <f>(Table1[[#This Row],[predicted_3]]-Table1[[#This Row],[actual_3]])/Table1[[#This Row],[actual_3]]</f>
        <v>-7.4257425742574254E-2</v>
      </c>
      <c r="EJ817" s="1">
        <f>(Table1[[#This Row],[predicted_4]]-Table1[[#This Row],[actual_4]])/Table1[[#This Row],[actual_4]]</f>
        <v>-9.9796334012219962E-2</v>
      </c>
      <c r="EK817" s="1">
        <f>(Table1[[#This Row],[predicted_5]]-Table1[[#This Row],[actual_5]])/Table1[[#This Row],[actual_5]]</f>
        <v>-5.3811659192825115E-2</v>
      </c>
      <c r="EL817" s="1">
        <f>(Table1[[#This Row],[predicted_6]]-Table1[[#This Row],[actual_6]])/Table1[[#This Row],[actual_6]]</f>
        <v>1.9832985386221295E-2</v>
      </c>
      <c r="EM817" s="1">
        <f>(Table1[[#This Row],[predicted_7]]-Table1[[#This Row],[actual_7]])/Table1[[#This Row],[actual_7]]</f>
        <v>0.14396887159533073</v>
      </c>
      <c r="EN817" s="1">
        <f>(Table1[[#This Row],[predicted_8]]-Table1[[#This Row],[actual_8]])/Table1[[#This Row],[actual_8]]</f>
        <v>1.1293634496919919E-2</v>
      </c>
      <c r="EO817" s="1">
        <f>(Table1[[#This Row],[predicted_9]]-Table1[[#This Row],[actual_9]])/Table1[[#This Row],[actual_9]]</f>
        <v>4.9554013875123884E-2</v>
      </c>
      <c r="EP817" s="1">
        <f>1+(Table1[[#This Row],[error_ratio_0]]-EF$2)</f>
        <v>1.0418367346938775</v>
      </c>
      <c r="EQ817" s="1">
        <f>1+(Table1[[#This Row],[error_ratio_1]]-EG$2)</f>
        <v>1.0096916299559471</v>
      </c>
      <c r="ER817" s="1">
        <f>1+(Table1[[#This Row],[error_ratio_2]]-EH$2)</f>
        <v>0.94379844961240311</v>
      </c>
      <c r="ES817" s="1">
        <f>1+(Table1[[#This Row],[error_ratio_3]]-EI$2)</f>
        <v>0.91584158415841588</v>
      </c>
      <c r="ET817" s="1">
        <f>1+(Table1[[#This Row],[error_ratio_4]]-EJ$2)</f>
        <v>0.89918533604887985</v>
      </c>
      <c r="EU817" s="1">
        <f>1+(Table1[[#This Row],[error_ratio_5]]-EK$2)</f>
        <v>0.94506726457399104</v>
      </c>
      <c r="EV817" s="1">
        <f>1+(Table1[[#This Row],[error_ratio_6]]-EL$2)</f>
        <v>1.0260960334029228</v>
      </c>
      <c r="EW817" s="1">
        <f>1+(Table1[[#This Row],[error_ratio_7]]-EM$2)</f>
        <v>1.1420233463035019</v>
      </c>
      <c r="EX817" s="1">
        <f>1+(Table1[[#This Row],[error_ratio_8]]-EN$2)</f>
        <v>1.0143737166324436</v>
      </c>
      <c r="EY817" s="1">
        <f>1+(Table1[[#This Row],[error_ratio_9]]-EO$2)</f>
        <v>1.0535183349851338</v>
      </c>
    </row>
    <row r="818" spans="1:155" x14ac:dyDescent="0.75">
      <c r="A818">
        <v>100</v>
      </c>
      <c r="B818">
        <v>100</v>
      </c>
      <c r="C818">
        <v>100</v>
      </c>
      <c r="D818">
        <v>100</v>
      </c>
      <c r="E818">
        <v>100</v>
      </c>
      <c r="F818">
        <v>100</v>
      </c>
      <c r="G818">
        <v>100</v>
      </c>
      <c r="H818">
        <v>10</v>
      </c>
      <c r="I818">
        <v>10</v>
      </c>
      <c r="J818">
        <v>10</v>
      </c>
      <c r="K818">
        <v>990</v>
      </c>
      <c r="L818">
        <v>1152</v>
      </c>
      <c r="M818">
        <v>1133</v>
      </c>
      <c r="N818">
        <v>1107</v>
      </c>
      <c r="O818">
        <v>1003</v>
      </c>
      <c r="P818">
        <v>913</v>
      </c>
      <c r="Q818">
        <v>939</v>
      </c>
      <c r="R818">
        <v>976</v>
      </c>
      <c r="S818">
        <v>831</v>
      </c>
      <c r="T818">
        <v>956</v>
      </c>
      <c r="U818">
        <v>980</v>
      </c>
      <c r="V818">
        <v>1135</v>
      </c>
      <c r="W818">
        <v>1032</v>
      </c>
      <c r="X818">
        <v>1010</v>
      </c>
      <c r="Y818">
        <v>982</v>
      </c>
      <c r="Z818">
        <v>892</v>
      </c>
      <c r="AA818">
        <v>958</v>
      </c>
      <c r="AB818">
        <v>1028</v>
      </c>
      <c r="AC818">
        <v>974</v>
      </c>
      <c r="AD818">
        <v>1009</v>
      </c>
      <c r="AE818">
        <v>971</v>
      </c>
      <c r="AF818">
        <v>0</v>
      </c>
      <c r="AG818">
        <v>5</v>
      </c>
      <c r="AH818">
        <v>2</v>
      </c>
      <c r="AI818">
        <v>0</v>
      </c>
      <c r="AJ818">
        <v>0</v>
      </c>
      <c r="AK818">
        <v>1</v>
      </c>
      <c r="AL818">
        <v>1</v>
      </c>
      <c r="AM818">
        <v>0</v>
      </c>
      <c r="AN818">
        <v>0</v>
      </c>
      <c r="AO818">
        <v>0</v>
      </c>
      <c r="AP818">
        <v>1126</v>
      </c>
      <c r="AQ818">
        <v>7</v>
      </c>
      <c r="AR818">
        <v>2</v>
      </c>
      <c r="AS818">
        <v>0</v>
      </c>
      <c r="AT818">
        <v>0</v>
      </c>
      <c r="AU818">
        <v>0</v>
      </c>
      <c r="AV818">
        <v>0</v>
      </c>
      <c r="AW818">
        <v>0</v>
      </c>
      <c r="AX818">
        <v>0</v>
      </c>
      <c r="AY818">
        <v>0</v>
      </c>
      <c r="AZ818">
        <v>0</v>
      </c>
      <c r="BA818">
        <v>1030</v>
      </c>
      <c r="BB818">
        <v>1</v>
      </c>
      <c r="BC818">
        <v>0</v>
      </c>
      <c r="BD818">
        <v>0</v>
      </c>
      <c r="BE818">
        <v>0</v>
      </c>
      <c r="BF818">
        <v>1</v>
      </c>
      <c r="BG818">
        <v>0</v>
      </c>
      <c r="BH818">
        <v>0</v>
      </c>
      <c r="BI818">
        <v>0</v>
      </c>
      <c r="BJ818">
        <v>0</v>
      </c>
      <c r="BK818">
        <v>2</v>
      </c>
      <c r="BL818">
        <v>1005</v>
      </c>
      <c r="BM818">
        <v>0</v>
      </c>
      <c r="BN818">
        <v>1</v>
      </c>
      <c r="BO818">
        <v>0</v>
      </c>
      <c r="BP818">
        <v>1</v>
      </c>
      <c r="BQ818">
        <v>1</v>
      </c>
      <c r="BR818">
        <v>0</v>
      </c>
      <c r="BS818">
        <v>0</v>
      </c>
      <c r="BT818">
        <v>1</v>
      </c>
      <c r="BU818">
        <v>6</v>
      </c>
      <c r="BV818">
        <v>0</v>
      </c>
      <c r="BW818">
        <v>974</v>
      </c>
      <c r="BX818">
        <v>0</v>
      </c>
      <c r="BY818">
        <v>1</v>
      </c>
      <c r="BZ818">
        <v>0</v>
      </c>
      <c r="CA818">
        <v>0</v>
      </c>
      <c r="CB818">
        <v>0</v>
      </c>
      <c r="CC818">
        <v>1</v>
      </c>
      <c r="CD818">
        <v>0</v>
      </c>
      <c r="CE818">
        <v>0</v>
      </c>
      <c r="CF818">
        <v>10</v>
      </c>
      <c r="CG818">
        <v>0</v>
      </c>
      <c r="CH818">
        <v>880</v>
      </c>
      <c r="CI818">
        <v>1</v>
      </c>
      <c r="CJ818">
        <v>0</v>
      </c>
      <c r="CK818">
        <v>0</v>
      </c>
      <c r="CL818">
        <v>0</v>
      </c>
      <c r="CM818">
        <v>6</v>
      </c>
      <c r="CN818">
        <v>2</v>
      </c>
      <c r="CO818">
        <v>2</v>
      </c>
      <c r="CP818">
        <v>1</v>
      </c>
      <c r="CQ818">
        <v>1</v>
      </c>
      <c r="CR818">
        <v>12</v>
      </c>
      <c r="CS818">
        <v>934</v>
      </c>
      <c r="CT818">
        <v>0</v>
      </c>
      <c r="CU818">
        <v>0</v>
      </c>
      <c r="CV818">
        <v>0</v>
      </c>
      <c r="CW818">
        <v>1</v>
      </c>
      <c r="CX818">
        <v>9</v>
      </c>
      <c r="CY818">
        <v>41</v>
      </c>
      <c r="CZ818">
        <v>16</v>
      </c>
      <c r="DA818">
        <v>1</v>
      </c>
      <c r="DB818">
        <v>2</v>
      </c>
      <c r="DC818">
        <v>0</v>
      </c>
      <c r="DD818">
        <v>957</v>
      </c>
      <c r="DE818">
        <v>0</v>
      </c>
      <c r="DF818">
        <v>1</v>
      </c>
      <c r="DG818">
        <v>7</v>
      </c>
      <c r="DH818">
        <v>5</v>
      </c>
      <c r="DI818">
        <v>38</v>
      </c>
      <c r="DJ818">
        <v>62</v>
      </c>
      <c r="DK818">
        <v>1</v>
      </c>
      <c r="DL818">
        <v>7</v>
      </c>
      <c r="DM818">
        <v>2</v>
      </c>
      <c r="DN818">
        <v>7</v>
      </c>
      <c r="DO818">
        <v>830</v>
      </c>
      <c r="DP818">
        <v>15</v>
      </c>
      <c r="DQ818">
        <v>4</v>
      </c>
      <c r="DR818">
        <v>9</v>
      </c>
      <c r="DS818">
        <v>2</v>
      </c>
      <c r="DT818">
        <v>8</v>
      </c>
      <c r="DU818">
        <v>26</v>
      </c>
      <c r="DV818">
        <v>11</v>
      </c>
      <c r="DW818">
        <v>0</v>
      </c>
      <c r="DX818">
        <v>9</v>
      </c>
      <c r="DY818">
        <v>0</v>
      </c>
      <c r="DZ818">
        <v>940</v>
      </c>
      <c r="EA818">
        <v>0.9647</v>
      </c>
      <c r="EB818">
        <v>0.96673989876583999</v>
      </c>
      <c r="EC818">
        <v>0.96440519556775395</v>
      </c>
      <c r="ED818">
        <v>0.96440834144542598</v>
      </c>
      <c r="EE818">
        <f>SUM(Table1[[#This Row],[ratio_0]:[ratio_9]])</f>
        <v>730</v>
      </c>
      <c r="EF818" s="1">
        <f>(Table1[[#This Row],[predicted_0]]-Table1[[#This Row],[actual_0]])/Table1[[#This Row],[actual_0]]</f>
        <v>1.020408163265306E-2</v>
      </c>
      <c r="EG818" s="1">
        <f>(Table1[[#This Row],[predicted_1]]-Table1[[#This Row],[actual_1]])/Table1[[#This Row],[actual_1]]</f>
        <v>1.4977973568281937E-2</v>
      </c>
      <c r="EH818" s="1">
        <f>(Table1[[#This Row],[predicted_2]]-Table1[[#This Row],[actual_2]])/Table1[[#This Row],[actual_2]]</f>
        <v>9.7868217054263559E-2</v>
      </c>
      <c r="EI818" s="1">
        <f>(Table1[[#This Row],[predicted_3]]-Table1[[#This Row],[actual_3]])/Table1[[#This Row],[actual_3]]</f>
        <v>9.6039603960396042E-2</v>
      </c>
      <c r="EJ818" s="1">
        <f>(Table1[[#This Row],[predicted_4]]-Table1[[#This Row],[actual_4]])/Table1[[#This Row],[actual_4]]</f>
        <v>2.1384928716904276E-2</v>
      </c>
      <c r="EK818" s="1">
        <f>(Table1[[#This Row],[predicted_5]]-Table1[[#This Row],[actual_5]])/Table1[[#This Row],[actual_5]]</f>
        <v>2.3542600896860985E-2</v>
      </c>
      <c r="EL818" s="1">
        <f>(Table1[[#This Row],[predicted_6]]-Table1[[#This Row],[actual_6]])/Table1[[#This Row],[actual_6]]</f>
        <v>-1.9832985386221295E-2</v>
      </c>
      <c r="EM818" s="1">
        <f>(Table1[[#This Row],[predicted_7]]-Table1[[#This Row],[actual_7]])/Table1[[#This Row],[actual_7]]</f>
        <v>-5.0583657587548639E-2</v>
      </c>
      <c r="EN818" s="1">
        <f>(Table1[[#This Row],[predicted_8]]-Table1[[#This Row],[actual_8]])/Table1[[#This Row],[actual_8]]</f>
        <v>-0.14681724845995894</v>
      </c>
      <c r="EO818" s="1">
        <f>(Table1[[#This Row],[predicted_9]]-Table1[[#This Row],[actual_9]])/Table1[[#This Row],[actual_9]]</f>
        <v>-5.2527254707631317E-2</v>
      </c>
      <c r="EP818" s="1">
        <f>1+(Table1[[#This Row],[error_ratio_0]]-EF$2)</f>
        <v>1.0081632653061225</v>
      </c>
      <c r="EQ818" s="1">
        <f>1+(Table1[[#This Row],[error_ratio_1]]-EG$2)</f>
        <v>1.0132158590308371</v>
      </c>
      <c r="ER818" s="1">
        <f>1+(Table1[[#This Row],[error_ratio_2]]-EH$2)</f>
        <v>1.1027131782945736</v>
      </c>
      <c r="ES818" s="1">
        <f>1+(Table1[[#This Row],[error_ratio_3]]-EI$2)</f>
        <v>1.0861386138613862</v>
      </c>
      <c r="ET818" s="1">
        <f>1+(Table1[[#This Row],[error_ratio_4]]-EJ$2)</f>
        <v>1.0203665987780042</v>
      </c>
      <c r="EU818" s="1">
        <f>1+(Table1[[#This Row],[error_ratio_5]]-EK$2)</f>
        <v>1.0224215246636772</v>
      </c>
      <c r="EV818" s="1">
        <f>1+(Table1[[#This Row],[error_ratio_6]]-EL$2)</f>
        <v>0.98643006263048016</v>
      </c>
      <c r="EW818" s="1">
        <f>1+(Table1[[#This Row],[error_ratio_7]]-EM$2)</f>
        <v>0.94747081712062253</v>
      </c>
      <c r="EX818" s="1">
        <f>1+(Table1[[#This Row],[error_ratio_8]]-EN$2)</f>
        <v>0.85626283367556466</v>
      </c>
      <c r="EY818" s="1">
        <f>1+(Table1[[#This Row],[error_ratio_9]]-EO$2)</f>
        <v>0.95143706640237857</v>
      </c>
    </row>
    <row r="819" spans="1:155" x14ac:dyDescent="0.75">
      <c r="A819">
        <v>10</v>
      </c>
      <c r="B819">
        <v>100</v>
      </c>
      <c r="C819">
        <v>100</v>
      </c>
      <c r="D819">
        <v>100</v>
      </c>
      <c r="E819">
        <v>100</v>
      </c>
      <c r="F819">
        <v>100</v>
      </c>
      <c r="G819">
        <v>100</v>
      </c>
      <c r="H819">
        <v>10</v>
      </c>
      <c r="I819">
        <v>10</v>
      </c>
      <c r="J819">
        <v>10</v>
      </c>
      <c r="K819">
        <v>964</v>
      </c>
      <c r="L819">
        <v>1184</v>
      </c>
      <c r="M819">
        <v>1042</v>
      </c>
      <c r="N819">
        <v>1045</v>
      </c>
      <c r="O819">
        <v>997</v>
      </c>
      <c r="P819">
        <v>926</v>
      </c>
      <c r="Q819">
        <v>979</v>
      </c>
      <c r="R819">
        <v>983</v>
      </c>
      <c r="S819">
        <v>931</v>
      </c>
      <c r="T819">
        <v>949</v>
      </c>
      <c r="U819">
        <v>980</v>
      </c>
      <c r="V819">
        <v>1135</v>
      </c>
      <c r="W819">
        <v>1032</v>
      </c>
      <c r="X819">
        <v>1010</v>
      </c>
      <c r="Y819">
        <v>982</v>
      </c>
      <c r="Z819">
        <v>892</v>
      </c>
      <c r="AA819">
        <v>958</v>
      </c>
      <c r="AB819">
        <v>1028</v>
      </c>
      <c r="AC819">
        <v>974</v>
      </c>
      <c r="AD819">
        <v>1009</v>
      </c>
      <c r="AE819">
        <v>949</v>
      </c>
      <c r="AF819">
        <v>1</v>
      </c>
      <c r="AG819">
        <v>1</v>
      </c>
      <c r="AH819">
        <v>1</v>
      </c>
      <c r="AI819">
        <v>3</v>
      </c>
      <c r="AJ819">
        <v>4</v>
      </c>
      <c r="AK819">
        <v>17</v>
      </c>
      <c r="AL819">
        <v>1</v>
      </c>
      <c r="AM819">
        <v>1</v>
      </c>
      <c r="AN819">
        <v>2</v>
      </c>
      <c r="AO819">
        <v>0</v>
      </c>
      <c r="AP819">
        <v>1133</v>
      </c>
      <c r="AQ819">
        <v>0</v>
      </c>
      <c r="AR819">
        <v>0</v>
      </c>
      <c r="AS819">
        <v>0</v>
      </c>
      <c r="AT819">
        <v>0</v>
      </c>
      <c r="AU819">
        <v>2</v>
      </c>
      <c r="AV819">
        <v>0</v>
      </c>
      <c r="AW819">
        <v>0</v>
      </c>
      <c r="AX819">
        <v>0</v>
      </c>
      <c r="AY819">
        <v>1</v>
      </c>
      <c r="AZ819">
        <v>8</v>
      </c>
      <c r="BA819">
        <v>1015</v>
      </c>
      <c r="BB819">
        <v>2</v>
      </c>
      <c r="BC819">
        <v>1</v>
      </c>
      <c r="BD819">
        <v>0</v>
      </c>
      <c r="BE819">
        <v>0</v>
      </c>
      <c r="BF819">
        <v>3</v>
      </c>
      <c r="BG819">
        <v>2</v>
      </c>
      <c r="BH819">
        <v>0</v>
      </c>
      <c r="BI819">
        <v>0</v>
      </c>
      <c r="BJ819">
        <v>0</v>
      </c>
      <c r="BK819">
        <v>2</v>
      </c>
      <c r="BL819">
        <v>1005</v>
      </c>
      <c r="BM819">
        <v>0</v>
      </c>
      <c r="BN819">
        <v>3</v>
      </c>
      <c r="BO819">
        <v>0</v>
      </c>
      <c r="BP819">
        <v>0</v>
      </c>
      <c r="BQ819">
        <v>0</v>
      </c>
      <c r="BR819">
        <v>0</v>
      </c>
      <c r="BS819">
        <v>0</v>
      </c>
      <c r="BT819">
        <v>2</v>
      </c>
      <c r="BU819">
        <v>0</v>
      </c>
      <c r="BV819">
        <v>0</v>
      </c>
      <c r="BW819">
        <v>974</v>
      </c>
      <c r="BX819">
        <v>0</v>
      </c>
      <c r="BY819">
        <v>1</v>
      </c>
      <c r="BZ819">
        <v>0</v>
      </c>
      <c r="CA819">
        <v>1</v>
      </c>
      <c r="CB819">
        <v>4</v>
      </c>
      <c r="CC819">
        <v>2</v>
      </c>
      <c r="CD819">
        <v>0</v>
      </c>
      <c r="CE819">
        <v>1</v>
      </c>
      <c r="CF819">
        <v>6</v>
      </c>
      <c r="CG819">
        <v>0</v>
      </c>
      <c r="CH819">
        <v>879</v>
      </c>
      <c r="CI819">
        <v>3</v>
      </c>
      <c r="CJ819">
        <v>0</v>
      </c>
      <c r="CK819">
        <v>1</v>
      </c>
      <c r="CL819">
        <v>0</v>
      </c>
      <c r="CM819">
        <v>0</v>
      </c>
      <c r="CN819">
        <v>2</v>
      </c>
      <c r="CO819">
        <v>0</v>
      </c>
      <c r="CP819">
        <v>0</v>
      </c>
      <c r="CQ819">
        <v>3</v>
      </c>
      <c r="CR819">
        <v>4</v>
      </c>
      <c r="CS819">
        <v>949</v>
      </c>
      <c r="CT819">
        <v>0</v>
      </c>
      <c r="CU819">
        <v>0</v>
      </c>
      <c r="CV819">
        <v>0</v>
      </c>
      <c r="CW819">
        <v>2</v>
      </c>
      <c r="CX819">
        <v>18</v>
      </c>
      <c r="CY819">
        <v>19</v>
      </c>
      <c r="CZ819">
        <v>7</v>
      </c>
      <c r="DA819">
        <v>3</v>
      </c>
      <c r="DB819">
        <v>4</v>
      </c>
      <c r="DC819">
        <v>0</v>
      </c>
      <c r="DD819">
        <v>969</v>
      </c>
      <c r="DE819">
        <v>2</v>
      </c>
      <c r="DF819">
        <v>4</v>
      </c>
      <c r="DG819">
        <v>5</v>
      </c>
      <c r="DH819">
        <v>9</v>
      </c>
      <c r="DI819">
        <v>4</v>
      </c>
      <c r="DJ819">
        <v>8</v>
      </c>
      <c r="DK819">
        <v>1</v>
      </c>
      <c r="DL819">
        <v>18</v>
      </c>
      <c r="DM819">
        <v>7</v>
      </c>
      <c r="DN819">
        <v>2</v>
      </c>
      <c r="DO819">
        <v>916</v>
      </c>
      <c r="DP819">
        <v>4</v>
      </c>
      <c r="DQ819">
        <v>5</v>
      </c>
      <c r="DR819">
        <v>11</v>
      </c>
      <c r="DS819">
        <v>0</v>
      </c>
      <c r="DT819">
        <v>16</v>
      </c>
      <c r="DU819">
        <v>12</v>
      </c>
      <c r="DV819">
        <v>14</v>
      </c>
      <c r="DW819">
        <v>0</v>
      </c>
      <c r="DX819">
        <v>8</v>
      </c>
      <c r="DY819">
        <v>8</v>
      </c>
      <c r="DZ819">
        <v>935</v>
      </c>
      <c r="EA819">
        <v>0.97240000000000004</v>
      </c>
      <c r="EB819">
        <v>0.97276014338188999</v>
      </c>
      <c r="EC819">
        <v>0.97227854753028697</v>
      </c>
      <c r="ED819">
        <v>0.97220035323948994</v>
      </c>
      <c r="EE819">
        <f>SUM(Table1[[#This Row],[ratio_0]:[ratio_9]])</f>
        <v>640</v>
      </c>
      <c r="EF819" s="1">
        <f>(Table1[[#This Row],[predicted_0]]-Table1[[#This Row],[actual_0]])/Table1[[#This Row],[actual_0]]</f>
        <v>-1.6326530612244899E-2</v>
      </c>
      <c r="EG819" s="1">
        <f>(Table1[[#This Row],[predicted_1]]-Table1[[#This Row],[actual_1]])/Table1[[#This Row],[actual_1]]</f>
        <v>4.3171806167400878E-2</v>
      </c>
      <c r="EH819" s="1">
        <f>(Table1[[#This Row],[predicted_2]]-Table1[[#This Row],[actual_2]])/Table1[[#This Row],[actual_2]]</f>
        <v>9.6899224806201549E-3</v>
      </c>
      <c r="EI819" s="1">
        <f>(Table1[[#This Row],[predicted_3]]-Table1[[#This Row],[actual_3]])/Table1[[#This Row],[actual_3]]</f>
        <v>3.4653465346534656E-2</v>
      </c>
      <c r="EJ819" s="1">
        <f>(Table1[[#This Row],[predicted_4]]-Table1[[#This Row],[actual_4]])/Table1[[#This Row],[actual_4]]</f>
        <v>1.5274949083503055E-2</v>
      </c>
      <c r="EK819" s="1">
        <f>(Table1[[#This Row],[predicted_5]]-Table1[[#This Row],[actual_5]])/Table1[[#This Row],[actual_5]]</f>
        <v>3.811659192825112E-2</v>
      </c>
      <c r="EL819" s="1">
        <f>(Table1[[#This Row],[predicted_6]]-Table1[[#This Row],[actual_6]])/Table1[[#This Row],[actual_6]]</f>
        <v>2.1920668058455117E-2</v>
      </c>
      <c r="EM819" s="1">
        <f>(Table1[[#This Row],[predicted_7]]-Table1[[#This Row],[actual_7]])/Table1[[#This Row],[actual_7]]</f>
        <v>-4.3774319066147857E-2</v>
      </c>
      <c r="EN819" s="1">
        <f>(Table1[[#This Row],[predicted_8]]-Table1[[#This Row],[actual_8]])/Table1[[#This Row],[actual_8]]</f>
        <v>-4.4147843942505136E-2</v>
      </c>
      <c r="EO819" s="1">
        <f>(Table1[[#This Row],[predicted_9]]-Table1[[#This Row],[actual_9]])/Table1[[#This Row],[actual_9]]</f>
        <v>-5.9464816650148661E-2</v>
      </c>
      <c r="EP819" s="1">
        <f>1+(Table1[[#This Row],[error_ratio_0]]-EF$2)</f>
        <v>0.98163265306122449</v>
      </c>
      <c r="EQ819" s="1">
        <f>1+(Table1[[#This Row],[error_ratio_1]]-EG$2)</f>
        <v>1.041409691629956</v>
      </c>
      <c r="ER819" s="1">
        <f>1+(Table1[[#This Row],[error_ratio_2]]-EH$2)</f>
        <v>1.0145348837209303</v>
      </c>
      <c r="ES819" s="1">
        <f>1+(Table1[[#This Row],[error_ratio_3]]-EI$2)</f>
        <v>1.0247524752475248</v>
      </c>
      <c r="ET819" s="1">
        <f>1+(Table1[[#This Row],[error_ratio_4]]-EJ$2)</f>
        <v>1.0142566191446027</v>
      </c>
      <c r="EU819" s="1">
        <f>1+(Table1[[#This Row],[error_ratio_5]]-EK$2)</f>
        <v>1.0369955156950672</v>
      </c>
      <c r="EV819" s="1">
        <f>1+(Table1[[#This Row],[error_ratio_6]]-EL$2)</f>
        <v>1.0281837160751566</v>
      </c>
      <c r="EW819" s="1">
        <f>1+(Table1[[#This Row],[error_ratio_7]]-EM$2)</f>
        <v>0.9542801556420234</v>
      </c>
      <c r="EX819" s="1">
        <f>1+(Table1[[#This Row],[error_ratio_8]]-EN$2)</f>
        <v>0.95893223819301843</v>
      </c>
      <c r="EY819" s="1">
        <f>1+(Table1[[#This Row],[error_ratio_9]]-EO$2)</f>
        <v>0.94449950445986119</v>
      </c>
    </row>
    <row r="820" spans="1:155" x14ac:dyDescent="0.75">
      <c r="A820">
        <v>100</v>
      </c>
      <c r="B820">
        <v>10</v>
      </c>
      <c r="C820">
        <v>100</v>
      </c>
      <c r="D820">
        <v>100</v>
      </c>
      <c r="E820">
        <v>100</v>
      </c>
      <c r="F820">
        <v>100</v>
      </c>
      <c r="G820">
        <v>100</v>
      </c>
      <c r="H820">
        <v>10</v>
      </c>
      <c r="I820">
        <v>10</v>
      </c>
      <c r="J820">
        <v>10</v>
      </c>
      <c r="K820">
        <v>1009</v>
      </c>
      <c r="L820">
        <v>1139</v>
      </c>
      <c r="M820">
        <v>1056</v>
      </c>
      <c r="N820">
        <v>1030</v>
      </c>
      <c r="O820">
        <v>1022</v>
      </c>
      <c r="P820">
        <v>917</v>
      </c>
      <c r="Q820">
        <v>948</v>
      </c>
      <c r="R820">
        <v>1020</v>
      </c>
      <c r="S820">
        <v>921</v>
      </c>
      <c r="T820">
        <v>938</v>
      </c>
      <c r="U820">
        <v>980</v>
      </c>
      <c r="V820">
        <v>1135</v>
      </c>
      <c r="W820">
        <v>1032</v>
      </c>
      <c r="X820">
        <v>1010</v>
      </c>
      <c r="Y820">
        <v>982</v>
      </c>
      <c r="Z820">
        <v>892</v>
      </c>
      <c r="AA820">
        <v>958</v>
      </c>
      <c r="AB820">
        <v>1028</v>
      </c>
      <c r="AC820">
        <v>974</v>
      </c>
      <c r="AD820">
        <v>1009</v>
      </c>
      <c r="AE820">
        <v>979</v>
      </c>
      <c r="AF820">
        <v>0</v>
      </c>
      <c r="AG820">
        <v>0</v>
      </c>
      <c r="AH820">
        <v>0</v>
      </c>
      <c r="AI820">
        <v>0</v>
      </c>
      <c r="AJ820">
        <v>0</v>
      </c>
      <c r="AK820">
        <v>0</v>
      </c>
      <c r="AL820">
        <v>1</v>
      </c>
      <c r="AM820">
        <v>0</v>
      </c>
      <c r="AN820">
        <v>0</v>
      </c>
      <c r="AO820">
        <v>0</v>
      </c>
      <c r="AP820">
        <v>1125</v>
      </c>
      <c r="AQ820">
        <v>2</v>
      </c>
      <c r="AR820">
        <v>4</v>
      </c>
      <c r="AS820">
        <v>0</v>
      </c>
      <c r="AT820">
        <v>3</v>
      </c>
      <c r="AU820">
        <v>1</v>
      </c>
      <c r="AV820">
        <v>0</v>
      </c>
      <c r="AW820">
        <v>0</v>
      </c>
      <c r="AX820">
        <v>0</v>
      </c>
      <c r="AY820">
        <v>1</v>
      </c>
      <c r="AZ820">
        <v>0</v>
      </c>
      <c r="BA820">
        <v>1024</v>
      </c>
      <c r="BB820">
        <v>0</v>
      </c>
      <c r="BC820">
        <v>1</v>
      </c>
      <c r="BD820">
        <v>0</v>
      </c>
      <c r="BE820">
        <v>0</v>
      </c>
      <c r="BF820">
        <v>5</v>
      </c>
      <c r="BG820">
        <v>1</v>
      </c>
      <c r="BH820">
        <v>0</v>
      </c>
      <c r="BI820">
        <v>0</v>
      </c>
      <c r="BJ820">
        <v>0</v>
      </c>
      <c r="BK820">
        <v>2</v>
      </c>
      <c r="BL820">
        <v>996</v>
      </c>
      <c r="BM820">
        <v>0</v>
      </c>
      <c r="BN820">
        <v>6</v>
      </c>
      <c r="BO820">
        <v>0</v>
      </c>
      <c r="BP820">
        <v>6</v>
      </c>
      <c r="BQ820">
        <v>0</v>
      </c>
      <c r="BR820">
        <v>0</v>
      </c>
      <c r="BS820">
        <v>0</v>
      </c>
      <c r="BT820">
        <v>0</v>
      </c>
      <c r="BU820">
        <v>3</v>
      </c>
      <c r="BV820">
        <v>0</v>
      </c>
      <c r="BW820">
        <v>978</v>
      </c>
      <c r="BX820">
        <v>0</v>
      </c>
      <c r="BY820">
        <v>0</v>
      </c>
      <c r="BZ820">
        <v>0</v>
      </c>
      <c r="CA820">
        <v>0</v>
      </c>
      <c r="CB820">
        <v>1</v>
      </c>
      <c r="CC820">
        <v>1</v>
      </c>
      <c r="CD820">
        <v>0</v>
      </c>
      <c r="CE820">
        <v>0</v>
      </c>
      <c r="CF820">
        <v>6</v>
      </c>
      <c r="CG820">
        <v>0</v>
      </c>
      <c r="CH820">
        <v>882</v>
      </c>
      <c r="CI820">
        <v>2</v>
      </c>
      <c r="CJ820">
        <v>1</v>
      </c>
      <c r="CK820">
        <v>0</v>
      </c>
      <c r="CL820">
        <v>0</v>
      </c>
      <c r="CM820">
        <v>11</v>
      </c>
      <c r="CN820">
        <v>2</v>
      </c>
      <c r="CO820">
        <v>1</v>
      </c>
      <c r="CP820">
        <v>0</v>
      </c>
      <c r="CQ820">
        <v>1</v>
      </c>
      <c r="CR820">
        <v>2</v>
      </c>
      <c r="CS820">
        <v>941</v>
      </c>
      <c r="CT820">
        <v>0</v>
      </c>
      <c r="CU820">
        <v>0</v>
      </c>
      <c r="CV820">
        <v>0</v>
      </c>
      <c r="CW820">
        <v>2</v>
      </c>
      <c r="CX820">
        <v>5</v>
      </c>
      <c r="CY820">
        <v>19</v>
      </c>
      <c r="CZ820">
        <v>4</v>
      </c>
      <c r="DA820">
        <v>4</v>
      </c>
      <c r="DB820">
        <v>0</v>
      </c>
      <c r="DC820">
        <v>0</v>
      </c>
      <c r="DD820">
        <v>991</v>
      </c>
      <c r="DE820">
        <v>1</v>
      </c>
      <c r="DF820">
        <v>2</v>
      </c>
      <c r="DG820">
        <v>8</v>
      </c>
      <c r="DH820">
        <v>1</v>
      </c>
      <c r="DI820">
        <v>5</v>
      </c>
      <c r="DJ820">
        <v>13</v>
      </c>
      <c r="DK820">
        <v>1</v>
      </c>
      <c r="DL820">
        <v>14</v>
      </c>
      <c r="DM820">
        <v>3</v>
      </c>
      <c r="DN820">
        <v>7</v>
      </c>
      <c r="DO820">
        <v>918</v>
      </c>
      <c r="DP820">
        <v>4</v>
      </c>
      <c r="DQ820">
        <v>7</v>
      </c>
      <c r="DR820">
        <v>6</v>
      </c>
      <c r="DS820">
        <v>0</v>
      </c>
      <c r="DT820">
        <v>7</v>
      </c>
      <c r="DU820">
        <v>37</v>
      </c>
      <c r="DV820">
        <v>10</v>
      </c>
      <c r="DW820">
        <v>1</v>
      </c>
      <c r="DX820">
        <v>9</v>
      </c>
      <c r="DY820">
        <v>1</v>
      </c>
      <c r="DZ820">
        <v>931</v>
      </c>
      <c r="EA820">
        <v>0.97650000000000003</v>
      </c>
      <c r="EB820">
        <v>0.97669072380205202</v>
      </c>
      <c r="EC820">
        <v>0.97647349641511705</v>
      </c>
      <c r="ED820">
        <v>0.97627361207083896</v>
      </c>
      <c r="EE820">
        <f>SUM(Table1[[#This Row],[ratio_0]:[ratio_9]])</f>
        <v>640</v>
      </c>
      <c r="EF820" s="1">
        <f>(Table1[[#This Row],[predicted_0]]-Table1[[#This Row],[actual_0]])/Table1[[#This Row],[actual_0]]</f>
        <v>2.9591836734693878E-2</v>
      </c>
      <c r="EG820" s="1">
        <f>(Table1[[#This Row],[predicted_1]]-Table1[[#This Row],[actual_1]])/Table1[[#This Row],[actual_1]]</f>
        <v>3.524229074889868E-3</v>
      </c>
      <c r="EH820" s="1">
        <f>(Table1[[#This Row],[predicted_2]]-Table1[[#This Row],[actual_2]])/Table1[[#This Row],[actual_2]]</f>
        <v>2.3255813953488372E-2</v>
      </c>
      <c r="EI820" s="1">
        <f>(Table1[[#This Row],[predicted_3]]-Table1[[#This Row],[actual_3]])/Table1[[#This Row],[actual_3]]</f>
        <v>1.9801980198019802E-2</v>
      </c>
      <c r="EJ820" s="1">
        <f>(Table1[[#This Row],[predicted_4]]-Table1[[#This Row],[actual_4]])/Table1[[#This Row],[actual_4]]</f>
        <v>4.0733197556008148E-2</v>
      </c>
      <c r="EK820" s="1">
        <f>(Table1[[#This Row],[predicted_5]]-Table1[[#This Row],[actual_5]])/Table1[[#This Row],[actual_5]]</f>
        <v>2.8026905829596414E-2</v>
      </c>
      <c r="EL820" s="1">
        <f>(Table1[[#This Row],[predicted_6]]-Table1[[#This Row],[actual_6]])/Table1[[#This Row],[actual_6]]</f>
        <v>-1.0438413361169102E-2</v>
      </c>
      <c r="EM820" s="1">
        <f>(Table1[[#This Row],[predicted_7]]-Table1[[#This Row],[actual_7]])/Table1[[#This Row],[actual_7]]</f>
        <v>-7.7821011673151752E-3</v>
      </c>
      <c r="EN820" s="1">
        <f>(Table1[[#This Row],[predicted_8]]-Table1[[#This Row],[actual_8]])/Table1[[#This Row],[actual_8]]</f>
        <v>-5.4414784394250515E-2</v>
      </c>
      <c r="EO820" s="1">
        <f>(Table1[[#This Row],[predicted_9]]-Table1[[#This Row],[actual_9]])/Table1[[#This Row],[actual_9]]</f>
        <v>-7.0366699702675922E-2</v>
      </c>
      <c r="EP820" s="1">
        <f>1+(Table1[[#This Row],[error_ratio_0]]-EF$2)</f>
        <v>1.0275510204081633</v>
      </c>
      <c r="EQ820" s="1">
        <f>1+(Table1[[#This Row],[error_ratio_1]]-EG$2)</f>
        <v>1.0017621145374449</v>
      </c>
      <c r="ER820" s="1">
        <f>1+(Table1[[#This Row],[error_ratio_2]]-EH$2)</f>
        <v>1.0281007751937985</v>
      </c>
      <c r="ES820" s="1">
        <f>1+(Table1[[#This Row],[error_ratio_3]]-EI$2)</f>
        <v>1.0099009900990099</v>
      </c>
      <c r="ET820" s="1">
        <f>1+(Table1[[#This Row],[error_ratio_4]]-EJ$2)</f>
        <v>1.039714867617108</v>
      </c>
      <c r="EU820" s="1">
        <f>1+(Table1[[#This Row],[error_ratio_5]]-EK$2)</f>
        <v>1.0269058295964126</v>
      </c>
      <c r="EV820" s="1">
        <f>1+(Table1[[#This Row],[error_ratio_6]]-EL$2)</f>
        <v>0.99582463465553239</v>
      </c>
      <c r="EW820" s="1">
        <f>1+(Table1[[#This Row],[error_ratio_7]]-EM$2)</f>
        <v>0.99027237354085607</v>
      </c>
      <c r="EX820" s="1">
        <f>1+(Table1[[#This Row],[error_ratio_8]]-EN$2)</f>
        <v>0.94866529774127306</v>
      </c>
      <c r="EY820" s="1">
        <f>1+(Table1[[#This Row],[error_ratio_9]]-EO$2)</f>
        <v>0.93359762140733404</v>
      </c>
    </row>
    <row r="821" spans="1:155" x14ac:dyDescent="0.75">
      <c r="A821">
        <v>10</v>
      </c>
      <c r="B821">
        <v>10</v>
      </c>
      <c r="C821">
        <v>100</v>
      </c>
      <c r="D821">
        <v>100</v>
      </c>
      <c r="E821">
        <v>100</v>
      </c>
      <c r="F821">
        <v>100</v>
      </c>
      <c r="G821">
        <v>100</v>
      </c>
      <c r="H821">
        <v>10</v>
      </c>
      <c r="I821">
        <v>10</v>
      </c>
      <c r="J821">
        <v>10</v>
      </c>
      <c r="K821">
        <v>954</v>
      </c>
      <c r="L821">
        <v>1121</v>
      </c>
      <c r="M821">
        <v>1099</v>
      </c>
      <c r="N821">
        <v>1266</v>
      </c>
      <c r="O821">
        <v>958</v>
      </c>
      <c r="P821">
        <v>1020</v>
      </c>
      <c r="Q821">
        <v>983</v>
      </c>
      <c r="R821">
        <v>1059</v>
      </c>
      <c r="S821">
        <v>588</v>
      </c>
      <c r="T821">
        <v>952</v>
      </c>
      <c r="U821">
        <v>980</v>
      </c>
      <c r="V821">
        <v>1135</v>
      </c>
      <c r="W821">
        <v>1032</v>
      </c>
      <c r="X821">
        <v>1010</v>
      </c>
      <c r="Y821">
        <v>982</v>
      </c>
      <c r="Z821">
        <v>892</v>
      </c>
      <c r="AA821">
        <v>958</v>
      </c>
      <c r="AB821">
        <v>1028</v>
      </c>
      <c r="AC821">
        <v>974</v>
      </c>
      <c r="AD821">
        <v>1009</v>
      </c>
      <c r="AE821">
        <v>945</v>
      </c>
      <c r="AF821">
        <v>0</v>
      </c>
      <c r="AG821">
        <v>4</v>
      </c>
      <c r="AH821">
        <v>0</v>
      </c>
      <c r="AI821">
        <v>0</v>
      </c>
      <c r="AJ821">
        <v>12</v>
      </c>
      <c r="AK821">
        <v>16</v>
      </c>
      <c r="AL821">
        <v>2</v>
      </c>
      <c r="AM821">
        <v>1</v>
      </c>
      <c r="AN821">
        <v>0</v>
      </c>
      <c r="AO821">
        <v>0</v>
      </c>
      <c r="AP821">
        <v>1112</v>
      </c>
      <c r="AQ821">
        <v>9</v>
      </c>
      <c r="AR821">
        <v>3</v>
      </c>
      <c r="AS821">
        <v>0</v>
      </c>
      <c r="AT821">
        <v>0</v>
      </c>
      <c r="AU821">
        <v>2</v>
      </c>
      <c r="AV821">
        <v>9</v>
      </c>
      <c r="AW821">
        <v>0</v>
      </c>
      <c r="AX821">
        <v>0</v>
      </c>
      <c r="AY821">
        <v>0</v>
      </c>
      <c r="AZ821">
        <v>0</v>
      </c>
      <c r="BA821">
        <v>1019</v>
      </c>
      <c r="BB821">
        <v>5</v>
      </c>
      <c r="BC821">
        <v>1</v>
      </c>
      <c r="BD821">
        <v>0</v>
      </c>
      <c r="BE821">
        <v>0</v>
      </c>
      <c r="BF821">
        <v>7</v>
      </c>
      <c r="BG821">
        <v>0</v>
      </c>
      <c r="BH821">
        <v>0</v>
      </c>
      <c r="BI821">
        <v>1</v>
      </c>
      <c r="BJ821">
        <v>0</v>
      </c>
      <c r="BK821">
        <v>1</v>
      </c>
      <c r="BL821">
        <v>1001</v>
      </c>
      <c r="BM821">
        <v>0</v>
      </c>
      <c r="BN821">
        <v>3</v>
      </c>
      <c r="BO821">
        <v>0</v>
      </c>
      <c r="BP821">
        <v>4</v>
      </c>
      <c r="BQ821">
        <v>0</v>
      </c>
      <c r="BR821">
        <v>0</v>
      </c>
      <c r="BS821">
        <v>0</v>
      </c>
      <c r="BT821">
        <v>0</v>
      </c>
      <c r="BU821">
        <v>9</v>
      </c>
      <c r="BV821">
        <v>2</v>
      </c>
      <c r="BW821">
        <v>943</v>
      </c>
      <c r="BX821">
        <v>1</v>
      </c>
      <c r="BY821">
        <v>3</v>
      </c>
      <c r="BZ821">
        <v>2</v>
      </c>
      <c r="CA821">
        <v>0</v>
      </c>
      <c r="CB821">
        <v>22</v>
      </c>
      <c r="CC821">
        <v>0</v>
      </c>
      <c r="CD821">
        <v>0</v>
      </c>
      <c r="CE821">
        <v>1</v>
      </c>
      <c r="CF821">
        <v>20</v>
      </c>
      <c r="CG821">
        <v>0</v>
      </c>
      <c r="CH821">
        <v>870</v>
      </c>
      <c r="CI821">
        <v>1</v>
      </c>
      <c r="CJ821">
        <v>0</v>
      </c>
      <c r="CK821">
        <v>0</v>
      </c>
      <c r="CL821">
        <v>0</v>
      </c>
      <c r="CM821">
        <v>2</v>
      </c>
      <c r="CN821">
        <v>1</v>
      </c>
      <c r="CO821">
        <v>0</v>
      </c>
      <c r="CP821">
        <v>0</v>
      </c>
      <c r="CQ821">
        <v>1</v>
      </c>
      <c r="CR821">
        <v>3</v>
      </c>
      <c r="CS821">
        <v>951</v>
      </c>
      <c r="CT821">
        <v>0</v>
      </c>
      <c r="CU821">
        <v>0</v>
      </c>
      <c r="CV821">
        <v>0</v>
      </c>
      <c r="CW821">
        <v>1</v>
      </c>
      <c r="CX821">
        <v>0</v>
      </c>
      <c r="CY821">
        <v>28</v>
      </c>
      <c r="CZ821">
        <v>11</v>
      </c>
      <c r="DA821">
        <v>2</v>
      </c>
      <c r="DB821">
        <v>4</v>
      </c>
      <c r="DC821">
        <v>0</v>
      </c>
      <c r="DD821">
        <v>982</v>
      </c>
      <c r="DE821">
        <v>0</v>
      </c>
      <c r="DF821">
        <v>0</v>
      </c>
      <c r="DG821">
        <v>2</v>
      </c>
      <c r="DH821">
        <v>6</v>
      </c>
      <c r="DI821">
        <v>26</v>
      </c>
      <c r="DJ821">
        <v>199</v>
      </c>
      <c r="DK821">
        <v>8</v>
      </c>
      <c r="DL821">
        <v>97</v>
      </c>
      <c r="DM821">
        <v>8</v>
      </c>
      <c r="DN821">
        <v>20</v>
      </c>
      <c r="DO821">
        <v>587</v>
      </c>
      <c r="DP821">
        <v>21</v>
      </c>
      <c r="DQ821">
        <v>3</v>
      </c>
      <c r="DR821">
        <v>2</v>
      </c>
      <c r="DS821">
        <v>2</v>
      </c>
      <c r="DT821">
        <v>25</v>
      </c>
      <c r="DU821">
        <v>3</v>
      </c>
      <c r="DV821">
        <v>30</v>
      </c>
      <c r="DW821">
        <v>2</v>
      </c>
      <c r="DX821">
        <v>33</v>
      </c>
      <c r="DY821">
        <v>0</v>
      </c>
      <c r="DZ821">
        <v>909</v>
      </c>
      <c r="EA821">
        <v>0.93189999999999995</v>
      </c>
      <c r="EB821">
        <v>0.93855746452257705</v>
      </c>
      <c r="EC821">
        <v>0.93096424677463496</v>
      </c>
      <c r="ED821">
        <v>0.92808930163117098</v>
      </c>
      <c r="EE821">
        <f>SUM(Table1[[#This Row],[ratio_0]:[ratio_9]])</f>
        <v>550</v>
      </c>
      <c r="EF821" s="1">
        <f>(Table1[[#This Row],[predicted_0]]-Table1[[#This Row],[actual_0]])/Table1[[#This Row],[actual_0]]</f>
        <v>-2.6530612244897958E-2</v>
      </c>
      <c r="EG821" s="1">
        <f>(Table1[[#This Row],[predicted_1]]-Table1[[#This Row],[actual_1]])/Table1[[#This Row],[actual_1]]</f>
        <v>-1.2334801762114538E-2</v>
      </c>
      <c r="EH821" s="1">
        <f>(Table1[[#This Row],[predicted_2]]-Table1[[#This Row],[actual_2]])/Table1[[#This Row],[actual_2]]</f>
        <v>6.4922480620155043E-2</v>
      </c>
      <c r="EI821" s="1">
        <f>(Table1[[#This Row],[predicted_3]]-Table1[[#This Row],[actual_3]])/Table1[[#This Row],[actual_3]]</f>
        <v>0.25346534653465347</v>
      </c>
      <c r="EJ821" s="1">
        <f>(Table1[[#This Row],[predicted_4]]-Table1[[#This Row],[actual_4]])/Table1[[#This Row],[actual_4]]</f>
        <v>-2.4439918533604887E-2</v>
      </c>
      <c r="EK821" s="1">
        <f>(Table1[[#This Row],[predicted_5]]-Table1[[#This Row],[actual_5]])/Table1[[#This Row],[actual_5]]</f>
        <v>0.14349775784753363</v>
      </c>
      <c r="EL821" s="1">
        <f>(Table1[[#This Row],[predicted_6]]-Table1[[#This Row],[actual_6]])/Table1[[#This Row],[actual_6]]</f>
        <v>2.6096033402922755E-2</v>
      </c>
      <c r="EM821" s="1">
        <f>(Table1[[#This Row],[predicted_7]]-Table1[[#This Row],[actual_7]])/Table1[[#This Row],[actual_7]]</f>
        <v>3.0155642023346304E-2</v>
      </c>
      <c r="EN821" s="1">
        <f>(Table1[[#This Row],[predicted_8]]-Table1[[#This Row],[actual_8]])/Table1[[#This Row],[actual_8]]</f>
        <v>-0.39630390143737165</v>
      </c>
      <c r="EO821" s="1">
        <f>(Table1[[#This Row],[predicted_9]]-Table1[[#This Row],[actual_9]])/Table1[[#This Row],[actual_9]]</f>
        <v>-5.6491575817641228E-2</v>
      </c>
      <c r="EP821" s="1">
        <f>1+(Table1[[#This Row],[error_ratio_0]]-EF$2)</f>
        <v>0.97142857142857142</v>
      </c>
      <c r="EQ821" s="1">
        <f>1+(Table1[[#This Row],[error_ratio_1]]-EG$2)</f>
        <v>0.98590308370044055</v>
      </c>
      <c r="ER821" s="1">
        <f>1+(Table1[[#This Row],[error_ratio_2]]-EH$2)</f>
        <v>1.069767441860465</v>
      </c>
      <c r="ES821" s="1">
        <f>1+(Table1[[#This Row],[error_ratio_3]]-EI$2)</f>
        <v>1.2435643564356436</v>
      </c>
      <c r="ET821" s="1">
        <f>1+(Table1[[#This Row],[error_ratio_4]]-EJ$2)</f>
        <v>0.97454175152749489</v>
      </c>
      <c r="EU821" s="1">
        <f>1+(Table1[[#This Row],[error_ratio_5]]-EK$2)</f>
        <v>1.1423766816143497</v>
      </c>
      <c r="EV821" s="1">
        <f>1+(Table1[[#This Row],[error_ratio_6]]-EL$2)</f>
        <v>1.0323590814196242</v>
      </c>
      <c r="EW821" s="1">
        <f>1+(Table1[[#This Row],[error_ratio_7]]-EM$2)</f>
        <v>1.0282101167315174</v>
      </c>
      <c r="EX821" s="1">
        <f>1+(Table1[[#This Row],[error_ratio_8]]-EN$2)</f>
        <v>0.60677618069815198</v>
      </c>
      <c r="EY821" s="1">
        <f>1+(Table1[[#This Row],[error_ratio_9]]-EO$2)</f>
        <v>0.94747274529236869</v>
      </c>
    </row>
    <row r="822" spans="1:155" x14ac:dyDescent="0.75">
      <c r="A822">
        <v>100</v>
      </c>
      <c r="B822">
        <v>100</v>
      </c>
      <c r="C822">
        <v>10</v>
      </c>
      <c r="D822">
        <v>100</v>
      </c>
      <c r="E822">
        <v>100</v>
      </c>
      <c r="F822">
        <v>100</v>
      </c>
      <c r="G822">
        <v>100</v>
      </c>
      <c r="H822">
        <v>10</v>
      </c>
      <c r="I822">
        <v>10</v>
      </c>
      <c r="J822">
        <v>10</v>
      </c>
      <c r="K822">
        <v>1015</v>
      </c>
      <c r="L822">
        <v>1155</v>
      </c>
      <c r="M822">
        <v>1001</v>
      </c>
      <c r="N822">
        <v>1065</v>
      </c>
      <c r="O822">
        <v>1039</v>
      </c>
      <c r="P822">
        <v>904</v>
      </c>
      <c r="Q822">
        <v>957</v>
      </c>
      <c r="R822">
        <v>995</v>
      </c>
      <c r="S822">
        <v>915</v>
      </c>
      <c r="T822">
        <v>954</v>
      </c>
      <c r="U822">
        <v>980</v>
      </c>
      <c r="V822">
        <v>1135</v>
      </c>
      <c r="W822">
        <v>1032</v>
      </c>
      <c r="X822">
        <v>1010</v>
      </c>
      <c r="Y822">
        <v>982</v>
      </c>
      <c r="Z822">
        <v>892</v>
      </c>
      <c r="AA822">
        <v>958</v>
      </c>
      <c r="AB822">
        <v>1028</v>
      </c>
      <c r="AC822">
        <v>974</v>
      </c>
      <c r="AD822">
        <v>1009</v>
      </c>
      <c r="AE822">
        <v>974</v>
      </c>
      <c r="AF822">
        <v>0</v>
      </c>
      <c r="AG822">
        <v>1</v>
      </c>
      <c r="AH822">
        <v>0</v>
      </c>
      <c r="AI822">
        <v>0</v>
      </c>
      <c r="AJ822">
        <v>0</v>
      </c>
      <c r="AK822">
        <v>2</v>
      </c>
      <c r="AL822">
        <v>1</v>
      </c>
      <c r="AM822">
        <v>2</v>
      </c>
      <c r="AN822">
        <v>0</v>
      </c>
      <c r="AO822">
        <v>0</v>
      </c>
      <c r="AP822">
        <v>1129</v>
      </c>
      <c r="AQ822">
        <v>0</v>
      </c>
      <c r="AR822">
        <v>3</v>
      </c>
      <c r="AS822">
        <v>0</v>
      </c>
      <c r="AT822">
        <v>1</v>
      </c>
      <c r="AU822">
        <v>2</v>
      </c>
      <c r="AV822">
        <v>0</v>
      </c>
      <c r="AW822">
        <v>0</v>
      </c>
      <c r="AX822">
        <v>0</v>
      </c>
      <c r="AY822">
        <v>14</v>
      </c>
      <c r="AZ822">
        <v>6</v>
      </c>
      <c r="BA822">
        <v>979</v>
      </c>
      <c r="BB822">
        <v>16</v>
      </c>
      <c r="BC822">
        <v>3</v>
      </c>
      <c r="BD822">
        <v>1</v>
      </c>
      <c r="BE822">
        <v>0</v>
      </c>
      <c r="BF822">
        <v>10</v>
      </c>
      <c r="BG822">
        <v>3</v>
      </c>
      <c r="BH822">
        <v>0</v>
      </c>
      <c r="BI822">
        <v>0</v>
      </c>
      <c r="BJ822">
        <v>0</v>
      </c>
      <c r="BK822">
        <v>1</v>
      </c>
      <c r="BL822">
        <v>1004</v>
      </c>
      <c r="BM822">
        <v>0</v>
      </c>
      <c r="BN822">
        <v>3</v>
      </c>
      <c r="BO822">
        <v>0</v>
      </c>
      <c r="BP822">
        <v>2</v>
      </c>
      <c r="BQ822">
        <v>0</v>
      </c>
      <c r="BR822">
        <v>0</v>
      </c>
      <c r="BS822">
        <v>0</v>
      </c>
      <c r="BT822">
        <v>0</v>
      </c>
      <c r="BU822">
        <v>0</v>
      </c>
      <c r="BV822">
        <v>0</v>
      </c>
      <c r="BW822">
        <v>980</v>
      </c>
      <c r="BX822">
        <v>0</v>
      </c>
      <c r="BY822">
        <v>1</v>
      </c>
      <c r="BZ822">
        <v>0</v>
      </c>
      <c r="CA822">
        <v>0</v>
      </c>
      <c r="CB822">
        <v>1</v>
      </c>
      <c r="CC822">
        <v>2</v>
      </c>
      <c r="CD822">
        <v>0</v>
      </c>
      <c r="CE822">
        <v>0</v>
      </c>
      <c r="CF822">
        <v>4</v>
      </c>
      <c r="CG822">
        <v>0</v>
      </c>
      <c r="CH822">
        <v>883</v>
      </c>
      <c r="CI822">
        <v>3</v>
      </c>
      <c r="CJ822">
        <v>0</v>
      </c>
      <c r="CK822">
        <v>0</v>
      </c>
      <c r="CL822">
        <v>0</v>
      </c>
      <c r="CM822">
        <v>6</v>
      </c>
      <c r="CN822">
        <v>2</v>
      </c>
      <c r="CO822">
        <v>0</v>
      </c>
      <c r="CP822">
        <v>0</v>
      </c>
      <c r="CQ822">
        <v>3</v>
      </c>
      <c r="CR822">
        <v>3</v>
      </c>
      <c r="CS822">
        <v>944</v>
      </c>
      <c r="CT822">
        <v>0</v>
      </c>
      <c r="CU822">
        <v>0</v>
      </c>
      <c r="CV822">
        <v>0</v>
      </c>
      <c r="CW822">
        <v>2</v>
      </c>
      <c r="CX822">
        <v>13</v>
      </c>
      <c r="CY822">
        <v>17</v>
      </c>
      <c r="CZ822">
        <v>9</v>
      </c>
      <c r="DA822">
        <v>6</v>
      </c>
      <c r="DB822">
        <v>6</v>
      </c>
      <c r="DC822">
        <v>0</v>
      </c>
      <c r="DD822">
        <v>967</v>
      </c>
      <c r="DE822">
        <v>2</v>
      </c>
      <c r="DF822">
        <v>6</v>
      </c>
      <c r="DG822">
        <v>4</v>
      </c>
      <c r="DH822">
        <v>1</v>
      </c>
      <c r="DI822">
        <v>3</v>
      </c>
      <c r="DJ822">
        <v>19</v>
      </c>
      <c r="DK822">
        <v>10</v>
      </c>
      <c r="DL822">
        <v>3</v>
      </c>
      <c r="DM822">
        <v>5</v>
      </c>
      <c r="DN822">
        <v>8</v>
      </c>
      <c r="DO822">
        <v>908</v>
      </c>
      <c r="DP822">
        <v>13</v>
      </c>
      <c r="DQ822">
        <v>13</v>
      </c>
      <c r="DR822">
        <v>4</v>
      </c>
      <c r="DS822">
        <v>0</v>
      </c>
      <c r="DT822">
        <v>10</v>
      </c>
      <c r="DU822">
        <v>37</v>
      </c>
      <c r="DV822">
        <v>4</v>
      </c>
      <c r="DW822">
        <v>0</v>
      </c>
      <c r="DX822">
        <v>7</v>
      </c>
      <c r="DY822">
        <v>0</v>
      </c>
      <c r="DZ822">
        <v>934</v>
      </c>
      <c r="EA822">
        <v>0.97019999999999995</v>
      </c>
      <c r="EB822">
        <v>0.97074851581308297</v>
      </c>
      <c r="EC822">
        <v>0.97031225503243002</v>
      </c>
      <c r="ED822">
        <v>0.97012666056506702</v>
      </c>
      <c r="EE822">
        <f>SUM(Table1[[#This Row],[ratio_0]:[ratio_9]])</f>
        <v>640</v>
      </c>
      <c r="EF822" s="1">
        <f>(Table1[[#This Row],[predicted_0]]-Table1[[#This Row],[actual_0]])/Table1[[#This Row],[actual_0]]</f>
        <v>3.5714285714285712E-2</v>
      </c>
      <c r="EG822" s="1">
        <f>(Table1[[#This Row],[predicted_1]]-Table1[[#This Row],[actual_1]])/Table1[[#This Row],[actual_1]]</f>
        <v>1.7621145374449341E-2</v>
      </c>
      <c r="EH822" s="1">
        <f>(Table1[[#This Row],[predicted_2]]-Table1[[#This Row],[actual_2]])/Table1[[#This Row],[actual_2]]</f>
        <v>-3.0038759689922482E-2</v>
      </c>
      <c r="EI822" s="1">
        <f>(Table1[[#This Row],[predicted_3]]-Table1[[#This Row],[actual_3]])/Table1[[#This Row],[actual_3]]</f>
        <v>5.4455445544554455E-2</v>
      </c>
      <c r="EJ822" s="1">
        <f>(Table1[[#This Row],[predicted_4]]-Table1[[#This Row],[actual_4]])/Table1[[#This Row],[actual_4]]</f>
        <v>5.8044806517311608E-2</v>
      </c>
      <c r="EK822" s="1">
        <f>(Table1[[#This Row],[predicted_5]]-Table1[[#This Row],[actual_5]])/Table1[[#This Row],[actual_5]]</f>
        <v>1.3452914798206279E-2</v>
      </c>
      <c r="EL822" s="1">
        <f>(Table1[[#This Row],[predicted_6]]-Table1[[#This Row],[actual_6]])/Table1[[#This Row],[actual_6]]</f>
        <v>-1.0438413361169101E-3</v>
      </c>
      <c r="EM822" s="1">
        <f>(Table1[[#This Row],[predicted_7]]-Table1[[#This Row],[actual_7]])/Table1[[#This Row],[actual_7]]</f>
        <v>-3.2101167315175094E-2</v>
      </c>
      <c r="EN822" s="1">
        <f>(Table1[[#This Row],[predicted_8]]-Table1[[#This Row],[actual_8]])/Table1[[#This Row],[actual_8]]</f>
        <v>-6.0574948665297744E-2</v>
      </c>
      <c r="EO822" s="1">
        <f>(Table1[[#This Row],[predicted_9]]-Table1[[#This Row],[actual_9]])/Table1[[#This Row],[actual_9]]</f>
        <v>-5.4509415262636272E-2</v>
      </c>
      <c r="EP822" s="1">
        <f>1+(Table1[[#This Row],[error_ratio_0]]-EF$2)</f>
        <v>1.0336734693877552</v>
      </c>
      <c r="EQ822" s="1">
        <f>1+(Table1[[#This Row],[error_ratio_1]]-EG$2)</f>
        <v>1.0158590308370044</v>
      </c>
      <c r="ER822" s="1">
        <f>1+(Table1[[#This Row],[error_ratio_2]]-EH$2)</f>
        <v>0.97480620155038755</v>
      </c>
      <c r="ES822" s="1">
        <f>1+(Table1[[#This Row],[error_ratio_3]]-EI$2)</f>
        <v>1.0445544554455446</v>
      </c>
      <c r="ET822" s="1">
        <f>1+(Table1[[#This Row],[error_ratio_4]]-EJ$2)</f>
        <v>1.0570264765784114</v>
      </c>
      <c r="EU822" s="1">
        <f>1+(Table1[[#This Row],[error_ratio_5]]-EK$2)</f>
        <v>1.0123318385650224</v>
      </c>
      <c r="EV822" s="1">
        <f>1+(Table1[[#This Row],[error_ratio_6]]-EL$2)</f>
        <v>1.0052192066805845</v>
      </c>
      <c r="EW822" s="1">
        <f>1+(Table1[[#This Row],[error_ratio_7]]-EM$2)</f>
        <v>0.96595330739299612</v>
      </c>
      <c r="EX822" s="1">
        <f>1+(Table1[[#This Row],[error_ratio_8]]-EN$2)</f>
        <v>0.94250513347022591</v>
      </c>
      <c r="EY822" s="1">
        <f>1+(Table1[[#This Row],[error_ratio_9]]-EO$2)</f>
        <v>0.94945490584737369</v>
      </c>
    </row>
    <row r="823" spans="1:155" x14ac:dyDescent="0.75">
      <c r="A823">
        <v>10</v>
      </c>
      <c r="B823">
        <v>100</v>
      </c>
      <c r="C823">
        <v>10</v>
      </c>
      <c r="D823">
        <v>100</v>
      </c>
      <c r="E823">
        <v>100</v>
      </c>
      <c r="F823">
        <v>100</v>
      </c>
      <c r="G823">
        <v>100</v>
      </c>
      <c r="H823">
        <v>10</v>
      </c>
      <c r="I823">
        <v>10</v>
      </c>
      <c r="J823">
        <v>10</v>
      </c>
      <c r="K823">
        <v>986</v>
      </c>
      <c r="L823">
        <v>1175</v>
      </c>
      <c r="M823">
        <v>990</v>
      </c>
      <c r="N823">
        <v>1121</v>
      </c>
      <c r="O823">
        <v>1011</v>
      </c>
      <c r="P823">
        <v>903</v>
      </c>
      <c r="Q823">
        <v>967</v>
      </c>
      <c r="R823">
        <v>1019</v>
      </c>
      <c r="S823">
        <v>860</v>
      </c>
      <c r="T823">
        <v>968</v>
      </c>
      <c r="U823">
        <v>980</v>
      </c>
      <c r="V823">
        <v>1135</v>
      </c>
      <c r="W823">
        <v>1032</v>
      </c>
      <c r="X823">
        <v>1010</v>
      </c>
      <c r="Y823">
        <v>982</v>
      </c>
      <c r="Z823">
        <v>892</v>
      </c>
      <c r="AA823">
        <v>958</v>
      </c>
      <c r="AB823">
        <v>1028</v>
      </c>
      <c r="AC823">
        <v>974</v>
      </c>
      <c r="AD823">
        <v>1009</v>
      </c>
      <c r="AE823">
        <v>964</v>
      </c>
      <c r="AF823">
        <v>1</v>
      </c>
      <c r="AG823">
        <v>0</v>
      </c>
      <c r="AH823">
        <v>0</v>
      </c>
      <c r="AI823">
        <v>0</v>
      </c>
      <c r="AJ823">
        <v>1</v>
      </c>
      <c r="AK823">
        <v>9</v>
      </c>
      <c r="AL823">
        <v>3</v>
      </c>
      <c r="AM823">
        <v>2</v>
      </c>
      <c r="AN823">
        <v>0</v>
      </c>
      <c r="AO823">
        <v>0</v>
      </c>
      <c r="AP823">
        <v>1130</v>
      </c>
      <c r="AQ823">
        <v>0</v>
      </c>
      <c r="AR823">
        <v>1</v>
      </c>
      <c r="AS823">
        <v>0</v>
      </c>
      <c r="AT823">
        <v>1</v>
      </c>
      <c r="AU823">
        <v>1</v>
      </c>
      <c r="AV823">
        <v>0</v>
      </c>
      <c r="AW823">
        <v>1</v>
      </c>
      <c r="AX823">
        <v>1</v>
      </c>
      <c r="AY823">
        <v>6</v>
      </c>
      <c r="AZ823">
        <v>24</v>
      </c>
      <c r="BA823">
        <v>958</v>
      </c>
      <c r="BB823">
        <v>24</v>
      </c>
      <c r="BC823">
        <v>5</v>
      </c>
      <c r="BD823">
        <v>0</v>
      </c>
      <c r="BE823">
        <v>5</v>
      </c>
      <c r="BF823">
        <v>9</v>
      </c>
      <c r="BG823">
        <v>1</v>
      </c>
      <c r="BH823">
        <v>0</v>
      </c>
      <c r="BI823">
        <v>0</v>
      </c>
      <c r="BJ823">
        <v>1</v>
      </c>
      <c r="BK823">
        <v>1</v>
      </c>
      <c r="BL823">
        <v>1001</v>
      </c>
      <c r="BM823">
        <v>0</v>
      </c>
      <c r="BN823">
        <v>4</v>
      </c>
      <c r="BO823">
        <v>0</v>
      </c>
      <c r="BP823">
        <v>3</v>
      </c>
      <c r="BQ823">
        <v>0</v>
      </c>
      <c r="BR823">
        <v>0</v>
      </c>
      <c r="BS823">
        <v>0</v>
      </c>
      <c r="BT823">
        <v>0</v>
      </c>
      <c r="BU823">
        <v>1</v>
      </c>
      <c r="BV823">
        <v>0</v>
      </c>
      <c r="BW823">
        <v>977</v>
      </c>
      <c r="BX823">
        <v>0</v>
      </c>
      <c r="BY823">
        <v>2</v>
      </c>
      <c r="BZ823">
        <v>1</v>
      </c>
      <c r="CA823">
        <v>0</v>
      </c>
      <c r="CB823">
        <v>1</v>
      </c>
      <c r="CC823">
        <v>1</v>
      </c>
      <c r="CD823">
        <v>0</v>
      </c>
      <c r="CE823">
        <v>0</v>
      </c>
      <c r="CF823">
        <v>13</v>
      </c>
      <c r="CG823">
        <v>0</v>
      </c>
      <c r="CH823">
        <v>875</v>
      </c>
      <c r="CI823">
        <v>3</v>
      </c>
      <c r="CJ823">
        <v>0</v>
      </c>
      <c r="CK823">
        <v>0</v>
      </c>
      <c r="CL823">
        <v>0</v>
      </c>
      <c r="CM823">
        <v>4</v>
      </c>
      <c r="CN823">
        <v>2</v>
      </c>
      <c r="CO823">
        <v>1</v>
      </c>
      <c r="CP823">
        <v>0</v>
      </c>
      <c r="CQ823">
        <v>1</v>
      </c>
      <c r="CR823">
        <v>4</v>
      </c>
      <c r="CS823">
        <v>945</v>
      </c>
      <c r="CT823">
        <v>0</v>
      </c>
      <c r="CU823">
        <v>1</v>
      </c>
      <c r="CV823">
        <v>0</v>
      </c>
      <c r="CW823">
        <v>1</v>
      </c>
      <c r="CX823">
        <v>11</v>
      </c>
      <c r="CY823">
        <v>14</v>
      </c>
      <c r="CZ823">
        <v>12</v>
      </c>
      <c r="DA823">
        <v>3</v>
      </c>
      <c r="DB823">
        <v>1</v>
      </c>
      <c r="DC823">
        <v>0</v>
      </c>
      <c r="DD823">
        <v>980</v>
      </c>
      <c r="DE823">
        <v>0</v>
      </c>
      <c r="DF823">
        <v>6</v>
      </c>
      <c r="DG823">
        <v>6</v>
      </c>
      <c r="DH823">
        <v>2</v>
      </c>
      <c r="DI823">
        <v>15</v>
      </c>
      <c r="DJ823">
        <v>53</v>
      </c>
      <c r="DK823">
        <v>11</v>
      </c>
      <c r="DL823">
        <v>8</v>
      </c>
      <c r="DM823">
        <v>2</v>
      </c>
      <c r="DN823">
        <v>9</v>
      </c>
      <c r="DO823">
        <v>855</v>
      </c>
      <c r="DP823">
        <v>13</v>
      </c>
      <c r="DQ823">
        <v>4</v>
      </c>
      <c r="DR823">
        <v>4</v>
      </c>
      <c r="DS823">
        <v>0</v>
      </c>
      <c r="DT823">
        <v>17</v>
      </c>
      <c r="DU823">
        <v>14</v>
      </c>
      <c r="DV823">
        <v>9</v>
      </c>
      <c r="DW823">
        <v>0</v>
      </c>
      <c r="DX823">
        <v>14</v>
      </c>
      <c r="DY823">
        <v>0</v>
      </c>
      <c r="DZ823">
        <v>947</v>
      </c>
      <c r="EA823">
        <v>0.96319999999999995</v>
      </c>
      <c r="EB823">
        <v>0.96468496612740595</v>
      </c>
      <c r="EC823">
        <v>0.96306158069854797</v>
      </c>
      <c r="ED823">
        <v>0.96311523422171497</v>
      </c>
      <c r="EE823">
        <f>SUM(Table1[[#This Row],[ratio_0]:[ratio_9]])</f>
        <v>550</v>
      </c>
      <c r="EF823" s="1">
        <f>(Table1[[#This Row],[predicted_0]]-Table1[[#This Row],[actual_0]])/Table1[[#This Row],[actual_0]]</f>
        <v>6.1224489795918364E-3</v>
      </c>
      <c r="EG823" s="1">
        <f>(Table1[[#This Row],[predicted_1]]-Table1[[#This Row],[actual_1]])/Table1[[#This Row],[actual_1]]</f>
        <v>3.5242290748898682E-2</v>
      </c>
      <c r="EH823" s="1">
        <f>(Table1[[#This Row],[predicted_2]]-Table1[[#This Row],[actual_2]])/Table1[[#This Row],[actual_2]]</f>
        <v>-4.0697674418604654E-2</v>
      </c>
      <c r="EI823" s="1">
        <f>(Table1[[#This Row],[predicted_3]]-Table1[[#This Row],[actual_3]])/Table1[[#This Row],[actual_3]]</f>
        <v>0.1099009900990099</v>
      </c>
      <c r="EJ823" s="1">
        <f>(Table1[[#This Row],[predicted_4]]-Table1[[#This Row],[actual_4]])/Table1[[#This Row],[actual_4]]</f>
        <v>2.9531568228105907E-2</v>
      </c>
      <c r="EK823" s="1">
        <f>(Table1[[#This Row],[predicted_5]]-Table1[[#This Row],[actual_5]])/Table1[[#This Row],[actual_5]]</f>
        <v>1.2331838565022421E-2</v>
      </c>
      <c r="EL823" s="1">
        <f>(Table1[[#This Row],[predicted_6]]-Table1[[#This Row],[actual_6]])/Table1[[#This Row],[actual_6]]</f>
        <v>9.3945720250521916E-3</v>
      </c>
      <c r="EM823" s="1">
        <f>(Table1[[#This Row],[predicted_7]]-Table1[[#This Row],[actual_7]])/Table1[[#This Row],[actual_7]]</f>
        <v>-8.7548638132295721E-3</v>
      </c>
      <c r="EN823" s="1">
        <f>(Table1[[#This Row],[predicted_8]]-Table1[[#This Row],[actual_8]])/Table1[[#This Row],[actual_8]]</f>
        <v>-0.11704312114989733</v>
      </c>
      <c r="EO823" s="1">
        <f>(Table1[[#This Row],[predicted_9]]-Table1[[#This Row],[actual_9]])/Table1[[#This Row],[actual_9]]</f>
        <v>-4.0634291377601585E-2</v>
      </c>
      <c r="EP823" s="1">
        <f>1+(Table1[[#This Row],[error_ratio_0]]-EF$2)</f>
        <v>1.0040816326530613</v>
      </c>
      <c r="EQ823" s="1">
        <f>1+(Table1[[#This Row],[error_ratio_1]]-EG$2)</f>
        <v>1.0334801762114538</v>
      </c>
      <c r="ER823" s="1">
        <f>1+(Table1[[#This Row],[error_ratio_2]]-EH$2)</f>
        <v>0.96414728682170547</v>
      </c>
      <c r="ES823" s="1">
        <f>1+(Table1[[#This Row],[error_ratio_3]]-EI$2)</f>
        <v>1.1000000000000001</v>
      </c>
      <c r="ET823" s="1">
        <f>1+(Table1[[#This Row],[error_ratio_4]]-EJ$2)</f>
        <v>1.0285132382892057</v>
      </c>
      <c r="EU823" s="1">
        <f>1+(Table1[[#This Row],[error_ratio_5]]-EK$2)</f>
        <v>1.0112107623318385</v>
      </c>
      <c r="EV823" s="1">
        <f>1+(Table1[[#This Row],[error_ratio_6]]-EL$2)</f>
        <v>1.0156576200417538</v>
      </c>
      <c r="EW823" s="1">
        <f>1+(Table1[[#This Row],[error_ratio_7]]-EM$2)</f>
        <v>0.98929961089494167</v>
      </c>
      <c r="EX823" s="1">
        <f>1+(Table1[[#This Row],[error_ratio_8]]-EN$2)</f>
        <v>0.88603696098562623</v>
      </c>
      <c r="EY823" s="1">
        <f>1+(Table1[[#This Row],[error_ratio_9]]-EO$2)</f>
        <v>0.96333002973240833</v>
      </c>
    </row>
    <row r="824" spans="1:155" x14ac:dyDescent="0.75">
      <c r="A824">
        <v>100</v>
      </c>
      <c r="B824">
        <v>10</v>
      </c>
      <c r="C824">
        <v>10</v>
      </c>
      <c r="D824">
        <v>100</v>
      </c>
      <c r="E824">
        <v>100</v>
      </c>
      <c r="F824">
        <v>100</v>
      </c>
      <c r="G824">
        <v>100</v>
      </c>
      <c r="H824">
        <v>10</v>
      </c>
      <c r="I824">
        <v>10</v>
      </c>
      <c r="J824">
        <v>10</v>
      </c>
      <c r="K824">
        <v>1035</v>
      </c>
      <c r="L824">
        <v>1126</v>
      </c>
      <c r="M824">
        <v>958</v>
      </c>
      <c r="N824">
        <v>1185</v>
      </c>
      <c r="O824">
        <v>981</v>
      </c>
      <c r="P824">
        <v>923</v>
      </c>
      <c r="Q824">
        <v>956</v>
      </c>
      <c r="R824">
        <v>1048</v>
      </c>
      <c r="S824">
        <v>809</v>
      </c>
      <c r="T824">
        <v>979</v>
      </c>
      <c r="U824">
        <v>980</v>
      </c>
      <c r="V824">
        <v>1135</v>
      </c>
      <c r="W824">
        <v>1032</v>
      </c>
      <c r="X824">
        <v>1010</v>
      </c>
      <c r="Y824">
        <v>982</v>
      </c>
      <c r="Z824">
        <v>892</v>
      </c>
      <c r="AA824">
        <v>958</v>
      </c>
      <c r="AB824">
        <v>1028</v>
      </c>
      <c r="AC824">
        <v>974</v>
      </c>
      <c r="AD824">
        <v>1009</v>
      </c>
      <c r="AE824">
        <v>977</v>
      </c>
      <c r="AF824">
        <v>0</v>
      </c>
      <c r="AG824">
        <v>0</v>
      </c>
      <c r="AH824">
        <v>0</v>
      </c>
      <c r="AI824">
        <v>0</v>
      </c>
      <c r="AJ824">
        <v>1</v>
      </c>
      <c r="AK824">
        <v>2</v>
      </c>
      <c r="AL824">
        <v>0</v>
      </c>
      <c r="AM824">
        <v>0</v>
      </c>
      <c r="AN824">
        <v>0</v>
      </c>
      <c r="AO824">
        <v>0</v>
      </c>
      <c r="AP824">
        <v>1116</v>
      </c>
      <c r="AQ824">
        <v>3</v>
      </c>
      <c r="AR824">
        <v>8</v>
      </c>
      <c r="AS824">
        <v>0</v>
      </c>
      <c r="AT824">
        <v>4</v>
      </c>
      <c r="AU824">
        <v>4</v>
      </c>
      <c r="AV824">
        <v>0</v>
      </c>
      <c r="AW824">
        <v>0</v>
      </c>
      <c r="AX824">
        <v>0</v>
      </c>
      <c r="AY824">
        <v>14</v>
      </c>
      <c r="AZ824">
        <v>0</v>
      </c>
      <c r="BA824">
        <v>939</v>
      </c>
      <c r="BB824">
        <v>55</v>
      </c>
      <c r="BC824">
        <v>4</v>
      </c>
      <c r="BD824">
        <v>0</v>
      </c>
      <c r="BE824">
        <v>5</v>
      </c>
      <c r="BF824">
        <v>15</v>
      </c>
      <c r="BG824">
        <v>0</v>
      </c>
      <c r="BH824">
        <v>0</v>
      </c>
      <c r="BI824">
        <v>0</v>
      </c>
      <c r="BJ824">
        <v>0</v>
      </c>
      <c r="BK824">
        <v>0</v>
      </c>
      <c r="BL824">
        <v>1002</v>
      </c>
      <c r="BM824">
        <v>0</v>
      </c>
      <c r="BN824">
        <v>2</v>
      </c>
      <c r="BO824">
        <v>0</v>
      </c>
      <c r="BP824">
        <v>6</v>
      </c>
      <c r="BQ824">
        <v>0</v>
      </c>
      <c r="BR824">
        <v>0</v>
      </c>
      <c r="BS824">
        <v>1</v>
      </c>
      <c r="BT824">
        <v>0</v>
      </c>
      <c r="BU824">
        <v>0</v>
      </c>
      <c r="BV824">
        <v>0</v>
      </c>
      <c r="BW824">
        <v>958</v>
      </c>
      <c r="BX824">
        <v>0</v>
      </c>
      <c r="BY824">
        <v>5</v>
      </c>
      <c r="BZ824">
        <v>1</v>
      </c>
      <c r="CA824">
        <v>0</v>
      </c>
      <c r="CB824">
        <v>17</v>
      </c>
      <c r="CC824">
        <v>2</v>
      </c>
      <c r="CD824">
        <v>0</v>
      </c>
      <c r="CE824">
        <v>0</v>
      </c>
      <c r="CF824">
        <v>17</v>
      </c>
      <c r="CG824">
        <v>0</v>
      </c>
      <c r="CH824">
        <v>870</v>
      </c>
      <c r="CI824">
        <v>1</v>
      </c>
      <c r="CJ824">
        <v>1</v>
      </c>
      <c r="CK824">
        <v>0</v>
      </c>
      <c r="CL824">
        <v>1</v>
      </c>
      <c r="CM824">
        <v>9</v>
      </c>
      <c r="CN824">
        <v>1</v>
      </c>
      <c r="CO824">
        <v>0</v>
      </c>
      <c r="CP824">
        <v>0</v>
      </c>
      <c r="CQ824">
        <v>1</v>
      </c>
      <c r="CR824">
        <v>11</v>
      </c>
      <c r="CS824">
        <v>936</v>
      </c>
      <c r="CT824">
        <v>0</v>
      </c>
      <c r="CU824">
        <v>0</v>
      </c>
      <c r="CV824">
        <v>0</v>
      </c>
      <c r="CW824">
        <v>9</v>
      </c>
      <c r="CX824">
        <v>3</v>
      </c>
      <c r="CY824">
        <v>10</v>
      </c>
      <c r="CZ824">
        <v>13</v>
      </c>
      <c r="DA824">
        <v>4</v>
      </c>
      <c r="DB824">
        <v>3</v>
      </c>
      <c r="DC824">
        <v>1</v>
      </c>
      <c r="DD824">
        <v>983</v>
      </c>
      <c r="DE824">
        <v>0</v>
      </c>
      <c r="DF824">
        <v>2</v>
      </c>
      <c r="DG824">
        <v>13</v>
      </c>
      <c r="DH824">
        <v>1</v>
      </c>
      <c r="DI824">
        <v>6</v>
      </c>
      <c r="DJ824">
        <v>62</v>
      </c>
      <c r="DK824">
        <v>7</v>
      </c>
      <c r="DL824">
        <v>28</v>
      </c>
      <c r="DM824">
        <v>2</v>
      </c>
      <c r="DN824">
        <v>19</v>
      </c>
      <c r="DO824">
        <v>809</v>
      </c>
      <c r="DP824">
        <v>27</v>
      </c>
      <c r="DQ824">
        <v>10</v>
      </c>
      <c r="DR824">
        <v>5</v>
      </c>
      <c r="DS824">
        <v>0</v>
      </c>
      <c r="DT824">
        <v>28</v>
      </c>
      <c r="DU824">
        <v>7</v>
      </c>
      <c r="DV824">
        <v>4</v>
      </c>
      <c r="DW824">
        <v>0</v>
      </c>
      <c r="DX824">
        <v>23</v>
      </c>
      <c r="DY824">
        <v>0</v>
      </c>
      <c r="DZ824">
        <v>932</v>
      </c>
      <c r="EA824">
        <v>0.95220000000000005</v>
      </c>
      <c r="EB824">
        <v>0.95489985027933699</v>
      </c>
      <c r="EC824">
        <v>0.95206014933096395</v>
      </c>
      <c r="ED824">
        <v>0.95184932596831895</v>
      </c>
      <c r="EE824">
        <f>SUM(Table1[[#This Row],[ratio_0]:[ratio_9]])</f>
        <v>550</v>
      </c>
      <c r="EF824" s="1">
        <f>(Table1[[#This Row],[predicted_0]]-Table1[[#This Row],[actual_0]])/Table1[[#This Row],[actual_0]]</f>
        <v>5.6122448979591837E-2</v>
      </c>
      <c r="EG824" s="1">
        <f>(Table1[[#This Row],[predicted_1]]-Table1[[#This Row],[actual_1]])/Table1[[#This Row],[actual_1]]</f>
        <v>-7.9295154185022032E-3</v>
      </c>
      <c r="EH824" s="1">
        <f>(Table1[[#This Row],[predicted_2]]-Table1[[#This Row],[actual_2]])/Table1[[#This Row],[actual_2]]</f>
        <v>-7.170542635658915E-2</v>
      </c>
      <c r="EI824" s="1">
        <f>(Table1[[#This Row],[predicted_3]]-Table1[[#This Row],[actual_3]])/Table1[[#This Row],[actual_3]]</f>
        <v>0.17326732673267325</v>
      </c>
      <c r="EJ824" s="1">
        <f>(Table1[[#This Row],[predicted_4]]-Table1[[#This Row],[actual_4]])/Table1[[#This Row],[actual_4]]</f>
        <v>-1.0183299389002036E-3</v>
      </c>
      <c r="EK824" s="1">
        <f>(Table1[[#This Row],[predicted_5]]-Table1[[#This Row],[actual_5]])/Table1[[#This Row],[actual_5]]</f>
        <v>3.4753363228699555E-2</v>
      </c>
      <c r="EL824" s="1">
        <f>(Table1[[#This Row],[predicted_6]]-Table1[[#This Row],[actual_6]])/Table1[[#This Row],[actual_6]]</f>
        <v>-2.0876826722338203E-3</v>
      </c>
      <c r="EM824" s="1">
        <f>(Table1[[#This Row],[predicted_7]]-Table1[[#This Row],[actual_7]])/Table1[[#This Row],[actual_7]]</f>
        <v>1.9455252918287938E-2</v>
      </c>
      <c r="EN824" s="1">
        <f>(Table1[[#This Row],[predicted_8]]-Table1[[#This Row],[actual_8]])/Table1[[#This Row],[actual_8]]</f>
        <v>-0.16940451745379878</v>
      </c>
      <c r="EO824" s="1">
        <f>(Table1[[#This Row],[predicted_9]]-Table1[[#This Row],[actual_9]])/Table1[[#This Row],[actual_9]]</f>
        <v>-2.973240832507433E-2</v>
      </c>
      <c r="EP824" s="1">
        <f>1+(Table1[[#This Row],[error_ratio_0]]-EF$2)</f>
        <v>1.0540816326530613</v>
      </c>
      <c r="EQ824" s="1">
        <f>1+(Table1[[#This Row],[error_ratio_1]]-EG$2)</f>
        <v>0.99030837004405281</v>
      </c>
      <c r="ER824" s="1">
        <f>1+(Table1[[#This Row],[error_ratio_2]]-EH$2)</f>
        <v>0.93313953488372092</v>
      </c>
      <c r="ES824" s="1">
        <f>1+(Table1[[#This Row],[error_ratio_3]]-EI$2)</f>
        <v>1.1633663366336633</v>
      </c>
      <c r="ET824" s="1">
        <f>1+(Table1[[#This Row],[error_ratio_4]]-EJ$2)</f>
        <v>0.99796334012219956</v>
      </c>
      <c r="EU824" s="1">
        <f>1+(Table1[[#This Row],[error_ratio_5]]-EK$2)</f>
        <v>1.0336322869955157</v>
      </c>
      <c r="EV824" s="1">
        <f>1+(Table1[[#This Row],[error_ratio_6]]-EL$2)</f>
        <v>1.0041753653444676</v>
      </c>
      <c r="EW824" s="1">
        <f>1+(Table1[[#This Row],[error_ratio_7]]-EM$2)</f>
        <v>1.0175097276264591</v>
      </c>
      <c r="EX824" s="1">
        <f>1+(Table1[[#This Row],[error_ratio_8]]-EN$2)</f>
        <v>0.83367556468172488</v>
      </c>
      <c r="EY824" s="1">
        <f>1+(Table1[[#This Row],[error_ratio_9]]-EO$2)</f>
        <v>0.97423191278493559</v>
      </c>
    </row>
    <row r="825" spans="1:155" x14ac:dyDescent="0.75">
      <c r="A825">
        <v>10</v>
      </c>
      <c r="B825">
        <v>10</v>
      </c>
      <c r="C825">
        <v>10</v>
      </c>
      <c r="D825">
        <v>100</v>
      </c>
      <c r="E825">
        <v>100</v>
      </c>
      <c r="F825">
        <v>100</v>
      </c>
      <c r="G825">
        <v>100</v>
      </c>
      <c r="H825">
        <v>10</v>
      </c>
      <c r="I825">
        <v>10</v>
      </c>
      <c r="J825">
        <v>10</v>
      </c>
      <c r="K825">
        <v>951</v>
      </c>
      <c r="L825">
        <v>1126</v>
      </c>
      <c r="M825">
        <v>937</v>
      </c>
      <c r="N825">
        <v>1135</v>
      </c>
      <c r="O825">
        <v>1033</v>
      </c>
      <c r="P825">
        <v>969</v>
      </c>
      <c r="Q825">
        <v>1080</v>
      </c>
      <c r="R825">
        <v>1044</v>
      </c>
      <c r="S825">
        <v>751</v>
      </c>
      <c r="T825">
        <v>974</v>
      </c>
      <c r="U825">
        <v>980</v>
      </c>
      <c r="V825">
        <v>1135</v>
      </c>
      <c r="W825">
        <v>1032</v>
      </c>
      <c r="X825">
        <v>1010</v>
      </c>
      <c r="Y825">
        <v>982</v>
      </c>
      <c r="Z825">
        <v>892</v>
      </c>
      <c r="AA825">
        <v>958</v>
      </c>
      <c r="AB825">
        <v>1028</v>
      </c>
      <c r="AC825">
        <v>974</v>
      </c>
      <c r="AD825">
        <v>1009</v>
      </c>
      <c r="AE825">
        <v>932</v>
      </c>
      <c r="AF825">
        <v>0</v>
      </c>
      <c r="AG825">
        <v>0</v>
      </c>
      <c r="AH825">
        <v>0</v>
      </c>
      <c r="AI825">
        <v>6</v>
      </c>
      <c r="AJ825">
        <v>3</v>
      </c>
      <c r="AK825">
        <v>38</v>
      </c>
      <c r="AL825">
        <v>1</v>
      </c>
      <c r="AM825">
        <v>0</v>
      </c>
      <c r="AN825">
        <v>0</v>
      </c>
      <c r="AO825">
        <v>0</v>
      </c>
      <c r="AP825">
        <v>1117</v>
      </c>
      <c r="AQ825">
        <v>1</v>
      </c>
      <c r="AR825">
        <v>5</v>
      </c>
      <c r="AS825">
        <v>2</v>
      </c>
      <c r="AT825">
        <v>3</v>
      </c>
      <c r="AU825">
        <v>6</v>
      </c>
      <c r="AV825">
        <v>0</v>
      </c>
      <c r="AW825">
        <v>0</v>
      </c>
      <c r="AX825">
        <v>1</v>
      </c>
      <c r="AY825">
        <v>8</v>
      </c>
      <c r="AZ825">
        <v>0</v>
      </c>
      <c r="BA825">
        <v>928</v>
      </c>
      <c r="BB825">
        <v>54</v>
      </c>
      <c r="BC825">
        <v>9</v>
      </c>
      <c r="BD825">
        <v>1</v>
      </c>
      <c r="BE825">
        <v>11</v>
      </c>
      <c r="BF825">
        <v>21</v>
      </c>
      <c r="BG825">
        <v>0</v>
      </c>
      <c r="BH825">
        <v>0</v>
      </c>
      <c r="BI825">
        <v>0</v>
      </c>
      <c r="BJ825">
        <v>0</v>
      </c>
      <c r="BK825">
        <v>1</v>
      </c>
      <c r="BL825">
        <v>986</v>
      </c>
      <c r="BM825">
        <v>1</v>
      </c>
      <c r="BN825">
        <v>15</v>
      </c>
      <c r="BO825">
        <v>0</v>
      </c>
      <c r="BP825">
        <v>5</v>
      </c>
      <c r="BQ825">
        <v>1</v>
      </c>
      <c r="BR825">
        <v>1</v>
      </c>
      <c r="BS825">
        <v>0</v>
      </c>
      <c r="BT825">
        <v>0</v>
      </c>
      <c r="BU825">
        <v>0</v>
      </c>
      <c r="BV825">
        <v>0</v>
      </c>
      <c r="BW825">
        <v>973</v>
      </c>
      <c r="BX825">
        <v>0</v>
      </c>
      <c r="BY825">
        <v>5</v>
      </c>
      <c r="BZ825">
        <v>0</v>
      </c>
      <c r="CA825">
        <v>0</v>
      </c>
      <c r="CB825">
        <v>4</v>
      </c>
      <c r="CC825">
        <v>0</v>
      </c>
      <c r="CD825">
        <v>0</v>
      </c>
      <c r="CE825">
        <v>0</v>
      </c>
      <c r="CF825">
        <v>3</v>
      </c>
      <c r="CG825">
        <v>0</v>
      </c>
      <c r="CH825">
        <v>887</v>
      </c>
      <c r="CI825">
        <v>2</v>
      </c>
      <c r="CJ825">
        <v>0</v>
      </c>
      <c r="CK825">
        <v>0</v>
      </c>
      <c r="CL825">
        <v>0</v>
      </c>
      <c r="CM825">
        <v>1</v>
      </c>
      <c r="CN825">
        <v>0</v>
      </c>
      <c r="CO825">
        <v>0</v>
      </c>
      <c r="CP825">
        <v>0</v>
      </c>
      <c r="CQ825">
        <v>3</v>
      </c>
      <c r="CR825">
        <v>3</v>
      </c>
      <c r="CS825">
        <v>951</v>
      </c>
      <c r="CT825">
        <v>0</v>
      </c>
      <c r="CU825">
        <v>0</v>
      </c>
      <c r="CV825">
        <v>0</v>
      </c>
      <c r="CW825">
        <v>2</v>
      </c>
      <c r="CX825">
        <v>4</v>
      </c>
      <c r="CY825">
        <v>5</v>
      </c>
      <c r="CZ825">
        <v>4</v>
      </c>
      <c r="DA825">
        <v>11</v>
      </c>
      <c r="DB825">
        <v>3</v>
      </c>
      <c r="DC825">
        <v>1</v>
      </c>
      <c r="DD825">
        <v>989</v>
      </c>
      <c r="DE825">
        <v>0</v>
      </c>
      <c r="DF825">
        <v>9</v>
      </c>
      <c r="DG825">
        <v>3</v>
      </c>
      <c r="DH825">
        <v>5</v>
      </c>
      <c r="DI825">
        <v>2</v>
      </c>
      <c r="DJ825">
        <v>73</v>
      </c>
      <c r="DK825">
        <v>11</v>
      </c>
      <c r="DL825">
        <v>34</v>
      </c>
      <c r="DM825">
        <v>65</v>
      </c>
      <c r="DN825">
        <v>17</v>
      </c>
      <c r="DO825">
        <v>748</v>
      </c>
      <c r="DP825">
        <v>16</v>
      </c>
      <c r="DQ825">
        <v>5</v>
      </c>
      <c r="DR825">
        <v>0</v>
      </c>
      <c r="DS825">
        <v>0</v>
      </c>
      <c r="DT825">
        <v>10</v>
      </c>
      <c r="DU825">
        <v>17</v>
      </c>
      <c r="DV825">
        <v>20</v>
      </c>
      <c r="DW825">
        <v>1</v>
      </c>
      <c r="DX825">
        <v>11</v>
      </c>
      <c r="DY825">
        <v>2</v>
      </c>
      <c r="DZ825">
        <v>943</v>
      </c>
      <c r="EA825">
        <v>0.94540000000000002</v>
      </c>
      <c r="EB825">
        <v>0.94804902778922895</v>
      </c>
      <c r="EC825">
        <v>0.94531646716060702</v>
      </c>
      <c r="ED825">
        <v>0.94405585857673002</v>
      </c>
      <c r="EE825">
        <f>SUM(Table1[[#This Row],[ratio_0]:[ratio_9]])</f>
        <v>460</v>
      </c>
      <c r="EF825" s="1">
        <f>(Table1[[#This Row],[predicted_0]]-Table1[[#This Row],[actual_0]])/Table1[[#This Row],[actual_0]]</f>
        <v>-2.9591836734693878E-2</v>
      </c>
      <c r="EG825" s="1">
        <f>(Table1[[#This Row],[predicted_1]]-Table1[[#This Row],[actual_1]])/Table1[[#This Row],[actual_1]]</f>
        <v>-7.9295154185022032E-3</v>
      </c>
      <c r="EH825" s="1">
        <f>(Table1[[#This Row],[predicted_2]]-Table1[[#This Row],[actual_2]])/Table1[[#This Row],[actual_2]]</f>
        <v>-9.205426356589147E-2</v>
      </c>
      <c r="EI825" s="1">
        <f>(Table1[[#This Row],[predicted_3]]-Table1[[#This Row],[actual_3]])/Table1[[#This Row],[actual_3]]</f>
        <v>0.12376237623762376</v>
      </c>
      <c r="EJ825" s="1">
        <f>(Table1[[#This Row],[predicted_4]]-Table1[[#This Row],[actual_4]])/Table1[[#This Row],[actual_4]]</f>
        <v>5.1934826883910386E-2</v>
      </c>
      <c r="EK825" s="1">
        <f>(Table1[[#This Row],[predicted_5]]-Table1[[#This Row],[actual_5]])/Table1[[#This Row],[actual_5]]</f>
        <v>8.632286995515695E-2</v>
      </c>
      <c r="EL825" s="1">
        <f>(Table1[[#This Row],[predicted_6]]-Table1[[#This Row],[actual_6]])/Table1[[#This Row],[actual_6]]</f>
        <v>0.12734864300626306</v>
      </c>
      <c r="EM825" s="1">
        <f>(Table1[[#This Row],[predicted_7]]-Table1[[#This Row],[actual_7]])/Table1[[#This Row],[actual_7]]</f>
        <v>1.556420233463035E-2</v>
      </c>
      <c r="EN825" s="1">
        <f>(Table1[[#This Row],[predicted_8]]-Table1[[#This Row],[actual_8]])/Table1[[#This Row],[actual_8]]</f>
        <v>-0.22895277207392198</v>
      </c>
      <c r="EO825" s="1">
        <f>(Table1[[#This Row],[predicted_9]]-Table1[[#This Row],[actual_9]])/Table1[[#This Row],[actual_9]]</f>
        <v>-3.4687809712586719E-2</v>
      </c>
      <c r="EP825" s="1">
        <f>1+(Table1[[#This Row],[error_ratio_0]]-EF$2)</f>
        <v>0.96836734693877546</v>
      </c>
      <c r="EQ825" s="1">
        <f>1+(Table1[[#This Row],[error_ratio_1]]-EG$2)</f>
        <v>0.99030837004405281</v>
      </c>
      <c r="ER825" s="1">
        <f>1+(Table1[[#This Row],[error_ratio_2]]-EH$2)</f>
        <v>0.91279069767441856</v>
      </c>
      <c r="ES825" s="1">
        <f>1+(Table1[[#This Row],[error_ratio_3]]-EI$2)</f>
        <v>1.113861386138614</v>
      </c>
      <c r="ET825" s="1">
        <f>1+(Table1[[#This Row],[error_ratio_4]]-EJ$2)</f>
        <v>1.0509164969450102</v>
      </c>
      <c r="EU825" s="1">
        <f>1+(Table1[[#This Row],[error_ratio_5]]-EK$2)</f>
        <v>1.0852017937219731</v>
      </c>
      <c r="EV825" s="1">
        <f>1+(Table1[[#This Row],[error_ratio_6]]-EL$2)</f>
        <v>1.1336116910229646</v>
      </c>
      <c r="EW825" s="1">
        <f>1+(Table1[[#This Row],[error_ratio_7]]-EM$2)</f>
        <v>1.0136186770428015</v>
      </c>
      <c r="EX825" s="1">
        <f>1+(Table1[[#This Row],[error_ratio_8]]-EN$2)</f>
        <v>0.77412731006160163</v>
      </c>
      <c r="EY825" s="1">
        <f>1+(Table1[[#This Row],[error_ratio_9]]-EO$2)</f>
        <v>0.96927651139742321</v>
      </c>
    </row>
    <row r="826" spans="1:155" x14ac:dyDescent="0.75">
      <c r="A826">
        <v>100</v>
      </c>
      <c r="B826">
        <v>100</v>
      </c>
      <c r="C826">
        <v>100</v>
      </c>
      <c r="D826">
        <v>10</v>
      </c>
      <c r="E826">
        <v>100</v>
      </c>
      <c r="F826">
        <v>100</v>
      </c>
      <c r="G826">
        <v>100</v>
      </c>
      <c r="H826">
        <v>10</v>
      </c>
      <c r="I826">
        <v>10</v>
      </c>
      <c r="J826">
        <v>10</v>
      </c>
      <c r="K826">
        <v>1011</v>
      </c>
      <c r="L826">
        <v>1164</v>
      </c>
      <c r="M826">
        <v>1089</v>
      </c>
      <c r="N826">
        <v>951</v>
      </c>
      <c r="O826">
        <v>1023</v>
      </c>
      <c r="P826">
        <v>1083</v>
      </c>
      <c r="Q826">
        <v>945</v>
      </c>
      <c r="R826">
        <v>871</v>
      </c>
      <c r="S826">
        <v>898</v>
      </c>
      <c r="T826">
        <v>965</v>
      </c>
      <c r="U826">
        <v>980</v>
      </c>
      <c r="V826">
        <v>1135</v>
      </c>
      <c r="W826">
        <v>1032</v>
      </c>
      <c r="X826">
        <v>1010</v>
      </c>
      <c r="Y826">
        <v>982</v>
      </c>
      <c r="Z826">
        <v>892</v>
      </c>
      <c r="AA826">
        <v>958</v>
      </c>
      <c r="AB826">
        <v>1028</v>
      </c>
      <c r="AC826">
        <v>974</v>
      </c>
      <c r="AD826">
        <v>1009</v>
      </c>
      <c r="AE826">
        <v>975</v>
      </c>
      <c r="AF826">
        <v>1</v>
      </c>
      <c r="AG826">
        <v>0</v>
      </c>
      <c r="AH826">
        <v>0</v>
      </c>
      <c r="AI826">
        <v>0</v>
      </c>
      <c r="AJ826">
        <v>3</v>
      </c>
      <c r="AK826">
        <v>1</v>
      </c>
      <c r="AL826">
        <v>0</v>
      </c>
      <c r="AM826">
        <v>0</v>
      </c>
      <c r="AN826">
        <v>0</v>
      </c>
      <c r="AO826">
        <v>0</v>
      </c>
      <c r="AP826">
        <v>1127</v>
      </c>
      <c r="AQ826">
        <v>0</v>
      </c>
      <c r="AR826">
        <v>1</v>
      </c>
      <c r="AS826">
        <v>0</v>
      </c>
      <c r="AT826">
        <v>5</v>
      </c>
      <c r="AU826">
        <v>2</v>
      </c>
      <c r="AV826">
        <v>0</v>
      </c>
      <c r="AW826">
        <v>0</v>
      </c>
      <c r="AX826">
        <v>0</v>
      </c>
      <c r="AY826">
        <v>2</v>
      </c>
      <c r="AZ826">
        <v>4</v>
      </c>
      <c r="BA826">
        <v>1024</v>
      </c>
      <c r="BB826">
        <v>0</v>
      </c>
      <c r="BC826">
        <v>1</v>
      </c>
      <c r="BD826">
        <v>0</v>
      </c>
      <c r="BE826">
        <v>0</v>
      </c>
      <c r="BF826">
        <v>1</v>
      </c>
      <c r="BG826">
        <v>0</v>
      </c>
      <c r="BH826">
        <v>0</v>
      </c>
      <c r="BI826">
        <v>0</v>
      </c>
      <c r="BJ826">
        <v>0</v>
      </c>
      <c r="BK826">
        <v>5</v>
      </c>
      <c r="BL826">
        <v>933</v>
      </c>
      <c r="BM826">
        <v>0</v>
      </c>
      <c r="BN826">
        <v>53</v>
      </c>
      <c r="BO826">
        <v>0</v>
      </c>
      <c r="BP826">
        <v>7</v>
      </c>
      <c r="BQ826">
        <v>9</v>
      </c>
      <c r="BR826">
        <v>3</v>
      </c>
      <c r="BS826">
        <v>0</v>
      </c>
      <c r="BT826">
        <v>0</v>
      </c>
      <c r="BU826">
        <v>2</v>
      </c>
      <c r="BV826">
        <v>0</v>
      </c>
      <c r="BW826">
        <v>976</v>
      </c>
      <c r="BX826">
        <v>0</v>
      </c>
      <c r="BY826">
        <v>3</v>
      </c>
      <c r="BZ826">
        <v>0</v>
      </c>
      <c r="CA826">
        <v>0</v>
      </c>
      <c r="CB826">
        <v>1</v>
      </c>
      <c r="CC826">
        <v>1</v>
      </c>
      <c r="CD826">
        <v>0</v>
      </c>
      <c r="CE826">
        <v>0</v>
      </c>
      <c r="CF826">
        <v>1</v>
      </c>
      <c r="CG826">
        <v>0</v>
      </c>
      <c r="CH826">
        <v>890</v>
      </c>
      <c r="CI826">
        <v>0</v>
      </c>
      <c r="CJ826">
        <v>0</v>
      </c>
      <c r="CK826">
        <v>0</v>
      </c>
      <c r="CL826">
        <v>0</v>
      </c>
      <c r="CM826">
        <v>4</v>
      </c>
      <c r="CN826">
        <v>3</v>
      </c>
      <c r="CO826">
        <v>0</v>
      </c>
      <c r="CP826">
        <v>0</v>
      </c>
      <c r="CQ826">
        <v>1</v>
      </c>
      <c r="CR826">
        <v>12</v>
      </c>
      <c r="CS826">
        <v>938</v>
      </c>
      <c r="CT826">
        <v>0</v>
      </c>
      <c r="CU826">
        <v>0</v>
      </c>
      <c r="CV826">
        <v>0</v>
      </c>
      <c r="CW826">
        <v>5</v>
      </c>
      <c r="CX826">
        <v>19</v>
      </c>
      <c r="CY826">
        <v>52</v>
      </c>
      <c r="CZ826">
        <v>10</v>
      </c>
      <c r="DA826">
        <v>8</v>
      </c>
      <c r="DB826">
        <v>16</v>
      </c>
      <c r="DC826">
        <v>0</v>
      </c>
      <c r="DD826">
        <v>861</v>
      </c>
      <c r="DE826">
        <v>6</v>
      </c>
      <c r="DF826">
        <v>51</v>
      </c>
      <c r="DG826">
        <v>13</v>
      </c>
      <c r="DH826">
        <v>2</v>
      </c>
      <c r="DI826">
        <v>5</v>
      </c>
      <c r="DJ826">
        <v>4</v>
      </c>
      <c r="DK826">
        <v>6</v>
      </c>
      <c r="DL826">
        <v>56</v>
      </c>
      <c r="DM826">
        <v>1</v>
      </c>
      <c r="DN826">
        <v>0</v>
      </c>
      <c r="DO826">
        <v>881</v>
      </c>
      <c r="DP826">
        <v>6</v>
      </c>
      <c r="DQ826">
        <v>11</v>
      </c>
      <c r="DR826">
        <v>8</v>
      </c>
      <c r="DS826">
        <v>1</v>
      </c>
      <c r="DT826">
        <v>2</v>
      </c>
      <c r="DU826">
        <v>31</v>
      </c>
      <c r="DV826">
        <v>48</v>
      </c>
      <c r="DW826">
        <v>0</v>
      </c>
      <c r="DX826">
        <v>2</v>
      </c>
      <c r="DY826">
        <v>2</v>
      </c>
      <c r="DZ826">
        <v>904</v>
      </c>
      <c r="EA826">
        <v>0.95089999999999997</v>
      </c>
      <c r="EB826">
        <v>0.95288056778754104</v>
      </c>
      <c r="EC826">
        <v>0.95126336432582104</v>
      </c>
      <c r="ED826">
        <v>0.95015541437353801</v>
      </c>
      <c r="EE826">
        <f>SUM(Table1[[#This Row],[ratio_0]:[ratio_9]])</f>
        <v>640</v>
      </c>
      <c r="EF826" s="1">
        <f>(Table1[[#This Row],[predicted_0]]-Table1[[#This Row],[actual_0]])/Table1[[#This Row],[actual_0]]</f>
        <v>3.1632653061224487E-2</v>
      </c>
      <c r="EG826" s="1">
        <f>(Table1[[#This Row],[predicted_1]]-Table1[[#This Row],[actual_1]])/Table1[[#This Row],[actual_1]]</f>
        <v>2.5550660792951541E-2</v>
      </c>
      <c r="EH826" s="1">
        <f>(Table1[[#This Row],[predicted_2]]-Table1[[#This Row],[actual_2]])/Table1[[#This Row],[actual_2]]</f>
        <v>5.5232558139534885E-2</v>
      </c>
      <c r="EI826" s="1">
        <f>(Table1[[#This Row],[predicted_3]]-Table1[[#This Row],[actual_3]])/Table1[[#This Row],[actual_3]]</f>
        <v>-5.8415841584158419E-2</v>
      </c>
      <c r="EJ826" s="1">
        <f>(Table1[[#This Row],[predicted_4]]-Table1[[#This Row],[actual_4]])/Table1[[#This Row],[actual_4]]</f>
        <v>4.1751527494908347E-2</v>
      </c>
      <c r="EK826" s="1">
        <f>(Table1[[#This Row],[predicted_5]]-Table1[[#This Row],[actual_5]])/Table1[[#This Row],[actual_5]]</f>
        <v>0.2141255605381166</v>
      </c>
      <c r="EL826" s="1">
        <f>(Table1[[#This Row],[predicted_6]]-Table1[[#This Row],[actual_6]])/Table1[[#This Row],[actual_6]]</f>
        <v>-1.3569937369519834E-2</v>
      </c>
      <c r="EM826" s="1">
        <f>(Table1[[#This Row],[predicted_7]]-Table1[[#This Row],[actual_7]])/Table1[[#This Row],[actual_7]]</f>
        <v>-0.15272373540856032</v>
      </c>
      <c r="EN826" s="1">
        <f>(Table1[[#This Row],[predicted_8]]-Table1[[#This Row],[actual_8]])/Table1[[#This Row],[actual_8]]</f>
        <v>-7.8028747433264892E-2</v>
      </c>
      <c r="EO826" s="1">
        <f>(Table1[[#This Row],[predicted_9]]-Table1[[#This Row],[actual_9]])/Table1[[#This Row],[actual_9]]</f>
        <v>-4.3607532210109018E-2</v>
      </c>
      <c r="EP826" s="1">
        <f>1+(Table1[[#This Row],[error_ratio_0]]-EF$2)</f>
        <v>1.0295918367346939</v>
      </c>
      <c r="EQ826" s="1">
        <f>1+(Table1[[#This Row],[error_ratio_1]]-EG$2)</f>
        <v>1.0237885462555065</v>
      </c>
      <c r="ER826" s="1">
        <f>1+(Table1[[#This Row],[error_ratio_2]]-EH$2)</f>
        <v>1.0600775193798451</v>
      </c>
      <c r="ES826" s="1">
        <f>1+(Table1[[#This Row],[error_ratio_3]]-EI$2)</f>
        <v>0.93168316831683162</v>
      </c>
      <c r="ET826" s="1">
        <f>1+(Table1[[#This Row],[error_ratio_4]]-EJ$2)</f>
        <v>1.0407331975560081</v>
      </c>
      <c r="EU826" s="1">
        <f>1+(Table1[[#This Row],[error_ratio_5]]-EK$2)</f>
        <v>1.2130044843049328</v>
      </c>
      <c r="EV826" s="1">
        <f>1+(Table1[[#This Row],[error_ratio_6]]-EL$2)</f>
        <v>0.99269311064718158</v>
      </c>
      <c r="EW826" s="1">
        <f>1+(Table1[[#This Row],[error_ratio_7]]-EM$2)</f>
        <v>0.84533073929961089</v>
      </c>
      <c r="EX826" s="1">
        <f>1+(Table1[[#This Row],[error_ratio_8]]-EN$2)</f>
        <v>0.92505133470225875</v>
      </c>
      <c r="EY826" s="1">
        <f>1+(Table1[[#This Row],[error_ratio_9]]-EO$2)</f>
        <v>0.96035678889990095</v>
      </c>
    </row>
    <row r="827" spans="1:155" x14ac:dyDescent="0.75">
      <c r="A827">
        <v>10</v>
      </c>
      <c r="B827">
        <v>100</v>
      </c>
      <c r="C827">
        <v>100</v>
      </c>
      <c r="D827">
        <v>10</v>
      </c>
      <c r="E827">
        <v>100</v>
      </c>
      <c r="F827">
        <v>100</v>
      </c>
      <c r="G827">
        <v>100</v>
      </c>
      <c r="H827">
        <v>10</v>
      </c>
      <c r="I827">
        <v>10</v>
      </c>
      <c r="J827">
        <v>10</v>
      </c>
      <c r="K827">
        <v>978</v>
      </c>
      <c r="L827">
        <v>1162</v>
      </c>
      <c r="M827">
        <v>1154</v>
      </c>
      <c r="N827">
        <v>929</v>
      </c>
      <c r="O827">
        <v>1002</v>
      </c>
      <c r="P827">
        <v>919</v>
      </c>
      <c r="Q827">
        <v>969</v>
      </c>
      <c r="R827">
        <v>955</v>
      </c>
      <c r="S827">
        <v>938</v>
      </c>
      <c r="T827">
        <v>994</v>
      </c>
      <c r="U827">
        <v>980</v>
      </c>
      <c r="V827">
        <v>1135</v>
      </c>
      <c r="W827">
        <v>1032</v>
      </c>
      <c r="X827">
        <v>1010</v>
      </c>
      <c r="Y827">
        <v>982</v>
      </c>
      <c r="Z827">
        <v>892</v>
      </c>
      <c r="AA827">
        <v>958</v>
      </c>
      <c r="AB827">
        <v>1028</v>
      </c>
      <c r="AC827">
        <v>974</v>
      </c>
      <c r="AD827">
        <v>1009</v>
      </c>
      <c r="AE827">
        <v>962</v>
      </c>
      <c r="AF827">
        <v>0</v>
      </c>
      <c r="AG827">
        <v>6</v>
      </c>
      <c r="AH827">
        <v>0</v>
      </c>
      <c r="AI827">
        <v>0</v>
      </c>
      <c r="AJ827">
        <v>1</v>
      </c>
      <c r="AK827">
        <v>5</v>
      </c>
      <c r="AL827">
        <v>1</v>
      </c>
      <c r="AM827">
        <v>5</v>
      </c>
      <c r="AN827">
        <v>0</v>
      </c>
      <c r="AO827">
        <v>0</v>
      </c>
      <c r="AP827">
        <v>1130</v>
      </c>
      <c r="AQ827">
        <v>1</v>
      </c>
      <c r="AR827">
        <v>0</v>
      </c>
      <c r="AS827">
        <v>0</v>
      </c>
      <c r="AT827">
        <v>2</v>
      </c>
      <c r="AU827">
        <v>2</v>
      </c>
      <c r="AV827">
        <v>0</v>
      </c>
      <c r="AW827">
        <v>0</v>
      </c>
      <c r="AX827">
        <v>0</v>
      </c>
      <c r="AY827">
        <v>0</v>
      </c>
      <c r="AZ827">
        <v>1</v>
      </c>
      <c r="BA827">
        <v>1029</v>
      </c>
      <c r="BB827">
        <v>0</v>
      </c>
      <c r="BC827">
        <v>1</v>
      </c>
      <c r="BD827">
        <v>0</v>
      </c>
      <c r="BE827">
        <v>0</v>
      </c>
      <c r="BF827">
        <v>1</v>
      </c>
      <c r="BG827">
        <v>0</v>
      </c>
      <c r="BH827">
        <v>0</v>
      </c>
      <c r="BI827">
        <v>0</v>
      </c>
      <c r="BJ827">
        <v>0</v>
      </c>
      <c r="BK827">
        <v>35</v>
      </c>
      <c r="BL827">
        <v>920</v>
      </c>
      <c r="BM827">
        <v>0</v>
      </c>
      <c r="BN827">
        <v>17</v>
      </c>
      <c r="BO827">
        <v>0</v>
      </c>
      <c r="BP827">
        <v>8</v>
      </c>
      <c r="BQ827">
        <v>16</v>
      </c>
      <c r="BR827">
        <v>14</v>
      </c>
      <c r="BS827">
        <v>0</v>
      </c>
      <c r="BT827">
        <v>3</v>
      </c>
      <c r="BU827">
        <v>1</v>
      </c>
      <c r="BV827">
        <v>0</v>
      </c>
      <c r="BW827">
        <v>972</v>
      </c>
      <c r="BX827">
        <v>0</v>
      </c>
      <c r="BY827">
        <v>4</v>
      </c>
      <c r="BZ827">
        <v>0</v>
      </c>
      <c r="CA827">
        <v>0</v>
      </c>
      <c r="CB827">
        <v>2</v>
      </c>
      <c r="CC827">
        <v>2</v>
      </c>
      <c r="CD827">
        <v>1</v>
      </c>
      <c r="CE827">
        <v>0</v>
      </c>
      <c r="CF827">
        <v>3</v>
      </c>
      <c r="CG827">
        <v>0</v>
      </c>
      <c r="CH827">
        <v>877</v>
      </c>
      <c r="CI827">
        <v>3</v>
      </c>
      <c r="CJ827">
        <v>1</v>
      </c>
      <c r="CK827">
        <v>1</v>
      </c>
      <c r="CL827">
        <v>4</v>
      </c>
      <c r="CM827">
        <v>4</v>
      </c>
      <c r="CN827">
        <v>2</v>
      </c>
      <c r="CO827">
        <v>1</v>
      </c>
      <c r="CP827">
        <v>0</v>
      </c>
      <c r="CQ827">
        <v>1</v>
      </c>
      <c r="CR827">
        <v>4</v>
      </c>
      <c r="CS827">
        <v>946</v>
      </c>
      <c r="CT827">
        <v>0</v>
      </c>
      <c r="CU827">
        <v>0</v>
      </c>
      <c r="CV827">
        <v>0</v>
      </c>
      <c r="CW827">
        <v>1</v>
      </c>
      <c r="CX827">
        <v>15</v>
      </c>
      <c r="CY827">
        <v>63</v>
      </c>
      <c r="CZ827">
        <v>5</v>
      </c>
      <c r="DA827">
        <v>4</v>
      </c>
      <c r="DB827">
        <v>0</v>
      </c>
      <c r="DC827">
        <v>0</v>
      </c>
      <c r="DD827">
        <v>932</v>
      </c>
      <c r="DE827">
        <v>2</v>
      </c>
      <c r="DF827">
        <v>6</v>
      </c>
      <c r="DG827">
        <v>3</v>
      </c>
      <c r="DH827">
        <v>3</v>
      </c>
      <c r="DI827">
        <v>15</v>
      </c>
      <c r="DJ827">
        <v>1</v>
      </c>
      <c r="DK827">
        <v>7</v>
      </c>
      <c r="DL827">
        <v>10</v>
      </c>
      <c r="DM827">
        <v>8</v>
      </c>
      <c r="DN827">
        <v>4</v>
      </c>
      <c r="DO827">
        <v>913</v>
      </c>
      <c r="DP827">
        <v>10</v>
      </c>
      <c r="DQ827">
        <v>6</v>
      </c>
      <c r="DR827">
        <v>7</v>
      </c>
      <c r="DS827">
        <v>3</v>
      </c>
      <c r="DT827">
        <v>0</v>
      </c>
      <c r="DU827">
        <v>17</v>
      </c>
      <c r="DV827">
        <v>8</v>
      </c>
      <c r="DW827">
        <v>1</v>
      </c>
      <c r="DX827">
        <v>8</v>
      </c>
      <c r="DY827">
        <v>1</v>
      </c>
      <c r="DZ827">
        <v>958</v>
      </c>
      <c r="EA827">
        <v>0.96389999999999998</v>
      </c>
      <c r="EB827">
        <v>0.96517633230751099</v>
      </c>
      <c r="EC827">
        <v>0.96391272952461104</v>
      </c>
      <c r="ED827">
        <v>0.96386931174983403</v>
      </c>
      <c r="EE827">
        <f>SUM(Table1[[#This Row],[ratio_0]:[ratio_9]])</f>
        <v>550</v>
      </c>
      <c r="EF827" s="1">
        <f>(Table1[[#This Row],[predicted_0]]-Table1[[#This Row],[actual_0]])/Table1[[#This Row],[actual_0]]</f>
        <v>-2.0408163265306124E-3</v>
      </c>
      <c r="EG827" s="1">
        <f>(Table1[[#This Row],[predicted_1]]-Table1[[#This Row],[actual_1]])/Table1[[#This Row],[actual_1]]</f>
        <v>2.378854625550661E-2</v>
      </c>
      <c r="EH827" s="1">
        <f>(Table1[[#This Row],[predicted_2]]-Table1[[#This Row],[actual_2]])/Table1[[#This Row],[actual_2]]</f>
        <v>0.11821705426356589</v>
      </c>
      <c r="EI827" s="1">
        <f>(Table1[[#This Row],[predicted_3]]-Table1[[#This Row],[actual_3]])/Table1[[#This Row],[actual_3]]</f>
        <v>-8.01980198019802E-2</v>
      </c>
      <c r="EJ827" s="1">
        <f>(Table1[[#This Row],[predicted_4]]-Table1[[#This Row],[actual_4]])/Table1[[#This Row],[actual_4]]</f>
        <v>2.0366598778004074E-2</v>
      </c>
      <c r="EK827" s="1">
        <f>(Table1[[#This Row],[predicted_5]]-Table1[[#This Row],[actual_5]])/Table1[[#This Row],[actual_5]]</f>
        <v>3.0269058295964126E-2</v>
      </c>
      <c r="EL827" s="1">
        <f>(Table1[[#This Row],[predicted_6]]-Table1[[#This Row],[actual_6]])/Table1[[#This Row],[actual_6]]</f>
        <v>1.1482254697286013E-2</v>
      </c>
      <c r="EM827" s="1">
        <f>(Table1[[#This Row],[predicted_7]]-Table1[[#This Row],[actual_7]])/Table1[[#This Row],[actual_7]]</f>
        <v>-7.101167315175097E-2</v>
      </c>
      <c r="EN827" s="1">
        <f>(Table1[[#This Row],[predicted_8]]-Table1[[#This Row],[actual_8]])/Table1[[#This Row],[actual_8]]</f>
        <v>-3.6960985626283367E-2</v>
      </c>
      <c r="EO827" s="1">
        <f>(Table1[[#This Row],[predicted_9]]-Table1[[#This Row],[actual_9]])/Table1[[#This Row],[actual_9]]</f>
        <v>-1.4866204162537165E-2</v>
      </c>
      <c r="EP827" s="1">
        <f>1+(Table1[[#This Row],[error_ratio_0]]-EF$2)</f>
        <v>0.99591836734693873</v>
      </c>
      <c r="EQ827" s="1">
        <f>1+(Table1[[#This Row],[error_ratio_1]]-EG$2)</f>
        <v>1.0220264317180616</v>
      </c>
      <c r="ER827" s="1">
        <f>1+(Table1[[#This Row],[error_ratio_2]]-EH$2)</f>
        <v>1.123062015503876</v>
      </c>
      <c r="ES827" s="1">
        <f>1+(Table1[[#This Row],[error_ratio_3]]-EI$2)</f>
        <v>0.90990099009900993</v>
      </c>
      <c r="ET827" s="1">
        <f>1+(Table1[[#This Row],[error_ratio_4]]-EJ$2)</f>
        <v>1.0193482688391038</v>
      </c>
      <c r="EU827" s="1">
        <f>1+(Table1[[#This Row],[error_ratio_5]]-EK$2)</f>
        <v>1.0291479820627802</v>
      </c>
      <c r="EV827" s="1">
        <f>1+(Table1[[#This Row],[error_ratio_6]]-EL$2)</f>
        <v>1.0177453027139876</v>
      </c>
      <c r="EW827" s="1">
        <f>1+(Table1[[#This Row],[error_ratio_7]]-EM$2)</f>
        <v>0.92704280155642027</v>
      </c>
      <c r="EX827" s="1">
        <f>1+(Table1[[#This Row],[error_ratio_8]]-EN$2)</f>
        <v>0.96611909650924022</v>
      </c>
      <c r="EY827" s="1">
        <f>1+(Table1[[#This Row],[error_ratio_9]]-EO$2)</f>
        <v>0.98909811694747274</v>
      </c>
    </row>
    <row r="828" spans="1:155" x14ac:dyDescent="0.75">
      <c r="A828">
        <v>100</v>
      </c>
      <c r="B828">
        <v>10</v>
      </c>
      <c r="C828">
        <v>100</v>
      </c>
      <c r="D828">
        <v>10</v>
      </c>
      <c r="E828">
        <v>100</v>
      </c>
      <c r="F828">
        <v>100</v>
      </c>
      <c r="G828">
        <v>100</v>
      </c>
      <c r="H828">
        <v>10</v>
      </c>
      <c r="I828">
        <v>10</v>
      </c>
      <c r="J828">
        <v>10</v>
      </c>
      <c r="K828">
        <v>982</v>
      </c>
      <c r="L828">
        <v>1128</v>
      </c>
      <c r="M828">
        <v>1176</v>
      </c>
      <c r="N828">
        <v>964</v>
      </c>
      <c r="O828">
        <v>981</v>
      </c>
      <c r="P828">
        <v>933</v>
      </c>
      <c r="Q828">
        <v>959</v>
      </c>
      <c r="R828">
        <v>816</v>
      </c>
      <c r="S828">
        <v>989</v>
      </c>
      <c r="T828">
        <v>1072</v>
      </c>
      <c r="U828">
        <v>980</v>
      </c>
      <c r="V828">
        <v>1135</v>
      </c>
      <c r="W828">
        <v>1032</v>
      </c>
      <c r="X828">
        <v>1010</v>
      </c>
      <c r="Y828">
        <v>982</v>
      </c>
      <c r="Z828">
        <v>892</v>
      </c>
      <c r="AA828">
        <v>958</v>
      </c>
      <c r="AB828">
        <v>1028</v>
      </c>
      <c r="AC828">
        <v>974</v>
      </c>
      <c r="AD828">
        <v>1009</v>
      </c>
      <c r="AE828">
        <v>973</v>
      </c>
      <c r="AF828">
        <v>0</v>
      </c>
      <c r="AG828">
        <v>0</v>
      </c>
      <c r="AH828">
        <v>0</v>
      </c>
      <c r="AI828">
        <v>0</v>
      </c>
      <c r="AJ828">
        <v>0</v>
      </c>
      <c r="AK828">
        <v>2</v>
      </c>
      <c r="AL828">
        <v>1</v>
      </c>
      <c r="AM828">
        <v>4</v>
      </c>
      <c r="AN828">
        <v>0</v>
      </c>
      <c r="AO828">
        <v>0</v>
      </c>
      <c r="AP828">
        <v>1120</v>
      </c>
      <c r="AQ828">
        <v>6</v>
      </c>
      <c r="AR828">
        <v>1</v>
      </c>
      <c r="AS828">
        <v>0</v>
      </c>
      <c r="AT828">
        <v>3</v>
      </c>
      <c r="AU828">
        <v>3</v>
      </c>
      <c r="AV828">
        <v>0</v>
      </c>
      <c r="AW828">
        <v>1</v>
      </c>
      <c r="AX828">
        <v>1</v>
      </c>
      <c r="AY828">
        <v>1</v>
      </c>
      <c r="AZ828">
        <v>0</v>
      </c>
      <c r="BA828">
        <v>1021</v>
      </c>
      <c r="BB828">
        <v>1</v>
      </c>
      <c r="BC828">
        <v>4</v>
      </c>
      <c r="BD828">
        <v>0</v>
      </c>
      <c r="BE828">
        <v>2</v>
      </c>
      <c r="BF828">
        <v>0</v>
      </c>
      <c r="BG828">
        <v>3</v>
      </c>
      <c r="BH828">
        <v>0</v>
      </c>
      <c r="BI828">
        <v>0</v>
      </c>
      <c r="BJ828">
        <v>0</v>
      </c>
      <c r="BK828">
        <v>6</v>
      </c>
      <c r="BL828">
        <v>946</v>
      </c>
      <c r="BM828">
        <v>0</v>
      </c>
      <c r="BN828">
        <v>30</v>
      </c>
      <c r="BO828">
        <v>0</v>
      </c>
      <c r="BP828">
        <v>4</v>
      </c>
      <c r="BQ828">
        <v>22</v>
      </c>
      <c r="BR828">
        <v>2</v>
      </c>
      <c r="BS828">
        <v>0</v>
      </c>
      <c r="BT828">
        <v>0</v>
      </c>
      <c r="BU828">
        <v>1</v>
      </c>
      <c r="BV828">
        <v>0</v>
      </c>
      <c r="BW828">
        <v>966</v>
      </c>
      <c r="BX828">
        <v>1</v>
      </c>
      <c r="BY828">
        <v>0</v>
      </c>
      <c r="BZ828">
        <v>1</v>
      </c>
      <c r="CA828">
        <v>1</v>
      </c>
      <c r="CB828">
        <v>12</v>
      </c>
      <c r="CC828">
        <v>1</v>
      </c>
      <c r="CD828">
        <v>0</v>
      </c>
      <c r="CE828">
        <v>0</v>
      </c>
      <c r="CF828">
        <v>2</v>
      </c>
      <c r="CG828">
        <v>0</v>
      </c>
      <c r="CH828">
        <v>881</v>
      </c>
      <c r="CI828">
        <v>1</v>
      </c>
      <c r="CJ828">
        <v>1</v>
      </c>
      <c r="CK828">
        <v>5</v>
      </c>
      <c r="CL828">
        <v>1</v>
      </c>
      <c r="CM828">
        <v>4</v>
      </c>
      <c r="CN828">
        <v>1</v>
      </c>
      <c r="CO828">
        <v>0</v>
      </c>
      <c r="CP828">
        <v>0</v>
      </c>
      <c r="CQ828">
        <v>4</v>
      </c>
      <c r="CR828">
        <v>2</v>
      </c>
      <c r="CS828">
        <v>947</v>
      </c>
      <c r="CT828">
        <v>0</v>
      </c>
      <c r="CU828">
        <v>0</v>
      </c>
      <c r="CV828">
        <v>0</v>
      </c>
      <c r="CW828">
        <v>2</v>
      </c>
      <c r="CX828">
        <v>4</v>
      </c>
      <c r="CY828">
        <v>132</v>
      </c>
      <c r="CZ828">
        <v>6</v>
      </c>
      <c r="DA828">
        <v>2</v>
      </c>
      <c r="DB828">
        <v>6</v>
      </c>
      <c r="DC828">
        <v>0</v>
      </c>
      <c r="DD828">
        <v>806</v>
      </c>
      <c r="DE828">
        <v>4</v>
      </c>
      <c r="DF828">
        <v>66</v>
      </c>
      <c r="DG828">
        <v>0</v>
      </c>
      <c r="DH828">
        <v>0</v>
      </c>
      <c r="DI828">
        <v>9</v>
      </c>
      <c r="DJ828">
        <v>1</v>
      </c>
      <c r="DK828">
        <v>2</v>
      </c>
      <c r="DL828">
        <v>4</v>
      </c>
      <c r="DM828">
        <v>3</v>
      </c>
      <c r="DN828">
        <v>1</v>
      </c>
      <c r="DO828">
        <v>944</v>
      </c>
      <c r="DP828">
        <v>10</v>
      </c>
      <c r="DQ828">
        <v>1</v>
      </c>
      <c r="DR828">
        <v>3</v>
      </c>
      <c r="DS828">
        <v>1</v>
      </c>
      <c r="DT828">
        <v>7</v>
      </c>
      <c r="DU828">
        <v>3</v>
      </c>
      <c r="DV828">
        <v>6</v>
      </c>
      <c r="DW828">
        <v>1</v>
      </c>
      <c r="DX828">
        <v>2</v>
      </c>
      <c r="DY828">
        <v>5</v>
      </c>
      <c r="DZ828">
        <v>980</v>
      </c>
      <c r="EA828">
        <v>0.95840000000000003</v>
      </c>
      <c r="EB828">
        <v>0.96061538635944899</v>
      </c>
      <c r="EC828">
        <v>0.95900132033834395</v>
      </c>
      <c r="ED828">
        <v>0.95804843625384895</v>
      </c>
      <c r="EE828">
        <f>SUM(Table1[[#This Row],[ratio_0]:[ratio_9]])</f>
        <v>550</v>
      </c>
      <c r="EF828" s="1">
        <f>(Table1[[#This Row],[predicted_0]]-Table1[[#This Row],[actual_0]])/Table1[[#This Row],[actual_0]]</f>
        <v>2.0408163265306124E-3</v>
      </c>
      <c r="EG828" s="1">
        <f>(Table1[[#This Row],[predicted_1]]-Table1[[#This Row],[actual_1]])/Table1[[#This Row],[actual_1]]</f>
        <v>-6.1674008810572688E-3</v>
      </c>
      <c r="EH828" s="1">
        <f>(Table1[[#This Row],[predicted_2]]-Table1[[#This Row],[actual_2]])/Table1[[#This Row],[actual_2]]</f>
        <v>0.13953488372093023</v>
      </c>
      <c r="EI828" s="1">
        <f>(Table1[[#This Row],[predicted_3]]-Table1[[#This Row],[actual_3]])/Table1[[#This Row],[actual_3]]</f>
        <v>-4.5544554455445543E-2</v>
      </c>
      <c r="EJ828" s="1">
        <f>(Table1[[#This Row],[predicted_4]]-Table1[[#This Row],[actual_4]])/Table1[[#This Row],[actual_4]]</f>
        <v>-1.0183299389002036E-3</v>
      </c>
      <c r="EK828" s="1">
        <f>(Table1[[#This Row],[predicted_5]]-Table1[[#This Row],[actual_5]])/Table1[[#This Row],[actual_5]]</f>
        <v>4.5964125560538117E-2</v>
      </c>
      <c r="EL828" s="1">
        <f>(Table1[[#This Row],[predicted_6]]-Table1[[#This Row],[actual_6]])/Table1[[#This Row],[actual_6]]</f>
        <v>1.0438413361169101E-3</v>
      </c>
      <c r="EM828" s="1">
        <f>(Table1[[#This Row],[predicted_7]]-Table1[[#This Row],[actual_7]])/Table1[[#This Row],[actual_7]]</f>
        <v>-0.20622568093385213</v>
      </c>
      <c r="EN828" s="1">
        <f>(Table1[[#This Row],[predicted_8]]-Table1[[#This Row],[actual_8]])/Table1[[#This Row],[actual_8]]</f>
        <v>1.5400410677618069E-2</v>
      </c>
      <c r="EO828" s="1">
        <f>(Table1[[#This Row],[predicted_9]]-Table1[[#This Row],[actual_9]])/Table1[[#This Row],[actual_9]]</f>
        <v>6.2438057482656094E-2</v>
      </c>
      <c r="EP828" s="1">
        <f>1+(Table1[[#This Row],[error_ratio_0]]-EF$2)</f>
        <v>1</v>
      </c>
      <c r="EQ828" s="1">
        <f>1+(Table1[[#This Row],[error_ratio_1]]-EG$2)</f>
        <v>0.99207048458149782</v>
      </c>
      <c r="ER828" s="1">
        <f>1+(Table1[[#This Row],[error_ratio_2]]-EH$2)</f>
        <v>1.1443798449612403</v>
      </c>
      <c r="ES828" s="1">
        <f>1+(Table1[[#This Row],[error_ratio_3]]-EI$2)</f>
        <v>0.94455445544554451</v>
      </c>
      <c r="ET828" s="1">
        <f>1+(Table1[[#This Row],[error_ratio_4]]-EJ$2)</f>
        <v>0.99796334012219956</v>
      </c>
      <c r="EU828" s="1">
        <f>1+(Table1[[#This Row],[error_ratio_5]]-EK$2)</f>
        <v>1.0448430493273542</v>
      </c>
      <c r="EV828" s="1">
        <f>1+(Table1[[#This Row],[error_ratio_6]]-EL$2)</f>
        <v>1.0073068893528183</v>
      </c>
      <c r="EW828" s="1">
        <f>1+(Table1[[#This Row],[error_ratio_7]]-EM$2)</f>
        <v>0.79182879377431914</v>
      </c>
      <c r="EX828" s="1">
        <f>1+(Table1[[#This Row],[error_ratio_8]]-EN$2)</f>
        <v>1.0184804928131417</v>
      </c>
      <c r="EY828" s="1">
        <f>1+(Table1[[#This Row],[error_ratio_9]]-EO$2)</f>
        <v>1.066402378592666</v>
      </c>
    </row>
    <row r="829" spans="1:155" x14ac:dyDescent="0.75">
      <c r="A829">
        <v>10</v>
      </c>
      <c r="B829">
        <v>10</v>
      </c>
      <c r="C829">
        <v>100</v>
      </c>
      <c r="D829">
        <v>10</v>
      </c>
      <c r="E829">
        <v>100</v>
      </c>
      <c r="F829">
        <v>100</v>
      </c>
      <c r="G829">
        <v>100</v>
      </c>
      <c r="H829">
        <v>10</v>
      </c>
      <c r="I829">
        <v>10</v>
      </c>
      <c r="J829">
        <v>10</v>
      </c>
      <c r="K829">
        <v>968</v>
      </c>
      <c r="L829">
        <v>1141</v>
      </c>
      <c r="M829">
        <v>1171</v>
      </c>
      <c r="N829">
        <v>772</v>
      </c>
      <c r="O829">
        <v>1139</v>
      </c>
      <c r="P829">
        <v>1163</v>
      </c>
      <c r="Q829">
        <v>985</v>
      </c>
      <c r="R829">
        <v>922</v>
      </c>
      <c r="S829">
        <v>958</v>
      </c>
      <c r="T829">
        <v>781</v>
      </c>
      <c r="U829">
        <v>980</v>
      </c>
      <c r="V829">
        <v>1135</v>
      </c>
      <c r="W829">
        <v>1032</v>
      </c>
      <c r="X829">
        <v>1010</v>
      </c>
      <c r="Y829">
        <v>982</v>
      </c>
      <c r="Z829">
        <v>892</v>
      </c>
      <c r="AA829">
        <v>958</v>
      </c>
      <c r="AB829">
        <v>1028</v>
      </c>
      <c r="AC829">
        <v>974</v>
      </c>
      <c r="AD829">
        <v>1009</v>
      </c>
      <c r="AE829">
        <v>953</v>
      </c>
      <c r="AF829">
        <v>0</v>
      </c>
      <c r="AG829">
        <v>1</v>
      </c>
      <c r="AH829">
        <v>1</v>
      </c>
      <c r="AI829">
        <v>3</v>
      </c>
      <c r="AJ829">
        <v>8</v>
      </c>
      <c r="AK829">
        <v>8</v>
      </c>
      <c r="AL829">
        <v>2</v>
      </c>
      <c r="AM829">
        <v>3</v>
      </c>
      <c r="AN829">
        <v>1</v>
      </c>
      <c r="AO829">
        <v>0</v>
      </c>
      <c r="AP829">
        <v>1123</v>
      </c>
      <c r="AQ829">
        <v>4</v>
      </c>
      <c r="AR829">
        <v>0</v>
      </c>
      <c r="AS829">
        <v>0</v>
      </c>
      <c r="AT829">
        <v>3</v>
      </c>
      <c r="AU829">
        <v>3</v>
      </c>
      <c r="AV829">
        <v>1</v>
      </c>
      <c r="AW829">
        <v>1</v>
      </c>
      <c r="AX829">
        <v>0</v>
      </c>
      <c r="AY829">
        <v>1</v>
      </c>
      <c r="AZ829">
        <v>1</v>
      </c>
      <c r="BA829">
        <v>1027</v>
      </c>
      <c r="BB829">
        <v>1</v>
      </c>
      <c r="BC829">
        <v>1</v>
      </c>
      <c r="BD829">
        <v>0</v>
      </c>
      <c r="BE829">
        <v>0</v>
      </c>
      <c r="BF829">
        <v>1</v>
      </c>
      <c r="BG829">
        <v>0</v>
      </c>
      <c r="BH829">
        <v>0</v>
      </c>
      <c r="BI829">
        <v>1</v>
      </c>
      <c r="BJ829">
        <v>0</v>
      </c>
      <c r="BK829">
        <v>24</v>
      </c>
      <c r="BL829">
        <v>767</v>
      </c>
      <c r="BM829">
        <v>0</v>
      </c>
      <c r="BN829">
        <v>192</v>
      </c>
      <c r="BO829">
        <v>0</v>
      </c>
      <c r="BP829">
        <v>6</v>
      </c>
      <c r="BQ829">
        <v>20</v>
      </c>
      <c r="BR829">
        <v>0</v>
      </c>
      <c r="BS829">
        <v>0</v>
      </c>
      <c r="BT829">
        <v>0</v>
      </c>
      <c r="BU829">
        <v>0</v>
      </c>
      <c r="BV829">
        <v>0</v>
      </c>
      <c r="BW829">
        <v>977</v>
      </c>
      <c r="BX829">
        <v>0</v>
      </c>
      <c r="BY829">
        <v>5</v>
      </c>
      <c r="BZ829">
        <v>0</v>
      </c>
      <c r="CA829">
        <v>0</v>
      </c>
      <c r="CB829">
        <v>0</v>
      </c>
      <c r="CC829">
        <v>0</v>
      </c>
      <c r="CD829">
        <v>0</v>
      </c>
      <c r="CE829">
        <v>1</v>
      </c>
      <c r="CF829">
        <v>0</v>
      </c>
      <c r="CG829">
        <v>0</v>
      </c>
      <c r="CH829">
        <v>887</v>
      </c>
      <c r="CI829">
        <v>4</v>
      </c>
      <c r="CJ829">
        <v>0</v>
      </c>
      <c r="CK829">
        <v>0</v>
      </c>
      <c r="CL829">
        <v>0</v>
      </c>
      <c r="CM829">
        <v>2</v>
      </c>
      <c r="CN829">
        <v>2</v>
      </c>
      <c r="CO829">
        <v>0</v>
      </c>
      <c r="CP829">
        <v>0</v>
      </c>
      <c r="CQ829">
        <v>1</v>
      </c>
      <c r="CR829">
        <v>2</v>
      </c>
      <c r="CS829">
        <v>951</v>
      </c>
      <c r="CT829">
        <v>0</v>
      </c>
      <c r="CU829">
        <v>0</v>
      </c>
      <c r="CV829">
        <v>0</v>
      </c>
      <c r="CW829">
        <v>3</v>
      </c>
      <c r="CX829">
        <v>7</v>
      </c>
      <c r="CY829">
        <v>104</v>
      </c>
      <c r="CZ829">
        <v>1</v>
      </c>
      <c r="DA829">
        <v>6</v>
      </c>
      <c r="DB829">
        <v>6</v>
      </c>
      <c r="DC829">
        <v>0</v>
      </c>
      <c r="DD829">
        <v>896</v>
      </c>
      <c r="DE829">
        <v>4</v>
      </c>
      <c r="DF829">
        <v>1</v>
      </c>
      <c r="DG829">
        <v>4</v>
      </c>
      <c r="DH829">
        <v>1</v>
      </c>
      <c r="DI829">
        <v>7</v>
      </c>
      <c r="DJ829">
        <v>2</v>
      </c>
      <c r="DK829">
        <v>7</v>
      </c>
      <c r="DL829">
        <v>21</v>
      </c>
      <c r="DM829">
        <v>13</v>
      </c>
      <c r="DN829">
        <v>1</v>
      </c>
      <c r="DO829">
        <v>915</v>
      </c>
      <c r="DP829">
        <v>3</v>
      </c>
      <c r="DQ829">
        <v>4</v>
      </c>
      <c r="DR829">
        <v>7</v>
      </c>
      <c r="DS829">
        <v>3</v>
      </c>
      <c r="DT829">
        <v>0</v>
      </c>
      <c r="DU829">
        <v>144</v>
      </c>
      <c r="DV829">
        <v>44</v>
      </c>
      <c r="DW829">
        <v>1</v>
      </c>
      <c r="DX829">
        <v>15</v>
      </c>
      <c r="DY829">
        <v>15</v>
      </c>
      <c r="DZ829">
        <v>776</v>
      </c>
      <c r="EA829">
        <v>0.92720000000000002</v>
      </c>
      <c r="EB829">
        <v>0.93457281259333302</v>
      </c>
      <c r="EC829">
        <v>0.92785320289235995</v>
      </c>
      <c r="ED829">
        <v>0.92550948301128799</v>
      </c>
      <c r="EE829">
        <f>SUM(Table1[[#This Row],[ratio_0]:[ratio_9]])</f>
        <v>460</v>
      </c>
      <c r="EF829" s="1">
        <f>(Table1[[#This Row],[predicted_0]]-Table1[[#This Row],[actual_0]])/Table1[[#This Row],[actual_0]]</f>
        <v>-1.2244897959183673E-2</v>
      </c>
      <c r="EG829" s="1">
        <f>(Table1[[#This Row],[predicted_1]]-Table1[[#This Row],[actual_1]])/Table1[[#This Row],[actual_1]]</f>
        <v>5.2863436123348016E-3</v>
      </c>
      <c r="EH829" s="1">
        <f>(Table1[[#This Row],[predicted_2]]-Table1[[#This Row],[actual_2]])/Table1[[#This Row],[actual_2]]</f>
        <v>0.13468992248062014</v>
      </c>
      <c r="EI829" s="1">
        <f>(Table1[[#This Row],[predicted_3]]-Table1[[#This Row],[actual_3]])/Table1[[#This Row],[actual_3]]</f>
        <v>-0.23564356435643563</v>
      </c>
      <c r="EJ829" s="1">
        <f>(Table1[[#This Row],[predicted_4]]-Table1[[#This Row],[actual_4]])/Table1[[#This Row],[actual_4]]</f>
        <v>0.15987780040733199</v>
      </c>
      <c r="EK829" s="1">
        <f>(Table1[[#This Row],[predicted_5]]-Table1[[#This Row],[actual_5]])/Table1[[#This Row],[actual_5]]</f>
        <v>0.3038116591928251</v>
      </c>
      <c r="EL829" s="1">
        <f>(Table1[[#This Row],[predicted_6]]-Table1[[#This Row],[actual_6]])/Table1[[#This Row],[actual_6]]</f>
        <v>2.8183716075156576E-2</v>
      </c>
      <c r="EM829" s="1">
        <f>(Table1[[#This Row],[predicted_7]]-Table1[[#This Row],[actual_7]])/Table1[[#This Row],[actual_7]]</f>
        <v>-0.10311284046692606</v>
      </c>
      <c r="EN829" s="1">
        <f>(Table1[[#This Row],[predicted_8]]-Table1[[#This Row],[actual_8]])/Table1[[#This Row],[actual_8]]</f>
        <v>-1.6427104722792608E-2</v>
      </c>
      <c r="EO829" s="1">
        <f>(Table1[[#This Row],[predicted_9]]-Table1[[#This Row],[actual_9]])/Table1[[#This Row],[actual_9]]</f>
        <v>-0.22596630327056491</v>
      </c>
      <c r="EP829" s="1">
        <f>1+(Table1[[#This Row],[error_ratio_0]]-EF$2)</f>
        <v>0.98571428571428577</v>
      </c>
      <c r="EQ829" s="1">
        <f>1+(Table1[[#This Row],[error_ratio_1]]-EG$2)</f>
        <v>1.0035242290748898</v>
      </c>
      <c r="ER829" s="1">
        <f>1+(Table1[[#This Row],[error_ratio_2]]-EH$2)</f>
        <v>1.1395348837209303</v>
      </c>
      <c r="ES829" s="1">
        <f>1+(Table1[[#This Row],[error_ratio_3]]-EI$2)</f>
        <v>0.75445544554455446</v>
      </c>
      <c r="ET829" s="1">
        <f>1+(Table1[[#This Row],[error_ratio_4]]-EJ$2)</f>
        <v>1.1588594704684319</v>
      </c>
      <c r="EU829" s="1">
        <f>1+(Table1[[#This Row],[error_ratio_5]]-EK$2)</f>
        <v>1.3026905829596411</v>
      </c>
      <c r="EV829" s="1">
        <f>1+(Table1[[#This Row],[error_ratio_6]]-EL$2)</f>
        <v>1.034446764091858</v>
      </c>
      <c r="EW829" s="1">
        <f>1+(Table1[[#This Row],[error_ratio_7]]-EM$2)</f>
        <v>0.89494163424124518</v>
      </c>
      <c r="EX829" s="1">
        <f>1+(Table1[[#This Row],[error_ratio_8]]-EN$2)</f>
        <v>0.98665297741273106</v>
      </c>
      <c r="EY829" s="1">
        <f>1+(Table1[[#This Row],[error_ratio_9]]-EO$2)</f>
        <v>0.777998017839445</v>
      </c>
    </row>
    <row r="830" spans="1:155" x14ac:dyDescent="0.75">
      <c r="A830">
        <v>100</v>
      </c>
      <c r="B830">
        <v>100</v>
      </c>
      <c r="C830">
        <v>10</v>
      </c>
      <c r="D830">
        <v>10</v>
      </c>
      <c r="E830">
        <v>100</v>
      </c>
      <c r="F830">
        <v>100</v>
      </c>
      <c r="G830">
        <v>100</v>
      </c>
      <c r="H830">
        <v>10</v>
      </c>
      <c r="I830">
        <v>10</v>
      </c>
      <c r="J830">
        <v>10</v>
      </c>
      <c r="K830">
        <v>1006</v>
      </c>
      <c r="L830">
        <v>1170</v>
      </c>
      <c r="M830">
        <v>1052</v>
      </c>
      <c r="N830">
        <v>956</v>
      </c>
      <c r="O830">
        <v>1026</v>
      </c>
      <c r="P830">
        <v>999</v>
      </c>
      <c r="Q830">
        <v>973</v>
      </c>
      <c r="R830">
        <v>943</v>
      </c>
      <c r="S830">
        <v>895</v>
      </c>
      <c r="T830">
        <v>980</v>
      </c>
      <c r="U830">
        <v>980</v>
      </c>
      <c r="V830">
        <v>1135</v>
      </c>
      <c r="W830">
        <v>1032</v>
      </c>
      <c r="X830">
        <v>1010</v>
      </c>
      <c r="Y830">
        <v>982</v>
      </c>
      <c r="Z830">
        <v>892</v>
      </c>
      <c r="AA830">
        <v>958</v>
      </c>
      <c r="AB830">
        <v>1028</v>
      </c>
      <c r="AC830">
        <v>974</v>
      </c>
      <c r="AD830">
        <v>1009</v>
      </c>
      <c r="AE830">
        <v>976</v>
      </c>
      <c r="AF830">
        <v>0</v>
      </c>
      <c r="AG830">
        <v>1</v>
      </c>
      <c r="AH830">
        <v>0</v>
      </c>
      <c r="AI830">
        <v>0</v>
      </c>
      <c r="AJ830">
        <v>0</v>
      </c>
      <c r="AK830">
        <v>3</v>
      </c>
      <c r="AL830">
        <v>0</v>
      </c>
      <c r="AM830">
        <v>0</v>
      </c>
      <c r="AN830">
        <v>0</v>
      </c>
      <c r="AO830">
        <v>0</v>
      </c>
      <c r="AP830">
        <v>1130</v>
      </c>
      <c r="AQ830">
        <v>0</v>
      </c>
      <c r="AR830">
        <v>3</v>
      </c>
      <c r="AS830">
        <v>1</v>
      </c>
      <c r="AT830">
        <v>1</v>
      </c>
      <c r="AU830">
        <v>0</v>
      </c>
      <c r="AV830">
        <v>0</v>
      </c>
      <c r="AW830">
        <v>0</v>
      </c>
      <c r="AX830">
        <v>0</v>
      </c>
      <c r="AY830">
        <v>8</v>
      </c>
      <c r="AZ830">
        <v>9</v>
      </c>
      <c r="BA830">
        <v>987</v>
      </c>
      <c r="BB830">
        <v>3</v>
      </c>
      <c r="BC830">
        <v>13</v>
      </c>
      <c r="BD830">
        <v>0</v>
      </c>
      <c r="BE830">
        <v>1</v>
      </c>
      <c r="BF830">
        <v>10</v>
      </c>
      <c r="BG830">
        <v>0</v>
      </c>
      <c r="BH830">
        <v>1</v>
      </c>
      <c r="BI830">
        <v>2</v>
      </c>
      <c r="BJ830">
        <v>0</v>
      </c>
      <c r="BK830">
        <v>5</v>
      </c>
      <c r="BL830">
        <v>925</v>
      </c>
      <c r="BM830">
        <v>0</v>
      </c>
      <c r="BN830">
        <v>65</v>
      </c>
      <c r="BO830">
        <v>1</v>
      </c>
      <c r="BP830">
        <v>8</v>
      </c>
      <c r="BQ830">
        <v>2</v>
      </c>
      <c r="BR830">
        <v>2</v>
      </c>
      <c r="BS830">
        <v>0</v>
      </c>
      <c r="BT830">
        <v>1</v>
      </c>
      <c r="BU830">
        <v>0</v>
      </c>
      <c r="BV830">
        <v>0</v>
      </c>
      <c r="BW830">
        <v>973</v>
      </c>
      <c r="BX830">
        <v>1</v>
      </c>
      <c r="BY830">
        <v>4</v>
      </c>
      <c r="BZ830">
        <v>0</v>
      </c>
      <c r="CA830">
        <v>0</v>
      </c>
      <c r="CB830">
        <v>3</v>
      </c>
      <c r="CC830">
        <v>2</v>
      </c>
      <c r="CD830">
        <v>0</v>
      </c>
      <c r="CE830">
        <v>0</v>
      </c>
      <c r="CF830">
        <v>1</v>
      </c>
      <c r="CG830">
        <v>0</v>
      </c>
      <c r="CH830">
        <v>886</v>
      </c>
      <c r="CI830">
        <v>3</v>
      </c>
      <c r="CJ830">
        <v>0</v>
      </c>
      <c r="CK830">
        <v>0</v>
      </c>
      <c r="CL830">
        <v>0</v>
      </c>
      <c r="CM830">
        <v>4</v>
      </c>
      <c r="CN830">
        <v>3</v>
      </c>
      <c r="CO830">
        <v>0</v>
      </c>
      <c r="CP830">
        <v>0</v>
      </c>
      <c r="CQ830">
        <v>4</v>
      </c>
      <c r="CR830">
        <v>2</v>
      </c>
      <c r="CS830">
        <v>945</v>
      </c>
      <c r="CT830">
        <v>0</v>
      </c>
      <c r="CU830">
        <v>0</v>
      </c>
      <c r="CV830">
        <v>0</v>
      </c>
      <c r="CW830">
        <v>2</v>
      </c>
      <c r="CX830">
        <v>16</v>
      </c>
      <c r="CY830">
        <v>52</v>
      </c>
      <c r="CZ830">
        <v>11</v>
      </c>
      <c r="DA830">
        <v>2</v>
      </c>
      <c r="DB830">
        <v>2</v>
      </c>
      <c r="DC830">
        <v>0</v>
      </c>
      <c r="DD830">
        <v>916</v>
      </c>
      <c r="DE830">
        <v>3</v>
      </c>
      <c r="DF830">
        <v>24</v>
      </c>
      <c r="DG830">
        <v>5</v>
      </c>
      <c r="DH830">
        <v>3</v>
      </c>
      <c r="DI830">
        <v>7</v>
      </c>
      <c r="DJ830">
        <v>8</v>
      </c>
      <c r="DK830">
        <v>9</v>
      </c>
      <c r="DL830">
        <v>15</v>
      </c>
      <c r="DM830">
        <v>16</v>
      </c>
      <c r="DN830">
        <v>2</v>
      </c>
      <c r="DO830">
        <v>890</v>
      </c>
      <c r="DP830">
        <v>19</v>
      </c>
      <c r="DQ830">
        <v>7</v>
      </c>
      <c r="DR830">
        <v>8</v>
      </c>
      <c r="DS830">
        <v>0</v>
      </c>
      <c r="DT830">
        <v>5</v>
      </c>
      <c r="DU830">
        <v>24</v>
      </c>
      <c r="DV830">
        <v>27</v>
      </c>
      <c r="DW830">
        <v>0</v>
      </c>
      <c r="DX830">
        <v>7</v>
      </c>
      <c r="DY830">
        <v>0</v>
      </c>
      <c r="DZ830">
        <v>931</v>
      </c>
      <c r="EA830">
        <v>0.95589999999999997</v>
      </c>
      <c r="EB830">
        <v>0.95640114125294795</v>
      </c>
      <c r="EC830">
        <v>0.95617926719979596</v>
      </c>
      <c r="ED830">
        <v>0.95545397339028904</v>
      </c>
      <c r="EE830">
        <f>SUM(Table1[[#This Row],[ratio_0]:[ratio_9]])</f>
        <v>550</v>
      </c>
      <c r="EF830" s="1">
        <f>(Table1[[#This Row],[predicted_0]]-Table1[[#This Row],[actual_0]])/Table1[[#This Row],[actual_0]]</f>
        <v>2.6530612244897958E-2</v>
      </c>
      <c r="EG830" s="1">
        <f>(Table1[[#This Row],[predicted_1]]-Table1[[#This Row],[actual_1]])/Table1[[#This Row],[actual_1]]</f>
        <v>3.0837004405286344E-2</v>
      </c>
      <c r="EH830" s="1">
        <f>(Table1[[#This Row],[predicted_2]]-Table1[[#This Row],[actual_2]])/Table1[[#This Row],[actual_2]]</f>
        <v>1.937984496124031E-2</v>
      </c>
      <c r="EI830" s="1">
        <f>(Table1[[#This Row],[predicted_3]]-Table1[[#This Row],[actual_3]])/Table1[[#This Row],[actual_3]]</f>
        <v>-5.3465346534653464E-2</v>
      </c>
      <c r="EJ830" s="1">
        <f>(Table1[[#This Row],[predicted_4]]-Table1[[#This Row],[actual_4]])/Table1[[#This Row],[actual_4]]</f>
        <v>4.4806517311608958E-2</v>
      </c>
      <c r="EK830" s="1">
        <f>(Table1[[#This Row],[predicted_5]]-Table1[[#This Row],[actual_5]])/Table1[[#This Row],[actual_5]]</f>
        <v>0.11995515695067265</v>
      </c>
      <c r="EL830" s="1">
        <f>(Table1[[#This Row],[predicted_6]]-Table1[[#This Row],[actual_6]])/Table1[[#This Row],[actual_6]]</f>
        <v>1.5657620041753653E-2</v>
      </c>
      <c r="EM830" s="1">
        <f>(Table1[[#This Row],[predicted_7]]-Table1[[#This Row],[actual_7]])/Table1[[#This Row],[actual_7]]</f>
        <v>-8.2684824902723733E-2</v>
      </c>
      <c r="EN830" s="1">
        <f>(Table1[[#This Row],[predicted_8]]-Table1[[#This Row],[actual_8]])/Table1[[#This Row],[actual_8]]</f>
        <v>-8.1108829568788496E-2</v>
      </c>
      <c r="EO830" s="1">
        <f>(Table1[[#This Row],[predicted_9]]-Table1[[#This Row],[actual_9]])/Table1[[#This Row],[actual_9]]</f>
        <v>-2.8741328047571853E-2</v>
      </c>
      <c r="EP830" s="1">
        <f>1+(Table1[[#This Row],[error_ratio_0]]-EF$2)</f>
        <v>1.0244897959183674</v>
      </c>
      <c r="EQ830" s="1">
        <f>1+(Table1[[#This Row],[error_ratio_1]]-EG$2)</f>
        <v>1.0290748898678415</v>
      </c>
      <c r="ER830" s="1">
        <f>1+(Table1[[#This Row],[error_ratio_2]]-EH$2)</f>
        <v>1.0242248062015504</v>
      </c>
      <c r="ES830" s="1">
        <f>1+(Table1[[#This Row],[error_ratio_3]]-EI$2)</f>
        <v>0.93663366336633658</v>
      </c>
      <c r="ET830" s="1">
        <f>1+(Table1[[#This Row],[error_ratio_4]]-EJ$2)</f>
        <v>1.0437881873727088</v>
      </c>
      <c r="EU830" s="1">
        <f>1+(Table1[[#This Row],[error_ratio_5]]-EK$2)</f>
        <v>1.1188340807174888</v>
      </c>
      <c r="EV830" s="1">
        <f>1+(Table1[[#This Row],[error_ratio_6]]-EL$2)</f>
        <v>1.0219206680584552</v>
      </c>
      <c r="EW830" s="1">
        <f>1+(Table1[[#This Row],[error_ratio_7]]-EM$2)</f>
        <v>0.91536964980544744</v>
      </c>
      <c r="EX830" s="1">
        <f>1+(Table1[[#This Row],[error_ratio_8]]-EN$2)</f>
        <v>0.92197125256673518</v>
      </c>
      <c r="EY830" s="1">
        <f>1+(Table1[[#This Row],[error_ratio_9]]-EO$2)</f>
        <v>0.97522299306243809</v>
      </c>
    </row>
    <row r="831" spans="1:155" x14ac:dyDescent="0.75">
      <c r="A831">
        <v>10</v>
      </c>
      <c r="B831">
        <v>100</v>
      </c>
      <c r="C831">
        <v>10</v>
      </c>
      <c r="D831">
        <v>10</v>
      </c>
      <c r="E831">
        <v>100</v>
      </c>
      <c r="F831">
        <v>100</v>
      </c>
      <c r="G831">
        <v>100</v>
      </c>
      <c r="H831">
        <v>10</v>
      </c>
      <c r="I831">
        <v>10</v>
      </c>
      <c r="J831">
        <v>10</v>
      </c>
      <c r="K831">
        <v>889</v>
      </c>
      <c r="L831">
        <v>1215</v>
      </c>
      <c r="M831">
        <v>962</v>
      </c>
      <c r="N831">
        <v>1016</v>
      </c>
      <c r="O831">
        <v>1058</v>
      </c>
      <c r="P831">
        <v>1015</v>
      </c>
      <c r="Q831">
        <v>997</v>
      </c>
      <c r="R831">
        <v>992</v>
      </c>
      <c r="S831">
        <v>873</v>
      </c>
      <c r="T831">
        <v>983</v>
      </c>
      <c r="U831">
        <v>980</v>
      </c>
      <c r="V831">
        <v>1135</v>
      </c>
      <c r="W831">
        <v>1032</v>
      </c>
      <c r="X831">
        <v>1010</v>
      </c>
      <c r="Y831">
        <v>982</v>
      </c>
      <c r="Z831">
        <v>892</v>
      </c>
      <c r="AA831">
        <v>958</v>
      </c>
      <c r="AB831">
        <v>1028</v>
      </c>
      <c r="AC831">
        <v>974</v>
      </c>
      <c r="AD831">
        <v>1009</v>
      </c>
      <c r="AE831">
        <v>884</v>
      </c>
      <c r="AF831">
        <v>2</v>
      </c>
      <c r="AG831">
        <v>4</v>
      </c>
      <c r="AH831">
        <v>1</v>
      </c>
      <c r="AI831">
        <v>54</v>
      </c>
      <c r="AJ831">
        <v>3</v>
      </c>
      <c r="AK831">
        <v>27</v>
      </c>
      <c r="AL831">
        <v>2</v>
      </c>
      <c r="AM831">
        <v>0</v>
      </c>
      <c r="AN831">
        <v>3</v>
      </c>
      <c r="AO831">
        <v>0</v>
      </c>
      <c r="AP831">
        <v>1135</v>
      </c>
      <c r="AQ831">
        <v>0</v>
      </c>
      <c r="AR831">
        <v>0</v>
      </c>
      <c r="AS831">
        <v>0</v>
      </c>
      <c r="AT831">
        <v>0</v>
      </c>
      <c r="AU831">
        <v>0</v>
      </c>
      <c r="AV831">
        <v>0</v>
      </c>
      <c r="AW831">
        <v>0</v>
      </c>
      <c r="AX831">
        <v>0</v>
      </c>
      <c r="AY831">
        <v>0</v>
      </c>
      <c r="AZ831">
        <v>50</v>
      </c>
      <c r="BA831">
        <v>941</v>
      </c>
      <c r="BB831">
        <v>13</v>
      </c>
      <c r="BC831">
        <v>9</v>
      </c>
      <c r="BD831">
        <v>1</v>
      </c>
      <c r="BE831">
        <v>1</v>
      </c>
      <c r="BF831">
        <v>17</v>
      </c>
      <c r="BG831">
        <v>0</v>
      </c>
      <c r="BH831">
        <v>0</v>
      </c>
      <c r="BI831">
        <v>0</v>
      </c>
      <c r="BJ831">
        <v>1</v>
      </c>
      <c r="BK831">
        <v>1</v>
      </c>
      <c r="BL831">
        <v>951</v>
      </c>
      <c r="BM831">
        <v>0</v>
      </c>
      <c r="BN831">
        <v>50</v>
      </c>
      <c r="BO831">
        <v>0</v>
      </c>
      <c r="BP831">
        <v>5</v>
      </c>
      <c r="BQ831">
        <v>2</v>
      </c>
      <c r="BR831">
        <v>0</v>
      </c>
      <c r="BS831">
        <v>0</v>
      </c>
      <c r="BT831">
        <v>2</v>
      </c>
      <c r="BU831">
        <v>0</v>
      </c>
      <c r="BV831">
        <v>1</v>
      </c>
      <c r="BW831">
        <v>964</v>
      </c>
      <c r="BX831">
        <v>0</v>
      </c>
      <c r="BY831">
        <v>4</v>
      </c>
      <c r="BZ831">
        <v>0</v>
      </c>
      <c r="CA831">
        <v>1</v>
      </c>
      <c r="CB831">
        <v>10</v>
      </c>
      <c r="CC831">
        <v>0</v>
      </c>
      <c r="CD831">
        <v>0</v>
      </c>
      <c r="CE831">
        <v>0</v>
      </c>
      <c r="CF831">
        <v>1</v>
      </c>
      <c r="CG831">
        <v>0</v>
      </c>
      <c r="CH831">
        <v>888</v>
      </c>
      <c r="CI831">
        <v>3</v>
      </c>
      <c r="CJ831">
        <v>0</v>
      </c>
      <c r="CK831">
        <v>0</v>
      </c>
      <c r="CL831">
        <v>0</v>
      </c>
      <c r="CM831">
        <v>1</v>
      </c>
      <c r="CN831">
        <v>4</v>
      </c>
      <c r="CO831">
        <v>0</v>
      </c>
      <c r="CP831">
        <v>0</v>
      </c>
      <c r="CQ831">
        <v>8</v>
      </c>
      <c r="CR831">
        <v>2</v>
      </c>
      <c r="CS831">
        <v>943</v>
      </c>
      <c r="CT831">
        <v>0</v>
      </c>
      <c r="CU831">
        <v>0</v>
      </c>
      <c r="CV831">
        <v>0</v>
      </c>
      <c r="CW831">
        <v>1</v>
      </c>
      <c r="CX831">
        <v>12</v>
      </c>
      <c r="CY831">
        <v>5</v>
      </c>
      <c r="CZ831">
        <v>24</v>
      </c>
      <c r="DA831">
        <v>2</v>
      </c>
      <c r="DB831">
        <v>6</v>
      </c>
      <c r="DC831">
        <v>0</v>
      </c>
      <c r="DD831">
        <v>960</v>
      </c>
      <c r="DE831">
        <v>1</v>
      </c>
      <c r="DF831">
        <v>17</v>
      </c>
      <c r="DG831">
        <v>2</v>
      </c>
      <c r="DH831">
        <v>4</v>
      </c>
      <c r="DI831">
        <v>11</v>
      </c>
      <c r="DJ831">
        <v>21</v>
      </c>
      <c r="DK831">
        <v>7</v>
      </c>
      <c r="DL831">
        <v>30</v>
      </c>
      <c r="DM831">
        <v>19</v>
      </c>
      <c r="DN831">
        <v>6</v>
      </c>
      <c r="DO831">
        <v>865</v>
      </c>
      <c r="DP831">
        <v>9</v>
      </c>
      <c r="DQ831">
        <v>1</v>
      </c>
      <c r="DR831">
        <v>5</v>
      </c>
      <c r="DS831">
        <v>0</v>
      </c>
      <c r="DT831">
        <v>4</v>
      </c>
      <c r="DU831">
        <v>14</v>
      </c>
      <c r="DV831">
        <v>35</v>
      </c>
      <c r="DW831">
        <v>0</v>
      </c>
      <c r="DX831">
        <v>2</v>
      </c>
      <c r="DY831">
        <v>4</v>
      </c>
      <c r="DZ831">
        <v>944</v>
      </c>
      <c r="EA831">
        <v>0.94750000000000001</v>
      </c>
      <c r="EB831">
        <v>0.94934973273615297</v>
      </c>
      <c r="EC831">
        <v>0.94744970874101697</v>
      </c>
      <c r="ED831">
        <v>0.94705948894765801</v>
      </c>
      <c r="EE831">
        <f>SUM(Table1[[#This Row],[ratio_0]:[ratio_9]])</f>
        <v>460</v>
      </c>
      <c r="EF831" s="1">
        <f>(Table1[[#This Row],[predicted_0]]-Table1[[#This Row],[actual_0]])/Table1[[#This Row],[actual_0]]</f>
        <v>-9.285714285714286E-2</v>
      </c>
      <c r="EG831" s="1">
        <f>(Table1[[#This Row],[predicted_1]]-Table1[[#This Row],[actual_1]])/Table1[[#This Row],[actual_1]]</f>
        <v>7.0484581497797363E-2</v>
      </c>
      <c r="EH831" s="1">
        <f>(Table1[[#This Row],[predicted_2]]-Table1[[#This Row],[actual_2]])/Table1[[#This Row],[actual_2]]</f>
        <v>-6.7829457364341081E-2</v>
      </c>
      <c r="EI831" s="1">
        <f>(Table1[[#This Row],[predicted_3]]-Table1[[#This Row],[actual_3]])/Table1[[#This Row],[actual_3]]</f>
        <v>5.9405940594059407E-3</v>
      </c>
      <c r="EJ831" s="1">
        <f>(Table1[[#This Row],[predicted_4]]-Table1[[#This Row],[actual_4]])/Table1[[#This Row],[actual_4]]</f>
        <v>7.7393075356415472E-2</v>
      </c>
      <c r="EK831" s="1">
        <f>(Table1[[#This Row],[predicted_5]]-Table1[[#This Row],[actual_5]])/Table1[[#This Row],[actual_5]]</f>
        <v>0.13789237668161436</v>
      </c>
      <c r="EL831" s="1">
        <f>(Table1[[#This Row],[predicted_6]]-Table1[[#This Row],[actual_6]])/Table1[[#This Row],[actual_6]]</f>
        <v>4.07098121085595E-2</v>
      </c>
      <c r="EM831" s="1">
        <f>(Table1[[#This Row],[predicted_7]]-Table1[[#This Row],[actual_7]])/Table1[[#This Row],[actual_7]]</f>
        <v>-3.5019455252918288E-2</v>
      </c>
      <c r="EN831" s="1">
        <f>(Table1[[#This Row],[predicted_8]]-Table1[[#This Row],[actual_8]])/Table1[[#This Row],[actual_8]]</f>
        <v>-0.10369609856262833</v>
      </c>
      <c r="EO831" s="1">
        <f>(Table1[[#This Row],[predicted_9]]-Table1[[#This Row],[actual_9]])/Table1[[#This Row],[actual_9]]</f>
        <v>-2.576808721506442E-2</v>
      </c>
      <c r="EP831" s="1">
        <f>1+(Table1[[#This Row],[error_ratio_0]]-EF$2)</f>
        <v>0.9051020408163265</v>
      </c>
      <c r="EQ831" s="1">
        <f>1+(Table1[[#This Row],[error_ratio_1]]-EG$2)</f>
        <v>1.0687224669603523</v>
      </c>
      <c r="ER831" s="1">
        <f>1+(Table1[[#This Row],[error_ratio_2]]-EH$2)</f>
        <v>0.93701550387596899</v>
      </c>
      <c r="ES831" s="1">
        <f>1+(Table1[[#This Row],[error_ratio_3]]-EI$2)</f>
        <v>0.99603960396039604</v>
      </c>
      <c r="ET831" s="1">
        <f>1+(Table1[[#This Row],[error_ratio_4]]-EJ$2)</f>
        <v>1.0763747454175152</v>
      </c>
      <c r="EU831" s="1">
        <f>1+(Table1[[#This Row],[error_ratio_5]]-EK$2)</f>
        <v>1.1367713004484306</v>
      </c>
      <c r="EV831" s="1">
        <f>1+(Table1[[#This Row],[error_ratio_6]]-EL$2)</f>
        <v>1.046972860125261</v>
      </c>
      <c r="EW831" s="1">
        <f>1+(Table1[[#This Row],[error_ratio_7]]-EM$2)</f>
        <v>0.96303501945525294</v>
      </c>
      <c r="EX831" s="1">
        <f>1+(Table1[[#This Row],[error_ratio_8]]-EN$2)</f>
        <v>0.89938398357289528</v>
      </c>
      <c r="EY831" s="1">
        <f>1+(Table1[[#This Row],[error_ratio_9]]-EO$2)</f>
        <v>0.97819623389494548</v>
      </c>
    </row>
    <row r="832" spans="1:155" x14ac:dyDescent="0.75">
      <c r="A832">
        <v>100</v>
      </c>
      <c r="B832">
        <v>10</v>
      </c>
      <c r="C832">
        <v>10</v>
      </c>
      <c r="D832">
        <v>10</v>
      </c>
      <c r="E832">
        <v>100</v>
      </c>
      <c r="F832">
        <v>100</v>
      </c>
      <c r="G832">
        <v>100</v>
      </c>
      <c r="H832">
        <v>10</v>
      </c>
      <c r="I832">
        <v>10</v>
      </c>
      <c r="J832">
        <v>10</v>
      </c>
      <c r="K832">
        <v>1010</v>
      </c>
      <c r="L832">
        <v>1122</v>
      </c>
      <c r="M832">
        <v>1064</v>
      </c>
      <c r="N832">
        <v>1075</v>
      </c>
      <c r="O832">
        <v>1038</v>
      </c>
      <c r="P832">
        <v>1013</v>
      </c>
      <c r="Q832">
        <v>948</v>
      </c>
      <c r="R832">
        <v>915</v>
      </c>
      <c r="S832">
        <v>719</v>
      </c>
      <c r="T832">
        <v>1096</v>
      </c>
      <c r="U832">
        <v>980</v>
      </c>
      <c r="V832">
        <v>1135</v>
      </c>
      <c r="W832">
        <v>1032</v>
      </c>
      <c r="X832">
        <v>1010</v>
      </c>
      <c r="Y832">
        <v>982</v>
      </c>
      <c r="Z832">
        <v>892</v>
      </c>
      <c r="AA832">
        <v>958</v>
      </c>
      <c r="AB832">
        <v>1028</v>
      </c>
      <c r="AC832">
        <v>974</v>
      </c>
      <c r="AD832">
        <v>1009</v>
      </c>
      <c r="AE832">
        <v>973</v>
      </c>
      <c r="AF832">
        <v>0</v>
      </c>
      <c r="AG832">
        <v>0</v>
      </c>
      <c r="AH832">
        <v>0</v>
      </c>
      <c r="AI832">
        <v>0</v>
      </c>
      <c r="AJ832">
        <v>1</v>
      </c>
      <c r="AK832">
        <v>4</v>
      </c>
      <c r="AL832">
        <v>1</v>
      </c>
      <c r="AM832">
        <v>1</v>
      </c>
      <c r="AN832">
        <v>0</v>
      </c>
      <c r="AO832">
        <v>0</v>
      </c>
      <c r="AP832">
        <v>1118</v>
      </c>
      <c r="AQ832">
        <v>4</v>
      </c>
      <c r="AR832">
        <v>2</v>
      </c>
      <c r="AS832">
        <v>4</v>
      </c>
      <c r="AT832">
        <v>3</v>
      </c>
      <c r="AU832">
        <v>2</v>
      </c>
      <c r="AV832">
        <v>1</v>
      </c>
      <c r="AW832">
        <v>0</v>
      </c>
      <c r="AX832">
        <v>1</v>
      </c>
      <c r="AY832">
        <v>9</v>
      </c>
      <c r="AZ832">
        <v>1</v>
      </c>
      <c r="BA832">
        <v>1000</v>
      </c>
      <c r="BB832">
        <v>6</v>
      </c>
      <c r="BC832">
        <v>5</v>
      </c>
      <c r="BD832">
        <v>1</v>
      </c>
      <c r="BE832">
        <v>3</v>
      </c>
      <c r="BF832">
        <v>5</v>
      </c>
      <c r="BG832">
        <v>2</v>
      </c>
      <c r="BH832">
        <v>0</v>
      </c>
      <c r="BI832">
        <v>1</v>
      </c>
      <c r="BJ832">
        <v>0</v>
      </c>
      <c r="BK832">
        <v>8</v>
      </c>
      <c r="BL832">
        <v>960</v>
      </c>
      <c r="BM832">
        <v>0</v>
      </c>
      <c r="BN832">
        <v>26</v>
      </c>
      <c r="BO832">
        <v>0</v>
      </c>
      <c r="BP832">
        <v>9</v>
      </c>
      <c r="BQ832">
        <v>0</v>
      </c>
      <c r="BR832">
        <v>6</v>
      </c>
      <c r="BS832">
        <v>0</v>
      </c>
      <c r="BT832">
        <v>0</v>
      </c>
      <c r="BU832">
        <v>1</v>
      </c>
      <c r="BV832">
        <v>0</v>
      </c>
      <c r="BW832">
        <v>977</v>
      </c>
      <c r="BX832">
        <v>0</v>
      </c>
      <c r="BY832">
        <v>1</v>
      </c>
      <c r="BZ832">
        <v>0</v>
      </c>
      <c r="CA832">
        <v>0</v>
      </c>
      <c r="CB832">
        <v>3</v>
      </c>
      <c r="CC832">
        <v>1</v>
      </c>
      <c r="CD832">
        <v>0</v>
      </c>
      <c r="CE832">
        <v>0</v>
      </c>
      <c r="CF832">
        <v>5</v>
      </c>
      <c r="CG832">
        <v>0</v>
      </c>
      <c r="CH832">
        <v>883</v>
      </c>
      <c r="CI832">
        <v>1</v>
      </c>
      <c r="CJ832">
        <v>0</v>
      </c>
      <c r="CK832">
        <v>0</v>
      </c>
      <c r="CL832">
        <v>2</v>
      </c>
      <c r="CM832">
        <v>9</v>
      </c>
      <c r="CN832">
        <v>1</v>
      </c>
      <c r="CO832">
        <v>0</v>
      </c>
      <c r="CP832">
        <v>0</v>
      </c>
      <c r="CQ832">
        <v>7</v>
      </c>
      <c r="CR832">
        <v>7</v>
      </c>
      <c r="CS832">
        <v>934</v>
      </c>
      <c r="CT832">
        <v>0</v>
      </c>
      <c r="CU832">
        <v>0</v>
      </c>
      <c r="CV832">
        <v>0</v>
      </c>
      <c r="CW832">
        <v>4</v>
      </c>
      <c r="CX832">
        <v>2</v>
      </c>
      <c r="CY832">
        <v>37</v>
      </c>
      <c r="CZ832">
        <v>6</v>
      </c>
      <c r="DA832">
        <v>16</v>
      </c>
      <c r="DB832">
        <v>1</v>
      </c>
      <c r="DC832">
        <v>0</v>
      </c>
      <c r="DD832">
        <v>888</v>
      </c>
      <c r="DE832">
        <v>0</v>
      </c>
      <c r="DF832">
        <v>74</v>
      </c>
      <c r="DG832">
        <v>10</v>
      </c>
      <c r="DH832">
        <v>0</v>
      </c>
      <c r="DI832">
        <v>14</v>
      </c>
      <c r="DJ832">
        <v>91</v>
      </c>
      <c r="DK832">
        <v>14</v>
      </c>
      <c r="DL832">
        <v>84</v>
      </c>
      <c r="DM832">
        <v>3</v>
      </c>
      <c r="DN832">
        <v>8</v>
      </c>
      <c r="DO832">
        <v>715</v>
      </c>
      <c r="DP832">
        <v>35</v>
      </c>
      <c r="DQ832">
        <v>3</v>
      </c>
      <c r="DR832">
        <v>0</v>
      </c>
      <c r="DS832">
        <v>0</v>
      </c>
      <c r="DT832">
        <v>5</v>
      </c>
      <c r="DU832">
        <v>15</v>
      </c>
      <c r="DV832">
        <v>7</v>
      </c>
      <c r="DW832">
        <v>0</v>
      </c>
      <c r="DX832">
        <v>3</v>
      </c>
      <c r="DY832">
        <v>1</v>
      </c>
      <c r="DZ832">
        <v>975</v>
      </c>
      <c r="EA832">
        <v>0.94230000000000003</v>
      </c>
      <c r="EB832">
        <v>0.94453347353176398</v>
      </c>
      <c r="EC832">
        <v>0.942133568143255</v>
      </c>
      <c r="ED832">
        <v>0.94031413487339199</v>
      </c>
      <c r="EE832">
        <f>SUM(Table1[[#This Row],[ratio_0]:[ratio_9]])</f>
        <v>460</v>
      </c>
      <c r="EF832" s="1">
        <f>(Table1[[#This Row],[predicted_0]]-Table1[[#This Row],[actual_0]])/Table1[[#This Row],[actual_0]]</f>
        <v>3.0612244897959183E-2</v>
      </c>
      <c r="EG832" s="1">
        <f>(Table1[[#This Row],[predicted_1]]-Table1[[#This Row],[actual_1]])/Table1[[#This Row],[actual_1]]</f>
        <v>-1.145374449339207E-2</v>
      </c>
      <c r="EH832" s="1">
        <f>(Table1[[#This Row],[predicted_2]]-Table1[[#This Row],[actual_2]])/Table1[[#This Row],[actual_2]]</f>
        <v>3.1007751937984496E-2</v>
      </c>
      <c r="EI832" s="1">
        <f>(Table1[[#This Row],[predicted_3]]-Table1[[#This Row],[actual_3]])/Table1[[#This Row],[actual_3]]</f>
        <v>6.4356435643564358E-2</v>
      </c>
      <c r="EJ832" s="1">
        <f>(Table1[[#This Row],[predicted_4]]-Table1[[#This Row],[actual_4]])/Table1[[#This Row],[actual_4]]</f>
        <v>5.7026476578411409E-2</v>
      </c>
      <c r="EK832" s="1">
        <f>(Table1[[#This Row],[predicted_5]]-Table1[[#This Row],[actual_5]])/Table1[[#This Row],[actual_5]]</f>
        <v>0.13565022421524664</v>
      </c>
      <c r="EL832" s="1">
        <f>(Table1[[#This Row],[predicted_6]]-Table1[[#This Row],[actual_6]])/Table1[[#This Row],[actual_6]]</f>
        <v>-1.0438413361169102E-2</v>
      </c>
      <c r="EM832" s="1">
        <f>(Table1[[#This Row],[predicted_7]]-Table1[[#This Row],[actual_7]])/Table1[[#This Row],[actual_7]]</f>
        <v>-0.10992217898832685</v>
      </c>
      <c r="EN832" s="1">
        <f>(Table1[[#This Row],[predicted_8]]-Table1[[#This Row],[actual_8]])/Table1[[#This Row],[actual_8]]</f>
        <v>-0.26180698151950721</v>
      </c>
      <c r="EO832" s="1">
        <f>(Table1[[#This Row],[predicted_9]]-Table1[[#This Row],[actual_9]])/Table1[[#This Row],[actual_9]]</f>
        <v>8.6223984142715565E-2</v>
      </c>
      <c r="EP832" s="1">
        <f>1+(Table1[[#This Row],[error_ratio_0]]-EF$2)</f>
        <v>1.0285714285714285</v>
      </c>
      <c r="EQ832" s="1">
        <f>1+(Table1[[#This Row],[error_ratio_1]]-EG$2)</f>
        <v>0.986784140969163</v>
      </c>
      <c r="ER832" s="1">
        <f>1+(Table1[[#This Row],[error_ratio_2]]-EH$2)</f>
        <v>1.0358527131782946</v>
      </c>
      <c r="ES832" s="1">
        <f>1+(Table1[[#This Row],[error_ratio_3]]-EI$2)</f>
        <v>1.0544554455445545</v>
      </c>
      <c r="ET832" s="1">
        <f>1+(Table1[[#This Row],[error_ratio_4]]-EJ$2)</f>
        <v>1.0560081466395113</v>
      </c>
      <c r="EU832" s="1">
        <f>1+(Table1[[#This Row],[error_ratio_5]]-EK$2)</f>
        <v>1.1345291479820627</v>
      </c>
      <c r="EV832" s="1">
        <f>1+(Table1[[#This Row],[error_ratio_6]]-EL$2)</f>
        <v>0.99582463465553239</v>
      </c>
      <c r="EW832" s="1">
        <f>1+(Table1[[#This Row],[error_ratio_7]]-EM$2)</f>
        <v>0.88813229571984431</v>
      </c>
      <c r="EX832" s="1">
        <f>1+(Table1[[#This Row],[error_ratio_8]]-EN$2)</f>
        <v>0.74127310061601648</v>
      </c>
      <c r="EY832" s="1">
        <f>1+(Table1[[#This Row],[error_ratio_9]]-EO$2)</f>
        <v>1.0901883052527255</v>
      </c>
    </row>
    <row r="833" spans="1:155" x14ac:dyDescent="0.75">
      <c r="A833">
        <v>10</v>
      </c>
      <c r="B833">
        <v>10</v>
      </c>
      <c r="C833">
        <v>10</v>
      </c>
      <c r="D833">
        <v>10</v>
      </c>
      <c r="E833">
        <v>100</v>
      </c>
      <c r="F833">
        <v>100</v>
      </c>
      <c r="G833">
        <v>100</v>
      </c>
      <c r="H833">
        <v>10</v>
      </c>
      <c r="I833">
        <v>10</v>
      </c>
      <c r="J833">
        <v>10</v>
      </c>
      <c r="K833">
        <v>953</v>
      </c>
      <c r="L833">
        <v>1142</v>
      </c>
      <c r="M833">
        <v>989</v>
      </c>
      <c r="N833">
        <v>954</v>
      </c>
      <c r="O833">
        <v>1000</v>
      </c>
      <c r="P833">
        <v>1071</v>
      </c>
      <c r="Q833">
        <v>965</v>
      </c>
      <c r="R833">
        <v>998</v>
      </c>
      <c r="S833">
        <v>865</v>
      </c>
      <c r="T833">
        <v>1063</v>
      </c>
      <c r="U833">
        <v>980</v>
      </c>
      <c r="V833">
        <v>1135</v>
      </c>
      <c r="W833">
        <v>1032</v>
      </c>
      <c r="X833">
        <v>1010</v>
      </c>
      <c r="Y833">
        <v>982</v>
      </c>
      <c r="Z833">
        <v>892</v>
      </c>
      <c r="AA833">
        <v>958</v>
      </c>
      <c r="AB833">
        <v>1028</v>
      </c>
      <c r="AC833">
        <v>974</v>
      </c>
      <c r="AD833">
        <v>1009</v>
      </c>
      <c r="AE833">
        <v>942</v>
      </c>
      <c r="AF833">
        <v>1</v>
      </c>
      <c r="AG833">
        <v>0</v>
      </c>
      <c r="AH833">
        <v>1</v>
      </c>
      <c r="AI833">
        <v>1</v>
      </c>
      <c r="AJ833">
        <v>24</v>
      </c>
      <c r="AK833">
        <v>4</v>
      </c>
      <c r="AL833">
        <v>1</v>
      </c>
      <c r="AM833">
        <v>1</v>
      </c>
      <c r="AN833">
        <v>5</v>
      </c>
      <c r="AO833">
        <v>0</v>
      </c>
      <c r="AP833">
        <v>1121</v>
      </c>
      <c r="AQ833">
        <v>0</v>
      </c>
      <c r="AR833">
        <v>5</v>
      </c>
      <c r="AS833">
        <v>2</v>
      </c>
      <c r="AT833">
        <v>2</v>
      </c>
      <c r="AU833">
        <v>4</v>
      </c>
      <c r="AV833">
        <v>0</v>
      </c>
      <c r="AW833">
        <v>0</v>
      </c>
      <c r="AX833">
        <v>1</v>
      </c>
      <c r="AY833">
        <v>2</v>
      </c>
      <c r="AZ833">
        <v>8</v>
      </c>
      <c r="BA833">
        <v>973</v>
      </c>
      <c r="BB833">
        <v>4</v>
      </c>
      <c r="BC833">
        <v>4</v>
      </c>
      <c r="BD833">
        <v>10</v>
      </c>
      <c r="BE833">
        <v>5</v>
      </c>
      <c r="BF833">
        <v>18</v>
      </c>
      <c r="BG833">
        <v>8</v>
      </c>
      <c r="BH833">
        <v>0</v>
      </c>
      <c r="BI833">
        <v>0</v>
      </c>
      <c r="BJ833">
        <v>0</v>
      </c>
      <c r="BK833">
        <v>3</v>
      </c>
      <c r="BL833">
        <v>929</v>
      </c>
      <c r="BM833">
        <v>0</v>
      </c>
      <c r="BN833">
        <v>60</v>
      </c>
      <c r="BO833">
        <v>0</v>
      </c>
      <c r="BP833">
        <v>5</v>
      </c>
      <c r="BQ833">
        <v>3</v>
      </c>
      <c r="BR833">
        <v>10</v>
      </c>
      <c r="BS833">
        <v>0</v>
      </c>
      <c r="BT833">
        <v>0</v>
      </c>
      <c r="BU833">
        <v>1</v>
      </c>
      <c r="BV833">
        <v>0</v>
      </c>
      <c r="BW833">
        <v>966</v>
      </c>
      <c r="BX833">
        <v>0</v>
      </c>
      <c r="BY833">
        <v>5</v>
      </c>
      <c r="BZ833">
        <v>0</v>
      </c>
      <c r="CA833">
        <v>0</v>
      </c>
      <c r="CB833">
        <v>10</v>
      </c>
      <c r="CC833">
        <v>0</v>
      </c>
      <c r="CD833">
        <v>0</v>
      </c>
      <c r="CE833">
        <v>0</v>
      </c>
      <c r="CF833">
        <v>1</v>
      </c>
      <c r="CG833">
        <v>0</v>
      </c>
      <c r="CH833">
        <v>890</v>
      </c>
      <c r="CI833">
        <v>1</v>
      </c>
      <c r="CJ833">
        <v>0</v>
      </c>
      <c r="CK833">
        <v>0</v>
      </c>
      <c r="CL833">
        <v>0</v>
      </c>
      <c r="CM833">
        <v>3</v>
      </c>
      <c r="CN833">
        <v>1</v>
      </c>
      <c r="CO833">
        <v>0</v>
      </c>
      <c r="CP833">
        <v>0</v>
      </c>
      <c r="CQ833">
        <v>2</v>
      </c>
      <c r="CR833">
        <v>14</v>
      </c>
      <c r="CS833">
        <v>938</v>
      </c>
      <c r="CT833">
        <v>0</v>
      </c>
      <c r="CU833">
        <v>0</v>
      </c>
      <c r="CV833">
        <v>0</v>
      </c>
      <c r="CW833">
        <v>1</v>
      </c>
      <c r="CX833">
        <v>4</v>
      </c>
      <c r="CY833">
        <v>9</v>
      </c>
      <c r="CZ833">
        <v>5</v>
      </c>
      <c r="DA833">
        <v>5</v>
      </c>
      <c r="DB833">
        <v>3</v>
      </c>
      <c r="DC833">
        <v>0</v>
      </c>
      <c r="DD833">
        <v>967</v>
      </c>
      <c r="DE833">
        <v>2</v>
      </c>
      <c r="DF833">
        <v>32</v>
      </c>
      <c r="DG833">
        <v>3</v>
      </c>
      <c r="DH833">
        <v>4</v>
      </c>
      <c r="DI833">
        <v>3</v>
      </c>
      <c r="DJ833">
        <v>6</v>
      </c>
      <c r="DK833">
        <v>14</v>
      </c>
      <c r="DL833">
        <v>49</v>
      </c>
      <c r="DM833">
        <v>7</v>
      </c>
      <c r="DN833">
        <v>4</v>
      </c>
      <c r="DO833">
        <v>851</v>
      </c>
      <c r="DP833">
        <v>33</v>
      </c>
      <c r="DQ833">
        <v>2</v>
      </c>
      <c r="DR833">
        <v>3</v>
      </c>
      <c r="DS833">
        <v>0</v>
      </c>
      <c r="DT833">
        <v>3</v>
      </c>
      <c r="DU833">
        <v>6</v>
      </c>
      <c r="DV833">
        <v>19</v>
      </c>
      <c r="DW833">
        <v>1</v>
      </c>
      <c r="DX833">
        <v>3</v>
      </c>
      <c r="DY833">
        <v>0</v>
      </c>
      <c r="DZ833">
        <v>972</v>
      </c>
      <c r="EA833">
        <v>0.95489999999999997</v>
      </c>
      <c r="EB833">
        <v>0.956385122581484</v>
      </c>
      <c r="EC833">
        <v>0.95498170081602096</v>
      </c>
      <c r="ED833">
        <v>0.954362244893456</v>
      </c>
      <c r="EE833">
        <f>SUM(Table1[[#This Row],[ratio_0]:[ratio_9]])</f>
        <v>370</v>
      </c>
      <c r="EF833" s="1">
        <f>(Table1[[#This Row],[predicted_0]]-Table1[[#This Row],[actual_0]])/Table1[[#This Row],[actual_0]]</f>
        <v>-2.7551020408163266E-2</v>
      </c>
      <c r="EG833" s="1">
        <f>(Table1[[#This Row],[predicted_1]]-Table1[[#This Row],[actual_1]])/Table1[[#This Row],[actual_1]]</f>
        <v>6.1674008810572688E-3</v>
      </c>
      <c r="EH833" s="1">
        <f>(Table1[[#This Row],[predicted_2]]-Table1[[#This Row],[actual_2]])/Table1[[#This Row],[actual_2]]</f>
        <v>-4.1666666666666664E-2</v>
      </c>
      <c r="EI833" s="1">
        <f>(Table1[[#This Row],[predicted_3]]-Table1[[#This Row],[actual_3]])/Table1[[#This Row],[actual_3]]</f>
        <v>-5.5445544554455446E-2</v>
      </c>
      <c r="EJ833" s="1">
        <f>(Table1[[#This Row],[predicted_4]]-Table1[[#This Row],[actual_4]])/Table1[[#This Row],[actual_4]]</f>
        <v>1.8329938900203666E-2</v>
      </c>
      <c r="EK833" s="1">
        <f>(Table1[[#This Row],[predicted_5]]-Table1[[#This Row],[actual_5]])/Table1[[#This Row],[actual_5]]</f>
        <v>0.20067264573991031</v>
      </c>
      <c r="EL833" s="1">
        <f>(Table1[[#This Row],[predicted_6]]-Table1[[#This Row],[actual_6]])/Table1[[#This Row],[actual_6]]</f>
        <v>7.3068893528183713E-3</v>
      </c>
      <c r="EM833" s="1">
        <f>(Table1[[#This Row],[predicted_7]]-Table1[[#This Row],[actual_7]])/Table1[[#This Row],[actual_7]]</f>
        <v>-2.9182879377431907E-2</v>
      </c>
      <c r="EN833" s="1">
        <f>(Table1[[#This Row],[predicted_8]]-Table1[[#This Row],[actual_8]])/Table1[[#This Row],[actual_8]]</f>
        <v>-0.11190965092402463</v>
      </c>
      <c r="EO833" s="1">
        <f>(Table1[[#This Row],[predicted_9]]-Table1[[#This Row],[actual_9]])/Table1[[#This Row],[actual_9]]</f>
        <v>5.3518334985133795E-2</v>
      </c>
      <c r="EP833" s="1">
        <f>1+(Table1[[#This Row],[error_ratio_0]]-EF$2)</f>
        <v>0.9704081632653061</v>
      </c>
      <c r="EQ833" s="1">
        <f>1+(Table1[[#This Row],[error_ratio_1]]-EG$2)</f>
        <v>1.0044052863436124</v>
      </c>
      <c r="ER833" s="1">
        <f>1+(Table1[[#This Row],[error_ratio_2]]-EH$2)</f>
        <v>0.96317829457364346</v>
      </c>
      <c r="ES833" s="1">
        <f>1+(Table1[[#This Row],[error_ratio_3]]-EI$2)</f>
        <v>0.9346534653465346</v>
      </c>
      <c r="ET833" s="1">
        <f>1+(Table1[[#This Row],[error_ratio_4]]-EJ$2)</f>
        <v>1.0173116089613035</v>
      </c>
      <c r="EU833" s="1">
        <f>1+(Table1[[#This Row],[error_ratio_5]]-EK$2)</f>
        <v>1.1995515695067265</v>
      </c>
      <c r="EV833" s="1">
        <f>1+(Table1[[#This Row],[error_ratio_6]]-EL$2)</f>
        <v>1.0135699373695197</v>
      </c>
      <c r="EW833" s="1">
        <f>1+(Table1[[#This Row],[error_ratio_7]]-EM$2)</f>
        <v>0.9688715953307393</v>
      </c>
      <c r="EX833" s="1">
        <f>1+(Table1[[#This Row],[error_ratio_8]]-EN$2)</f>
        <v>0.89117043121149897</v>
      </c>
      <c r="EY833" s="1">
        <f>1+(Table1[[#This Row],[error_ratio_9]]-EO$2)</f>
        <v>1.0574826560951438</v>
      </c>
    </row>
    <row r="834" spans="1:155" x14ac:dyDescent="0.75">
      <c r="A834">
        <v>100</v>
      </c>
      <c r="B834">
        <v>100</v>
      </c>
      <c r="C834">
        <v>100</v>
      </c>
      <c r="D834">
        <v>100</v>
      </c>
      <c r="E834">
        <v>10</v>
      </c>
      <c r="F834">
        <v>100</v>
      </c>
      <c r="G834">
        <v>100</v>
      </c>
      <c r="H834">
        <v>10</v>
      </c>
      <c r="I834">
        <v>10</v>
      </c>
      <c r="J834">
        <v>10</v>
      </c>
      <c r="K834">
        <v>986</v>
      </c>
      <c r="L834">
        <v>1154</v>
      </c>
      <c r="M834">
        <v>1095</v>
      </c>
      <c r="N834">
        <v>1014</v>
      </c>
      <c r="O834">
        <v>947</v>
      </c>
      <c r="P834">
        <v>931</v>
      </c>
      <c r="Q834">
        <v>971</v>
      </c>
      <c r="R834">
        <v>968</v>
      </c>
      <c r="S834">
        <v>905</v>
      </c>
      <c r="T834">
        <v>1029</v>
      </c>
      <c r="U834">
        <v>980</v>
      </c>
      <c r="V834">
        <v>1135</v>
      </c>
      <c r="W834">
        <v>1032</v>
      </c>
      <c r="X834">
        <v>1010</v>
      </c>
      <c r="Y834">
        <v>982</v>
      </c>
      <c r="Z834">
        <v>892</v>
      </c>
      <c r="AA834">
        <v>958</v>
      </c>
      <c r="AB834">
        <v>1028</v>
      </c>
      <c r="AC834">
        <v>974</v>
      </c>
      <c r="AD834">
        <v>1009</v>
      </c>
      <c r="AE834">
        <v>973</v>
      </c>
      <c r="AF834">
        <v>0</v>
      </c>
      <c r="AG834">
        <v>1</v>
      </c>
      <c r="AH834">
        <v>1</v>
      </c>
      <c r="AI834">
        <v>0</v>
      </c>
      <c r="AJ834">
        <v>1</v>
      </c>
      <c r="AK834">
        <v>3</v>
      </c>
      <c r="AL834">
        <v>1</v>
      </c>
      <c r="AM834">
        <v>0</v>
      </c>
      <c r="AN834">
        <v>0</v>
      </c>
      <c r="AO834">
        <v>0</v>
      </c>
      <c r="AP834">
        <v>1128</v>
      </c>
      <c r="AQ834">
        <v>3</v>
      </c>
      <c r="AR834">
        <v>0</v>
      </c>
      <c r="AS834">
        <v>0</v>
      </c>
      <c r="AT834">
        <v>2</v>
      </c>
      <c r="AU834">
        <v>2</v>
      </c>
      <c r="AV834">
        <v>0</v>
      </c>
      <c r="AW834">
        <v>0</v>
      </c>
      <c r="AX834">
        <v>0</v>
      </c>
      <c r="AY834">
        <v>0</v>
      </c>
      <c r="AZ834">
        <v>1</v>
      </c>
      <c r="BA834">
        <v>1029</v>
      </c>
      <c r="BB834">
        <v>0</v>
      </c>
      <c r="BC834">
        <v>0</v>
      </c>
      <c r="BD834">
        <v>0</v>
      </c>
      <c r="BE834">
        <v>0</v>
      </c>
      <c r="BF834">
        <v>2</v>
      </c>
      <c r="BG834">
        <v>0</v>
      </c>
      <c r="BH834">
        <v>0</v>
      </c>
      <c r="BI834">
        <v>0</v>
      </c>
      <c r="BJ834">
        <v>0</v>
      </c>
      <c r="BK834">
        <v>2</v>
      </c>
      <c r="BL834">
        <v>996</v>
      </c>
      <c r="BM834">
        <v>0</v>
      </c>
      <c r="BN834">
        <v>9</v>
      </c>
      <c r="BO834">
        <v>0</v>
      </c>
      <c r="BP834">
        <v>3</v>
      </c>
      <c r="BQ834">
        <v>0</v>
      </c>
      <c r="BR834">
        <v>0</v>
      </c>
      <c r="BS834">
        <v>2</v>
      </c>
      <c r="BT834">
        <v>2</v>
      </c>
      <c r="BU834">
        <v>8</v>
      </c>
      <c r="BV834">
        <v>0</v>
      </c>
      <c r="BW834">
        <v>938</v>
      </c>
      <c r="BX834">
        <v>1</v>
      </c>
      <c r="BY834">
        <v>6</v>
      </c>
      <c r="BZ834">
        <v>0</v>
      </c>
      <c r="CA834">
        <v>1</v>
      </c>
      <c r="CB834">
        <v>24</v>
      </c>
      <c r="CC834">
        <v>0</v>
      </c>
      <c r="CD834">
        <v>0</v>
      </c>
      <c r="CE834">
        <v>0</v>
      </c>
      <c r="CF834">
        <v>3</v>
      </c>
      <c r="CG834">
        <v>0</v>
      </c>
      <c r="CH834">
        <v>887</v>
      </c>
      <c r="CI834">
        <v>2</v>
      </c>
      <c r="CJ834">
        <v>0</v>
      </c>
      <c r="CK834">
        <v>0</v>
      </c>
      <c r="CL834">
        <v>0</v>
      </c>
      <c r="CM834">
        <v>4</v>
      </c>
      <c r="CN834">
        <v>2</v>
      </c>
      <c r="CO834">
        <v>0</v>
      </c>
      <c r="CP834">
        <v>0</v>
      </c>
      <c r="CQ834">
        <v>1</v>
      </c>
      <c r="CR834">
        <v>3</v>
      </c>
      <c r="CS834">
        <v>948</v>
      </c>
      <c r="CT834">
        <v>0</v>
      </c>
      <c r="CU834">
        <v>0</v>
      </c>
      <c r="CV834">
        <v>0</v>
      </c>
      <c r="CW834">
        <v>1</v>
      </c>
      <c r="CX834">
        <v>13</v>
      </c>
      <c r="CY834">
        <v>40</v>
      </c>
      <c r="CZ834">
        <v>2</v>
      </c>
      <c r="DA834">
        <v>2</v>
      </c>
      <c r="DB834">
        <v>2</v>
      </c>
      <c r="DC834">
        <v>0</v>
      </c>
      <c r="DD834">
        <v>948</v>
      </c>
      <c r="DE834">
        <v>2</v>
      </c>
      <c r="DF834">
        <v>18</v>
      </c>
      <c r="DG834">
        <v>2</v>
      </c>
      <c r="DH834">
        <v>1</v>
      </c>
      <c r="DI834">
        <v>9</v>
      </c>
      <c r="DJ834">
        <v>5</v>
      </c>
      <c r="DK834">
        <v>4</v>
      </c>
      <c r="DL834">
        <v>17</v>
      </c>
      <c r="DM834">
        <v>9</v>
      </c>
      <c r="DN834">
        <v>7</v>
      </c>
      <c r="DO834">
        <v>902</v>
      </c>
      <c r="DP834">
        <v>18</v>
      </c>
      <c r="DQ834">
        <v>4</v>
      </c>
      <c r="DR834">
        <v>7</v>
      </c>
      <c r="DS834">
        <v>3</v>
      </c>
      <c r="DT834">
        <v>7</v>
      </c>
      <c r="DU834">
        <v>2</v>
      </c>
      <c r="DV834">
        <v>9</v>
      </c>
      <c r="DW834">
        <v>1</v>
      </c>
      <c r="DX834">
        <v>7</v>
      </c>
      <c r="DY834">
        <v>0</v>
      </c>
      <c r="DZ834">
        <v>969</v>
      </c>
      <c r="EA834">
        <v>0.9718</v>
      </c>
      <c r="EB834">
        <v>0.97235228963375797</v>
      </c>
      <c r="EC834">
        <v>0.97176848732287702</v>
      </c>
      <c r="ED834">
        <v>0.97166157322840596</v>
      </c>
      <c r="EE834">
        <f>SUM(Table1[[#This Row],[ratio_0]:[ratio_9]])</f>
        <v>640</v>
      </c>
      <c r="EF834" s="1">
        <f>(Table1[[#This Row],[predicted_0]]-Table1[[#This Row],[actual_0]])/Table1[[#This Row],[actual_0]]</f>
        <v>6.1224489795918364E-3</v>
      </c>
      <c r="EG834" s="1">
        <f>(Table1[[#This Row],[predicted_1]]-Table1[[#This Row],[actual_1]])/Table1[[#This Row],[actual_1]]</f>
        <v>1.6740088105726872E-2</v>
      </c>
      <c r="EH834" s="1">
        <f>(Table1[[#This Row],[predicted_2]]-Table1[[#This Row],[actual_2]])/Table1[[#This Row],[actual_2]]</f>
        <v>6.1046511627906974E-2</v>
      </c>
      <c r="EI834" s="1">
        <f>(Table1[[#This Row],[predicted_3]]-Table1[[#This Row],[actual_3]])/Table1[[#This Row],[actual_3]]</f>
        <v>3.9603960396039604E-3</v>
      </c>
      <c r="EJ834" s="1">
        <f>(Table1[[#This Row],[predicted_4]]-Table1[[#This Row],[actual_4]])/Table1[[#This Row],[actual_4]]</f>
        <v>-3.5641547861507125E-2</v>
      </c>
      <c r="EK834" s="1">
        <f>(Table1[[#This Row],[predicted_5]]-Table1[[#This Row],[actual_5]])/Table1[[#This Row],[actual_5]]</f>
        <v>4.3721973094170405E-2</v>
      </c>
      <c r="EL834" s="1">
        <f>(Table1[[#This Row],[predicted_6]]-Table1[[#This Row],[actual_6]])/Table1[[#This Row],[actual_6]]</f>
        <v>1.3569937369519834E-2</v>
      </c>
      <c r="EM834" s="1">
        <f>(Table1[[#This Row],[predicted_7]]-Table1[[#This Row],[actual_7]])/Table1[[#This Row],[actual_7]]</f>
        <v>-5.8365758754863814E-2</v>
      </c>
      <c r="EN834" s="1">
        <f>(Table1[[#This Row],[predicted_8]]-Table1[[#This Row],[actual_8]])/Table1[[#This Row],[actual_8]]</f>
        <v>-7.0841889117043116E-2</v>
      </c>
      <c r="EO834" s="1">
        <f>(Table1[[#This Row],[predicted_9]]-Table1[[#This Row],[actual_9]])/Table1[[#This Row],[actual_9]]</f>
        <v>1.9821605550049554E-2</v>
      </c>
      <c r="EP834" s="1">
        <f>1+(Table1[[#This Row],[error_ratio_0]]-EF$2)</f>
        <v>1.0040816326530613</v>
      </c>
      <c r="EQ834" s="1">
        <f>1+(Table1[[#This Row],[error_ratio_1]]-EG$2)</f>
        <v>1.014977973568282</v>
      </c>
      <c r="ER834" s="1">
        <f>1+(Table1[[#This Row],[error_ratio_2]]-EH$2)</f>
        <v>1.0658914728682169</v>
      </c>
      <c r="ES834" s="1">
        <f>1+(Table1[[#This Row],[error_ratio_3]]-EI$2)</f>
        <v>0.99405940594059405</v>
      </c>
      <c r="ET834" s="1">
        <f>1+(Table1[[#This Row],[error_ratio_4]]-EJ$2)</f>
        <v>0.96334012219959264</v>
      </c>
      <c r="EU834" s="1">
        <f>1+(Table1[[#This Row],[error_ratio_5]]-EK$2)</f>
        <v>1.0426008968609866</v>
      </c>
      <c r="EV834" s="1">
        <f>1+(Table1[[#This Row],[error_ratio_6]]-EL$2)</f>
        <v>1.0198329853862214</v>
      </c>
      <c r="EW834" s="1">
        <f>1+(Table1[[#This Row],[error_ratio_7]]-EM$2)</f>
        <v>0.93968871595330739</v>
      </c>
      <c r="EX834" s="1">
        <f>1+(Table1[[#This Row],[error_ratio_8]]-EN$2)</f>
        <v>0.93223819301848054</v>
      </c>
      <c r="EY834" s="1">
        <f>1+(Table1[[#This Row],[error_ratio_9]]-EO$2)</f>
        <v>1.0237859266600595</v>
      </c>
    </row>
    <row r="835" spans="1:155" x14ac:dyDescent="0.75">
      <c r="A835">
        <v>10</v>
      </c>
      <c r="B835">
        <v>100</v>
      </c>
      <c r="C835">
        <v>100</v>
      </c>
      <c r="D835">
        <v>100</v>
      </c>
      <c r="E835">
        <v>10</v>
      </c>
      <c r="F835">
        <v>100</v>
      </c>
      <c r="G835">
        <v>100</v>
      </c>
      <c r="H835">
        <v>10</v>
      </c>
      <c r="I835">
        <v>10</v>
      </c>
      <c r="J835">
        <v>10</v>
      </c>
      <c r="K835">
        <v>974</v>
      </c>
      <c r="L835">
        <v>1160</v>
      </c>
      <c r="M835">
        <v>1103</v>
      </c>
      <c r="N835">
        <v>1050</v>
      </c>
      <c r="O835">
        <v>958</v>
      </c>
      <c r="P835">
        <v>984</v>
      </c>
      <c r="Q835">
        <v>991</v>
      </c>
      <c r="R835">
        <v>946</v>
      </c>
      <c r="S835">
        <v>853</v>
      </c>
      <c r="T835">
        <v>981</v>
      </c>
      <c r="U835">
        <v>980</v>
      </c>
      <c r="V835">
        <v>1135</v>
      </c>
      <c r="W835">
        <v>1032</v>
      </c>
      <c r="X835">
        <v>1010</v>
      </c>
      <c r="Y835">
        <v>982</v>
      </c>
      <c r="Z835">
        <v>892</v>
      </c>
      <c r="AA835">
        <v>958</v>
      </c>
      <c r="AB835">
        <v>1028</v>
      </c>
      <c r="AC835">
        <v>974</v>
      </c>
      <c r="AD835">
        <v>1009</v>
      </c>
      <c r="AE835">
        <v>955</v>
      </c>
      <c r="AF835">
        <v>2</v>
      </c>
      <c r="AG835">
        <v>1</v>
      </c>
      <c r="AH835">
        <v>1</v>
      </c>
      <c r="AI835">
        <v>0</v>
      </c>
      <c r="AJ835">
        <v>12</v>
      </c>
      <c r="AK835">
        <v>6</v>
      </c>
      <c r="AL835">
        <v>0</v>
      </c>
      <c r="AM835">
        <v>1</v>
      </c>
      <c r="AN835">
        <v>2</v>
      </c>
      <c r="AO835">
        <v>0</v>
      </c>
      <c r="AP835">
        <v>1125</v>
      </c>
      <c r="AQ835">
        <v>0</v>
      </c>
      <c r="AR835">
        <v>0</v>
      </c>
      <c r="AS835">
        <v>0</v>
      </c>
      <c r="AT835">
        <v>4</v>
      </c>
      <c r="AU835">
        <v>6</v>
      </c>
      <c r="AV835">
        <v>0</v>
      </c>
      <c r="AW835">
        <v>0</v>
      </c>
      <c r="AX835">
        <v>0</v>
      </c>
      <c r="AY835">
        <v>1</v>
      </c>
      <c r="AZ835">
        <v>4</v>
      </c>
      <c r="BA835">
        <v>1019</v>
      </c>
      <c r="BB835">
        <v>4</v>
      </c>
      <c r="BC835">
        <v>0</v>
      </c>
      <c r="BD835">
        <v>0</v>
      </c>
      <c r="BE835">
        <v>2</v>
      </c>
      <c r="BF835">
        <v>2</v>
      </c>
      <c r="BG835">
        <v>0</v>
      </c>
      <c r="BH835">
        <v>0</v>
      </c>
      <c r="BI835">
        <v>0</v>
      </c>
      <c r="BJ835">
        <v>0</v>
      </c>
      <c r="BK835">
        <v>2</v>
      </c>
      <c r="BL835">
        <v>1002</v>
      </c>
      <c r="BM835">
        <v>0</v>
      </c>
      <c r="BN835">
        <v>3</v>
      </c>
      <c r="BO835">
        <v>0</v>
      </c>
      <c r="BP835">
        <v>2</v>
      </c>
      <c r="BQ835">
        <v>0</v>
      </c>
      <c r="BR835">
        <v>1</v>
      </c>
      <c r="BS835">
        <v>2</v>
      </c>
      <c r="BT835">
        <v>5</v>
      </c>
      <c r="BU835">
        <v>8</v>
      </c>
      <c r="BV835">
        <v>0</v>
      </c>
      <c r="BW835">
        <v>943</v>
      </c>
      <c r="BX835">
        <v>0</v>
      </c>
      <c r="BY835">
        <v>13</v>
      </c>
      <c r="BZ835">
        <v>3</v>
      </c>
      <c r="CA835">
        <v>0</v>
      </c>
      <c r="CB835">
        <v>8</v>
      </c>
      <c r="CC835">
        <v>0</v>
      </c>
      <c r="CD835">
        <v>0</v>
      </c>
      <c r="CE835">
        <v>0</v>
      </c>
      <c r="CF835">
        <v>4</v>
      </c>
      <c r="CG835">
        <v>0</v>
      </c>
      <c r="CH835">
        <v>887</v>
      </c>
      <c r="CI835">
        <v>1</v>
      </c>
      <c r="CJ835">
        <v>0</v>
      </c>
      <c r="CK835">
        <v>0</v>
      </c>
      <c r="CL835">
        <v>0</v>
      </c>
      <c r="CM835">
        <v>0</v>
      </c>
      <c r="CN835">
        <v>2</v>
      </c>
      <c r="CO835">
        <v>0</v>
      </c>
      <c r="CP835">
        <v>1</v>
      </c>
      <c r="CQ835">
        <v>1</v>
      </c>
      <c r="CR835">
        <v>7</v>
      </c>
      <c r="CS835">
        <v>947</v>
      </c>
      <c r="CT835">
        <v>0</v>
      </c>
      <c r="CU835">
        <v>0</v>
      </c>
      <c r="CV835">
        <v>0</v>
      </c>
      <c r="CW835">
        <v>6</v>
      </c>
      <c r="CX835">
        <v>11</v>
      </c>
      <c r="CY835">
        <v>26</v>
      </c>
      <c r="CZ835">
        <v>10</v>
      </c>
      <c r="DA835">
        <v>0</v>
      </c>
      <c r="DB835">
        <v>29</v>
      </c>
      <c r="DC835">
        <v>1</v>
      </c>
      <c r="DD835">
        <v>927</v>
      </c>
      <c r="DE835">
        <v>0</v>
      </c>
      <c r="DF835">
        <v>18</v>
      </c>
      <c r="DG835">
        <v>5</v>
      </c>
      <c r="DH835">
        <v>5</v>
      </c>
      <c r="DI835">
        <v>46</v>
      </c>
      <c r="DJ835">
        <v>20</v>
      </c>
      <c r="DK835">
        <v>5</v>
      </c>
      <c r="DL835">
        <v>16</v>
      </c>
      <c r="DM835">
        <v>14</v>
      </c>
      <c r="DN835">
        <v>7</v>
      </c>
      <c r="DO835">
        <v>852</v>
      </c>
      <c r="DP835">
        <v>4</v>
      </c>
      <c r="DQ835">
        <v>5</v>
      </c>
      <c r="DR835">
        <v>6</v>
      </c>
      <c r="DS835">
        <v>1</v>
      </c>
      <c r="DT835">
        <v>8</v>
      </c>
      <c r="DU835">
        <v>9</v>
      </c>
      <c r="DV835">
        <v>26</v>
      </c>
      <c r="DW835">
        <v>1</v>
      </c>
      <c r="DX835">
        <v>5</v>
      </c>
      <c r="DY835">
        <v>0</v>
      </c>
      <c r="DZ835">
        <v>948</v>
      </c>
      <c r="EA835">
        <v>0.96050000000000002</v>
      </c>
      <c r="EB835">
        <v>0.96149196798332803</v>
      </c>
      <c r="EC835">
        <v>0.96043974307705104</v>
      </c>
      <c r="ED835">
        <v>0.95994809345478704</v>
      </c>
      <c r="EE835">
        <f>SUM(Table1[[#This Row],[ratio_0]:[ratio_9]])</f>
        <v>550</v>
      </c>
      <c r="EF835" s="1">
        <f>(Table1[[#This Row],[predicted_0]]-Table1[[#This Row],[actual_0]])/Table1[[#This Row],[actual_0]]</f>
        <v>-6.1224489795918364E-3</v>
      </c>
      <c r="EG835" s="1">
        <f>(Table1[[#This Row],[predicted_1]]-Table1[[#This Row],[actual_1]])/Table1[[#This Row],[actual_1]]</f>
        <v>2.2026431718061675E-2</v>
      </c>
      <c r="EH835" s="1">
        <f>(Table1[[#This Row],[predicted_2]]-Table1[[#This Row],[actual_2]])/Table1[[#This Row],[actual_2]]</f>
        <v>6.8798449612403098E-2</v>
      </c>
      <c r="EI835" s="1">
        <f>(Table1[[#This Row],[predicted_3]]-Table1[[#This Row],[actual_3]])/Table1[[#This Row],[actual_3]]</f>
        <v>3.9603960396039604E-2</v>
      </c>
      <c r="EJ835" s="1">
        <f>(Table1[[#This Row],[predicted_4]]-Table1[[#This Row],[actual_4]])/Table1[[#This Row],[actual_4]]</f>
        <v>-2.4439918533604887E-2</v>
      </c>
      <c r="EK835" s="1">
        <f>(Table1[[#This Row],[predicted_5]]-Table1[[#This Row],[actual_5]])/Table1[[#This Row],[actual_5]]</f>
        <v>0.1031390134529148</v>
      </c>
      <c r="EL835" s="1">
        <f>(Table1[[#This Row],[predicted_6]]-Table1[[#This Row],[actual_6]])/Table1[[#This Row],[actual_6]]</f>
        <v>3.444676409185804E-2</v>
      </c>
      <c r="EM835" s="1">
        <f>(Table1[[#This Row],[predicted_7]]-Table1[[#This Row],[actual_7]])/Table1[[#This Row],[actual_7]]</f>
        <v>-7.9766536964980539E-2</v>
      </c>
      <c r="EN835" s="1">
        <f>(Table1[[#This Row],[predicted_8]]-Table1[[#This Row],[actual_8]])/Table1[[#This Row],[actual_8]]</f>
        <v>-0.12422997946611909</v>
      </c>
      <c r="EO835" s="1">
        <f>(Table1[[#This Row],[predicted_9]]-Table1[[#This Row],[actual_9]])/Table1[[#This Row],[actual_9]]</f>
        <v>-2.7750247770069375E-2</v>
      </c>
      <c r="EP835" s="1">
        <f>1+(Table1[[#This Row],[error_ratio_0]]-EF$2)</f>
        <v>0.99183673469387756</v>
      </c>
      <c r="EQ835" s="1">
        <f>1+(Table1[[#This Row],[error_ratio_1]]-EG$2)</f>
        <v>1.0202643171806167</v>
      </c>
      <c r="ER835" s="1">
        <f>1+(Table1[[#This Row],[error_ratio_2]]-EH$2)</f>
        <v>1.0736434108527131</v>
      </c>
      <c r="ES835" s="1">
        <f>1+(Table1[[#This Row],[error_ratio_3]]-EI$2)</f>
        <v>1.0297029702970297</v>
      </c>
      <c r="ET835" s="1">
        <f>1+(Table1[[#This Row],[error_ratio_4]]-EJ$2)</f>
        <v>0.97454175152749489</v>
      </c>
      <c r="EU835" s="1">
        <f>1+(Table1[[#This Row],[error_ratio_5]]-EK$2)</f>
        <v>1.102017937219731</v>
      </c>
      <c r="EV835" s="1">
        <f>1+(Table1[[#This Row],[error_ratio_6]]-EL$2)</f>
        <v>1.0407098121085594</v>
      </c>
      <c r="EW835" s="1">
        <f>1+(Table1[[#This Row],[error_ratio_7]]-EM$2)</f>
        <v>0.91828793774319073</v>
      </c>
      <c r="EX835" s="1">
        <f>1+(Table1[[#This Row],[error_ratio_8]]-EN$2)</f>
        <v>0.87885010266940455</v>
      </c>
      <c r="EY835" s="1">
        <f>1+(Table1[[#This Row],[error_ratio_9]]-EO$2)</f>
        <v>0.97621407333994048</v>
      </c>
    </row>
    <row r="836" spans="1:155" x14ac:dyDescent="0.75">
      <c r="A836">
        <v>100</v>
      </c>
      <c r="B836">
        <v>10</v>
      </c>
      <c r="C836">
        <v>100</v>
      </c>
      <c r="D836">
        <v>100</v>
      </c>
      <c r="E836">
        <v>10</v>
      </c>
      <c r="F836">
        <v>100</v>
      </c>
      <c r="G836">
        <v>100</v>
      </c>
      <c r="H836">
        <v>10</v>
      </c>
      <c r="I836">
        <v>10</v>
      </c>
      <c r="J836">
        <v>10</v>
      </c>
      <c r="K836">
        <v>981</v>
      </c>
      <c r="L836">
        <v>1111</v>
      </c>
      <c r="M836">
        <v>1082</v>
      </c>
      <c r="N836">
        <v>1092</v>
      </c>
      <c r="O836">
        <v>902</v>
      </c>
      <c r="P836">
        <v>968</v>
      </c>
      <c r="Q836">
        <v>978</v>
      </c>
      <c r="R836">
        <v>977</v>
      </c>
      <c r="S836">
        <v>923</v>
      </c>
      <c r="T836">
        <v>986</v>
      </c>
      <c r="U836">
        <v>980</v>
      </c>
      <c r="V836">
        <v>1135</v>
      </c>
      <c r="W836">
        <v>1032</v>
      </c>
      <c r="X836">
        <v>1010</v>
      </c>
      <c r="Y836">
        <v>982</v>
      </c>
      <c r="Z836">
        <v>892</v>
      </c>
      <c r="AA836">
        <v>958</v>
      </c>
      <c r="AB836">
        <v>1028</v>
      </c>
      <c r="AC836">
        <v>974</v>
      </c>
      <c r="AD836">
        <v>1009</v>
      </c>
      <c r="AE836">
        <v>963</v>
      </c>
      <c r="AF836">
        <v>0</v>
      </c>
      <c r="AG836">
        <v>2</v>
      </c>
      <c r="AH836">
        <v>0</v>
      </c>
      <c r="AI836">
        <v>0</v>
      </c>
      <c r="AJ836">
        <v>12</v>
      </c>
      <c r="AK836">
        <v>0</v>
      </c>
      <c r="AL836">
        <v>1</v>
      </c>
      <c r="AM836">
        <v>2</v>
      </c>
      <c r="AN836">
        <v>0</v>
      </c>
      <c r="AO836">
        <v>0</v>
      </c>
      <c r="AP836">
        <v>1105</v>
      </c>
      <c r="AQ836">
        <v>5</v>
      </c>
      <c r="AR836">
        <v>7</v>
      </c>
      <c r="AS836">
        <v>0</v>
      </c>
      <c r="AT836">
        <v>3</v>
      </c>
      <c r="AU836">
        <v>9</v>
      </c>
      <c r="AV836">
        <v>3</v>
      </c>
      <c r="AW836">
        <v>2</v>
      </c>
      <c r="AX836">
        <v>1</v>
      </c>
      <c r="AY836">
        <v>1</v>
      </c>
      <c r="AZ836">
        <v>0</v>
      </c>
      <c r="BA836">
        <v>1025</v>
      </c>
      <c r="BB836">
        <v>5</v>
      </c>
      <c r="BC836">
        <v>0</v>
      </c>
      <c r="BD836">
        <v>0</v>
      </c>
      <c r="BE836">
        <v>0</v>
      </c>
      <c r="BF836">
        <v>1</v>
      </c>
      <c r="BG836">
        <v>0</v>
      </c>
      <c r="BH836">
        <v>0</v>
      </c>
      <c r="BI836">
        <v>0</v>
      </c>
      <c r="BJ836">
        <v>0</v>
      </c>
      <c r="BK836">
        <v>1</v>
      </c>
      <c r="BL836">
        <v>1004</v>
      </c>
      <c r="BM836">
        <v>0</v>
      </c>
      <c r="BN836">
        <v>2</v>
      </c>
      <c r="BO836">
        <v>0</v>
      </c>
      <c r="BP836">
        <v>0</v>
      </c>
      <c r="BQ836">
        <v>3</v>
      </c>
      <c r="BR836">
        <v>0</v>
      </c>
      <c r="BS836">
        <v>1</v>
      </c>
      <c r="BT836">
        <v>0</v>
      </c>
      <c r="BU836">
        <v>11</v>
      </c>
      <c r="BV836">
        <v>2</v>
      </c>
      <c r="BW836">
        <v>899</v>
      </c>
      <c r="BX836">
        <v>2</v>
      </c>
      <c r="BY836">
        <v>16</v>
      </c>
      <c r="BZ836">
        <v>0</v>
      </c>
      <c r="CA836">
        <v>5</v>
      </c>
      <c r="CB836">
        <v>46</v>
      </c>
      <c r="CC836">
        <v>0</v>
      </c>
      <c r="CD836">
        <v>0</v>
      </c>
      <c r="CE836">
        <v>2</v>
      </c>
      <c r="CF836">
        <v>12</v>
      </c>
      <c r="CG836">
        <v>0</v>
      </c>
      <c r="CH836">
        <v>873</v>
      </c>
      <c r="CI836">
        <v>2</v>
      </c>
      <c r="CJ836">
        <v>0</v>
      </c>
      <c r="CK836">
        <v>3</v>
      </c>
      <c r="CL836">
        <v>0</v>
      </c>
      <c r="CM836">
        <v>7</v>
      </c>
      <c r="CN836">
        <v>1</v>
      </c>
      <c r="CO836">
        <v>1</v>
      </c>
      <c r="CP836">
        <v>1</v>
      </c>
      <c r="CQ836">
        <v>1</v>
      </c>
      <c r="CR836">
        <v>2</v>
      </c>
      <c r="CS836">
        <v>945</v>
      </c>
      <c r="CT836">
        <v>0</v>
      </c>
      <c r="CU836">
        <v>0</v>
      </c>
      <c r="CV836">
        <v>0</v>
      </c>
      <c r="CW836">
        <v>1</v>
      </c>
      <c r="CX836">
        <v>1</v>
      </c>
      <c r="CY836">
        <v>26</v>
      </c>
      <c r="CZ836">
        <v>41</v>
      </c>
      <c r="DA836">
        <v>0</v>
      </c>
      <c r="DB836">
        <v>4</v>
      </c>
      <c r="DC836">
        <v>0</v>
      </c>
      <c r="DD836">
        <v>950</v>
      </c>
      <c r="DE836">
        <v>2</v>
      </c>
      <c r="DF836">
        <v>3</v>
      </c>
      <c r="DG836">
        <v>1</v>
      </c>
      <c r="DH836">
        <v>0</v>
      </c>
      <c r="DI836">
        <v>7</v>
      </c>
      <c r="DJ836">
        <v>10</v>
      </c>
      <c r="DK836">
        <v>0</v>
      </c>
      <c r="DL836">
        <v>33</v>
      </c>
      <c r="DM836">
        <v>5</v>
      </c>
      <c r="DN836">
        <v>5</v>
      </c>
      <c r="DO836">
        <v>902</v>
      </c>
      <c r="DP836">
        <v>11</v>
      </c>
      <c r="DQ836">
        <v>7</v>
      </c>
      <c r="DR836">
        <v>4</v>
      </c>
      <c r="DS836">
        <v>2</v>
      </c>
      <c r="DT836">
        <v>10</v>
      </c>
      <c r="DU836">
        <v>2</v>
      </c>
      <c r="DV836">
        <v>37</v>
      </c>
      <c r="DW836">
        <v>1</v>
      </c>
      <c r="DX836">
        <v>17</v>
      </c>
      <c r="DY836">
        <v>4</v>
      </c>
      <c r="DZ836">
        <v>925</v>
      </c>
      <c r="EA836">
        <v>0.95909999999999995</v>
      </c>
      <c r="EB836">
        <v>0.959552212319423</v>
      </c>
      <c r="EC836">
        <v>0.95910578316941497</v>
      </c>
      <c r="ED836">
        <v>0.95863560227682898</v>
      </c>
      <c r="EE836">
        <f>SUM(Table1[[#This Row],[ratio_0]:[ratio_9]])</f>
        <v>550</v>
      </c>
      <c r="EF836" s="1">
        <f>(Table1[[#This Row],[predicted_0]]-Table1[[#This Row],[actual_0]])/Table1[[#This Row],[actual_0]]</f>
        <v>1.0204081632653062E-3</v>
      </c>
      <c r="EG836" s="1">
        <f>(Table1[[#This Row],[predicted_1]]-Table1[[#This Row],[actual_1]])/Table1[[#This Row],[actual_1]]</f>
        <v>-2.1145374449339206E-2</v>
      </c>
      <c r="EH836" s="1">
        <f>(Table1[[#This Row],[predicted_2]]-Table1[[#This Row],[actual_2]])/Table1[[#This Row],[actual_2]]</f>
        <v>4.8449612403100778E-2</v>
      </c>
      <c r="EI836" s="1">
        <f>(Table1[[#This Row],[predicted_3]]-Table1[[#This Row],[actual_3]])/Table1[[#This Row],[actual_3]]</f>
        <v>8.1188118811881191E-2</v>
      </c>
      <c r="EJ836" s="1">
        <f>(Table1[[#This Row],[predicted_4]]-Table1[[#This Row],[actual_4]])/Table1[[#This Row],[actual_4]]</f>
        <v>-8.1466395112016296E-2</v>
      </c>
      <c r="EK836" s="1">
        <f>(Table1[[#This Row],[predicted_5]]-Table1[[#This Row],[actual_5]])/Table1[[#This Row],[actual_5]]</f>
        <v>8.520179372197309E-2</v>
      </c>
      <c r="EL836" s="1">
        <f>(Table1[[#This Row],[predicted_6]]-Table1[[#This Row],[actual_6]])/Table1[[#This Row],[actual_6]]</f>
        <v>2.0876826722338204E-2</v>
      </c>
      <c r="EM836" s="1">
        <f>(Table1[[#This Row],[predicted_7]]-Table1[[#This Row],[actual_7]])/Table1[[#This Row],[actual_7]]</f>
        <v>-4.9610894941634238E-2</v>
      </c>
      <c r="EN836" s="1">
        <f>(Table1[[#This Row],[predicted_8]]-Table1[[#This Row],[actual_8]])/Table1[[#This Row],[actual_8]]</f>
        <v>-5.2361396303901436E-2</v>
      </c>
      <c r="EO836" s="1">
        <f>(Table1[[#This Row],[predicted_9]]-Table1[[#This Row],[actual_9]])/Table1[[#This Row],[actual_9]]</f>
        <v>-2.2794846382556987E-2</v>
      </c>
      <c r="EP836" s="1">
        <f>1+(Table1[[#This Row],[error_ratio_0]]-EF$2)</f>
        <v>0.99897959183673468</v>
      </c>
      <c r="EQ836" s="1">
        <f>1+(Table1[[#This Row],[error_ratio_1]]-EG$2)</f>
        <v>0.97709251101321581</v>
      </c>
      <c r="ER836" s="1">
        <f>1+(Table1[[#This Row],[error_ratio_2]]-EH$2)</f>
        <v>1.0532945736434109</v>
      </c>
      <c r="ES836" s="1">
        <f>1+(Table1[[#This Row],[error_ratio_3]]-EI$2)</f>
        <v>1.0712871287128714</v>
      </c>
      <c r="ET836" s="1">
        <f>1+(Table1[[#This Row],[error_ratio_4]]-EJ$2)</f>
        <v>0.91751527494908347</v>
      </c>
      <c r="EU836" s="1">
        <f>1+(Table1[[#This Row],[error_ratio_5]]-EK$2)</f>
        <v>1.0840807174887892</v>
      </c>
      <c r="EV836" s="1">
        <f>1+(Table1[[#This Row],[error_ratio_6]]-EL$2)</f>
        <v>1.0271398747390397</v>
      </c>
      <c r="EW836" s="1">
        <f>1+(Table1[[#This Row],[error_ratio_7]]-EM$2)</f>
        <v>0.94844357976653693</v>
      </c>
      <c r="EX836" s="1">
        <f>1+(Table1[[#This Row],[error_ratio_8]]-EN$2)</f>
        <v>0.95071868583162222</v>
      </c>
      <c r="EY836" s="1">
        <f>1+(Table1[[#This Row],[error_ratio_9]]-EO$2)</f>
        <v>0.98116947472745297</v>
      </c>
    </row>
    <row r="837" spans="1:155" x14ac:dyDescent="0.75">
      <c r="A837">
        <v>10</v>
      </c>
      <c r="B837">
        <v>10</v>
      </c>
      <c r="C837">
        <v>100</v>
      </c>
      <c r="D837">
        <v>100</v>
      </c>
      <c r="E837">
        <v>10</v>
      </c>
      <c r="F837">
        <v>100</v>
      </c>
      <c r="G837">
        <v>100</v>
      </c>
      <c r="H837">
        <v>10</v>
      </c>
      <c r="I837">
        <v>10</v>
      </c>
      <c r="J837">
        <v>10</v>
      </c>
      <c r="K837">
        <v>927</v>
      </c>
      <c r="L837">
        <v>1145</v>
      </c>
      <c r="M837">
        <v>1053</v>
      </c>
      <c r="N837">
        <v>1109</v>
      </c>
      <c r="O837">
        <v>929</v>
      </c>
      <c r="P837">
        <v>1024</v>
      </c>
      <c r="Q837">
        <v>950</v>
      </c>
      <c r="R837">
        <v>972</v>
      </c>
      <c r="S837">
        <v>864</v>
      </c>
      <c r="T837">
        <v>1027</v>
      </c>
      <c r="U837">
        <v>980</v>
      </c>
      <c r="V837">
        <v>1135</v>
      </c>
      <c r="W837">
        <v>1032</v>
      </c>
      <c r="X837">
        <v>1010</v>
      </c>
      <c r="Y837">
        <v>982</v>
      </c>
      <c r="Z837">
        <v>892</v>
      </c>
      <c r="AA837">
        <v>958</v>
      </c>
      <c r="AB837">
        <v>1028</v>
      </c>
      <c r="AC837">
        <v>974</v>
      </c>
      <c r="AD837">
        <v>1009</v>
      </c>
      <c r="AE837">
        <v>911</v>
      </c>
      <c r="AF837">
        <v>0</v>
      </c>
      <c r="AG837">
        <v>2</v>
      </c>
      <c r="AH837">
        <v>4</v>
      </c>
      <c r="AI837">
        <v>0</v>
      </c>
      <c r="AJ837">
        <v>51</v>
      </c>
      <c r="AK837">
        <v>7</v>
      </c>
      <c r="AL837">
        <v>1</v>
      </c>
      <c r="AM837">
        <v>3</v>
      </c>
      <c r="AN837">
        <v>1</v>
      </c>
      <c r="AO837">
        <v>0</v>
      </c>
      <c r="AP837">
        <v>1123</v>
      </c>
      <c r="AQ837">
        <v>0</v>
      </c>
      <c r="AR837">
        <v>6</v>
      </c>
      <c r="AS837">
        <v>0</v>
      </c>
      <c r="AT837">
        <v>5</v>
      </c>
      <c r="AU837">
        <v>1</v>
      </c>
      <c r="AV837">
        <v>0</v>
      </c>
      <c r="AW837">
        <v>0</v>
      </c>
      <c r="AX837">
        <v>0</v>
      </c>
      <c r="AY837">
        <v>4</v>
      </c>
      <c r="AZ837">
        <v>2</v>
      </c>
      <c r="BA837">
        <v>1002</v>
      </c>
      <c r="BB837">
        <v>14</v>
      </c>
      <c r="BC837">
        <v>0</v>
      </c>
      <c r="BD837">
        <v>4</v>
      </c>
      <c r="BE837">
        <v>0</v>
      </c>
      <c r="BF837">
        <v>5</v>
      </c>
      <c r="BG837">
        <v>1</v>
      </c>
      <c r="BH837">
        <v>0</v>
      </c>
      <c r="BI837">
        <v>0</v>
      </c>
      <c r="BJ837">
        <v>0</v>
      </c>
      <c r="BK837">
        <v>1</v>
      </c>
      <c r="BL837">
        <v>1005</v>
      </c>
      <c r="BM837">
        <v>0</v>
      </c>
      <c r="BN837">
        <v>3</v>
      </c>
      <c r="BO837">
        <v>0</v>
      </c>
      <c r="BP837">
        <v>1</v>
      </c>
      <c r="BQ837">
        <v>0</v>
      </c>
      <c r="BR837">
        <v>0</v>
      </c>
      <c r="BS837">
        <v>1</v>
      </c>
      <c r="BT837">
        <v>6</v>
      </c>
      <c r="BU837">
        <v>12</v>
      </c>
      <c r="BV837">
        <v>1</v>
      </c>
      <c r="BW837">
        <v>920</v>
      </c>
      <c r="BX837">
        <v>0</v>
      </c>
      <c r="BY837">
        <v>6</v>
      </c>
      <c r="BZ837">
        <v>0</v>
      </c>
      <c r="CA837">
        <v>2</v>
      </c>
      <c r="CB837">
        <v>34</v>
      </c>
      <c r="CC837">
        <v>0</v>
      </c>
      <c r="CD837">
        <v>0</v>
      </c>
      <c r="CE837">
        <v>0</v>
      </c>
      <c r="CF837">
        <v>12</v>
      </c>
      <c r="CG837">
        <v>0</v>
      </c>
      <c r="CH837">
        <v>880</v>
      </c>
      <c r="CI837">
        <v>0</v>
      </c>
      <c r="CJ837">
        <v>0</v>
      </c>
      <c r="CK837">
        <v>0</v>
      </c>
      <c r="CL837">
        <v>0</v>
      </c>
      <c r="CM837">
        <v>5</v>
      </c>
      <c r="CN837">
        <v>2</v>
      </c>
      <c r="CO837">
        <v>0</v>
      </c>
      <c r="CP837">
        <v>1</v>
      </c>
      <c r="CQ837">
        <v>2</v>
      </c>
      <c r="CR837">
        <v>15</v>
      </c>
      <c r="CS837">
        <v>933</v>
      </c>
      <c r="CT837">
        <v>0</v>
      </c>
      <c r="CU837">
        <v>0</v>
      </c>
      <c r="CV837">
        <v>0</v>
      </c>
      <c r="CW837">
        <v>1</v>
      </c>
      <c r="CX837">
        <v>5</v>
      </c>
      <c r="CY837">
        <v>29</v>
      </c>
      <c r="CZ837">
        <v>14</v>
      </c>
      <c r="DA837">
        <v>1</v>
      </c>
      <c r="DB837">
        <v>6</v>
      </c>
      <c r="DC837">
        <v>0</v>
      </c>
      <c r="DD837">
        <v>959</v>
      </c>
      <c r="DE837">
        <v>1</v>
      </c>
      <c r="DF837">
        <v>12</v>
      </c>
      <c r="DG837">
        <v>1</v>
      </c>
      <c r="DH837">
        <v>1</v>
      </c>
      <c r="DI837">
        <v>7</v>
      </c>
      <c r="DJ837">
        <v>38</v>
      </c>
      <c r="DK837">
        <v>4</v>
      </c>
      <c r="DL837">
        <v>41</v>
      </c>
      <c r="DM837">
        <v>2</v>
      </c>
      <c r="DN837">
        <v>4</v>
      </c>
      <c r="DO837">
        <v>857</v>
      </c>
      <c r="DP837">
        <v>19</v>
      </c>
      <c r="DQ837">
        <v>4</v>
      </c>
      <c r="DR837">
        <v>6</v>
      </c>
      <c r="DS837">
        <v>0</v>
      </c>
      <c r="DT837">
        <v>14</v>
      </c>
      <c r="DU837">
        <v>2</v>
      </c>
      <c r="DV837">
        <v>19</v>
      </c>
      <c r="DW837">
        <v>1</v>
      </c>
      <c r="DX837">
        <v>2</v>
      </c>
      <c r="DY837">
        <v>0</v>
      </c>
      <c r="DZ837">
        <v>961</v>
      </c>
      <c r="EA837">
        <v>0.95509999999999995</v>
      </c>
      <c r="EB837">
        <v>0.95673660610547195</v>
      </c>
      <c r="EC837">
        <v>0.95474978034320801</v>
      </c>
      <c r="ED837">
        <v>0.95451845104557698</v>
      </c>
      <c r="EE837">
        <f>SUM(Table1[[#This Row],[ratio_0]:[ratio_9]])</f>
        <v>460</v>
      </c>
      <c r="EF837" s="1">
        <f>(Table1[[#This Row],[predicted_0]]-Table1[[#This Row],[actual_0]])/Table1[[#This Row],[actual_0]]</f>
        <v>-5.4081632653061228E-2</v>
      </c>
      <c r="EG837" s="1">
        <f>(Table1[[#This Row],[predicted_1]]-Table1[[#This Row],[actual_1]])/Table1[[#This Row],[actual_1]]</f>
        <v>8.8105726872246704E-3</v>
      </c>
      <c r="EH837" s="1">
        <f>(Table1[[#This Row],[predicted_2]]-Table1[[#This Row],[actual_2]])/Table1[[#This Row],[actual_2]]</f>
        <v>2.0348837209302327E-2</v>
      </c>
      <c r="EI837" s="1">
        <f>(Table1[[#This Row],[predicted_3]]-Table1[[#This Row],[actual_3]])/Table1[[#This Row],[actual_3]]</f>
        <v>9.8019801980198024E-2</v>
      </c>
      <c r="EJ837" s="1">
        <f>(Table1[[#This Row],[predicted_4]]-Table1[[#This Row],[actual_4]])/Table1[[#This Row],[actual_4]]</f>
        <v>-5.3971486761710798E-2</v>
      </c>
      <c r="EK837" s="1">
        <f>(Table1[[#This Row],[predicted_5]]-Table1[[#This Row],[actual_5]])/Table1[[#This Row],[actual_5]]</f>
        <v>0.14798206278026907</v>
      </c>
      <c r="EL837" s="1">
        <f>(Table1[[#This Row],[predicted_6]]-Table1[[#This Row],[actual_6]])/Table1[[#This Row],[actual_6]]</f>
        <v>-8.350730688935281E-3</v>
      </c>
      <c r="EM837" s="1">
        <f>(Table1[[#This Row],[predicted_7]]-Table1[[#This Row],[actual_7]])/Table1[[#This Row],[actual_7]]</f>
        <v>-5.4474708171206226E-2</v>
      </c>
      <c r="EN837" s="1">
        <f>(Table1[[#This Row],[predicted_8]]-Table1[[#This Row],[actual_8]])/Table1[[#This Row],[actual_8]]</f>
        <v>-0.11293634496919917</v>
      </c>
      <c r="EO837" s="1">
        <f>(Table1[[#This Row],[predicted_9]]-Table1[[#This Row],[actual_9]])/Table1[[#This Row],[actual_9]]</f>
        <v>1.7839444995044598E-2</v>
      </c>
      <c r="EP837" s="1">
        <f>1+(Table1[[#This Row],[error_ratio_0]]-EF$2)</f>
        <v>0.94387755102040816</v>
      </c>
      <c r="EQ837" s="1">
        <f>1+(Table1[[#This Row],[error_ratio_1]]-EG$2)</f>
        <v>1.0070484581497798</v>
      </c>
      <c r="ER837" s="1">
        <f>1+(Table1[[#This Row],[error_ratio_2]]-EH$2)</f>
        <v>1.0251937984496124</v>
      </c>
      <c r="ES837" s="1">
        <f>1+(Table1[[#This Row],[error_ratio_3]]-EI$2)</f>
        <v>1.0881188118811882</v>
      </c>
      <c r="ET837" s="1">
        <f>1+(Table1[[#This Row],[error_ratio_4]]-EJ$2)</f>
        <v>0.94501018329938902</v>
      </c>
      <c r="EU837" s="1">
        <f>1+(Table1[[#This Row],[error_ratio_5]]-EK$2)</f>
        <v>1.1468609865470851</v>
      </c>
      <c r="EV837" s="1">
        <f>1+(Table1[[#This Row],[error_ratio_6]]-EL$2)</f>
        <v>0.9979123173277662</v>
      </c>
      <c r="EW837" s="1">
        <f>1+(Table1[[#This Row],[error_ratio_7]]-EM$2)</f>
        <v>0.94357976653696496</v>
      </c>
      <c r="EX837" s="1">
        <f>1+(Table1[[#This Row],[error_ratio_8]]-EN$2)</f>
        <v>0.89014373716632444</v>
      </c>
      <c r="EY837" s="1">
        <f>1+(Table1[[#This Row],[error_ratio_9]]-EO$2)</f>
        <v>1.0218037661050545</v>
      </c>
    </row>
    <row r="838" spans="1:155" x14ac:dyDescent="0.75">
      <c r="A838">
        <v>100</v>
      </c>
      <c r="B838">
        <v>100</v>
      </c>
      <c r="C838">
        <v>10</v>
      </c>
      <c r="D838">
        <v>100</v>
      </c>
      <c r="E838">
        <v>10</v>
      </c>
      <c r="F838">
        <v>100</v>
      </c>
      <c r="G838">
        <v>100</v>
      </c>
      <c r="H838">
        <v>10</v>
      </c>
      <c r="I838">
        <v>10</v>
      </c>
      <c r="J838">
        <v>10</v>
      </c>
      <c r="K838">
        <v>1016</v>
      </c>
      <c r="L838">
        <v>1313</v>
      </c>
      <c r="M838">
        <v>953</v>
      </c>
      <c r="N838">
        <v>1042</v>
      </c>
      <c r="O838">
        <v>1008</v>
      </c>
      <c r="P838">
        <v>969</v>
      </c>
      <c r="Q838">
        <v>969</v>
      </c>
      <c r="R838">
        <v>882</v>
      </c>
      <c r="S838">
        <v>900</v>
      </c>
      <c r="T838">
        <v>948</v>
      </c>
      <c r="U838">
        <v>980</v>
      </c>
      <c r="V838">
        <v>1135</v>
      </c>
      <c r="W838">
        <v>1032</v>
      </c>
      <c r="X838">
        <v>1010</v>
      </c>
      <c r="Y838">
        <v>982</v>
      </c>
      <c r="Z838">
        <v>892</v>
      </c>
      <c r="AA838">
        <v>958</v>
      </c>
      <c r="AB838">
        <v>1028</v>
      </c>
      <c r="AC838">
        <v>974</v>
      </c>
      <c r="AD838">
        <v>1009</v>
      </c>
      <c r="AE838">
        <v>974</v>
      </c>
      <c r="AF838">
        <v>0</v>
      </c>
      <c r="AG838">
        <v>0</v>
      </c>
      <c r="AH838">
        <v>0</v>
      </c>
      <c r="AI838">
        <v>0</v>
      </c>
      <c r="AJ838">
        <v>1</v>
      </c>
      <c r="AK838">
        <v>4</v>
      </c>
      <c r="AL838">
        <v>0</v>
      </c>
      <c r="AM838">
        <v>0</v>
      </c>
      <c r="AN838">
        <v>1</v>
      </c>
      <c r="AO838">
        <v>0</v>
      </c>
      <c r="AP838">
        <v>1134</v>
      </c>
      <c r="AQ838">
        <v>0</v>
      </c>
      <c r="AR838">
        <v>0</v>
      </c>
      <c r="AS838">
        <v>0</v>
      </c>
      <c r="AT838">
        <v>1</v>
      </c>
      <c r="AU838">
        <v>0</v>
      </c>
      <c r="AV838">
        <v>0</v>
      </c>
      <c r="AW838">
        <v>0</v>
      </c>
      <c r="AX838">
        <v>0</v>
      </c>
      <c r="AY838">
        <v>9</v>
      </c>
      <c r="AZ838">
        <v>82</v>
      </c>
      <c r="BA838">
        <v>915</v>
      </c>
      <c r="BB838">
        <v>16</v>
      </c>
      <c r="BC838">
        <v>1</v>
      </c>
      <c r="BD838">
        <v>2</v>
      </c>
      <c r="BE838">
        <v>4</v>
      </c>
      <c r="BF838">
        <v>3</v>
      </c>
      <c r="BG838">
        <v>0</v>
      </c>
      <c r="BH838">
        <v>0</v>
      </c>
      <c r="BI838">
        <v>1</v>
      </c>
      <c r="BJ838">
        <v>0</v>
      </c>
      <c r="BK838">
        <v>1</v>
      </c>
      <c r="BL838">
        <v>1000</v>
      </c>
      <c r="BM838">
        <v>0</v>
      </c>
      <c r="BN838">
        <v>6</v>
      </c>
      <c r="BO838">
        <v>0</v>
      </c>
      <c r="BP838">
        <v>0</v>
      </c>
      <c r="BQ838">
        <v>2</v>
      </c>
      <c r="BR838">
        <v>0</v>
      </c>
      <c r="BS838">
        <v>3</v>
      </c>
      <c r="BT838">
        <v>4</v>
      </c>
      <c r="BU838">
        <v>1</v>
      </c>
      <c r="BV838">
        <v>0</v>
      </c>
      <c r="BW838">
        <v>953</v>
      </c>
      <c r="BX838">
        <v>0</v>
      </c>
      <c r="BY838">
        <v>7</v>
      </c>
      <c r="BZ838">
        <v>0</v>
      </c>
      <c r="CA838">
        <v>0</v>
      </c>
      <c r="CB838">
        <v>14</v>
      </c>
      <c r="CC838">
        <v>2</v>
      </c>
      <c r="CD838">
        <v>0</v>
      </c>
      <c r="CE838">
        <v>0</v>
      </c>
      <c r="CF838">
        <v>2</v>
      </c>
      <c r="CG838">
        <v>0</v>
      </c>
      <c r="CH838">
        <v>886</v>
      </c>
      <c r="CI838">
        <v>1</v>
      </c>
      <c r="CJ838">
        <v>0</v>
      </c>
      <c r="CK838">
        <v>1</v>
      </c>
      <c r="CL838">
        <v>0</v>
      </c>
      <c r="CM838">
        <v>4</v>
      </c>
      <c r="CN838">
        <v>2</v>
      </c>
      <c r="CO838">
        <v>0</v>
      </c>
      <c r="CP838">
        <v>0</v>
      </c>
      <c r="CQ838">
        <v>1</v>
      </c>
      <c r="CR838">
        <v>5</v>
      </c>
      <c r="CS838">
        <v>946</v>
      </c>
      <c r="CT838">
        <v>0</v>
      </c>
      <c r="CU838">
        <v>0</v>
      </c>
      <c r="CV838">
        <v>0</v>
      </c>
      <c r="CW838">
        <v>6</v>
      </c>
      <c r="CX838">
        <v>54</v>
      </c>
      <c r="CY838">
        <v>31</v>
      </c>
      <c r="CZ838">
        <v>14</v>
      </c>
      <c r="DA838">
        <v>8</v>
      </c>
      <c r="DB838">
        <v>16</v>
      </c>
      <c r="DC838">
        <v>0</v>
      </c>
      <c r="DD838">
        <v>875</v>
      </c>
      <c r="DE838">
        <v>1</v>
      </c>
      <c r="DF838">
        <v>23</v>
      </c>
      <c r="DG838">
        <v>11</v>
      </c>
      <c r="DH838">
        <v>20</v>
      </c>
      <c r="DI838">
        <v>5</v>
      </c>
      <c r="DJ838">
        <v>1</v>
      </c>
      <c r="DK838">
        <v>6</v>
      </c>
      <c r="DL838">
        <v>20</v>
      </c>
      <c r="DM838">
        <v>6</v>
      </c>
      <c r="DN838">
        <v>1</v>
      </c>
      <c r="DO838">
        <v>894</v>
      </c>
      <c r="DP838">
        <v>10</v>
      </c>
      <c r="DQ838">
        <v>6</v>
      </c>
      <c r="DR838">
        <v>17</v>
      </c>
      <c r="DS838">
        <v>0</v>
      </c>
      <c r="DT838">
        <v>9</v>
      </c>
      <c r="DU838">
        <v>39</v>
      </c>
      <c r="DV838">
        <v>32</v>
      </c>
      <c r="DW838">
        <v>1</v>
      </c>
      <c r="DX838">
        <v>3</v>
      </c>
      <c r="DY838">
        <v>2</v>
      </c>
      <c r="DZ838">
        <v>900</v>
      </c>
      <c r="EA838">
        <v>0.94769999999999999</v>
      </c>
      <c r="EB838">
        <v>0.95129605133013695</v>
      </c>
      <c r="EC838">
        <v>0.94819433302821698</v>
      </c>
      <c r="ED838">
        <v>0.948091235620654</v>
      </c>
      <c r="EE838">
        <f>SUM(Table1[[#This Row],[ratio_0]:[ratio_9]])</f>
        <v>550</v>
      </c>
      <c r="EF838" s="1">
        <f>(Table1[[#This Row],[predicted_0]]-Table1[[#This Row],[actual_0]])/Table1[[#This Row],[actual_0]]</f>
        <v>3.6734693877551024E-2</v>
      </c>
      <c r="EG838" s="1">
        <f>(Table1[[#This Row],[predicted_1]]-Table1[[#This Row],[actual_1]])/Table1[[#This Row],[actual_1]]</f>
        <v>0.15682819383259911</v>
      </c>
      <c r="EH838" s="1">
        <f>(Table1[[#This Row],[predicted_2]]-Table1[[#This Row],[actual_2]])/Table1[[#This Row],[actual_2]]</f>
        <v>-7.6550387596899222E-2</v>
      </c>
      <c r="EI838" s="1">
        <f>(Table1[[#This Row],[predicted_3]]-Table1[[#This Row],[actual_3]])/Table1[[#This Row],[actual_3]]</f>
        <v>3.1683168316831684E-2</v>
      </c>
      <c r="EJ838" s="1">
        <f>(Table1[[#This Row],[predicted_4]]-Table1[[#This Row],[actual_4]])/Table1[[#This Row],[actual_4]]</f>
        <v>2.6476578411405296E-2</v>
      </c>
      <c r="EK838" s="1">
        <f>(Table1[[#This Row],[predicted_5]]-Table1[[#This Row],[actual_5]])/Table1[[#This Row],[actual_5]]</f>
        <v>8.632286995515695E-2</v>
      </c>
      <c r="EL838" s="1">
        <f>(Table1[[#This Row],[predicted_6]]-Table1[[#This Row],[actual_6]])/Table1[[#This Row],[actual_6]]</f>
        <v>1.1482254697286013E-2</v>
      </c>
      <c r="EM838" s="1">
        <f>(Table1[[#This Row],[predicted_7]]-Table1[[#This Row],[actual_7]])/Table1[[#This Row],[actual_7]]</f>
        <v>-0.14202334630350194</v>
      </c>
      <c r="EN838" s="1">
        <f>(Table1[[#This Row],[predicted_8]]-Table1[[#This Row],[actual_8]])/Table1[[#This Row],[actual_8]]</f>
        <v>-7.5975359342915813E-2</v>
      </c>
      <c r="EO838" s="1">
        <f>(Table1[[#This Row],[predicted_9]]-Table1[[#This Row],[actual_9]])/Table1[[#This Row],[actual_9]]</f>
        <v>-6.0455896927651138E-2</v>
      </c>
      <c r="EP838" s="1">
        <f>1+(Table1[[#This Row],[error_ratio_0]]-EF$2)</f>
        <v>1.0346938775510204</v>
      </c>
      <c r="EQ838" s="1">
        <f>1+(Table1[[#This Row],[error_ratio_1]]-EG$2)</f>
        <v>1.1550660792951541</v>
      </c>
      <c r="ER838" s="1">
        <f>1+(Table1[[#This Row],[error_ratio_2]]-EH$2)</f>
        <v>0.92829457364341084</v>
      </c>
      <c r="ES838" s="1">
        <f>1+(Table1[[#This Row],[error_ratio_3]]-EI$2)</f>
        <v>1.0217821782178218</v>
      </c>
      <c r="ET838" s="1">
        <f>1+(Table1[[#This Row],[error_ratio_4]]-EJ$2)</f>
        <v>1.025458248472505</v>
      </c>
      <c r="EU838" s="1">
        <f>1+(Table1[[#This Row],[error_ratio_5]]-EK$2)</f>
        <v>1.0852017937219731</v>
      </c>
      <c r="EV838" s="1">
        <f>1+(Table1[[#This Row],[error_ratio_6]]-EL$2)</f>
        <v>1.0177453027139876</v>
      </c>
      <c r="EW838" s="1">
        <f>1+(Table1[[#This Row],[error_ratio_7]]-EM$2)</f>
        <v>0.85603112840466933</v>
      </c>
      <c r="EX838" s="1">
        <f>1+(Table1[[#This Row],[error_ratio_8]]-EN$2)</f>
        <v>0.9271047227926078</v>
      </c>
      <c r="EY838" s="1">
        <f>1+(Table1[[#This Row],[error_ratio_9]]-EO$2)</f>
        <v>0.94350842418235881</v>
      </c>
    </row>
    <row r="839" spans="1:155" x14ac:dyDescent="0.75">
      <c r="A839">
        <v>100</v>
      </c>
      <c r="B839">
        <v>10</v>
      </c>
      <c r="C839">
        <v>10</v>
      </c>
      <c r="D839">
        <v>100</v>
      </c>
      <c r="E839">
        <v>10</v>
      </c>
      <c r="F839">
        <v>100</v>
      </c>
      <c r="G839">
        <v>100</v>
      </c>
      <c r="H839">
        <v>10</v>
      </c>
      <c r="I839">
        <v>10</v>
      </c>
      <c r="J839">
        <v>10</v>
      </c>
      <c r="K839">
        <v>1055</v>
      </c>
      <c r="L839">
        <v>1149</v>
      </c>
      <c r="M839">
        <v>1001</v>
      </c>
      <c r="N839">
        <v>1104</v>
      </c>
      <c r="O839">
        <v>935</v>
      </c>
      <c r="P839">
        <v>972</v>
      </c>
      <c r="Q839">
        <v>979</v>
      </c>
      <c r="R839">
        <v>1058</v>
      </c>
      <c r="S839">
        <v>777</v>
      </c>
      <c r="T839">
        <v>970</v>
      </c>
      <c r="U839">
        <v>980</v>
      </c>
      <c r="V839">
        <v>1135</v>
      </c>
      <c r="W839">
        <v>1032</v>
      </c>
      <c r="X839">
        <v>1010</v>
      </c>
      <c r="Y839">
        <v>982</v>
      </c>
      <c r="Z839">
        <v>892</v>
      </c>
      <c r="AA839">
        <v>958</v>
      </c>
      <c r="AB839">
        <v>1028</v>
      </c>
      <c r="AC839">
        <v>974</v>
      </c>
      <c r="AD839">
        <v>1009</v>
      </c>
      <c r="AE839">
        <v>980</v>
      </c>
      <c r="AF839">
        <v>0</v>
      </c>
      <c r="AG839">
        <v>0</v>
      </c>
      <c r="AH839">
        <v>0</v>
      </c>
      <c r="AI839">
        <v>0</v>
      </c>
      <c r="AJ839">
        <v>0</v>
      </c>
      <c r="AK839">
        <v>0</v>
      </c>
      <c r="AL839">
        <v>0</v>
      </c>
      <c r="AM839">
        <v>0</v>
      </c>
      <c r="AN839">
        <v>0</v>
      </c>
      <c r="AO839">
        <v>0</v>
      </c>
      <c r="AP839">
        <v>1119</v>
      </c>
      <c r="AQ839">
        <v>3</v>
      </c>
      <c r="AR839">
        <v>5</v>
      </c>
      <c r="AS839">
        <v>0</v>
      </c>
      <c r="AT839">
        <v>2</v>
      </c>
      <c r="AU839">
        <v>5</v>
      </c>
      <c r="AV839">
        <v>0</v>
      </c>
      <c r="AW839">
        <v>1</v>
      </c>
      <c r="AX839">
        <v>0</v>
      </c>
      <c r="AY839">
        <v>31</v>
      </c>
      <c r="AZ839">
        <v>12</v>
      </c>
      <c r="BA839">
        <v>955</v>
      </c>
      <c r="BB839">
        <v>10</v>
      </c>
      <c r="BC839">
        <v>1</v>
      </c>
      <c r="BD839">
        <v>3</v>
      </c>
      <c r="BE839">
        <v>10</v>
      </c>
      <c r="BF839">
        <v>10</v>
      </c>
      <c r="BG839">
        <v>0</v>
      </c>
      <c r="BH839">
        <v>0</v>
      </c>
      <c r="BI839">
        <v>0</v>
      </c>
      <c r="BJ839">
        <v>0</v>
      </c>
      <c r="BK839">
        <v>1</v>
      </c>
      <c r="BL839">
        <v>996</v>
      </c>
      <c r="BM839">
        <v>0</v>
      </c>
      <c r="BN839">
        <v>8</v>
      </c>
      <c r="BO839">
        <v>0</v>
      </c>
      <c r="BP839">
        <v>5</v>
      </c>
      <c r="BQ839">
        <v>0</v>
      </c>
      <c r="BR839">
        <v>0</v>
      </c>
      <c r="BS839">
        <v>8</v>
      </c>
      <c r="BT839">
        <v>3</v>
      </c>
      <c r="BU839">
        <v>1</v>
      </c>
      <c r="BV839">
        <v>1</v>
      </c>
      <c r="BW839">
        <v>922</v>
      </c>
      <c r="BX839">
        <v>0</v>
      </c>
      <c r="BY839">
        <v>13</v>
      </c>
      <c r="BZ839">
        <v>2</v>
      </c>
      <c r="CA839">
        <v>1</v>
      </c>
      <c r="CB839">
        <v>31</v>
      </c>
      <c r="CC839">
        <v>2</v>
      </c>
      <c r="CD839">
        <v>0</v>
      </c>
      <c r="CE839">
        <v>0</v>
      </c>
      <c r="CF839">
        <v>4</v>
      </c>
      <c r="CG839">
        <v>0</v>
      </c>
      <c r="CH839">
        <v>885</v>
      </c>
      <c r="CI839">
        <v>1</v>
      </c>
      <c r="CJ839">
        <v>0</v>
      </c>
      <c r="CK839">
        <v>0</v>
      </c>
      <c r="CL839">
        <v>0</v>
      </c>
      <c r="CM839">
        <v>6</v>
      </c>
      <c r="CN839">
        <v>2</v>
      </c>
      <c r="CO839">
        <v>0</v>
      </c>
      <c r="CP839">
        <v>0</v>
      </c>
      <c r="CQ839">
        <v>1</v>
      </c>
      <c r="CR839">
        <v>5</v>
      </c>
      <c r="CS839">
        <v>944</v>
      </c>
      <c r="CT839">
        <v>0</v>
      </c>
      <c r="CU839">
        <v>0</v>
      </c>
      <c r="CV839">
        <v>0</v>
      </c>
      <c r="CW839">
        <v>4</v>
      </c>
      <c r="CX839">
        <v>6</v>
      </c>
      <c r="CY839">
        <v>17</v>
      </c>
      <c r="CZ839">
        <v>4</v>
      </c>
      <c r="DA839">
        <v>0</v>
      </c>
      <c r="DB839">
        <v>6</v>
      </c>
      <c r="DC839">
        <v>0</v>
      </c>
      <c r="DD839">
        <v>988</v>
      </c>
      <c r="DE839">
        <v>0</v>
      </c>
      <c r="DF839">
        <v>3</v>
      </c>
      <c r="DG839">
        <v>17</v>
      </c>
      <c r="DH839">
        <v>1</v>
      </c>
      <c r="DI839">
        <v>24</v>
      </c>
      <c r="DJ839">
        <v>73</v>
      </c>
      <c r="DK839">
        <v>5</v>
      </c>
      <c r="DL839">
        <v>40</v>
      </c>
      <c r="DM839">
        <v>4</v>
      </c>
      <c r="DN839">
        <v>24</v>
      </c>
      <c r="DO839">
        <v>775</v>
      </c>
      <c r="DP839">
        <v>11</v>
      </c>
      <c r="DQ839">
        <v>7</v>
      </c>
      <c r="DR839">
        <v>6</v>
      </c>
      <c r="DS839">
        <v>0</v>
      </c>
      <c r="DT839">
        <v>11</v>
      </c>
      <c r="DU839">
        <v>6</v>
      </c>
      <c r="DV839">
        <v>23</v>
      </c>
      <c r="DW839">
        <v>2</v>
      </c>
      <c r="DX839">
        <v>29</v>
      </c>
      <c r="DY839">
        <v>0</v>
      </c>
      <c r="DZ839">
        <v>925</v>
      </c>
      <c r="EA839">
        <v>0.94889999999999997</v>
      </c>
      <c r="EB839">
        <v>0.95047311508389998</v>
      </c>
      <c r="EC839">
        <v>0.94873948216526005</v>
      </c>
      <c r="ED839">
        <v>0.94782777791806905</v>
      </c>
      <c r="EE839">
        <f>SUM(Table1[[#This Row],[ratio_0]:[ratio_9]])</f>
        <v>460</v>
      </c>
      <c r="EF839" s="1">
        <f>(Table1[[#This Row],[predicted_0]]-Table1[[#This Row],[actual_0]])/Table1[[#This Row],[actual_0]]</f>
        <v>7.6530612244897961E-2</v>
      </c>
      <c r="EG839" s="1">
        <f>(Table1[[#This Row],[predicted_1]]-Table1[[#This Row],[actual_1]])/Table1[[#This Row],[actual_1]]</f>
        <v>1.2334801762114538E-2</v>
      </c>
      <c r="EH839" s="1">
        <f>(Table1[[#This Row],[predicted_2]]-Table1[[#This Row],[actual_2]])/Table1[[#This Row],[actual_2]]</f>
        <v>-3.0038759689922482E-2</v>
      </c>
      <c r="EI839" s="1">
        <f>(Table1[[#This Row],[predicted_3]]-Table1[[#This Row],[actual_3]])/Table1[[#This Row],[actual_3]]</f>
        <v>9.3069306930693069E-2</v>
      </c>
      <c r="EJ839" s="1">
        <f>(Table1[[#This Row],[predicted_4]]-Table1[[#This Row],[actual_4]])/Table1[[#This Row],[actual_4]]</f>
        <v>-4.7861507128309569E-2</v>
      </c>
      <c r="EK839" s="1">
        <f>(Table1[[#This Row],[predicted_5]]-Table1[[#This Row],[actual_5]])/Table1[[#This Row],[actual_5]]</f>
        <v>8.9686098654708515E-2</v>
      </c>
      <c r="EL839" s="1">
        <f>(Table1[[#This Row],[predicted_6]]-Table1[[#This Row],[actual_6]])/Table1[[#This Row],[actual_6]]</f>
        <v>2.1920668058455117E-2</v>
      </c>
      <c r="EM839" s="1">
        <f>(Table1[[#This Row],[predicted_7]]-Table1[[#This Row],[actual_7]])/Table1[[#This Row],[actual_7]]</f>
        <v>2.9182879377431907E-2</v>
      </c>
      <c r="EN839" s="1">
        <f>(Table1[[#This Row],[predicted_8]]-Table1[[#This Row],[actual_8]])/Table1[[#This Row],[actual_8]]</f>
        <v>-0.20225872689938398</v>
      </c>
      <c r="EO839" s="1">
        <f>(Table1[[#This Row],[predicted_9]]-Table1[[#This Row],[actual_9]])/Table1[[#This Row],[actual_9]]</f>
        <v>-3.865213082259663E-2</v>
      </c>
      <c r="EP839" s="1">
        <f>1+(Table1[[#This Row],[error_ratio_0]]-EF$2)</f>
        <v>1.0744897959183675</v>
      </c>
      <c r="EQ839" s="1">
        <f>1+(Table1[[#This Row],[error_ratio_1]]-EG$2)</f>
        <v>1.0105726872246696</v>
      </c>
      <c r="ER839" s="1">
        <f>1+(Table1[[#This Row],[error_ratio_2]]-EH$2)</f>
        <v>0.97480620155038755</v>
      </c>
      <c r="ES839" s="1">
        <f>1+(Table1[[#This Row],[error_ratio_3]]-EI$2)</f>
        <v>1.0831683168316832</v>
      </c>
      <c r="ET839" s="1">
        <f>1+(Table1[[#This Row],[error_ratio_4]]-EJ$2)</f>
        <v>0.95112016293279023</v>
      </c>
      <c r="EU839" s="1">
        <f>1+(Table1[[#This Row],[error_ratio_5]]-EK$2)</f>
        <v>1.0885650224215246</v>
      </c>
      <c r="EV839" s="1">
        <f>1+(Table1[[#This Row],[error_ratio_6]]-EL$2)</f>
        <v>1.0281837160751566</v>
      </c>
      <c r="EW839" s="1">
        <f>1+(Table1[[#This Row],[error_ratio_7]]-EM$2)</f>
        <v>1.027237354085603</v>
      </c>
      <c r="EX839" s="1">
        <f>1+(Table1[[#This Row],[error_ratio_8]]-EN$2)</f>
        <v>0.80082135523613962</v>
      </c>
      <c r="EY839" s="1">
        <f>1+(Table1[[#This Row],[error_ratio_9]]-EO$2)</f>
        <v>0.96531219028741333</v>
      </c>
    </row>
    <row r="840" spans="1:155" x14ac:dyDescent="0.75">
      <c r="A840">
        <v>10</v>
      </c>
      <c r="B840">
        <v>10</v>
      </c>
      <c r="C840">
        <v>10</v>
      </c>
      <c r="D840">
        <v>100</v>
      </c>
      <c r="E840">
        <v>10</v>
      </c>
      <c r="F840">
        <v>100</v>
      </c>
      <c r="G840">
        <v>100</v>
      </c>
      <c r="H840">
        <v>10</v>
      </c>
      <c r="I840">
        <v>10</v>
      </c>
      <c r="J840">
        <v>10</v>
      </c>
      <c r="K840">
        <v>991</v>
      </c>
      <c r="L840">
        <v>1122</v>
      </c>
      <c r="M840">
        <v>1006</v>
      </c>
      <c r="N840">
        <v>1045</v>
      </c>
      <c r="O840">
        <v>966</v>
      </c>
      <c r="P840">
        <v>910</v>
      </c>
      <c r="Q840">
        <v>964</v>
      </c>
      <c r="R840">
        <v>1035</v>
      </c>
      <c r="S840">
        <v>955</v>
      </c>
      <c r="T840">
        <v>1006</v>
      </c>
      <c r="U840">
        <v>980</v>
      </c>
      <c r="V840">
        <v>1135</v>
      </c>
      <c r="W840">
        <v>1032</v>
      </c>
      <c r="X840">
        <v>1010</v>
      </c>
      <c r="Y840">
        <v>982</v>
      </c>
      <c r="Z840">
        <v>892</v>
      </c>
      <c r="AA840">
        <v>958</v>
      </c>
      <c r="AB840">
        <v>1028</v>
      </c>
      <c r="AC840">
        <v>974</v>
      </c>
      <c r="AD840">
        <v>1009</v>
      </c>
      <c r="AE840">
        <v>966</v>
      </c>
      <c r="AF840">
        <v>0</v>
      </c>
      <c r="AG840">
        <v>0</v>
      </c>
      <c r="AH840">
        <v>0</v>
      </c>
      <c r="AI840">
        <v>1</v>
      </c>
      <c r="AJ840">
        <v>1</v>
      </c>
      <c r="AK840">
        <v>3</v>
      </c>
      <c r="AL840">
        <v>2</v>
      </c>
      <c r="AM840">
        <v>5</v>
      </c>
      <c r="AN840">
        <v>2</v>
      </c>
      <c r="AO840">
        <v>0</v>
      </c>
      <c r="AP840">
        <v>1111</v>
      </c>
      <c r="AQ840">
        <v>1</v>
      </c>
      <c r="AR840">
        <v>10</v>
      </c>
      <c r="AS840">
        <v>0</v>
      </c>
      <c r="AT840">
        <v>2</v>
      </c>
      <c r="AU840">
        <v>3</v>
      </c>
      <c r="AV840">
        <v>1</v>
      </c>
      <c r="AW840">
        <v>7</v>
      </c>
      <c r="AX840">
        <v>0</v>
      </c>
      <c r="AY840">
        <v>4</v>
      </c>
      <c r="AZ840">
        <v>1</v>
      </c>
      <c r="BA840">
        <v>980</v>
      </c>
      <c r="BB840">
        <v>11</v>
      </c>
      <c r="BC840">
        <v>1</v>
      </c>
      <c r="BD840">
        <v>1</v>
      </c>
      <c r="BE840">
        <v>1</v>
      </c>
      <c r="BF840">
        <v>20</v>
      </c>
      <c r="BG840">
        <v>13</v>
      </c>
      <c r="BH840">
        <v>0</v>
      </c>
      <c r="BI840">
        <v>0</v>
      </c>
      <c r="BJ840">
        <v>0</v>
      </c>
      <c r="BK840">
        <v>2</v>
      </c>
      <c r="BL840">
        <v>1001</v>
      </c>
      <c r="BM840">
        <v>0</v>
      </c>
      <c r="BN840">
        <v>2</v>
      </c>
      <c r="BO840">
        <v>0</v>
      </c>
      <c r="BP840">
        <v>5</v>
      </c>
      <c r="BQ840">
        <v>0</v>
      </c>
      <c r="BR840">
        <v>0</v>
      </c>
      <c r="BS840">
        <v>1</v>
      </c>
      <c r="BT840">
        <v>1</v>
      </c>
      <c r="BU840">
        <v>5</v>
      </c>
      <c r="BV840">
        <v>0</v>
      </c>
      <c r="BW840">
        <v>954</v>
      </c>
      <c r="BX840">
        <v>0</v>
      </c>
      <c r="BY840">
        <v>9</v>
      </c>
      <c r="BZ840">
        <v>1</v>
      </c>
      <c r="CA840">
        <v>1</v>
      </c>
      <c r="CB840">
        <v>10</v>
      </c>
      <c r="CC840">
        <v>1</v>
      </c>
      <c r="CD840">
        <v>0</v>
      </c>
      <c r="CE840">
        <v>0</v>
      </c>
      <c r="CF840">
        <v>6</v>
      </c>
      <c r="CG840">
        <v>0</v>
      </c>
      <c r="CH840">
        <v>884</v>
      </c>
      <c r="CI840">
        <v>1</v>
      </c>
      <c r="CJ840">
        <v>0</v>
      </c>
      <c r="CK840">
        <v>0</v>
      </c>
      <c r="CL840">
        <v>0</v>
      </c>
      <c r="CM840">
        <v>7</v>
      </c>
      <c r="CN840">
        <v>2</v>
      </c>
      <c r="CO840">
        <v>0</v>
      </c>
      <c r="CP840">
        <v>0</v>
      </c>
      <c r="CQ840">
        <v>1</v>
      </c>
      <c r="CR840">
        <v>3</v>
      </c>
      <c r="CS840">
        <v>944</v>
      </c>
      <c r="CT840">
        <v>0</v>
      </c>
      <c r="CU840">
        <v>1</v>
      </c>
      <c r="CV840">
        <v>0</v>
      </c>
      <c r="CW840">
        <v>3</v>
      </c>
      <c r="CX840">
        <v>5</v>
      </c>
      <c r="CY840">
        <v>14</v>
      </c>
      <c r="CZ840">
        <v>1</v>
      </c>
      <c r="DA840">
        <v>1</v>
      </c>
      <c r="DB840">
        <v>1</v>
      </c>
      <c r="DC840">
        <v>0</v>
      </c>
      <c r="DD840">
        <v>984</v>
      </c>
      <c r="DE840">
        <v>3</v>
      </c>
      <c r="DF840">
        <v>16</v>
      </c>
      <c r="DG840">
        <v>6</v>
      </c>
      <c r="DH840">
        <v>1</v>
      </c>
      <c r="DI840">
        <v>4</v>
      </c>
      <c r="DJ840">
        <v>9</v>
      </c>
      <c r="DK840">
        <v>3</v>
      </c>
      <c r="DL840">
        <v>7</v>
      </c>
      <c r="DM840">
        <v>1</v>
      </c>
      <c r="DN840">
        <v>6</v>
      </c>
      <c r="DO840">
        <v>920</v>
      </c>
      <c r="DP840">
        <v>17</v>
      </c>
      <c r="DQ840">
        <v>3</v>
      </c>
      <c r="DR840">
        <v>1</v>
      </c>
      <c r="DS840">
        <v>0</v>
      </c>
      <c r="DT840">
        <v>7</v>
      </c>
      <c r="DU840">
        <v>5</v>
      </c>
      <c r="DV840">
        <v>9</v>
      </c>
      <c r="DW840">
        <v>2</v>
      </c>
      <c r="DX840">
        <v>16</v>
      </c>
      <c r="DY840">
        <v>5</v>
      </c>
      <c r="DZ840">
        <v>961</v>
      </c>
      <c r="EA840">
        <v>0.97050000000000003</v>
      </c>
      <c r="EB840">
        <v>0.97046219773622799</v>
      </c>
      <c r="EC840">
        <v>0.97073599082365203</v>
      </c>
      <c r="ED840">
        <v>0.97052093126930905</v>
      </c>
      <c r="EE840">
        <f>SUM(Table1[[#This Row],[ratio_0]:[ratio_9]])</f>
        <v>370</v>
      </c>
      <c r="EF840" s="1">
        <f>(Table1[[#This Row],[predicted_0]]-Table1[[#This Row],[actual_0]])/Table1[[#This Row],[actual_0]]</f>
        <v>1.1224489795918367E-2</v>
      </c>
      <c r="EG840" s="1">
        <f>(Table1[[#This Row],[predicted_1]]-Table1[[#This Row],[actual_1]])/Table1[[#This Row],[actual_1]]</f>
        <v>-1.145374449339207E-2</v>
      </c>
      <c r="EH840" s="1">
        <f>(Table1[[#This Row],[predicted_2]]-Table1[[#This Row],[actual_2]])/Table1[[#This Row],[actual_2]]</f>
        <v>-2.5193798449612403E-2</v>
      </c>
      <c r="EI840" s="1">
        <f>(Table1[[#This Row],[predicted_3]]-Table1[[#This Row],[actual_3]])/Table1[[#This Row],[actual_3]]</f>
        <v>3.4653465346534656E-2</v>
      </c>
      <c r="EJ840" s="1">
        <f>(Table1[[#This Row],[predicted_4]]-Table1[[#This Row],[actual_4]])/Table1[[#This Row],[actual_4]]</f>
        <v>-1.6293279022403257E-2</v>
      </c>
      <c r="EK840" s="1">
        <f>(Table1[[#This Row],[predicted_5]]-Table1[[#This Row],[actual_5]])/Table1[[#This Row],[actual_5]]</f>
        <v>2.0179372197309416E-2</v>
      </c>
      <c r="EL840" s="1">
        <f>(Table1[[#This Row],[predicted_6]]-Table1[[#This Row],[actual_6]])/Table1[[#This Row],[actual_6]]</f>
        <v>6.2630480167014616E-3</v>
      </c>
      <c r="EM840" s="1">
        <f>(Table1[[#This Row],[predicted_7]]-Table1[[#This Row],[actual_7]])/Table1[[#This Row],[actual_7]]</f>
        <v>6.8093385214007783E-3</v>
      </c>
      <c r="EN840" s="1">
        <f>(Table1[[#This Row],[predicted_8]]-Table1[[#This Row],[actual_8]])/Table1[[#This Row],[actual_8]]</f>
        <v>-1.9507186858316223E-2</v>
      </c>
      <c r="EO840" s="1">
        <f>(Table1[[#This Row],[predicted_9]]-Table1[[#This Row],[actual_9]])/Table1[[#This Row],[actual_9]]</f>
        <v>-2.973240832507433E-3</v>
      </c>
      <c r="EP840" s="1">
        <f>1+(Table1[[#This Row],[error_ratio_0]]-EF$2)</f>
        <v>1.0091836734693878</v>
      </c>
      <c r="EQ840" s="1">
        <f>1+(Table1[[#This Row],[error_ratio_1]]-EG$2)</f>
        <v>0.986784140969163</v>
      </c>
      <c r="ER840" s="1">
        <f>1+(Table1[[#This Row],[error_ratio_2]]-EH$2)</f>
        <v>0.97965116279069764</v>
      </c>
      <c r="ES840" s="1">
        <f>1+(Table1[[#This Row],[error_ratio_3]]-EI$2)</f>
        <v>1.0247524752475248</v>
      </c>
      <c r="ET840" s="1">
        <f>1+(Table1[[#This Row],[error_ratio_4]]-EJ$2)</f>
        <v>0.98268839103869654</v>
      </c>
      <c r="EU840" s="1">
        <f>1+(Table1[[#This Row],[error_ratio_5]]-EK$2)</f>
        <v>1.0190582959641254</v>
      </c>
      <c r="EV840" s="1">
        <f>1+(Table1[[#This Row],[error_ratio_6]]-EL$2)</f>
        <v>1.0125260960334028</v>
      </c>
      <c r="EW840" s="1">
        <f>1+(Table1[[#This Row],[error_ratio_7]]-EM$2)</f>
        <v>1.004863813229572</v>
      </c>
      <c r="EX840" s="1">
        <f>1+(Table1[[#This Row],[error_ratio_8]]-EN$2)</f>
        <v>0.98357289527720737</v>
      </c>
      <c r="EY840" s="1">
        <f>1+(Table1[[#This Row],[error_ratio_9]]-EO$2)</f>
        <v>1.0009910802775024</v>
      </c>
    </row>
    <row r="841" spans="1:155" x14ac:dyDescent="0.75">
      <c r="A841">
        <v>100</v>
      </c>
      <c r="B841">
        <v>100</v>
      </c>
      <c r="C841">
        <v>100</v>
      </c>
      <c r="D841">
        <v>10</v>
      </c>
      <c r="E841">
        <v>10</v>
      </c>
      <c r="F841">
        <v>100</v>
      </c>
      <c r="G841">
        <v>100</v>
      </c>
      <c r="H841">
        <v>10</v>
      </c>
      <c r="I841">
        <v>10</v>
      </c>
      <c r="J841">
        <v>10</v>
      </c>
      <c r="K841">
        <v>1014</v>
      </c>
      <c r="L841">
        <v>1212</v>
      </c>
      <c r="M841">
        <v>1136</v>
      </c>
      <c r="N841">
        <v>855</v>
      </c>
      <c r="O841">
        <v>890</v>
      </c>
      <c r="P841">
        <v>1100</v>
      </c>
      <c r="Q841">
        <v>998</v>
      </c>
      <c r="R841">
        <v>1017</v>
      </c>
      <c r="S841">
        <v>821</v>
      </c>
      <c r="T841">
        <v>957</v>
      </c>
      <c r="U841">
        <v>980</v>
      </c>
      <c r="V841">
        <v>1135</v>
      </c>
      <c r="W841">
        <v>1032</v>
      </c>
      <c r="X841">
        <v>1010</v>
      </c>
      <c r="Y841">
        <v>982</v>
      </c>
      <c r="Z841">
        <v>892</v>
      </c>
      <c r="AA841">
        <v>958</v>
      </c>
      <c r="AB841">
        <v>1028</v>
      </c>
      <c r="AC841">
        <v>974</v>
      </c>
      <c r="AD841">
        <v>1009</v>
      </c>
      <c r="AE841">
        <v>976</v>
      </c>
      <c r="AF841">
        <v>1</v>
      </c>
      <c r="AG841">
        <v>0</v>
      </c>
      <c r="AH841">
        <v>0</v>
      </c>
      <c r="AI841">
        <v>0</v>
      </c>
      <c r="AJ841">
        <v>1</v>
      </c>
      <c r="AK841">
        <v>1</v>
      </c>
      <c r="AL841">
        <v>1</v>
      </c>
      <c r="AM841">
        <v>0</v>
      </c>
      <c r="AN841">
        <v>0</v>
      </c>
      <c r="AO841">
        <v>0</v>
      </c>
      <c r="AP841">
        <v>1129</v>
      </c>
      <c r="AQ841">
        <v>1</v>
      </c>
      <c r="AR841">
        <v>0</v>
      </c>
      <c r="AS841">
        <v>0</v>
      </c>
      <c r="AT841">
        <v>2</v>
      </c>
      <c r="AU841">
        <v>3</v>
      </c>
      <c r="AV841">
        <v>0</v>
      </c>
      <c r="AW841">
        <v>0</v>
      </c>
      <c r="AX841">
        <v>0</v>
      </c>
      <c r="AY841">
        <v>4</v>
      </c>
      <c r="AZ841">
        <v>4</v>
      </c>
      <c r="BA841">
        <v>1021</v>
      </c>
      <c r="BB841">
        <v>0</v>
      </c>
      <c r="BC841">
        <v>0</v>
      </c>
      <c r="BD841">
        <v>0</v>
      </c>
      <c r="BE841">
        <v>2</v>
      </c>
      <c r="BF841">
        <v>1</v>
      </c>
      <c r="BG841">
        <v>0</v>
      </c>
      <c r="BH841">
        <v>0</v>
      </c>
      <c r="BI841">
        <v>4</v>
      </c>
      <c r="BJ841">
        <v>0</v>
      </c>
      <c r="BK841">
        <v>14</v>
      </c>
      <c r="BL841">
        <v>844</v>
      </c>
      <c r="BM841">
        <v>0</v>
      </c>
      <c r="BN841">
        <v>135</v>
      </c>
      <c r="BO841">
        <v>0</v>
      </c>
      <c r="BP841">
        <v>11</v>
      </c>
      <c r="BQ841">
        <v>0</v>
      </c>
      <c r="BR841">
        <v>2</v>
      </c>
      <c r="BS841">
        <v>1</v>
      </c>
      <c r="BT841">
        <v>23</v>
      </c>
      <c r="BU841">
        <v>7</v>
      </c>
      <c r="BV841">
        <v>0</v>
      </c>
      <c r="BW841">
        <v>886</v>
      </c>
      <c r="BX841">
        <v>1</v>
      </c>
      <c r="BY841">
        <v>30</v>
      </c>
      <c r="BZ841">
        <v>5</v>
      </c>
      <c r="CA841">
        <v>2</v>
      </c>
      <c r="CB841">
        <v>27</v>
      </c>
      <c r="CC841">
        <v>2</v>
      </c>
      <c r="CD841">
        <v>0</v>
      </c>
      <c r="CE841">
        <v>1</v>
      </c>
      <c r="CF841">
        <v>0</v>
      </c>
      <c r="CG841">
        <v>0</v>
      </c>
      <c r="CH841">
        <v>887</v>
      </c>
      <c r="CI841">
        <v>2</v>
      </c>
      <c r="CJ841">
        <v>0</v>
      </c>
      <c r="CK841">
        <v>0</v>
      </c>
      <c r="CL841">
        <v>0</v>
      </c>
      <c r="CM841">
        <v>1</v>
      </c>
      <c r="CN841">
        <v>4</v>
      </c>
      <c r="CO841">
        <v>0</v>
      </c>
      <c r="CP841">
        <v>0</v>
      </c>
      <c r="CQ841">
        <v>1</v>
      </c>
      <c r="CR841">
        <v>5</v>
      </c>
      <c r="CS841">
        <v>947</v>
      </c>
      <c r="CT841">
        <v>0</v>
      </c>
      <c r="CU841">
        <v>0</v>
      </c>
      <c r="CV841">
        <v>0</v>
      </c>
      <c r="CW841">
        <v>3</v>
      </c>
      <c r="CX841">
        <v>34</v>
      </c>
      <c r="CY841">
        <v>49</v>
      </c>
      <c r="CZ841">
        <v>0</v>
      </c>
      <c r="DA841">
        <v>0</v>
      </c>
      <c r="DB841">
        <v>3</v>
      </c>
      <c r="DC841">
        <v>0</v>
      </c>
      <c r="DD841">
        <v>939</v>
      </c>
      <c r="DE841">
        <v>0</v>
      </c>
      <c r="DF841">
        <v>0</v>
      </c>
      <c r="DG841">
        <v>18</v>
      </c>
      <c r="DH841">
        <v>8</v>
      </c>
      <c r="DI841">
        <v>40</v>
      </c>
      <c r="DJ841">
        <v>9</v>
      </c>
      <c r="DK841">
        <v>1</v>
      </c>
      <c r="DL841">
        <v>54</v>
      </c>
      <c r="DM841">
        <v>10</v>
      </c>
      <c r="DN841">
        <v>10</v>
      </c>
      <c r="DO841">
        <v>817</v>
      </c>
      <c r="DP841">
        <v>7</v>
      </c>
      <c r="DQ841">
        <v>5</v>
      </c>
      <c r="DR841">
        <v>9</v>
      </c>
      <c r="DS841">
        <v>3</v>
      </c>
      <c r="DT841">
        <v>2</v>
      </c>
      <c r="DU841">
        <v>2</v>
      </c>
      <c r="DV841">
        <v>12</v>
      </c>
      <c r="DW841">
        <v>3</v>
      </c>
      <c r="DX841">
        <v>50</v>
      </c>
      <c r="DY841">
        <v>2</v>
      </c>
      <c r="DZ841">
        <v>921</v>
      </c>
      <c r="EA841">
        <v>0.93669999999999998</v>
      </c>
      <c r="EB841">
        <v>0.94115261379006199</v>
      </c>
      <c r="EC841">
        <v>0.93657874583657297</v>
      </c>
      <c r="ED841">
        <v>0.93590095043253896</v>
      </c>
      <c r="EE841">
        <f>SUM(Table1[[#This Row],[ratio_0]:[ratio_9]])</f>
        <v>550</v>
      </c>
      <c r="EF841" s="1">
        <f>(Table1[[#This Row],[predicted_0]]-Table1[[#This Row],[actual_0]])/Table1[[#This Row],[actual_0]]</f>
        <v>3.4693877551020408E-2</v>
      </c>
      <c r="EG841" s="1">
        <f>(Table1[[#This Row],[predicted_1]]-Table1[[#This Row],[actual_1]])/Table1[[#This Row],[actual_1]]</f>
        <v>6.7841409691629953E-2</v>
      </c>
      <c r="EH841" s="1">
        <f>(Table1[[#This Row],[predicted_2]]-Table1[[#This Row],[actual_2]])/Table1[[#This Row],[actual_2]]</f>
        <v>0.10077519379844961</v>
      </c>
      <c r="EI841" s="1">
        <f>(Table1[[#This Row],[predicted_3]]-Table1[[#This Row],[actual_3]])/Table1[[#This Row],[actual_3]]</f>
        <v>-0.15346534653465346</v>
      </c>
      <c r="EJ841" s="1">
        <f>(Table1[[#This Row],[predicted_4]]-Table1[[#This Row],[actual_4]])/Table1[[#This Row],[actual_4]]</f>
        <v>-9.368635437881874E-2</v>
      </c>
      <c r="EK841" s="1">
        <f>(Table1[[#This Row],[predicted_5]]-Table1[[#This Row],[actual_5]])/Table1[[#This Row],[actual_5]]</f>
        <v>0.23318385650224216</v>
      </c>
      <c r="EL841" s="1">
        <f>(Table1[[#This Row],[predicted_6]]-Table1[[#This Row],[actual_6]])/Table1[[#This Row],[actual_6]]</f>
        <v>4.1753653444676408E-2</v>
      </c>
      <c r="EM841" s="1">
        <f>(Table1[[#This Row],[predicted_7]]-Table1[[#This Row],[actual_7]])/Table1[[#This Row],[actual_7]]</f>
        <v>-1.0700389105058366E-2</v>
      </c>
      <c r="EN841" s="1">
        <f>(Table1[[#This Row],[predicted_8]]-Table1[[#This Row],[actual_8]])/Table1[[#This Row],[actual_8]]</f>
        <v>-0.15708418891170431</v>
      </c>
      <c r="EO841" s="1">
        <f>(Table1[[#This Row],[predicted_9]]-Table1[[#This Row],[actual_9]])/Table1[[#This Row],[actual_9]]</f>
        <v>-5.1536174430128839E-2</v>
      </c>
      <c r="EP841" s="1">
        <f>1+(Table1[[#This Row],[error_ratio_0]]-EF$2)</f>
        <v>1.0326530612244897</v>
      </c>
      <c r="EQ841" s="1">
        <f>1+(Table1[[#This Row],[error_ratio_1]]-EG$2)</f>
        <v>1.0660792951541851</v>
      </c>
      <c r="ER841" s="1">
        <f>1+(Table1[[#This Row],[error_ratio_2]]-EH$2)</f>
        <v>1.1056201550387597</v>
      </c>
      <c r="ES841" s="1">
        <f>1+(Table1[[#This Row],[error_ratio_3]]-EI$2)</f>
        <v>0.8366336633663366</v>
      </c>
      <c r="ET841" s="1">
        <f>1+(Table1[[#This Row],[error_ratio_4]]-EJ$2)</f>
        <v>0.90529531568228105</v>
      </c>
      <c r="EU841" s="1">
        <f>1+(Table1[[#This Row],[error_ratio_5]]-EK$2)</f>
        <v>1.2320627802690582</v>
      </c>
      <c r="EV841" s="1">
        <f>1+(Table1[[#This Row],[error_ratio_6]]-EL$2)</f>
        <v>1.0480167014613779</v>
      </c>
      <c r="EW841" s="1">
        <f>1+(Table1[[#This Row],[error_ratio_7]]-EM$2)</f>
        <v>0.98735408560311289</v>
      </c>
      <c r="EX841" s="1">
        <f>1+(Table1[[#This Row],[error_ratio_8]]-EN$2)</f>
        <v>0.8459958932238193</v>
      </c>
      <c r="EY841" s="1">
        <f>1+(Table1[[#This Row],[error_ratio_9]]-EO$2)</f>
        <v>0.95242814667988107</v>
      </c>
    </row>
    <row r="842" spans="1:155" x14ac:dyDescent="0.75">
      <c r="A842">
        <v>10</v>
      </c>
      <c r="B842">
        <v>100</v>
      </c>
      <c r="C842">
        <v>100</v>
      </c>
      <c r="D842">
        <v>10</v>
      </c>
      <c r="E842">
        <v>10</v>
      </c>
      <c r="F842">
        <v>100</v>
      </c>
      <c r="G842">
        <v>100</v>
      </c>
      <c r="H842">
        <v>10</v>
      </c>
      <c r="I842">
        <v>10</v>
      </c>
      <c r="J842">
        <v>10</v>
      </c>
      <c r="K842">
        <v>970</v>
      </c>
      <c r="L842">
        <v>1169</v>
      </c>
      <c r="M842">
        <v>1127</v>
      </c>
      <c r="N842">
        <v>1019</v>
      </c>
      <c r="O842">
        <v>883</v>
      </c>
      <c r="P842">
        <v>1017</v>
      </c>
      <c r="Q842">
        <v>1013</v>
      </c>
      <c r="R842">
        <v>830</v>
      </c>
      <c r="S842">
        <v>945</v>
      </c>
      <c r="T842">
        <v>1027</v>
      </c>
      <c r="U842">
        <v>980</v>
      </c>
      <c r="V842">
        <v>1135</v>
      </c>
      <c r="W842">
        <v>1032</v>
      </c>
      <c r="X842">
        <v>1010</v>
      </c>
      <c r="Y842">
        <v>982</v>
      </c>
      <c r="Z842">
        <v>892</v>
      </c>
      <c r="AA842">
        <v>958</v>
      </c>
      <c r="AB842">
        <v>1028</v>
      </c>
      <c r="AC842">
        <v>974</v>
      </c>
      <c r="AD842">
        <v>1009</v>
      </c>
      <c r="AE842">
        <v>951</v>
      </c>
      <c r="AF842">
        <v>0</v>
      </c>
      <c r="AG842">
        <v>0</v>
      </c>
      <c r="AH842">
        <v>1</v>
      </c>
      <c r="AI842">
        <v>0</v>
      </c>
      <c r="AJ842">
        <v>14</v>
      </c>
      <c r="AK842">
        <v>11</v>
      </c>
      <c r="AL842">
        <v>1</v>
      </c>
      <c r="AM842">
        <v>2</v>
      </c>
      <c r="AN842">
        <v>0</v>
      </c>
      <c r="AO842">
        <v>0</v>
      </c>
      <c r="AP842">
        <v>1131</v>
      </c>
      <c r="AQ842">
        <v>2</v>
      </c>
      <c r="AR842">
        <v>0</v>
      </c>
      <c r="AS842">
        <v>0</v>
      </c>
      <c r="AT842">
        <v>1</v>
      </c>
      <c r="AU842">
        <v>1</v>
      </c>
      <c r="AV842">
        <v>0</v>
      </c>
      <c r="AW842">
        <v>0</v>
      </c>
      <c r="AX842">
        <v>0</v>
      </c>
      <c r="AY842">
        <v>1</v>
      </c>
      <c r="AZ842">
        <v>2</v>
      </c>
      <c r="BA842">
        <v>1018</v>
      </c>
      <c r="BB842">
        <v>2</v>
      </c>
      <c r="BC842">
        <v>0</v>
      </c>
      <c r="BD842">
        <v>1</v>
      </c>
      <c r="BE842">
        <v>1</v>
      </c>
      <c r="BF842">
        <v>0</v>
      </c>
      <c r="BG842">
        <v>7</v>
      </c>
      <c r="BH842">
        <v>0</v>
      </c>
      <c r="BI842">
        <v>0</v>
      </c>
      <c r="BJ842">
        <v>1</v>
      </c>
      <c r="BK842">
        <v>2</v>
      </c>
      <c r="BL842">
        <v>969</v>
      </c>
      <c r="BM842">
        <v>0</v>
      </c>
      <c r="BN842">
        <v>33</v>
      </c>
      <c r="BO842">
        <v>0</v>
      </c>
      <c r="BP842">
        <v>1</v>
      </c>
      <c r="BQ842">
        <v>1</v>
      </c>
      <c r="BR842">
        <v>3</v>
      </c>
      <c r="BS842">
        <v>4</v>
      </c>
      <c r="BT842">
        <v>9</v>
      </c>
      <c r="BU842">
        <v>12</v>
      </c>
      <c r="BV842">
        <v>0</v>
      </c>
      <c r="BW842">
        <v>878</v>
      </c>
      <c r="BX842">
        <v>2</v>
      </c>
      <c r="BY842">
        <v>38</v>
      </c>
      <c r="BZ842">
        <v>0</v>
      </c>
      <c r="CA842">
        <v>2</v>
      </c>
      <c r="CB842">
        <v>37</v>
      </c>
      <c r="CC842">
        <v>2</v>
      </c>
      <c r="CD842">
        <v>0</v>
      </c>
      <c r="CE842">
        <v>0</v>
      </c>
      <c r="CF842">
        <v>0</v>
      </c>
      <c r="CG842">
        <v>0</v>
      </c>
      <c r="CH842">
        <v>889</v>
      </c>
      <c r="CI842">
        <v>1</v>
      </c>
      <c r="CJ842">
        <v>0</v>
      </c>
      <c r="CK842">
        <v>0</v>
      </c>
      <c r="CL842">
        <v>0</v>
      </c>
      <c r="CM842">
        <v>0</v>
      </c>
      <c r="CN842">
        <v>3</v>
      </c>
      <c r="CO842">
        <v>0</v>
      </c>
      <c r="CP842">
        <v>0</v>
      </c>
      <c r="CQ842">
        <v>1</v>
      </c>
      <c r="CR842">
        <v>4</v>
      </c>
      <c r="CS842">
        <v>950</v>
      </c>
      <c r="CT842">
        <v>0</v>
      </c>
      <c r="CU842">
        <v>0</v>
      </c>
      <c r="CV842">
        <v>0</v>
      </c>
      <c r="CW842">
        <v>4</v>
      </c>
      <c r="CX842">
        <v>16</v>
      </c>
      <c r="CY842">
        <v>87</v>
      </c>
      <c r="CZ842">
        <v>38</v>
      </c>
      <c r="DA842">
        <v>1</v>
      </c>
      <c r="DB842">
        <v>20</v>
      </c>
      <c r="DC842">
        <v>1</v>
      </c>
      <c r="DD842">
        <v>826</v>
      </c>
      <c r="DE842">
        <v>4</v>
      </c>
      <c r="DF842">
        <v>31</v>
      </c>
      <c r="DG842">
        <v>1</v>
      </c>
      <c r="DH842">
        <v>2</v>
      </c>
      <c r="DI842">
        <v>6</v>
      </c>
      <c r="DJ842">
        <v>2</v>
      </c>
      <c r="DK842">
        <v>1</v>
      </c>
      <c r="DL842">
        <v>24</v>
      </c>
      <c r="DM842">
        <v>6</v>
      </c>
      <c r="DN842">
        <v>0</v>
      </c>
      <c r="DO842">
        <v>925</v>
      </c>
      <c r="DP842">
        <v>7</v>
      </c>
      <c r="DQ842">
        <v>7</v>
      </c>
      <c r="DR842">
        <v>5</v>
      </c>
      <c r="DS842">
        <v>0</v>
      </c>
      <c r="DT842">
        <v>7</v>
      </c>
      <c r="DU842">
        <v>2</v>
      </c>
      <c r="DV842">
        <v>29</v>
      </c>
      <c r="DW842">
        <v>4</v>
      </c>
      <c r="DX842">
        <v>2</v>
      </c>
      <c r="DY842">
        <v>4</v>
      </c>
      <c r="DZ842">
        <v>949</v>
      </c>
      <c r="EA842">
        <v>0.9486</v>
      </c>
      <c r="EB842">
        <v>0.95064742307703098</v>
      </c>
      <c r="EC842">
        <v>0.94888328309390901</v>
      </c>
      <c r="ED842">
        <v>0.94776371768089995</v>
      </c>
      <c r="EE842">
        <f>SUM(Table1[[#This Row],[ratio_0]:[ratio_9]])</f>
        <v>460</v>
      </c>
      <c r="EF842" s="1">
        <f>(Table1[[#This Row],[predicted_0]]-Table1[[#This Row],[actual_0]])/Table1[[#This Row],[actual_0]]</f>
        <v>-1.020408163265306E-2</v>
      </c>
      <c r="EG842" s="1">
        <f>(Table1[[#This Row],[predicted_1]]-Table1[[#This Row],[actual_1]])/Table1[[#This Row],[actual_1]]</f>
        <v>2.9955947136563875E-2</v>
      </c>
      <c r="EH842" s="1">
        <f>(Table1[[#This Row],[predicted_2]]-Table1[[#This Row],[actual_2]])/Table1[[#This Row],[actual_2]]</f>
        <v>9.205426356589147E-2</v>
      </c>
      <c r="EI842" s="1">
        <f>(Table1[[#This Row],[predicted_3]]-Table1[[#This Row],[actual_3]])/Table1[[#This Row],[actual_3]]</f>
        <v>8.9108910891089101E-3</v>
      </c>
      <c r="EJ842" s="1">
        <f>(Table1[[#This Row],[predicted_4]]-Table1[[#This Row],[actual_4]])/Table1[[#This Row],[actual_4]]</f>
        <v>-0.10081466395112017</v>
      </c>
      <c r="EK842" s="1">
        <f>(Table1[[#This Row],[predicted_5]]-Table1[[#This Row],[actual_5]])/Table1[[#This Row],[actual_5]]</f>
        <v>0.14013452914798205</v>
      </c>
      <c r="EL842" s="1">
        <f>(Table1[[#This Row],[predicted_6]]-Table1[[#This Row],[actual_6]])/Table1[[#This Row],[actual_6]]</f>
        <v>5.7411273486430062E-2</v>
      </c>
      <c r="EM842" s="1">
        <f>(Table1[[#This Row],[predicted_7]]-Table1[[#This Row],[actual_7]])/Table1[[#This Row],[actual_7]]</f>
        <v>-0.19260700389105059</v>
      </c>
      <c r="EN842" s="1">
        <f>(Table1[[#This Row],[predicted_8]]-Table1[[#This Row],[actual_8]])/Table1[[#This Row],[actual_8]]</f>
        <v>-2.9774127310061602E-2</v>
      </c>
      <c r="EO842" s="1">
        <f>(Table1[[#This Row],[predicted_9]]-Table1[[#This Row],[actual_9]])/Table1[[#This Row],[actual_9]]</f>
        <v>1.7839444995044598E-2</v>
      </c>
      <c r="EP842" s="1">
        <f>1+(Table1[[#This Row],[error_ratio_0]]-EF$2)</f>
        <v>0.98775510204081629</v>
      </c>
      <c r="EQ842" s="1">
        <f>1+(Table1[[#This Row],[error_ratio_1]]-EG$2)</f>
        <v>1.0281938325991189</v>
      </c>
      <c r="ER842" s="1">
        <f>1+(Table1[[#This Row],[error_ratio_2]]-EH$2)</f>
        <v>1.0968992248062015</v>
      </c>
      <c r="ES842" s="1">
        <f>1+(Table1[[#This Row],[error_ratio_3]]-EI$2)</f>
        <v>0.99900990099009901</v>
      </c>
      <c r="ET842" s="1">
        <f>1+(Table1[[#This Row],[error_ratio_4]]-EJ$2)</f>
        <v>0.89816700610997957</v>
      </c>
      <c r="EU842" s="1">
        <f>1+(Table1[[#This Row],[error_ratio_5]]-EK$2)</f>
        <v>1.1390134529147982</v>
      </c>
      <c r="EV842" s="1">
        <f>1+(Table1[[#This Row],[error_ratio_6]]-EL$2)</f>
        <v>1.0636743215031315</v>
      </c>
      <c r="EW842" s="1">
        <f>1+(Table1[[#This Row],[error_ratio_7]]-EM$2)</f>
        <v>0.80544747081712065</v>
      </c>
      <c r="EX842" s="1">
        <f>1+(Table1[[#This Row],[error_ratio_8]]-EN$2)</f>
        <v>0.97330595482546201</v>
      </c>
      <c r="EY842" s="1">
        <f>1+(Table1[[#This Row],[error_ratio_9]]-EO$2)</f>
        <v>1.0218037661050545</v>
      </c>
    </row>
    <row r="843" spans="1:155" x14ac:dyDescent="0.75">
      <c r="A843">
        <v>100</v>
      </c>
      <c r="B843">
        <v>10</v>
      </c>
      <c r="C843">
        <v>100</v>
      </c>
      <c r="D843">
        <v>10</v>
      </c>
      <c r="E843">
        <v>10</v>
      </c>
      <c r="F843">
        <v>100</v>
      </c>
      <c r="G843">
        <v>100</v>
      </c>
      <c r="H843">
        <v>10</v>
      </c>
      <c r="I843">
        <v>10</v>
      </c>
      <c r="J843">
        <v>10</v>
      </c>
      <c r="K843">
        <v>1015</v>
      </c>
      <c r="L843">
        <v>1152</v>
      </c>
      <c r="M843">
        <v>1059</v>
      </c>
      <c r="N843">
        <v>975</v>
      </c>
      <c r="O843">
        <v>979</v>
      </c>
      <c r="P843">
        <v>1119</v>
      </c>
      <c r="Q843">
        <v>947</v>
      </c>
      <c r="R843">
        <v>969</v>
      </c>
      <c r="S843">
        <v>789</v>
      </c>
      <c r="T843">
        <v>996</v>
      </c>
      <c r="U843">
        <v>980</v>
      </c>
      <c r="V843">
        <v>1135</v>
      </c>
      <c r="W843">
        <v>1032</v>
      </c>
      <c r="X843">
        <v>1010</v>
      </c>
      <c r="Y843">
        <v>982</v>
      </c>
      <c r="Z843">
        <v>892</v>
      </c>
      <c r="AA843">
        <v>958</v>
      </c>
      <c r="AB843">
        <v>1028</v>
      </c>
      <c r="AC843">
        <v>974</v>
      </c>
      <c r="AD843">
        <v>1009</v>
      </c>
      <c r="AE843">
        <v>974</v>
      </c>
      <c r="AF843">
        <v>0</v>
      </c>
      <c r="AG843">
        <v>0</v>
      </c>
      <c r="AH843">
        <v>0</v>
      </c>
      <c r="AI843">
        <v>0</v>
      </c>
      <c r="AJ843">
        <v>2</v>
      </c>
      <c r="AK843">
        <v>1</v>
      </c>
      <c r="AL843">
        <v>0</v>
      </c>
      <c r="AM843">
        <v>0</v>
      </c>
      <c r="AN843">
        <v>3</v>
      </c>
      <c r="AO843">
        <v>0</v>
      </c>
      <c r="AP843">
        <v>1124</v>
      </c>
      <c r="AQ843">
        <v>1</v>
      </c>
      <c r="AR843">
        <v>5</v>
      </c>
      <c r="AS843">
        <v>0</v>
      </c>
      <c r="AT843">
        <v>2</v>
      </c>
      <c r="AU843">
        <v>1</v>
      </c>
      <c r="AV843">
        <v>1</v>
      </c>
      <c r="AW843">
        <v>1</v>
      </c>
      <c r="AX843">
        <v>0</v>
      </c>
      <c r="AY843">
        <v>5</v>
      </c>
      <c r="AZ843">
        <v>3</v>
      </c>
      <c r="BA843">
        <v>1016</v>
      </c>
      <c r="BB843">
        <v>3</v>
      </c>
      <c r="BC843">
        <v>2</v>
      </c>
      <c r="BD843">
        <v>0</v>
      </c>
      <c r="BE843">
        <v>0</v>
      </c>
      <c r="BF843">
        <v>3</v>
      </c>
      <c r="BG843">
        <v>0</v>
      </c>
      <c r="BH843">
        <v>0</v>
      </c>
      <c r="BI843">
        <v>7</v>
      </c>
      <c r="BJ843">
        <v>0</v>
      </c>
      <c r="BK843">
        <v>5</v>
      </c>
      <c r="BL843">
        <v>916</v>
      </c>
      <c r="BM843">
        <v>0</v>
      </c>
      <c r="BN843">
        <v>71</v>
      </c>
      <c r="BO843">
        <v>0</v>
      </c>
      <c r="BP843">
        <v>6</v>
      </c>
      <c r="BQ843">
        <v>2</v>
      </c>
      <c r="BR843">
        <v>3</v>
      </c>
      <c r="BS843">
        <v>0</v>
      </c>
      <c r="BT843">
        <v>5</v>
      </c>
      <c r="BU843">
        <v>2</v>
      </c>
      <c r="BV843">
        <v>1</v>
      </c>
      <c r="BW843">
        <v>947</v>
      </c>
      <c r="BX843">
        <v>3</v>
      </c>
      <c r="BY843">
        <v>8</v>
      </c>
      <c r="BZ843">
        <v>0</v>
      </c>
      <c r="CA843">
        <v>3</v>
      </c>
      <c r="CB843">
        <v>13</v>
      </c>
      <c r="CC843">
        <v>3</v>
      </c>
      <c r="CD843">
        <v>0</v>
      </c>
      <c r="CE843">
        <v>0</v>
      </c>
      <c r="CF843">
        <v>2</v>
      </c>
      <c r="CG843">
        <v>0</v>
      </c>
      <c r="CH843">
        <v>884</v>
      </c>
      <c r="CI843">
        <v>3</v>
      </c>
      <c r="CJ843">
        <v>0</v>
      </c>
      <c r="CK843">
        <v>0</v>
      </c>
      <c r="CL843">
        <v>0</v>
      </c>
      <c r="CM843">
        <v>6</v>
      </c>
      <c r="CN843">
        <v>2</v>
      </c>
      <c r="CO843">
        <v>1</v>
      </c>
      <c r="CP843">
        <v>1</v>
      </c>
      <c r="CQ843">
        <v>5</v>
      </c>
      <c r="CR843">
        <v>11</v>
      </c>
      <c r="CS843">
        <v>932</v>
      </c>
      <c r="CT843">
        <v>0</v>
      </c>
      <c r="CU843">
        <v>0</v>
      </c>
      <c r="CV843">
        <v>0</v>
      </c>
      <c r="CW843">
        <v>4</v>
      </c>
      <c r="CX843">
        <v>8</v>
      </c>
      <c r="CY843">
        <v>26</v>
      </c>
      <c r="CZ843">
        <v>12</v>
      </c>
      <c r="DA843">
        <v>1</v>
      </c>
      <c r="DB843">
        <v>6</v>
      </c>
      <c r="DC843">
        <v>0</v>
      </c>
      <c r="DD843">
        <v>942</v>
      </c>
      <c r="DE843">
        <v>1</v>
      </c>
      <c r="DF843">
        <v>28</v>
      </c>
      <c r="DG843">
        <v>10</v>
      </c>
      <c r="DH843">
        <v>3</v>
      </c>
      <c r="DI843">
        <v>8</v>
      </c>
      <c r="DJ843">
        <v>30</v>
      </c>
      <c r="DK843">
        <v>9</v>
      </c>
      <c r="DL843">
        <v>104</v>
      </c>
      <c r="DM843">
        <v>1</v>
      </c>
      <c r="DN843">
        <v>8</v>
      </c>
      <c r="DO843">
        <v>782</v>
      </c>
      <c r="DP843">
        <v>19</v>
      </c>
      <c r="DQ843">
        <v>6</v>
      </c>
      <c r="DR843">
        <v>7</v>
      </c>
      <c r="DS843">
        <v>0</v>
      </c>
      <c r="DT843">
        <v>5</v>
      </c>
      <c r="DU843">
        <v>15</v>
      </c>
      <c r="DV843">
        <v>36</v>
      </c>
      <c r="DW843">
        <v>1</v>
      </c>
      <c r="DX843">
        <v>9</v>
      </c>
      <c r="DY843">
        <v>0</v>
      </c>
      <c r="DZ843">
        <v>930</v>
      </c>
      <c r="EA843">
        <v>0.94469999999999998</v>
      </c>
      <c r="EB843">
        <v>0.94726475199542504</v>
      </c>
      <c r="EC843">
        <v>0.94447845195539104</v>
      </c>
      <c r="ED843">
        <v>0.94357901289333002</v>
      </c>
      <c r="EE843">
        <f>SUM(Table1[[#This Row],[ratio_0]:[ratio_9]])</f>
        <v>460</v>
      </c>
      <c r="EF843" s="1">
        <f>(Table1[[#This Row],[predicted_0]]-Table1[[#This Row],[actual_0]])/Table1[[#This Row],[actual_0]]</f>
        <v>3.5714285714285712E-2</v>
      </c>
      <c r="EG843" s="1">
        <f>(Table1[[#This Row],[predicted_1]]-Table1[[#This Row],[actual_1]])/Table1[[#This Row],[actual_1]]</f>
        <v>1.4977973568281937E-2</v>
      </c>
      <c r="EH843" s="1">
        <f>(Table1[[#This Row],[predicted_2]]-Table1[[#This Row],[actual_2]])/Table1[[#This Row],[actual_2]]</f>
        <v>2.616279069767442E-2</v>
      </c>
      <c r="EI843" s="1">
        <f>(Table1[[#This Row],[predicted_3]]-Table1[[#This Row],[actual_3]])/Table1[[#This Row],[actual_3]]</f>
        <v>-3.4653465346534656E-2</v>
      </c>
      <c r="EJ843" s="1">
        <f>(Table1[[#This Row],[predicted_4]]-Table1[[#This Row],[actual_4]])/Table1[[#This Row],[actual_4]]</f>
        <v>-3.0549898167006109E-3</v>
      </c>
      <c r="EK843" s="1">
        <f>(Table1[[#This Row],[predicted_5]]-Table1[[#This Row],[actual_5]])/Table1[[#This Row],[actual_5]]</f>
        <v>0.25448430493273544</v>
      </c>
      <c r="EL843" s="1">
        <f>(Table1[[#This Row],[predicted_6]]-Table1[[#This Row],[actual_6]])/Table1[[#This Row],[actual_6]]</f>
        <v>-1.1482254697286013E-2</v>
      </c>
      <c r="EM843" s="1">
        <f>(Table1[[#This Row],[predicted_7]]-Table1[[#This Row],[actual_7]])/Table1[[#This Row],[actual_7]]</f>
        <v>-5.7392996108949414E-2</v>
      </c>
      <c r="EN843" s="1">
        <f>(Table1[[#This Row],[predicted_8]]-Table1[[#This Row],[actual_8]])/Table1[[#This Row],[actual_8]]</f>
        <v>-0.18993839835728954</v>
      </c>
      <c r="EO843" s="1">
        <f>(Table1[[#This Row],[predicted_9]]-Table1[[#This Row],[actual_9]])/Table1[[#This Row],[actual_9]]</f>
        <v>-1.288404360753221E-2</v>
      </c>
      <c r="EP843" s="1">
        <f>1+(Table1[[#This Row],[error_ratio_0]]-EF$2)</f>
        <v>1.0336734693877552</v>
      </c>
      <c r="EQ843" s="1">
        <f>1+(Table1[[#This Row],[error_ratio_1]]-EG$2)</f>
        <v>1.0132158590308371</v>
      </c>
      <c r="ER843" s="1">
        <f>1+(Table1[[#This Row],[error_ratio_2]]-EH$2)</f>
        <v>1.0310077519379846</v>
      </c>
      <c r="ES843" s="1">
        <f>1+(Table1[[#This Row],[error_ratio_3]]-EI$2)</f>
        <v>0.95544554455445541</v>
      </c>
      <c r="ET843" s="1">
        <f>1+(Table1[[#This Row],[error_ratio_4]]-EJ$2)</f>
        <v>0.99592668024439923</v>
      </c>
      <c r="EU843" s="1">
        <f>1+(Table1[[#This Row],[error_ratio_5]]-EK$2)</f>
        <v>1.2533632286995515</v>
      </c>
      <c r="EV843" s="1">
        <f>1+(Table1[[#This Row],[error_ratio_6]]-EL$2)</f>
        <v>0.99478079331941549</v>
      </c>
      <c r="EW843" s="1">
        <f>1+(Table1[[#This Row],[error_ratio_7]]-EM$2)</f>
        <v>0.94066147859922178</v>
      </c>
      <c r="EX843" s="1">
        <f>1+(Table1[[#This Row],[error_ratio_8]]-EN$2)</f>
        <v>0.81314168377823404</v>
      </c>
      <c r="EY843" s="1">
        <f>1+(Table1[[#This Row],[error_ratio_9]]-EO$2)</f>
        <v>0.99108027750247774</v>
      </c>
    </row>
    <row r="844" spans="1:155" x14ac:dyDescent="0.75">
      <c r="A844">
        <v>100</v>
      </c>
      <c r="B844">
        <v>100</v>
      </c>
      <c r="C844">
        <v>10</v>
      </c>
      <c r="D844">
        <v>10</v>
      </c>
      <c r="E844">
        <v>10</v>
      </c>
      <c r="F844">
        <v>100</v>
      </c>
      <c r="G844">
        <v>100</v>
      </c>
      <c r="H844">
        <v>10</v>
      </c>
      <c r="I844">
        <v>10</v>
      </c>
      <c r="J844">
        <v>10</v>
      </c>
      <c r="K844">
        <v>1022</v>
      </c>
      <c r="L844">
        <v>1178</v>
      </c>
      <c r="M844">
        <v>1087</v>
      </c>
      <c r="N844">
        <v>1061</v>
      </c>
      <c r="O844">
        <v>935</v>
      </c>
      <c r="P844">
        <v>940</v>
      </c>
      <c r="Q844">
        <v>971</v>
      </c>
      <c r="R844">
        <v>909</v>
      </c>
      <c r="S844">
        <v>870</v>
      </c>
      <c r="T844">
        <v>1027</v>
      </c>
      <c r="U844">
        <v>980</v>
      </c>
      <c r="V844">
        <v>1135</v>
      </c>
      <c r="W844">
        <v>1032</v>
      </c>
      <c r="X844">
        <v>1010</v>
      </c>
      <c r="Y844">
        <v>982</v>
      </c>
      <c r="Z844">
        <v>892</v>
      </c>
      <c r="AA844">
        <v>958</v>
      </c>
      <c r="AB844">
        <v>1028</v>
      </c>
      <c r="AC844">
        <v>974</v>
      </c>
      <c r="AD844">
        <v>1009</v>
      </c>
      <c r="AE844">
        <v>978</v>
      </c>
      <c r="AF844">
        <v>1</v>
      </c>
      <c r="AG844">
        <v>0</v>
      </c>
      <c r="AH844">
        <v>1</v>
      </c>
      <c r="AI844">
        <v>0</v>
      </c>
      <c r="AJ844">
        <v>0</v>
      </c>
      <c r="AK844">
        <v>0</v>
      </c>
      <c r="AL844">
        <v>0</v>
      </c>
      <c r="AM844">
        <v>0</v>
      </c>
      <c r="AN844">
        <v>0</v>
      </c>
      <c r="AO844">
        <v>0</v>
      </c>
      <c r="AP844">
        <v>1131</v>
      </c>
      <c r="AQ844">
        <v>0</v>
      </c>
      <c r="AR844">
        <v>0</v>
      </c>
      <c r="AS844">
        <v>0</v>
      </c>
      <c r="AT844">
        <v>2</v>
      </c>
      <c r="AU844">
        <v>2</v>
      </c>
      <c r="AV844">
        <v>0</v>
      </c>
      <c r="AW844">
        <v>0</v>
      </c>
      <c r="AX844">
        <v>0</v>
      </c>
      <c r="AY844">
        <v>8</v>
      </c>
      <c r="AZ844">
        <v>16</v>
      </c>
      <c r="BA844">
        <v>988</v>
      </c>
      <c r="BB844">
        <v>5</v>
      </c>
      <c r="BC844">
        <v>2</v>
      </c>
      <c r="BD844">
        <v>1</v>
      </c>
      <c r="BE844">
        <v>7</v>
      </c>
      <c r="BF844">
        <v>2</v>
      </c>
      <c r="BG844">
        <v>1</v>
      </c>
      <c r="BH844">
        <v>2</v>
      </c>
      <c r="BI844">
        <v>1</v>
      </c>
      <c r="BJ844">
        <v>0</v>
      </c>
      <c r="BK844">
        <v>1</v>
      </c>
      <c r="BL844">
        <v>986</v>
      </c>
      <c r="BM844">
        <v>0</v>
      </c>
      <c r="BN844">
        <v>16</v>
      </c>
      <c r="BO844">
        <v>0</v>
      </c>
      <c r="BP844">
        <v>3</v>
      </c>
      <c r="BQ844">
        <v>1</v>
      </c>
      <c r="BR844">
        <v>2</v>
      </c>
      <c r="BS844">
        <v>9</v>
      </c>
      <c r="BT844">
        <v>2</v>
      </c>
      <c r="BU844">
        <v>2</v>
      </c>
      <c r="BV844">
        <v>0</v>
      </c>
      <c r="BW844">
        <v>918</v>
      </c>
      <c r="BX844">
        <v>0</v>
      </c>
      <c r="BY844">
        <v>16</v>
      </c>
      <c r="BZ844">
        <v>1</v>
      </c>
      <c r="CA844">
        <v>1</v>
      </c>
      <c r="CB844">
        <v>33</v>
      </c>
      <c r="CC844">
        <v>3</v>
      </c>
      <c r="CD844">
        <v>0</v>
      </c>
      <c r="CE844">
        <v>0</v>
      </c>
      <c r="CF844">
        <v>6</v>
      </c>
      <c r="CG844">
        <v>0</v>
      </c>
      <c r="CH844">
        <v>882</v>
      </c>
      <c r="CI844">
        <v>1</v>
      </c>
      <c r="CJ844">
        <v>0</v>
      </c>
      <c r="CK844">
        <v>0</v>
      </c>
      <c r="CL844">
        <v>0</v>
      </c>
      <c r="CM844">
        <v>7</v>
      </c>
      <c r="CN844">
        <v>2</v>
      </c>
      <c r="CO844">
        <v>0</v>
      </c>
      <c r="CP844">
        <v>1</v>
      </c>
      <c r="CQ844">
        <v>1</v>
      </c>
      <c r="CR844">
        <v>5</v>
      </c>
      <c r="CS844">
        <v>942</v>
      </c>
      <c r="CT844">
        <v>0</v>
      </c>
      <c r="CU844">
        <v>0</v>
      </c>
      <c r="CV844">
        <v>0</v>
      </c>
      <c r="CW844">
        <v>3</v>
      </c>
      <c r="CX844">
        <v>17</v>
      </c>
      <c r="CY844">
        <v>86</v>
      </c>
      <c r="CZ844">
        <v>18</v>
      </c>
      <c r="DA844">
        <v>2</v>
      </c>
      <c r="DB844">
        <v>0</v>
      </c>
      <c r="DC844">
        <v>0</v>
      </c>
      <c r="DD844">
        <v>888</v>
      </c>
      <c r="DE844">
        <v>0</v>
      </c>
      <c r="DF844">
        <v>14</v>
      </c>
      <c r="DG844">
        <v>5</v>
      </c>
      <c r="DH844">
        <v>1</v>
      </c>
      <c r="DI844">
        <v>10</v>
      </c>
      <c r="DJ844">
        <v>28</v>
      </c>
      <c r="DK844">
        <v>5</v>
      </c>
      <c r="DL844">
        <v>26</v>
      </c>
      <c r="DM844">
        <v>2</v>
      </c>
      <c r="DN844">
        <v>7</v>
      </c>
      <c r="DO844">
        <v>867</v>
      </c>
      <c r="DP844">
        <v>23</v>
      </c>
      <c r="DQ844">
        <v>8</v>
      </c>
      <c r="DR844">
        <v>8</v>
      </c>
      <c r="DS844">
        <v>0</v>
      </c>
      <c r="DT844">
        <v>16</v>
      </c>
      <c r="DU844">
        <v>7</v>
      </c>
      <c r="DV844">
        <v>8</v>
      </c>
      <c r="DW844">
        <v>1</v>
      </c>
      <c r="DX844">
        <v>8</v>
      </c>
      <c r="DY844">
        <v>0</v>
      </c>
      <c r="DZ844">
        <v>953</v>
      </c>
      <c r="EA844">
        <v>0.95330000000000004</v>
      </c>
      <c r="EB844">
        <v>0.95469294658028603</v>
      </c>
      <c r="EC844">
        <v>0.95334080508450703</v>
      </c>
      <c r="ED844">
        <v>0.95303646196285796</v>
      </c>
      <c r="EE844">
        <f>SUM(Table1[[#This Row],[ratio_0]:[ratio_9]])</f>
        <v>460</v>
      </c>
      <c r="EF844" s="1">
        <f>(Table1[[#This Row],[predicted_0]]-Table1[[#This Row],[actual_0]])/Table1[[#This Row],[actual_0]]</f>
        <v>4.2857142857142858E-2</v>
      </c>
      <c r="EG844" s="1">
        <f>(Table1[[#This Row],[predicted_1]]-Table1[[#This Row],[actual_1]])/Table1[[#This Row],[actual_1]]</f>
        <v>3.7885462555066078E-2</v>
      </c>
      <c r="EH844" s="1">
        <f>(Table1[[#This Row],[predicted_2]]-Table1[[#This Row],[actual_2]])/Table1[[#This Row],[actual_2]]</f>
        <v>5.329457364341085E-2</v>
      </c>
      <c r="EI844" s="1">
        <f>(Table1[[#This Row],[predicted_3]]-Table1[[#This Row],[actual_3]])/Table1[[#This Row],[actual_3]]</f>
        <v>5.0495049504950498E-2</v>
      </c>
      <c r="EJ844" s="1">
        <f>(Table1[[#This Row],[predicted_4]]-Table1[[#This Row],[actual_4]])/Table1[[#This Row],[actual_4]]</f>
        <v>-4.7861507128309569E-2</v>
      </c>
      <c r="EK844" s="1">
        <f>(Table1[[#This Row],[predicted_5]]-Table1[[#This Row],[actual_5]])/Table1[[#This Row],[actual_5]]</f>
        <v>5.3811659192825115E-2</v>
      </c>
      <c r="EL844" s="1">
        <f>(Table1[[#This Row],[predicted_6]]-Table1[[#This Row],[actual_6]])/Table1[[#This Row],[actual_6]]</f>
        <v>1.3569937369519834E-2</v>
      </c>
      <c r="EM844" s="1">
        <f>(Table1[[#This Row],[predicted_7]]-Table1[[#This Row],[actual_7]])/Table1[[#This Row],[actual_7]]</f>
        <v>-0.11575875486381323</v>
      </c>
      <c r="EN844" s="1">
        <f>(Table1[[#This Row],[predicted_8]]-Table1[[#This Row],[actual_8]])/Table1[[#This Row],[actual_8]]</f>
        <v>-0.10677618069815195</v>
      </c>
      <c r="EO844" s="1">
        <f>(Table1[[#This Row],[predicted_9]]-Table1[[#This Row],[actual_9]])/Table1[[#This Row],[actual_9]]</f>
        <v>1.7839444995044598E-2</v>
      </c>
      <c r="EP844" s="1">
        <f>1+(Table1[[#This Row],[error_ratio_0]]-EF$2)</f>
        <v>1.0408163265306123</v>
      </c>
      <c r="EQ844" s="1">
        <f>1+(Table1[[#This Row],[error_ratio_1]]-EG$2)</f>
        <v>1.0361233480176211</v>
      </c>
      <c r="ER844" s="1">
        <f>1+(Table1[[#This Row],[error_ratio_2]]-EH$2)</f>
        <v>1.058139534883721</v>
      </c>
      <c r="ES844" s="1">
        <f>1+(Table1[[#This Row],[error_ratio_3]]-EI$2)</f>
        <v>1.0405940594059406</v>
      </c>
      <c r="ET844" s="1">
        <f>1+(Table1[[#This Row],[error_ratio_4]]-EJ$2)</f>
        <v>0.95112016293279023</v>
      </c>
      <c r="EU844" s="1">
        <f>1+(Table1[[#This Row],[error_ratio_5]]-EK$2)</f>
        <v>1.0526905829596414</v>
      </c>
      <c r="EV844" s="1">
        <f>1+(Table1[[#This Row],[error_ratio_6]]-EL$2)</f>
        <v>1.0198329853862214</v>
      </c>
      <c r="EW844" s="1">
        <f>1+(Table1[[#This Row],[error_ratio_7]]-EM$2)</f>
        <v>0.88229571984435795</v>
      </c>
      <c r="EX844" s="1">
        <f>1+(Table1[[#This Row],[error_ratio_8]]-EN$2)</f>
        <v>0.89630390143737171</v>
      </c>
      <c r="EY844" s="1">
        <f>1+(Table1[[#This Row],[error_ratio_9]]-EO$2)</f>
        <v>1.0218037661050545</v>
      </c>
    </row>
    <row r="845" spans="1:155" x14ac:dyDescent="0.75">
      <c r="A845">
        <v>10</v>
      </c>
      <c r="B845">
        <v>100</v>
      </c>
      <c r="C845">
        <v>10</v>
      </c>
      <c r="D845">
        <v>10</v>
      </c>
      <c r="E845">
        <v>10</v>
      </c>
      <c r="F845">
        <v>100</v>
      </c>
      <c r="G845">
        <v>100</v>
      </c>
      <c r="H845">
        <v>10</v>
      </c>
      <c r="I845">
        <v>10</v>
      </c>
      <c r="J845">
        <v>10</v>
      </c>
      <c r="K845">
        <v>967</v>
      </c>
      <c r="L845">
        <v>1201</v>
      </c>
      <c r="M845">
        <v>1017</v>
      </c>
      <c r="N845">
        <v>958</v>
      </c>
      <c r="O845">
        <v>1046</v>
      </c>
      <c r="P845">
        <v>938</v>
      </c>
      <c r="Q845">
        <v>997</v>
      </c>
      <c r="R845">
        <v>995</v>
      </c>
      <c r="S845">
        <v>968</v>
      </c>
      <c r="T845">
        <v>913</v>
      </c>
      <c r="U845">
        <v>980</v>
      </c>
      <c r="V845">
        <v>1135</v>
      </c>
      <c r="W845">
        <v>1032</v>
      </c>
      <c r="X845">
        <v>1010</v>
      </c>
      <c r="Y845">
        <v>982</v>
      </c>
      <c r="Z845">
        <v>892</v>
      </c>
      <c r="AA845">
        <v>958</v>
      </c>
      <c r="AB845">
        <v>1028</v>
      </c>
      <c r="AC845">
        <v>974</v>
      </c>
      <c r="AD845">
        <v>1009</v>
      </c>
      <c r="AE845">
        <v>952</v>
      </c>
      <c r="AF845">
        <v>1</v>
      </c>
      <c r="AG845">
        <v>1</v>
      </c>
      <c r="AH845">
        <v>0</v>
      </c>
      <c r="AI845">
        <v>0</v>
      </c>
      <c r="AJ845">
        <v>2</v>
      </c>
      <c r="AK845">
        <v>16</v>
      </c>
      <c r="AL845">
        <v>1</v>
      </c>
      <c r="AM845">
        <v>1</v>
      </c>
      <c r="AN845">
        <v>6</v>
      </c>
      <c r="AO845">
        <v>0</v>
      </c>
      <c r="AP845">
        <v>1134</v>
      </c>
      <c r="AQ845">
        <v>0</v>
      </c>
      <c r="AR845">
        <v>1</v>
      </c>
      <c r="AS845">
        <v>0</v>
      </c>
      <c r="AT845">
        <v>0</v>
      </c>
      <c r="AU845">
        <v>0</v>
      </c>
      <c r="AV845">
        <v>0</v>
      </c>
      <c r="AW845">
        <v>0</v>
      </c>
      <c r="AX845">
        <v>0</v>
      </c>
      <c r="AY845">
        <v>4</v>
      </c>
      <c r="AZ845">
        <v>19</v>
      </c>
      <c r="BA845">
        <v>983</v>
      </c>
      <c r="BB845">
        <v>9</v>
      </c>
      <c r="BC845">
        <v>2</v>
      </c>
      <c r="BD845">
        <v>0</v>
      </c>
      <c r="BE845">
        <v>8</v>
      </c>
      <c r="BF845">
        <v>4</v>
      </c>
      <c r="BG845">
        <v>3</v>
      </c>
      <c r="BH845">
        <v>0</v>
      </c>
      <c r="BI845">
        <v>0</v>
      </c>
      <c r="BJ845">
        <v>0</v>
      </c>
      <c r="BK845">
        <v>2</v>
      </c>
      <c r="BL845">
        <v>943</v>
      </c>
      <c r="BM845">
        <v>1</v>
      </c>
      <c r="BN845">
        <v>39</v>
      </c>
      <c r="BO845">
        <v>0</v>
      </c>
      <c r="BP845">
        <v>11</v>
      </c>
      <c r="BQ845">
        <v>14</v>
      </c>
      <c r="BR845">
        <v>0</v>
      </c>
      <c r="BS845">
        <v>1</v>
      </c>
      <c r="BT845">
        <v>4</v>
      </c>
      <c r="BU845">
        <v>1</v>
      </c>
      <c r="BV845">
        <v>0</v>
      </c>
      <c r="BW845">
        <v>969</v>
      </c>
      <c r="BX845">
        <v>0</v>
      </c>
      <c r="BY845">
        <v>6</v>
      </c>
      <c r="BZ845">
        <v>0</v>
      </c>
      <c r="CA845">
        <v>1</v>
      </c>
      <c r="CB845">
        <v>0</v>
      </c>
      <c r="CC845">
        <v>1</v>
      </c>
      <c r="CD845">
        <v>0</v>
      </c>
      <c r="CE845">
        <v>0</v>
      </c>
      <c r="CF845">
        <v>1</v>
      </c>
      <c r="CG845">
        <v>0</v>
      </c>
      <c r="CH845">
        <v>879</v>
      </c>
      <c r="CI845">
        <v>9</v>
      </c>
      <c r="CJ845">
        <v>1</v>
      </c>
      <c r="CK845">
        <v>1</v>
      </c>
      <c r="CL845">
        <v>0</v>
      </c>
      <c r="CM845">
        <v>1</v>
      </c>
      <c r="CN845">
        <v>2</v>
      </c>
      <c r="CO845">
        <v>0</v>
      </c>
      <c r="CP845">
        <v>0</v>
      </c>
      <c r="CQ845">
        <v>2</v>
      </c>
      <c r="CR845">
        <v>1</v>
      </c>
      <c r="CS845">
        <v>952</v>
      </c>
      <c r="CT845">
        <v>0</v>
      </c>
      <c r="CU845">
        <v>0</v>
      </c>
      <c r="CV845">
        <v>0</v>
      </c>
      <c r="CW845">
        <v>1</v>
      </c>
      <c r="CX845">
        <v>16</v>
      </c>
      <c r="CY845">
        <v>28</v>
      </c>
      <c r="CZ845">
        <v>0</v>
      </c>
      <c r="DA845">
        <v>8</v>
      </c>
      <c r="DB845">
        <v>3</v>
      </c>
      <c r="DC845">
        <v>0</v>
      </c>
      <c r="DD845">
        <v>964</v>
      </c>
      <c r="DE845">
        <v>1</v>
      </c>
      <c r="DF845">
        <v>7</v>
      </c>
      <c r="DG845">
        <v>2</v>
      </c>
      <c r="DH845">
        <v>13</v>
      </c>
      <c r="DI845">
        <v>0</v>
      </c>
      <c r="DJ845">
        <v>2</v>
      </c>
      <c r="DK845">
        <v>9</v>
      </c>
      <c r="DL845">
        <v>7</v>
      </c>
      <c r="DM845">
        <v>5</v>
      </c>
      <c r="DN845">
        <v>5</v>
      </c>
      <c r="DO845">
        <v>929</v>
      </c>
      <c r="DP845">
        <v>2</v>
      </c>
      <c r="DQ845">
        <v>5</v>
      </c>
      <c r="DR845">
        <v>12</v>
      </c>
      <c r="DS845">
        <v>2</v>
      </c>
      <c r="DT845">
        <v>2</v>
      </c>
      <c r="DU845">
        <v>55</v>
      </c>
      <c r="DV845">
        <v>7</v>
      </c>
      <c r="DW845">
        <v>1</v>
      </c>
      <c r="DX845">
        <v>9</v>
      </c>
      <c r="DY845">
        <v>18</v>
      </c>
      <c r="DZ845">
        <v>898</v>
      </c>
      <c r="EA845">
        <v>0.96030000000000004</v>
      </c>
      <c r="EB845">
        <v>0.96100886328596802</v>
      </c>
      <c r="EC845">
        <v>0.96041869799134905</v>
      </c>
      <c r="ED845">
        <v>0.96010499540671201</v>
      </c>
      <c r="EE845">
        <f>SUM(Table1[[#This Row],[ratio_0]:[ratio_9]])</f>
        <v>370</v>
      </c>
      <c r="EF845" s="1">
        <f>(Table1[[#This Row],[predicted_0]]-Table1[[#This Row],[actual_0]])/Table1[[#This Row],[actual_0]]</f>
        <v>-1.3265306122448979E-2</v>
      </c>
      <c r="EG845" s="1">
        <f>(Table1[[#This Row],[predicted_1]]-Table1[[#This Row],[actual_1]])/Table1[[#This Row],[actual_1]]</f>
        <v>5.8149779735682819E-2</v>
      </c>
      <c r="EH845" s="1">
        <f>(Table1[[#This Row],[predicted_2]]-Table1[[#This Row],[actual_2]])/Table1[[#This Row],[actual_2]]</f>
        <v>-1.4534883720930232E-2</v>
      </c>
      <c r="EI845" s="1">
        <f>(Table1[[#This Row],[predicted_3]]-Table1[[#This Row],[actual_3]])/Table1[[#This Row],[actual_3]]</f>
        <v>-5.1485148514851482E-2</v>
      </c>
      <c r="EJ845" s="1">
        <f>(Table1[[#This Row],[predicted_4]]-Table1[[#This Row],[actual_4]])/Table1[[#This Row],[actual_4]]</f>
        <v>6.5173116089613028E-2</v>
      </c>
      <c r="EK845" s="1">
        <f>(Table1[[#This Row],[predicted_5]]-Table1[[#This Row],[actual_5]])/Table1[[#This Row],[actual_5]]</f>
        <v>5.1569506726457402E-2</v>
      </c>
      <c r="EL845" s="1">
        <f>(Table1[[#This Row],[predicted_6]]-Table1[[#This Row],[actual_6]])/Table1[[#This Row],[actual_6]]</f>
        <v>4.07098121085595E-2</v>
      </c>
      <c r="EM845" s="1">
        <f>(Table1[[#This Row],[predicted_7]]-Table1[[#This Row],[actual_7]])/Table1[[#This Row],[actual_7]]</f>
        <v>-3.2101167315175094E-2</v>
      </c>
      <c r="EN845" s="1">
        <f>(Table1[[#This Row],[predicted_8]]-Table1[[#This Row],[actual_8]])/Table1[[#This Row],[actual_8]]</f>
        <v>-6.1601642710472282E-3</v>
      </c>
      <c r="EO845" s="1">
        <f>(Table1[[#This Row],[predicted_9]]-Table1[[#This Row],[actual_9]])/Table1[[#This Row],[actual_9]]</f>
        <v>-9.5143706640237857E-2</v>
      </c>
      <c r="EP845" s="1">
        <f>1+(Table1[[#This Row],[error_ratio_0]]-EF$2)</f>
        <v>0.98469387755102045</v>
      </c>
      <c r="EQ845" s="1">
        <f>1+(Table1[[#This Row],[error_ratio_1]]-EG$2)</f>
        <v>1.0563876651982378</v>
      </c>
      <c r="ER845" s="1">
        <f>1+(Table1[[#This Row],[error_ratio_2]]-EH$2)</f>
        <v>0.99031007751937983</v>
      </c>
      <c r="ES845" s="1">
        <f>1+(Table1[[#This Row],[error_ratio_3]]-EI$2)</f>
        <v>0.93861386138613856</v>
      </c>
      <c r="ET845" s="1">
        <f>1+(Table1[[#This Row],[error_ratio_4]]-EJ$2)</f>
        <v>1.0641547861507128</v>
      </c>
      <c r="EU845" s="1">
        <f>1+(Table1[[#This Row],[error_ratio_5]]-EK$2)</f>
        <v>1.0504484304932735</v>
      </c>
      <c r="EV845" s="1">
        <f>1+(Table1[[#This Row],[error_ratio_6]]-EL$2)</f>
        <v>1.046972860125261</v>
      </c>
      <c r="EW845" s="1">
        <f>1+(Table1[[#This Row],[error_ratio_7]]-EM$2)</f>
        <v>0.96595330739299612</v>
      </c>
      <c r="EX845" s="1">
        <f>1+(Table1[[#This Row],[error_ratio_8]]-EN$2)</f>
        <v>0.99691991786447642</v>
      </c>
      <c r="EY845" s="1">
        <f>1+(Table1[[#This Row],[error_ratio_9]]-EO$2)</f>
        <v>0.90882061446977203</v>
      </c>
    </row>
    <row r="846" spans="1:155" x14ac:dyDescent="0.75">
      <c r="A846">
        <v>10</v>
      </c>
      <c r="B846">
        <v>10</v>
      </c>
      <c r="C846">
        <v>10</v>
      </c>
      <c r="D846">
        <v>10</v>
      </c>
      <c r="E846">
        <v>10</v>
      </c>
      <c r="F846">
        <v>100</v>
      </c>
      <c r="G846">
        <v>100</v>
      </c>
      <c r="H846">
        <v>10</v>
      </c>
      <c r="I846">
        <v>10</v>
      </c>
      <c r="J846">
        <v>10</v>
      </c>
      <c r="K846">
        <v>946</v>
      </c>
      <c r="L846">
        <v>1138</v>
      </c>
      <c r="M846">
        <v>1017</v>
      </c>
      <c r="N846">
        <v>967</v>
      </c>
      <c r="O846">
        <v>973</v>
      </c>
      <c r="P846">
        <v>1040</v>
      </c>
      <c r="Q846">
        <v>1006</v>
      </c>
      <c r="R846">
        <v>1019</v>
      </c>
      <c r="S846">
        <v>872</v>
      </c>
      <c r="T846">
        <v>1022</v>
      </c>
      <c r="U846">
        <v>980</v>
      </c>
      <c r="V846">
        <v>1135</v>
      </c>
      <c r="W846">
        <v>1032</v>
      </c>
      <c r="X846">
        <v>1010</v>
      </c>
      <c r="Y846">
        <v>982</v>
      </c>
      <c r="Z846">
        <v>892</v>
      </c>
      <c r="AA846">
        <v>958</v>
      </c>
      <c r="AB846">
        <v>1028</v>
      </c>
      <c r="AC846">
        <v>974</v>
      </c>
      <c r="AD846">
        <v>1009</v>
      </c>
      <c r="AE846">
        <v>931</v>
      </c>
      <c r="AF846">
        <v>0</v>
      </c>
      <c r="AG846">
        <v>0</v>
      </c>
      <c r="AH846">
        <v>0</v>
      </c>
      <c r="AI846">
        <v>1</v>
      </c>
      <c r="AJ846">
        <v>21</v>
      </c>
      <c r="AK846">
        <v>22</v>
      </c>
      <c r="AL846">
        <v>3</v>
      </c>
      <c r="AM846">
        <v>0</v>
      </c>
      <c r="AN846">
        <v>2</v>
      </c>
      <c r="AO846">
        <v>0</v>
      </c>
      <c r="AP846">
        <v>1121</v>
      </c>
      <c r="AQ846">
        <v>0</v>
      </c>
      <c r="AR846">
        <v>4</v>
      </c>
      <c r="AS846">
        <v>0</v>
      </c>
      <c r="AT846">
        <v>5</v>
      </c>
      <c r="AU846">
        <v>4</v>
      </c>
      <c r="AV846">
        <v>0</v>
      </c>
      <c r="AW846">
        <v>0</v>
      </c>
      <c r="AX846">
        <v>1</v>
      </c>
      <c r="AY846">
        <v>5</v>
      </c>
      <c r="AZ846">
        <v>4</v>
      </c>
      <c r="BA846">
        <v>987</v>
      </c>
      <c r="BB846">
        <v>2</v>
      </c>
      <c r="BC846">
        <v>1</v>
      </c>
      <c r="BD846">
        <v>8</v>
      </c>
      <c r="BE846">
        <v>11</v>
      </c>
      <c r="BF846">
        <v>13</v>
      </c>
      <c r="BG846">
        <v>1</v>
      </c>
      <c r="BH846">
        <v>0</v>
      </c>
      <c r="BI846">
        <v>0</v>
      </c>
      <c r="BJ846">
        <v>0</v>
      </c>
      <c r="BK846">
        <v>3</v>
      </c>
      <c r="BL846">
        <v>940</v>
      </c>
      <c r="BM846">
        <v>0</v>
      </c>
      <c r="BN846">
        <v>50</v>
      </c>
      <c r="BO846">
        <v>0</v>
      </c>
      <c r="BP846">
        <v>15</v>
      </c>
      <c r="BQ846">
        <v>0</v>
      </c>
      <c r="BR846">
        <v>2</v>
      </c>
      <c r="BS846">
        <v>0</v>
      </c>
      <c r="BT846">
        <v>1</v>
      </c>
      <c r="BU846">
        <v>1</v>
      </c>
      <c r="BV846">
        <v>0</v>
      </c>
      <c r="BW846">
        <v>955</v>
      </c>
      <c r="BX846">
        <v>0</v>
      </c>
      <c r="BY846">
        <v>13</v>
      </c>
      <c r="BZ846">
        <v>0</v>
      </c>
      <c r="CA846">
        <v>1</v>
      </c>
      <c r="CB846">
        <v>11</v>
      </c>
      <c r="CC846">
        <v>0</v>
      </c>
      <c r="CD846">
        <v>0</v>
      </c>
      <c r="CE846">
        <v>0</v>
      </c>
      <c r="CF846">
        <v>2</v>
      </c>
      <c r="CG846">
        <v>0</v>
      </c>
      <c r="CH846">
        <v>886</v>
      </c>
      <c r="CI846">
        <v>3</v>
      </c>
      <c r="CJ846">
        <v>1</v>
      </c>
      <c r="CK846">
        <v>0</v>
      </c>
      <c r="CL846">
        <v>0</v>
      </c>
      <c r="CM846">
        <v>0</v>
      </c>
      <c r="CN846">
        <v>1</v>
      </c>
      <c r="CO846">
        <v>0</v>
      </c>
      <c r="CP846">
        <v>0</v>
      </c>
      <c r="CQ846">
        <v>2</v>
      </c>
      <c r="CR846">
        <v>11</v>
      </c>
      <c r="CS846">
        <v>944</v>
      </c>
      <c r="CT846">
        <v>0</v>
      </c>
      <c r="CU846">
        <v>0</v>
      </c>
      <c r="CV846">
        <v>0</v>
      </c>
      <c r="CW846">
        <v>1</v>
      </c>
      <c r="CX846">
        <v>7</v>
      </c>
      <c r="CY846">
        <v>21</v>
      </c>
      <c r="CZ846">
        <v>2</v>
      </c>
      <c r="DA846">
        <v>2</v>
      </c>
      <c r="DB846">
        <v>3</v>
      </c>
      <c r="DC846">
        <v>0</v>
      </c>
      <c r="DD846">
        <v>973</v>
      </c>
      <c r="DE846">
        <v>1</v>
      </c>
      <c r="DF846">
        <v>18</v>
      </c>
      <c r="DG846">
        <v>6</v>
      </c>
      <c r="DH846">
        <v>0</v>
      </c>
      <c r="DI846">
        <v>5</v>
      </c>
      <c r="DJ846">
        <v>13</v>
      </c>
      <c r="DK846">
        <v>9</v>
      </c>
      <c r="DL846">
        <v>35</v>
      </c>
      <c r="DM846">
        <v>6</v>
      </c>
      <c r="DN846">
        <v>9</v>
      </c>
      <c r="DO846">
        <v>869</v>
      </c>
      <c r="DP846">
        <v>22</v>
      </c>
      <c r="DQ846">
        <v>3</v>
      </c>
      <c r="DR846">
        <v>4</v>
      </c>
      <c r="DS846">
        <v>0</v>
      </c>
      <c r="DT846">
        <v>4</v>
      </c>
      <c r="DU846">
        <v>3</v>
      </c>
      <c r="DV846">
        <v>21</v>
      </c>
      <c r="DW846">
        <v>3</v>
      </c>
      <c r="DX846">
        <v>5</v>
      </c>
      <c r="DY846">
        <v>0</v>
      </c>
      <c r="DZ846">
        <v>966</v>
      </c>
      <c r="EA846">
        <v>0.95720000000000005</v>
      </c>
      <c r="EB846">
        <v>0.958020153137215</v>
      </c>
      <c r="EC846">
        <v>0.95719971997257502</v>
      </c>
      <c r="ED846">
        <v>0.95663446755668202</v>
      </c>
      <c r="EE846">
        <f>SUM(Table1[[#This Row],[ratio_0]:[ratio_9]])</f>
        <v>280</v>
      </c>
      <c r="EF846" s="1">
        <f>(Table1[[#This Row],[predicted_0]]-Table1[[#This Row],[actual_0]])/Table1[[#This Row],[actual_0]]</f>
        <v>-3.4693877551020408E-2</v>
      </c>
      <c r="EG846" s="1">
        <f>(Table1[[#This Row],[predicted_1]]-Table1[[#This Row],[actual_1]])/Table1[[#This Row],[actual_1]]</f>
        <v>2.6431718061674008E-3</v>
      </c>
      <c r="EH846" s="1">
        <f>(Table1[[#This Row],[predicted_2]]-Table1[[#This Row],[actual_2]])/Table1[[#This Row],[actual_2]]</f>
        <v>-1.4534883720930232E-2</v>
      </c>
      <c r="EI846" s="1">
        <f>(Table1[[#This Row],[predicted_3]]-Table1[[#This Row],[actual_3]])/Table1[[#This Row],[actual_3]]</f>
        <v>-4.2574257425742577E-2</v>
      </c>
      <c r="EJ846" s="1">
        <f>(Table1[[#This Row],[predicted_4]]-Table1[[#This Row],[actual_4]])/Table1[[#This Row],[actual_4]]</f>
        <v>-9.1649694501018328E-3</v>
      </c>
      <c r="EK846" s="1">
        <f>(Table1[[#This Row],[predicted_5]]-Table1[[#This Row],[actual_5]])/Table1[[#This Row],[actual_5]]</f>
        <v>0.16591928251121077</v>
      </c>
      <c r="EL846" s="1">
        <f>(Table1[[#This Row],[predicted_6]]-Table1[[#This Row],[actual_6]])/Table1[[#This Row],[actual_6]]</f>
        <v>5.0104384133611693E-2</v>
      </c>
      <c r="EM846" s="1">
        <f>(Table1[[#This Row],[predicted_7]]-Table1[[#This Row],[actual_7]])/Table1[[#This Row],[actual_7]]</f>
        <v>-8.7548638132295721E-3</v>
      </c>
      <c r="EN846" s="1">
        <f>(Table1[[#This Row],[predicted_8]]-Table1[[#This Row],[actual_8]])/Table1[[#This Row],[actual_8]]</f>
        <v>-0.10472279260780287</v>
      </c>
      <c r="EO846" s="1">
        <f>(Table1[[#This Row],[predicted_9]]-Table1[[#This Row],[actual_9]])/Table1[[#This Row],[actual_9]]</f>
        <v>1.288404360753221E-2</v>
      </c>
      <c r="EP846" s="1">
        <f>1+(Table1[[#This Row],[error_ratio_0]]-EF$2)</f>
        <v>0.96326530612244898</v>
      </c>
      <c r="EQ846" s="1">
        <f>1+(Table1[[#This Row],[error_ratio_1]]-EG$2)</f>
        <v>1.0008810572687226</v>
      </c>
      <c r="ER846" s="1">
        <f>1+(Table1[[#This Row],[error_ratio_2]]-EH$2)</f>
        <v>0.99031007751937983</v>
      </c>
      <c r="ES846" s="1">
        <f>1+(Table1[[#This Row],[error_ratio_3]]-EI$2)</f>
        <v>0.94752475247524748</v>
      </c>
      <c r="ET846" s="1">
        <f>1+(Table1[[#This Row],[error_ratio_4]]-EJ$2)</f>
        <v>0.98981670061099791</v>
      </c>
      <c r="EU846" s="1">
        <f>1+(Table1[[#This Row],[error_ratio_5]]-EK$2)</f>
        <v>1.1647982062780269</v>
      </c>
      <c r="EV846" s="1">
        <f>1+(Table1[[#This Row],[error_ratio_6]]-EL$2)</f>
        <v>1.0563674321503131</v>
      </c>
      <c r="EW846" s="1">
        <f>1+(Table1[[#This Row],[error_ratio_7]]-EM$2)</f>
        <v>0.98929961089494167</v>
      </c>
      <c r="EX846" s="1">
        <f>1+(Table1[[#This Row],[error_ratio_8]]-EN$2)</f>
        <v>0.89835728952772076</v>
      </c>
      <c r="EY846" s="1">
        <f>1+(Table1[[#This Row],[error_ratio_9]]-EO$2)</f>
        <v>1.0168483647175421</v>
      </c>
    </row>
    <row r="847" spans="1:155" x14ac:dyDescent="0.75">
      <c r="A847">
        <v>100</v>
      </c>
      <c r="B847">
        <v>100</v>
      </c>
      <c r="C847">
        <v>100</v>
      </c>
      <c r="D847">
        <v>100</v>
      </c>
      <c r="E847">
        <v>100</v>
      </c>
      <c r="F847">
        <v>10</v>
      </c>
      <c r="G847">
        <v>100</v>
      </c>
      <c r="H847">
        <v>10</v>
      </c>
      <c r="I847">
        <v>10</v>
      </c>
      <c r="J847">
        <v>10</v>
      </c>
      <c r="K847">
        <v>995</v>
      </c>
      <c r="L847">
        <v>1145</v>
      </c>
      <c r="M847">
        <v>1114</v>
      </c>
      <c r="N847">
        <v>1119</v>
      </c>
      <c r="O847">
        <v>1021</v>
      </c>
      <c r="P847">
        <v>822</v>
      </c>
      <c r="Q847">
        <v>969</v>
      </c>
      <c r="R847">
        <v>870</v>
      </c>
      <c r="S847">
        <v>938</v>
      </c>
      <c r="T847">
        <v>1007</v>
      </c>
      <c r="U847">
        <v>980</v>
      </c>
      <c r="V847">
        <v>1135</v>
      </c>
      <c r="W847">
        <v>1032</v>
      </c>
      <c r="X847">
        <v>1010</v>
      </c>
      <c r="Y847">
        <v>982</v>
      </c>
      <c r="Z847">
        <v>892</v>
      </c>
      <c r="AA847">
        <v>958</v>
      </c>
      <c r="AB847">
        <v>1028</v>
      </c>
      <c r="AC847">
        <v>974</v>
      </c>
      <c r="AD847">
        <v>1009</v>
      </c>
      <c r="AE847">
        <v>974</v>
      </c>
      <c r="AF847">
        <v>0</v>
      </c>
      <c r="AG847">
        <v>1</v>
      </c>
      <c r="AH847">
        <v>1</v>
      </c>
      <c r="AI847">
        <v>0</v>
      </c>
      <c r="AJ847">
        <v>0</v>
      </c>
      <c r="AK847">
        <v>3</v>
      </c>
      <c r="AL847">
        <v>0</v>
      </c>
      <c r="AM847">
        <v>1</v>
      </c>
      <c r="AN847">
        <v>0</v>
      </c>
      <c r="AO847">
        <v>0</v>
      </c>
      <c r="AP847">
        <v>1127</v>
      </c>
      <c r="AQ847">
        <v>2</v>
      </c>
      <c r="AR847">
        <v>1</v>
      </c>
      <c r="AS847">
        <v>0</v>
      </c>
      <c r="AT847">
        <v>1</v>
      </c>
      <c r="AU847">
        <v>3</v>
      </c>
      <c r="AV847">
        <v>0</v>
      </c>
      <c r="AW847">
        <v>1</v>
      </c>
      <c r="AX847">
        <v>0</v>
      </c>
      <c r="AY847">
        <v>1</v>
      </c>
      <c r="AZ847">
        <v>2</v>
      </c>
      <c r="BA847">
        <v>1022</v>
      </c>
      <c r="BB847">
        <v>0</v>
      </c>
      <c r="BC847">
        <v>7</v>
      </c>
      <c r="BD847">
        <v>0</v>
      </c>
      <c r="BE847">
        <v>0</v>
      </c>
      <c r="BF847">
        <v>0</v>
      </c>
      <c r="BG847">
        <v>0</v>
      </c>
      <c r="BH847">
        <v>0</v>
      </c>
      <c r="BI847">
        <v>1</v>
      </c>
      <c r="BJ847">
        <v>0</v>
      </c>
      <c r="BK847">
        <v>0</v>
      </c>
      <c r="BL847">
        <v>1009</v>
      </c>
      <c r="BM847">
        <v>0</v>
      </c>
      <c r="BN847">
        <v>0</v>
      </c>
      <c r="BO847">
        <v>0</v>
      </c>
      <c r="BP847">
        <v>0</v>
      </c>
      <c r="BQ847">
        <v>0</v>
      </c>
      <c r="BR847">
        <v>0</v>
      </c>
      <c r="BS847">
        <v>0</v>
      </c>
      <c r="BT847">
        <v>0</v>
      </c>
      <c r="BU847">
        <v>0</v>
      </c>
      <c r="BV847">
        <v>0</v>
      </c>
      <c r="BW847">
        <v>978</v>
      </c>
      <c r="BX847">
        <v>0</v>
      </c>
      <c r="BY847">
        <v>0</v>
      </c>
      <c r="BZ847">
        <v>0</v>
      </c>
      <c r="CA847">
        <v>0</v>
      </c>
      <c r="CB847">
        <v>4</v>
      </c>
      <c r="CC847">
        <v>1</v>
      </c>
      <c r="CD847">
        <v>0</v>
      </c>
      <c r="CE847">
        <v>1</v>
      </c>
      <c r="CF847">
        <v>40</v>
      </c>
      <c r="CG847">
        <v>2</v>
      </c>
      <c r="CH847">
        <v>817</v>
      </c>
      <c r="CI847">
        <v>13</v>
      </c>
      <c r="CJ847">
        <v>1</v>
      </c>
      <c r="CK847">
        <v>10</v>
      </c>
      <c r="CL847">
        <v>7</v>
      </c>
      <c r="CM847">
        <v>7</v>
      </c>
      <c r="CN847">
        <v>1</v>
      </c>
      <c r="CO847">
        <v>0</v>
      </c>
      <c r="CP847">
        <v>0</v>
      </c>
      <c r="CQ847">
        <v>4</v>
      </c>
      <c r="CR847">
        <v>1</v>
      </c>
      <c r="CS847">
        <v>944</v>
      </c>
      <c r="CT847">
        <v>0</v>
      </c>
      <c r="CU847">
        <v>1</v>
      </c>
      <c r="CV847">
        <v>0</v>
      </c>
      <c r="CW847">
        <v>3</v>
      </c>
      <c r="CX847">
        <v>9</v>
      </c>
      <c r="CY847">
        <v>68</v>
      </c>
      <c r="CZ847">
        <v>39</v>
      </c>
      <c r="DA847">
        <v>7</v>
      </c>
      <c r="DB847">
        <v>0</v>
      </c>
      <c r="DC847">
        <v>0</v>
      </c>
      <c r="DD847">
        <v>865</v>
      </c>
      <c r="DE847">
        <v>3</v>
      </c>
      <c r="DF847">
        <v>34</v>
      </c>
      <c r="DG847">
        <v>5</v>
      </c>
      <c r="DH847">
        <v>0</v>
      </c>
      <c r="DI847">
        <v>17</v>
      </c>
      <c r="DJ847">
        <v>12</v>
      </c>
      <c r="DK847">
        <v>9</v>
      </c>
      <c r="DL847">
        <v>0</v>
      </c>
      <c r="DM847">
        <v>5</v>
      </c>
      <c r="DN847">
        <v>1</v>
      </c>
      <c r="DO847">
        <v>921</v>
      </c>
      <c r="DP847">
        <v>4</v>
      </c>
      <c r="DQ847">
        <v>3</v>
      </c>
      <c r="DR847">
        <v>6</v>
      </c>
      <c r="DS847">
        <v>3</v>
      </c>
      <c r="DT847">
        <v>17</v>
      </c>
      <c r="DU847">
        <v>14</v>
      </c>
      <c r="DV847">
        <v>3</v>
      </c>
      <c r="DW847">
        <v>1</v>
      </c>
      <c r="DX847">
        <v>3</v>
      </c>
      <c r="DY847">
        <v>1</v>
      </c>
      <c r="DZ847">
        <v>958</v>
      </c>
      <c r="EA847">
        <v>0.96150000000000002</v>
      </c>
      <c r="EB847">
        <v>0.96357583449070705</v>
      </c>
      <c r="EC847">
        <v>0.96098610655991501</v>
      </c>
      <c r="ED847">
        <v>0.96101519223222998</v>
      </c>
      <c r="EE847">
        <f>SUM(Table1[[#This Row],[ratio_0]:[ratio_9]])</f>
        <v>640</v>
      </c>
      <c r="EF847" s="1">
        <f>(Table1[[#This Row],[predicted_0]]-Table1[[#This Row],[actual_0]])/Table1[[#This Row],[actual_0]]</f>
        <v>1.5306122448979591E-2</v>
      </c>
      <c r="EG847" s="1">
        <f>(Table1[[#This Row],[predicted_1]]-Table1[[#This Row],[actual_1]])/Table1[[#This Row],[actual_1]]</f>
        <v>8.8105726872246704E-3</v>
      </c>
      <c r="EH847" s="1">
        <f>(Table1[[#This Row],[predicted_2]]-Table1[[#This Row],[actual_2]])/Table1[[#This Row],[actual_2]]</f>
        <v>7.9457364341085274E-2</v>
      </c>
      <c r="EI847" s="1">
        <f>(Table1[[#This Row],[predicted_3]]-Table1[[#This Row],[actual_3]])/Table1[[#This Row],[actual_3]]</f>
        <v>0.10792079207920792</v>
      </c>
      <c r="EJ847" s="1">
        <f>(Table1[[#This Row],[predicted_4]]-Table1[[#This Row],[actual_4]])/Table1[[#This Row],[actual_4]]</f>
        <v>3.9714867617107942E-2</v>
      </c>
      <c r="EK847" s="1">
        <f>(Table1[[#This Row],[predicted_5]]-Table1[[#This Row],[actual_5]])/Table1[[#This Row],[actual_5]]</f>
        <v>-7.847533632286996E-2</v>
      </c>
      <c r="EL847" s="1">
        <f>(Table1[[#This Row],[predicted_6]]-Table1[[#This Row],[actual_6]])/Table1[[#This Row],[actual_6]]</f>
        <v>1.1482254697286013E-2</v>
      </c>
      <c r="EM847" s="1">
        <f>(Table1[[#This Row],[predicted_7]]-Table1[[#This Row],[actual_7]])/Table1[[#This Row],[actual_7]]</f>
        <v>-0.15369649805447472</v>
      </c>
      <c r="EN847" s="1">
        <f>(Table1[[#This Row],[predicted_8]]-Table1[[#This Row],[actual_8]])/Table1[[#This Row],[actual_8]]</f>
        <v>-3.6960985626283367E-2</v>
      </c>
      <c r="EO847" s="1">
        <f>(Table1[[#This Row],[predicted_9]]-Table1[[#This Row],[actual_9]])/Table1[[#This Row],[actual_9]]</f>
        <v>-1.9821605550049554E-3</v>
      </c>
      <c r="EP847" s="1">
        <f>1+(Table1[[#This Row],[error_ratio_0]]-EF$2)</f>
        <v>1.013265306122449</v>
      </c>
      <c r="EQ847" s="1">
        <f>1+(Table1[[#This Row],[error_ratio_1]]-EG$2)</f>
        <v>1.0070484581497798</v>
      </c>
      <c r="ER847" s="1">
        <f>1+(Table1[[#This Row],[error_ratio_2]]-EH$2)</f>
        <v>1.0843023255813953</v>
      </c>
      <c r="ES847" s="1">
        <f>1+(Table1[[#This Row],[error_ratio_3]]-EI$2)</f>
        <v>1.0980198019801981</v>
      </c>
      <c r="ET847" s="1">
        <f>1+(Table1[[#This Row],[error_ratio_4]]-EJ$2)</f>
        <v>1.0386965376782078</v>
      </c>
      <c r="EU847" s="1">
        <f>1+(Table1[[#This Row],[error_ratio_5]]-EK$2)</f>
        <v>0.92040358744394624</v>
      </c>
      <c r="EV847" s="1">
        <f>1+(Table1[[#This Row],[error_ratio_6]]-EL$2)</f>
        <v>1.0177453027139876</v>
      </c>
      <c r="EW847" s="1">
        <f>1+(Table1[[#This Row],[error_ratio_7]]-EM$2)</f>
        <v>0.8443579766536965</v>
      </c>
      <c r="EX847" s="1">
        <f>1+(Table1[[#This Row],[error_ratio_8]]-EN$2)</f>
        <v>0.96611909650924022</v>
      </c>
      <c r="EY847" s="1">
        <f>1+(Table1[[#This Row],[error_ratio_9]]-EO$2)</f>
        <v>1.001982160555005</v>
      </c>
    </row>
    <row r="848" spans="1:155" x14ac:dyDescent="0.75">
      <c r="A848">
        <v>10</v>
      </c>
      <c r="B848">
        <v>100</v>
      </c>
      <c r="C848">
        <v>100</v>
      </c>
      <c r="D848">
        <v>100</v>
      </c>
      <c r="E848">
        <v>100</v>
      </c>
      <c r="F848">
        <v>10</v>
      </c>
      <c r="G848">
        <v>100</v>
      </c>
      <c r="H848">
        <v>10</v>
      </c>
      <c r="I848">
        <v>10</v>
      </c>
      <c r="J848">
        <v>10</v>
      </c>
      <c r="K848">
        <v>987</v>
      </c>
      <c r="L848">
        <v>1161</v>
      </c>
      <c r="M848">
        <v>1059</v>
      </c>
      <c r="N848">
        <v>1113</v>
      </c>
      <c r="O848">
        <v>1018</v>
      </c>
      <c r="P848">
        <v>842</v>
      </c>
      <c r="Q848">
        <v>1012</v>
      </c>
      <c r="R848">
        <v>929</v>
      </c>
      <c r="S848">
        <v>858</v>
      </c>
      <c r="T848">
        <v>1021</v>
      </c>
      <c r="U848">
        <v>980</v>
      </c>
      <c r="V848">
        <v>1135</v>
      </c>
      <c r="W848">
        <v>1032</v>
      </c>
      <c r="X848">
        <v>1010</v>
      </c>
      <c r="Y848">
        <v>982</v>
      </c>
      <c r="Z848">
        <v>892</v>
      </c>
      <c r="AA848">
        <v>958</v>
      </c>
      <c r="AB848">
        <v>1028</v>
      </c>
      <c r="AC848">
        <v>974</v>
      </c>
      <c r="AD848">
        <v>1009</v>
      </c>
      <c r="AE848">
        <v>964</v>
      </c>
      <c r="AF848">
        <v>2</v>
      </c>
      <c r="AG848">
        <v>2</v>
      </c>
      <c r="AH848">
        <v>3</v>
      </c>
      <c r="AI848">
        <v>0</v>
      </c>
      <c r="AJ848">
        <v>0</v>
      </c>
      <c r="AK848">
        <v>7</v>
      </c>
      <c r="AL848">
        <v>1</v>
      </c>
      <c r="AM848">
        <v>1</v>
      </c>
      <c r="AN848">
        <v>0</v>
      </c>
      <c r="AO848">
        <v>0</v>
      </c>
      <c r="AP848">
        <v>1130</v>
      </c>
      <c r="AQ848">
        <v>1</v>
      </c>
      <c r="AR848">
        <v>2</v>
      </c>
      <c r="AS848">
        <v>0</v>
      </c>
      <c r="AT848">
        <v>1</v>
      </c>
      <c r="AU848">
        <v>0</v>
      </c>
      <c r="AV848">
        <v>0</v>
      </c>
      <c r="AW848">
        <v>1</v>
      </c>
      <c r="AX848">
        <v>0</v>
      </c>
      <c r="AY848">
        <v>0</v>
      </c>
      <c r="AZ848">
        <v>1</v>
      </c>
      <c r="BA848">
        <v>1020</v>
      </c>
      <c r="BB848">
        <v>4</v>
      </c>
      <c r="BC848">
        <v>0</v>
      </c>
      <c r="BD848">
        <v>0</v>
      </c>
      <c r="BE848">
        <v>0</v>
      </c>
      <c r="BF848">
        <v>5</v>
      </c>
      <c r="BG848">
        <v>2</v>
      </c>
      <c r="BH848">
        <v>0</v>
      </c>
      <c r="BI848">
        <v>0</v>
      </c>
      <c r="BJ848">
        <v>0</v>
      </c>
      <c r="BK848">
        <v>2</v>
      </c>
      <c r="BL848">
        <v>1002</v>
      </c>
      <c r="BM848">
        <v>0</v>
      </c>
      <c r="BN848">
        <v>2</v>
      </c>
      <c r="BO848">
        <v>0</v>
      </c>
      <c r="BP848">
        <v>1</v>
      </c>
      <c r="BQ848">
        <v>0</v>
      </c>
      <c r="BR848">
        <v>3</v>
      </c>
      <c r="BS848">
        <v>0</v>
      </c>
      <c r="BT848">
        <v>2</v>
      </c>
      <c r="BU848">
        <v>2</v>
      </c>
      <c r="BV848">
        <v>0</v>
      </c>
      <c r="BW848">
        <v>973</v>
      </c>
      <c r="BX848">
        <v>0</v>
      </c>
      <c r="BY848">
        <v>4</v>
      </c>
      <c r="BZ848">
        <v>0</v>
      </c>
      <c r="CA848">
        <v>0</v>
      </c>
      <c r="CB848">
        <v>1</v>
      </c>
      <c r="CC848">
        <v>1</v>
      </c>
      <c r="CD848">
        <v>1</v>
      </c>
      <c r="CE848">
        <v>0</v>
      </c>
      <c r="CF848">
        <v>25</v>
      </c>
      <c r="CG848">
        <v>3</v>
      </c>
      <c r="CH848">
        <v>833</v>
      </c>
      <c r="CI848">
        <v>25</v>
      </c>
      <c r="CJ848">
        <v>1</v>
      </c>
      <c r="CK848">
        <v>0</v>
      </c>
      <c r="CL848">
        <v>3</v>
      </c>
      <c r="CM848">
        <v>7</v>
      </c>
      <c r="CN848">
        <v>4</v>
      </c>
      <c r="CO848">
        <v>0</v>
      </c>
      <c r="CP848">
        <v>1</v>
      </c>
      <c r="CQ848">
        <v>1</v>
      </c>
      <c r="CR848">
        <v>1</v>
      </c>
      <c r="CS848">
        <v>944</v>
      </c>
      <c r="CT848">
        <v>0</v>
      </c>
      <c r="CU848">
        <v>0</v>
      </c>
      <c r="CV848">
        <v>0</v>
      </c>
      <c r="CW848">
        <v>3</v>
      </c>
      <c r="CX848">
        <v>9</v>
      </c>
      <c r="CY848">
        <v>25</v>
      </c>
      <c r="CZ848">
        <v>54</v>
      </c>
      <c r="DA848">
        <v>10</v>
      </c>
      <c r="DB848">
        <v>0</v>
      </c>
      <c r="DC848">
        <v>0</v>
      </c>
      <c r="DD848">
        <v>914</v>
      </c>
      <c r="DE848">
        <v>0</v>
      </c>
      <c r="DF848">
        <v>13</v>
      </c>
      <c r="DG848">
        <v>6</v>
      </c>
      <c r="DH848">
        <v>7</v>
      </c>
      <c r="DI848">
        <v>7</v>
      </c>
      <c r="DJ848">
        <v>14</v>
      </c>
      <c r="DK848">
        <v>6</v>
      </c>
      <c r="DL848">
        <v>3</v>
      </c>
      <c r="DM848">
        <v>32</v>
      </c>
      <c r="DN848">
        <v>2</v>
      </c>
      <c r="DO848">
        <v>853</v>
      </c>
      <c r="DP848">
        <v>44</v>
      </c>
      <c r="DQ848">
        <v>6</v>
      </c>
      <c r="DR848">
        <v>5</v>
      </c>
      <c r="DS848">
        <v>0</v>
      </c>
      <c r="DT848">
        <v>8</v>
      </c>
      <c r="DU848">
        <v>25</v>
      </c>
      <c r="DV848">
        <v>2</v>
      </c>
      <c r="DW848">
        <v>0</v>
      </c>
      <c r="DX848">
        <v>5</v>
      </c>
      <c r="DY848">
        <v>1</v>
      </c>
      <c r="DZ848">
        <v>957</v>
      </c>
      <c r="EA848">
        <v>0.95899999999999996</v>
      </c>
      <c r="EB848">
        <v>0.96066939109100902</v>
      </c>
      <c r="EC848">
        <v>0.95831361425441097</v>
      </c>
      <c r="ED848">
        <v>0.958437298840212</v>
      </c>
      <c r="EE848">
        <f>SUM(Table1[[#This Row],[ratio_0]:[ratio_9]])</f>
        <v>550</v>
      </c>
      <c r="EF848" s="1">
        <f>(Table1[[#This Row],[predicted_0]]-Table1[[#This Row],[actual_0]])/Table1[[#This Row],[actual_0]]</f>
        <v>7.1428571428571426E-3</v>
      </c>
      <c r="EG848" s="1">
        <f>(Table1[[#This Row],[predicted_1]]-Table1[[#This Row],[actual_1]])/Table1[[#This Row],[actual_1]]</f>
        <v>2.2907488986784141E-2</v>
      </c>
      <c r="EH848" s="1">
        <f>(Table1[[#This Row],[predicted_2]]-Table1[[#This Row],[actual_2]])/Table1[[#This Row],[actual_2]]</f>
        <v>2.616279069767442E-2</v>
      </c>
      <c r="EI848" s="1">
        <f>(Table1[[#This Row],[predicted_3]]-Table1[[#This Row],[actual_3]])/Table1[[#This Row],[actual_3]]</f>
        <v>0.10198019801980197</v>
      </c>
      <c r="EJ848" s="1">
        <f>(Table1[[#This Row],[predicted_4]]-Table1[[#This Row],[actual_4]])/Table1[[#This Row],[actual_4]]</f>
        <v>3.6659877800407331E-2</v>
      </c>
      <c r="EK848" s="1">
        <f>(Table1[[#This Row],[predicted_5]]-Table1[[#This Row],[actual_5]])/Table1[[#This Row],[actual_5]]</f>
        <v>-5.6053811659192827E-2</v>
      </c>
      <c r="EL848" s="1">
        <f>(Table1[[#This Row],[predicted_6]]-Table1[[#This Row],[actual_6]])/Table1[[#This Row],[actual_6]]</f>
        <v>5.6367432150313153E-2</v>
      </c>
      <c r="EM848" s="1">
        <f>(Table1[[#This Row],[predicted_7]]-Table1[[#This Row],[actual_7]])/Table1[[#This Row],[actual_7]]</f>
        <v>-9.6303501945525297E-2</v>
      </c>
      <c r="EN848" s="1">
        <f>(Table1[[#This Row],[predicted_8]]-Table1[[#This Row],[actual_8]])/Table1[[#This Row],[actual_8]]</f>
        <v>-0.11909650924024641</v>
      </c>
      <c r="EO848" s="1">
        <f>(Table1[[#This Row],[predicted_9]]-Table1[[#This Row],[actual_9]])/Table1[[#This Row],[actual_9]]</f>
        <v>1.1892963330029732E-2</v>
      </c>
      <c r="EP848" s="1">
        <f>1+(Table1[[#This Row],[error_ratio_0]]-EF$2)</f>
        <v>1.0051020408163265</v>
      </c>
      <c r="EQ848" s="1">
        <f>1+(Table1[[#This Row],[error_ratio_1]]-EG$2)</f>
        <v>1.0211453744493393</v>
      </c>
      <c r="ER848" s="1">
        <f>1+(Table1[[#This Row],[error_ratio_2]]-EH$2)</f>
        <v>1.0310077519379846</v>
      </c>
      <c r="ES848" s="1">
        <f>1+(Table1[[#This Row],[error_ratio_3]]-EI$2)</f>
        <v>1.0920792079207922</v>
      </c>
      <c r="ET848" s="1">
        <f>1+(Table1[[#This Row],[error_ratio_4]]-EJ$2)</f>
        <v>1.0356415478615071</v>
      </c>
      <c r="EU848" s="1">
        <f>1+(Table1[[#This Row],[error_ratio_5]]-EK$2)</f>
        <v>0.94282511210762332</v>
      </c>
      <c r="EV848" s="1">
        <f>1+(Table1[[#This Row],[error_ratio_6]]-EL$2)</f>
        <v>1.0626304801670146</v>
      </c>
      <c r="EW848" s="1">
        <f>1+(Table1[[#This Row],[error_ratio_7]]-EM$2)</f>
        <v>0.90175097276264593</v>
      </c>
      <c r="EX848" s="1">
        <f>1+(Table1[[#This Row],[error_ratio_8]]-EN$2)</f>
        <v>0.88398357289527718</v>
      </c>
      <c r="EY848" s="1">
        <f>1+(Table1[[#This Row],[error_ratio_9]]-EO$2)</f>
        <v>1.0158572844400395</v>
      </c>
    </row>
    <row r="849" spans="1:155" x14ac:dyDescent="0.75">
      <c r="A849">
        <v>100</v>
      </c>
      <c r="B849">
        <v>10</v>
      </c>
      <c r="C849">
        <v>100</v>
      </c>
      <c r="D849">
        <v>100</v>
      </c>
      <c r="E849">
        <v>100</v>
      </c>
      <c r="F849">
        <v>10</v>
      </c>
      <c r="G849">
        <v>100</v>
      </c>
      <c r="H849">
        <v>10</v>
      </c>
      <c r="I849">
        <v>10</v>
      </c>
      <c r="J849">
        <v>10</v>
      </c>
      <c r="K849">
        <v>1025</v>
      </c>
      <c r="L849">
        <v>1122</v>
      </c>
      <c r="M849">
        <v>1040</v>
      </c>
      <c r="N849">
        <v>1101</v>
      </c>
      <c r="O849">
        <v>993</v>
      </c>
      <c r="P849">
        <v>838</v>
      </c>
      <c r="Q849">
        <v>975</v>
      </c>
      <c r="R849">
        <v>973</v>
      </c>
      <c r="S849">
        <v>957</v>
      </c>
      <c r="T849">
        <v>976</v>
      </c>
      <c r="U849">
        <v>980</v>
      </c>
      <c r="V849">
        <v>1135</v>
      </c>
      <c r="W849">
        <v>1032</v>
      </c>
      <c r="X849">
        <v>1010</v>
      </c>
      <c r="Y849">
        <v>982</v>
      </c>
      <c r="Z849">
        <v>892</v>
      </c>
      <c r="AA849">
        <v>958</v>
      </c>
      <c r="AB849">
        <v>1028</v>
      </c>
      <c r="AC849">
        <v>974</v>
      </c>
      <c r="AD849">
        <v>1009</v>
      </c>
      <c r="AE849">
        <v>974</v>
      </c>
      <c r="AF849">
        <v>0</v>
      </c>
      <c r="AG849">
        <v>0</v>
      </c>
      <c r="AH849">
        <v>0</v>
      </c>
      <c r="AI849">
        <v>0</v>
      </c>
      <c r="AJ849">
        <v>0</v>
      </c>
      <c r="AK849">
        <v>4</v>
      </c>
      <c r="AL849">
        <v>0</v>
      </c>
      <c r="AM849">
        <v>2</v>
      </c>
      <c r="AN849">
        <v>0</v>
      </c>
      <c r="AO849">
        <v>0</v>
      </c>
      <c r="AP849">
        <v>1116</v>
      </c>
      <c r="AQ849">
        <v>1</v>
      </c>
      <c r="AR849">
        <v>9</v>
      </c>
      <c r="AS849">
        <v>0</v>
      </c>
      <c r="AT849">
        <v>3</v>
      </c>
      <c r="AU849">
        <v>2</v>
      </c>
      <c r="AV849">
        <v>0</v>
      </c>
      <c r="AW849">
        <v>3</v>
      </c>
      <c r="AX849">
        <v>1</v>
      </c>
      <c r="AY849">
        <v>3</v>
      </c>
      <c r="AZ849">
        <v>0</v>
      </c>
      <c r="BA849">
        <v>1006</v>
      </c>
      <c r="BB849">
        <v>13</v>
      </c>
      <c r="BC849">
        <v>1</v>
      </c>
      <c r="BD849">
        <v>0</v>
      </c>
      <c r="BE849">
        <v>1</v>
      </c>
      <c r="BF849">
        <v>4</v>
      </c>
      <c r="BG849">
        <v>4</v>
      </c>
      <c r="BH849">
        <v>0</v>
      </c>
      <c r="BI849">
        <v>0</v>
      </c>
      <c r="BJ849">
        <v>0</v>
      </c>
      <c r="BK849">
        <v>2</v>
      </c>
      <c r="BL849">
        <v>1000</v>
      </c>
      <c r="BM849">
        <v>0</v>
      </c>
      <c r="BN849">
        <v>3</v>
      </c>
      <c r="BO849">
        <v>0</v>
      </c>
      <c r="BP849">
        <v>3</v>
      </c>
      <c r="BQ849">
        <v>2</v>
      </c>
      <c r="BR849">
        <v>0</v>
      </c>
      <c r="BS849">
        <v>1</v>
      </c>
      <c r="BT849">
        <v>0</v>
      </c>
      <c r="BU849">
        <v>1</v>
      </c>
      <c r="BV849">
        <v>0</v>
      </c>
      <c r="BW849">
        <v>970</v>
      </c>
      <c r="BX849">
        <v>0</v>
      </c>
      <c r="BY849">
        <v>4</v>
      </c>
      <c r="BZ849">
        <v>0</v>
      </c>
      <c r="CA849">
        <v>1</v>
      </c>
      <c r="CB849">
        <v>5</v>
      </c>
      <c r="CC849">
        <v>6</v>
      </c>
      <c r="CD849">
        <v>0</v>
      </c>
      <c r="CE849">
        <v>1</v>
      </c>
      <c r="CF849">
        <v>24</v>
      </c>
      <c r="CG849">
        <v>1</v>
      </c>
      <c r="CH849">
        <v>822</v>
      </c>
      <c r="CI849">
        <v>12</v>
      </c>
      <c r="CJ849">
        <v>2</v>
      </c>
      <c r="CK849">
        <v>11</v>
      </c>
      <c r="CL849">
        <v>13</v>
      </c>
      <c r="CM849">
        <v>6</v>
      </c>
      <c r="CN849">
        <v>1</v>
      </c>
      <c r="CO849">
        <v>0</v>
      </c>
      <c r="CP849">
        <v>1</v>
      </c>
      <c r="CQ849">
        <v>1</v>
      </c>
      <c r="CR849">
        <v>2</v>
      </c>
      <c r="CS849">
        <v>946</v>
      </c>
      <c r="CT849">
        <v>0</v>
      </c>
      <c r="CU849">
        <v>1</v>
      </c>
      <c r="CV849">
        <v>0</v>
      </c>
      <c r="CW849">
        <v>13</v>
      </c>
      <c r="CX849">
        <v>1</v>
      </c>
      <c r="CY849">
        <v>26</v>
      </c>
      <c r="CZ849">
        <v>26</v>
      </c>
      <c r="DA849">
        <v>4</v>
      </c>
      <c r="DB849">
        <v>0</v>
      </c>
      <c r="DC849">
        <v>0</v>
      </c>
      <c r="DD849">
        <v>950</v>
      </c>
      <c r="DE849">
        <v>4</v>
      </c>
      <c r="DF849">
        <v>4</v>
      </c>
      <c r="DG849">
        <v>10</v>
      </c>
      <c r="DH849">
        <v>0</v>
      </c>
      <c r="DI849">
        <v>3</v>
      </c>
      <c r="DJ849">
        <v>16</v>
      </c>
      <c r="DK849">
        <v>3</v>
      </c>
      <c r="DL849">
        <v>4</v>
      </c>
      <c r="DM849">
        <v>6</v>
      </c>
      <c r="DN849">
        <v>4</v>
      </c>
      <c r="DO849">
        <v>924</v>
      </c>
      <c r="DP849">
        <v>4</v>
      </c>
      <c r="DQ849">
        <v>12</v>
      </c>
      <c r="DR849">
        <v>4</v>
      </c>
      <c r="DS849">
        <v>0</v>
      </c>
      <c r="DT849">
        <v>12</v>
      </c>
      <c r="DU849">
        <v>13</v>
      </c>
      <c r="DV849">
        <v>4</v>
      </c>
      <c r="DW849">
        <v>0</v>
      </c>
      <c r="DX849">
        <v>10</v>
      </c>
      <c r="DY849">
        <v>5</v>
      </c>
      <c r="DZ849">
        <v>949</v>
      </c>
      <c r="EA849">
        <v>0.9657</v>
      </c>
      <c r="EB849">
        <v>0.96626854858407496</v>
      </c>
      <c r="EC849">
        <v>0.965214627745278</v>
      </c>
      <c r="ED849">
        <v>0.96530257345306003</v>
      </c>
      <c r="EE849">
        <f>SUM(Table1[[#This Row],[ratio_0]:[ratio_9]])</f>
        <v>550</v>
      </c>
      <c r="EF849" s="1">
        <f>(Table1[[#This Row],[predicted_0]]-Table1[[#This Row],[actual_0]])/Table1[[#This Row],[actual_0]]</f>
        <v>4.5918367346938778E-2</v>
      </c>
      <c r="EG849" s="1">
        <f>(Table1[[#This Row],[predicted_1]]-Table1[[#This Row],[actual_1]])/Table1[[#This Row],[actual_1]]</f>
        <v>-1.145374449339207E-2</v>
      </c>
      <c r="EH849" s="1">
        <f>(Table1[[#This Row],[predicted_2]]-Table1[[#This Row],[actual_2]])/Table1[[#This Row],[actual_2]]</f>
        <v>7.7519379844961239E-3</v>
      </c>
      <c r="EI849" s="1">
        <f>(Table1[[#This Row],[predicted_3]]-Table1[[#This Row],[actual_3]])/Table1[[#This Row],[actual_3]]</f>
        <v>9.0099009900990096E-2</v>
      </c>
      <c r="EJ849" s="1">
        <f>(Table1[[#This Row],[predicted_4]]-Table1[[#This Row],[actual_4]])/Table1[[#This Row],[actual_4]]</f>
        <v>1.1201629327902239E-2</v>
      </c>
      <c r="EK849" s="1">
        <f>(Table1[[#This Row],[predicted_5]]-Table1[[#This Row],[actual_5]])/Table1[[#This Row],[actual_5]]</f>
        <v>-6.0538116591928252E-2</v>
      </c>
      <c r="EL849" s="1">
        <f>(Table1[[#This Row],[predicted_6]]-Table1[[#This Row],[actual_6]])/Table1[[#This Row],[actual_6]]</f>
        <v>1.7745302713987474E-2</v>
      </c>
      <c r="EM849" s="1">
        <f>(Table1[[#This Row],[predicted_7]]-Table1[[#This Row],[actual_7]])/Table1[[#This Row],[actual_7]]</f>
        <v>-5.3501945525291826E-2</v>
      </c>
      <c r="EN849" s="1">
        <f>(Table1[[#This Row],[predicted_8]]-Table1[[#This Row],[actual_8]])/Table1[[#This Row],[actual_8]]</f>
        <v>-1.7453798767967144E-2</v>
      </c>
      <c r="EO849" s="1">
        <f>(Table1[[#This Row],[predicted_9]]-Table1[[#This Row],[actual_9]])/Table1[[#This Row],[actual_9]]</f>
        <v>-3.2705649157581763E-2</v>
      </c>
      <c r="EP849" s="1">
        <f>1+(Table1[[#This Row],[error_ratio_0]]-EF$2)</f>
        <v>1.0438775510204081</v>
      </c>
      <c r="EQ849" s="1">
        <f>1+(Table1[[#This Row],[error_ratio_1]]-EG$2)</f>
        <v>0.986784140969163</v>
      </c>
      <c r="ER849" s="1">
        <f>1+(Table1[[#This Row],[error_ratio_2]]-EH$2)</f>
        <v>1.0125968992248062</v>
      </c>
      <c r="ES849" s="1">
        <f>1+(Table1[[#This Row],[error_ratio_3]]-EI$2)</f>
        <v>1.0801980198019803</v>
      </c>
      <c r="ET849" s="1">
        <f>1+(Table1[[#This Row],[error_ratio_4]]-EJ$2)</f>
        <v>1.0101832993890021</v>
      </c>
      <c r="EU849" s="1">
        <f>1+(Table1[[#This Row],[error_ratio_5]]-EK$2)</f>
        <v>0.93834080717488788</v>
      </c>
      <c r="EV849" s="1">
        <f>1+(Table1[[#This Row],[error_ratio_6]]-EL$2)</f>
        <v>1.024008350730689</v>
      </c>
      <c r="EW849" s="1">
        <f>1+(Table1[[#This Row],[error_ratio_7]]-EM$2)</f>
        <v>0.94455252918287935</v>
      </c>
      <c r="EX849" s="1">
        <f>1+(Table1[[#This Row],[error_ratio_8]]-EN$2)</f>
        <v>0.98562628336755642</v>
      </c>
      <c r="EY849" s="1">
        <f>1+(Table1[[#This Row],[error_ratio_9]]-EO$2)</f>
        <v>0.9712586719524281</v>
      </c>
    </row>
    <row r="850" spans="1:155" x14ac:dyDescent="0.75">
      <c r="A850">
        <v>10</v>
      </c>
      <c r="B850">
        <v>10</v>
      </c>
      <c r="C850">
        <v>100</v>
      </c>
      <c r="D850">
        <v>100</v>
      </c>
      <c r="E850">
        <v>100</v>
      </c>
      <c r="F850">
        <v>10</v>
      </c>
      <c r="G850">
        <v>100</v>
      </c>
      <c r="H850">
        <v>10</v>
      </c>
      <c r="I850">
        <v>10</v>
      </c>
      <c r="J850">
        <v>10</v>
      </c>
      <c r="K850">
        <v>977</v>
      </c>
      <c r="L850">
        <v>1151</v>
      </c>
      <c r="M850">
        <v>1076</v>
      </c>
      <c r="N850">
        <v>1131</v>
      </c>
      <c r="O850">
        <v>1192</v>
      </c>
      <c r="P850">
        <v>760</v>
      </c>
      <c r="Q850">
        <v>1040</v>
      </c>
      <c r="R850">
        <v>966</v>
      </c>
      <c r="S850">
        <v>897</v>
      </c>
      <c r="T850">
        <v>810</v>
      </c>
      <c r="U850">
        <v>980</v>
      </c>
      <c r="V850">
        <v>1135</v>
      </c>
      <c r="W850">
        <v>1032</v>
      </c>
      <c r="X850">
        <v>1010</v>
      </c>
      <c r="Y850">
        <v>982</v>
      </c>
      <c r="Z850">
        <v>892</v>
      </c>
      <c r="AA850">
        <v>958</v>
      </c>
      <c r="AB850">
        <v>1028</v>
      </c>
      <c r="AC850">
        <v>974</v>
      </c>
      <c r="AD850">
        <v>1009</v>
      </c>
      <c r="AE850">
        <v>947</v>
      </c>
      <c r="AF850">
        <v>0</v>
      </c>
      <c r="AG850">
        <v>1</v>
      </c>
      <c r="AH850">
        <v>0</v>
      </c>
      <c r="AI850">
        <v>2</v>
      </c>
      <c r="AJ850">
        <v>0</v>
      </c>
      <c r="AK850">
        <v>29</v>
      </c>
      <c r="AL850">
        <v>1</v>
      </c>
      <c r="AM850">
        <v>0</v>
      </c>
      <c r="AN850">
        <v>0</v>
      </c>
      <c r="AO850">
        <v>0</v>
      </c>
      <c r="AP850">
        <v>1121</v>
      </c>
      <c r="AQ850">
        <v>3</v>
      </c>
      <c r="AR850">
        <v>7</v>
      </c>
      <c r="AS850">
        <v>1</v>
      </c>
      <c r="AT850">
        <v>0</v>
      </c>
      <c r="AU850">
        <v>3</v>
      </c>
      <c r="AV850">
        <v>0</v>
      </c>
      <c r="AW850">
        <v>0</v>
      </c>
      <c r="AX850">
        <v>0</v>
      </c>
      <c r="AY850">
        <v>2</v>
      </c>
      <c r="AZ850">
        <v>1</v>
      </c>
      <c r="BA850">
        <v>1021</v>
      </c>
      <c r="BB850">
        <v>0</v>
      </c>
      <c r="BC850">
        <v>1</v>
      </c>
      <c r="BD850">
        <v>0</v>
      </c>
      <c r="BE850">
        <v>4</v>
      </c>
      <c r="BF850">
        <v>3</v>
      </c>
      <c r="BG850">
        <v>0</v>
      </c>
      <c r="BH850">
        <v>0</v>
      </c>
      <c r="BI850">
        <v>0</v>
      </c>
      <c r="BJ850">
        <v>0</v>
      </c>
      <c r="BK850">
        <v>4</v>
      </c>
      <c r="BL850">
        <v>1004</v>
      </c>
      <c r="BM850">
        <v>0</v>
      </c>
      <c r="BN850">
        <v>0</v>
      </c>
      <c r="BO850">
        <v>0</v>
      </c>
      <c r="BP850">
        <v>2</v>
      </c>
      <c r="BQ850">
        <v>0</v>
      </c>
      <c r="BR850">
        <v>0</v>
      </c>
      <c r="BS850">
        <v>0</v>
      </c>
      <c r="BT850">
        <v>0</v>
      </c>
      <c r="BU850">
        <v>2</v>
      </c>
      <c r="BV850">
        <v>0</v>
      </c>
      <c r="BW850">
        <v>976</v>
      </c>
      <c r="BX850">
        <v>0</v>
      </c>
      <c r="BY850">
        <v>4</v>
      </c>
      <c r="BZ850">
        <v>0</v>
      </c>
      <c r="CA850">
        <v>0</v>
      </c>
      <c r="CB850">
        <v>0</v>
      </c>
      <c r="CC850">
        <v>2</v>
      </c>
      <c r="CD850">
        <v>0</v>
      </c>
      <c r="CE850">
        <v>0</v>
      </c>
      <c r="CF850">
        <v>78</v>
      </c>
      <c r="CG850">
        <v>10</v>
      </c>
      <c r="CH850">
        <v>758</v>
      </c>
      <c r="CI850">
        <v>39</v>
      </c>
      <c r="CJ850">
        <v>1</v>
      </c>
      <c r="CK850">
        <v>3</v>
      </c>
      <c r="CL850">
        <v>1</v>
      </c>
      <c r="CM850">
        <v>3</v>
      </c>
      <c r="CN850">
        <v>1</v>
      </c>
      <c r="CO850">
        <v>0</v>
      </c>
      <c r="CP850">
        <v>0</v>
      </c>
      <c r="CQ850">
        <v>1</v>
      </c>
      <c r="CR850">
        <v>0</v>
      </c>
      <c r="CS850">
        <v>953</v>
      </c>
      <c r="CT850">
        <v>0</v>
      </c>
      <c r="CU850">
        <v>0</v>
      </c>
      <c r="CV850">
        <v>0</v>
      </c>
      <c r="CW850">
        <v>2</v>
      </c>
      <c r="CX850">
        <v>10</v>
      </c>
      <c r="CY850">
        <v>29</v>
      </c>
      <c r="CZ850">
        <v>18</v>
      </c>
      <c r="DA850">
        <v>22</v>
      </c>
      <c r="DB850">
        <v>0</v>
      </c>
      <c r="DC850">
        <v>0</v>
      </c>
      <c r="DD850">
        <v>946</v>
      </c>
      <c r="DE850">
        <v>1</v>
      </c>
      <c r="DF850">
        <v>0</v>
      </c>
      <c r="DG850">
        <v>16</v>
      </c>
      <c r="DH850">
        <v>7</v>
      </c>
      <c r="DI850">
        <v>15</v>
      </c>
      <c r="DJ850">
        <v>10</v>
      </c>
      <c r="DK850">
        <v>15</v>
      </c>
      <c r="DL850">
        <v>0</v>
      </c>
      <c r="DM850">
        <v>6</v>
      </c>
      <c r="DN850">
        <v>7</v>
      </c>
      <c r="DO850">
        <v>893</v>
      </c>
      <c r="DP850">
        <v>5</v>
      </c>
      <c r="DQ850">
        <v>5</v>
      </c>
      <c r="DR850">
        <v>11</v>
      </c>
      <c r="DS850">
        <v>1</v>
      </c>
      <c r="DT850">
        <v>14</v>
      </c>
      <c r="DU850">
        <v>164</v>
      </c>
      <c r="DV850">
        <v>2</v>
      </c>
      <c r="DW850">
        <v>2</v>
      </c>
      <c r="DX850">
        <v>6</v>
      </c>
      <c r="DY850">
        <v>0</v>
      </c>
      <c r="DZ850">
        <v>804</v>
      </c>
      <c r="EA850">
        <v>0.94230000000000003</v>
      </c>
      <c r="EB850">
        <v>0.94797600852452002</v>
      </c>
      <c r="EC850">
        <v>0.94097386069892897</v>
      </c>
      <c r="ED850">
        <v>0.94120625435983896</v>
      </c>
      <c r="EE850">
        <f>SUM(Table1[[#This Row],[ratio_0]:[ratio_9]])</f>
        <v>460</v>
      </c>
      <c r="EF850" s="1">
        <f>(Table1[[#This Row],[predicted_0]]-Table1[[#This Row],[actual_0]])/Table1[[#This Row],[actual_0]]</f>
        <v>-3.0612244897959182E-3</v>
      </c>
      <c r="EG850" s="1">
        <f>(Table1[[#This Row],[predicted_1]]-Table1[[#This Row],[actual_1]])/Table1[[#This Row],[actual_1]]</f>
        <v>1.4096916299559472E-2</v>
      </c>
      <c r="EH850" s="1">
        <f>(Table1[[#This Row],[predicted_2]]-Table1[[#This Row],[actual_2]])/Table1[[#This Row],[actual_2]]</f>
        <v>4.2635658914728682E-2</v>
      </c>
      <c r="EI850" s="1">
        <f>(Table1[[#This Row],[predicted_3]]-Table1[[#This Row],[actual_3]])/Table1[[#This Row],[actual_3]]</f>
        <v>0.1198019801980198</v>
      </c>
      <c r="EJ850" s="1">
        <f>(Table1[[#This Row],[predicted_4]]-Table1[[#This Row],[actual_4]])/Table1[[#This Row],[actual_4]]</f>
        <v>0.21384928716904278</v>
      </c>
      <c r="EK850" s="1">
        <f>(Table1[[#This Row],[predicted_5]]-Table1[[#This Row],[actual_5]])/Table1[[#This Row],[actual_5]]</f>
        <v>-0.14798206278026907</v>
      </c>
      <c r="EL850" s="1">
        <f>(Table1[[#This Row],[predicted_6]]-Table1[[#This Row],[actual_6]])/Table1[[#This Row],[actual_6]]</f>
        <v>8.5594989561586635E-2</v>
      </c>
      <c r="EM850" s="1">
        <f>(Table1[[#This Row],[predicted_7]]-Table1[[#This Row],[actual_7]])/Table1[[#This Row],[actual_7]]</f>
        <v>-6.0311284046692608E-2</v>
      </c>
      <c r="EN850" s="1">
        <f>(Table1[[#This Row],[predicted_8]]-Table1[[#This Row],[actual_8]])/Table1[[#This Row],[actual_8]]</f>
        <v>-7.9055441478439431E-2</v>
      </c>
      <c r="EO850" s="1">
        <f>(Table1[[#This Row],[predicted_9]]-Table1[[#This Row],[actual_9]])/Table1[[#This Row],[actual_9]]</f>
        <v>-0.19722497522299307</v>
      </c>
      <c r="EP850" s="1">
        <f>1+(Table1[[#This Row],[error_ratio_0]]-EF$2)</f>
        <v>0.99489795918367352</v>
      </c>
      <c r="EQ850" s="1">
        <f>1+(Table1[[#This Row],[error_ratio_1]]-EG$2)</f>
        <v>1.0123348017621145</v>
      </c>
      <c r="ER850" s="1">
        <f>1+(Table1[[#This Row],[error_ratio_2]]-EH$2)</f>
        <v>1.0474806201550388</v>
      </c>
      <c r="ES850" s="1">
        <f>1+(Table1[[#This Row],[error_ratio_3]]-EI$2)</f>
        <v>1.10990099009901</v>
      </c>
      <c r="ET850" s="1">
        <f>1+(Table1[[#This Row],[error_ratio_4]]-EJ$2)</f>
        <v>1.2128309572301426</v>
      </c>
      <c r="EU850" s="1">
        <f>1+(Table1[[#This Row],[error_ratio_5]]-EK$2)</f>
        <v>0.85089686098654704</v>
      </c>
      <c r="EV850" s="1">
        <f>1+(Table1[[#This Row],[error_ratio_6]]-EL$2)</f>
        <v>1.091858037578288</v>
      </c>
      <c r="EW850" s="1">
        <f>1+(Table1[[#This Row],[error_ratio_7]]-EM$2)</f>
        <v>0.9377431906614786</v>
      </c>
      <c r="EX850" s="1">
        <f>1+(Table1[[#This Row],[error_ratio_8]]-EN$2)</f>
        <v>0.92402464065708423</v>
      </c>
      <c r="EY850" s="1">
        <f>1+(Table1[[#This Row],[error_ratio_9]]-EO$2)</f>
        <v>0.8067393458870169</v>
      </c>
    </row>
    <row r="851" spans="1:155" x14ac:dyDescent="0.75">
      <c r="A851">
        <v>100</v>
      </c>
      <c r="B851">
        <v>100</v>
      </c>
      <c r="C851">
        <v>10</v>
      </c>
      <c r="D851">
        <v>100</v>
      </c>
      <c r="E851">
        <v>100</v>
      </c>
      <c r="F851">
        <v>10</v>
      </c>
      <c r="G851">
        <v>100</v>
      </c>
      <c r="H851">
        <v>10</v>
      </c>
      <c r="I851">
        <v>10</v>
      </c>
      <c r="J851">
        <v>10</v>
      </c>
      <c r="K851">
        <v>1010</v>
      </c>
      <c r="L851">
        <v>1193</v>
      </c>
      <c r="M851">
        <v>1028</v>
      </c>
      <c r="N851">
        <v>1085</v>
      </c>
      <c r="O851">
        <v>995</v>
      </c>
      <c r="P851">
        <v>837</v>
      </c>
      <c r="Q851">
        <v>974</v>
      </c>
      <c r="R851">
        <v>876</v>
      </c>
      <c r="S851">
        <v>955</v>
      </c>
      <c r="T851">
        <v>1047</v>
      </c>
      <c r="U851">
        <v>980</v>
      </c>
      <c r="V851">
        <v>1135</v>
      </c>
      <c r="W851">
        <v>1032</v>
      </c>
      <c r="X851">
        <v>1010</v>
      </c>
      <c r="Y851">
        <v>982</v>
      </c>
      <c r="Z851">
        <v>892</v>
      </c>
      <c r="AA851">
        <v>958</v>
      </c>
      <c r="AB851">
        <v>1028</v>
      </c>
      <c r="AC851">
        <v>974</v>
      </c>
      <c r="AD851">
        <v>1009</v>
      </c>
      <c r="AE851">
        <v>977</v>
      </c>
      <c r="AF851">
        <v>0</v>
      </c>
      <c r="AG851">
        <v>0</v>
      </c>
      <c r="AH851">
        <v>0</v>
      </c>
      <c r="AI851">
        <v>1</v>
      </c>
      <c r="AJ851">
        <v>0</v>
      </c>
      <c r="AK851">
        <v>1</v>
      </c>
      <c r="AL851">
        <v>0</v>
      </c>
      <c r="AM851">
        <v>1</v>
      </c>
      <c r="AN851">
        <v>0</v>
      </c>
      <c r="AO851">
        <v>0</v>
      </c>
      <c r="AP851">
        <v>1131</v>
      </c>
      <c r="AQ851">
        <v>0</v>
      </c>
      <c r="AR851">
        <v>0</v>
      </c>
      <c r="AS851">
        <v>0</v>
      </c>
      <c r="AT851">
        <v>0</v>
      </c>
      <c r="AU851">
        <v>3</v>
      </c>
      <c r="AV851">
        <v>0</v>
      </c>
      <c r="AW851">
        <v>1</v>
      </c>
      <c r="AX851">
        <v>0</v>
      </c>
      <c r="AY851">
        <v>4</v>
      </c>
      <c r="AZ851">
        <v>17</v>
      </c>
      <c r="BA851">
        <v>988</v>
      </c>
      <c r="BB851">
        <v>7</v>
      </c>
      <c r="BC851">
        <v>3</v>
      </c>
      <c r="BD851">
        <v>0</v>
      </c>
      <c r="BE851">
        <v>5</v>
      </c>
      <c r="BF851">
        <v>1</v>
      </c>
      <c r="BG851">
        <v>7</v>
      </c>
      <c r="BH851">
        <v>0</v>
      </c>
      <c r="BI851">
        <v>0</v>
      </c>
      <c r="BJ851">
        <v>1</v>
      </c>
      <c r="BK851">
        <v>2</v>
      </c>
      <c r="BL851">
        <v>1001</v>
      </c>
      <c r="BM851">
        <v>0</v>
      </c>
      <c r="BN851">
        <v>0</v>
      </c>
      <c r="BO851">
        <v>0</v>
      </c>
      <c r="BP851">
        <v>0</v>
      </c>
      <c r="BQ851">
        <v>4</v>
      </c>
      <c r="BR851">
        <v>2</v>
      </c>
      <c r="BS851">
        <v>0</v>
      </c>
      <c r="BT851">
        <v>0</v>
      </c>
      <c r="BU851">
        <v>1</v>
      </c>
      <c r="BV851">
        <v>0</v>
      </c>
      <c r="BW851">
        <v>974</v>
      </c>
      <c r="BX851">
        <v>0</v>
      </c>
      <c r="BY851">
        <v>0</v>
      </c>
      <c r="BZ851">
        <v>0</v>
      </c>
      <c r="CA851">
        <v>2</v>
      </c>
      <c r="CB851">
        <v>5</v>
      </c>
      <c r="CC851">
        <v>4</v>
      </c>
      <c r="CD851">
        <v>0</v>
      </c>
      <c r="CE851">
        <v>0</v>
      </c>
      <c r="CF851">
        <v>35</v>
      </c>
      <c r="CG851">
        <v>0</v>
      </c>
      <c r="CH851">
        <v>834</v>
      </c>
      <c r="CI851">
        <v>13</v>
      </c>
      <c r="CJ851">
        <v>0</v>
      </c>
      <c r="CK851">
        <v>4</v>
      </c>
      <c r="CL851">
        <v>2</v>
      </c>
      <c r="CM851">
        <v>6</v>
      </c>
      <c r="CN851">
        <v>5</v>
      </c>
      <c r="CO851">
        <v>1</v>
      </c>
      <c r="CP851">
        <v>1</v>
      </c>
      <c r="CQ851">
        <v>3</v>
      </c>
      <c r="CR851">
        <v>0</v>
      </c>
      <c r="CS851">
        <v>942</v>
      </c>
      <c r="CT851">
        <v>0</v>
      </c>
      <c r="CU851">
        <v>0</v>
      </c>
      <c r="CV851">
        <v>0</v>
      </c>
      <c r="CW851">
        <v>6</v>
      </c>
      <c r="CX851">
        <v>30</v>
      </c>
      <c r="CY851">
        <v>34</v>
      </c>
      <c r="CZ851">
        <v>15</v>
      </c>
      <c r="DA851">
        <v>2</v>
      </c>
      <c r="DB851">
        <v>0</v>
      </c>
      <c r="DC851">
        <v>0</v>
      </c>
      <c r="DD851">
        <v>871</v>
      </c>
      <c r="DE851">
        <v>17</v>
      </c>
      <c r="DF851">
        <v>53</v>
      </c>
      <c r="DG851">
        <v>10</v>
      </c>
      <c r="DH851">
        <v>4</v>
      </c>
      <c r="DI851">
        <v>2</v>
      </c>
      <c r="DJ851">
        <v>22</v>
      </c>
      <c r="DK851">
        <v>6</v>
      </c>
      <c r="DL851">
        <v>1</v>
      </c>
      <c r="DM851">
        <v>9</v>
      </c>
      <c r="DN851">
        <v>1</v>
      </c>
      <c r="DO851">
        <v>912</v>
      </c>
      <c r="DP851">
        <v>7</v>
      </c>
      <c r="DQ851">
        <v>3</v>
      </c>
      <c r="DR851">
        <v>5</v>
      </c>
      <c r="DS851">
        <v>0</v>
      </c>
      <c r="DT851">
        <v>4</v>
      </c>
      <c r="DU851">
        <v>6</v>
      </c>
      <c r="DV851">
        <v>2</v>
      </c>
      <c r="DW851">
        <v>1</v>
      </c>
      <c r="DX851">
        <v>3</v>
      </c>
      <c r="DY851">
        <v>7</v>
      </c>
      <c r="DZ851">
        <v>978</v>
      </c>
      <c r="EA851">
        <v>0.96079999999999999</v>
      </c>
      <c r="EB851">
        <v>0.962484656218623</v>
      </c>
      <c r="EC851">
        <v>0.96048952192057802</v>
      </c>
      <c r="ED851">
        <v>0.96054424914590297</v>
      </c>
      <c r="EE851">
        <f>SUM(Table1[[#This Row],[ratio_0]:[ratio_9]])</f>
        <v>550</v>
      </c>
      <c r="EF851" s="1">
        <f>(Table1[[#This Row],[predicted_0]]-Table1[[#This Row],[actual_0]])/Table1[[#This Row],[actual_0]]</f>
        <v>3.0612244897959183E-2</v>
      </c>
      <c r="EG851" s="1">
        <f>(Table1[[#This Row],[predicted_1]]-Table1[[#This Row],[actual_1]])/Table1[[#This Row],[actual_1]]</f>
        <v>5.1101321585903081E-2</v>
      </c>
      <c r="EH851" s="1">
        <f>(Table1[[#This Row],[predicted_2]]-Table1[[#This Row],[actual_2]])/Table1[[#This Row],[actual_2]]</f>
        <v>-3.875968992248062E-3</v>
      </c>
      <c r="EI851" s="1">
        <f>(Table1[[#This Row],[predicted_3]]-Table1[[#This Row],[actual_3]])/Table1[[#This Row],[actual_3]]</f>
        <v>7.4257425742574254E-2</v>
      </c>
      <c r="EJ851" s="1">
        <f>(Table1[[#This Row],[predicted_4]]-Table1[[#This Row],[actual_4]])/Table1[[#This Row],[actual_4]]</f>
        <v>1.3238289205702648E-2</v>
      </c>
      <c r="EK851" s="1">
        <f>(Table1[[#This Row],[predicted_5]]-Table1[[#This Row],[actual_5]])/Table1[[#This Row],[actual_5]]</f>
        <v>-6.1659192825112105E-2</v>
      </c>
      <c r="EL851" s="1">
        <f>(Table1[[#This Row],[predicted_6]]-Table1[[#This Row],[actual_6]])/Table1[[#This Row],[actual_6]]</f>
        <v>1.6701461377870562E-2</v>
      </c>
      <c r="EM851" s="1">
        <f>(Table1[[#This Row],[predicted_7]]-Table1[[#This Row],[actual_7]])/Table1[[#This Row],[actual_7]]</f>
        <v>-0.14785992217898833</v>
      </c>
      <c r="EN851" s="1">
        <f>(Table1[[#This Row],[predicted_8]]-Table1[[#This Row],[actual_8]])/Table1[[#This Row],[actual_8]]</f>
        <v>-1.9507186858316223E-2</v>
      </c>
      <c r="EO851" s="1">
        <f>(Table1[[#This Row],[predicted_9]]-Table1[[#This Row],[actual_9]])/Table1[[#This Row],[actual_9]]</f>
        <v>3.7661050545094152E-2</v>
      </c>
      <c r="EP851" s="1">
        <f>1+(Table1[[#This Row],[error_ratio_0]]-EF$2)</f>
        <v>1.0285714285714285</v>
      </c>
      <c r="EQ851" s="1">
        <f>1+(Table1[[#This Row],[error_ratio_1]]-EG$2)</f>
        <v>1.0493392070484582</v>
      </c>
      <c r="ER851" s="1">
        <f>1+(Table1[[#This Row],[error_ratio_2]]-EH$2)</f>
        <v>1.000968992248062</v>
      </c>
      <c r="ES851" s="1">
        <f>1+(Table1[[#This Row],[error_ratio_3]]-EI$2)</f>
        <v>1.0643564356435644</v>
      </c>
      <c r="ET851" s="1">
        <f>1+(Table1[[#This Row],[error_ratio_4]]-EJ$2)</f>
        <v>1.0122199592668024</v>
      </c>
      <c r="EU851" s="1">
        <f>1+(Table1[[#This Row],[error_ratio_5]]-EK$2)</f>
        <v>0.93721973094170408</v>
      </c>
      <c r="EV851" s="1">
        <f>1+(Table1[[#This Row],[error_ratio_6]]-EL$2)</f>
        <v>1.0229645093945721</v>
      </c>
      <c r="EW851" s="1">
        <f>1+(Table1[[#This Row],[error_ratio_7]]-EM$2)</f>
        <v>0.85019455252918286</v>
      </c>
      <c r="EX851" s="1">
        <f>1+(Table1[[#This Row],[error_ratio_8]]-EN$2)</f>
        <v>0.98357289527720737</v>
      </c>
      <c r="EY851" s="1">
        <f>1+(Table1[[#This Row],[error_ratio_9]]-EO$2)</f>
        <v>1.041625371655104</v>
      </c>
    </row>
    <row r="852" spans="1:155" x14ac:dyDescent="0.75">
      <c r="A852">
        <v>100</v>
      </c>
      <c r="B852">
        <v>10</v>
      </c>
      <c r="C852">
        <v>10</v>
      </c>
      <c r="D852">
        <v>100</v>
      </c>
      <c r="E852">
        <v>100</v>
      </c>
      <c r="F852">
        <v>10</v>
      </c>
      <c r="G852">
        <v>100</v>
      </c>
      <c r="H852">
        <v>10</v>
      </c>
      <c r="I852">
        <v>10</v>
      </c>
      <c r="J852">
        <v>10</v>
      </c>
      <c r="K852">
        <v>1007</v>
      </c>
      <c r="L852">
        <v>1115</v>
      </c>
      <c r="M852">
        <v>1015</v>
      </c>
      <c r="N852">
        <v>1097</v>
      </c>
      <c r="O852">
        <v>969</v>
      </c>
      <c r="P852">
        <v>862</v>
      </c>
      <c r="Q852">
        <v>979</v>
      </c>
      <c r="R852">
        <v>965</v>
      </c>
      <c r="S852">
        <v>979</v>
      </c>
      <c r="T852">
        <v>1012</v>
      </c>
      <c r="U852">
        <v>980</v>
      </c>
      <c r="V852">
        <v>1135</v>
      </c>
      <c r="W852">
        <v>1032</v>
      </c>
      <c r="X852">
        <v>1010</v>
      </c>
      <c r="Y852">
        <v>982</v>
      </c>
      <c r="Z852">
        <v>892</v>
      </c>
      <c r="AA852">
        <v>958</v>
      </c>
      <c r="AB852">
        <v>1028</v>
      </c>
      <c r="AC852">
        <v>974</v>
      </c>
      <c r="AD852">
        <v>1009</v>
      </c>
      <c r="AE852">
        <v>975</v>
      </c>
      <c r="AF852">
        <v>0</v>
      </c>
      <c r="AG852">
        <v>0</v>
      </c>
      <c r="AH852">
        <v>0</v>
      </c>
      <c r="AI852">
        <v>0</v>
      </c>
      <c r="AJ852">
        <v>0</v>
      </c>
      <c r="AK852">
        <v>2</v>
      </c>
      <c r="AL852">
        <v>1</v>
      </c>
      <c r="AM852">
        <v>2</v>
      </c>
      <c r="AN852">
        <v>0</v>
      </c>
      <c r="AO852">
        <v>0</v>
      </c>
      <c r="AP852">
        <v>1113</v>
      </c>
      <c r="AQ852">
        <v>4</v>
      </c>
      <c r="AR852">
        <v>3</v>
      </c>
      <c r="AS852">
        <v>0</v>
      </c>
      <c r="AT852">
        <v>3</v>
      </c>
      <c r="AU852">
        <v>6</v>
      </c>
      <c r="AV852">
        <v>0</v>
      </c>
      <c r="AW852">
        <v>5</v>
      </c>
      <c r="AX852">
        <v>1</v>
      </c>
      <c r="AY852">
        <v>8</v>
      </c>
      <c r="AZ852">
        <v>0</v>
      </c>
      <c r="BA852">
        <v>987</v>
      </c>
      <c r="BB852">
        <v>13</v>
      </c>
      <c r="BC852">
        <v>1</v>
      </c>
      <c r="BD852">
        <v>0</v>
      </c>
      <c r="BE852">
        <v>3</v>
      </c>
      <c r="BF852">
        <v>5</v>
      </c>
      <c r="BG852">
        <v>15</v>
      </c>
      <c r="BH852">
        <v>0</v>
      </c>
      <c r="BI852">
        <v>1</v>
      </c>
      <c r="BJ852">
        <v>0</v>
      </c>
      <c r="BK852">
        <v>1</v>
      </c>
      <c r="BL852">
        <v>1005</v>
      </c>
      <c r="BM852">
        <v>0</v>
      </c>
      <c r="BN852">
        <v>1</v>
      </c>
      <c r="BO852">
        <v>0</v>
      </c>
      <c r="BP852">
        <v>1</v>
      </c>
      <c r="BQ852">
        <v>1</v>
      </c>
      <c r="BR852">
        <v>0</v>
      </c>
      <c r="BS852">
        <v>0</v>
      </c>
      <c r="BT852">
        <v>0</v>
      </c>
      <c r="BU852">
        <v>1</v>
      </c>
      <c r="BV852">
        <v>0</v>
      </c>
      <c r="BW852">
        <v>959</v>
      </c>
      <c r="BX852">
        <v>0</v>
      </c>
      <c r="BY852">
        <v>3</v>
      </c>
      <c r="BZ852">
        <v>0</v>
      </c>
      <c r="CA852">
        <v>1</v>
      </c>
      <c r="CB852">
        <v>18</v>
      </c>
      <c r="CC852">
        <v>2</v>
      </c>
      <c r="CD852">
        <v>0</v>
      </c>
      <c r="CE852">
        <v>0</v>
      </c>
      <c r="CF852">
        <v>29</v>
      </c>
      <c r="CG852">
        <v>0</v>
      </c>
      <c r="CH852">
        <v>843</v>
      </c>
      <c r="CI852">
        <v>9</v>
      </c>
      <c r="CJ852">
        <v>0</v>
      </c>
      <c r="CK852">
        <v>8</v>
      </c>
      <c r="CL852">
        <v>1</v>
      </c>
      <c r="CM852">
        <v>6</v>
      </c>
      <c r="CN852">
        <v>0</v>
      </c>
      <c r="CO852">
        <v>0</v>
      </c>
      <c r="CP852">
        <v>0</v>
      </c>
      <c r="CQ852">
        <v>1</v>
      </c>
      <c r="CR852">
        <v>1</v>
      </c>
      <c r="CS852">
        <v>950</v>
      </c>
      <c r="CT852">
        <v>0</v>
      </c>
      <c r="CU852">
        <v>0</v>
      </c>
      <c r="CV852">
        <v>0</v>
      </c>
      <c r="CW852">
        <v>3</v>
      </c>
      <c r="CX852">
        <v>1</v>
      </c>
      <c r="CY852">
        <v>21</v>
      </c>
      <c r="CZ852">
        <v>25</v>
      </c>
      <c r="DA852">
        <v>6</v>
      </c>
      <c r="DB852">
        <v>0</v>
      </c>
      <c r="DC852">
        <v>0</v>
      </c>
      <c r="DD852">
        <v>951</v>
      </c>
      <c r="DE852">
        <v>1</v>
      </c>
      <c r="DF852">
        <v>20</v>
      </c>
      <c r="DG852">
        <v>4</v>
      </c>
      <c r="DH852">
        <v>0</v>
      </c>
      <c r="DI852">
        <v>1</v>
      </c>
      <c r="DJ852">
        <v>10</v>
      </c>
      <c r="DK852">
        <v>0</v>
      </c>
      <c r="DL852">
        <v>5</v>
      </c>
      <c r="DM852">
        <v>6</v>
      </c>
      <c r="DN852">
        <v>3</v>
      </c>
      <c r="DO852">
        <v>936</v>
      </c>
      <c r="DP852">
        <v>9</v>
      </c>
      <c r="DQ852">
        <v>8</v>
      </c>
      <c r="DR852">
        <v>1</v>
      </c>
      <c r="DS852">
        <v>0</v>
      </c>
      <c r="DT852">
        <v>12</v>
      </c>
      <c r="DU852">
        <v>2</v>
      </c>
      <c r="DV852">
        <v>9</v>
      </c>
      <c r="DW852">
        <v>0</v>
      </c>
      <c r="DX852">
        <v>4</v>
      </c>
      <c r="DY852">
        <v>10</v>
      </c>
      <c r="DZ852">
        <v>963</v>
      </c>
      <c r="EA852">
        <v>0.96819999999999995</v>
      </c>
      <c r="EB852">
        <v>0.96861445692007697</v>
      </c>
      <c r="EC852">
        <v>0.96807477081326798</v>
      </c>
      <c r="ED852">
        <v>0.96800878010449298</v>
      </c>
      <c r="EE852">
        <f>SUM(Table1[[#This Row],[ratio_0]:[ratio_9]])</f>
        <v>460</v>
      </c>
      <c r="EF852" s="1">
        <f>(Table1[[#This Row],[predicted_0]]-Table1[[#This Row],[actual_0]])/Table1[[#This Row],[actual_0]]</f>
        <v>2.7551020408163266E-2</v>
      </c>
      <c r="EG852" s="1">
        <f>(Table1[[#This Row],[predicted_1]]-Table1[[#This Row],[actual_1]])/Table1[[#This Row],[actual_1]]</f>
        <v>-1.7621145374449341E-2</v>
      </c>
      <c r="EH852" s="1">
        <f>(Table1[[#This Row],[predicted_2]]-Table1[[#This Row],[actual_2]])/Table1[[#This Row],[actual_2]]</f>
        <v>-1.6472868217054265E-2</v>
      </c>
      <c r="EI852" s="1">
        <f>(Table1[[#This Row],[predicted_3]]-Table1[[#This Row],[actual_3]])/Table1[[#This Row],[actual_3]]</f>
        <v>8.6138613861386132E-2</v>
      </c>
      <c r="EJ852" s="1">
        <f>(Table1[[#This Row],[predicted_4]]-Table1[[#This Row],[actual_4]])/Table1[[#This Row],[actual_4]]</f>
        <v>-1.3238289205702648E-2</v>
      </c>
      <c r="EK852" s="1">
        <f>(Table1[[#This Row],[predicted_5]]-Table1[[#This Row],[actual_5]])/Table1[[#This Row],[actual_5]]</f>
        <v>-3.3632286995515695E-2</v>
      </c>
      <c r="EL852" s="1">
        <f>(Table1[[#This Row],[predicted_6]]-Table1[[#This Row],[actual_6]])/Table1[[#This Row],[actual_6]]</f>
        <v>2.1920668058455117E-2</v>
      </c>
      <c r="EM852" s="1">
        <f>(Table1[[#This Row],[predicted_7]]-Table1[[#This Row],[actual_7]])/Table1[[#This Row],[actual_7]]</f>
        <v>-6.1284046692607001E-2</v>
      </c>
      <c r="EN852" s="1">
        <f>(Table1[[#This Row],[predicted_8]]-Table1[[#This Row],[actual_8]])/Table1[[#This Row],[actual_8]]</f>
        <v>5.1334702258726897E-3</v>
      </c>
      <c r="EO852" s="1">
        <f>(Table1[[#This Row],[predicted_9]]-Table1[[#This Row],[actual_9]])/Table1[[#This Row],[actual_9]]</f>
        <v>2.973240832507433E-3</v>
      </c>
      <c r="EP852" s="1">
        <f>1+(Table1[[#This Row],[error_ratio_0]]-EF$2)</f>
        <v>1.0255102040816326</v>
      </c>
      <c r="EQ852" s="1">
        <f>1+(Table1[[#This Row],[error_ratio_1]]-EG$2)</f>
        <v>0.98061674008810573</v>
      </c>
      <c r="ER852" s="1">
        <f>1+(Table1[[#This Row],[error_ratio_2]]-EH$2)</f>
        <v>0.98837209302325579</v>
      </c>
      <c r="ES852" s="1">
        <f>1+(Table1[[#This Row],[error_ratio_3]]-EI$2)</f>
        <v>1.0762376237623763</v>
      </c>
      <c r="ET852" s="1">
        <f>1+(Table1[[#This Row],[error_ratio_4]]-EJ$2)</f>
        <v>0.98574338085539714</v>
      </c>
      <c r="EU852" s="1">
        <f>1+(Table1[[#This Row],[error_ratio_5]]-EK$2)</f>
        <v>0.9652466367713004</v>
      </c>
      <c r="EV852" s="1">
        <f>1+(Table1[[#This Row],[error_ratio_6]]-EL$2)</f>
        <v>1.0281837160751566</v>
      </c>
      <c r="EW852" s="1">
        <f>1+(Table1[[#This Row],[error_ratio_7]]-EM$2)</f>
        <v>0.9367704280155642</v>
      </c>
      <c r="EX852" s="1">
        <f>1+(Table1[[#This Row],[error_ratio_8]]-EN$2)</f>
        <v>1.0082135523613962</v>
      </c>
      <c r="EY852" s="1">
        <f>1+(Table1[[#This Row],[error_ratio_9]]-EO$2)</f>
        <v>1.0069375619425174</v>
      </c>
    </row>
    <row r="853" spans="1:155" x14ac:dyDescent="0.75">
      <c r="A853">
        <v>10</v>
      </c>
      <c r="B853">
        <v>10</v>
      </c>
      <c r="C853">
        <v>10</v>
      </c>
      <c r="D853">
        <v>100</v>
      </c>
      <c r="E853">
        <v>100</v>
      </c>
      <c r="F853">
        <v>10</v>
      </c>
      <c r="G853">
        <v>100</v>
      </c>
      <c r="H853">
        <v>10</v>
      </c>
      <c r="I853">
        <v>10</v>
      </c>
      <c r="J853">
        <v>10</v>
      </c>
      <c r="K853">
        <v>1039</v>
      </c>
      <c r="L853">
        <v>1096</v>
      </c>
      <c r="M853">
        <v>977</v>
      </c>
      <c r="N853">
        <v>1128</v>
      </c>
      <c r="O853">
        <v>1094</v>
      </c>
      <c r="P853">
        <v>884</v>
      </c>
      <c r="Q853">
        <v>961</v>
      </c>
      <c r="R853">
        <v>947</v>
      </c>
      <c r="S853">
        <v>992</v>
      </c>
      <c r="T853">
        <v>882</v>
      </c>
      <c r="U853">
        <v>980</v>
      </c>
      <c r="V853">
        <v>1135</v>
      </c>
      <c r="W853">
        <v>1032</v>
      </c>
      <c r="X853">
        <v>1010</v>
      </c>
      <c r="Y853">
        <v>982</v>
      </c>
      <c r="Z853">
        <v>892</v>
      </c>
      <c r="AA853">
        <v>958</v>
      </c>
      <c r="AB853">
        <v>1028</v>
      </c>
      <c r="AC853">
        <v>974</v>
      </c>
      <c r="AD853">
        <v>1009</v>
      </c>
      <c r="AE853">
        <v>968</v>
      </c>
      <c r="AF853">
        <v>0</v>
      </c>
      <c r="AG853">
        <v>0</v>
      </c>
      <c r="AH853">
        <v>1</v>
      </c>
      <c r="AI853">
        <v>4</v>
      </c>
      <c r="AJ853">
        <v>0</v>
      </c>
      <c r="AK853">
        <v>3</v>
      </c>
      <c r="AL853">
        <v>1</v>
      </c>
      <c r="AM853">
        <v>3</v>
      </c>
      <c r="AN853">
        <v>0</v>
      </c>
      <c r="AO853">
        <v>0</v>
      </c>
      <c r="AP853">
        <v>1090</v>
      </c>
      <c r="AQ853">
        <v>3</v>
      </c>
      <c r="AR853">
        <v>5</v>
      </c>
      <c r="AS853">
        <v>1</v>
      </c>
      <c r="AT853">
        <v>1</v>
      </c>
      <c r="AU853">
        <v>9</v>
      </c>
      <c r="AV853">
        <v>0</v>
      </c>
      <c r="AW853">
        <v>26</v>
      </c>
      <c r="AX853">
        <v>0</v>
      </c>
      <c r="AY853">
        <v>12</v>
      </c>
      <c r="AZ853">
        <v>0</v>
      </c>
      <c r="BA853">
        <v>960</v>
      </c>
      <c r="BB853">
        <v>34</v>
      </c>
      <c r="BC853">
        <v>13</v>
      </c>
      <c r="BD853">
        <v>0</v>
      </c>
      <c r="BE853">
        <v>2</v>
      </c>
      <c r="BF853">
        <v>4</v>
      </c>
      <c r="BG853">
        <v>7</v>
      </c>
      <c r="BH853">
        <v>0</v>
      </c>
      <c r="BI853">
        <v>2</v>
      </c>
      <c r="BJ853">
        <v>0</v>
      </c>
      <c r="BK853">
        <v>0</v>
      </c>
      <c r="BL853">
        <v>998</v>
      </c>
      <c r="BM853">
        <v>0</v>
      </c>
      <c r="BN853">
        <v>7</v>
      </c>
      <c r="BO853">
        <v>0</v>
      </c>
      <c r="BP853">
        <v>3</v>
      </c>
      <c r="BQ853">
        <v>0</v>
      </c>
      <c r="BR853">
        <v>0</v>
      </c>
      <c r="BS853">
        <v>0</v>
      </c>
      <c r="BT853">
        <v>0</v>
      </c>
      <c r="BU853">
        <v>0</v>
      </c>
      <c r="BV853">
        <v>0</v>
      </c>
      <c r="BW853">
        <v>977</v>
      </c>
      <c r="BX853">
        <v>0</v>
      </c>
      <c r="BY853">
        <v>3</v>
      </c>
      <c r="BZ853">
        <v>0</v>
      </c>
      <c r="CA853">
        <v>1</v>
      </c>
      <c r="CB853">
        <v>1</v>
      </c>
      <c r="CC853">
        <v>6</v>
      </c>
      <c r="CD853">
        <v>0</v>
      </c>
      <c r="CE853">
        <v>0</v>
      </c>
      <c r="CF853">
        <v>23</v>
      </c>
      <c r="CG853">
        <v>1</v>
      </c>
      <c r="CH853">
        <v>850</v>
      </c>
      <c r="CI853">
        <v>7</v>
      </c>
      <c r="CJ853">
        <v>1</v>
      </c>
      <c r="CK853">
        <v>1</v>
      </c>
      <c r="CL853">
        <v>3</v>
      </c>
      <c r="CM853">
        <v>15</v>
      </c>
      <c r="CN853">
        <v>0</v>
      </c>
      <c r="CO853">
        <v>0</v>
      </c>
      <c r="CP853">
        <v>0</v>
      </c>
      <c r="CQ853">
        <v>13</v>
      </c>
      <c r="CR853">
        <v>3</v>
      </c>
      <c r="CS853">
        <v>927</v>
      </c>
      <c r="CT853">
        <v>0</v>
      </c>
      <c r="CU853">
        <v>0</v>
      </c>
      <c r="CV853">
        <v>0</v>
      </c>
      <c r="CW853">
        <v>14</v>
      </c>
      <c r="CX853">
        <v>5</v>
      </c>
      <c r="CY853">
        <v>13</v>
      </c>
      <c r="CZ853">
        <v>21</v>
      </c>
      <c r="DA853">
        <v>17</v>
      </c>
      <c r="DB853">
        <v>0</v>
      </c>
      <c r="DC853">
        <v>1</v>
      </c>
      <c r="DD853">
        <v>933</v>
      </c>
      <c r="DE853">
        <v>17</v>
      </c>
      <c r="DF853">
        <v>7</v>
      </c>
      <c r="DG853">
        <v>7</v>
      </c>
      <c r="DH853">
        <v>0</v>
      </c>
      <c r="DI853">
        <v>1</v>
      </c>
      <c r="DJ853">
        <v>31</v>
      </c>
      <c r="DK853">
        <v>5</v>
      </c>
      <c r="DL853">
        <v>12</v>
      </c>
      <c r="DM853">
        <v>7</v>
      </c>
      <c r="DN853">
        <v>0</v>
      </c>
      <c r="DO853">
        <v>911</v>
      </c>
      <c r="DP853">
        <v>0</v>
      </c>
      <c r="DQ853">
        <v>15</v>
      </c>
      <c r="DR853">
        <v>1</v>
      </c>
      <c r="DS853">
        <v>0</v>
      </c>
      <c r="DT853">
        <v>15</v>
      </c>
      <c r="DU853">
        <v>63</v>
      </c>
      <c r="DV853">
        <v>11</v>
      </c>
      <c r="DW853">
        <v>2</v>
      </c>
      <c r="DX853">
        <v>5</v>
      </c>
      <c r="DY853">
        <v>26</v>
      </c>
      <c r="DZ853">
        <v>871</v>
      </c>
      <c r="EA853">
        <v>0.94850000000000001</v>
      </c>
      <c r="EB853">
        <v>0.95038454355810997</v>
      </c>
      <c r="EC853">
        <v>0.94880597075579698</v>
      </c>
      <c r="ED853">
        <v>0.94826521858880997</v>
      </c>
      <c r="EE853">
        <f>SUM(Table1[[#This Row],[ratio_0]:[ratio_9]])</f>
        <v>370</v>
      </c>
      <c r="EF853" s="1">
        <f>(Table1[[#This Row],[predicted_0]]-Table1[[#This Row],[actual_0]])/Table1[[#This Row],[actual_0]]</f>
        <v>6.0204081632653061E-2</v>
      </c>
      <c r="EG853" s="1">
        <f>(Table1[[#This Row],[predicted_1]]-Table1[[#This Row],[actual_1]])/Table1[[#This Row],[actual_1]]</f>
        <v>-3.4361233480176209E-2</v>
      </c>
      <c r="EH853" s="1">
        <f>(Table1[[#This Row],[predicted_2]]-Table1[[#This Row],[actual_2]])/Table1[[#This Row],[actual_2]]</f>
        <v>-5.329457364341085E-2</v>
      </c>
      <c r="EI853" s="1">
        <f>(Table1[[#This Row],[predicted_3]]-Table1[[#This Row],[actual_3]])/Table1[[#This Row],[actual_3]]</f>
        <v>0.11683168316831684</v>
      </c>
      <c r="EJ853" s="1">
        <f>(Table1[[#This Row],[predicted_4]]-Table1[[#This Row],[actual_4]])/Table1[[#This Row],[actual_4]]</f>
        <v>0.11405295315682282</v>
      </c>
      <c r="EK853" s="1">
        <f>(Table1[[#This Row],[predicted_5]]-Table1[[#This Row],[actual_5]])/Table1[[#This Row],[actual_5]]</f>
        <v>-8.9686098654708519E-3</v>
      </c>
      <c r="EL853" s="1">
        <f>(Table1[[#This Row],[predicted_6]]-Table1[[#This Row],[actual_6]])/Table1[[#This Row],[actual_6]]</f>
        <v>3.1315240083507308E-3</v>
      </c>
      <c r="EM853" s="1">
        <f>(Table1[[#This Row],[predicted_7]]-Table1[[#This Row],[actual_7]])/Table1[[#This Row],[actual_7]]</f>
        <v>-7.8793774319066145E-2</v>
      </c>
      <c r="EN853" s="1">
        <f>(Table1[[#This Row],[predicted_8]]-Table1[[#This Row],[actual_8]])/Table1[[#This Row],[actual_8]]</f>
        <v>1.8480492813141684E-2</v>
      </c>
      <c r="EO853" s="1">
        <f>(Table1[[#This Row],[predicted_9]]-Table1[[#This Row],[actual_9]])/Table1[[#This Row],[actual_9]]</f>
        <v>-0.12586719524281467</v>
      </c>
      <c r="EP853" s="1">
        <f>1+(Table1[[#This Row],[error_ratio_0]]-EF$2)</f>
        <v>1.0581632653061224</v>
      </c>
      <c r="EQ853" s="1">
        <f>1+(Table1[[#This Row],[error_ratio_1]]-EG$2)</f>
        <v>0.96387665198237882</v>
      </c>
      <c r="ER853" s="1">
        <f>1+(Table1[[#This Row],[error_ratio_2]]-EH$2)</f>
        <v>0.95155038759689925</v>
      </c>
      <c r="ES853" s="1">
        <f>1+(Table1[[#This Row],[error_ratio_3]]-EI$2)</f>
        <v>1.106930693069307</v>
      </c>
      <c r="ET853" s="1">
        <f>1+(Table1[[#This Row],[error_ratio_4]]-EJ$2)</f>
        <v>1.1130346232179227</v>
      </c>
      <c r="EU853" s="1">
        <f>1+(Table1[[#This Row],[error_ratio_5]]-EK$2)</f>
        <v>0.98991031390134532</v>
      </c>
      <c r="EV853" s="1">
        <f>1+(Table1[[#This Row],[error_ratio_6]]-EL$2)</f>
        <v>1.0093945720250521</v>
      </c>
      <c r="EW853" s="1">
        <f>1+(Table1[[#This Row],[error_ratio_7]]-EM$2)</f>
        <v>0.91926070038910512</v>
      </c>
      <c r="EX853" s="1">
        <f>1+(Table1[[#This Row],[error_ratio_8]]-EN$2)</f>
        <v>1.0215605749486654</v>
      </c>
      <c r="EY853" s="1">
        <f>1+(Table1[[#This Row],[error_ratio_9]]-EO$2)</f>
        <v>0.87809712586719524</v>
      </c>
    </row>
    <row r="854" spans="1:155" x14ac:dyDescent="0.75">
      <c r="A854">
        <v>100</v>
      </c>
      <c r="B854">
        <v>100</v>
      </c>
      <c r="C854">
        <v>100</v>
      </c>
      <c r="D854">
        <v>10</v>
      </c>
      <c r="E854">
        <v>100</v>
      </c>
      <c r="F854">
        <v>10</v>
      </c>
      <c r="G854">
        <v>100</v>
      </c>
      <c r="H854">
        <v>10</v>
      </c>
      <c r="I854">
        <v>10</v>
      </c>
      <c r="J854">
        <v>10</v>
      </c>
      <c r="K854">
        <v>1010</v>
      </c>
      <c r="L854">
        <v>1176</v>
      </c>
      <c r="M854">
        <v>1043</v>
      </c>
      <c r="N854">
        <v>1043</v>
      </c>
      <c r="O854">
        <v>1004</v>
      </c>
      <c r="P854">
        <v>859</v>
      </c>
      <c r="Q854">
        <v>1037</v>
      </c>
      <c r="R854">
        <v>981</v>
      </c>
      <c r="S854">
        <v>915</v>
      </c>
      <c r="T854">
        <v>932</v>
      </c>
      <c r="U854">
        <v>980</v>
      </c>
      <c r="V854">
        <v>1135</v>
      </c>
      <c r="W854">
        <v>1032</v>
      </c>
      <c r="X854">
        <v>1010</v>
      </c>
      <c r="Y854">
        <v>982</v>
      </c>
      <c r="Z854">
        <v>892</v>
      </c>
      <c r="AA854">
        <v>958</v>
      </c>
      <c r="AB854">
        <v>1028</v>
      </c>
      <c r="AC854">
        <v>974</v>
      </c>
      <c r="AD854">
        <v>1009</v>
      </c>
      <c r="AE854">
        <v>975</v>
      </c>
      <c r="AF854">
        <v>1</v>
      </c>
      <c r="AG854">
        <v>1</v>
      </c>
      <c r="AH854">
        <v>0</v>
      </c>
      <c r="AI854">
        <v>0</v>
      </c>
      <c r="AJ854">
        <v>0</v>
      </c>
      <c r="AK854">
        <v>2</v>
      </c>
      <c r="AL854">
        <v>1</v>
      </c>
      <c r="AM854">
        <v>0</v>
      </c>
      <c r="AN854">
        <v>0</v>
      </c>
      <c r="AO854">
        <v>0</v>
      </c>
      <c r="AP854">
        <v>1130</v>
      </c>
      <c r="AQ854">
        <v>1</v>
      </c>
      <c r="AR854">
        <v>0</v>
      </c>
      <c r="AS854">
        <v>0</v>
      </c>
      <c r="AT854">
        <v>1</v>
      </c>
      <c r="AU854">
        <v>3</v>
      </c>
      <c r="AV854">
        <v>0</v>
      </c>
      <c r="AW854">
        <v>0</v>
      </c>
      <c r="AX854">
        <v>0</v>
      </c>
      <c r="AY854">
        <v>5</v>
      </c>
      <c r="AZ854">
        <v>5</v>
      </c>
      <c r="BA854">
        <v>1000</v>
      </c>
      <c r="BB854">
        <v>11</v>
      </c>
      <c r="BC854">
        <v>1</v>
      </c>
      <c r="BD854">
        <v>0</v>
      </c>
      <c r="BE854">
        <v>2</v>
      </c>
      <c r="BF854">
        <v>8</v>
      </c>
      <c r="BG854">
        <v>0</v>
      </c>
      <c r="BH854">
        <v>0</v>
      </c>
      <c r="BI854">
        <v>1</v>
      </c>
      <c r="BJ854">
        <v>0</v>
      </c>
      <c r="BK854">
        <v>6</v>
      </c>
      <c r="BL854">
        <v>977</v>
      </c>
      <c r="BM854">
        <v>0</v>
      </c>
      <c r="BN854">
        <v>15</v>
      </c>
      <c r="BO854">
        <v>0</v>
      </c>
      <c r="BP854">
        <v>8</v>
      </c>
      <c r="BQ854">
        <v>3</v>
      </c>
      <c r="BR854">
        <v>0</v>
      </c>
      <c r="BS854">
        <v>0</v>
      </c>
      <c r="BT854">
        <v>4</v>
      </c>
      <c r="BU854">
        <v>2</v>
      </c>
      <c r="BV854">
        <v>0</v>
      </c>
      <c r="BW854">
        <v>964</v>
      </c>
      <c r="BX854">
        <v>0</v>
      </c>
      <c r="BY854">
        <v>12</v>
      </c>
      <c r="BZ854">
        <v>0</v>
      </c>
      <c r="CA854">
        <v>0</v>
      </c>
      <c r="CB854">
        <v>0</v>
      </c>
      <c r="CC854">
        <v>7</v>
      </c>
      <c r="CD854">
        <v>1</v>
      </c>
      <c r="CE854">
        <v>0</v>
      </c>
      <c r="CF854">
        <v>18</v>
      </c>
      <c r="CG854">
        <v>0</v>
      </c>
      <c r="CH854">
        <v>823</v>
      </c>
      <c r="CI854">
        <v>28</v>
      </c>
      <c r="CJ854">
        <v>1</v>
      </c>
      <c r="CK854">
        <v>13</v>
      </c>
      <c r="CL854">
        <v>1</v>
      </c>
      <c r="CM854">
        <v>4</v>
      </c>
      <c r="CN854">
        <v>2</v>
      </c>
      <c r="CO854">
        <v>0</v>
      </c>
      <c r="CP854">
        <v>0</v>
      </c>
      <c r="CQ854">
        <v>0</v>
      </c>
      <c r="CR854">
        <v>0</v>
      </c>
      <c r="CS854">
        <v>952</v>
      </c>
      <c r="CT854">
        <v>0</v>
      </c>
      <c r="CU854">
        <v>0</v>
      </c>
      <c r="CV854">
        <v>0</v>
      </c>
      <c r="CW854">
        <v>2</v>
      </c>
      <c r="CX854">
        <v>19</v>
      </c>
      <c r="CY854">
        <v>29</v>
      </c>
      <c r="CZ854">
        <v>4</v>
      </c>
      <c r="DA854">
        <v>4</v>
      </c>
      <c r="DB854">
        <v>3</v>
      </c>
      <c r="DC854">
        <v>1</v>
      </c>
      <c r="DD854">
        <v>953</v>
      </c>
      <c r="DE854">
        <v>4</v>
      </c>
      <c r="DF854">
        <v>9</v>
      </c>
      <c r="DG854">
        <v>9</v>
      </c>
      <c r="DH854">
        <v>3</v>
      </c>
      <c r="DI854">
        <v>4</v>
      </c>
      <c r="DJ854">
        <v>17</v>
      </c>
      <c r="DK854">
        <v>6</v>
      </c>
      <c r="DL854">
        <v>5</v>
      </c>
      <c r="DM854">
        <v>33</v>
      </c>
      <c r="DN854">
        <v>3</v>
      </c>
      <c r="DO854">
        <v>889</v>
      </c>
      <c r="DP854">
        <v>5</v>
      </c>
      <c r="DQ854">
        <v>7</v>
      </c>
      <c r="DR854">
        <v>11</v>
      </c>
      <c r="DS854">
        <v>0</v>
      </c>
      <c r="DT854">
        <v>16</v>
      </c>
      <c r="DU854">
        <v>29</v>
      </c>
      <c r="DV854">
        <v>12</v>
      </c>
      <c r="DW854">
        <v>4</v>
      </c>
      <c r="DX854">
        <v>7</v>
      </c>
      <c r="DY854">
        <v>6</v>
      </c>
      <c r="DZ854">
        <v>917</v>
      </c>
      <c r="EA854">
        <v>0.95799999999999996</v>
      </c>
      <c r="EB854">
        <v>0.95849555841476297</v>
      </c>
      <c r="EC854">
        <v>0.95734588287551003</v>
      </c>
      <c r="ED854">
        <v>0.95735234754144205</v>
      </c>
      <c r="EE854">
        <f>SUM(Table1[[#This Row],[ratio_0]:[ratio_9]])</f>
        <v>550</v>
      </c>
      <c r="EF854" s="1">
        <f>(Table1[[#This Row],[predicted_0]]-Table1[[#This Row],[actual_0]])/Table1[[#This Row],[actual_0]]</f>
        <v>3.0612244897959183E-2</v>
      </c>
      <c r="EG854" s="1">
        <f>(Table1[[#This Row],[predicted_1]]-Table1[[#This Row],[actual_1]])/Table1[[#This Row],[actual_1]]</f>
        <v>3.6123348017621147E-2</v>
      </c>
      <c r="EH854" s="1">
        <f>(Table1[[#This Row],[predicted_2]]-Table1[[#This Row],[actual_2]])/Table1[[#This Row],[actual_2]]</f>
        <v>1.065891472868217E-2</v>
      </c>
      <c r="EI854" s="1">
        <f>(Table1[[#This Row],[predicted_3]]-Table1[[#This Row],[actual_3]])/Table1[[#This Row],[actual_3]]</f>
        <v>3.2673267326732675E-2</v>
      </c>
      <c r="EJ854" s="1">
        <f>(Table1[[#This Row],[predicted_4]]-Table1[[#This Row],[actual_4]])/Table1[[#This Row],[actual_4]]</f>
        <v>2.2403258655804479E-2</v>
      </c>
      <c r="EK854" s="1">
        <f>(Table1[[#This Row],[predicted_5]]-Table1[[#This Row],[actual_5]])/Table1[[#This Row],[actual_5]]</f>
        <v>-3.6995515695067267E-2</v>
      </c>
      <c r="EL854" s="1">
        <f>(Table1[[#This Row],[predicted_6]]-Table1[[#This Row],[actual_6]])/Table1[[#This Row],[actual_6]]</f>
        <v>8.2463465553235901E-2</v>
      </c>
      <c r="EM854" s="1">
        <f>(Table1[[#This Row],[predicted_7]]-Table1[[#This Row],[actual_7]])/Table1[[#This Row],[actual_7]]</f>
        <v>-4.5719844357976651E-2</v>
      </c>
      <c r="EN854" s="1">
        <f>(Table1[[#This Row],[predicted_8]]-Table1[[#This Row],[actual_8]])/Table1[[#This Row],[actual_8]]</f>
        <v>-6.0574948665297744E-2</v>
      </c>
      <c r="EO854" s="1">
        <f>(Table1[[#This Row],[predicted_9]]-Table1[[#This Row],[actual_9]])/Table1[[#This Row],[actual_9]]</f>
        <v>-7.6313181367690788E-2</v>
      </c>
      <c r="EP854" s="1">
        <f>1+(Table1[[#This Row],[error_ratio_0]]-EF$2)</f>
        <v>1.0285714285714285</v>
      </c>
      <c r="EQ854" s="1">
        <f>1+(Table1[[#This Row],[error_ratio_1]]-EG$2)</f>
        <v>1.0343612334801762</v>
      </c>
      <c r="ER854" s="1">
        <f>1+(Table1[[#This Row],[error_ratio_2]]-EH$2)</f>
        <v>1.0155038759689923</v>
      </c>
      <c r="ES854" s="1">
        <f>1+(Table1[[#This Row],[error_ratio_3]]-EI$2)</f>
        <v>1.0227722772277228</v>
      </c>
      <c r="ET854" s="1">
        <f>1+(Table1[[#This Row],[error_ratio_4]]-EJ$2)</f>
        <v>1.0213849287169043</v>
      </c>
      <c r="EU854" s="1">
        <f>1+(Table1[[#This Row],[error_ratio_5]]-EK$2)</f>
        <v>0.96188340807174888</v>
      </c>
      <c r="EV854" s="1">
        <f>1+(Table1[[#This Row],[error_ratio_6]]-EL$2)</f>
        <v>1.0887265135699373</v>
      </c>
      <c r="EW854" s="1">
        <f>1+(Table1[[#This Row],[error_ratio_7]]-EM$2)</f>
        <v>0.9523346303501945</v>
      </c>
      <c r="EX854" s="1">
        <f>1+(Table1[[#This Row],[error_ratio_8]]-EN$2)</f>
        <v>0.94250513347022591</v>
      </c>
      <c r="EY854" s="1">
        <f>1+(Table1[[#This Row],[error_ratio_9]]-EO$2)</f>
        <v>0.92765113974231916</v>
      </c>
    </row>
    <row r="855" spans="1:155" x14ac:dyDescent="0.75">
      <c r="A855">
        <v>10</v>
      </c>
      <c r="B855">
        <v>100</v>
      </c>
      <c r="C855">
        <v>100</v>
      </c>
      <c r="D855">
        <v>10</v>
      </c>
      <c r="E855">
        <v>100</v>
      </c>
      <c r="F855">
        <v>10</v>
      </c>
      <c r="G855">
        <v>100</v>
      </c>
      <c r="H855">
        <v>10</v>
      </c>
      <c r="I855">
        <v>10</v>
      </c>
      <c r="J855">
        <v>10</v>
      </c>
      <c r="K855">
        <v>952</v>
      </c>
      <c r="L855">
        <v>1123</v>
      </c>
      <c r="M855">
        <v>1058</v>
      </c>
      <c r="N855">
        <v>997</v>
      </c>
      <c r="O855">
        <v>1005</v>
      </c>
      <c r="P855">
        <v>858</v>
      </c>
      <c r="Q855">
        <v>1043</v>
      </c>
      <c r="R855">
        <v>991</v>
      </c>
      <c r="S855">
        <v>1003</v>
      </c>
      <c r="T855">
        <v>970</v>
      </c>
      <c r="U855">
        <v>980</v>
      </c>
      <c r="V855">
        <v>1135</v>
      </c>
      <c r="W855">
        <v>1032</v>
      </c>
      <c r="X855">
        <v>1010</v>
      </c>
      <c r="Y855">
        <v>982</v>
      </c>
      <c r="Z855">
        <v>892</v>
      </c>
      <c r="AA855">
        <v>958</v>
      </c>
      <c r="AB855">
        <v>1028</v>
      </c>
      <c r="AC855">
        <v>974</v>
      </c>
      <c r="AD855">
        <v>1009</v>
      </c>
      <c r="AE855">
        <v>940</v>
      </c>
      <c r="AF855">
        <v>0</v>
      </c>
      <c r="AG855">
        <v>0</v>
      </c>
      <c r="AH855">
        <v>1</v>
      </c>
      <c r="AI855">
        <v>1</v>
      </c>
      <c r="AJ855">
        <v>0</v>
      </c>
      <c r="AK855">
        <v>32</v>
      </c>
      <c r="AL855">
        <v>1</v>
      </c>
      <c r="AM855">
        <v>4</v>
      </c>
      <c r="AN855">
        <v>1</v>
      </c>
      <c r="AO855">
        <v>0</v>
      </c>
      <c r="AP855">
        <v>1118</v>
      </c>
      <c r="AQ855">
        <v>3</v>
      </c>
      <c r="AR855">
        <v>4</v>
      </c>
      <c r="AS855">
        <v>0</v>
      </c>
      <c r="AT855">
        <v>1</v>
      </c>
      <c r="AU855">
        <v>2</v>
      </c>
      <c r="AV855">
        <v>0</v>
      </c>
      <c r="AW855">
        <v>6</v>
      </c>
      <c r="AX855">
        <v>1</v>
      </c>
      <c r="AY855">
        <v>1</v>
      </c>
      <c r="AZ855">
        <v>0</v>
      </c>
      <c r="BA855">
        <v>1017</v>
      </c>
      <c r="BB855">
        <v>0</v>
      </c>
      <c r="BC855">
        <v>7</v>
      </c>
      <c r="BD855">
        <v>1</v>
      </c>
      <c r="BE855">
        <v>4</v>
      </c>
      <c r="BF855">
        <v>2</v>
      </c>
      <c r="BG855">
        <v>0</v>
      </c>
      <c r="BH855">
        <v>0</v>
      </c>
      <c r="BI855">
        <v>1</v>
      </c>
      <c r="BJ855">
        <v>0</v>
      </c>
      <c r="BK855">
        <v>3</v>
      </c>
      <c r="BL855">
        <v>967</v>
      </c>
      <c r="BM855">
        <v>0</v>
      </c>
      <c r="BN855">
        <v>11</v>
      </c>
      <c r="BO855">
        <v>0</v>
      </c>
      <c r="BP855">
        <v>8</v>
      </c>
      <c r="BQ855">
        <v>19</v>
      </c>
      <c r="BR855">
        <v>1</v>
      </c>
      <c r="BS855">
        <v>0</v>
      </c>
      <c r="BT855">
        <v>0</v>
      </c>
      <c r="BU855">
        <v>0</v>
      </c>
      <c r="BV855">
        <v>0</v>
      </c>
      <c r="BW855">
        <v>973</v>
      </c>
      <c r="BX855">
        <v>0</v>
      </c>
      <c r="BY855">
        <v>6</v>
      </c>
      <c r="BZ855">
        <v>1</v>
      </c>
      <c r="CA855">
        <v>0</v>
      </c>
      <c r="CB855">
        <v>2</v>
      </c>
      <c r="CC855">
        <v>2</v>
      </c>
      <c r="CD855">
        <v>0</v>
      </c>
      <c r="CE855">
        <v>0</v>
      </c>
      <c r="CF855">
        <v>8</v>
      </c>
      <c r="CG855">
        <v>0</v>
      </c>
      <c r="CH855">
        <v>836</v>
      </c>
      <c r="CI855">
        <v>27</v>
      </c>
      <c r="CJ855">
        <v>2</v>
      </c>
      <c r="CK855">
        <v>14</v>
      </c>
      <c r="CL855">
        <v>3</v>
      </c>
      <c r="CM855">
        <v>0</v>
      </c>
      <c r="CN855">
        <v>2</v>
      </c>
      <c r="CO855">
        <v>0</v>
      </c>
      <c r="CP855">
        <v>0</v>
      </c>
      <c r="CQ855">
        <v>1</v>
      </c>
      <c r="CR855">
        <v>1</v>
      </c>
      <c r="CS855">
        <v>954</v>
      </c>
      <c r="CT855">
        <v>0</v>
      </c>
      <c r="CU855">
        <v>0</v>
      </c>
      <c r="CV855">
        <v>0</v>
      </c>
      <c r="CW855">
        <v>3</v>
      </c>
      <c r="CX855">
        <v>1</v>
      </c>
      <c r="CY855">
        <v>28</v>
      </c>
      <c r="CZ855">
        <v>8</v>
      </c>
      <c r="DA855">
        <v>5</v>
      </c>
      <c r="DB855">
        <v>1</v>
      </c>
      <c r="DC855">
        <v>0</v>
      </c>
      <c r="DD855">
        <v>969</v>
      </c>
      <c r="DE855">
        <v>5</v>
      </c>
      <c r="DF855">
        <v>8</v>
      </c>
      <c r="DG855">
        <v>2</v>
      </c>
      <c r="DH855">
        <v>1</v>
      </c>
      <c r="DI855">
        <v>6</v>
      </c>
      <c r="DJ855">
        <v>2</v>
      </c>
      <c r="DK855">
        <v>3</v>
      </c>
      <c r="DL855">
        <v>4</v>
      </c>
      <c r="DM855">
        <v>16</v>
      </c>
      <c r="DN855">
        <v>2</v>
      </c>
      <c r="DO855">
        <v>934</v>
      </c>
      <c r="DP855">
        <v>4</v>
      </c>
      <c r="DQ855">
        <v>3</v>
      </c>
      <c r="DR855">
        <v>1</v>
      </c>
      <c r="DS855">
        <v>1</v>
      </c>
      <c r="DT855">
        <v>7</v>
      </c>
      <c r="DU855">
        <v>15</v>
      </c>
      <c r="DV855">
        <v>3</v>
      </c>
      <c r="DW855">
        <v>2</v>
      </c>
      <c r="DX855">
        <v>6</v>
      </c>
      <c r="DY855">
        <v>21</v>
      </c>
      <c r="DZ855">
        <v>950</v>
      </c>
      <c r="EA855">
        <v>0.96579999999999999</v>
      </c>
      <c r="EB855">
        <v>0.96596753921769996</v>
      </c>
      <c r="EC855">
        <v>0.96540414606129898</v>
      </c>
      <c r="ED855">
        <v>0.96533204213977397</v>
      </c>
      <c r="EE855">
        <f>SUM(Table1[[#This Row],[ratio_0]:[ratio_9]])</f>
        <v>460</v>
      </c>
      <c r="EF855" s="1">
        <f>(Table1[[#This Row],[predicted_0]]-Table1[[#This Row],[actual_0]])/Table1[[#This Row],[actual_0]]</f>
        <v>-2.8571428571428571E-2</v>
      </c>
      <c r="EG855" s="1">
        <f>(Table1[[#This Row],[predicted_1]]-Table1[[#This Row],[actual_1]])/Table1[[#This Row],[actual_1]]</f>
        <v>-1.0572687224669603E-2</v>
      </c>
      <c r="EH855" s="1">
        <f>(Table1[[#This Row],[predicted_2]]-Table1[[#This Row],[actual_2]])/Table1[[#This Row],[actual_2]]</f>
        <v>2.5193798449612403E-2</v>
      </c>
      <c r="EI855" s="1">
        <f>(Table1[[#This Row],[predicted_3]]-Table1[[#This Row],[actual_3]])/Table1[[#This Row],[actual_3]]</f>
        <v>-1.2871287128712871E-2</v>
      </c>
      <c r="EJ855" s="1">
        <f>(Table1[[#This Row],[predicted_4]]-Table1[[#This Row],[actual_4]])/Table1[[#This Row],[actual_4]]</f>
        <v>2.3421588594704685E-2</v>
      </c>
      <c r="EK855" s="1">
        <f>(Table1[[#This Row],[predicted_5]]-Table1[[#This Row],[actual_5]])/Table1[[#This Row],[actual_5]]</f>
        <v>-3.811659192825112E-2</v>
      </c>
      <c r="EL855" s="1">
        <f>(Table1[[#This Row],[predicted_6]]-Table1[[#This Row],[actual_6]])/Table1[[#This Row],[actual_6]]</f>
        <v>8.8726513569937368E-2</v>
      </c>
      <c r="EM855" s="1">
        <f>(Table1[[#This Row],[predicted_7]]-Table1[[#This Row],[actual_7]])/Table1[[#This Row],[actual_7]]</f>
        <v>-3.5992217898832682E-2</v>
      </c>
      <c r="EN855" s="1">
        <f>(Table1[[#This Row],[predicted_8]]-Table1[[#This Row],[actual_8]])/Table1[[#This Row],[actual_8]]</f>
        <v>2.9774127310061602E-2</v>
      </c>
      <c r="EO855" s="1">
        <f>(Table1[[#This Row],[predicted_9]]-Table1[[#This Row],[actual_9]])/Table1[[#This Row],[actual_9]]</f>
        <v>-3.865213082259663E-2</v>
      </c>
      <c r="EP855" s="1">
        <f>1+(Table1[[#This Row],[error_ratio_0]]-EF$2)</f>
        <v>0.96938775510204078</v>
      </c>
      <c r="EQ855" s="1">
        <f>1+(Table1[[#This Row],[error_ratio_1]]-EG$2)</f>
        <v>0.98766519823788546</v>
      </c>
      <c r="ER855" s="1">
        <f>1+(Table1[[#This Row],[error_ratio_2]]-EH$2)</f>
        <v>1.0300387596899225</v>
      </c>
      <c r="ES855" s="1">
        <f>1+(Table1[[#This Row],[error_ratio_3]]-EI$2)</f>
        <v>0.97722772277227721</v>
      </c>
      <c r="ET855" s="1">
        <f>1+(Table1[[#This Row],[error_ratio_4]]-EJ$2)</f>
        <v>1.0224032586558045</v>
      </c>
      <c r="EU855" s="1">
        <f>1+(Table1[[#This Row],[error_ratio_5]]-EK$2)</f>
        <v>0.96076233183856496</v>
      </c>
      <c r="EV855" s="1">
        <f>1+(Table1[[#This Row],[error_ratio_6]]-EL$2)</f>
        <v>1.0949895615866387</v>
      </c>
      <c r="EW855" s="1">
        <f>1+(Table1[[#This Row],[error_ratio_7]]-EM$2)</f>
        <v>0.96206225680933855</v>
      </c>
      <c r="EX855" s="1">
        <f>1+(Table1[[#This Row],[error_ratio_8]]-EN$2)</f>
        <v>1.0328542094455853</v>
      </c>
      <c r="EY855" s="1">
        <f>1+(Table1[[#This Row],[error_ratio_9]]-EO$2)</f>
        <v>0.96531219028741333</v>
      </c>
    </row>
    <row r="856" spans="1:155" x14ac:dyDescent="0.75">
      <c r="A856">
        <v>100</v>
      </c>
      <c r="B856">
        <v>10</v>
      </c>
      <c r="C856">
        <v>100</v>
      </c>
      <c r="D856">
        <v>10</v>
      </c>
      <c r="E856">
        <v>100</v>
      </c>
      <c r="F856">
        <v>10</v>
      </c>
      <c r="G856">
        <v>100</v>
      </c>
      <c r="H856">
        <v>10</v>
      </c>
      <c r="I856">
        <v>10</v>
      </c>
      <c r="J856">
        <v>10</v>
      </c>
      <c r="K856">
        <v>976</v>
      </c>
      <c r="L856">
        <v>1107</v>
      </c>
      <c r="M856">
        <v>1175</v>
      </c>
      <c r="N856">
        <v>1023</v>
      </c>
      <c r="O856">
        <v>977</v>
      </c>
      <c r="P856">
        <v>961</v>
      </c>
      <c r="Q856">
        <v>957</v>
      </c>
      <c r="R856">
        <v>914</v>
      </c>
      <c r="S856">
        <v>928</v>
      </c>
      <c r="T856">
        <v>982</v>
      </c>
      <c r="U856">
        <v>980</v>
      </c>
      <c r="V856">
        <v>1135</v>
      </c>
      <c r="W856">
        <v>1032</v>
      </c>
      <c r="X856">
        <v>1010</v>
      </c>
      <c r="Y856">
        <v>982</v>
      </c>
      <c r="Z856">
        <v>892</v>
      </c>
      <c r="AA856">
        <v>958</v>
      </c>
      <c r="AB856">
        <v>1028</v>
      </c>
      <c r="AC856">
        <v>974</v>
      </c>
      <c r="AD856">
        <v>1009</v>
      </c>
      <c r="AE856">
        <v>966</v>
      </c>
      <c r="AF856">
        <v>0</v>
      </c>
      <c r="AG856">
        <v>6</v>
      </c>
      <c r="AH856">
        <v>1</v>
      </c>
      <c r="AI856">
        <v>2</v>
      </c>
      <c r="AJ856">
        <v>1</v>
      </c>
      <c r="AK856">
        <v>2</v>
      </c>
      <c r="AL856">
        <v>1</v>
      </c>
      <c r="AM856">
        <v>1</v>
      </c>
      <c r="AN856">
        <v>0</v>
      </c>
      <c r="AO856">
        <v>0</v>
      </c>
      <c r="AP856">
        <v>1095</v>
      </c>
      <c r="AQ856">
        <v>30</v>
      </c>
      <c r="AR856">
        <v>1</v>
      </c>
      <c r="AS856">
        <v>0</v>
      </c>
      <c r="AT856">
        <v>2</v>
      </c>
      <c r="AU856">
        <v>2</v>
      </c>
      <c r="AV856">
        <v>0</v>
      </c>
      <c r="AW856">
        <v>4</v>
      </c>
      <c r="AX856">
        <v>1</v>
      </c>
      <c r="AY856">
        <v>0</v>
      </c>
      <c r="AZ856">
        <v>0</v>
      </c>
      <c r="BA856">
        <v>1031</v>
      </c>
      <c r="BB856">
        <v>0</v>
      </c>
      <c r="BC856">
        <v>0</v>
      </c>
      <c r="BD856">
        <v>0</v>
      </c>
      <c r="BE856">
        <v>0</v>
      </c>
      <c r="BF856">
        <v>1</v>
      </c>
      <c r="BG856">
        <v>0</v>
      </c>
      <c r="BH856">
        <v>0</v>
      </c>
      <c r="BI856">
        <v>0</v>
      </c>
      <c r="BJ856">
        <v>0</v>
      </c>
      <c r="BK856">
        <v>11</v>
      </c>
      <c r="BL856">
        <v>964</v>
      </c>
      <c r="BM856">
        <v>0</v>
      </c>
      <c r="BN856">
        <v>28</v>
      </c>
      <c r="BO856">
        <v>0</v>
      </c>
      <c r="BP856">
        <v>2</v>
      </c>
      <c r="BQ856">
        <v>4</v>
      </c>
      <c r="BR856">
        <v>1</v>
      </c>
      <c r="BS856">
        <v>0</v>
      </c>
      <c r="BT856">
        <v>0</v>
      </c>
      <c r="BU856">
        <v>3</v>
      </c>
      <c r="BV856">
        <v>2</v>
      </c>
      <c r="BW856">
        <v>955</v>
      </c>
      <c r="BX856">
        <v>0</v>
      </c>
      <c r="BY856">
        <v>1</v>
      </c>
      <c r="BZ856">
        <v>3</v>
      </c>
      <c r="CA856">
        <v>3</v>
      </c>
      <c r="CB856">
        <v>15</v>
      </c>
      <c r="CC856">
        <v>2</v>
      </c>
      <c r="CD856">
        <v>0</v>
      </c>
      <c r="CE856">
        <v>1</v>
      </c>
      <c r="CF856">
        <v>2</v>
      </c>
      <c r="CG856">
        <v>0</v>
      </c>
      <c r="CH856">
        <v>884</v>
      </c>
      <c r="CI856">
        <v>2</v>
      </c>
      <c r="CJ856">
        <v>0</v>
      </c>
      <c r="CK856">
        <v>1</v>
      </c>
      <c r="CL856">
        <v>0</v>
      </c>
      <c r="CM856">
        <v>1</v>
      </c>
      <c r="CN856">
        <v>2</v>
      </c>
      <c r="CO856">
        <v>2</v>
      </c>
      <c r="CP856">
        <v>1</v>
      </c>
      <c r="CQ856">
        <v>5</v>
      </c>
      <c r="CR856">
        <v>3</v>
      </c>
      <c r="CS856">
        <v>944</v>
      </c>
      <c r="CT856">
        <v>0</v>
      </c>
      <c r="CU856">
        <v>0</v>
      </c>
      <c r="CV856">
        <v>0</v>
      </c>
      <c r="CW856">
        <v>1</v>
      </c>
      <c r="CX856">
        <v>4</v>
      </c>
      <c r="CY856">
        <v>52</v>
      </c>
      <c r="CZ856">
        <v>43</v>
      </c>
      <c r="DA856">
        <v>4</v>
      </c>
      <c r="DB856">
        <v>3</v>
      </c>
      <c r="DC856">
        <v>0</v>
      </c>
      <c r="DD856">
        <v>903</v>
      </c>
      <c r="DE856">
        <v>3</v>
      </c>
      <c r="DF856">
        <v>15</v>
      </c>
      <c r="DG856">
        <v>3</v>
      </c>
      <c r="DH856">
        <v>0</v>
      </c>
      <c r="DI856">
        <v>37</v>
      </c>
      <c r="DJ856">
        <v>4</v>
      </c>
      <c r="DK856">
        <v>2</v>
      </c>
      <c r="DL856">
        <v>14</v>
      </c>
      <c r="DM856">
        <v>4</v>
      </c>
      <c r="DN856">
        <v>1</v>
      </c>
      <c r="DO856">
        <v>904</v>
      </c>
      <c r="DP856">
        <v>5</v>
      </c>
      <c r="DQ856">
        <v>3</v>
      </c>
      <c r="DR856">
        <v>6</v>
      </c>
      <c r="DS856">
        <v>2</v>
      </c>
      <c r="DT856">
        <v>5</v>
      </c>
      <c r="DU856">
        <v>9</v>
      </c>
      <c r="DV856">
        <v>26</v>
      </c>
      <c r="DW856">
        <v>2</v>
      </c>
      <c r="DX856">
        <v>3</v>
      </c>
      <c r="DY856">
        <v>8</v>
      </c>
      <c r="DZ856">
        <v>945</v>
      </c>
      <c r="EA856">
        <v>0.95909999999999995</v>
      </c>
      <c r="EB856">
        <v>0.96068851026030599</v>
      </c>
      <c r="EC856">
        <v>0.95959880996787905</v>
      </c>
      <c r="ED856">
        <v>0.95920242551630297</v>
      </c>
      <c r="EE856">
        <f>SUM(Table1[[#This Row],[ratio_0]:[ratio_9]])</f>
        <v>460</v>
      </c>
      <c r="EF856" s="1">
        <f>(Table1[[#This Row],[predicted_0]]-Table1[[#This Row],[actual_0]])/Table1[[#This Row],[actual_0]]</f>
        <v>-4.0816326530612249E-3</v>
      </c>
      <c r="EG856" s="1">
        <f>(Table1[[#This Row],[predicted_1]]-Table1[[#This Row],[actual_1]])/Table1[[#This Row],[actual_1]]</f>
        <v>-2.4669603524229075E-2</v>
      </c>
      <c r="EH856" s="1">
        <f>(Table1[[#This Row],[predicted_2]]-Table1[[#This Row],[actual_2]])/Table1[[#This Row],[actual_2]]</f>
        <v>0.13856589147286821</v>
      </c>
      <c r="EI856" s="1">
        <f>(Table1[[#This Row],[predicted_3]]-Table1[[#This Row],[actual_3]])/Table1[[#This Row],[actual_3]]</f>
        <v>1.2871287128712871E-2</v>
      </c>
      <c r="EJ856" s="1">
        <f>(Table1[[#This Row],[predicted_4]]-Table1[[#This Row],[actual_4]])/Table1[[#This Row],[actual_4]]</f>
        <v>-5.0916496945010185E-3</v>
      </c>
      <c r="EK856" s="1">
        <f>(Table1[[#This Row],[predicted_5]]-Table1[[#This Row],[actual_5]])/Table1[[#This Row],[actual_5]]</f>
        <v>7.73542600896861E-2</v>
      </c>
      <c r="EL856" s="1">
        <f>(Table1[[#This Row],[predicted_6]]-Table1[[#This Row],[actual_6]])/Table1[[#This Row],[actual_6]]</f>
        <v>-1.0438413361169101E-3</v>
      </c>
      <c r="EM856" s="1">
        <f>(Table1[[#This Row],[predicted_7]]-Table1[[#This Row],[actual_7]])/Table1[[#This Row],[actual_7]]</f>
        <v>-0.11089494163424124</v>
      </c>
      <c r="EN856" s="1">
        <f>(Table1[[#This Row],[predicted_8]]-Table1[[#This Row],[actual_8]])/Table1[[#This Row],[actual_8]]</f>
        <v>-4.7227926078028747E-2</v>
      </c>
      <c r="EO856" s="1">
        <f>(Table1[[#This Row],[predicted_9]]-Table1[[#This Row],[actual_9]])/Table1[[#This Row],[actual_9]]</f>
        <v>-2.6759167492566897E-2</v>
      </c>
      <c r="EP856" s="1">
        <f>1+(Table1[[#This Row],[error_ratio_0]]-EF$2)</f>
        <v>0.9938775510204082</v>
      </c>
      <c r="EQ856" s="1">
        <f>1+(Table1[[#This Row],[error_ratio_1]]-EG$2)</f>
        <v>0.97356828193832601</v>
      </c>
      <c r="ER856" s="1">
        <f>1+(Table1[[#This Row],[error_ratio_2]]-EH$2)</f>
        <v>1.1434108527131783</v>
      </c>
      <c r="ES856" s="1">
        <f>1+(Table1[[#This Row],[error_ratio_3]]-EI$2)</f>
        <v>1.002970297029703</v>
      </c>
      <c r="ET856" s="1">
        <f>1+(Table1[[#This Row],[error_ratio_4]]-EJ$2)</f>
        <v>0.99389002036659879</v>
      </c>
      <c r="EU856" s="1">
        <f>1+(Table1[[#This Row],[error_ratio_5]]-EK$2)</f>
        <v>1.0762331838565022</v>
      </c>
      <c r="EV856" s="1">
        <f>1+(Table1[[#This Row],[error_ratio_6]]-EL$2)</f>
        <v>1.0052192066805845</v>
      </c>
      <c r="EW856" s="1">
        <f>1+(Table1[[#This Row],[error_ratio_7]]-EM$2)</f>
        <v>0.88715953307392992</v>
      </c>
      <c r="EX856" s="1">
        <f>1+(Table1[[#This Row],[error_ratio_8]]-EN$2)</f>
        <v>0.95585215605749485</v>
      </c>
      <c r="EY856" s="1">
        <f>1+(Table1[[#This Row],[error_ratio_9]]-EO$2)</f>
        <v>0.97720515361744298</v>
      </c>
    </row>
    <row r="857" spans="1:155" x14ac:dyDescent="0.75">
      <c r="A857">
        <v>10</v>
      </c>
      <c r="B857">
        <v>10</v>
      </c>
      <c r="C857">
        <v>100</v>
      </c>
      <c r="D857">
        <v>10</v>
      </c>
      <c r="E857">
        <v>100</v>
      </c>
      <c r="F857">
        <v>10</v>
      </c>
      <c r="G857">
        <v>100</v>
      </c>
      <c r="H857">
        <v>10</v>
      </c>
      <c r="I857">
        <v>10</v>
      </c>
      <c r="J857">
        <v>10</v>
      </c>
      <c r="K857">
        <v>954</v>
      </c>
      <c r="L857">
        <v>1126</v>
      </c>
      <c r="M857">
        <v>1472</v>
      </c>
      <c r="N857">
        <v>988</v>
      </c>
      <c r="O857">
        <v>1005</v>
      </c>
      <c r="P857">
        <v>966</v>
      </c>
      <c r="Q857">
        <v>982</v>
      </c>
      <c r="R857">
        <v>773</v>
      </c>
      <c r="S857">
        <v>776</v>
      </c>
      <c r="T857">
        <v>958</v>
      </c>
      <c r="U857">
        <v>980</v>
      </c>
      <c r="V857">
        <v>1135</v>
      </c>
      <c r="W857">
        <v>1032</v>
      </c>
      <c r="X857">
        <v>1010</v>
      </c>
      <c r="Y857">
        <v>982</v>
      </c>
      <c r="Z857">
        <v>892</v>
      </c>
      <c r="AA857">
        <v>958</v>
      </c>
      <c r="AB857">
        <v>1028</v>
      </c>
      <c r="AC857">
        <v>974</v>
      </c>
      <c r="AD857">
        <v>1009</v>
      </c>
      <c r="AE857">
        <v>939</v>
      </c>
      <c r="AF857">
        <v>0</v>
      </c>
      <c r="AG857">
        <v>33</v>
      </c>
      <c r="AH857">
        <v>0</v>
      </c>
      <c r="AI857">
        <v>0</v>
      </c>
      <c r="AJ857">
        <v>3</v>
      </c>
      <c r="AK857">
        <v>3</v>
      </c>
      <c r="AL857">
        <v>1</v>
      </c>
      <c r="AM857">
        <v>1</v>
      </c>
      <c r="AN857">
        <v>0</v>
      </c>
      <c r="AO857">
        <v>0</v>
      </c>
      <c r="AP857">
        <v>1116</v>
      </c>
      <c r="AQ857">
        <v>8</v>
      </c>
      <c r="AR857">
        <v>2</v>
      </c>
      <c r="AS857">
        <v>0</v>
      </c>
      <c r="AT857">
        <v>3</v>
      </c>
      <c r="AU857">
        <v>6</v>
      </c>
      <c r="AV857">
        <v>0</v>
      </c>
      <c r="AW857">
        <v>0</v>
      </c>
      <c r="AX857">
        <v>0</v>
      </c>
      <c r="AY857">
        <v>0</v>
      </c>
      <c r="AZ857">
        <v>0</v>
      </c>
      <c r="BA857">
        <v>1028</v>
      </c>
      <c r="BB857">
        <v>1</v>
      </c>
      <c r="BC857">
        <v>2</v>
      </c>
      <c r="BD857">
        <v>1</v>
      </c>
      <c r="BE857">
        <v>0</v>
      </c>
      <c r="BF857">
        <v>0</v>
      </c>
      <c r="BG857">
        <v>0</v>
      </c>
      <c r="BH857">
        <v>0</v>
      </c>
      <c r="BI857">
        <v>0</v>
      </c>
      <c r="BJ857">
        <v>0</v>
      </c>
      <c r="BK857">
        <v>20</v>
      </c>
      <c r="BL857">
        <v>959</v>
      </c>
      <c r="BM857">
        <v>0</v>
      </c>
      <c r="BN857">
        <v>28</v>
      </c>
      <c r="BO857">
        <v>0</v>
      </c>
      <c r="BP857">
        <v>1</v>
      </c>
      <c r="BQ857">
        <v>0</v>
      </c>
      <c r="BR857">
        <v>2</v>
      </c>
      <c r="BS857">
        <v>0</v>
      </c>
      <c r="BT857">
        <v>0</v>
      </c>
      <c r="BU857">
        <v>2</v>
      </c>
      <c r="BV857">
        <v>0</v>
      </c>
      <c r="BW857">
        <v>975</v>
      </c>
      <c r="BX857">
        <v>0</v>
      </c>
      <c r="BY857">
        <v>3</v>
      </c>
      <c r="BZ857">
        <v>0</v>
      </c>
      <c r="CA857">
        <v>1</v>
      </c>
      <c r="CB857">
        <v>1</v>
      </c>
      <c r="CC857">
        <v>1</v>
      </c>
      <c r="CD857">
        <v>0</v>
      </c>
      <c r="CE857">
        <v>4</v>
      </c>
      <c r="CF857">
        <v>7</v>
      </c>
      <c r="CG857">
        <v>0</v>
      </c>
      <c r="CH857">
        <v>876</v>
      </c>
      <c r="CI857">
        <v>4</v>
      </c>
      <c r="CJ857">
        <v>0</v>
      </c>
      <c r="CK857">
        <v>0</v>
      </c>
      <c r="CL857">
        <v>0</v>
      </c>
      <c r="CM857">
        <v>4</v>
      </c>
      <c r="CN857">
        <v>0</v>
      </c>
      <c r="CO857">
        <v>5</v>
      </c>
      <c r="CP857">
        <v>0</v>
      </c>
      <c r="CQ857">
        <v>3</v>
      </c>
      <c r="CR857">
        <v>1</v>
      </c>
      <c r="CS857">
        <v>945</v>
      </c>
      <c r="CT857">
        <v>0</v>
      </c>
      <c r="CU857">
        <v>0</v>
      </c>
      <c r="CV857">
        <v>0</v>
      </c>
      <c r="CW857">
        <v>0</v>
      </c>
      <c r="CX857">
        <v>4</v>
      </c>
      <c r="CY857">
        <v>247</v>
      </c>
      <c r="CZ857">
        <v>3</v>
      </c>
      <c r="DA857">
        <v>5</v>
      </c>
      <c r="DB857">
        <v>0</v>
      </c>
      <c r="DC857">
        <v>1</v>
      </c>
      <c r="DD857">
        <v>760</v>
      </c>
      <c r="DE857">
        <v>0</v>
      </c>
      <c r="DF857">
        <v>8</v>
      </c>
      <c r="DG857">
        <v>9</v>
      </c>
      <c r="DH857">
        <v>1</v>
      </c>
      <c r="DI857">
        <v>113</v>
      </c>
      <c r="DJ857">
        <v>14</v>
      </c>
      <c r="DK857">
        <v>4</v>
      </c>
      <c r="DL857">
        <v>36</v>
      </c>
      <c r="DM857">
        <v>19</v>
      </c>
      <c r="DN857">
        <v>3</v>
      </c>
      <c r="DO857">
        <v>773</v>
      </c>
      <c r="DP857">
        <v>2</v>
      </c>
      <c r="DQ857">
        <v>1</v>
      </c>
      <c r="DR857">
        <v>5</v>
      </c>
      <c r="DS857">
        <v>12</v>
      </c>
      <c r="DT857">
        <v>2</v>
      </c>
      <c r="DU857">
        <v>16</v>
      </c>
      <c r="DV857">
        <v>18</v>
      </c>
      <c r="DW857">
        <v>1</v>
      </c>
      <c r="DX857">
        <v>8</v>
      </c>
      <c r="DY857">
        <v>1</v>
      </c>
      <c r="DZ857">
        <v>945</v>
      </c>
      <c r="EA857">
        <v>0.93159999999999998</v>
      </c>
      <c r="EB857">
        <v>0.94494629069723801</v>
      </c>
      <c r="EC857">
        <v>0.93179216620851302</v>
      </c>
      <c r="ED857">
        <v>0.93260779146949802</v>
      </c>
      <c r="EE857">
        <f>SUM(Table1[[#This Row],[ratio_0]:[ratio_9]])</f>
        <v>370</v>
      </c>
      <c r="EF857" s="1">
        <f>(Table1[[#This Row],[predicted_0]]-Table1[[#This Row],[actual_0]])/Table1[[#This Row],[actual_0]]</f>
        <v>-2.6530612244897958E-2</v>
      </c>
      <c r="EG857" s="1">
        <f>(Table1[[#This Row],[predicted_1]]-Table1[[#This Row],[actual_1]])/Table1[[#This Row],[actual_1]]</f>
        <v>-7.9295154185022032E-3</v>
      </c>
      <c r="EH857" s="1">
        <f>(Table1[[#This Row],[predicted_2]]-Table1[[#This Row],[actual_2]])/Table1[[#This Row],[actual_2]]</f>
        <v>0.4263565891472868</v>
      </c>
      <c r="EI857" s="1">
        <f>(Table1[[#This Row],[predicted_3]]-Table1[[#This Row],[actual_3]])/Table1[[#This Row],[actual_3]]</f>
        <v>-2.1782178217821781E-2</v>
      </c>
      <c r="EJ857" s="1">
        <f>(Table1[[#This Row],[predicted_4]]-Table1[[#This Row],[actual_4]])/Table1[[#This Row],[actual_4]]</f>
        <v>2.3421588594704685E-2</v>
      </c>
      <c r="EK857" s="1">
        <f>(Table1[[#This Row],[predicted_5]]-Table1[[#This Row],[actual_5]])/Table1[[#This Row],[actual_5]]</f>
        <v>8.2959641255605385E-2</v>
      </c>
      <c r="EL857" s="1">
        <f>(Table1[[#This Row],[predicted_6]]-Table1[[#This Row],[actual_6]])/Table1[[#This Row],[actual_6]]</f>
        <v>2.5052192066805846E-2</v>
      </c>
      <c r="EM857" s="1">
        <f>(Table1[[#This Row],[predicted_7]]-Table1[[#This Row],[actual_7]])/Table1[[#This Row],[actual_7]]</f>
        <v>-0.24805447470817121</v>
      </c>
      <c r="EN857" s="1">
        <f>(Table1[[#This Row],[predicted_8]]-Table1[[#This Row],[actual_8]])/Table1[[#This Row],[actual_8]]</f>
        <v>-0.20328542094455851</v>
      </c>
      <c r="EO857" s="1">
        <f>(Table1[[#This Row],[predicted_9]]-Table1[[#This Row],[actual_9]])/Table1[[#This Row],[actual_9]]</f>
        <v>-5.0545094152626362E-2</v>
      </c>
      <c r="EP857" s="1">
        <f>1+(Table1[[#This Row],[error_ratio_0]]-EF$2)</f>
        <v>0.97142857142857142</v>
      </c>
      <c r="EQ857" s="1">
        <f>1+(Table1[[#This Row],[error_ratio_1]]-EG$2)</f>
        <v>0.99030837004405281</v>
      </c>
      <c r="ER857" s="1">
        <f>1+(Table1[[#This Row],[error_ratio_2]]-EH$2)</f>
        <v>1.431201550387597</v>
      </c>
      <c r="ES857" s="1">
        <f>1+(Table1[[#This Row],[error_ratio_3]]-EI$2)</f>
        <v>0.96831683168316829</v>
      </c>
      <c r="ET857" s="1">
        <f>1+(Table1[[#This Row],[error_ratio_4]]-EJ$2)</f>
        <v>1.0224032586558045</v>
      </c>
      <c r="EU857" s="1">
        <f>1+(Table1[[#This Row],[error_ratio_5]]-EK$2)</f>
        <v>1.0818385650224216</v>
      </c>
      <c r="EV857" s="1">
        <f>1+(Table1[[#This Row],[error_ratio_6]]-EL$2)</f>
        <v>1.0313152400835073</v>
      </c>
      <c r="EW857" s="1">
        <f>1+(Table1[[#This Row],[error_ratio_7]]-EM$2)</f>
        <v>0.75</v>
      </c>
      <c r="EX857" s="1">
        <f>1+(Table1[[#This Row],[error_ratio_8]]-EN$2)</f>
        <v>0.79979466119096509</v>
      </c>
      <c r="EY857" s="1">
        <f>1+(Table1[[#This Row],[error_ratio_9]]-EO$2)</f>
        <v>0.95341922695738357</v>
      </c>
    </row>
    <row r="858" spans="1:155" x14ac:dyDescent="0.75">
      <c r="A858">
        <v>100</v>
      </c>
      <c r="B858">
        <v>100</v>
      </c>
      <c r="C858">
        <v>10</v>
      </c>
      <c r="D858">
        <v>10</v>
      </c>
      <c r="E858">
        <v>100</v>
      </c>
      <c r="F858">
        <v>10</v>
      </c>
      <c r="G858">
        <v>100</v>
      </c>
      <c r="H858">
        <v>10</v>
      </c>
      <c r="I858">
        <v>10</v>
      </c>
      <c r="J858">
        <v>10</v>
      </c>
      <c r="K858">
        <v>1028</v>
      </c>
      <c r="L858">
        <v>1146</v>
      </c>
      <c r="M858">
        <v>988</v>
      </c>
      <c r="N858">
        <v>1149</v>
      </c>
      <c r="O858">
        <v>978</v>
      </c>
      <c r="P858">
        <v>795</v>
      </c>
      <c r="Q858">
        <v>948</v>
      </c>
      <c r="R858">
        <v>990</v>
      </c>
      <c r="S858">
        <v>1049</v>
      </c>
      <c r="T858">
        <v>929</v>
      </c>
      <c r="U858">
        <v>980</v>
      </c>
      <c r="V858">
        <v>1135</v>
      </c>
      <c r="W858">
        <v>1032</v>
      </c>
      <c r="X858">
        <v>1010</v>
      </c>
      <c r="Y858">
        <v>982</v>
      </c>
      <c r="Z858">
        <v>892</v>
      </c>
      <c r="AA858">
        <v>958</v>
      </c>
      <c r="AB858">
        <v>1028</v>
      </c>
      <c r="AC858">
        <v>974</v>
      </c>
      <c r="AD858">
        <v>1009</v>
      </c>
      <c r="AE858">
        <v>976</v>
      </c>
      <c r="AF858">
        <v>0</v>
      </c>
      <c r="AG858">
        <v>0</v>
      </c>
      <c r="AH858">
        <v>0</v>
      </c>
      <c r="AI858">
        <v>0</v>
      </c>
      <c r="AJ858">
        <v>0</v>
      </c>
      <c r="AK858">
        <v>1</v>
      </c>
      <c r="AL858">
        <v>1</v>
      </c>
      <c r="AM858">
        <v>2</v>
      </c>
      <c r="AN858">
        <v>0</v>
      </c>
      <c r="AO858">
        <v>0</v>
      </c>
      <c r="AP858">
        <v>1124</v>
      </c>
      <c r="AQ858">
        <v>0</v>
      </c>
      <c r="AR858">
        <v>2</v>
      </c>
      <c r="AS858">
        <v>0</v>
      </c>
      <c r="AT858">
        <v>1</v>
      </c>
      <c r="AU858">
        <v>0</v>
      </c>
      <c r="AV858">
        <v>0</v>
      </c>
      <c r="AW858">
        <v>8</v>
      </c>
      <c r="AX858">
        <v>0</v>
      </c>
      <c r="AY858">
        <v>17</v>
      </c>
      <c r="AZ858">
        <v>5</v>
      </c>
      <c r="BA858">
        <v>970</v>
      </c>
      <c r="BB858">
        <v>17</v>
      </c>
      <c r="BC858">
        <v>1</v>
      </c>
      <c r="BD858">
        <v>0</v>
      </c>
      <c r="BE858">
        <v>0</v>
      </c>
      <c r="BF858">
        <v>12</v>
      </c>
      <c r="BG858">
        <v>10</v>
      </c>
      <c r="BH858">
        <v>0</v>
      </c>
      <c r="BI858">
        <v>1</v>
      </c>
      <c r="BJ858">
        <v>0</v>
      </c>
      <c r="BK858">
        <v>0</v>
      </c>
      <c r="BL858">
        <v>984</v>
      </c>
      <c r="BM858">
        <v>0</v>
      </c>
      <c r="BN858">
        <v>0</v>
      </c>
      <c r="BO858">
        <v>0</v>
      </c>
      <c r="BP858">
        <v>14</v>
      </c>
      <c r="BQ858">
        <v>9</v>
      </c>
      <c r="BR858">
        <v>2</v>
      </c>
      <c r="BS858">
        <v>2</v>
      </c>
      <c r="BT858">
        <v>0</v>
      </c>
      <c r="BU858">
        <v>1</v>
      </c>
      <c r="BV858">
        <v>0</v>
      </c>
      <c r="BW858">
        <v>964</v>
      </c>
      <c r="BX858">
        <v>0</v>
      </c>
      <c r="BY858">
        <v>2</v>
      </c>
      <c r="BZ858">
        <v>1</v>
      </c>
      <c r="CA858">
        <v>8</v>
      </c>
      <c r="CB858">
        <v>4</v>
      </c>
      <c r="CC858">
        <v>5</v>
      </c>
      <c r="CD858">
        <v>1</v>
      </c>
      <c r="CE858">
        <v>0</v>
      </c>
      <c r="CF858">
        <v>82</v>
      </c>
      <c r="CG858">
        <v>0</v>
      </c>
      <c r="CH858">
        <v>784</v>
      </c>
      <c r="CI858">
        <v>5</v>
      </c>
      <c r="CJ858">
        <v>1</v>
      </c>
      <c r="CK858">
        <v>5</v>
      </c>
      <c r="CL858">
        <v>9</v>
      </c>
      <c r="CM858">
        <v>12</v>
      </c>
      <c r="CN858">
        <v>2</v>
      </c>
      <c r="CO858">
        <v>1</v>
      </c>
      <c r="CP858">
        <v>1</v>
      </c>
      <c r="CQ858">
        <v>1</v>
      </c>
      <c r="CR858">
        <v>3</v>
      </c>
      <c r="CS858">
        <v>937</v>
      </c>
      <c r="CT858">
        <v>0</v>
      </c>
      <c r="CU858">
        <v>1</v>
      </c>
      <c r="CV858">
        <v>0</v>
      </c>
      <c r="CW858">
        <v>5</v>
      </c>
      <c r="CX858">
        <v>11</v>
      </c>
      <c r="CY858">
        <v>13</v>
      </c>
      <c r="CZ858">
        <v>9</v>
      </c>
      <c r="DA858">
        <v>4</v>
      </c>
      <c r="DB858">
        <v>0</v>
      </c>
      <c r="DC858">
        <v>0</v>
      </c>
      <c r="DD858">
        <v>954</v>
      </c>
      <c r="DE858">
        <v>24</v>
      </c>
      <c r="DF858">
        <v>8</v>
      </c>
      <c r="DG858">
        <v>3</v>
      </c>
      <c r="DH858">
        <v>0</v>
      </c>
      <c r="DI858">
        <v>3</v>
      </c>
      <c r="DJ858">
        <v>43</v>
      </c>
      <c r="DK858">
        <v>4</v>
      </c>
      <c r="DL858">
        <v>4</v>
      </c>
      <c r="DM858">
        <v>3</v>
      </c>
      <c r="DN858">
        <v>3</v>
      </c>
      <c r="DO858">
        <v>900</v>
      </c>
      <c r="DP858">
        <v>11</v>
      </c>
      <c r="DQ858">
        <v>7</v>
      </c>
      <c r="DR858">
        <v>3</v>
      </c>
      <c r="DS858">
        <v>0</v>
      </c>
      <c r="DT858">
        <v>11</v>
      </c>
      <c r="DU858">
        <v>4</v>
      </c>
      <c r="DV858">
        <v>3</v>
      </c>
      <c r="DW858">
        <v>0</v>
      </c>
      <c r="DX858">
        <v>4</v>
      </c>
      <c r="DY858">
        <v>82</v>
      </c>
      <c r="DZ858">
        <v>895</v>
      </c>
      <c r="EA858">
        <v>0.94879999999999998</v>
      </c>
      <c r="EB858">
        <v>0.951364042865389</v>
      </c>
      <c r="EC858">
        <v>0.94781368568353397</v>
      </c>
      <c r="ED858">
        <v>0.94848092023445396</v>
      </c>
      <c r="EE858">
        <f>SUM(Table1[[#This Row],[ratio_0]:[ratio_9]])</f>
        <v>460</v>
      </c>
      <c r="EF858" s="1">
        <f>(Table1[[#This Row],[predicted_0]]-Table1[[#This Row],[actual_0]])/Table1[[#This Row],[actual_0]]</f>
        <v>4.8979591836734691E-2</v>
      </c>
      <c r="EG858" s="1">
        <f>(Table1[[#This Row],[predicted_1]]-Table1[[#This Row],[actual_1]])/Table1[[#This Row],[actual_1]]</f>
        <v>9.6916299559471359E-3</v>
      </c>
      <c r="EH858" s="1">
        <f>(Table1[[#This Row],[predicted_2]]-Table1[[#This Row],[actual_2]])/Table1[[#This Row],[actual_2]]</f>
        <v>-4.2635658914728682E-2</v>
      </c>
      <c r="EI858" s="1">
        <f>(Table1[[#This Row],[predicted_3]]-Table1[[#This Row],[actual_3]])/Table1[[#This Row],[actual_3]]</f>
        <v>0.13762376237623763</v>
      </c>
      <c r="EJ858" s="1">
        <f>(Table1[[#This Row],[predicted_4]]-Table1[[#This Row],[actual_4]])/Table1[[#This Row],[actual_4]]</f>
        <v>-4.0733197556008143E-3</v>
      </c>
      <c r="EK858" s="1">
        <f>(Table1[[#This Row],[predicted_5]]-Table1[[#This Row],[actual_5]])/Table1[[#This Row],[actual_5]]</f>
        <v>-0.10874439461883408</v>
      </c>
      <c r="EL858" s="1">
        <f>(Table1[[#This Row],[predicted_6]]-Table1[[#This Row],[actual_6]])/Table1[[#This Row],[actual_6]]</f>
        <v>-1.0438413361169102E-2</v>
      </c>
      <c r="EM858" s="1">
        <f>(Table1[[#This Row],[predicted_7]]-Table1[[#This Row],[actual_7]])/Table1[[#This Row],[actual_7]]</f>
        <v>-3.6964980544747082E-2</v>
      </c>
      <c r="EN858" s="1">
        <f>(Table1[[#This Row],[predicted_8]]-Table1[[#This Row],[actual_8]])/Table1[[#This Row],[actual_8]]</f>
        <v>7.7002053388090352E-2</v>
      </c>
      <c r="EO858" s="1">
        <f>(Table1[[#This Row],[predicted_9]]-Table1[[#This Row],[actual_9]])/Table1[[#This Row],[actual_9]]</f>
        <v>-7.9286422200198214E-2</v>
      </c>
      <c r="EP858" s="1">
        <f>1+(Table1[[#This Row],[error_ratio_0]]-EF$2)</f>
        <v>1.046938775510204</v>
      </c>
      <c r="EQ858" s="1">
        <f>1+(Table1[[#This Row],[error_ratio_1]]-EG$2)</f>
        <v>1.0079295154185022</v>
      </c>
      <c r="ER858" s="1">
        <f>1+(Table1[[#This Row],[error_ratio_2]]-EH$2)</f>
        <v>0.96220930232558144</v>
      </c>
      <c r="ES858" s="1">
        <f>1+(Table1[[#This Row],[error_ratio_3]]-EI$2)</f>
        <v>1.1277227722772278</v>
      </c>
      <c r="ET858" s="1">
        <f>1+(Table1[[#This Row],[error_ratio_4]]-EJ$2)</f>
        <v>0.99490835030549896</v>
      </c>
      <c r="EU858" s="1">
        <f>1+(Table1[[#This Row],[error_ratio_5]]-EK$2)</f>
        <v>0.89013452914798208</v>
      </c>
      <c r="EV858" s="1">
        <f>1+(Table1[[#This Row],[error_ratio_6]]-EL$2)</f>
        <v>0.99582463465553239</v>
      </c>
      <c r="EW858" s="1">
        <f>1+(Table1[[#This Row],[error_ratio_7]]-EM$2)</f>
        <v>0.96108949416342415</v>
      </c>
      <c r="EX858" s="1">
        <f>1+(Table1[[#This Row],[error_ratio_8]]-EN$2)</f>
        <v>1.0800821355236139</v>
      </c>
      <c r="EY858" s="1">
        <f>1+(Table1[[#This Row],[error_ratio_9]]-EO$2)</f>
        <v>0.92467789890981167</v>
      </c>
    </row>
    <row r="859" spans="1:155" x14ac:dyDescent="0.75">
      <c r="A859">
        <v>10</v>
      </c>
      <c r="B859">
        <v>100</v>
      </c>
      <c r="C859">
        <v>10</v>
      </c>
      <c r="D859">
        <v>10</v>
      </c>
      <c r="E859">
        <v>100</v>
      </c>
      <c r="F859">
        <v>10</v>
      </c>
      <c r="G859">
        <v>100</v>
      </c>
      <c r="H859">
        <v>10</v>
      </c>
      <c r="I859">
        <v>10</v>
      </c>
      <c r="J859">
        <v>10</v>
      </c>
      <c r="K859">
        <v>957</v>
      </c>
      <c r="L859">
        <v>1174</v>
      </c>
      <c r="M859">
        <v>985</v>
      </c>
      <c r="N859">
        <v>971</v>
      </c>
      <c r="O859">
        <v>1027</v>
      </c>
      <c r="P859">
        <v>909</v>
      </c>
      <c r="Q859">
        <v>1019</v>
      </c>
      <c r="R859">
        <v>1012</v>
      </c>
      <c r="S859">
        <v>985</v>
      </c>
      <c r="T859">
        <v>961</v>
      </c>
      <c r="U859">
        <v>980</v>
      </c>
      <c r="V859">
        <v>1135</v>
      </c>
      <c r="W859">
        <v>1032</v>
      </c>
      <c r="X859">
        <v>1010</v>
      </c>
      <c r="Y859">
        <v>982</v>
      </c>
      <c r="Z859">
        <v>892</v>
      </c>
      <c r="AA859">
        <v>958</v>
      </c>
      <c r="AB859">
        <v>1028</v>
      </c>
      <c r="AC859">
        <v>974</v>
      </c>
      <c r="AD859">
        <v>1009</v>
      </c>
      <c r="AE859">
        <v>937</v>
      </c>
      <c r="AF859">
        <v>1</v>
      </c>
      <c r="AG859">
        <v>0</v>
      </c>
      <c r="AH859">
        <v>1</v>
      </c>
      <c r="AI859">
        <v>5</v>
      </c>
      <c r="AJ859">
        <v>0</v>
      </c>
      <c r="AK859">
        <v>27</v>
      </c>
      <c r="AL859">
        <v>5</v>
      </c>
      <c r="AM859">
        <v>3</v>
      </c>
      <c r="AN859">
        <v>1</v>
      </c>
      <c r="AO859">
        <v>0</v>
      </c>
      <c r="AP859">
        <v>1135</v>
      </c>
      <c r="AQ859">
        <v>0</v>
      </c>
      <c r="AR859">
        <v>0</v>
      </c>
      <c r="AS859">
        <v>0</v>
      </c>
      <c r="AT859">
        <v>0</v>
      </c>
      <c r="AU859">
        <v>0</v>
      </c>
      <c r="AV859">
        <v>0</v>
      </c>
      <c r="AW859">
        <v>0</v>
      </c>
      <c r="AX859">
        <v>0</v>
      </c>
      <c r="AY859">
        <v>5</v>
      </c>
      <c r="AZ859">
        <v>10</v>
      </c>
      <c r="BA859">
        <v>965</v>
      </c>
      <c r="BB859">
        <v>11</v>
      </c>
      <c r="BC859">
        <v>11</v>
      </c>
      <c r="BD859">
        <v>1</v>
      </c>
      <c r="BE859">
        <v>15</v>
      </c>
      <c r="BF859">
        <v>9</v>
      </c>
      <c r="BG859">
        <v>5</v>
      </c>
      <c r="BH859">
        <v>0</v>
      </c>
      <c r="BI859">
        <v>4</v>
      </c>
      <c r="BJ859">
        <v>3</v>
      </c>
      <c r="BK859">
        <v>1</v>
      </c>
      <c r="BL859">
        <v>942</v>
      </c>
      <c r="BM859">
        <v>1</v>
      </c>
      <c r="BN859">
        <v>35</v>
      </c>
      <c r="BO859">
        <v>0</v>
      </c>
      <c r="BP859">
        <v>11</v>
      </c>
      <c r="BQ859">
        <v>12</v>
      </c>
      <c r="BR859">
        <v>1</v>
      </c>
      <c r="BS859">
        <v>0</v>
      </c>
      <c r="BT859">
        <v>1</v>
      </c>
      <c r="BU859">
        <v>0</v>
      </c>
      <c r="BV859">
        <v>0</v>
      </c>
      <c r="BW859">
        <v>973</v>
      </c>
      <c r="BX859">
        <v>0</v>
      </c>
      <c r="BY859">
        <v>5</v>
      </c>
      <c r="BZ859">
        <v>0</v>
      </c>
      <c r="CA859">
        <v>0</v>
      </c>
      <c r="CB859">
        <v>3</v>
      </c>
      <c r="CC859">
        <v>2</v>
      </c>
      <c r="CD859">
        <v>1</v>
      </c>
      <c r="CE859">
        <v>1</v>
      </c>
      <c r="CF859">
        <v>3</v>
      </c>
      <c r="CG859">
        <v>0</v>
      </c>
      <c r="CH859">
        <v>856</v>
      </c>
      <c r="CI859">
        <v>14</v>
      </c>
      <c r="CJ859">
        <v>2</v>
      </c>
      <c r="CK859">
        <v>10</v>
      </c>
      <c r="CL859">
        <v>3</v>
      </c>
      <c r="CM859">
        <v>1</v>
      </c>
      <c r="CN859">
        <v>3</v>
      </c>
      <c r="CO859">
        <v>0</v>
      </c>
      <c r="CP859">
        <v>0</v>
      </c>
      <c r="CQ859">
        <v>2</v>
      </c>
      <c r="CR859">
        <v>1</v>
      </c>
      <c r="CS859">
        <v>949</v>
      </c>
      <c r="CT859">
        <v>0</v>
      </c>
      <c r="CU859">
        <v>2</v>
      </c>
      <c r="CV859">
        <v>0</v>
      </c>
      <c r="CW859">
        <v>1</v>
      </c>
      <c r="CX859">
        <v>9</v>
      </c>
      <c r="CY859">
        <v>15</v>
      </c>
      <c r="CZ859">
        <v>11</v>
      </c>
      <c r="DA859">
        <v>7</v>
      </c>
      <c r="DB859">
        <v>1</v>
      </c>
      <c r="DC859">
        <v>1</v>
      </c>
      <c r="DD859">
        <v>977</v>
      </c>
      <c r="DE859">
        <v>4</v>
      </c>
      <c r="DF859">
        <v>2</v>
      </c>
      <c r="DG859">
        <v>1</v>
      </c>
      <c r="DH859">
        <v>4</v>
      </c>
      <c r="DI859">
        <v>3</v>
      </c>
      <c r="DJ859">
        <v>1</v>
      </c>
      <c r="DK859">
        <v>7</v>
      </c>
      <c r="DL859">
        <v>1</v>
      </c>
      <c r="DM859">
        <v>7</v>
      </c>
      <c r="DN859">
        <v>3</v>
      </c>
      <c r="DO859">
        <v>940</v>
      </c>
      <c r="DP859">
        <v>7</v>
      </c>
      <c r="DQ859">
        <v>6</v>
      </c>
      <c r="DR859">
        <v>7</v>
      </c>
      <c r="DS859">
        <v>0</v>
      </c>
      <c r="DT859">
        <v>2</v>
      </c>
      <c r="DU859">
        <v>21</v>
      </c>
      <c r="DV859">
        <v>14</v>
      </c>
      <c r="DW859">
        <v>1</v>
      </c>
      <c r="DX859">
        <v>5</v>
      </c>
      <c r="DY859">
        <v>9</v>
      </c>
      <c r="DZ859">
        <v>944</v>
      </c>
      <c r="EA859">
        <v>0.96179999999999999</v>
      </c>
      <c r="EB859">
        <v>0.961816978474059</v>
      </c>
      <c r="EC859">
        <v>0.96160162393011595</v>
      </c>
      <c r="ED859">
        <v>0.96136431775447695</v>
      </c>
      <c r="EE859">
        <f>SUM(Table1[[#This Row],[ratio_0]:[ratio_9]])</f>
        <v>370</v>
      </c>
      <c r="EF859" s="1">
        <f>(Table1[[#This Row],[predicted_0]]-Table1[[#This Row],[actual_0]])/Table1[[#This Row],[actual_0]]</f>
        <v>-2.3469387755102041E-2</v>
      </c>
      <c r="EG859" s="1">
        <f>(Table1[[#This Row],[predicted_1]]-Table1[[#This Row],[actual_1]])/Table1[[#This Row],[actual_1]]</f>
        <v>3.4361233480176209E-2</v>
      </c>
      <c r="EH859" s="1">
        <f>(Table1[[#This Row],[predicted_2]]-Table1[[#This Row],[actual_2]])/Table1[[#This Row],[actual_2]]</f>
        <v>-4.5542635658914726E-2</v>
      </c>
      <c r="EI859" s="1">
        <f>(Table1[[#This Row],[predicted_3]]-Table1[[#This Row],[actual_3]])/Table1[[#This Row],[actual_3]]</f>
        <v>-3.8613861386138613E-2</v>
      </c>
      <c r="EJ859" s="1">
        <f>(Table1[[#This Row],[predicted_4]]-Table1[[#This Row],[actual_4]])/Table1[[#This Row],[actual_4]]</f>
        <v>4.5824847250509164E-2</v>
      </c>
      <c r="EK859" s="1">
        <f>(Table1[[#This Row],[predicted_5]]-Table1[[#This Row],[actual_5]])/Table1[[#This Row],[actual_5]]</f>
        <v>1.905829596412556E-2</v>
      </c>
      <c r="EL859" s="1">
        <f>(Table1[[#This Row],[predicted_6]]-Table1[[#This Row],[actual_6]])/Table1[[#This Row],[actual_6]]</f>
        <v>6.3674321503131528E-2</v>
      </c>
      <c r="EM859" s="1">
        <f>(Table1[[#This Row],[predicted_7]]-Table1[[#This Row],[actual_7]])/Table1[[#This Row],[actual_7]]</f>
        <v>-1.556420233463035E-2</v>
      </c>
      <c r="EN859" s="1">
        <f>(Table1[[#This Row],[predicted_8]]-Table1[[#This Row],[actual_8]])/Table1[[#This Row],[actual_8]]</f>
        <v>1.1293634496919919E-2</v>
      </c>
      <c r="EO859" s="1">
        <f>(Table1[[#This Row],[predicted_9]]-Table1[[#This Row],[actual_9]])/Table1[[#This Row],[actual_9]]</f>
        <v>-4.7571853320118929E-2</v>
      </c>
      <c r="EP859" s="1">
        <f>1+(Table1[[#This Row],[error_ratio_0]]-EF$2)</f>
        <v>0.97448979591836737</v>
      </c>
      <c r="EQ859" s="1">
        <f>1+(Table1[[#This Row],[error_ratio_1]]-EG$2)</f>
        <v>1.0325991189427313</v>
      </c>
      <c r="ER859" s="1">
        <f>1+(Table1[[#This Row],[error_ratio_2]]-EH$2)</f>
        <v>0.95930232558139539</v>
      </c>
      <c r="ES859" s="1">
        <f>1+(Table1[[#This Row],[error_ratio_3]]-EI$2)</f>
        <v>0.95148514851485144</v>
      </c>
      <c r="ET859" s="1">
        <f>1+(Table1[[#This Row],[error_ratio_4]]-EJ$2)</f>
        <v>1.044806517311609</v>
      </c>
      <c r="EU859" s="1">
        <f>1+(Table1[[#This Row],[error_ratio_5]]-EK$2)</f>
        <v>1.0179372197309418</v>
      </c>
      <c r="EV859" s="1">
        <f>1+(Table1[[#This Row],[error_ratio_6]]-EL$2)</f>
        <v>1.0699373695198331</v>
      </c>
      <c r="EW859" s="1">
        <f>1+(Table1[[#This Row],[error_ratio_7]]-EM$2)</f>
        <v>0.98249027237354081</v>
      </c>
      <c r="EX859" s="1">
        <f>1+(Table1[[#This Row],[error_ratio_8]]-EN$2)</f>
        <v>1.0143737166324436</v>
      </c>
      <c r="EY859" s="1">
        <f>1+(Table1[[#This Row],[error_ratio_9]]-EO$2)</f>
        <v>0.95639246778989095</v>
      </c>
    </row>
    <row r="860" spans="1:155" x14ac:dyDescent="0.75">
      <c r="A860">
        <v>100</v>
      </c>
      <c r="B860">
        <v>10</v>
      </c>
      <c r="C860">
        <v>10</v>
      </c>
      <c r="D860">
        <v>10</v>
      </c>
      <c r="E860">
        <v>100</v>
      </c>
      <c r="F860">
        <v>10</v>
      </c>
      <c r="G860">
        <v>100</v>
      </c>
      <c r="H860">
        <v>10</v>
      </c>
      <c r="I860">
        <v>10</v>
      </c>
      <c r="J860">
        <v>10</v>
      </c>
      <c r="K860">
        <v>1079</v>
      </c>
      <c r="L860">
        <v>1224</v>
      </c>
      <c r="M860">
        <v>922</v>
      </c>
      <c r="N860">
        <v>983</v>
      </c>
      <c r="O860">
        <v>1062</v>
      </c>
      <c r="P860">
        <v>728</v>
      </c>
      <c r="Q860">
        <v>1034</v>
      </c>
      <c r="R860">
        <v>1020</v>
      </c>
      <c r="S860">
        <v>990</v>
      </c>
      <c r="T860">
        <v>958</v>
      </c>
      <c r="U860">
        <v>980</v>
      </c>
      <c r="V860">
        <v>1135</v>
      </c>
      <c r="W860">
        <v>1032</v>
      </c>
      <c r="X860">
        <v>1010</v>
      </c>
      <c r="Y860">
        <v>982</v>
      </c>
      <c r="Z860">
        <v>892</v>
      </c>
      <c r="AA860">
        <v>958</v>
      </c>
      <c r="AB860">
        <v>1028</v>
      </c>
      <c r="AC860">
        <v>974</v>
      </c>
      <c r="AD860">
        <v>1009</v>
      </c>
      <c r="AE860">
        <v>977</v>
      </c>
      <c r="AF860">
        <v>0</v>
      </c>
      <c r="AG860">
        <v>0</v>
      </c>
      <c r="AH860">
        <v>0</v>
      </c>
      <c r="AI860">
        <v>0</v>
      </c>
      <c r="AJ860">
        <v>0</v>
      </c>
      <c r="AK860">
        <v>2</v>
      </c>
      <c r="AL860">
        <v>1</v>
      </c>
      <c r="AM860">
        <v>0</v>
      </c>
      <c r="AN860">
        <v>0</v>
      </c>
      <c r="AO860">
        <v>0</v>
      </c>
      <c r="AP860">
        <v>1128</v>
      </c>
      <c r="AQ860">
        <v>0</v>
      </c>
      <c r="AR860">
        <v>4</v>
      </c>
      <c r="AS860">
        <v>0</v>
      </c>
      <c r="AT860">
        <v>0</v>
      </c>
      <c r="AU860">
        <v>2</v>
      </c>
      <c r="AV860">
        <v>0</v>
      </c>
      <c r="AW860">
        <v>1</v>
      </c>
      <c r="AX860">
        <v>0</v>
      </c>
      <c r="AY860">
        <v>18</v>
      </c>
      <c r="AZ860">
        <v>60</v>
      </c>
      <c r="BA860">
        <v>907</v>
      </c>
      <c r="BB860">
        <v>6</v>
      </c>
      <c r="BC860">
        <v>13</v>
      </c>
      <c r="BD860">
        <v>0</v>
      </c>
      <c r="BE860">
        <v>4</v>
      </c>
      <c r="BF860">
        <v>18</v>
      </c>
      <c r="BG860">
        <v>6</v>
      </c>
      <c r="BH860">
        <v>0</v>
      </c>
      <c r="BI860">
        <v>7</v>
      </c>
      <c r="BJ860">
        <v>2</v>
      </c>
      <c r="BK860">
        <v>5</v>
      </c>
      <c r="BL860">
        <v>937</v>
      </c>
      <c r="BM860">
        <v>2</v>
      </c>
      <c r="BN860">
        <v>4</v>
      </c>
      <c r="BO860">
        <v>1</v>
      </c>
      <c r="BP860">
        <v>15</v>
      </c>
      <c r="BQ860">
        <v>25</v>
      </c>
      <c r="BR860">
        <v>12</v>
      </c>
      <c r="BS860">
        <v>0</v>
      </c>
      <c r="BT860">
        <v>0</v>
      </c>
      <c r="BU860">
        <v>0</v>
      </c>
      <c r="BV860">
        <v>0</v>
      </c>
      <c r="BW860">
        <v>977</v>
      </c>
      <c r="BX860">
        <v>0</v>
      </c>
      <c r="BY860">
        <v>4</v>
      </c>
      <c r="BZ860">
        <v>0</v>
      </c>
      <c r="CA860">
        <v>0</v>
      </c>
      <c r="CB860">
        <v>1</v>
      </c>
      <c r="CC860">
        <v>20</v>
      </c>
      <c r="CD860">
        <v>2</v>
      </c>
      <c r="CE860">
        <v>0</v>
      </c>
      <c r="CF860">
        <v>29</v>
      </c>
      <c r="CG860">
        <v>2</v>
      </c>
      <c r="CH860">
        <v>724</v>
      </c>
      <c r="CI860">
        <v>61</v>
      </c>
      <c r="CJ860">
        <v>3</v>
      </c>
      <c r="CK860">
        <v>39</v>
      </c>
      <c r="CL860">
        <v>12</v>
      </c>
      <c r="CM860">
        <v>4</v>
      </c>
      <c r="CN860">
        <v>3</v>
      </c>
      <c r="CO860">
        <v>0</v>
      </c>
      <c r="CP860">
        <v>0</v>
      </c>
      <c r="CQ860">
        <v>1</v>
      </c>
      <c r="CR860">
        <v>0</v>
      </c>
      <c r="CS860">
        <v>950</v>
      </c>
      <c r="CT860">
        <v>0</v>
      </c>
      <c r="CU860">
        <v>0</v>
      </c>
      <c r="CV860">
        <v>0</v>
      </c>
      <c r="CW860">
        <v>6</v>
      </c>
      <c r="CX860">
        <v>18</v>
      </c>
      <c r="CY860">
        <v>8</v>
      </c>
      <c r="CZ860">
        <v>4</v>
      </c>
      <c r="DA860">
        <v>7</v>
      </c>
      <c r="DB860">
        <v>0</v>
      </c>
      <c r="DC860">
        <v>0</v>
      </c>
      <c r="DD860">
        <v>975</v>
      </c>
      <c r="DE860">
        <v>2</v>
      </c>
      <c r="DF860">
        <v>8</v>
      </c>
      <c r="DG860">
        <v>29</v>
      </c>
      <c r="DH860">
        <v>3</v>
      </c>
      <c r="DI860">
        <v>2</v>
      </c>
      <c r="DJ860">
        <v>1</v>
      </c>
      <c r="DK860">
        <v>12</v>
      </c>
      <c r="DL860">
        <v>0</v>
      </c>
      <c r="DM860">
        <v>8</v>
      </c>
      <c r="DN860">
        <v>2</v>
      </c>
      <c r="DO860">
        <v>911</v>
      </c>
      <c r="DP860">
        <v>6</v>
      </c>
      <c r="DQ860">
        <v>18</v>
      </c>
      <c r="DR860">
        <v>8</v>
      </c>
      <c r="DS860">
        <v>0</v>
      </c>
      <c r="DT860">
        <v>2</v>
      </c>
      <c r="DU860">
        <v>48</v>
      </c>
      <c r="DV860">
        <v>0</v>
      </c>
      <c r="DW860">
        <v>2</v>
      </c>
      <c r="DX860">
        <v>6</v>
      </c>
      <c r="DY860">
        <v>6</v>
      </c>
      <c r="DZ860">
        <v>919</v>
      </c>
      <c r="EA860">
        <v>0.9405</v>
      </c>
      <c r="EB860">
        <v>0.94325766287488599</v>
      </c>
      <c r="EC860">
        <v>0.93901515582856099</v>
      </c>
      <c r="ED860">
        <v>0.93918609364872196</v>
      </c>
      <c r="EE860">
        <f>SUM(Table1[[#This Row],[ratio_0]:[ratio_9]])</f>
        <v>370</v>
      </c>
      <c r="EF860" s="1">
        <f>(Table1[[#This Row],[predicted_0]]-Table1[[#This Row],[actual_0]])/Table1[[#This Row],[actual_0]]</f>
        <v>0.10102040816326531</v>
      </c>
      <c r="EG860" s="1">
        <f>(Table1[[#This Row],[predicted_1]]-Table1[[#This Row],[actual_1]])/Table1[[#This Row],[actual_1]]</f>
        <v>7.8414096916299553E-2</v>
      </c>
      <c r="EH860" s="1">
        <f>(Table1[[#This Row],[predicted_2]]-Table1[[#This Row],[actual_2]])/Table1[[#This Row],[actual_2]]</f>
        <v>-0.1065891472868217</v>
      </c>
      <c r="EI860" s="1">
        <f>(Table1[[#This Row],[predicted_3]]-Table1[[#This Row],[actual_3]])/Table1[[#This Row],[actual_3]]</f>
        <v>-2.6732673267326732E-2</v>
      </c>
      <c r="EJ860" s="1">
        <f>(Table1[[#This Row],[predicted_4]]-Table1[[#This Row],[actual_4]])/Table1[[#This Row],[actual_4]]</f>
        <v>8.1466395112016296E-2</v>
      </c>
      <c r="EK860" s="1">
        <f>(Table1[[#This Row],[predicted_5]]-Table1[[#This Row],[actual_5]])/Table1[[#This Row],[actual_5]]</f>
        <v>-0.18385650224215247</v>
      </c>
      <c r="EL860" s="1">
        <f>(Table1[[#This Row],[predicted_6]]-Table1[[#This Row],[actual_6]])/Table1[[#This Row],[actual_6]]</f>
        <v>7.9331941544885182E-2</v>
      </c>
      <c r="EM860" s="1">
        <f>(Table1[[#This Row],[predicted_7]]-Table1[[#This Row],[actual_7]])/Table1[[#This Row],[actual_7]]</f>
        <v>-7.7821011673151752E-3</v>
      </c>
      <c r="EN860" s="1">
        <f>(Table1[[#This Row],[predicted_8]]-Table1[[#This Row],[actual_8]])/Table1[[#This Row],[actual_8]]</f>
        <v>1.6427104722792608E-2</v>
      </c>
      <c r="EO860" s="1">
        <f>(Table1[[#This Row],[predicted_9]]-Table1[[#This Row],[actual_9]])/Table1[[#This Row],[actual_9]]</f>
        <v>-5.0545094152626362E-2</v>
      </c>
      <c r="EP860" s="1">
        <f>1+(Table1[[#This Row],[error_ratio_0]]-EF$2)</f>
        <v>1.0989795918367347</v>
      </c>
      <c r="EQ860" s="1">
        <f>1+(Table1[[#This Row],[error_ratio_1]]-EG$2)</f>
        <v>1.0766519823788547</v>
      </c>
      <c r="ER860" s="1">
        <f>1+(Table1[[#This Row],[error_ratio_2]]-EH$2)</f>
        <v>0.89825581395348841</v>
      </c>
      <c r="ES860" s="1">
        <f>1+(Table1[[#This Row],[error_ratio_3]]-EI$2)</f>
        <v>0.96336633663366333</v>
      </c>
      <c r="ET860" s="1">
        <f>1+(Table1[[#This Row],[error_ratio_4]]-EJ$2)</f>
        <v>1.0804480651731161</v>
      </c>
      <c r="EU860" s="1">
        <f>1+(Table1[[#This Row],[error_ratio_5]]-EK$2)</f>
        <v>0.81502242152466364</v>
      </c>
      <c r="EV860" s="1">
        <f>1+(Table1[[#This Row],[error_ratio_6]]-EL$2)</f>
        <v>1.0855949895615866</v>
      </c>
      <c r="EW860" s="1">
        <f>1+(Table1[[#This Row],[error_ratio_7]]-EM$2)</f>
        <v>0.99027237354085607</v>
      </c>
      <c r="EX860" s="1">
        <f>1+(Table1[[#This Row],[error_ratio_8]]-EN$2)</f>
        <v>1.0195071868583163</v>
      </c>
      <c r="EY860" s="1">
        <f>1+(Table1[[#This Row],[error_ratio_9]]-EO$2)</f>
        <v>0.95341922695738357</v>
      </c>
    </row>
    <row r="861" spans="1:155" x14ac:dyDescent="0.75">
      <c r="A861">
        <v>10</v>
      </c>
      <c r="B861">
        <v>10</v>
      </c>
      <c r="C861">
        <v>10</v>
      </c>
      <c r="D861">
        <v>10</v>
      </c>
      <c r="E861">
        <v>100</v>
      </c>
      <c r="F861">
        <v>10</v>
      </c>
      <c r="G861">
        <v>100</v>
      </c>
      <c r="H861">
        <v>10</v>
      </c>
      <c r="I861">
        <v>10</v>
      </c>
      <c r="J861">
        <v>10</v>
      </c>
      <c r="K861">
        <v>986</v>
      </c>
      <c r="L861">
        <v>1183</v>
      </c>
      <c r="M861">
        <v>1019</v>
      </c>
      <c r="N861">
        <v>1021</v>
      </c>
      <c r="O861">
        <v>994</v>
      </c>
      <c r="P861">
        <v>941</v>
      </c>
      <c r="Q861">
        <v>985</v>
      </c>
      <c r="R861">
        <v>1008</v>
      </c>
      <c r="S861">
        <v>872</v>
      </c>
      <c r="T861">
        <v>991</v>
      </c>
      <c r="U861">
        <v>980</v>
      </c>
      <c r="V861">
        <v>1135</v>
      </c>
      <c r="W861">
        <v>1032</v>
      </c>
      <c r="X861">
        <v>1010</v>
      </c>
      <c r="Y861">
        <v>982</v>
      </c>
      <c r="Z861">
        <v>892</v>
      </c>
      <c r="AA861">
        <v>958</v>
      </c>
      <c r="AB861">
        <v>1028</v>
      </c>
      <c r="AC861">
        <v>974</v>
      </c>
      <c r="AD861">
        <v>1009</v>
      </c>
      <c r="AE861">
        <v>965</v>
      </c>
      <c r="AF861">
        <v>1</v>
      </c>
      <c r="AG861">
        <v>1</v>
      </c>
      <c r="AH861">
        <v>0</v>
      </c>
      <c r="AI861">
        <v>0</v>
      </c>
      <c r="AJ861">
        <v>5</v>
      </c>
      <c r="AK861">
        <v>7</v>
      </c>
      <c r="AL861">
        <v>1</v>
      </c>
      <c r="AM861">
        <v>0</v>
      </c>
      <c r="AN861">
        <v>0</v>
      </c>
      <c r="AO861">
        <v>0</v>
      </c>
      <c r="AP861">
        <v>1125</v>
      </c>
      <c r="AQ861">
        <v>2</v>
      </c>
      <c r="AR861">
        <v>3</v>
      </c>
      <c r="AS861">
        <v>0</v>
      </c>
      <c r="AT861">
        <v>3</v>
      </c>
      <c r="AU861">
        <v>1</v>
      </c>
      <c r="AV861">
        <v>1</v>
      </c>
      <c r="AW861">
        <v>0</v>
      </c>
      <c r="AX861">
        <v>0</v>
      </c>
      <c r="AY861">
        <v>5</v>
      </c>
      <c r="AZ861">
        <v>9</v>
      </c>
      <c r="BA861">
        <v>988</v>
      </c>
      <c r="BB861">
        <v>7</v>
      </c>
      <c r="BC861">
        <v>4</v>
      </c>
      <c r="BD861">
        <v>3</v>
      </c>
      <c r="BE861">
        <v>4</v>
      </c>
      <c r="BF861">
        <v>10</v>
      </c>
      <c r="BG861">
        <v>1</v>
      </c>
      <c r="BH861">
        <v>1</v>
      </c>
      <c r="BI861">
        <v>1</v>
      </c>
      <c r="BJ861">
        <v>0</v>
      </c>
      <c r="BK861">
        <v>8</v>
      </c>
      <c r="BL861">
        <v>973</v>
      </c>
      <c r="BM861">
        <v>0</v>
      </c>
      <c r="BN861">
        <v>17</v>
      </c>
      <c r="BO861">
        <v>0</v>
      </c>
      <c r="BP861">
        <v>5</v>
      </c>
      <c r="BQ861">
        <v>3</v>
      </c>
      <c r="BR861">
        <v>3</v>
      </c>
      <c r="BS861">
        <v>0</v>
      </c>
      <c r="BT861">
        <v>4</v>
      </c>
      <c r="BU861">
        <v>0</v>
      </c>
      <c r="BV861">
        <v>0</v>
      </c>
      <c r="BW861">
        <v>970</v>
      </c>
      <c r="BX861">
        <v>0</v>
      </c>
      <c r="BY861">
        <v>1</v>
      </c>
      <c r="BZ861">
        <v>0</v>
      </c>
      <c r="CA861">
        <v>1</v>
      </c>
      <c r="CB861">
        <v>6</v>
      </c>
      <c r="CC861">
        <v>3</v>
      </c>
      <c r="CD861">
        <v>0</v>
      </c>
      <c r="CE861">
        <v>0</v>
      </c>
      <c r="CF861">
        <v>5</v>
      </c>
      <c r="CG861">
        <v>0</v>
      </c>
      <c r="CH861">
        <v>869</v>
      </c>
      <c r="CI861">
        <v>11</v>
      </c>
      <c r="CJ861">
        <v>2</v>
      </c>
      <c r="CK861">
        <v>1</v>
      </c>
      <c r="CL861">
        <v>1</v>
      </c>
      <c r="CM861">
        <v>3</v>
      </c>
      <c r="CN861">
        <v>3</v>
      </c>
      <c r="CO861">
        <v>0</v>
      </c>
      <c r="CP861">
        <v>0</v>
      </c>
      <c r="CQ861">
        <v>3</v>
      </c>
      <c r="CR861">
        <v>2</v>
      </c>
      <c r="CS861">
        <v>947</v>
      </c>
      <c r="CT861">
        <v>0</v>
      </c>
      <c r="CU861">
        <v>0</v>
      </c>
      <c r="CV861">
        <v>0</v>
      </c>
      <c r="CW861">
        <v>2</v>
      </c>
      <c r="CX861">
        <v>20</v>
      </c>
      <c r="CY861">
        <v>13</v>
      </c>
      <c r="CZ861">
        <v>7</v>
      </c>
      <c r="DA861">
        <v>1</v>
      </c>
      <c r="DB861">
        <v>0</v>
      </c>
      <c r="DC861">
        <v>0</v>
      </c>
      <c r="DD861">
        <v>972</v>
      </c>
      <c r="DE861">
        <v>4</v>
      </c>
      <c r="DF861">
        <v>9</v>
      </c>
      <c r="DG861">
        <v>5</v>
      </c>
      <c r="DH861">
        <v>13</v>
      </c>
      <c r="DI861">
        <v>7</v>
      </c>
      <c r="DJ861">
        <v>21</v>
      </c>
      <c r="DK861">
        <v>10</v>
      </c>
      <c r="DL861">
        <v>33</v>
      </c>
      <c r="DM861">
        <v>13</v>
      </c>
      <c r="DN861">
        <v>7</v>
      </c>
      <c r="DO861">
        <v>859</v>
      </c>
      <c r="DP861">
        <v>6</v>
      </c>
      <c r="DQ861">
        <v>2</v>
      </c>
      <c r="DR861">
        <v>8</v>
      </c>
      <c r="DS861">
        <v>0</v>
      </c>
      <c r="DT861">
        <v>5</v>
      </c>
      <c r="DU861">
        <v>6</v>
      </c>
      <c r="DV861">
        <v>9</v>
      </c>
      <c r="DW861">
        <v>1</v>
      </c>
      <c r="DX861">
        <v>10</v>
      </c>
      <c r="DY861">
        <v>3</v>
      </c>
      <c r="DZ861">
        <v>965</v>
      </c>
      <c r="EA861">
        <v>0.96330000000000005</v>
      </c>
      <c r="EB861">
        <v>0.96361426518459103</v>
      </c>
      <c r="EC861">
        <v>0.96309749596790195</v>
      </c>
      <c r="ED861">
        <v>0.96291435265765102</v>
      </c>
      <c r="EE861">
        <f>SUM(Table1[[#This Row],[ratio_0]:[ratio_9]])</f>
        <v>280</v>
      </c>
      <c r="EF861" s="1">
        <f>(Table1[[#This Row],[predicted_0]]-Table1[[#This Row],[actual_0]])/Table1[[#This Row],[actual_0]]</f>
        <v>6.1224489795918364E-3</v>
      </c>
      <c r="EG861" s="1">
        <f>(Table1[[#This Row],[predicted_1]]-Table1[[#This Row],[actual_1]])/Table1[[#This Row],[actual_1]]</f>
        <v>4.2290748898678412E-2</v>
      </c>
      <c r="EH861" s="1">
        <f>(Table1[[#This Row],[predicted_2]]-Table1[[#This Row],[actual_2]])/Table1[[#This Row],[actual_2]]</f>
        <v>-1.2596899224806201E-2</v>
      </c>
      <c r="EI861" s="1">
        <f>(Table1[[#This Row],[predicted_3]]-Table1[[#This Row],[actual_3]])/Table1[[#This Row],[actual_3]]</f>
        <v>1.089108910891089E-2</v>
      </c>
      <c r="EJ861" s="1">
        <f>(Table1[[#This Row],[predicted_4]]-Table1[[#This Row],[actual_4]])/Table1[[#This Row],[actual_4]]</f>
        <v>1.2219959266802444E-2</v>
      </c>
      <c r="EK861" s="1">
        <f>(Table1[[#This Row],[predicted_5]]-Table1[[#This Row],[actual_5]])/Table1[[#This Row],[actual_5]]</f>
        <v>5.4932735426008968E-2</v>
      </c>
      <c r="EL861" s="1">
        <f>(Table1[[#This Row],[predicted_6]]-Table1[[#This Row],[actual_6]])/Table1[[#This Row],[actual_6]]</f>
        <v>2.8183716075156576E-2</v>
      </c>
      <c r="EM861" s="1">
        <f>(Table1[[#This Row],[predicted_7]]-Table1[[#This Row],[actual_7]])/Table1[[#This Row],[actual_7]]</f>
        <v>-1.9455252918287938E-2</v>
      </c>
      <c r="EN861" s="1">
        <f>(Table1[[#This Row],[predicted_8]]-Table1[[#This Row],[actual_8]])/Table1[[#This Row],[actual_8]]</f>
        <v>-0.10472279260780287</v>
      </c>
      <c r="EO861" s="1">
        <f>(Table1[[#This Row],[predicted_9]]-Table1[[#This Row],[actual_9]])/Table1[[#This Row],[actual_9]]</f>
        <v>-1.7839444995044598E-2</v>
      </c>
      <c r="EP861" s="1">
        <f>1+(Table1[[#This Row],[error_ratio_0]]-EF$2)</f>
        <v>1.0040816326530613</v>
      </c>
      <c r="EQ861" s="1">
        <f>1+(Table1[[#This Row],[error_ratio_1]]-EG$2)</f>
        <v>1.0405286343612334</v>
      </c>
      <c r="ER861" s="1">
        <f>1+(Table1[[#This Row],[error_ratio_2]]-EH$2)</f>
        <v>0.99224806201550386</v>
      </c>
      <c r="ES861" s="1">
        <f>1+(Table1[[#This Row],[error_ratio_3]]-EI$2)</f>
        <v>1.000990099009901</v>
      </c>
      <c r="ET861" s="1">
        <f>1+(Table1[[#This Row],[error_ratio_4]]-EJ$2)</f>
        <v>1.0112016293279023</v>
      </c>
      <c r="EU861" s="1">
        <f>1+(Table1[[#This Row],[error_ratio_5]]-EK$2)</f>
        <v>1.053811659192825</v>
      </c>
      <c r="EV861" s="1">
        <f>1+(Table1[[#This Row],[error_ratio_6]]-EL$2)</f>
        <v>1.034446764091858</v>
      </c>
      <c r="EW861" s="1">
        <f>1+(Table1[[#This Row],[error_ratio_7]]-EM$2)</f>
        <v>0.97859922178988323</v>
      </c>
      <c r="EX861" s="1">
        <f>1+(Table1[[#This Row],[error_ratio_8]]-EN$2)</f>
        <v>0.89835728952772076</v>
      </c>
      <c r="EY861" s="1">
        <f>1+(Table1[[#This Row],[error_ratio_9]]-EO$2)</f>
        <v>0.98612487611496535</v>
      </c>
    </row>
    <row r="862" spans="1:155" x14ac:dyDescent="0.75">
      <c r="A862">
        <v>100</v>
      </c>
      <c r="B862">
        <v>100</v>
      </c>
      <c r="C862">
        <v>100</v>
      </c>
      <c r="D862">
        <v>100</v>
      </c>
      <c r="E862">
        <v>10</v>
      </c>
      <c r="F862">
        <v>10</v>
      </c>
      <c r="G862">
        <v>100</v>
      </c>
      <c r="H862">
        <v>10</v>
      </c>
      <c r="I862">
        <v>10</v>
      </c>
      <c r="J862">
        <v>10</v>
      </c>
      <c r="K862">
        <v>1028</v>
      </c>
      <c r="L862">
        <v>1178</v>
      </c>
      <c r="M862">
        <v>1054</v>
      </c>
      <c r="N862">
        <v>1036</v>
      </c>
      <c r="O862">
        <v>970</v>
      </c>
      <c r="P862">
        <v>860</v>
      </c>
      <c r="Q862">
        <v>956</v>
      </c>
      <c r="R862">
        <v>1003</v>
      </c>
      <c r="S862">
        <v>935</v>
      </c>
      <c r="T862">
        <v>980</v>
      </c>
      <c r="U862">
        <v>980</v>
      </c>
      <c r="V862">
        <v>1135</v>
      </c>
      <c r="W862">
        <v>1032</v>
      </c>
      <c r="X862">
        <v>1010</v>
      </c>
      <c r="Y862">
        <v>982</v>
      </c>
      <c r="Z862">
        <v>892</v>
      </c>
      <c r="AA862">
        <v>958</v>
      </c>
      <c r="AB862">
        <v>1028</v>
      </c>
      <c r="AC862">
        <v>974</v>
      </c>
      <c r="AD862">
        <v>1009</v>
      </c>
      <c r="AE862">
        <v>979</v>
      </c>
      <c r="AF862">
        <v>0</v>
      </c>
      <c r="AG862">
        <v>0</v>
      </c>
      <c r="AH862">
        <v>0</v>
      </c>
      <c r="AI862">
        <v>0</v>
      </c>
      <c r="AJ862">
        <v>0</v>
      </c>
      <c r="AK862">
        <v>0</v>
      </c>
      <c r="AL862">
        <v>1</v>
      </c>
      <c r="AM862">
        <v>0</v>
      </c>
      <c r="AN862">
        <v>0</v>
      </c>
      <c r="AO862">
        <v>0</v>
      </c>
      <c r="AP862">
        <v>1131</v>
      </c>
      <c r="AQ862">
        <v>2</v>
      </c>
      <c r="AR862">
        <v>0</v>
      </c>
      <c r="AS862">
        <v>0</v>
      </c>
      <c r="AT862">
        <v>2</v>
      </c>
      <c r="AU862">
        <v>0</v>
      </c>
      <c r="AV862">
        <v>0</v>
      </c>
      <c r="AW862">
        <v>0</v>
      </c>
      <c r="AX862">
        <v>0</v>
      </c>
      <c r="AY862">
        <v>6</v>
      </c>
      <c r="AZ862">
        <v>7</v>
      </c>
      <c r="BA862">
        <v>1013</v>
      </c>
      <c r="BB862">
        <v>0</v>
      </c>
      <c r="BC862">
        <v>1</v>
      </c>
      <c r="BD862">
        <v>0</v>
      </c>
      <c r="BE862">
        <v>0</v>
      </c>
      <c r="BF862">
        <v>5</v>
      </c>
      <c r="BG862">
        <v>0</v>
      </c>
      <c r="BH862">
        <v>0</v>
      </c>
      <c r="BI862">
        <v>0</v>
      </c>
      <c r="BJ862">
        <v>0</v>
      </c>
      <c r="BK862">
        <v>3</v>
      </c>
      <c r="BL862">
        <v>1002</v>
      </c>
      <c r="BM862">
        <v>0</v>
      </c>
      <c r="BN862">
        <v>2</v>
      </c>
      <c r="BO862">
        <v>0</v>
      </c>
      <c r="BP862">
        <v>1</v>
      </c>
      <c r="BQ862">
        <v>1</v>
      </c>
      <c r="BR862">
        <v>1</v>
      </c>
      <c r="BS862">
        <v>3</v>
      </c>
      <c r="BT862">
        <v>9</v>
      </c>
      <c r="BU862">
        <v>3</v>
      </c>
      <c r="BV862">
        <v>0</v>
      </c>
      <c r="BW862">
        <v>945</v>
      </c>
      <c r="BX862">
        <v>0</v>
      </c>
      <c r="BY862">
        <v>4</v>
      </c>
      <c r="BZ862">
        <v>3</v>
      </c>
      <c r="CA862">
        <v>2</v>
      </c>
      <c r="CB862">
        <v>13</v>
      </c>
      <c r="CC862">
        <v>8</v>
      </c>
      <c r="CD862">
        <v>1</v>
      </c>
      <c r="CE862">
        <v>0</v>
      </c>
      <c r="CF862">
        <v>21</v>
      </c>
      <c r="CG862">
        <v>0</v>
      </c>
      <c r="CH862">
        <v>847</v>
      </c>
      <c r="CI862">
        <v>7</v>
      </c>
      <c r="CJ862">
        <v>2</v>
      </c>
      <c r="CK862">
        <v>5</v>
      </c>
      <c r="CL862">
        <v>1</v>
      </c>
      <c r="CM862">
        <v>12</v>
      </c>
      <c r="CN862">
        <v>4</v>
      </c>
      <c r="CO862">
        <v>0</v>
      </c>
      <c r="CP862">
        <v>1</v>
      </c>
      <c r="CQ862">
        <v>9</v>
      </c>
      <c r="CR862">
        <v>1</v>
      </c>
      <c r="CS862">
        <v>931</v>
      </c>
      <c r="CT862">
        <v>0</v>
      </c>
      <c r="CU862">
        <v>0</v>
      </c>
      <c r="CV862">
        <v>0</v>
      </c>
      <c r="CW862">
        <v>1</v>
      </c>
      <c r="CX862">
        <v>12</v>
      </c>
      <c r="CY862">
        <v>23</v>
      </c>
      <c r="CZ862">
        <v>0</v>
      </c>
      <c r="DA862">
        <v>4</v>
      </c>
      <c r="DB862">
        <v>0</v>
      </c>
      <c r="DC862">
        <v>0</v>
      </c>
      <c r="DD862">
        <v>980</v>
      </c>
      <c r="DE862">
        <v>3</v>
      </c>
      <c r="DF862">
        <v>5</v>
      </c>
      <c r="DG862">
        <v>9</v>
      </c>
      <c r="DH862">
        <v>5</v>
      </c>
      <c r="DI862">
        <v>10</v>
      </c>
      <c r="DJ862">
        <v>5</v>
      </c>
      <c r="DK862">
        <v>2</v>
      </c>
      <c r="DL862">
        <v>3</v>
      </c>
      <c r="DM862">
        <v>13</v>
      </c>
      <c r="DN862">
        <v>3</v>
      </c>
      <c r="DO862">
        <v>919</v>
      </c>
      <c r="DP862">
        <v>5</v>
      </c>
      <c r="DQ862">
        <v>10</v>
      </c>
      <c r="DR862">
        <v>9</v>
      </c>
      <c r="DS862">
        <v>0</v>
      </c>
      <c r="DT862">
        <v>7</v>
      </c>
      <c r="DU862">
        <v>9</v>
      </c>
      <c r="DV862">
        <v>5</v>
      </c>
      <c r="DW862">
        <v>1</v>
      </c>
      <c r="DX862">
        <v>8</v>
      </c>
      <c r="DY862">
        <v>5</v>
      </c>
      <c r="DZ862">
        <v>955</v>
      </c>
      <c r="EA862">
        <v>0.97019999999999995</v>
      </c>
      <c r="EB862">
        <v>0.970812472187493</v>
      </c>
      <c r="EC862">
        <v>0.96961342491880897</v>
      </c>
      <c r="ED862">
        <v>0.96998548731837098</v>
      </c>
      <c r="EE862">
        <f>SUM(Table1[[#This Row],[ratio_0]:[ratio_9]])</f>
        <v>550</v>
      </c>
      <c r="EF862" s="1">
        <f>(Table1[[#This Row],[predicted_0]]-Table1[[#This Row],[actual_0]])/Table1[[#This Row],[actual_0]]</f>
        <v>4.8979591836734691E-2</v>
      </c>
      <c r="EG862" s="1">
        <f>(Table1[[#This Row],[predicted_1]]-Table1[[#This Row],[actual_1]])/Table1[[#This Row],[actual_1]]</f>
        <v>3.7885462555066078E-2</v>
      </c>
      <c r="EH862" s="1">
        <f>(Table1[[#This Row],[predicted_2]]-Table1[[#This Row],[actual_2]])/Table1[[#This Row],[actual_2]]</f>
        <v>2.1317829457364341E-2</v>
      </c>
      <c r="EI862" s="1">
        <f>(Table1[[#This Row],[predicted_3]]-Table1[[#This Row],[actual_3]])/Table1[[#This Row],[actual_3]]</f>
        <v>2.5742574257425741E-2</v>
      </c>
      <c r="EJ862" s="1">
        <f>(Table1[[#This Row],[predicted_4]]-Table1[[#This Row],[actual_4]])/Table1[[#This Row],[actual_4]]</f>
        <v>-1.2219959266802444E-2</v>
      </c>
      <c r="EK862" s="1">
        <f>(Table1[[#This Row],[predicted_5]]-Table1[[#This Row],[actual_5]])/Table1[[#This Row],[actual_5]]</f>
        <v>-3.5874439461883408E-2</v>
      </c>
      <c r="EL862" s="1">
        <f>(Table1[[#This Row],[predicted_6]]-Table1[[#This Row],[actual_6]])/Table1[[#This Row],[actual_6]]</f>
        <v>-2.0876826722338203E-3</v>
      </c>
      <c r="EM862" s="1">
        <f>(Table1[[#This Row],[predicted_7]]-Table1[[#This Row],[actual_7]])/Table1[[#This Row],[actual_7]]</f>
        <v>-2.4319066147859923E-2</v>
      </c>
      <c r="EN862" s="1">
        <f>(Table1[[#This Row],[predicted_8]]-Table1[[#This Row],[actual_8]])/Table1[[#This Row],[actual_8]]</f>
        <v>-4.0041067761806978E-2</v>
      </c>
      <c r="EO862" s="1">
        <f>(Table1[[#This Row],[predicted_9]]-Table1[[#This Row],[actual_9]])/Table1[[#This Row],[actual_9]]</f>
        <v>-2.8741328047571853E-2</v>
      </c>
      <c r="EP862" s="1">
        <f>1+(Table1[[#This Row],[error_ratio_0]]-EF$2)</f>
        <v>1.046938775510204</v>
      </c>
      <c r="EQ862" s="1">
        <f>1+(Table1[[#This Row],[error_ratio_1]]-EG$2)</f>
        <v>1.0361233480176211</v>
      </c>
      <c r="ER862" s="1">
        <f>1+(Table1[[#This Row],[error_ratio_2]]-EH$2)</f>
        <v>1.0261627906976745</v>
      </c>
      <c r="ES862" s="1">
        <f>1+(Table1[[#This Row],[error_ratio_3]]-EI$2)</f>
        <v>1.0158415841584159</v>
      </c>
      <c r="ET862" s="1">
        <f>1+(Table1[[#This Row],[error_ratio_4]]-EJ$2)</f>
        <v>0.98676171079429731</v>
      </c>
      <c r="EU862" s="1">
        <f>1+(Table1[[#This Row],[error_ratio_5]]-EK$2)</f>
        <v>0.96300448430493268</v>
      </c>
      <c r="EV862" s="1">
        <f>1+(Table1[[#This Row],[error_ratio_6]]-EL$2)</f>
        <v>1.0041753653444676</v>
      </c>
      <c r="EW862" s="1">
        <f>1+(Table1[[#This Row],[error_ratio_7]]-EM$2)</f>
        <v>0.97373540856031127</v>
      </c>
      <c r="EX862" s="1">
        <f>1+(Table1[[#This Row],[error_ratio_8]]-EN$2)</f>
        <v>0.96303901437371664</v>
      </c>
      <c r="EY862" s="1">
        <f>1+(Table1[[#This Row],[error_ratio_9]]-EO$2)</f>
        <v>0.97522299306243809</v>
      </c>
    </row>
    <row r="863" spans="1:155" x14ac:dyDescent="0.75">
      <c r="A863">
        <v>10</v>
      </c>
      <c r="B863">
        <v>100</v>
      </c>
      <c r="C863">
        <v>100</v>
      </c>
      <c r="D863">
        <v>100</v>
      </c>
      <c r="E863">
        <v>10</v>
      </c>
      <c r="F863">
        <v>10</v>
      </c>
      <c r="G863">
        <v>100</v>
      </c>
      <c r="H863">
        <v>10</v>
      </c>
      <c r="I863">
        <v>10</v>
      </c>
      <c r="J863">
        <v>10</v>
      </c>
      <c r="K863">
        <v>964</v>
      </c>
      <c r="L863">
        <v>1177</v>
      </c>
      <c r="M863">
        <v>1068</v>
      </c>
      <c r="N863">
        <v>1129</v>
      </c>
      <c r="O863">
        <v>930</v>
      </c>
      <c r="P863">
        <v>753</v>
      </c>
      <c r="Q863">
        <v>987</v>
      </c>
      <c r="R863">
        <v>1031</v>
      </c>
      <c r="S863">
        <v>927</v>
      </c>
      <c r="T863">
        <v>1034</v>
      </c>
      <c r="U863">
        <v>980</v>
      </c>
      <c r="V863">
        <v>1135</v>
      </c>
      <c r="W863">
        <v>1032</v>
      </c>
      <c r="X863">
        <v>1010</v>
      </c>
      <c r="Y863">
        <v>982</v>
      </c>
      <c r="Z863">
        <v>892</v>
      </c>
      <c r="AA863">
        <v>958</v>
      </c>
      <c r="AB863">
        <v>1028</v>
      </c>
      <c r="AC863">
        <v>974</v>
      </c>
      <c r="AD863">
        <v>1009</v>
      </c>
      <c r="AE863">
        <v>951</v>
      </c>
      <c r="AF863">
        <v>3</v>
      </c>
      <c r="AG863">
        <v>5</v>
      </c>
      <c r="AH863">
        <v>0</v>
      </c>
      <c r="AI863">
        <v>0</v>
      </c>
      <c r="AJ863">
        <v>0</v>
      </c>
      <c r="AK863">
        <v>11</v>
      </c>
      <c r="AL863">
        <v>3</v>
      </c>
      <c r="AM863">
        <v>5</v>
      </c>
      <c r="AN863">
        <v>2</v>
      </c>
      <c r="AO863">
        <v>0</v>
      </c>
      <c r="AP863">
        <v>1131</v>
      </c>
      <c r="AQ863">
        <v>2</v>
      </c>
      <c r="AR863">
        <v>1</v>
      </c>
      <c r="AS863">
        <v>0</v>
      </c>
      <c r="AT863">
        <v>1</v>
      </c>
      <c r="AU863">
        <v>0</v>
      </c>
      <c r="AV863">
        <v>0</v>
      </c>
      <c r="AW863">
        <v>0</v>
      </c>
      <c r="AX863">
        <v>0</v>
      </c>
      <c r="AY863">
        <v>0</v>
      </c>
      <c r="AZ863">
        <v>3</v>
      </c>
      <c r="BA863">
        <v>1022</v>
      </c>
      <c r="BB863">
        <v>1</v>
      </c>
      <c r="BC863">
        <v>0</v>
      </c>
      <c r="BD863">
        <v>0</v>
      </c>
      <c r="BE863">
        <v>1</v>
      </c>
      <c r="BF863">
        <v>4</v>
      </c>
      <c r="BG863">
        <v>1</v>
      </c>
      <c r="BH863">
        <v>0</v>
      </c>
      <c r="BI863">
        <v>0</v>
      </c>
      <c r="BJ863">
        <v>0</v>
      </c>
      <c r="BK863">
        <v>2</v>
      </c>
      <c r="BL863">
        <v>1003</v>
      </c>
      <c r="BM863">
        <v>0</v>
      </c>
      <c r="BN863">
        <v>0</v>
      </c>
      <c r="BO863">
        <v>0</v>
      </c>
      <c r="BP863">
        <v>5</v>
      </c>
      <c r="BQ863">
        <v>0</v>
      </c>
      <c r="BR863">
        <v>0</v>
      </c>
      <c r="BS863">
        <v>0</v>
      </c>
      <c r="BT863">
        <v>7</v>
      </c>
      <c r="BU863">
        <v>2</v>
      </c>
      <c r="BV863">
        <v>0</v>
      </c>
      <c r="BW863">
        <v>921</v>
      </c>
      <c r="BX863">
        <v>0</v>
      </c>
      <c r="BY863">
        <v>7</v>
      </c>
      <c r="BZ863">
        <v>1</v>
      </c>
      <c r="CA863">
        <v>1</v>
      </c>
      <c r="CB863">
        <v>43</v>
      </c>
      <c r="CC863">
        <v>3</v>
      </c>
      <c r="CD863">
        <v>1</v>
      </c>
      <c r="CE863">
        <v>1</v>
      </c>
      <c r="CF863">
        <v>99</v>
      </c>
      <c r="CG863">
        <v>0</v>
      </c>
      <c r="CH863">
        <v>749</v>
      </c>
      <c r="CI863">
        <v>14</v>
      </c>
      <c r="CJ863">
        <v>3</v>
      </c>
      <c r="CK863">
        <v>4</v>
      </c>
      <c r="CL863">
        <v>18</v>
      </c>
      <c r="CM863">
        <v>2</v>
      </c>
      <c r="CN863">
        <v>4</v>
      </c>
      <c r="CO863">
        <v>0</v>
      </c>
      <c r="CP863">
        <v>1</v>
      </c>
      <c r="CQ863">
        <v>1</v>
      </c>
      <c r="CR863">
        <v>1</v>
      </c>
      <c r="CS863">
        <v>948</v>
      </c>
      <c r="CT863">
        <v>0</v>
      </c>
      <c r="CU863">
        <v>1</v>
      </c>
      <c r="CV863">
        <v>0</v>
      </c>
      <c r="CW863">
        <v>1</v>
      </c>
      <c r="CX863">
        <v>17</v>
      </c>
      <c r="CY863">
        <v>22</v>
      </c>
      <c r="CZ863">
        <v>2</v>
      </c>
      <c r="DA863">
        <v>1</v>
      </c>
      <c r="DB863">
        <v>0</v>
      </c>
      <c r="DC863">
        <v>0</v>
      </c>
      <c r="DD863">
        <v>981</v>
      </c>
      <c r="DE863">
        <v>0</v>
      </c>
      <c r="DF863">
        <v>4</v>
      </c>
      <c r="DG863">
        <v>3</v>
      </c>
      <c r="DH863">
        <v>3</v>
      </c>
      <c r="DI863">
        <v>11</v>
      </c>
      <c r="DJ863">
        <v>12</v>
      </c>
      <c r="DK863">
        <v>4</v>
      </c>
      <c r="DL863">
        <v>2</v>
      </c>
      <c r="DM863">
        <v>4</v>
      </c>
      <c r="DN863">
        <v>10</v>
      </c>
      <c r="DO863">
        <v>915</v>
      </c>
      <c r="DP863">
        <v>10</v>
      </c>
      <c r="DQ863">
        <v>4</v>
      </c>
      <c r="DR863">
        <v>8</v>
      </c>
      <c r="DS863">
        <v>1</v>
      </c>
      <c r="DT863">
        <v>10</v>
      </c>
      <c r="DU863">
        <v>3</v>
      </c>
      <c r="DV863">
        <v>0</v>
      </c>
      <c r="DW863">
        <v>2</v>
      </c>
      <c r="DX863">
        <v>24</v>
      </c>
      <c r="DY863">
        <v>0</v>
      </c>
      <c r="DZ863">
        <v>957</v>
      </c>
      <c r="EA863">
        <v>0.95779999999999998</v>
      </c>
      <c r="EB863">
        <v>0.96023449038736197</v>
      </c>
      <c r="EC863">
        <v>0.95595619102077101</v>
      </c>
      <c r="ED863">
        <v>0.95691566774199199</v>
      </c>
      <c r="EE863">
        <f>SUM(Table1[[#This Row],[ratio_0]:[ratio_9]])</f>
        <v>460</v>
      </c>
      <c r="EF863" s="1">
        <f>(Table1[[#This Row],[predicted_0]]-Table1[[#This Row],[actual_0]])/Table1[[#This Row],[actual_0]]</f>
        <v>-1.6326530612244899E-2</v>
      </c>
      <c r="EG863" s="1">
        <f>(Table1[[#This Row],[predicted_1]]-Table1[[#This Row],[actual_1]])/Table1[[#This Row],[actual_1]]</f>
        <v>3.7004405286343613E-2</v>
      </c>
      <c r="EH863" s="1">
        <f>(Table1[[#This Row],[predicted_2]]-Table1[[#This Row],[actual_2]])/Table1[[#This Row],[actual_2]]</f>
        <v>3.4883720930232558E-2</v>
      </c>
      <c r="EI863" s="1">
        <f>(Table1[[#This Row],[predicted_3]]-Table1[[#This Row],[actual_3]])/Table1[[#This Row],[actual_3]]</f>
        <v>0.11782178217821782</v>
      </c>
      <c r="EJ863" s="1">
        <f>(Table1[[#This Row],[predicted_4]]-Table1[[#This Row],[actual_4]])/Table1[[#This Row],[actual_4]]</f>
        <v>-5.2953156822810592E-2</v>
      </c>
      <c r="EK863" s="1">
        <f>(Table1[[#This Row],[predicted_5]]-Table1[[#This Row],[actual_5]])/Table1[[#This Row],[actual_5]]</f>
        <v>-0.15582959641255606</v>
      </c>
      <c r="EL863" s="1">
        <f>(Table1[[#This Row],[predicted_6]]-Table1[[#This Row],[actual_6]])/Table1[[#This Row],[actual_6]]</f>
        <v>3.0271398747390398E-2</v>
      </c>
      <c r="EM863" s="1">
        <f>(Table1[[#This Row],[predicted_7]]-Table1[[#This Row],[actual_7]])/Table1[[#This Row],[actual_7]]</f>
        <v>2.9182879377431907E-3</v>
      </c>
      <c r="EN863" s="1">
        <f>(Table1[[#This Row],[predicted_8]]-Table1[[#This Row],[actual_8]])/Table1[[#This Row],[actual_8]]</f>
        <v>-4.8254620123203286E-2</v>
      </c>
      <c r="EO863" s="1">
        <f>(Table1[[#This Row],[predicted_9]]-Table1[[#This Row],[actual_9]])/Table1[[#This Row],[actual_9]]</f>
        <v>2.4777006937561942E-2</v>
      </c>
      <c r="EP863" s="1">
        <f>1+(Table1[[#This Row],[error_ratio_0]]-EF$2)</f>
        <v>0.98163265306122449</v>
      </c>
      <c r="EQ863" s="1">
        <f>1+(Table1[[#This Row],[error_ratio_1]]-EG$2)</f>
        <v>1.0352422907488987</v>
      </c>
      <c r="ER863" s="1">
        <f>1+(Table1[[#This Row],[error_ratio_2]]-EH$2)</f>
        <v>1.0397286821705427</v>
      </c>
      <c r="ES863" s="1">
        <f>1+(Table1[[#This Row],[error_ratio_3]]-EI$2)</f>
        <v>1.107920792079208</v>
      </c>
      <c r="ET863" s="1">
        <f>1+(Table1[[#This Row],[error_ratio_4]]-EJ$2)</f>
        <v>0.94602851323828918</v>
      </c>
      <c r="EU863" s="1">
        <f>1+(Table1[[#This Row],[error_ratio_5]]-EK$2)</f>
        <v>0.84304932735426008</v>
      </c>
      <c r="EV863" s="1">
        <f>1+(Table1[[#This Row],[error_ratio_6]]-EL$2)</f>
        <v>1.0365344467640918</v>
      </c>
      <c r="EW863" s="1">
        <f>1+(Table1[[#This Row],[error_ratio_7]]-EM$2)</f>
        <v>1.0009727626459144</v>
      </c>
      <c r="EX863" s="1">
        <f>1+(Table1[[#This Row],[error_ratio_8]]-EN$2)</f>
        <v>0.95482546201232033</v>
      </c>
      <c r="EY863" s="1">
        <f>1+(Table1[[#This Row],[error_ratio_9]]-EO$2)</f>
        <v>1.0287413280475719</v>
      </c>
    </row>
    <row r="864" spans="1:155" x14ac:dyDescent="0.75">
      <c r="A864">
        <v>10</v>
      </c>
      <c r="B864">
        <v>10</v>
      </c>
      <c r="C864">
        <v>100</v>
      </c>
      <c r="D864">
        <v>100</v>
      </c>
      <c r="E864">
        <v>10</v>
      </c>
      <c r="F864">
        <v>10</v>
      </c>
      <c r="G864">
        <v>100</v>
      </c>
      <c r="H864">
        <v>10</v>
      </c>
      <c r="I864">
        <v>10</v>
      </c>
      <c r="J864">
        <v>10</v>
      </c>
      <c r="K864">
        <v>964</v>
      </c>
      <c r="L864">
        <v>1120</v>
      </c>
      <c r="M864">
        <v>1094</v>
      </c>
      <c r="N864">
        <v>1026</v>
      </c>
      <c r="O864">
        <v>977</v>
      </c>
      <c r="P864">
        <v>878</v>
      </c>
      <c r="Q864">
        <v>1036</v>
      </c>
      <c r="R864">
        <v>927</v>
      </c>
      <c r="S864">
        <v>1001</v>
      </c>
      <c r="T864">
        <v>977</v>
      </c>
      <c r="U864">
        <v>980</v>
      </c>
      <c r="V864">
        <v>1135</v>
      </c>
      <c r="W864">
        <v>1032</v>
      </c>
      <c r="X864">
        <v>1010</v>
      </c>
      <c r="Y864">
        <v>982</v>
      </c>
      <c r="Z864">
        <v>892</v>
      </c>
      <c r="AA864">
        <v>958</v>
      </c>
      <c r="AB864">
        <v>1028</v>
      </c>
      <c r="AC864">
        <v>974</v>
      </c>
      <c r="AD864">
        <v>1009</v>
      </c>
      <c r="AE864">
        <v>942</v>
      </c>
      <c r="AF864">
        <v>0</v>
      </c>
      <c r="AG864">
        <v>1</v>
      </c>
      <c r="AH864">
        <v>0</v>
      </c>
      <c r="AI864">
        <v>0</v>
      </c>
      <c r="AJ864">
        <v>12</v>
      </c>
      <c r="AK864">
        <v>19</v>
      </c>
      <c r="AL864">
        <v>1</v>
      </c>
      <c r="AM864">
        <v>4</v>
      </c>
      <c r="AN864">
        <v>1</v>
      </c>
      <c r="AO864">
        <v>0</v>
      </c>
      <c r="AP864">
        <v>1111</v>
      </c>
      <c r="AQ864">
        <v>4</v>
      </c>
      <c r="AR864">
        <v>4</v>
      </c>
      <c r="AS864">
        <v>0</v>
      </c>
      <c r="AT864">
        <v>2</v>
      </c>
      <c r="AU864">
        <v>5</v>
      </c>
      <c r="AV864">
        <v>0</v>
      </c>
      <c r="AW864">
        <v>9</v>
      </c>
      <c r="AX864">
        <v>0</v>
      </c>
      <c r="AY864">
        <v>1</v>
      </c>
      <c r="AZ864">
        <v>0</v>
      </c>
      <c r="BA864">
        <v>1024</v>
      </c>
      <c r="BB864">
        <v>1</v>
      </c>
      <c r="BC864">
        <v>0</v>
      </c>
      <c r="BD864">
        <v>0</v>
      </c>
      <c r="BE864">
        <v>0</v>
      </c>
      <c r="BF864">
        <v>2</v>
      </c>
      <c r="BG864">
        <v>4</v>
      </c>
      <c r="BH864">
        <v>0</v>
      </c>
      <c r="BI864">
        <v>0</v>
      </c>
      <c r="BJ864">
        <v>0</v>
      </c>
      <c r="BK864">
        <v>7</v>
      </c>
      <c r="BL864">
        <v>986</v>
      </c>
      <c r="BM864">
        <v>0</v>
      </c>
      <c r="BN864">
        <v>7</v>
      </c>
      <c r="BO864">
        <v>0</v>
      </c>
      <c r="BP864">
        <v>1</v>
      </c>
      <c r="BQ864">
        <v>9</v>
      </c>
      <c r="BR864">
        <v>0</v>
      </c>
      <c r="BS864">
        <v>3</v>
      </c>
      <c r="BT864">
        <v>0</v>
      </c>
      <c r="BU864">
        <v>1</v>
      </c>
      <c r="BV864">
        <v>1</v>
      </c>
      <c r="BW864">
        <v>952</v>
      </c>
      <c r="BX864">
        <v>0</v>
      </c>
      <c r="BY864">
        <v>10</v>
      </c>
      <c r="BZ864">
        <v>1</v>
      </c>
      <c r="CA864">
        <v>4</v>
      </c>
      <c r="CB864">
        <v>10</v>
      </c>
      <c r="CC864">
        <v>3</v>
      </c>
      <c r="CD864">
        <v>0</v>
      </c>
      <c r="CE864">
        <v>1</v>
      </c>
      <c r="CF864">
        <v>9</v>
      </c>
      <c r="CG864">
        <v>1</v>
      </c>
      <c r="CH864">
        <v>843</v>
      </c>
      <c r="CI864">
        <v>19</v>
      </c>
      <c r="CJ864">
        <v>1</v>
      </c>
      <c r="CK864">
        <v>8</v>
      </c>
      <c r="CL864">
        <v>7</v>
      </c>
      <c r="CM864">
        <v>2</v>
      </c>
      <c r="CN864">
        <v>2</v>
      </c>
      <c r="CO864">
        <v>0</v>
      </c>
      <c r="CP864">
        <v>0</v>
      </c>
      <c r="CQ864">
        <v>8</v>
      </c>
      <c r="CR864">
        <v>1</v>
      </c>
      <c r="CS864">
        <v>945</v>
      </c>
      <c r="CT864">
        <v>0</v>
      </c>
      <c r="CU864">
        <v>0</v>
      </c>
      <c r="CV864">
        <v>0</v>
      </c>
      <c r="CW864">
        <v>2</v>
      </c>
      <c r="CX864">
        <v>7</v>
      </c>
      <c r="CY864">
        <v>41</v>
      </c>
      <c r="CZ864">
        <v>18</v>
      </c>
      <c r="DA864">
        <v>3</v>
      </c>
      <c r="DB864">
        <v>1</v>
      </c>
      <c r="DC864">
        <v>0</v>
      </c>
      <c r="DD864">
        <v>916</v>
      </c>
      <c r="DE864">
        <v>25</v>
      </c>
      <c r="DF864">
        <v>15</v>
      </c>
      <c r="DG864">
        <v>2</v>
      </c>
      <c r="DH864">
        <v>0</v>
      </c>
      <c r="DI864">
        <v>14</v>
      </c>
      <c r="DJ864">
        <v>2</v>
      </c>
      <c r="DK864">
        <v>4</v>
      </c>
      <c r="DL864">
        <v>6</v>
      </c>
      <c r="DM864">
        <v>37</v>
      </c>
      <c r="DN864">
        <v>2</v>
      </c>
      <c r="DO864">
        <v>905</v>
      </c>
      <c r="DP864">
        <v>2</v>
      </c>
      <c r="DQ864">
        <v>9</v>
      </c>
      <c r="DR864">
        <v>0</v>
      </c>
      <c r="DS864">
        <v>1</v>
      </c>
      <c r="DT864">
        <v>5</v>
      </c>
      <c r="DU864">
        <v>9</v>
      </c>
      <c r="DV864">
        <v>6</v>
      </c>
      <c r="DW864">
        <v>1</v>
      </c>
      <c r="DX864">
        <v>3</v>
      </c>
      <c r="DY864">
        <v>33</v>
      </c>
      <c r="DZ864">
        <v>942</v>
      </c>
      <c r="EA864">
        <v>0.95660000000000001</v>
      </c>
      <c r="EB864">
        <v>0.95692869975482997</v>
      </c>
      <c r="EC864">
        <v>0.95633185461098003</v>
      </c>
      <c r="ED864">
        <v>0.95608697876174498</v>
      </c>
      <c r="EE864">
        <f>SUM(Table1[[#This Row],[ratio_0]:[ratio_9]])</f>
        <v>370</v>
      </c>
      <c r="EF864" s="1">
        <f>(Table1[[#This Row],[predicted_0]]-Table1[[#This Row],[actual_0]])/Table1[[#This Row],[actual_0]]</f>
        <v>-1.6326530612244899E-2</v>
      </c>
      <c r="EG864" s="1">
        <f>(Table1[[#This Row],[predicted_1]]-Table1[[#This Row],[actual_1]])/Table1[[#This Row],[actual_1]]</f>
        <v>-1.3215859030837005E-2</v>
      </c>
      <c r="EH864" s="1">
        <f>(Table1[[#This Row],[predicted_2]]-Table1[[#This Row],[actual_2]])/Table1[[#This Row],[actual_2]]</f>
        <v>6.0077519379844964E-2</v>
      </c>
      <c r="EI864" s="1">
        <f>(Table1[[#This Row],[predicted_3]]-Table1[[#This Row],[actual_3]])/Table1[[#This Row],[actual_3]]</f>
        <v>1.5841584158415842E-2</v>
      </c>
      <c r="EJ864" s="1">
        <f>(Table1[[#This Row],[predicted_4]]-Table1[[#This Row],[actual_4]])/Table1[[#This Row],[actual_4]]</f>
        <v>-5.0916496945010185E-3</v>
      </c>
      <c r="EK864" s="1">
        <f>(Table1[[#This Row],[predicted_5]]-Table1[[#This Row],[actual_5]])/Table1[[#This Row],[actual_5]]</f>
        <v>-1.5695067264573991E-2</v>
      </c>
      <c r="EL864" s="1">
        <f>(Table1[[#This Row],[predicted_6]]-Table1[[#This Row],[actual_6]])/Table1[[#This Row],[actual_6]]</f>
        <v>8.1419624217118999E-2</v>
      </c>
      <c r="EM864" s="1">
        <f>(Table1[[#This Row],[predicted_7]]-Table1[[#This Row],[actual_7]])/Table1[[#This Row],[actual_7]]</f>
        <v>-9.8249027237354083E-2</v>
      </c>
      <c r="EN864" s="1">
        <f>(Table1[[#This Row],[predicted_8]]-Table1[[#This Row],[actual_8]])/Table1[[#This Row],[actual_8]]</f>
        <v>2.7720739219712527E-2</v>
      </c>
      <c r="EO864" s="1">
        <f>(Table1[[#This Row],[predicted_9]]-Table1[[#This Row],[actual_9]])/Table1[[#This Row],[actual_9]]</f>
        <v>-3.1714568880079286E-2</v>
      </c>
      <c r="EP864" s="1">
        <f>1+(Table1[[#This Row],[error_ratio_0]]-EF$2)</f>
        <v>0.98163265306122449</v>
      </c>
      <c r="EQ864" s="1">
        <f>1+(Table1[[#This Row],[error_ratio_1]]-EG$2)</f>
        <v>0.9850220264317181</v>
      </c>
      <c r="ER864" s="1">
        <f>1+(Table1[[#This Row],[error_ratio_2]]-EH$2)</f>
        <v>1.0649224806201549</v>
      </c>
      <c r="ES864" s="1">
        <f>1+(Table1[[#This Row],[error_ratio_3]]-EI$2)</f>
        <v>1.0059405940594059</v>
      </c>
      <c r="ET864" s="1">
        <f>1+(Table1[[#This Row],[error_ratio_4]]-EJ$2)</f>
        <v>0.99389002036659879</v>
      </c>
      <c r="EU864" s="1">
        <f>1+(Table1[[#This Row],[error_ratio_5]]-EK$2)</f>
        <v>0.98318385650224216</v>
      </c>
      <c r="EV864" s="1">
        <f>1+(Table1[[#This Row],[error_ratio_6]]-EL$2)</f>
        <v>1.0876826722338204</v>
      </c>
      <c r="EW864" s="1">
        <f>1+(Table1[[#This Row],[error_ratio_7]]-EM$2)</f>
        <v>0.89980544747081714</v>
      </c>
      <c r="EX864" s="1">
        <f>1+(Table1[[#This Row],[error_ratio_8]]-EN$2)</f>
        <v>1.0308008213552362</v>
      </c>
      <c r="EY864" s="1">
        <f>1+(Table1[[#This Row],[error_ratio_9]]-EO$2)</f>
        <v>0.9722497522299306</v>
      </c>
    </row>
    <row r="865" spans="1:155" x14ac:dyDescent="0.75">
      <c r="A865">
        <v>100</v>
      </c>
      <c r="B865">
        <v>100</v>
      </c>
      <c r="C865">
        <v>10</v>
      </c>
      <c r="D865">
        <v>100</v>
      </c>
      <c r="E865">
        <v>10</v>
      </c>
      <c r="F865">
        <v>10</v>
      </c>
      <c r="G865">
        <v>100</v>
      </c>
      <c r="H865">
        <v>10</v>
      </c>
      <c r="I865">
        <v>10</v>
      </c>
      <c r="J865">
        <v>10</v>
      </c>
      <c r="K865">
        <v>1050</v>
      </c>
      <c r="L865">
        <v>1217</v>
      </c>
      <c r="M865">
        <v>973</v>
      </c>
      <c r="N865">
        <v>1036</v>
      </c>
      <c r="O865">
        <v>971</v>
      </c>
      <c r="P865">
        <v>823</v>
      </c>
      <c r="Q865">
        <v>996</v>
      </c>
      <c r="R865">
        <v>1062</v>
      </c>
      <c r="S865">
        <v>937</v>
      </c>
      <c r="T865">
        <v>935</v>
      </c>
      <c r="U865">
        <v>980</v>
      </c>
      <c r="V865">
        <v>1135</v>
      </c>
      <c r="W865">
        <v>1032</v>
      </c>
      <c r="X865">
        <v>1010</v>
      </c>
      <c r="Y865">
        <v>982</v>
      </c>
      <c r="Z865">
        <v>892</v>
      </c>
      <c r="AA865">
        <v>958</v>
      </c>
      <c r="AB865">
        <v>1028</v>
      </c>
      <c r="AC865">
        <v>974</v>
      </c>
      <c r="AD865">
        <v>1009</v>
      </c>
      <c r="AE865">
        <v>977</v>
      </c>
      <c r="AF865">
        <v>2</v>
      </c>
      <c r="AG865">
        <v>0</v>
      </c>
      <c r="AH865">
        <v>0</v>
      </c>
      <c r="AI865">
        <v>0</v>
      </c>
      <c r="AJ865">
        <v>0</v>
      </c>
      <c r="AK865">
        <v>0</v>
      </c>
      <c r="AL865">
        <v>1</v>
      </c>
      <c r="AM865">
        <v>0</v>
      </c>
      <c r="AN865">
        <v>0</v>
      </c>
      <c r="AO865">
        <v>0</v>
      </c>
      <c r="AP865">
        <v>1132</v>
      </c>
      <c r="AQ865">
        <v>0</v>
      </c>
      <c r="AR865">
        <v>0</v>
      </c>
      <c r="AS865">
        <v>0</v>
      </c>
      <c r="AT865">
        <v>0</v>
      </c>
      <c r="AU865">
        <v>3</v>
      </c>
      <c r="AV865">
        <v>0</v>
      </c>
      <c r="AW865">
        <v>0</v>
      </c>
      <c r="AX865">
        <v>0</v>
      </c>
      <c r="AY865">
        <v>14</v>
      </c>
      <c r="AZ865">
        <v>28</v>
      </c>
      <c r="BA865">
        <v>947</v>
      </c>
      <c r="BB865">
        <v>9</v>
      </c>
      <c r="BC865">
        <v>2</v>
      </c>
      <c r="BD865">
        <v>0</v>
      </c>
      <c r="BE865">
        <v>10</v>
      </c>
      <c r="BF865">
        <v>17</v>
      </c>
      <c r="BG865">
        <v>5</v>
      </c>
      <c r="BH865">
        <v>0</v>
      </c>
      <c r="BI865">
        <v>3</v>
      </c>
      <c r="BJ865">
        <v>0</v>
      </c>
      <c r="BK865">
        <v>6</v>
      </c>
      <c r="BL865">
        <v>986</v>
      </c>
      <c r="BM865">
        <v>0</v>
      </c>
      <c r="BN865">
        <v>1</v>
      </c>
      <c r="BO865">
        <v>0</v>
      </c>
      <c r="BP865">
        <v>13</v>
      </c>
      <c r="BQ865">
        <v>1</v>
      </c>
      <c r="BR865">
        <v>0</v>
      </c>
      <c r="BS865">
        <v>4</v>
      </c>
      <c r="BT865">
        <v>10</v>
      </c>
      <c r="BU865">
        <v>3</v>
      </c>
      <c r="BV865">
        <v>0</v>
      </c>
      <c r="BW865">
        <v>947</v>
      </c>
      <c r="BX865">
        <v>0</v>
      </c>
      <c r="BY865">
        <v>6</v>
      </c>
      <c r="BZ865">
        <v>2</v>
      </c>
      <c r="CA865">
        <v>1</v>
      </c>
      <c r="CB865">
        <v>9</v>
      </c>
      <c r="CC865">
        <v>12</v>
      </c>
      <c r="CD865">
        <v>2</v>
      </c>
      <c r="CE865">
        <v>0</v>
      </c>
      <c r="CF865">
        <v>27</v>
      </c>
      <c r="CG865">
        <v>0</v>
      </c>
      <c r="CH865">
        <v>817</v>
      </c>
      <c r="CI865">
        <v>21</v>
      </c>
      <c r="CJ865">
        <v>5</v>
      </c>
      <c r="CK865">
        <v>5</v>
      </c>
      <c r="CL865">
        <v>3</v>
      </c>
      <c r="CM865">
        <v>7</v>
      </c>
      <c r="CN865">
        <v>3</v>
      </c>
      <c r="CO865">
        <v>0</v>
      </c>
      <c r="CP865">
        <v>0</v>
      </c>
      <c r="CQ865">
        <v>3</v>
      </c>
      <c r="CR865">
        <v>1</v>
      </c>
      <c r="CS865">
        <v>944</v>
      </c>
      <c r="CT865">
        <v>0</v>
      </c>
      <c r="CU865">
        <v>0</v>
      </c>
      <c r="CV865">
        <v>0</v>
      </c>
      <c r="CW865">
        <v>2</v>
      </c>
      <c r="CX865">
        <v>23</v>
      </c>
      <c r="CY865">
        <v>13</v>
      </c>
      <c r="CZ865">
        <v>1</v>
      </c>
      <c r="DA865">
        <v>1</v>
      </c>
      <c r="DB865">
        <v>0</v>
      </c>
      <c r="DC865">
        <v>0</v>
      </c>
      <c r="DD865">
        <v>985</v>
      </c>
      <c r="DE865">
        <v>1</v>
      </c>
      <c r="DF865">
        <v>2</v>
      </c>
      <c r="DG865">
        <v>21</v>
      </c>
      <c r="DH865">
        <v>4</v>
      </c>
      <c r="DI865">
        <v>4</v>
      </c>
      <c r="DJ865">
        <v>3</v>
      </c>
      <c r="DK865">
        <v>4</v>
      </c>
      <c r="DL865">
        <v>1</v>
      </c>
      <c r="DM865">
        <v>11</v>
      </c>
      <c r="DN865">
        <v>5</v>
      </c>
      <c r="DO865">
        <v>918</v>
      </c>
      <c r="DP865">
        <v>3</v>
      </c>
      <c r="DQ865">
        <v>10</v>
      </c>
      <c r="DR865">
        <v>13</v>
      </c>
      <c r="DS865">
        <v>0</v>
      </c>
      <c r="DT865">
        <v>10</v>
      </c>
      <c r="DU865">
        <v>14</v>
      </c>
      <c r="DV865">
        <v>3</v>
      </c>
      <c r="DW865">
        <v>1</v>
      </c>
      <c r="DX865">
        <v>34</v>
      </c>
      <c r="DY865">
        <v>6</v>
      </c>
      <c r="DZ865">
        <v>918</v>
      </c>
      <c r="EA865">
        <v>0.95709999999999995</v>
      </c>
      <c r="EB865">
        <v>0.95904682531310104</v>
      </c>
      <c r="EC865">
        <v>0.95643208767683896</v>
      </c>
      <c r="ED865">
        <v>0.95701814680013397</v>
      </c>
      <c r="EE865">
        <f>SUM(Table1[[#This Row],[ratio_0]:[ratio_9]])</f>
        <v>460</v>
      </c>
      <c r="EF865" s="1">
        <f>(Table1[[#This Row],[predicted_0]]-Table1[[#This Row],[actual_0]])/Table1[[#This Row],[actual_0]]</f>
        <v>7.1428571428571425E-2</v>
      </c>
      <c r="EG865" s="1">
        <f>(Table1[[#This Row],[predicted_1]]-Table1[[#This Row],[actual_1]])/Table1[[#This Row],[actual_1]]</f>
        <v>7.2246696035242294E-2</v>
      </c>
      <c r="EH865" s="1">
        <f>(Table1[[#This Row],[predicted_2]]-Table1[[#This Row],[actual_2]])/Table1[[#This Row],[actual_2]]</f>
        <v>-5.7170542635658912E-2</v>
      </c>
      <c r="EI865" s="1">
        <f>(Table1[[#This Row],[predicted_3]]-Table1[[#This Row],[actual_3]])/Table1[[#This Row],[actual_3]]</f>
        <v>2.5742574257425741E-2</v>
      </c>
      <c r="EJ865" s="1">
        <f>(Table1[[#This Row],[predicted_4]]-Table1[[#This Row],[actual_4]])/Table1[[#This Row],[actual_4]]</f>
        <v>-1.1201629327902239E-2</v>
      </c>
      <c r="EK865" s="1">
        <f>(Table1[[#This Row],[predicted_5]]-Table1[[#This Row],[actual_5]])/Table1[[#This Row],[actual_5]]</f>
        <v>-7.73542600896861E-2</v>
      </c>
      <c r="EL865" s="1">
        <f>(Table1[[#This Row],[predicted_6]]-Table1[[#This Row],[actual_6]])/Table1[[#This Row],[actual_6]]</f>
        <v>3.9665970772442591E-2</v>
      </c>
      <c r="EM865" s="1">
        <f>(Table1[[#This Row],[predicted_7]]-Table1[[#This Row],[actual_7]])/Table1[[#This Row],[actual_7]]</f>
        <v>3.3073929961089495E-2</v>
      </c>
      <c r="EN865" s="1">
        <f>(Table1[[#This Row],[predicted_8]]-Table1[[#This Row],[actual_8]])/Table1[[#This Row],[actual_8]]</f>
        <v>-3.7987679671457907E-2</v>
      </c>
      <c r="EO865" s="1">
        <f>(Table1[[#This Row],[predicted_9]]-Table1[[#This Row],[actual_9]])/Table1[[#This Row],[actual_9]]</f>
        <v>-7.3339940535183348E-2</v>
      </c>
      <c r="EP865" s="1">
        <f>1+(Table1[[#This Row],[error_ratio_0]]-EF$2)</f>
        <v>1.0693877551020408</v>
      </c>
      <c r="EQ865" s="1">
        <f>1+(Table1[[#This Row],[error_ratio_1]]-EG$2)</f>
        <v>1.0704845814977975</v>
      </c>
      <c r="ER865" s="1">
        <f>1+(Table1[[#This Row],[error_ratio_2]]-EH$2)</f>
        <v>0.94767441860465118</v>
      </c>
      <c r="ES865" s="1">
        <f>1+(Table1[[#This Row],[error_ratio_3]]-EI$2)</f>
        <v>1.0158415841584159</v>
      </c>
      <c r="ET865" s="1">
        <f>1+(Table1[[#This Row],[error_ratio_4]]-EJ$2)</f>
        <v>0.98778004073319758</v>
      </c>
      <c r="EU865" s="1">
        <f>1+(Table1[[#This Row],[error_ratio_5]]-EK$2)</f>
        <v>0.92152466367713004</v>
      </c>
      <c r="EV865" s="1">
        <f>1+(Table1[[#This Row],[error_ratio_6]]-EL$2)</f>
        <v>1.0459290187891441</v>
      </c>
      <c r="EW865" s="1">
        <f>1+(Table1[[#This Row],[error_ratio_7]]-EM$2)</f>
        <v>1.0311284046692606</v>
      </c>
      <c r="EX865" s="1">
        <f>1+(Table1[[#This Row],[error_ratio_8]]-EN$2)</f>
        <v>0.96509240246406569</v>
      </c>
      <c r="EY865" s="1">
        <f>1+(Table1[[#This Row],[error_ratio_9]]-EO$2)</f>
        <v>0.93062438057482655</v>
      </c>
    </row>
    <row r="866" spans="1:155" x14ac:dyDescent="0.75">
      <c r="A866">
        <v>10</v>
      </c>
      <c r="B866">
        <v>100</v>
      </c>
      <c r="C866">
        <v>10</v>
      </c>
      <c r="D866">
        <v>100</v>
      </c>
      <c r="E866">
        <v>10</v>
      </c>
      <c r="F866">
        <v>10</v>
      </c>
      <c r="G866">
        <v>100</v>
      </c>
      <c r="H866">
        <v>10</v>
      </c>
      <c r="I866">
        <v>10</v>
      </c>
      <c r="J866">
        <v>10</v>
      </c>
      <c r="K866">
        <v>1017</v>
      </c>
      <c r="L866">
        <v>1168</v>
      </c>
      <c r="M866">
        <v>1147</v>
      </c>
      <c r="N866">
        <v>1117</v>
      </c>
      <c r="O866">
        <v>910</v>
      </c>
      <c r="P866">
        <v>801</v>
      </c>
      <c r="Q866">
        <v>1010</v>
      </c>
      <c r="R866">
        <v>938</v>
      </c>
      <c r="S866">
        <v>863</v>
      </c>
      <c r="T866">
        <v>1029</v>
      </c>
      <c r="U866">
        <v>980</v>
      </c>
      <c r="V866">
        <v>1135</v>
      </c>
      <c r="W866">
        <v>1032</v>
      </c>
      <c r="X866">
        <v>1010</v>
      </c>
      <c r="Y866">
        <v>982</v>
      </c>
      <c r="Z866">
        <v>892</v>
      </c>
      <c r="AA866">
        <v>958</v>
      </c>
      <c r="AB866">
        <v>1028</v>
      </c>
      <c r="AC866">
        <v>974</v>
      </c>
      <c r="AD866">
        <v>1009</v>
      </c>
      <c r="AE866">
        <v>973</v>
      </c>
      <c r="AF866">
        <v>1</v>
      </c>
      <c r="AG866">
        <v>0</v>
      </c>
      <c r="AH866">
        <v>0</v>
      </c>
      <c r="AI866">
        <v>0</v>
      </c>
      <c r="AJ866">
        <v>0</v>
      </c>
      <c r="AK866">
        <v>3</v>
      </c>
      <c r="AL866">
        <v>1</v>
      </c>
      <c r="AM866">
        <v>2</v>
      </c>
      <c r="AN866">
        <v>0</v>
      </c>
      <c r="AO866">
        <v>0</v>
      </c>
      <c r="AP866">
        <v>1128</v>
      </c>
      <c r="AQ866">
        <v>3</v>
      </c>
      <c r="AR866">
        <v>0</v>
      </c>
      <c r="AS866">
        <v>0</v>
      </c>
      <c r="AT866">
        <v>1</v>
      </c>
      <c r="AU866">
        <v>3</v>
      </c>
      <c r="AV866">
        <v>0</v>
      </c>
      <c r="AW866">
        <v>0</v>
      </c>
      <c r="AX866">
        <v>0</v>
      </c>
      <c r="AY866">
        <v>3</v>
      </c>
      <c r="AZ866">
        <v>3</v>
      </c>
      <c r="BA866">
        <v>1022</v>
      </c>
      <c r="BB866">
        <v>0</v>
      </c>
      <c r="BC866">
        <v>0</v>
      </c>
      <c r="BD866">
        <v>0</v>
      </c>
      <c r="BE866">
        <v>1</v>
      </c>
      <c r="BF866">
        <v>3</v>
      </c>
      <c r="BG866">
        <v>0</v>
      </c>
      <c r="BH866">
        <v>0</v>
      </c>
      <c r="BI866">
        <v>1</v>
      </c>
      <c r="BJ866">
        <v>0</v>
      </c>
      <c r="BK866">
        <v>5</v>
      </c>
      <c r="BL866">
        <v>1001</v>
      </c>
      <c r="BM866">
        <v>0</v>
      </c>
      <c r="BN866">
        <v>1</v>
      </c>
      <c r="BO866">
        <v>0</v>
      </c>
      <c r="BP866">
        <v>2</v>
      </c>
      <c r="BQ866">
        <v>0</v>
      </c>
      <c r="BR866">
        <v>0</v>
      </c>
      <c r="BS866">
        <v>5</v>
      </c>
      <c r="BT866">
        <v>9</v>
      </c>
      <c r="BU866">
        <v>16</v>
      </c>
      <c r="BV866">
        <v>0</v>
      </c>
      <c r="BW866">
        <v>903</v>
      </c>
      <c r="BX866">
        <v>0</v>
      </c>
      <c r="BY866">
        <v>9</v>
      </c>
      <c r="BZ866">
        <v>1</v>
      </c>
      <c r="CA866">
        <v>2</v>
      </c>
      <c r="CB866">
        <v>37</v>
      </c>
      <c r="CC866">
        <v>6</v>
      </c>
      <c r="CD866">
        <v>0</v>
      </c>
      <c r="CE866">
        <v>3</v>
      </c>
      <c r="CF866">
        <v>47</v>
      </c>
      <c r="CG866">
        <v>0</v>
      </c>
      <c r="CH866">
        <v>797</v>
      </c>
      <c r="CI866">
        <v>31</v>
      </c>
      <c r="CJ866">
        <v>1</v>
      </c>
      <c r="CK866">
        <v>3</v>
      </c>
      <c r="CL866">
        <v>4</v>
      </c>
      <c r="CM866">
        <v>8</v>
      </c>
      <c r="CN866">
        <v>2</v>
      </c>
      <c r="CO866">
        <v>0</v>
      </c>
      <c r="CP866">
        <v>0</v>
      </c>
      <c r="CQ866">
        <v>2</v>
      </c>
      <c r="CR866">
        <v>1</v>
      </c>
      <c r="CS866">
        <v>945</v>
      </c>
      <c r="CT866">
        <v>0</v>
      </c>
      <c r="CU866">
        <v>0</v>
      </c>
      <c r="CV866">
        <v>0</v>
      </c>
      <c r="CW866">
        <v>5</v>
      </c>
      <c r="CX866">
        <v>18</v>
      </c>
      <c r="CY866">
        <v>60</v>
      </c>
      <c r="CZ866">
        <v>13</v>
      </c>
      <c r="DA866">
        <v>0</v>
      </c>
      <c r="DB866">
        <v>0</v>
      </c>
      <c r="DC866">
        <v>0</v>
      </c>
      <c r="DD866">
        <v>919</v>
      </c>
      <c r="DE866">
        <v>1</v>
      </c>
      <c r="DF866">
        <v>12</v>
      </c>
      <c r="DG866">
        <v>9</v>
      </c>
      <c r="DH866">
        <v>2</v>
      </c>
      <c r="DI866">
        <v>38</v>
      </c>
      <c r="DJ866">
        <v>40</v>
      </c>
      <c r="DK866">
        <v>1</v>
      </c>
      <c r="DL866">
        <v>0</v>
      </c>
      <c r="DM866">
        <v>16</v>
      </c>
      <c r="DN866">
        <v>5</v>
      </c>
      <c r="DO866">
        <v>855</v>
      </c>
      <c r="DP866">
        <v>8</v>
      </c>
      <c r="DQ866">
        <v>7</v>
      </c>
      <c r="DR866">
        <v>5</v>
      </c>
      <c r="DS866">
        <v>0</v>
      </c>
      <c r="DT866">
        <v>16</v>
      </c>
      <c r="DU866">
        <v>4</v>
      </c>
      <c r="DV866">
        <v>1</v>
      </c>
      <c r="DW866">
        <v>2</v>
      </c>
      <c r="DX866">
        <v>6</v>
      </c>
      <c r="DY866">
        <v>0</v>
      </c>
      <c r="DZ866">
        <v>968</v>
      </c>
      <c r="EA866">
        <v>0.95109999999999995</v>
      </c>
      <c r="EB866">
        <v>0.95438101681014298</v>
      </c>
      <c r="EC866">
        <v>0.94987266725532105</v>
      </c>
      <c r="ED866">
        <v>0.95054751741815802</v>
      </c>
      <c r="EE866">
        <f>SUM(Table1[[#This Row],[ratio_0]:[ratio_9]])</f>
        <v>370</v>
      </c>
      <c r="EF866" s="1">
        <f>(Table1[[#This Row],[predicted_0]]-Table1[[#This Row],[actual_0]])/Table1[[#This Row],[actual_0]]</f>
        <v>3.7755102040816328E-2</v>
      </c>
      <c r="EG866" s="1">
        <f>(Table1[[#This Row],[predicted_1]]-Table1[[#This Row],[actual_1]])/Table1[[#This Row],[actual_1]]</f>
        <v>2.9074889867841409E-2</v>
      </c>
      <c r="EH866" s="1">
        <f>(Table1[[#This Row],[predicted_2]]-Table1[[#This Row],[actual_2]])/Table1[[#This Row],[actual_2]]</f>
        <v>0.11143410852713179</v>
      </c>
      <c r="EI866" s="1">
        <f>(Table1[[#This Row],[predicted_3]]-Table1[[#This Row],[actual_3]])/Table1[[#This Row],[actual_3]]</f>
        <v>0.10594059405940594</v>
      </c>
      <c r="EJ866" s="1">
        <f>(Table1[[#This Row],[predicted_4]]-Table1[[#This Row],[actual_4]])/Table1[[#This Row],[actual_4]]</f>
        <v>-7.3319755600814662E-2</v>
      </c>
      <c r="EK866" s="1">
        <f>(Table1[[#This Row],[predicted_5]]-Table1[[#This Row],[actual_5]])/Table1[[#This Row],[actual_5]]</f>
        <v>-0.10201793721973094</v>
      </c>
      <c r="EL866" s="1">
        <f>(Table1[[#This Row],[predicted_6]]-Table1[[#This Row],[actual_6]])/Table1[[#This Row],[actual_6]]</f>
        <v>5.4279749478079335E-2</v>
      </c>
      <c r="EM866" s="1">
        <f>(Table1[[#This Row],[predicted_7]]-Table1[[#This Row],[actual_7]])/Table1[[#This Row],[actual_7]]</f>
        <v>-8.7548638132295714E-2</v>
      </c>
      <c r="EN866" s="1">
        <f>(Table1[[#This Row],[predicted_8]]-Table1[[#This Row],[actual_8]])/Table1[[#This Row],[actual_8]]</f>
        <v>-0.11396303901437371</v>
      </c>
      <c r="EO866" s="1">
        <f>(Table1[[#This Row],[predicted_9]]-Table1[[#This Row],[actual_9]])/Table1[[#This Row],[actual_9]]</f>
        <v>1.9821605550049554E-2</v>
      </c>
      <c r="EP866" s="1">
        <f>1+(Table1[[#This Row],[error_ratio_0]]-EF$2)</f>
        <v>1.0357142857142858</v>
      </c>
      <c r="EQ866" s="1">
        <f>1+(Table1[[#This Row],[error_ratio_1]]-EG$2)</f>
        <v>1.0273127753303966</v>
      </c>
      <c r="ER866" s="1">
        <f>1+(Table1[[#This Row],[error_ratio_2]]-EH$2)</f>
        <v>1.1162790697674418</v>
      </c>
      <c r="ES866" s="1">
        <f>1+(Table1[[#This Row],[error_ratio_3]]-EI$2)</f>
        <v>1.0960396039603961</v>
      </c>
      <c r="ET866" s="1">
        <f>1+(Table1[[#This Row],[error_ratio_4]]-EJ$2)</f>
        <v>0.92566191446028512</v>
      </c>
      <c r="EU866" s="1">
        <f>1+(Table1[[#This Row],[error_ratio_5]]-EK$2)</f>
        <v>0.89686098654708524</v>
      </c>
      <c r="EV866" s="1">
        <f>1+(Table1[[#This Row],[error_ratio_6]]-EL$2)</f>
        <v>1.0605427974947808</v>
      </c>
      <c r="EW866" s="1">
        <f>1+(Table1[[#This Row],[error_ratio_7]]-EM$2)</f>
        <v>0.91050583657587547</v>
      </c>
      <c r="EX866" s="1">
        <f>1+(Table1[[#This Row],[error_ratio_8]]-EN$2)</f>
        <v>0.88911704312114992</v>
      </c>
      <c r="EY866" s="1">
        <f>1+(Table1[[#This Row],[error_ratio_9]]-EO$2)</f>
        <v>1.0237859266600595</v>
      </c>
    </row>
    <row r="867" spans="1:155" x14ac:dyDescent="0.75">
      <c r="A867">
        <v>100</v>
      </c>
      <c r="B867">
        <v>10</v>
      </c>
      <c r="C867">
        <v>10</v>
      </c>
      <c r="D867">
        <v>100</v>
      </c>
      <c r="E867">
        <v>10</v>
      </c>
      <c r="F867">
        <v>10</v>
      </c>
      <c r="G867">
        <v>100</v>
      </c>
      <c r="H867">
        <v>10</v>
      </c>
      <c r="I867">
        <v>10</v>
      </c>
      <c r="J867">
        <v>10</v>
      </c>
      <c r="K867">
        <v>1056</v>
      </c>
      <c r="L867">
        <v>1104</v>
      </c>
      <c r="M867">
        <v>1019</v>
      </c>
      <c r="N867">
        <v>1217</v>
      </c>
      <c r="O867">
        <v>944</v>
      </c>
      <c r="P867">
        <v>863</v>
      </c>
      <c r="Q867">
        <v>1030</v>
      </c>
      <c r="R867">
        <v>911</v>
      </c>
      <c r="S867">
        <v>878</v>
      </c>
      <c r="T867">
        <v>978</v>
      </c>
      <c r="U867">
        <v>980</v>
      </c>
      <c r="V867">
        <v>1135</v>
      </c>
      <c r="W867">
        <v>1032</v>
      </c>
      <c r="X867">
        <v>1010</v>
      </c>
      <c r="Y867">
        <v>982</v>
      </c>
      <c r="Z867">
        <v>892</v>
      </c>
      <c r="AA867">
        <v>958</v>
      </c>
      <c r="AB867">
        <v>1028</v>
      </c>
      <c r="AC867">
        <v>974</v>
      </c>
      <c r="AD867">
        <v>1009</v>
      </c>
      <c r="AE867">
        <v>978</v>
      </c>
      <c r="AF867">
        <v>0</v>
      </c>
      <c r="AG867">
        <v>0</v>
      </c>
      <c r="AH867">
        <v>0</v>
      </c>
      <c r="AI867">
        <v>0</v>
      </c>
      <c r="AJ867">
        <v>0</v>
      </c>
      <c r="AK867">
        <v>1</v>
      </c>
      <c r="AL867">
        <v>0</v>
      </c>
      <c r="AM867">
        <v>1</v>
      </c>
      <c r="AN867">
        <v>0</v>
      </c>
      <c r="AO867">
        <v>0</v>
      </c>
      <c r="AP867">
        <v>1101</v>
      </c>
      <c r="AQ867">
        <v>4</v>
      </c>
      <c r="AR867">
        <v>9</v>
      </c>
      <c r="AS867">
        <v>0</v>
      </c>
      <c r="AT867">
        <v>3</v>
      </c>
      <c r="AU867">
        <v>7</v>
      </c>
      <c r="AV867">
        <v>0</v>
      </c>
      <c r="AW867">
        <v>10</v>
      </c>
      <c r="AX867">
        <v>1</v>
      </c>
      <c r="AY867">
        <v>13</v>
      </c>
      <c r="AZ867">
        <v>0</v>
      </c>
      <c r="BA867">
        <v>970</v>
      </c>
      <c r="BB867">
        <v>37</v>
      </c>
      <c r="BC867">
        <v>5</v>
      </c>
      <c r="BD867">
        <v>0</v>
      </c>
      <c r="BE867">
        <v>4</v>
      </c>
      <c r="BF867">
        <v>2</v>
      </c>
      <c r="BG867">
        <v>1</v>
      </c>
      <c r="BH867">
        <v>0</v>
      </c>
      <c r="BI867">
        <v>0</v>
      </c>
      <c r="BJ867">
        <v>0</v>
      </c>
      <c r="BK867">
        <v>1</v>
      </c>
      <c r="BL867">
        <v>1005</v>
      </c>
      <c r="BM867">
        <v>0</v>
      </c>
      <c r="BN867">
        <v>1</v>
      </c>
      <c r="BO867">
        <v>0</v>
      </c>
      <c r="BP867">
        <v>3</v>
      </c>
      <c r="BQ867">
        <v>0</v>
      </c>
      <c r="BR867">
        <v>0</v>
      </c>
      <c r="BS867">
        <v>8</v>
      </c>
      <c r="BT867">
        <v>0</v>
      </c>
      <c r="BU867">
        <v>0</v>
      </c>
      <c r="BV867">
        <v>1</v>
      </c>
      <c r="BW867">
        <v>925</v>
      </c>
      <c r="BX867">
        <v>0</v>
      </c>
      <c r="BY867">
        <v>35</v>
      </c>
      <c r="BZ867">
        <v>0</v>
      </c>
      <c r="CA867">
        <v>3</v>
      </c>
      <c r="CB867">
        <v>10</v>
      </c>
      <c r="CC867">
        <v>6</v>
      </c>
      <c r="CD867">
        <v>0</v>
      </c>
      <c r="CE867">
        <v>0</v>
      </c>
      <c r="CF867">
        <v>38</v>
      </c>
      <c r="CG867">
        <v>0</v>
      </c>
      <c r="CH867">
        <v>841</v>
      </c>
      <c r="CI867">
        <v>2</v>
      </c>
      <c r="CJ867">
        <v>1</v>
      </c>
      <c r="CK867">
        <v>0</v>
      </c>
      <c r="CL867">
        <v>4</v>
      </c>
      <c r="CM867">
        <v>19</v>
      </c>
      <c r="CN867">
        <v>0</v>
      </c>
      <c r="CO867">
        <v>0</v>
      </c>
      <c r="CP867">
        <v>1</v>
      </c>
      <c r="CQ867">
        <v>1</v>
      </c>
      <c r="CR867">
        <v>0</v>
      </c>
      <c r="CS867">
        <v>937</v>
      </c>
      <c r="CT867">
        <v>0</v>
      </c>
      <c r="CU867">
        <v>0</v>
      </c>
      <c r="CV867">
        <v>0</v>
      </c>
      <c r="CW867">
        <v>5</v>
      </c>
      <c r="CX867">
        <v>2</v>
      </c>
      <c r="CY867">
        <v>40</v>
      </c>
      <c r="CZ867">
        <v>71</v>
      </c>
      <c r="DA867">
        <v>3</v>
      </c>
      <c r="DB867">
        <v>0</v>
      </c>
      <c r="DC867">
        <v>1</v>
      </c>
      <c r="DD867">
        <v>888</v>
      </c>
      <c r="DE867">
        <v>5</v>
      </c>
      <c r="DF867">
        <v>13</v>
      </c>
      <c r="DG867">
        <v>14</v>
      </c>
      <c r="DH867">
        <v>0</v>
      </c>
      <c r="DI867">
        <v>4</v>
      </c>
      <c r="DJ867">
        <v>42</v>
      </c>
      <c r="DK867">
        <v>0</v>
      </c>
      <c r="DL867">
        <v>12</v>
      </c>
      <c r="DM867">
        <v>40</v>
      </c>
      <c r="DN867">
        <v>4</v>
      </c>
      <c r="DO867">
        <v>850</v>
      </c>
      <c r="DP867">
        <v>8</v>
      </c>
      <c r="DQ867">
        <v>13</v>
      </c>
      <c r="DR867">
        <v>1</v>
      </c>
      <c r="DS867">
        <v>0</v>
      </c>
      <c r="DT867">
        <v>13</v>
      </c>
      <c r="DU867">
        <v>10</v>
      </c>
      <c r="DV867">
        <v>6</v>
      </c>
      <c r="DW867">
        <v>3</v>
      </c>
      <c r="DX867">
        <v>13</v>
      </c>
      <c r="DY867">
        <v>8</v>
      </c>
      <c r="DZ867">
        <v>942</v>
      </c>
      <c r="EA867">
        <v>0.94369999999999998</v>
      </c>
      <c r="EB867">
        <v>0.947127545672934</v>
      </c>
      <c r="EC867">
        <v>0.94359356490170798</v>
      </c>
      <c r="ED867">
        <v>0.943624773878872</v>
      </c>
      <c r="EE867">
        <f>SUM(Table1[[#This Row],[ratio_0]:[ratio_9]])</f>
        <v>370</v>
      </c>
      <c r="EF867" s="1">
        <f>(Table1[[#This Row],[predicted_0]]-Table1[[#This Row],[actual_0]])/Table1[[#This Row],[actual_0]]</f>
        <v>7.7551020408163265E-2</v>
      </c>
      <c r="EG867" s="1">
        <f>(Table1[[#This Row],[predicted_1]]-Table1[[#This Row],[actual_1]])/Table1[[#This Row],[actual_1]]</f>
        <v>-2.7312775330396475E-2</v>
      </c>
      <c r="EH867" s="1">
        <f>(Table1[[#This Row],[predicted_2]]-Table1[[#This Row],[actual_2]])/Table1[[#This Row],[actual_2]]</f>
        <v>-1.2596899224806201E-2</v>
      </c>
      <c r="EI867" s="1">
        <f>(Table1[[#This Row],[predicted_3]]-Table1[[#This Row],[actual_3]])/Table1[[#This Row],[actual_3]]</f>
        <v>0.20495049504950494</v>
      </c>
      <c r="EJ867" s="1">
        <f>(Table1[[#This Row],[predicted_4]]-Table1[[#This Row],[actual_4]])/Table1[[#This Row],[actual_4]]</f>
        <v>-3.8696537678207736E-2</v>
      </c>
      <c r="EK867" s="1">
        <f>(Table1[[#This Row],[predicted_5]]-Table1[[#This Row],[actual_5]])/Table1[[#This Row],[actual_5]]</f>
        <v>-3.2511210762331835E-2</v>
      </c>
      <c r="EL867" s="1">
        <f>(Table1[[#This Row],[predicted_6]]-Table1[[#This Row],[actual_6]])/Table1[[#This Row],[actual_6]]</f>
        <v>7.5156576200417533E-2</v>
      </c>
      <c r="EM867" s="1">
        <f>(Table1[[#This Row],[predicted_7]]-Table1[[#This Row],[actual_7]])/Table1[[#This Row],[actual_7]]</f>
        <v>-0.11381322957198443</v>
      </c>
      <c r="EN867" s="1">
        <f>(Table1[[#This Row],[predicted_8]]-Table1[[#This Row],[actual_8]])/Table1[[#This Row],[actual_8]]</f>
        <v>-9.856262833675565E-2</v>
      </c>
      <c r="EO867" s="1">
        <f>(Table1[[#This Row],[predicted_9]]-Table1[[#This Row],[actual_9]])/Table1[[#This Row],[actual_9]]</f>
        <v>-3.0723488602576808E-2</v>
      </c>
      <c r="EP867" s="1">
        <f>1+(Table1[[#This Row],[error_ratio_0]]-EF$2)</f>
        <v>1.0755102040816327</v>
      </c>
      <c r="EQ867" s="1">
        <f>1+(Table1[[#This Row],[error_ratio_1]]-EG$2)</f>
        <v>0.97092511013215854</v>
      </c>
      <c r="ER867" s="1">
        <f>1+(Table1[[#This Row],[error_ratio_2]]-EH$2)</f>
        <v>0.99224806201550386</v>
      </c>
      <c r="ES867" s="1">
        <f>1+(Table1[[#This Row],[error_ratio_3]]-EI$2)</f>
        <v>1.195049504950495</v>
      </c>
      <c r="ET867" s="1">
        <f>1+(Table1[[#This Row],[error_ratio_4]]-EJ$2)</f>
        <v>0.96028513238289204</v>
      </c>
      <c r="EU867" s="1">
        <f>1+(Table1[[#This Row],[error_ratio_5]]-EK$2)</f>
        <v>0.96636771300448432</v>
      </c>
      <c r="EV867" s="1">
        <f>1+(Table1[[#This Row],[error_ratio_6]]-EL$2)</f>
        <v>1.081419624217119</v>
      </c>
      <c r="EW867" s="1">
        <f>1+(Table1[[#This Row],[error_ratio_7]]-EM$2)</f>
        <v>0.88424124513618674</v>
      </c>
      <c r="EX867" s="1">
        <f>1+(Table1[[#This Row],[error_ratio_8]]-EN$2)</f>
        <v>0.90451745379876791</v>
      </c>
      <c r="EY867" s="1">
        <f>1+(Table1[[#This Row],[error_ratio_9]]-EO$2)</f>
        <v>0.9732408325074331</v>
      </c>
    </row>
    <row r="868" spans="1:155" x14ac:dyDescent="0.75">
      <c r="A868">
        <v>100</v>
      </c>
      <c r="B868">
        <v>100</v>
      </c>
      <c r="C868">
        <v>100</v>
      </c>
      <c r="D868">
        <v>10</v>
      </c>
      <c r="E868">
        <v>10</v>
      </c>
      <c r="F868">
        <v>10</v>
      </c>
      <c r="G868">
        <v>100</v>
      </c>
      <c r="H868">
        <v>10</v>
      </c>
      <c r="I868">
        <v>10</v>
      </c>
      <c r="J868">
        <v>10</v>
      </c>
      <c r="K868">
        <v>1062</v>
      </c>
      <c r="L868">
        <v>1181</v>
      </c>
      <c r="M868">
        <v>1108</v>
      </c>
      <c r="N868">
        <v>948</v>
      </c>
      <c r="O868">
        <v>929</v>
      </c>
      <c r="P868">
        <v>821</v>
      </c>
      <c r="Q868">
        <v>971</v>
      </c>
      <c r="R868">
        <v>997</v>
      </c>
      <c r="S868">
        <v>991</v>
      </c>
      <c r="T868">
        <v>992</v>
      </c>
      <c r="U868">
        <v>980</v>
      </c>
      <c r="V868">
        <v>1135</v>
      </c>
      <c r="W868">
        <v>1032</v>
      </c>
      <c r="X868">
        <v>1010</v>
      </c>
      <c r="Y868">
        <v>982</v>
      </c>
      <c r="Z868">
        <v>892</v>
      </c>
      <c r="AA868">
        <v>958</v>
      </c>
      <c r="AB868">
        <v>1028</v>
      </c>
      <c r="AC868">
        <v>974</v>
      </c>
      <c r="AD868">
        <v>1009</v>
      </c>
      <c r="AE868">
        <v>977</v>
      </c>
      <c r="AF868">
        <v>0</v>
      </c>
      <c r="AG868">
        <v>0</v>
      </c>
      <c r="AH868">
        <v>0</v>
      </c>
      <c r="AI868">
        <v>0</v>
      </c>
      <c r="AJ868">
        <v>0</v>
      </c>
      <c r="AK868">
        <v>1</v>
      </c>
      <c r="AL868">
        <v>1</v>
      </c>
      <c r="AM868">
        <v>1</v>
      </c>
      <c r="AN868">
        <v>0</v>
      </c>
      <c r="AO868">
        <v>0</v>
      </c>
      <c r="AP868">
        <v>1133</v>
      </c>
      <c r="AQ868">
        <v>2</v>
      </c>
      <c r="AR868">
        <v>0</v>
      </c>
      <c r="AS868">
        <v>0</v>
      </c>
      <c r="AT868">
        <v>0</v>
      </c>
      <c r="AU868">
        <v>0</v>
      </c>
      <c r="AV868">
        <v>0</v>
      </c>
      <c r="AW868">
        <v>0</v>
      </c>
      <c r="AX868">
        <v>0</v>
      </c>
      <c r="AY868">
        <v>3</v>
      </c>
      <c r="AZ868">
        <v>3</v>
      </c>
      <c r="BA868">
        <v>1025</v>
      </c>
      <c r="BB868">
        <v>0</v>
      </c>
      <c r="BC868">
        <v>0</v>
      </c>
      <c r="BD868">
        <v>0</v>
      </c>
      <c r="BE868">
        <v>0</v>
      </c>
      <c r="BF868">
        <v>1</v>
      </c>
      <c r="BG868">
        <v>0</v>
      </c>
      <c r="BH868">
        <v>0</v>
      </c>
      <c r="BI868">
        <v>0</v>
      </c>
      <c r="BJ868">
        <v>1</v>
      </c>
      <c r="BK868">
        <v>23</v>
      </c>
      <c r="BL868">
        <v>936</v>
      </c>
      <c r="BM868">
        <v>1</v>
      </c>
      <c r="BN868">
        <v>14</v>
      </c>
      <c r="BO868">
        <v>0</v>
      </c>
      <c r="BP868">
        <v>10</v>
      </c>
      <c r="BQ868">
        <v>18</v>
      </c>
      <c r="BR868">
        <v>7</v>
      </c>
      <c r="BS868">
        <v>11</v>
      </c>
      <c r="BT868">
        <v>14</v>
      </c>
      <c r="BU868">
        <v>4</v>
      </c>
      <c r="BV868">
        <v>0</v>
      </c>
      <c r="BW868">
        <v>906</v>
      </c>
      <c r="BX868">
        <v>0</v>
      </c>
      <c r="BY868">
        <v>9</v>
      </c>
      <c r="BZ868">
        <v>0</v>
      </c>
      <c r="CA868">
        <v>8</v>
      </c>
      <c r="CB868">
        <v>30</v>
      </c>
      <c r="CC868">
        <v>13</v>
      </c>
      <c r="CD868">
        <v>2</v>
      </c>
      <c r="CE868">
        <v>5</v>
      </c>
      <c r="CF868">
        <v>9</v>
      </c>
      <c r="CG868">
        <v>0</v>
      </c>
      <c r="CH868">
        <v>799</v>
      </c>
      <c r="CI868">
        <v>20</v>
      </c>
      <c r="CJ868">
        <v>5</v>
      </c>
      <c r="CK868">
        <v>32</v>
      </c>
      <c r="CL868">
        <v>7</v>
      </c>
      <c r="CM868">
        <v>11</v>
      </c>
      <c r="CN868">
        <v>4</v>
      </c>
      <c r="CO868">
        <v>1</v>
      </c>
      <c r="CP868">
        <v>0</v>
      </c>
      <c r="CQ868">
        <v>1</v>
      </c>
      <c r="CR868">
        <v>1</v>
      </c>
      <c r="CS868">
        <v>939</v>
      </c>
      <c r="CT868">
        <v>0</v>
      </c>
      <c r="CU868">
        <v>1</v>
      </c>
      <c r="CV868">
        <v>0</v>
      </c>
      <c r="CW868">
        <v>7</v>
      </c>
      <c r="CX868">
        <v>11</v>
      </c>
      <c r="CY868">
        <v>40</v>
      </c>
      <c r="CZ868">
        <v>0</v>
      </c>
      <c r="DA868">
        <v>0</v>
      </c>
      <c r="DB868">
        <v>0</v>
      </c>
      <c r="DC868">
        <v>0</v>
      </c>
      <c r="DD868">
        <v>964</v>
      </c>
      <c r="DE868">
        <v>1</v>
      </c>
      <c r="DF868">
        <v>5</v>
      </c>
      <c r="DG868">
        <v>31</v>
      </c>
      <c r="DH868">
        <v>1</v>
      </c>
      <c r="DI868">
        <v>5</v>
      </c>
      <c r="DJ868">
        <v>2</v>
      </c>
      <c r="DK868">
        <v>5</v>
      </c>
      <c r="DL868">
        <v>0</v>
      </c>
      <c r="DM868">
        <v>2</v>
      </c>
      <c r="DN868">
        <v>5</v>
      </c>
      <c r="DO868">
        <v>922</v>
      </c>
      <c r="DP868">
        <v>1</v>
      </c>
      <c r="DQ868">
        <v>9</v>
      </c>
      <c r="DR868">
        <v>12</v>
      </c>
      <c r="DS868">
        <v>3</v>
      </c>
      <c r="DT868">
        <v>1</v>
      </c>
      <c r="DU868">
        <v>16</v>
      </c>
      <c r="DV868">
        <v>7</v>
      </c>
      <c r="DW868">
        <v>0</v>
      </c>
      <c r="DX868">
        <v>11</v>
      </c>
      <c r="DY868">
        <v>8</v>
      </c>
      <c r="DZ868">
        <v>942</v>
      </c>
      <c r="EA868">
        <v>0.95430000000000004</v>
      </c>
      <c r="EB868">
        <v>0.95541115648071395</v>
      </c>
      <c r="EC868">
        <v>0.95315929597946503</v>
      </c>
      <c r="ED868">
        <v>0.95360104064614204</v>
      </c>
      <c r="EE868">
        <f>SUM(Table1[[#This Row],[ratio_0]:[ratio_9]])</f>
        <v>460</v>
      </c>
      <c r="EF868" s="1">
        <f>(Table1[[#This Row],[predicted_0]]-Table1[[#This Row],[actual_0]])/Table1[[#This Row],[actual_0]]</f>
        <v>8.3673469387755106E-2</v>
      </c>
      <c r="EG868" s="1">
        <f>(Table1[[#This Row],[predicted_1]]-Table1[[#This Row],[actual_1]])/Table1[[#This Row],[actual_1]]</f>
        <v>4.0528634361233482E-2</v>
      </c>
      <c r="EH868" s="1">
        <f>(Table1[[#This Row],[predicted_2]]-Table1[[#This Row],[actual_2]])/Table1[[#This Row],[actual_2]]</f>
        <v>7.3643410852713184E-2</v>
      </c>
      <c r="EI868" s="1">
        <f>(Table1[[#This Row],[predicted_3]]-Table1[[#This Row],[actual_3]])/Table1[[#This Row],[actual_3]]</f>
        <v>-6.1386138613861385E-2</v>
      </c>
      <c r="EJ868" s="1">
        <f>(Table1[[#This Row],[predicted_4]]-Table1[[#This Row],[actual_4]])/Table1[[#This Row],[actual_4]]</f>
        <v>-5.3971486761710798E-2</v>
      </c>
      <c r="EK868" s="1">
        <f>(Table1[[#This Row],[predicted_5]]-Table1[[#This Row],[actual_5]])/Table1[[#This Row],[actual_5]]</f>
        <v>-7.9596412556053805E-2</v>
      </c>
      <c r="EL868" s="1">
        <f>(Table1[[#This Row],[predicted_6]]-Table1[[#This Row],[actual_6]])/Table1[[#This Row],[actual_6]]</f>
        <v>1.3569937369519834E-2</v>
      </c>
      <c r="EM868" s="1">
        <f>(Table1[[#This Row],[predicted_7]]-Table1[[#This Row],[actual_7]])/Table1[[#This Row],[actual_7]]</f>
        <v>-3.0155642023346304E-2</v>
      </c>
      <c r="EN868" s="1">
        <f>(Table1[[#This Row],[predicted_8]]-Table1[[#This Row],[actual_8]])/Table1[[#This Row],[actual_8]]</f>
        <v>1.7453798767967144E-2</v>
      </c>
      <c r="EO868" s="1">
        <f>(Table1[[#This Row],[predicted_9]]-Table1[[#This Row],[actual_9]])/Table1[[#This Row],[actual_9]]</f>
        <v>-1.6848364717542121E-2</v>
      </c>
      <c r="EP868" s="1">
        <f>1+(Table1[[#This Row],[error_ratio_0]]-EF$2)</f>
        <v>1.0816326530612246</v>
      </c>
      <c r="EQ868" s="1">
        <f>1+(Table1[[#This Row],[error_ratio_1]]-EG$2)</f>
        <v>1.0387665198237885</v>
      </c>
      <c r="ER868" s="1">
        <f>1+(Table1[[#This Row],[error_ratio_2]]-EH$2)</f>
        <v>1.0784883720930232</v>
      </c>
      <c r="ES868" s="1">
        <f>1+(Table1[[#This Row],[error_ratio_3]]-EI$2)</f>
        <v>0.92871287128712876</v>
      </c>
      <c r="ET868" s="1">
        <f>1+(Table1[[#This Row],[error_ratio_4]]-EJ$2)</f>
        <v>0.94501018329938902</v>
      </c>
      <c r="EU868" s="1">
        <f>1+(Table1[[#This Row],[error_ratio_5]]-EK$2)</f>
        <v>0.91928251121076232</v>
      </c>
      <c r="EV868" s="1">
        <f>1+(Table1[[#This Row],[error_ratio_6]]-EL$2)</f>
        <v>1.0198329853862214</v>
      </c>
      <c r="EW868" s="1">
        <f>1+(Table1[[#This Row],[error_ratio_7]]-EM$2)</f>
        <v>0.96789883268482491</v>
      </c>
      <c r="EX868" s="1">
        <f>1+(Table1[[#This Row],[error_ratio_8]]-EN$2)</f>
        <v>1.0205338809034907</v>
      </c>
      <c r="EY868" s="1">
        <f>1+(Table1[[#This Row],[error_ratio_9]]-EO$2)</f>
        <v>0.98711595639246774</v>
      </c>
    </row>
    <row r="869" spans="1:155" x14ac:dyDescent="0.75">
      <c r="A869">
        <v>10</v>
      </c>
      <c r="B869">
        <v>100</v>
      </c>
      <c r="C869">
        <v>100</v>
      </c>
      <c r="D869">
        <v>10</v>
      </c>
      <c r="E869">
        <v>10</v>
      </c>
      <c r="F869">
        <v>10</v>
      </c>
      <c r="G869">
        <v>100</v>
      </c>
      <c r="H869">
        <v>10</v>
      </c>
      <c r="I869">
        <v>10</v>
      </c>
      <c r="J869">
        <v>10</v>
      </c>
      <c r="K869">
        <v>970</v>
      </c>
      <c r="L869">
        <v>1157</v>
      </c>
      <c r="M869">
        <v>1150</v>
      </c>
      <c r="N869">
        <v>950</v>
      </c>
      <c r="O869">
        <v>952</v>
      </c>
      <c r="P869">
        <v>829</v>
      </c>
      <c r="Q869">
        <v>980</v>
      </c>
      <c r="R869">
        <v>1022</v>
      </c>
      <c r="S869">
        <v>904</v>
      </c>
      <c r="T869">
        <v>1086</v>
      </c>
      <c r="U869">
        <v>980</v>
      </c>
      <c r="V869">
        <v>1135</v>
      </c>
      <c r="W869">
        <v>1032</v>
      </c>
      <c r="X869">
        <v>1010</v>
      </c>
      <c r="Y869">
        <v>982</v>
      </c>
      <c r="Z869">
        <v>892</v>
      </c>
      <c r="AA869">
        <v>958</v>
      </c>
      <c r="AB869">
        <v>1028</v>
      </c>
      <c r="AC869">
        <v>974</v>
      </c>
      <c r="AD869">
        <v>1009</v>
      </c>
      <c r="AE869">
        <v>952</v>
      </c>
      <c r="AF869">
        <v>1</v>
      </c>
      <c r="AG869">
        <v>12</v>
      </c>
      <c r="AH869">
        <v>0</v>
      </c>
      <c r="AI869">
        <v>0</v>
      </c>
      <c r="AJ869">
        <v>1</v>
      </c>
      <c r="AK869">
        <v>7</v>
      </c>
      <c r="AL869">
        <v>3</v>
      </c>
      <c r="AM869">
        <v>2</v>
      </c>
      <c r="AN869">
        <v>2</v>
      </c>
      <c r="AO869">
        <v>0</v>
      </c>
      <c r="AP869">
        <v>1132</v>
      </c>
      <c r="AQ869">
        <v>0</v>
      </c>
      <c r="AR869">
        <v>0</v>
      </c>
      <c r="AS869">
        <v>1</v>
      </c>
      <c r="AT869">
        <v>0</v>
      </c>
      <c r="AU869">
        <v>2</v>
      </c>
      <c r="AV869">
        <v>0</v>
      </c>
      <c r="AW869">
        <v>0</v>
      </c>
      <c r="AX869">
        <v>0</v>
      </c>
      <c r="AY869">
        <v>0</v>
      </c>
      <c r="AZ869">
        <v>2</v>
      </c>
      <c r="BA869">
        <v>1025</v>
      </c>
      <c r="BB869">
        <v>0</v>
      </c>
      <c r="BC869">
        <v>0</v>
      </c>
      <c r="BD869">
        <v>0</v>
      </c>
      <c r="BE869">
        <v>0</v>
      </c>
      <c r="BF869">
        <v>5</v>
      </c>
      <c r="BG869">
        <v>0</v>
      </c>
      <c r="BH869">
        <v>0</v>
      </c>
      <c r="BI869">
        <v>0</v>
      </c>
      <c r="BJ869">
        <v>2</v>
      </c>
      <c r="BK869">
        <v>38</v>
      </c>
      <c r="BL869">
        <v>934</v>
      </c>
      <c r="BM869">
        <v>1</v>
      </c>
      <c r="BN869">
        <v>6</v>
      </c>
      <c r="BO869">
        <v>0</v>
      </c>
      <c r="BP869">
        <v>12</v>
      </c>
      <c r="BQ869">
        <v>3</v>
      </c>
      <c r="BR869">
        <v>14</v>
      </c>
      <c r="BS869">
        <v>1</v>
      </c>
      <c r="BT869">
        <v>1</v>
      </c>
      <c r="BU869">
        <v>5</v>
      </c>
      <c r="BV869">
        <v>0</v>
      </c>
      <c r="BW869">
        <v>934</v>
      </c>
      <c r="BX869">
        <v>0</v>
      </c>
      <c r="BY869">
        <v>3</v>
      </c>
      <c r="BZ869">
        <v>1</v>
      </c>
      <c r="CA869">
        <v>0</v>
      </c>
      <c r="CB869">
        <v>37</v>
      </c>
      <c r="CC869">
        <v>4</v>
      </c>
      <c r="CD869">
        <v>0</v>
      </c>
      <c r="CE869">
        <v>15</v>
      </c>
      <c r="CF869">
        <v>11</v>
      </c>
      <c r="CG869">
        <v>0</v>
      </c>
      <c r="CH869">
        <v>819</v>
      </c>
      <c r="CI869">
        <v>14</v>
      </c>
      <c r="CJ869">
        <v>7</v>
      </c>
      <c r="CK869">
        <v>9</v>
      </c>
      <c r="CL869">
        <v>13</v>
      </c>
      <c r="CM869">
        <v>3</v>
      </c>
      <c r="CN869">
        <v>2</v>
      </c>
      <c r="CO869">
        <v>0</v>
      </c>
      <c r="CP869">
        <v>0</v>
      </c>
      <c r="CQ869">
        <v>5</v>
      </c>
      <c r="CR869">
        <v>1</v>
      </c>
      <c r="CS869">
        <v>947</v>
      </c>
      <c r="CT869">
        <v>0</v>
      </c>
      <c r="CU869">
        <v>0</v>
      </c>
      <c r="CV869">
        <v>0</v>
      </c>
      <c r="CW869">
        <v>1</v>
      </c>
      <c r="CX869">
        <v>11</v>
      </c>
      <c r="CY869">
        <v>19</v>
      </c>
      <c r="CZ869">
        <v>0</v>
      </c>
      <c r="DA869">
        <v>0</v>
      </c>
      <c r="DB869">
        <v>0</v>
      </c>
      <c r="DC869">
        <v>0</v>
      </c>
      <c r="DD869">
        <v>982</v>
      </c>
      <c r="DE869">
        <v>0</v>
      </c>
      <c r="DF869">
        <v>15</v>
      </c>
      <c r="DG869">
        <v>7</v>
      </c>
      <c r="DH869">
        <v>2</v>
      </c>
      <c r="DI869">
        <v>33</v>
      </c>
      <c r="DJ869">
        <v>3</v>
      </c>
      <c r="DK869">
        <v>9</v>
      </c>
      <c r="DL869">
        <v>1</v>
      </c>
      <c r="DM869">
        <v>7</v>
      </c>
      <c r="DN869">
        <v>8</v>
      </c>
      <c r="DO869">
        <v>890</v>
      </c>
      <c r="DP869">
        <v>14</v>
      </c>
      <c r="DQ869">
        <v>2</v>
      </c>
      <c r="DR869">
        <v>4</v>
      </c>
      <c r="DS869">
        <v>3</v>
      </c>
      <c r="DT869">
        <v>2</v>
      </c>
      <c r="DU869">
        <v>2</v>
      </c>
      <c r="DV869">
        <v>1</v>
      </c>
      <c r="DW869">
        <v>0</v>
      </c>
      <c r="DX869">
        <v>4</v>
      </c>
      <c r="DY869">
        <v>0</v>
      </c>
      <c r="DZ869">
        <v>991</v>
      </c>
      <c r="EA869">
        <v>0.96060000000000001</v>
      </c>
      <c r="EB869">
        <v>0.96275515284112301</v>
      </c>
      <c r="EC869">
        <v>0.95957254458448005</v>
      </c>
      <c r="ED869">
        <v>0.96036300203538305</v>
      </c>
      <c r="EE869">
        <f>SUM(Table1[[#This Row],[ratio_0]:[ratio_9]])</f>
        <v>370</v>
      </c>
      <c r="EF869" s="1">
        <f>(Table1[[#This Row],[predicted_0]]-Table1[[#This Row],[actual_0]])/Table1[[#This Row],[actual_0]]</f>
        <v>-1.020408163265306E-2</v>
      </c>
      <c r="EG869" s="1">
        <f>(Table1[[#This Row],[predicted_1]]-Table1[[#This Row],[actual_1]])/Table1[[#This Row],[actual_1]]</f>
        <v>1.9383259911894272E-2</v>
      </c>
      <c r="EH869" s="1">
        <f>(Table1[[#This Row],[predicted_2]]-Table1[[#This Row],[actual_2]])/Table1[[#This Row],[actual_2]]</f>
        <v>0.11434108527131782</v>
      </c>
      <c r="EI869" s="1">
        <f>(Table1[[#This Row],[predicted_3]]-Table1[[#This Row],[actual_3]])/Table1[[#This Row],[actual_3]]</f>
        <v>-5.9405940594059403E-2</v>
      </c>
      <c r="EJ869" s="1">
        <f>(Table1[[#This Row],[predicted_4]]-Table1[[#This Row],[actual_4]])/Table1[[#This Row],[actual_4]]</f>
        <v>-3.0549898167006109E-2</v>
      </c>
      <c r="EK869" s="1">
        <f>(Table1[[#This Row],[predicted_5]]-Table1[[#This Row],[actual_5]])/Table1[[#This Row],[actual_5]]</f>
        <v>-7.0627802690582955E-2</v>
      </c>
      <c r="EL869" s="1">
        <f>(Table1[[#This Row],[predicted_6]]-Table1[[#This Row],[actual_6]])/Table1[[#This Row],[actual_6]]</f>
        <v>2.2964509394572025E-2</v>
      </c>
      <c r="EM869" s="1">
        <f>(Table1[[#This Row],[predicted_7]]-Table1[[#This Row],[actual_7]])/Table1[[#This Row],[actual_7]]</f>
        <v>-5.8365758754863814E-3</v>
      </c>
      <c r="EN869" s="1">
        <f>(Table1[[#This Row],[predicted_8]]-Table1[[#This Row],[actual_8]])/Table1[[#This Row],[actual_8]]</f>
        <v>-7.1868583162217656E-2</v>
      </c>
      <c r="EO869" s="1">
        <f>(Table1[[#This Row],[predicted_9]]-Table1[[#This Row],[actual_9]])/Table1[[#This Row],[actual_9]]</f>
        <v>7.6313181367690788E-2</v>
      </c>
      <c r="EP869" s="1">
        <f>1+(Table1[[#This Row],[error_ratio_0]]-EF$2)</f>
        <v>0.98775510204081629</v>
      </c>
      <c r="EQ869" s="1">
        <f>1+(Table1[[#This Row],[error_ratio_1]]-EG$2)</f>
        <v>1.0176211453744493</v>
      </c>
      <c r="ER869" s="1">
        <f>1+(Table1[[#This Row],[error_ratio_2]]-EH$2)</f>
        <v>1.1191860465116279</v>
      </c>
      <c r="ES869" s="1">
        <f>1+(Table1[[#This Row],[error_ratio_3]]-EI$2)</f>
        <v>0.93069306930693074</v>
      </c>
      <c r="ET869" s="1">
        <f>1+(Table1[[#This Row],[error_ratio_4]]-EJ$2)</f>
        <v>0.96843177189409368</v>
      </c>
      <c r="EU869" s="1">
        <f>1+(Table1[[#This Row],[error_ratio_5]]-EK$2)</f>
        <v>0.9282511210762332</v>
      </c>
      <c r="EV869" s="1">
        <f>1+(Table1[[#This Row],[error_ratio_6]]-EL$2)</f>
        <v>1.0292275574112735</v>
      </c>
      <c r="EW869" s="1">
        <f>1+(Table1[[#This Row],[error_ratio_7]]-EM$2)</f>
        <v>0.99221789883268485</v>
      </c>
      <c r="EX869" s="1">
        <f>1+(Table1[[#This Row],[error_ratio_8]]-EN$2)</f>
        <v>0.93121149897330602</v>
      </c>
      <c r="EY869" s="1">
        <f>1+(Table1[[#This Row],[error_ratio_9]]-EO$2)</f>
        <v>1.0802775024777007</v>
      </c>
    </row>
    <row r="870" spans="1:155" x14ac:dyDescent="0.75">
      <c r="A870">
        <v>100</v>
      </c>
      <c r="B870">
        <v>10</v>
      </c>
      <c r="C870">
        <v>100</v>
      </c>
      <c r="D870">
        <v>10</v>
      </c>
      <c r="E870">
        <v>10</v>
      </c>
      <c r="F870">
        <v>10</v>
      </c>
      <c r="G870">
        <v>100</v>
      </c>
      <c r="H870">
        <v>10</v>
      </c>
      <c r="I870">
        <v>10</v>
      </c>
      <c r="J870">
        <v>10</v>
      </c>
      <c r="K870">
        <v>1029</v>
      </c>
      <c r="L870">
        <v>1140</v>
      </c>
      <c r="M870">
        <v>1128</v>
      </c>
      <c r="N870">
        <v>983</v>
      </c>
      <c r="O870">
        <v>968</v>
      </c>
      <c r="P870">
        <v>903</v>
      </c>
      <c r="Q870">
        <v>1013</v>
      </c>
      <c r="R870">
        <v>969</v>
      </c>
      <c r="S870">
        <v>858</v>
      </c>
      <c r="T870">
        <v>1009</v>
      </c>
      <c r="U870">
        <v>980</v>
      </c>
      <c r="V870">
        <v>1135</v>
      </c>
      <c r="W870">
        <v>1032</v>
      </c>
      <c r="X870">
        <v>1010</v>
      </c>
      <c r="Y870">
        <v>982</v>
      </c>
      <c r="Z870">
        <v>892</v>
      </c>
      <c r="AA870">
        <v>958</v>
      </c>
      <c r="AB870">
        <v>1028</v>
      </c>
      <c r="AC870">
        <v>974</v>
      </c>
      <c r="AD870">
        <v>1009</v>
      </c>
      <c r="AE870">
        <v>976</v>
      </c>
      <c r="AF870">
        <v>0</v>
      </c>
      <c r="AG870">
        <v>2</v>
      </c>
      <c r="AH870">
        <v>0</v>
      </c>
      <c r="AI870">
        <v>0</v>
      </c>
      <c r="AJ870">
        <v>0</v>
      </c>
      <c r="AK870">
        <v>0</v>
      </c>
      <c r="AL870">
        <v>1</v>
      </c>
      <c r="AM870">
        <v>1</v>
      </c>
      <c r="AN870">
        <v>0</v>
      </c>
      <c r="AO870">
        <v>1</v>
      </c>
      <c r="AP870">
        <v>1123</v>
      </c>
      <c r="AQ870">
        <v>1</v>
      </c>
      <c r="AR870">
        <v>2</v>
      </c>
      <c r="AS870">
        <v>0</v>
      </c>
      <c r="AT870">
        <v>1</v>
      </c>
      <c r="AU870">
        <v>6</v>
      </c>
      <c r="AV870">
        <v>0</v>
      </c>
      <c r="AW870">
        <v>1</v>
      </c>
      <c r="AX870">
        <v>0</v>
      </c>
      <c r="AY870">
        <v>2</v>
      </c>
      <c r="AZ870">
        <v>2</v>
      </c>
      <c r="BA870">
        <v>1022</v>
      </c>
      <c r="BB870">
        <v>2</v>
      </c>
      <c r="BC870">
        <v>0</v>
      </c>
      <c r="BD870">
        <v>0</v>
      </c>
      <c r="BE870">
        <v>0</v>
      </c>
      <c r="BF870">
        <v>4</v>
      </c>
      <c r="BG870">
        <v>0</v>
      </c>
      <c r="BH870">
        <v>0</v>
      </c>
      <c r="BI870">
        <v>3</v>
      </c>
      <c r="BJ870">
        <v>0</v>
      </c>
      <c r="BK870">
        <v>13</v>
      </c>
      <c r="BL870">
        <v>947</v>
      </c>
      <c r="BM870">
        <v>1</v>
      </c>
      <c r="BN870">
        <v>28</v>
      </c>
      <c r="BO870">
        <v>1</v>
      </c>
      <c r="BP870">
        <v>5</v>
      </c>
      <c r="BQ870">
        <v>5</v>
      </c>
      <c r="BR870">
        <v>7</v>
      </c>
      <c r="BS870">
        <v>2</v>
      </c>
      <c r="BT870">
        <v>0</v>
      </c>
      <c r="BU870">
        <v>9</v>
      </c>
      <c r="BV870">
        <v>0</v>
      </c>
      <c r="BW870">
        <v>951</v>
      </c>
      <c r="BX870">
        <v>0</v>
      </c>
      <c r="BY870">
        <v>5</v>
      </c>
      <c r="BZ870">
        <v>1</v>
      </c>
      <c r="CA870">
        <v>2</v>
      </c>
      <c r="CB870">
        <v>12</v>
      </c>
      <c r="CC870">
        <v>4</v>
      </c>
      <c r="CD870">
        <v>0</v>
      </c>
      <c r="CE870">
        <v>6</v>
      </c>
      <c r="CF870">
        <v>2</v>
      </c>
      <c r="CG870">
        <v>1</v>
      </c>
      <c r="CH870">
        <v>852</v>
      </c>
      <c r="CI870">
        <v>12</v>
      </c>
      <c r="CJ870">
        <v>1</v>
      </c>
      <c r="CK870">
        <v>12</v>
      </c>
      <c r="CL870">
        <v>2</v>
      </c>
      <c r="CM870">
        <v>6</v>
      </c>
      <c r="CN870">
        <v>2</v>
      </c>
      <c r="CO870">
        <v>2</v>
      </c>
      <c r="CP870">
        <v>0</v>
      </c>
      <c r="CQ870">
        <v>1</v>
      </c>
      <c r="CR870">
        <v>0</v>
      </c>
      <c r="CS870">
        <v>947</v>
      </c>
      <c r="CT870">
        <v>0</v>
      </c>
      <c r="CU870">
        <v>0</v>
      </c>
      <c r="CV870">
        <v>0</v>
      </c>
      <c r="CW870">
        <v>3</v>
      </c>
      <c r="CX870">
        <v>7</v>
      </c>
      <c r="CY870">
        <v>42</v>
      </c>
      <c r="CZ870">
        <v>8</v>
      </c>
      <c r="DA870">
        <v>2</v>
      </c>
      <c r="DB870">
        <v>1</v>
      </c>
      <c r="DC870">
        <v>0</v>
      </c>
      <c r="DD870">
        <v>951</v>
      </c>
      <c r="DE870">
        <v>1</v>
      </c>
      <c r="DF870">
        <v>13</v>
      </c>
      <c r="DG870">
        <v>26</v>
      </c>
      <c r="DH870">
        <v>1</v>
      </c>
      <c r="DI870">
        <v>27</v>
      </c>
      <c r="DJ870">
        <v>15</v>
      </c>
      <c r="DK870">
        <v>4</v>
      </c>
      <c r="DL870">
        <v>15</v>
      </c>
      <c r="DM870">
        <v>41</v>
      </c>
      <c r="DN870">
        <v>3</v>
      </c>
      <c r="DO870">
        <v>834</v>
      </c>
      <c r="DP870">
        <v>8</v>
      </c>
      <c r="DQ870">
        <v>6</v>
      </c>
      <c r="DR870">
        <v>5</v>
      </c>
      <c r="DS870">
        <v>4</v>
      </c>
      <c r="DT870">
        <v>7</v>
      </c>
      <c r="DU870">
        <v>8</v>
      </c>
      <c r="DV870">
        <v>6</v>
      </c>
      <c r="DW870">
        <v>1</v>
      </c>
      <c r="DX870">
        <v>3</v>
      </c>
      <c r="DY870">
        <v>2</v>
      </c>
      <c r="DZ870">
        <v>967</v>
      </c>
      <c r="EA870">
        <v>0.95699999999999996</v>
      </c>
      <c r="EB870">
        <v>0.95756205366875302</v>
      </c>
      <c r="EC870">
        <v>0.95651207261723903</v>
      </c>
      <c r="ED870">
        <v>0.95624082539895505</v>
      </c>
      <c r="EE870">
        <f>SUM(Table1[[#This Row],[ratio_0]:[ratio_9]])</f>
        <v>370</v>
      </c>
      <c r="EF870" s="1">
        <f>(Table1[[#This Row],[predicted_0]]-Table1[[#This Row],[actual_0]])/Table1[[#This Row],[actual_0]]</f>
        <v>0.05</v>
      </c>
      <c r="EG870" s="1">
        <f>(Table1[[#This Row],[predicted_1]]-Table1[[#This Row],[actual_1]])/Table1[[#This Row],[actual_1]]</f>
        <v>4.4052863436123352E-3</v>
      </c>
      <c r="EH870" s="1">
        <f>(Table1[[#This Row],[predicted_2]]-Table1[[#This Row],[actual_2]])/Table1[[#This Row],[actual_2]]</f>
        <v>9.3023255813953487E-2</v>
      </c>
      <c r="EI870" s="1">
        <f>(Table1[[#This Row],[predicted_3]]-Table1[[#This Row],[actual_3]])/Table1[[#This Row],[actual_3]]</f>
        <v>-2.6732673267326732E-2</v>
      </c>
      <c r="EJ870" s="1">
        <f>(Table1[[#This Row],[predicted_4]]-Table1[[#This Row],[actual_4]])/Table1[[#This Row],[actual_4]]</f>
        <v>-1.4256619144602852E-2</v>
      </c>
      <c r="EK870" s="1">
        <f>(Table1[[#This Row],[predicted_5]]-Table1[[#This Row],[actual_5]])/Table1[[#This Row],[actual_5]]</f>
        <v>1.2331838565022421E-2</v>
      </c>
      <c r="EL870" s="1">
        <f>(Table1[[#This Row],[predicted_6]]-Table1[[#This Row],[actual_6]])/Table1[[#This Row],[actual_6]]</f>
        <v>5.7411273486430062E-2</v>
      </c>
      <c r="EM870" s="1">
        <f>(Table1[[#This Row],[predicted_7]]-Table1[[#This Row],[actual_7]])/Table1[[#This Row],[actual_7]]</f>
        <v>-5.7392996108949414E-2</v>
      </c>
      <c r="EN870" s="1">
        <f>(Table1[[#This Row],[predicted_8]]-Table1[[#This Row],[actual_8]])/Table1[[#This Row],[actual_8]]</f>
        <v>-0.11909650924024641</v>
      </c>
      <c r="EO870" s="1">
        <f>(Table1[[#This Row],[predicted_9]]-Table1[[#This Row],[actual_9]])/Table1[[#This Row],[actual_9]]</f>
        <v>0</v>
      </c>
      <c r="EP870" s="1">
        <f>1+(Table1[[#This Row],[error_ratio_0]]-EF$2)</f>
        <v>1.0479591836734694</v>
      </c>
      <c r="EQ870" s="1">
        <f>1+(Table1[[#This Row],[error_ratio_1]]-EG$2)</f>
        <v>1.0026431718061675</v>
      </c>
      <c r="ER870" s="1">
        <f>1+(Table1[[#This Row],[error_ratio_2]]-EH$2)</f>
        <v>1.0978682170542635</v>
      </c>
      <c r="ES870" s="1">
        <f>1+(Table1[[#This Row],[error_ratio_3]]-EI$2)</f>
        <v>0.96336633663366333</v>
      </c>
      <c r="ET870" s="1">
        <f>1+(Table1[[#This Row],[error_ratio_4]]-EJ$2)</f>
        <v>0.98472505091649698</v>
      </c>
      <c r="EU870" s="1">
        <f>1+(Table1[[#This Row],[error_ratio_5]]-EK$2)</f>
        <v>1.0112107623318385</v>
      </c>
      <c r="EV870" s="1">
        <f>1+(Table1[[#This Row],[error_ratio_6]]-EL$2)</f>
        <v>1.0636743215031315</v>
      </c>
      <c r="EW870" s="1">
        <f>1+(Table1[[#This Row],[error_ratio_7]]-EM$2)</f>
        <v>0.94066147859922178</v>
      </c>
      <c r="EX870" s="1">
        <f>1+(Table1[[#This Row],[error_ratio_8]]-EN$2)</f>
        <v>0.88398357289527718</v>
      </c>
      <c r="EY870" s="1">
        <f>1+(Table1[[#This Row],[error_ratio_9]]-EO$2)</f>
        <v>1.00396432111001</v>
      </c>
    </row>
    <row r="871" spans="1:155" x14ac:dyDescent="0.75">
      <c r="A871">
        <v>10</v>
      </c>
      <c r="B871">
        <v>10</v>
      </c>
      <c r="C871">
        <v>100</v>
      </c>
      <c r="D871">
        <v>10</v>
      </c>
      <c r="E871">
        <v>10</v>
      </c>
      <c r="F871">
        <v>10</v>
      </c>
      <c r="G871">
        <v>100</v>
      </c>
      <c r="H871">
        <v>10</v>
      </c>
      <c r="I871">
        <v>10</v>
      </c>
      <c r="J871">
        <v>10</v>
      </c>
      <c r="K871">
        <v>964</v>
      </c>
      <c r="L871">
        <v>1146</v>
      </c>
      <c r="M871">
        <v>1109</v>
      </c>
      <c r="N871">
        <v>981</v>
      </c>
      <c r="O871">
        <v>958</v>
      </c>
      <c r="P871">
        <v>847</v>
      </c>
      <c r="Q871">
        <v>1070</v>
      </c>
      <c r="R871">
        <v>1025</v>
      </c>
      <c r="S871">
        <v>869</v>
      </c>
      <c r="T871">
        <v>1031</v>
      </c>
      <c r="U871">
        <v>980</v>
      </c>
      <c r="V871">
        <v>1135</v>
      </c>
      <c r="W871">
        <v>1032</v>
      </c>
      <c r="X871">
        <v>1010</v>
      </c>
      <c r="Y871">
        <v>982</v>
      </c>
      <c r="Z871">
        <v>892</v>
      </c>
      <c r="AA871">
        <v>958</v>
      </c>
      <c r="AB871">
        <v>1028</v>
      </c>
      <c r="AC871">
        <v>974</v>
      </c>
      <c r="AD871">
        <v>1009</v>
      </c>
      <c r="AE871">
        <v>936</v>
      </c>
      <c r="AF871">
        <v>0</v>
      </c>
      <c r="AG871">
        <v>3</v>
      </c>
      <c r="AH871">
        <v>0</v>
      </c>
      <c r="AI871">
        <v>0</v>
      </c>
      <c r="AJ871">
        <v>0</v>
      </c>
      <c r="AK871">
        <v>39</v>
      </c>
      <c r="AL871">
        <v>1</v>
      </c>
      <c r="AM871">
        <v>1</v>
      </c>
      <c r="AN871">
        <v>0</v>
      </c>
      <c r="AO871">
        <v>0</v>
      </c>
      <c r="AP871">
        <v>1121</v>
      </c>
      <c r="AQ871">
        <v>9</v>
      </c>
      <c r="AR871">
        <v>1</v>
      </c>
      <c r="AS871">
        <v>0</v>
      </c>
      <c r="AT871">
        <v>0</v>
      </c>
      <c r="AU871">
        <v>3</v>
      </c>
      <c r="AV871">
        <v>0</v>
      </c>
      <c r="AW871">
        <v>1</v>
      </c>
      <c r="AX871">
        <v>0</v>
      </c>
      <c r="AY871">
        <v>1</v>
      </c>
      <c r="AZ871">
        <v>1</v>
      </c>
      <c r="BA871">
        <v>1026</v>
      </c>
      <c r="BB871">
        <v>0</v>
      </c>
      <c r="BC871">
        <v>0</v>
      </c>
      <c r="BD871">
        <v>0</v>
      </c>
      <c r="BE871">
        <v>0</v>
      </c>
      <c r="BF871">
        <v>4</v>
      </c>
      <c r="BG871">
        <v>0</v>
      </c>
      <c r="BH871">
        <v>0</v>
      </c>
      <c r="BI871">
        <v>3</v>
      </c>
      <c r="BJ871">
        <v>0</v>
      </c>
      <c r="BK871">
        <v>18</v>
      </c>
      <c r="BL871">
        <v>952</v>
      </c>
      <c r="BM871">
        <v>0</v>
      </c>
      <c r="BN871">
        <v>11</v>
      </c>
      <c r="BO871">
        <v>0</v>
      </c>
      <c r="BP871">
        <v>12</v>
      </c>
      <c r="BQ871">
        <v>3</v>
      </c>
      <c r="BR871">
        <v>11</v>
      </c>
      <c r="BS871">
        <v>0</v>
      </c>
      <c r="BT871">
        <v>4</v>
      </c>
      <c r="BU871">
        <v>5</v>
      </c>
      <c r="BV871">
        <v>0</v>
      </c>
      <c r="BW871">
        <v>939</v>
      </c>
      <c r="BX871">
        <v>0</v>
      </c>
      <c r="BY871">
        <v>13</v>
      </c>
      <c r="BZ871">
        <v>1</v>
      </c>
      <c r="CA871">
        <v>0</v>
      </c>
      <c r="CB871">
        <v>20</v>
      </c>
      <c r="CC871">
        <v>4</v>
      </c>
      <c r="CD871">
        <v>0</v>
      </c>
      <c r="CE871">
        <v>6</v>
      </c>
      <c r="CF871">
        <v>14</v>
      </c>
      <c r="CG871">
        <v>0</v>
      </c>
      <c r="CH871">
        <v>827</v>
      </c>
      <c r="CI871">
        <v>27</v>
      </c>
      <c r="CJ871">
        <v>2</v>
      </c>
      <c r="CK871">
        <v>1</v>
      </c>
      <c r="CL871">
        <v>11</v>
      </c>
      <c r="CM871">
        <v>1</v>
      </c>
      <c r="CN871">
        <v>1</v>
      </c>
      <c r="CO871">
        <v>1</v>
      </c>
      <c r="CP871">
        <v>0</v>
      </c>
      <c r="CQ871">
        <v>3</v>
      </c>
      <c r="CR871">
        <v>1</v>
      </c>
      <c r="CS871">
        <v>951</v>
      </c>
      <c r="CT871">
        <v>0</v>
      </c>
      <c r="CU871">
        <v>0</v>
      </c>
      <c r="CV871">
        <v>0</v>
      </c>
      <c r="CW871">
        <v>3</v>
      </c>
      <c r="CX871">
        <v>9</v>
      </c>
      <c r="CY871">
        <v>26</v>
      </c>
      <c r="CZ871">
        <v>0</v>
      </c>
      <c r="DA871">
        <v>2</v>
      </c>
      <c r="DB871">
        <v>0</v>
      </c>
      <c r="DC871">
        <v>0</v>
      </c>
      <c r="DD871">
        <v>979</v>
      </c>
      <c r="DE871">
        <v>2</v>
      </c>
      <c r="DF871">
        <v>7</v>
      </c>
      <c r="DG871">
        <v>10</v>
      </c>
      <c r="DH871">
        <v>4</v>
      </c>
      <c r="DI871">
        <v>12</v>
      </c>
      <c r="DJ871">
        <v>10</v>
      </c>
      <c r="DK871">
        <v>7</v>
      </c>
      <c r="DL871">
        <v>5</v>
      </c>
      <c r="DM871">
        <v>33</v>
      </c>
      <c r="DN871">
        <v>7</v>
      </c>
      <c r="DO871">
        <v>860</v>
      </c>
      <c r="DP871">
        <v>26</v>
      </c>
      <c r="DQ871">
        <v>6</v>
      </c>
      <c r="DR871">
        <v>6</v>
      </c>
      <c r="DS871">
        <v>3</v>
      </c>
      <c r="DT871">
        <v>4</v>
      </c>
      <c r="DU871">
        <v>7</v>
      </c>
      <c r="DV871">
        <v>3</v>
      </c>
      <c r="DW871">
        <v>4</v>
      </c>
      <c r="DX871">
        <v>19</v>
      </c>
      <c r="DY871">
        <v>1</v>
      </c>
      <c r="DZ871">
        <v>956</v>
      </c>
      <c r="EA871">
        <v>0.95469999999999999</v>
      </c>
      <c r="EB871">
        <v>0.95620950981212305</v>
      </c>
      <c r="EC871">
        <v>0.95383267656017701</v>
      </c>
      <c r="ED871">
        <v>0.95418737412973198</v>
      </c>
      <c r="EE871">
        <f>SUM(Table1[[#This Row],[ratio_0]:[ratio_9]])</f>
        <v>280</v>
      </c>
      <c r="EF871" s="1">
        <f>(Table1[[#This Row],[predicted_0]]-Table1[[#This Row],[actual_0]])/Table1[[#This Row],[actual_0]]</f>
        <v>-1.6326530612244899E-2</v>
      </c>
      <c r="EG871" s="1">
        <f>(Table1[[#This Row],[predicted_1]]-Table1[[#This Row],[actual_1]])/Table1[[#This Row],[actual_1]]</f>
        <v>9.6916299559471359E-3</v>
      </c>
      <c r="EH871" s="1">
        <f>(Table1[[#This Row],[predicted_2]]-Table1[[#This Row],[actual_2]])/Table1[[#This Row],[actual_2]]</f>
        <v>7.4612403100775188E-2</v>
      </c>
      <c r="EI871" s="1">
        <f>(Table1[[#This Row],[predicted_3]]-Table1[[#This Row],[actual_3]])/Table1[[#This Row],[actual_3]]</f>
        <v>-2.8712871287128714E-2</v>
      </c>
      <c r="EJ871" s="1">
        <f>(Table1[[#This Row],[predicted_4]]-Table1[[#This Row],[actual_4]])/Table1[[#This Row],[actual_4]]</f>
        <v>-2.4439918533604887E-2</v>
      </c>
      <c r="EK871" s="1">
        <f>(Table1[[#This Row],[predicted_5]]-Table1[[#This Row],[actual_5]])/Table1[[#This Row],[actual_5]]</f>
        <v>-5.0448430493273543E-2</v>
      </c>
      <c r="EL871" s="1">
        <f>(Table1[[#This Row],[predicted_6]]-Table1[[#This Row],[actual_6]])/Table1[[#This Row],[actual_6]]</f>
        <v>0.11691022964509394</v>
      </c>
      <c r="EM871" s="1">
        <f>(Table1[[#This Row],[predicted_7]]-Table1[[#This Row],[actual_7]])/Table1[[#This Row],[actual_7]]</f>
        <v>-2.9182879377431907E-3</v>
      </c>
      <c r="EN871" s="1">
        <f>(Table1[[#This Row],[predicted_8]]-Table1[[#This Row],[actual_8]])/Table1[[#This Row],[actual_8]]</f>
        <v>-0.10780287474332649</v>
      </c>
      <c r="EO871" s="1">
        <f>(Table1[[#This Row],[predicted_9]]-Table1[[#This Row],[actual_9]])/Table1[[#This Row],[actual_9]]</f>
        <v>2.1803766105054509E-2</v>
      </c>
      <c r="EP871" s="1">
        <f>1+(Table1[[#This Row],[error_ratio_0]]-EF$2)</f>
        <v>0.98163265306122449</v>
      </c>
      <c r="EQ871" s="1">
        <f>1+(Table1[[#This Row],[error_ratio_1]]-EG$2)</f>
        <v>1.0079295154185022</v>
      </c>
      <c r="ER871" s="1">
        <f>1+(Table1[[#This Row],[error_ratio_2]]-EH$2)</f>
        <v>1.0794573643410852</v>
      </c>
      <c r="ES871" s="1">
        <f>1+(Table1[[#This Row],[error_ratio_3]]-EI$2)</f>
        <v>0.96138613861386135</v>
      </c>
      <c r="ET871" s="1">
        <f>1+(Table1[[#This Row],[error_ratio_4]]-EJ$2)</f>
        <v>0.97454175152749489</v>
      </c>
      <c r="EU871" s="1">
        <f>1+(Table1[[#This Row],[error_ratio_5]]-EK$2)</f>
        <v>0.94843049327354256</v>
      </c>
      <c r="EV871" s="1">
        <f>1+(Table1[[#This Row],[error_ratio_6]]-EL$2)</f>
        <v>1.1231732776617953</v>
      </c>
      <c r="EW871" s="1">
        <f>1+(Table1[[#This Row],[error_ratio_7]]-EM$2)</f>
        <v>0.99513618677042803</v>
      </c>
      <c r="EX871" s="1">
        <f>1+(Table1[[#This Row],[error_ratio_8]]-EN$2)</f>
        <v>0.89527720739219707</v>
      </c>
      <c r="EY871" s="1">
        <f>1+(Table1[[#This Row],[error_ratio_9]]-EO$2)</f>
        <v>1.0257680872150645</v>
      </c>
    </row>
    <row r="872" spans="1:155" x14ac:dyDescent="0.75">
      <c r="A872">
        <v>100</v>
      </c>
      <c r="B872">
        <v>100</v>
      </c>
      <c r="C872">
        <v>10</v>
      </c>
      <c r="D872">
        <v>10</v>
      </c>
      <c r="E872">
        <v>10</v>
      </c>
      <c r="F872">
        <v>10</v>
      </c>
      <c r="G872">
        <v>100</v>
      </c>
      <c r="H872">
        <v>10</v>
      </c>
      <c r="I872">
        <v>10</v>
      </c>
      <c r="J872">
        <v>10</v>
      </c>
      <c r="K872">
        <v>1010</v>
      </c>
      <c r="L872">
        <v>1159</v>
      </c>
      <c r="M872">
        <v>1058</v>
      </c>
      <c r="N872">
        <v>1009</v>
      </c>
      <c r="O872">
        <v>938</v>
      </c>
      <c r="P872">
        <v>788</v>
      </c>
      <c r="Q872">
        <v>985</v>
      </c>
      <c r="R872">
        <v>1081</v>
      </c>
      <c r="S872">
        <v>910</v>
      </c>
      <c r="T872">
        <v>1062</v>
      </c>
      <c r="U872">
        <v>980</v>
      </c>
      <c r="V872">
        <v>1135</v>
      </c>
      <c r="W872">
        <v>1032</v>
      </c>
      <c r="X872">
        <v>1010</v>
      </c>
      <c r="Y872">
        <v>982</v>
      </c>
      <c r="Z872">
        <v>892</v>
      </c>
      <c r="AA872">
        <v>958</v>
      </c>
      <c r="AB872">
        <v>1028</v>
      </c>
      <c r="AC872">
        <v>974</v>
      </c>
      <c r="AD872">
        <v>1009</v>
      </c>
      <c r="AE872">
        <v>975</v>
      </c>
      <c r="AF872">
        <v>0</v>
      </c>
      <c r="AG872">
        <v>2</v>
      </c>
      <c r="AH872">
        <v>0</v>
      </c>
      <c r="AI872">
        <v>0</v>
      </c>
      <c r="AJ872">
        <v>0</v>
      </c>
      <c r="AK872">
        <v>1</v>
      </c>
      <c r="AL872">
        <v>2</v>
      </c>
      <c r="AM872">
        <v>0</v>
      </c>
      <c r="AN872">
        <v>0</v>
      </c>
      <c r="AO872">
        <v>0</v>
      </c>
      <c r="AP872">
        <v>1132</v>
      </c>
      <c r="AQ872">
        <v>3</v>
      </c>
      <c r="AR872">
        <v>0</v>
      </c>
      <c r="AS872">
        <v>0</v>
      </c>
      <c r="AT872">
        <v>0</v>
      </c>
      <c r="AU872">
        <v>0</v>
      </c>
      <c r="AV872">
        <v>0</v>
      </c>
      <c r="AW872">
        <v>0</v>
      </c>
      <c r="AX872">
        <v>0</v>
      </c>
      <c r="AY872">
        <v>4</v>
      </c>
      <c r="AZ872">
        <v>3</v>
      </c>
      <c r="BA872">
        <v>996</v>
      </c>
      <c r="BB872">
        <v>4</v>
      </c>
      <c r="BC872">
        <v>4</v>
      </c>
      <c r="BD872">
        <v>0</v>
      </c>
      <c r="BE872">
        <v>0</v>
      </c>
      <c r="BF872">
        <v>21</v>
      </c>
      <c r="BG872">
        <v>0</v>
      </c>
      <c r="BH872">
        <v>0</v>
      </c>
      <c r="BI872">
        <v>0</v>
      </c>
      <c r="BJ872">
        <v>0</v>
      </c>
      <c r="BK872">
        <v>19</v>
      </c>
      <c r="BL872">
        <v>950</v>
      </c>
      <c r="BM872">
        <v>0</v>
      </c>
      <c r="BN872">
        <v>4</v>
      </c>
      <c r="BO872">
        <v>0</v>
      </c>
      <c r="BP872">
        <v>23</v>
      </c>
      <c r="BQ872">
        <v>5</v>
      </c>
      <c r="BR872">
        <v>9</v>
      </c>
      <c r="BS872">
        <v>0</v>
      </c>
      <c r="BT872">
        <v>4</v>
      </c>
      <c r="BU872">
        <v>2</v>
      </c>
      <c r="BV872">
        <v>0</v>
      </c>
      <c r="BW872">
        <v>921</v>
      </c>
      <c r="BX872">
        <v>0</v>
      </c>
      <c r="BY872">
        <v>4</v>
      </c>
      <c r="BZ872">
        <v>2</v>
      </c>
      <c r="CA872">
        <v>8</v>
      </c>
      <c r="CB872">
        <v>41</v>
      </c>
      <c r="CC872">
        <v>14</v>
      </c>
      <c r="CD872">
        <v>2</v>
      </c>
      <c r="CE872">
        <v>1</v>
      </c>
      <c r="CF872">
        <v>40</v>
      </c>
      <c r="CG872">
        <v>1</v>
      </c>
      <c r="CH872">
        <v>778</v>
      </c>
      <c r="CI872">
        <v>26</v>
      </c>
      <c r="CJ872">
        <v>8</v>
      </c>
      <c r="CK872">
        <v>8</v>
      </c>
      <c r="CL872">
        <v>14</v>
      </c>
      <c r="CM872">
        <v>4</v>
      </c>
      <c r="CN872">
        <v>2</v>
      </c>
      <c r="CO872">
        <v>2</v>
      </c>
      <c r="CP872">
        <v>0</v>
      </c>
      <c r="CQ872">
        <v>3</v>
      </c>
      <c r="CR872">
        <v>1</v>
      </c>
      <c r="CS872">
        <v>946</v>
      </c>
      <c r="CT872">
        <v>0</v>
      </c>
      <c r="CU872">
        <v>0</v>
      </c>
      <c r="CV872">
        <v>0</v>
      </c>
      <c r="CW872">
        <v>1</v>
      </c>
      <c r="CX872">
        <v>7</v>
      </c>
      <c r="CY872">
        <v>13</v>
      </c>
      <c r="CZ872">
        <v>3</v>
      </c>
      <c r="DA872">
        <v>1</v>
      </c>
      <c r="DB872">
        <v>0</v>
      </c>
      <c r="DC872">
        <v>1</v>
      </c>
      <c r="DD872">
        <v>994</v>
      </c>
      <c r="DE872">
        <v>1</v>
      </c>
      <c r="DF872">
        <v>7</v>
      </c>
      <c r="DG872">
        <v>7</v>
      </c>
      <c r="DH872">
        <v>1</v>
      </c>
      <c r="DI872">
        <v>20</v>
      </c>
      <c r="DJ872">
        <v>9</v>
      </c>
      <c r="DK872">
        <v>2</v>
      </c>
      <c r="DL872">
        <v>1</v>
      </c>
      <c r="DM872">
        <v>7</v>
      </c>
      <c r="DN872">
        <v>21</v>
      </c>
      <c r="DO872">
        <v>888</v>
      </c>
      <c r="DP872">
        <v>18</v>
      </c>
      <c r="DQ872">
        <v>5</v>
      </c>
      <c r="DR872">
        <v>8</v>
      </c>
      <c r="DS872">
        <v>0</v>
      </c>
      <c r="DT872">
        <v>3</v>
      </c>
      <c r="DU872">
        <v>6</v>
      </c>
      <c r="DV872">
        <v>4</v>
      </c>
      <c r="DW872">
        <v>0</v>
      </c>
      <c r="DX872">
        <v>10</v>
      </c>
      <c r="DY872">
        <v>0</v>
      </c>
      <c r="DZ872">
        <v>973</v>
      </c>
      <c r="EA872">
        <v>0.95530000000000004</v>
      </c>
      <c r="EB872">
        <v>0.95661067845688297</v>
      </c>
      <c r="EC872">
        <v>0.95384697051277401</v>
      </c>
      <c r="ED872">
        <v>0.95452539697586702</v>
      </c>
      <c r="EE872">
        <f>SUM(Table1[[#This Row],[ratio_0]:[ratio_9]])</f>
        <v>370</v>
      </c>
      <c r="EF872" s="1">
        <f>(Table1[[#This Row],[predicted_0]]-Table1[[#This Row],[actual_0]])/Table1[[#This Row],[actual_0]]</f>
        <v>3.0612244897959183E-2</v>
      </c>
      <c r="EG872" s="1">
        <f>(Table1[[#This Row],[predicted_1]]-Table1[[#This Row],[actual_1]])/Table1[[#This Row],[actual_1]]</f>
        <v>2.1145374449339206E-2</v>
      </c>
      <c r="EH872" s="1">
        <f>(Table1[[#This Row],[predicted_2]]-Table1[[#This Row],[actual_2]])/Table1[[#This Row],[actual_2]]</f>
        <v>2.5193798449612403E-2</v>
      </c>
      <c r="EI872" s="1">
        <f>(Table1[[#This Row],[predicted_3]]-Table1[[#This Row],[actual_3]])/Table1[[#This Row],[actual_3]]</f>
        <v>-9.9009900990099011E-4</v>
      </c>
      <c r="EJ872" s="1">
        <f>(Table1[[#This Row],[predicted_4]]-Table1[[#This Row],[actual_4]])/Table1[[#This Row],[actual_4]]</f>
        <v>-4.4806517311608958E-2</v>
      </c>
      <c r="EK872" s="1">
        <f>(Table1[[#This Row],[predicted_5]]-Table1[[#This Row],[actual_5]])/Table1[[#This Row],[actual_5]]</f>
        <v>-0.11659192825112108</v>
      </c>
      <c r="EL872" s="1">
        <f>(Table1[[#This Row],[predicted_6]]-Table1[[#This Row],[actual_6]])/Table1[[#This Row],[actual_6]]</f>
        <v>2.8183716075156576E-2</v>
      </c>
      <c r="EM872" s="1">
        <f>(Table1[[#This Row],[predicted_7]]-Table1[[#This Row],[actual_7]])/Table1[[#This Row],[actual_7]]</f>
        <v>5.1556420233463032E-2</v>
      </c>
      <c r="EN872" s="1">
        <f>(Table1[[#This Row],[predicted_8]]-Table1[[#This Row],[actual_8]])/Table1[[#This Row],[actual_8]]</f>
        <v>-6.5708418891170434E-2</v>
      </c>
      <c r="EO872" s="1">
        <f>(Table1[[#This Row],[predicted_9]]-Table1[[#This Row],[actual_9]])/Table1[[#This Row],[actual_9]]</f>
        <v>5.2527254707631317E-2</v>
      </c>
      <c r="EP872" s="1">
        <f>1+(Table1[[#This Row],[error_ratio_0]]-EF$2)</f>
        <v>1.0285714285714285</v>
      </c>
      <c r="EQ872" s="1">
        <f>1+(Table1[[#This Row],[error_ratio_1]]-EG$2)</f>
        <v>1.0193832599118944</v>
      </c>
      <c r="ER872" s="1">
        <f>1+(Table1[[#This Row],[error_ratio_2]]-EH$2)</f>
        <v>1.0300387596899225</v>
      </c>
      <c r="ES872" s="1">
        <f>1+(Table1[[#This Row],[error_ratio_3]]-EI$2)</f>
        <v>0.9891089108910891</v>
      </c>
      <c r="ET872" s="1">
        <f>1+(Table1[[#This Row],[error_ratio_4]]-EJ$2)</f>
        <v>0.95417515274949083</v>
      </c>
      <c r="EU872" s="1">
        <f>1+(Table1[[#This Row],[error_ratio_5]]-EK$2)</f>
        <v>0.88228699551569512</v>
      </c>
      <c r="EV872" s="1">
        <f>1+(Table1[[#This Row],[error_ratio_6]]-EL$2)</f>
        <v>1.034446764091858</v>
      </c>
      <c r="EW872" s="1">
        <f>1+(Table1[[#This Row],[error_ratio_7]]-EM$2)</f>
        <v>1.0496108949416343</v>
      </c>
      <c r="EX872" s="1">
        <f>1+(Table1[[#This Row],[error_ratio_8]]-EN$2)</f>
        <v>0.93737166324435317</v>
      </c>
      <c r="EY872" s="1">
        <f>1+(Table1[[#This Row],[error_ratio_9]]-EO$2)</f>
        <v>1.0564915758176412</v>
      </c>
    </row>
    <row r="873" spans="1:155" x14ac:dyDescent="0.75">
      <c r="A873">
        <v>10</v>
      </c>
      <c r="B873">
        <v>100</v>
      </c>
      <c r="C873">
        <v>10</v>
      </c>
      <c r="D873">
        <v>10</v>
      </c>
      <c r="E873">
        <v>10</v>
      </c>
      <c r="F873">
        <v>10</v>
      </c>
      <c r="G873">
        <v>100</v>
      </c>
      <c r="H873">
        <v>10</v>
      </c>
      <c r="I873">
        <v>10</v>
      </c>
      <c r="J873">
        <v>10</v>
      </c>
      <c r="K873">
        <v>991</v>
      </c>
      <c r="L873">
        <v>1163</v>
      </c>
      <c r="M873">
        <v>1019</v>
      </c>
      <c r="N873">
        <v>1005</v>
      </c>
      <c r="O873">
        <v>934</v>
      </c>
      <c r="P873">
        <v>890</v>
      </c>
      <c r="Q873">
        <v>1003</v>
      </c>
      <c r="R873">
        <v>979</v>
      </c>
      <c r="S873">
        <v>908</v>
      </c>
      <c r="T873">
        <v>1108</v>
      </c>
      <c r="U873">
        <v>980</v>
      </c>
      <c r="V873">
        <v>1135</v>
      </c>
      <c r="W873">
        <v>1032</v>
      </c>
      <c r="X873">
        <v>1010</v>
      </c>
      <c r="Y873">
        <v>982</v>
      </c>
      <c r="Z873">
        <v>892</v>
      </c>
      <c r="AA873">
        <v>958</v>
      </c>
      <c r="AB873">
        <v>1028</v>
      </c>
      <c r="AC873">
        <v>974</v>
      </c>
      <c r="AD873">
        <v>1009</v>
      </c>
      <c r="AE873">
        <v>967</v>
      </c>
      <c r="AF873">
        <v>1</v>
      </c>
      <c r="AG873">
        <v>1</v>
      </c>
      <c r="AH873">
        <v>1</v>
      </c>
      <c r="AI873">
        <v>0</v>
      </c>
      <c r="AJ873">
        <v>0</v>
      </c>
      <c r="AK873">
        <v>6</v>
      </c>
      <c r="AL873">
        <v>2</v>
      </c>
      <c r="AM873">
        <v>2</v>
      </c>
      <c r="AN873">
        <v>0</v>
      </c>
      <c r="AO873">
        <v>0</v>
      </c>
      <c r="AP873">
        <v>1128</v>
      </c>
      <c r="AQ873">
        <v>0</v>
      </c>
      <c r="AR873">
        <v>1</v>
      </c>
      <c r="AS873">
        <v>0</v>
      </c>
      <c r="AT873">
        <v>3</v>
      </c>
      <c r="AU873">
        <v>1</v>
      </c>
      <c r="AV873">
        <v>1</v>
      </c>
      <c r="AW873">
        <v>1</v>
      </c>
      <c r="AX873">
        <v>0</v>
      </c>
      <c r="AY873">
        <v>7</v>
      </c>
      <c r="AZ873">
        <v>9</v>
      </c>
      <c r="BA873">
        <v>981</v>
      </c>
      <c r="BB873">
        <v>13</v>
      </c>
      <c r="BC873">
        <v>1</v>
      </c>
      <c r="BD873">
        <v>0</v>
      </c>
      <c r="BE873">
        <v>4</v>
      </c>
      <c r="BF873">
        <v>14</v>
      </c>
      <c r="BG873">
        <v>2</v>
      </c>
      <c r="BH873">
        <v>1</v>
      </c>
      <c r="BI873">
        <v>1</v>
      </c>
      <c r="BJ873">
        <v>0</v>
      </c>
      <c r="BK873">
        <v>5</v>
      </c>
      <c r="BL873">
        <v>958</v>
      </c>
      <c r="BM873">
        <v>0</v>
      </c>
      <c r="BN873">
        <v>36</v>
      </c>
      <c r="BO873">
        <v>0</v>
      </c>
      <c r="BP873">
        <v>6</v>
      </c>
      <c r="BQ873">
        <v>3</v>
      </c>
      <c r="BR873">
        <v>1</v>
      </c>
      <c r="BS873">
        <v>0</v>
      </c>
      <c r="BT873">
        <v>0</v>
      </c>
      <c r="BU873">
        <v>10</v>
      </c>
      <c r="BV873">
        <v>0</v>
      </c>
      <c r="BW873">
        <v>916</v>
      </c>
      <c r="BX873">
        <v>0</v>
      </c>
      <c r="BY873">
        <v>6</v>
      </c>
      <c r="BZ873">
        <v>0</v>
      </c>
      <c r="CA873">
        <v>2</v>
      </c>
      <c r="CB873">
        <v>48</v>
      </c>
      <c r="CC873">
        <v>4</v>
      </c>
      <c r="CD873">
        <v>1</v>
      </c>
      <c r="CE873">
        <v>0</v>
      </c>
      <c r="CF873">
        <v>1</v>
      </c>
      <c r="CG873">
        <v>2</v>
      </c>
      <c r="CH873">
        <v>842</v>
      </c>
      <c r="CI873">
        <v>24</v>
      </c>
      <c r="CJ873">
        <v>2</v>
      </c>
      <c r="CK873">
        <v>3</v>
      </c>
      <c r="CL873">
        <v>13</v>
      </c>
      <c r="CM873">
        <v>0</v>
      </c>
      <c r="CN873">
        <v>5</v>
      </c>
      <c r="CO873">
        <v>1</v>
      </c>
      <c r="CP873">
        <v>1</v>
      </c>
      <c r="CQ873">
        <v>6</v>
      </c>
      <c r="CR873">
        <v>1</v>
      </c>
      <c r="CS873">
        <v>944</v>
      </c>
      <c r="CT873">
        <v>0</v>
      </c>
      <c r="CU873">
        <v>0</v>
      </c>
      <c r="CV873">
        <v>0</v>
      </c>
      <c r="CW873">
        <v>1</v>
      </c>
      <c r="CX873">
        <v>14</v>
      </c>
      <c r="CY873">
        <v>17</v>
      </c>
      <c r="CZ873">
        <v>16</v>
      </c>
      <c r="DA873">
        <v>3</v>
      </c>
      <c r="DB873">
        <v>0</v>
      </c>
      <c r="DC873">
        <v>0</v>
      </c>
      <c r="DD873">
        <v>944</v>
      </c>
      <c r="DE873">
        <v>2</v>
      </c>
      <c r="DF873">
        <v>31</v>
      </c>
      <c r="DG873">
        <v>5</v>
      </c>
      <c r="DH873">
        <v>2</v>
      </c>
      <c r="DI873">
        <v>4</v>
      </c>
      <c r="DJ873">
        <v>11</v>
      </c>
      <c r="DK873">
        <v>4</v>
      </c>
      <c r="DL873">
        <v>2</v>
      </c>
      <c r="DM873">
        <v>17</v>
      </c>
      <c r="DN873">
        <v>6</v>
      </c>
      <c r="DO873">
        <v>893</v>
      </c>
      <c r="DP873">
        <v>30</v>
      </c>
      <c r="DQ873">
        <v>6</v>
      </c>
      <c r="DR873">
        <v>3</v>
      </c>
      <c r="DS873">
        <v>0</v>
      </c>
      <c r="DT873">
        <v>3</v>
      </c>
      <c r="DU873">
        <v>2</v>
      </c>
      <c r="DV873">
        <v>6</v>
      </c>
      <c r="DW873">
        <v>1</v>
      </c>
      <c r="DX873">
        <v>4</v>
      </c>
      <c r="DY873">
        <v>0</v>
      </c>
      <c r="DZ873">
        <v>984</v>
      </c>
      <c r="EA873">
        <v>0.95569999999999999</v>
      </c>
      <c r="EB873">
        <v>0.95654178144312696</v>
      </c>
      <c r="EC873">
        <v>0.95521348866447198</v>
      </c>
      <c r="ED873">
        <v>0.95536797733622902</v>
      </c>
      <c r="EE873">
        <f>SUM(Table1[[#This Row],[ratio_0]:[ratio_9]])</f>
        <v>280</v>
      </c>
      <c r="EF873" s="1">
        <f>(Table1[[#This Row],[predicted_0]]-Table1[[#This Row],[actual_0]])/Table1[[#This Row],[actual_0]]</f>
        <v>1.1224489795918367E-2</v>
      </c>
      <c r="EG873" s="1">
        <f>(Table1[[#This Row],[predicted_1]]-Table1[[#This Row],[actual_1]])/Table1[[#This Row],[actual_1]]</f>
        <v>2.4669603524229075E-2</v>
      </c>
      <c r="EH873" s="1">
        <f>(Table1[[#This Row],[predicted_2]]-Table1[[#This Row],[actual_2]])/Table1[[#This Row],[actual_2]]</f>
        <v>-1.2596899224806201E-2</v>
      </c>
      <c r="EI873" s="1">
        <f>(Table1[[#This Row],[predicted_3]]-Table1[[#This Row],[actual_3]])/Table1[[#This Row],[actual_3]]</f>
        <v>-4.9504950495049506E-3</v>
      </c>
      <c r="EJ873" s="1">
        <f>(Table1[[#This Row],[predicted_4]]-Table1[[#This Row],[actual_4]])/Table1[[#This Row],[actual_4]]</f>
        <v>-4.8879837067209775E-2</v>
      </c>
      <c r="EK873" s="1">
        <f>(Table1[[#This Row],[predicted_5]]-Table1[[#This Row],[actual_5]])/Table1[[#This Row],[actual_5]]</f>
        <v>-2.242152466367713E-3</v>
      </c>
      <c r="EL873" s="1">
        <f>(Table1[[#This Row],[predicted_6]]-Table1[[#This Row],[actual_6]])/Table1[[#This Row],[actual_6]]</f>
        <v>4.697286012526096E-2</v>
      </c>
      <c r="EM873" s="1">
        <f>(Table1[[#This Row],[predicted_7]]-Table1[[#This Row],[actual_7]])/Table1[[#This Row],[actual_7]]</f>
        <v>-4.7665369649805445E-2</v>
      </c>
      <c r="EN873" s="1">
        <f>(Table1[[#This Row],[predicted_8]]-Table1[[#This Row],[actual_8]])/Table1[[#This Row],[actual_8]]</f>
        <v>-6.7761806981519512E-2</v>
      </c>
      <c r="EO873" s="1">
        <f>(Table1[[#This Row],[predicted_9]]-Table1[[#This Row],[actual_9]])/Table1[[#This Row],[actual_9]]</f>
        <v>9.8116947472745297E-2</v>
      </c>
      <c r="EP873" s="1">
        <f>1+(Table1[[#This Row],[error_ratio_0]]-EF$2)</f>
        <v>1.0091836734693878</v>
      </c>
      <c r="EQ873" s="1">
        <f>1+(Table1[[#This Row],[error_ratio_1]]-EG$2)</f>
        <v>1.0229074889867842</v>
      </c>
      <c r="ER873" s="1">
        <f>1+(Table1[[#This Row],[error_ratio_2]]-EH$2)</f>
        <v>0.99224806201550386</v>
      </c>
      <c r="ES873" s="1">
        <f>1+(Table1[[#This Row],[error_ratio_3]]-EI$2)</f>
        <v>0.98514851485148514</v>
      </c>
      <c r="ET873" s="1">
        <f>1+(Table1[[#This Row],[error_ratio_4]]-EJ$2)</f>
        <v>0.95010183299389006</v>
      </c>
      <c r="EU873" s="1">
        <f>1+(Table1[[#This Row],[error_ratio_5]]-EK$2)</f>
        <v>0.99663677130044848</v>
      </c>
      <c r="EV873" s="1">
        <f>1+(Table1[[#This Row],[error_ratio_6]]-EL$2)</f>
        <v>1.0532359081419624</v>
      </c>
      <c r="EW873" s="1">
        <f>1+(Table1[[#This Row],[error_ratio_7]]-EM$2)</f>
        <v>0.95038910505836571</v>
      </c>
      <c r="EX873" s="1">
        <f>1+(Table1[[#This Row],[error_ratio_8]]-EN$2)</f>
        <v>0.93531827515400412</v>
      </c>
      <c r="EY873" s="1">
        <f>1+(Table1[[#This Row],[error_ratio_9]]-EO$2)</f>
        <v>1.1020812685827552</v>
      </c>
    </row>
    <row r="874" spans="1:155" x14ac:dyDescent="0.75">
      <c r="A874">
        <v>10</v>
      </c>
      <c r="B874">
        <v>10</v>
      </c>
      <c r="C874">
        <v>10</v>
      </c>
      <c r="D874">
        <v>10</v>
      </c>
      <c r="E874">
        <v>10</v>
      </c>
      <c r="F874">
        <v>10</v>
      </c>
      <c r="G874">
        <v>100</v>
      </c>
      <c r="H874">
        <v>10</v>
      </c>
      <c r="I874">
        <v>10</v>
      </c>
      <c r="J874">
        <v>10</v>
      </c>
      <c r="K874">
        <v>984</v>
      </c>
      <c r="L874">
        <v>1122</v>
      </c>
      <c r="M874">
        <v>995</v>
      </c>
      <c r="N874">
        <v>1043</v>
      </c>
      <c r="O874">
        <v>970</v>
      </c>
      <c r="P874">
        <v>875</v>
      </c>
      <c r="Q874">
        <v>1093</v>
      </c>
      <c r="R874">
        <v>1056</v>
      </c>
      <c r="S874">
        <v>922</v>
      </c>
      <c r="T874">
        <v>940</v>
      </c>
      <c r="U874">
        <v>980</v>
      </c>
      <c r="V874">
        <v>1135</v>
      </c>
      <c r="W874">
        <v>1032</v>
      </c>
      <c r="X874">
        <v>1010</v>
      </c>
      <c r="Y874">
        <v>982</v>
      </c>
      <c r="Z874">
        <v>892</v>
      </c>
      <c r="AA874">
        <v>958</v>
      </c>
      <c r="AB874">
        <v>1028</v>
      </c>
      <c r="AC874">
        <v>974</v>
      </c>
      <c r="AD874">
        <v>1009</v>
      </c>
      <c r="AE874">
        <v>956</v>
      </c>
      <c r="AF874">
        <v>0</v>
      </c>
      <c r="AG874">
        <v>1</v>
      </c>
      <c r="AH874">
        <v>0</v>
      </c>
      <c r="AI874">
        <v>0</v>
      </c>
      <c r="AJ874">
        <v>0</v>
      </c>
      <c r="AK874">
        <v>19</v>
      </c>
      <c r="AL874">
        <v>2</v>
      </c>
      <c r="AM874">
        <v>2</v>
      </c>
      <c r="AN874">
        <v>0</v>
      </c>
      <c r="AO874">
        <v>0</v>
      </c>
      <c r="AP874">
        <v>1111</v>
      </c>
      <c r="AQ874">
        <v>0</v>
      </c>
      <c r="AR874">
        <v>3</v>
      </c>
      <c r="AS874">
        <v>1</v>
      </c>
      <c r="AT874">
        <v>1</v>
      </c>
      <c r="AU874">
        <v>10</v>
      </c>
      <c r="AV874">
        <v>5</v>
      </c>
      <c r="AW874">
        <v>4</v>
      </c>
      <c r="AX874">
        <v>0</v>
      </c>
      <c r="AY874">
        <v>5</v>
      </c>
      <c r="AZ874">
        <v>4</v>
      </c>
      <c r="BA874">
        <v>972</v>
      </c>
      <c r="BB874">
        <v>30</v>
      </c>
      <c r="BC874">
        <v>0</v>
      </c>
      <c r="BD874">
        <v>1</v>
      </c>
      <c r="BE874">
        <v>6</v>
      </c>
      <c r="BF874">
        <v>13</v>
      </c>
      <c r="BG874">
        <v>1</v>
      </c>
      <c r="BH874">
        <v>0</v>
      </c>
      <c r="BI874">
        <v>0</v>
      </c>
      <c r="BJ874">
        <v>0</v>
      </c>
      <c r="BK874">
        <v>5</v>
      </c>
      <c r="BL874">
        <v>963</v>
      </c>
      <c r="BM874">
        <v>0</v>
      </c>
      <c r="BN874">
        <v>22</v>
      </c>
      <c r="BO874">
        <v>4</v>
      </c>
      <c r="BP874">
        <v>6</v>
      </c>
      <c r="BQ874">
        <v>10</v>
      </c>
      <c r="BR874">
        <v>0</v>
      </c>
      <c r="BS874">
        <v>0</v>
      </c>
      <c r="BT874">
        <v>0</v>
      </c>
      <c r="BU874">
        <v>0</v>
      </c>
      <c r="BV874">
        <v>4</v>
      </c>
      <c r="BW874">
        <v>948</v>
      </c>
      <c r="BX874">
        <v>0</v>
      </c>
      <c r="BY874">
        <v>12</v>
      </c>
      <c r="BZ874">
        <v>1</v>
      </c>
      <c r="CA874">
        <v>0</v>
      </c>
      <c r="CB874">
        <v>17</v>
      </c>
      <c r="CC874">
        <v>7</v>
      </c>
      <c r="CD874">
        <v>0</v>
      </c>
      <c r="CE874">
        <v>5</v>
      </c>
      <c r="CF874">
        <v>11</v>
      </c>
      <c r="CG874">
        <v>0</v>
      </c>
      <c r="CH874">
        <v>806</v>
      </c>
      <c r="CI874">
        <v>45</v>
      </c>
      <c r="CJ874">
        <v>7</v>
      </c>
      <c r="CK874">
        <v>10</v>
      </c>
      <c r="CL874">
        <v>1</v>
      </c>
      <c r="CM874">
        <v>1</v>
      </c>
      <c r="CN874">
        <v>1</v>
      </c>
      <c r="CO874">
        <v>0</v>
      </c>
      <c r="CP874">
        <v>0</v>
      </c>
      <c r="CQ874">
        <v>4</v>
      </c>
      <c r="CR874">
        <v>1</v>
      </c>
      <c r="CS874">
        <v>951</v>
      </c>
      <c r="CT874">
        <v>0</v>
      </c>
      <c r="CU874">
        <v>0</v>
      </c>
      <c r="CV874">
        <v>0</v>
      </c>
      <c r="CW874">
        <v>1</v>
      </c>
      <c r="CX874">
        <v>3</v>
      </c>
      <c r="CY874">
        <v>12</v>
      </c>
      <c r="CZ874">
        <v>16</v>
      </c>
      <c r="DA874">
        <v>1</v>
      </c>
      <c r="DB874">
        <v>0</v>
      </c>
      <c r="DC874">
        <v>0</v>
      </c>
      <c r="DD874">
        <v>991</v>
      </c>
      <c r="DE874">
        <v>2</v>
      </c>
      <c r="DF874">
        <v>2</v>
      </c>
      <c r="DG874">
        <v>6</v>
      </c>
      <c r="DH874">
        <v>0</v>
      </c>
      <c r="DI874">
        <v>0</v>
      </c>
      <c r="DJ874">
        <v>8</v>
      </c>
      <c r="DK874">
        <v>1</v>
      </c>
      <c r="DL874">
        <v>7</v>
      </c>
      <c r="DM874">
        <v>45</v>
      </c>
      <c r="DN874">
        <v>15</v>
      </c>
      <c r="DO874">
        <v>887</v>
      </c>
      <c r="DP874">
        <v>5</v>
      </c>
      <c r="DQ874">
        <v>8</v>
      </c>
      <c r="DR874">
        <v>3</v>
      </c>
      <c r="DS874">
        <v>0</v>
      </c>
      <c r="DT874">
        <v>8</v>
      </c>
      <c r="DU874">
        <v>15</v>
      </c>
      <c r="DV874">
        <v>37</v>
      </c>
      <c r="DW874">
        <v>1</v>
      </c>
      <c r="DX874">
        <v>16</v>
      </c>
      <c r="DY874">
        <v>6</v>
      </c>
      <c r="DZ874">
        <v>915</v>
      </c>
      <c r="EA874">
        <v>0.95</v>
      </c>
      <c r="EB874">
        <v>0.95043584518392898</v>
      </c>
      <c r="EC874">
        <v>0.94928718320397298</v>
      </c>
      <c r="ED874">
        <v>0.94918056131772599</v>
      </c>
      <c r="EE874">
        <f>SUM(Table1[[#This Row],[ratio_0]:[ratio_9]])</f>
        <v>190</v>
      </c>
      <c r="EF874" s="1">
        <f>(Table1[[#This Row],[predicted_0]]-Table1[[#This Row],[actual_0]])/Table1[[#This Row],[actual_0]]</f>
        <v>4.0816326530612249E-3</v>
      </c>
      <c r="EG874" s="1">
        <f>(Table1[[#This Row],[predicted_1]]-Table1[[#This Row],[actual_1]])/Table1[[#This Row],[actual_1]]</f>
        <v>-1.145374449339207E-2</v>
      </c>
      <c r="EH874" s="1">
        <f>(Table1[[#This Row],[predicted_2]]-Table1[[#This Row],[actual_2]])/Table1[[#This Row],[actual_2]]</f>
        <v>-3.5852713178294575E-2</v>
      </c>
      <c r="EI874" s="1">
        <f>(Table1[[#This Row],[predicted_3]]-Table1[[#This Row],[actual_3]])/Table1[[#This Row],[actual_3]]</f>
        <v>3.2673267326732675E-2</v>
      </c>
      <c r="EJ874" s="1">
        <f>(Table1[[#This Row],[predicted_4]]-Table1[[#This Row],[actual_4]])/Table1[[#This Row],[actual_4]]</f>
        <v>-1.2219959266802444E-2</v>
      </c>
      <c r="EK874" s="1">
        <f>(Table1[[#This Row],[predicted_5]]-Table1[[#This Row],[actual_5]])/Table1[[#This Row],[actual_5]]</f>
        <v>-1.905829596412556E-2</v>
      </c>
      <c r="EL874" s="1">
        <f>(Table1[[#This Row],[predicted_6]]-Table1[[#This Row],[actual_6]])/Table1[[#This Row],[actual_6]]</f>
        <v>0.14091858037578289</v>
      </c>
      <c r="EM874" s="1">
        <f>(Table1[[#This Row],[predicted_7]]-Table1[[#This Row],[actual_7]])/Table1[[#This Row],[actual_7]]</f>
        <v>2.7237354085603113E-2</v>
      </c>
      <c r="EN874" s="1">
        <f>(Table1[[#This Row],[predicted_8]]-Table1[[#This Row],[actual_8]])/Table1[[#This Row],[actual_8]]</f>
        <v>-5.3388090349075976E-2</v>
      </c>
      <c r="EO874" s="1">
        <f>(Table1[[#This Row],[predicted_9]]-Table1[[#This Row],[actual_9]])/Table1[[#This Row],[actual_9]]</f>
        <v>-6.8384539147670967E-2</v>
      </c>
      <c r="EP874" s="1">
        <f>1+(Table1[[#This Row],[error_ratio_0]]-EF$2)</f>
        <v>1.0020408163265306</v>
      </c>
      <c r="EQ874" s="1">
        <f>1+(Table1[[#This Row],[error_ratio_1]]-EG$2)</f>
        <v>0.986784140969163</v>
      </c>
      <c r="ER874" s="1">
        <f>1+(Table1[[#This Row],[error_ratio_2]]-EH$2)</f>
        <v>0.96899224806201545</v>
      </c>
      <c r="ES874" s="1">
        <f>1+(Table1[[#This Row],[error_ratio_3]]-EI$2)</f>
        <v>1.0227722772277228</v>
      </c>
      <c r="ET874" s="1">
        <f>1+(Table1[[#This Row],[error_ratio_4]]-EJ$2)</f>
        <v>0.98676171079429731</v>
      </c>
      <c r="EU874" s="1">
        <f>1+(Table1[[#This Row],[error_ratio_5]]-EK$2)</f>
        <v>0.97982062780269064</v>
      </c>
      <c r="EV874" s="1">
        <f>1+(Table1[[#This Row],[error_ratio_6]]-EL$2)</f>
        <v>1.1471816283924843</v>
      </c>
      <c r="EW874" s="1">
        <f>1+(Table1[[#This Row],[error_ratio_7]]-EM$2)</f>
        <v>1.0252918287937742</v>
      </c>
      <c r="EX874" s="1">
        <f>1+(Table1[[#This Row],[error_ratio_8]]-EN$2)</f>
        <v>0.94969199178644759</v>
      </c>
      <c r="EY874" s="1">
        <f>1+(Table1[[#This Row],[error_ratio_9]]-EO$2)</f>
        <v>0.93557978196233893</v>
      </c>
    </row>
    <row r="875" spans="1:155" x14ac:dyDescent="0.75">
      <c r="A875">
        <v>100</v>
      </c>
      <c r="B875">
        <v>100</v>
      </c>
      <c r="C875">
        <v>100</v>
      </c>
      <c r="D875">
        <v>100</v>
      </c>
      <c r="E875">
        <v>100</v>
      </c>
      <c r="F875">
        <v>100</v>
      </c>
      <c r="G875">
        <v>10</v>
      </c>
      <c r="H875">
        <v>10</v>
      </c>
      <c r="I875">
        <v>10</v>
      </c>
      <c r="J875">
        <v>10</v>
      </c>
      <c r="K875">
        <v>989</v>
      </c>
      <c r="L875">
        <v>1139</v>
      </c>
      <c r="M875">
        <v>1051</v>
      </c>
      <c r="N875">
        <v>1114</v>
      </c>
      <c r="O875">
        <v>993</v>
      </c>
      <c r="P875">
        <v>918</v>
      </c>
      <c r="Q875">
        <v>941</v>
      </c>
      <c r="R875">
        <v>936</v>
      </c>
      <c r="S875">
        <v>900</v>
      </c>
      <c r="T875">
        <v>1019</v>
      </c>
      <c r="U875">
        <v>980</v>
      </c>
      <c r="V875">
        <v>1135</v>
      </c>
      <c r="W875">
        <v>1032</v>
      </c>
      <c r="X875">
        <v>1010</v>
      </c>
      <c r="Y875">
        <v>982</v>
      </c>
      <c r="Z875">
        <v>892</v>
      </c>
      <c r="AA875">
        <v>958</v>
      </c>
      <c r="AB875">
        <v>1028</v>
      </c>
      <c r="AC875">
        <v>974</v>
      </c>
      <c r="AD875">
        <v>1009</v>
      </c>
      <c r="AE875">
        <v>974</v>
      </c>
      <c r="AF875">
        <v>0</v>
      </c>
      <c r="AG875">
        <v>0</v>
      </c>
      <c r="AH875">
        <v>0</v>
      </c>
      <c r="AI875">
        <v>0</v>
      </c>
      <c r="AJ875">
        <v>1</v>
      </c>
      <c r="AK875">
        <v>3</v>
      </c>
      <c r="AL875">
        <v>1</v>
      </c>
      <c r="AM875">
        <v>1</v>
      </c>
      <c r="AN875">
        <v>0</v>
      </c>
      <c r="AO875">
        <v>1</v>
      </c>
      <c r="AP875">
        <v>1126</v>
      </c>
      <c r="AQ875">
        <v>1</v>
      </c>
      <c r="AR875">
        <v>2</v>
      </c>
      <c r="AS875">
        <v>0</v>
      </c>
      <c r="AT875">
        <v>2</v>
      </c>
      <c r="AU875">
        <v>2</v>
      </c>
      <c r="AV875">
        <v>0</v>
      </c>
      <c r="AW875">
        <v>1</v>
      </c>
      <c r="AX875">
        <v>0</v>
      </c>
      <c r="AY875">
        <v>1</v>
      </c>
      <c r="AZ875">
        <v>1</v>
      </c>
      <c r="BA875">
        <v>1014</v>
      </c>
      <c r="BB875">
        <v>12</v>
      </c>
      <c r="BC875">
        <v>2</v>
      </c>
      <c r="BD875">
        <v>0</v>
      </c>
      <c r="BE875">
        <v>1</v>
      </c>
      <c r="BF875">
        <v>1</v>
      </c>
      <c r="BG875">
        <v>0</v>
      </c>
      <c r="BH875">
        <v>0</v>
      </c>
      <c r="BI875">
        <v>0</v>
      </c>
      <c r="BJ875">
        <v>0</v>
      </c>
      <c r="BK875">
        <v>0</v>
      </c>
      <c r="BL875">
        <v>1008</v>
      </c>
      <c r="BM875">
        <v>0</v>
      </c>
      <c r="BN875">
        <v>1</v>
      </c>
      <c r="BO875">
        <v>0</v>
      </c>
      <c r="BP875">
        <v>1</v>
      </c>
      <c r="BQ875">
        <v>0</v>
      </c>
      <c r="BR875">
        <v>0</v>
      </c>
      <c r="BS875">
        <v>0</v>
      </c>
      <c r="BT875">
        <v>0</v>
      </c>
      <c r="BU875">
        <v>0</v>
      </c>
      <c r="BV875">
        <v>0</v>
      </c>
      <c r="BW875">
        <v>971</v>
      </c>
      <c r="BX875">
        <v>0</v>
      </c>
      <c r="BY875">
        <v>0</v>
      </c>
      <c r="BZ875">
        <v>0</v>
      </c>
      <c r="CA875">
        <v>0</v>
      </c>
      <c r="CB875">
        <v>11</v>
      </c>
      <c r="CC875">
        <v>2</v>
      </c>
      <c r="CD875">
        <v>0</v>
      </c>
      <c r="CE875">
        <v>0</v>
      </c>
      <c r="CF875">
        <v>12</v>
      </c>
      <c r="CG875">
        <v>0</v>
      </c>
      <c r="CH875">
        <v>878</v>
      </c>
      <c r="CI875">
        <v>0</v>
      </c>
      <c r="CJ875">
        <v>0</v>
      </c>
      <c r="CK875">
        <v>0</v>
      </c>
      <c r="CL875">
        <v>0</v>
      </c>
      <c r="CM875">
        <v>6</v>
      </c>
      <c r="CN875">
        <v>2</v>
      </c>
      <c r="CO875">
        <v>0</v>
      </c>
      <c r="CP875">
        <v>0</v>
      </c>
      <c r="CQ875">
        <v>14</v>
      </c>
      <c r="CR875">
        <v>9</v>
      </c>
      <c r="CS875">
        <v>927</v>
      </c>
      <c r="CT875">
        <v>0</v>
      </c>
      <c r="CU875">
        <v>0</v>
      </c>
      <c r="CV875">
        <v>0</v>
      </c>
      <c r="CW875">
        <v>1</v>
      </c>
      <c r="CX875">
        <v>7</v>
      </c>
      <c r="CY875">
        <v>26</v>
      </c>
      <c r="CZ875">
        <v>43</v>
      </c>
      <c r="DA875">
        <v>0</v>
      </c>
      <c r="DB875">
        <v>0</v>
      </c>
      <c r="DC875">
        <v>0</v>
      </c>
      <c r="DD875">
        <v>924</v>
      </c>
      <c r="DE875">
        <v>1</v>
      </c>
      <c r="DF875">
        <v>26</v>
      </c>
      <c r="DG875">
        <v>3</v>
      </c>
      <c r="DH875">
        <v>0</v>
      </c>
      <c r="DI875">
        <v>10</v>
      </c>
      <c r="DJ875">
        <v>24</v>
      </c>
      <c r="DK875">
        <v>3</v>
      </c>
      <c r="DL875">
        <v>22</v>
      </c>
      <c r="DM875">
        <v>8</v>
      </c>
      <c r="DN875">
        <v>5</v>
      </c>
      <c r="DO875">
        <v>894</v>
      </c>
      <c r="DP875">
        <v>5</v>
      </c>
      <c r="DQ875">
        <v>1</v>
      </c>
      <c r="DR875">
        <v>3</v>
      </c>
      <c r="DS875">
        <v>0</v>
      </c>
      <c r="DT875">
        <v>13</v>
      </c>
      <c r="DU875">
        <v>3</v>
      </c>
      <c r="DV875">
        <v>5</v>
      </c>
      <c r="DW875">
        <v>0</v>
      </c>
      <c r="DX875">
        <v>4</v>
      </c>
      <c r="DY875">
        <v>3</v>
      </c>
      <c r="DZ875">
        <v>977</v>
      </c>
      <c r="EA875">
        <v>0.96930000000000005</v>
      </c>
      <c r="EB875">
        <v>0.97017525551554296</v>
      </c>
      <c r="EC875">
        <v>0.96922527914357404</v>
      </c>
      <c r="ED875">
        <v>0.96907251954817497</v>
      </c>
      <c r="EE875">
        <f>SUM(Table1[[#This Row],[ratio_0]:[ratio_9]])</f>
        <v>640</v>
      </c>
      <c r="EF875" s="1">
        <f>(Table1[[#This Row],[predicted_0]]-Table1[[#This Row],[actual_0]])/Table1[[#This Row],[actual_0]]</f>
        <v>9.1836734693877559E-3</v>
      </c>
      <c r="EG875" s="1">
        <f>(Table1[[#This Row],[predicted_1]]-Table1[[#This Row],[actual_1]])/Table1[[#This Row],[actual_1]]</f>
        <v>3.524229074889868E-3</v>
      </c>
      <c r="EH875" s="1">
        <f>(Table1[[#This Row],[predicted_2]]-Table1[[#This Row],[actual_2]])/Table1[[#This Row],[actual_2]]</f>
        <v>1.8410852713178296E-2</v>
      </c>
      <c r="EI875" s="1">
        <f>(Table1[[#This Row],[predicted_3]]-Table1[[#This Row],[actual_3]])/Table1[[#This Row],[actual_3]]</f>
        <v>0.10297029702970296</v>
      </c>
      <c r="EJ875" s="1">
        <f>(Table1[[#This Row],[predicted_4]]-Table1[[#This Row],[actual_4]])/Table1[[#This Row],[actual_4]]</f>
        <v>1.1201629327902239E-2</v>
      </c>
      <c r="EK875" s="1">
        <f>(Table1[[#This Row],[predicted_5]]-Table1[[#This Row],[actual_5]])/Table1[[#This Row],[actual_5]]</f>
        <v>2.914798206278027E-2</v>
      </c>
      <c r="EL875" s="1">
        <f>(Table1[[#This Row],[predicted_6]]-Table1[[#This Row],[actual_6]])/Table1[[#This Row],[actual_6]]</f>
        <v>-1.7745302713987474E-2</v>
      </c>
      <c r="EM875" s="1">
        <f>(Table1[[#This Row],[predicted_7]]-Table1[[#This Row],[actual_7]])/Table1[[#This Row],[actual_7]]</f>
        <v>-8.9494163424124515E-2</v>
      </c>
      <c r="EN875" s="1">
        <f>(Table1[[#This Row],[predicted_8]]-Table1[[#This Row],[actual_8]])/Table1[[#This Row],[actual_8]]</f>
        <v>-7.5975359342915813E-2</v>
      </c>
      <c r="EO875" s="1">
        <f>(Table1[[#This Row],[predicted_9]]-Table1[[#This Row],[actual_9]])/Table1[[#This Row],[actual_9]]</f>
        <v>9.9108027750247768E-3</v>
      </c>
      <c r="EP875" s="1">
        <f>1+(Table1[[#This Row],[error_ratio_0]]-EF$2)</f>
        <v>1.0071428571428571</v>
      </c>
      <c r="EQ875" s="1">
        <f>1+(Table1[[#This Row],[error_ratio_1]]-EG$2)</f>
        <v>1.0017621145374449</v>
      </c>
      <c r="ER875" s="1">
        <f>1+(Table1[[#This Row],[error_ratio_2]]-EH$2)</f>
        <v>1.0232558139534884</v>
      </c>
      <c r="ES875" s="1">
        <f>1+(Table1[[#This Row],[error_ratio_3]]-EI$2)</f>
        <v>1.0930693069306932</v>
      </c>
      <c r="ET875" s="1">
        <f>1+(Table1[[#This Row],[error_ratio_4]]-EJ$2)</f>
        <v>1.0101832993890021</v>
      </c>
      <c r="EU875" s="1">
        <f>1+(Table1[[#This Row],[error_ratio_5]]-EK$2)</f>
        <v>1.0280269058295963</v>
      </c>
      <c r="EV875" s="1">
        <f>1+(Table1[[#This Row],[error_ratio_6]]-EL$2)</f>
        <v>0.98851774530271397</v>
      </c>
      <c r="EW875" s="1">
        <f>1+(Table1[[#This Row],[error_ratio_7]]-EM$2)</f>
        <v>0.90856031128404668</v>
      </c>
      <c r="EX875" s="1">
        <f>1+(Table1[[#This Row],[error_ratio_8]]-EN$2)</f>
        <v>0.9271047227926078</v>
      </c>
      <c r="EY875" s="1">
        <f>1+(Table1[[#This Row],[error_ratio_9]]-EO$2)</f>
        <v>1.0138751238850348</v>
      </c>
    </row>
    <row r="876" spans="1:155" x14ac:dyDescent="0.75">
      <c r="A876">
        <v>10</v>
      </c>
      <c r="B876">
        <v>100</v>
      </c>
      <c r="C876">
        <v>100</v>
      </c>
      <c r="D876">
        <v>100</v>
      </c>
      <c r="E876">
        <v>100</v>
      </c>
      <c r="F876">
        <v>100</v>
      </c>
      <c r="G876">
        <v>10</v>
      </c>
      <c r="H876">
        <v>10</v>
      </c>
      <c r="I876">
        <v>10</v>
      </c>
      <c r="J876">
        <v>10</v>
      </c>
      <c r="K876">
        <v>980</v>
      </c>
      <c r="L876">
        <v>1162</v>
      </c>
      <c r="M876">
        <v>1160</v>
      </c>
      <c r="N876">
        <v>1013</v>
      </c>
      <c r="O876">
        <v>1215</v>
      </c>
      <c r="P876">
        <v>1034</v>
      </c>
      <c r="Q876">
        <v>877</v>
      </c>
      <c r="R876">
        <v>930</v>
      </c>
      <c r="S876">
        <v>853</v>
      </c>
      <c r="T876">
        <v>776</v>
      </c>
      <c r="U876">
        <v>980</v>
      </c>
      <c r="V876">
        <v>1135</v>
      </c>
      <c r="W876">
        <v>1032</v>
      </c>
      <c r="X876">
        <v>1010</v>
      </c>
      <c r="Y876">
        <v>982</v>
      </c>
      <c r="Z876">
        <v>892</v>
      </c>
      <c r="AA876">
        <v>958</v>
      </c>
      <c r="AB876">
        <v>1028</v>
      </c>
      <c r="AC876">
        <v>974</v>
      </c>
      <c r="AD876">
        <v>1009</v>
      </c>
      <c r="AE876">
        <v>958</v>
      </c>
      <c r="AF876">
        <v>0</v>
      </c>
      <c r="AG876">
        <v>5</v>
      </c>
      <c r="AH876">
        <v>0</v>
      </c>
      <c r="AI876">
        <v>2</v>
      </c>
      <c r="AJ876">
        <v>10</v>
      </c>
      <c r="AK876">
        <v>2</v>
      </c>
      <c r="AL876">
        <v>2</v>
      </c>
      <c r="AM876">
        <v>0</v>
      </c>
      <c r="AN876">
        <v>1</v>
      </c>
      <c r="AO876">
        <v>0</v>
      </c>
      <c r="AP876">
        <v>1131</v>
      </c>
      <c r="AQ876">
        <v>2</v>
      </c>
      <c r="AR876">
        <v>1</v>
      </c>
      <c r="AS876">
        <v>0</v>
      </c>
      <c r="AT876">
        <v>1</v>
      </c>
      <c r="AU876">
        <v>0</v>
      </c>
      <c r="AV876">
        <v>0</v>
      </c>
      <c r="AW876">
        <v>0</v>
      </c>
      <c r="AX876">
        <v>0</v>
      </c>
      <c r="AY876">
        <v>0</v>
      </c>
      <c r="AZ876">
        <v>1</v>
      </c>
      <c r="BA876">
        <v>1030</v>
      </c>
      <c r="BB876">
        <v>0</v>
      </c>
      <c r="BC876">
        <v>1</v>
      </c>
      <c r="BD876">
        <v>0</v>
      </c>
      <c r="BE876">
        <v>0</v>
      </c>
      <c r="BF876">
        <v>0</v>
      </c>
      <c r="BG876">
        <v>0</v>
      </c>
      <c r="BH876">
        <v>0</v>
      </c>
      <c r="BI876">
        <v>0</v>
      </c>
      <c r="BJ876">
        <v>0</v>
      </c>
      <c r="BK876">
        <v>8</v>
      </c>
      <c r="BL876">
        <v>992</v>
      </c>
      <c r="BM876">
        <v>0</v>
      </c>
      <c r="BN876">
        <v>9</v>
      </c>
      <c r="BO876">
        <v>0</v>
      </c>
      <c r="BP876">
        <v>0</v>
      </c>
      <c r="BQ876">
        <v>0</v>
      </c>
      <c r="BR876">
        <v>1</v>
      </c>
      <c r="BS876">
        <v>0</v>
      </c>
      <c r="BT876">
        <v>0</v>
      </c>
      <c r="BU876">
        <v>2</v>
      </c>
      <c r="BV876">
        <v>0</v>
      </c>
      <c r="BW876">
        <v>980</v>
      </c>
      <c r="BX876">
        <v>0</v>
      </c>
      <c r="BY876">
        <v>0</v>
      </c>
      <c r="BZ876">
        <v>0</v>
      </c>
      <c r="CA876">
        <v>0</v>
      </c>
      <c r="CB876">
        <v>0</v>
      </c>
      <c r="CC876">
        <v>1</v>
      </c>
      <c r="CD876">
        <v>0</v>
      </c>
      <c r="CE876">
        <v>0</v>
      </c>
      <c r="CF876">
        <v>3</v>
      </c>
      <c r="CG876">
        <v>0</v>
      </c>
      <c r="CH876">
        <v>888</v>
      </c>
      <c r="CI876">
        <v>0</v>
      </c>
      <c r="CJ876">
        <v>0</v>
      </c>
      <c r="CK876">
        <v>0</v>
      </c>
      <c r="CL876">
        <v>0</v>
      </c>
      <c r="CM876">
        <v>12</v>
      </c>
      <c r="CN876">
        <v>4</v>
      </c>
      <c r="CO876">
        <v>9</v>
      </c>
      <c r="CP876">
        <v>0</v>
      </c>
      <c r="CQ876">
        <v>15</v>
      </c>
      <c r="CR876">
        <v>44</v>
      </c>
      <c r="CS876">
        <v>874</v>
      </c>
      <c r="CT876">
        <v>0</v>
      </c>
      <c r="CU876">
        <v>0</v>
      </c>
      <c r="CV876">
        <v>0</v>
      </c>
      <c r="CW876">
        <v>1</v>
      </c>
      <c r="CX876">
        <v>15</v>
      </c>
      <c r="CY876">
        <v>67</v>
      </c>
      <c r="CZ876">
        <v>6</v>
      </c>
      <c r="DA876">
        <v>10</v>
      </c>
      <c r="DB876">
        <v>1</v>
      </c>
      <c r="DC876">
        <v>0</v>
      </c>
      <c r="DD876">
        <v>919</v>
      </c>
      <c r="DE876">
        <v>0</v>
      </c>
      <c r="DF876">
        <v>9</v>
      </c>
      <c r="DG876">
        <v>5</v>
      </c>
      <c r="DH876">
        <v>3</v>
      </c>
      <c r="DI876">
        <v>35</v>
      </c>
      <c r="DJ876">
        <v>7</v>
      </c>
      <c r="DK876">
        <v>4</v>
      </c>
      <c r="DL876">
        <v>48</v>
      </c>
      <c r="DM876">
        <v>1</v>
      </c>
      <c r="DN876">
        <v>4</v>
      </c>
      <c r="DO876">
        <v>852</v>
      </c>
      <c r="DP876">
        <v>15</v>
      </c>
      <c r="DQ876">
        <v>3</v>
      </c>
      <c r="DR876">
        <v>8</v>
      </c>
      <c r="DS876">
        <v>2</v>
      </c>
      <c r="DT876">
        <v>4</v>
      </c>
      <c r="DU876">
        <v>203</v>
      </c>
      <c r="DV876">
        <v>33</v>
      </c>
      <c r="DW876">
        <v>0</v>
      </c>
      <c r="DX876">
        <v>5</v>
      </c>
      <c r="DY876">
        <v>1</v>
      </c>
      <c r="DZ876">
        <v>750</v>
      </c>
      <c r="EA876">
        <v>0.93740000000000001</v>
      </c>
      <c r="EB876">
        <v>0.94335323489976297</v>
      </c>
      <c r="EC876">
        <v>0.93720857938254698</v>
      </c>
      <c r="ED876">
        <v>0.93613746642838103</v>
      </c>
      <c r="EE876">
        <f>SUM(Table1[[#This Row],[ratio_0]:[ratio_9]])</f>
        <v>550</v>
      </c>
      <c r="EF876" s="1">
        <f>(Table1[[#This Row],[predicted_0]]-Table1[[#This Row],[actual_0]])/Table1[[#This Row],[actual_0]]</f>
        <v>0</v>
      </c>
      <c r="EG876" s="1">
        <f>(Table1[[#This Row],[predicted_1]]-Table1[[#This Row],[actual_1]])/Table1[[#This Row],[actual_1]]</f>
        <v>2.378854625550661E-2</v>
      </c>
      <c r="EH876" s="1">
        <f>(Table1[[#This Row],[predicted_2]]-Table1[[#This Row],[actual_2]])/Table1[[#This Row],[actual_2]]</f>
        <v>0.12403100775193798</v>
      </c>
      <c r="EI876" s="1">
        <f>(Table1[[#This Row],[predicted_3]]-Table1[[#This Row],[actual_3]])/Table1[[#This Row],[actual_3]]</f>
        <v>2.9702970297029703E-3</v>
      </c>
      <c r="EJ876" s="1">
        <f>(Table1[[#This Row],[predicted_4]]-Table1[[#This Row],[actual_4]])/Table1[[#This Row],[actual_4]]</f>
        <v>0.23727087576374745</v>
      </c>
      <c r="EK876" s="1">
        <f>(Table1[[#This Row],[predicted_5]]-Table1[[#This Row],[actual_5]])/Table1[[#This Row],[actual_5]]</f>
        <v>0.15919282511210761</v>
      </c>
      <c r="EL876" s="1">
        <f>(Table1[[#This Row],[predicted_6]]-Table1[[#This Row],[actual_6]])/Table1[[#This Row],[actual_6]]</f>
        <v>-8.4551148225469733E-2</v>
      </c>
      <c r="EM876" s="1">
        <f>(Table1[[#This Row],[predicted_7]]-Table1[[#This Row],[actual_7]])/Table1[[#This Row],[actual_7]]</f>
        <v>-9.5330739299610889E-2</v>
      </c>
      <c r="EN876" s="1">
        <f>(Table1[[#This Row],[predicted_8]]-Table1[[#This Row],[actual_8]])/Table1[[#This Row],[actual_8]]</f>
        <v>-0.12422997946611909</v>
      </c>
      <c r="EO876" s="1">
        <f>(Table1[[#This Row],[predicted_9]]-Table1[[#This Row],[actual_9]])/Table1[[#This Row],[actual_9]]</f>
        <v>-0.23092170465807729</v>
      </c>
      <c r="EP876" s="1">
        <f>1+(Table1[[#This Row],[error_ratio_0]]-EF$2)</f>
        <v>0.99795918367346936</v>
      </c>
      <c r="EQ876" s="1">
        <f>1+(Table1[[#This Row],[error_ratio_1]]-EG$2)</f>
        <v>1.0220264317180616</v>
      </c>
      <c r="ER876" s="1">
        <f>1+(Table1[[#This Row],[error_ratio_2]]-EH$2)</f>
        <v>1.1288759689922481</v>
      </c>
      <c r="ES876" s="1">
        <f>1+(Table1[[#This Row],[error_ratio_3]]-EI$2)</f>
        <v>0.99306930693069306</v>
      </c>
      <c r="ET876" s="1">
        <f>1+(Table1[[#This Row],[error_ratio_4]]-EJ$2)</f>
        <v>1.2362525458248472</v>
      </c>
      <c r="EU876" s="1">
        <f>1+(Table1[[#This Row],[error_ratio_5]]-EK$2)</f>
        <v>1.1580717488789238</v>
      </c>
      <c r="EV876" s="1">
        <f>1+(Table1[[#This Row],[error_ratio_6]]-EL$2)</f>
        <v>0.92171189979123169</v>
      </c>
      <c r="EW876" s="1">
        <f>1+(Table1[[#This Row],[error_ratio_7]]-EM$2)</f>
        <v>0.90272373540856032</v>
      </c>
      <c r="EX876" s="1">
        <f>1+(Table1[[#This Row],[error_ratio_8]]-EN$2)</f>
        <v>0.87885010266940455</v>
      </c>
      <c r="EY876" s="1">
        <f>1+(Table1[[#This Row],[error_ratio_9]]-EO$2)</f>
        <v>0.77304261645193262</v>
      </c>
    </row>
    <row r="877" spans="1:155" x14ac:dyDescent="0.75">
      <c r="A877">
        <v>100</v>
      </c>
      <c r="B877">
        <v>10</v>
      </c>
      <c r="C877">
        <v>100</v>
      </c>
      <c r="D877">
        <v>100</v>
      </c>
      <c r="E877">
        <v>100</v>
      </c>
      <c r="F877">
        <v>100</v>
      </c>
      <c r="G877">
        <v>10</v>
      </c>
      <c r="H877">
        <v>10</v>
      </c>
      <c r="I877">
        <v>10</v>
      </c>
      <c r="J877">
        <v>10</v>
      </c>
      <c r="K877">
        <v>1038</v>
      </c>
      <c r="L877">
        <v>1165</v>
      </c>
      <c r="M877">
        <v>1158</v>
      </c>
      <c r="N877">
        <v>1049</v>
      </c>
      <c r="O877">
        <v>1063</v>
      </c>
      <c r="P877">
        <v>1041</v>
      </c>
      <c r="Q877">
        <v>837</v>
      </c>
      <c r="R877">
        <v>932</v>
      </c>
      <c r="S877">
        <v>835</v>
      </c>
      <c r="T877">
        <v>882</v>
      </c>
      <c r="U877">
        <v>980</v>
      </c>
      <c r="V877">
        <v>1135</v>
      </c>
      <c r="W877">
        <v>1032</v>
      </c>
      <c r="X877">
        <v>1010</v>
      </c>
      <c r="Y877">
        <v>982</v>
      </c>
      <c r="Z877">
        <v>892</v>
      </c>
      <c r="AA877">
        <v>958</v>
      </c>
      <c r="AB877">
        <v>1028</v>
      </c>
      <c r="AC877">
        <v>974</v>
      </c>
      <c r="AD877">
        <v>1009</v>
      </c>
      <c r="AE877">
        <v>977</v>
      </c>
      <c r="AF877">
        <v>0</v>
      </c>
      <c r="AG877">
        <v>1</v>
      </c>
      <c r="AH877">
        <v>0</v>
      </c>
      <c r="AI877">
        <v>0</v>
      </c>
      <c r="AJ877">
        <v>1</v>
      </c>
      <c r="AK877">
        <v>0</v>
      </c>
      <c r="AL877">
        <v>0</v>
      </c>
      <c r="AM877">
        <v>1</v>
      </c>
      <c r="AN877">
        <v>0</v>
      </c>
      <c r="AO877">
        <v>0</v>
      </c>
      <c r="AP877">
        <v>1120</v>
      </c>
      <c r="AQ877">
        <v>12</v>
      </c>
      <c r="AR877">
        <v>3</v>
      </c>
      <c r="AS877">
        <v>0</v>
      </c>
      <c r="AT877">
        <v>0</v>
      </c>
      <c r="AU877">
        <v>0</v>
      </c>
      <c r="AV877">
        <v>0</v>
      </c>
      <c r="AW877">
        <v>0</v>
      </c>
      <c r="AX877">
        <v>0</v>
      </c>
      <c r="AY877">
        <v>0</v>
      </c>
      <c r="AZ877">
        <v>3</v>
      </c>
      <c r="BA877">
        <v>1027</v>
      </c>
      <c r="BB877">
        <v>0</v>
      </c>
      <c r="BC877">
        <v>1</v>
      </c>
      <c r="BD877">
        <v>0</v>
      </c>
      <c r="BE877">
        <v>0</v>
      </c>
      <c r="BF877">
        <v>1</v>
      </c>
      <c r="BG877">
        <v>0</v>
      </c>
      <c r="BH877">
        <v>0</v>
      </c>
      <c r="BI877">
        <v>0</v>
      </c>
      <c r="BJ877">
        <v>0</v>
      </c>
      <c r="BK877">
        <v>4</v>
      </c>
      <c r="BL877">
        <v>993</v>
      </c>
      <c r="BM877">
        <v>0</v>
      </c>
      <c r="BN877">
        <v>5</v>
      </c>
      <c r="BO877">
        <v>0</v>
      </c>
      <c r="BP877">
        <v>8</v>
      </c>
      <c r="BQ877">
        <v>0</v>
      </c>
      <c r="BR877">
        <v>0</v>
      </c>
      <c r="BS877">
        <v>1</v>
      </c>
      <c r="BT877">
        <v>1</v>
      </c>
      <c r="BU877">
        <v>3</v>
      </c>
      <c r="BV877">
        <v>0</v>
      </c>
      <c r="BW877">
        <v>976</v>
      </c>
      <c r="BX877">
        <v>0</v>
      </c>
      <c r="BY877">
        <v>1</v>
      </c>
      <c r="BZ877">
        <v>0</v>
      </c>
      <c r="CA877">
        <v>0</v>
      </c>
      <c r="CB877">
        <v>0</v>
      </c>
      <c r="CC877">
        <v>2</v>
      </c>
      <c r="CD877">
        <v>0</v>
      </c>
      <c r="CE877">
        <v>0</v>
      </c>
      <c r="CF877">
        <v>10</v>
      </c>
      <c r="CG877">
        <v>0</v>
      </c>
      <c r="CH877">
        <v>880</v>
      </c>
      <c r="CI877">
        <v>0</v>
      </c>
      <c r="CJ877">
        <v>0</v>
      </c>
      <c r="CK877">
        <v>0</v>
      </c>
      <c r="CL877">
        <v>0</v>
      </c>
      <c r="CM877">
        <v>23</v>
      </c>
      <c r="CN877">
        <v>6</v>
      </c>
      <c r="CO877">
        <v>2</v>
      </c>
      <c r="CP877">
        <v>1</v>
      </c>
      <c r="CQ877">
        <v>6</v>
      </c>
      <c r="CR877">
        <v>83</v>
      </c>
      <c r="CS877">
        <v>836</v>
      </c>
      <c r="CT877">
        <v>0</v>
      </c>
      <c r="CU877">
        <v>1</v>
      </c>
      <c r="CV877">
        <v>0</v>
      </c>
      <c r="CW877">
        <v>8</v>
      </c>
      <c r="CX877">
        <v>19</v>
      </c>
      <c r="CY877">
        <v>79</v>
      </c>
      <c r="CZ877">
        <v>2</v>
      </c>
      <c r="DA877">
        <v>8</v>
      </c>
      <c r="DB877">
        <v>0</v>
      </c>
      <c r="DC877">
        <v>0</v>
      </c>
      <c r="DD877">
        <v>906</v>
      </c>
      <c r="DE877">
        <v>1</v>
      </c>
      <c r="DF877">
        <v>5</v>
      </c>
      <c r="DG877">
        <v>15</v>
      </c>
      <c r="DH877">
        <v>8</v>
      </c>
      <c r="DI877">
        <v>26</v>
      </c>
      <c r="DJ877">
        <v>32</v>
      </c>
      <c r="DK877">
        <v>7</v>
      </c>
      <c r="DL877">
        <v>42</v>
      </c>
      <c r="DM877">
        <v>0</v>
      </c>
      <c r="DN877">
        <v>8</v>
      </c>
      <c r="DO877">
        <v>831</v>
      </c>
      <c r="DP877">
        <v>5</v>
      </c>
      <c r="DQ877">
        <v>12</v>
      </c>
      <c r="DR877">
        <v>8</v>
      </c>
      <c r="DS877">
        <v>4</v>
      </c>
      <c r="DT877">
        <v>8</v>
      </c>
      <c r="DU877">
        <v>65</v>
      </c>
      <c r="DV877">
        <v>30</v>
      </c>
      <c r="DW877">
        <v>0</v>
      </c>
      <c r="DX877">
        <v>9</v>
      </c>
      <c r="DY877">
        <v>1</v>
      </c>
      <c r="DZ877">
        <v>872</v>
      </c>
      <c r="EA877">
        <v>0.94179999999999997</v>
      </c>
      <c r="EB877">
        <v>0.94543734299376803</v>
      </c>
      <c r="EC877">
        <v>0.94138624453535102</v>
      </c>
      <c r="ED877">
        <v>0.94066380590032095</v>
      </c>
      <c r="EE877">
        <f>SUM(Table1[[#This Row],[ratio_0]:[ratio_9]])</f>
        <v>550</v>
      </c>
      <c r="EF877" s="1">
        <f>(Table1[[#This Row],[predicted_0]]-Table1[[#This Row],[actual_0]])/Table1[[#This Row],[actual_0]]</f>
        <v>5.9183673469387757E-2</v>
      </c>
      <c r="EG877" s="1">
        <f>(Table1[[#This Row],[predicted_1]]-Table1[[#This Row],[actual_1]])/Table1[[#This Row],[actual_1]]</f>
        <v>2.643171806167401E-2</v>
      </c>
      <c r="EH877" s="1">
        <f>(Table1[[#This Row],[predicted_2]]-Table1[[#This Row],[actual_2]])/Table1[[#This Row],[actual_2]]</f>
        <v>0.12209302325581395</v>
      </c>
      <c r="EI877" s="1">
        <f>(Table1[[#This Row],[predicted_3]]-Table1[[#This Row],[actual_3]])/Table1[[#This Row],[actual_3]]</f>
        <v>3.8613861386138613E-2</v>
      </c>
      <c r="EJ877" s="1">
        <f>(Table1[[#This Row],[predicted_4]]-Table1[[#This Row],[actual_4]])/Table1[[#This Row],[actual_4]]</f>
        <v>8.2484725050916502E-2</v>
      </c>
      <c r="EK877" s="1">
        <f>(Table1[[#This Row],[predicted_5]]-Table1[[#This Row],[actual_5]])/Table1[[#This Row],[actual_5]]</f>
        <v>0.16704035874439463</v>
      </c>
      <c r="EL877" s="1">
        <f>(Table1[[#This Row],[predicted_6]]-Table1[[#This Row],[actual_6]])/Table1[[#This Row],[actual_6]]</f>
        <v>-0.12630480167014613</v>
      </c>
      <c r="EM877" s="1">
        <f>(Table1[[#This Row],[predicted_7]]-Table1[[#This Row],[actual_7]])/Table1[[#This Row],[actual_7]]</f>
        <v>-9.3385214007782102E-2</v>
      </c>
      <c r="EN877" s="1">
        <f>(Table1[[#This Row],[predicted_8]]-Table1[[#This Row],[actual_8]])/Table1[[#This Row],[actual_8]]</f>
        <v>-0.14271047227926079</v>
      </c>
      <c r="EO877" s="1">
        <f>(Table1[[#This Row],[predicted_9]]-Table1[[#This Row],[actual_9]])/Table1[[#This Row],[actual_9]]</f>
        <v>-0.12586719524281467</v>
      </c>
      <c r="EP877" s="1">
        <f>1+(Table1[[#This Row],[error_ratio_0]]-EF$2)</f>
        <v>1.0571428571428572</v>
      </c>
      <c r="EQ877" s="1">
        <f>1+(Table1[[#This Row],[error_ratio_1]]-EG$2)</f>
        <v>1.0246696035242291</v>
      </c>
      <c r="ER877" s="1">
        <f>1+(Table1[[#This Row],[error_ratio_2]]-EH$2)</f>
        <v>1.126937984496124</v>
      </c>
      <c r="ES877" s="1">
        <f>1+(Table1[[#This Row],[error_ratio_3]]-EI$2)</f>
        <v>1.0287128712871287</v>
      </c>
      <c r="ET877" s="1">
        <f>1+(Table1[[#This Row],[error_ratio_4]]-EJ$2)</f>
        <v>1.0814663951120163</v>
      </c>
      <c r="EU877" s="1">
        <f>1+(Table1[[#This Row],[error_ratio_5]]-EK$2)</f>
        <v>1.1659192825112108</v>
      </c>
      <c r="EV877" s="1">
        <f>1+(Table1[[#This Row],[error_ratio_6]]-EL$2)</f>
        <v>0.87995824634655539</v>
      </c>
      <c r="EW877" s="1">
        <f>1+(Table1[[#This Row],[error_ratio_7]]-EM$2)</f>
        <v>0.90466926070038911</v>
      </c>
      <c r="EX877" s="1">
        <f>1+(Table1[[#This Row],[error_ratio_8]]-EN$2)</f>
        <v>0.86036960985626276</v>
      </c>
      <c r="EY877" s="1">
        <f>1+(Table1[[#This Row],[error_ratio_9]]-EO$2)</f>
        <v>0.87809712586719524</v>
      </c>
    </row>
    <row r="878" spans="1:155" x14ac:dyDescent="0.75">
      <c r="A878">
        <v>10</v>
      </c>
      <c r="B878">
        <v>10</v>
      </c>
      <c r="C878">
        <v>100</v>
      </c>
      <c r="D878">
        <v>100</v>
      </c>
      <c r="E878">
        <v>100</v>
      </c>
      <c r="F878">
        <v>100</v>
      </c>
      <c r="G878">
        <v>10</v>
      </c>
      <c r="H878">
        <v>10</v>
      </c>
      <c r="I878">
        <v>10</v>
      </c>
      <c r="J878">
        <v>10</v>
      </c>
      <c r="K878">
        <v>961</v>
      </c>
      <c r="L878">
        <v>1121</v>
      </c>
      <c r="M878">
        <v>1202</v>
      </c>
      <c r="N878">
        <v>1042</v>
      </c>
      <c r="O878">
        <v>1207</v>
      </c>
      <c r="P878">
        <v>990</v>
      </c>
      <c r="Q878">
        <v>896</v>
      </c>
      <c r="R878">
        <v>936</v>
      </c>
      <c r="S878">
        <v>894</v>
      </c>
      <c r="T878">
        <v>751</v>
      </c>
      <c r="U878">
        <v>980</v>
      </c>
      <c r="V878">
        <v>1135</v>
      </c>
      <c r="W878">
        <v>1032</v>
      </c>
      <c r="X878">
        <v>1010</v>
      </c>
      <c r="Y878">
        <v>982</v>
      </c>
      <c r="Z878">
        <v>892</v>
      </c>
      <c r="AA878">
        <v>958</v>
      </c>
      <c r="AB878">
        <v>1028</v>
      </c>
      <c r="AC878">
        <v>974</v>
      </c>
      <c r="AD878">
        <v>1009</v>
      </c>
      <c r="AE878">
        <v>940</v>
      </c>
      <c r="AF878">
        <v>0</v>
      </c>
      <c r="AG878">
        <v>4</v>
      </c>
      <c r="AH878">
        <v>0</v>
      </c>
      <c r="AI878">
        <v>5</v>
      </c>
      <c r="AJ878">
        <v>23</v>
      </c>
      <c r="AK878">
        <v>3</v>
      </c>
      <c r="AL878">
        <v>1</v>
      </c>
      <c r="AM878">
        <v>3</v>
      </c>
      <c r="AN878">
        <v>1</v>
      </c>
      <c r="AO878">
        <v>0</v>
      </c>
      <c r="AP878">
        <v>1112</v>
      </c>
      <c r="AQ878">
        <v>17</v>
      </c>
      <c r="AR878">
        <v>0</v>
      </c>
      <c r="AS878">
        <v>0</v>
      </c>
      <c r="AT878">
        <v>2</v>
      </c>
      <c r="AU878">
        <v>1</v>
      </c>
      <c r="AV878">
        <v>0</v>
      </c>
      <c r="AW878">
        <v>3</v>
      </c>
      <c r="AX878">
        <v>0</v>
      </c>
      <c r="AY878">
        <v>0</v>
      </c>
      <c r="AZ878">
        <v>0</v>
      </c>
      <c r="BA878">
        <v>1032</v>
      </c>
      <c r="BB878">
        <v>0</v>
      </c>
      <c r="BC878">
        <v>0</v>
      </c>
      <c r="BD878">
        <v>0</v>
      </c>
      <c r="BE878">
        <v>0</v>
      </c>
      <c r="BF878">
        <v>0</v>
      </c>
      <c r="BG878">
        <v>0</v>
      </c>
      <c r="BH878">
        <v>0</v>
      </c>
      <c r="BI878">
        <v>0</v>
      </c>
      <c r="BJ878">
        <v>0</v>
      </c>
      <c r="BK878">
        <v>5</v>
      </c>
      <c r="BL878">
        <v>998</v>
      </c>
      <c r="BM878">
        <v>0</v>
      </c>
      <c r="BN878">
        <v>5</v>
      </c>
      <c r="BO878">
        <v>0</v>
      </c>
      <c r="BP878">
        <v>1</v>
      </c>
      <c r="BQ878">
        <v>1</v>
      </c>
      <c r="BR878">
        <v>0</v>
      </c>
      <c r="BS878">
        <v>0</v>
      </c>
      <c r="BT878">
        <v>0</v>
      </c>
      <c r="BU878">
        <v>4</v>
      </c>
      <c r="BV878">
        <v>0</v>
      </c>
      <c r="BW878">
        <v>978</v>
      </c>
      <c r="BX878">
        <v>0</v>
      </c>
      <c r="BY878">
        <v>0</v>
      </c>
      <c r="BZ878">
        <v>0</v>
      </c>
      <c r="CA878">
        <v>0</v>
      </c>
      <c r="CB878">
        <v>0</v>
      </c>
      <c r="CC878">
        <v>1</v>
      </c>
      <c r="CD878">
        <v>0</v>
      </c>
      <c r="CE878">
        <v>1</v>
      </c>
      <c r="CF878">
        <v>6</v>
      </c>
      <c r="CG878">
        <v>0</v>
      </c>
      <c r="CH878">
        <v>882</v>
      </c>
      <c r="CI878">
        <v>1</v>
      </c>
      <c r="CJ878">
        <v>0</v>
      </c>
      <c r="CK878">
        <v>1</v>
      </c>
      <c r="CL878">
        <v>0</v>
      </c>
      <c r="CM878">
        <v>5</v>
      </c>
      <c r="CN878">
        <v>3</v>
      </c>
      <c r="CO878">
        <v>7</v>
      </c>
      <c r="CP878">
        <v>0</v>
      </c>
      <c r="CQ878">
        <v>37</v>
      </c>
      <c r="CR878">
        <v>14</v>
      </c>
      <c r="CS878">
        <v>891</v>
      </c>
      <c r="CT878">
        <v>0</v>
      </c>
      <c r="CU878">
        <v>1</v>
      </c>
      <c r="CV878">
        <v>0</v>
      </c>
      <c r="CW878">
        <v>7</v>
      </c>
      <c r="CX878">
        <v>2</v>
      </c>
      <c r="CY878">
        <v>71</v>
      </c>
      <c r="CZ878">
        <v>14</v>
      </c>
      <c r="DA878">
        <v>7</v>
      </c>
      <c r="DB878">
        <v>6</v>
      </c>
      <c r="DC878">
        <v>0</v>
      </c>
      <c r="DD878">
        <v>918</v>
      </c>
      <c r="DE878">
        <v>1</v>
      </c>
      <c r="DF878">
        <v>2</v>
      </c>
      <c r="DG878">
        <v>3</v>
      </c>
      <c r="DH878">
        <v>0</v>
      </c>
      <c r="DI878">
        <v>51</v>
      </c>
      <c r="DJ878">
        <v>11</v>
      </c>
      <c r="DK878">
        <v>8</v>
      </c>
      <c r="DL878">
        <v>15</v>
      </c>
      <c r="DM878">
        <v>0</v>
      </c>
      <c r="DN878">
        <v>6</v>
      </c>
      <c r="DO878">
        <v>878</v>
      </c>
      <c r="DP878">
        <v>2</v>
      </c>
      <c r="DQ878">
        <v>5</v>
      </c>
      <c r="DR878">
        <v>4</v>
      </c>
      <c r="DS878">
        <v>10</v>
      </c>
      <c r="DT878">
        <v>13</v>
      </c>
      <c r="DU878">
        <v>172</v>
      </c>
      <c r="DV878">
        <v>43</v>
      </c>
      <c r="DW878">
        <v>0</v>
      </c>
      <c r="DX878">
        <v>10</v>
      </c>
      <c r="DY878">
        <v>6</v>
      </c>
      <c r="DZ878">
        <v>746</v>
      </c>
      <c r="EA878">
        <v>0.9375</v>
      </c>
      <c r="EB878">
        <v>0.94382782691984402</v>
      </c>
      <c r="EC878">
        <v>0.93755960841921904</v>
      </c>
      <c r="ED878">
        <v>0.93656228457317803</v>
      </c>
      <c r="EE878">
        <f>SUM(Table1[[#This Row],[ratio_0]:[ratio_9]])</f>
        <v>460</v>
      </c>
      <c r="EF878" s="1">
        <f>(Table1[[#This Row],[predicted_0]]-Table1[[#This Row],[actual_0]])/Table1[[#This Row],[actual_0]]</f>
        <v>-1.9387755102040816E-2</v>
      </c>
      <c r="EG878" s="1">
        <f>(Table1[[#This Row],[predicted_1]]-Table1[[#This Row],[actual_1]])/Table1[[#This Row],[actual_1]]</f>
        <v>-1.2334801762114538E-2</v>
      </c>
      <c r="EH878" s="1">
        <f>(Table1[[#This Row],[predicted_2]]-Table1[[#This Row],[actual_2]])/Table1[[#This Row],[actual_2]]</f>
        <v>0.16472868217054262</v>
      </c>
      <c r="EI878" s="1">
        <f>(Table1[[#This Row],[predicted_3]]-Table1[[#This Row],[actual_3]])/Table1[[#This Row],[actual_3]]</f>
        <v>3.1683168316831684E-2</v>
      </c>
      <c r="EJ878" s="1">
        <f>(Table1[[#This Row],[predicted_4]]-Table1[[#This Row],[actual_4]])/Table1[[#This Row],[actual_4]]</f>
        <v>0.22912423625254583</v>
      </c>
      <c r="EK878" s="1">
        <f>(Table1[[#This Row],[predicted_5]]-Table1[[#This Row],[actual_5]])/Table1[[#This Row],[actual_5]]</f>
        <v>0.10986547085201794</v>
      </c>
      <c r="EL878" s="1">
        <f>(Table1[[#This Row],[predicted_6]]-Table1[[#This Row],[actual_6]])/Table1[[#This Row],[actual_6]]</f>
        <v>-6.471816283924843E-2</v>
      </c>
      <c r="EM878" s="1">
        <f>(Table1[[#This Row],[predicted_7]]-Table1[[#This Row],[actual_7]])/Table1[[#This Row],[actual_7]]</f>
        <v>-8.9494163424124515E-2</v>
      </c>
      <c r="EN878" s="1">
        <f>(Table1[[#This Row],[predicted_8]]-Table1[[#This Row],[actual_8]])/Table1[[#This Row],[actual_8]]</f>
        <v>-8.2135523613963035E-2</v>
      </c>
      <c r="EO878" s="1">
        <f>(Table1[[#This Row],[predicted_9]]-Table1[[#This Row],[actual_9]])/Table1[[#This Row],[actual_9]]</f>
        <v>-0.25569871159563923</v>
      </c>
      <c r="EP878" s="1">
        <f>1+(Table1[[#This Row],[error_ratio_0]]-EF$2)</f>
        <v>0.97857142857142854</v>
      </c>
      <c r="EQ878" s="1">
        <f>1+(Table1[[#This Row],[error_ratio_1]]-EG$2)</f>
        <v>0.98590308370044055</v>
      </c>
      <c r="ER878" s="1">
        <f>1+(Table1[[#This Row],[error_ratio_2]]-EH$2)</f>
        <v>1.1695736434108528</v>
      </c>
      <c r="ES878" s="1">
        <f>1+(Table1[[#This Row],[error_ratio_3]]-EI$2)</f>
        <v>1.0217821782178218</v>
      </c>
      <c r="ET878" s="1">
        <f>1+(Table1[[#This Row],[error_ratio_4]]-EJ$2)</f>
        <v>1.2281059063136457</v>
      </c>
      <c r="EU878" s="1">
        <f>1+(Table1[[#This Row],[error_ratio_5]]-EK$2)</f>
        <v>1.108744394618834</v>
      </c>
      <c r="EV878" s="1">
        <f>1+(Table1[[#This Row],[error_ratio_6]]-EL$2)</f>
        <v>0.94154488517745305</v>
      </c>
      <c r="EW878" s="1">
        <f>1+(Table1[[#This Row],[error_ratio_7]]-EM$2)</f>
        <v>0.90856031128404668</v>
      </c>
      <c r="EX878" s="1">
        <f>1+(Table1[[#This Row],[error_ratio_8]]-EN$2)</f>
        <v>0.92094455852156054</v>
      </c>
      <c r="EY878" s="1">
        <f>1+(Table1[[#This Row],[error_ratio_9]]-EO$2)</f>
        <v>0.74826560951437071</v>
      </c>
    </row>
    <row r="879" spans="1:155" x14ac:dyDescent="0.75">
      <c r="A879">
        <v>100</v>
      </c>
      <c r="B879">
        <v>100</v>
      </c>
      <c r="C879">
        <v>10</v>
      </c>
      <c r="D879">
        <v>100</v>
      </c>
      <c r="E879">
        <v>100</v>
      </c>
      <c r="F879">
        <v>100</v>
      </c>
      <c r="G879">
        <v>10</v>
      </c>
      <c r="H879">
        <v>10</v>
      </c>
      <c r="I879">
        <v>10</v>
      </c>
      <c r="J879">
        <v>10</v>
      </c>
      <c r="K879">
        <v>1093</v>
      </c>
      <c r="L879">
        <v>1166</v>
      </c>
      <c r="M879">
        <v>930</v>
      </c>
      <c r="N879">
        <v>1290</v>
      </c>
      <c r="O879">
        <v>1039</v>
      </c>
      <c r="P879">
        <v>1044</v>
      </c>
      <c r="Q879">
        <v>862</v>
      </c>
      <c r="R879">
        <v>761</v>
      </c>
      <c r="S879">
        <v>809</v>
      </c>
      <c r="T879">
        <v>1006</v>
      </c>
      <c r="U879">
        <v>980</v>
      </c>
      <c r="V879">
        <v>1135</v>
      </c>
      <c r="W879">
        <v>1032</v>
      </c>
      <c r="X879">
        <v>1010</v>
      </c>
      <c r="Y879">
        <v>982</v>
      </c>
      <c r="Z879">
        <v>892</v>
      </c>
      <c r="AA879">
        <v>958</v>
      </c>
      <c r="AB879">
        <v>1028</v>
      </c>
      <c r="AC879">
        <v>974</v>
      </c>
      <c r="AD879">
        <v>1009</v>
      </c>
      <c r="AE879">
        <v>978</v>
      </c>
      <c r="AF879">
        <v>0</v>
      </c>
      <c r="AG879">
        <v>0</v>
      </c>
      <c r="AH879">
        <v>0</v>
      </c>
      <c r="AI879">
        <v>0</v>
      </c>
      <c r="AJ879">
        <v>1</v>
      </c>
      <c r="AK879">
        <v>0</v>
      </c>
      <c r="AL879">
        <v>0</v>
      </c>
      <c r="AM879">
        <v>1</v>
      </c>
      <c r="AN879">
        <v>0</v>
      </c>
      <c r="AO879">
        <v>0</v>
      </c>
      <c r="AP879">
        <v>1126</v>
      </c>
      <c r="AQ879">
        <v>0</v>
      </c>
      <c r="AR879">
        <v>6</v>
      </c>
      <c r="AS879">
        <v>1</v>
      </c>
      <c r="AT879">
        <v>0</v>
      </c>
      <c r="AU879">
        <v>0</v>
      </c>
      <c r="AV879">
        <v>0</v>
      </c>
      <c r="AW879">
        <v>2</v>
      </c>
      <c r="AX879">
        <v>0</v>
      </c>
      <c r="AY879">
        <v>41</v>
      </c>
      <c r="AZ879">
        <v>7</v>
      </c>
      <c r="BA879">
        <v>893</v>
      </c>
      <c r="BB879">
        <v>70</v>
      </c>
      <c r="BC879">
        <v>6</v>
      </c>
      <c r="BD879">
        <v>2</v>
      </c>
      <c r="BE879">
        <v>1</v>
      </c>
      <c r="BF879">
        <v>8</v>
      </c>
      <c r="BG879">
        <v>4</v>
      </c>
      <c r="BH879">
        <v>0</v>
      </c>
      <c r="BI879">
        <v>0</v>
      </c>
      <c r="BJ879">
        <v>0</v>
      </c>
      <c r="BK879">
        <v>0</v>
      </c>
      <c r="BL879">
        <v>1008</v>
      </c>
      <c r="BM879">
        <v>0</v>
      </c>
      <c r="BN879">
        <v>2</v>
      </c>
      <c r="BO879">
        <v>0</v>
      </c>
      <c r="BP879">
        <v>0</v>
      </c>
      <c r="BQ879">
        <v>0</v>
      </c>
      <c r="BR879">
        <v>0</v>
      </c>
      <c r="BS879">
        <v>0</v>
      </c>
      <c r="BT879">
        <v>0</v>
      </c>
      <c r="BU879">
        <v>0</v>
      </c>
      <c r="BV879">
        <v>0</v>
      </c>
      <c r="BW879">
        <v>982</v>
      </c>
      <c r="BX879">
        <v>0</v>
      </c>
      <c r="BY879">
        <v>0</v>
      </c>
      <c r="BZ879">
        <v>0</v>
      </c>
      <c r="CA879">
        <v>0</v>
      </c>
      <c r="CB879">
        <v>0</v>
      </c>
      <c r="CC879">
        <v>2</v>
      </c>
      <c r="CD879">
        <v>0</v>
      </c>
      <c r="CE879">
        <v>0</v>
      </c>
      <c r="CF879">
        <v>7</v>
      </c>
      <c r="CG879">
        <v>0</v>
      </c>
      <c r="CH879">
        <v>883</v>
      </c>
      <c r="CI879">
        <v>0</v>
      </c>
      <c r="CJ879">
        <v>0</v>
      </c>
      <c r="CK879">
        <v>0</v>
      </c>
      <c r="CL879">
        <v>0</v>
      </c>
      <c r="CM879">
        <v>26</v>
      </c>
      <c r="CN879">
        <v>7</v>
      </c>
      <c r="CO879">
        <v>0</v>
      </c>
      <c r="CP879">
        <v>1</v>
      </c>
      <c r="CQ879">
        <v>6</v>
      </c>
      <c r="CR879">
        <v>60</v>
      </c>
      <c r="CS879">
        <v>857</v>
      </c>
      <c r="CT879">
        <v>0</v>
      </c>
      <c r="CU879">
        <v>1</v>
      </c>
      <c r="CV879">
        <v>0</v>
      </c>
      <c r="CW879">
        <v>22</v>
      </c>
      <c r="CX879">
        <v>20</v>
      </c>
      <c r="CY879">
        <v>31</v>
      </c>
      <c r="CZ879">
        <v>102</v>
      </c>
      <c r="DA879">
        <v>14</v>
      </c>
      <c r="DB879">
        <v>7</v>
      </c>
      <c r="DC879">
        <v>0</v>
      </c>
      <c r="DD879">
        <v>750</v>
      </c>
      <c r="DE879">
        <v>0</v>
      </c>
      <c r="DF879">
        <v>82</v>
      </c>
      <c r="DG879">
        <v>10</v>
      </c>
      <c r="DH879">
        <v>0</v>
      </c>
      <c r="DI879">
        <v>6</v>
      </c>
      <c r="DJ879">
        <v>77</v>
      </c>
      <c r="DK879">
        <v>10</v>
      </c>
      <c r="DL879">
        <v>61</v>
      </c>
      <c r="DM879">
        <v>4</v>
      </c>
      <c r="DN879">
        <v>0</v>
      </c>
      <c r="DO879">
        <v>801</v>
      </c>
      <c r="DP879">
        <v>5</v>
      </c>
      <c r="DQ879">
        <v>14</v>
      </c>
      <c r="DR879">
        <v>6</v>
      </c>
      <c r="DS879">
        <v>0</v>
      </c>
      <c r="DT879">
        <v>19</v>
      </c>
      <c r="DU879">
        <v>20</v>
      </c>
      <c r="DV879">
        <v>28</v>
      </c>
      <c r="DW879">
        <v>0</v>
      </c>
      <c r="DX879">
        <v>3</v>
      </c>
      <c r="DY879">
        <v>0</v>
      </c>
      <c r="DZ879">
        <v>919</v>
      </c>
      <c r="EA879">
        <v>0.91969999999999996</v>
      </c>
      <c r="EB879">
        <v>0.92763900847646197</v>
      </c>
      <c r="EC879">
        <v>0.92005985763534603</v>
      </c>
      <c r="ED879">
        <v>0.91839285354460398</v>
      </c>
      <c r="EE879">
        <f>SUM(Table1[[#This Row],[ratio_0]:[ratio_9]])</f>
        <v>550</v>
      </c>
      <c r="EF879" s="1">
        <f>(Table1[[#This Row],[predicted_0]]-Table1[[#This Row],[actual_0]])/Table1[[#This Row],[actual_0]]</f>
        <v>0.11530612244897959</v>
      </c>
      <c r="EG879" s="1">
        <f>(Table1[[#This Row],[predicted_1]]-Table1[[#This Row],[actual_1]])/Table1[[#This Row],[actual_1]]</f>
        <v>2.7312775330396475E-2</v>
      </c>
      <c r="EH879" s="1">
        <f>(Table1[[#This Row],[predicted_2]]-Table1[[#This Row],[actual_2]])/Table1[[#This Row],[actual_2]]</f>
        <v>-9.8837209302325577E-2</v>
      </c>
      <c r="EI879" s="1">
        <f>(Table1[[#This Row],[predicted_3]]-Table1[[#This Row],[actual_3]])/Table1[[#This Row],[actual_3]]</f>
        <v>0.27722772277227725</v>
      </c>
      <c r="EJ879" s="1">
        <f>(Table1[[#This Row],[predicted_4]]-Table1[[#This Row],[actual_4]])/Table1[[#This Row],[actual_4]]</f>
        <v>5.8044806517311608E-2</v>
      </c>
      <c r="EK879" s="1">
        <f>(Table1[[#This Row],[predicted_5]]-Table1[[#This Row],[actual_5]])/Table1[[#This Row],[actual_5]]</f>
        <v>0.17040358744394618</v>
      </c>
      <c r="EL879" s="1">
        <f>(Table1[[#This Row],[predicted_6]]-Table1[[#This Row],[actual_6]])/Table1[[#This Row],[actual_6]]</f>
        <v>-0.10020876826722339</v>
      </c>
      <c r="EM879" s="1">
        <f>(Table1[[#This Row],[predicted_7]]-Table1[[#This Row],[actual_7]])/Table1[[#This Row],[actual_7]]</f>
        <v>-0.25972762645914399</v>
      </c>
      <c r="EN879" s="1">
        <f>(Table1[[#This Row],[predicted_8]]-Table1[[#This Row],[actual_8]])/Table1[[#This Row],[actual_8]]</f>
        <v>-0.16940451745379878</v>
      </c>
      <c r="EO879" s="1">
        <f>(Table1[[#This Row],[predicted_9]]-Table1[[#This Row],[actual_9]])/Table1[[#This Row],[actual_9]]</f>
        <v>-2.973240832507433E-3</v>
      </c>
      <c r="EP879" s="1">
        <f>1+(Table1[[#This Row],[error_ratio_0]]-EF$2)</f>
        <v>1.1132653061224489</v>
      </c>
      <c r="EQ879" s="1">
        <f>1+(Table1[[#This Row],[error_ratio_1]]-EG$2)</f>
        <v>1.0255506607929514</v>
      </c>
      <c r="ER879" s="1">
        <f>1+(Table1[[#This Row],[error_ratio_2]]-EH$2)</f>
        <v>0.90600775193798455</v>
      </c>
      <c r="ES879" s="1">
        <f>1+(Table1[[#This Row],[error_ratio_3]]-EI$2)</f>
        <v>1.2673267326732673</v>
      </c>
      <c r="ET879" s="1">
        <f>1+(Table1[[#This Row],[error_ratio_4]]-EJ$2)</f>
        <v>1.0570264765784114</v>
      </c>
      <c r="EU879" s="1">
        <f>1+(Table1[[#This Row],[error_ratio_5]]-EK$2)</f>
        <v>1.1692825112107623</v>
      </c>
      <c r="EV879" s="1">
        <f>1+(Table1[[#This Row],[error_ratio_6]]-EL$2)</f>
        <v>0.90605427974947805</v>
      </c>
      <c r="EW879" s="1">
        <f>1+(Table1[[#This Row],[error_ratio_7]]-EM$2)</f>
        <v>0.73832684824902728</v>
      </c>
      <c r="EX879" s="1">
        <f>1+(Table1[[#This Row],[error_ratio_8]]-EN$2)</f>
        <v>0.83367556468172488</v>
      </c>
      <c r="EY879" s="1">
        <f>1+(Table1[[#This Row],[error_ratio_9]]-EO$2)</f>
        <v>1.0009910802775024</v>
      </c>
    </row>
    <row r="880" spans="1:155" x14ac:dyDescent="0.75">
      <c r="A880">
        <v>10</v>
      </c>
      <c r="B880">
        <v>100</v>
      </c>
      <c r="C880">
        <v>10</v>
      </c>
      <c r="D880">
        <v>100</v>
      </c>
      <c r="E880">
        <v>100</v>
      </c>
      <c r="F880">
        <v>100</v>
      </c>
      <c r="G880">
        <v>10</v>
      </c>
      <c r="H880">
        <v>10</v>
      </c>
      <c r="I880">
        <v>10</v>
      </c>
      <c r="J880">
        <v>10</v>
      </c>
      <c r="K880">
        <v>1015</v>
      </c>
      <c r="L880">
        <v>1190</v>
      </c>
      <c r="M880">
        <v>1006</v>
      </c>
      <c r="N880">
        <v>1083</v>
      </c>
      <c r="O880">
        <v>1058</v>
      </c>
      <c r="P880">
        <v>945</v>
      </c>
      <c r="Q880">
        <v>881</v>
      </c>
      <c r="R880">
        <v>948</v>
      </c>
      <c r="S880">
        <v>937</v>
      </c>
      <c r="T880">
        <v>937</v>
      </c>
      <c r="U880">
        <v>980</v>
      </c>
      <c r="V880">
        <v>1135</v>
      </c>
      <c r="W880">
        <v>1032</v>
      </c>
      <c r="X880">
        <v>1010</v>
      </c>
      <c r="Y880">
        <v>982</v>
      </c>
      <c r="Z880">
        <v>892</v>
      </c>
      <c r="AA880">
        <v>958</v>
      </c>
      <c r="AB880">
        <v>1028</v>
      </c>
      <c r="AC880">
        <v>974</v>
      </c>
      <c r="AD880">
        <v>1009</v>
      </c>
      <c r="AE880">
        <v>970</v>
      </c>
      <c r="AF880">
        <v>0</v>
      </c>
      <c r="AG880">
        <v>0</v>
      </c>
      <c r="AH880">
        <v>1</v>
      </c>
      <c r="AI880">
        <v>2</v>
      </c>
      <c r="AJ880">
        <v>3</v>
      </c>
      <c r="AK880">
        <v>0</v>
      </c>
      <c r="AL880">
        <v>1</v>
      </c>
      <c r="AM880">
        <v>3</v>
      </c>
      <c r="AN880">
        <v>0</v>
      </c>
      <c r="AO880">
        <v>0</v>
      </c>
      <c r="AP880">
        <v>1134</v>
      </c>
      <c r="AQ880">
        <v>0</v>
      </c>
      <c r="AR880">
        <v>1</v>
      </c>
      <c r="AS880">
        <v>0</v>
      </c>
      <c r="AT880">
        <v>0</v>
      </c>
      <c r="AU880">
        <v>0</v>
      </c>
      <c r="AV880">
        <v>0</v>
      </c>
      <c r="AW880">
        <v>0</v>
      </c>
      <c r="AX880">
        <v>0</v>
      </c>
      <c r="AY880">
        <v>7</v>
      </c>
      <c r="AZ880">
        <v>23</v>
      </c>
      <c r="BA880">
        <v>973</v>
      </c>
      <c r="BB880">
        <v>9</v>
      </c>
      <c r="BC880">
        <v>11</v>
      </c>
      <c r="BD880">
        <v>2</v>
      </c>
      <c r="BE880">
        <v>0</v>
      </c>
      <c r="BF880">
        <v>4</v>
      </c>
      <c r="BG880">
        <v>2</v>
      </c>
      <c r="BH880">
        <v>1</v>
      </c>
      <c r="BI880">
        <v>1</v>
      </c>
      <c r="BJ880">
        <v>0</v>
      </c>
      <c r="BK880">
        <v>2</v>
      </c>
      <c r="BL880">
        <v>1004</v>
      </c>
      <c r="BM880">
        <v>0</v>
      </c>
      <c r="BN880">
        <v>0</v>
      </c>
      <c r="BO880">
        <v>0</v>
      </c>
      <c r="BP880">
        <v>2</v>
      </c>
      <c r="BQ880">
        <v>0</v>
      </c>
      <c r="BR880">
        <v>1</v>
      </c>
      <c r="BS880">
        <v>0</v>
      </c>
      <c r="BT880">
        <v>0</v>
      </c>
      <c r="BU880">
        <v>0</v>
      </c>
      <c r="BV880">
        <v>0</v>
      </c>
      <c r="BW880">
        <v>978</v>
      </c>
      <c r="BX880">
        <v>1</v>
      </c>
      <c r="BY880">
        <v>0</v>
      </c>
      <c r="BZ880">
        <v>0</v>
      </c>
      <c r="CA880">
        <v>0</v>
      </c>
      <c r="CB880">
        <v>3</v>
      </c>
      <c r="CC880">
        <v>3</v>
      </c>
      <c r="CD880">
        <v>0</v>
      </c>
      <c r="CE880">
        <v>0</v>
      </c>
      <c r="CF880">
        <v>7</v>
      </c>
      <c r="CG880">
        <v>0</v>
      </c>
      <c r="CH880">
        <v>882</v>
      </c>
      <c r="CI880">
        <v>0</v>
      </c>
      <c r="CJ880">
        <v>0</v>
      </c>
      <c r="CK880">
        <v>0</v>
      </c>
      <c r="CL880">
        <v>0</v>
      </c>
      <c r="CM880">
        <v>19</v>
      </c>
      <c r="CN880">
        <v>6</v>
      </c>
      <c r="CO880">
        <v>0</v>
      </c>
      <c r="CP880">
        <v>1</v>
      </c>
      <c r="CQ880">
        <v>38</v>
      </c>
      <c r="CR880">
        <v>15</v>
      </c>
      <c r="CS880">
        <v>879</v>
      </c>
      <c r="CT880">
        <v>0</v>
      </c>
      <c r="CU880">
        <v>0</v>
      </c>
      <c r="CV880">
        <v>0</v>
      </c>
      <c r="CW880">
        <v>2</v>
      </c>
      <c r="CX880">
        <v>18</v>
      </c>
      <c r="CY880">
        <v>23</v>
      </c>
      <c r="CZ880">
        <v>17</v>
      </c>
      <c r="DA880">
        <v>9</v>
      </c>
      <c r="DB880">
        <v>5</v>
      </c>
      <c r="DC880">
        <v>0</v>
      </c>
      <c r="DD880">
        <v>933</v>
      </c>
      <c r="DE880">
        <v>16</v>
      </c>
      <c r="DF880">
        <v>5</v>
      </c>
      <c r="DG880">
        <v>6</v>
      </c>
      <c r="DH880">
        <v>2</v>
      </c>
      <c r="DI880">
        <v>8</v>
      </c>
      <c r="DJ880">
        <v>28</v>
      </c>
      <c r="DK880">
        <v>5</v>
      </c>
      <c r="DL880">
        <v>21</v>
      </c>
      <c r="DM880">
        <v>2</v>
      </c>
      <c r="DN880">
        <v>1</v>
      </c>
      <c r="DO880">
        <v>897</v>
      </c>
      <c r="DP880">
        <v>4</v>
      </c>
      <c r="DQ880">
        <v>7</v>
      </c>
      <c r="DR880">
        <v>7</v>
      </c>
      <c r="DS880">
        <v>0</v>
      </c>
      <c r="DT880">
        <v>15</v>
      </c>
      <c r="DU880">
        <v>15</v>
      </c>
      <c r="DV880">
        <v>16</v>
      </c>
      <c r="DW880">
        <v>0</v>
      </c>
      <c r="DX880">
        <v>7</v>
      </c>
      <c r="DY880">
        <v>19</v>
      </c>
      <c r="DZ880">
        <v>923</v>
      </c>
      <c r="EA880">
        <v>0.95730000000000004</v>
      </c>
      <c r="EB880">
        <v>0.95848527963288199</v>
      </c>
      <c r="EC880">
        <v>0.95713553800573603</v>
      </c>
      <c r="ED880">
        <v>0.95689202704966703</v>
      </c>
      <c r="EE880">
        <f>SUM(Table1[[#This Row],[ratio_0]:[ratio_9]])</f>
        <v>460</v>
      </c>
      <c r="EF880" s="1">
        <f>(Table1[[#This Row],[predicted_0]]-Table1[[#This Row],[actual_0]])/Table1[[#This Row],[actual_0]]</f>
        <v>3.5714285714285712E-2</v>
      </c>
      <c r="EG880" s="1">
        <f>(Table1[[#This Row],[predicted_1]]-Table1[[#This Row],[actual_1]])/Table1[[#This Row],[actual_1]]</f>
        <v>4.8458149779735685E-2</v>
      </c>
      <c r="EH880" s="1">
        <f>(Table1[[#This Row],[predicted_2]]-Table1[[#This Row],[actual_2]])/Table1[[#This Row],[actual_2]]</f>
        <v>-2.5193798449612403E-2</v>
      </c>
      <c r="EI880" s="1">
        <f>(Table1[[#This Row],[predicted_3]]-Table1[[#This Row],[actual_3]])/Table1[[#This Row],[actual_3]]</f>
        <v>7.2277227722772272E-2</v>
      </c>
      <c r="EJ880" s="1">
        <f>(Table1[[#This Row],[predicted_4]]-Table1[[#This Row],[actual_4]])/Table1[[#This Row],[actual_4]]</f>
        <v>7.7393075356415472E-2</v>
      </c>
      <c r="EK880" s="1">
        <f>(Table1[[#This Row],[predicted_5]]-Table1[[#This Row],[actual_5]])/Table1[[#This Row],[actual_5]]</f>
        <v>5.9417040358744393E-2</v>
      </c>
      <c r="EL880" s="1">
        <f>(Table1[[#This Row],[predicted_6]]-Table1[[#This Row],[actual_6]])/Table1[[#This Row],[actual_6]]</f>
        <v>-8.0375782881002084E-2</v>
      </c>
      <c r="EM880" s="1">
        <f>(Table1[[#This Row],[predicted_7]]-Table1[[#This Row],[actual_7]])/Table1[[#This Row],[actual_7]]</f>
        <v>-7.7821011673151752E-2</v>
      </c>
      <c r="EN880" s="1">
        <f>(Table1[[#This Row],[predicted_8]]-Table1[[#This Row],[actual_8]])/Table1[[#This Row],[actual_8]]</f>
        <v>-3.7987679671457907E-2</v>
      </c>
      <c r="EO880" s="1">
        <f>(Table1[[#This Row],[predicted_9]]-Table1[[#This Row],[actual_9]])/Table1[[#This Row],[actual_9]]</f>
        <v>-7.1357779980178393E-2</v>
      </c>
      <c r="EP880" s="1">
        <f>1+(Table1[[#This Row],[error_ratio_0]]-EF$2)</f>
        <v>1.0336734693877552</v>
      </c>
      <c r="EQ880" s="1">
        <f>1+(Table1[[#This Row],[error_ratio_1]]-EG$2)</f>
        <v>1.0466960352422907</v>
      </c>
      <c r="ER880" s="1">
        <f>1+(Table1[[#This Row],[error_ratio_2]]-EH$2)</f>
        <v>0.97965116279069764</v>
      </c>
      <c r="ES880" s="1">
        <f>1+(Table1[[#This Row],[error_ratio_3]]-EI$2)</f>
        <v>1.0623762376237624</v>
      </c>
      <c r="ET880" s="1">
        <f>1+(Table1[[#This Row],[error_ratio_4]]-EJ$2)</f>
        <v>1.0763747454175152</v>
      </c>
      <c r="EU880" s="1">
        <f>1+(Table1[[#This Row],[error_ratio_5]]-EK$2)</f>
        <v>1.0582959641255605</v>
      </c>
      <c r="EV880" s="1">
        <f>1+(Table1[[#This Row],[error_ratio_6]]-EL$2)</f>
        <v>0.92588726513569941</v>
      </c>
      <c r="EW880" s="1">
        <f>1+(Table1[[#This Row],[error_ratio_7]]-EM$2)</f>
        <v>0.92023346303501952</v>
      </c>
      <c r="EX880" s="1">
        <f>1+(Table1[[#This Row],[error_ratio_8]]-EN$2)</f>
        <v>0.96509240246406569</v>
      </c>
      <c r="EY880" s="1">
        <f>1+(Table1[[#This Row],[error_ratio_9]]-EO$2)</f>
        <v>0.93260654112983155</v>
      </c>
    </row>
    <row r="881" spans="1:155" x14ac:dyDescent="0.75">
      <c r="A881">
        <v>100</v>
      </c>
      <c r="B881">
        <v>10</v>
      </c>
      <c r="C881">
        <v>10</v>
      </c>
      <c r="D881">
        <v>100</v>
      </c>
      <c r="E881">
        <v>100</v>
      </c>
      <c r="F881">
        <v>100</v>
      </c>
      <c r="G881">
        <v>10</v>
      </c>
      <c r="H881">
        <v>10</v>
      </c>
      <c r="I881">
        <v>10</v>
      </c>
      <c r="J881">
        <v>10</v>
      </c>
      <c r="K881">
        <v>1071</v>
      </c>
      <c r="L881">
        <v>1140</v>
      </c>
      <c r="M881">
        <v>979</v>
      </c>
      <c r="N881">
        <v>1028</v>
      </c>
      <c r="O881">
        <v>1118</v>
      </c>
      <c r="P881">
        <v>879</v>
      </c>
      <c r="Q881">
        <v>955</v>
      </c>
      <c r="R881">
        <v>977</v>
      </c>
      <c r="S881">
        <v>900</v>
      </c>
      <c r="T881">
        <v>953</v>
      </c>
      <c r="U881">
        <v>980</v>
      </c>
      <c r="V881">
        <v>1135</v>
      </c>
      <c r="W881">
        <v>1032</v>
      </c>
      <c r="X881">
        <v>1010</v>
      </c>
      <c r="Y881">
        <v>982</v>
      </c>
      <c r="Z881">
        <v>892</v>
      </c>
      <c r="AA881">
        <v>958</v>
      </c>
      <c r="AB881">
        <v>1028</v>
      </c>
      <c r="AC881">
        <v>974</v>
      </c>
      <c r="AD881">
        <v>1009</v>
      </c>
      <c r="AE881">
        <v>978</v>
      </c>
      <c r="AF881">
        <v>0</v>
      </c>
      <c r="AG881">
        <v>0</v>
      </c>
      <c r="AH881">
        <v>0</v>
      </c>
      <c r="AI881">
        <v>1</v>
      </c>
      <c r="AJ881">
        <v>0</v>
      </c>
      <c r="AK881">
        <v>1</v>
      </c>
      <c r="AL881">
        <v>0</v>
      </c>
      <c r="AM881">
        <v>0</v>
      </c>
      <c r="AN881">
        <v>0</v>
      </c>
      <c r="AO881">
        <v>0</v>
      </c>
      <c r="AP881">
        <v>1119</v>
      </c>
      <c r="AQ881">
        <v>2</v>
      </c>
      <c r="AR881">
        <v>3</v>
      </c>
      <c r="AS881">
        <v>3</v>
      </c>
      <c r="AT881">
        <v>2</v>
      </c>
      <c r="AU881">
        <v>5</v>
      </c>
      <c r="AV881">
        <v>0</v>
      </c>
      <c r="AW881">
        <v>0</v>
      </c>
      <c r="AX881">
        <v>1</v>
      </c>
      <c r="AY881">
        <v>12</v>
      </c>
      <c r="AZ881">
        <v>1</v>
      </c>
      <c r="BA881">
        <v>960</v>
      </c>
      <c r="BB881">
        <v>3</v>
      </c>
      <c r="BC881">
        <v>32</v>
      </c>
      <c r="BD881">
        <v>0</v>
      </c>
      <c r="BE881">
        <v>5</v>
      </c>
      <c r="BF881">
        <v>12</v>
      </c>
      <c r="BG881">
        <v>7</v>
      </c>
      <c r="BH881">
        <v>0</v>
      </c>
      <c r="BI881">
        <v>1</v>
      </c>
      <c r="BJ881">
        <v>0</v>
      </c>
      <c r="BK881">
        <v>2</v>
      </c>
      <c r="BL881">
        <v>997</v>
      </c>
      <c r="BM881">
        <v>0</v>
      </c>
      <c r="BN881">
        <v>3</v>
      </c>
      <c r="BO881">
        <v>0</v>
      </c>
      <c r="BP881">
        <v>4</v>
      </c>
      <c r="BQ881">
        <v>1</v>
      </c>
      <c r="BR881">
        <v>2</v>
      </c>
      <c r="BS881">
        <v>0</v>
      </c>
      <c r="BT881">
        <v>0</v>
      </c>
      <c r="BU881">
        <v>0</v>
      </c>
      <c r="BV881">
        <v>0</v>
      </c>
      <c r="BW881">
        <v>981</v>
      </c>
      <c r="BX881">
        <v>0</v>
      </c>
      <c r="BY881">
        <v>1</v>
      </c>
      <c r="BZ881">
        <v>0</v>
      </c>
      <c r="CA881">
        <v>0</v>
      </c>
      <c r="CB881">
        <v>0</v>
      </c>
      <c r="CC881">
        <v>8</v>
      </c>
      <c r="CD881">
        <v>0</v>
      </c>
      <c r="CE881">
        <v>0</v>
      </c>
      <c r="CF881">
        <v>10</v>
      </c>
      <c r="CG881">
        <v>0</v>
      </c>
      <c r="CH881">
        <v>865</v>
      </c>
      <c r="CI881">
        <v>4</v>
      </c>
      <c r="CJ881">
        <v>0</v>
      </c>
      <c r="CK881">
        <v>1</v>
      </c>
      <c r="CL881">
        <v>4</v>
      </c>
      <c r="CM881">
        <v>18</v>
      </c>
      <c r="CN881">
        <v>2</v>
      </c>
      <c r="CO881">
        <v>0</v>
      </c>
      <c r="CP881">
        <v>0</v>
      </c>
      <c r="CQ881">
        <v>7</v>
      </c>
      <c r="CR881">
        <v>1</v>
      </c>
      <c r="CS881">
        <v>930</v>
      </c>
      <c r="CT881">
        <v>0</v>
      </c>
      <c r="CU881">
        <v>0</v>
      </c>
      <c r="CV881">
        <v>0</v>
      </c>
      <c r="CW881">
        <v>18</v>
      </c>
      <c r="CX881">
        <v>7</v>
      </c>
      <c r="CY881">
        <v>11</v>
      </c>
      <c r="CZ881">
        <v>7</v>
      </c>
      <c r="DA881">
        <v>17</v>
      </c>
      <c r="DB881">
        <v>1</v>
      </c>
      <c r="DC881">
        <v>0</v>
      </c>
      <c r="DD881">
        <v>950</v>
      </c>
      <c r="DE881">
        <v>3</v>
      </c>
      <c r="DF881">
        <v>14</v>
      </c>
      <c r="DG881">
        <v>24</v>
      </c>
      <c r="DH881">
        <v>6</v>
      </c>
      <c r="DI881">
        <v>4</v>
      </c>
      <c r="DJ881">
        <v>2</v>
      </c>
      <c r="DK881">
        <v>16</v>
      </c>
      <c r="DL881">
        <v>6</v>
      </c>
      <c r="DM881">
        <v>9</v>
      </c>
      <c r="DN881">
        <v>6</v>
      </c>
      <c r="DO881">
        <v>887</v>
      </c>
      <c r="DP881">
        <v>14</v>
      </c>
      <c r="DQ881">
        <v>12</v>
      </c>
      <c r="DR881">
        <v>5</v>
      </c>
      <c r="DS881">
        <v>0</v>
      </c>
      <c r="DT881">
        <v>6</v>
      </c>
      <c r="DU881">
        <v>61</v>
      </c>
      <c r="DV881">
        <v>1</v>
      </c>
      <c r="DW881">
        <v>0</v>
      </c>
      <c r="DX881">
        <v>5</v>
      </c>
      <c r="DY881">
        <v>1</v>
      </c>
      <c r="DZ881">
        <v>918</v>
      </c>
      <c r="EA881">
        <v>0.95850000000000002</v>
      </c>
      <c r="EB881">
        <v>0.96017293701072404</v>
      </c>
      <c r="EC881">
        <v>0.95853224191743602</v>
      </c>
      <c r="ED881">
        <v>0.95840552052675299</v>
      </c>
      <c r="EE881">
        <f>SUM(Table1[[#This Row],[ratio_0]:[ratio_9]])</f>
        <v>460</v>
      </c>
      <c r="EF881" s="1">
        <f>(Table1[[#This Row],[predicted_0]]-Table1[[#This Row],[actual_0]])/Table1[[#This Row],[actual_0]]</f>
        <v>9.285714285714286E-2</v>
      </c>
      <c r="EG881" s="1">
        <f>(Table1[[#This Row],[predicted_1]]-Table1[[#This Row],[actual_1]])/Table1[[#This Row],[actual_1]]</f>
        <v>4.4052863436123352E-3</v>
      </c>
      <c r="EH881" s="1">
        <f>(Table1[[#This Row],[predicted_2]]-Table1[[#This Row],[actual_2]])/Table1[[#This Row],[actual_2]]</f>
        <v>-5.1356589147286823E-2</v>
      </c>
      <c r="EI881" s="1">
        <f>(Table1[[#This Row],[predicted_3]]-Table1[[#This Row],[actual_3]])/Table1[[#This Row],[actual_3]]</f>
        <v>1.782178217821782E-2</v>
      </c>
      <c r="EJ881" s="1">
        <f>(Table1[[#This Row],[predicted_4]]-Table1[[#This Row],[actual_4]])/Table1[[#This Row],[actual_4]]</f>
        <v>0.1384928716904277</v>
      </c>
      <c r="EK881" s="1">
        <f>(Table1[[#This Row],[predicted_5]]-Table1[[#This Row],[actual_5]])/Table1[[#This Row],[actual_5]]</f>
        <v>-1.4573991031390135E-2</v>
      </c>
      <c r="EL881" s="1">
        <f>(Table1[[#This Row],[predicted_6]]-Table1[[#This Row],[actual_6]])/Table1[[#This Row],[actual_6]]</f>
        <v>-3.1315240083507308E-3</v>
      </c>
      <c r="EM881" s="1">
        <f>(Table1[[#This Row],[predicted_7]]-Table1[[#This Row],[actual_7]])/Table1[[#This Row],[actual_7]]</f>
        <v>-4.9610894941634238E-2</v>
      </c>
      <c r="EN881" s="1">
        <f>(Table1[[#This Row],[predicted_8]]-Table1[[#This Row],[actual_8]])/Table1[[#This Row],[actual_8]]</f>
        <v>-7.5975359342915813E-2</v>
      </c>
      <c r="EO881" s="1">
        <f>(Table1[[#This Row],[predicted_9]]-Table1[[#This Row],[actual_9]])/Table1[[#This Row],[actual_9]]</f>
        <v>-5.550049554013875E-2</v>
      </c>
      <c r="EP881" s="1">
        <f>1+(Table1[[#This Row],[error_ratio_0]]-EF$2)</f>
        <v>1.0908163265306123</v>
      </c>
      <c r="EQ881" s="1">
        <f>1+(Table1[[#This Row],[error_ratio_1]]-EG$2)</f>
        <v>1.0026431718061675</v>
      </c>
      <c r="ER881" s="1">
        <f>1+(Table1[[#This Row],[error_ratio_2]]-EH$2)</f>
        <v>0.95348837209302328</v>
      </c>
      <c r="ES881" s="1">
        <f>1+(Table1[[#This Row],[error_ratio_3]]-EI$2)</f>
        <v>1.0079207920792079</v>
      </c>
      <c r="ET881" s="1">
        <f>1+(Table1[[#This Row],[error_ratio_4]]-EJ$2)</f>
        <v>1.1374745417515275</v>
      </c>
      <c r="EU881" s="1">
        <f>1+(Table1[[#This Row],[error_ratio_5]]-EK$2)</f>
        <v>0.98430493273542596</v>
      </c>
      <c r="EV881" s="1">
        <f>1+(Table1[[#This Row],[error_ratio_6]]-EL$2)</f>
        <v>1.0031315240083507</v>
      </c>
      <c r="EW881" s="1">
        <f>1+(Table1[[#This Row],[error_ratio_7]]-EM$2)</f>
        <v>0.94844357976653693</v>
      </c>
      <c r="EX881" s="1">
        <f>1+(Table1[[#This Row],[error_ratio_8]]-EN$2)</f>
        <v>0.9271047227926078</v>
      </c>
      <c r="EY881" s="1">
        <f>1+(Table1[[#This Row],[error_ratio_9]]-EO$2)</f>
        <v>0.94846382556987119</v>
      </c>
    </row>
    <row r="882" spans="1:155" x14ac:dyDescent="0.75">
      <c r="A882">
        <v>10</v>
      </c>
      <c r="B882">
        <v>10</v>
      </c>
      <c r="C882">
        <v>10</v>
      </c>
      <c r="D882">
        <v>100</v>
      </c>
      <c r="E882">
        <v>100</v>
      </c>
      <c r="F882">
        <v>100</v>
      </c>
      <c r="G882">
        <v>10</v>
      </c>
      <c r="H882">
        <v>10</v>
      </c>
      <c r="I882">
        <v>10</v>
      </c>
      <c r="J882">
        <v>10</v>
      </c>
      <c r="K882">
        <v>1008</v>
      </c>
      <c r="L882">
        <v>1119</v>
      </c>
      <c r="M882">
        <v>972</v>
      </c>
      <c r="N882">
        <v>1212</v>
      </c>
      <c r="O882">
        <v>1030</v>
      </c>
      <c r="P882">
        <v>1000</v>
      </c>
      <c r="Q882">
        <v>903</v>
      </c>
      <c r="R882">
        <v>1013</v>
      </c>
      <c r="S882">
        <v>873</v>
      </c>
      <c r="T882">
        <v>870</v>
      </c>
      <c r="U882">
        <v>980</v>
      </c>
      <c r="V882">
        <v>1135</v>
      </c>
      <c r="W882">
        <v>1032</v>
      </c>
      <c r="X882">
        <v>1010</v>
      </c>
      <c r="Y882">
        <v>982</v>
      </c>
      <c r="Z882">
        <v>892</v>
      </c>
      <c r="AA882">
        <v>958</v>
      </c>
      <c r="AB882">
        <v>1028</v>
      </c>
      <c r="AC882">
        <v>974</v>
      </c>
      <c r="AD882">
        <v>1009</v>
      </c>
      <c r="AE882">
        <v>970</v>
      </c>
      <c r="AF882">
        <v>0</v>
      </c>
      <c r="AG882">
        <v>1</v>
      </c>
      <c r="AH882">
        <v>0</v>
      </c>
      <c r="AI882">
        <v>0</v>
      </c>
      <c r="AJ882">
        <v>5</v>
      </c>
      <c r="AK882">
        <v>0</v>
      </c>
      <c r="AL882">
        <v>2</v>
      </c>
      <c r="AM882">
        <v>0</v>
      </c>
      <c r="AN882">
        <v>2</v>
      </c>
      <c r="AO882">
        <v>0</v>
      </c>
      <c r="AP882">
        <v>1111</v>
      </c>
      <c r="AQ882">
        <v>3</v>
      </c>
      <c r="AR882">
        <v>10</v>
      </c>
      <c r="AS882">
        <v>0</v>
      </c>
      <c r="AT882">
        <v>2</v>
      </c>
      <c r="AU882">
        <v>2</v>
      </c>
      <c r="AV882">
        <v>1</v>
      </c>
      <c r="AW882">
        <v>6</v>
      </c>
      <c r="AX882">
        <v>0</v>
      </c>
      <c r="AY882">
        <v>7</v>
      </c>
      <c r="AZ882">
        <v>0</v>
      </c>
      <c r="BA882">
        <v>955</v>
      </c>
      <c r="BB882">
        <v>43</v>
      </c>
      <c r="BC882">
        <v>1</v>
      </c>
      <c r="BD882">
        <v>2</v>
      </c>
      <c r="BE882">
        <v>0</v>
      </c>
      <c r="BF882">
        <v>17</v>
      </c>
      <c r="BG882">
        <v>7</v>
      </c>
      <c r="BH882">
        <v>0</v>
      </c>
      <c r="BI882">
        <v>0</v>
      </c>
      <c r="BJ882">
        <v>0</v>
      </c>
      <c r="BK882">
        <v>1</v>
      </c>
      <c r="BL882">
        <v>1006</v>
      </c>
      <c r="BM882">
        <v>0</v>
      </c>
      <c r="BN882">
        <v>2</v>
      </c>
      <c r="BO882">
        <v>0</v>
      </c>
      <c r="BP882">
        <v>1</v>
      </c>
      <c r="BQ882">
        <v>0</v>
      </c>
      <c r="BR882">
        <v>0</v>
      </c>
      <c r="BS882">
        <v>0</v>
      </c>
      <c r="BT882">
        <v>0</v>
      </c>
      <c r="BU882">
        <v>1</v>
      </c>
      <c r="BV882">
        <v>0</v>
      </c>
      <c r="BW882">
        <v>976</v>
      </c>
      <c r="BX882">
        <v>0</v>
      </c>
      <c r="BY882">
        <v>1</v>
      </c>
      <c r="BZ882">
        <v>0</v>
      </c>
      <c r="CA882">
        <v>0</v>
      </c>
      <c r="CB882">
        <v>4</v>
      </c>
      <c r="CC882">
        <v>1</v>
      </c>
      <c r="CD882">
        <v>0</v>
      </c>
      <c r="CE882">
        <v>1</v>
      </c>
      <c r="CF882">
        <v>7</v>
      </c>
      <c r="CG882">
        <v>0</v>
      </c>
      <c r="CH882">
        <v>883</v>
      </c>
      <c r="CI882">
        <v>0</v>
      </c>
      <c r="CJ882">
        <v>0</v>
      </c>
      <c r="CK882">
        <v>0</v>
      </c>
      <c r="CL882">
        <v>0</v>
      </c>
      <c r="CM882">
        <v>16</v>
      </c>
      <c r="CN882">
        <v>2</v>
      </c>
      <c r="CO882">
        <v>2</v>
      </c>
      <c r="CP882">
        <v>2</v>
      </c>
      <c r="CQ882">
        <v>3</v>
      </c>
      <c r="CR882">
        <v>32</v>
      </c>
      <c r="CS882">
        <v>900</v>
      </c>
      <c r="CT882">
        <v>0</v>
      </c>
      <c r="CU882">
        <v>1</v>
      </c>
      <c r="CV882">
        <v>0</v>
      </c>
      <c r="CW882">
        <v>4</v>
      </c>
      <c r="CX882">
        <v>1</v>
      </c>
      <c r="CY882">
        <v>5</v>
      </c>
      <c r="CZ882">
        <v>38</v>
      </c>
      <c r="DA882">
        <v>3</v>
      </c>
      <c r="DB882">
        <v>2</v>
      </c>
      <c r="DC882">
        <v>0</v>
      </c>
      <c r="DD882">
        <v>971</v>
      </c>
      <c r="DE882">
        <v>2</v>
      </c>
      <c r="DF882">
        <v>2</v>
      </c>
      <c r="DG882">
        <v>5</v>
      </c>
      <c r="DH882">
        <v>0</v>
      </c>
      <c r="DI882">
        <v>3</v>
      </c>
      <c r="DJ882">
        <v>54</v>
      </c>
      <c r="DK882">
        <v>4</v>
      </c>
      <c r="DL882">
        <v>41</v>
      </c>
      <c r="DM882">
        <v>0</v>
      </c>
      <c r="DN882">
        <v>11</v>
      </c>
      <c r="DO882">
        <v>851</v>
      </c>
      <c r="DP882">
        <v>5</v>
      </c>
      <c r="DQ882">
        <v>5</v>
      </c>
      <c r="DR882">
        <v>5</v>
      </c>
      <c r="DS882">
        <v>0</v>
      </c>
      <c r="DT882">
        <v>52</v>
      </c>
      <c r="DU882">
        <v>43</v>
      </c>
      <c r="DV882">
        <v>31</v>
      </c>
      <c r="DW882">
        <v>0</v>
      </c>
      <c r="DX882">
        <v>10</v>
      </c>
      <c r="DY882">
        <v>6</v>
      </c>
      <c r="DZ882">
        <v>857</v>
      </c>
      <c r="EA882">
        <v>0.94799999999999995</v>
      </c>
      <c r="EB882">
        <v>0.95133422008363699</v>
      </c>
      <c r="EC882">
        <v>0.94809602409968197</v>
      </c>
      <c r="ED882">
        <v>0.94762231790097096</v>
      </c>
      <c r="EE882">
        <f>SUM(Table1[[#This Row],[ratio_0]:[ratio_9]])</f>
        <v>370</v>
      </c>
      <c r="EF882" s="1">
        <f>(Table1[[#This Row],[predicted_0]]-Table1[[#This Row],[actual_0]])/Table1[[#This Row],[actual_0]]</f>
        <v>2.8571428571428571E-2</v>
      </c>
      <c r="EG882" s="1">
        <f>(Table1[[#This Row],[predicted_1]]-Table1[[#This Row],[actual_1]])/Table1[[#This Row],[actual_1]]</f>
        <v>-1.4096916299559472E-2</v>
      </c>
      <c r="EH882" s="1">
        <f>(Table1[[#This Row],[predicted_2]]-Table1[[#This Row],[actual_2]])/Table1[[#This Row],[actual_2]]</f>
        <v>-5.8139534883720929E-2</v>
      </c>
      <c r="EI882" s="1">
        <f>(Table1[[#This Row],[predicted_3]]-Table1[[#This Row],[actual_3]])/Table1[[#This Row],[actual_3]]</f>
        <v>0.2</v>
      </c>
      <c r="EJ882" s="1">
        <f>(Table1[[#This Row],[predicted_4]]-Table1[[#This Row],[actual_4]])/Table1[[#This Row],[actual_4]]</f>
        <v>4.8879837067209775E-2</v>
      </c>
      <c r="EK882" s="1">
        <f>(Table1[[#This Row],[predicted_5]]-Table1[[#This Row],[actual_5]])/Table1[[#This Row],[actual_5]]</f>
        <v>0.1210762331838565</v>
      </c>
      <c r="EL882" s="1">
        <f>(Table1[[#This Row],[predicted_6]]-Table1[[#This Row],[actual_6]])/Table1[[#This Row],[actual_6]]</f>
        <v>-5.7411273486430062E-2</v>
      </c>
      <c r="EM882" s="1">
        <f>(Table1[[#This Row],[predicted_7]]-Table1[[#This Row],[actual_7]])/Table1[[#This Row],[actual_7]]</f>
        <v>-1.4591439688715954E-2</v>
      </c>
      <c r="EN882" s="1">
        <f>(Table1[[#This Row],[predicted_8]]-Table1[[#This Row],[actual_8]])/Table1[[#This Row],[actual_8]]</f>
        <v>-0.10369609856262833</v>
      </c>
      <c r="EO882" s="1">
        <f>(Table1[[#This Row],[predicted_9]]-Table1[[#This Row],[actual_9]])/Table1[[#This Row],[actual_9]]</f>
        <v>-0.1377601585728444</v>
      </c>
      <c r="EP882" s="1">
        <f>1+(Table1[[#This Row],[error_ratio_0]]-EF$2)</f>
        <v>1.0265306122448981</v>
      </c>
      <c r="EQ882" s="1">
        <f>1+(Table1[[#This Row],[error_ratio_1]]-EG$2)</f>
        <v>0.98414096916299565</v>
      </c>
      <c r="ER882" s="1">
        <f>1+(Table1[[#This Row],[error_ratio_2]]-EH$2)</f>
        <v>0.94670542635658916</v>
      </c>
      <c r="ES882" s="1">
        <f>1+(Table1[[#This Row],[error_ratio_3]]-EI$2)</f>
        <v>1.19009900990099</v>
      </c>
      <c r="ET882" s="1">
        <f>1+(Table1[[#This Row],[error_ratio_4]]-EJ$2)</f>
        <v>1.0478615071283095</v>
      </c>
      <c r="EU882" s="1">
        <f>1+(Table1[[#This Row],[error_ratio_5]]-EK$2)</f>
        <v>1.1199551569506727</v>
      </c>
      <c r="EV882" s="1">
        <f>1+(Table1[[#This Row],[error_ratio_6]]-EL$2)</f>
        <v>0.94885177453027136</v>
      </c>
      <c r="EW882" s="1">
        <f>1+(Table1[[#This Row],[error_ratio_7]]-EM$2)</f>
        <v>0.9834630350194552</v>
      </c>
      <c r="EX882" s="1">
        <f>1+(Table1[[#This Row],[error_ratio_8]]-EN$2)</f>
        <v>0.89938398357289528</v>
      </c>
      <c r="EY882" s="1">
        <f>1+(Table1[[#This Row],[error_ratio_9]]-EO$2)</f>
        <v>0.86620416253716548</v>
      </c>
    </row>
    <row r="883" spans="1:155" x14ac:dyDescent="0.75">
      <c r="A883">
        <v>100</v>
      </c>
      <c r="B883">
        <v>100</v>
      </c>
      <c r="C883">
        <v>100</v>
      </c>
      <c r="D883">
        <v>10</v>
      </c>
      <c r="E883">
        <v>100</v>
      </c>
      <c r="F883">
        <v>100</v>
      </c>
      <c r="G883">
        <v>10</v>
      </c>
      <c r="H883">
        <v>10</v>
      </c>
      <c r="I883">
        <v>10</v>
      </c>
      <c r="J883">
        <v>10</v>
      </c>
      <c r="K883">
        <v>1011</v>
      </c>
      <c r="L883">
        <v>1163</v>
      </c>
      <c r="M883">
        <v>1155</v>
      </c>
      <c r="N883">
        <v>946</v>
      </c>
      <c r="O883">
        <v>1003</v>
      </c>
      <c r="P883">
        <v>942</v>
      </c>
      <c r="Q883">
        <v>940</v>
      </c>
      <c r="R883">
        <v>1062</v>
      </c>
      <c r="S883">
        <v>831</v>
      </c>
      <c r="T883">
        <v>947</v>
      </c>
      <c r="U883">
        <v>980</v>
      </c>
      <c r="V883">
        <v>1135</v>
      </c>
      <c r="W883">
        <v>1032</v>
      </c>
      <c r="X883">
        <v>1010</v>
      </c>
      <c r="Y883">
        <v>982</v>
      </c>
      <c r="Z883">
        <v>892</v>
      </c>
      <c r="AA883">
        <v>958</v>
      </c>
      <c r="AB883">
        <v>1028</v>
      </c>
      <c r="AC883">
        <v>974</v>
      </c>
      <c r="AD883">
        <v>1009</v>
      </c>
      <c r="AE883">
        <v>974</v>
      </c>
      <c r="AF883">
        <v>1</v>
      </c>
      <c r="AG883">
        <v>1</v>
      </c>
      <c r="AH883">
        <v>0</v>
      </c>
      <c r="AI883">
        <v>0</v>
      </c>
      <c r="AJ883">
        <v>1</v>
      </c>
      <c r="AK883">
        <v>0</v>
      </c>
      <c r="AL883">
        <v>1</v>
      </c>
      <c r="AM883">
        <v>0</v>
      </c>
      <c r="AN883">
        <v>2</v>
      </c>
      <c r="AO883">
        <v>0</v>
      </c>
      <c r="AP883">
        <v>1132</v>
      </c>
      <c r="AQ883">
        <v>3</v>
      </c>
      <c r="AR883">
        <v>0</v>
      </c>
      <c r="AS883">
        <v>0</v>
      </c>
      <c r="AT883">
        <v>0</v>
      </c>
      <c r="AU883">
        <v>0</v>
      </c>
      <c r="AV883">
        <v>0</v>
      </c>
      <c r="AW883">
        <v>0</v>
      </c>
      <c r="AX883">
        <v>0</v>
      </c>
      <c r="AY883">
        <v>0</v>
      </c>
      <c r="AZ883">
        <v>0</v>
      </c>
      <c r="BA883">
        <v>1030</v>
      </c>
      <c r="BB883">
        <v>0</v>
      </c>
      <c r="BC883">
        <v>0</v>
      </c>
      <c r="BD883">
        <v>0</v>
      </c>
      <c r="BE883">
        <v>0</v>
      </c>
      <c r="BF883">
        <v>2</v>
      </c>
      <c r="BG883">
        <v>0</v>
      </c>
      <c r="BH883">
        <v>0</v>
      </c>
      <c r="BI883">
        <v>0</v>
      </c>
      <c r="BJ883">
        <v>0</v>
      </c>
      <c r="BK883">
        <v>27</v>
      </c>
      <c r="BL883">
        <v>940</v>
      </c>
      <c r="BM883">
        <v>0</v>
      </c>
      <c r="BN883">
        <v>16</v>
      </c>
      <c r="BO883">
        <v>0</v>
      </c>
      <c r="BP883">
        <v>21</v>
      </c>
      <c r="BQ883">
        <v>3</v>
      </c>
      <c r="BR883">
        <v>3</v>
      </c>
      <c r="BS883">
        <v>0</v>
      </c>
      <c r="BT883">
        <v>1</v>
      </c>
      <c r="BU883">
        <v>5</v>
      </c>
      <c r="BV883">
        <v>0</v>
      </c>
      <c r="BW883">
        <v>970</v>
      </c>
      <c r="BX883">
        <v>0</v>
      </c>
      <c r="BY883">
        <v>6</v>
      </c>
      <c r="BZ883">
        <v>0</v>
      </c>
      <c r="CA883">
        <v>0</v>
      </c>
      <c r="CB883">
        <v>0</v>
      </c>
      <c r="CC883">
        <v>1</v>
      </c>
      <c r="CD883">
        <v>0</v>
      </c>
      <c r="CE883">
        <v>0</v>
      </c>
      <c r="CF883">
        <v>1</v>
      </c>
      <c r="CG883">
        <v>0</v>
      </c>
      <c r="CH883">
        <v>888</v>
      </c>
      <c r="CI883">
        <v>1</v>
      </c>
      <c r="CJ883">
        <v>1</v>
      </c>
      <c r="CK883">
        <v>0</v>
      </c>
      <c r="CL883">
        <v>0</v>
      </c>
      <c r="CM883">
        <v>13</v>
      </c>
      <c r="CN883">
        <v>5</v>
      </c>
      <c r="CO883">
        <v>0</v>
      </c>
      <c r="CP883">
        <v>0</v>
      </c>
      <c r="CQ883">
        <v>4</v>
      </c>
      <c r="CR883">
        <v>10</v>
      </c>
      <c r="CS883">
        <v>925</v>
      </c>
      <c r="CT883">
        <v>0</v>
      </c>
      <c r="CU883">
        <v>1</v>
      </c>
      <c r="CV883">
        <v>0</v>
      </c>
      <c r="CW883">
        <v>2</v>
      </c>
      <c r="CX883">
        <v>7</v>
      </c>
      <c r="CY883">
        <v>31</v>
      </c>
      <c r="CZ883">
        <v>0</v>
      </c>
      <c r="DA883">
        <v>1</v>
      </c>
      <c r="DB883">
        <v>1</v>
      </c>
      <c r="DC883">
        <v>0</v>
      </c>
      <c r="DD883">
        <v>985</v>
      </c>
      <c r="DE883">
        <v>0</v>
      </c>
      <c r="DF883">
        <v>1</v>
      </c>
      <c r="DG883">
        <v>20</v>
      </c>
      <c r="DH883">
        <v>7</v>
      </c>
      <c r="DI883">
        <v>55</v>
      </c>
      <c r="DJ883">
        <v>1</v>
      </c>
      <c r="DK883">
        <v>5</v>
      </c>
      <c r="DL883">
        <v>18</v>
      </c>
      <c r="DM883">
        <v>6</v>
      </c>
      <c r="DN883">
        <v>19</v>
      </c>
      <c r="DO883">
        <v>827</v>
      </c>
      <c r="DP883">
        <v>16</v>
      </c>
      <c r="DQ883">
        <v>1</v>
      </c>
      <c r="DR883">
        <v>10</v>
      </c>
      <c r="DS883">
        <v>3</v>
      </c>
      <c r="DT883">
        <v>4</v>
      </c>
      <c r="DU883">
        <v>23</v>
      </c>
      <c r="DV883">
        <v>8</v>
      </c>
      <c r="DW883">
        <v>2</v>
      </c>
      <c r="DX883">
        <v>33</v>
      </c>
      <c r="DY883">
        <v>0</v>
      </c>
      <c r="DZ883">
        <v>925</v>
      </c>
      <c r="EA883">
        <v>0.95960000000000001</v>
      </c>
      <c r="EB883">
        <v>0.96154467405879596</v>
      </c>
      <c r="EC883">
        <v>0.95928348740084601</v>
      </c>
      <c r="ED883">
        <v>0.95918324422443602</v>
      </c>
      <c r="EE883">
        <f>SUM(Table1[[#This Row],[ratio_0]:[ratio_9]])</f>
        <v>550</v>
      </c>
      <c r="EF883" s="1">
        <f>(Table1[[#This Row],[predicted_0]]-Table1[[#This Row],[actual_0]])/Table1[[#This Row],[actual_0]]</f>
        <v>3.1632653061224487E-2</v>
      </c>
      <c r="EG883" s="1">
        <f>(Table1[[#This Row],[predicted_1]]-Table1[[#This Row],[actual_1]])/Table1[[#This Row],[actual_1]]</f>
        <v>2.4669603524229075E-2</v>
      </c>
      <c r="EH883" s="1">
        <f>(Table1[[#This Row],[predicted_2]]-Table1[[#This Row],[actual_2]])/Table1[[#This Row],[actual_2]]</f>
        <v>0.11918604651162791</v>
      </c>
      <c r="EI883" s="1">
        <f>(Table1[[#This Row],[predicted_3]]-Table1[[#This Row],[actual_3]])/Table1[[#This Row],[actual_3]]</f>
        <v>-6.3366336633663367E-2</v>
      </c>
      <c r="EJ883" s="1">
        <f>(Table1[[#This Row],[predicted_4]]-Table1[[#This Row],[actual_4]])/Table1[[#This Row],[actual_4]]</f>
        <v>2.1384928716904276E-2</v>
      </c>
      <c r="EK883" s="1">
        <f>(Table1[[#This Row],[predicted_5]]-Table1[[#This Row],[actual_5]])/Table1[[#This Row],[actual_5]]</f>
        <v>5.6053811659192827E-2</v>
      </c>
      <c r="EL883" s="1">
        <f>(Table1[[#This Row],[predicted_6]]-Table1[[#This Row],[actual_6]])/Table1[[#This Row],[actual_6]]</f>
        <v>-1.8789144050104383E-2</v>
      </c>
      <c r="EM883" s="1">
        <f>(Table1[[#This Row],[predicted_7]]-Table1[[#This Row],[actual_7]])/Table1[[#This Row],[actual_7]]</f>
        <v>3.3073929961089495E-2</v>
      </c>
      <c r="EN883" s="1">
        <f>(Table1[[#This Row],[predicted_8]]-Table1[[#This Row],[actual_8]])/Table1[[#This Row],[actual_8]]</f>
        <v>-0.14681724845995894</v>
      </c>
      <c r="EO883" s="1">
        <f>(Table1[[#This Row],[predicted_9]]-Table1[[#This Row],[actual_9]])/Table1[[#This Row],[actual_9]]</f>
        <v>-6.1446977205153616E-2</v>
      </c>
      <c r="EP883" s="1">
        <f>1+(Table1[[#This Row],[error_ratio_0]]-EF$2)</f>
        <v>1.0295918367346939</v>
      </c>
      <c r="EQ883" s="1">
        <f>1+(Table1[[#This Row],[error_ratio_1]]-EG$2)</f>
        <v>1.0229074889867842</v>
      </c>
      <c r="ER883" s="1">
        <f>1+(Table1[[#This Row],[error_ratio_2]]-EH$2)</f>
        <v>1.124031007751938</v>
      </c>
      <c r="ES883" s="1">
        <f>1+(Table1[[#This Row],[error_ratio_3]]-EI$2)</f>
        <v>0.92673267326732678</v>
      </c>
      <c r="ET883" s="1">
        <f>1+(Table1[[#This Row],[error_ratio_4]]-EJ$2)</f>
        <v>1.0203665987780042</v>
      </c>
      <c r="EU883" s="1">
        <f>1+(Table1[[#This Row],[error_ratio_5]]-EK$2)</f>
        <v>1.054932735426009</v>
      </c>
      <c r="EV883" s="1">
        <f>1+(Table1[[#This Row],[error_ratio_6]]-EL$2)</f>
        <v>0.98747390396659707</v>
      </c>
      <c r="EW883" s="1">
        <f>1+(Table1[[#This Row],[error_ratio_7]]-EM$2)</f>
        <v>1.0311284046692606</v>
      </c>
      <c r="EX883" s="1">
        <f>1+(Table1[[#This Row],[error_ratio_8]]-EN$2)</f>
        <v>0.85626283367556466</v>
      </c>
      <c r="EY883" s="1">
        <f>1+(Table1[[#This Row],[error_ratio_9]]-EO$2)</f>
        <v>0.94251734390485631</v>
      </c>
    </row>
    <row r="884" spans="1:155" x14ac:dyDescent="0.75">
      <c r="A884">
        <v>10</v>
      </c>
      <c r="B884">
        <v>100</v>
      </c>
      <c r="C884">
        <v>100</v>
      </c>
      <c r="D884">
        <v>10</v>
      </c>
      <c r="E884">
        <v>100</v>
      </c>
      <c r="F884">
        <v>100</v>
      </c>
      <c r="G884">
        <v>10</v>
      </c>
      <c r="H884">
        <v>10</v>
      </c>
      <c r="I884">
        <v>10</v>
      </c>
      <c r="J884">
        <v>10</v>
      </c>
      <c r="K884">
        <v>1020</v>
      </c>
      <c r="L884">
        <v>1145</v>
      </c>
      <c r="M884">
        <v>1118</v>
      </c>
      <c r="N884">
        <v>980</v>
      </c>
      <c r="O884">
        <v>1037</v>
      </c>
      <c r="P884">
        <v>955</v>
      </c>
      <c r="Q884">
        <v>915</v>
      </c>
      <c r="R884">
        <v>965</v>
      </c>
      <c r="S884">
        <v>938</v>
      </c>
      <c r="T884">
        <v>927</v>
      </c>
      <c r="U884">
        <v>980</v>
      </c>
      <c r="V884">
        <v>1135</v>
      </c>
      <c r="W884">
        <v>1032</v>
      </c>
      <c r="X884">
        <v>1010</v>
      </c>
      <c r="Y884">
        <v>982</v>
      </c>
      <c r="Z884">
        <v>892</v>
      </c>
      <c r="AA884">
        <v>958</v>
      </c>
      <c r="AB884">
        <v>1028</v>
      </c>
      <c r="AC884">
        <v>974</v>
      </c>
      <c r="AD884">
        <v>1009</v>
      </c>
      <c r="AE884">
        <v>974</v>
      </c>
      <c r="AF884">
        <v>1</v>
      </c>
      <c r="AG884">
        <v>0</v>
      </c>
      <c r="AH884">
        <v>1</v>
      </c>
      <c r="AI884">
        <v>0</v>
      </c>
      <c r="AJ884">
        <v>2</v>
      </c>
      <c r="AK884">
        <v>0</v>
      </c>
      <c r="AL884">
        <v>1</v>
      </c>
      <c r="AM884">
        <v>1</v>
      </c>
      <c r="AN884">
        <v>0</v>
      </c>
      <c r="AO884">
        <v>0</v>
      </c>
      <c r="AP884">
        <v>1124</v>
      </c>
      <c r="AQ884">
        <v>4</v>
      </c>
      <c r="AR884">
        <v>1</v>
      </c>
      <c r="AS884">
        <v>0</v>
      </c>
      <c r="AT884">
        <v>2</v>
      </c>
      <c r="AU884">
        <v>3</v>
      </c>
      <c r="AV884">
        <v>1</v>
      </c>
      <c r="AW884">
        <v>0</v>
      </c>
      <c r="AX884">
        <v>0</v>
      </c>
      <c r="AY884">
        <v>1</v>
      </c>
      <c r="AZ884">
        <v>1</v>
      </c>
      <c r="BA884">
        <v>1026</v>
      </c>
      <c r="BB884">
        <v>2</v>
      </c>
      <c r="BC884">
        <v>1</v>
      </c>
      <c r="BD884">
        <v>0</v>
      </c>
      <c r="BE884">
        <v>0</v>
      </c>
      <c r="BF884">
        <v>1</v>
      </c>
      <c r="BG884">
        <v>0</v>
      </c>
      <c r="BH884">
        <v>0</v>
      </c>
      <c r="BI884">
        <v>1</v>
      </c>
      <c r="BJ884">
        <v>0</v>
      </c>
      <c r="BK884">
        <v>19</v>
      </c>
      <c r="BL884">
        <v>956</v>
      </c>
      <c r="BM884">
        <v>0</v>
      </c>
      <c r="BN884">
        <v>26</v>
      </c>
      <c r="BO884">
        <v>0</v>
      </c>
      <c r="BP884">
        <v>3</v>
      </c>
      <c r="BQ884">
        <v>4</v>
      </c>
      <c r="BR884">
        <v>1</v>
      </c>
      <c r="BS884">
        <v>0</v>
      </c>
      <c r="BT884">
        <v>0</v>
      </c>
      <c r="BU884">
        <v>1</v>
      </c>
      <c r="BV884">
        <v>0</v>
      </c>
      <c r="BW884">
        <v>978</v>
      </c>
      <c r="BX884">
        <v>0</v>
      </c>
      <c r="BY884">
        <v>1</v>
      </c>
      <c r="BZ884">
        <v>0</v>
      </c>
      <c r="CA884">
        <v>1</v>
      </c>
      <c r="CB884">
        <v>1</v>
      </c>
      <c r="CC884">
        <v>2</v>
      </c>
      <c r="CD884">
        <v>0</v>
      </c>
      <c r="CE884">
        <v>1</v>
      </c>
      <c r="CF884">
        <v>2</v>
      </c>
      <c r="CG884">
        <v>0</v>
      </c>
      <c r="CH884">
        <v>884</v>
      </c>
      <c r="CI884">
        <v>1</v>
      </c>
      <c r="CJ884">
        <v>1</v>
      </c>
      <c r="CK884">
        <v>1</v>
      </c>
      <c r="CL884">
        <v>0</v>
      </c>
      <c r="CM884">
        <v>17</v>
      </c>
      <c r="CN884">
        <v>2</v>
      </c>
      <c r="CO884">
        <v>1</v>
      </c>
      <c r="CP884">
        <v>0</v>
      </c>
      <c r="CQ884">
        <v>10</v>
      </c>
      <c r="CR884">
        <v>19</v>
      </c>
      <c r="CS884">
        <v>908</v>
      </c>
      <c r="CT884">
        <v>0</v>
      </c>
      <c r="CU884">
        <v>1</v>
      </c>
      <c r="CV884">
        <v>0</v>
      </c>
      <c r="CW884">
        <v>4</v>
      </c>
      <c r="CX884">
        <v>8</v>
      </c>
      <c r="CY884">
        <v>48</v>
      </c>
      <c r="CZ884">
        <v>9</v>
      </c>
      <c r="DA884">
        <v>2</v>
      </c>
      <c r="DB884">
        <v>3</v>
      </c>
      <c r="DC884">
        <v>0</v>
      </c>
      <c r="DD884">
        <v>944</v>
      </c>
      <c r="DE884">
        <v>5</v>
      </c>
      <c r="DF884">
        <v>5</v>
      </c>
      <c r="DG884">
        <v>12</v>
      </c>
      <c r="DH884">
        <v>1</v>
      </c>
      <c r="DI884">
        <v>14</v>
      </c>
      <c r="DJ884">
        <v>2</v>
      </c>
      <c r="DK884">
        <v>4</v>
      </c>
      <c r="DL884">
        <v>8</v>
      </c>
      <c r="DM884">
        <v>2</v>
      </c>
      <c r="DN884">
        <v>5</v>
      </c>
      <c r="DO884">
        <v>922</v>
      </c>
      <c r="DP884">
        <v>4</v>
      </c>
      <c r="DQ884">
        <v>9</v>
      </c>
      <c r="DR884">
        <v>8</v>
      </c>
      <c r="DS884">
        <v>4</v>
      </c>
      <c r="DT884">
        <v>7</v>
      </c>
      <c r="DU884">
        <v>42</v>
      </c>
      <c r="DV884">
        <v>11</v>
      </c>
      <c r="DW884">
        <v>0</v>
      </c>
      <c r="DX884">
        <v>9</v>
      </c>
      <c r="DY884">
        <v>3</v>
      </c>
      <c r="DZ884">
        <v>916</v>
      </c>
      <c r="EA884">
        <v>0.96319999999999995</v>
      </c>
      <c r="EB884">
        <v>0.96402055757320804</v>
      </c>
      <c r="EC884">
        <v>0.96324020062008997</v>
      </c>
      <c r="ED884">
        <v>0.962881118960914</v>
      </c>
      <c r="EE884">
        <f>SUM(Table1[[#This Row],[ratio_0]:[ratio_9]])</f>
        <v>460</v>
      </c>
      <c r="EF884" s="1">
        <f>(Table1[[#This Row],[predicted_0]]-Table1[[#This Row],[actual_0]])/Table1[[#This Row],[actual_0]]</f>
        <v>4.0816326530612242E-2</v>
      </c>
      <c r="EG884" s="1">
        <f>(Table1[[#This Row],[predicted_1]]-Table1[[#This Row],[actual_1]])/Table1[[#This Row],[actual_1]]</f>
        <v>8.8105726872246704E-3</v>
      </c>
      <c r="EH884" s="1">
        <f>(Table1[[#This Row],[predicted_2]]-Table1[[#This Row],[actual_2]])/Table1[[#This Row],[actual_2]]</f>
        <v>8.3333333333333329E-2</v>
      </c>
      <c r="EI884" s="1">
        <f>(Table1[[#This Row],[predicted_3]]-Table1[[#This Row],[actual_3]])/Table1[[#This Row],[actual_3]]</f>
        <v>-2.9702970297029702E-2</v>
      </c>
      <c r="EJ884" s="1">
        <f>(Table1[[#This Row],[predicted_4]]-Table1[[#This Row],[actual_4]])/Table1[[#This Row],[actual_4]]</f>
        <v>5.6008146639511203E-2</v>
      </c>
      <c r="EK884" s="1">
        <f>(Table1[[#This Row],[predicted_5]]-Table1[[#This Row],[actual_5]])/Table1[[#This Row],[actual_5]]</f>
        <v>7.0627802690582955E-2</v>
      </c>
      <c r="EL884" s="1">
        <f>(Table1[[#This Row],[predicted_6]]-Table1[[#This Row],[actual_6]])/Table1[[#This Row],[actual_6]]</f>
        <v>-4.4885177453027142E-2</v>
      </c>
      <c r="EM884" s="1">
        <f>(Table1[[#This Row],[predicted_7]]-Table1[[#This Row],[actual_7]])/Table1[[#This Row],[actual_7]]</f>
        <v>-6.1284046692607001E-2</v>
      </c>
      <c r="EN884" s="1">
        <f>(Table1[[#This Row],[predicted_8]]-Table1[[#This Row],[actual_8]])/Table1[[#This Row],[actual_8]]</f>
        <v>-3.6960985626283367E-2</v>
      </c>
      <c r="EO884" s="1">
        <f>(Table1[[#This Row],[predicted_9]]-Table1[[#This Row],[actual_9]])/Table1[[#This Row],[actual_9]]</f>
        <v>-8.126858275520317E-2</v>
      </c>
      <c r="EP884" s="1">
        <f>1+(Table1[[#This Row],[error_ratio_0]]-EF$2)</f>
        <v>1.0387755102040817</v>
      </c>
      <c r="EQ884" s="1">
        <f>1+(Table1[[#This Row],[error_ratio_1]]-EG$2)</f>
        <v>1.0070484581497798</v>
      </c>
      <c r="ER884" s="1">
        <f>1+(Table1[[#This Row],[error_ratio_2]]-EH$2)</f>
        <v>1.0881782945736433</v>
      </c>
      <c r="ES884" s="1">
        <f>1+(Table1[[#This Row],[error_ratio_3]]-EI$2)</f>
        <v>0.96039603960396036</v>
      </c>
      <c r="ET884" s="1">
        <f>1+(Table1[[#This Row],[error_ratio_4]]-EJ$2)</f>
        <v>1.0549898167006111</v>
      </c>
      <c r="EU884" s="1">
        <f>1+(Table1[[#This Row],[error_ratio_5]]-EK$2)</f>
        <v>1.0695067264573992</v>
      </c>
      <c r="EV884" s="1">
        <f>1+(Table1[[#This Row],[error_ratio_6]]-EL$2)</f>
        <v>0.9613778705636743</v>
      </c>
      <c r="EW884" s="1">
        <f>1+(Table1[[#This Row],[error_ratio_7]]-EM$2)</f>
        <v>0.9367704280155642</v>
      </c>
      <c r="EX884" s="1">
        <f>1+(Table1[[#This Row],[error_ratio_8]]-EN$2)</f>
        <v>0.96611909650924022</v>
      </c>
      <c r="EY884" s="1">
        <f>1+(Table1[[#This Row],[error_ratio_9]]-EO$2)</f>
        <v>0.92269573835480678</v>
      </c>
    </row>
    <row r="885" spans="1:155" x14ac:dyDescent="0.75">
      <c r="A885">
        <v>10</v>
      </c>
      <c r="B885">
        <v>10</v>
      </c>
      <c r="C885">
        <v>100</v>
      </c>
      <c r="D885">
        <v>10</v>
      </c>
      <c r="E885">
        <v>100</v>
      </c>
      <c r="F885">
        <v>100</v>
      </c>
      <c r="G885">
        <v>10</v>
      </c>
      <c r="H885">
        <v>10</v>
      </c>
      <c r="I885">
        <v>10</v>
      </c>
      <c r="J885">
        <v>10</v>
      </c>
      <c r="K885">
        <v>1026</v>
      </c>
      <c r="L885">
        <v>1148</v>
      </c>
      <c r="M885">
        <v>1145</v>
      </c>
      <c r="N885">
        <v>934</v>
      </c>
      <c r="O885">
        <v>1060</v>
      </c>
      <c r="P885">
        <v>981</v>
      </c>
      <c r="Q885">
        <v>865</v>
      </c>
      <c r="R885">
        <v>1024</v>
      </c>
      <c r="S885">
        <v>861</v>
      </c>
      <c r="T885">
        <v>956</v>
      </c>
      <c r="U885">
        <v>980</v>
      </c>
      <c r="V885">
        <v>1135</v>
      </c>
      <c r="W885">
        <v>1032</v>
      </c>
      <c r="X885">
        <v>1010</v>
      </c>
      <c r="Y885">
        <v>982</v>
      </c>
      <c r="Z885">
        <v>892</v>
      </c>
      <c r="AA885">
        <v>958</v>
      </c>
      <c r="AB885">
        <v>1028</v>
      </c>
      <c r="AC885">
        <v>974</v>
      </c>
      <c r="AD885">
        <v>1009</v>
      </c>
      <c r="AE885">
        <v>964</v>
      </c>
      <c r="AF885">
        <v>1</v>
      </c>
      <c r="AG885">
        <v>2</v>
      </c>
      <c r="AH885">
        <v>0</v>
      </c>
      <c r="AI885">
        <v>0</v>
      </c>
      <c r="AJ885">
        <v>11</v>
      </c>
      <c r="AK885">
        <v>0</v>
      </c>
      <c r="AL885">
        <v>1</v>
      </c>
      <c r="AM885">
        <v>1</v>
      </c>
      <c r="AN885">
        <v>0</v>
      </c>
      <c r="AO885">
        <v>0</v>
      </c>
      <c r="AP885">
        <v>1120</v>
      </c>
      <c r="AQ885">
        <v>9</v>
      </c>
      <c r="AR885">
        <v>0</v>
      </c>
      <c r="AS885">
        <v>6</v>
      </c>
      <c r="AT885">
        <v>0</v>
      </c>
      <c r="AU885">
        <v>0</v>
      </c>
      <c r="AV885">
        <v>0</v>
      </c>
      <c r="AW885">
        <v>0</v>
      </c>
      <c r="AX885">
        <v>0</v>
      </c>
      <c r="AY885">
        <v>3</v>
      </c>
      <c r="AZ885">
        <v>0</v>
      </c>
      <c r="BA885">
        <v>1021</v>
      </c>
      <c r="BB885">
        <v>0</v>
      </c>
      <c r="BC885">
        <v>1</v>
      </c>
      <c r="BD885">
        <v>0</v>
      </c>
      <c r="BE885">
        <v>0</v>
      </c>
      <c r="BF885">
        <v>5</v>
      </c>
      <c r="BG885">
        <v>2</v>
      </c>
      <c r="BH885">
        <v>0</v>
      </c>
      <c r="BI885">
        <v>3</v>
      </c>
      <c r="BJ885">
        <v>0</v>
      </c>
      <c r="BK885">
        <v>26</v>
      </c>
      <c r="BL885">
        <v>926</v>
      </c>
      <c r="BM885">
        <v>1</v>
      </c>
      <c r="BN885">
        <v>35</v>
      </c>
      <c r="BO885">
        <v>0</v>
      </c>
      <c r="BP885">
        <v>10</v>
      </c>
      <c r="BQ885">
        <v>0</v>
      </c>
      <c r="BR885">
        <v>9</v>
      </c>
      <c r="BS885">
        <v>0</v>
      </c>
      <c r="BT885">
        <v>0</v>
      </c>
      <c r="BU885">
        <v>1</v>
      </c>
      <c r="BV885">
        <v>0</v>
      </c>
      <c r="BW885">
        <v>979</v>
      </c>
      <c r="BX885">
        <v>0</v>
      </c>
      <c r="BY885">
        <v>0</v>
      </c>
      <c r="BZ885">
        <v>0</v>
      </c>
      <c r="CA885">
        <v>0</v>
      </c>
      <c r="CB885">
        <v>2</v>
      </c>
      <c r="CC885">
        <v>1</v>
      </c>
      <c r="CD885">
        <v>0</v>
      </c>
      <c r="CE885">
        <v>1</v>
      </c>
      <c r="CF885">
        <v>2</v>
      </c>
      <c r="CG885">
        <v>0</v>
      </c>
      <c r="CH885">
        <v>880</v>
      </c>
      <c r="CI885">
        <v>0</v>
      </c>
      <c r="CJ885">
        <v>0</v>
      </c>
      <c r="CK885">
        <v>2</v>
      </c>
      <c r="CL885">
        <v>6</v>
      </c>
      <c r="CM885">
        <v>42</v>
      </c>
      <c r="CN885">
        <v>4</v>
      </c>
      <c r="CO885">
        <v>8</v>
      </c>
      <c r="CP885">
        <v>0</v>
      </c>
      <c r="CQ885">
        <v>22</v>
      </c>
      <c r="CR885">
        <v>17</v>
      </c>
      <c r="CS885">
        <v>864</v>
      </c>
      <c r="CT885">
        <v>0</v>
      </c>
      <c r="CU885">
        <v>1</v>
      </c>
      <c r="CV885">
        <v>0</v>
      </c>
      <c r="CW885">
        <v>3</v>
      </c>
      <c r="CX885">
        <v>6</v>
      </c>
      <c r="CY885">
        <v>38</v>
      </c>
      <c r="CZ885">
        <v>1</v>
      </c>
      <c r="DA885">
        <v>7</v>
      </c>
      <c r="DB885">
        <v>2</v>
      </c>
      <c r="DC885">
        <v>0</v>
      </c>
      <c r="DD885">
        <v>967</v>
      </c>
      <c r="DE885">
        <v>1</v>
      </c>
      <c r="DF885">
        <v>3</v>
      </c>
      <c r="DG885">
        <v>4</v>
      </c>
      <c r="DH885">
        <v>12</v>
      </c>
      <c r="DI885">
        <v>36</v>
      </c>
      <c r="DJ885">
        <v>2</v>
      </c>
      <c r="DK885">
        <v>16</v>
      </c>
      <c r="DL885">
        <v>22</v>
      </c>
      <c r="DM885">
        <v>1</v>
      </c>
      <c r="DN885">
        <v>15</v>
      </c>
      <c r="DO885">
        <v>854</v>
      </c>
      <c r="DP885">
        <v>12</v>
      </c>
      <c r="DQ885">
        <v>6</v>
      </c>
      <c r="DR885">
        <v>5</v>
      </c>
      <c r="DS885">
        <v>3</v>
      </c>
      <c r="DT885">
        <v>3</v>
      </c>
      <c r="DU885">
        <v>28</v>
      </c>
      <c r="DV885">
        <v>14</v>
      </c>
      <c r="DW885">
        <v>0</v>
      </c>
      <c r="DX885">
        <v>26</v>
      </c>
      <c r="DY885">
        <v>0</v>
      </c>
      <c r="DZ885">
        <v>924</v>
      </c>
      <c r="EA885">
        <v>0.94989999999999997</v>
      </c>
      <c r="EB885">
        <v>0.95205243744428503</v>
      </c>
      <c r="EC885">
        <v>0.94952177581772201</v>
      </c>
      <c r="ED885">
        <v>0.94931090061845302</v>
      </c>
      <c r="EE885">
        <f>SUM(Table1[[#This Row],[ratio_0]:[ratio_9]])</f>
        <v>370</v>
      </c>
      <c r="EF885" s="1">
        <f>(Table1[[#This Row],[predicted_0]]-Table1[[#This Row],[actual_0]])/Table1[[#This Row],[actual_0]]</f>
        <v>4.6938775510204082E-2</v>
      </c>
      <c r="EG885" s="1">
        <f>(Table1[[#This Row],[predicted_1]]-Table1[[#This Row],[actual_1]])/Table1[[#This Row],[actual_1]]</f>
        <v>1.145374449339207E-2</v>
      </c>
      <c r="EH885" s="1">
        <f>(Table1[[#This Row],[predicted_2]]-Table1[[#This Row],[actual_2]])/Table1[[#This Row],[actual_2]]</f>
        <v>0.10949612403100775</v>
      </c>
      <c r="EI885" s="1">
        <f>(Table1[[#This Row],[predicted_3]]-Table1[[#This Row],[actual_3]])/Table1[[#This Row],[actual_3]]</f>
        <v>-7.5247524752475245E-2</v>
      </c>
      <c r="EJ885" s="1">
        <f>(Table1[[#This Row],[predicted_4]]-Table1[[#This Row],[actual_4]])/Table1[[#This Row],[actual_4]]</f>
        <v>7.9429735234215884E-2</v>
      </c>
      <c r="EK885" s="1">
        <f>(Table1[[#This Row],[predicted_5]]-Table1[[#This Row],[actual_5]])/Table1[[#This Row],[actual_5]]</f>
        <v>9.9775784753363225E-2</v>
      </c>
      <c r="EL885" s="1">
        <f>(Table1[[#This Row],[predicted_6]]-Table1[[#This Row],[actual_6]])/Table1[[#This Row],[actual_6]]</f>
        <v>-9.7077244258872653E-2</v>
      </c>
      <c r="EM885" s="1">
        <f>(Table1[[#This Row],[predicted_7]]-Table1[[#This Row],[actual_7]])/Table1[[#This Row],[actual_7]]</f>
        <v>-3.8910505836575876E-3</v>
      </c>
      <c r="EN885" s="1">
        <f>(Table1[[#This Row],[predicted_8]]-Table1[[#This Row],[actual_8]])/Table1[[#This Row],[actual_8]]</f>
        <v>-0.11601642710472279</v>
      </c>
      <c r="EO885" s="1">
        <f>(Table1[[#This Row],[predicted_9]]-Table1[[#This Row],[actual_9]])/Table1[[#This Row],[actual_9]]</f>
        <v>-5.2527254707631317E-2</v>
      </c>
      <c r="EP885" s="1">
        <f>1+(Table1[[#This Row],[error_ratio_0]]-EF$2)</f>
        <v>1.0448979591836736</v>
      </c>
      <c r="EQ885" s="1">
        <f>1+(Table1[[#This Row],[error_ratio_1]]-EG$2)</f>
        <v>1.0096916299559471</v>
      </c>
      <c r="ER885" s="1">
        <f>1+(Table1[[#This Row],[error_ratio_2]]-EH$2)</f>
        <v>1.1143410852713178</v>
      </c>
      <c r="ES885" s="1">
        <f>1+(Table1[[#This Row],[error_ratio_3]]-EI$2)</f>
        <v>0.91485148514851489</v>
      </c>
      <c r="ET885" s="1">
        <f>1+(Table1[[#This Row],[error_ratio_4]]-EJ$2)</f>
        <v>1.0784114052953158</v>
      </c>
      <c r="EU885" s="1">
        <f>1+(Table1[[#This Row],[error_ratio_5]]-EK$2)</f>
        <v>1.0986547085201794</v>
      </c>
      <c r="EV885" s="1">
        <f>1+(Table1[[#This Row],[error_ratio_6]]-EL$2)</f>
        <v>0.90918580375782887</v>
      </c>
      <c r="EW885" s="1">
        <f>1+(Table1[[#This Row],[error_ratio_7]]-EM$2)</f>
        <v>0.99416342412451364</v>
      </c>
      <c r="EX885" s="1">
        <f>1+(Table1[[#This Row],[error_ratio_8]]-EN$2)</f>
        <v>0.88706365503080087</v>
      </c>
      <c r="EY885" s="1">
        <f>1+(Table1[[#This Row],[error_ratio_9]]-EO$2)</f>
        <v>0.95143706640237857</v>
      </c>
    </row>
    <row r="886" spans="1:155" x14ac:dyDescent="0.75">
      <c r="A886">
        <v>100</v>
      </c>
      <c r="B886">
        <v>100</v>
      </c>
      <c r="C886">
        <v>10</v>
      </c>
      <c r="D886">
        <v>10</v>
      </c>
      <c r="E886">
        <v>100</v>
      </c>
      <c r="F886">
        <v>100</v>
      </c>
      <c r="G886">
        <v>10</v>
      </c>
      <c r="H886">
        <v>10</v>
      </c>
      <c r="I886">
        <v>10</v>
      </c>
      <c r="J886">
        <v>10</v>
      </c>
      <c r="K886">
        <v>1017</v>
      </c>
      <c r="L886">
        <v>1161</v>
      </c>
      <c r="M886">
        <v>988</v>
      </c>
      <c r="N886">
        <v>997</v>
      </c>
      <c r="O886">
        <v>1023</v>
      </c>
      <c r="P886">
        <v>986</v>
      </c>
      <c r="Q886">
        <v>919</v>
      </c>
      <c r="R886">
        <v>999</v>
      </c>
      <c r="S886">
        <v>981</v>
      </c>
      <c r="T886">
        <v>929</v>
      </c>
      <c r="U886">
        <v>980</v>
      </c>
      <c r="V886">
        <v>1135</v>
      </c>
      <c r="W886">
        <v>1032</v>
      </c>
      <c r="X886">
        <v>1010</v>
      </c>
      <c r="Y886">
        <v>982</v>
      </c>
      <c r="Z886">
        <v>892</v>
      </c>
      <c r="AA886">
        <v>958</v>
      </c>
      <c r="AB886">
        <v>1028</v>
      </c>
      <c r="AC886">
        <v>974</v>
      </c>
      <c r="AD886">
        <v>1009</v>
      </c>
      <c r="AE886">
        <v>975</v>
      </c>
      <c r="AF886">
        <v>0</v>
      </c>
      <c r="AG886">
        <v>0</v>
      </c>
      <c r="AH886">
        <v>0</v>
      </c>
      <c r="AI886">
        <v>0</v>
      </c>
      <c r="AJ886">
        <v>2</v>
      </c>
      <c r="AK886">
        <v>1</v>
      </c>
      <c r="AL886">
        <v>1</v>
      </c>
      <c r="AM886">
        <v>1</v>
      </c>
      <c r="AN886">
        <v>0</v>
      </c>
      <c r="AO886">
        <v>0</v>
      </c>
      <c r="AP886">
        <v>1132</v>
      </c>
      <c r="AQ886">
        <v>1</v>
      </c>
      <c r="AR886">
        <v>1</v>
      </c>
      <c r="AS886">
        <v>0</v>
      </c>
      <c r="AT886">
        <v>0</v>
      </c>
      <c r="AU886">
        <v>0</v>
      </c>
      <c r="AV886">
        <v>0</v>
      </c>
      <c r="AW886">
        <v>1</v>
      </c>
      <c r="AX886">
        <v>0</v>
      </c>
      <c r="AY886">
        <v>9</v>
      </c>
      <c r="AZ886">
        <v>7</v>
      </c>
      <c r="BA886">
        <v>956</v>
      </c>
      <c r="BB886">
        <v>10</v>
      </c>
      <c r="BC886">
        <v>11</v>
      </c>
      <c r="BD886">
        <v>6</v>
      </c>
      <c r="BE886">
        <v>2</v>
      </c>
      <c r="BF886">
        <v>6</v>
      </c>
      <c r="BG886">
        <v>24</v>
      </c>
      <c r="BH886">
        <v>1</v>
      </c>
      <c r="BI886">
        <v>3</v>
      </c>
      <c r="BJ886">
        <v>1</v>
      </c>
      <c r="BK886">
        <v>1</v>
      </c>
      <c r="BL886">
        <v>969</v>
      </c>
      <c r="BM886">
        <v>0</v>
      </c>
      <c r="BN886">
        <v>16</v>
      </c>
      <c r="BO886">
        <v>0</v>
      </c>
      <c r="BP886">
        <v>8</v>
      </c>
      <c r="BQ886">
        <v>11</v>
      </c>
      <c r="BR886">
        <v>1</v>
      </c>
      <c r="BS886">
        <v>1</v>
      </c>
      <c r="BT886">
        <v>1</v>
      </c>
      <c r="BU886">
        <v>0</v>
      </c>
      <c r="BV886">
        <v>0</v>
      </c>
      <c r="BW886">
        <v>975</v>
      </c>
      <c r="BX886">
        <v>0</v>
      </c>
      <c r="BY886">
        <v>0</v>
      </c>
      <c r="BZ886">
        <v>0</v>
      </c>
      <c r="CA886">
        <v>1</v>
      </c>
      <c r="CB886">
        <v>4</v>
      </c>
      <c r="CC886">
        <v>1</v>
      </c>
      <c r="CD886">
        <v>0</v>
      </c>
      <c r="CE886">
        <v>0</v>
      </c>
      <c r="CF886">
        <v>3</v>
      </c>
      <c r="CG886">
        <v>0</v>
      </c>
      <c r="CH886">
        <v>886</v>
      </c>
      <c r="CI886">
        <v>2</v>
      </c>
      <c r="CJ886">
        <v>0</v>
      </c>
      <c r="CK886">
        <v>0</v>
      </c>
      <c r="CL886">
        <v>0</v>
      </c>
      <c r="CM886">
        <v>13</v>
      </c>
      <c r="CN886">
        <v>3</v>
      </c>
      <c r="CO886">
        <v>0</v>
      </c>
      <c r="CP886">
        <v>0</v>
      </c>
      <c r="CQ886">
        <v>10</v>
      </c>
      <c r="CR886">
        <v>17</v>
      </c>
      <c r="CS886">
        <v>914</v>
      </c>
      <c r="CT886">
        <v>0</v>
      </c>
      <c r="CU886">
        <v>1</v>
      </c>
      <c r="CV886">
        <v>0</v>
      </c>
      <c r="CW886">
        <v>1</v>
      </c>
      <c r="CX886">
        <v>9</v>
      </c>
      <c r="CY886">
        <v>27</v>
      </c>
      <c r="CZ886">
        <v>4</v>
      </c>
      <c r="DA886">
        <v>8</v>
      </c>
      <c r="DB886">
        <v>1</v>
      </c>
      <c r="DC886">
        <v>0</v>
      </c>
      <c r="DD886">
        <v>968</v>
      </c>
      <c r="DE886">
        <v>7</v>
      </c>
      <c r="DF886">
        <v>3</v>
      </c>
      <c r="DG886">
        <v>9</v>
      </c>
      <c r="DH886">
        <v>0</v>
      </c>
      <c r="DI886">
        <v>2</v>
      </c>
      <c r="DJ886">
        <v>3</v>
      </c>
      <c r="DK886">
        <v>2</v>
      </c>
      <c r="DL886">
        <v>23</v>
      </c>
      <c r="DM886">
        <v>0</v>
      </c>
      <c r="DN886">
        <v>6</v>
      </c>
      <c r="DO886">
        <v>927</v>
      </c>
      <c r="DP886">
        <v>2</v>
      </c>
      <c r="DQ886">
        <v>5</v>
      </c>
      <c r="DR886">
        <v>8</v>
      </c>
      <c r="DS886">
        <v>1</v>
      </c>
      <c r="DT886">
        <v>7</v>
      </c>
      <c r="DU886">
        <v>17</v>
      </c>
      <c r="DV886">
        <v>35</v>
      </c>
      <c r="DW886">
        <v>0</v>
      </c>
      <c r="DX886">
        <v>10</v>
      </c>
      <c r="DY886">
        <v>8</v>
      </c>
      <c r="DZ886">
        <v>918</v>
      </c>
      <c r="EA886">
        <v>0.96199999999999997</v>
      </c>
      <c r="EB886">
        <v>0.96215516940088097</v>
      </c>
      <c r="EC886">
        <v>0.96214248472275099</v>
      </c>
      <c r="ED886">
        <v>0.96155145487508897</v>
      </c>
      <c r="EE886">
        <f>SUM(Table1[[#This Row],[ratio_0]:[ratio_9]])</f>
        <v>460</v>
      </c>
      <c r="EF886" s="1">
        <f>(Table1[[#This Row],[predicted_0]]-Table1[[#This Row],[actual_0]])/Table1[[#This Row],[actual_0]]</f>
        <v>3.7755102040816328E-2</v>
      </c>
      <c r="EG886" s="1">
        <f>(Table1[[#This Row],[predicted_1]]-Table1[[#This Row],[actual_1]])/Table1[[#This Row],[actual_1]]</f>
        <v>2.2907488986784141E-2</v>
      </c>
      <c r="EH886" s="1">
        <f>(Table1[[#This Row],[predicted_2]]-Table1[[#This Row],[actual_2]])/Table1[[#This Row],[actual_2]]</f>
        <v>-4.2635658914728682E-2</v>
      </c>
      <c r="EI886" s="1">
        <f>(Table1[[#This Row],[predicted_3]]-Table1[[#This Row],[actual_3]])/Table1[[#This Row],[actual_3]]</f>
        <v>-1.2871287128712871E-2</v>
      </c>
      <c r="EJ886" s="1">
        <f>(Table1[[#This Row],[predicted_4]]-Table1[[#This Row],[actual_4]])/Table1[[#This Row],[actual_4]]</f>
        <v>4.1751527494908347E-2</v>
      </c>
      <c r="EK886" s="1">
        <f>(Table1[[#This Row],[predicted_5]]-Table1[[#This Row],[actual_5]])/Table1[[#This Row],[actual_5]]</f>
        <v>0.10538116591928251</v>
      </c>
      <c r="EL886" s="1">
        <f>(Table1[[#This Row],[predicted_6]]-Table1[[#This Row],[actual_6]])/Table1[[#This Row],[actual_6]]</f>
        <v>-4.07098121085595E-2</v>
      </c>
      <c r="EM886" s="1">
        <f>(Table1[[#This Row],[predicted_7]]-Table1[[#This Row],[actual_7]])/Table1[[#This Row],[actual_7]]</f>
        <v>-2.821011673151751E-2</v>
      </c>
      <c r="EN886" s="1">
        <f>(Table1[[#This Row],[predicted_8]]-Table1[[#This Row],[actual_8]])/Table1[[#This Row],[actual_8]]</f>
        <v>7.1868583162217657E-3</v>
      </c>
      <c r="EO886" s="1">
        <f>(Table1[[#This Row],[predicted_9]]-Table1[[#This Row],[actual_9]])/Table1[[#This Row],[actual_9]]</f>
        <v>-7.9286422200198214E-2</v>
      </c>
      <c r="EP886" s="1">
        <f>1+(Table1[[#This Row],[error_ratio_0]]-EF$2)</f>
        <v>1.0357142857142858</v>
      </c>
      <c r="EQ886" s="1">
        <f>1+(Table1[[#This Row],[error_ratio_1]]-EG$2)</f>
        <v>1.0211453744493393</v>
      </c>
      <c r="ER886" s="1">
        <f>1+(Table1[[#This Row],[error_ratio_2]]-EH$2)</f>
        <v>0.96220930232558144</v>
      </c>
      <c r="ES886" s="1">
        <f>1+(Table1[[#This Row],[error_ratio_3]]-EI$2)</f>
        <v>0.97722772277227721</v>
      </c>
      <c r="ET886" s="1">
        <f>1+(Table1[[#This Row],[error_ratio_4]]-EJ$2)</f>
        <v>1.0407331975560081</v>
      </c>
      <c r="EU886" s="1">
        <f>1+(Table1[[#This Row],[error_ratio_5]]-EK$2)</f>
        <v>1.1042600896860986</v>
      </c>
      <c r="EV886" s="1">
        <f>1+(Table1[[#This Row],[error_ratio_6]]-EL$2)</f>
        <v>0.96555323590814202</v>
      </c>
      <c r="EW886" s="1">
        <f>1+(Table1[[#This Row],[error_ratio_7]]-EM$2)</f>
        <v>0.96984435797665369</v>
      </c>
      <c r="EX886" s="1">
        <f>1+(Table1[[#This Row],[error_ratio_8]]-EN$2)</f>
        <v>1.0102669404517455</v>
      </c>
      <c r="EY886" s="1">
        <f>1+(Table1[[#This Row],[error_ratio_9]]-EO$2)</f>
        <v>0.92467789890981167</v>
      </c>
    </row>
    <row r="887" spans="1:155" x14ac:dyDescent="0.75">
      <c r="A887">
        <v>100</v>
      </c>
      <c r="B887">
        <v>10</v>
      </c>
      <c r="C887">
        <v>10</v>
      </c>
      <c r="D887">
        <v>10</v>
      </c>
      <c r="E887">
        <v>100</v>
      </c>
      <c r="F887">
        <v>100</v>
      </c>
      <c r="G887">
        <v>10</v>
      </c>
      <c r="H887">
        <v>10</v>
      </c>
      <c r="I887">
        <v>10</v>
      </c>
      <c r="J887">
        <v>10</v>
      </c>
      <c r="K887">
        <v>977</v>
      </c>
      <c r="L887">
        <v>1103</v>
      </c>
      <c r="M887">
        <v>997</v>
      </c>
      <c r="N887">
        <v>1089</v>
      </c>
      <c r="O887">
        <v>1104</v>
      </c>
      <c r="P887">
        <v>1009</v>
      </c>
      <c r="Q887">
        <v>884</v>
      </c>
      <c r="R887">
        <v>1020</v>
      </c>
      <c r="S887">
        <v>856</v>
      </c>
      <c r="T887">
        <v>961</v>
      </c>
      <c r="U887">
        <v>980</v>
      </c>
      <c r="V887">
        <v>1135</v>
      </c>
      <c r="W887">
        <v>1032</v>
      </c>
      <c r="X887">
        <v>1010</v>
      </c>
      <c r="Y887">
        <v>982</v>
      </c>
      <c r="Z887">
        <v>892</v>
      </c>
      <c r="AA887">
        <v>958</v>
      </c>
      <c r="AB887">
        <v>1028</v>
      </c>
      <c r="AC887">
        <v>974</v>
      </c>
      <c r="AD887">
        <v>1009</v>
      </c>
      <c r="AE887">
        <v>951</v>
      </c>
      <c r="AF887">
        <v>0</v>
      </c>
      <c r="AG887">
        <v>5</v>
      </c>
      <c r="AH887">
        <v>1</v>
      </c>
      <c r="AI887">
        <v>12</v>
      </c>
      <c r="AJ887">
        <v>5</v>
      </c>
      <c r="AK887">
        <v>0</v>
      </c>
      <c r="AL887">
        <v>4</v>
      </c>
      <c r="AM887">
        <v>1</v>
      </c>
      <c r="AN887">
        <v>1</v>
      </c>
      <c r="AO887">
        <v>0</v>
      </c>
      <c r="AP887">
        <v>1098</v>
      </c>
      <c r="AQ887">
        <v>3</v>
      </c>
      <c r="AR887">
        <v>4</v>
      </c>
      <c r="AS887">
        <v>3</v>
      </c>
      <c r="AT887">
        <v>5</v>
      </c>
      <c r="AU887">
        <v>9</v>
      </c>
      <c r="AV887">
        <v>1</v>
      </c>
      <c r="AW887">
        <v>12</v>
      </c>
      <c r="AX887">
        <v>0</v>
      </c>
      <c r="AY887">
        <v>3</v>
      </c>
      <c r="AZ887">
        <v>0</v>
      </c>
      <c r="BA887">
        <v>966</v>
      </c>
      <c r="BB887">
        <v>22</v>
      </c>
      <c r="BC887">
        <v>24</v>
      </c>
      <c r="BD887">
        <v>4</v>
      </c>
      <c r="BE887">
        <v>0</v>
      </c>
      <c r="BF887">
        <v>10</v>
      </c>
      <c r="BG887">
        <v>3</v>
      </c>
      <c r="BH887">
        <v>0</v>
      </c>
      <c r="BI887">
        <v>0</v>
      </c>
      <c r="BJ887">
        <v>0</v>
      </c>
      <c r="BK887">
        <v>0</v>
      </c>
      <c r="BL887">
        <v>981</v>
      </c>
      <c r="BM887">
        <v>0</v>
      </c>
      <c r="BN887">
        <v>23</v>
      </c>
      <c r="BO887">
        <v>0</v>
      </c>
      <c r="BP887">
        <v>5</v>
      </c>
      <c r="BQ887">
        <v>1</v>
      </c>
      <c r="BR887">
        <v>0</v>
      </c>
      <c r="BS887">
        <v>1</v>
      </c>
      <c r="BT887">
        <v>0</v>
      </c>
      <c r="BU887">
        <v>0</v>
      </c>
      <c r="BV887">
        <v>0</v>
      </c>
      <c r="BW887">
        <v>979</v>
      </c>
      <c r="BX887">
        <v>0</v>
      </c>
      <c r="BY887">
        <v>0</v>
      </c>
      <c r="BZ887">
        <v>0</v>
      </c>
      <c r="CA887">
        <v>0</v>
      </c>
      <c r="CB887">
        <v>2</v>
      </c>
      <c r="CC887">
        <v>0</v>
      </c>
      <c r="CD887">
        <v>0</v>
      </c>
      <c r="CE887">
        <v>0</v>
      </c>
      <c r="CF887">
        <v>11</v>
      </c>
      <c r="CG887">
        <v>0</v>
      </c>
      <c r="CH887">
        <v>879</v>
      </c>
      <c r="CI887">
        <v>1</v>
      </c>
      <c r="CJ887">
        <v>0</v>
      </c>
      <c r="CK887">
        <v>0</v>
      </c>
      <c r="CL887">
        <v>1</v>
      </c>
      <c r="CM887">
        <v>14</v>
      </c>
      <c r="CN887">
        <v>1</v>
      </c>
      <c r="CO887">
        <v>1</v>
      </c>
      <c r="CP887">
        <v>0</v>
      </c>
      <c r="CQ887">
        <v>35</v>
      </c>
      <c r="CR887">
        <v>35</v>
      </c>
      <c r="CS887">
        <v>872</v>
      </c>
      <c r="CT887">
        <v>0</v>
      </c>
      <c r="CU887">
        <v>0</v>
      </c>
      <c r="CV887">
        <v>0</v>
      </c>
      <c r="CW887">
        <v>0</v>
      </c>
      <c r="CX887">
        <v>3</v>
      </c>
      <c r="CY887">
        <v>19</v>
      </c>
      <c r="CZ887">
        <v>15</v>
      </c>
      <c r="DA887">
        <v>9</v>
      </c>
      <c r="DB887">
        <v>2</v>
      </c>
      <c r="DC887">
        <v>0</v>
      </c>
      <c r="DD887">
        <v>970</v>
      </c>
      <c r="DE887">
        <v>2</v>
      </c>
      <c r="DF887">
        <v>8</v>
      </c>
      <c r="DG887">
        <v>5</v>
      </c>
      <c r="DH887">
        <v>0</v>
      </c>
      <c r="DI887">
        <v>3</v>
      </c>
      <c r="DJ887">
        <v>45</v>
      </c>
      <c r="DK887">
        <v>16</v>
      </c>
      <c r="DL887">
        <v>45</v>
      </c>
      <c r="DM887">
        <v>2</v>
      </c>
      <c r="DN887">
        <v>12</v>
      </c>
      <c r="DO887">
        <v>828</v>
      </c>
      <c r="DP887">
        <v>18</v>
      </c>
      <c r="DQ887">
        <v>3</v>
      </c>
      <c r="DR887">
        <v>1</v>
      </c>
      <c r="DS887">
        <v>0</v>
      </c>
      <c r="DT887">
        <v>10</v>
      </c>
      <c r="DU887">
        <v>26</v>
      </c>
      <c r="DV887">
        <v>11</v>
      </c>
      <c r="DW887">
        <v>0</v>
      </c>
      <c r="DX887">
        <v>18</v>
      </c>
      <c r="DY887">
        <v>9</v>
      </c>
      <c r="DZ887">
        <v>931</v>
      </c>
      <c r="EA887">
        <v>0.94550000000000001</v>
      </c>
      <c r="EB887">
        <v>0.94700008926871304</v>
      </c>
      <c r="EC887">
        <v>0.94541215232054898</v>
      </c>
      <c r="ED887">
        <v>0.94476262843135905</v>
      </c>
      <c r="EE887">
        <f>SUM(Table1[[#This Row],[ratio_0]:[ratio_9]])</f>
        <v>370</v>
      </c>
      <c r="EF887" s="1">
        <f>(Table1[[#This Row],[predicted_0]]-Table1[[#This Row],[actual_0]])/Table1[[#This Row],[actual_0]]</f>
        <v>-3.0612244897959182E-3</v>
      </c>
      <c r="EG887" s="1">
        <f>(Table1[[#This Row],[predicted_1]]-Table1[[#This Row],[actual_1]])/Table1[[#This Row],[actual_1]]</f>
        <v>-2.8193832599118944E-2</v>
      </c>
      <c r="EH887" s="1">
        <f>(Table1[[#This Row],[predicted_2]]-Table1[[#This Row],[actual_2]])/Table1[[#This Row],[actual_2]]</f>
        <v>-3.391472868217054E-2</v>
      </c>
      <c r="EI887" s="1">
        <f>(Table1[[#This Row],[predicted_3]]-Table1[[#This Row],[actual_3]])/Table1[[#This Row],[actual_3]]</f>
        <v>7.8217821782178218E-2</v>
      </c>
      <c r="EJ887" s="1">
        <f>(Table1[[#This Row],[predicted_4]]-Table1[[#This Row],[actual_4]])/Table1[[#This Row],[actual_4]]</f>
        <v>0.12423625254582485</v>
      </c>
      <c r="EK887" s="1">
        <f>(Table1[[#This Row],[predicted_5]]-Table1[[#This Row],[actual_5]])/Table1[[#This Row],[actual_5]]</f>
        <v>0.1311659192825112</v>
      </c>
      <c r="EL887" s="1">
        <f>(Table1[[#This Row],[predicted_6]]-Table1[[#This Row],[actual_6]])/Table1[[#This Row],[actual_6]]</f>
        <v>-7.724425887265135E-2</v>
      </c>
      <c r="EM887" s="1">
        <f>(Table1[[#This Row],[predicted_7]]-Table1[[#This Row],[actual_7]])/Table1[[#This Row],[actual_7]]</f>
        <v>-7.7821011673151752E-3</v>
      </c>
      <c r="EN887" s="1">
        <f>(Table1[[#This Row],[predicted_8]]-Table1[[#This Row],[actual_8]])/Table1[[#This Row],[actual_8]]</f>
        <v>-0.12114989733059549</v>
      </c>
      <c r="EO887" s="1">
        <f>(Table1[[#This Row],[predicted_9]]-Table1[[#This Row],[actual_9]])/Table1[[#This Row],[actual_9]]</f>
        <v>-4.7571853320118929E-2</v>
      </c>
      <c r="EP887" s="1">
        <f>1+(Table1[[#This Row],[error_ratio_0]]-EF$2)</f>
        <v>0.99489795918367352</v>
      </c>
      <c r="EQ887" s="1">
        <f>1+(Table1[[#This Row],[error_ratio_1]]-EG$2)</f>
        <v>0.97004405286343609</v>
      </c>
      <c r="ER887" s="1">
        <f>1+(Table1[[#This Row],[error_ratio_2]]-EH$2)</f>
        <v>0.97093023255813948</v>
      </c>
      <c r="ES887" s="1">
        <f>1+(Table1[[#This Row],[error_ratio_3]]-EI$2)</f>
        <v>1.0683168316831684</v>
      </c>
      <c r="ET887" s="1">
        <f>1+(Table1[[#This Row],[error_ratio_4]]-EJ$2)</f>
        <v>1.1232179226069245</v>
      </c>
      <c r="EU887" s="1">
        <f>1+(Table1[[#This Row],[error_ratio_5]]-EK$2)</f>
        <v>1.1300448430493273</v>
      </c>
      <c r="EV887" s="1">
        <f>1+(Table1[[#This Row],[error_ratio_6]]-EL$2)</f>
        <v>0.92901878914405012</v>
      </c>
      <c r="EW887" s="1">
        <f>1+(Table1[[#This Row],[error_ratio_7]]-EM$2)</f>
        <v>0.99027237354085607</v>
      </c>
      <c r="EX887" s="1">
        <f>1+(Table1[[#This Row],[error_ratio_8]]-EN$2)</f>
        <v>0.88193018480492813</v>
      </c>
      <c r="EY887" s="1">
        <f>1+(Table1[[#This Row],[error_ratio_9]]-EO$2)</f>
        <v>0.95639246778989095</v>
      </c>
    </row>
    <row r="888" spans="1:155" x14ac:dyDescent="0.75">
      <c r="A888">
        <v>10</v>
      </c>
      <c r="B888">
        <v>10</v>
      </c>
      <c r="C888">
        <v>10</v>
      </c>
      <c r="D888">
        <v>10</v>
      </c>
      <c r="E888">
        <v>100</v>
      </c>
      <c r="F888">
        <v>100</v>
      </c>
      <c r="G888">
        <v>10</v>
      </c>
      <c r="H888">
        <v>10</v>
      </c>
      <c r="I888">
        <v>10</v>
      </c>
      <c r="J888">
        <v>10</v>
      </c>
      <c r="K888">
        <v>1009</v>
      </c>
      <c r="L888">
        <v>1252</v>
      </c>
      <c r="M888">
        <v>1030</v>
      </c>
      <c r="N888">
        <v>588</v>
      </c>
      <c r="O888">
        <v>1243</v>
      </c>
      <c r="P888">
        <v>985</v>
      </c>
      <c r="Q888">
        <v>871</v>
      </c>
      <c r="R888">
        <v>1289</v>
      </c>
      <c r="S888">
        <v>996</v>
      </c>
      <c r="T888">
        <v>737</v>
      </c>
      <c r="U888">
        <v>980</v>
      </c>
      <c r="V888">
        <v>1135</v>
      </c>
      <c r="W888">
        <v>1032</v>
      </c>
      <c r="X888">
        <v>1010</v>
      </c>
      <c r="Y888">
        <v>982</v>
      </c>
      <c r="Z888">
        <v>892</v>
      </c>
      <c r="AA888">
        <v>958</v>
      </c>
      <c r="AB888">
        <v>1028</v>
      </c>
      <c r="AC888">
        <v>974</v>
      </c>
      <c r="AD888">
        <v>1009</v>
      </c>
      <c r="AE888">
        <v>959</v>
      </c>
      <c r="AF888">
        <v>1</v>
      </c>
      <c r="AG888">
        <v>1</v>
      </c>
      <c r="AH888">
        <v>0</v>
      </c>
      <c r="AI888">
        <v>11</v>
      </c>
      <c r="AJ888">
        <v>0</v>
      </c>
      <c r="AK888">
        <v>1</v>
      </c>
      <c r="AL888">
        <v>6</v>
      </c>
      <c r="AM888">
        <v>1</v>
      </c>
      <c r="AN888">
        <v>0</v>
      </c>
      <c r="AO888">
        <v>0</v>
      </c>
      <c r="AP888">
        <v>1129</v>
      </c>
      <c r="AQ888">
        <v>2</v>
      </c>
      <c r="AR888">
        <v>0</v>
      </c>
      <c r="AS888">
        <v>3</v>
      </c>
      <c r="AT888">
        <v>0</v>
      </c>
      <c r="AU888">
        <v>1</v>
      </c>
      <c r="AV888">
        <v>0</v>
      </c>
      <c r="AW888">
        <v>0</v>
      </c>
      <c r="AX888">
        <v>0</v>
      </c>
      <c r="AY888">
        <v>8</v>
      </c>
      <c r="AZ888">
        <v>15</v>
      </c>
      <c r="BA888">
        <v>934</v>
      </c>
      <c r="BB888">
        <v>0</v>
      </c>
      <c r="BC888">
        <v>26</v>
      </c>
      <c r="BD888">
        <v>1</v>
      </c>
      <c r="BE888">
        <v>0</v>
      </c>
      <c r="BF888">
        <v>43</v>
      </c>
      <c r="BG888">
        <v>5</v>
      </c>
      <c r="BH888">
        <v>0</v>
      </c>
      <c r="BI888">
        <v>2</v>
      </c>
      <c r="BJ888">
        <v>49</v>
      </c>
      <c r="BK888">
        <v>76</v>
      </c>
      <c r="BL888">
        <v>588</v>
      </c>
      <c r="BM888">
        <v>14</v>
      </c>
      <c r="BN888">
        <v>74</v>
      </c>
      <c r="BO888">
        <v>0</v>
      </c>
      <c r="BP888">
        <v>110</v>
      </c>
      <c r="BQ888">
        <v>97</v>
      </c>
      <c r="BR888">
        <v>0</v>
      </c>
      <c r="BS888">
        <v>0</v>
      </c>
      <c r="BT888">
        <v>1</v>
      </c>
      <c r="BU888">
        <v>0</v>
      </c>
      <c r="BV888">
        <v>0</v>
      </c>
      <c r="BW888">
        <v>981</v>
      </c>
      <c r="BX888">
        <v>0</v>
      </c>
      <c r="BY888">
        <v>0</v>
      </c>
      <c r="BZ888">
        <v>0</v>
      </c>
      <c r="CA888">
        <v>0</v>
      </c>
      <c r="CB888">
        <v>0</v>
      </c>
      <c r="CC888">
        <v>5</v>
      </c>
      <c r="CD888">
        <v>1</v>
      </c>
      <c r="CE888">
        <v>0</v>
      </c>
      <c r="CF888">
        <v>0</v>
      </c>
      <c r="CG888">
        <v>2</v>
      </c>
      <c r="CH888">
        <v>875</v>
      </c>
      <c r="CI888">
        <v>2</v>
      </c>
      <c r="CJ888">
        <v>7</v>
      </c>
      <c r="CK888">
        <v>0</v>
      </c>
      <c r="CL888">
        <v>0</v>
      </c>
      <c r="CM888">
        <v>13</v>
      </c>
      <c r="CN888">
        <v>8</v>
      </c>
      <c r="CO888">
        <v>1</v>
      </c>
      <c r="CP888">
        <v>0</v>
      </c>
      <c r="CQ888">
        <v>81</v>
      </c>
      <c r="CR888">
        <v>9</v>
      </c>
      <c r="CS888">
        <v>846</v>
      </c>
      <c r="CT888">
        <v>0</v>
      </c>
      <c r="CU888">
        <v>0</v>
      </c>
      <c r="CV888">
        <v>0</v>
      </c>
      <c r="CW888">
        <v>2</v>
      </c>
      <c r="CX888">
        <v>15</v>
      </c>
      <c r="CY888">
        <v>13</v>
      </c>
      <c r="CZ888">
        <v>0</v>
      </c>
      <c r="DA888">
        <v>14</v>
      </c>
      <c r="DB888">
        <v>0</v>
      </c>
      <c r="DC888">
        <v>0</v>
      </c>
      <c r="DD888">
        <v>980</v>
      </c>
      <c r="DE888">
        <v>2</v>
      </c>
      <c r="DF888">
        <v>2</v>
      </c>
      <c r="DG888">
        <v>11</v>
      </c>
      <c r="DH888">
        <v>15</v>
      </c>
      <c r="DI888">
        <v>1</v>
      </c>
      <c r="DJ888">
        <v>0</v>
      </c>
      <c r="DK888">
        <v>21</v>
      </c>
      <c r="DL888">
        <v>11</v>
      </c>
      <c r="DM888">
        <v>21</v>
      </c>
      <c r="DN888">
        <v>20</v>
      </c>
      <c r="DO888">
        <v>874</v>
      </c>
      <c r="DP888">
        <v>0</v>
      </c>
      <c r="DQ888">
        <v>9</v>
      </c>
      <c r="DR888">
        <v>18</v>
      </c>
      <c r="DS888">
        <v>2</v>
      </c>
      <c r="DT888">
        <v>0</v>
      </c>
      <c r="DU888">
        <v>90</v>
      </c>
      <c r="DV888">
        <v>15</v>
      </c>
      <c r="DW888">
        <v>0</v>
      </c>
      <c r="DX888">
        <v>123</v>
      </c>
      <c r="DY888">
        <v>17</v>
      </c>
      <c r="DZ888">
        <v>735</v>
      </c>
      <c r="EA888">
        <v>0.8901</v>
      </c>
      <c r="EB888">
        <v>0.90429167757320505</v>
      </c>
      <c r="EC888">
        <v>0.89025971993656505</v>
      </c>
      <c r="ED888">
        <v>0.88664851899653196</v>
      </c>
      <c r="EE888">
        <f>SUM(Table1[[#This Row],[ratio_0]:[ratio_9]])</f>
        <v>280</v>
      </c>
      <c r="EF888" s="1">
        <f>(Table1[[#This Row],[predicted_0]]-Table1[[#This Row],[actual_0]])/Table1[[#This Row],[actual_0]]</f>
        <v>2.9591836734693878E-2</v>
      </c>
      <c r="EG888" s="1">
        <f>(Table1[[#This Row],[predicted_1]]-Table1[[#This Row],[actual_1]])/Table1[[#This Row],[actual_1]]</f>
        <v>0.10308370044052863</v>
      </c>
      <c r="EH888" s="1">
        <f>(Table1[[#This Row],[predicted_2]]-Table1[[#This Row],[actual_2]])/Table1[[#This Row],[actual_2]]</f>
        <v>-1.937984496124031E-3</v>
      </c>
      <c r="EI888" s="1">
        <f>(Table1[[#This Row],[predicted_3]]-Table1[[#This Row],[actual_3]])/Table1[[#This Row],[actual_3]]</f>
        <v>-0.4178217821782178</v>
      </c>
      <c r="EJ888" s="1">
        <f>(Table1[[#This Row],[predicted_4]]-Table1[[#This Row],[actual_4]])/Table1[[#This Row],[actual_4]]</f>
        <v>0.26578411405295316</v>
      </c>
      <c r="EK888" s="1">
        <f>(Table1[[#This Row],[predicted_5]]-Table1[[#This Row],[actual_5]])/Table1[[#This Row],[actual_5]]</f>
        <v>0.10426008968609865</v>
      </c>
      <c r="EL888" s="1">
        <f>(Table1[[#This Row],[predicted_6]]-Table1[[#This Row],[actual_6]])/Table1[[#This Row],[actual_6]]</f>
        <v>-9.0814196242171186E-2</v>
      </c>
      <c r="EM888" s="1">
        <f>(Table1[[#This Row],[predicted_7]]-Table1[[#This Row],[actual_7]])/Table1[[#This Row],[actual_7]]</f>
        <v>0.25389105058365757</v>
      </c>
      <c r="EN888" s="1">
        <f>(Table1[[#This Row],[predicted_8]]-Table1[[#This Row],[actual_8]])/Table1[[#This Row],[actual_8]]</f>
        <v>2.2587268993839837E-2</v>
      </c>
      <c r="EO888" s="1">
        <f>(Table1[[#This Row],[predicted_9]]-Table1[[#This Row],[actual_9]])/Table1[[#This Row],[actual_9]]</f>
        <v>-0.26957383548067393</v>
      </c>
      <c r="EP888" s="1">
        <f>1+(Table1[[#This Row],[error_ratio_0]]-EF$2)</f>
        <v>1.0275510204081633</v>
      </c>
      <c r="EQ888" s="1">
        <f>1+(Table1[[#This Row],[error_ratio_1]]-EG$2)</f>
        <v>1.1013215859030836</v>
      </c>
      <c r="ER888" s="1">
        <f>1+(Table1[[#This Row],[error_ratio_2]]-EH$2)</f>
        <v>1.0029069767441861</v>
      </c>
      <c r="ES888" s="1">
        <f>1+(Table1[[#This Row],[error_ratio_3]]-EI$2)</f>
        <v>0.57227722772277234</v>
      </c>
      <c r="ET888" s="1">
        <f>1+(Table1[[#This Row],[error_ratio_4]]-EJ$2)</f>
        <v>1.2647657841140529</v>
      </c>
      <c r="EU888" s="1">
        <f>1+(Table1[[#This Row],[error_ratio_5]]-EK$2)</f>
        <v>1.1031390134529149</v>
      </c>
      <c r="EV888" s="1">
        <f>1+(Table1[[#This Row],[error_ratio_6]]-EL$2)</f>
        <v>0.91544885177453028</v>
      </c>
      <c r="EW888" s="1">
        <f>1+(Table1[[#This Row],[error_ratio_7]]-EM$2)</f>
        <v>1.2519455252918288</v>
      </c>
      <c r="EX888" s="1">
        <f>1+(Table1[[#This Row],[error_ratio_8]]-EN$2)</f>
        <v>1.0256673511293635</v>
      </c>
      <c r="EY888" s="1">
        <f>1+(Table1[[#This Row],[error_ratio_9]]-EO$2)</f>
        <v>0.73439048562933595</v>
      </c>
    </row>
    <row r="889" spans="1:155" x14ac:dyDescent="0.75">
      <c r="A889">
        <v>100</v>
      </c>
      <c r="B889">
        <v>100</v>
      </c>
      <c r="C889">
        <v>100</v>
      </c>
      <c r="D889">
        <v>100</v>
      </c>
      <c r="E889">
        <v>10</v>
      </c>
      <c r="F889">
        <v>100</v>
      </c>
      <c r="G889">
        <v>10</v>
      </c>
      <c r="H889">
        <v>10</v>
      </c>
      <c r="I889">
        <v>10</v>
      </c>
      <c r="J889">
        <v>10</v>
      </c>
      <c r="K889">
        <v>1043</v>
      </c>
      <c r="L889">
        <v>1159</v>
      </c>
      <c r="M889">
        <v>1077</v>
      </c>
      <c r="N889">
        <v>1084</v>
      </c>
      <c r="O889">
        <v>977</v>
      </c>
      <c r="P889">
        <v>934</v>
      </c>
      <c r="Q889">
        <v>927</v>
      </c>
      <c r="R889">
        <v>941</v>
      </c>
      <c r="S889">
        <v>875</v>
      </c>
      <c r="T889">
        <v>983</v>
      </c>
      <c r="U889">
        <v>980</v>
      </c>
      <c r="V889">
        <v>1135</v>
      </c>
      <c r="W889">
        <v>1032</v>
      </c>
      <c r="X889">
        <v>1010</v>
      </c>
      <c r="Y889">
        <v>982</v>
      </c>
      <c r="Z889">
        <v>892</v>
      </c>
      <c r="AA889">
        <v>958</v>
      </c>
      <c r="AB889">
        <v>1028</v>
      </c>
      <c r="AC889">
        <v>974</v>
      </c>
      <c r="AD889">
        <v>1009</v>
      </c>
      <c r="AE889">
        <v>978</v>
      </c>
      <c r="AF889">
        <v>0</v>
      </c>
      <c r="AG889">
        <v>0</v>
      </c>
      <c r="AH889">
        <v>0</v>
      </c>
      <c r="AI889">
        <v>0</v>
      </c>
      <c r="AJ889">
        <v>1</v>
      </c>
      <c r="AK889">
        <v>0</v>
      </c>
      <c r="AL889">
        <v>1</v>
      </c>
      <c r="AM889">
        <v>0</v>
      </c>
      <c r="AN889">
        <v>0</v>
      </c>
      <c r="AO889">
        <v>0</v>
      </c>
      <c r="AP889">
        <v>1130</v>
      </c>
      <c r="AQ889">
        <v>1</v>
      </c>
      <c r="AR889">
        <v>1</v>
      </c>
      <c r="AS889">
        <v>0</v>
      </c>
      <c r="AT889">
        <v>2</v>
      </c>
      <c r="AU889">
        <v>0</v>
      </c>
      <c r="AV889">
        <v>0</v>
      </c>
      <c r="AW889">
        <v>1</v>
      </c>
      <c r="AX889">
        <v>0</v>
      </c>
      <c r="AY889">
        <v>2</v>
      </c>
      <c r="AZ889">
        <v>1</v>
      </c>
      <c r="BA889">
        <v>1024</v>
      </c>
      <c r="BB889">
        <v>5</v>
      </c>
      <c r="BC889">
        <v>0</v>
      </c>
      <c r="BD889">
        <v>0</v>
      </c>
      <c r="BE889">
        <v>0</v>
      </c>
      <c r="BF889">
        <v>0</v>
      </c>
      <c r="BG889">
        <v>0</v>
      </c>
      <c r="BH889">
        <v>0</v>
      </c>
      <c r="BI889">
        <v>0</v>
      </c>
      <c r="BJ889">
        <v>0</v>
      </c>
      <c r="BK889">
        <v>2</v>
      </c>
      <c r="BL889">
        <v>1000</v>
      </c>
      <c r="BM889">
        <v>0</v>
      </c>
      <c r="BN889">
        <v>6</v>
      </c>
      <c r="BO889">
        <v>0</v>
      </c>
      <c r="BP889">
        <v>2</v>
      </c>
      <c r="BQ889">
        <v>0</v>
      </c>
      <c r="BR889">
        <v>0</v>
      </c>
      <c r="BS889">
        <v>5</v>
      </c>
      <c r="BT889">
        <v>3</v>
      </c>
      <c r="BU889">
        <v>2</v>
      </c>
      <c r="BV889">
        <v>1</v>
      </c>
      <c r="BW889">
        <v>952</v>
      </c>
      <c r="BX889">
        <v>1</v>
      </c>
      <c r="BY889">
        <v>3</v>
      </c>
      <c r="BZ889">
        <v>1</v>
      </c>
      <c r="CA889">
        <v>2</v>
      </c>
      <c r="CB889">
        <v>12</v>
      </c>
      <c r="CC889">
        <v>5</v>
      </c>
      <c r="CD889">
        <v>0</v>
      </c>
      <c r="CE889">
        <v>0</v>
      </c>
      <c r="CF889">
        <v>7</v>
      </c>
      <c r="CG889">
        <v>0</v>
      </c>
      <c r="CH889">
        <v>877</v>
      </c>
      <c r="CI889">
        <v>2</v>
      </c>
      <c r="CJ889">
        <v>0</v>
      </c>
      <c r="CK889">
        <v>1</v>
      </c>
      <c r="CL889">
        <v>0</v>
      </c>
      <c r="CM889">
        <v>16</v>
      </c>
      <c r="CN889">
        <v>4</v>
      </c>
      <c r="CO889">
        <v>1</v>
      </c>
      <c r="CP889">
        <v>1</v>
      </c>
      <c r="CQ889">
        <v>8</v>
      </c>
      <c r="CR889">
        <v>10</v>
      </c>
      <c r="CS889">
        <v>918</v>
      </c>
      <c r="CT889">
        <v>0</v>
      </c>
      <c r="CU889">
        <v>0</v>
      </c>
      <c r="CV889">
        <v>0</v>
      </c>
      <c r="CW889">
        <v>3</v>
      </c>
      <c r="CX889">
        <v>14</v>
      </c>
      <c r="CY889">
        <v>26</v>
      </c>
      <c r="CZ889">
        <v>30</v>
      </c>
      <c r="DA889">
        <v>3</v>
      </c>
      <c r="DB889">
        <v>1</v>
      </c>
      <c r="DC889">
        <v>0</v>
      </c>
      <c r="DD889">
        <v>929</v>
      </c>
      <c r="DE889">
        <v>4</v>
      </c>
      <c r="DF889">
        <v>18</v>
      </c>
      <c r="DG889">
        <v>31</v>
      </c>
      <c r="DH889">
        <v>0</v>
      </c>
      <c r="DI889">
        <v>18</v>
      </c>
      <c r="DJ889">
        <v>29</v>
      </c>
      <c r="DK889">
        <v>3</v>
      </c>
      <c r="DL889">
        <v>13</v>
      </c>
      <c r="DM889">
        <v>4</v>
      </c>
      <c r="DN889">
        <v>2</v>
      </c>
      <c r="DO889">
        <v>864</v>
      </c>
      <c r="DP889">
        <v>10</v>
      </c>
      <c r="DQ889">
        <v>3</v>
      </c>
      <c r="DR889">
        <v>7</v>
      </c>
      <c r="DS889">
        <v>3</v>
      </c>
      <c r="DT889">
        <v>10</v>
      </c>
      <c r="DU889">
        <v>11</v>
      </c>
      <c r="DV889">
        <v>23</v>
      </c>
      <c r="DW889">
        <v>0</v>
      </c>
      <c r="DX889">
        <v>6</v>
      </c>
      <c r="DY889">
        <v>3</v>
      </c>
      <c r="DZ889">
        <v>943</v>
      </c>
      <c r="EA889">
        <v>0.96150000000000002</v>
      </c>
      <c r="EB889">
        <v>0.96236159629860296</v>
      </c>
      <c r="EC889">
        <v>0.96121301289070205</v>
      </c>
      <c r="ED889">
        <v>0.96097176574504695</v>
      </c>
      <c r="EE889">
        <f>SUM(Table1[[#This Row],[ratio_0]:[ratio_9]])</f>
        <v>550</v>
      </c>
      <c r="EF889" s="1">
        <f>(Table1[[#This Row],[predicted_0]]-Table1[[#This Row],[actual_0]])/Table1[[#This Row],[actual_0]]</f>
        <v>6.4285714285714279E-2</v>
      </c>
      <c r="EG889" s="1">
        <f>(Table1[[#This Row],[predicted_1]]-Table1[[#This Row],[actual_1]])/Table1[[#This Row],[actual_1]]</f>
        <v>2.1145374449339206E-2</v>
      </c>
      <c r="EH889" s="1">
        <f>(Table1[[#This Row],[predicted_2]]-Table1[[#This Row],[actual_2]])/Table1[[#This Row],[actual_2]]</f>
        <v>4.3604651162790699E-2</v>
      </c>
      <c r="EI889" s="1">
        <f>(Table1[[#This Row],[predicted_3]]-Table1[[#This Row],[actual_3]])/Table1[[#This Row],[actual_3]]</f>
        <v>7.3267326732673263E-2</v>
      </c>
      <c r="EJ889" s="1">
        <f>(Table1[[#This Row],[predicted_4]]-Table1[[#This Row],[actual_4]])/Table1[[#This Row],[actual_4]]</f>
        <v>-5.0916496945010185E-3</v>
      </c>
      <c r="EK889" s="1">
        <f>(Table1[[#This Row],[predicted_5]]-Table1[[#This Row],[actual_5]])/Table1[[#This Row],[actual_5]]</f>
        <v>4.708520179372197E-2</v>
      </c>
      <c r="EL889" s="1">
        <f>(Table1[[#This Row],[predicted_6]]-Table1[[#This Row],[actual_6]])/Table1[[#This Row],[actual_6]]</f>
        <v>-3.2359081419624215E-2</v>
      </c>
      <c r="EM889" s="1">
        <f>(Table1[[#This Row],[predicted_7]]-Table1[[#This Row],[actual_7]])/Table1[[#This Row],[actual_7]]</f>
        <v>-8.4630350194552534E-2</v>
      </c>
      <c r="EN889" s="1">
        <f>(Table1[[#This Row],[predicted_8]]-Table1[[#This Row],[actual_8]])/Table1[[#This Row],[actual_8]]</f>
        <v>-0.10164271047227925</v>
      </c>
      <c r="EO889" s="1">
        <f>(Table1[[#This Row],[predicted_9]]-Table1[[#This Row],[actual_9]])/Table1[[#This Row],[actual_9]]</f>
        <v>-2.576808721506442E-2</v>
      </c>
      <c r="EP889" s="1">
        <f>1+(Table1[[#This Row],[error_ratio_0]]-EF$2)</f>
        <v>1.0622448979591836</v>
      </c>
      <c r="EQ889" s="1">
        <f>1+(Table1[[#This Row],[error_ratio_1]]-EG$2)</f>
        <v>1.0193832599118944</v>
      </c>
      <c r="ER889" s="1">
        <f>1+(Table1[[#This Row],[error_ratio_2]]-EH$2)</f>
        <v>1.0484496124031009</v>
      </c>
      <c r="ES889" s="1">
        <f>1+(Table1[[#This Row],[error_ratio_3]]-EI$2)</f>
        <v>1.0633663366336634</v>
      </c>
      <c r="ET889" s="1">
        <f>1+(Table1[[#This Row],[error_ratio_4]]-EJ$2)</f>
        <v>0.99389002036659879</v>
      </c>
      <c r="EU889" s="1">
        <f>1+(Table1[[#This Row],[error_ratio_5]]-EK$2)</f>
        <v>1.0459641255605381</v>
      </c>
      <c r="EV889" s="1">
        <f>1+(Table1[[#This Row],[error_ratio_6]]-EL$2)</f>
        <v>0.97390396659707723</v>
      </c>
      <c r="EW889" s="1">
        <f>1+(Table1[[#This Row],[error_ratio_7]]-EM$2)</f>
        <v>0.91342412451361865</v>
      </c>
      <c r="EX889" s="1">
        <f>1+(Table1[[#This Row],[error_ratio_8]]-EN$2)</f>
        <v>0.90143737166324434</v>
      </c>
      <c r="EY889" s="1">
        <f>1+(Table1[[#This Row],[error_ratio_9]]-EO$2)</f>
        <v>0.97819623389494548</v>
      </c>
    </row>
    <row r="890" spans="1:155" x14ac:dyDescent="0.75">
      <c r="A890">
        <v>10</v>
      </c>
      <c r="B890">
        <v>100</v>
      </c>
      <c r="C890">
        <v>100</v>
      </c>
      <c r="D890">
        <v>100</v>
      </c>
      <c r="E890">
        <v>10</v>
      </c>
      <c r="F890">
        <v>100</v>
      </c>
      <c r="G890">
        <v>10</v>
      </c>
      <c r="H890">
        <v>10</v>
      </c>
      <c r="I890">
        <v>10</v>
      </c>
      <c r="J890">
        <v>10</v>
      </c>
      <c r="K890">
        <v>992</v>
      </c>
      <c r="L890">
        <v>1133</v>
      </c>
      <c r="M890">
        <v>1322</v>
      </c>
      <c r="N890">
        <v>1065</v>
      </c>
      <c r="O890">
        <v>854</v>
      </c>
      <c r="P890">
        <v>1072</v>
      </c>
      <c r="Q890">
        <v>842</v>
      </c>
      <c r="R890">
        <v>927</v>
      </c>
      <c r="S890">
        <v>754</v>
      </c>
      <c r="T890">
        <v>1039</v>
      </c>
      <c r="U890">
        <v>980</v>
      </c>
      <c r="V890">
        <v>1135</v>
      </c>
      <c r="W890">
        <v>1032</v>
      </c>
      <c r="X890">
        <v>1010</v>
      </c>
      <c r="Y890">
        <v>982</v>
      </c>
      <c r="Z890">
        <v>892</v>
      </c>
      <c r="AA890">
        <v>958</v>
      </c>
      <c r="AB890">
        <v>1028</v>
      </c>
      <c r="AC890">
        <v>974</v>
      </c>
      <c r="AD890">
        <v>1009</v>
      </c>
      <c r="AE890">
        <v>963</v>
      </c>
      <c r="AF890">
        <v>0</v>
      </c>
      <c r="AG890">
        <v>5</v>
      </c>
      <c r="AH890">
        <v>0</v>
      </c>
      <c r="AI890">
        <v>0</v>
      </c>
      <c r="AJ890">
        <v>9</v>
      </c>
      <c r="AK890">
        <v>1</v>
      </c>
      <c r="AL890">
        <v>1</v>
      </c>
      <c r="AM890">
        <v>1</v>
      </c>
      <c r="AN890">
        <v>0</v>
      </c>
      <c r="AO890">
        <v>0</v>
      </c>
      <c r="AP890">
        <v>1121</v>
      </c>
      <c r="AQ890">
        <v>9</v>
      </c>
      <c r="AR890">
        <v>0</v>
      </c>
      <c r="AS890">
        <v>0</v>
      </c>
      <c r="AT890">
        <v>4</v>
      </c>
      <c r="AU890">
        <v>0</v>
      </c>
      <c r="AV890">
        <v>0</v>
      </c>
      <c r="AW890">
        <v>1</v>
      </c>
      <c r="AX890">
        <v>0</v>
      </c>
      <c r="AY890">
        <v>0</v>
      </c>
      <c r="AZ890">
        <v>0</v>
      </c>
      <c r="BA890">
        <v>1031</v>
      </c>
      <c r="BB890">
        <v>0</v>
      </c>
      <c r="BC890">
        <v>0</v>
      </c>
      <c r="BD890">
        <v>0</v>
      </c>
      <c r="BE890">
        <v>0</v>
      </c>
      <c r="BF890">
        <v>1</v>
      </c>
      <c r="BG890">
        <v>0</v>
      </c>
      <c r="BH890">
        <v>0</v>
      </c>
      <c r="BI890">
        <v>0</v>
      </c>
      <c r="BJ890">
        <v>0</v>
      </c>
      <c r="BK890">
        <v>6</v>
      </c>
      <c r="BL890">
        <v>997</v>
      </c>
      <c r="BM890">
        <v>0</v>
      </c>
      <c r="BN890">
        <v>6</v>
      </c>
      <c r="BO890">
        <v>0</v>
      </c>
      <c r="BP890">
        <v>1</v>
      </c>
      <c r="BQ890">
        <v>0</v>
      </c>
      <c r="BR890">
        <v>0</v>
      </c>
      <c r="BS890">
        <v>3</v>
      </c>
      <c r="BT890">
        <v>2</v>
      </c>
      <c r="BU890">
        <v>36</v>
      </c>
      <c r="BV890">
        <v>1</v>
      </c>
      <c r="BW890">
        <v>840</v>
      </c>
      <c r="BX890">
        <v>1</v>
      </c>
      <c r="BY890">
        <v>7</v>
      </c>
      <c r="BZ890">
        <v>1</v>
      </c>
      <c r="CA890">
        <v>2</v>
      </c>
      <c r="CB890">
        <v>89</v>
      </c>
      <c r="CC890">
        <v>0</v>
      </c>
      <c r="CD890">
        <v>0</v>
      </c>
      <c r="CE890">
        <v>1</v>
      </c>
      <c r="CF890">
        <v>6</v>
      </c>
      <c r="CG890">
        <v>0</v>
      </c>
      <c r="CH890">
        <v>885</v>
      </c>
      <c r="CI890">
        <v>0</v>
      </c>
      <c r="CJ890">
        <v>0</v>
      </c>
      <c r="CK890">
        <v>0</v>
      </c>
      <c r="CL890">
        <v>0</v>
      </c>
      <c r="CM890">
        <v>15</v>
      </c>
      <c r="CN890">
        <v>4</v>
      </c>
      <c r="CO890">
        <v>10</v>
      </c>
      <c r="CP890">
        <v>1</v>
      </c>
      <c r="CQ890">
        <v>11</v>
      </c>
      <c r="CR890">
        <v>84</v>
      </c>
      <c r="CS890">
        <v>833</v>
      </c>
      <c r="CT890">
        <v>0</v>
      </c>
      <c r="CU890">
        <v>0</v>
      </c>
      <c r="CV890">
        <v>0</v>
      </c>
      <c r="CW890">
        <v>1</v>
      </c>
      <c r="CX890">
        <v>2</v>
      </c>
      <c r="CY890">
        <v>102</v>
      </c>
      <c r="CZ890">
        <v>5</v>
      </c>
      <c r="DA890">
        <v>1</v>
      </c>
      <c r="DB890">
        <v>5</v>
      </c>
      <c r="DC890">
        <v>0</v>
      </c>
      <c r="DD890">
        <v>907</v>
      </c>
      <c r="DE890">
        <v>1</v>
      </c>
      <c r="DF890">
        <v>4</v>
      </c>
      <c r="DG890">
        <v>3</v>
      </c>
      <c r="DH890">
        <v>1</v>
      </c>
      <c r="DI890">
        <v>111</v>
      </c>
      <c r="DJ890">
        <v>41</v>
      </c>
      <c r="DK890">
        <v>1</v>
      </c>
      <c r="DL890">
        <v>47</v>
      </c>
      <c r="DM890">
        <v>0</v>
      </c>
      <c r="DN890">
        <v>9</v>
      </c>
      <c r="DO890">
        <v>748</v>
      </c>
      <c r="DP890">
        <v>13</v>
      </c>
      <c r="DQ890">
        <v>7</v>
      </c>
      <c r="DR890">
        <v>3</v>
      </c>
      <c r="DS890">
        <v>11</v>
      </c>
      <c r="DT890">
        <v>14</v>
      </c>
      <c r="DU890">
        <v>1</v>
      </c>
      <c r="DV890">
        <v>31</v>
      </c>
      <c r="DW890">
        <v>1</v>
      </c>
      <c r="DX890">
        <v>7</v>
      </c>
      <c r="DY890">
        <v>1</v>
      </c>
      <c r="DZ890">
        <v>933</v>
      </c>
      <c r="EA890">
        <v>0.92579999999999996</v>
      </c>
      <c r="EB890">
        <v>0.93431277004786595</v>
      </c>
      <c r="EC890">
        <v>0.92484881926595897</v>
      </c>
      <c r="ED890">
        <v>0.92486902808106497</v>
      </c>
      <c r="EE890">
        <f>SUM(Table1[[#This Row],[ratio_0]:[ratio_9]])</f>
        <v>460</v>
      </c>
      <c r="EF890" s="1">
        <f>(Table1[[#This Row],[predicted_0]]-Table1[[#This Row],[actual_0]])/Table1[[#This Row],[actual_0]]</f>
        <v>1.2244897959183673E-2</v>
      </c>
      <c r="EG890" s="1">
        <f>(Table1[[#This Row],[predicted_1]]-Table1[[#This Row],[actual_1]])/Table1[[#This Row],[actual_1]]</f>
        <v>-1.762114537444934E-3</v>
      </c>
      <c r="EH890" s="1">
        <f>(Table1[[#This Row],[predicted_2]]-Table1[[#This Row],[actual_2]])/Table1[[#This Row],[actual_2]]</f>
        <v>0.2810077519379845</v>
      </c>
      <c r="EI890" s="1">
        <f>(Table1[[#This Row],[predicted_3]]-Table1[[#This Row],[actual_3]])/Table1[[#This Row],[actual_3]]</f>
        <v>5.4455445544554455E-2</v>
      </c>
      <c r="EJ890" s="1">
        <f>(Table1[[#This Row],[predicted_4]]-Table1[[#This Row],[actual_4]])/Table1[[#This Row],[actual_4]]</f>
        <v>-0.13034623217922606</v>
      </c>
      <c r="EK890" s="1">
        <f>(Table1[[#This Row],[predicted_5]]-Table1[[#This Row],[actual_5]])/Table1[[#This Row],[actual_5]]</f>
        <v>0.20179372197309417</v>
      </c>
      <c r="EL890" s="1">
        <f>(Table1[[#This Row],[predicted_6]]-Table1[[#This Row],[actual_6]])/Table1[[#This Row],[actual_6]]</f>
        <v>-0.12108559498956159</v>
      </c>
      <c r="EM890" s="1">
        <f>(Table1[[#This Row],[predicted_7]]-Table1[[#This Row],[actual_7]])/Table1[[#This Row],[actual_7]]</f>
        <v>-9.8249027237354083E-2</v>
      </c>
      <c r="EN890" s="1">
        <f>(Table1[[#This Row],[predicted_8]]-Table1[[#This Row],[actual_8]])/Table1[[#This Row],[actual_8]]</f>
        <v>-0.22587268993839835</v>
      </c>
      <c r="EO890" s="1">
        <f>(Table1[[#This Row],[predicted_9]]-Table1[[#This Row],[actual_9]])/Table1[[#This Row],[actual_9]]</f>
        <v>2.973240832507433E-2</v>
      </c>
      <c r="EP890" s="1">
        <f>1+(Table1[[#This Row],[error_ratio_0]]-EF$2)</f>
        <v>1.010204081632653</v>
      </c>
      <c r="EQ890" s="1">
        <f>1+(Table1[[#This Row],[error_ratio_1]]-EG$2)</f>
        <v>0.99647577092511008</v>
      </c>
      <c r="ER890" s="1">
        <f>1+(Table1[[#This Row],[error_ratio_2]]-EH$2)</f>
        <v>1.2858527131782946</v>
      </c>
      <c r="ES890" s="1">
        <f>1+(Table1[[#This Row],[error_ratio_3]]-EI$2)</f>
        <v>1.0445544554455446</v>
      </c>
      <c r="ET890" s="1">
        <f>1+(Table1[[#This Row],[error_ratio_4]]-EJ$2)</f>
        <v>0.8686354378818737</v>
      </c>
      <c r="EU890" s="1">
        <f>1+(Table1[[#This Row],[error_ratio_5]]-EK$2)</f>
        <v>1.2006726457399104</v>
      </c>
      <c r="EV890" s="1">
        <f>1+(Table1[[#This Row],[error_ratio_6]]-EL$2)</f>
        <v>0.8851774530271399</v>
      </c>
      <c r="EW890" s="1">
        <f>1+(Table1[[#This Row],[error_ratio_7]]-EM$2)</f>
        <v>0.89980544747081714</v>
      </c>
      <c r="EX890" s="1">
        <f>1+(Table1[[#This Row],[error_ratio_8]]-EN$2)</f>
        <v>0.7772073921971252</v>
      </c>
      <c r="EY890" s="1">
        <f>1+(Table1[[#This Row],[error_ratio_9]]-EO$2)</f>
        <v>1.0336967294350843</v>
      </c>
    </row>
    <row r="891" spans="1:155" x14ac:dyDescent="0.75">
      <c r="A891">
        <v>100</v>
      </c>
      <c r="B891">
        <v>10</v>
      </c>
      <c r="C891">
        <v>100</v>
      </c>
      <c r="D891">
        <v>100</v>
      </c>
      <c r="E891">
        <v>10</v>
      </c>
      <c r="F891">
        <v>100</v>
      </c>
      <c r="G891">
        <v>10</v>
      </c>
      <c r="H891">
        <v>10</v>
      </c>
      <c r="I891">
        <v>10</v>
      </c>
      <c r="J891">
        <v>10</v>
      </c>
      <c r="K891">
        <v>1011</v>
      </c>
      <c r="L891">
        <v>1153</v>
      </c>
      <c r="M891">
        <v>1042</v>
      </c>
      <c r="N891">
        <v>1032</v>
      </c>
      <c r="O891">
        <v>1102</v>
      </c>
      <c r="P891">
        <v>1014</v>
      </c>
      <c r="Q891">
        <v>912</v>
      </c>
      <c r="R891">
        <v>1030</v>
      </c>
      <c r="S891">
        <v>885</v>
      </c>
      <c r="T891">
        <v>819</v>
      </c>
      <c r="U891">
        <v>980</v>
      </c>
      <c r="V891">
        <v>1135</v>
      </c>
      <c r="W891">
        <v>1032</v>
      </c>
      <c r="X891">
        <v>1010</v>
      </c>
      <c r="Y891">
        <v>982</v>
      </c>
      <c r="Z891">
        <v>892</v>
      </c>
      <c r="AA891">
        <v>958</v>
      </c>
      <c r="AB891">
        <v>1028</v>
      </c>
      <c r="AC891">
        <v>974</v>
      </c>
      <c r="AD891">
        <v>1009</v>
      </c>
      <c r="AE891">
        <v>966</v>
      </c>
      <c r="AF891">
        <v>2</v>
      </c>
      <c r="AG891">
        <v>1</v>
      </c>
      <c r="AH891">
        <v>0</v>
      </c>
      <c r="AI891">
        <v>0</v>
      </c>
      <c r="AJ891">
        <v>9</v>
      </c>
      <c r="AK891">
        <v>1</v>
      </c>
      <c r="AL891">
        <v>1</v>
      </c>
      <c r="AM891">
        <v>0</v>
      </c>
      <c r="AN891">
        <v>0</v>
      </c>
      <c r="AO891">
        <v>0</v>
      </c>
      <c r="AP891">
        <v>1126</v>
      </c>
      <c r="AQ891">
        <v>5</v>
      </c>
      <c r="AR891">
        <v>1</v>
      </c>
      <c r="AS891">
        <v>0</v>
      </c>
      <c r="AT891">
        <v>1</v>
      </c>
      <c r="AU891">
        <v>1</v>
      </c>
      <c r="AV891">
        <v>0</v>
      </c>
      <c r="AW891">
        <v>1</v>
      </c>
      <c r="AX891">
        <v>0</v>
      </c>
      <c r="AY891">
        <v>4</v>
      </c>
      <c r="AZ891">
        <v>3</v>
      </c>
      <c r="BA891">
        <v>1014</v>
      </c>
      <c r="BB891">
        <v>0</v>
      </c>
      <c r="BC891">
        <v>0</v>
      </c>
      <c r="BD891">
        <v>0</v>
      </c>
      <c r="BE891">
        <v>1</v>
      </c>
      <c r="BF891">
        <v>10</v>
      </c>
      <c r="BG891">
        <v>0</v>
      </c>
      <c r="BH891">
        <v>0</v>
      </c>
      <c r="BI891">
        <v>2</v>
      </c>
      <c r="BJ891">
        <v>0</v>
      </c>
      <c r="BK891">
        <v>2</v>
      </c>
      <c r="BL891">
        <v>985</v>
      </c>
      <c r="BM891">
        <v>0</v>
      </c>
      <c r="BN891">
        <v>17</v>
      </c>
      <c r="BO891">
        <v>0</v>
      </c>
      <c r="BP891">
        <v>4</v>
      </c>
      <c r="BQ891">
        <v>0</v>
      </c>
      <c r="BR891">
        <v>0</v>
      </c>
      <c r="BS891">
        <v>3</v>
      </c>
      <c r="BT891">
        <v>1</v>
      </c>
      <c r="BU891">
        <v>2</v>
      </c>
      <c r="BV891">
        <v>0</v>
      </c>
      <c r="BW891">
        <v>968</v>
      </c>
      <c r="BX891">
        <v>0</v>
      </c>
      <c r="BY891">
        <v>6</v>
      </c>
      <c r="BZ891">
        <v>1</v>
      </c>
      <c r="CA891">
        <v>1</v>
      </c>
      <c r="CB891">
        <v>0</v>
      </c>
      <c r="CC891">
        <v>0</v>
      </c>
      <c r="CD891">
        <v>0</v>
      </c>
      <c r="CE891">
        <v>1</v>
      </c>
      <c r="CF891">
        <v>3</v>
      </c>
      <c r="CG891">
        <v>0</v>
      </c>
      <c r="CH891">
        <v>887</v>
      </c>
      <c r="CI891">
        <v>0</v>
      </c>
      <c r="CJ891">
        <v>1</v>
      </c>
      <c r="CK891">
        <v>0</v>
      </c>
      <c r="CL891">
        <v>0</v>
      </c>
      <c r="CM891">
        <v>14</v>
      </c>
      <c r="CN891">
        <v>3</v>
      </c>
      <c r="CO891">
        <v>1</v>
      </c>
      <c r="CP891">
        <v>0</v>
      </c>
      <c r="CQ891">
        <v>5</v>
      </c>
      <c r="CR891">
        <v>34</v>
      </c>
      <c r="CS891">
        <v>901</v>
      </c>
      <c r="CT891">
        <v>0</v>
      </c>
      <c r="CU891">
        <v>0</v>
      </c>
      <c r="CV891">
        <v>0</v>
      </c>
      <c r="CW891">
        <v>5</v>
      </c>
      <c r="CX891">
        <v>6</v>
      </c>
      <c r="CY891">
        <v>10</v>
      </c>
      <c r="CZ891">
        <v>8</v>
      </c>
      <c r="DA891">
        <v>7</v>
      </c>
      <c r="DB891">
        <v>3</v>
      </c>
      <c r="DC891">
        <v>0</v>
      </c>
      <c r="DD891">
        <v>988</v>
      </c>
      <c r="DE891">
        <v>1</v>
      </c>
      <c r="DF891">
        <v>0</v>
      </c>
      <c r="DG891">
        <v>7</v>
      </c>
      <c r="DH891">
        <v>4</v>
      </c>
      <c r="DI891">
        <v>5</v>
      </c>
      <c r="DJ891">
        <v>31</v>
      </c>
      <c r="DK891">
        <v>3</v>
      </c>
      <c r="DL891">
        <v>34</v>
      </c>
      <c r="DM891">
        <v>2</v>
      </c>
      <c r="DN891">
        <v>11</v>
      </c>
      <c r="DO891">
        <v>874</v>
      </c>
      <c r="DP891">
        <v>3</v>
      </c>
      <c r="DQ891">
        <v>10</v>
      </c>
      <c r="DR891">
        <v>8</v>
      </c>
      <c r="DS891">
        <v>1</v>
      </c>
      <c r="DT891">
        <v>4</v>
      </c>
      <c r="DU891">
        <v>119</v>
      </c>
      <c r="DV891">
        <v>29</v>
      </c>
      <c r="DW891">
        <v>0</v>
      </c>
      <c r="DX891">
        <v>14</v>
      </c>
      <c r="DY891">
        <v>8</v>
      </c>
      <c r="DZ891">
        <v>816</v>
      </c>
      <c r="EA891">
        <v>0.95250000000000001</v>
      </c>
      <c r="EB891">
        <v>0.95438842755953401</v>
      </c>
      <c r="EC891">
        <v>0.95233710742019395</v>
      </c>
      <c r="ED891">
        <v>0.95137825390395503</v>
      </c>
      <c r="EE891">
        <f>SUM(Table1[[#This Row],[ratio_0]:[ratio_9]])</f>
        <v>460</v>
      </c>
      <c r="EF891" s="1">
        <f>(Table1[[#This Row],[predicted_0]]-Table1[[#This Row],[actual_0]])/Table1[[#This Row],[actual_0]]</f>
        <v>3.1632653061224487E-2</v>
      </c>
      <c r="EG891" s="1">
        <f>(Table1[[#This Row],[predicted_1]]-Table1[[#This Row],[actual_1]])/Table1[[#This Row],[actual_1]]</f>
        <v>1.5859030837004406E-2</v>
      </c>
      <c r="EH891" s="1">
        <f>(Table1[[#This Row],[predicted_2]]-Table1[[#This Row],[actual_2]])/Table1[[#This Row],[actual_2]]</f>
        <v>9.6899224806201549E-3</v>
      </c>
      <c r="EI891" s="1">
        <f>(Table1[[#This Row],[predicted_3]]-Table1[[#This Row],[actual_3]])/Table1[[#This Row],[actual_3]]</f>
        <v>2.1782178217821781E-2</v>
      </c>
      <c r="EJ891" s="1">
        <f>(Table1[[#This Row],[predicted_4]]-Table1[[#This Row],[actual_4]])/Table1[[#This Row],[actual_4]]</f>
        <v>0.12219959266802444</v>
      </c>
      <c r="EK891" s="1">
        <f>(Table1[[#This Row],[predicted_5]]-Table1[[#This Row],[actual_5]])/Table1[[#This Row],[actual_5]]</f>
        <v>0.1367713004484305</v>
      </c>
      <c r="EL891" s="1">
        <f>(Table1[[#This Row],[predicted_6]]-Table1[[#This Row],[actual_6]])/Table1[[#This Row],[actual_6]]</f>
        <v>-4.8016701461377868E-2</v>
      </c>
      <c r="EM891" s="1">
        <f>(Table1[[#This Row],[predicted_7]]-Table1[[#This Row],[actual_7]])/Table1[[#This Row],[actual_7]]</f>
        <v>1.9455252918287938E-3</v>
      </c>
      <c r="EN891" s="1">
        <f>(Table1[[#This Row],[predicted_8]]-Table1[[#This Row],[actual_8]])/Table1[[#This Row],[actual_8]]</f>
        <v>-9.1375770020533875E-2</v>
      </c>
      <c r="EO891" s="1">
        <f>(Table1[[#This Row],[predicted_9]]-Table1[[#This Row],[actual_9]])/Table1[[#This Row],[actual_9]]</f>
        <v>-0.18830525272547077</v>
      </c>
      <c r="EP891" s="1">
        <f>1+(Table1[[#This Row],[error_ratio_0]]-EF$2)</f>
        <v>1.0295918367346939</v>
      </c>
      <c r="EQ891" s="1">
        <f>1+(Table1[[#This Row],[error_ratio_1]]-EG$2)</f>
        <v>1.0140969162995594</v>
      </c>
      <c r="ER891" s="1">
        <f>1+(Table1[[#This Row],[error_ratio_2]]-EH$2)</f>
        <v>1.0145348837209303</v>
      </c>
      <c r="ES891" s="1">
        <f>1+(Table1[[#This Row],[error_ratio_3]]-EI$2)</f>
        <v>1.0118811881188119</v>
      </c>
      <c r="ET891" s="1">
        <f>1+(Table1[[#This Row],[error_ratio_4]]-EJ$2)</f>
        <v>1.1211812627291242</v>
      </c>
      <c r="EU891" s="1">
        <f>1+(Table1[[#This Row],[error_ratio_5]]-EK$2)</f>
        <v>1.1356502242152466</v>
      </c>
      <c r="EV891" s="1">
        <f>1+(Table1[[#This Row],[error_ratio_6]]-EL$2)</f>
        <v>0.95824634655532359</v>
      </c>
      <c r="EW891" s="1">
        <f>1+(Table1[[#This Row],[error_ratio_7]]-EM$2)</f>
        <v>1</v>
      </c>
      <c r="EX891" s="1">
        <f>1+(Table1[[#This Row],[error_ratio_8]]-EN$2)</f>
        <v>0.9117043121149897</v>
      </c>
      <c r="EY891" s="1">
        <f>1+(Table1[[#This Row],[error_ratio_9]]-EO$2)</f>
        <v>0.81565906838453917</v>
      </c>
    </row>
    <row r="892" spans="1:155" x14ac:dyDescent="0.75">
      <c r="A892">
        <v>10</v>
      </c>
      <c r="B892">
        <v>10</v>
      </c>
      <c r="C892">
        <v>100</v>
      </c>
      <c r="D892">
        <v>100</v>
      </c>
      <c r="E892">
        <v>10</v>
      </c>
      <c r="F892">
        <v>100</v>
      </c>
      <c r="G892">
        <v>10</v>
      </c>
      <c r="H892">
        <v>10</v>
      </c>
      <c r="I892">
        <v>10</v>
      </c>
      <c r="J892">
        <v>10</v>
      </c>
      <c r="K892">
        <v>996</v>
      </c>
      <c r="L892">
        <v>1138</v>
      </c>
      <c r="M892">
        <v>1077</v>
      </c>
      <c r="N892">
        <v>1052</v>
      </c>
      <c r="O892">
        <v>903</v>
      </c>
      <c r="P892">
        <v>901</v>
      </c>
      <c r="Q892">
        <v>938</v>
      </c>
      <c r="R892">
        <v>1063</v>
      </c>
      <c r="S892">
        <v>878</v>
      </c>
      <c r="T892">
        <v>1054</v>
      </c>
      <c r="U892">
        <v>980</v>
      </c>
      <c r="V892">
        <v>1135</v>
      </c>
      <c r="W892">
        <v>1032</v>
      </c>
      <c r="X892">
        <v>1010</v>
      </c>
      <c r="Y892">
        <v>982</v>
      </c>
      <c r="Z892">
        <v>892</v>
      </c>
      <c r="AA892">
        <v>958</v>
      </c>
      <c r="AB892">
        <v>1028</v>
      </c>
      <c r="AC892">
        <v>974</v>
      </c>
      <c r="AD892">
        <v>1009</v>
      </c>
      <c r="AE892">
        <v>971</v>
      </c>
      <c r="AF892">
        <v>0</v>
      </c>
      <c r="AG892">
        <v>2</v>
      </c>
      <c r="AH892">
        <v>0</v>
      </c>
      <c r="AI892">
        <v>0</v>
      </c>
      <c r="AJ892">
        <v>2</v>
      </c>
      <c r="AK892">
        <v>2</v>
      </c>
      <c r="AL892">
        <v>1</v>
      </c>
      <c r="AM892">
        <v>2</v>
      </c>
      <c r="AN892">
        <v>0</v>
      </c>
      <c r="AO892">
        <v>0</v>
      </c>
      <c r="AP892">
        <v>1124</v>
      </c>
      <c r="AQ892">
        <v>5</v>
      </c>
      <c r="AR892">
        <v>0</v>
      </c>
      <c r="AS892">
        <v>0</v>
      </c>
      <c r="AT892">
        <v>2</v>
      </c>
      <c r="AU892">
        <v>1</v>
      </c>
      <c r="AV892">
        <v>3</v>
      </c>
      <c r="AW892">
        <v>0</v>
      </c>
      <c r="AX892">
        <v>0</v>
      </c>
      <c r="AY892">
        <v>2</v>
      </c>
      <c r="AZ892">
        <v>0</v>
      </c>
      <c r="BA892">
        <v>1020</v>
      </c>
      <c r="BB892">
        <v>2</v>
      </c>
      <c r="BC892">
        <v>0</v>
      </c>
      <c r="BD892">
        <v>0</v>
      </c>
      <c r="BE892">
        <v>1</v>
      </c>
      <c r="BF892">
        <v>7</v>
      </c>
      <c r="BG892">
        <v>0</v>
      </c>
      <c r="BH892">
        <v>0</v>
      </c>
      <c r="BI892">
        <v>0</v>
      </c>
      <c r="BJ892">
        <v>0</v>
      </c>
      <c r="BK892">
        <v>2</v>
      </c>
      <c r="BL892">
        <v>1002</v>
      </c>
      <c r="BM892">
        <v>0</v>
      </c>
      <c r="BN892">
        <v>0</v>
      </c>
      <c r="BO892">
        <v>0</v>
      </c>
      <c r="BP892">
        <v>5</v>
      </c>
      <c r="BQ892">
        <v>0</v>
      </c>
      <c r="BR892">
        <v>1</v>
      </c>
      <c r="BS892">
        <v>0</v>
      </c>
      <c r="BT892">
        <v>2</v>
      </c>
      <c r="BU892">
        <v>5</v>
      </c>
      <c r="BV892">
        <v>0</v>
      </c>
      <c r="BW892">
        <v>896</v>
      </c>
      <c r="BX892">
        <v>0</v>
      </c>
      <c r="BY892">
        <v>7</v>
      </c>
      <c r="BZ892">
        <v>6</v>
      </c>
      <c r="CA892">
        <v>2</v>
      </c>
      <c r="CB892">
        <v>64</v>
      </c>
      <c r="CC892">
        <v>3</v>
      </c>
      <c r="CD892">
        <v>0</v>
      </c>
      <c r="CE892">
        <v>1</v>
      </c>
      <c r="CF892">
        <v>20</v>
      </c>
      <c r="CG892">
        <v>0</v>
      </c>
      <c r="CH892">
        <v>865</v>
      </c>
      <c r="CI892">
        <v>2</v>
      </c>
      <c r="CJ892">
        <v>1</v>
      </c>
      <c r="CK892">
        <v>0</v>
      </c>
      <c r="CL892">
        <v>0</v>
      </c>
      <c r="CM892">
        <v>9</v>
      </c>
      <c r="CN892">
        <v>4</v>
      </c>
      <c r="CO892">
        <v>1</v>
      </c>
      <c r="CP892">
        <v>0</v>
      </c>
      <c r="CQ892">
        <v>5</v>
      </c>
      <c r="CR892">
        <v>17</v>
      </c>
      <c r="CS892">
        <v>920</v>
      </c>
      <c r="CT892">
        <v>0</v>
      </c>
      <c r="CU892">
        <v>0</v>
      </c>
      <c r="CV892">
        <v>2</v>
      </c>
      <c r="CW892">
        <v>3</v>
      </c>
      <c r="CX892">
        <v>1</v>
      </c>
      <c r="CY892">
        <v>10</v>
      </c>
      <c r="CZ892">
        <v>2</v>
      </c>
      <c r="DA892">
        <v>1</v>
      </c>
      <c r="DB892">
        <v>1</v>
      </c>
      <c r="DC892">
        <v>0</v>
      </c>
      <c r="DD892">
        <v>1006</v>
      </c>
      <c r="DE892">
        <v>0</v>
      </c>
      <c r="DF892">
        <v>4</v>
      </c>
      <c r="DG892">
        <v>5</v>
      </c>
      <c r="DH892">
        <v>2</v>
      </c>
      <c r="DI892">
        <v>30</v>
      </c>
      <c r="DJ892">
        <v>19</v>
      </c>
      <c r="DK892">
        <v>1</v>
      </c>
      <c r="DL892">
        <v>12</v>
      </c>
      <c r="DM892">
        <v>4</v>
      </c>
      <c r="DN892">
        <v>14</v>
      </c>
      <c r="DO892">
        <v>874</v>
      </c>
      <c r="DP892">
        <v>13</v>
      </c>
      <c r="DQ892">
        <v>3</v>
      </c>
      <c r="DR892">
        <v>5</v>
      </c>
      <c r="DS892">
        <v>1</v>
      </c>
      <c r="DT892">
        <v>7</v>
      </c>
      <c r="DU892">
        <v>0</v>
      </c>
      <c r="DV892">
        <v>2</v>
      </c>
      <c r="DW892">
        <v>1</v>
      </c>
      <c r="DX892">
        <v>20</v>
      </c>
      <c r="DY892">
        <v>0</v>
      </c>
      <c r="DZ892">
        <v>970</v>
      </c>
      <c r="EA892">
        <v>0.96479999999999999</v>
      </c>
      <c r="EB892">
        <v>0.96573726687940897</v>
      </c>
      <c r="EC892">
        <v>0.96413422801547199</v>
      </c>
      <c r="ED892">
        <v>0.96433821226687999</v>
      </c>
      <c r="EE892">
        <f>SUM(Table1[[#This Row],[ratio_0]:[ratio_9]])</f>
        <v>370</v>
      </c>
      <c r="EF892" s="1">
        <f>(Table1[[#This Row],[predicted_0]]-Table1[[#This Row],[actual_0]])/Table1[[#This Row],[actual_0]]</f>
        <v>1.6326530612244899E-2</v>
      </c>
      <c r="EG892" s="1">
        <f>(Table1[[#This Row],[predicted_1]]-Table1[[#This Row],[actual_1]])/Table1[[#This Row],[actual_1]]</f>
        <v>2.6431718061674008E-3</v>
      </c>
      <c r="EH892" s="1">
        <f>(Table1[[#This Row],[predicted_2]]-Table1[[#This Row],[actual_2]])/Table1[[#This Row],[actual_2]]</f>
        <v>4.3604651162790699E-2</v>
      </c>
      <c r="EI892" s="1">
        <f>(Table1[[#This Row],[predicted_3]]-Table1[[#This Row],[actual_3]])/Table1[[#This Row],[actual_3]]</f>
        <v>4.1584158415841586E-2</v>
      </c>
      <c r="EJ892" s="1">
        <f>(Table1[[#This Row],[predicted_4]]-Table1[[#This Row],[actual_4]])/Table1[[#This Row],[actual_4]]</f>
        <v>-8.044806517311609E-2</v>
      </c>
      <c r="EK892" s="1">
        <f>(Table1[[#This Row],[predicted_5]]-Table1[[#This Row],[actual_5]])/Table1[[#This Row],[actual_5]]</f>
        <v>1.0089686098654708E-2</v>
      </c>
      <c r="EL892" s="1">
        <f>(Table1[[#This Row],[predicted_6]]-Table1[[#This Row],[actual_6]])/Table1[[#This Row],[actual_6]]</f>
        <v>-2.0876826722338204E-2</v>
      </c>
      <c r="EM892" s="1">
        <f>(Table1[[#This Row],[predicted_7]]-Table1[[#This Row],[actual_7]])/Table1[[#This Row],[actual_7]]</f>
        <v>3.4046692607003888E-2</v>
      </c>
      <c r="EN892" s="1">
        <f>(Table1[[#This Row],[predicted_8]]-Table1[[#This Row],[actual_8]])/Table1[[#This Row],[actual_8]]</f>
        <v>-9.856262833675565E-2</v>
      </c>
      <c r="EO892" s="1">
        <f>(Table1[[#This Row],[predicted_9]]-Table1[[#This Row],[actual_9]])/Table1[[#This Row],[actual_9]]</f>
        <v>4.4598612487611496E-2</v>
      </c>
      <c r="EP892" s="1">
        <f>1+(Table1[[#This Row],[error_ratio_0]]-EF$2)</f>
        <v>1.0142857142857142</v>
      </c>
      <c r="EQ892" s="1">
        <f>1+(Table1[[#This Row],[error_ratio_1]]-EG$2)</f>
        <v>1.0008810572687226</v>
      </c>
      <c r="ER892" s="1">
        <f>1+(Table1[[#This Row],[error_ratio_2]]-EH$2)</f>
        <v>1.0484496124031009</v>
      </c>
      <c r="ES892" s="1">
        <f>1+(Table1[[#This Row],[error_ratio_3]]-EI$2)</f>
        <v>1.0316831683168317</v>
      </c>
      <c r="ET892" s="1">
        <f>1+(Table1[[#This Row],[error_ratio_4]]-EJ$2)</f>
        <v>0.91853360488798375</v>
      </c>
      <c r="EU892" s="1">
        <f>1+(Table1[[#This Row],[error_ratio_5]]-EK$2)</f>
        <v>1.0089686098654709</v>
      </c>
      <c r="EV892" s="1">
        <f>1+(Table1[[#This Row],[error_ratio_6]]-EL$2)</f>
        <v>0.98538622129436326</v>
      </c>
      <c r="EW892" s="1">
        <f>1+(Table1[[#This Row],[error_ratio_7]]-EM$2)</f>
        <v>1.032101167315175</v>
      </c>
      <c r="EX892" s="1">
        <f>1+(Table1[[#This Row],[error_ratio_8]]-EN$2)</f>
        <v>0.90451745379876791</v>
      </c>
      <c r="EY892" s="1">
        <f>1+(Table1[[#This Row],[error_ratio_9]]-EO$2)</f>
        <v>1.0485629335976214</v>
      </c>
    </row>
    <row r="893" spans="1:155" x14ac:dyDescent="0.75">
      <c r="A893">
        <v>100</v>
      </c>
      <c r="B893">
        <v>100</v>
      </c>
      <c r="C893">
        <v>10</v>
      </c>
      <c r="D893">
        <v>100</v>
      </c>
      <c r="E893">
        <v>10</v>
      </c>
      <c r="F893">
        <v>100</v>
      </c>
      <c r="G893">
        <v>10</v>
      </c>
      <c r="H893">
        <v>10</v>
      </c>
      <c r="I893">
        <v>10</v>
      </c>
      <c r="J893">
        <v>10</v>
      </c>
      <c r="K893">
        <v>1056</v>
      </c>
      <c r="L893">
        <v>1184</v>
      </c>
      <c r="M893">
        <v>998</v>
      </c>
      <c r="N893">
        <v>1196</v>
      </c>
      <c r="O893">
        <v>971</v>
      </c>
      <c r="P893">
        <v>961</v>
      </c>
      <c r="Q893">
        <v>860</v>
      </c>
      <c r="R893">
        <v>967</v>
      </c>
      <c r="S893">
        <v>796</v>
      </c>
      <c r="T893">
        <v>1011</v>
      </c>
      <c r="U893">
        <v>980</v>
      </c>
      <c r="V893">
        <v>1135</v>
      </c>
      <c r="W893">
        <v>1032</v>
      </c>
      <c r="X893">
        <v>1010</v>
      </c>
      <c r="Y893">
        <v>982</v>
      </c>
      <c r="Z893">
        <v>892</v>
      </c>
      <c r="AA893">
        <v>958</v>
      </c>
      <c r="AB893">
        <v>1028</v>
      </c>
      <c r="AC893">
        <v>974</v>
      </c>
      <c r="AD893">
        <v>1009</v>
      </c>
      <c r="AE893">
        <v>978</v>
      </c>
      <c r="AF893">
        <v>1</v>
      </c>
      <c r="AG893">
        <v>0</v>
      </c>
      <c r="AH893">
        <v>0</v>
      </c>
      <c r="AI893">
        <v>0</v>
      </c>
      <c r="AJ893">
        <v>1</v>
      </c>
      <c r="AK893">
        <v>0</v>
      </c>
      <c r="AL893">
        <v>0</v>
      </c>
      <c r="AM893">
        <v>0</v>
      </c>
      <c r="AN893">
        <v>0</v>
      </c>
      <c r="AO893">
        <v>0</v>
      </c>
      <c r="AP893">
        <v>1132</v>
      </c>
      <c r="AQ893">
        <v>0</v>
      </c>
      <c r="AR893">
        <v>2</v>
      </c>
      <c r="AS893">
        <v>0</v>
      </c>
      <c r="AT893">
        <v>1</v>
      </c>
      <c r="AU893">
        <v>0</v>
      </c>
      <c r="AV893">
        <v>0</v>
      </c>
      <c r="AW893">
        <v>0</v>
      </c>
      <c r="AX893">
        <v>0</v>
      </c>
      <c r="AY893">
        <v>8</v>
      </c>
      <c r="AZ893">
        <v>10</v>
      </c>
      <c r="BA893">
        <v>970</v>
      </c>
      <c r="BB893">
        <v>30</v>
      </c>
      <c r="BC893">
        <v>5</v>
      </c>
      <c r="BD893">
        <v>0</v>
      </c>
      <c r="BE893">
        <v>0</v>
      </c>
      <c r="BF893">
        <v>9</v>
      </c>
      <c r="BG893">
        <v>0</v>
      </c>
      <c r="BH893">
        <v>0</v>
      </c>
      <c r="BI893">
        <v>0</v>
      </c>
      <c r="BJ893">
        <v>0</v>
      </c>
      <c r="BK893">
        <v>0</v>
      </c>
      <c r="BL893">
        <v>1005</v>
      </c>
      <c r="BM893">
        <v>0</v>
      </c>
      <c r="BN893">
        <v>3</v>
      </c>
      <c r="BO893">
        <v>0</v>
      </c>
      <c r="BP893">
        <v>1</v>
      </c>
      <c r="BQ893">
        <v>0</v>
      </c>
      <c r="BR893">
        <v>1</v>
      </c>
      <c r="BS893">
        <v>1</v>
      </c>
      <c r="BT893">
        <v>5</v>
      </c>
      <c r="BU893">
        <v>2</v>
      </c>
      <c r="BV893">
        <v>0</v>
      </c>
      <c r="BW893">
        <v>930</v>
      </c>
      <c r="BX893">
        <v>2</v>
      </c>
      <c r="BY893">
        <v>1</v>
      </c>
      <c r="BZ893">
        <v>0</v>
      </c>
      <c r="CA893">
        <v>0</v>
      </c>
      <c r="CB893">
        <v>41</v>
      </c>
      <c r="CC893">
        <v>3</v>
      </c>
      <c r="CD893">
        <v>0</v>
      </c>
      <c r="CE893">
        <v>0</v>
      </c>
      <c r="CF893">
        <v>13</v>
      </c>
      <c r="CG893">
        <v>0</v>
      </c>
      <c r="CH893">
        <v>875</v>
      </c>
      <c r="CI893">
        <v>1</v>
      </c>
      <c r="CJ893">
        <v>0</v>
      </c>
      <c r="CK893">
        <v>0</v>
      </c>
      <c r="CL893">
        <v>0</v>
      </c>
      <c r="CM893">
        <v>34</v>
      </c>
      <c r="CN893">
        <v>6</v>
      </c>
      <c r="CO893">
        <v>0</v>
      </c>
      <c r="CP893">
        <v>1</v>
      </c>
      <c r="CQ893">
        <v>25</v>
      </c>
      <c r="CR893">
        <v>36</v>
      </c>
      <c r="CS893">
        <v>856</v>
      </c>
      <c r="CT893">
        <v>0</v>
      </c>
      <c r="CU893">
        <v>0</v>
      </c>
      <c r="CV893">
        <v>0</v>
      </c>
      <c r="CW893">
        <v>6</v>
      </c>
      <c r="CX893">
        <v>18</v>
      </c>
      <c r="CY893">
        <v>14</v>
      </c>
      <c r="CZ893">
        <v>26</v>
      </c>
      <c r="DA893">
        <v>1</v>
      </c>
      <c r="DB893">
        <v>2</v>
      </c>
      <c r="DC893">
        <v>0</v>
      </c>
      <c r="DD893">
        <v>942</v>
      </c>
      <c r="DE893">
        <v>1</v>
      </c>
      <c r="DF893">
        <v>18</v>
      </c>
      <c r="DG893">
        <v>16</v>
      </c>
      <c r="DH893">
        <v>5</v>
      </c>
      <c r="DI893">
        <v>12</v>
      </c>
      <c r="DJ893">
        <v>92</v>
      </c>
      <c r="DK893">
        <v>3</v>
      </c>
      <c r="DL893">
        <v>28</v>
      </c>
      <c r="DM893">
        <v>2</v>
      </c>
      <c r="DN893">
        <v>10</v>
      </c>
      <c r="DO893">
        <v>795</v>
      </c>
      <c r="DP893">
        <v>11</v>
      </c>
      <c r="DQ893">
        <v>10</v>
      </c>
      <c r="DR893">
        <v>7</v>
      </c>
      <c r="DS893">
        <v>0</v>
      </c>
      <c r="DT893">
        <v>27</v>
      </c>
      <c r="DU893">
        <v>7</v>
      </c>
      <c r="DV893">
        <v>13</v>
      </c>
      <c r="DW893">
        <v>0</v>
      </c>
      <c r="DX893">
        <v>5</v>
      </c>
      <c r="DY893">
        <v>0</v>
      </c>
      <c r="DZ893">
        <v>940</v>
      </c>
      <c r="EA893">
        <v>0.94230000000000003</v>
      </c>
      <c r="EB893">
        <v>0.94607596147500495</v>
      </c>
      <c r="EC893">
        <v>0.941598436758454</v>
      </c>
      <c r="ED893">
        <v>0.94156552207352395</v>
      </c>
      <c r="EE893">
        <f>SUM(Table1[[#This Row],[ratio_0]:[ratio_9]])</f>
        <v>460</v>
      </c>
      <c r="EF893" s="1">
        <f>(Table1[[#This Row],[predicted_0]]-Table1[[#This Row],[actual_0]])/Table1[[#This Row],[actual_0]]</f>
        <v>7.7551020408163265E-2</v>
      </c>
      <c r="EG893" s="1">
        <f>(Table1[[#This Row],[predicted_1]]-Table1[[#This Row],[actual_1]])/Table1[[#This Row],[actual_1]]</f>
        <v>4.3171806167400878E-2</v>
      </c>
      <c r="EH893" s="1">
        <f>(Table1[[#This Row],[predicted_2]]-Table1[[#This Row],[actual_2]])/Table1[[#This Row],[actual_2]]</f>
        <v>-3.294573643410853E-2</v>
      </c>
      <c r="EI893" s="1">
        <f>(Table1[[#This Row],[predicted_3]]-Table1[[#This Row],[actual_3]])/Table1[[#This Row],[actual_3]]</f>
        <v>0.18415841584158416</v>
      </c>
      <c r="EJ893" s="1">
        <f>(Table1[[#This Row],[predicted_4]]-Table1[[#This Row],[actual_4]])/Table1[[#This Row],[actual_4]]</f>
        <v>-1.1201629327902239E-2</v>
      </c>
      <c r="EK893" s="1">
        <f>(Table1[[#This Row],[predicted_5]]-Table1[[#This Row],[actual_5]])/Table1[[#This Row],[actual_5]]</f>
        <v>7.73542600896861E-2</v>
      </c>
      <c r="EL893" s="1">
        <f>(Table1[[#This Row],[predicted_6]]-Table1[[#This Row],[actual_6]])/Table1[[#This Row],[actual_6]]</f>
        <v>-0.1022964509394572</v>
      </c>
      <c r="EM893" s="1">
        <f>(Table1[[#This Row],[predicted_7]]-Table1[[#This Row],[actual_7]])/Table1[[#This Row],[actual_7]]</f>
        <v>-5.9338521400778207E-2</v>
      </c>
      <c r="EN893" s="1">
        <f>(Table1[[#This Row],[predicted_8]]-Table1[[#This Row],[actual_8]])/Table1[[#This Row],[actual_8]]</f>
        <v>-0.18275154004106775</v>
      </c>
      <c r="EO893" s="1">
        <f>(Table1[[#This Row],[predicted_9]]-Table1[[#This Row],[actual_9]])/Table1[[#This Row],[actual_9]]</f>
        <v>1.9821605550049554E-3</v>
      </c>
      <c r="EP893" s="1">
        <f>1+(Table1[[#This Row],[error_ratio_0]]-EF$2)</f>
        <v>1.0755102040816327</v>
      </c>
      <c r="EQ893" s="1">
        <f>1+(Table1[[#This Row],[error_ratio_1]]-EG$2)</f>
        <v>1.041409691629956</v>
      </c>
      <c r="ER893" s="1">
        <f>1+(Table1[[#This Row],[error_ratio_2]]-EH$2)</f>
        <v>0.9718992248062015</v>
      </c>
      <c r="ES893" s="1">
        <f>1+(Table1[[#This Row],[error_ratio_3]]-EI$2)</f>
        <v>1.1742574257425742</v>
      </c>
      <c r="ET893" s="1">
        <f>1+(Table1[[#This Row],[error_ratio_4]]-EJ$2)</f>
        <v>0.98778004073319758</v>
      </c>
      <c r="EU893" s="1">
        <f>1+(Table1[[#This Row],[error_ratio_5]]-EK$2)</f>
        <v>1.0762331838565022</v>
      </c>
      <c r="EV893" s="1">
        <f>1+(Table1[[#This Row],[error_ratio_6]]-EL$2)</f>
        <v>0.90396659707724425</v>
      </c>
      <c r="EW893" s="1">
        <f>1+(Table1[[#This Row],[error_ratio_7]]-EM$2)</f>
        <v>0.93871595330739299</v>
      </c>
      <c r="EX893" s="1">
        <f>1+(Table1[[#This Row],[error_ratio_8]]-EN$2)</f>
        <v>0.82032854209445583</v>
      </c>
      <c r="EY893" s="1">
        <f>1+(Table1[[#This Row],[error_ratio_9]]-EO$2)</f>
        <v>1.0059464816650148</v>
      </c>
    </row>
    <row r="894" spans="1:155" x14ac:dyDescent="0.75">
      <c r="A894">
        <v>10</v>
      </c>
      <c r="B894">
        <v>100</v>
      </c>
      <c r="C894">
        <v>10</v>
      </c>
      <c r="D894">
        <v>100</v>
      </c>
      <c r="E894">
        <v>10</v>
      </c>
      <c r="F894">
        <v>100</v>
      </c>
      <c r="G894">
        <v>10</v>
      </c>
      <c r="H894">
        <v>10</v>
      </c>
      <c r="I894">
        <v>10</v>
      </c>
      <c r="J894">
        <v>10</v>
      </c>
      <c r="K894">
        <v>1002</v>
      </c>
      <c r="L894">
        <v>1181</v>
      </c>
      <c r="M894">
        <v>959</v>
      </c>
      <c r="N894">
        <v>1091</v>
      </c>
      <c r="O894">
        <v>972</v>
      </c>
      <c r="P894">
        <v>961</v>
      </c>
      <c r="Q894">
        <v>856</v>
      </c>
      <c r="R894">
        <v>1042</v>
      </c>
      <c r="S894">
        <v>962</v>
      </c>
      <c r="T894">
        <v>974</v>
      </c>
      <c r="U894">
        <v>980</v>
      </c>
      <c r="V894">
        <v>1135</v>
      </c>
      <c r="W894">
        <v>1032</v>
      </c>
      <c r="X894">
        <v>1010</v>
      </c>
      <c r="Y894">
        <v>982</v>
      </c>
      <c r="Z894">
        <v>892</v>
      </c>
      <c r="AA894">
        <v>958</v>
      </c>
      <c r="AB894">
        <v>1028</v>
      </c>
      <c r="AC894">
        <v>974</v>
      </c>
      <c r="AD894">
        <v>1009</v>
      </c>
      <c r="AE894">
        <v>966</v>
      </c>
      <c r="AF894">
        <v>0</v>
      </c>
      <c r="AG894">
        <v>1</v>
      </c>
      <c r="AH894">
        <v>6</v>
      </c>
      <c r="AI894">
        <v>0</v>
      </c>
      <c r="AJ894">
        <v>2</v>
      </c>
      <c r="AK894">
        <v>0</v>
      </c>
      <c r="AL894">
        <v>1</v>
      </c>
      <c r="AM894">
        <v>2</v>
      </c>
      <c r="AN894">
        <v>2</v>
      </c>
      <c r="AO894">
        <v>0</v>
      </c>
      <c r="AP894">
        <v>1131</v>
      </c>
      <c r="AQ894">
        <v>1</v>
      </c>
      <c r="AR894">
        <v>1</v>
      </c>
      <c r="AS894">
        <v>0</v>
      </c>
      <c r="AT894">
        <v>1</v>
      </c>
      <c r="AU894">
        <v>0</v>
      </c>
      <c r="AV894">
        <v>0</v>
      </c>
      <c r="AW894">
        <v>1</v>
      </c>
      <c r="AX894">
        <v>0</v>
      </c>
      <c r="AY894">
        <v>3</v>
      </c>
      <c r="AZ894">
        <v>18</v>
      </c>
      <c r="BA894">
        <v>939</v>
      </c>
      <c r="BB894">
        <v>35</v>
      </c>
      <c r="BC894">
        <v>3</v>
      </c>
      <c r="BD894">
        <v>1</v>
      </c>
      <c r="BE894">
        <v>0</v>
      </c>
      <c r="BF894">
        <v>29</v>
      </c>
      <c r="BG894">
        <v>4</v>
      </c>
      <c r="BH894">
        <v>0</v>
      </c>
      <c r="BI894">
        <v>0</v>
      </c>
      <c r="BJ894">
        <v>0</v>
      </c>
      <c r="BK894">
        <v>0</v>
      </c>
      <c r="BL894">
        <v>1003</v>
      </c>
      <c r="BM894">
        <v>0</v>
      </c>
      <c r="BN894">
        <v>4</v>
      </c>
      <c r="BO894">
        <v>0</v>
      </c>
      <c r="BP894">
        <v>2</v>
      </c>
      <c r="BQ894">
        <v>1</v>
      </c>
      <c r="BR894">
        <v>0</v>
      </c>
      <c r="BS894">
        <v>3</v>
      </c>
      <c r="BT894">
        <v>6</v>
      </c>
      <c r="BU894">
        <v>2</v>
      </c>
      <c r="BV894">
        <v>0</v>
      </c>
      <c r="BW894">
        <v>948</v>
      </c>
      <c r="BX894">
        <v>1</v>
      </c>
      <c r="BY894">
        <v>1</v>
      </c>
      <c r="BZ894">
        <v>1</v>
      </c>
      <c r="CA894">
        <v>3</v>
      </c>
      <c r="CB894">
        <v>17</v>
      </c>
      <c r="CC894">
        <v>1</v>
      </c>
      <c r="CD894">
        <v>0</v>
      </c>
      <c r="CE894">
        <v>0</v>
      </c>
      <c r="CF894">
        <v>3</v>
      </c>
      <c r="CG894">
        <v>0</v>
      </c>
      <c r="CH894">
        <v>884</v>
      </c>
      <c r="CI894">
        <v>0</v>
      </c>
      <c r="CJ894">
        <v>1</v>
      </c>
      <c r="CK894">
        <v>3</v>
      </c>
      <c r="CL894">
        <v>0</v>
      </c>
      <c r="CM894">
        <v>23</v>
      </c>
      <c r="CN894">
        <v>12</v>
      </c>
      <c r="CO894">
        <v>4</v>
      </c>
      <c r="CP894">
        <v>3</v>
      </c>
      <c r="CQ894">
        <v>14</v>
      </c>
      <c r="CR894">
        <v>41</v>
      </c>
      <c r="CS894">
        <v>855</v>
      </c>
      <c r="CT894">
        <v>0</v>
      </c>
      <c r="CU894">
        <v>6</v>
      </c>
      <c r="CV894">
        <v>0</v>
      </c>
      <c r="CW894">
        <v>2</v>
      </c>
      <c r="CX894">
        <v>7</v>
      </c>
      <c r="CY894">
        <v>7</v>
      </c>
      <c r="CZ894">
        <v>12</v>
      </c>
      <c r="DA894">
        <v>1</v>
      </c>
      <c r="DB894">
        <v>3</v>
      </c>
      <c r="DC894">
        <v>0</v>
      </c>
      <c r="DD894">
        <v>991</v>
      </c>
      <c r="DE894">
        <v>1</v>
      </c>
      <c r="DF894">
        <v>4</v>
      </c>
      <c r="DG894">
        <v>0</v>
      </c>
      <c r="DH894">
        <v>1</v>
      </c>
      <c r="DI894">
        <v>5</v>
      </c>
      <c r="DJ894">
        <v>16</v>
      </c>
      <c r="DK894">
        <v>2</v>
      </c>
      <c r="DL894">
        <v>12</v>
      </c>
      <c r="DM894">
        <v>0</v>
      </c>
      <c r="DN894">
        <v>4</v>
      </c>
      <c r="DO894">
        <v>933</v>
      </c>
      <c r="DP894">
        <v>1</v>
      </c>
      <c r="DQ894">
        <v>4</v>
      </c>
      <c r="DR894">
        <v>6</v>
      </c>
      <c r="DS894">
        <v>0</v>
      </c>
      <c r="DT894">
        <v>12</v>
      </c>
      <c r="DU894">
        <v>4</v>
      </c>
      <c r="DV894">
        <v>12</v>
      </c>
      <c r="DW894">
        <v>0</v>
      </c>
      <c r="DX894">
        <v>13</v>
      </c>
      <c r="DY894">
        <v>8</v>
      </c>
      <c r="DZ894">
        <v>950</v>
      </c>
      <c r="EA894">
        <v>0.96</v>
      </c>
      <c r="EB894">
        <v>0.96105048740986798</v>
      </c>
      <c r="EC894">
        <v>0.95974751889685594</v>
      </c>
      <c r="ED894">
        <v>0.95960739303595399</v>
      </c>
      <c r="EE894">
        <f>SUM(Table1[[#This Row],[ratio_0]:[ratio_9]])</f>
        <v>370</v>
      </c>
      <c r="EF894" s="1">
        <f>(Table1[[#This Row],[predicted_0]]-Table1[[#This Row],[actual_0]])/Table1[[#This Row],[actual_0]]</f>
        <v>2.2448979591836733E-2</v>
      </c>
      <c r="EG894" s="1">
        <f>(Table1[[#This Row],[predicted_1]]-Table1[[#This Row],[actual_1]])/Table1[[#This Row],[actual_1]]</f>
        <v>4.0528634361233482E-2</v>
      </c>
      <c r="EH894" s="1">
        <f>(Table1[[#This Row],[predicted_2]]-Table1[[#This Row],[actual_2]])/Table1[[#This Row],[actual_2]]</f>
        <v>-7.0736434108527133E-2</v>
      </c>
      <c r="EI894" s="1">
        <f>(Table1[[#This Row],[predicted_3]]-Table1[[#This Row],[actual_3]])/Table1[[#This Row],[actual_3]]</f>
        <v>8.01980198019802E-2</v>
      </c>
      <c r="EJ894" s="1">
        <f>(Table1[[#This Row],[predicted_4]]-Table1[[#This Row],[actual_4]])/Table1[[#This Row],[actual_4]]</f>
        <v>-1.0183299389002037E-2</v>
      </c>
      <c r="EK894" s="1">
        <f>(Table1[[#This Row],[predicted_5]]-Table1[[#This Row],[actual_5]])/Table1[[#This Row],[actual_5]]</f>
        <v>7.73542600896861E-2</v>
      </c>
      <c r="EL894" s="1">
        <f>(Table1[[#This Row],[predicted_6]]-Table1[[#This Row],[actual_6]])/Table1[[#This Row],[actual_6]]</f>
        <v>-0.10647181628392484</v>
      </c>
      <c r="EM894" s="1">
        <f>(Table1[[#This Row],[predicted_7]]-Table1[[#This Row],[actual_7]])/Table1[[#This Row],[actual_7]]</f>
        <v>1.3618677042801557E-2</v>
      </c>
      <c r="EN894" s="1">
        <f>(Table1[[#This Row],[predicted_8]]-Table1[[#This Row],[actual_8]])/Table1[[#This Row],[actual_8]]</f>
        <v>-1.2320328542094456E-2</v>
      </c>
      <c r="EO894" s="1">
        <f>(Table1[[#This Row],[predicted_9]]-Table1[[#This Row],[actual_9]])/Table1[[#This Row],[actual_9]]</f>
        <v>-3.4687809712586719E-2</v>
      </c>
      <c r="EP894" s="1">
        <f>1+(Table1[[#This Row],[error_ratio_0]]-EF$2)</f>
        <v>1.0204081632653061</v>
      </c>
      <c r="EQ894" s="1">
        <f>1+(Table1[[#This Row],[error_ratio_1]]-EG$2)</f>
        <v>1.0387665198237885</v>
      </c>
      <c r="ER894" s="1">
        <f>1+(Table1[[#This Row],[error_ratio_2]]-EH$2)</f>
        <v>0.93410852713178294</v>
      </c>
      <c r="ES894" s="1">
        <f>1+(Table1[[#This Row],[error_ratio_3]]-EI$2)</f>
        <v>1.0702970297029704</v>
      </c>
      <c r="ET894" s="1">
        <f>1+(Table1[[#This Row],[error_ratio_4]]-EJ$2)</f>
        <v>0.98879837067209775</v>
      </c>
      <c r="EU894" s="1">
        <f>1+(Table1[[#This Row],[error_ratio_5]]-EK$2)</f>
        <v>1.0762331838565022</v>
      </c>
      <c r="EV894" s="1">
        <f>1+(Table1[[#This Row],[error_ratio_6]]-EL$2)</f>
        <v>0.89979123173277664</v>
      </c>
      <c r="EW894" s="1">
        <f>1+(Table1[[#This Row],[error_ratio_7]]-EM$2)</f>
        <v>1.0116731517509727</v>
      </c>
      <c r="EX894" s="1">
        <f>1+(Table1[[#This Row],[error_ratio_8]]-EN$2)</f>
        <v>0.99075975359342916</v>
      </c>
      <c r="EY894" s="1">
        <f>1+(Table1[[#This Row],[error_ratio_9]]-EO$2)</f>
        <v>0.96927651139742321</v>
      </c>
    </row>
    <row r="895" spans="1:155" x14ac:dyDescent="0.75">
      <c r="A895">
        <v>100</v>
      </c>
      <c r="B895">
        <v>10</v>
      </c>
      <c r="C895">
        <v>10</v>
      </c>
      <c r="D895">
        <v>100</v>
      </c>
      <c r="E895">
        <v>10</v>
      </c>
      <c r="F895">
        <v>100</v>
      </c>
      <c r="G895">
        <v>10</v>
      </c>
      <c r="H895">
        <v>10</v>
      </c>
      <c r="I895">
        <v>10</v>
      </c>
      <c r="J895">
        <v>10</v>
      </c>
      <c r="K895">
        <v>1016</v>
      </c>
      <c r="L895">
        <v>1164</v>
      </c>
      <c r="M895">
        <v>912</v>
      </c>
      <c r="N895">
        <v>1155</v>
      </c>
      <c r="O895">
        <v>945</v>
      </c>
      <c r="P895">
        <v>991</v>
      </c>
      <c r="Q895">
        <v>916</v>
      </c>
      <c r="R895">
        <v>1064</v>
      </c>
      <c r="S895">
        <v>962</v>
      </c>
      <c r="T895">
        <v>875</v>
      </c>
      <c r="U895">
        <v>980</v>
      </c>
      <c r="V895">
        <v>1135</v>
      </c>
      <c r="W895">
        <v>1032</v>
      </c>
      <c r="X895">
        <v>1010</v>
      </c>
      <c r="Y895">
        <v>982</v>
      </c>
      <c r="Z895">
        <v>892</v>
      </c>
      <c r="AA895">
        <v>958</v>
      </c>
      <c r="AB895">
        <v>1028</v>
      </c>
      <c r="AC895">
        <v>974</v>
      </c>
      <c r="AD895">
        <v>1009</v>
      </c>
      <c r="AE895">
        <v>970</v>
      </c>
      <c r="AF895">
        <v>0</v>
      </c>
      <c r="AG895">
        <v>0</v>
      </c>
      <c r="AH895">
        <v>0</v>
      </c>
      <c r="AI895">
        <v>0</v>
      </c>
      <c r="AJ895">
        <v>8</v>
      </c>
      <c r="AK895">
        <v>1</v>
      </c>
      <c r="AL895">
        <v>1</v>
      </c>
      <c r="AM895">
        <v>0</v>
      </c>
      <c r="AN895">
        <v>0</v>
      </c>
      <c r="AO895">
        <v>0</v>
      </c>
      <c r="AP895">
        <v>1121</v>
      </c>
      <c r="AQ895">
        <v>1</v>
      </c>
      <c r="AR895">
        <v>6</v>
      </c>
      <c r="AS895">
        <v>0</v>
      </c>
      <c r="AT895">
        <v>2</v>
      </c>
      <c r="AU895">
        <v>3</v>
      </c>
      <c r="AV895">
        <v>0</v>
      </c>
      <c r="AW895">
        <v>2</v>
      </c>
      <c r="AX895">
        <v>0</v>
      </c>
      <c r="AY895">
        <v>4</v>
      </c>
      <c r="AZ895">
        <v>11</v>
      </c>
      <c r="BA895">
        <v>896</v>
      </c>
      <c r="BB895">
        <v>76</v>
      </c>
      <c r="BC895">
        <v>1</v>
      </c>
      <c r="BD895">
        <v>3</v>
      </c>
      <c r="BE895">
        <v>3</v>
      </c>
      <c r="BF895">
        <v>29</v>
      </c>
      <c r="BG895">
        <v>9</v>
      </c>
      <c r="BH895">
        <v>0</v>
      </c>
      <c r="BI895">
        <v>0</v>
      </c>
      <c r="BJ895">
        <v>0</v>
      </c>
      <c r="BK895">
        <v>0</v>
      </c>
      <c r="BL895">
        <v>999</v>
      </c>
      <c r="BM895">
        <v>0</v>
      </c>
      <c r="BN895">
        <v>8</v>
      </c>
      <c r="BO895">
        <v>0</v>
      </c>
      <c r="BP895">
        <v>3</v>
      </c>
      <c r="BQ895">
        <v>0</v>
      </c>
      <c r="BR895">
        <v>0</v>
      </c>
      <c r="BS895">
        <v>4</v>
      </c>
      <c r="BT895">
        <v>6</v>
      </c>
      <c r="BU895">
        <v>4</v>
      </c>
      <c r="BV895">
        <v>1</v>
      </c>
      <c r="BW895">
        <v>927</v>
      </c>
      <c r="BX895">
        <v>2</v>
      </c>
      <c r="BY895">
        <v>19</v>
      </c>
      <c r="BZ895">
        <v>1</v>
      </c>
      <c r="CA895">
        <v>8</v>
      </c>
      <c r="CB895">
        <v>10</v>
      </c>
      <c r="CC895">
        <v>0</v>
      </c>
      <c r="CD895">
        <v>0</v>
      </c>
      <c r="CE895">
        <v>0</v>
      </c>
      <c r="CF895">
        <v>3</v>
      </c>
      <c r="CG895">
        <v>0</v>
      </c>
      <c r="CH895">
        <v>887</v>
      </c>
      <c r="CI895">
        <v>1</v>
      </c>
      <c r="CJ895">
        <v>0</v>
      </c>
      <c r="CK895">
        <v>1</v>
      </c>
      <c r="CL895">
        <v>0</v>
      </c>
      <c r="CM895">
        <v>24</v>
      </c>
      <c r="CN895">
        <v>4</v>
      </c>
      <c r="CO895">
        <v>0</v>
      </c>
      <c r="CP895">
        <v>0</v>
      </c>
      <c r="CQ895">
        <v>7</v>
      </c>
      <c r="CR895">
        <v>36</v>
      </c>
      <c r="CS895">
        <v>886</v>
      </c>
      <c r="CT895">
        <v>0</v>
      </c>
      <c r="CU895">
        <v>0</v>
      </c>
      <c r="CV895">
        <v>1</v>
      </c>
      <c r="CW895">
        <v>3</v>
      </c>
      <c r="CX895">
        <v>11</v>
      </c>
      <c r="CY895">
        <v>2</v>
      </c>
      <c r="CZ895">
        <v>11</v>
      </c>
      <c r="DA895">
        <v>3</v>
      </c>
      <c r="DB895">
        <v>3</v>
      </c>
      <c r="DC895">
        <v>0</v>
      </c>
      <c r="DD895">
        <v>989</v>
      </c>
      <c r="DE895">
        <v>1</v>
      </c>
      <c r="DF895">
        <v>5</v>
      </c>
      <c r="DG895">
        <v>6</v>
      </c>
      <c r="DH895">
        <v>4</v>
      </c>
      <c r="DI895">
        <v>9</v>
      </c>
      <c r="DJ895">
        <v>33</v>
      </c>
      <c r="DK895">
        <v>0</v>
      </c>
      <c r="DL895">
        <v>12</v>
      </c>
      <c r="DM895">
        <v>2</v>
      </c>
      <c r="DN895">
        <v>9</v>
      </c>
      <c r="DO895">
        <v>898</v>
      </c>
      <c r="DP895">
        <v>1</v>
      </c>
      <c r="DQ895">
        <v>5</v>
      </c>
      <c r="DR895">
        <v>7</v>
      </c>
      <c r="DS895">
        <v>0</v>
      </c>
      <c r="DT895">
        <v>26</v>
      </c>
      <c r="DU895">
        <v>7</v>
      </c>
      <c r="DV895">
        <v>30</v>
      </c>
      <c r="DW895">
        <v>1</v>
      </c>
      <c r="DX895">
        <v>32</v>
      </c>
      <c r="DY895">
        <v>43</v>
      </c>
      <c r="DZ895">
        <v>858</v>
      </c>
      <c r="EA895">
        <v>0.94310000000000005</v>
      </c>
      <c r="EB895">
        <v>0.94519854629623801</v>
      </c>
      <c r="EC895">
        <v>0.94323973652272297</v>
      </c>
      <c r="ED895">
        <v>0.942564750869056</v>
      </c>
      <c r="EE895">
        <f>SUM(Table1[[#This Row],[ratio_0]:[ratio_9]])</f>
        <v>370</v>
      </c>
      <c r="EF895" s="1">
        <f>(Table1[[#This Row],[predicted_0]]-Table1[[#This Row],[actual_0]])/Table1[[#This Row],[actual_0]]</f>
        <v>3.6734693877551024E-2</v>
      </c>
      <c r="EG895" s="1">
        <f>(Table1[[#This Row],[predicted_1]]-Table1[[#This Row],[actual_1]])/Table1[[#This Row],[actual_1]]</f>
        <v>2.5550660792951541E-2</v>
      </c>
      <c r="EH895" s="1">
        <f>(Table1[[#This Row],[predicted_2]]-Table1[[#This Row],[actual_2]])/Table1[[#This Row],[actual_2]]</f>
        <v>-0.11627906976744186</v>
      </c>
      <c r="EI895" s="1">
        <f>(Table1[[#This Row],[predicted_3]]-Table1[[#This Row],[actual_3]])/Table1[[#This Row],[actual_3]]</f>
        <v>0.14356435643564355</v>
      </c>
      <c r="EJ895" s="1">
        <f>(Table1[[#This Row],[predicted_4]]-Table1[[#This Row],[actual_4]])/Table1[[#This Row],[actual_4]]</f>
        <v>-3.7678207739307537E-2</v>
      </c>
      <c r="EK895" s="1">
        <f>(Table1[[#This Row],[predicted_5]]-Table1[[#This Row],[actual_5]])/Table1[[#This Row],[actual_5]]</f>
        <v>0.11098654708520179</v>
      </c>
      <c r="EL895" s="1">
        <f>(Table1[[#This Row],[predicted_6]]-Table1[[#This Row],[actual_6]])/Table1[[#This Row],[actual_6]]</f>
        <v>-4.3841336116910233E-2</v>
      </c>
      <c r="EM895" s="1">
        <f>(Table1[[#This Row],[predicted_7]]-Table1[[#This Row],[actual_7]])/Table1[[#This Row],[actual_7]]</f>
        <v>3.5019455252918288E-2</v>
      </c>
      <c r="EN895" s="1">
        <f>(Table1[[#This Row],[predicted_8]]-Table1[[#This Row],[actual_8]])/Table1[[#This Row],[actual_8]]</f>
        <v>-1.2320328542094456E-2</v>
      </c>
      <c r="EO895" s="1">
        <f>(Table1[[#This Row],[predicted_9]]-Table1[[#This Row],[actual_9]])/Table1[[#This Row],[actual_9]]</f>
        <v>-0.13280475718533202</v>
      </c>
      <c r="EP895" s="1">
        <f>1+(Table1[[#This Row],[error_ratio_0]]-EF$2)</f>
        <v>1.0346938775510204</v>
      </c>
      <c r="EQ895" s="1">
        <f>1+(Table1[[#This Row],[error_ratio_1]]-EG$2)</f>
        <v>1.0237885462555065</v>
      </c>
      <c r="ER895" s="1">
        <f>1+(Table1[[#This Row],[error_ratio_2]]-EH$2)</f>
        <v>0.88856589147286824</v>
      </c>
      <c r="ES895" s="1">
        <f>1+(Table1[[#This Row],[error_ratio_3]]-EI$2)</f>
        <v>1.1336633663366336</v>
      </c>
      <c r="ET895" s="1">
        <f>1+(Table1[[#This Row],[error_ratio_4]]-EJ$2)</f>
        <v>0.9613034623217922</v>
      </c>
      <c r="EU895" s="1">
        <f>1+(Table1[[#This Row],[error_ratio_5]]-EK$2)</f>
        <v>1.1098654708520179</v>
      </c>
      <c r="EV895" s="1">
        <f>1+(Table1[[#This Row],[error_ratio_6]]-EL$2)</f>
        <v>0.9624217118997912</v>
      </c>
      <c r="EW895" s="1">
        <f>1+(Table1[[#This Row],[error_ratio_7]]-EM$2)</f>
        <v>1.0330739299610896</v>
      </c>
      <c r="EX895" s="1">
        <f>1+(Table1[[#This Row],[error_ratio_8]]-EN$2)</f>
        <v>0.99075975359342916</v>
      </c>
      <c r="EY895" s="1">
        <f>1+(Table1[[#This Row],[error_ratio_9]]-EO$2)</f>
        <v>0.87115956392467786</v>
      </c>
    </row>
    <row r="896" spans="1:155" x14ac:dyDescent="0.75">
      <c r="A896">
        <v>100</v>
      </c>
      <c r="B896">
        <v>100</v>
      </c>
      <c r="C896">
        <v>100</v>
      </c>
      <c r="D896">
        <v>10</v>
      </c>
      <c r="E896">
        <v>10</v>
      </c>
      <c r="F896">
        <v>100</v>
      </c>
      <c r="G896">
        <v>10</v>
      </c>
      <c r="H896">
        <v>10</v>
      </c>
      <c r="I896">
        <v>10</v>
      </c>
      <c r="J896">
        <v>10</v>
      </c>
      <c r="K896">
        <v>1019</v>
      </c>
      <c r="L896">
        <v>1141</v>
      </c>
      <c r="M896">
        <v>1083</v>
      </c>
      <c r="N896">
        <v>1029</v>
      </c>
      <c r="O896">
        <v>977</v>
      </c>
      <c r="P896">
        <v>973</v>
      </c>
      <c r="Q896">
        <v>898</v>
      </c>
      <c r="R896">
        <v>1030</v>
      </c>
      <c r="S896">
        <v>923</v>
      </c>
      <c r="T896">
        <v>927</v>
      </c>
      <c r="U896">
        <v>980</v>
      </c>
      <c r="V896">
        <v>1135</v>
      </c>
      <c r="W896">
        <v>1032</v>
      </c>
      <c r="X896">
        <v>1010</v>
      </c>
      <c r="Y896">
        <v>982</v>
      </c>
      <c r="Z896">
        <v>892</v>
      </c>
      <c r="AA896">
        <v>958</v>
      </c>
      <c r="AB896">
        <v>1028</v>
      </c>
      <c r="AC896">
        <v>974</v>
      </c>
      <c r="AD896">
        <v>1009</v>
      </c>
      <c r="AE896">
        <v>977</v>
      </c>
      <c r="AF896">
        <v>0</v>
      </c>
      <c r="AG896">
        <v>0</v>
      </c>
      <c r="AH896">
        <v>0</v>
      </c>
      <c r="AI896">
        <v>0</v>
      </c>
      <c r="AJ896">
        <v>0</v>
      </c>
      <c r="AK896">
        <v>0</v>
      </c>
      <c r="AL896">
        <v>1</v>
      </c>
      <c r="AM896">
        <v>2</v>
      </c>
      <c r="AN896">
        <v>0</v>
      </c>
      <c r="AO896">
        <v>0</v>
      </c>
      <c r="AP896">
        <v>1127</v>
      </c>
      <c r="AQ896">
        <v>3</v>
      </c>
      <c r="AR896">
        <v>1</v>
      </c>
      <c r="AS896">
        <v>0</v>
      </c>
      <c r="AT896">
        <v>1</v>
      </c>
      <c r="AU896">
        <v>1</v>
      </c>
      <c r="AV896">
        <v>1</v>
      </c>
      <c r="AW896">
        <v>1</v>
      </c>
      <c r="AX896">
        <v>0</v>
      </c>
      <c r="AY896">
        <v>2</v>
      </c>
      <c r="AZ896">
        <v>1</v>
      </c>
      <c r="BA896">
        <v>1025</v>
      </c>
      <c r="BB896">
        <v>0</v>
      </c>
      <c r="BC896">
        <v>0</v>
      </c>
      <c r="BD896">
        <v>0</v>
      </c>
      <c r="BE896">
        <v>0</v>
      </c>
      <c r="BF896">
        <v>4</v>
      </c>
      <c r="BG896">
        <v>0</v>
      </c>
      <c r="BH896">
        <v>0</v>
      </c>
      <c r="BI896">
        <v>0</v>
      </c>
      <c r="BJ896">
        <v>0</v>
      </c>
      <c r="BK896">
        <v>24</v>
      </c>
      <c r="BL896">
        <v>968</v>
      </c>
      <c r="BM896">
        <v>0</v>
      </c>
      <c r="BN896">
        <v>8</v>
      </c>
      <c r="BO896">
        <v>0</v>
      </c>
      <c r="BP896">
        <v>8</v>
      </c>
      <c r="BQ896">
        <v>2</v>
      </c>
      <c r="BR896">
        <v>0</v>
      </c>
      <c r="BS896">
        <v>0</v>
      </c>
      <c r="BT896">
        <v>0</v>
      </c>
      <c r="BU896">
        <v>3</v>
      </c>
      <c r="BV896">
        <v>1</v>
      </c>
      <c r="BW896">
        <v>960</v>
      </c>
      <c r="BX896">
        <v>0</v>
      </c>
      <c r="BY896">
        <v>4</v>
      </c>
      <c r="BZ896">
        <v>0</v>
      </c>
      <c r="CA896">
        <v>2</v>
      </c>
      <c r="CB896">
        <v>12</v>
      </c>
      <c r="CC896">
        <v>4</v>
      </c>
      <c r="CD896">
        <v>0</v>
      </c>
      <c r="CE896">
        <v>3</v>
      </c>
      <c r="CF896">
        <v>14</v>
      </c>
      <c r="CG896">
        <v>0</v>
      </c>
      <c r="CH896">
        <v>869</v>
      </c>
      <c r="CI896">
        <v>0</v>
      </c>
      <c r="CJ896">
        <v>1</v>
      </c>
      <c r="CK896">
        <v>1</v>
      </c>
      <c r="CL896">
        <v>0</v>
      </c>
      <c r="CM896">
        <v>16</v>
      </c>
      <c r="CN896">
        <v>3</v>
      </c>
      <c r="CO896">
        <v>0</v>
      </c>
      <c r="CP896">
        <v>0</v>
      </c>
      <c r="CQ896">
        <v>3</v>
      </c>
      <c r="CR896">
        <v>43</v>
      </c>
      <c r="CS896">
        <v>893</v>
      </c>
      <c r="CT896">
        <v>0</v>
      </c>
      <c r="CU896">
        <v>0</v>
      </c>
      <c r="CV896">
        <v>0</v>
      </c>
      <c r="CW896">
        <v>4</v>
      </c>
      <c r="CX896">
        <v>4</v>
      </c>
      <c r="CY896">
        <v>14</v>
      </c>
      <c r="CZ896">
        <v>12</v>
      </c>
      <c r="DA896">
        <v>1</v>
      </c>
      <c r="DB896">
        <v>4</v>
      </c>
      <c r="DC896">
        <v>0</v>
      </c>
      <c r="DD896">
        <v>988</v>
      </c>
      <c r="DE896">
        <v>1</v>
      </c>
      <c r="DF896">
        <v>0</v>
      </c>
      <c r="DG896">
        <v>7</v>
      </c>
      <c r="DH896">
        <v>1</v>
      </c>
      <c r="DI896">
        <v>8</v>
      </c>
      <c r="DJ896">
        <v>19</v>
      </c>
      <c r="DK896">
        <v>4</v>
      </c>
      <c r="DL896">
        <v>18</v>
      </c>
      <c r="DM896">
        <v>0</v>
      </c>
      <c r="DN896">
        <v>7</v>
      </c>
      <c r="DO896">
        <v>910</v>
      </c>
      <c r="DP896">
        <v>0</v>
      </c>
      <c r="DQ896">
        <v>9</v>
      </c>
      <c r="DR896">
        <v>5</v>
      </c>
      <c r="DS896">
        <v>3</v>
      </c>
      <c r="DT896">
        <v>14</v>
      </c>
      <c r="DU896">
        <v>9</v>
      </c>
      <c r="DV896">
        <v>30</v>
      </c>
      <c r="DW896">
        <v>0</v>
      </c>
      <c r="DX896">
        <v>20</v>
      </c>
      <c r="DY896">
        <v>4</v>
      </c>
      <c r="DZ896">
        <v>915</v>
      </c>
      <c r="EA896">
        <v>0.96319999999999995</v>
      </c>
      <c r="EB896">
        <v>0.96360171437109998</v>
      </c>
      <c r="EC896">
        <v>0.96277050435285305</v>
      </c>
      <c r="ED896">
        <v>0.96256677150709802</v>
      </c>
      <c r="EE896">
        <f>SUM(Table1[[#This Row],[ratio_0]:[ratio_9]])</f>
        <v>460</v>
      </c>
      <c r="EF896" s="1">
        <f>(Table1[[#This Row],[predicted_0]]-Table1[[#This Row],[actual_0]])/Table1[[#This Row],[actual_0]]</f>
        <v>3.9795918367346937E-2</v>
      </c>
      <c r="EG896" s="1">
        <f>(Table1[[#This Row],[predicted_1]]-Table1[[#This Row],[actual_1]])/Table1[[#This Row],[actual_1]]</f>
        <v>5.2863436123348016E-3</v>
      </c>
      <c r="EH896" s="1">
        <f>(Table1[[#This Row],[predicted_2]]-Table1[[#This Row],[actual_2]])/Table1[[#This Row],[actual_2]]</f>
        <v>4.9418604651162788E-2</v>
      </c>
      <c r="EI896" s="1">
        <f>(Table1[[#This Row],[predicted_3]]-Table1[[#This Row],[actual_3]])/Table1[[#This Row],[actual_3]]</f>
        <v>1.8811881188118811E-2</v>
      </c>
      <c r="EJ896" s="1">
        <f>(Table1[[#This Row],[predicted_4]]-Table1[[#This Row],[actual_4]])/Table1[[#This Row],[actual_4]]</f>
        <v>-5.0916496945010185E-3</v>
      </c>
      <c r="EK896" s="1">
        <f>(Table1[[#This Row],[predicted_5]]-Table1[[#This Row],[actual_5]])/Table1[[#This Row],[actual_5]]</f>
        <v>9.0807174887892375E-2</v>
      </c>
      <c r="EL896" s="1">
        <f>(Table1[[#This Row],[predicted_6]]-Table1[[#This Row],[actual_6]])/Table1[[#This Row],[actual_6]]</f>
        <v>-6.2630480167014613E-2</v>
      </c>
      <c r="EM896" s="1">
        <f>(Table1[[#This Row],[predicted_7]]-Table1[[#This Row],[actual_7]])/Table1[[#This Row],[actual_7]]</f>
        <v>1.9455252918287938E-3</v>
      </c>
      <c r="EN896" s="1">
        <f>(Table1[[#This Row],[predicted_8]]-Table1[[#This Row],[actual_8]])/Table1[[#This Row],[actual_8]]</f>
        <v>-5.2361396303901436E-2</v>
      </c>
      <c r="EO896" s="1">
        <f>(Table1[[#This Row],[predicted_9]]-Table1[[#This Row],[actual_9]])/Table1[[#This Row],[actual_9]]</f>
        <v>-8.126858275520317E-2</v>
      </c>
      <c r="EP896" s="1">
        <f>1+(Table1[[#This Row],[error_ratio_0]]-EF$2)</f>
        <v>1.0377551020408162</v>
      </c>
      <c r="EQ896" s="1">
        <f>1+(Table1[[#This Row],[error_ratio_1]]-EG$2)</f>
        <v>1.0035242290748898</v>
      </c>
      <c r="ER896" s="1">
        <f>1+(Table1[[#This Row],[error_ratio_2]]-EH$2)</f>
        <v>1.054263565891473</v>
      </c>
      <c r="ES896" s="1">
        <f>1+(Table1[[#This Row],[error_ratio_3]]-EI$2)</f>
        <v>1.0089108910891089</v>
      </c>
      <c r="ET896" s="1">
        <f>1+(Table1[[#This Row],[error_ratio_4]]-EJ$2)</f>
        <v>0.99389002036659879</v>
      </c>
      <c r="EU896" s="1">
        <f>1+(Table1[[#This Row],[error_ratio_5]]-EK$2)</f>
        <v>1.0896860986547086</v>
      </c>
      <c r="EV896" s="1">
        <f>1+(Table1[[#This Row],[error_ratio_6]]-EL$2)</f>
        <v>0.94363256784968685</v>
      </c>
      <c r="EW896" s="1">
        <f>1+(Table1[[#This Row],[error_ratio_7]]-EM$2)</f>
        <v>1</v>
      </c>
      <c r="EX896" s="1">
        <f>1+(Table1[[#This Row],[error_ratio_8]]-EN$2)</f>
        <v>0.95071868583162222</v>
      </c>
      <c r="EY896" s="1">
        <f>1+(Table1[[#This Row],[error_ratio_9]]-EO$2)</f>
        <v>0.92269573835480678</v>
      </c>
    </row>
    <row r="897" spans="1:155" x14ac:dyDescent="0.75">
      <c r="A897">
        <v>10</v>
      </c>
      <c r="B897">
        <v>100</v>
      </c>
      <c r="C897">
        <v>100</v>
      </c>
      <c r="D897">
        <v>10</v>
      </c>
      <c r="E897">
        <v>10</v>
      </c>
      <c r="F897">
        <v>100</v>
      </c>
      <c r="G897">
        <v>10</v>
      </c>
      <c r="H897">
        <v>10</v>
      </c>
      <c r="I897">
        <v>10</v>
      </c>
      <c r="J897">
        <v>10</v>
      </c>
      <c r="K897">
        <v>973</v>
      </c>
      <c r="L897">
        <v>1170</v>
      </c>
      <c r="M897">
        <v>1161</v>
      </c>
      <c r="N897">
        <v>956</v>
      </c>
      <c r="O897">
        <v>957</v>
      </c>
      <c r="P897">
        <v>948</v>
      </c>
      <c r="Q897">
        <v>898</v>
      </c>
      <c r="R897">
        <v>974</v>
      </c>
      <c r="S897">
        <v>967</v>
      </c>
      <c r="T897">
        <v>996</v>
      </c>
      <c r="U897">
        <v>980</v>
      </c>
      <c r="V897">
        <v>1135</v>
      </c>
      <c r="W897">
        <v>1032</v>
      </c>
      <c r="X897">
        <v>1010</v>
      </c>
      <c r="Y897">
        <v>982</v>
      </c>
      <c r="Z897">
        <v>892</v>
      </c>
      <c r="AA897">
        <v>958</v>
      </c>
      <c r="AB897">
        <v>1028</v>
      </c>
      <c r="AC897">
        <v>974</v>
      </c>
      <c r="AD897">
        <v>1009</v>
      </c>
      <c r="AE897">
        <v>946</v>
      </c>
      <c r="AF897">
        <v>1</v>
      </c>
      <c r="AG897">
        <v>22</v>
      </c>
      <c r="AH897">
        <v>0</v>
      </c>
      <c r="AI897">
        <v>1</v>
      </c>
      <c r="AJ897">
        <v>4</v>
      </c>
      <c r="AK897">
        <v>1</v>
      </c>
      <c r="AL897">
        <v>1</v>
      </c>
      <c r="AM897">
        <v>4</v>
      </c>
      <c r="AN897">
        <v>0</v>
      </c>
      <c r="AO897">
        <v>0</v>
      </c>
      <c r="AP897">
        <v>1131</v>
      </c>
      <c r="AQ897">
        <v>4</v>
      </c>
      <c r="AR897">
        <v>0</v>
      </c>
      <c r="AS897">
        <v>0</v>
      </c>
      <c r="AT897">
        <v>0</v>
      </c>
      <c r="AU897">
        <v>0</v>
      </c>
      <c r="AV897">
        <v>0</v>
      </c>
      <c r="AW897">
        <v>0</v>
      </c>
      <c r="AX897">
        <v>0</v>
      </c>
      <c r="AY897">
        <v>0</v>
      </c>
      <c r="AZ897">
        <v>0</v>
      </c>
      <c r="BA897">
        <v>1029</v>
      </c>
      <c r="BB897">
        <v>3</v>
      </c>
      <c r="BC897">
        <v>0</v>
      </c>
      <c r="BD897">
        <v>0</v>
      </c>
      <c r="BE897">
        <v>0</v>
      </c>
      <c r="BF897">
        <v>0</v>
      </c>
      <c r="BG897">
        <v>0</v>
      </c>
      <c r="BH897">
        <v>0</v>
      </c>
      <c r="BI897">
        <v>0</v>
      </c>
      <c r="BJ897">
        <v>0</v>
      </c>
      <c r="BK897">
        <v>20</v>
      </c>
      <c r="BL897">
        <v>943</v>
      </c>
      <c r="BM897">
        <v>0</v>
      </c>
      <c r="BN897">
        <v>31</v>
      </c>
      <c r="BO897">
        <v>0</v>
      </c>
      <c r="BP897">
        <v>6</v>
      </c>
      <c r="BQ897">
        <v>8</v>
      </c>
      <c r="BR897">
        <v>2</v>
      </c>
      <c r="BS897">
        <v>0</v>
      </c>
      <c r="BT897">
        <v>5</v>
      </c>
      <c r="BU897">
        <v>7</v>
      </c>
      <c r="BV897">
        <v>0</v>
      </c>
      <c r="BW897">
        <v>936</v>
      </c>
      <c r="BX897">
        <v>0</v>
      </c>
      <c r="BY897">
        <v>0</v>
      </c>
      <c r="BZ897">
        <v>1</v>
      </c>
      <c r="CA897">
        <v>2</v>
      </c>
      <c r="CB897">
        <v>31</v>
      </c>
      <c r="CC897">
        <v>1</v>
      </c>
      <c r="CD897">
        <v>0</v>
      </c>
      <c r="CE897">
        <v>3</v>
      </c>
      <c r="CF897">
        <v>0</v>
      </c>
      <c r="CG897">
        <v>0</v>
      </c>
      <c r="CH897">
        <v>884</v>
      </c>
      <c r="CI897">
        <v>0</v>
      </c>
      <c r="CJ897">
        <v>1</v>
      </c>
      <c r="CK897">
        <v>3</v>
      </c>
      <c r="CL897">
        <v>0</v>
      </c>
      <c r="CM897">
        <v>17</v>
      </c>
      <c r="CN897">
        <v>8</v>
      </c>
      <c r="CO897">
        <v>6</v>
      </c>
      <c r="CP897">
        <v>0</v>
      </c>
      <c r="CQ897">
        <v>8</v>
      </c>
      <c r="CR897">
        <v>14</v>
      </c>
      <c r="CS897">
        <v>897</v>
      </c>
      <c r="CT897">
        <v>0</v>
      </c>
      <c r="CU897">
        <v>8</v>
      </c>
      <c r="CV897">
        <v>0</v>
      </c>
      <c r="CW897">
        <v>1</v>
      </c>
      <c r="CX897">
        <v>15</v>
      </c>
      <c r="CY897">
        <v>53</v>
      </c>
      <c r="CZ897">
        <v>4</v>
      </c>
      <c r="DA897">
        <v>1</v>
      </c>
      <c r="DB897">
        <v>2</v>
      </c>
      <c r="DC897">
        <v>0</v>
      </c>
      <c r="DD897">
        <v>946</v>
      </c>
      <c r="DE897">
        <v>2</v>
      </c>
      <c r="DF897">
        <v>4</v>
      </c>
      <c r="DG897">
        <v>2</v>
      </c>
      <c r="DH897">
        <v>1</v>
      </c>
      <c r="DI897">
        <v>12</v>
      </c>
      <c r="DJ897">
        <v>3</v>
      </c>
      <c r="DK897">
        <v>4</v>
      </c>
      <c r="DL897">
        <v>5</v>
      </c>
      <c r="DM897">
        <v>0</v>
      </c>
      <c r="DN897">
        <v>6</v>
      </c>
      <c r="DO897">
        <v>937</v>
      </c>
      <c r="DP897">
        <v>4</v>
      </c>
      <c r="DQ897">
        <v>6</v>
      </c>
      <c r="DR897">
        <v>9</v>
      </c>
      <c r="DS897">
        <v>5</v>
      </c>
      <c r="DT897">
        <v>3</v>
      </c>
      <c r="DU897">
        <v>7</v>
      </c>
      <c r="DV897">
        <v>8</v>
      </c>
      <c r="DW897">
        <v>0</v>
      </c>
      <c r="DX897">
        <v>13</v>
      </c>
      <c r="DY897">
        <v>3</v>
      </c>
      <c r="DZ897">
        <v>955</v>
      </c>
      <c r="EA897">
        <v>0.96040000000000003</v>
      </c>
      <c r="EB897">
        <v>0.96201204359412695</v>
      </c>
      <c r="EC897">
        <v>0.96017796227869501</v>
      </c>
      <c r="ED897">
        <v>0.960392524439036</v>
      </c>
      <c r="EE897">
        <f>SUM(Table1[[#This Row],[ratio_0]:[ratio_9]])</f>
        <v>370</v>
      </c>
      <c r="EF897" s="1">
        <f>(Table1[[#This Row],[predicted_0]]-Table1[[#This Row],[actual_0]])/Table1[[#This Row],[actual_0]]</f>
        <v>-7.1428571428571426E-3</v>
      </c>
      <c r="EG897" s="1">
        <f>(Table1[[#This Row],[predicted_1]]-Table1[[#This Row],[actual_1]])/Table1[[#This Row],[actual_1]]</f>
        <v>3.0837004405286344E-2</v>
      </c>
      <c r="EH897" s="1">
        <f>(Table1[[#This Row],[predicted_2]]-Table1[[#This Row],[actual_2]])/Table1[[#This Row],[actual_2]]</f>
        <v>0.125</v>
      </c>
      <c r="EI897" s="1">
        <f>(Table1[[#This Row],[predicted_3]]-Table1[[#This Row],[actual_3]])/Table1[[#This Row],[actual_3]]</f>
        <v>-5.3465346534653464E-2</v>
      </c>
      <c r="EJ897" s="1">
        <f>(Table1[[#This Row],[predicted_4]]-Table1[[#This Row],[actual_4]])/Table1[[#This Row],[actual_4]]</f>
        <v>-2.5458248472505093E-2</v>
      </c>
      <c r="EK897" s="1">
        <f>(Table1[[#This Row],[predicted_5]]-Table1[[#This Row],[actual_5]])/Table1[[#This Row],[actual_5]]</f>
        <v>6.2780269058295965E-2</v>
      </c>
      <c r="EL897" s="1">
        <f>(Table1[[#This Row],[predicted_6]]-Table1[[#This Row],[actual_6]])/Table1[[#This Row],[actual_6]]</f>
        <v>-6.2630480167014613E-2</v>
      </c>
      <c r="EM897" s="1">
        <f>(Table1[[#This Row],[predicted_7]]-Table1[[#This Row],[actual_7]])/Table1[[#This Row],[actual_7]]</f>
        <v>-5.2529182879377433E-2</v>
      </c>
      <c r="EN897" s="1">
        <f>(Table1[[#This Row],[predicted_8]]-Table1[[#This Row],[actual_8]])/Table1[[#This Row],[actual_8]]</f>
        <v>-7.1868583162217657E-3</v>
      </c>
      <c r="EO897" s="1">
        <f>(Table1[[#This Row],[predicted_9]]-Table1[[#This Row],[actual_9]])/Table1[[#This Row],[actual_9]]</f>
        <v>-1.288404360753221E-2</v>
      </c>
      <c r="EP897" s="1">
        <f>1+(Table1[[#This Row],[error_ratio_0]]-EF$2)</f>
        <v>0.99081632653061225</v>
      </c>
      <c r="EQ897" s="1">
        <f>1+(Table1[[#This Row],[error_ratio_1]]-EG$2)</f>
        <v>1.0290748898678415</v>
      </c>
      <c r="ER897" s="1">
        <f>1+(Table1[[#This Row],[error_ratio_2]]-EH$2)</f>
        <v>1.1298449612403101</v>
      </c>
      <c r="ES897" s="1">
        <f>1+(Table1[[#This Row],[error_ratio_3]]-EI$2)</f>
        <v>0.93663366336633658</v>
      </c>
      <c r="ET897" s="1">
        <f>1+(Table1[[#This Row],[error_ratio_4]]-EJ$2)</f>
        <v>0.97352342158859473</v>
      </c>
      <c r="EU897" s="1">
        <f>1+(Table1[[#This Row],[error_ratio_5]]-EK$2)</f>
        <v>1.061659192825112</v>
      </c>
      <c r="EV897" s="1">
        <f>1+(Table1[[#This Row],[error_ratio_6]]-EL$2)</f>
        <v>0.94363256784968685</v>
      </c>
      <c r="EW897" s="1">
        <f>1+(Table1[[#This Row],[error_ratio_7]]-EM$2)</f>
        <v>0.94552529182879375</v>
      </c>
      <c r="EX897" s="1">
        <f>1+(Table1[[#This Row],[error_ratio_8]]-EN$2)</f>
        <v>0.9958932238193019</v>
      </c>
      <c r="EY897" s="1">
        <f>1+(Table1[[#This Row],[error_ratio_9]]-EO$2)</f>
        <v>0.99108027750247774</v>
      </c>
    </row>
    <row r="898" spans="1:155" x14ac:dyDescent="0.75">
      <c r="A898">
        <v>10</v>
      </c>
      <c r="B898">
        <v>10</v>
      </c>
      <c r="C898">
        <v>100</v>
      </c>
      <c r="D898">
        <v>10</v>
      </c>
      <c r="E898">
        <v>10</v>
      </c>
      <c r="F898">
        <v>100</v>
      </c>
      <c r="G898">
        <v>10</v>
      </c>
      <c r="H898">
        <v>10</v>
      </c>
      <c r="I898">
        <v>10</v>
      </c>
      <c r="J898">
        <v>10</v>
      </c>
      <c r="K898">
        <v>1009</v>
      </c>
      <c r="L898">
        <v>1142</v>
      </c>
      <c r="M898">
        <v>1151</v>
      </c>
      <c r="N898">
        <v>897</v>
      </c>
      <c r="O898">
        <v>907</v>
      </c>
      <c r="P898">
        <v>1043</v>
      </c>
      <c r="Q898">
        <v>908</v>
      </c>
      <c r="R898">
        <v>988</v>
      </c>
      <c r="S898">
        <v>899</v>
      </c>
      <c r="T898">
        <v>1056</v>
      </c>
      <c r="U898">
        <v>980</v>
      </c>
      <c r="V898">
        <v>1135</v>
      </c>
      <c r="W898">
        <v>1032</v>
      </c>
      <c r="X898">
        <v>1010</v>
      </c>
      <c r="Y898">
        <v>982</v>
      </c>
      <c r="Z898">
        <v>892</v>
      </c>
      <c r="AA898">
        <v>958</v>
      </c>
      <c r="AB898">
        <v>1028</v>
      </c>
      <c r="AC898">
        <v>974</v>
      </c>
      <c r="AD898">
        <v>1009</v>
      </c>
      <c r="AE898">
        <v>969</v>
      </c>
      <c r="AF898">
        <v>1</v>
      </c>
      <c r="AG898">
        <v>2</v>
      </c>
      <c r="AH898">
        <v>0</v>
      </c>
      <c r="AI898">
        <v>0</v>
      </c>
      <c r="AJ898">
        <v>5</v>
      </c>
      <c r="AK898">
        <v>1</v>
      </c>
      <c r="AL898">
        <v>1</v>
      </c>
      <c r="AM898">
        <v>1</v>
      </c>
      <c r="AN898">
        <v>0</v>
      </c>
      <c r="AO898">
        <v>0</v>
      </c>
      <c r="AP898">
        <v>1121</v>
      </c>
      <c r="AQ898">
        <v>8</v>
      </c>
      <c r="AR898">
        <v>0</v>
      </c>
      <c r="AS898">
        <v>0</v>
      </c>
      <c r="AT898">
        <v>4</v>
      </c>
      <c r="AU898">
        <v>0</v>
      </c>
      <c r="AV898">
        <v>0</v>
      </c>
      <c r="AW898">
        <v>1</v>
      </c>
      <c r="AX898">
        <v>1</v>
      </c>
      <c r="AY898">
        <v>3</v>
      </c>
      <c r="AZ898">
        <v>0</v>
      </c>
      <c r="BA898">
        <v>1024</v>
      </c>
      <c r="BB898">
        <v>0</v>
      </c>
      <c r="BC898">
        <v>0</v>
      </c>
      <c r="BD898">
        <v>2</v>
      </c>
      <c r="BE898">
        <v>0</v>
      </c>
      <c r="BF898">
        <v>3</v>
      </c>
      <c r="BG898">
        <v>0</v>
      </c>
      <c r="BH898">
        <v>0</v>
      </c>
      <c r="BI898">
        <v>3</v>
      </c>
      <c r="BJ898">
        <v>0</v>
      </c>
      <c r="BK898">
        <v>24</v>
      </c>
      <c r="BL898">
        <v>893</v>
      </c>
      <c r="BM898">
        <v>0</v>
      </c>
      <c r="BN898">
        <v>75</v>
      </c>
      <c r="BO898">
        <v>0</v>
      </c>
      <c r="BP898">
        <v>10</v>
      </c>
      <c r="BQ898">
        <v>3</v>
      </c>
      <c r="BR898">
        <v>2</v>
      </c>
      <c r="BS898">
        <v>1</v>
      </c>
      <c r="BT898">
        <v>2</v>
      </c>
      <c r="BU898">
        <v>21</v>
      </c>
      <c r="BV898">
        <v>0</v>
      </c>
      <c r="BW898">
        <v>890</v>
      </c>
      <c r="BX898">
        <v>0</v>
      </c>
      <c r="BY898">
        <v>3</v>
      </c>
      <c r="BZ898">
        <v>0</v>
      </c>
      <c r="CA898">
        <v>1</v>
      </c>
      <c r="CB898">
        <v>64</v>
      </c>
      <c r="CC898">
        <v>1</v>
      </c>
      <c r="CD898">
        <v>0</v>
      </c>
      <c r="CE898">
        <v>0</v>
      </c>
      <c r="CF898">
        <v>0</v>
      </c>
      <c r="CG898">
        <v>0</v>
      </c>
      <c r="CH898">
        <v>888</v>
      </c>
      <c r="CI898">
        <v>1</v>
      </c>
      <c r="CJ898">
        <v>0</v>
      </c>
      <c r="CK898">
        <v>2</v>
      </c>
      <c r="CL898">
        <v>0</v>
      </c>
      <c r="CM898">
        <v>13</v>
      </c>
      <c r="CN898">
        <v>3</v>
      </c>
      <c r="CO898">
        <v>11</v>
      </c>
      <c r="CP898">
        <v>0</v>
      </c>
      <c r="CQ898">
        <v>7</v>
      </c>
      <c r="CR898">
        <v>22</v>
      </c>
      <c r="CS898">
        <v>902</v>
      </c>
      <c r="CT898">
        <v>0</v>
      </c>
      <c r="CU898">
        <v>0</v>
      </c>
      <c r="CV898">
        <v>0</v>
      </c>
      <c r="CW898">
        <v>4</v>
      </c>
      <c r="CX898">
        <v>5</v>
      </c>
      <c r="CY898">
        <v>25</v>
      </c>
      <c r="CZ898">
        <v>1</v>
      </c>
      <c r="DA898">
        <v>2</v>
      </c>
      <c r="DB898">
        <v>4</v>
      </c>
      <c r="DC898">
        <v>0</v>
      </c>
      <c r="DD898">
        <v>962</v>
      </c>
      <c r="DE898">
        <v>0</v>
      </c>
      <c r="DF898">
        <v>25</v>
      </c>
      <c r="DG898">
        <v>8</v>
      </c>
      <c r="DH898">
        <v>5</v>
      </c>
      <c r="DI898">
        <v>34</v>
      </c>
      <c r="DJ898">
        <v>3</v>
      </c>
      <c r="DK898">
        <v>3</v>
      </c>
      <c r="DL898">
        <v>12</v>
      </c>
      <c r="DM898">
        <v>1</v>
      </c>
      <c r="DN898">
        <v>8</v>
      </c>
      <c r="DO898">
        <v>885</v>
      </c>
      <c r="DP898">
        <v>15</v>
      </c>
      <c r="DQ898">
        <v>7</v>
      </c>
      <c r="DR898">
        <v>5</v>
      </c>
      <c r="DS898">
        <v>2</v>
      </c>
      <c r="DT898">
        <v>0</v>
      </c>
      <c r="DU898">
        <v>5</v>
      </c>
      <c r="DV898">
        <v>31</v>
      </c>
      <c r="DW898">
        <v>0</v>
      </c>
      <c r="DX898">
        <v>4</v>
      </c>
      <c r="DY898">
        <v>6</v>
      </c>
      <c r="DZ898">
        <v>949</v>
      </c>
      <c r="EA898">
        <v>0.94830000000000003</v>
      </c>
      <c r="EB898">
        <v>0.950999462877401</v>
      </c>
      <c r="EC898">
        <v>0.94811784908639196</v>
      </c>
      <c r="ED898">
        <v>0.94790981580691402</v>
      </c>
      <c r="EE898">
        <f>SUM(Table1[[#This Row],[ratio_0]:[ratio_9]])</f>
        <v>280</v>
      </c>
      <c r="EF898" s="1">
        <f>(Table1[[#This Row],[predicted_0]]-Table1[[#This Row],[actual_0]])/Table1[[#This Row],[actual_0]]</f>
        <v>2.9591836734693878E-2</v>
      </c>
      <c r="EG898" s="1">
        <f>(Table1[[#This Row],[predicted_1]]-Table1[[#This Row],[actual_1]])/Table1[[#This Row],[actual_1]]</f>
        <v>6.1674008810572688E-3</v>
      </c>
      <c r="EH898" s="1">
        <f>(Table1[[#This Row],[predicted_2]]-Table1[[#This Row],[actual_2]])/Table1[[#This Row],[actual_2]]</f>
        <v>0.11531007751937984</v>
      </c>
      <c r="EI898" s="1">
        <f>(Table1[[#This Row],[predicted_3]]-Table1[[#This Row],[actual_3]])/Table1[[#This Row],[actual_3]]</f>
        <v>-0.11188118811881188</v>
      </c>
      <c r="EJ898" s="1">
        <f>(Table1[[#This Row],[predicted_4]]-Table1[[#This Row],[actual_4]])/Table1[[#This Row],[actual_4]]</f>
        <v>-7.637474541751528E-2</v>
      </c>
      <c r="EK898" s="1">
        <f>(Table1[[#This Row],[predicted_5]]-Table1[[#This Row],[actual_5]])/Table1[[#This Row],[actual_5]]</f>
        <v>0.16928251121076232</v>
      </c>
      <c r="EL898" s="1">
        <f>(Table1[[#This Row],[predicted_6]]-Table1[[#This Row],[actual_6]])/Table1[[#This Row],[actual_6]]</f>
        <v>-5.2192066805845511E-2</v>
      </c>
      <c r="EM898" s="1">
        <f>(Table1[[#This Row],[predicted_7]]-Table1[[#This Row],[actual_7]])/Table1[[#This Row],[actual_7]]</f>
        <v>-3.8910505836575876E-2</v>
      </c>
      <c r="EN898" s="1">
        <f>(Table1[[#This Row],[predicted_8]]-Table1[[#This Row],[actual_8]])/Table1[[#This Row],[actual_8]]</f>
        <v>-7.7002053388090352E-2</v>
      </c>
      <c r="EO898" s="1">
        <f>(Table1[[#This Row],[predicted_9]]-Table1[[#This Row],[actual_9]])/Table1[[#This Row],[actual_9]]</f>
        <v>4.6580773042616451E-2</v>
      </c>
      <c r="EP898" s="1">
        <f>1+(Table1[[#This Row],[error_ratio_0]]-EF$2)</f>
        <v>1.0275510204081633</v>
      </c>
      <c r="EQ898" s="1">
        <f>1+(Table1[[#This Row],[error_ratio_1]]-EG$2)</f>
        <v>1.0044052863436124</v>
      </c>
      <c r="ER898" s="1">
        <f>1+(Table1[[#This Row],[error_ratio_2]]-EH$2)</f>
        <v>1.1201550387596899</v>
      </c>
      <c r="ES898" s="1">
        <f>1+(Table1[[#This Row],[error_ratio_3]]-EI$2)</f>
        <v>0.87821782178217822</v>
      </c>
      <c r="ET898" s="1">
        <f>1+(Table1[[#This Row],[error_ratio_4]]-EJ$2)</f>
        <v>0.92260692464358451</v>
      </c>
      <c r="EU898" s="1">
        <f>1+(Table1[[#This Row],[error_ratio_5]]-EK$2)</f>
        <v>1.1681614349775784</v>
      </c>
      <c r="EV898" s="1">
        <f>1+(Table1[[#This Row],[error_ratio_6]]-EL$2)</f>
        <v>0.95407098121085598</v>
      </c>
      <c r="EW898" s="1">
        <f>1+(Table1[[#This Row],[error_ratio_7]]-EM$2)</f>
        <v>0.95914396887159536</v>
      </c>
      <c r="EX898" s="1">
        <f>1+(Table1[[#This Row],[error_ratio_8]]-EN$2)</f>
        <v>0.92607802874743328</v>
      </c>
      <c r="EY898" s="1">
        <f>1+(Table1[[#This Row],[error_ratio_9]]-EO$2)</f>
        <v>1.0505450941526264</v>
      </c>
    </row>
    <row r="899" spans="1:155" x14ac:dyDescent="0.75">
      <c r="A899">
        <v>100</v>
      </c>
      <c r="B899">
        <v>100</v>
      </c>
      <c r="C899">
        <v>10</v>
      </c>
      <c r="D899">
        <v>10</v>
      </c>
      <c r="E899">
        <v>10</v>
      </c>
      <c r="F899">
        <v>100</v>
      </c>
      <c r="G899">
        <v>10</v>
      </c>
      <c r="H899">
        <v>10</v>
      </c>
      <c r="I899">
        <v>10</v>
      </c>
      <c r="J899">
        <v>10</v>
      </c>
      <c r="K899">
        <v>1048</v>
      </c>
      <c r="L899">
        <v>1148</v>
      </c>
      <c r="M899">
        <v>1068</v>
      </c>
      <c r="N899">
        <v>958</v>
      </c>
      <c r="O899">
        <v>846</v>
      </c>
      <c r="P899">
        <v>905</v>
      </c>
      <c r="Q899">
        <v>986</v>
      </c>
      <c r="R899">
        <v>974</v>
      </c>
      <c r="S899">
        <v>1032</v>
      </c>
      <c r="T899">
        <v>1035</v>
      </c>
      <c r="U899">
        <v>980</v>
      </c>
      <c r="V899">
        <v>1135</v>
      </c>
      <c r="W899">
        <v>1032</v>
      </c>
      <c r="X899">
        <v>1010</v>
      </c>
      <c r="Y899">
        <v>982</v>
      </c>
      <c r="Z899">
        <v>892</v>
      </c>
      <c r="AA899">
        <v>958</v>
      </c>
      <c r="AB899">
        <v>1028</v>
      </c>
      <c r="AC899">
        <v>974</v>
      </c>
      <c r="AD899">
        <v>1009</v>
      </c>
      <c r="AE899">
        <v>977</v>
      </c>
      <c r="AF899">
        <v>0</v>
      </c>
      <c r="AG899">
        <v>0</v>
      </c>
      <c r="AH899">
        <v>0</v>
      </c>
      <c r="AI899">
        <v>0</v>
      </c>
      <c r="AJ899">
        <v>1</v>
      </c>
      <c r="AK899">
        <v>0</v>
      </c>
      <c r="AL899">
        <v>0</v>
      </c>
      <c r="AM899">
        <v>2</v>
      </c>
      <c r="AN899">
        <v>0</v>
      </c>
      <c r="AO899">
        <v>0</v>
      </c>
      <c r="AP899">
        <v>1126</v>
      </c>
      <c r="AQ899">
        <v>1</v>
      </c>
      <c r="AR899">
        <v>1</v>
      </c>
      <c r="AS899">
        <v>0</v>
      </c>
      <c r="AT899">
        <v>1</v>
      </c>
      <c r="AU899">
        <v>2</v>
      </c>
      <c r="AV899">
        <v>0</v>
      </c>
      <c r="AW899">
        <v>4</v>
      </c>
      <c r="AX899">
        <v>0</v>
      </c>
      <c r="AY899">
        <v>12</v>
      </c>
      <c r="AZ899">
        <v>3</v>
      </c>
      <c r="BA899">
        <v>1003</v>
      </c>
      <c r="BB899">
        <v>0</v>
      </c>
      <c r="BC899">
        <v>0</v>
      </c>
      <c r="BD899">
        <v>0</v>
      </c>
      <c r="BE899">
        <v>5</v>
      </c>
      <c r="BF899">
        <v>6</v>
      </c>
      <c r="BG899">
        <v>3</v>
      </c>
      <c r="BH899">
        <v>0</v>
      </c>
      <c r="BI899">
        <v>5</v>
      </c>
      <c r="BJ899">
        <v>0</v>
      </c>
      <c r="BK899">
        <v>16</v>
      </c>
      <c r="BL899">
        <v>945</v>
      </c>
      <c r="BM899">
        <v>0</v>
      </c>
      <c r="BN899">
        <v>10</v>
      </c>
      <c r="BO899">
        <v>0</v>
      </c>
      <c r="BP899">
        <v>7</v>
      </c>
      <c r="BQ899">
        <v>23</v>
      </c>
      <c r="BR899">
        <v>4</v>
      </c>
      <c r="BS899">
        <v>7</v>
      </c>
      <c r="BT899">
        <v>1</v>
      </c>
      <c r="BU899">
        <v>4</v>
      </c>
      <c r="BV899">
        <v>0</v>
      </c>
      <c r="BW899">
        <v>842</v>
      </c>
      <c r="BX899">
        <v>0</v>
      </c>
      <c r="BY899">
        <v>40</v>
      </c>
      <c r="BZ899">
        <v>1</v>
      </c>
      <c r="CA899">
        <v>12</v>
      </c>
      <c r="CB899">
        <v>75</v>
      </c>
      <c r="CC899">
        <v>5</v>
      </c>
      <c r="CD899">
        <v>0</v>
      </c>
      <c r="CE899">
        <v>0</v>
      </c>
      <c r="CF899">
        <v>5</v>
      </c>
      <c r="CG899">
        <v>0</v>
      </c>
      <c r="CH899">
        <v>877</v>
      </c>
      <c r="CI899">
        <v>1</v>
      </c>
      <c r="CJ899">
        <v>0</v>
      </c>
      <c r="CK899">
        <v>2</v>
      </c>
      <c r="CL899">
        <v>2</v>
      </c>
      <c r="CM899">
        <v>13</v>
      </c>
      <c r="CN899">
        <v>3</v>
      </c>
      <c r="CO899">
        <v>0</v>
      </c>
      <c r="CP899">
        <v>0</v>
      </c>
      <c r="CQ899">
        <v>0</v>
      </c>
      <c r="CR899">
        <v>8</v>
      </c>
      <c r="CS899">
        <v>930</v>
      </c>
      <c r="CT899">
        <v>0</v>
      </c>
      <c r="CU899">
        <v>4</v>
      </c>
      <c r="CV899">
        <v>0</v>
      </c>
      <c r="CW899">
        <v>5</v>
      </c>
      <c r="CX899">
        <v>10</v>
      </c>
      <c r="CY899">
        <v>41</v>
      </c>
      <c r="CZ899">
        <v>0</v>
      </c>
      <c r="DA899">
        <v>2</v>
      </c>
      <c r="DB899">
        <v>2</v>
      </c>
      <c r="DC899">
        <v>1</v>
      </c>
      <c r="DD899">
        <v>946</v>
      </c>
      <c r="DE899">
        <v>9</v>
      </c>
      <c r="DF899">
        <v>12</v>
      </c>
      <c r="DG899">
        <v>12</v>
      </c>
      <c r="DH899">
        <v>0</v>
      </c>
      <c r="DI899">
        <v>3</v>
      </c>
      <c r="DJ899">
        <v>0</v>
      </c>
      <c r="DK899">
        <v>0</v>
      </c>
      <c r="DL899">
        <v>2</v>
      </c>
      <c r="DM899">
        <v>5</v>
      </c>
      <c r="DN899">
        <v>3</v>
      </c>
      <c r="DO899">
        <v>949</v>
      </c>
      <c r="DP899">
        <v>0</v>
      </c>
      <c r="DQ899">
        <v>12</v>
      </c>
      <c r="DR899">
        <v>5</v>
      </c>
      <c r="DS899">
        <v>0</v>
      </c>
      <c r="DT899">
        <v>7</v>
      </c>
      <c r="DU899">
        <v>2</v>
      </c>
      <c r="DV899">
        <v>4</v>
      </c>
      <c r="DW899">
        <v>2</v>
      </c>
      <c r="DX899">
        <v>11</v>
      </c>
      <c r="DY899">
        <v>24</v>
      </c>
      <c r="DZ899">
        <v>942</v>
      </c>
      <c r="EA899">
        <v>0.95369999999999999</v>
      </c>
      <c r="EB899">
        <v>0.95471654316695598</v>
      </c>
      <c r="EC899">
        <v>0.95361058902122597</v>
      </c>
      <c r="ED899">
        <v>0.95325614826340899</v>
      </c>
      <c r="EE899">
        <f>SUM(Table1[[#This Row],[ratio_0]:[ratio_9]])</f>
        <v>370</v>
      </c>
      <c r="EF899" s="1">
        <f>(Table1[[#This Row],[predicted_0]]-Table1[[#This Row],[actual_0]])/Table1[[#This Row],[actual_0]]</f>
        <v>6.9387755102040816E-2</v>
      </c>
      <c r="EG899" s="1">
        <f>(Table1[[#This Row],[predicted_1]]-Table1[[#This Row],[actual_1]])/Table1[[#This Row],[actual_1]]</f>
        <v>1.145374449339207E-2</v>
      </c>
      <c r="EH899" s="1">
        <f>(Table1[[#This Row],[predicted_2]]-Table1[[#This Row],[actual_2]])/Table1[[#This Row],[actual_2]]</f>
        <v>3.4883720930232558E-2</v>
      </c>
      <c r="EI899" s="1">
        <f>(Table1[[#This Row],[predicted_3]]-Table1[[#This Row],[actual_3]])/Table1[[#This Row],[actual_3]]</f>
        <v>-5.1485148514851482E-2</v>
      </c>
      <c r="EJ899" s="1">
        <f>(Table1[[#This Row],[predicted_4]]-Table1[[#This Row],[actual_4]])/Table1[[#This Row],[actual_4]]</f>
        <v>-0.1384928716904277</v>
      </c>
      <c r="EK899" s="1">
        <f>(Table1[[#This Row],[predicted_5]]-Table1[[#This Row],[actual_5]])/Table1[[#This Row],[actual_5]]</f>
        <v>1.4573991031390135E-2</v>
      </c>
      <c r="EL899" s="1">
        <f>(Table1[[#This Row],[predicted_6]]-Table1[[#This Row],[actual_6]])/Table1[[#This Row],[actual_6]]</f>
        <v>2.9227557411273485E-2</v>
      </c>
      <c r="EM899" s="1">
        <f>(Table1[[#This Row],[predicted_7]]-Table1[[#This Row],[actual_7]])/Table1[[#This Row],[actual_7]]</f>
        <v>-5.2529182879377433E-2</v>
      </c>
      <c r="EN899" s="1">
        <f>(Table1[[#This Row],[predicted_8]]-Table1[[#This Row],[actual_8]])/Table1[[#This Row],[actual_8]]</f>
        <v>5.9548254620123205E-2</v>
      </c>
      <c r="EO899" s="1">
        <f>(Table1[[#This Row],[predicted_9]]-Table1[[#This Row],[actual_9]])/Table1[[#This Row],[actual_9]]</f>
        <v>2.576808721506442E-2</v>
      </c>
      <c r="EP899" s="1">
        <f>1+(Table1[[#This Row],[error_ratio_0]]-EF$2)</f>
        <v>1.0673469387755101</v>
      </c>
      <c r="EQ899" s="1">
        <f>1+(Table1[[#This Row],[error_ratio_1]]-EG$2)</f>
        <v>1.0096916299559471</v>
      </c>
      <c r="ER899" s="1">
        <f>1+(Table1[[#This Row],[error_ratio_2]]-EH$2)</f>
        <v>1.0397286821705427</v>
      </c>
      <c r="ES899" s="1">
        <f>1+(Table1[[#This Row],[error_ratio_3]]-EI$2)</f>
        <v>0.93861386138613856</v>
      </c>
      <c r="ET899" s="1">
        <f>1+(Table1[[#This Row],[error_ratio_4]]-EJ$2)</f>
        <v>0.86048879837067216</v>
      </c>
      <c r="EU899" s="1">
        <f>1+(Table1[[#This Row],[error_ratio_5]]-EK$2)</f>
        <v>1.0134529147982063</v>
      </c>
      <c r="EV899" s="1">
        <f>1+(Table1[[#This Row],[error_ratio_6]]-EL$2)</f>
        <v>1.0354906054279749</v>
      </c>
      <c r="EW899" s="1">
        <f>1+(Table1[[#This Row],[error_ratio_7]]-EM$2)</f>
        <v>0.94552529182879375</v>
      </c>
      <c r="EX899" s="1">
        <f>1+(Table1[[#This Row],[error_ratio_8]]-EN$2)</f>
        <v>1.0626283367556468</v>
      </c>
      <c r="EY899" s="1">
        <f>1+(Table1[[#This Row],[error_ratio_9]]-EO$2)</f>
        <v>1.0297324083250743</v>
      </c>
    </row>
    <row r="900" spans="1:155" x14ac:dyDescent="0.75">
      <c r="A900">
        <v>10</v>
      </c>
      <c r="B900">
        <v>100</v>
      </c>
      <c r="C900">
        <v>10</v>
      </c>
      <c r="D900">
        <v>10</v>
      </c>
      <c r="E900">
        <v>10</v>
      </c>
      <c r="F900">
        <v>100</v>
      </c>
      <c r="G900">
        <v>10</v>
      </c>
      <c r="H900">
        <v>10</v>
      </c>
      <c r="I900">
        <v>10</v>
      </c>
      <c r="J900">
        <v>10</v>
      </c>
      <c r="K900">
        <v>998</v>
      </c>
      <c r="L900">
        <v>1212</v>
      </c>
      <c r="M900">
        <v>1031</v>
      </c>
      <c r="N900">
        <v>1009</v>
      </c>
      <c r="O900">
        <v>1180</v>
      </c>
      <c r="P900">
        <v>1033</v>
      </c>
      <c r="Q900">
        <v>893</v>
      </c>
      <c r="R900">
        <v>1041</v>
      </c>
      <c r="S900">
        <v>925</v>
      </c>
      <c r="T900">
        <v>678</v>
      </c>
      <c r="U900">
        <v>980</v>
      </c>
      <c r="V900">
        <v>1135</v>
      </c>
      <c r="W900">
        <v>1032</v>
      </c>
      <c r="X900">
        <v>1010</v>
      </c>
      <c r="Y900">
        <v>982</v>
      </c>
      <c r="Z900">
        <v>892</v>
      </c>
      <c r="AA900">
        <v>958</v>
      </c>
      <c r="AB900">
        <v>1028</v>
      </c>
      <c r="AC900">
        <v>974</v>
      </c>
      <c r="AD900">
        <v>1009</v>
      </c>
      <c r="AE900">
        <v>965</v>
      </c>
      <c r="AF900">
        <v>2</v>
      </c>
      <c r="AG900">
        <v>0</v>
      </c>
      <c r="AH900">
        <v>1</v>
      </c>
      <c r="AI900">
        <v>1</v>
      </c>
      <c r="AJ900">
        <v>5</v>
      </c>
      <c r="AK900">
        <v>1</v>
      </c>
      <c r="AL900">
        <v>4</v>
      </c>
      <c r="AM900">
        <v>0</v>
      </c>
      <c r="AN900">
        <v>1</v>
      </c>
      <c r="AO900">
        <v>0</v>
      </c>
      <c r="AP900">
        <v>1134</v>
      </c>
      <c r="AQ900">
        <v>0</v>
      </c>
      <c r="AR900">
        <v>1</v>
      </c>
      <c r="AS900">
        <v>0</v>
      </c>
      <c r="AT900">
        <v>0</v>
      </c>
      <c r="AU900">
        <v>0</v>
      </c>
      <c r="AV900">
        <v>0</v>
      </c>
      <c r="AW900">
        <v>0</v>
      </c>
      <c r="AX900">
        <v>0</v>
      </c>
      <c r="AY900">
        <v>3</v>
      </c>
      <c r="AZ900">
        <v>11</v>
      </c>
      <c r="BA900">
        <v>983</v>
      </c>
      <c r="BB900">
        <v>4</v>
      </c>
      <c r="BC900">
        <v>0</v>
      </c>
      <c r="BD900">
        <v>11</v>
      </c>
      <c r="BE900">
        <v>4</v>
      </c>
      <c r="BF900">
        <v>11</v>
      </c>
      <c r="BG900">
        <v>5</v>
      </c>
      <c r="BH900">
        <v>0</v>
      </c>
      <c r="BI900">
        <v>0</v>
      </c>
      <c r="BJ900">
        <v>1</v>
      </c>
      <c r="BK900">
        <v>4</v>
      </c>
      <c r="BL900">
        <v>976</v>
      </c>
      <c r="BM900">
        <v>2</v>
      </c>
      <c r="BN900">
        <v>17</v>
      </c>
      <c r="BO900">
        <v>0</v>
      </c>
      <c r="BP900">
        <v>6</v>
      </c>
      <c r="BQ900">
        <v>4</v>
      </c>
      <c r="BR900">
        <v>0</v>
      </c>
      <c r="BS900">
        <v>0</v>
      </c>
      <c r="BT900">
        <v>3</v>
      </c>
      <c r="BU900">
        <v>4</v>
      </c>
      <c r="BV900">
        <v>0</v>
      </c>
      <c r="BW900">
        <v>959</v>
      </c>
      <c r="BX900">
        <v>5</v>
      </c>
      <c r="BY900">
        <v>10</v>
      </c>
      <c r="BZ900">
        <v>1</v>
      </c>
      <c r="CA900">
        <v>0</v>
      </c>
      <c r="CB900">
        <v>0</v>
      </c>
      <c r="CC900">
        <v>1</v>
      </c>
      <c r="CD900">
        <v>0</v>
      </c>
      <c r="CE900">
        <v>0</v>
      </c>
      <c r="CF900">
        <v>4</v>
      </c>
      <c r="CG900">
        <v>0</v>
      </c>
      <c r="CH900">
        <v>884</v>
      </c>
      <c r="CI900">
        <v>1</v>
      </c>
      <c r="CJ900">
        <v>1</v>
      </c>
      <c r="CK900">
        <v>1</v>
      </c>
      <c r="CL900">
        <v>0</v>
      </c>
      <c r="CM900">
        <v>18</v>
      </c>
      <c r="CN900">
        <v>9</v>
      </c>
      <c r="CO900">
        <v>0</v>
      </c>
      <c r="CP900">
        <v>0</v>
      </c>
      <c r="CQ900">
        <v>10</v>
      </c>
      <c r="CR900">
        <v>48</v>
      </c>
      <c r="CS900">
        <v>873</v>
      </c>
      <c r="CT900">
        <v>0</v>
      </c>
      <c r="CU900">
        <v>0</v>
      </c>
      <c r="CV900">
        <v>0</v>
      </c>
      <c r="CW900">
        <v>2</v>
      </c>
      <c r="CX900">
        <v>26</v>
      </c>
      <c r="CY900">
        <v>34</v>
      </c>
      <c r="CZ900">
        <v>3</v>
      </c>
      <c r="DA900">
        <v>5</v>
      </c>
      <c r="DB900">
        <v>5</v>
      </c>
      <c r="DC900">
        <v>0</v>
      </c>
      <c r="DD900">
        <v>953</v>
      </c>
      <c r="DE900">
        <v>0</v>
      </c>
      <c r="DF900">
        <v>0</v>
      </c>
      <c r="DG900">
        <v>5</v>
      </c>
      <c r="DH900">
        <v>17</v>
      </c>
      <c r="DI900">
        <v>6</v>
      </c>
      <c r="DJ900">
        <v>8</v>
      </c>
      <c r="DK900">
        <v>4</v>
      </c>
      <c r="DL900">
        <v>21</v>
      </c>
      <c r="DM900">
        <v>3</v>
      </c>
      <c r="DN900">
        <v>9</v>
      </c>
      <c r="DO900">
        <v>900</v>
      </c>
      <c r="DP900">
        <v>1</v>
      </c>
      <c r="DQ900">
        <v>4</v>
      </c>
      <c r="DR900">
        <v>9</v>
      </c>
      <c r="DS900">
        <v>0</v>
      </c>
      <c r="DT900">
        <v>12</v>
      </c>
      <c r="DU900">
        <v>199</v>
      </c>
      <c r="DV900">
        <v>37</v>
      </c>
      <c r="DW900">
        <v>1</v>
      </c>
      <c r="DX900">
        <v>56</v>
      </c>
      <c r="DY900">
        <v>15</v>
      </c>
      <c r="DZ900">
        <v>676</v>
      </c>
      <c r="EA900">
        <v>0.93030000000000002</v>
      </c>
      <c r="EB900">
        <v>0.93548794309357197</v>
      </c>
      <c r="EC900">
        <v>0.93025898315656896</v>
      </c>
      <c r="ED900">
        <v>0.92812343448693102</v>
      </c>
      <c r="EE900">
        <f>SUM(Table1[[#This Row],[ratio_0]:[ratio_9]])</f>
        <v>280</v>
      </c>
      <c r="EF900" s="1">
        <f>(Table1[[#This Row],[predicted_0]]-Table1[[#This Row],[actual_0]])/Table1[[#This Row],[actual_0]]</f>
        <v>1.8367346938775512E-2</v>
      </c>
      <c r="EG900" s="1">
        <f>(Table1[[#This Row],[predicted_1]]-Table1[[#This Row],[actual_1]])/Table1[[#This Row],[actual_1]]</f>
        <v>6.7841409691629953E-2</v>
      </c>
      <c r="EH900" s="1">
        <f>(Table1[[#This Row],[predicted_2]]-Table1[[#This Row],[actual_2]])/Table1[[#This Row],[actual_2]]</f>
        <v>-9.6899224806201549E-4</v>
      </c>
      <c r="EI900" s="1">
        <f>(Table1[[#This Row],[predicted_3]]-Table1[[#This Row],[actual_3]])/Table1[[#This Row],[actual_3]]</f>
        <v>-9.9009900990099011E-4</v>
      </c>
      <c r="EJ900" s="1">
        <f>(Table1[[#This Row],[predicted_4]]-Table1[[#This Row],[actual_4]])/Table1[[#This Row],[actual_4]]</f>
        <v>0.20162932790224034</v>
      </c>
      <c r="EK900" s="1">
        <f>(Table1[[#This Row],[predicted_5]]-Table1[[#This Row],[actual_5]])/Table1[[#This Row],[actual_5]]</f>
        <v>0.15807174887892378</v>
      </c>
      <c r="EL900" s="1">
        <f>(Table1[[#This Row],[predicted_6]]-Table1[[#This Row],[actual_6]])/Table1[[#This Row],[actual_6]]</f>
        <v>-6.7849686847599164E-2</v>
      </c>
      <c r="EM900" s="1">
        <f>(Table1[[#This Row],[predicted_7]]-Table1[[#This Row],[actual_7]])/Table1[[#This Row],[actual_7]]</f>
        <v>1.264591439688716E-2</v>
      </c>
      <c r="EN900" s="1">
        <f>(Table1[[#This Row],[predicted_8]]-Table1[[#This Row],[actual_8]])/Table1[[#This Row],[actual_8]]</f>
        <v>-5.0308008213552365E-2</v>
      </c>
      <c r="EO900" s="1">
        <f>(Table1[[#This Row],[predicted_9]]-Table1[[#This Row],[actual_9]])/Table1[[#This Row],[actual_9]]</f>
        <v>-0.32804757185332012</v>
      </c>
      <c r="EP900" s="1">
        <f>1+(Table1[[#This Row],[error_ratio_0]]-EF$2)</f>
        <v>1.0163265306122449</v>
      </c>
      <c r="EQ900" s="1">
        <f>1+(Table1[[#This Row],[error_ratio_1]]-EG$2)</f>
        <v>1.0660792951541851</v>
      </c>
      <c r="ER900" s="1">
        <f>1+(Table1[[#This Row],[error_ratio_2]]-EH$2)</f>
        <v>1.0038759689922481</v>
      </c>
      <c r="ES900" s="1">
        <f>1+(Table1[[#This Row],[error_ratio_3]]-EI$2)</f>
        <v>0.9891089108910891</v>
      </c>
      <c r="ET900" s="1">
        <f>1+(Table1[[#This Row],[error_ratio_4]]-EJ$2)</f>
        <v>1.2006109979633401</v>
      </c>
      <c r="EU900" s="1">
        <f>1+(Table1[[#This Row],[error_ratio_5]]-EK$2)</f>
        <v>1.1569506726457399</v>
      </c>
      <c r="EV900" s="1">
        <f>1+(Table1[[#This Row],[error_ratio_6]]-EL$2)</f>
        <v>0.93841336116910234</v>
      </c>
      <c r="EW900" s="1">
        <f>1+(Table1[[#This Row],[error_ratio_7]]-EM$2)</f>
        <v>1.0107003891050583</v>
      </c>
      <c r="EX900" s="1">
        <f>1+(Table1[[#This Row],[error_ratio_8]]-EN$2)</f>
        <v>0.95277207392197127</v>
      </c>
      <c r="EY900" s="1">
        <f>1+(Table1[[#This Row],[error_ratio_9]]-EO$2)</f>
        <v>0.67591674925668976</v>
      </c>
    </row>
    <row r="901" spans="1:155" x14ac:dyDescent="0.75">
      <c r="A901">
        <v>100</v>
      </c>
      <c r="B901">
        <v>10</v>
      </c>
      <c r="C901">
        <v>10</v>
      </c>
      <c r="D901">
        <v>10</v>
      </c>
      <c r="E901">
        <v>10</v>
      </c>
      <c r="F901">
        <v>100</v>
      </c>
      <c r="G901">
        <v>10</v>
      </c>
      <c r="H901">
        <v>10</v>
      </c>
      <c r="I901">
        <v>10</v>
      </c>
      <c r="J901">
        <v>10</v>
      </c>
      <c r="K901">
        <v>1063</v>
      </c>
      <c r="L901">
        <v>1314</v>
      </c>
      <c r="M901">
        <v>903</v>
      </c>
      <c r="N901">
        <v>1049</v>
      </c>
      <c r="O901">
        <v>970</v>
      </c>
      <c r="P901">
        <v>1009</v>
      </c>
      <c r="Q901">
        <v>908</v>
      </c>
      <c r="R901">
        <v>1015</v>
      </c>
      <c r="S901">
        <v>790</v>
      </c>
      <c r="T901">
        <v>979</v>
      </c>
      <c r="U901">
        <v>980</v>
      </c>
      <c r="V901">
        <v>1135</v>
      </c>
      <c r="W901">
        <v>1032</v>
      </c>
      <c r="X901">
        <v>1010</v>
      </c>
      <c r="Y901">
        <v>982</v>
      </c>
      <c r="Z901">
        <v>892</v>
      </c>
      <c r="AA901">
        <v>958</v>
      </c>
      <c r="AB901">
        <v>1028</v>
      </c>
      <c r="AC901">
        <v>974</v>
      </c>
      <c r="AD901">
        <v>1009</v>
      </c>
      <c r="AE901">
        <v>977</v>
      </c>
      <c r="AF901">
        <v>2</v>
      </c>
      <c r="AG901">
        <v>0</v>
      </c>
      <c r="AH901">
        <v>0</v>
      </c>
      <c r="AI901">
        <v>0</v>
      </c>
      <c r="AJ901">
        <v>0</v>
      </c>
      <c r="AK901">
        <v>0</v>
      </c>
      <c r="AL901">
        <v>1</v>
      </c>
      <c r="AM901">
        <v>0</v>
      </c>
      <c r="AN901">
        <v>0</v>
      </c>
      <c r="AO901">
        <v>0</v>
      </c>
      <c r="AP901">
        <v>1126</v>
      </c>
      <c r="AQ901">
        <v>0</v>
      </c>
      <c r="AR901">
        <v>6</v>
      </c>
      <c r="AS901">
        <v>0</v>
      </c>
      <c r="AT901">
        <v>1</v>
      </c>
      <c r="AU901">
        <v>2</v>
      </c>
      <c r="AV901">
        <v>0</v>
      </c>
      <c r="AW901">
        <v>0</v>
      </c>
      <c r="AX901">
        <v>0</v>
      </c>
      <c r="AY901">
        <v>15</v>
      </c>
      <c r="AZ901">
        <v>70</v>
      </c>
      <c r="BA901">
        <v>880</v>
      </c>
      <c r="BB901">
        <v>37</v>
      </c>
      <c r="BC901">
        <v>0</v>
      </c>
      <c r="BD901">
        <v>3</v>
      </c>
      <c r="BE901">
        <v>2</v>
      </c>
      <c r="BF901">
        <v>25</v>
      </c>
      <c r="BG901">
        <v>0</v>
      </c>
      <c r="BH901">
        <v>0</v>
      </c>
      <c r="BI901">
        <v>1</v>
      </c>
      <c r="BJ901">
        <v>0</v>
      </c>
      <c r="BK901">
        <v>3</v>
      </c>
      <c r="BL901">
        <v>980</v>
      </c>
      <c r="BM901">
        <v>0</v>
      </c>
      <c r="BN901">
        <v>13</v>
      </c>
      <c r="BO901">
        <v>0</v>
      </c>
      <c r="BP901">
        <v>8</v>
      </c>
      <c r="BQ901">
        <v>5</v>
      </c>
      <c r="BR901">
        <v>0</v>
      </c>
      <c r="BS901">
        <v>1</v>
      </c>
      <c r="BT901">
        <v>25</v>
      </c>
      <c r="BU901">
        <v>5</v>
      </c>
      <c r="BV901">
        <v>0</v>
      </c>
      <c r="BW901">
        <v>932</v>
      </c>
      <c r="BX901">
        <v>1</v>
      </c>
      <c r="BY901">
        <v>10</v>
      </c>
      <c r="BZ901">
        <v>1</v>
      </c>
      <c r="CA901">
        <v>0</v>
      </c>
      <c r="CB901">
        <v>7</v>
      </c>
      <c r="CC901">
        <v>2</v>
      </c>
      <c r="CD901">
        <v>0</v>
      </c>
      <c r="CE901">
        <v>0</v>
      </c>
      <c r="CF901">
        <v>3</v>
      </c>
      <c r="CG901">
        <v>0</v>
      </c>
      <c r="CH901">
        <v>885</v>
      </c>
      <c r="CI901">
        <v>2</v>
      </c>
      <c r="CJ901">
        <v>0</v>
      </c>
      <c r="CK901">
        <v>0</v>
      </c>
      <c r="CL901">
        <v>0</v>
      </c>
      <c r="CM901">
        <v>30</v>
      </c>
      <c r="CN901">
        <v>5</v>
      </c>
      <c r="CO901">
        <v>1</v>
      </c>
      <c r="CP901">
        <v>0</v>
      </c>
      <c r="CQ901">
        <v>14</v>
      </c>
      <c r="CR901">
        <v>21</v>
      </c>
      <c r="CS901">
        <v>887</v>
      </c>
      <c r="CT901">
        <v>0</v>
      </c>
      <c r="CU901">
        <v>0</v>
      </c>
      <c r="CV901">
        <v>0</v>
      </c>
      <c r="CW901">
        <v>7</v>
      </c>
      <c r="CX901">
        <v>18</v>
      </c>
      <c r="CY901">
        <v>5</v>
      </c>
      <c r="CZ901">
        <v>6</v>
      </c>
      <c r="DA901">
        <v>1</v>
      </c>
      <c r="DB901">
        <v>2</v>
      </c>
      <c r="DC901">
        <v>0</v>
      </c>
      <c r="DD901">
        <v>955</v>
      </c>
      <c r="DE901">
        <v>1</v>
      </c>
      <c r="DF901">
        <v>33</v>
      </c>
      <c r="DG901">
        <v>23</v>
      </c>
      <c r="DH901">
        <v>55</v>
      </c>
      <c r="DI901">
        <v>9</v>
      </c>
      <c r="DJ901">
        <v>11</v>
      </c>
      <c r="DK901">
        <v>2</v>
      </c>
      <c r="DL901">
        <v>41</v>
      </c>
      <c r="DM901">
        <v>5</v>
      </c>
      <c r="DN901">
        <v>17</v>
      </c>
      <c r="DO901">
        <v>782</v>
      </c>
      <c r="DP901">
        <v>29</v>
      </c>
      <c r="DQ901">
        <v>7</v>
      </c>
      <c r="DR901">
        <v>13</v>
      </c>
      <c r="DS901">
        <v>0</v>
      </c>
      <c r="DT901">
        <v>6</v>
      </c>
      <c r="DU901">
        <v>21</v>
      </c>
      <c r="DV901">
        <v>42</v>
      </c>
      <c r="DW901">
        <v>0</v>
      </c>
      <c r="DX901">
        <v>8</v>
      </c>
      <c r="DY901">
        <v>2</v>
      </c>
      <c r="DZ901">
        <v>910</v>
      </c>
      <c r="EA901">
        <v>0.93140000000000001</v>
      </c>
      <c r="EB901">
        <v>0.93598578004268995</v>
      </c>
      <c r="EC901">
        <v>0.931288882534964</v>
      </c>
      <c r="ED901">
        <v>0.93111922880632902</v>
      </c>
      <c r="EE901">
        <f>SUM(Table1[[#This Row],[ratio_0]:[ratio_9]])</f>
        <v>280</v>
      </c>
      <c r="EF901" s="1">
        <f>(Table1[[#This Row],[predicted_0]]-Table1[[#This Row],[actual_0]])/Table1[[#This Row],[actual_0]]</f>
        <v>8.4693877551020411E-2</v>
      </c>
      <c r="EG901" s="1">
        <f>(Table1[[#This Row],[predicted_1]]-Table1[[#This Row],[actual_1]])/Table1[[#This Row],[actual_1]]</f>
        <v>0.15770925110132158</v>
      </c>
      <c r="EH901" s="1">
        <f>(Table1[[#This Row],[predicted_2]]-Table1[[#This Row],[actual_2]])/Table1[[#This Row],[actual_2]]</f>
        <v>-0.125</v>
      </c>
      <c r="EI901" s="1">
        <f>(Table1[[#This Row],[predicted_3]]-Table1[[#This Row],[actual_3]])/Table1[[#This Row],[actual_3]]</f>
        <v>3.8613861386138613E-2</v>
      </c>
      <c r="EJ901" s="1">
        <f>(Table1[[#This Row],[predicted_4]]-Table1[[#This Row],[actual_4]])/Table1[[#This Row],[actual_4]]</f>
        <v>-1.2219959266802444E-2</v>
      </c>
      <c r="EK901" s="1">
        <f>(Table1[[#This Row],[predicted_5]]-Table1[[#This Row],[actual_5]])/Table1[[#This Row],[actual_5]]</f>
        <v>0.1311659192825112</v>
      </c>
      <c r="EL901" s="1">
        <f>(Table1[[#This Row],[predicted_6]]-Table1[[#This Row],[actual_6]])/Table1[[#This Row],[actual_6]]</f>
        <v>-5.2192066805845511E-2</v>
      </c>
      <c r="EM901" s="1">
        <f>(Table1[[#This Row],[predicted_7]]-Table1[[#This Row],[actual_7]])/Table1[[#This Row],[actual_7]]</f>
        <v>-1.264591439688716E-2</v>
      </c>
      <c r="EN901" s="1">
        <f>(Table1[[#This Row],[predicted_8]]-Table1[[#This Row],[actual_8]])/Table1[[#This Row],[actual_8]]</f>
        <v>-0.18891170431211499</v>
      </c>
      <c r="EO901" s="1">
        <f>(Table1[[#This Row],[predicted_9]]-Table1[[#This Row],[actual_9]])/Table1[[#This Row],[actual_9]]</f>
        <v>-2.973240832507433E-2</v>
      </c>
      <c r="EP901" s="1">
        <f>1+(Table1[[#This Row],[error_ratio_0]]-EF$2)</f>
        <v>1.0826530612244898</v>
      </c>
      <c r="EQ901" s="1">
        <f>1+(Table1[[#This Row],[error_ratio_1]]-EG$2)</f>
        <v>1.1559471365638767</v>
      </c>
      <c r="ER901" s="1">
        <f>1+(Table1[[#This Row],[error_ratio_2]]-EH$2)</f>
        <v>0.87984496124031009</v>
      </c>
      <c r="ES901" s="1">
        <f>1+(Table1[[#This Row],[error_ratio_3]]-EI$2)</f>
        <v>1.0287128712871287</v>
      </c>
      <c r="ET901" s="1">
        <f>1+(Table1[[#This Row],[error_ratio_4]]-EJ$2)</f>
        <v>0.98676171079429731</v>
      </c>
      <c r="EU901" s="1">
        <f>1+(Table1[[#This Row],[error_ratio_5]]-EK$2)</f>
        <v>1.1300448430493273</v>
      </c>
      <c r="EV901" s="1">
        <f>1+(Table1[[#This Row],[error_ratio_6]]-EL$2)</f>
        <v>0.95407098121085598</v>
      </c>
      <c r="EW901" s="1">
        <f>1+(Table1[[#This Row],[error_ratio_7]]-EM$2)</f>
        <v>0.9854085603112841</v>
      </c>
      <c r="EX901" s="1">
        <f>1+(Table1[[#This Row],[error_ratio_8]]-EN$2)</f>
        <v>0.81416837782340856</v>
      </c>
      <c r="EY901" s="1">
        <f>1+(Table1[[#This Row],[error_ratio_9]]-EO$2)</f>
        <v>0.97423191278493559</v>
      </c>
    </row>
    <row r="902" spans="1:155" x14ac:dyDescent="0.75">
      <c r="A902">
        <v>10</v>
      </c>
      <c r="B902">
        <v>10</v>
      </c>
      <c r="C902">
        <v>10</v>
      </c>
      <c r="D902">
        <v>10</v>
      </c>
      <c r="E902">
        <v>10</v>
      </c>
      <c r="F902">
        <v>100</v>
      </c>
      <c r="G902">
        <v>10</v>
      </c>
      <c r="H902">
        <v>10</v>
      </c>
      <c r="I902">
        <v>10</v>
      </c>
      <c r="J902">
        <v>10</v>
      </c>
      <c r="K902">
        <v>984</v>
      </c>
      <c r="L902">
        <v>1136</v>
      </c>
      <c r="M902">
        <v>1019</v>
      </c>
      <c r="N902">
        <v>956</v>
      </c>
      <c r="O902">
        <v>992</v>
      </c>
      <c r="P902">
        <v>1106</v>
      </c>
      <c r="Q902">
        <v>925</v>
      </c>
      <c r="R902">
        <v>990</v>
      </c>
      <c r="S902">
        <v>918</v>
      </c>
      <c r="T902">
        <v>974</v>
      </c>
      <c r="U902">
        <v>980</v>
      </c>
      <c r="V902">
        <v>1135</v>
      </c>
      <c r="W902">
        <v>1032</v>
      </c>
      <c r="X902">
        <v>1010</v>
      </c>
      <c r="Y902">
        <v>982</v>
      </c>
      <c r="Z902">
        <v>892</v>
      </c>
      <c r="AA902">
        <v>958</v>
      </c>
      <c r="AB902">
        <v>1028</v>
      </c>
      <c r="AC902">
        <v>974</v>
      </c>
      <c r="AD902">
        <v>1009</v>
      </c>
      <c r="AE902">
        <v>956</v>
      </c>
      <c r="AF902">
        <v>0</v>
      </c>
      <c r="AG902">
        <v>3</v>
      </c>
      <c r="AH902">
        <v>0</v>
      </c>
      <c r="AI902">
        <v>0</v>
      </c>
      <c r="AJ902">
        <v>10</v>
      </c>
      <c r="AK902">
        <v>7</v>
      </c>
      <c r="AL902">
        <v>1</v>
      </c>
      <c r="AM902">
        <v>2</v>
      </c>
      <c r="AN902">
        <v>1</v>
      </c>
      <c r="AO902">
        <v>0</v>
      </c>
      <c r="AP902">
        <v>1119</v>
      </c>
      <c r="AQ902">
        <v>6</v>
      </c>
      <c r="AR902">
        <v>1</v>
      </c>
      <c r="AS902">
        <v>0</v>
      </c>
      <c r="AT902">
        <v>5</v>
      </c>
      <c r="AU902">
        <v>0</v>
      </c>
      <c r="AV902">
        <v>4</v>
      </c>
      <c r="AW902">
        <v>0</v>
      </c>
      <c r="AX902">
        <v>0</v>
      </c>
      <c r="AY902">
        <v>4</v>
      </c>
      <c r="AZ902">
        <v>1</v>
      </c>
      <c r="BA902">
        <v>969</v>
      </c>
      <c r="BB902">
        <v>13</v>
      </c>
      <c r="BC902">
        <v>14</v>
      </c>
      <c r="BD902">
        <v>6</v>
      </c>
      <c r="BE902">
        <v>3</v>
      </c>
      <c r="BF902">
        <v>7</v>
      </c>
      <c r="BG902">
        <v>13</v>
      </c>
      <c r="BH902">
        <v>2</v>
      </c>
      <c r="BI902">
        <v>2</v>
      </c>
      <c r="BJ902">
        <v>0</v>
      </c>
      <c r="BK902">
        <v>12</v>
      </c>
      <c r="BL902">
        <v>913</v>
      </c>
      <c r="BM902">
        <v>0</v>
      </c>
      <c r="BN902">
        <v>66</v>
      </c>
      <c r="BO902">
        <v>0</v>
      </c>
      <c r="BP902">
        <v>4</v>
      </c>
      <c r="BQ902">
        <v>10</v>
      </c>
      <c r="BR902">
        <v>3</v>
      </c>
      <c r="BS902">
        <v>1</v>
      </c>
      <c r="BT902">
        <v>1</v>
      </c>
      <c r="BU902">
        <v>1</v>
      </c>
      <c r="BV902">
        <v>0</v>
      </c>
      <c r="BW902">
        <v>957</v>
      </c>
      <c r="BX902">
        <v>2</v>
      </c>
      <c r="BY902">
        <v>4</v>
      </c>
      <c r="BZ902">
        <v>0</v>
      </c>
      <c r="CA902">
        <v>2</v>
      </c>
      <c r="CB902">
        <v>14</v>
      </c>
      <c r="CC902">
        <v>2</v>
      </c>
      <c r="CD902">
        <v>0</v>
      </c>
      <c r="CE902">
        <v>0</v>
      </c>
      <c r="CF902">
        <v>1</v>
      </c>
      <c r="CG902">
        <v>0</v>
      </c>
      <c r="CH902">
        <v>886</v>
      </c>
      <c r="CI902">
        <v>2</v>
      </c>
      <c r="CJ902">
        <v>0</v>
      </c>
      <c r="CK902">
        <v>1</v>
      </c>
      <c r="CL902">
        <v>0</v>
      </c>
      <c r="CM902">
        <v>6</v>
      </c>
      <c r="CN902">
        <v>6</v>
      </c>
      <c r="CO902">
        <v>1</v>
      </c>
      <c r="CP902">
        <v>0</v>
      </c>
      <c r="CQ902">
        <v>5</v>
      </c>
      <c r="CR902">
        <v>32</v>
      </c>
      <c r="CS902">
        <v>908</v>
      </c>
      <c r="CT902">
        <v>0</v>
      </c>
      <c r="CU902">
        <v>0</v>
      </c>
      <c r="CV902">
        <v>0</v>
      </c>
      <c r="CW902">
        <v>3</v>
      </c>
      <c r="CX902">
        <v>2</v>
      </c>
      <c r="CY902">
        <v>17</v>
      </c>
      <c r="CZ902">
        <v>12</v>
      </c>
      <c r="DA902">
        <v>3</v>
      </c>
      <c r="DB902">
        <v>4</v>
      </c>
      <c r="DC902">
        <v>0</v>
      </c>
      <c r="DD902">
        <v>960</v>
      </c>
      <c r="DE902">
        <v>12</v>
      </c>
      <c r="DF902">
        <v>15</v>
      </c>
      <c r="DG902">
        <v>5</v>
      </c>
      <c r="DH902">
        <v>5</v>
      </c>
      <c r="DI902">
        <v>10</v>
      </c>
      <c r="DJ902">
        <v>12</v>
      </c>
      <c r="DK902">
        <v>3</v>
      </c>
      <c r="DL902">
        <v>56</v>
      </c>
      <c r="DM902">
        <v>1</v>
      </c>
      <c r="DN902">
        <v>5</v>
      </c>
      <c r="DO902">
        <v>872</v>
      </c>
      <c r="DP902">
        <v>5</v>
      </c>
      <c r="DQ902">
        <v>5</v>
      </c>
      <c r="DR902">
        <v>2</v>
      </c>
      <c r="DS902">
        <v>0</v>
      </c>
      <c r="DT902">
        <v>4</v>
      </c>
      <c r="DU902">
        <v>10</v>
      </c>
      <c r="DV902">
        <v>39</v>
      </c>
      <c r="DW902">
        <v>0</v>
      </c>
      <c r="DX902">
        <v>9</v>
      </c>
      <c r="DY902">
        <v>6</v>
      </c>
      <c r="DZ902">
        <v>934</v>
      </c>
      <c r="EA902">
        <v>0.94740000000000002</v>
      </c>
      <c r="EB902">
        <v>0.94884777637159201</v>
      </c>
      <c r="EC902">
        <v>0.94747487261736496</v>
      </c>
      <c r="ED902">
        <v>0.94688169787534204</v>
      </c>
      <c r="EE902">
        <f>SUM(Table1[[#This Row],[ratio_0]:[ratio_9]])</f>
        <v>190</v>
      </c>
      <c r="EF902" s="1">
        <f>(Table1[[#This Row],[predicted_0]]-Table1[[#This Row],[actual_0]])/Table1[[#This Row],[actual_0]]</f>
        <v>4.0816326530612249E-3</v>
      </c>
      <c r="EG902" s="1">
        <f>(Table1[[#This Row],[predicted_1]]-Table1[[#This Row],[actual_1]])/Table1[[#This Row],[actual_1]]</f>
        <v>8.81057268722467E-4</v>
      </c>
      <c r="EH902" s="1">
        <f>(Table1[[#This Row],[predicted_2]]-Table1[[#This Row],[actual_2]])/Table1[[#This Row],[actual_2]]</f>
        <v>-1.2596899224806201E-2</v>
      </c>
      <c r="EI902" s="1">
        <f>(Table1[[#This Row],[predicted_3]]-Table1[[#This Row],[actual_3]])/Table1[[#This Row],[actual_3]]</f>
        <v>-5.3465346534653464E-2</v>
      </c>
      <c r="EJ902" s="1">
        <f>(Table1[[#This Row],[predicted_4]]-Table1[[#This Row],[actual_4]])/Table1[[#This Row],[actual_4]]</f>
        <v>1.0183299389002037E-2</v>
      </c>
      <c r="EK902" s="1">
        <f>(Table1[[#This Row],[predicted_5]]-Table1[[#This Row],[actual_5]])/Table1[[#This Row],[actual_5]]</f>
        <v>0.23991031390134529</v>
      </c>
      <c r="EL902" s="1">
        <f>(Table1[[#This Row],[predicted_6]]-Table1[[#This Row],[actual_6]])/Table1[[#This Row],[actual_6]]</f>
        <v>-3.444676409185804E-2</v>
      </c>
      <c r="EM902" s="1">
        <f>(Table1[[#This Row],[predicted_7]]-Table1[[#This Row],[actual_7]])/Table1[[#This Row],[actual_7]]</f>
        <v>-3.6964980544747082E-2</v>
      </c>
      <c r="EN902" s="1">
        <f>(Table1[[#This Row],[predicted_8]]-Table1[[#This Row],[actual_8]])/Table1[[#This Row],[actual_8]]</f>
        <v>-5.7494866529774126E-2</v>
      </c>
      <c r="EO902" s="1">
        <f>(Table1[[#This Row],[predicted_9]]-Table1[[#This Row],[actual_9]])/Table1[[#This Row],[actual_9]]</f>
        <v>-3.4687809712586719E-2</v>
      </c>
      <c r="EP902" s="1">
        <f>1+(Table1[[#This Row],[error_ratio_0]]-EF$2)</f>
        <v>1.0020408163265306</v>
      </c>
      <c r="EQ902" s="1">
        <f>1+(Table1[[#This Row],[error_ratio_1]]-EG$2)</f>
        <v>0.99911894273127755</v>
      </c>
      <c r="ER902" s="1">
        <f>1+(Table1[[#This Row],[error_ratio_2]]-EH$2)</f>
        <v>0.99224806201550386</v>
      </c>
      <c r="ES902" s="1">
        <f>1+(Table1[[#This Row],[error_ratio_3]]-EI$2)</f>
        <v>0.93663366336633658</v>
      </c>
      <c r="ET902" s="1">
        <f>1+(Table1[[#This Row],[error_ratio_4]]-EJ$2)</f>
        <v>1.0091649694501019</v>
      </c>
      <c r="EU902" s="1">
        <f>1+(Table1[[#This Row],[error_ratio_5]]-EK$2)</f>
        <v>1.2387892376681615</v>
      </c>
      <c r="EV902" s="1">
        <f>1+(Table1[[#This Row],[error_ratio_6]]-EL$2)</f>
        <v>0.97181628392484343</v>
      </c>
      <c r="EW902" s="1">
        <f>1+(Table1[[#This Row],[error_ratio_7]]-EM$2)</f>
        <v>0.96108949416342415</v>
      </c>
      <c r="EX902" s="1">
        <f>1+(Table1[[#This Row],[error_ratio_8]]-EN$2)</f>
        <v>0.94558521560574949</v>
      </c>
      <c r="EY902" s="1">
        <f>1+(Table1[[#This Row],[error_ratio_9]]-EO$2)</f>
        <v>0.96927651139742321</v>
      </c>
    </row>
    <row r="903" spans="1:155" x14ac:dyDescent="0.75">
      <c r="A903">
        <v>10</v>
      </c>
      <c r="B903">
        <v>100</v>
      </c>
      <c r="C903">
        <v>100</v>
      </c>
      <c r="D903">
        <v>100</v>
      </c>
      <c r="E903">
        <v>100</v>
      </c>
      <c r="F903">
        <v>10</v>
      </c>
      <c r="G903">
        <v>10</v>
      </c>
      <c r="H903">
        <v>10</v>
      </c>
      <c r="I903">
        <v>10</v>
      </c>
      <c r="J903">
        <v>10</v>
      </c>
      <c r="K903">
        <v>986</v>
      </c>
      <c r="L903">
        <v>1135</v>
      </c>
      <c r="M903">
        <v>1140</v>
      </c>
      <c r="N903">
        <v>1056</v>
      </c>
      <c r="O903">
        <v>1007</v>
      </c>
      <c r="P903">
        <v>831</v>
      </c>
      <c r="Q903">
        <v>933</v>
      </c>
      <c r="R903">
        <v>967</v>
      </c>
      <c r="S903">
        <v>970</v>
      </c>
      <c r="T903">
        <v>975</v>
      </c>
      <c r="U903">
        <v>980</v>
      </c>
      <c r="V903">
        <v>1135</v>
      </c>
      <c r="W903">
        <v>1032</v>
      </c>
      <c r="X903">
        <v>1010</v>
      </c>
      <c r="Y903">
        <v>982</v>
      </c>
      <c r="Z903">
        <v>892</v>
      </c>
      <c r="AA903">
        <v>958</v>
      </c>
      <c r="AB903">
        <v>1028</v>
      </c>
      <c r="AC903">
        <v>974</v>
      </c>
      <c r="AD903">
        <v>1009</v>
      </c>
      <c r="AE903">
        <v>958</v>
      </c>
      <c r="AF903">
        <v>0</v>
      </c>
      <c r="AG903">
        <v>10</v>
      </c>
      <c r="AH903">
        <v>0</v>
      </c>
      <c r="AI903">
        <v>0</v>
      </c>
      <c r="AJ903">
        <v>0</v>
      </c>
      <c r="AK903">
        <v>3</v>
      </c>
      <c r="AL903">
        <v>1</v>
      </c>
      <c r="AM903">
        <v>8</v>
      </c>
      <c r="AN903">
        <v>0</v>
      </c>
      <c r="AO903">
        <v>0</v>
      </c>
      <c r="AP903">
        <v>1122</v>
      </c>
      <c r="AQ903">
        <v>8</v>
      </c>
      <c r="AR903">
        <v>0</v>
      </c>
      <c r="AS903">
        <v>0</v>
      </c>
      <c r="AT903">
        <v>0</v>
      </c>
      <c r="AU903">
        <v>2</v>
      </c>
      <c r="AV903">
        <v>1</v>
      </c>
      <c r="AW903">
        <v>2</v>
      </c>
      <c r="AX903">
        <v>0</v>
      </c>
      <c r="AY903">
        <v>0</v>
      </c>
      <c r="AZ903">
        <v>0</v>
      </c>
      <c r="BA903">
        <v>1029</v>
      </c>
      <c r="BB903">
        <v>0</v>
      </c>
      <c r="BC903">
        <v>0</v>
      </c>
      <c r="BD903">
        <v>0</v>
      </c>
      <c r="BE903">
        <v>0</v>
      </c>
      <c r="BF903">
        <v>3</v>
      </c>
      <c r="BG903">
        <v>0</v>
      </c>
      <c r="BH903">
        <v>0</v>
      </c>
      <c r="BI903">
        <v>0</v>
      </c>
      <c r="BJ903">
        <v>0</v>
      </c>
      <c r="BK903">
        <v>5</v>
      </c>
      <c r="BL903">
        <v>1003</v>
      </c>
      <c r="BM903">
        <v>0</v>
      </c>
      <c r="BN903">
        <v>0</v>
      </c>
      <c r="BO903">
        <v>0</v>
      </c>
      <c r="BP903">
        <v>1</v>
      </c>
      <c r="BQ903">
        <v>1</v>
      </c>
      <c r="BR903">
        <v>0</v>
      </c>
      <c r="BS903">
        <v>0</v>
      </c>
      <c r="BT903">
        <v>0</v>
      </c>
      <c r="BU903">
        <v>2</v>
      </c>
      <c r="BV903">
        <v>0</v>
      </c>
      <c r="BW903">
        <v>974</v>
      </c>
      <c r="BX903">
        <v>0</v>
      </c>
      <c r="BY903">
        <v>1</v>
      </c>
      <c r="BZ903">
        <v>0</v>
      </c>
      <c r="CA903">
        <v>1</v>
      </c>
      <c r="CB903">
        <v>4</v>
      </c>
      <c r="CC903">
        <v>7</v>
      </c>
      <c r="CD903">
        <v>1</v>
      </c>
      <c r="CE903">
        <v>1</v>
      </c>
      <c r="CF903">
        <v>32</v>
      </c>
      <c r="CG903">
        <v>0</v>
      </c>
      <c r="CH903">
        <v>827</v>
      </c>
      <c r="CI903">
        <v>5</v>
      </c>
      <c r="CJ903">
        <v>3</v>
      </c>
      <c r="CK903">
        <v>13</v>
      </c>
      <c r="CL903">
        <v>3</v>
      </c>
      <c r="CM903">
        <v>7</v>
      </c>
      <c r="CN903">
        <v>3</v>
      </c>
      <c r="CO903">
        <v>2</v>
      </c>
      <c r="CP903">
        <v>0</v>
      </c>
      <c r="CQ903">
        <v>14</v>
      </c>
      <c r="CR903">
        <v>2</v>
      </c>
      <c r="CS903">
        <v>920</v>
      </c>
      <c r="CT903">
        <v>0</v>
      </c>
      <c r="CU903">
        <v>10</v>
      </c>
      <c r="CV903">
        <v>0</v>
      </c>
      <c r="CW903">
        <v>4</v>
      </c>
      <c r="CX903">
        <v>5</v>
      </c>
      <c r="CY903">
        <v>59</v>
      </c>
      <c r="CZ903">
        <v>2</v>
      </c>
      <c r="DA903">
        <v>6</v>
      </c>
      <c r="DB903">
        <v>0</v>
      </c>
      <c r="DC903">
        <v>0</v>
      </c>
      <c r="DD903">
        <v>943</v>
      </c>
      <c r="DE903">
        <v>1</v>
      </c>
      <c r="DF903">
        <v>8</v>
      </c>
      <c r="DG903">
        <v>2</v>
      </c>
      <c r="DH903">
        <v>0</v>
      </c>
      <c r="DI903">
        <v>18</v>
      </c>
      <c r="DJ903">
        <v>13</v>
      </c>
      <c r="DK903">
        <v>2</v>
      </c>
      <c r="DL903">
        <v>0</v>
      </c>
      <c r="DM903">
        <v>2</v>
      </c>
      <c r="DN903">
        <v>8</v>
      </c>
      <c r="DO903">
        <v>921</v>
      </c>
      <c r="DP903">
        <v>8</v>
      </c>
      <c r="DQ903">
        <v>8</v>
      </c>
      <c r="DR903">
        <v>4</v>
      </c>
      <c r="DS903">
        <v>6</v>
      </c>
      <c r="DT903">
        <v>6</v>
      </c>
      <c r="DU903">
        <v>11</v>
      </c>
      <c r="DV903">
        <v>2</v>
      </c>
      <c r="DW903">
        <v>0</v>
      </c>
      <c r="DX903">
        <v>7</v>
      </c>
      <c r="DY903">
        <v>13</v>
      </c>
      <c r="DZ903">
        <v>952</v>
      </c>
      <c r="EA903">
        <v>0.96489999999999998</v>
      </c>
      <c r="EB903">
        <v>0.96621490079700301</v>
      </c>
      <c r="EC903">
        <v>0.96419858555460602</v>
      </c>
      <c r="ED903">
        <v>0.96465281220375798</v>
      </c>
      <c r="EE903">
        <f>SUM(Table1[[#This Row],[ratio_0]:[ratio_9]])</f>
        <v>460</v>
      </c>
      <c r="EF903" s="1">
        <f>(Table1[[#This Row],[predicted_0]]-Table1[[#This Row],[actual_0]])/Table1[[#This Row],[actual_0]]</f>
        <v>6.1224489795918364E-3</v>
      </c>
      <c r="EG903" s="1">
        <f>(Table1[[#This Row],[predicted_1]]-Table1[[#This Row],[actual_1]])/Table1[[#This Row],[actual_1]]</f>
        <v>0</v>
      </c>
      <c r="EH903" s="1">
        <f>(Table1[[#This Row],[predicted_2]]-Table1[[#This Row],[actual_2]])/Table1[[#This Row],[actual_2]]</f>
        <v>0.10465116279069768</v>
      </c>
      <c r="EI903" s="1">
        <f>(Table1[[#This Row],[predicted_3]]-Table1[[#This Row],[actual_3]])/Table1[[#This Row],[actual_3]]</f>
        <v>4.5544554455445543E-2</v>
      </c>
      <c r="EJ903" s="1">
        <f>(Table1[[#This Row],[predicted_4]]-Table1[[#This Row],[actual_4]])/Table1[[#This Row],[actual_4]]</f>
        <v>2.5458248472505093E-2</v>
      </c>
      <c r="EK903" s="1">
        <f>(Table1[[#This Row],[predicted_5]]-Table1[[#This Row],[actual_5]])/Table1[[#This Row],[actual_5]]</f>
        <v>-6.838565022421525E-2</v>
      </c>
      <c r="EL903" s="1">
        <f>(Table1[[#This Row],[predicted_6]]-Table1[[#This Row],[actual_6]])/Table1[[#This Row],[actual_6]]</f>
        <v>-2.6096033402922755E-2</v>
      </c>
      <c r="EM903" s="1">
        <f>(Table1[[#This Row],[predicted_7]]-Table1[[#This Row],[actual_7]])/Table1[[#This Row],[actual_7]]</f>
        <v>-5.9338521400778207E-2</v>
      </c>
      <c r="EN903" s="1">
        <f>(Table1[[#This Row],[predicted_8]]-Table1[[#This Row],[actual_8]])/Table1[[#This Row],[actual_8]]</f>
        <v>-4.1067761806981521E-3</v>
      </c>
      <c r="EO903" s="1">
        <f>(Table1[[#This Row],[predicted_9]]-Table1[[#This Row],[actual_9]])/Table1[[#This Row],[actual_9]]</f>
        <v>-3.3696729435084241E-2</v>
      </c>
      <c r="EP903" s="1">
        <f>1+(Table1[[#This Row],[error_ratio_0]]-EF$2)</f>
        <v>1.0040816326530613</v>
      </c>
      <c r="EQ903" s="1">
        <f>1+(Table1[[#This Row],[error_ratio_1]]-EG$2)</f>
        <v>0.9982378854625551</v>
      </c>
      <c r="ER903" s="1">
        <f>1+(Table1[[#This Row],[error_ratio_2]]-EH$2)</f>
        <v>1.1094961240310077</v>
      </c>
      <c r="ES903" s="1">
        <f>1+(Table1[[#This Row],[error_ratio_3]]-EI$2)</f>
        <v>1.0356435643564357</v>
      </c>
      <c r="ET903" s="1">
        <f>1+(Table1[[#This Row],[error_ratio_4]]-EJ$2)</f>
        <v>1.0244399185336048</v>
      </c>
      <c r="EU903" s="1">
        <f>1+(Table1[[#This Row],[error_ratio_5]]-EK$2)</f>
        <v>0.93049327354260092</v>
      </c>
      <c r="EV903" s="1">
        <f>1+(Table1[[#This Row],[error_ratio_6]]-EL$2)</f>
        <v>0.98016701461377875</v>
      </c>
      <c r="EW903" s="1">
        <f>1+(Table1[[#This Row],[error_ratio_7]]-EM$2)</f>
        <v>0.93871595330739299</v>
      </c>
      <c r="EX903" s="1">
        <f>1+(Table1[[#This Row],[error_ratio_8]]-EN$2)</f>
        <v>0.99897330595482547</v>
      </c>
      <c r="EY903" s="1">
        <f>1+(Table1[[#This Row],[error_ratio_9]]-EO$2)</f>
        <v>0.97026759167492571</v>
      </c>
    </row>
    <row r="904" spans="1:155" x14ac:dyDescent="0.75">
      <c r="A904">
        <v>100</v>
      </c>
      <c r="B904">
        <v>10</v>
      </c>
      <c r="C904">
        <v>100</v>
      </c>
      <c r="D904">
        <v>100</v>
      </c>
      <c r="E904">
        <v>100</v>
      </c>
      <c r="F904">
        <v>10</v>
      </c>
      <c r="G904">
        <v>10</v>
      </c>
      <c r="H904">
        <v>10</v>
      </c>
      <c r="I904">
        <v>10</v>
      </c>
      <c r="J904">
        <v>10</v>
      </c>
      <c r="K904">
        <v>1022</v>
      </c>
      <c r="L904">
        <v>1135</v>
      </c>
      <c r="M904">
        <v>1167</v>
      </c>
      <c r="N904">
        <v>1106</v>
      </c>
      <c r="O904">
        <v>968</v>
      </c>
      <c r="P904">
        <v>906</v>
      </c>
      <c r="Q904">
        <v>867</v>
      </c>
      <c r="R904">
        <v>935</v>
      </c>
      <c r="S904">
        <v>872</v>
      </c>
      <c r="T904">
        <v>1022</v>
      </c>
      <c r="U904">
        <v>980</v>
      </c>
      <c r="V904">
        <v>1135</v>
      </c>
      <c r="W904">
        <v>1032</v>
      </c>
      <c r="X904">
        <v>1010</v>
      </c>
      <c r="Y904">
        <v>982</v>
      </c>
      <c r="Z904">
        <v>892</v>
      </c>
      <c r="AA904">
        <v>958</v>
      </c>
      <c r="AB904">
        <v>1028</v>
      </c>
      <c r="AC904">
        <v>974</v>
      </c>
      <c r="AD904">
        <v>1009</v>
      </c>
      <c r="AE904">
        <v>976</v>
      </c>
      <c r="AF904">
        <v>0</v>
      </c>
      <c r="AG904">
        <v>2</v>
      </c>
      <c r="AH904">
        <v>0</v>
      </c>
      <c r="AI904">
        <v>0</v>
      </c>
      <c r="AJ904">
        <v>0</v>
      </c>
      <c r="AK904">
        <v>0</v>
      </c>
      <c r="AL904">
        <v>1</v>
      </c>
      <c r="AM904">
        <v>1</v>
      </c>
      <c r="AN904">
        <v>0</v>
      </c>
      <c r="AO904">
        <v>0</v>
      </c>
      <c r="AP904">
        <v>1123</v>
      </c>
      <c r="AQ904">
        <v>3</v>
      </c>
      <c r="AR904">
        <v>4</v>
      </c>
      <c r="AS904">
        <v>0</v>
      </c>
      <c r="AT904">
        <v>1</v>
      </c>
      <c r="AU904">
        <v>0</v>
      </c>
      <c r="AV904">
        <v>1</v>
      </c>
      <c r="AW904">
        <v>3</v>
      </c>
      <c r="AX904">
        <v>0</v>
      </c>
      <c r="AY904">
        <v>1</v>
      </c>
      <c r="AZ904">
        <v>1</v>
      </c>
      <c r="BA904">
        <v>1026</v>
      </c>
      <c r="BB904">
        <v>3</v>
      </c>
      <c r="BC904">
        <v>0</v>
      </c>
      <c r="BD904">
        <v>0</v>
      </c>
      <c r="BE904">
        <v>0</v>
      </c>
      <c r="BF904">
        <v>1</v>
      </c>
      <c r="BG904">
        <v>0</v>
      </c>
      <c r="BH904">
        <v>0</v>
      </c>
      <c r="BI904">
        <v>0</v>
      </c>
      <c r="BJ904">
        <v>0</v>
      </c>
      <c r="BK904">
        <v>3</v>
      </c>
      <c r="BL904">
        <v>1003</v>
      </c>
      <c r="BM904">
        <v>0</v>
      </c>
      <c r="BN904">
        <v>4</v>
      </c>
      <c r="BO904">
        <v>0</v>
      </c>
      <c r="BP904">
        <v>0</v>
      </c>
      <c r="BQ904">
        <v>0</v>
      </c>
      <c r="BR904">
        <v>0</v>
      </c>
      <c r="BS904">
        <v>0</v>
      </c>
      <c r="BT904">
        <v>0</v>
      </c>
      <c r="BU904">
        <v>11</v>
      </c>
      <c r="BV904">
        <v>0</v>
      </c>
      <c r="BW904">
        <v>944</v>
      </c>
      <c r="BX904">
        <v>0</v>
      </c>
      <c r="BY904">
        <v>0</v>
      </c>
      <c r="BZ904">
        <v>0</v>
      </c>
      <c r="CA904">
        <v>0</v>
      </c>
      <c r="CB904">
        <v>27</v>
      </c>
      <c r="CC904">
        <v>5</v>
      </c>
      <c r="CD904">
        <v>0</v>
      </c>
      <c r="CE904">
        <v>4</v>
      </c>
      <c r="CF904">
        <v>23</v>
      </c>
      <c r="CG904">
        <v>0</v>
      </c>
      <c r="CH904">
        <v>857</v>
      </c>
      <c r="CI904">
        <v>1</v>
      </c>
      <c r="CJ904">
        <v>1</v>
      </c>
      <c r="CK904">
        <v>0</v>
      </c>
      <c r="CL904">
        <v>1</v>
      </c>
      <c r="CM904">
        <v>23</v>
      </c>
      <c r="CN904">
        <v>6</v>
      </c>
      <c r="CO904">
        <v>27</v>
      </c>
      <c r="CP904">
        <v>0</v>
      </c>
      <c r="CQ904">
        <v>17</v>
      </c>
      <c r="CR904">
        <v>20</v>
      </c>
      <c r="CS904">
        <v>862</v>
      </c>
      <c r="CT904">
        <v>0</v>
      </c>
      <c r="CU904">
        <v>3</v>
      </c>
      <c r="CV904">
        <v>0</v>
      </c>
      <c r="CW904">
        <v>4</v>
      </c>
      <c r="CX904">
        <v>1</v>
      </c>
      <c r="CY904">
        <v>61</v>
      </c>
      <c r="CZ904">
        <v>13</v>
      </c>
      <c r="DA904">
        <v>0</v>
      </c>
      <c r="DB904">
        <v>0</v>
      </c>
      <c r="DC904">
        <v>0</v>
      </c>
      <c r="DD904">
        <v>927</v>
      </c>
      <c r="DE904">
        <v>0</v>
      </c>
      <c r="DF904">
        <v>22</v>
      </c>
      <c r="DG904">
        <v>6</v>
      </c>
      <c r="DH904">
        <v>1</v>
      </c>
      <c r="DI904">
        <v>27</v>
      </c>
      <c r="DJ904">
        <v>47</v>
      </c>
      <c r="DK904">
        <v>5</v>
      </c>
      <c r="DL904">
        <v>10</v>
      </c>
      <c r="DM904">
        <v>4</v>
      </c>
      <c r="DN904">
        <v>1</v>
      </c>
      <c r="DO904">
        <v>865</v>
      </c>
      <c r="DP904">
        <v>8</v>
      </c>
      <c r="DQ904">
        <v>7</v>
      </c>
      <c r="DR904">
        <v>3</v>
      </c>
      <c r="DS904">
        <v>3</v>
      </c>
      <c r="DT904">
        <v>13</v>
      </c>
      <c r="DU904">
        <v>2</v>
      </c>
      <c r="DV904">
        <v>14</v>
      </c>
      <c r="DW904">
        <v>0</v>
      </c>
      <c r="DX904">
        <v>3</v>
      </c>
      <c r="DY904">
        <v>0</v>
      </c>
      <c r="DZ904">
        <v>964</v>
      </c>
      <c r="EA904">
        <v>0.95469999999999999</v>
      </c>
      <c r="EB904">
        <v>0.95724870886291302</v>
      </c>
      <c r="EC904">
        <v>0.95397007688087299</v>
      </c>
      <c r="ED904">
        <v>0.95426831712926596</v>
      </c>
      <c r="EE904">
        <f>SUM(Table1[[#This Row],[ratio_0]:[ratio_9]])</f>
        <v>460</v>
      </c>
      <c r="EF904" s="1">
        <f>(Table1[[#This Row],[predicted_0]]-Table1[[#This Row],[actual_0]])/Table1[[#This Row],[actual_0]]</f>
        <v>4.2857142857142858E-2</v>
      </c>
      <c r="EG904" s="1">
        <f>(Table1[[#This Row],[predicted_1]]-Table1[[#This Row],[actual_1]])/Table1[[#This Row],[actual_1]]</f>
        <v>0</v>
      </c>
      <c r="EH904" s="1">
        <f>(Table1[[#This Row],[predicted_2]]-Table1[[#This Row],[actual_2]])/Table1[[#This Row],[actual_2]]</f>
        <v>0.1308139534883721</v>
      </c>
      <c r="EI904" s="1">
        <f>(Table1[[#This Row],[predicted_3]]-Table1[[#This Row],[actual_3]])/Table1[[#This Row],[actual_3]]</f>
        <v>9.5049504950495051E-2</v>
      </c>
      <c r="EJ904" s="1">
        <f>(Table1[[#This Row],[predicted_4]]-Table1[[#This Row],[actual_4]])/Table1[[#This Row],[actual_4]]</f>
        <v>-1.4256619144602852E-2</v>
      </c>
      <c r="EK904" s="1">
        <f>(Table1[[#This Row],[predicted_5]]-Table1[[#This Row],[actual_5]])/Table1[[#This Row],[actual_5]]</f>
        <v>1.5695067264573991E-2</v>
      </c>
      <c r="EL904" s="1">
        <f>(Table1[[#This Row],[predicted_6]]-Table1[[#This Row],[actual_6]])/Table1[[#This Row],[actual_6]]</f>
        <v>-9.4989561586638835E-2</v>
      </c>
      <c r="EM904" s="1">
        <f>(Table1[[#This Row],[predicted_7]]-Table1[[#This Row],[actual_7]])/Table1[[#This Row],[actual_7]]</f>
        <v>-9.0466926070038908E-2</v>
      </c>
      <c r="EN904" s="1">
        <f>(Table1[[#This Row],[predicted_8]]-Table1[[#This Row],[actual_8]])/Table1[[#This Row],[actual_8]]</f>
        <v>-0.10472279260780287</v>
      </c>
      <c r="EO904" s="1">
        <f>(Table1[[#This Row],[predicted_9]]-Table1[[#This Row],[actual_9]])/Table1[[#This Row],[actual_9]]</f>
        <v>1.288404360753221E-2</v>
      </c>
      <c r="EP904" s="1">
        <f>1+(Table1[[#This Row],[error_ratio_0]]-EF$2)</f>
        <v>1.0408163265306123</v>
      </c>
      <c r="EQ904" s="1">
        <f>1+(Table1[[#This Row],[error_ratio_1]]-EG$2)</f>
        <v>0.9982378854625551</v>
      </c>
      <c r="ER904" s="1">
        <f>1+(Table1[[#This Row],[error_ratio_2]]-EH$2)</f>
        <v>1.1356589147286822</v>
      </c>
      <c r="ES904" s="1">
        <f>1+(Table1[[#This Row],[error_ratio_3]]-EI$2)</f>
        <v>1.0851485148514852</v>
      </c>
      <c r="ET904" s="1">
        <f>1+(Table1[[#This Row],[error_ratio_4]]-EJ$2)</f>
        <v>0.98472505091649698</v>
      </c>
      <c r="EU904" s="1">
        <f>1+(Table1[[#This Row],[error_ratio_5]]-EK$2)</f>
        <v>1.0145739910313902</v>
      </c>
      <c r="EV904" s="1">
        <f>1+(Table1[[#This Row],[error_ratio_6]]-EL$2)</f>
        <v>0.91127348643006267</v>
      </c>
      <c r="EW904" s="1">
        <f>1+(Table1[[#This Row],[error_ratio_7]]-EM$2)</f>
        <v>0.90758754863813229</v>
      </c>
      <c r="EX904" s="1">
        <f>1+(Table1[[#This Row],[error_ratio_8]]-EN$2)</f>
        <v>0.89835728952772076</v>
      </c>
      <c r="EY904" s="1">
        <f>1+(Table1[[#This Row],[error_ratio_9]]-EO$2)</f>
        <v>1.0168483647175421</v>
      </c>
    </row>
    <row r="905" spans="1:155" x14ac:dyDescent="0.75">
      <c r="A905">
        <v>10</v>
      </c>
      <c r="B905">
        <v>10</v>
      </c>
      <c r="C905">
        <v>100</v>
      </c>
      <c r="D905">
        <v>100</v>
      </c>
      <c r="E905">
        <v>100</v>
      </c>
      <c r="F905">
        <v>10</v>
      </c>
      <c r="G905">
        <v>10</v>
      </c>
      <c r="H905">
        <v>10</v>
      </c>
      <c r="I905">
        <v>10</v>
      </c>
      <c r="J905">
        <v>10</v>
      </c>
      <c r="K905">
        <v>977</v>
      </c>
      <c r="L905">
        <v>1124</v>
      </c>
      <c r="M905">
        <v>1096</v>
      </c>
      <c r="N905">
        <v>1082</v>
      </c>
      <c r="O905">
        <v>1003</v>
      </c>
      <c r="P905">
        <v>915</v>
      </c>
      <c r="Q905">
        <v>908</v>
      </c>
      <c r="R905">
        <v>939</v>
      </c>
      <c r="S905">
        <v>871</v>
      </c>
      <c r="T905">
        <v>1085</v>
      </c>
      <c r="U905">
        <v>980</v>
      </c>
      <c r="V905">
        <v>1135</v>
      </c>
      <c r="W905">
        <v>1032</v>
      </c>
      <c r="X905">
        <v>1010</v>
      </c>
      <c r="Y905">
        <v>982</v>
      </c>
      <c r="Z905">
        <v>892</v>
      </c>
      <c r="AA905">
        <v>958</v>
      </c>
      <c r="AB905">
        <v>1028</v>
      </c>
      <c r="AC905">
        <v>974</v>
      </c>
      <c r="AD905">
        <v>1009</v>
      </c>
      <c r="AE905">
        <v>957</v>
      </c>
      <c r="AF905">
        <v>0</v>
      </c>
      <c r="AG905">
        <v>8</v>
      </c>
      <c r="AH905">
        <v>2</v>
      </c>
      <c r="AI905">
        <v>1</v>
      </c>
      <c r="AJ905">
        <v>0</v>
      </c>
      <c r="AK905">
        <v>0</v>
      </c>
      <c r="AL905">
        <v>2</v>
      </c>
      <c r="AM905">
        <v>3</v>
      </c>
      <c r="AN905">
        <v>7</v>
      </c>
      <c r="AO905">
        <v>0</v>
      </c>
      <c r="AP905">
        <v>1116</v>
      </c>
      <c r="AQ905">
        <v>6</v>
      </c>
      <c r="AR905">
        <v>2</v>
      </c>
      <c r="AS905">
        <v>0</v>
      </c>
      <c r="AT905">
        <v>2</v>
      </c>
      <c r="AU905">
        <v>2</v>
      </c>
      <c r="AV905">
        <v>0</v>
      </c>
      <c r="AW905">
        <v>5</v>
      </c>
      <c r="AX905">
        <v>2</v>
      </c>
      <c r="AY905">
        <v>2</v>
      </c>
      <c r="AZ905">
        <v>0</v>
      </c>
      <c r="BA905">
        <v>1026</v>
      </c>
      <c r="BB905">
        <v>2</v>
      </c>
      <c r="BC905">
        <v>0</v>
      </c>
      <c r="BD905">
        <v>0</v>
      </c>
      <c r="BE905">
        <v>0</v>
      </c>
      <c r="BF905">
        <v>2</v>
      </c>
      <c r="BG905">
        <v>0</v>
      </c>
      <c r="BH905">
        <v>0</v>
      </c>
      <c r="BI905">
        <v>0</v>
      </c>
      <c r="BJ905">
        <v>0</v>
      </c>
      <c r="BK905">
        <v>2</v>
      </c>
      <c r="BL905">
        <v>994</v>
      </c>
      <c r="BM905">
        <v>0</v>
      </c>
      <c r="BN905">
        <v>9</v>
      </c>
      <c r="BO905">
        <v>0</v>
      </c>
      <c r="BP905">
        <v>2</v>
      </c>
      <c r="BQ905">
        <v>0</v>
      </c>
      <c r="BR905">
        <v>3</v>
      </c>
      <c r="BS905">
        <v>0</v>
      </c>
      <c r="BT905">
        <v>0</v>
      </c>
      <c r="BU905">
        <v>1</v>
      </c>
      <c r="BV905">
        <v>0</v>
      </c>
      <c r="BW905">
        <v>976</v>
      </c>
      <c r="BX905">
        <v>0</v>
      </c>
      <c r="BY905">
        <v>0</v>
      </c>
      <c r="BZ905">
        <v>0</v>
      </c>
      <c r="CA905">
        <v>0</v>
      </c>
      <c r="CB905">
        <v>5</v>
      </c>
      <c r="CC905">
        <v>3</v>
      </c>
      <c r="CD905">
        <v>0</v>
      </c>
      <c r="CE905">
        <v>2</v>
      </c>
      <c r="CF905">
        <v>15</v>
      </c>
      <c r="CG905">
        <v>0</v>
      </c>
      <c r="CH905">
        <v>854</v>
      </c>
      <c r="CI905">
        <v>0</v>
      </c>
      <c r="CJ905">
        <v>6</v>
      </c>
      <c r="CK905">
        <v>5</v>
      </c>
      <c r="CL905">
        <v>7</v>
      </c>
      <c r="CM905">
        <v>8</v>
      </c>
      <c r="CN905">
        <v>4</v>
      </c>
      <c r="CO905">
        <v>2</v>
      </c>
      <c r="CP905">
        <v>1</v>
      </c>
      <c r="CQ905">
        <v>9</v>
      </c>
      <c r="CR905">
        <v>28</v>
      </c>
      <c r="CS905">
        <v>903</v>
      </c>
      <c r="CT905">
        <v>0</v>
      </c>
      <c r="CU905">
        <v>3</v>
      </c>
      <c r="CV905">
        <v>0</v>
      </c>
      <c r="CW905">
        <v>1</v>
      </c>
      <c r="CX905">
        <v>3</v>
      </c>
      <c r="CY905">
        <v>33</v>
      </c>
      <c r="CZ905">
        <v>14</v>
      </c>
      <c r="DA905">
        <v>0</v>
      </c>
      <c r="DB905">
        <v>0</v>
      </c>
      <c r="DC905">
        <v>0</v>
      </c>
      <c r="DD905">
        <v>915</v>
      </c>
      <c r="DE905">
        <v>2</v>
      </c>
      <c r="DF905">
        <v>60</v>
      </c>
      <c r="DG905">
        <v>5</v>
      </c>
      <c r="DH905">
        <v>0</v>
      </c>
      <c r="DI905">
        <v>14</v>
      </c>
      <c r="DJ905">
        <v>49</v>
      </c>
      <c r="DK905">
        <v>3</v>
      </c>
      <c r="DL905">
        <v>14</v>
      </c>
      <c r="DM905">
        <v>3</v>
      </c>
      <c r="DN905">
        <v>5</v>
      </c>
      <c r="DO905">
        <v>852</v>
      </c>
      <c r="DP905">
        <v>29</v>
      </c>
      <c r="DQ905">
        <v>1</v>
      </c>
      <c r="DR905">
        <v>1</v>
      </c>
      <c r="DS905">
        <v>2</v>
      </c>
      <c r="DT905">
        <v>3</v>
      </c>
      <c r="DU905">
        <v>14</v>
      </c>
      <c r="DV905">
        <v>8</v>
      </c>
      <c r="DW905">
        <v>0</v>
      </c>
      <c r="DX905">
        <v>7</v>
      </c>
      <c r="DY905">
        <v>1</v>
      </c>
      <c r="DZ905">
        <v>972</v>
      </c>
      <c r="EA905">
        <v>0.95650000000000002</v>
      </c>
      <c r="EB905">
        <v>0.95765991566816699</v>
      </c>
      <c r="EC905">
        <v>0.956016401374435</v>
      </c>
      <c r="ED905">
        <v>0.95593767434874599</v>
      </c>
      <c r="EE905">
        <f>SUM(Table1[[#This Row],[ratio_0]:[ratio_9]])</f>
        <v>370</v>
      </c>
      <c r="EF905" s="1">
        <f>(Table1[[#This Row],[predicted_0]]-Table1[[#This Row],[actual_0]])/Table1[[#This Row],[actual_0]]</f>
        <v>-3.0612244897959182E-3</v>
      </c>
      <c r="EG905" s="1">
        <f>(Table1[[#This Row],[predicted_1]]-Table1[[#This Row],[actual_1]])/Table1[[#This Row],[actual_1]]</f>
        <v>-9.6916299559471359E-3</v>
      </c>
      <c r="EH905" s="1">
        <f>(Table1[[#This Row],[predicted_2]]-Table1[[#This Row],[actual_2]])/Table1[[#This Row],[actual_2]]</f>
        <v>6.2015503875968991E-2</v>
      </c>
      <c r="EI905" s="1">
        <f>(Table1[[#This Row],[predicted_3]]-Table1[[#This Row],[actual_3]])/Table1[[#This Row],[actual_3]]</f>
        <v>7.1287128712871281E-2</v>
      </c>
      <c r="EJ905" s="1">
        <f>(Table1[[#This Row],[predicted_4]]-Table1[[#This Row],[actual_4]])/Table1[[#This Row],[actual_4]]</f>
        <v>2.1384928716904276E-2</v>
      </c>
      <c r="EK905" s="1">
        <f>(Table1[[#This Row],[predicted_5]]-Table1[[#This Row],[actual_5]])/Table1[[#This Row],[actual_5]]</f>
        <v>2.5784753363228701E-2</v>
      </c>
      <c r="EL905" s="1">
        <f>(Table1[[#This Row],[predicted_6]]-Table1[[#This Row],[actual_6]])/Table1[[#This Row],[actual_6]]</f>
        <v>-5.2192066805845511E-2</v>
      </c>
      <c r="EM905" s="1">
        <f>(Table1[[#This Row],[predicted_7]]-Table1[[#This Row],[actual_7]])/Table1[[#This Row],[actual_7]]</f>
        <v>-8.6575875486381321E-2</v>
      </c>
      <c r="EN905" s="1">
        <f>(Table1[[#This Row],[predicted_8]]-Table1[[#This Row],[actual_8]])/Table1[[#This Row],[actual_8]]</f>
        <v>-0.10574948665297741</v>
      </c>
      <c r="EO905" s="1">
        <f>(Table1[[#This Row],[predicted_9]]-Table1[[#This Row],[actual_9]])/Table1[[#This Row],[actual_9]]</f>
        <v>7.5322101090188304E-2</v>
      </c>
      <c r="EP905" s="1">
        <f>1+(Table1[[#This Row],[error_ratio_0]]-EF$2)</f>
        <v>0.99489795918367352</v>
      </c>
      <c r="EQ905" s="1">
        <f>1+(Table1[[#This Row],[error_ratio_1]]-EG$2)</f>
        <v>0.98854625550660791</v>
      </c>
      <c r="ER905" s="1">
        <f>1+(Table1[[#This Row],[error_ratio_2]]-EH$2)</f>
        <v>1.066860465116279</v>
      </c>
      <c r="ES905" s="1">
        <f>1+(Table1[[#This Row],[error_ratio_3]]-EI$2)</f>
        <v>1.0613861386138614</v>
      </c>
      <c r="ET905" s="1">
        <f>1+(Table1[[#This Row],[error_ratio_4]]-EJ$2)</f>
        <v>1.0203665987780042</v>
      </c>
      <c r="EU905" s="1">
        <f>1+(Table1[[#This Row],[error_ratio_5]]-EK$2)</f>
        <v>1.0246636771300448</v>
      </c>
      <c r="EV905" s="1">
        <f>1+(Table1[[#This Row],[error_ratio_6]]-EL$2)</f>
        <v>0.95407098121085598</v>
      </c>
      <c r="EW905" s="1">
        <f>1+(Table1[[#This Row],[error_ratio_7]]-EM$2)</f>
        <v>0.91147859922178986</v>
      </c>
      <c r="EX905" s="1">
        <f>1+(Table1[[#This Row],[error_ratio_8]]-EN$2)</f>
        <v>0.89733059548254623</v>
      </c>
      <c r="EY905" s="1">
        <f>1+(Table1[[#This Row],[error_ratio_9]]-EO$2)</f>
        <v>1.0792864222001981</v>
      </c>
    </row>
    <row r="906" spans="1:155" x14ac:dyDescent="0.75">
      <c r="A906">
        <v>100</v>
      </c>
      <c r="B906">
        <v>100</v>
      </c>
      <c r="C906">
        <v>10</v>
      </c>
      <c r="D906">
        <v>100</v>
      </c>
      <c r="E906">
        <v>100</v>
      </c>
      <c r="F906">
        <v>10</v>
      </c>
      <c r="G906">
        <v>10</v>
      </c>
      <c r="H906">
        <v>10</v>
      </c>
      <c r="I906">
        <v>10</v>
      </c>
      <c r="J906">
        <v>10</v>
      </c>
      <c r="K906">
        <v>1055</v>
      </c>
      <c r="L906">
        <v>1204</v>
      </c>
      <c r="M906">
        <v>1032</v>
      </c>
      <c r="N906">
        <v>1064</v>
      </c>
      <c r="O906">
        <v>1152</v>
      </c>
      <c r="P906">
        <v>893</v>
      </c>
      <c r="Q906">
        <v>930</v>
      </c>
      <c r="R906">
        <v>953</v>
      </c>
      <c r="S906">
        <v>807</v>
      </c>
      <c r="T906">
        <v>910</v>
      </c>
      <c r="U906">
        <v>980</v>
      </c>
      <c r="V906">
        <v>1135</v>
      </c>
      <c r="W906">
        <v>1032</v>
      </c>
      <c r="X906">
        <v>1010</v>
      </c>
      <c r="Y906">
        <v>982</v>
      </c>
      <c r="Z906">
        <v>892</v>
      </c>
      <c r="AA906">
        <v>958</v>
      </c>
      <c r="AB906">
        <v>1028</v>
      </c>
      <c r="AC906">
        <v>974</v>
      </c>
      <c r="AD906">
        <v>1009</v>
      </c>
      <c r="AE906">
        <v>978</v>
      </c>
      <c r="AF906">
        <v>0</v>
      </c>
      <c r="AG906">
        <v>0</v>
      </c>
      <c r="AH906">
        <v>0</v>
      </c>
      <c r="AI906">
        <v>1</v>
      </c>
      <c r="AJ906">
        <v>0</v>
      </c>
      <c r="AK906">
        <v>0</v>
      </c>
      <c r="AL906">
        <v>1</v>
      </c>
      <c r="AM906">
        <v>0</v>
      </c>
      <c r="AN906">
        <v>0</v>
      </c>
      <c r="AO906">
        <v>0</v>
      </c>
      <c r="AP906">
        <v>1130</v>
      </c>
      <c r="AQ906">
        <v>1</v>
      </c>
      <c r="AR906">
        <v>0</v>
      </c>
      <c r="AS906">
        <v>1</v>
      </c>
      <c r="AT906">
        <v>1</v>
      </c>
      <c r="AU906">
        <v>2</v>
      </c>
      <c r="AV906">
        <v>0</v>
      </c>
      <c r="AW906">
        <v>0</v>
      </c>
      <c r="AX906">
        <v>0</v>
      </c>
      <c r="AY906">
        <v>6</v>
      </c>
      <c r="AZ906">
        <v>30</v>
      </c>
      <c r="BA906">
        <v>976</v>
      </c>
      <c r="BB906">
        <v>7</v>
      </c>
      <c r="BC906">
        <v>4</v>
      </c>
      <c r="BD906">
        <v>0</v>
      </c>
      <c r="BE906">
        <v>2</v>
      </c>
      <c r="BF906">
        <v>7</v>
      </c>
      <c r="BG906">
        <v>0</v>
      </c>
      <c r="BH906">
        <v>0</v>
      </c>
      <c r="BI906">
        <v>1</v>
      </c>
      <c r="BJ906">
        <v>0</v>
      </c>
      <c r="BK906">
        <v>2</v>
      </c>
      <c r="BL906">
        <v>998</v>
      </c>
      <c r="BM906">
        <v>0</v>
      </c>
      <c r="BN906">
        <v>3</v>
      </c>
      <c r="BO906">
        <v>0</v>
      </c>
      <c r="BP906">
        <v>5</v>
      </c>
      <c r="BQ906">
        <v>0</v>
      </c>
      <c r="BR906">
        <v>1</v>
      </c>
      <c r="BS906">
        <v>0</v>
      </c>
      <c r="BT906">
        <v>0</v>
      </c>
      <c r="BU906">
        <v>1</v>
      </c>
      <c r="BV906">
        <v>0</v>
      </c>
      <c r="BW906">
        <v>980</v>
      </c>
      <c r="BX906">
        <v>0</v>
      </c>
      <c r="BY906">
        <v>1</v>
      </c>
      <c r="BZ906">
        <v>0</v>
      </c>
      <c r="CA906">
        <v>0</v>
      </c>
      <c r="CB906">
        <v>0</v>
      </c>
      <c r="CC906">
        <v>5</v>
      </c>
      <c r="CD906">
        <v>1</v>
      </c>
      <c r="CE906">
        <v>1</v>
      </c>
      <c r="CF906">
        <v>20</v>
      </c>
      <c r="CG906">
        <v>1</v>
      </c>
      <c r="CH906">
        <v>855</v>
      </c>
      <c r="CI906">
        <v>4</v>
      </c>
      <c r="CJ906">
        <v>1</v>
      </c>
      <c r="CK906">
        <v>1</v>
      </c>
      <c r="CL906">
        <v>3</v>
      </c>
      <c r="CM906">
        <v>20</v>
      </c>
      <c r="CN906">
        <v>6</v>
      </c>
      <c r="CO906">
        <v>1</v>
      </c>
      <c r="CP906">
        <v>0</v>
      </c>
      <c r="CQ906">
        <v>15</v>
      </c>
      <c r="CR906">
        <v>8</v>
      </c>
      <c r="CS906">
        <v>908</v>
      </c>
      <c r="CT906">
        <v>0</v>
      </c>
      <c r="CU906">
        <v>0</v>
      </c>
      <c r="CV906">
        <v>0</v>
      </c>
      <c r="CW906">
        <v>2</v>
      </c>
      <c r="CX906">
        <v>22</v>
      </c>
      <c r="CY906">
        <v>38</v>
      </c>
      <c r="CZ906">
        <v>1</v>
      </c>
      <c r="DA906">
        <v>29</v>
      </c>
      <c r="DB906">
        <v>0</v>
      </c>
      <c r="DC906">
        <v>0</v>
      </c>
      <c r="DD906">
        <v>927</v>
      </c>
      <c r="DE906">
        <v>0</v>
      </c>
      <c r="DF906">
        <v>9</v>
      </c>
      <c r="DG906">
        <v>39</v>
      </c>
      <c r="DH906">
        <v>11</v>
      </c>
      <c r="DI906">
        <v>10</v>
      </c>
      <c r="DJ906">
        <v>25</v>
      </c>
      <c r="DK906">
        <v>30</v>
      </c>
      <c r="DL906">
        <v>18</v>
      </c>
      <c r="DM906">
        <v>12</v>
      </c>
      <c r="DN906">
        <v>7</v>
      </c>
      <c r="DO906">
        <v>806</v>
      </c>
      <c r="DP906">
        <v>16</v>
      </c>
      <c r="DQ906">
        <v>4</v>
      </c>
      <c r="DR906">
        <v>4</v>
      </c>
      <c r="DS906">
        <v>2</v>
      </c>
      <c r="DT906">
        <v>13</v>
      </c>
      <c r="DU906">
        <v>91</v>
      </c>
      <c r="DV906">
        <v>8</v>
      </c>
      <c r="DW906">
        <v>1</v>
      </c>
      <c r="DX906">
        <v>5</v>
      </c>
      <c r="DY906">
        <v>0</v>
      </c>
      <c r="DZ906">
        <v>881</v>
      </c>
      <c r="EA906">
        <v>0.94389999999999996</v>
      </c>
      <c r="EB906">
        <v>0.94733545661188101</v>
      </c>
      <c r="EC906">
        <v>0.94341086936611296</v>
      </c>
      <c r="ED906">
        <v>0.94330297807828001</v>
      </c>
      <c r="EE906">
        <f>SUM(Table1[[#This Row],[ratio_0]:[ratio_9]])</f>
        <v>460</v>
      </c>
      <c r="EF906" s="1">
        <f>(Table1[[#This Row],[predicted_0]]-Table1[[#This Row],[actual_0]])/Table1[[#This Row],[actual_0]]</f>
        <v>7.6530612244897961E-2</v>
      </c>
      <c r="EG906" s="1">
        <f>(Table1[[#This Row],[predicted_1]]-Table1[[#This Row],[actual_1]])/Table1[[#This Row],[actual_1]]</f>
        <v>6.0792951541850222E-2</v>
      </c>
      <c r="EH906" s="1">
        <f>(Table1[[#This Row],[predicted_2]]-Table1[[#This Row],[actual_2]])/Table1[[#This Row],[actual_2]]</f>
        <v>0</v>
      </c>
      <c r="EI906" s="1">
        <f>(Table1[[#This Row],[predicted_3]]-Table1[[#This Row],[actual_3]])/Table1[[#This Row],[actual_3]]</f>
        <v>5.3465346534653464E-2</v>
      </c>
      <c r="EJ906" s="1">
        <f>(Table1[[#This Row],[predicted_4]]-Table1[[#This Row],[actual_4]])/Table1[[#This Row],[actual_4]]</f>
        <v>0.17311608961303462</v>
      </c>
      <c r="EK906" s="1">
        <f>(Table1[[#This Row],[predicted_5]]-Table1[[#This Row],[actual_5]])/Table1[[#This Row],[actual_5]]</f>
        <v>1.1210762331838565E-3</v>
      </c>
      <c r="EL906" s="1">
        <f>(Table1[[#This Row],[predicted_6]]-Table1[[#This Row],[actual_6]])/Table1[[#This Row],[actual_6]]</f>
        <v>-2.9227557411273485E-2</v>
      </c>
      <c r="EM906" s="1">
        <f>(Table1[[#This Row],[predicted_7]]-Table1[[#This Row],[actual_7]])/Table1[[#This Row],[actual_7]]</f>
        <v>-7.2957198443579771E-2</v>
      </c>
      <c r="EN906" s="1">
        <f>(Table1[[#This Row],[predicted_8]]-Table1[[#This Row],[actual_8]])/Table1[[#This Row],[actual_8]]</f>
        <v>-0.17145790554414783</v>
      </c>
      <c r="EO906" s="1">
        <f>(Table1[[#This Row],[predicted_9]]-Table1[[#This Row],[actual_9]])/Table1[[#This Row],[actual_9]]</f>
        <v>-9.8116947472745297E-2</v>
      </c>
      <c r="EP906" s="1">
        <f>1+(Table1[[#This Row],[error_ratio_0]]-EF$2)</f>
        <v>1.0744897959183675</v>
      </c>
      <c r="EQ906" s="1">
        <f>1+(Table1[[#This Row],[error_ratio_1]]-EG$2)</f>
        <v>1.0590308370044053</v>
      </c>
      <c r="ER906" s="1">
        <f>1+(Table1[[#This Row],[error_ratio_2]]-EH$2)</f>
        <v>1.0048449612403101</v>
      </c>
      <c r="ES906" s="1">
        <f>1+(Table1[[#This Row],[error_ratio_3]]-EI$2)</f>
        <v>1.0435643564356436</v>
      </c>
      <c r="ET906" s="1">
        <f>1+(Table1[[#This Row],[error_ratio_4]]-EJ$2)</f>
        <v>1.1720977596741344</v>
      </c>
      <c r="EU906" s="1">
        <f>1+(Table1[[#This Row],[error_ratio_5]]-EK$2)</f>
        <v>1</v>
      </c>
      <c r="EV906" s="1">
        <f>1+(Table1[[#This Row],[error_ratio_6]]-EL$2)</f>
        <v>0.97703549060542794</v>
      </c>
      <c r="EW906" s="1">
        <f>1+(Table1[[#This Row],[error_ratio_7]]-EM$2)</f>
        <v>0.92509727626459148</v>
      </c>
      <c r="EX906" s="1">
        <f>1+(Table1[[#This Row],[error_ratio_8]]-EN$2)</f>
        <v>0.83162217659137583</v>
      </c>
      <c r="EY906" s="1">
        <f>1+(Table1[[#This Row],[error_ratio_9]]-EO$2)</f>
        <v>0.90584737363726464</v>
      </c>
    </row>
    <row r="907" spans="1:155" x14ac:dyDescent="0.75">
      <c r="A907">
        <v>10</v>
      </c>
      <c r="B907">
        <v>100</v>
      </c>
      <c r="C907">
        <v>10</v>
      </c>
      <c r="D907">
        <v>100</v>
      </c>
      <c r="E907">
        <v>100</v>
      </c>
      <c r="F907">
        <v>10</v>
      </c>
      <c r="G907">
        <v>10</v>
      </c>
      <c r="H907">
        <v>10</v>
      </c>
      <c r="I907">
        <v>10</v>
      </c>
      <c r="J907">
        <v>10</v>
      </c>
      <c r="K907">
        <v>984</v>
      </c>
      <c r="L907">
        <v>1244</v>
      </c>
      <c r="M907">
        <v>969</v>
      </c>
      <c r="N907">
        <v>1260</v>
      </c>
      <c r="O907">
        <v>1038</v>
      </c>
      <c r="P907">
        <v>651</v>
      </c>
      <c r="Q907">
        <v>938</v>
      </c>
      <c r="R907">
        <v>951</v>
      </c>
      <c r="S907">
        <v>1011</v>
      </c>
      <c r="T907">
        <v>954</v>
      </c>
      <c r="U907">
        <v>980</v>
      </c>
      <c r="V907">
        <v>1135</v>
      </c>
      <c r="W907">
        <v>1032</v>
      </c>
      <c r="X907">
        <v>1010</v>
      </c>
      <c r="Y907">
        <v>982</v>
      </c>
      <c r="Z907">
        <v>892</v>
      </c>
      <c r="AA907">
        <v>958</v>
      </c>
      <c r="AB907">
        <v>1028</v>
      </c>
      <c r="AC907">
        <v>974</v>
      </c>
      <c r="AD907">
        <v>1009</v>
      </c>
      <c r="AE907">
        <v>959</v>
      </c>
      <c r="AF907">
        <v>2</v>
      </c>
      <c r="AG907">
        <v>0</v>
      </c>
      <c r="AH907">
        <v>3</v>
      </c>
      <c r="AI907">
        <v>5</v>
      </c>
      <c r="AJ907">
        <v>0</v>
      </c>
      <c r="AK907">
        <v>2</v>
      </c>
      <c r="AL907">
        <v>2</v>
      </c>
      <c r="AM907">
        <v>3</v>
      </c>
      <c r="AN907">
        <v>4</v>
      </c>
      <c r="AO907">
        <v>0</v>
      </c>
      <c r="AP907">
        <v>1135</v>
      </c>
      <c r="AQ907">
        <v>0</v>
      </c>
      <c r="AR907">
        <v>0</v>
      </c>
      <c r="AS907">
        <v>0</v>
      </c>
      <c r="AT907">
        <v>0</v>
      </c>
      <c r="AU907">
        <v>0</v>
      </c>
      <c r="AV907">
        <v>0</v>
      </c>
      <c r="AW907">
        <v>0</v>
      </c>
      <c r="AX907">
        <v>0</v>
      </c>
      <c r="AY907">
        <v>2</v>
      </c>
      <c r="AZ907">
        <v>39</v>
      </c>
      <c r="BA907">
        <v>943</v>
      </c>
      <c r="BB907">
        <v>28</v>
      </c>
      <c r="BC907">
        <v>10</v>
      </c>
      <c r="BD907">
        <v>0</v>
      </c>
      <c r="BE907">
        <v>4</v>
      </c>
      <c r="BF907">
        <v>3</v>
      </c>
      <c r="BG907">
        <v>3</v>
      </c>
      <c r="BH907">
        <v>0</v>
      </c>
      <c r="BI907">
        <v>0</v>
      </c>
      <c r="BJ907">
        <v>0</v>
      </c>
      <c r="BK907">
        <v>1</v>
      </c>
      <c r="BL907">
        <v>1007</v>
      </c>
      <c r="BM907">
        <v>1</v>
      </c>
      <c r="BN907">
        <v>0</v>
      </c>
      <c r="BO907">
        <v>0</v>
      </c>
      <c r="BP907">
        <v>1</v>
      </c>
      <c r="BQ907">
        <v>0</v>
      </c>
      <c r="BR907">
        <v>0</v>
      </c>
      <c r="BS907">
        <v>0</v>
      </c>
      <c r="BT907">
        <v>2</v>
      </c>
      <c r="BU907">
        <v>0</v>
      </c>
      <c r="BV907">
        <v>0</v>
      </c>
      <c r="BW907">
        <v>977</v>
      </c>
      <c r="BX907">
        <v>0</v>
      </c>
      <c r="BY907">
        <v>0</v>
      </c>
      <c r="BZ907">
        <v>0</v>
      </c>
      <c r="CA907">
        <v>0</v>
      </c>
      <c r="CB907">
        <v>3</v>
      </c>
      <c r="CC907">
        <v>7</v>
      </c>
      <c r="CD907">
        <v>5</v>
      </c>
      <c r="CE907">
        <v>0</v>
      </c>
      <c r="CF907">
        <v>181</v>
      </c>
      <c r="CG907">
        <v>0</v>
      </c>
      <c r="CH907">
        <v>648</v>
      </c>
      <c r="CI907">
        <v>13</v>
      </c>
      <c r="CJ907">
        <v>0</v>
      </c>
      <c r="CK907">
        <v>37</v>
      </c>
      <c r="CL907">
        <v>1</v>
      </c>
      <c r="CM907">
        <v>9</v>
      </c>
      <c r="CN907">
        <v>7</v>
      </c>
      <c r="CO907">
        <v>1</v>
      </c>
      <c r="CP907">
        <v>1</v>
      </c>
      <c r="CQ907">
        <v>16</v>
      </c>
      <c r="CR907">
        <v>1</v>
      </c>
      <c r="CS907">
        <v>917</v>
      </c>
      <c r="CT907">
        <v>0</v>
      </c>
      <c r="CU907">
        <v>6</v>
      </c>
      <c r="CV907">
        <v>0</v>
      </c>
      <c r="CW907">
        <v>2</v>
      </c>
      <c r="CX907">
        <v>38</v>
      </c>
      <c r="CY907">
        <v>19</v>
      </c>
      <c r="CZ907">
        <v>8</v>
      </c>
      <c r="DA907">
        <v>11</v>
      </c>
      <c r="DB907">
        <v>0</v>
      </c>
      <c r="DC907">
        <v>0</v>
      </c>
      <c r="DD907">
        <v>937</v>
      </c>
      <c r="DE907">
        <v>4</v>
      </c>
      <c r="DF907">
        <v>9</v>
      </c>
      <c r="DG907">
        <v>1</v>
      </c>
      <c r="DH907">
        <v>4</v>
      </c>
      <c r="DI907">
        <v>4</v>
      </c>
      <c r="DJ907">
        <v>16</v>
      </c>
      <c r="DK907">
        <v>4</v>
      </c>
      <c r="DL907">
        <v>0</v>
      </c>
      <c r="DM907">
        <v>2</v>
      </c>
      <c r="DN907">
        <v>2</v>
      </c>
      <c r="DO907">
        <v>941</v>
      </c>
      <c r="DP907">
        <v>0</v>
      </c>
      <c r="DQ907">
        <v>4</v>
      </c>
      <c r="DR907">
        <v>12</v>
      </c>
      <c r="DS907">
        <v>1</v>
      </c>
      <c r="DT907">
        <v>16</v>
      </c>
      <c r="DU907">
        <v>14</v>
      </c>
      <c r="DV907">
        <v>2</v>
      </c>
      <c r="DW907">
        <v>0</v>
      </c>
      <c r="DX907">
        <v>6</v>
      </c>
      <c r="DY907">
        <v>17</v>
      </c>
      <c r="DZ907">
        <v>937</v>
      </c>
      <c r="EA907">
        <v>0.94010000000000005</v>
      </c>
      <c r="EB907">
        <v>0.94718048367458896</v>
      </c>
      <c r="EC907">
        <v>0.93741689918429005</v>
      </c>
      <c r="ED907">
        <v>0.93847777508847696</v>
      </c>
      <c r="EE907">
        <f>SUM(Table1[[#This Row],[ratio_0]:[ratio_9]])</f>
        <v>370</v>
      </c>
      <c r="EF907" s="1">
        <f>(Table1[[#This Row],[predicted_0]]-Table1[[#This Row],[actual_0]])/Table1[[#This Row],[actual_0]]</f>
        <v>4.0816326530612249E-3</v>
      </c>
      <c r="EG907" s="1">
        <f>(Table1[[#This Row],[predicted_1]]-Table1[[#This Row],[actual_1]])/Table1[[#This Row],[actual_1]]</f>
        <v>9.6035242290748904E-2</v>
      </c>
      <c r="EH907" s="1">
        <f>(Table1[[#This Row],[predicted_2]]-Table1[[#This Row],[actual_2]])/Table1[[#This Row],[actual_2]]</f>
        <v>-6.1046511627906974E-2</v>
      </c>
      <c r="EI907" s="1">
        <f>(Table1[[#This Row],[predicted_3]]-Table1[[#This Row],[actual_3]])/Table1[[#This Row],[actual_3]]</f>
        <v>0.24752475247524752</v>
      </c>
      <c r="EJ907" s="1">
        <f>(Table1[[#This Row],[predicted_4]]-Table1[[#This Row],[actual_4]])/Table1[[#This Row],[actual_4]]</f>
        <v>5.7026476578411409E-2</v>
      </c>
      <c r="EK907" s="1">
        <f>(Table1[[#This Row],[predicted_5]]-Table1[[#This Row],[actual_5]])/Table1[[#This Row],[actual_5]]</f>
        <v>-0.27017937219730942</v>
      </c>
      <c r="EL907" s="1">
        <f>(Table1[[#This Row],[predicted_6]]-Table1[[#This Row],[actual_6]])/Table1[[#This Row],[actual_6]]</f>
        <v>-2.0876826722338204E-2</v>
      </c>
      <c r="EM907" s="1">
        <f>(Table1[[#This Row],[predicted_7]]-Table1[[#This Row],[actual_7]])/Table1[[#This Row],[actual_7]]</f>
        <v>-7.4902723735408558E-2</v>
      </c>
      <c r="EN907" s="1">
        <f>(Table1[[#This Row],[predicted_8]]-Table1[[#This Row],[actual_8]])/Table1[[#This Row],[actual_8]]</f>
        <v>3.7987679671457907E-2</v>
      </c>
      <c r="EO907" s="1">
        <f>(Table1[[#This Row],[predicted_9]]-Table1[[#This Row],[actual_9]])/Table1[[#This Row],[actual_9]]</f>
        <v>-5.4509415262636272E-2</v>
      </c>
      <c r="EP907" s="1">
        <f>1+(Table1[[#This Row],[error_ratio_0]]-EF$2)</f>
        <v>1.0020408163265306</v>
      </c>
      <c r="EQ907" s="1">
        <f>1+(Table1[[#This Row],[error_ratio_1]]-EG$2)</f>
        <v>1.094273127753304</v>
      </c>
      <c r="ER907" s="1">
        <f>1+(Table1[[#This Row],[error_ratio_2]]-EH$2)</f>
        <v>0.94379844961240311</v>
      </c>
      <c r="ES907" s="1">
        <f>1+(Table1[[#This Row],[error_ratio_3]]-EI$2)</f>
        <v>1.2376237623762376</v>
      </c>
      <c r="ET907" s="1">
        <f>1+(Table1[[#This Row],[error_ratio_4]]-EJ$2)</f>
        <v>1.0560081466395113</v>
      </c>
      <c r="EU907" s="1">
        <f>1+(Table1[[#This Row],[error_ratio_5]]-EK$2)</f>
        <v>0.72869955156950672</v>
      </c>
      <c r="EV907" s="1">
        <f>1+(Table1[[#This Row],[error_ratio_6]]-EL$2)</f>
        <v>0.98538622129436326</v>
      </c>
      <c r="EW907" s="1">
        <f>1+(Table1[[#This Row],[error_ratio_7]]-EM$2)</f>
        <v>0.9231517509727627</v>
      </c>
      <c r="EX907" s="1">
        <f>1+(Table1[[#This Row],[error_ratio_8]]-EN$2)</f>
        <v>1.0410677618069815</v>
      </c>
      <c r="EY907" s="1">
        <f>1+(Table1[[#This Row],[error_ratio_9]]-EO$2)</f>
        <v>0.94945490584737369</v>
      </c>
    </row>
    <row r="908" spans="1:155" x14ac:dyDescent="0.75">
      <c r="A908">
        <v>100</v>
      </c>
      <c r="B908">
        <v>10</v>
      </c>
      <c r="C908">
        <v>10</v>
      </c>
      <c r="D908">
        <v>100</v>
      </c>
      <c r="E908">
        <v>100</v>
      </c>
      <c r="F908">
        <v>10</v>
      </c>
      <c r="G908">
        <v>10</v>
      </c>
      <c r="H908">
        <v>10</v>
      </c>
      <c r="I908">
        <v>10</v>
      </c>
      <c r="J908">
        <v>10</v>
      </c>
      <c r="K908">
        <v>1037</v>
      </c>
      <c r="L908">
        <v>1120</v>
      </c>
      <c r="M908">
        <v>1050</v>
      </c>
      <c r="N908">
        <v>1039</v>
      </c>
      <c r="O908">
        <v>1023</v>
      </c>
      <c r="P908">
        <v>1032</v>
      </c>
      <c r="Q908">
        <v>919</v>
      </c>
      <c r="R908">
        <v>1002</v>
      </c>
      <c r="S908">
        <v>827</v>
      </c>
      <c r="T908">
        <v>951</v>
      </c>
      <c r="U908">
        <v>980</v>
      </c>
      <c r="V908">
        <v>1135</v>
      </c>
      <c r="W908">
        <v>1032</v>
      </c>
      <c r="X908">
        <v>1010</v>
      </c>
      <c r="Y908">
        <v>982</v>
      </c>
      <c r="Z908">
        <v>892</v>
      </c>
      <c r="AA908">
        <v>958</v>
      </c>
      <c r="AB908">
        <v>1028</v>
      </c>
      <c r="AC908">
        <v>974</v>
      </c>
      <c r="AD908">
        <v>1009</v>
      </c>
      <c r="AE908">
        <v>978</v>
      </c>
      <c r="AF908">
        <v>0</v>
      </c>
      <c r="AG908">
        <v>0</v>
      </c>
      <c r="AH908">
        <v>0</v>
      </c>
      <c r="AI908">
        <v>0</v>
      </c>
      <c r="AJ908">
        <v>1</v>
      </c>
      <c r="AK908">
        <v>1</v>
      </c>
      <c r="AL908">
        <v>0</v>
      </c>
      <c r="AM908">
        <v>0</v>
      </c>
      <c r="AN908">
        <v>0</v>
      </c>
      <c r="AO908">
        <v>0</v>
      </c>
      <c r="AP908">
        <v>1114</v>
      </c>
      <c r="AQ908">
        <v>6</v>
      </c>
      <c r="AR908">
        <v>3</v>
      </c>
      <c r="AS908">
        <v>0</v>
      </c>
      <c r="AT908">
        <v>7</v>
      </c>
      <c r="AU908">
        <v>3</v>
      </c>
      <c r="AV908">
        <v>1</v>
      </c>
      <c r="AW908">
        <v>1</v>
      </c>
      <c r="AX908">
        <v>0</v>
      </c>
      <c r="AY908">
        <v>15</v>
      </c>
      <c r="AZ908">
        <v>1</v>
      </c>
      <c r="BA908">
        <v>993</v>
      </c>
      <c r="BB908">
        <v>9</v>
      </c>
      <c r="BC908">
        <v>3</v>
      </c>
      <c r="BD908">
        <v>2</v>
      </c>
      <c r="BE908">
        <v>0</v>
      </c>
      <c r="BF908">
        <v>9</v>
      </c>
      <c r="BG908">
        <v>0</v>
      </c>
      <c r="BH908">
        <v>0</v>
      </c>
      <c r="BI908">
        <v>0</v>
      </c>
      <c r="BJ908">
        <v>0</v>
      </c>
      <c r="BK908">
        <v>3</v>
      </c>
      <c r="BL908">
        <v>976</v>
      </c>
      <c r="BM908">
        <v>0</v>
      </c>
      <c r="BN908">
        <v>27</v>
      </c>
      <c r="BO908">
        <v>0</v>
      </c>
      <c r="BP908">
        <v>3</v>
      </c>
      <c r="BQ908">
        <v>1</v>
      </c>
      <c r="BR908">
        <v>0</v>
      </c>
      <c r="BS908">
        <v>1</v>
      </c>
      <c r="BT908">
        <v>0</v>
      </c>
      <c r="BU908">
        <v>5</v>
      </c>
      <c r="BV908">
        <v>1</v>
      </c>
      <c r="BW908">
        <v>969</v>
      </c>
      <c r="BX908">
        <v>0</v>
      </c>
      <c r="BY908">
        <v>1</v>
      </c>
      <c r="BZ908">
        <v>0</v>
      </c>
      <c r="CA908">
        <v>0</v>
      </c>
      <c r="CB908">
        <v>5</v>
      </c>
      <c r="CC908">
        <v>4</v>
      </c>
      <c r="CD908">
        <v>0</v>
      </c>
      <c r="CE908">
        <v>0</v>
      </c>
      <c r="CF908">
        <v>9</v>
      </c>
      <c r="CG908">
        <v>0</v>
      </c>
      <c r="CH908">
        <v>874</v>
      </c>
      <c r="CI908">
        <v>1</v>
      </c>
      <c r="CJ908">
        <v>1</v>
      </c>
      <c r="CK908">
        <v>1</v>
      </c>
      <c r="CL908">
        <v>2</v>
      </c>
      <c r="CM908">
        <v>12</v>
      </c>
      <c r="CN908">
        <v>1</v>
      </c>
      <c r="CO908">
        <v>2</v>
      </c>
      <c r="CP908">
        <v>0</v>
      </c>
      <c r="CQ908">
        <v>14</v>
      </c>
      <c r="CR908">
        <v>20</v>
      </c>
      <c r="CS908">
        <v>908</v>
      </c>
      <c r="CT908">
        <v>0</v>
      </c>
      <c r="CU908">
        <v>1</v>
      </c>
      <c r="CV908">
        <v>0</v>
      </c>
      <c r="CW908">
        <v>8</v>
      </c>
      <c r="CX908">
        <v>1</v>
      </c>
      <c r="CY908">
        <v>28</v>
      </c>
      <c r="CZ908">
        <v>9</v>
      </c>
      <c r="DA908">
        <v>3</v>
      </c>
      <c r="DB908">
        <v>1</v>
      </c>
      <c r="DC908">
        <v>0</v>
      </c>
      <c r="DD908">
        <v>971</v>
      </c>
      <c r="DE908">
        <v>0</v>
      </c>
      <c r="DF908">
        <v>7</v>
      </c>
      <c r="DG908">
        <v>9</v>
      </c>
      <c r="DH908">
        <v>1</v>
      </c>
      <c r="DI908">
        <v>13</v>
      </c>
      <c r="DJ908">
        <v>24</v>
      </c>
      <c r="DK908">
        <v>5</v>
      </c>
      <c r="DL908">
        <v>77</v>
      </c>
      <c r="DM908">
        <v>5</v>
      </c>
      <c r="DN908">
        <v>11</v>
      </c>
      <c r="DO908">
        <v>822</v>
      </c>
      <c r="DP908">
        <v>7</v>
      </c>
      <c r="DQ908">
        <v>10</v>
      </c>
      <c r="DR908">
        <v>2</v>
      </c>
      <c r="DS908">
        <v>0</v>
      </c>
      <c r="DT908">
        <v>8</v>
      </c>
      <c r="DU908">
        <v>29</v>
      </c>
      <c r="DV908">
        <v>23</v>
      </c>
      <c r="DW908">
        <v>0</v>
      </c>
      <c r="DX908">
        <v>6</v>
      </c>
      <c r="DY908">
        <v>1</v>
      </c>
      <c r="DZ908">
        <v>930</v>
      </c>
      <c r="EA908">
        <v>0.95350000000000001</v>
      </c>
      <c r="EB908">
        <v>0.95459047046334</v>
      </c>
      <c r="EC908">
        <v>0.95325928812040395</v>
      </c>
      <c r="ED908">
        <v>0.952539882385391</v>
      </c>
      <c r="EE908">
        <f>SUM(Table1[[#This Row],[ratio_0]:[ratio_9]])</f>
        <v>370</v>
      </c>
      <c r="EF908" s="1">
        <f>(Table1[[#This Row],[predicted_0]]-Table1[[#This Row],[actual_0]])/Table1[[#This Row],[actual_0]]</f>
        <v>5.8163265306122446E-2</v>
      </c>
      <c r="EG908" s="1">
        <f>(Table1[[#This Row],[predicted_1]]-Table1[[#This Row],[actual_1]])/Table1[[#This Row],[actual_1]]</f>
        <v>-1.3215859030837005E-2</v>
      </c>
      <c r="EH908" s="1">
        <f>(Table1[[#This Row],[predicted_2]]-Table1[[#This Row],[actual_2]])/Table1[[#This Row],[actual_2]]</f>
        <v>1.7441860465116279E-2</v>
      </c>
      <c r="EI908" s="1">
        <f>(Table1[[#This Row],[predicted_3]]-Table1[[#This Row],[actual_3]])/Table1[[#This Row],[actual_3]]</f>
        <v>2.8712871287128714E-2</v>
      </c>
      <c r="EJ908" s="1">
        <f>(Table1[[#This Row],[predicted_4]]-Table1[[#This Row],[actual_4]])/Table1[[#This Row],[actual_4]]</f>
        <v>4.1751527494908347E-2</v>
      </c>
      <c r="EK908" s="1">
        <f>(Table1[[#This Row],[predicted_5]]-Table1[[#This Row],[actual_5]])/Table1[[#This Row],[actual_5]]</f>
        <v>0.15695067264573992</v>
      </c>
      <c r="EL908" s="1">
        <f>(Table1[[#This Row],[predicted_6]]-Table1[[#This Row],[actual_6]])/Table1[[#This Row],[actual_6]]</f>
        <v>-4.07098121085595E-2</v>
      </c>
      <c r="EM908" s="1">
        <f>(Table1[[#This Row],[predicted_7]]-Table1[[#This Row],[actual_7]])/Table1[[#This Row],[actual_7]]</f>
        <v>-2.5291828793774319E-2</v>
      </c>
      <c r="EN908" s="1">
        <f>(Table1[[#This Row],[predicted_8]]-Table1[[#This Row],[actual_8]])/Table1[[#This Row],[actual_8]]</f>
        <v>-0.15092402464065707</v>
      </c>
      <c r="EO908" s="1">
        <f>(Table1[[#This Row],[predicted_9]]-Table1[[#This Row],[actual_9]])/Table1[[#This Row],[actual_9]]</f>
        <v>-5.7482656095143705E-2</v>
      </c>
      <c r="EP908" s="1">
        <f>1+(Table1[[#This Row],[error_ratio_0]]-EF$2)</f>
        <v>1.0561224489795917</v>
      </c>
      <c r="EQ908" s="1">
        <f>1+(Table1[[#This Row],[error_ratio_1]]-EG$2)</f>
        <v>0.9850220264317181</v>
      </c>
      <c r="ER908" s="1">
        <f>1+(Table1[[#This Row],[error_ratio_2]]-EH$2)</f>
        <v>1.0222868217054264</v>
      </c>
      <c r="ES908" s="1">
        <f>1+(Table1[[#This Row],[error_ratio_3]]-EI$2)</f>
        <v>1.0188118811881188</v>
      </c>
      <c r="ET908" s="1">
        <f>1+(Table1[[#This Row],[error_ratio_4]]-EJ$2)</f>
        <v>1.0407331975560081</v>
      </c>
      <c r="EU908" s="1">
        <f>1+(Table1[[#This Row],[error_ratio_5]]-EK$2)</f>
        <v>1.155829596412556</v>
      </c>
      <c r="EV908" s="1">
        <f>1+(Table1[[#This Row],[error_ratio_6]]-EL$2)</f>
        <v>0.96555323590814202</v>
      </c>
      <c r="EW908" s="1">
        <f>1+(Table1[[#This Row],[error_ratio_7]]-EM$2)</f>
        <v>0.97276264591439687</v>
      </c>
      <c r="EX908" s="1">
        <f>1+(Table1[[#This Row],[error_ratio_8]]-EN$2)</f>
        <v>0.85215605749486656</v>
      </c>
      <c r="EY908" s="1">
        <f>1+(Table1[[#This Row],[error_ratio_9]]-EO$2)</f>
        <v>0.94648166501486619</v>
      </c>
    </row>
    <row r="909" spans="1:155" x14ac:dyDescent="0.75">
      <c r="A909">
        <v>10</v>
      </c>
      <c r="B909">
        <v>10</v>
      </c>
      <c r="C909">
        <v>10</v>
      </c>
      <c r="D909">
        <v>100</v>
      </c>
      <c r="E909">
        <v>100</v>
      </c>
      <c r="F909">
        <v>10</v>
      </c>
      <c r="G909">
        <v>10</v>
      </c>
      <c r="H909">
        <v>10</v>
      </c>
      <c r="I909">
        <v>10</v>
      </c>
      <c r="J909">
        <v>10</v>
      </c>
      <c r="K909">
        <v>1045</v>
      </c>
      <c r="L909">
        <v>1128</v>
      </c>
      <c r="M909">
        <v>969</v>
      </c>
      <c r="N909">
        <v>1107</v>
      </c>
      <c r="O909">
        <v>1020</v>
      </c>
      <c r="P909">
        <v>874</v>
      </c>
      <c r="Q909">
        <v>993</v>
      </c>
      <c r="R909">
        <v>1045</v>
      </c>
      <c r="S909">
        <v>921</v>
      </c>
      <c r="T909">
        <v>898</v>
      </c>
      <c r="U909">
        <v>980</v>
      </c>
      <c r="V909">
        <v>1135</v>
      </c>
      <c r="W909">
        <v>1032</v>
      </c>
      <c r="X909">
        <v>1010</v>
      </c>
      <c r="Y909">
        <v>982</v>
      </c>
      <c r="Z909">
        <v>892</v>
      </c>
      <c r="AA909">
        <v>958</v>
      </c>
      <c r="AB909">
        <v>1028</v>
      </c>
      <c r="AC909">
        <v>974</v>
      </c>
      <c r="AD909">
        <v>1009</v>
      </c>
      <c r="AE909">
        <v>973</v>
      </c>
      <c r="AF909">
        <v>0</v>
      </c>
      <c r="AG909">
        <v>1</v>
      </c>
      <c r="AH909">
        <v>0</v>
      </c>
      <c r="AI909">
        <v>1</v>
      </c>
      <c r="AJ909">
        <v>1</v>
      </c>
      <c r="AK909">
        <v>2</v>
      </c>
      <c r="AL909">
        <v>1</v>
      </c>
      <c r="AM909">
        <v>1</v>
      </c>
      <c r="AN909">
        <v>0</v>
      </c>
      <c r="AO909">
        <v>0</v>
      </c>
      <c r="AP909">
        <v>1116</v>
      </c>
      <c r="AQ909">
        <v>3</v>
      </c>
      <c r="AR909">
        <v>2</v>
      </c>
      <c r="AS909">
        <v>0</v>
      </c>
      <c r="AT909">
        <v>2</v>
      </c>
      <c r="AU909">
        <v>8</v>
      </c>
      <c r="AV909">
        <v>0</v>
      </c>
      <c r="AW909">
        <v>4</v>
      </c>
      <c r="AX909">
        <v>0</v>
      </c>
      <c r="AY909">
        <v>13</v>
      </c>
      <c r="AZ909">
        <v>1</v>
      </c>
      <c r="BA909">
        <v>940</v>
      </c>
      <c r="BB909">
        <v>36</v>
      </c>
      <c r="BC909">
        <v>8</v>
      </c>
      <c r="BD909">
        <v>1</v>
      </c>
      <c r="BE909">
        <v>17</v>
      </c>
      <c r="BF909">
        <v>11</v>
      </c>
      <c r="BG909">
        <v>5</v>
      </c>
      <c r="BH909">
        <v>0</v>
      </c>
      <c r="BI909">
        <v>3</v>
      </c>
      <c r="BJ909">
        <v>0</v>
      </c>
      <c r="BK909">
        <v>1</v>
      </c>
      <c r="BL909">
        <v>998</v>
      </c>
      <c r="BM909">
        <v>0</v>
      </c>
      <c r="BN909">
        <v>4</v>
      </c>
      <c r="BO909">
        <v>0</v>
      </c>
      <c r="BP909">
        <v>3</v>
      </c>
      <c r="BQ909">
        <v>1</v>
      </c>
      <c r="BR909">
        <v>0</v>
      </c>
      <c r="BS909">
        <v>0</v>
      </c>
      <c r="BT909">
        <v>0</v>
      </c>
      <c r="BU909">
        <v>0</v>
      </c>
      <c r="BV909">
        <v>0</v>
      </c>
      <c r="BW909">
        <v>978</v>
      </c>
      <c r="BX909">
        <v>0</v>
      </c>
      <c r="BY909">
        <v>3</v>
      </c>
      <c r="BZ909">
        <v>0</v>
      </c>
      <c r="CA909">
        <v>0</v>
      </c>
      <c r="CB909">
        <v>1</v>
      </c>
      <c r="CC909">
        <v>5</v>
      </c>
      <c r="CD909">
        <v>0</v>
      </c>
      <c r="CE909">
        <v>1</v>
      </c>
      <c r="CF909">
        <v>23</v>
      </c>
      <c r="CG909">
        <v>0</v>
      </c>
      <c r="CH909">
        <v>847</v>
      </c>
      <c r="CI909">
        <v>14</v>
      </c>
      <c r="CJ909">
        <v>1</v>
      </c>
      <c r="CK909">
        <v>1</v>
      </c>
      <c r="CL909">
        <v>0</v>
      </c>
      <c r="CM909">
        <v>17</v>
      </c>
      <c r="CN909">
        <v>2</v>
      </c>
      <c r="CO909">
        <v>0</v>
      </c>
      <c r="CP909">
        <v>0</v>
      </c>
      <c r="CQ909">
        <v>4</v>
      </c>
      <c r="CR909">
        <v>1</v>
      </c>
      <c r="CS909">
        <v>934</v>
      </c>
      <c r="CT909">
        <v>0</v>
      </c>
      <c r="CU909">
        <v>0</v>
      </c>
      <c r="CV909">
        <v>0</v>
      </c>
      <c r="CW909">
        <v>6</v>
      </c>
      <c r="CX909">
        <v>5</v>
      </c>
      <c r="CY909">
        <v>17</v>
      </c>
      <c r="CZ909">
        <v>7</v>
      </c>
      <c r="DA909">
        <v>2</v>
      </c>
      <c r="DB909">
        <v>0</v>
      </c>
      <c r="DC909">
        <v>0</v>
      </c>
      <c r="DD909">
        <v>982</v>
      </c>
      <c r="DE909">
        <v>5</v>
      </c>
      <c r="DF909">
        <v>4</v>
      </c>
      <c r="DG909">
        <v>20</v>
      </c>
      <c r="DH909">
        <v>0</v>
      </c>
      <c r="DI909">
        <v>3</v>
      </c>
      <c r="DJ909">
        <v>23</v>
      </c>
      <c r="DK909">
        <v>8</v>
      </c>
      <c r="DL909">
        <v>7</v>
      </c>
      <c r="DM909">
        <v>14</v>
      </c>
      <c r="DN909">
        <v>12</v>
      </c>
      <c r="DO909">
        <v>886</v>
      </c>
      <c r="DP909">
        <v>1</v>
      </c>
      <c r="DQ909">
        <v>8</v>
      </c>
      <c r="DR909">
        <v>4</v>
      </c>
      <c r="DS909">
        <v>3</v>
      </c>
      <c r="DT909">
        <v>18</v>
      </c>
      <c r="DU909">
        <v>19</v>
      </c>
      <c r="DV909">
        <v>11</v>
      </c>
      <c r="DW909">
        <v>1</v>
      </c>
      <c r="DX909">
        <v>35</v>
      </c>
      <c r="DY909">
        <v>18</v>
      </c>
      <c r="DZ909">
        <v>892</v>
      </c>
      <c r="EA909">
        <v>0.9546</v>
      </c>
      <c r="EB909">
        <v>0.95556145041926599</v>
      </c>
      <c r="EC909">
        <v>0.95444620873399999</v>
      </c>
      <c r="ED909">
        <v>0.95413858289158204</v>
      </c>
      <c r="EE909">
        <f>SUM(Table1[[#This Row],[ratio_0]:[ratio_9]])</f>
        <v>280</v>
      </c>
      <c r="EF909" s="1">
        <f>(Table1[[#This Row],[predicted_0]]-Table1[[#This Row],[actual_0]])/Table1[[#This Row],[actual_0]]</f>
        <v>6.6326530612244902E-2</v>
      </c>
      <c r="EG909" s="1">
        <f>(Table1[[#This Row],[predicted_1]]-Table1[[#This Row],[actual_1]])/Table1[[#This Row],[actual_1]]</f>
        <v>-6.1674008810572688E-3</v>
      </c>
      <c r="EH909" s="1">
        <f>(Table1[[#This Row],[predicted_2]]-Table1[[#This Row],[actual_2]])/Table1[[#This Row],[actual_2]]</f>
        <v>-6.1046511627906974E-2</v>
      </c>
      <c r="EI909" s="1">
        <f>(Table1[[#This Row],[predicted_3]]-Table1[[#This Row],[actual_3]])/Table1[[#This Row],[actual_3]]</f>
        <v>9.6039603960396042E-2</v>
      </c>
      <c r="EJ909" s="1">
        <f>(Table1[[#This Row],[predicted_4]]-Table1[[#This Row],[actual_4]])/Table1[[#This Row],[actual_4]]</f>
        <v>3.8696537678207736E-2</v>
      </c>
      <c r="EK909" s="1">
        <f>(Table1[[#This Row],[predicted_5]]-Table1[[#This Row],[actual_5]])/Table1[[#This Row],[actual_5]]</f>
        <v>-2.0179372197309416E-2</v>
      </c>
      <c r="EL909" s="1">
        <f>(Table1[[#This Row],[predicted_6]]-Table1[[#This Row],[actual_6]])/Table1[[#This Row],[actual_6]]</f>
        <v>3.6534446764091857E-2</v>
      </c>
      <c r="EM909" s="1">
        <f>(Table1[[#This Row],[predicted_7]]-Table1[[#This Row],[actual_7]])/Table1[[#This Row],[actual_7]]</f>
        <v>1.6536964980544747E-2</v>
      </c>
      <c r="EN909" s="1">
        <f>(Table1[[#This Row],[predicted_8]]-Table1[[#This Row],[actual_8]])/Table1[[#This Row],[actual_8]]</f>
        <v>-5.4414784394250515E-2</v>
      </c>
      <c r="EO909" s="1">
        <f>(Table1[[#This Row],[predicted_9]]-Table1[[#This Row],[actual_9]])/Table1[[#This Row],[actual_9]]</f>
        <v>-0.11000991080277503</v>
      </c>
      <c r="EP909" s="1">
        <f>1+(Table1[[#This Row],[error_ratio_0]]-EF$2)</f>
        <v>1.0642857142857143</v>
      </c>
      <c r="EQ909" s="1">
        <f>1+(Table1[[#This Row],[error_ratio_1]]-EG$2)</f>
        <v>0.99207048458149782</v>
      </c>
      <c r="ER909" s="1">
        <f>1+(Table1[[#This Row],[error_ratio_2]]-EH$2)</f>
        <v>0.94379844961240311</v>
      </c>
      <c r="ES909" s="1">
        <f>1+(Table1[[#This Row],[error_ratio_3]]-EI$2)</f>
        <v>1.0861386138613862</v>
      </c>
      <c r="ET909" s="1">
        <f>1+(Table1[[#This Row],[error_ratio_4]]-EJ$2)</f>
        <v>1.0376782077393076</v>
      </c>
      <c r="EU909" s="1">
        <f>1+(Table1[[#This Row],[error_ratio_5]]-EK$2)</f>
        <v>0.97869955156950672</v>
      </c>
      <c r="EV909" s="1">
        <f>1+(Table1[[#This Row],[error_ratio_6]]-EL$2)</f>
        <v>1.0427974947807934</v>
      </c>
      <c r="EW909" s="1">
        <f>1+(Table1[[#This Row],[error_ratio_7]]-EM$2)</f>
        <v>1.0145914396887159</v>
      </c>
      <c r="EX909" s="1">
        <f>1+(Table1[[#This Row],[error_ratio_8]]-EN$2)</f>
        <v>0.94866529774127306</v>
      </c>
      <c r="EY909" s="1">
        <f>1+(Table1[[#This Row],[error_ratio_9]]-EO$2)</f>
        <v>0.89395441030723488</v>
      </c>
    </row>
    <row r="910" spans="1:155" x14ac:dyDescent="0.75">
      <c r="A910">
        <v>10</v>
      </c>
      <c r="B910">
        <v>100</v>
      </c>
      <c r="C910">
        <v>100</v>
      </c>
      <c r="D910">
        <v>10</v>
      </c>
      <c r="E910">
        <v>100</v>
      </c>
      <c r="F910">
        <v>10</v>
      </c>
      <c r="G910">
        <v>10</v>
      </c>
      <c r="H910">
        <v>10</v>
      </c>
      <c r="I910">
        <v>10</v>
      </c>
      <c r="J910">
        <v>10</v>
      </c>
      <c r="K910">
        <v>1020</v>
      </c>
      <c r="L910">
        <v>1162</v>
      </c>
      <c r="M910">
        <v>1100</v>
      </c>
      <c r="N910">
        <v>933</v>
      </c>
      <c r="O910">
        <v>1053</v>
      </c>
      <c r="P910">
        <v>861</v>
      </c>
      <c r="Q910">
        <v>919</v>
      </c>
      <c r="R910">
        <v>1006</v>
      </c>
      <c r="S910">
        <v>915</v>
      </c>
      <c r="T910">
        <v>1031</v>
      </c>
      <c r="U910">
        <v>980</v>
      </c>
      <c r="V910">
        <v>1135</v>
      </c>
      <c r="W910">
        <v>1032</v>
      </c>
      <c r="X910">
        <v>1010</v>
      </c>
      <c r="Y910">
        <v>982</v>
      </c>
      <c r="Z910">
        <v>892</v>
      </c>
      <c r="AA910">
        <v>958</v>
      </c>
      <c r="AB910">
        <v>1028</v>
      </c>
      <c r="AC910">
        <v>974</v>
      </c>
      <c r="AD910">
        <v>1009</v>
      </c>
      <c r="AE910">
        <v>965</v>
      </c>
      <c r="AF910">
        <v>2</v>
      </c>
      <c r="AG910">
        <v>3</v>
      </c>
      <c r="AH910">
        <v>0</v>
      </c>
      <c r="AI910">
        <v>2</v>
      </c>
      <c r="AJ910">
        <v>0</v>
      </c>
      <c r="AK910">
        <v>0</v>
      </c>
      <c r="AL910">
        <v>5</v>
      </c>
      <c r="AM910">
        <v>2</v>
      </c>
      <c r="AN910">
        <v>1</v>
      </c>
      <c r="AO910">
        <v>0</v>
      </c>
      <c r="AP910">
        <v>1132</v>
      </c>
      <c r="AQ910">
        <v>1</v>
      </c>
      <c r="AR910">
        <v>0</v>
      </c>
      <c r="AS910">
        <v>0</v>
      </c>
      <c r="AT910">
        <v>0</v>
      </c>
      <c r="AU910">
        <v>0</v>
      </c>
      <c r="AV910">
        <v>1</v>
      </c>
      <c r="AW910">
        <v>1</v>
      </c>
      <c r="AX910">
        <v>0</v>
      </c>
      <c r="AY910">
        <v>1</v>
      </c>
      <c r="AZ910">
        <v>2</v>
      </c>
      <c r="BA910">
        <v>1016</v>
      </c>
      <c r="BB910">
        <v>0</v>
      </c>
      <c r="BC910">
        <v>3</v>
      </c>
      <c r="BD910">
        <v>0</v>
      </c>
      <c r="BE910">
        <v>0</v>
      </c>
      <c r="BF910">
        <v>6</v>
      </c>
      <c r="BG910">
        <v>4</v>
      </c>
      <c r="BH910">
        <v>0</v>
      </c>
      <c r="BI910">
        <v>1</v>
      </c>
      <c r="BJ910">
        <v>2</v>
      </c>
      <c r="BK910">
        <v>39</v>
      </c>
      <c r="BL910">
        <v>922</v>
      </c>
      <c r="BM910">
        <v>2</v>
      </c>
      <c r="BN910">
        <v>10</v>
      </c>
      <c r="BO910">
        <v>1</v>
      </c>
      <c r="BP910">
        <v>16</v>
      </c>
      <c r="BQ910">
        <v>6</v>
      </c>
      <c r="BR910">
        <v>11</v>
      </c>
      <c r="BS910">
        <v>0</v>
      </c>
      <c r="BT910">
        <v>0</v>
      </c>
      <c r="BU910">
        <v>0</v>
      </c>
      <c r="BV910">
        <v>0</v>
      </c>
      <c r="BW910">
        <v>976</v>
      </c>
      <c r="BX910">
        <v>0</v>
      </c>
      <c r="BY910">
        <v>0</v>
      </c>
      <c r="BZ910">
        <v>0</v>
      </c>
      <c r="CA910">
        <v>0</v>
      </c>
      <c r="CB910">
        <v>6</v>
      </c>
      <c r="CC910">
        <v>11</v>
      </c>
      <c r="CD910">
        <v>1</v>
      </c>
      <c r="CE910">
        <v>7</v>
      </c>
      <c r="CF910">
        <v>5</v>
      </c>
      <c r="CG910">
        <v>1</v>
      </c>
      <c r="CH910">
        <v>831</v>
      </c>
      <c r="CI910">
        <v>16</v>
      </c>
      <c r="CJ910">
        <v>6</v>
      </c>
      <c r="CK910">
        <v>1</v>
      </c>
      <c r="CL910">
        <v>13</v>
      </c>
      <c r="CM910">
        <v>14</v>
      </c>
      <c r="CN910">
        <v>5</v>
      </c>
      <c r="CO910">
        <v>1</v>
      </c>
      <c r="CP910">
        <v>0</v>
      </c>
      <c r="CQ910">
        <v>39</v>
      </c>
      <c r="CR910">
        <v>1</v>
      </c>
      <c r="CS910">
        <v>897</v>
      </c>
      <c r="CT910">
        <v>0</v>
      </c>
      <c r="CU910">
        <v>1</v>
      </c>
      <c r="CV910">
        <v>0</v>
      </c>
      <c r="CW910">
        <v>3</v>
      </c>
      <c r="CX910">
        <v>9</v>
      </c>
      <c r="CY910">
        <v>20</v>
      </c>
      <c r="CZ910">
        <v>1</v>
      </c>
      <c r="DA910">
        <v>7</v>
      </c>
      <c r="DB910">
        <v>0</v>
      </c>
      <c r="DC910">
        <v>0</v>
      </c>
      <c r="DD910">
        <v>964</v>
      </c>
      <c r="DE910">
        <v>5</v>
      </c>
      <c r="DF910">
        <v>19</v>
      </c>
      <c r="DG910">
        <v>16</v>
      </c>
      <c r="DH910">
        <v>4</v>
      </c>
      <c r="DI910">
        <v>9</v>
      </c>
      <c r="DJ910">
        <v>2</v>
      </c>
      <c r="DK910">
        <v>13</v>
      </c>
      <c r="DL910">
        <v>10</v>
      </c>
      <c r="DM910">
        <v>5</v>
      </c>
      <c r="DN910">
        <v>5</v>
      </c>
      <c r="DO910">
        <v>895</v>
      </c>
      <c r="DP910">
        <v>15</v>
      </c>
      <c r="DQ910">
        <v>9</v>
      </c>
      <c r="DR910">
        <v>5</v>
      </c>
      <c r="DS910">
        <v>4</v>
      </c>
      <c r="DT910">
        <v>3</v>
      </c>
      <c r="DU910">
        <v>10</v>
      </c>
      <c r="DV910">
        <v>9</v>
      </c>
      <c r="DW910">
        <v>0</v>
      </c>
      <c r="DX910">
        <v>3</v>
      </c>
      <c r="DY910">
        <v>0</v>
      </c>
      <c r="DZ910">
        <v>966</v>
      </c>
      <c r="EA910">
        <v>0.95640000000000003</v>
      </c>
      <c r="EB910">
        <v>0.95735476245765005</v>
      </c>
      <c r="EC910">
        <v>0.95552660747039098</v>
      </c>
      <c r="ED910">
        <v>0.95583963148845397</v>
      </c>
      <c r="EE910">
        <f>SUM(Table1[[#This Row],[ratio_0]:[ratio_9]])</f>
        <v>370</v>
      </c>
      <c r="EF910" s="1">
        <f>(Table1[[#This Row],[predicted_0]]-Table1[[#This Row],[actual_0]])/Table1[[#This Row],[actual_0]]</f>
        <v>4.0816326530612242E-2</v>
      </c>
      <c r="EG910" s="1">
        <f>(Table1[[#This Row],[predicted_1]]-Table1[[#This Row],[actual_1]])/Table1[[#This Row],[actual_1]]</f>
        <v>2.378854625550661E-2</v>
      </c>
      <c r="EH910" s="1">
        <f>(Table1[[#This Row],[predicted_2]]-Table1[[#This Row],[actual_2]])/Table1[[#This Row],[actual_2]]</f>
        <v>6.589147286821706E-2</v>
      </c>
      <c r="EI910" s="1">
        <f>(Table1[[#This Row],[predicted_3]]-Table1[[#This Row],[actual_3]])/Table1[[#This Row],[actual_3]]</f>
        <v>-7.6237623762376236E-2</v>
      </c>
      <c r="EJ910" s="1">
        <f>(Table1[[#This Row],[predicted_4]]-Table1[[#This Row],[actual_4]])/Table1[[#This Row],[actual_4]]</f>
        <v>7.2301425661914456E-2</v>
      </c>
      <c r="EK910" s="1">
        <f>(Table1[[#This Row],[predicted_5]]-Table1[[#This Row],[actual_5]])/Table1[[#This Row],[actual_5]]</f>
        <v>-3.4753363228699555E-2</v>
      </c>
      <c r="EL910" s="1">
        <f>(Table1[[#This Row],[predicted_6]]-Table1[[#This Row],[actual_6]])/Table1[[#This Row],[actual_6]]</f>
        <v>-4.07098121085595E-2</v>
      </c>
      <c r="EM910" s="1">
        <f>(Table1[[#This Row],[predicted_7]]-Table1[[#This Row],[actual_7]])/Table1[[#This Row],[actual_7]]</f>
        <v>-2.1400778210116732E-2</v>
      </c>
      <c r="EN910" s="1">
        <f>(Table1[[#This Row],[predicted_8]]-Table1[[#This Row],[actual_8]])/Table1[[#This Row],[actual_8]]</f>
        <v>-6.0574948665297744E-2</v>
      </c>
      <c r="EO910" s="1">
        <f>(Table1[[#This Row],[predicted_9]]-Table1[[#This Row],[actual_9]])/Table1[[#This Row],[actual_9]]</f>
        <v>2.1803766105054509E-2</v>
      </c>
      <c r="EP910" s="1">
        <f>1+(Table1[[#This Row],[error_ratio_0]]-EF$2)</f>
        <v>1.0387755102040817</v>
      </c>
      <c r="EQ910" s="1">
        <f>1+(Table1[[#This Row],[error_ratio_1]]-EG$2)</f>
        <v>1.0220264317180616</v>
      </c>
      <c r="ER910" s="1">
        <f>1+(Table1[[#This Row],[error_ratio_2]]-EH$2)</f>
        <v>1.070736434108527</v>
      </c>
      <c r="ES910" s="1">
        <f>1+(Table1[[#This Row],[error_ratio_3]]-EI$2)</f>
        <v>0.9138613861386139</v>
      </c>
      <c r="ET910" s="1">
        <f>1+(Table1[[#This Row],[error_ratio_4]]-EJ$2)</f>
        <v>1.0712830957230142</v>
      </c>
      <c r="EU910" s="1">
        <f>1+(Table1[[#This Row],[error_ratio_5]]-EK$2)</f>
        <v>0.9641255605381166</v>
      </c>
      <c r="EV910" s="1">
        <f>1+(Table1[[#This Row],[error_ratio_6]]-EL$2)</f>
        <v>0.96555323590814202</v>
      </c>
      <c r="EW910" s="1">
        <f>1+(Table1[[#This Row],[error_ratio_7]]-EM$2)</f>
        <v>0.97665369649805445</v>
      </c>
      <c r="EX910" s="1">
        <f>1+(Table1[[#This Row],[error_ratio_8]]-EN$2)</f>
        <v>0.94250513347022591</v>
      </c>
      <c r="EY910" s="1">
        <f>1+(Table1[[#This Row],[error_ratio_9]]-EO$2)</f>
        <v>1.0257680872150645</v>
      </c>
    </row>
    <row r="911" spans="1:155" x14ac:dyDescent="0.75">
      <c r="A911">
        <v>100</v>
      </c>
      <c r="B911">
        <v>10</v>
      </c>
      <c r="C911">
        <v>100</v>
      </c>
      <c r="D911">
        <v>10</v>
      </c>
      <c r="E911">
        <v>100</v>
      </c>
      <c r="F911">
        <v>10</v>
      </c>
      <c r="G911">
        <v>10</v>
      </c>
      <c r="H911">
        <v>10</v>
      </c>
      <c r="I911">
        <v>10</v>
      </c>
      <c r="J911">
        <v>10</v>
      </c>
      <c r="K911">
        <v>1035</v>
      </c>
      <c r="L911">
        <v>1143</v>
      </c>
      <c r="M911">
        <v>1154</v>
      </c>
      <c r="N911">
        <v>904</v>
      </c>
      <c r="O911">
        <v>1076</v>
      </c>
      <c r="P911">
        <v>827</v>
      </c>
      <c r="Q911">
        <v>902</v>
      </c>
      <c r="R911">
        <v>1064</v>
      </c>
      <c r="S911">
        <v>869</v>
      </c>
      <c r="T911">
        <v>1026</v>
      </c>
      <c r="U911">
        <v>980</v>
      </c>
      <c r="V911">
        <v>1135</v>
      </c>
      <c r="W911">
        <v>1032</v>
      </c>
      <c r="X911">
        <v>1010</v>
      </c>
      <c r="Y911">
        <v>982</v>
      </c>
      <c r="Z911">
        <v>892</v>
      </c>
      <c r="AA911">
        <v>958</v>
      </c>
      <c r="AB911">
        <v>1028</v>
      </c>
      <c r="AC911">
        <v>974</v>
      </c>
      <c r="AD911">
        <v>1009</v>
      </c>
      <c r="AE911">
        <v>976</v>
      </c>
      <c r="AF911">
        <v>1</v>
      </c>
      <c r="AG911">
        <v>0</v>
      </c>
      <c r="AH911">
        <v>0</v>
      </c>
      <c r="AI911">
        <v>0</v>
      </c>
      <c r="AJ911">
        <v>0</v>
      </c>
      <c r="AK911">
        <v>0</v>
      </c>
      <c r="AL911">
        <v>1</v>
      </c>
      <c r="AM911">
        <v>2</v>
      </c>
      <c r="AN911">
        <v>0</v>
      </c>
      <c r="AO911">
        <v>0</v>
      </c>
      <c r="AP911">
        <v>1126</v>
      </c>
      <c r="AQ911">
        <v>6</v>
      </c>
      <c r="AR911">
        <v>0</v>
      </c>
      <c r="AS911">
        <v>1</v>
      </c>
      <c r="AT911">
        <v>0</v>
      </c>
      <c r="AU911">
        <v>0</v>
      </c>
      <c r="AV911">
        <v>2</v>
      </c>
      <c r="AW911">
        <v>0</v>
      </c>
      <c r="AX911">
        <v>0</v>
      </c>
      <c r="AY911">
        <v>3</v>
      </c>
      <c r="AZ911">
        <v>0</v>
      </c>
      <c r="BA911">
        <v>1021</v>
      </c>
      <c r="BB911">
        <v>0</v>
      </c>
      <c r="BC911">
        <v>4</v>
      </c>
      <c r="BD911">
        <v>0</v>
      </c>
      <c r="BE911">
        <v>0</v>
      </c>
      <c r="BF911">
        <v>4</v>
      </c>
      <c r="BG911">
        <v>0</v>
      </c>
      <c r="BH911">
        <v>0</v>
      </c>
      <c r="BI911">
        <v>3</v>
      </c>
      <c r="BJ911">
        <v>0</v>
      </c>
      <c r="BK911">
        <v>65</v>
      </c>
      <c r="BL911">
        <v>887</v>
      </c>
      <c r="BM911">
        <v>3</v>
      </c>
      <c r="BN911">
        <v>7</v>
      </c>
      <c r="BO911">
        <v>0</v>
      </c>
      <c r="BP911">
        <v>27</v>
      </c>
      <c r="BQ911">
        <v>2</v>
      </c>
      <c r="BR911">
        <v>16</v>
      </c>
      <c r="BS911">
        <v>0</v>
      </c>
      <c r="BT911">
        <v>0</v>
      </c>
      <c r="BU911">
        <v>1</v>
      </c>
      <c r="BV911">
        <v>0</v>
      </c>
      <c r="BW911">
        <v>977</v>
      </c>
      <c r="BX911">
        <v>0</v>
      </c>
      <c r="BY911">
        <v>0</v>
      </c>
      <c r="BZ911">
        <v>0</v>
      </c>
      <c r="CA911">
        <v>0</v>
      </c>
      <c r="CB911">
        <v>4</v>
      </c>
      <c r="CC911">
        <v>17</v>
      </c>
      <c r="CD911">
        <v>1</v>
      </c>
      <c r="CE911">
        <v>4</v>
      </c>
      <c r="CF911">
        <v>11</v>
      </c>
      <c r="CG911">
        <v>7</v>
      </c>
      <c r="CH911">
        <v>806</v>
      </c>
      <c r="CI911">
        <v>6</v>
      </c>
      <c r="CJ911">
        <v>9</v>
      </c>
      <c r="CK911">
        <v>2</v>
      </c>
      <c r="CL911">
        <v>29</v>
      </c>
      <c r="CM911">
        <v>14</v>
      </c>
      <c r="CN911">
        <v>3</v>
      </c>
      <c r="CO911">
        <v>1</v>
      </c>
      <c r="CP911">
        <v>0</v>
      </c>
      <c r="CQ911">
        <v>40</v>
      </c>
      <c r="CR911">
        <v>6</v>
      </c>
      <c r="CS911">
        <v>894</v>
      </c>
      <c r="CT911">
        <v>0</v>
      </c>
      <c r="CU911">
        <v>0</v>
      </c>
      <c r="CV911">
        <v>0</v>
      </c>
      <c r="CW911">
        <v>2</v>
      </c>
      <c r="CX911">
        <v>3</v>
      </c>
      <c r="CY911">
        <v>27</v>
      </c>
      <c r="CZ911">
        <v>0</v>
      </c>
      <c r="DA911">
        <v>7</v>
      </c>
      <c r="DB911">
        <v>0</v>
      </c>
      <c r="DC911">
        <v>0</v>
      </c>
      <c r="DD911">
        <v>985</v>
      </c>
      <c r="DE911">
        <v>0</v>
      </c>
      <c r="DF911">
        <v>4</v>
      </c>
      <c r="DG911">
        <v>12</v>
      </c>
      <c r="DH911">
        <v>6</v>
      </c>
      <c r="DI911">
        <v>26</v>
      </c>
      <c r="DJ911">
        <v>2</v>
      </c>
      <c r="DK911">
        <v>15</v>
      </c>
      <c r="DL911">
        <v>6</v>
      </c>
      <c r="DM911">
        <v>2</v>
      </c>
      <c r="DN911">
        <v>16</v>
      </c>
      <c r="DO911">
        <v>863</v>
      </c>
      <c r="DP911">
        <v>26</v>
      </c>
      <c r="DQ911">
        <v>8</v>
      </c>
      <c r="DR911">
        <v>3</v>
      </c>
      <c r="DS911">
        <v>3</v>
      </c>
      <c r="DT911">
        <v>4</v>
      </c>
      <c r="DU911">
        <v>22</v>
      </c>
      <c r="DV911">
        <v>2</v>
      </c>
      <c r="DW911">
        <v>0</v>
      </c>
      <c r="DX911">
        <v>20</v>
      </c>
      <c r="DY911">
        <v>0</v>
      </c>
      <c r="DZ911">
        <v>947</v>
      </c>
      <c r="EA911">
        <v>0.94820000000000004</v>
      </c>
      <c r="EB911">
        <v>0.95096451585193298</v>
      </c>
      <c r="EC911">
        <v>0.94699988977282901</v>
      </c>
      <c r="ED911">
        <v>0.94757239948308003</v>
      </c>
      <c r="EE911">
        <f>SUM(Table1[[#This Row],[ratio_0]:[ratio_9]])</f>
        <v>370</v>
      </c>
      <c r="EF911" s="1">
        <f>(Table1[[#This Row],[predicted_0]]-Table1[[#This Row],[actual_0]])/Table1[[#This Row],[actual_0]]</f>
        <v>5.6122448979591837E-2</v>
      </c>
      <c r="EG911" s="1">
        <f>(Table1[[#This Row],[predicted_1]]-Table1[[#This Row],[actual_1]])/Table1[[#This Row],[actual_1]]</f>
        <v>7.048458149779736E-3</v>
      </c>
      <c r="EH911" s="1">
        <f>(Table1[[#This Row],[predicted_2]]-Table1[[#This Row],[actual_2]])/Table1[[#This Row],[actual_2]]</f>
        <v>0.11821705426356589</v>
      </c>
      <c r="EI911" s="1">
        <f>(Table1[[#This Row],[predicted_3]]-Table1[[#This Row],[actual_3]])/Table1[[#This Row],[actual_3]]</f>
        <v>-0.10495049504950495</v>
      </c>
      <c r="EJ911" s="1">
        <f>(Table1[[#This Row],[predicted_4]]-Table1[[#This Row],[actual_4]])/Table1[[#This Row],[actual_4]]</f>
        <v>9.5723014256619138E-2</v>
      </c>
      <c r="EK911" s="1">
        <f>(Table1[[#This Row],[predicted_5]]-Table1[[#This Row],[actual_5]])/Table1[[#This Row],[actual_5]]</f>
        <v>-7.2869955156950675E-2</v>
      </c>
      <c r="EL911" s="1">
        <f>(Table1[[#This Row],[predicted_6]]-Table1[[#This Row],[actual_6]])/Table1[[#This Row],[actual_6]]</f>
        <v>-5.845511482254697E-2</v>
      </c>
      <c r="EM911" s="1">
        <f>(Table1[[#This Row],[predicted_7]]-Table1[[#This Row],[actual_7]])/Table1[[#This Row],[actual_7]]</f>
        <v>3.5019455252918288E-2</v>
      </c>
      <c r="EN911" s="1">
        <f>(Table1[[#This Row],[predicted_8]]-Table1[[#This Row],[actual_8]])/Table1[[#This Row],[actual_8]]</f>
        <v>-0.10780287474332649</v>
      </c>
      <c r="EO911" s="1">
        <f>(Table1[[#This Row],[predicted_9]]-Table1[[#This Row],[actual_9]])/Table1[[#This Row],[actual_9]]</f>
        <v>1.6848364717542121E-2</v>
      </c>
      <c r="EP911" s="1">
        <f>1+(Table1[[#This Row],[error_ratio_0]]-EF$2)</f>
        <v>1.0540816326530613</v>
      </c>
      <c r="EQ911" s="1">
        <f>1+(Table1[[#This Row],[error_ratio_1]]-EG$2)</f>
        <v>1.0052863436123347</v>
      </c>
      <c r="ER911" s="1">
        <f>1+(Table1[[#This Row],[error_ratio_2]]-EH$2)</f>
        <v>1.123062015503876</v>
      </c>
      <c r="ES911" s="1">
        <f>1+(Table1[[#This Row],[error_ratio_3]]-EI$2)</f>
        <v>0.88514851485148516</v>
      </c>
      <c r="ET911" s="1">
        <f>1+(Table1[[#This Row],[error_ratio_4]]-EJ$2)</f>
        <v>1.0947046843177188</v>
      </c>
      <c r="EU911" s="1">
        <f>1+(Table1[[#This Row],[error_ratio_5]]-EK$2)</f>
        <v>0.92600896860986548</v>
      </c>
      <c r="EV911" s="1">
        <f>1+(Table1[[#This Row],[error_ratio_6]]-EL$2)</f>
        <v>0.94780793319415446</v>
      </c>
      <c r="EW911" s="1">
        <f>1+(Table1[[#This Row],[error_ratio_7]]-EM$2)</f>
        <v>1.0330739299610896</v>
      </c>
      <c r="EX911" s="1">
        <f>1+(Table1[[#This Row],[error_ratio_8]]-EN$2)</f>
        <v>0.89527720739219707</v>
      </c>
      <c r="EY911" s="1">
        <f>1+(Table1[[#This Row],[error_ratio_9]]-EO$2)</f>
        <v>1.0208126858275521</v>
      </c>
    </row>
    <row r="912" spans="1:155" x14ac:dyDescent="0.75">
      <c r="A912">
        <v>10</v>
      </c>
      <c r="B912">
        <v>10</v>
      </c>
      <c r="C912">
        <v>100</v>
      </c>
      <c r="D912">
        <v>10</v>
      </c>
      <c r="E912">
        <v>100</v>
      </c>
      <c r="F912">
        <v>10</v>
      </c>
      <c r="G912">
        <v>10</v>
      </c>
      <c r="H912">
        <v>10</v>
      </c>
      <c r="I912">
        <v>10</v>
      </c>
      <c r="J912">
        <v>10</v>
      </c>
      <c r="K912">
        <v>981</v>
      </c>
      <c r="L912">
        <v>1153</v>
      </c>
      <c r="M912">
        <v>1168</v>
      </c>
      <c r="N912">
        <v>907</v>
      </c>
      <c r="O912">
        <v>1233</v>
      </c>
      <c r="P912">
        <v>867</v>
      </c>
      <c r="Q912">
        <v>900</v>
      </c>
      <c r="R912">
        <v>1066</v>
      </c>
      <c r="S912">
        <v>886</v>
      </c>
      <c r="T912">
        <v>839</v>
      </c>
      <c r="U912">
        <v>980</v>
      </c>
      <c r="V912">
        <v>1135</v>
      </c>
      <c r="W912">
        <v>1032</v>
      </c>
      <c r="X912">
        <v>1010</v>
      </c>
      <c r="Y912">
        <v>982</v>
      </c>
      <c r="Z912">
        <v>892</v>
      </c>
      <c r="AA912">
        <v>958</v>
      </c>
      <c r="AB912">
        <v>1028</v>
      </c>
      <c r="AC912">
        <v>974</v>
      </c>
      <c r="AD912">
        <v>1009</v>
      </c>
      <c r="AE912">
        <v>935</v>
      </c>
      <c r="AF912">
        <v>1</v>
      </c>
      <c r="AG912">
        <v>12</v>
      </c>
      <c r="AH912">
        <v>0</v>
      </c>
      <c r="AI912">
        <v>9</v>
      </c>
      <c r="AJ912">
        <v>2</v>
      </c>
      <c r="AK912">
        <v>15</v>
      </c>
      <c r="AL912">
        <v>1</v>
      </c>
      <c r="AM912">
        <v>4</v>
      </c>
      <c r="AN912">
        <v>1</v>
      </c>
      <c r="AO912">
        <v>0</v>
      </c>
      <c r="AP912">
        <v>1123</v>
      </c>
      <c r="AQ912">
        <v>7</v>
      </c>
      <c r="AR912">
        <v>2</v>
      </c>
      <c r="AS912">
        <v>0</v>
      </c>
      <c r="AT912">
        <v>0</v>
      </c>
      <c r="AU912">
        <v>0</v>
      </c>
      <c r="AV912">
        <v>3</v>
      </c>
      <c r="AW912">
        <v>0</v>
      </c>
      <c r="AX912">
        <v>0</v>
      </c>
      <c r="AY912">
        <v>0</v>
      </c>
      <c r="AZ912">
        <v>0</v>
      </c>
      <c r="BA912">
        <v>1020</v>
      </c>
      <c r="BB912">
        <v>0</v>
      </c>
      <c r="BC912">
        <v>3</v>
      </c>
      <c r="BD912">
        <v>0</v>
      </c>
      <c r="BE912">
        <v>1</v>
      </c>
      <c r="BF912">
        <v>8</v>
      </c>
      <c r="BG912">
        <v>0</v>
      </c>
      <c r="BH912">
        <v>0</v>
      </c>
      <c r="BI912">
        <v>3</v>
      </c>
      <c r="BJ912">
        <v>1</v>
      </c>
      <c r="BK912">
        <v>58</v>
      </c>
      <c r="BL912">
        <v>894</v>
      </c>
      <c r="BM912">
        <v>4</v>
      </c>
      <c r="BN912">
        <v>11</v>
      </c>
      <c r="BO912">
        <v>1</v>
      </c>
      <c r="BP912">
        <v>18</v>
      </c>
      <c r="BQ912">
        <v>13</v>
      </c>
      <c r="BR912">
        <v>7</v>
      </c>
      <c r="BS912">
        <v>0</v>
      </c>
      <c r="BT912">
        <v>0</v>
      </c>
      <c r="BU912">
        <v>0</v>
      </c>
      <c r="BV912">
        <v>0</v>
      </c>
      <c r="BW912">
        <v>982</v>
      </c>
      <c r="BX912">
        <v>0</v>
      </c>
      <c r="BY912">
        <v>0</v>
      </c>
      <c r="BZ912">
        <v>0</v>
      </c>
      <c r="CA912">
        <v>0</v>
      </c>
      <c r="CB912">
        <v>0</v>
      </c>
      <c r="CC912">
        <v>14</v>
      </c>
      <c r="CD912">
        <v>1</v>
      </c>
      <c r="CE912">
        <v>6</v>
      </c>
      <c r="CF912">
        <v>9</v>
      </c>
      <c r="CG912">
        <v>7</v>
      </c>
      <c r="CH912">
        <v>830</v>
      </c>
      <c r="CI912">
        <v>8</v>
      </c>
      <c r="CJ912">
        <v>6</v>
      </c>
      <c r="CK912">
        <v>6</v>
      </c>
      <c r="CL912">
        <v>5</v>
      </c>
      <c r="CM912">
        <v>13</v>
      </c>
      <c r="CN912">
        <v>3</v>
      </c>
      <c r="CO912">
        <v>6</v>
      </c>
      <c r="CP912">
        <v>0</v>
      </c>
      <c r="CQ912">
        <v>72</v>
      </c>
      <c r="CR912">
        <v>1</v>
      </c>
      <c r="CS912">
        <v>862</v>
      </c>
      <c r="CT912">
        <v>0</v>
      </c>
      <c r="CU912">
        <v>1</v>
      </c>
      <c r="CV912">
        <v>0</v>
      </c>
      <c r="CW912">
        <v>1</v>
      </c>
      <c r="CX912">
        <v>1</v>
      </c>
      <c r="CY912">
        <v>24</v>
      </c>
      <c r="CZ912">
        <v>0</v>
      </c>
      <c r="DA912">
        <v>10</v>
      </c>
      <c r="DB912">
        <v>0</v>
      </c>
      <c r="DC912">
        <v>0</v>
      </c>
      <c r="DD912">
        <v>984</v>
      </c>
      <c r="DE912">
        <v>1</v>
      </c>
      <c r="DF912">
        <v>7</v>
      </c>
      <c r="DG912">
        <v>6</v>
      </c>
      <c r="DH912">
        <v>17</v>
      </c>
      <c r="DI912">
        <v>32</v>
      </c>
      <c r="DJ912">
        <v>1</v>
      </c>
      <c r="DK912">
        <v>21</v>
      </c>
      <c r="DL912">
        <v>3</v>
      </c>
      <c r="DM912">
        <v>13</v>
      </c>
      <c r="DN912">
        <v>21</v>
      </c>
      <c r="DO912">
        <v>858</v>
      </c>
      <c r="DP912">
        <v>2</v>
      </c>
      <c r="DQ912">
        <v>9</v>
      </c>
      <c r="DR912">
        <v>6</v>
      </c>
      <c r="DS912">
        <v>3</v>
      </c>
      <c r="DT912">
        <v>1</v>
      </c>
      <c r="DU912">
        <v>125</v>
      </c>
      <c r="DV912">
        <v>20</v>
      </c>
      <c r="DW912">
        <v>0</v>
      </c>
      <c r="DX912">
        <v>25</v>
      </c>
      <c r="DY912">
        <v>3</v>
      </c>
      <c r="DZ912">
        <v>817</v>
      </c>
      <c r="EA912">
        <v>0.93049999999999999</v>
      </c>
      <c r="EB912">
        <v>0.93628305707648396</v>
      </c>
      <c r="EC912">
        <v>0.92951285796375505</v>
      </c>
      <c r="ED912">
        <v>0.93001055807239497</v>
      </c>
      <c r="EE912">
        <f>SUM(Table1[[#This Row],[ratio_0]:[ratio_9]])</f>
        <v>280</v>
      </c>
      <c r="EF912" s="1">
        <f>(Table1[[#This Row],[predicted_0]]-Table1[[#This Row],[actual_0]])/Table1[[#This Row],[actual_0]]</f>
        <v>1.0204081632653062E-3</v>
      </c>
      <c r="EG912" s="1">
        <f>(Table1[[#This Row],[predicted_1]]-Table1[[#This Row],[actual_1]])/Table1[[#This Row],[actual_1]]</f>
        <v>1.5859030837004406E-2</v>
      </c>
      <c r="EH912" s="1">
        <f>(Table1[[#This Row],[predicted_2]]-Table1[[#This Row],[actual_2]])/Table1[[#This Row],[actual_2]]</f>
        <v>0.13178294573643412</v>
      </c>
      <c r="EI912" s="1">
        <f>(Table1[[#This Row],[predicted_3]]-Table1[[#This Row],[actual_3]])/Table1[[#This Row],[actual_3]]</f>
        <v>-0.10198019801980197</v>
      </c>
      <c r="EJ912" s="1">
        <f>(Table1[[#This Row],[predicted_4]]-Table1[[#This Row],[actual_4]])/Table1[[#This Row],[actual_4]]</f>
        <v>0.25560081466395113</v>
      </c>
      <c r="EK912" s="1">
        <f>(Table1[[#This Row],[predicted_5]]-Table1[[#This Row],[actual_5]])/Table1[[#This Row],[actual_5]]</f>
        <v>-2.8026905829596414E-2</v>
      </c>
      <c r="EL912" s="1">
        <f>(Table1[[#This Row],[predicted_6]]-Table1[[#This Row],[actual_6]])/Table1[[#This Row],[actual_6]]</f>
        <v>-6.0542797494780795E-2</v>
      </c>
      <c r="EM912" s="1">
        <f>(Table1[[#This Row],[predicted_7]]-Table1[[#This Row],[actual_7]])/Table1[[#This Row],[actual_7]]</f>
        <v>3.6964980544747082E-2</v>
      </c>
      <c r="EN912" s="1">
        <f>(Table1[[#This Row],[predicted_8]]-Table1[[#This Row],[actual_8]])/Table1[[#This Row],[actual_8]]</f>
        <v>-9.034907597535935E-2</v>
      </c>
      <c r="EO912" s="1">
        <f>(Table1[[#This Row],[predicted_9]]-Table1[[#This Row],[actual_9]])/Table1[[#This Row],[actual_9]]</f>
        <v>-0.16848364717542122</v>
      </c>
      <c r="EP912" s="1">
        <f>1+(Table1[[#This Row],[error_ratio_0]]-EF$2)</f>
        <v>0.99897959183673468</v>
      </c>
      <c r="EQ912" s="1">
        <f>1+(Table1[[#This Row],[error_ratio_1]]-EG$2)</f>
        <v>1.0140969162995594</v>
      </c>
      <c r="ER912" s="1">
        <f>1+(Table1[[#This Row],[error_ratio_2]]-EH$2)</f>
        <v>1.1366279069767442</v>
      </c>
      <c r="ES912" s="1">
        <f>1+(Table1[[#This Row],[error_ratio_3]]-EI$2)</f>
        <v>0.88811881188118813</v>
      </c>
      <c r="ET912" s="1">
        <f>1+(Table1[[#This Row],[error_ratio_4]]-EJ$2)</f>
        <v>1.2545824847250509</v>
      </c>
      <c r="EU912" s="1">
        <f>1+(Table1[[#This Row],[error_ratio_5]]-EK$2)</f>
        <v>0.97085201793721976</v>
      </c>
      <c r="EV912" s="1">
        <f>1+(Table1[[#This Row],[error_ratio_6]]-EL$2)</f>
        <v>0.94572025052192066</v>
      </c>
      <c r="EW912" s="1">
        <f>1+(Table1[[#This Row],[error_ratio_7]]-EM$2)</f>
        <v>1.0350194552529184</v>
      </c>
      <c r="EX912" s="1">
        <f>1+(Table1[[#This Row],[error_ratio_8]]-EN$2)</f>
        <v>0.91273100616016423</v>
      </c>
      <c r="EY912" s="1">
        <f>1+(Table1[[#This Row],[error_ratio_9]]-EO$2)</f>
        <v>0.83548067393458869</v>
      </c>
    </row>
    <row r="913" spans="1:155" x14ac:dyDescent="0.75">
      <c r="A913">
        <v>100</v>
      </c>
      <c r="B913">
        <v>100</v>
      </c>
      <c r="C913">
        <v>10</v>
      </c>
      <c r="D913">
        <v>10</v>
      </c>
      <c r="E913">
        <v>100</v>
      </c>
      <c r="F913">
        <v>10</v>
      </c>
      <c r="G913">
        <v>10</v>
      </c>
      <c r="H913">
        <v>10</v>
      </c>
      <c r="I913">
        <v>10</v>
      </c>
      <c r="J913">
        <v>10</v>
      </c>
      <c r="K913">
        <v>1072</v>
      </c>
      <c r="L913">
        <v>1171</v>
      </c>
      <c r="M913">
        <v>1153</v>
      </c>
      <c r="N913">
        <v>816</v>
      </c>
      <c r="O913">
        <v>970</v>
      </c>
      <c r="P913">
        <v>933</v>
      </c>
      <c r="Q913">
        <v>814</v>
      </c>
      <c r="R913">
        <v>819</v>
      </c>
      <c r="S913">
        <v>1243</v>
      </c>
      <c r="T913">
        <v>1009</v>
      </c>
      <c r="U913">
        <v>980</v>
      </c>
      <c r="V913">
        <v>1135</v>
      </c>
      <c r="W913">
        <v>1032</v>
      </c>
      <c r="X913">
        <v>1010</v>
      </c>
      <c r="Y913">
        <v>982</v>
      </c>
      <c r="Z913">
        <v>892</v>
      </c>
      <c r="AA913">
        <v>958</v>
      </c>
      <c r="AB913">
        <v>1028</v>
      </c>
      <c r="AC913">
        <v>974</v>
      </c>
      <c r="AD913">
        <v>1009</v>
      </c>
      <c r="AE913">
        <v>973</v>
      </c>
      <c r="AF913">
        <v>0</v>
      </c>
      <c r="AG913">
        <v>0</v>
      </c>
      <c r="AH913">
        <v>0</v>
      </c>
      <c r="AI913">
        <v>0</v>
      </c>
      <c r="AJ913">
        <v>0</v>
      </c>
      <c r="AK913">
        <v>0</v>
      </c>
      <c r="AL913">
        <v>0</v>
      </c>
      <c r="AM913">
        <v>6</v>
      </c>
      <c r="AN913">
        <v>1</v>
      </c>
      <c r="AO913">
        <v>0</v>
      </c>
      <c r="AP913">
        <v>1131</v>
      </c>
      <c r="AQ913">
        <v>2</v>
      </c>
      <c r="AR913">
        <v>0</v>
      </c>
      <c r="AS913">
        <v>0</v>
      </c>
      <c r="AT913">
        <v>1</v>
      </c>
      <c r="AU913">
        <v>0</v>
      </c>
      <c r="AV913">
        <v>0</v>
      </c>
      <c r="AW913">
        <v>1</v>
      </c>
      <c r="AX913">
        <v>0</v>
      </c>
      <c r="AY913">
        <v>12</v>
      </c>
      <c r="AZ913">
        <v>2</v>
      </c>
      <c r="BA913">
        <v>999</v>
      </c>
      <c r="BB913">
        <v>0</v>
      </c>
      <c r="BC913">
        <v>8</v>
      </c>
      <c r="BD913">
        <v>1</v>
      </c>
      <c r="BE913">
        <v>0</v>
      </c>
      <c r="BF913">
        <v>1</v>
      </c>
      <c r="BG913">
        <v>9</v>
      </c>
      <c r="BH913">
        <v>0</v>
      </c>
      <c r="BI913">
        <v>22</v>
      </c>
      <c r="BJ913">
        <v>0</v>
      </c>
      <c r="BK913">
        <v>7</v>
      </c>
      <c r="BL913">
        <v>813</v>
      </c>
      <c r="BM913">
        <v>0</v>
      </c>
      <c r="BN913">
        <v>58</v>
      </c>
      <c r="BO913">
        <v>0</v>
      </c>
      <c r="BP913">
        <v>6</v>
      </c>
      <c r="BQ913">
        <v>93</v>
      </c>
      <c r="BR913">
        <v>11</v>
      </c>
      <c r="BS913">
        <v>1</v>
      </c>
      <c r="BT913">
        <v>3</v>
      </c>
      <c r="BU913">
        <v>1</v>
      </c>
      <c r="BV913">
        <v>0</v>
      </c>
      <c r="BW913">
        <v>944</v>
      </c>
      <c r="BX913">
        <v>0</v>
      </c>
      <c r="BY913">
        <v>3</v>
      </c>
      <c r="BZ913">
        <v>0</v>
      </c>
      <c r="CA913">
        <v>12</v>
      </c>
      <c r="CB913">
        <v>18</v>
      </c>
      <c r="CC913">
        <v>21</v>
      </c>
      <c r="CD913">
        <v>0</v>
      </c>
      <c r="CE913">
        <v>1</v>
      </c>
      <c r="CF913">
        <v>0</v>
      </c>
      <c r="CG913">
        <v>0</v>
      </c>
      <c r="CH913">
        <v>812</v>
      </c>
      <c r="CI913">
        <v>2</v>
      </c>
      <c r="CJ913">
        <v>1</v>
      </c>
      <c r="CK913">
        <v>39</v>
      </c>
      <c r="CL913">
        <v>16</v>
      </c>
      <c r="CM913">
        <v>31</v>
      </c>
      <c r="CN913">
        <v>5</v>
      </c>
      <c r="CO913">
        <v>3</v>
      </c>
      <c r="CP913">
        <v>0</v>
      </c>
      <c r="CQ913">
        <v>12</v>
      </c>
      <c r="CR913">
        <v>55</v>
      </c>
      <c r="CS913">
        <v>809</v>
      </c>
      <c r="CT913">
        <v>0</v>
      </c>
      <c r="CU913">
        <v>41</v>
      </c>
      <c r="CV913">
        <v>2</v>
      </c>
      <c r="CW913">
        <v>2</v>
      </c>
      <c r="CX913">
        <v>22</v>
      </c>
      <c r="CY913">
        <v>135</v>
      </c>
      <c r="CZ913">
        <v>2</v>
      </c>
      <c r="DA913">
        <v>2</v>
      </c>
      <c r="DB913">
        <v>0</v>
      </c>
      <c r="DC913">
        <v>0</v>
      </c>
      <c r="DD913">
        <v>804</v>
      </c>
      <c r="DE913">
        <v>34</v>
      </c>
      <c r="DF913">
        <v>27</v>
      </c>
      <c r="DG913">
        <v>5</v>
      </c>
      <c r="DH913">
        <v>1</v>
      </c>
      <c r="DI913">
        <v>4</v>
      </c>
      <c r="DJ913">
        <v>1</v>
      </c>
      <c r="DK913">
        <v>1</v>
      </c>
      <c r="DL913">
        <v>2</v>
      </c>
      <c r="DM913">
        <v>0</v>
      </c>
      <c r="DN913">
        <v>2</v>
      </c>
      <c r="DO913">
        <v>956</v>
      </c>
      <c r="DP913">
        <v>2</v>
      </c>
      <c r="DQ913">
        <v>5</v>
      </c>
      <c r="DR913">
        <v>7</v>
      </c>
      <c r="DS913">
        <v>1</v>
      </c>
      <c r="DT913">
        <v>0</v>
      </c>
      <c r="DU913">
        <v>3</v>
      </c>
      <c r="DV913">
        <v>4</v>
      </c>
      <c r="DW913">
        <v>0</v>
      </c>
      <c r="DX913">
        <v>5</v>
      </c>
      <c r="DY913">
        <v>52</v>
      </c>
      <c r="DZ913">
        <v>932</v>
      </c>
      <c r="EA913">
        <v>0.9173</v>
      </c>
      <c r="EB913">
        <v>0.92480923254470004</v>
      </c>
      <c r="EC913">
        <v>0.91656991623657103</v>
      </c>
      <c r="ED913">
        <v>0.91610330467327405</v>
      </c>
      <c r="EE913">
        <f>SUM(Table1[[#This Row],[ratio_0]:[ratio_9]])</f>
        <v>370</v>
      </c>
      <c r="EF913" s="1">
        <f>(Table1[[#This Row],[predicted_0]]-Table1[[#This Row],[actual_0]])/Table1[[#This Row],[actual_0]]</f>
        <v>9.3877551020408165E-2</v>
      </c>
      <c r="EG913" s="1">
        <f>(Table1[[#This Row],[predicted_1]]-Table1[[#This Row],[actual_1]])/Table1[[#This Row],[actual_1]]</f>
        <v>3.1718061674008813E-2</v>
      </c>
      <c r="EH913" s="1">
        <f>(Table1[[#This Row],[predicted_2]]-Table1[[#This Row],[actual_2]])/Table1[[#This Row],[actual_2]]</f>
        <v>0.11724806201550388</v>
      </c>
      <c r="EI913" s="1">
        <f>(Table1[[#This Row],[predicted_3]]-Table1[[#This Row],[actual_3]])/Table1[[#This Row],[actual_3]]</f>
        <v>-0.19207920792079208</v>
      </c>
      <c r="EJ913" s="1">
        <f>(Table1[[#This Row],[predicted_4]]-Table1[[#This Row],[actual_4]])/Table1[[#This Row],[actual_4]]</f>
        <v>-1.2219959266802444E-2</v>
      </c>
      <c r="EK913" s="1">
        <f>(Table1[[#This Row],[predicted_5]]-Table1[[#This Row],[actual_5]])/Table1[[#This Row],[actual_5]]</f>
        <v>4.5964125560538117E-2</v>
      </c>
      <c r="EL913" s="1">
        <f>(Table1[[#This Row],[predicted_6]]-Table1[[#This Row],[actual_6]])/Table1[[#This Row],[actual_6]]</f>
        <v>-0.15031315240083507</v>
      </c>
      <c r="EM913" s="1">
        <f>(Table1[[#This Row],[predicted_7]]-Table1[[#This Row],[actual_7]])/Table1[[#This Row],[actual_7]]</f>
        <v>-0.20330739299610895</v>
      </c>
      <c r="EN913" s="1">
        <f>(Table1[[#This Row],[predicted_8]]-Table1[[#This Row],[actual_8]])/Table1[[#This Row],[actual_8]]</f>
        <v>0.27618069815195073</v>
      </c>
      <c r="EO913" s="1">
        <f>(Table1[[#This Row],[predicted_9]]-Table1[[#This Row],[actual_9]])/Table1[[#This Row],[actual_9]]</f>
        <v>0</v>
      </c>
      <c r="EP913" s="1">
        <f>1+(Table1[[#This Row],[error_ratio_0]]-EF$2)</f>
        <v>1.0918367346938775</v>
      </c>
      <c r="EQ913" s="1">
        <f>1+(Table1[[#This Row],[error_ratio_1]]-EG$2)</f>
        <v>1.0299559471365638</v>
      </c>
      <c r="ER913" s="1">
        <f>1+(Table1[[#This Row],[error_ratio_2]]-EH$2)</f>
        <v>1.1220930232558139</v>
      </c>
      <c r="ES913" s="1">
        <f>1+(Table1[[#This Row],[error_ratio_3]]-EI$2)</f>
        <v>0.79801980198019806</v>
      </c>
      <c r="ET913" s="1">
        <f>1+(Table1[[#This Row],[error_ratio_4]]-EJ$2)</f>
        <v>0.98676171079429731</v>
      </c>
      <c r="EU913" s="1">
        <f>1+(Table1[[#This Row],[error_ratio_5]]-EK$2)</f>
        <v>1.0448430493273542</v>
      </c>
      <c r="EV913" s="1">
        <f>1+(Table1[[#This Row],[error_ratio_6]]-EL$2)</f>
        <v>0.85594989561586643</v>
      </c>
      <c r="EW913" s="1">
        <f>1+(Table1[[#This Row],[error_ratio_7]]-EM$2)</f>
        <v>0.79474708171206232</v>
      </c>
      <c r="EX913" s="1">
        <f>1+(Table1[[#This Row],[error_ratio_8]]-EN$2)</f>
        <v>1.2792607802874745</v>
      </c>
      <c r="EY913" s="1">
        <f>1+(Table1[[#This Row],[error_ratio_9]]-EO$2)</f>
        <v>1.00396432111001</v>
      </c>
    </row>
    <row r="914" spans="1:155" x14ac:dyDescent="0.75">
      <c r="A914">
        <v>10</v>
      </c>
      <c r="B914">
        <v>100</v>
      </c>
      <c r="C914">
        <v>10</v>
      </c>
      <c r="D914">
        <v>10</v>
      </c>
      <c r="E914">
        <v>100</v>
      </c>
      <c r="F914">
        <v>10</v>
      </c>
      <c r="G914">
        <v>10</v>
      </c>
      <c r="H914">
        <v>10</v>
      </c>
      <c r="I914">
        <v>10</v>
      </c>
      <c r="J914">
        <v>10</v>
      </c>
      <c r="K914">
        <v>1007</v>
      </c>
      <c r="L914">
        <v>1170</v>
      </c>
      <c r="M914">
        <v>1072</v>
      </c>
      <c r="N914">
        <v>979</v>
      </c>
      <c r="O914">
        <v>985</v>
      </c>
      <c r="P914">
        <v>860</v>
      </c>
      <c r="Q914">
        <v>944</v>
      </c>
      <c r="R914">
        <v>899</v>
      </c>
      <c r="S914">
        <v>960</v>
      </c>
      <c r="T914">
        <v>1124</v>
      </c>
      <c r="U914">
        <v>980</v>
      </c>
      <c r="V914">
        <v>1135</v>
      </c>
      <c r="W914">
        <v>1032</v>
      </c>
      <c r="X914">
        <v>1010</v>
      </c>
      <c r="Y914">
        <v>982</v>
      </c>
      <c r="Z914">
        <v>892</v>
      </c>
      <c r="AA914">
        <v>958</v>
      </c>
      <c r="AB914">
        <v>1028</v>
      </c>
      <c r="AC914">
        <v>974</v>
      </c>
      <c r="AD914">
        <v>1009</v>
      </c>
      <c r="AE914">
        <v>956</v>
      </c>
      <c r="AF914">
        <v>2</v>
      </c>
      <c r="AG914">
        <v>2</v>
      </c>
      <c r="AH914">
        <v>0</v>
      </c>
      <c r="AI914">
        <v>8</v>
      </c>
      <c r="AJ914">
        <v>0</v>
      </c>
      <c r="AK914">
        <v>2</v>
      </c>
      <c r="AL914">
        <v>1</v>
      </c>
      <c r="AM914">
        <v>2</v>
      </c>
      <c r="AN914">
        <v>7</v>
      </c>
      <c r="AO914">
        <v>0</v>
      </c>
      <c r="AP914">
        <v>1132</v>
      </c>
      <c r="AQ914">
        <v>2</v>
      </c>
      <c r="AR914">
        <v>0</v>
      </c>
      <c r="AS914">
        <v>0</v>
      </c>
      <c r="AT914">
        <v>1</v>
      </c>
      <c r="AU914">
        <v>0</v>
      </c>
      <c r="AV914">
        <v>0</v>
      </c>
      <c r="AW914">
        <v>0</v>
      </c>
      <c r="AX914">
        <v>0</v>
      </c>
      <c r="AY914">
        <v>6</v>
      </c>
      <c r="AZ914">
        <v>4</v>
      </c>
      <c r="BA914">
        <v>1007</v>
      </c>
      <c r="BB914">
        <v>0</v>
      </c>
      <c r="BC914">
        <v>5</v>
      </c>
      <c r="BD914">
        <v>0</v>
      </c>
      <c r="BE914">
        <v>1</v>
      </c>
      <c r="BF914">
        <v>3</v>
      </c>
      <c r="BG914">
        <v>6</v>
      </c>
      <c r="BH914">
        <v>0</v>
      </c>
      <c r="BI914">
        <v>3</v>
      </c>
      <c r="BJ914">
        <v>0</v>
      </c>
      <c r="BK914">
        <v>16</v>
      </c>
      <c r="BL914">
        <v>958</v>
      </c>
      <c r="BM914">
        <v>0</v>
      </c>
      <c r="BN914">
        <v>7</v>
      </c>
      <c r="BO914">
        <v>0</v>
      </c>
      <c r="BP914">
        <v>5</v>
      </c>
      <c r="BQ914">
        <v>13</v>
      </c>
      <c r="BR914">
        <v>8</v>
      </c>
      <c r="BS914">
        <v>0</v>
      </c>
      <c r="BT914">
        <v>0</v>
      </c>
      <c r="BU914">
        <v>2</v>
      </c>
      <c r="BV914">
        <v>0</v>
      </c>
      <c r="BW914">
        <v>955</v>
      </c>
      <c r="BX914">
        <v>0</v>
      </c>
      <c r="BY914">
        <v>4</v>
      </c>
      <c r="BZ914">
        <v>0</v>
      </c>
      <c r="CA914">
        <v>1</v>
      </c>
      <c r="CB914">
        <v>20</v>
      </c>
      <c r="CC914">
        <v>6</v>
      </c>
      <c r="CD914">
        <v>1</v>
      </c>
      <c r="CE914">
        <v>1</v>
      </c>
      <c r="CF914">
        <v>14</v>
      </c>
      <c r="CG914">
        <v>1</v>
      </c>
      <c r="CH914">
        <v>841</v>
      </c>
      <c r="CI914">
        <v>10</v>
      </c>
      <c r="CJ914">
        <v>0</v>
      </c>
      <c r="CK914">
        <v>11</v>
      </c>
      <c r="CL914">
        <v>7</v>
      </c>
      <c r="CM914">
        <v>12</v>
      </c>
      <c r="CN914">
        <v>7</v>
      </c>
      <c r="CO914">
        <v>3</v>
      </c>
      <c r="CP914">
        <v>0</v>
      </c>
      <c r="CQ914">
        <v>5</v>
      </c>
      <c r="CR914">
        <v>3</v>
      </c>
      <c r="CS914">
        <v>925</v>
      </c>
      <c r="CT914">
        <v>0</v>
      </c>
      <c r="CU914">
        <v>3</v>
      </c>
      <c r="CV914">
        <v>0</v>
      </c>
      <c r="CW914">
        <v>5</v>
      </c>
      <c r="CX914">
        <v>16</v>
      </c>
      <c r="CY914">
        <v>28</v>
      </c>
      <c r="CZ914">
        <v>2</v>
      </c>
      <c r="DA914">
        <v>5</v>
      </c>
      <c r="DB914">
        <v>0</v>
      </c>
      <c r="DC914">
        <v>0</v>
      </c>
      <c r="DD914">
        <v>886</v>
      </c>
      <c r="DE914">
        <v>2</v>
      </c>
      <c r="DF914">
        <v>84</v>
      </c>
      <c r="DG914">
        <v>14</v>
      </c>
      <c r="DH914">
        <v>3</v>
      </c>
      <c r="DI914">
        <v>9</v>
      </c>
      <c r="DJ914">
        <v>4</v>
      </c>
      <c r="DK914">
        <v>5</v>
      </c>
      <c r="DL914">
        <v>3</v>
      </c>
      <c r="DM914">
        <v>1</v>
      </c>
      <c r="DN914">
        <v>2</v>
      </c>
      <c r="DO914">
        <v>915</v>
      </c>
      <c r="DP914">
        <v>18</v>
      </c>
      <c r="DQ914">
        <v>5</v>
      </c>
      <c r="DR914">
        <v>5</v>
      </c>
      <c r="DS914">
        <v>2</v>
      </c>
      <c r="DT914">
        <v>1</v>
      </c>
      <c r="DU914">
        <v>1</v>
      </c>
      <c r="DV914">
        <v>5</v>
      </c>
      <c r="DW914">
        <v>1</v>
      </c>
      <c r="DX914">
        <v>2</v>
      </c>
      <c r="DY914">
        <v>7</v>
      </c>
      <c r="DZ914">
        <v>980</v>
      </c>
      <c r="EA914">
        <v>0.95550000000000002</v>
      </c>
      <c r="EB914">
        <v>0.95726647125068898</v>
      </c>
      <c r="EC914">
        <v>0.95505919447917997</v>
      </c>
      <c r="ED914">
        <v>0.95534006971769603</v>
      </c>
      <c r="EE914">
        <f>SUM(Table1[[#This Row],[ratio_0]:[ratio_9]])</f>
        <v>280</v>
      </c>
      <c r="EF914" s="1">
        <f>(Table1[[#This Row],[predicted_0]]-Table1[[#This Row],[actual_0]])/Table1[[#This Row],[actual_0]]</f>
        <v>2.7551020408163266E-2</v>
      </c>
      <c r="EG914" s="1">
        <f>(Table1[[#This Row],[predicted_1]]-Table1[[#This Row],[actual_1]])/Table1[[#This Row],[actual_1]]</f>
        <v>3.0837004405286344E-2</v>
      </c>
      <c r="EH914" s="1">
        <f>(Table1[[#This Row],[predicted_2]]-Table1[[#This Row],[actual_2]])/Table1[[#This Row],[actual_2]]</f>
        <v>3.875968992248062E-2</v>
      </c>
      <c r="EI914" s="1">
        <f>(Table1[[#This Row],[predicted_3]]-Table1[[#This Row],[actual_3]])/Table1[[#This Row],[actual_3]]</f>
        <v>-3.0693069306930693E-2</v>
      </c>
      <c r="EJ914" s="1">
        <f>(Table1[[#This Row],[predicted_4]]-Table1[[#This Row],[actual_4]])/Table1[[#This Row],[actual_4]]</f>
        <v>3.0549898167006109E-3</v>
      </c>
      <c r="EK914" s="1">
        <f>(Table1[[#This Row],[predicted_5]]-Table1[[#This Row],[actual_5]])/Table1[[#This Row],[actual_5]]</f>
        <v>-3.5874439461883408E-2</v>
      </c>
      <c r="EL914" s="1">
        <f>(Table1[[#This Row],[predicted_6]]-Table1[[#This Row],[actual_6]])/Table1[[#This Row],[actual_6]]</f>
        <v>-1.4613778705636743E-2</v>
      </c>
      <c r="EM914" s="1">
        <f>(Table1[[#This Row],[predicted_7]]-Table1[[#This Row],[actual_7]])/Table1[[#This Row],[actual_7]]</f>
        <v>-0.1254863813229572</v>
      </c>
      <c r="EN914" s="1">
        <f>(Table1[[#This Row],[predicted_8]]-Table1[[#This Row],[actual_8]])/Table1[[#This Row],[actual_8]]</f>
        <v>-1.4373716632443531E-2</v>
      </c>
      <c r="EO914" s="1">
        <f>(Table1[[#This Row],[predicted_9]]-Table1[[#This Row],[actual_9]])/Table1[[#This Row],[actual_9]]</f>
        <v>0.11397423191278494</v>
      </c>
      <c r="EP914" s="1">
        <f>1+(Table1[[#This Row],[error_ratio_0]]-EF$2)</f>
        <v>1.0255102040816326</v>
      </c>
      <c r="EQ914" s="1">
        <f>1+(Table1[[#This Row],[error_ratio_1]]-EG$2)</f>
        <v>1.0290748898678415</v>
      </c>
      <c r="ER914" s="1">
        <f>1+(Table1[[#This Row],[error_ratio_2]]-EH$2)</f>
        <v>1.0436046511627908</v>
      </c>
      <c r="ES914" s="1">
        <f>1+(Table1[[#This Row],[error_ratio_3]]-EI$2)</f>
        <v>0.95940594059405937</v>
      </c>
      <c r="ET914" s="1">
        <f>1+(Table1[[#This Row],[error_ratio_4]]-EJ$2)</f>
        <v>1.0020366598778003</v>
      </c>
      <c r="EU914" s="1">
        <f>1+(Table1[[#This Row],[error_ratio_5]]-EK$2)</f>
        <v>0.96300448430493268</v>
      </c>
      <c r="EV914" s="1">
        <f>1+(Table1[[#This Row],[error_ratio_6]]-EL$2)</f>
        <v>0.99164926931106467</v>
      </c>
      <c r="EW914" s="1">
        <f>1+(Table1[[#This Row],[error_ratio_7]]-EM$2)</f>
        <v>0.87256809338521402</v>
      </c>
      <c r="EX914" s="1">
        <f>1+(Table1[[#This Row],[error_ratio_8]]-EN$2)</f>
        <v>0.98870636550308011</v>
      </c>
      <c r="EY914" s="1">
        <f>1+(Table1[[#This Row],[error_ratio_9]]-EO$2)</f>
        <v>1.1179385530227948</v>
      </c>
    </row>
    <row r="915" spans="1:155" x14ac:dyDescent="0.75">
      <c r="A915">
        <v>100</v>
      </c>
      <c r="B915">
        <v>10</v>
      </c>
      <c r="C915">
        <v>10</v>
      </c>
      <c r="D915">
        <v>10</v>
      </c>
      <c r="E915">
        <v>100</v>
      </c>
      <c r="F915">
        <v>10</v>
      </c>
      <c r="G915">
        <v>10</v>
      </c>
      <c r="H915">
        <v>10</v>
      </c>
      <c r="I915">
        <v>10</v>
      </c>
      <c r="J915">
        <v>10</v>
      </c>
      <c r="K915">
        <v>1038</v>
      </c>
      <c r="L915">
        <v>1131</v>
      </c>
      <c r="M915">
        <v>972</v>
      </c>
      <c r="N915">
        <v>1097</v>
      </c>
      <c r="O915">
        <v>1008</v>
      </c>
      <c r="P915">
        <v>925</v>
      </c>
      <c r="Q915">
        <v>921</v>
      </c>
      <c r="R915">
        <v>1006</v>
      </c>
      <c r="S915">
        <v>906</v>
      </c>
      <c r="T915">
        <v>996</v>
      </c>
      <c r="U915">
        <v>980</v>
      </c>
      <c r="V915">
        <v>1135</v>
      </c>
      <c r="W915">
        <v>1032</v>
      </c>
      <c r="X915">
        <v>1010</v>
      </c>
      <c r="Y915">
        <v>982</v>
      </c>
      <c r="Z915">
        <v>892</v>
      </c>
      <c r="AA915">
        <v>958</v>
      </c>
      <c r="AB915">
        <v>1028</v>
      </c>
      <c r="AC915">
        <v>974</v>
      </c>
      <c r="AD915">
        <v>1009</v>
      </c>
      <c r="AE915">
        <v>977</v>
      </c>
      <c r="AF915">
        <v>0</v>
      </c>
      <c r="AG915">
        <v>0</v>
      </c>
      <c r="AH915">
        <v>0</v>
      </c>
      <c r="AI915">
        <v>0</v>
      </c>
      <c r="AJ915">
        <v>1</v>
      </c>
      <c r="AK915">
        <v>0</v>
      </c>
      <c r="AL915">
        <v>0</v>
      </c>
      <c r="AM915">
        <v>2</v>
      </c>
      <c r="AN915">
        <v>0</v>
      </c>
      <c r="AO915">
        <v>0</v>
      </c>
      <c r="AP915">
        <v>1119</v>
      </c>
      <c r="AQ915">
        <v>2</v>
      </c>
      <c r="AR915">
        <v>3</v>
      </c>
      <c r="AS915">
        <v>2</v>
      </c>
      <c r="AT915">
        <v>1</v>
      </c>
      <c r="AU915">
        <v>1</v>
      </c>
      <c r="AV915">
        <v>0</v>
      </c>
      <c r="AW915">
        <v>6</v>
      </c>
      <c r="AX915">
        <v>1</v>
      </c>
      <c r="AY915">
        <v>9</v>
      </c>
      <c r="AZ915">
        <v>2</v>
      </c>
      <c r="BA915">
        <v>959</v>
      </c>
      <c r="BB915">
        <v>39</v>
      </c>
      <c r="BC915">
        <v>4</v>
      </c>
      <c r="BD915">
        <v>1</v>
      </c>
      <c r="BE915">
        <v>1</v>
      </c>
      <c r="BF915">
        <v>12</v>
      </c>
      <c r="BG915">
        <v>5</v>
      </c>
      <c r="BH915">
        <v>0</v>
      </c>
      <c r="BI915">
        <v>6</v>
      </c>
      <c r="BJ915">
        <v>0</v>
      </c>
      <c r="BK915">
        <v>0</v>
      </c>
      <c r="BL915">
        <v>981</v>
      </c>
      <c r="BM915">
        <v>0</v>
      </c>
      <c r="BN915">
        <v>13</v>
      </c>
      <c r="BO915">
        <v>0</v>
      </c>
      <c r="BP915">
        <v>5</v>
      </c>
      <c r="BQ915">
        <v>2</v>
      </c>
      <c r="BR915">
        <v>3</v>
      </c>
      <c r="BS915">
        <v>0</v>
      </c>
      <c r="BT915">
        <v>0</v>
      </c>
      <c r="BU915">
        <v>0</v>
      </c>
      <c r="BV915">
        <v>1</v>
      </c>
      <c r="BW915">
        <v>971</v>
      </c>
      <c r="BX915">
        <v>0</v>
      </c>
      <c r="BY915">
        <v>2</v>
      </c>
      <c r="BZ915">
        <v>1</v>
      </c>
      <c r="CA915">
        <v>1</v>
      </c>
      <c r="CB915">
        <v>6</v>
      </c>
      <c r="CC915">
        <v>7</v>
      </c>
      <c r="CD915">
        <v>0</v>
      </c>
      <c r="CE915">
        <v>0</v>
      </c>
      <c r="CF915">
        <v>4</v>
      </c>
      <c r="CG915">
        <v>0</v>
      </c>
      <c r="CH915">
        <v>873</v>
      </c>
      <c r="CI915">
        <v>2</v>
      </c>
      <c r="CJ915">
        <v>0</v>
      </c>
      <c r="CK915">
        <v>5</v>
      </c>
      <c r="CL915">
        <v>1</v>
      </c>
      <c r="CM915">
        <v>18</v>
      </c>
      <c r="CN915">
        <v>3</v>
      </c>
      <c r="CO915">
        <v>0</v>
      </c>
      <c r="CP915">
        <v>0</v>
      </c>
      <c r="CQ915">
        <v>14</v>
      </c>
      <c r="CR915">
        <v>10</v>
      </c>
      <c r="CS915">
        <v>912</v>
      </c>
      <c r="CT915">
        <v>0</v>
      </c>
      <c r="CU915">
        <v>1</v>
      </c>
      <c r="CV915">
        <v>0</v>
      </c>
      <c r="CW915">
        <v>9</v>
      </c>
      <c r="CX915">
        <v>4</v>
      </c>
      <c r="CY915">
        <v>10</v>
      </c>
      <c r="CZ915">
        <v>18</v>
      </c>
      <c r="DA915">
        <v>4</v>
      </c>
      <c r="DB915">
        <v>0</v>
      </c>
      <c r="DC915">
        <v>0</v>
      </c>
      <c r="DD915">
        <v>974</v>
      </c>
      <c r="DE915">
        <v>0</v>
      </c>
      <c r="DF915">
        <v>9</v>
      </c>
      <c r="DG915">
        <v>5</v>
      </c>
      <c r="DH915">
        <v>0</v>
      </c>
      <c r="DI915">
        <v>1</v>
      </c>
      <c r="DJ915">
        <v>42</v>
      </c>
      <c r="DK915">
        <v>4</v>
      </c>
      <c r="DL915">
        <v>12</v>
      </c>
      <c r="DM915">
        <v>3</v>
      </c>
      <c r="DN915">
        <v>7</v>
      </c>
      <c r="DO915">
        <v>881</v>
      </c>
      <c r="DP915">
        <v>19</v>
      </c>
      <c r="DQ915">
        <v>7</v>
      </c>
      <c r="DR915">
        <v>3</v>
      </c>
      <c r="DS915">
        <v>0</v>
      </c>
      <c r="DT915">
        <v>9</v>
      </c>
      <c r="DU915">
        <v>9</v>
      </c>
      <c r="DV915">
        <v>14</v>
      </c>
      <c r="DW915">
        <v>0</v>
      </c>
      <c r="DX915">
        <v>7</v>
      </c>
      <c r="DY915">
        <v>3</v>
      </c>
      <c r="DZ915">
        <v>957</v>
      </c>
      <c r="EA915">
        <v>0.96040000000000003</v>
      </c>
      <c r="EB915">
        <v>0.96102514971917197</v>
      </c>
      <c r="EC915">
        <v>0.96033258710844704</v>
      </c>
      <c r="ED915">
        <v>0.96012958578553897</v>
      </c>
      <c r="EE915">
        <f>SUM(Table1[[#This Row],[ratio_0]:[ratio_9]])</f>
        <v>280</v>
      </c>
      <c r="EF915" s="1">
        <f>(Table1[[#This Row],[predicted_0]]-Table1[[#This Row],[actual_0]])/Table1[[#This Row],[actual_0]]</f>
        <v>5.9183673469387757E-2</v>
      </c>
      <c r="EG915" s="1">
        <f>(Table1[[#This Row],[predicted_1]]-Table1[[#This Row],[actual_1]])/Table1[[#This Row],[actual_1]]</f>
        <v>-3.524229074889868E-3</v>
      </c>
      <c r="EH915" s="1">
        <f>(Table1[[#This Row],[predicted_2]]-Table1[[#This Row],[actual_2]])/Table1[[#This Row],[actual_2]]</f>
        <v>-5.8139534883720929E-2</v>
      </c>
      <c r="EI915" s="1">
        <f>(Table1[[#This Row],[predicted_3]]-Table1[[#This Row],[actual_3]])/Table1[[#This Row],[actual_3]]</f>
        <v>8.6138613861386132E-2</v>
      </c>
      <c r="EJ915" s="1">
        <f>(Table1[[#This Row],[predicted_4]]-Table1[[#This Row],[actual_4]])/Table1[[#This Row],[actual_4]]</f>
        <v>2.6476578411405296E-2</v>
      </c>
      <c r="EK915" s="1">
        <f>(Table1[[#This Row],[predicted_5]]-Table1[[#This Row],[actual_5]])/Table1[[#This Row],[actual_5]]</f>
        <v>3.6995515695067267E-2</v>
      </c>
      <c r="EL915" s="1">
        <f>(Table1[[#This Row],[predicted_6]]-Table1[[#This Row],[actual_6]])/Table1[[#This Row],[actual_6]]</f>
        <v>-3.8622129436325675E-2</v>
      </c>
      <c r="EM915" s="1">
        <f>(Table1[[#This Row],[predicted_7]]-Table1[[#This Row],[actual_7]])/Table1[[#This Row],[actual_7]]</f>
        <v>-2.1400778210116732E-2</v>
      </c>
      <c r="EN915" s="1">
        <f>(Table1[[#This Row],[predicted_8]]-Table1[[#This Row],[actual_8]])/Table1[[#This Row],[actual_8]]</f>
        <v>-6.9815195071868577E-2</v>
      </c>
      <c r="EO915" s="1">
        <f>(Table1[[#This Row],[predicted_9]]-Table1[[#This Row],[actual_9]])/Table1[[#This Row],[actual_9]]</f>
        <v>-1.288404360753221E-2</v>
      </c>
      <c r="EP915" s="1">
        <f>1+(Table1[[#This Row],[error_ratio_0]]-EF$2)</f>
        <v>1.0571428571428572</v>
      </c>
      <c r="EQ915" s="1">
        <f>1+(Table1[[#This Row],[error_ratio_1]]-EG$2)</f>
        <v>0.99471365638766518</v>
      </c>
      <c r="ER915" s="1">
        <f>1+(Table1[[#This Row],[error_ratio_2]]-EH$2)</f>
        <v>0.94670542635658916</v>
      </c>
      <c r="ES915" s="1">
        <f>1+(Table1[[#This Row],[error_ratio_3]]-EI$2)</f>
        <v>1.0762376237623763</v>
      </c>
      <c r="ET915" s="1">
        <f>1+(Table1[[#This Row],[error_ratio_4]]-EJ$2)</f>
        <v>1.025458248472505</v>
      </c>
      <c r="EU915" s="1">
        <f>1+(Table1[[#This Row],[error_ratio_5]]-EK$2)</f>
        <v>1.0358744394618835</v>
      </c>
      <c r="EV915" s="1">
        <f>1+(Table1[[#This Row],[error_ratio_6]]-EL$2)</f>
        <v>0.96764091858037582</v>
      </c>
      <c r="EW915" s="1">
        <f>1+(Table1[[#This Row],[error_ratio_7]]-EM$2)</f>
        <v>0.97665369649805445</v>
      </c>
      <c r="EX915" s="1">
        <f>1+(Table1[[#This Row],[error_ratio_8]]-EN$2)</f>
        <v>0.93326488706365507</v>
      </c>
      <c r="EY915" s="1">
        <f>1+(Table1[[#This Row],[error_ratio_9]]-EO$2)</f>
        <v>0.99108027750247774</v>
      </c>
    </row>
    <row r="916" spans="1:155" x14ac:dyDescent="0.75">
      <c r="A916">
        <v>10</v>
      </c>
      <c r="B916">
        <v>10</v>
      </c>
      <c r="C916">
        <v>10</v>
      </c>
      <c r="D916">
        <v>10</v>
      </c>
      <c r="E916">
        <v>100</v>
      </c>
      <c r="F916">
        <v>10</v>
      </c>
      <c r="G916">
        <v>10</v>
      </c>
      <c r="H916">
        <v>10</v>
      </c>
      <c r="I916">
        <v>10</v>
      </c>
      <c r="J916">
        <v>10</v>
      </c>
      <c r="K916">
        <v>971</v>
      </c>
      <c r="L916">
        <v>1076</v>
      </c>
      <c r="M916">
        <v>991</v>
      </c>
      <c r="N916">
        <v>1047</v>
      </c>
      <c r="O916">
        <v>1017</v>
      </c>
      <c r="P916">
        <v>806</v>
      </c>
      <c r="Q916">
        <v>980</v>
      </c>
      <c r="R916">
        <v>1104</v>
      </c>
      <c r="S916">
        <v>1023</v>
      </c>
      <c r="T916">
        <v>985</v>
      </c>
      <c r="U916">
        <v>980</v>
      </c>
      <c r="V916">
        <v>1135</v>
      </c>
      <c r="W916">
        <v>1032</v>
      </c>
      <c r="X916">
        <v>1010</v>
      </c>
      <c r="Y916">
        <v>982</v>
      </c>
      <c r="Z916">
        <v>892</v>
      </c>
      <c r="AA916">
        <v>958</v>
      </c>
      <c r="AB916">
        <v>1028</v>
      </c>
      <c r="AC916">
        <v>974</v>
      </c>
      <c r="AD916">
        <v>1009</v>
      </c>
      <c r="AE916">
        <v>936</v>
      </c>
      <c r="AF916">
        <v>0</v>
      </c>
      <c r="AG916">
        <v>0</v>
      </c>
      <c r="AH916">
        <v>0</v>
      </c>
      <c r="AI916">
        <v>12</v>
      </c>
      <c r="AJ916">
        <v>1</v>
      </c>
      <c r="AK916">
        <v>16</v>
      </c>
      <c r="AL916">
        <v>8</v>
      </c>
      <c r="AM916">
        <v>4</v>
      </c>
      <c r="AN916">
        <v>3</v>
      </c>
      <c r="AO916">
        <v>0</v>
      </c>
      <c r="AP916">
        <v>1070</v>
      </c>
      <c r="AQ916">
        <v>0</v>
      </c>
      <c r="AR916">
        <v>10</v>
      </c>
      <c r="AS916">
        <v>0</v>
      </c>
      <c r="AT916">
        <v>0</v>
      </c>
      <c r="AU916">
        <v>4</v>
      </c>
      <c r="AV916">
        <v>2</v>
      </c>
      <c r="AW916">
        <v>49</v>
      </c>
      <c r="AX916">
        <v>0</v>
      </c>
      <c r="AY916">
        <v>6</v>
      </c>
      <c r="AZ916">
        <v>2</v>
      </c>
      <c r="BA916">
        <v>966</v>
      </c>
      <c r="BB916">
        <v>4</v>
      </c>
      <c r="BC916">
        <v>9</v>
      </c>
      <c r="BD916">
        <v>0</v>
      </c>
      <c r="BE916">
        <v>12</v>
      </c>
      <c r="BF916">
        <v>24</v>
      </c>
      <c r="BG916">
        <v>8</v>
      </c>
      <c r="BH916">
        <v>1</v>
      </c>
      <c r="BI916">
        <v>1</v>
      </c>
      <c r="BJ916">
        <v>0</v>
      </c>
      <c r="BK916">
        <v>11</v>
      </c>
      <c r="BL916">
        <v>970</v>
      </c>
      <c r="BM916">
        <v>0</v>
      </c>
      <c r="BN916">
        <v>0</v>
      </c>
      <c r="BO916">
        <v>0</v>
      </c>
      <c r="BP916">
        <v>14</v>
      </c>
      <c r="BQ916">
        <v>9</v>
      </c>
      <c r="BR916">
        <v>5</v>
      </c>
      <c r="BS916">
        <v>0</v>
      </c>
      <c r="BT916">
        <v>0</v>
      </c>
      <c r="BU916">
        <v>0</v>
      </c>
      <c r="BV916">
        <v>0</v>
      </c>
      <c r="BW916">
        <v>960</v>
      </c>
      <c r="BX916">
        <v>0</v>
      </c>
      <c r="BY916">
        <v>3</v>
      </c>
      <c r="BZ916">
        <v>0</v>
      </c>
      <c r="CA916">
        <v>4</v>
      </c>
      <c r="CB916">
        <v>15</v>
      </c>
      <c r="CC916">
        <v>6</v>
      </c>
      <c r="CD916">
        <v>0</v>
      </c>
      <c r="CE916">
        <v>0</v>
      </c>
      <c r="CF916">
        <v>48</v>
      </c>
      <c r="CG916">
        <v>0</v>
      </c>
      <c r="CH916">
        <v>798</v>
      </c>
      <c r="CI916">
        <v>13</v>
      </c>
      <c r="CJ916">
        <v>5</v>
      </c>
      <c r="CK916">
        <v>10</v>
      </c>
      <c r="CL916">
        <v>12</v>
      </c>
      <c r="CM916">
        <v>8</v>
      </c>
      <c r="CN916">
        <v>2</v>
      </c>
      <c r="CO916">
        <v>0</v>
      </c>
      <c r="CP916">
        <v>0</v>
      </c>
      <c r="CQ916">
        <v>17</v>
      </c>
      <c r="CR916">
        <v>1</v>
      </c>
      <c r="CS916">
        <v>926</v>
      </c>
      <c r="CT916">
        <v>0</v>
      </c>
      <c r="CU916">
        <v>4</v>
      </c>
      <c r="CV916">
        <v>0</v>
      </c>
      <c r="CW916">
        <v>1</v>
      </c>
      <c r="CX916">
        <v>2</v>
      </c>
      <c r="CY916">
        <v>9</v>
      </c>
      <c r="CZ916">
        <v>3</v>
      </c>
      <c r="DA916">
        <v>4</v>
      </c>
      <c r="DB916">
        <v>0</v>
      </c>
      <c r="DC916">
        <v>0</v>
      </c>
      <c r="DD916">
        <v>1005</v>
      </c>
      <c r="DE916">
        <v>3</v>
      </c>
      <c r="DF916">
        <v>1</v>
      </c>
      <c r="DG916">
        <v>10</v>
      </c>
      <c r="DH916">
        <v>0</v>
      </c>
      <c r="DI916">
        <v>5</v>
      </c>
      <c r="DJ916">
        <v>4</v>
      </c>
      <c r="DK916">
        <v>6</v>
      </c>
      <c r="DL916">
        <v>4</v>
      </c>
      <c r="DM916">
        <v>6</v>
      </c>
      <c r="DN916">
        <v>14</v>
      </c>
      <c r="DO916">
        <v>921</v>
      </c>
      <c r="DP916">
        <v>4</v>
      </c>
      <c r="DQ916">
        <v>3</v>
      </c>
      <c r="DR916">
        <v>0</v>
      </c>
      <c r="DS916">
        <v>0</v>
      </c>
      <c r="DT916">
        <v>8</v>
      </c>
      <c r="DU916">
        <v>9</v>
      </c>
      <c r="DV916">
        <v>2</v>
      </c>
      <c r="DW916">
        <v>0</v>
      </c>
      <c r="DX916">
        <v>32</v>
      </c>
      <c r="DY916">
        <v>11</v>
      </c>
      <c r="DZ916">
        <v>944</v>
      </c>
      <c r="EA916">
        <v>0.9496</v>
      </c>
      <c r="EB916">
        <v>0.950752815666142</v>
      </c>
      <c r="EC916">
        <v>0.94918799789624597</v>
      </c>
      <c r="ED916">
        <v>0.94935688854487599</v>
      </c>
      <c r="EE916">
        <f>SUM(Table1[[#This Row],[ratio_0]:[ratio_9]])</f>
        <v>190</v>
      </c>
      <c r="EF916" s="1">
        <f>(Table1[[#This Row],[predicted_0]]-Table1[[#This Row],[actual_0]])/Table1[[#This Row],[actual_0]]</f>
        <v>-9.1836734693877559E-3</v>
      </c>
      <c r="EG916" s="1">
        <f>(Table1[[#This Row],[predicted_1]]-Table1[[#This Row],[actual_1]])/Table1[[#This Row],[actual_1]]</f>
        <v>-5.1982378854625554E-2</v>
      </c>
      <c r="EH916" s="1">
        <f>(Table1[[#This Row],[predicted_2]]-Table1[[#This Row],[actual_2]])/Table1[[#This Row],[actual_2]]</f>
        <v>-3.9728682170542637E-2</v>
      </c>
      <c r="EI916" s="1">
        <f>(Table1[[#This Row],[predicted_3]]-Table1[[#This Row],[actual_3]])/Table1[[#This Row],[actual_3]]</f>
        <v>3.6633663366336632E-2</v>
      </c>
      <c r="EJ916" s="1">
        <f>(Table1[[#This Row],[predicted_4]]-Table1[[#This Row],[actual_4]])/Table1[[#This Row],[actual_4]]</f>
        <v>3.5641547861507125E-2</v>
      </c>
      <c r="EK916" s="1">
        <f>(Table1[[#This Row],[predicted_5]]-Table1[[#This Row],[actual_5]])/Table1[[#This Row],[actual_5]]</f>
        <v>-9.641255605381166E-2</v>
      </c>
      <c r="EL916" s="1">
        <f>(Table1[[#This Row],[predicted_6]]-Table1[[#This Row],[actual_6]])/Table1[[#This Row],[actual_6]]</f>
        <v>2.2964509394572025E-2</v>
      </c>
      <c r="EM916" s="1">
        <f>(Table1[[#This Row],[predicted_7]]-Table1[[#This Row],[actual_7]])/Table1[[#This Row],[actual_7]]</f>
        <v>7.3929961089494164E-2</v>
      </c>
      <c r="EN916" s="1">
        <f>(Table1[[#This Row],[predicted_8]]-Table1[[#This Row],[actual_8]])/Table1[[#This Row],[actual_8]]</f>
        <v>5.0308008213552365E-2</v>
      </c>
      <c r="EO916" s="1">
        <f>(Table1[[#This Row],[predicted_9]]-Table1[[#This Row],[actual_9]])/Table1[[#This Row],[actual_9]]</f>
        <v>-2.3785926660059464E-2</v>
      </c>
      <c r="EP916" s="1">
        <f>1+(Table1[[#This Row],[error_ratio_0]]-EF$2)</f>
        <v>0.98877551020408161</v>
      </c>
      <c r="EQ916" s="1">
        <f>1+(Table1[[#This Row],[error_ratio_1]]-EG$2)</f>
        <v>0.94625550660792956</v>
      </c>
      <c r="ER916" s="1">
        <f>1+(Table1[[#This Row],[error_ratio_2]]-EH$2)</f>
        <v>0.96511627906976749</v>
      </c>
      <c r="ES916" s="1">
        <f>1+(Table1[[#This Row],[error_ratio_3]]-EI$2)</f>
        <v>1.0267326732673268</v>
      </c>
      <c r="ET916" s="1">
        <f>1+(Table1[[#This Row],[error_ratio_4]]-EJ$2)</f>
        <v>1.0346232179226069</v>
      </c>
      <c r="EU916" s="1">
        <f>1+(Table1[[#This Row],[error_ratio_5]]-EK$2)</f>
        <v>0.90246636771300448</v>
      </c>
      <c r="EV916" s="1">
        <f>1+(Table1[[#This Row],[error_ratio_6]]-EL$2)</f>
        <v>1.0292275574112735</v>
      </c>
      <c r="EW916" s="1">
        <f>1+(Table1[[#This Row],[error_ratio_7]]-EM$2)</f>
        <v>1.0719844357976653</v>
      </c>
      <c r="EX916" s="1">
        <f>1+(Table1[[#This Row],[error_ratio_8]]-EN$2)</f>
        <v>1.053388090349076</v>
      </c>
      <c r="EY916" s="1">
        <f>1+(Table1[[#This Row],[error_ratio_9]]-EO$2)</f>
        <v>0.98017839444995047</v>
      </c>
    </row>
    <row r="917" spans="1:155" x14ac:dyDescent="0.75">
      <c r="A917">
        <v>100</v>
      </c>
      <c r="B917">
        <v>100</v>
      </c>
      <c r="C917">
        <v>100</v>
      </c>
      <c r="D917">
        <v>100</v>
      </c>
      <c r="E917">
        <v>10</v>
      </c>
      <c r="F917">
        <v>10</v>
      </c>
      <c r="G917">
        <v>10</v>
      </c>
      <c r="H917">
        <v>10</v>
      </c>
      <c r="I917">
        <v>10</v>
      </c>
      <c r="J917">
        <v>10</v>
      </c>
      <c r="K917">
        <v>1023</v>
      </c>
      <c r="L917">
        <v>1155</v>
      </c>
      <c r="M917">
        <v>1078</v>
      </c>
      <c r="N917">
        <v>1078</v>
      </c>
      <c r="O917">
        <v>1051</v>
      </c>
      <c r="P917">
        <v>857</v>
      </c>
      <c r="Q917">
        <v>934</v>
      </c>
      <c r="R917">
        <v>1002</v>
      </c>
      <c r="S917">
        <v>896</v>
      </c>
      <c r="T917">
        <v>926</v>
      </c>
      <c r="U917">
        <v>980</v>
      </c>
      <c r="V917">
        <v>1135</v>
      </c>
      <c r="W917">
        <v>1032</v>
      </c>
      <c r="X917">
        <v>1010</v>
      </c>
      <c r="Y917">
        <v>982</v>
      </c>
      <c r="Z917">
        <v>892</v>
      </c>
      <c r="AA917">
        <v>958</v>
      </c>
      <c r="AB917">
        <v>1028</v>
      </c>
      <c r="AC917">
        <v>974</v>
      </c>
      <c r="AD917">
        <v>1009</v>
      </c>
      <c r="AE917">
        <v>977</v>
      </c>
      <c r="AF917">
        <v>1</v>
      </c>
      <c r="AG917">
        <v>0</v>
      </c>
      <c r="AH917">
        <v>0</v>
      </c>
      <c r="AI917">
        <v>0</v>
      </c>
      <c r="AJ917">
        <v>0</v>
      </c>
      <c r="AK917">
        <v>0</v>
      </c>
      <c r="AL917">
        <v>1</v>
      </c>
      <c r="AM917">
        <v>1</v>
      </c>
      <c r="AN917">
        <v>0</v>
      </c>
      <c r="AO917">
        <v>0</v>
      </c>
      <c r="AP917">
        <v>1131</v>
      </c>
      <c r="AQ917">
        <v>3</v>
      </c>
      <c r="AR917">
        <v>1</v>
      </c>
      <c r="AS917">
        <v>0</v>
      </c>
      <c r="AT917">
        <v>0</v>
      </c>
      <c r="AU917">
        <v>0</v>
      </c>
      <c r="AV917">
        <v>0</v>
      </c>
      <c r="AW917">
        <v>0</v>
      </c>
      <c r="AX917">
        <v>0</v>
      </c>
      <c r="AY917">
        <v>2</v>
      </c>
      <c r="AZ917">
        <v>0</v>
      </c>
      <c r="BA917">
        <v>1024</v>
      </c>
      <c r="BB917">
        <v>1</v>
      </c>
      <c r="BC917">
        <v>3</v>
      </c>
      <c r="BD917">
        <v>0</v>
      </c>
      <c r="BE917">
        <v>0</v>
      </c>
      <c r="BF917">
        <v>2</v>
      </c>
      <c r="BG917">
        <v>0</v>
      </c>
      <c r="BH917">
        <v>0</v>
      </c>
      <c r="BI917">
        <v>0</v>
      </c>
      <c r="BJ917">
        <v>0</v>
      </c>
      <c r="BK917">
        <v>3</v>
      </c>
      <c r="BL917">
        <v>1003</v>
      </c>
      <c r="BM917">
        <v>0</v>
      </c>
      <c r="BN917">
        <v>2</v>
      </c>
      <c r="BO917">
        <v>0</v>
      </c>
      <c r="BP917">
        <v>2</v>
      </c>
      <c r="BQ917">
        <v>0</v>
      </c>
      <c r="BR917">
        <v>0</v>
      </c>
      <c r="BS917">
        <v>3</v>
      </c>
      <c r="BT917">
        <v>0</v>
      </c>
      <c r="BU917">
        <v>0</v>
      </c>
      <c r="BV917">
        <v>0</v>
      </c>
      <c r="BW917">
        <v>975</v>
      </c>
      <c r="BX917">
        <v>0</v>
      </c>
      <c r="BY917">
        <v>3</v>
      </c>
      <c r="BZ917">
        <v>0</v>
      </c>
      <c r="CA917">
        <v>0</v>
      </c>
      <c r="CB917">
        <v>1</v>
      </c>
      <c r="CC917">
        <v>6</v>
      </c>
      <c r="CD917">
        <v>0</v>
      </c>
      <c r="CE917">
        <v>0</v>
      </c>
      <c r="CF917">
        <v>40</v>
      </c>
      <c r="CG917">
        <v>0</v>
      </c>
      <c r="CH917">
        <v>836</v>
      </c>
      <c r="CI917">
        <v>6</v>
      </c>
      <c r="CJ917">
        <v>1</v>
      </c>
      <c r="CK917">
        <v>3</v>
      </c>
      <c r="CL917">
        <v>0</v>
      </c>
      <c r="CM917">
        <v>19</v>
      </c>
      <c r="CN917">
        <v>3</v>
      </c>
      <c r="CO917">
        <v>0</v>
      </c>
      <c r="CP917">
        <v>0</v>
      </c>
      <c r="CQ917">
        <v>16</v>
      </c>
      <c r="CR917">
        <v>0</v>
      </c>
      <c r="CS917">
        <v>919</v>
      </c>
      <c r="CT917">
        <v>0</v>
      </c>
      <c r="CU917">
        <v>1</v>
      </c>
      <c r="CV917">
        <v>0</v>
      </c>
      <c r="CW917">
        <v>3</v>
      </c>
      <c r="CX917">
        <v>6</v>
      </c>
      <c r="CY917">
        <v>27</v>
      </c>
      <c r="CZ917">
        <v>4</v>
      </c>
      <c r="DA917">
        <v>6</v>
      </c>
      <c r="DB917">
        <v>1</v>
      </c>
      <c r="DC917">
        <v>0</v>
      </c>
      <c r="DD917">
        <v>975</v>
      </c>
      <c r="DE917">
        <v>1</v>
      </c>
      <c r="DF917">
        <v>5</v>
      </c>
      <c r="DG917">
        <v>6</v>
      </c>
      <c r="DH917">
        <v>8</v>
      </c>
      <c r="DI917">
        <v>19</v>
      </c>
      <c r="DJ917">
        <v>14</v>
      </c>
      <c r="DK917">
        <v>11</v>
      </c>
      <c r="DL917">
        <v>2</v>
      </c>
      <c r="DM917">
        <v>6</v>
      </c>
      <c r="DN917">
        <v>10</v>
      </c>
      <c r="DO917">
        <v>889</v>
      </c>
      <c r="DP917">
        <v>9</v>
      </c>
      <c r="DQ917">
        <v>7</v>
      </c>
      <c r="DR917">
        <v>6</v>
      </c>
      <c r="DS917">
        <v>2</v>
      </c>
      <c r="DT917">
        <v>15</v>
      </c>
      <c r="DU917">
        <v>40</v>
      </c>
      <c r="DV917">
        <v>16</v>
      </c>
      <c r="DW917">
        <v>0</v>
      </c>
      <c r="DX917">
        <v>11</v>
      </c>
      <c r="DY917">
        <v>1</v>
      </c>
      <c r="DZ917">
        <v>911</v>
      </c>
      <c r="EA917">
        <v>0.96399999999999997</v>
      </c>
      <c r="EB917">
        <v>0.96507555072766904</v>
      </c>
      <c r="EC917">
        <v>0.96321622433738097</v>
      </c>
      <c r="ED917">
        <v>0.96342562946140897</v>
      </c>
      <c r="EE917">
        <f>SUM(Table1[[#This Row],[ratio_0]:[ratio_9]])</f>
        <v>460</v>
      </c>
      <c r="EF917" s="1">
        <f>(Table1[[#This Row],[predicted_0]]-Table1[[#This Row],[actual_0]])/Table1[[#This Row],[actual_0]]</f>
        <v>4.3877551020408162E-2</v>
      </c>
      <c r="EG917" s="1">
        <f>(Table1[[#This Row],[predicted_1]]-Table1[[#This Row],[actual_1]])/Table1[[#This Row],[actual_1]]</f>
        <v>1.7621145374449341E-2</v>
      </c>
      <c r="EH917" s="1">
        <f>(Table1[[#This Row],[predicted_2]]-Table1[[#This Row],[actual_2]])/Table1[[#This Row],[actual_2]]</f>
        <v>4.4573643410852716E-2</v>
      </c>
      <c r="EI917" s="1">
        <f>(Table1[[#This Row],[predicted_3]]-Table1[[#This Row],[actual_3]])/Table1[[#This Row],[actual_3]]</f>
        <v>6.7326732673267331E-2</v>
      </c>
      <c r="EJ917" s="1">
        <f>(Table1[[#This Row],[predicted_4]]-Table1[[#This Row],[actual_4]])/Table1[[#This Row],[actual_4]]</f>
        <v>7.0264765784114058E-2</v>
      </c>
      <c r="EK917" s="1">
        <f>(Table1[[#This Row],[predicted_5]]-Table1[[#This Row],[actual_5]])/Table1[[#This Row],[actual_5]]</f>
        <v>-3.923766816143498E-2</v>
      </c>
      <c r="EL917" s="1">
        <f>(Table1[[#This Row],[predicted_6]]-Table1[[#This Row],[actual_6]])/Table1[[#This Row],[actual_6]]</f>
        <v>-2.5052192066805846E-2</v>
      </c>
      <c r="EM917" s="1">
        <f>(Table1[[#This Row],[predicted_7]]-Table1[[#This Row],[actual_7]])/Table1[[#This Row],[actual_7]]</f>
        <v>-2.5291828793774319E-2</v>
      </c>
      <c r="EN917" s="1">
        <f>(Table1[[#This Row],[predicted_8]]-Table1[[#This Row],[actual_8]])/Table1[[#This Row],[actual_8]]</f>
        <v>-8.0082135523613956E-2</v>
      </c>
      <c r="EO917" s="1">
        <f>(Table1[[#This Row],[predicted_9]]-Table1[[#This Row],[actual_9]])/Table1[[#This Row],[actual_9]]</f>
        <v>-8.2259663032705654E-2</v>
      </c>
      <c r="EP917" s="1">
        <f>1+(Table1[[#This Row],[error_ratio_0]]-EF$2)</f>
        <v>1.0418367346938775</v>
      </c>
      <c r="EQ917" s="1">
        <f>1+(Table1[[#This Row],[error_ratio_1]]-EG$2)</f>
        <v>1.0158590308370044</v>
      </c>
      <c r="ER917" s="1">
        <f>1+(Table1[[#This Row],[error_ratio_2]]-EH$2)</f>
        <v>1.0494186046511629</v>
      </c>
      <c r="ES917" s="1">
        <f>1+(Table1[[#This Row],[error_ratio_3]]-EI$2)</f>
        <v>1.0574257425742575</v>
      </c>
      <c r="ET917" s="1">
        <f>1+(Table1[[#This Row],[error_ratio_4]]-EJ$2)</f>
        <v>1.0692464358452138</v>
      </c>
      <c r="EU917" s="1">
        <f>1+(Table1[[#This Row],[error_ratio_5]]-EK$2)</f>
        <v>0.95964125560538116</v>
      </c>
      <c r="EV917" s="1">
        <f>1+(Table1[[#This Row],[error_ratio_6]]-EL$2)</f>
        <v>0.98121085594989566</v>
      </c>
      <c r="EW917" s="1">
        <f>1+(Table1[[#This Row],[error_ratio_7]]-EM$2)</f>
        <v>0.97276264591439687</v>
      </c>
      <c r="EX917" s="1">
        <f>1+(Table1[[#This Row],[error_ratio_8]]-EN$2)</f>
        <v>0.9229979466119097</v>
      </c>
      <c r="EY917" s="1">
        <f>1+(Table1[[#This Row],[error_ratio_9]]-EO$2)</f>
        <v>0.92170465807730428</v>
      </c>
    </row>
    <row r="918" spans="1:155" x14ac:dyDescent="0.75">
      <c r="A918">
        <v>10</v>
      </c>
      <c r="B918">
        <v>100</v>
      </c>
      <c r="C918">
        <v>100</v>
      </c>
      <c r="D918">
        <v>100</v>
      </c>
      <c r="E918">
        <v>10</v>
      </c>
      <c r="F918">
        <v>10</v>
      </c>
      <c r="G918">
        <v>10</v>
      </c>
      <c r="H918">
        <v>10</v>
      </c>
      <c r="I918">
        <v>10</v>
      </c>
      <c r="J918">
        <v>10</v>
      </c>
      <c r="K918">
        <v>973</v>
      </c>
      <c r="L918">
        <v>1251</v>
      </c>
      <c r="M918">
        <v>1000</v>
      </c>
      <c r="N918">
        <v>1080</v>
      </c>
      <c r="O918">
        <v>1039</v>
      </c>
      <c r="P918">
        <v>887</v>
      </c>
      <c r="Q918">
        <v>970</v>
      </c>
      <c r="R918">
        <v>953</v>
      </c>
      <c r="S918">
        <v>904</v>
      </c>
      <c r="T918">
        <v>943</v>
      </c>
      <c r="U918">
        <v>980</v>
      </c>
      <c r="V918">
        <v>1135</v>
      </c>
      <c r="W918">
        <v>1032</v>
      </c>
      <c r="X918">
        <v>1010</v>
      </c>
      <c r="Y918">
        <v>982</v>
      </c>
      <c r="Z918">
        <v>892</v>
      </c>
      <c r="AA918">
        <v>958</v>
      </c>
      <c r="AB918">
        <v>1028</v>
      </c>
      <c r="AC918">
        <v>974</v>
      </c>
      <c r="AD918">
        <v>1009</v>
      </c>
      <c r="AE918">
        <v>949</v>
      </c>
      <c r="AF918">
        <v>4</v>
      </c>
      <c r="AG918">
        <v>2</v>
      </c>
      <c r="AH918">
        <v>1</v>
      </c>
      <c r="AI918">
        <v>3</v>
      </c>
      <c r="AJ918">
        <v>0</v>
      </c>
      <c r="AK918">
        <v>16</v>
      </c>
      <c r="AL918">
        <v>2</v>
      </c>
      <c r="AM918">
        <v>3</v>
      </c>
      <c r="AN918">
        <v>0</v>
      </c>
      <c r="AO918">
        <v>0</v>
      </c>
      <c r="AP918">
        <v>1135</v>
      </c>
      <c r="AQ918">
        <v>0</v>
      </c>
      <c r="AR918">
        <v>0</v>
      </c>
      <c r="AS918">
        <v>0</v>
      </c>
      <c r="AT918">
        <v>0</v>
      </c>
      <c r="AU918">
        <v>0</v>
      </c>
      <c r="AV918">
        <v>0</v>
      </c>
      <c r="AW918">
        <v>0</v>
      </c>
      <c r="AX918">
        <v>0</v>
      </c>
      <c r="AY918">
        <v>2</v>
      </c>
      <c r="AZ918">
        <v>16</v>
      </c>
      <c r="BA918">
        <v>972</v>
      </c>
      <c r="BB918">
        <v>14</v>
      </c>
      <c r="BC918">
        <v>14</v>
      </c>
      <c r="BD918">
        <v>0</v>
      </c>
      <c r="BE918">
        <v>13</v>
      </c>
      <c r="BF918">
        <v>1</v>
      </c>
      <c r="BG918">
        <v>0</v>
      </c>
      <c r="BH918">
        <v>0</v>
      </c>
      <c r="BI918">
        <v>0</v>
      </c>
      <c r="BJ918">
        <v>0</v>
      </c>
      <c r="BK918">
        <v>2</v>
      </c>
      <c r="BL918">
        <v>998</v>
      </c>
      <c r="BM918">
        <v>0</v>
      </c>
      <c r="BN918">
        <v>6</v>
      </c>
      <c r="BO918">
        <v>0</v>
      </c>
      <c r="BP918">
        <v>2</v>
      </c>
      <c r="BQ918">
        <v>1</v>
      </c>
      <c r="BR918">
        <v>1</v>
      </c>
      <c r="BS918">
        <v>0</v>
      </c>
      <c r="BT918">
        <v>5</v>
      </c>
      <c r="BU918">
        <v>0</v>
      </c>
      <c r="BV918">
        <v>0</v>
      </c>
      <c r="BW918">
        <v>968</v>
      </c>
      <c r="BX918">
        <v>0</v>
      </c>
      <c r="BY918">
        <v>2</v>
      </c>
      <c r="BZ918">
        <v>0</v>
      </c>
      <c r="CA918">
        <v>2</v>
      </c>
      <c r="CB918">
        <v>5</v>
      </c>
      <c r="CC918">
        <v>2</v>
      </c>
      <c r="CD918">
        <v>4</v>
      </c>
      <c r="CE918">
        <v>1</v>
      </c>
      <c r="CF918">
        <v>15</v>
      </c>
      <c r="CG918">
        <v>0</v>
      </c>
      <c r="CH918">
        <v>855</v>
      </c>
      <c r="CI918">
        <v>6</v>
      </c>
      <c r="CJ918">
        <v>1</v>
      </c>
      <c r="CK918">
        <v>3</v>
      </c>
      <c r="CL918">
        <v>5</v>
      </c>
      <c r="CM918">
        <v>7</v>
      </c>
      <c r="CN918">
        <v>8</v>
      </c>
      <c r="CO918">
        <v>0</v>
      </c>
      <c r="CP918">
        <v>0</v>
      </c>
      <c r="CQ918">
        <v>11</v>
      </c>
      <c r="CR918">
        <v>8</v>
      </c>
      <c r="CS918">
        <v>924</v>
      </c>
      <c r="CT918">
        <v>0</v>
      </c>
      <c r="CU918">
        <v>0</v>
      </c>
      <c r="CV918">
        <v>0</v>
      </c>
      <c r="CW918">
        <v>1</v>
      </c>
      <c r="CX918">
        <v>39</v>
      </c>
      <c r="CY918">
        <v>18</v>
      </c>
      <c r="CZ918">
        <v>26</v>
      </c>
      <c r="DA918">
        <v>6</v>
      </c>
      <c r="DB918">
        <v>0</v>
      </c>
      <c r="DC918">
        <v>0</v>
      </c>
      <c r="DD918">
        <v>927</v>
      </c>
      <c r="DE918">
        <v>6</v>
      </c>
      <c r="DF918">
        <v>5</v>
      </c>
      <c r="DG918">
        <v>7</v>
      </c>
      <c r="DH918">
        <v>27</v>
      </c>
      <c r="DI918">
        <v>4</v>
      </c>
      <c r="DJ918">
        <v>16</v>
      </c>
      <c r="DK918">
        <v>6</v>
      </c>
      <c r="DL918">
        <v>13</v>
      </c>
      <c r="DM918">
        <v>8</v>
      </c>
      <c r="DN918">
        <v>7</v>
      </c>
      <c r="DO918">
        <v>883</v>
      </c>
      <c r="DP918">
        <v>3</v>
      </c>
      <c r="DQ918">
        <v>5</v>
      </c>
      <c r="DR918">
        <v>13</v>
      </c>
      <c r="DS918">
        <v>1</v>
      </c>
      <c r="DT918">
        <v>10</v>
      </c>
      <c r="DU918">
        <v>31</v>
      </c>
      <c r="DV918">
        <v>5</v>
      </c>
      <c r="DW918">
        <v>1</v>
      </c>
      <c r="DX918">
        <v>13</v>
      </c>
      <c r="DY918">
        <v>6</v>
      </c>
      <c r="DZ918">
        <v>924</v>
      </c>
      <c r="EA918">
        <v>0.95350000000000001</v>
      </c>
      <c r="EB918">
        <v>0.95561871750916105</v>
      </c>
      <c r="EC918">
        <v>0.95311995697999097</v>
      </c>
      <c r="ED918">
        <v>0.95355744677239895</v>
      </c>
      <c r="EE918">
        <f>SUM(Table1[[#This Row],[ratio_0]:[ratio_9]])</f>
        <v>370</v>
      </c>
      <c r="EF918" s="1">
        <f>(Table1[[#This Row],[predicted_0]]-Table1[[#This Row],[actual_0]])/Table1[[#This Row],[actual_0]]</f>
        <v>-7.1428571428571426E-3</v>
      </c>
      <c r="EG918" s="1">
        <f>(Table1[[#This Row],[predicted_1]]-Table1[[#This Row],[actual_1]])/Table1[[#This Row],[actual_1]]</f>
        <v>0.10220264317180616</v>
      </c>
      <c r="EH918" s="1">
        <f>(Table1[[#This Row],[predicted_2]]-Table1[[#This Row],[actual_2]])/Table1[[#This Row],[actual_2]]</f>
        <v>-3.1007751937984496E-2</v>
      </c>
      <c r="EI918" s="1">
        <f>(Table1[[#This Row],[predicted_3]]-Table1[[#This Row],[actual_3]])/Table1[[#This Row],[actual_3]]</f>
        <v>6.9306930693069313E-2</v>
      </c>
      <c r="EJ918" s="1">
        <f>(Table1[[#This Row],[predicted_4]]-Table1[[#This Row],[actual_4]])/Table1[[#This Row],[actual_4]]</f>
        <v>5.8044806517311608E-2</v>
      </c>
      <c r="EK918" s="1">
        <f>(Table1[[#This Row],[predicted_5]]-Table1[[#This Row],[actual_5]])/Table1[[#This Row],[actual_5]]</f>
        <v>-5.6053811659192822E-3</v>
      </c>
      <c r="EL918" s="1">
        <f>(Table1[[#This Row],[predicted_6]]-Table1[[#This Row],[actual_6]])/Table1[[#This Row],[actual_6]]</f>
        <v>1.2526096033402923E-2</v>
      </c>
      <c r="EM918" s="1">
        <f>(Table1[[#This Row],[predicted_7]]-Table1[[#This Row],[actual_7]])/Table1[[#This Row],[actual_7]]</f>
        <v>-7.2957198443579771E-2</v>
      </c>
      <c r="EN918" s="1">
        <f>(Table1[[#This Row],[predicted_8]]-Table1[[#This Row],[actual_8]])/Table1[[#This Row],[actual_8]]</f>
        <v>-7.1868583162217656E-2</v>
      </c>
      <c r="EO918" s="1">
        <f>(Table1[[#This Row],[predicted_9]]-Table1[[#This Row],[actual_9]])/Table1[[#This Row],[actual_9]]</f>
        <v>-6.5411298315163527E-2</v>
      </c>
      <c r="EP918" s="1">
        <f>1+(Table1[[#This Row],[error_ratio_0]]-EF$2)</f>
        <v>0.99081632653061225</v>
      </c>
      <c r="EQ918" s="1">
        <f>1+(Table1[[#This Row],[error_ratio_1]]-EG$2)</f>
        <v>1.1004405286343613</v>
      </c>
      <c r="ER918" s="1">
        <f>1+(Table1[[#This Row],[error_ratio_2]]-EH$2)</f>
        <v>0.97383720930232553</v>
      </c>
      <c r="ES918" s="1">
        <f>1+(Table1[[#This Row],[error_ratio_3]]-EI$2)</f>
        <v>1.0594059405940595</v>
      </c>
      <c r="ET918" s="1">
        <f>1+(Table1[[#This Row],[error_ratio_4]]-EJ$2)</f>
        <v>1.0570264765784114</v>
      </c>
      <c r="EU918" s="1">
        <f>1+(Table1[[#This Row],[error_ratio_5]]-EK$2)</f>
        <v>0.99327354260089684</v>
      </c>
      <c r="EV918" s="1">
        <f>1+(Table1[[#This Row],[error_ratio_6]]-EL$2)</f>
        <v>1.0187891440501045</v>
      </c>
      <c r="EW918" s="1">
        <f>1+(Table1[[#This Row],[error_ratio_7]]-EM$2)</f>
        <v>0.92509727626459148</v>
      </c>
      <c r="EX918" s="1">
        <f>1+(Table1[[#This Row],[error_ratio_8]]-EN$2)</f>
        <v>0.93121149897330602</v>
      </c>
      <c r="EY918" s="1">
        <f>1+(Table1[[#This Row],[error_ratio_9]]-EO$2)</f>
        <v>0.93855302279484643</v>
      </c>
    </row>
    <row r="919" spans="1:155" x14ac:dyDescent="0.75">
      <c r="A919">
        <v>100</v>
      </c>
      <c r="B919">
        <v>10</v>
      </c>
      <c r="C919">
        <v>100</v>
      </c>
      <c r="D919">
        <v>100</v>
      </c>
      <c r="E919">
        <v>10</v>
      </c>
      <c r="F919">
        <v>10</v>
      </c>
      <c r="G919">
        <v>10</v>
      </c>
      <c r="H919">
        <v>10</v>
      </c>
      <c r="I919">
        <v>10</v>
      </c>
      <c r="J919">
        <v>10</v>
      </c>
      <c r="K919">
        <v>1018</v>
      </c>
      <c r="L919">
        <v>1160</v>
      </c>
      <c r="M919">
        <v>1098</v>
      </c>
      <c r="N919">
        <v>1178</v>
      </c>
      <c r="O919">
        <v>951</v>
      </c>
      <c r="P919">
        <v>866</v>
      </c>
      <c r="Q919">
        <v>941</v>
      </c>
      <c r="R919">
        <v>925</v>
      </c>
      <c r="S919">
        <v>889</v>
      </c>
      <c r="T919">
        <v>974</v>
      </c>
      <c r="U919">
        <v>980</v>
      </c>
      <c r="V919">
        <v>1135</v>
      </c>
      <c r="W919">
        <v>1032</v>
      </c>
      <c r="X919">
        <v>1010</v>
      </c>
      <c r="Y919">
        <v>982</v>
      </c>
      <c r="Z919">
        <v>892</v>
      </c>
      <c r="AA919">
        <v>958</v>
      </c>
      <c r="AB919">
        <v>1028</v>
      </c>
      <c r="AC919">
        <v>974</v>
      </c>
      <c r="AD919">
        <v>1009</v>
      </c>
      <c r="AE919">
        <v>977</v>
      </c>
      <c r="AF919">
        <v>0</v>
      </c>
      <c r="AG919">
        <v>1</v>
      </c>
      <c r="AH919">
        <v>1</v>
      </c>
      <c r="AI919">
        <v>0</v>
      </c>
      <c r="AJ919">
        <v>0</v>
      </c>
      <c r="AK919">
        <v>1</v>
      </c>
      <c r="AL919">
        <v>0</v>
      </c>
      <c r="AM919">
        <v>0</v>
      </c>
      <c r="AN919">
        <v>0</v>
      </c>
      <c r="AO919">
        <v>0</v>
      </c>
      <c r="AP919">
        <v>1126</v>
      </c>
      <c r="AQ919">
        <v>4</v>
      </c>
      <c r="AR919">
        <v>3</v>
      </c>
      <c r="AS919">
        <v>0</v>
      </c>
      <c r="AT919">
        <v>1</v>
      </c>
      <c r="AU919">
        <v>0</v>
      </c>
      <c r="AV919">
        <v>0</v>
      </c>
      <c r="AW919">
        <v>1</v>
      </c>
      <c r="AX919">
        <v>0</v>
      </c>
      <c r="AY919">
        <v>1</v>
      </c>
      <c r="AZ919">
        <v>0</v>
      </c>
      <c r="BA919">
        <v>1020</v>
      </c>
      <c r="BB919">
        <v>7</v>
      </c>
      <c r="BC919">
        <v>0</v>
      </c>
      <c r="BD919">
        <v>0</v>
      </c>
      <c r="BE919">
        <v>0</v>
      </c>
      <c r="BF919">
        <v>1</v>
      </c>
      <c r="BG919">
        <v>3</v>
      </c>
      <c r="BH919">
        <v>0</v>
      </c>
      <c r="BI919">
        <v>1</v>
      </c>
      <c r="BJ919">
        <v>0</v>
      </c>
      <c r="BK919">
        <v>1</v>
      </c>
      <c r="BL919">
        <v>1003</v>
      </c>
      <c r="BM919">
        <v>0</v>
      </c>
      <c r="BN919">
        <v>3</v>
      </c>
      <c r="BO919">
        <v>0</v>
      </c>
      <c r="BP919">
        <v>2</v>
      </c>
      <c r="BQ919">
        <v>0</v>
      </c>
      <c r="BR919">
        <v>0</v>
      </c>
      <c r="BS919">
        <v>1</v>
      </c>
      <c r="BT919">
        <v>3</v>
      </c>
      <c r="BU919">
        <v>7</v>
      </c>
      <c r="BV919">
        <v>4</v>
      </c>
      <c r="BW919">
        <v>934</v>
      </c>
      <c r="BX919">
        <v>0</v>
      </c>
      <c r="BY919">
        <v>4</v>
      </c>
      <c r="BZ919">
        <v>0</v>
      </c>
      <c r="CA919">
        <v>2</v>
      </c>
      <c r="CB919">
        <v>27</v>
      </c>
      <c r="CC919">
        <v>6</v>
      </c>
      <c r="CD919">
        <v>0</v>
      </c>
      <c r="CE919">
        <v>1</v>
      </c>
      <c r="CF919">
        <v>29</v>
      </c>
      <c r="CG919">
        <v>0</v>
      </c>
      <c r="CH919">
        <v>845</v>
      </c>
      <c r="CI919">
        <v>6</v>
      </c>
      <c r="CJ919">
        <v>1</v>
      </c>
      <c r="CK919">
        <v>1</v>
      </c>
      <c r="CL919">
        <v>3</v>
      </c>
      <c r="CM919">
        <v>16</v>
      </c>
      <c r="CN919">
        <v>4</v>
      </c>
      <c r="CO919">
        <v>6</v>
      </c>
      <c r="CP919">
        <v>1</v>
      </c>
      <c r="CQ919">
        <v>4</v>
      </c>
      <c r="CR919">
        <v>5</v>
      </c>
      <c r="CS919">
        <v>922</v>
      </c>
      <c r="CT919">
        <v>0</v>
      </c>
      <c r="CU919">
        <v>0</v>
      </c>
      <c r="CV919">
        <v>0</v>
      </c>
      <c r="CW919">
        <v>0</v>
      </c>
      <c r="CX919">
        <v>16</v>
      </c>
      <c r="CY919">
        <v>37</v>
      </c>
      <c r="CZ919">
        <v>35</v>
      </c>
      <c r="DA919">
        <v>1</v>
      </c>
      <c r="DB919">
        <v>0</v>
      </c>
      <c r="DC919">
        <v>0</v>
      </c>
      <c r="DD919">
        <v>910</v>
      </c>
      <c r="DE919">
        <v>6</v>
      </c>
      <c r="DF919">
        <v>23</v>
      </c>
      <c r="DG919">
        <v>11</v>
      </c>
      <c r="DH919">
        <v>4</v>
      </c>
      <c r="DI919">
        <v>14</v>
      </c>
      <c r="DJ919">
        <v>53</v>
      </c>
      <c r="DK919">
        <v>1</v>
      </c>
      <c r="DL919">
        <v>5</v>
      </c>
      <c r="DM919">
        <v>7</v>
      </c>
      <c r="DN919">
        <v>6</v>
      </c>
      <c r="DO919">
        <v>871</v>
      </c>
      <c r="DP919">
        <v>2</v>
      </c>
      <c r="DQ919">
        <v>5</v>
      </c>
      <c r="DR919">
        <v>7</v>
      </c>
      <c r="DS919">
        <v>7</v>
      </c>
      <c r="DT919">
        <v>42</v>
      </c>
      <c r="DU919">
        <v>11</v>
      </c>
      <c r="DV919">
        <v>7</v>
      </c>
      <c r="DW919">
        <v>1</v>
      </c>
      <c r="DX919">
        <v>5</v>
      </c>
      <c r="DY919">
        <v>5</v>
      </c>
      <c r="DZ919">
        <v>919</v>
      </c>
      <c r="EA919">
        <v>0.95269999999999999</v>
      </c>
      <c r="EB919">
        <v>0.95555709922790599</v>
      </c>
      <c r="EC919">
        <v>0.95215692480724901</v>
      </c>
      <c r="ED919">
        <v>0.95263667700041299</v>
      </c>
      <c r="EE919">
        <f>SUM(Table1[[#This Row],[ratio_0]:[ratio_9]])</f>
        <v>370</v>
      </c>
      <c r="EF919" s="1">
        <f>(Table1[[#This Row],[predicted_0]]-Table1[[#This Row],[actual_0]])/Table1[[#This Row],[actual_0]]</f>
        <v>3.8775510204081633E-2</v>
      </c>
      <c r="EG919" s="1">
        <f>(Table1[[#This Row],[predicted_1]]-Table1[[#This Row],[actual_1]])/Table1[[#This Row],[actual_1]]</f>
        <v>2.2026431718061675E-2</v>
      </c>
      <c r="EH919" s="1">
        <f>(Table1[[#This Row],[predicted_2]]-Table1[[#This Row],[actual_2]])/Table1[[#This Row],[actual_2]]</f>
        <v>6.3953488372093026E-2</v>
      </c>
      <c r="EI919" s="1">
        <f>(Table1[[#This Row],[predicted_3]]-Table1[[#This Row],[actual_3]])/Table1[[#This Row],[actual_3]]</f>
        <v>0.16633663366336635</v>
      </c>
      <c r="EJ919" s="1">
        <f>(Table1[[#This Row],[predicted_4]]-Table1[[#This Row],[actual_4]])/Table1[[#This Row],[actual_4]]</f>
        <v>-3.1568228105906315E-2</v>
      </c>
      <c r="EK919" s="1">
        <f>(Table1[[#This Row],[predicted_5]]-Table1[[#This Row],[actual_5]])/Table1[[#This Row],[actual_5]]</f>
        <v>-2.914798206278027E-2</v>
      </c>
      <c r="EL919" s="1">
        <f>(Table1[[#This Row],[predicted_6]]-Table1[[#This Row],[actual_6]])/Table1[[#This Row],[actual_6]]</f>
        <v>-1.7745302713987474E-2</v>
      </c>
      <c r="EM919" s="1">
        <f>(Table1[[#This Row],[predicted_7]]-Table1[[#This Row],[actual_7]])/Table1[[#This Row],[actual_7]]</f>
        <v>-0.10019455252918288</v>
      </c>
      <c r="EN919" s="1">
        <f>(Table1[[#This Row],[predicted_8]]-Table1[[#This Row],[actual_8]])/Table1[[#This Row],[actual_8]]</f>
        <v>-8.7268993839835732E-2</v>
      </c>
      <c r="EO919" s="1">
        <f>(Table1[[#This Row],[predicted_9]]-Table1[[#This Row],[actual_9]])/Table1[[#This Row],[actual_9]]</f>
        <v>-3.4687809712586719E-2</v>
      </c>
      <c r="EP919" s="1">
        <f>1+(Table1[[#This Row],[error_ratio_0]]-EF$2)</f>
        <v>1.036734693877551</v>
      </c>
      <c r="EQ919" s="1">
        <f>1+(Table1[[#This Row],[error_ratio_1]]-EG$2)</f>
        <v>1.0202643171806167</v>
      </c>
      <c r="ER919" s="1">
        <f>1+(Table1[[#This Row],[error_ratio_2]]-EH$2)</f>
        <v>1.068798449612403</v>
      </c>
      <c r="ES919" s="1">
        <f>1+(Table1[[#This Row],[error_ratio_3]]-EI$2)</f>
        <v>1.1564356435643564</v>
      </c>
      <c r="ET919" s="1">
        <f>1+(Table1[[#This Row],[error_ratio_4]]-EJ$2)</f>
        <v>0.96741344195519352</v>
      </c>
      <c r="EU919" s="1">
        <f>1+(Table1[[#This Row],[error_ratio_5]]-EK$2)</f>
        <v>0.96973094170403584</v>
      </c>
      <c r="EV919" s="1">
        <f>1+(Table1[[#This Row],[error_ratio_6]]-EL$2)</f>
        <v>0.98851774530271397</v>
      </c>
      <c r="EW919" s="1">
        <f>1+(Table1[[#This Row],[error_ratio_7]]-EM$2)</f>
        <v>0.89785992217898836</v>
      </c>
      <c r="EX919" s="1">
        <f>1+(Table1[[#This Row],[error_ratio_8]]-EN$2)</f>
        <v>0.91581108829568791</v>
      </c>
      <c r="EY919" s="1">
        <f>1+(Table1[[#This Row],[error_ratio_9]]-EO$2)</f>
        <v>0.96927651139742321</v>
      </c>
    </row>
    <row r="920" spans="1:155" x14ac:dyDescent="0.75">
      <c r="A920">
        <v>10</v>
      </c>
      <c r="B920">
        <v>10</v>
      </c>
      <c r="C920">
        <v>100</v>
      </c>
      <c r="D920">
        <v>100</v>
      </c>
      <c r="E920">
        <v>10</v>
      </c>
      <c r="F920">
        <v>10</v>
      </c>
      <c r="G920">
        <v>10</v>
      </c>
      <c r="H920">
        <v>10</v>
      </c>
      <c r="I920">
        <v>10</v>
      </c>
      <c r="J920">
        <v>10</v>
      </c>
      <c r="K920">
        <v>984</v>
      </c>
      <c r="L920">
        <v>1152</v>
      </c>
      <c r="M920">
        <v>1071</v>
      </c>
      <c r="N920">
        <v>1016</v>
      </c>
      <c r="O920">
        <v>905</v>
      </c>
      <c r="P920">
        <v>901</v>
      </c>
      <c r="Q920">
        <v>960</v>
      </c>
      <c r="R920">
        <v>1053</v>
      </c>
      <c r="S920">
        <v>897</v>
      </c>
      <c r="T920">
        <v>1061</v>
      </c>
      <c r="U920">
        <v>980</v>
      </c>
      <c r="V920">
        <v>1135</v>
      </c>
      <c r="W920">
        <v>1032</v>
      </c>
      <c r="X920">
        <v>1010</v>
      </c>
      <c r="Y920">
        <v>982</v>
      </c>
      <c r="Z920">
        <v>892</v>
      </c>
      <c r="AA920">
        <v>958</v>
      </c>
      <c r="AB920">
        <v>1028</v>
      </c>
      <c r="AC920">
        <v>974</v>
      </c>
      <c r="AD920">
        <v>1009</v>
      </c>
      <c r="AE920">
        <v>960</v>
      </c>
      <c r="AF920">
        <v>0</v>
      </c>
      <c r="AG920">
        <v>3</v>
      </c>
      <c r="AH920">
        <v>2</v>
      </c>
      <c r="AI920">
        <v>1</v>
      </c>
      <c r="AJ920">
        <v>1</v>
      </c>
      <c r="AK920">
        <v>6</v>
      </c>
      <c r="AL920">
        <v>1</v>
      </c>
      <c r="AM920">
        <v>1</v>
      </c>
      <c r="AN920">
        <v>5</v>
      </c>
      <c r="AO920">
        <v>0</v>
      </c>
      <c r="AP920">
        <v>1126</v>
      </c>
      <c r="AQ920">
        <v>4</v>
      </c>
      <c r="AR920">
        <v>2</v>
      </c>
      <c r="AS920">
        <v>0</v>
      </c>
      <c r="AT920">
        <v>1</v>
      </c>
      <c r="AU920">
        <v>1</v>
      </c>
      <c r="AV920">
        <v>0</v>
      </c>
      <c r="AW920">
        <v>1</v>
      </c>
      <c r="AX920">
        <v>0</v>
      </c>
      <c r="AY920">
        <v>2</v>
      </c>
      <c r="AZ920">
        <v>2</v>
      </c>
      <c r="BA920">
        <v>1015</v>
      </c>
      <c r="BB920">
        <v>1</v>
      </c>
      <c r="BC920">
        <v>0</v>
      </c>
      <c r="BD920">
        <v>0</v>
      </c>
      <c r="BE920">
        <v>1</v>
      </c>
      <c r="BF920">
        <v>10</v>
      </c>
      <c r="BG920">
        <v>1</v>
      </c>
      <c r="BH920">
        <v>0</v>
      </c>
      <c r="BI920">
        <v>1</v>
      </c>
      <c r="BJ920">
        <v>0</v>
      </c>
      <c r="BK920">
        <v>2</v>
      </c>
      <c r="BL920">
        <v>987</v>
      </c>
      <c r="BM920">
        <v>0</v>
      </c>
      <c r="BN920">
        <v>9</v>
      </c>
      <c r="BO920">
        <v>0</v>
      </c>
      <c r="BP920">
        <v>5</v>
      </c>
      <c r="BQ920">
        <v>1</v>
      </c>
      <c r="BR920">
        <v>5</v>
      </c>
      <c r="BS920">
        <v>0</v>
      </c>
      <c r="BT920">
        <v>6</v>
      </c>
      <c r="BU920">
        <v>18</v>
      </c>
      <c r="BV920">
        <v>0</v>
      </c>
      <c r="BW920">
        <v>889</v>
      </c>
      <c r="BX920">
        <v>0</v>
      </c>
      <c r="BY920">
        <v>6</v>
      </c>
      <c r="BZ920">
        <v>2</v>
      </c>
      <c r="CA920">
        <v>1</v>
      </c>
      <c r="CB920">
        <v>60</v>
      </c>
      <c r="CC920">
        <v>2</v>
      </c>
      <c r="CD920">
        <v>0</v>
      </c>
      <c r="CE920">
        <v>1</v>
      </c>
      <c r="CF920">
        <v>11</v>
      </c>
      <c r="CG920">
        <v>0</v>
      </c>
      <c r="CH920">
        <v>868</v>
      </c>
      <c r="CI920">
        <v>5</v>
      </c>
      <c r="CJ920">
        <v>3</v>
      </c>
      <c r="CK920">
        <v>1</v>
      </c>
      <c r="CL920">
        <v>1</v>
      </c>
      <c r="CM920">
        <v>8</v>
      </c>
      <c r="CN920">
        <v>3</v>
      </c>
      <c r="CO920">
        <v>1</v>
      </c>
      <c r="CP920">
        <v>0</v>
      </c>
      <c r="CQ920">
        <v>5</v>
      </c>
      <c r="CR920">
        <v>5</v>
      </c>
      <c r="CS920">
        <v>936</v>
      </c>
      <c r="CT920">
        <v>0</v>
      </c>
      <c r="CU920">
        <v>0</v>
      </c>
      <c r="CV920">
        <v>0</v>
      </c>
      <c r="CW920">
        <v>2</v>
      </c>
      <c r="CX920">
        <v>4</v>
      </c>
      <c r="CY920">
        <v>10</v>
      </c>
      <c r="CZ920">
        <v>3</v>
      </c>
      <c r="DA920">
        <v>1</v>
      </c>
      <c r="DB920">
        <v>0</v>
      </c>
      <c r="DC920">
        <v>0</v>
      </c>
      <c r="DD920">
        <v>1004</v>
      </c>
      <c r="DE920">
        <v>0</v>
      </c>
      <c r="DF920">
        <v>4</v>
      </c>
      <c r="DG920">
        <v>6</v>
      </c>
      <c r="DH920">
        <v>6</v>
      </c>
      <c r="DI920">
        <v>15</v>
      </c>
      <c r="DJ920">
        <v>6</v>
      </c>
      <c r="DK920">
        <v>5</v>
      </c>
      <c r="DL920">
        <v>10</v>
      </c>
      <c r="DM920">
        <v>5</v>
      </c>
      <c r="DN920">
        <v>14</v>
      </c>
      <c r="DO920">
        <v>891</v>
      </c>
      <c r="DP920">
        <v>16</v>
      </c>
      <c r="DQ920">
        <v>3</v>
      </c>
      <c r="DR920">
        <v>5</v>
      </c>
      <c r="DS920">
        <v>2</v>
      </c>
      <c r="DT920">
        <v>4</v>
      </c>
      <c r="DU920">
        <v>4</v>
      </c>
      <c r="DV920">
        <v>7</v>
      </c>
      <c r="DW920">
        <v>0</v>
      </c>
      <c r="DX920">
        <v>14</v>
      </c>
      <c r="DY920">
        <v>0</v>
      </c>
      <c r="DZ920">
        <v>970</v>
      </c>
      <c r="EA920">
        <v>0.96460000000000001</v>
      </c>
      <c r="EB920">
        <v>0.96539130740407697</v>
      </c>
      <c r="EC920">
        <v>0.96406281124886795</v>
      </c>
      <c r="ED920">
        <v>0.96429275723382701</v>
      </c>
      <c r="EE920">
        <f>SUM(Table1[[#This Row],[ratio_0]:[ratio_9]])</f>
        <v>280</v>
      </c>
      <c r="EF920" s="1">
        <f>(Table1[[#This Row],[predicted_0]]-Table1[[#This Row],[actual_0]])/Table1[[#This Row],[actual_0]]</f>
        <v>4.0816326530612249E-3</v>
      </c>
      <c r="EG920" s="1">
        <f>(Table1[[#This Row],[predicted_1]]-Table1[[#This Row],[actual_1]])/Table1[[#This Row],[actual_1]]</f>
        <v>1.4977973568281937E-2</v>
      </c>
      <c r="EH920" s="1">
        <f>(Table1[[#This Row],[predicted_2]]-Table1[[#This Row],[actual_2]])/Table1[[#This Row],[actual_2]]</f>
        <v>3.7790697674418602E-2</v>
      </c>
      <c r="EI920" s="1">
        <f>(Table1[[#This Row],[predicted_3]]-Table1[[#This Row],[actual_3]])/Table1[[#This Row],[actual_3]]</f>
        <v>5.9405940594059407E-3</v>
      </c>
      <c r="EJ920" s="1">
        <f>(Table1[[#This Row],[predicted_4]]-Table1[[#This Row],[actual_4]])/Table1[[#This Row],[actual_4]]</f>
        <v>-7.8411405295315678E-2</v>
      </c>
      <c r="EK920" s="1">
        <f>(Table1[[#This Row],[predicted_5]]-Table1[[#This Row],[actual_5]])/Table1[[#This Row],[actual_5]]</f>
        <v>1.0089686098654708E-2</v>
      </c>
      <c r="EL920" s="1">
        <f>(Table1[[#This Row],[predicted_6]]-Table1[[#This Row],[actual_6]])/Table1[[#This Row],[actual_6]]</f>
        <v>2.0876826722338203E-3</v>
      </c>
      <c r="EM920" s="1">
        <f>(Table1[[#This Row],[predicted_7]]-Table1[[#This Row],[actual_7]])/Table1[[#This Row],[actual_7]]</f>
        <v>2.4319066147859923E-2</v>
      </c>
      <c r="EN920" s="1">
        <f>(Table1[[#This Row],[predicted_8]]-Table1[[#This Row],[actual_8]])/Table1[[#This Row],[actual_8]]</f>
        <v>-7.9055441478439431E-2</v>
      </c>
      <c r="EO920" s="1">
        <f>(Table1[[#This Row],[predicted_9]]-Table1[[#This Row],[actual_9]])/Table1[[#This Row],[actual_9]]</f>
        <v>5.1536174430128839E-2</v>
      </c>
      <c r="EP920" s="1">
        <f>1+(Table1[[#This Row],[error_ratio_0]]-EF$2)</f>
        <v>1.0020408163265306</v>
      </c>
      <c r="EQ920" s="1">
        <f>1+(Table1[[#This Row],[error_ratio_1]]-EG$2)</f>
        <v>1.0132158590308371</v>
      </c>
      <c r="ER920" s="1">
        <f>1+(Table1[[#This Row],[error_ratio_2]]-EH$2)</f>
        <v>1.0426356589147288</v>
      </c>
      <c r="ES920" s="1">
        <f>1+(Table1[[#This Row],[error_ratio_3]]-EI$2)</f>
        <v>0.99603960396039604</v>
      </c>
      <c r="ET920" s="1">
        <f>1+(Table1[[#This Row],[error_ratio_4]]-EJ$2)</f>
        <v>0.92057026476578407</v>
      </c>
      <c r="EU920" s="1">
        <f>1+(Table1[[#This Row],[error_ratio_5]]-EK$2)</f>
        <v>1.0089686098654709</v>
      </c>
      <c r="EV920" s="1">
        <f>1+(Table1[[#This Row],[error_ratio_6]]-EL$2)</f>
        <v>1.0083507306889352</v>
      </c>
      <c r="EW920" s="1">
        <f>1+(Table1[[#This Row],[error_ratio_7]]-EM$2)</f>
        <v>1.022373540856031</v>
      </c>
      <c r="EX920" s="1">
        <f>1+(Table1[[#This Row],[error_ratio_8]]-EN$2)</f>
        <v>0.92402464065708423</v>
      </c>
      <c r="EY920" s="1">
        <f>1+(Table1[[#This Row],[error_ratio_9]]-EO$2)</f>
        <v>1.0555004955401388</v>
      </c>
    </row>
    <row r="921" spans="1:155" x14ac:dyDescent="0.75">
      <c r="A921">
        <v>100</v>
      </c>
      <c r="B921">
        <v>100</v>
      </c>
      <c r="C921">
        <v>10</v>
      </c>
      <c r="D921">
        <v>100</v>
      </c>
      <c r="E921">
        <v>10</v>
      </c>
      <c r="F921">
        <v>10</v>
      </c>
      <c r="G921">
        <v>10</v>
      </c>
      <c r="H921">
        <v>10</v>
      </c>
      <c r="I921">
        <v>10</v>
      </c>
      <c r="J921">
        <v>10</v>
      </c>
      <c r="K921">
        <v>1068</v>
      </c>
      <c r="L921">
        <v>1173</v>
      </c>
      <c r="M921">
        <v>973</v>
      </c>
      <c r="N921">
        <v>1207</v>
      </c>
      <c r="O921">
        <v>977</v>
      </c>
      <c r="P921">
        <v>739</v>
      </c>
      <c r="Q921">
        <v>896</v>
      </c>
      <c r="R921">
        <v>1000</v>
      </c>
      <c r="S921">
        <v>951</v>
      </c>
      <c r="T921">
        <v>1016</v>
      </c>
      <c r="U921">
        <v>980</v>
      </c>
      <c r="V921">
        <v>1135</v>
      </c>
      <c r="W921">
        <v>1032</v>
      </c>
      <c r="X921">
        <v>1010</v>
      </c>
      <c r="Y921">
        <v>982</v>
      </c>
      <c r="Z921">
        <v>892</v>
      </c>
      <c r="AA921">
        <v>958</v>
      </c>
      <c r="AB921">
        <v>1028</v>
      </c>
      <c r="AC921">
        <v>974</v>
      </c>
      <c r="AD921">
        <v>1009</v>
      </c>
      <c r="AE921">
        <v>976</v>
      </c>
      <c r="AF921">
        <v>0</v>
      </c>
      <c r="AG921">
        <v>0</v>
      </c>
      <c r="AH921">
        <v>0</v>
      </c>
      <c r="AI921">
        <v>0</v>
      </c>
      <c r="AJ921">
        <v>0</v>
      </c>
      <c r="AK921">
        <v>0</v>
      </c>
      <c r="AL921">
        <v>1</v>
      </c>
      <c r="AM921">
        <v>3</v>
      </c>
      <c r="AN921">
        <v>0</v>
      </c>
      <c r="AO921">
        <v>0</v>
      </c>
      <c r="AP921">
        <v>1130</v>
      </c>
      <c r="AQ921">
        <v>0</v>
      </c>
      <c r="AR921">
        <v>2</v>
      </c>
      <c r="AS921">
        <v>0</v>
      </c>
      <c r="AT921">
        <v>0</v>
      </c>
      <c r="AU921">
        <v>0</v>
      </c>
      <c r="AV921">
        <v>0</v>
      </c>
      <c r="AW921">
        <v>3</v>
      </c>
      <c r="AX921">
        <v>0</v>
      </c>
      <c r="AY921">
        <v>13</v>
      </c>
      <c r="AZ921">
        <v>22</v>
      </c>
      <c r="BA921">
        <v>950</v>
      </c>
      <c r="BB921">
        <v>27</v>
      </c>
      <c r="BC921">
        <v>13</v>
      </c>
      <c r="BD921">
        <v>0</v>
      </c>
      <c r="BE921">
        <v>1</v>
      </c>
      <c r="BF921">
        <v>4</v>
      </c>
      <c r="BG921">
        <v>2</v>
      </c>
      <c r="BH921">
        <v>0</v>
      </c>
      <c r="BI921">
        <v>4</v>
      </c>
      <c r="BJ921">
        <v>0</v>
      </c>
      <c r="BK921">
        <v>0</v>
      </c>
      <c r="BL921">
        <v>997</v>
      </c>
      <c r="BM921">
        <v>0</v>
      </c>
      <c r="BN921">
        <v>0</v>
      </c>
      <c r="BO921">
        <v>0</v>
      </c>
      <c r="BP921">
        <v>6</v>
      </c>
      <c r="BQ921">
        <v>0</v>
      </c>
      <c r="BR921">
        <v>3</v>
      </c>
      <c r="BS921">
        <v>5</v>
      </c>
      <c r="BT921">
        <v>1</v>
      </c>
      <c r="BU921">
        <v>1</v>
      </c>
      <c r="BV921">
        <v>0</v>
      </c>
      <c r="BW921">
        <v>938</v>
      </c>
      <c r="BX921">
        <v>0</v>
      </c>
      <c r="BY921">
        <v>2</v>
      </c>
      <c r="BZ921">
        <v>0</v>
      </c>
      <c r="CA921">
        <v>5</v>
      </c>
      <c r="CB921">
        <v>30</v>
      </c>
      <c r="CC921">
        <v>14</v>
      </c>
      <c r="CD921">
        <v>1</v>
      </c>
      <c r="CE921">
        <v>0</v>
      </c>
      <c r="CF921">
        <v>122</v>
      </c>
      <c r="CG921">
        <v>0</v>
      </c>
      <c r="CH921">
        <v>733</v>
      </c>
      <c r="CI921">
        <v>0</v>
      </c>
      <c r="CJ921">
        <v>2</v>
      </c>
      <c r="CK921">
        <v>10</v>
      </c>
      <c r="CL921">
        <v>10</v>
      </c>
      <c r="CM921">
        <v>39</v>
      </c>
      <c r="CN921">
        <v>6</v>
      </c>
      <c r="CO921">
        <v>0</v>
      </c>
      <c r="CP921">
        <v>0</v>
      </c>
      <c r="CQ921">
        <v>14</v>
      </c>
      <c r="CR921">
        <v>4</v>
      </c>
      <c r="CS921">
        <v>890</v>
      </c>
      <c r="CT921">
        <v>0</v>
      </c>
      <c r="CU921">
        <v>5</v>
      </c>
      <c r="CV921">
        <v>0</v>
      </c>
      <c r="CW921">
        <v>3</v>
      </c>
      <c r="CX921">
        <v>8</v>
      </c>
      <c r="CY921">
        <v>20</v>
      </c>
      <c r="CZ921">
        <v>6</v>
      </c>
      <c r="DA921">
        <v>3</v>
      </c>
      <c r="DB921">
        <v>0</v>
      </c>
      <c r="DC921">
        <v>0</v>
      </c>
      <c r="DD921">
        <v>977</v>
      </c>
      <c r="DE921">
        <v>2</v>
      </c>
      <c r="DF921">
        <v>9</v>
      </c>
      <c r="DG921">
        <v>6</v>
      </c>
      <c r="DH921">
        <v>0</v>
      </c>
      <c r="DI921">
        <v>2</v>
      </c>
      <c r="DJ921">
        <v>34</v>
      </c>
      <c r="DK921">
        <v>2</v>
      </c>
      <c r="DL921">
        <v>2</v>
      </c>
      <c r="DM921">
        <v>3</v>
      </c>
      <c r="DN921">
        <v>6</v>
      </c>
      <c r="DO921">
        <v>916</v>
      </c>
      <c r="DP921">
        <v>3</v>
      </c>
      <c r="DQ921">
        <v>8</v>
      </c>
      <c r="DR921">
        <v>5</v>
      </c>
      <c r="DS921">
        <v>0</v>
      </c>
      <c r="DT921">
        <v>19</v>
      </c>
      <c r="DU921">
        <v>7</v>
      </c>
      <c r="DV921">
        <v>0</v>
      </c>
      <c r="DW921">
        <v>0</v>
      </c>
      <c r="DX921">
        <v>4</v>
      </c>
      <c r="DY921">
        <v>5</v>
      </c>
      <c r="DZ921">
        <v>961</v>
      </c>
      <c r="EA921">
        <v>0.94679999999999997</v>
      </c>
      <c r="EB921">
        <v>0.95109053688817102</v>
      </c>
      <c r="EC921">
        <v>0.94484145774078598</v>
      </c>
      <c r="ED921">
        <v>0.94602600949678906</v>
      </c>
      <c r="EE921">
        <f>SUM(Table1[[#This Row],[ratio_0]:[ratio_9]])</f>
        <v>370</v>
      </c>
      <c r="EF921" s="1">
        <f>(Table1[[#This Row],[predicted_0]]-Table1[[#This Row],[actual_0]])/Table1[[#This Row],[actual_0]]</f>
        <v>8.9795918367346933E-2</v>
      </c>
      <c r="EG921" s="1">
        <f>(Table1[[#This Row],[predicted_1]]-Table1[[#This Row],[actual_1]])/Table1[[#This Row],[actual_1]]</f>
        <v>3.3480176211453744E-2</v>
      </c>
      <c r="EH921" s="1">
        <f>(Table1[[#This Row],[predicted_2]]-Table1[[#This Row],[actual_2]])/Table1[[#This Row],[actual_2]]</f>
        <v>-5.7170542635658912E-2</v>
      </c>
      <c r="EI921" s="1">
        <f>(Table1[[#This Row],[predicted_3]]-Table1[[#This Row],[actual_3]])/Table1[[#This Row],[actual_3]]</f>
        <v>0.19504950495049506</v>
      </c>
      <c r="EJ921" s="1">
        <f>(Table1[[#This Row],[predicted_4]]-Table1[[#This Row],[actual_4]])/Table1[[#This Row],[actual_4]]</f>
        <v>-5.0916496945010185E-3</v>
      </c>
      <c r="EK921" s="1">
        <f>(Table1[[#This Row],[predicted_5]]-Table1[[#This Row],[actual_5]])/Table1[[#This Row],[actual_5]]</f>
        <v>-0.17152466367713004</v>
      </c>
      <c r="EL921" s="1">
        <f>(Table1[[#This Row],[predicted_6]]-Table1[[#This Row],[actual_6]])/Table1[[#This Row],[actual_6]]</f>
        <v>-6.471816283924843E-2</v>
      </c>
      <c r="EM921" s="1">
        <f>(Table1[[#This Row],[predicted_7]]-Table1[[#This Row],[actual_7]])/Table1[[#This Row],[actual_7]]</f>
        <v>-2.7237354085603113E-2</v>
      </c>
      <c r="EN921" s="1">
        <f>(Table1[[#This Row],[predicted_8]]-Table1[[#This Row],[actual_8]])/Table1[[#This Row],[actual_8]]</f>
        <v>-2.3613963039014373E-2</v>
      </c>
      <c r="EO921" s="1">
        <f>(Table1[[#This Row],[predicted_9]]-Table1[[#This Row],[actual_9]])/Table1[[#This Row],[actual_9]]</f>
        <v>6.9375619425173438E-3</v>
      </c>
      <c r="EP921" s="1">
        <f>1+(Table1[[#This Row],[error_ratio_0]]-EF$2)</f>
        <v>1.0877551020408163</v>
      </c>
      <c r="EQ921" s="1">
        <f>1+(Table1[[#This Row],[error_ratio_1]]-EG$2)</f>
        <v>1.0317180616740087</v>
      </c>
      <c r="ER921" s="1">
        <f>1+(Table1[[#This Row],[error_ratio_2]]-EH$2)</f>
        <v>0.94767441860465118</v>
      </c>
      <c r="ES921" s="1">
        <f>1+(Table1[[#This Row],[error_ratio_3]]-EI$2)</f>
        <v>1.1851485148514851</v>
      </c>
      <c r="ET921" s="1">
        <f>1+(Table1[[#This Row],[error_ratio_4]]-EJ$2)</f>
        <v>0.99389002036659879</v>
      </c>
      <c r="EU921" s="1">
        <f>1+(Table1[[#This Row],[error_ratio_5]]-EK$2)</f>
        <v>0.82735426008968616</v>
      </c>
      <c r="EV921" s="1">
        <f>1+(Table1[[#This Row],[error_ratio_6]]-EL$2)</f>
        <v>0.94154488517745305</v>
      </c>
      <c r="EW921" s="1">
        <f>1+(Table1[[#This Row],[error_ratio_7]]-EM$2)</f>
        <v>0.97081712062256809</v>
      </c>
      <c r="EX921" s="1">
        <f>1+(Table1[[#This Row],[error_ratio_8]]-EN$2)</f>
        <v>0.97946611909650927</v>
      </c>
      <c r="EY921" s="1">
        <f>1+(Table1[[#This Row],[error_ratio_9]]-EO$2)</f>
        <v>1.0109018830525272</v>
      </c>
    </row>
    <row r="922" spans="1:155" x14ac:dyDescent="0.75">
      <c r="A922">
        <v>10</v>
      </c>
      <c r="B922">
        <v>100</v>
      </c>
      <c r="C922">
        <v>10</v>
      </c>
      <c r="D922">
        <v>100</v>
      </c>
      <c r="E922">
        <v>10</v>
      </c>
      <c r="F922">
        <v>10</v>
      </c>
      <c r="G922">
        <v>10</v>
      </c>
      <c r="H922">
        <v>10</v>
      </c>
      <c r="I922">
        <v>10</v>
      </c>
      <c r="J922">
        <v>10</v>
      </c>
      <c r="K922">
        <v>1004</v>
      </c>
      <c r="L922">
        <v>1159</v>
      </c>
      <c r="M922">
        <v>1088</v>
      </c>
      <c r="N922">
        <v>1121</v>
      </c>
      <c r="O922">
        <v>982</v>
      </c>
      <c r="P922">
        <v>769</v>
      </c>
      <c r="Q922">
        <v>927</v>
      </c>
      <c r="R922">
        <v>958</v>
      </c>
      <c r="S922">
        <v>983</v>
      </c>
      <c r="T922">
        <v>1009</v>
      </c>
      <c r="U922">
        <v>980</v>
      </c>
      <c r="V922">
        <v>1135</v>
      </c>
      <c r="W922">
        <v>1032</v>
      </c>
      <c r="X922">
        <v>1010</v>
      </c>
      <c r="Y922">
        <v>982</v>
      </c>
      <c r="Z922">
        <v>892</v>
      </c>
      <c r="AA922">
        <v>958</v>
      </c>
      <c r="AB922">
        <v>1028</v>
      </c>
      <c r="AC922">
        <v>974</v>
      </c>
      <c r="AD922">
        <v>1009</v>
      </c>
      <c r="AE922">
        <v>968</v>
      </c>
      <c r="AF922">
        <v>0</v>
      </c>
      <c r="AG922">
        <v>1</v>
      </c>
      <c r="AH922">
        <v>5</v>
      </c>
      <c r="AI922">
        <v>0</v>
      </c>
      <c r="AJ922">
        <v>0</v>
      </c>
      <c r="AK922">
        <v>2</v>
      </c>
      <c r="AL922">
        <v>1</v>
      </c>
      <c r="AM922">
        <v>3</v>
      </c>
      <c r="AN922">
        <v>0</v>
      </c>
      <c r="AO922">
        <v>0</v>
      </c>
      <c r="AP922">
        <v>1132</v>
      </c>
      <c r="AQ922">
        <v>0</v>
      </c>
      <c r="AR922">
        <v>3</v>
      </c>
      <c r="AS922">
        <v>0</v>
      </c>
      <c r="AT922">
        <v>0</v>
      </c>
      <c r="AU922">
        <v>0</v>
      </c>
      <c r="AV922">
        <v>0</v>
      </c>
      <c r="AW922">
        <v>0</v>
      </c>
      <c r="AX922">
        <v>0</v>
      </c>
      <c r="AY922">
        <v>5</v>
      </c>
      <c r="AZ922">
        <v>9</v>
      </c>
      <c r="BA922">
        <v>997</v>
      </c>
      <c r="BB922">
        <v>7</v>
      </c>
      <c r="BC922">
        <v>2</v>
      </c>
      <c r="BD922">
        <v>0</v>
      </c>
      <c r="BE922">
        <v>6</v>
      </c>
      <c r="BF922">
        <v>2</v>
      </c>
      <c r="BG922">
        <v>4</v>
      </c>
      <c r="BH922">
        <v>0</v>
      </c>
      <c r="BI922">
        <v>0</v>
      </c>
      <c r="BJ922">
        <v>0</v>
      </c>
      <c r="BK922">
        <v>5</v>
      </c>
      <c r="BL922">
        <v>1002</v>
      </c>
      <c r="BM922">
        <v>0</v>
      </c>
      <c r="BN922">
        <v>0</v>
      </c>
      <c r="BO922">
        <v>0</v>
      </c>
      <c r="BP922">
        <v>3</v>
      </c>
      <c r="BQ922">
        <v>0</v>
      </c>
      <c r="BR922">
        <v>0</v>
      </c>
      <c r="BS922">
        <v>2</v>
      </c>
      <c r="BT922">
        <v>1</v>
      </c>
      <c r="BU922">
        <v>7</v>
      </c>
      <c r="BV922">
        <v>0</v>
      </c>
      <c r="BW922">
        <v>953</v>
      </c>
      <c r="BX922">
        <v>0</v>
      </c>
      <c r="BY922">
        <v>6</v>
      </c>
      <c r="BZ922">
        <v>1</v>
      </c>
      <c r="CA922">
        <v>2</v>
      </c>
      <c r="CB922">
        <v>10</v>
      </c>
      <c r="CC922">
        <v>2</v>
      </c>
      <c r="CD922">
        <v>0</v>
      </c>
      <c r="CE922">
        <v>0</v>
      </c>
      <c r="CF922">
        <v>66</v>
      </c>
      <c r="CG922">
        <v>1</v>
      </c>
      <c r="CH922">
        <v>762</v>
      </c>
      <c r="CI922">
        <v>3</v>
      </c>
      <c r="CJ922">
        <v>4</v>
      </c>
      <c r="CK922">
        <v>36</v>
      </c>
      <c r="CL922">
        <v>18</v>
      </c>
      <c r="CM922">
        <v>16</v>
      </c>
      <c r="CN922">
        <v>5</v>
      </c>
      <c r="CO922">
        <v>1</v>
      </c>
      <c r="CP922">
        <v>6</v>
      </c>
      <c r="CQ922">
        <v>9</v>
      </c>
      <c r="CR922">
        <v>3</v>
      </c>
      <c r="CS922">
        <v>910</v>
      </c>
      <c r="CT922">
        <v>0</v>
      </c>
      <c r="CU922">
        <v>8</v>
      </c>
      <c r="CV922">
        <v>0</v>
      </c>
      <c r="CW922">
        <v>2</v>
      </c>
      <c r="CX922">
        <v>6</v>
      </c>
      <c r="CY922">
        <v>69</v>
      </c>
      <c r="CZ922">
        <v>2</v>
      </c>
      <c r="DA922">
        <v>0</v>
      </c>
      <c r="DB922">
        <v>0</v>
      </c>
      <c r="DC922">
        <v>0</v>
      </c>
      <c r="DD922">
        <v>935</v>
      </c>
      <c r="DE922">
        <v>0</v>
      </c>
      <c r="DF922">
        <v>14</v>
      </c>
      <c r="DG922">
        <v>4</v>
      </c>
      <c r="DH922">
        <v>0</v>
      </c>
      <c r="DI922">
        <v>6</v>
      </c>
      <c r="DJ922">
        <v>23</v>
      </c>
      <c r="DK922">
        <v>4</v>
      </c>
      <c r="DL922">
        <v>3</v>
      </c>
      <c r="DM922">
        <v>0</v>
      </c>
      <c r="DN922">
        <v>3</v>
      </c>
      <c r="DO922">
        <v>923</v>
      </c>
      <c r="DP922">
        <v>8</v>
      </c>
      <c r="DQ922">
        <v>5</v>
      </c>
      <c r="DR922">
        <v>6</v>
      </c>
      <c r="DS922">
        <v>2</v>
      </c>
      <c r="DT922">
        <v>7</v>
      </c>
      <c r="DU922">
        <v>13</v>
      </c>
      <c r="DV922">
        <v>1</v>
      </c>
      <c r="DW922">
        <v>0</v>
      </c>
      <c r="DX922">
        <v>9</v>
      </c>
      <c r="DY922">
        <v>7</v>
      </c>
      <c r="DZ922">
        <v>959</v>
      </c>
      <c r="EA922">
        <v>0.95409999999999995</v>
      </c>
      <c r="EB922">
        <v>0.95594795264699395</v>
      </c>
      <c r="EC922">
        <v>0.95255182105485803</v>
      </c>
      <c r="ED922">
        <v>0.95325213572204304</v>
      </c>
      <c r="EE922">
        <f>SUM(Table1[[#This Row],[ratio_0]:[ratio_9]])</f>
        <v>280</v>
      </c>
      <c r="EF922" s="1">
        <f>(Table1[[#This Row],[predicted_0]]-Table1[[#This Row],[actual_0]])/Table1[[#This Row],[actual_0]]</f>
        <v>2.4489795918367346E-2</v>
      </c>
      <c r="EG922" s="1">
        <f>(Table1[[#This Row],[predicted_1]]-Table1[[#This Row],[actual_1]])/Table1[[#This Row],[actual_1]]</f>
        <v>2.1145374449339206E-2</v>
      </c>
      <c r="EH922" s="1">
        <f>(Table1[[#This Row],[predicted_2]]-Table1[[#This Row],[actual_2]])/Table1[[#This Row],[actual_2]]</f>
        <v>5.4263565891472867E-2</v>
      </c>
      <c r="EI922" s="1">
        <f>(Table1[[#This Row],[predicted_3]]-Table1[[#This Row],[actual_3]])/Table1[[#This Row],[actual_3]]</f>
        <v>0.1099009900990099</v>
      </c>
      <c r="EJ922" s="1">
        <f>(Table1[[#This Row],[predicted_4]]-Table1[[#This Row],[actual_4]])/Table1[[#This Row],[actual_4]]</f>
        <v>0</v>
      </c>
      <c r="EK922" s="1">
        <f>(Table1[[#This Row],[predicted_5]]-Table1[[#This Row],[actual_5]])/Table1[[#This Row],[actual_5]]</f>
        <v>-0.13789237668161436</v>
      </c>
      <c r="EL922" s="1">
        <f>(Table1[[#This Row],[predicted_6]]-Table1[[#This Row],[actual_6]])/Table1[[#This Row],[actual_6]]</f>
        <v>-3.2359081419624215E-2</v>
      </c>
      <c r="EM922" s="1">
        <f>(Table1[[#This Row],[predicted_7]]-Table1[[#This Row],[actual_7]])/Table1[[#This Row],[actual_7]]</f>
        <v>-6.8093385214007776E-2</v>
      </c>
      <c r="EN922" s="1">
        <f>(Table1[[#This Row],[predicted_8]]-Table1[[#This Row],[actual_8]])/Table1[[#This Row],[actual_8]]</f>
        <v>9.2402464065708418E-3</v>
      </c>
      <c r="EO922" s="1">
        <f>(Table1[[#This Row],[predicted_9]]-Table1[[#This Row],[actual_9]])/Table1[[#This Row],[actual_9]]</f>
        <v>0</v>
      </c>
      <c r="EP922" s="1">
        <f>1+(Table1[[#This Row],[error_ratio_0]]-EF$2)</f>
        <v>1.0224489795918368</v>
      </c>
      <c r="EQ922" s="1">
        <f>1+(Table1[[#This Row],[error_ratio_1]]-EG$2)</f>
        <v>1.0193832599118944</v>
      </c>
      <c r="ER922" s="1">
        <f>1+(Table1[[#This Row],[error_ratio_2]]-EH$2)</f>
        <v>1.0591085271317831</v>
      </c>
      <c r="ES922" s="1">
        <f>1+(Table1[[#This Row],[error_ratio_3]]-EI$2)</f>
        <v>1.1000000000000001</v>
      </c>
      <c r="ET922" s="1">
        <f>1+(Table1[[#This Row],[error_ratio_4]]-EJ$2)</f>
        <v>0.99898167006109984</v>
      </c>
      <c r="EU922" s="1">
        <f>1+(Table1[[#This Row],[error_ratio_5]]-EK$2)</f>
        <v>0.86098654708520184</v>
      </c>
      <c r="EV922" s="1">
        <f>1+(Table1[[#This Row],[error_ratio_6]]-EL$2)</f>
        <v>0.97390396659707723</v>
      </c>
      <c r="EW922" s="1">
        <f>1+(Table1[[#This Row],[error_ratio_7]]-EM$2)</f>
        <v>0.92996108949416345</v>
      </c>
      <c r="EX922" s="1">
        <f>1+(Table1[[#This Row],[error_ratio_8]]-EN$2)</f>
        <v>1.0123203285420945</v>
      </c>
      <c r="EY922" s="1">
        <f>1+(Table1[[#This Row],[error_ratio_9]]-EO$2)</f>
        <v>1.00396432111001</v>
      </c>
    </row>
    <row r="923" spans="1:155" x14ac:dyDescent="0.75">
      <c r="A923">
        <v>100</v>
      </c>
      <c r="B923">
        <v>10</v>
      </c>
      <c r="C923">
        <v>10</v>
      </c>
      <c r="D923">
        <v>100</v>
      </c>
      <c r="E923">
        <v>10</v>
      </c>
      <c r="F923">
        <v>10</v>
      </c>
      <c r="G923">
        <v>10</v>
      </c>
      <c r="H923">
        <v>10</v>
      </c>
      <c r="I923">
        <v>10</v>
      </c>
      <c r="J923">
        <v>10</v>
      </c>
      <c r="K923">
        <v>1041</v>
      </c>
      <c r="L923">
        <v>1142</v>
      </c>
      <c r="M923">
        <v>1016</v>
      </c>
      <c r="N923">
        <v>1129</v>
      </c>
      <c r="O923">
        <v>956</v>
      </c>
      <c r="P923">
        <v>786</v>
      </c>
      <c r="Q923">
        <v>950</v>
      </c>
      <c r="R923">
        <v>978</v>
      </c>
      <c r="S923">
        <v>992</v>
      </c>
      <c r="T923">
        <v>1010</v>
      </c>
      <c r="U923">
        <v>980</v>
      </c>
      <c r="V923">
        <v>1135</v>
      </c>
      <c r="W923">
        <v>1032</v>
      </c>
      <c r="X923">
        <v>1010</v>
      </c>
      <c r="Y923">
        <v>982</v>
      </c>
      <c r="Z923">
        <v>892</v>
      </c>
      <c r="AA923">
        <v>958</v>
      </c>
      <c r="AB923">
        <v>1028</v>
      </c>
      <c r="AC923">
        <v>974</v>
      </c>
      <c r="AD923">
        <v>1009</v>
      </c>
      <c r="AE923">
        <v>976</v>
      </c>
      <c r="AF923">
        <v>0</v>
      </c>
      <c r="AG923">
        <v>1</v>
      </c>
      <c r="AH923">
        <v>1</v>
      </c>
      <c r="AI923">
        <v>0</v>
      </c>
      <c r="AJ923">
        <v>1</v>
      </c>
      <c r="AK923">
        <v>0</v>
      </c>
      <c r="AL923">
        <v>0</v>
      </c>
      <c r="AM923">
        <v>1</v>
      </c>
      <c r="AN923">
        <v>0</v>
      </c>
      <c r="AO923">
        <v>0</v>
      </c>
      <c r="AP923">
        <v>1120</v>
      </c>
      <c r="AQ923">
        <v>0</v>
      </c>
      <c r="AR923">
        <v>9</v>
      </c>
      <c r="AS923">
        <v>0</v>
      </c>
      <c r="AT923">
        <v>0</v>
      </c>
      <c r="AU923">
        <v>1</v>
      </c>
      <c r="AV923">
        <v>0</v>
      </c>
      <c r="AW923">
        <v>5</v>
      </c>
      <c r="AX923">
        <v>0</v>
      </c>
      <c r="AY923">
        <v>16</v>
      </c>
      <c r="AZ923">
        <v>3</v>
      </c>
      <c r="BA923">
        <v>976</v>
      </c>
      <c r="BB923">
        <v>19</v>
      </c>
      <c r="BC923">
        <v>1</v>
      </c>
      <c r="BD923">
        <v>1</v>
      </c>
      <c r="BE923">
        <v>2</v>
      </c>
      <c r="BF923">
        <v>6</v>
      </c>
      <c r="BG923">
        <v>8</v>
      </c>
      <c r="BH923">
        <v>0</v>
      </c>
      <c r="BI923">
        <v>0</v>
      </c>
      <c r="BJ923">
        <v>0</v>
      </c>
      <c r="BK923">
        <v>1</v>
      </c>
      <c r="BL923">
        <v>1003</v>
      </c>
      <c r="BM923">
        <v>0</v>
      </c>
      <c r="BN923">
        <v>0</v>
      </c>
      <c r="BO923">
        <v>0</v>
      </c>
      <c r="BP923">
        <v>3</v>
      </c>
      <c r="BQ923">
        <v>1</v>
      </c>
      <c r="BR923">
        <v>2</v>
      </c>
      <c r="BS923">
        <v>3</v>
      </c>
      <c r="BT923">
        <v>1</v>
      </c>
      <c r="BU923">
        <v>2</v>
      </c>
      <c r="BV923">
        <v>1</v>
      </c>
      <c r="BW923">
        <v>943</v>
      </c>
      <c r="BX923">
        <v>0</v>
      </c>
      <c r="BY923">
        <v>7</v>
      </c>
      <c r="BZ923">
        <v>1</v>
      </c>
      <c r="CA923">
        <v>1</v>
      </c>
      <c r="CB923">
        <v>23</v>
      </c>
      <c r="CC923">
        <v>6</v>
      </c>
      <c r="CD923">
        <v>0</v>
      </c>
      <c r="CE923">
        <v>1</v>
      </c>
      <c r="CF923">
        <v>61</v>
      </c>
      <c r="CG923">
        <v>0</v>
      </c>
      <c r="CH923">
        <v>777</v>
      </c>
      <c r="CI923">
        <v>13</v>
      </c>
      <c r="CJ923">
        <v>0</v>
      </c>
      <c r="CK923">
        <v>31</v>
      </c>
      <c r="CL923">
        <v>3</v>
      </c>
      <c r="CM923">
        <v>15</v>
      </c>
      <c r="CN923">
        <v>4</v>
      </c>
      <c r="CO923">
        <v>0</v>
      </c>
      <c r="CP923">
        <v>1</v>
      </c>
      <c r="CQ923">
        <v>2</v>
      </c>
      <c r="CR923">
        <v>1</v>
      </c>
      <c r="CS923">
        <v>925</v>
      </c>
      <c r="CT923">
        <v>0</v>
      </c>
      <c r="CU923">
        <v>10</v>
      </c>
      <c r="CV923">
        <v>0</v>
      </c>
      <c r="CW923">
        <v>11</v>
      </c>
      <c r="CX923">
        <v>8</v>
      </c>
      <c r="CY923">
        <v>35</v>
      </c>
      <c r="CZ923">
        <v>4</v>
      </c>
      <c r="DA923">
        <v>1</v>
      </c>
      <c r="DB923">
        <v>0</v>
      </c>
      <c r="DC923">
        <v>0</v>
      </c>
      <c r="DD923">
        <v>955</v>
      </c>
      <c r="DE923">
        <v>2</v>
      </c>
      <c r="DF923">
        <v>12</v>
      </c>
      <c r="DG923">
        <v>4</v>
      </c>
      <c r="DH923">
        <v>1</v>
      </c>
      <c r="DI923">
        <v>0</v>
      </c>
      <c r="DJ923">
        <v>15</v>
      </c>
      <c r="DK923">
        <v>3</v>
      </c>
      <c r="DL923">
        <v>0</v>
      </c>
      <c r="DM923">
        <v>2</v>
      </c>
      <c r="DN923">
        <v>6</v>
      </c>
      <c r="DO923">
        <v>931</v>
      </c>
      <c r="DP923">
        <v>12</v>
      </c>
      <c r="DQ923">
        <v>10</v>
      </c>
      <c r="DR923">
        <v>5</v>
      </c>
      <c r="DS923">
        <v>0</v>
      </c>
      <c r="DT923">
        <v>15</v>
      </c>
      <c r="DU923">
        <v>6</v>
      </c>
      <c r="DV923">
        <v>6</v>
      </c>
      <c r="DW923">
        <v>0</v>
      </c>
      <c r="DX923">
        <v>7</v>
      </c>
      <c r="DY923">
        <v>2</v>
      </c>
      <c r="DZ923">
        <v>958</v>
      </c>
      <c r="EA923">
        <v>0.95640000000000003</v>
      </c>
      <c r="EB923">
        <v>0.95794633587609301</v>
      </c>
      <c r="EC923">
        <v>0.95527182395833299</v>
      </c>
      <c r="ED923">
        <v>0.95576567687857905</v>
      </c>
      <c r="EE923">
        <f>SUM(Table1[[#This Row],[ratio_0]:[ratio_9]])</f>
        <v>280</v>
      </c>
      <c r="EF923" s="1">
        <f>(Table1[[#This Row],[predicted_0]]-Table1[[#This Row],[actual_0]])/Table1[[#This Row],[actual_0]]</f>
        <v>6.224489795918367E-2</v>
      </c>
      <c r="EG923" s="1">
        <f>(Table1[[#This Row],[predicted_1]]-Table1[[#This Row],[actual_1]])/Table1[[#This Row],[actual_1]]</f>
        <v>6.1674008810572688E-3</v>
      </c>
      <c r="EH923" s="1">
        <f>(Table1[[#This Row],[predicted_2]]-Table1[[#This Row],[actual_2]])/Table1[[#This Row],[actual_2]]</f>
        <v>-1.5503875968992248E-2</v>
      </c>
      <c r="EI923" s="1">
        <f>(Table1[[#This Row],[predicted_3]]-Table1[[#This Row],[actual_3]])/Table1[[#This Row],[actual_3]]</f>
        <v>0.11782178217821782</v>
      </c>
      <c r="EJ923" s="1">
        <f>(Table1[[#This Row],[predicted_4]]-Table1[[#This Row],[actual_4]])/Table1[[#This Row],[actual_4]]</f>
        <v>-2.6476578411405296E-2</v>
      </c>
      <c r="EK923" s="1">
        <f>(Table1[[#This Row],[predicted_5]]-Table1[[#This Row],[actual_5]])/Table1[[#This Row],[actual_5]]</f>
        <v>-0.11883408071748879</v>
      </c>
      <c r="EL923" s="1">
        <f>(Table1[[#This Row],[predicted_6]]-Table1[[#This Row],[actual_6]])/Table1[[#This Row],[actual_6]]</f>
        <v>-8.350730688935281E-3</v>
      </c>
      <c r="EM923" s="1">
        <f>(Table1[[#This Row],[predicted_7]]-Table1[[#This Row],[actual_7]])/Table1[[#This Row],[actual_7]]</f>
        <v>-4.8638132295719845E-2</v>
      </c>
      <c r="EN923" s="1">
        <f>(Table1[[#This Row],[predicted_8]]-Table1[[#This Row],[actual_8]])/Table1[[#This Row],[actual_8]]</f>
        <v>1.8480492813141684E-2</v>
      </c>
      <c r="EO923" s="1">
        <f>(Table1[[#This Row],[predicted_9]]-Table1[[#This Row],[actual_9]])/Table1[[#This Row],[actual_9]]</f>
        <v>9.9108027750247768E-4</v>
      </c>
      <c r="EP923" s="1">
        <f>1+(Table1[[#This Row],[error_ratio_0]]-EF$2)</f>
        <v>1.060204081632653</v>
      </c>
      <c r="EQ923" s="1">
        <f>1+(Table1[[#This Row],[error_ratio_1]]-EG$2)</f>
        <v>1.0044052863436124</v>
      </c>
      <c r="ER923" s="1">
        <f>1+(Table1[[#This Row],[error_ratio_2]]-EH$2)</f>
        <v>0.98934108527131781</v>
      </c>
      <c r="ES923" s="1">
        <f>1+(Table1[[#This Row],[error_ratio_3]]-EI$2)</f>
        <v>1.107920792079208</v>
      </c>
      <c r="ET923" s="1">
        <f>1+(Table1[[#This Row],[error_ratio_4]]-EJ$2)</f>
        <v>0.97250509164969445</v>
      </c>
      <c r="EU923" s="1">
        <f>1+(Table1[[#This Row],[error_ratio_5]]-EK$2)</f>
        <v>0.8800448430493274</v>
      </c>
      <c r="EV923" s="1">
        <f>1+(Table1[[#This Row],[error_ratio_6]]-EL$2)</f>
        <v>0.9979123173277662</v>
      </c>
      <c r="EW923" s="1">
        <f>1+(Table1[[#This Row],[error_ratio_7]]-EM$2)</f>
        <v>0.94941634241245132</v>
      </c>
      <c r="EX923" s="1">
        <f>1+(Table1[[#This Row],[error_ratio_8]]-EN$2)</f>
        <v>1.0215605749486654</v>
      </c>
      <c r="EY923" s="1">
        <f>1+(Table1[[#This Row],[error_ratio_9]]-EO$2)</f>
        <v>1.0049554013875124</v>
      </c>
    </row>
    <row r="924" spans="1:155" x14ac:dyDescent="0.75">
      <c r="A924">
        <v>10</v>
      </c>
      <c r="B924">
        <v>10</v>
      </c>
      <c r="C924">
        <v>10</v>
      </c>
      <c r="D924">
        <v>100</v>
      </c>
      <c r="E924">
        <v>10</v>
      </c>
      <c r="F924">
        <v>10</v>
      </c>
      <c r="G924">
        <v>10</v>
      </c>
      <c r="H924">
        <v>10</v>
      </c>
      <c r="I924">
        <v>10</v>
      </c>
      <c r="J924">
        <v>10</v>
      </c>
      <c r="K924">
        <v>1006</v>
      </c>
      <c r="L924">
        <v>1173</v>
      </c>
      <c r="M924">
        <v>1012</v>
      </c>
      <c r="N924">
        <v>1106</v>
      </c>
      <c r="O924">
        <v>892</v>
      </c>
      <c r="P924">
        <v>887</v>
      </c>
      <c r="Q924">
        <v>943</v>
      </c>
      <c r="R924">
        <v>988</v>
      </c>
      <c r="S924">
        <v>916</v>
      </c>
      <c r="T924">
        <v>1077</v>
      </c>
      <c r="U924">
        <v>980</v>
      </c>
      <c r="V924">
        <v>1135</v>
      </c>
      <c r="W924">
        <v>1032</v>
      </c>
      <c r="X924">
        <v>1010</v>
      </c>
      <c r="Y924">
        <v>982</v>
      </c>
      <c r="Z924">
        <v>892</v>
      </c>
      <c r="AA924">
        <v>958</v>
      </c>
      <c r="AB924">
        <v>1028</v>
      </c>
      <c r="AC924">
        <v>974</v>
      </c>
      <c r="AD924">
        <v>1009</v>
      </c>
      <c r="AE924">
        <v>973</v>
      </c>
      <c r="AF924">
        <v>0</v>
      </c>
      <c r="AG924">
        <v>1</v>
      </c>
      <c r="AH924">
        <v>1</v>
      </c>
      <c r="AI924">
        <v>0</v>
      </c>
      <c r="AJ924">
        <v>0</v>
      </c>
      <c r="AK924">
        <v>2</v>
      </c>
      <c r="AL924">
        <v>1</v>
      </c>
      <c r="AM924">
        <v>2</v>
      </c>
      <c r="AN924">
        <v>0</v>
      </c>
      <c r="AO924">
        <v>0</v>
      </c>
      <c r="AP924">
        <v>1126</v>
      </c>
      <c r="AQ924">
        <v>3</v>
      </c>
      <c r="AR924">
        <v>2</v>
      </c>
      <c r="AS924">
        <v>0</v>
      </c>
      <c r="AT924">
        <v>1</v>
      </c>
      <c r="AU924">
        <v>2</v>
      </c>
      <c r="AV924">
        <v>0</v>
      </c>
      <c r="AW924">
        <v>1</v>
      </c>
      <c r="AX924">
        <v>0</v>
      </c>
      <c r="AY924">
        <v>6</v>
      </c>
      <c r="AZ924">
        <v>4</v>
      </c>
      <c r="BA924">
        <v>979</v>
      </c>
      <c r="BB924">
        <v>28</v>
      </c>
      <c r="BC924">
        <v>3</v>
      </c>
      <c r="BD924">
        <v>0</v>
      </c>
      <c r="BE924">
        <v>3</v>
      </c>
      <c r="BF924">
        <v>8</v>
      </c>
      <c r="BG924">
        <v>1</v>
      </c>
      <c r="BH924">
        <v>0</v>
      </c>
      <c r="BI924">
        <v>0</v>
      </c>
      <c r="BJ924">
        <v>0</v>
      </c>
      <c r="BK924">
        <v>1</v>
      </c>
      <c r="BL924">
        <v>1002</v>
      </c>
      <c r="BM924">
        <v>0</v>
      </c>
      <c r="BN924">
        <v>4</v>
      </c>
      <c r="BO924">
        <v>0</v>
      </c>
      <c r="BP924">
        <v>2</v>
      </c>
      <c r="BQ924">
        <v>0</v>
      </c>
      <c r="BR924">
        <v>1</v>
      </c>
      <c r="BS924">
        <v>1</v>
      </c>
      <c r="BT924">
        <v>16</v>
      </c>
      <c r="BU924">
        <v>5</v>
      </c>
      <c r="BV924">
        <v>0</v>
      </c>
      <c r="BW924">
        <v>869</v>
      </c>
      <c r="BX924">
        <v>0</v>
      </c>
      <c r="BY924">
        <v>3</v>
      </c>
      <c r="BZ924">
        <v>4</v>
      </c>
      <c r="CA924">
        <v>5</v>
      </c>
      <c r="CB924">
        <v>79</v>
      </c>
      <c r="CC924">
        <v>3</v>
      </c>
      <c r="CD924">
        <v>0</v>
      </c>
      <c r="CE924">
        <v>2</v>
      </c>
      <c r="CF924">
        <v>16</v>
      </c>
      <c r="CG924">
        <v>0</v>
      </c>
      <c r="CH924">
        <v>858</v>
      </c>
      <c r="CI924">
        <v>6</v>
      </c>
      <c r="CJ924">
        <v>0</v>
      </c>
      <c r="CK924">
        <v>5</v>
      </c>
      <c r="CL924">
        <v>2</v>
      </c>
      <c r="CM924">
        <v>9</v>
      </c>
      <c r="CN924">
        <v>4</v>
      </c>
      <c r="CO924">
        <v>1</v>
      </c>
      <c r="CP924">
        <v>0</v>
      </c>
      <c r="CQ924">
        <v>16</v>
      </c>
      <c r="CR924">
        <v>6</v>
      </c>
      <c r="CS924">
        <v>920</v>
      </c>
      <c r="CT924">
        <v>0</v>
      </c>
      <c r="CU924">
        <v>2</v>
      </c>
      <c r="CV924">
        <v>0</v>
      </c>
      <c r="CW924">
        <v>3</v>
      </c>
      <c r="CX924">
        <v>9</v>
      </c>
      <c r="CY924">
        <v>12</v>
      </c>
      <c r="CZ924">
        <v>32</v>
      </c>
      <c r="DA924">
        <v>0</v>
      </c>
      <c r="DB924">
        <v>0</v>
      </c>
      <c r="DC924">
        <v>0</v>
      </c>
      <c r="DD924">
        <v>957</v>
      </c>
      <c r="DE924">
        <v>3</v>
      </c>
      <c r="DF924">
        <v>12</v>
      </c>
      <c r="DG924">
        <v>6</v>
      </c>
      <c r="DH924">
        <v>4</v>
      </c>
      <c r="DI924">
        <v>8</v>
      </c>
      <c r="DJ924">
        <v>17</v>
      </c>
      <c r="DK924">
        <v>2</v>
      </c>
      <c r="DL924">
        <v>8</v>
      </c>
      <c r="DM924">
        <v>7</v>
      </c>
      <c r="DN924">
        <v>10</v>
      </c>
      <c r="DO924">
        <v>892</v>
      </c>
      <c r="DP924">
        <v>20</v>
      </c>
      <c r="DQ924">
        <v>5</v>
      </c>
      <c r="DR924">
        <v>10</v>
      </c>
      <c r="DS924">
        <v>0</v>
      </c>
      <c r="DT924">
        <v>8</v>
      </c>
      <c r="DU924">
        <v>2</v>
      </c>
      <c r="DV924">
        <v>10</v>
      </c>
      <c r="DW924">
        <v>0</v>
      </c>
      <c r="DX924">
        <v>6</v>
      </c>
      <c r="DY924">
        <v>5</v>
      </c>
      <c r="DZ924">
        <v>963</v>
      </c>
      <c r="EA924">
        <v>0.95389999999999997</v>
      </c>
      <c r="EB924">
        <v>0.95541909257306001</v>
      </c>
      <c r="EC924">
        <v>0.95339516480863795</v>
      </c>
      <c r="ED924">
        <v>0.95371358785808602</v>
      </c>
      <c r="EE924">
        <f>SUM(Table1[[#This Row],[ratio_0]:[ratio_9]])</f>
        <v>190</v>
      </c>
      <c r="EF924" s="1">
        <f>(Table1[[#This Row],[predicted_0]]-Table1[[#This Row],[actual_0]])/Table1[[#This Row],[actual_0]]</f>
        <v>2.6530612244897958E-2</v>
      </c>
      <c r="EG924" s="1">
        <f>(Table1[[#This Row],[predicted_1]]-Table1[[#This Row],[actual_1]])/Table1[[#This Row],[actual_1]]</f>
        <v>3.3480176211453744E-2</v>
      </c>
      <c r="EH924" s="1">
        <f>(Table1[[#This Row],[predicted_2]]-Table1[[#This Row],[actual_2]])/Table1[[#This Row],[actual_2]]</f>
        <v>-1.937984496124031E-2</v>
      </c>
      <c r="EI924" s="1">
        <f>(Table1[[#This Row],[predicted_3]]-Table1[[#This Row],[actual_3]])/Table1[[#This Row],[actual_3]]</f>
        <v>9.5049504950495051E-2</v>
      </c>
      <c r="EJ924" s="1">
        <f>(Table1[[#This Row],[predicted_4]]-Table1[[#This Row],[actual_4]])/Table1[[#This Row],[actual_4]]</f>
        <v>-9.1649694501018328E-2</v>
      </c>
      <c r="EK924" s="1">
        <f>(Table1[[#This Row],[predicted_5]]-Table1[[#This Row],[actual_5]])/Table1[[#This Row],[actual_5]]</f>
        <v>-5.6053811659192822E-3</v>
      </c>
      <c r="EL924" s="1">
        <f>(Table1[[#This Row],[predicted_6]]-Table1[[#This Row],[actual_6]])/Table1[[#This Row],[actual_6]]</f>
        <v>-1.5657620041753653E-2</v>
      </c>
      <c r="EM924" s="1">
        <f>(Table1[[#This Row],[predicted_7]]-Table1[[#This Row],[actual_7]])/Table1[[#This Row],[actual_7]]</f>
        <v>-3.8910505836575876E-2</v>
      </c>
      <c r="EN924" s="1">
        <f>(Table1[[#This Row],[predicted_8]]-Table1[[#This Row],[actual_8]])/Table1[[#This Row],[actual_8]]</f>
        <v>-5.9548254620123205E-2</v>
      </c>
      <c r="EO924" s="1">
        <f>(Table1[[#This Row],[predicted_9]]-Table1[[#This Row],[actual_9]])/Table1[[#This Row],[actual_9]]</f>
        <v>6.7393458870168482E-2</v>
      </c>
      <c r="EP924" s="1">
        <f>1+(Table1[[#This Row],[error_ratio_0]]-EF$2)</f>
        <v>1.0244897959183674</v>
      </c>
      <c r="EQ924" s="1">
        <f>1+(Table1[[#This Row],[error_ratio_1]]-EG$2)</f>
        <v>1.0317180616740087</v>
      </c>
      <c r="ER924" s="1">
        <f>1+(Table1[[#This Row],[error_ratio_2]]-EH$2)</f>
        <v>0.98546511627906974</v>
      </c>
      <c r="ES924" s="1">
        <f>1+(Table1[[#This Row],[error_ratio_3]]-EI$2)</f>
        <v>1.0851485148514852</v>
      </c>
      <c r="ET924" s="1">
        <f>1+(Table1[[#This Row],[error_ratio_4]]-EJ$2)</f>
        <v>0.90733197556008149</v>
      </c>
      <c r="EU924" s="1">
        <f>1+(Table1[[#This Row],[error_ratio_5]]-EK$2)</f>
        <v>0.99327354260089684</v>
      </c>
      <c r="EV924" s="1">
        <f>1+(Table1[[#This Row],[error_ratio_6]]-EL$2)</f>
        <v>0.99060542797494777</v>
      </c>
      <c r="EW924" s="1">
        <f>1+(Table1[[#This Row],[error_ratio_7]]-EM$2)</f>
        <v>0.95914396887159536</v>
      </c>
      <c r="EX924" s="1">
        <f>1+(Table1[[#This Row],[error_ratio_8]]-EN$2)</f>
        <v>0.94353182751540043</v>
      </c>
      <c r="EY924" s="1">
        <f>1+(Table1[[#This Row],[error_ratio_9]]-EO$2)</f>
        <v>1.0713577799801783</v>
      </c>
    </row>
    <row r="925" spans="1:155" x14ac:dyDescent="0.75">
      <c r="A925">
        <v>100</v>
      </c>
      <c r="B925">
        <v>100</v>
      </c>
      <c r="C925">
        <v>100</v>
      </c>
      <c r="D925">
        <v>10</v>
      </c>
      <c r="E925">
        <v>10</v>
      </c>
      <c r="F925">
        <v>10</v>
      </c>
      <c r="G925">
        <v>10</v>
      </c>
      <c r="H925">
        <v>10</v>
      </c>
      <c r="I925">
        <v>10</v>
      </c>
      <c r="J925">
        <v>10</v>
      </c>
      <c r="K925">
        <v>1033</v>
      </c>
      <c r="L925">
        <v>1261</v>
      </c>
      <c r="M925">
        <v>1042</v>
      </c>
      <c r="N925">
        <v>1003</v>
      </c>
      <c r="O925">
        <v>931</v>
      </c>
      <c r="P925">
        <v>879</v>
      </c>
      <c r="Q925">
        <v>963</v>
      </c>
      <c r="R925">
        <v>1089</v>
      </c>
      <c r="S925">
        <v>899</v>
      </c>
      <c r="T925">
        <v>900</v>
      </c>
      <c r="U925">
        <v>980</v>
      </c>
      <c r="V925">
        <v>1135</v>
      </c>
      <c r="W925">
        <v>1032</v>
      </c>
      <c r="X925">
        <v>1010</v>
      </c>
      <c r="Y925">
        <v>982</v>
      </c>
      <c r="Z925">
        <v>892</v>
      </c>
      <c r="AA925">
        <v>958</v>
      </c>
      <c r="AB925">
        <v>1028</v>
      </c>
      <c r="AC925">
        <v>974</v>
      </c>
      <c r="AD925">
        <v>1009</v>
      </c>
      <c r="AE925">
        <v>976</v>
      </c>
      <c r="AF925">
        <v>2</v>
      </c>
      <c r="AG925">
        <v>0</v>
      </c>
      <c r="AH925">
        <v>0</v>
      </c>
      <c r="AI925">
        <v>0</v>
      </c>
      <c r="AJ925">
        <v>1</v>
      </c>
      <c r="AK925">
        <v>0</v>
      </c>
      <c r="AL925">
        <v>1</v>
      </c>
      <c r="AM925">
        <v>0</v>
      </c>
      <c r="AN925">
        <v>0</v>
      </c>
      <c r="AO925">
        <v>0</v>
      </c>
      <c r="AP925">
        <v>1134</v>
      </c>
      <c r="AQ925">
        <v>0</v>
      </c>
      <c r="AR925">
        <v>1</v>
      </c>
      <c r="AS925">
        <v>0</v>
      </c>
      <c r="AT925">
        <v>0</v>
      </c>
      <c r="AU925">
        <v>0</v>
      </c>
      <c r="AV925">
        <v>0</v>
      </c>
      <c r="AW925">
        <v>0</v>
      </c>
      <c r="AX925">
        <v>0</v>
      </c>
      <c r="AY925">
        <v>1</v>
      </c>
      <c r="AZ925">
        <v>15</v>
      </c>
      <c r="BA925">
        <v>1000</v>
      </c>
      <c r="BB925">
        <v>8</v>
      </c>
      <c r="BC925">
        <v>0</v>
      </c>
      <c r="BD925">
        <v>0</v>
      </c>
      <c r="BE925">
        <v>0</v>
      </c>
      <c r="BF925">
        <v>5</v>
      </c>
      <c r="BG925">
        <v>3</v>
      </c>
      <c r="BH925">
        <v>0</v>
      </c>
      <c r="BI925">
        <v>4</v>
      </c>
      <c r="BJ925">
        <v>2</v>
      </c>
      <c r="BK925">
        <v>6</v>
      </c>
      <c r="BL925">
        <v>959</v>
      </c>
      <c r="BM925">
        <v>0</v>
      </c>
      <c r="BN925">
        <v>19</v>
      </c>
      <c r="BO925">
        <v>0</v>
      </c>
      <c r="BP925">
        <v>15</v>
      </c>
      <c r="BQ925">
        <v>4</v>
      </c>
      <c r="BR925">
        <v>1</v>
      </c>
      <c r="BS925">
        <v>2</v>
      </c>
      <c r="BT925">
        <v>35</v>
      </c>
      <c r="BU925">
        <v>6</v>
      </c>
      <c r="BV925">
        <v>0</v>
      </c>
      <c r="BW925">
        <v>910</v>
      </c>
      <c r="BX925">
        <v>0</v>
      </c>
      <c r="BY925">
        <v>12</v>
      </c>
      <c r="BZ925">
        <v>5</v>
      </c>
      <c r="CA925">
        <v>2</v>
      </c>
      <c r="CB925">
        <v>10</v>
      </c>
      <c r="CC925">
        <v>13</v>
      </c>
      <c r="CD925">
        <v>6</v>
      </c>
      <c r="CE925">
        <v>3</v>
      </c>
      <c r="CF925">
        <v>8</v>
      </c>
      <c r="CG925">
        <v>0</v>
      </c>
      <c r="CH925">
        <v>843</v>
      </c>
      <c r="CI925">
        <v>9</v>
      </c>
      <c r="CJ925">
        <v>3</v>
      </c>
      <c r="CK925">
        <v>6</v>
      </c>
      <c r="CL925">
        <v>1</v>
      </c>
      <c r="CM925">
        <v>16</v>
      </c>
      <c r="CN925">
        <v>7</v>
      </c>
      <c r="CO925">
        <v>1</v>
      </c>
      <c r="CP925">
        <v>0</v>
      </c>
      <c r="CQ925">
        <v>7</v>
      </c>
      <c r="CR925">
        <v>1</v>
      </c>
      <c r="CS925">
        <v>926</v>
      </c>
      <c r="CT925">
        <v>0</v>
      </c>
      <c r="CU925">
        <v>0</v>
      </c>
      <c r="CV925">
        <v>0</v>
      </c>
      <c r="CW925">
        <v>1</v>
      </c>
      <c r="CX925">
        <v>28</v>
      </c>
      <c r="CY925">
        <v>21</v>
      </c>
      <c r="CZ925">
        <v>6</v>
      </c>
      <c r="DA925">
        <v>0</v>
      </c>
      <c r="DB925">
        <v>0</v>
      </c>
      <c r="DC925">
        <v>0</v>
      </c>
      <c r="DD925">
        <v>970</v>
      </c>
      <c r="DE925">
        <v>1</v>
      </c>
      <c r="DF925">
        <v>1</v>
      </c>
      <c r="DG925">
        <v>12</v>
      </c>
      <c r="DH925">
        <v>20</v>
      </c>
      <c r="DI925">
        <v>4</v>
      </c>
      <c r="DJ925">
        <v>13</v>
      </c>
      <c r="DK925">
        <v>2</v>
      </c>
      <c r="DL925">
        <v>5</v>
      </c>
      <c r="DM925">
        <v>15</v>
      </c>
      <c r="DN925">
        <v>19</v>
      </c>
      <c r="DO925">
        <v>880</v>
      </c>
      <c r="DP925">
        <v>4</v>
      </c>
      <c r="DQ925">
        <v>8</v>
      </c>
      <c r="DR925">
        <v>12</v>
      </c>
      <c r="DS925">
        <v>1</v>
      </c>
      <c r="DT925">
        <v>8</v>
      </c>
      <c r="DU925">
        <v>12</v>
      </c>
      <c r="DV925">
        <v>10</v>
      </c>
      <c r="DW925">
        <v>1</v>
      </c>
      <c r="DX925">
        <v>71</v>
      </c>
      <c r="DY925">
        <v>3</v>
      </c>
      <c r="DZ925">
        <v>883</v>
      </c>
      <c r="EA925">
        <v>0.94810000000000005</v>
      </c>
      <c r="EB925">
        <v>0.95087000259092802</v>
      </c>
      <c r="EC925">
        <v>0.94740735061779602</v>
      </c>
      <c r="ED925">
        <v>0.94820242639243402</v>
      </c>
      <c r="EE925">
        <f>SUM(Table1[[#This Row],[ratio_0]:[ratio_9]])</f>
        <v>370</v>
      </c>
      <c r="EF925" s="1">
        <f>(Table1[[#This Row],[predicted_0]]-Table1[[#This Row],[actual_0]])/Table1[[#This Row],[actual_0]]</f>
        <v>5.4081632653061228E-2</v>
      </c>
      <c r="EG925" s="1">
        <f>(Table1[[#This Row],[predicted_1]]-Table1[[#This Row],[actual_1]])/Table1[[#This Row],[actual_1]]</f>
        <v>0.11101321585903083</v>
      </c>
      <c r="EH925" s="1">
        <f>(Table1[[#This Row],[predicted_2]]-Table1[[#This Row],[actual_2]])/Table1[[#This Row],[actual_2]]</f>
        <v>9.6899224806201549E-3</v>
      </c>
      <c r="EI925" s="1">
        <f>(Table1[[#This Row],[predicted_3]]-Table1[[#This Row],[actual_3]])/Table1[[#This Row],[actual_3]]</f>
        <v>-6.9306930693069308E-3</v>
      </c>
      <c r="EJ925" s="1">
        <f>(Table1[[#This Row],[predicted_4]]-Table1[[#This Row],[actual_4]])/Table1[[#This Row],[actual_4]]</f>
        <v>-5.1934826883910386E-2</v>
      </c>
      <c r="EK925" s="1">
        <f>(Table1[[#This Row],[predicted_5]]-Table1[[#This Row],[actual_5]])/Table1[[#This Row],[actual_5]]</f>
        <v>-1.4573991031390135E-2</v>
      </c>
      <c r="EL925" s="1">
        <f>(Table1[[#This Row],[predicted_6]]-Table1[[#This Row],[actual_6]])/Table1[[#This Row],[actual_6]]</f>
        <v>5.2192066805845511E-3</v>
      </c>
      <c r="EM925" s="1">
        <f>(Table1[[#This Row],[predicted_7]]-Table1[[#This Row],[actual_7]])/Table1[[#This Row],[actual_7]]</f>
        <v>5.9338521400778207E-2</v>
      </c>
      <c r="EN925" s="1">
        <f>(Table1[[#This Row],[predicted_8]]-Table1[[#This Row],[actual_8]])/Table1[[#This Row],[actual_8]]</f>
        <v>-7.7002053388090352E-2</v>
      </c>
      <c r="EO925" s="1">
        <f>(Table1[[#This Row],[predicted_9]]-Table1[[#This Row],[actual_9]])/Table1[[#This Row],[actual_9]]</f>
        <v>-0.10802775024777007</v>
      </c>
      <c r="EP925" s="1">
        <f>1+(Table1[[#This Row],[error_ratio_0]]-EF$2)</f>
        <v>1.0520408163265307</v>
      </c>
      <c r="EQ925" s="1">
        <f>1+(Table1[[#This Row],[error_ratio_1]]-EG$2)</f>
        <v>1.109251101321586</v>
      </c>
      <c r="ER925" s="1">
        <f>1+(Table1[[#This Row],[error_ratio_2]]-EH$2)</f>
        <v>1.0145348837209303</v>
      </c>
      <c r="ES925" s="1">
        <f>1+(Table1[[#This Row],[error_ratio_3]]-EI$2)</f>
        <v>0.98316831683168315</v>
      </c>
      <c r="ET925" s="1">
        <f>1+(Table1[[#This Row],[error_ratio_4]]-EJ$2)</f>
        <v>0.94704684317718946</v>
      </c>
      <c r="EU925" s="1">
        <f>1+(Table1[[#This Row],[error_ratio_5]]-EK$2)</f>
        <v>0.98430493273542596</v>
      </c>
      <c r="EV925" s="1">
        <f>1+(Table1[[#This Row],[error_ratio_6]]-EL$2)</f>
        <v>1.0114822546972859</v>
      </c>
      <c r="EW925" s="1">
        <f>1+(Table1[[#This Row],[error_ratio_7]]-EM$2)</f>
        <v>1.0573929961089494</v>
      </c>
      <c r="EX925" s="1">
        <f>1+(Table1[[#This Row],[error_ratio_8]]-EN$2)</f>
        <v>0.92607802874743328</v>
      </c>
      <c r="EY925" s="1">
        <f>1+(Table1[[#This Row],[error_ratio_9]]-EO$2)</f>
        <v>0.89593657086223988</v>
      </c>
    </row>
    <row r="926" spans="1:155" x14ac:dyDescent="0.75">
      <c r="A926">
        <v>10</v>
      </c>
      <c r="B926">
        <v>100</v>
      </c>
      <c r="C926">
        <v>100</v>
      </c>
      <c r="D926">
        <v>10</v>
      </c>
      <c r="E926">
        <v>10</v>
      </c>
      <c r="F926">
        <v>10</v>
      </c>
      <c r="G926">
        <v>10</v>
      </c>
      <c r="H926">
        <v>10</v>
      </c>
      <c r="I926">
        <v>10</v>
      </c>
      <c r="J926">
        <v>10</v>
      </c>
      <c r="K926">
        <v>1015</v>
      </c>
      <c r="L926">
        <v>1147</v>
      </c>
      <c r="M926">
        <v>1161</v>
      </c>
      <c r="N926">
        <v>1215</v>
      </c>
      <c r="O926">
        <v>949</v>
      </c>
      <c r="P926">
        <v>716</v>
      </c>
      <c r="Q926">
        <v>964</v>
      </c>
      <c r="R926">
        <v>868</v>
      </c>
      <c r="S926">
        <v>923</v>
      </c>
      <c r="T926">
        <v>1042</v>
      </c>
      <c r="U926">
        <v>980</v>
      </c>
      <c r="V926">
        <v>1135</v>
      </c>
      <c r="W926">
        <v>1032</v>
      </c>
      <c r="X926">
        <v>1010</v>
      </c>
      <c r="Y926">
        <v>982</v>
      </c>
      <c r="Z926">
        <v>892</v>
      </c>
      <c r="AA926">
        <v>958</v>
      </c>
      <c r="AB926">
        <v>1028</v>
      </c>
      <c r="AC926">
        <v>974</v>
      </c>
      <c r="AD926">
        <v>1009</v>
      </c>
      <c r="AE926">
        <v>968</v>
      </c>
      <c r="AF926">
        <v>2</v>
      </c>
      <c r="AG926">
        <v>2</v>
      </c>
      <c r="AH926">
        <v>1</v>
      </c>
      <c r="AI926">
        <v>0</v>
      </c>
      <c r="AJ926">
        <v>1</v>
      </c>
      <c r="AK926">
        <v>3</v>
      </c>
      <c r="AL926">
        <v>1</v>
      </c>
      <c r="AM926">
        <v>2</v>
      </c>
      <c r="AN926">
        <v>0</v>
      </c>
      <c r="AO926">
        <v>0</v>
      </c>
      <c r="AP926">
        <v>1129</v>
      </c>
      <c r="AQ926">
        <v>1</v>
      </c>
      <c r="AR926">
        <v>2</v>
      </c>
      <c r="AS926">
        <v>1</v>
      </c>
      <c r="AT926">
        <v>1</v>
      </c>
      <c r="AU926">
        <v>1</v>
      </c>
      <c r="AV926">
        <v>0</v>
      </c>
      <c r="AW926">
        <v>0</v>
      </c>
      <c r="AX926">
        <v>0</v>
      </c>
      <c r="AY926">
        <v>3</v>
      </c>
      <c r="AZ926">
        <v>0</v>
      </c>
      <c r="BA926">
        <v>1022</v>
      </c>
      <c r="BB926">
        <v>2</v>
      </c>
      <c r="BC926">
        <v>1</v>
      </c>
      <c r="BD926">
        <v>0</v>
      </c>
      <c r="BE926">
        <v>1</v>
      </c>
      <c r="BF926">
        <v>1</v>
      </c>
      <c r="BG926">
        <v>1</v>
      </c>
      <c r="BH926">
        <v>1</v>
      </c>
      <c r="BI926">
        <v>0</v>
      </c>
      <c r="BJ926">
        <v>0</v>
      </c>
      <c r="BK926">
        <v>9</v>
      </c>
      <c r="BL926">
        <v>996</v>
      </c>
      <c r="BM926">
        <v>0</v>
      </c>
      <c r="BN926">
        <v>0</v>
      </c>
      <c r="BO926">
        <v>0</v>
      </c>
      <c r="BP926">
        <v>2</v>
      </c>
      <c r="BQ926">
        <v>2</v>
      </c>
      <c r="BR926">
        <v>1</v>
      </c>
      <c r="BS926">
        <v>2</v>
      </c>
      <c r="BT926">
        <v>1</v>
      </c>
      <c r="BU926">
        <v>8</v>
      </c>
      <c r="BV926">
        <v>1</v>
      </c>
      <c r="BW926">
        <v>931</v>
      </c>
      <c r="BX926">
        <v>0</v>
      </c>
      <c r="BY926">
        <v>15</v>
      </c>
      <c r="BZ926">
        <v>0</v>
      </c>
      <c r="CA926">
        <v>1</v>
      </c>
      <c r="CB926">
        <v>23</v>
      </c>
      <c r="CC926">
        <v>12</v>
      </c>
      <c r="CD926">
        <v>0</v>
      </c>
      <c r="CE926">
        <v>2</v>
      </c>
      <c r="CF926">
        <v>127</v>
      </c>
      <c r="CG926">
        <v>0</v>
      </c>
      <c r="CH926">
        <v>703</v>
      </c>
      <c r="CI926">
        <v>4</v>
      </c>
      <c r="CJ926">
        <v>5</v>
      </c>
      <c r="CK926">
        <v>31</v>
      </c>
      <c r="CL926">
        <v>8</v>
      </c>
      <c r="CM926">
        <v>13</v>
      </c>
      <c r="CN926">
        <v>2</v>
      </c>
      <c r="CO926">
        <v>0</v>
      </c>
      <c r="CP926">
        <v>0</v>
      </c>
      <c r="CQ926">
        <v>3</v>
      </c>
      <c r="CR926">
        <v>5</v>
      </c>
      <c r="CS926">
        <v>933</v>
      </c>
      <c r="CT926">
        <v>0</v>
      </c>
      <c r="CU926">
        <v>2</v>
      </c>
      <c r="CV926">
        <v>0</v>
      </c>
      <c r="CW926">
        <v>5</v>
      </c>
      <c r="CX926">
        <v>9</v>
      </c>
      <c r="CY926">
        <v>79</v>
      </c>
      <c r="CZ926">
        <v>41</v>
      </c>
      <c r="DA926">
        <v>3</v>
      </c>
      <c r="DB926">
        <v>0</v>
      </c>
      <c r="DC926">
        <v>0</v>
      </c>
      <c r="DD926">
        <v>854</v>
      </c>
      <c r="DE926">
        <v>6</v>
      </c>
      <c r="DF926">
        <v>31</v>
      </c>
      <c r="DG926">
        <v>5</v>
      </c>
      <c r="DH926">
        <v>1</v>
      </c>
      <c r="DI926">
        <v>36</v>
      </c>
      <c r="DJ926">
        <v>32</v>
      </c>
      <c r="DK926">
        <v>5</v>
      </c>
      <c r="DL926">
        <v>0</v>
      </c>
      <c r="DM926">
        <v>6</v>
      </c>
      <c r="DN926">
        <v>2</v>
      </c>
      <c r="DO926">
        <v>876</v>
      </c>
      <c r="DP926">
        <v>11</v>
      </c>
      <c r="DQ926">
        <v>7</v>
      </c>
      <c r="DR926">
        <v>3</v>
      </c>
      <c r="DS926">
        <v>2</v>
      </c>
      <c r="DT926">
        <v>13</v>
      </c>
      <c r="DU926">
        <v>5</v>
      </c>
      <c r="DV926">
        <v>6</v>
      </c>
      <c r="DW926">
        <v>1</v>
      </c>
      <c r="DX926">
        <v>3</v>
      </c>
      <c r="DY926">
        <v>2</v>
      </c>
      <c r="DZ926">
        <v>967</v>
      </c>
      <c r="EA926">
        <v>0.93789999999999996</v>
      </c>
      <c r="EB926">
        <v>0.94297218350251799</v>
      </c>
      <c r="EC926">
        <v>0.93575010929793501</v>
      </c>
      <c r="ED926">
        <v>0.93641174889596102</v>
      </c>
      <c r="EE926">
        <f>SUM(Table1[[#This Row],[ratio_0]:[ratio_9]])</f>
        <v>280</v>
      </c>
      <c r="EF926" s="1">
        <f>(Table1[[#This Row],[predicted_0]]-Table1[[#This Row],[actual_0]])/Table1[[#This Row],[actual_0]]</f>
        <v>3.5714285714285712E-2</v>
      </c>
      <c r="EG926" s="1">
        <f>(Table1[[#This Row],[predicted_1]]-Table1[[#This Row],[actual_1]])/Table1[[#This Row],[actual_1]]</f>
        <v>1.0572687224669603E-2</v>
      </c>
      <c r="EH926" s="1">
        <f>(Table1[[#This Row],[predicted_2]]-Table1[[#This Row],[actual_2]])/Table1[[#This Row],[actual_2]]</f>
        <v>0.125</v>
      </c>
      <c r="EI926" s="1">
        <f>(Table1[[#This Row],[predicted_3]]-Table1[[#This Row],[actual_3]])/Table1[[#This Row],[actual_3]]</f>
        <v>0.20297029702970298</v>
      </c>
      <c r="EJ926" s="1">
        <f>(Table1[[#This Row],[predicted_4]]-Table1[[#This Row],[actual_4]])/Table1[[#This Row],[actual_4]]</f>
        <v>-3.360488798370672E-2</v>
      </c>
      <c r="EK926" s="1">
        <f>(Table1[[#This Row],[predicted_5]]-Table1[[#This Row],[actual_5]])/Table1[[#This Row],[actual_5]]</f>
        <v>-0.19730941704035873</v>
      </c>
      <c r="EL926" s="1">
        <f>(Table1[[#This Row],[predicted_6]]-Table1[[#This Row],[actual_6]])/Table1[[#This Row],[actual_6]]</f>
        <v>6.2630480167014616E-3</v>
      </c>
      <c r="EM926" s="1">
        <f>(Table1[[#This Row],[predicted_7]]-Table1[[#This Row],[actual_7]])/Table1[[#This Row],[actual_7]]</f>
        <v>-0.1556420233463035</v>
      </c>
      <c r="EN926" s="1">
        <f>(Table1[[#This Row],[predicted_8]]-Table1[[#This Row],[actual_8]])/Table1[[#This Row],[actual_8]]</f>
        <v>-5.2361396303901436E-2</v>
      </c>
      <c r="EO926" s="1">
        <f>(Table1[[#This Row],[predicted_9]]-Table1[[#This Row],[actual_9]])/Table1[[#This Row],[actual_9]]</f>
        <v>3.2705649157581763E-2</v>
      </c>
      <c r="EP926" s="1">
        <f>1+(Table1[[#This Row],[error_ratio_0]]-EF$2)</f>
        <v>1.0336734693877552</v>
      </c>
      <c r="EQ926" s="1">
        <f>1+(Table1[[#This Row],[error_ratio_1]]-EG$2)</f>
        <v>1.0088105726872247</v>
      </c>
      <c r="ER926" s="1">
        <f>1+(Table1[[#This Row],[error_ratio_2]]-EH$2)</f>
        <v>1.1298449612403101</v>
      </c>
      <c r="ES926" s="1">
        <f>1+(Table1[[#This Row],[error_ratio_3]]-EI$2)</f>
        <v>1.193069306930693</v>
      </c>
      <c r="ET926" s="1">
        <f>1+(Table1[[#This Row],[error_ratio_4]]-EJ$2)</f>
        <v>0.96537678207739308</v>
      </c>
      <c r="EU926" s="1">
        <f>1+(Table1[[#This Row],[error_ratio_5]]-EK$2)</f>
        <v>0.80156950672645744</v>
      </c>
      <c r="EV926" s="1">
        <f>1+(Table1[[#This Row],[error_ratio_6]]-EL$2)</f>
        <v>1.0125260960334028</v>
      </c>
      <c r="EW926" s="1">
        <f>1+(Table1[[#This Row],[error_ratio_7]]-EM$2)</f>
        <v>0.84241245136186771</v>
      </c>
      <c r="EX926" s="1">
        <f>1+(Table1[[#This Row],[error_ratio_8]]-EN$2)</f>
        <v>0.95071868583162222</v>
      </c>
      <c r="EY926" s="1">
        <f>1+(Table1[[#This Row],[error_ratio_9]]-EO$2)</f>
        <v>1.0366699702675917</v>
      </c>
    </row>
    <row r="927" spans="1:155" x14ac:dyDescent="0.75">
      <c r="A927">
        <v>100</v>
      </c>
      <c r="B927">
        <v>10</v>
      </c>
      <c r="C927">
        <v>100</v>
      </c>
      <c r="D927">
        <v>10</v>
      </c>
      <c r="E927">
        <v>10</v>
      </c>
      <c r="F927">
        <v>10</v>
      </c>
      <c r="G927">
        <v>10</v>
      </c>
      <c r="H927">
        <v>10</v>
      </c>
      <c r="I927">
        <v>10</v>
      </c>
      <c r="J927">
        <v>10</v>
      </c>
      <c r="K927">
        <v>1024</v>
      </c>
      <c r="L927">
        <v>1135</v>
      </c>
      <c r="M927">
        <v>1033</v>
      </c>
      <c r="N927">
        <v>995</v>
      </c>
      <c r="O927">
        <v>1017</v>
      </c>
      <c r="P927">
        <v>989</v>
      </c>
      <c r="Q927">
        <v>899</v>
      </c>
      <c r="R927">
        <v>1118</v>
      </c>
      <c r="S927">
        <v>860</v>
      </c>
      <c r="T927">
        <v>930</v>
      </c>
      <c r="U927">
        <v>980</v>
      </c>
      <c r="V927">
        <v>1135</v>
      </c>
      <c r="W927">
        <v>1032</v>
      </c>
      <c r="X927">
        <v>1010</v>
      </c>
      <c r="Y927">
        <v>982</v>
      </c>
      <c r="Z927">
        <v>892</v>
      </c>
      <c r="AA927">
        <v>958</v>
      </c>
      <c r="AB927">
        <v>1028</v>
      </c>
      <c r="AC927">
        <v>974</v>
      </c>
      <c r="AD927">
        <v>1009</v>
      </c>
      <c r="AE927">
        <v>973</v>
      </c>
      <c r="AF927">
        <v>0</v>
      </c>
      <c r="AG927">
        <v>0</v>
      </c>
      <c r="AH927">
        <v>0</v>
      </c>
      <c r="AI927">
        <v>0</v>
      </c>
      <c r="AJ927">
        <v>4</v>
      </c>
      <c r="AK927">
        <v>0</v>
      </c>
      <c r="AL927">
        <v>1</v>
      </c>
      <c r="AM927">
        <v>1</v>
      </c>
      <c r="AN927">
        <v>1</v>
      </c>
      <c r="AO927">
        <v>0</v>
      </c>
      <c r="AP927">
        <v>1120</v>
      </c>
      <c r="AQ927">
        <v>4</v>
      </c>
      <c r="AR927">
        <v>5</v>
      </c>
      <c r="AS927">
        <v>0</v>
      </c>
      <c r="AT927">
        <v>2</v>
      </c>
      <c r="AU927">
        <v>2</v>
      </c>
      <c r="AV927">
        <v>1</v>
      </c>
      <c r="AW927">
        <v>1</v>
      </c>
      <c r="AX927">
        <v>0</v>
      </c>
      <c r="AY927">
        <v>2</v>
      </c>
      <c r="AZ927">
        <v>2</v>
      </c>
      <c r="BA927">
        <v>1006</v>
      </c>
      <c r="BB927">
        <v>6</v>
      </c>
      <c r="BC927">
        <v>0</v>
      </c>
      <c r="BD927">
        <v>1</v>
      </c>
      <c r="BE927">
        <v>0</v>
      </c>
      <c r="BF927">
        <v>15</v>
      </c>
      <c r="BG927">
        <v>0</v>
      </c>
      <c r="BH927">
        <v>0</v>
      </c>
      <c r="BI927">
        <v>6</v>
      </c>
      <c r="BJ927">
        <v>0</v>
      </c>
      <c r="BK927">
        <v>2</v>
      </c>
      <c r="BL927">
        <v>943</v>
      </c>
      <c r="BM927">
        <v>0</v>
      </c>
      <c r="BN927">
        <v>45</v>
      </c>
      <c r="BO927">
        <v>0</v>
      </c>
      <c r="BP927">
        <v>10</v>
      </c>
      <c r="BQ927">
        <v>0</v>
      </c>
      <c r="BR927">
        <v>4</v>
      </c>
      <c r="BS927">
        <v>1</v>
      </c>
      <c r="BT927">
        <v>1</v>
      </c>
      <c r="BU927">
        <v>2</v>
      </c>
      <c r="BV927">
        <v>0</v>
      </c>
      <c r="BW927">
        <v>966</v>
      </c>
      <c r="BX927">
        <v>0</v>
      </c>
      <c r="BY927">
        <v>1</v>
      </c>
      <c r="BZ927">
        <v>2</v>
      </c>
      <c r="CA927">
        <v>2</v>
      </c>
      <c r="CB927">
        <v>7</v>
      </c>
      <c r="CC927">
        <v>1</v>
      </c>
      <c r="CD927">
        <v>0</v>
      </c>
      <c r="CE927">
        <v>1</v>
      </c>
      <c r="CF927">
        <v>5</v>
      </c>
      <c r="CG927">
        <v>0</v>
      </c>
      <c r="CH927">
        <v>879</v>
      </c>
      <c r="CI927">
        <v>1</v>
      </c>
      <c r="CJ927">
        <v>2</v>
      </c>
      <c r="CK927">
        <v>0</v>
      </c>
      <c r="CL927">
        <v>3</v>
      </c>
      <c r="CM927">
        <v>27</v>
      </c>
      <c r="CN927">
        <v>4</v>
      </c>
      <c r="CO927">
        <v>4</v>
      </c>
      <c r="CP927">
        <v>0</v>
      </c>
      <c r="CQ927">
        <v>24</v>
      </c>
      <c r="CR927">
        <v>11</v>
      </c>
      <c r="CS927">
        <v>888</v>
      </c>
      <c r="CT927">
        <v>0</v>
      </c>
      <c r="CU927">
        <v>0</v>
      </c>
      <c r="CV927">
        <v>0</v>
      </c>
      <c r="CW927">
        <v>2</v>
      </c>
      <c r="CX927">
        <v>3</v>
      </c>
      <c r="CY927">
        <v>6</v>
      </c>
      <c r="CZ927">
        <v>10</v>
      </c>
      <c r="DA927">
        <v>0</v>
      </c>
      <c r="DB927">
        <v>3</v>
      </c>
      <c r="DC927">
        <v>0</v>
      </c>
      <c r="DD927">
        <v>1000</v>
      </c>
      <c r="DE927">
        <v>1</v>
      </c>
      <c r="DF927">
        <v>3</v>
      </c>
      <c r="DG927">
        <v>7</v>
      </c>
      <c r="DH927">
        <v>0</v>
      </c>
      <c r="DI927">
        <v>7</v>
      </c>
      <c r="DJ927">
        <v>22</v>
      </c>
      <c r="DK927">
        <v>8</v>
      </c>
      <c r="DL927">
        <v>30</v>
      </c>
      <c r="DM927">
        <v>7</v>
      </c>
      <c r="DN927">
        <v>35</v>
      </c>
      <c r="DO927">
        <v>854</v>
      </c>
      <c r="DP927">
        <v>4</v>
      </c>
      <c r="DQ927">
        <v>5</v>
      </c>
      <c r="DR927">
        <v>5</v>
      </c>
      <c r="DS927">
        <v>1</v>
      </c>
      <c r="DT927">
        <v>4</v>
      </c>
      <c r="DU927">
        <v>19</v>
      </c>
      <c r="DV927">
        <v>14</v>
      </c>
      <c r="DW927">
        <v>0</v>
      </c>
      <c r="DX927">
        <v>52</v>
      </c>
      <c r="DY927">
        <v>1</v>
      </c>
      <c r="DZ927">
        <v>908</v>
      </c>
      <c r="EA927">
        <v>0.95369999999999999</v>
      </c>
      <c r="EB927">
        <v>0.95487956396615903</v>
      </c>
      <c r="EC927">
        <v>0.953363494059705</v>
      </c>
      <c r="ED927">
        <v>0.95301276957511905</v>
      </c>
      <c r="EE927">
        <f>SUM(Table1[[#This Row],[ratio_0]:[ratio_9]])</f>
        <v>280</v>
      </c>
      <c r="EF927" s="1">
        <f>(Table1[[#This Row],[predicted_0]]-Table1[[#This Row],[actual_0]])/Table1[[#This Row],[actual_0]]</f>
        <v>4.4897959183673466E-2</v>
      </c>
      <c r="EG927" s="1">
        <f>(Table1[[#This Row],[predicted_1]]-Table1[[#This Row],[actual_1]])/Table1[[#This Row],[actual_1]]</f>
        <v>0</v>
      </c>
      <c r="EH927" s="1">
        <f>(Table1[[#This Row],[predicted_2]]-Table1[[#This Row],[actual_2]])/Table1[[#This Row],[actual_2]]</f>
        <v>9.6899224806201549E-4</v>
      </c>
      <c r="EI927" s="1">
        <f>(Table1[[#This Row],[predicted_3]]-Table1[[#This Row],[actual_3]])/Table1[[#This Row],[actual_3]]</f>
        <v>-1.4851485148514851E-2</v>
      </c>
      <c r="EJ927" s="1">
        <f>(Table1[[#This Row],[predicted_4]]-Table1[[#This Row],[actual_4]])/Table1[[#This Row],[actual_4]]</f>
        <v>3.5641547861507125E-2</v>
      </c>
      <c r="EK927" s="1">
        <f>(Table1[[#This Row],[predicted_5]]-Table1[[#This Row],[actual_5]])/Table1[[#This Row],[actual_5]]</f>
        <v>0.10874439461883408</v>
      </c>
      <c r="EL927" s="1">
        <f>(Table1[[#This Row],[predicted_6]]-Table1[[#This Row],[actual_6]])/Table1[[#This Row],[actual_6]]</f>
        <v>-6.1586638830897704E-2</v>
      </c>
      <c r="EM927" s="1">
        <f>(Table1[[#This Row],[predicted_7]]-Table1[[#This Row],[actual_7]])/Table1[[#This Row],[actual_7]]</f>
        <v>8.7548638132295714E-2</v>
      </c>
      <c r="EN927" s="1">
        <f>(Table1[[#This Row],[predicted_8]]-Table1[[#This Row],[actual_8]])/Table1[[#This Row],[actual_8]]</f>
        <v>-0.11704312114989733</v>
      </c>
      <c r="EO927" s="1">
        <f>(Table1[[#This Row],[predicted_9]]-Table1[[#This Row],[actual_9]])/Table1[[#This Row],[actual_9]]</f>
        <v>-7.8295341922695744E-2</v>
      </c>
      <c r="EP927" s="1">
        <f>1+(Table1[[#This Row],[error_ratio_0]]-EF$2)</f>
        <v>1.0428571428571429</v>
      </c>
      <c r="EQ927" s="1">
        <f>1+(Table1[[#This Row],[error_ratio_1]]-EG$2)</f>
        <v>0.9982378854625551</v>
      </c>
      <c r="ER927" s="1">
        <f>1+(Table1[[#This Row],[error_ratio_2]]-EH$2)</f>
        <v>1.0058139534883721</v>
      </c>
      <c r="ES927" s="1">
        <f>1+(Table1[[#This Row],[error_ratio_3]]-EI$2)</f>
        <v>0.97524752475247523</v>
      </c>
      <c r="ET927" s="1">
        <f>1+(Table1[[#This Row],[error_ratio_4]]-EJ$2)</f>
        <v>1.0346232179226069</v>
      </c>
      <c r="EU927" s="1">
        <f>1+(Table1[[#This Row],[error_ratio_5]]-EK$2)</f>
        <v>1.1076233183856503</v>
      </c>
      <c r="EV927" s="1">
        <f>1+(Table1[[#This Row],[error_ratio_6]]-EL$2)</f>
        <v>0.94467640918580376</v>
      </c>
      <c r="EW927" s="1">
        <f>1+(Table1[[#This Row],[error_ratio_7]]-EM$2)</f>
        <v>1.0856031128404668</v>
      </c>
      <c r="EX927" s="1">
        <f>1+(Table1[[#This Row],[error_ratio_8]]-EN$2)</f>
        <v>0.88603696098562623</v>
      </c>
      <c r="EY927" s="1">
        <f>1+(Table1[[#This Row],[error_ratio_9]]-EO$2)</f>
        <v>0.92566897918731417</v>
      </c>
    </row>
    <row r="928" spans="1:155" x14ac:dyDescent="0.75">
      <c r="A928">
        <v>10</v>
      </c>
      <c r="B928">
        <v>10</v>
      </c>
      <c r="C928">
        <v>100</v>
      </c>
      <c r="D928">
        <v>10</v>
      </c>
      <c r="E928">
        <v>10</v>
      </c>
      <c r="F928">
        <v>10</v>
      </c>
      <c r="G928">
        <v>10</v>
      </c>
      <c r="H928">
        <v>10</v>
      </c>
      <c r="I928">
        <v>10</v>
      </c>
      <c r="J928">
        <v>10</v>
      </c>
      <c r="K928">
        <v>908</v>
      </c>
      <c r="L928">
        <v>1056</v>
      </c>
      <c r="M928">
        <v>1137</v>
      </c>
      <c r="N928">
        <v>1164</v>
      </c>
      <c r="O928">
        <v>941</v>
      </c>
      <c r="P928">
        <v>1000</v>
      </c>
      <c r="Q928">
        <v>953</v>
      </c>
      <c r="R928">
        <v>754</v>
      </c>
      <c r="S928">
        <v>1001</v>
      </c>
      <c r="T928">
        <v>1086</v>
      </c>
      <c r="U928">
        <v>980</v>
      </c>
      <c r="V928">
        <v>1135</v>
      </c>
      <c r="W928">
        <v>1032</v>
      </c>
      <c r="X928">
        <v>1010</v>
      </c>
      <c r="Y928">
        <v>982</v>
      </c>
      <c r="Z928">
        <v>892</v>
      </c>
      <c r="AA928">
        <v>958</v>
      </c>
      <c r="AB928">
        <v>1028</v>
      </c>
      <c r="AC928">
        <v>974</v>
      </c>
      <c r="AD928">
        <v>1009</v>
      </c>
      <c r="AE928">
        <v>897</v>
      </c>
      <c r="AF928">
        <v>0</v>
      </c>
      <c r="AG928">
        <v>7</v>
      </c>
      <c r="AH928">
        <v>0</v>
      </c>
      <c r="AI928">
        <v>2</v>
      </c>
      <c r="AJ928">
        <v>35</v>
      </c>
      <c r="AK928">
        <v>23</v>
      </c>
      <c r="AL928">
        <v>0</v>
      </c>
      <c r="AM928">
        <v>14</v>
      </c>
      <c r="AN928">
        <v>2</v>
      </c>
      <c r="AO928">
        <v>0</v>
      </c>
      <c r="AP928">
        <v>1054</v>
      </c>
      <c r="AQ928">
        <v>7</v>
      </c>
      <c r="AR928">
        <v>29</v>
      </c>
      <c r="AS928">
        <v>0</v>
      </c>
      <c r="AT928">
        <v>2</v>
      </c>
      <c r="AU928">
        <v>3</v>
      </c>
      <c r="AV928">
        <v>0</v>
      </c>
      <c r="AW928">
        <v>40</v>
      </c>
      <c r="AX928">
        <v>0</v>
      </c>
      <c r="AY928">
        <v>1</v>
      </c>
      <c r="AZ928">
        <v>0</v>
      </c>
      <c r="BA928">
        <v>1022</v>
      </c>
      <c r="BB928">
        <v>6</v>
      </c>
      <c r="BC928">
        <v>0</v>
      </c>
      <c r="BD928">
        <v>2</v>
      </c>
      <c r="BE928">
        <v>1</v>
      </c>
      <c r="BF928">
        <v>0</v>
      </c>
      <c r="BG928">
        <v>0</v>
      </c>
      <c r="BH928">
        <v>0</v>
      </c>
      <c r="BI928">
        <v>0</v>
      </c>
      <c r="BJ928">
        <v>0</v>
      </c>
      <c r="BK928">
        <v>9</v>
      </c>
      <c r="BL928">
        <v>969</v>
      </c>
      <c r="BM928">
        <v>0</v>
      </c>
      <c r="BN928">
        <v>23</v>
      </c>
      <c r="BO928">
        <v>0</v>
      </c>
      <c r="BP928">
        <v>0</v>
      </c>
      <c r="BQ928">
        <v>8</v>
      </c>
      <c r="BR928">
        <v>1</v>
      </c>
      <c r="BS928">
        <v>1</v>
      </c>
      <c r="BT928">
        <v>0</v>
      </c>
      <c r="BU928">
        <v>11</v>
      </c>
      <c r="BV928">
        <v>2</v>
      </c>
      <c r="BW928">
        <v>928</v>
      </c>
      <c r="BX928">
        <v>0</v>
      </c>
      <c r="BY928">
        <v>4</v>
      </c>
      <c r="BZ928">
        <v>0</v>
      </c>
      <c r="CA928">
        <v>4</v>
      </c>
      <c r="CB928">
        <v>32</v>
      </c>
      <c r="CC928">
        <v>0</v>
      </c>
      <c r="CD928">
        <v>0</v>
      </c>
      <c r="CE928">
        <v>2</v>
      </c>
      <c r="CF928">
        <v>11</v>
      </c>
      <c r="CG928">
        <v>0</v>
      </c>
      <c r="CH928">
        <v>872</v>
      </c>
      <c r="CI928">
        <v>3</v>
      </c>
      <c r="CJ928">
        <v>0</v>
      </c>
      <c r="CK928">
        <v>4</v>
      </c>
      <c r="CL928">
        <v>0</v>
      </c>
      <c r="CM928">
        <v>3</v>
      </c>
      <c r="CN928">
        <v>0</v>
      </c>
      <c r="CO928">
        <v>5</v>
      </c>
      <c r="CP928">
        <v>0</v>
      </c>
      <c r="CQ928">
        <v>3</v>
      </c>
      <c r="CR928">
        <v>23</v>
      </c>
      <c r="CS928">
        <v>918</v>
      </c>
      <c r="CT928">
        <v>0</v>
      </c>
      <c r="CU928">
        <v>6</v>
      </c>
      <c r="CV928">
        <v>0</v>
      </c>
      <c r="CW928">
        <v>1</v>
      </c>
      <c r="CX928">
        <v>0</v>
      </c>
      <c r="CY928">
        <v>63</v>
      </c>
      <c r="CZ928">
        <v>115</v>
      </c>
      <c r="DA928">
        <v>1</v>
      </c>
      <c r="DB928">
        <v>6</v>
      </c>
      <c r="DC928">
        <v>0</v>
      </c>
      <c r="DD928">
        <v>752</v>
      </c>
      <c r="DE928">
        <v>4</v>
      </c>
      <c r="DF928">
        <v>86</v>
      </c>
      <c r="DG928">
        <v>0</v>
      </c>
      <c r="DH928">
        <v>0</v>
      </c>
      <c r="DI928">
        <v>10</v>
      </c>
      <c r="DJ928">
        <v>25</v>
      </c>
      <c r="DK928">
        <v>1</v>
      </c>
      <c r="DL928">
        <v>15</v>
      </c>
      <c r="DM928">
        <v>1</v>
      </c>
      <c r="DN928">
        <v>0</v>
      </c>
      <c r="DO928">
        <v>908</v>
      </c>
      <c r="DP928">
        <v>14</v>
      </c>
      <c r="DQ928">
        <v>5</v>
      </c>
      <c r="DR928">
        <v>2</v>
      </c>
      <c r="DS928">
        <v>1</v>
      </c>
      <c r="DT928">
        <v>7</v>
      </c>
      <c r="DU928">
        <v>6</v>
      </c>
      <c r="DV928">
        <v>22</v>
      </c>
      <c r="DW928">
        <v>0</v>
      </c>
      <c r="DX928">
        <v>2</v>
      </c>
      <c r="DY928">
        <v>13</v>
      </c>
      <c r="DZ928">
        <v>951</v>
      </c>
      <c r="EA928">
        <v>0.92710000000000004</v>
      </c>
      <c r="EB928">
        <v>0.931891216683428</v>
      </c>
      <c r="EC928">
        <v>0.92807645536378902</v>
      </c>
      <c r="ED928">
        <v>0.92651968303136301</v>
      </c>
      <c r="EE928">
        <f>SUM(Table1[[#This Row],[ratio_0]:[ratio_9]])</f>
        <v>190</v>
      </c>
      <c r="EF928" s="1">
        <f>(Table1[[#This Row],[predicted_0]]-Table1[[#This Row],[actual_0]])/Table1[[#This Row],[actual_0]]</f>
        <v>-7.3469387755102047E-2</v>
      </c>
      <c r="EG928" s="1">
        <f>(Table1[[#This Row],[predicted_1]]-Table1[[#This Row],[actual_1]])/Table1[[#This Row],[actual_1]]</f>
        <v>-6.9603524229074884E-2</v>
      </c>
      <c r="EH928" s="1">
        <f>(Table1[[#This Row],[predicted_2]]-Table1[[#This Row],[actual_2]])/Table1[[#This Row],[actual_2]]</f>
        <v>0.10174418604651163</v>
      </c>
      <c r="EI928" s="1">
        <f>(Table1[[#This Row],[predicted_3]]-Table1[[#This Row],[actual_3]])/Table1[[#This Row],[actual_3]]</f>
        <v>0.15247524752475247</v>
      </c>
      <c r="EJ928" s="1">
        <f>(Table1[[#This Row],[predicted_4]]-Table1[[#This Row],[actual_4]])/Table1[[#This Row],[actual_4]]</f>
        <v>-4.1751527494908347E-2</v>
      </c>
      <c r="EK928" s="1">
        <f>(Table1[[#This Row],[predicted_5]]-Table1[[#This Row],[actual_5]])/Table1[[#This Row],[actual_5]]</f>
        <v>0.1210762331838565</v>
      </c>
      <c r="EL928" s="1">
        <f>(Table1[[#This Row],[predicted_6]]-Table1[[#This Row],[actual_6]])/Table1[[#This Row],[actual_6]]</f>
        <v>-5.2192066805845511E-3</v>
      </c>
      <c r="EM928" s="1">
        <f>(Table1[[#This Row],[predicted_7]]-Table1[[#This Row],[actual_7]])/Table1[[#This Row],[actual_7]]</f>
        <v>-0.26653696498054474</v>
      </c>
      <c r="EN928" s="1">
        <f>(Table1[[#This Row],[predicted_8]]-Table1[[#This Row],[actual_8]])/Table1[[#This Row],[actual_8]]</f>
        <v>2.7720739219712527E-2</v>
      </c>
      <c r="EO928" s="1">
        <f>(Table1[[#This Row],[predicted_9]]-Table1[[#This Row],[actual_9]])/Table1[[#This Row],[actual_9]]</f>
        <v>7.6313181367690788E-2</v>
      </c>
      <c r="EP928" s="1">
        <f>1+(Table1[[#This Row],[error_ratio_0]]-EF$2)</f>
        <v>0.92448979591836733</v>
      </c>
      <c r="EQ928" s="1">
        <f>1+(Table1[[#This Row],[error_ratio_1]]-EG$2)</f>
        <v>0.9286343612334802</v>
      </c>
      <c r="ER928" s="1">
        <f>1+(Table1[[#This Row],[error_ratio_2]]-EH$2)</f>
        <v>1.1065891472868217</v>
      </c>
      <c r="ES928" s="1">
        <f>1+(Table1[[#This Row],[error_ratio_3]]-EI$2)</f>
        <v>1.1425742574257425</v>
      </c>
      <c r="ET928" s="1">
        <f>1+(Table1[[#This Row],[error_ratio_4]]-EJ$2)</f>
        <v>0.95723014256619143</v>
      </c>
      <c r="EU928" s="1">
        <f>1+(Table1[[#This Row],[error_ratio_5]]-EK$2)</f>
        <v>1.1199551569506727</v>
      </c>
      <c r="EV928" s="1">
        <f>1+(Table1[[#This Row],[error_ratio_6]]-EL$2)</f>
        <v>1.0010438413361169</v>
      </c>
      <c r="EW928" s="1">
        <f>1+(Table1[[#This Row],[error_ratio_7]]-EM$2)</f>
        <v>0.73151750972762652</v>
      </c>
      <c r="EX928" s="1">
        <f>1+(Table1[[#This Row],[error_ratio_8]]-EN$2)</f>
        <v>1.0308008213552362</v>
      </c>
      <c r="EY928" s="1">
        <f>1+(Table1[[#This Row],[error_ratio_9]]-EO$2)</f>
        <v>1.0802775024777007</v>
      </c>
    </row>
    <row r="929" spans="1:155" x14ac:dyDescent="0.75">
      <c r="A929">
        <v>100</v>
      </c>
      <c r="B929">
        <v>100</v>
      </c>
      <c r="C929">
        <v>10</v>
      </c>
      <c r="D929">
        <v>10</v>
      </c>
      <c r="E929">
        <v>10</v>
      </c>
      <c r="F929">
        <v>10</v>
      </c>
      <c r="G929">
        <v>10</v>
      </c>
      <c r="H929">
        <v>10</v>
      </c>
      <c r="I929">
        <v>10</v>
      </c>
      <c r="J929">
        <v>10</v>
      </c>
      <c r="K929">
        <v>1059</v>
      </c>
      <c r="L929">
        <v>1259</v>
      </c>
      <c r="M929">
        <v>865</v>
      </c>
      <c r="N929">
        <v>931</v>
      </c>
      <c r="O929">
        <v>928</v>
      </c>
      <c r="P929">
        <v>945</v>
      </c>
      <c r="Q929">
        <v>947</v>
      </c>
      <c r="R929">
        <v>1042</v>
      </c>
      <c r="S929">
        <v>1076</v>
      </c>
      <c r="T929">
        <v>948</v>
      </c>
      <c r="U929">
        <v>980</v>
      </c>
      <c r="V929">
        <v>1135</v>
      </c>
      <c r="W929">
        <v>1032</v>
      </c>
      <c r="X929">
        <v>1010</v>
      </c>
      <c r="Y929">
        <v>982</v>
      </c>
      <c r="Z929">
        <v>892</v>
      </c>
      <c r="AA929">
        <v>958</v>
      </c>
      <c r="AB929">
        <v>1028</v>
      </c>
      <c r="AC929">
        <v>974</v>
      </c>
      <c r="AD929">
        <v>1009</v>
      </c>
      <c r="AE929">
        <v>976</v>
      </c>
      <c r="AF929">
        <v>1</v>
      </c>
      <c r="AG929">
        <v>0</v>
      </c>
      <c r="AH929">
        <v>0</v>
      </c>
      <c r="AI929">
        <v>0</v>
      </c>
      <c r="AJ929">
        <v>0</v>
      </c>
      <c r="AK929">
        <v>0</v>
      </c>
      <c r="AL929">
        <v>1</v>
      </c>
      <c r="AM929">
        <v>2</v>
      </c>
      <c r="AN929">
        <v>0</v>
      </c>
      <c r="AO929">
        <v>0</v>
      </c>
      <c r="AP929">
        <v>1135</v>
      </c>
      <c r="AQ929">
        <v>0</v>
      </c>
      <c r="AR929">
        <v>0</v>
      </c>
      <c r="AS929">
        <v>0</v>
      </c>
      <c r="AT929">
        <v>0</v>
      </c>
      <c r="AU929">
        <v>0</v>
      </c>
      <c r="AV929">
        <v>0</v>
      </c>
      <c r="AW929">
        <v>0</v>
      </c>
      <c r="AX929">
        <v>0</v>
      </c>
      <c r="AY929">
        <v>21</v>
      </c>
      <c r="AZ929">
        <v>83</v>
      </c>
      <c r="BA929">
        <v>854</v>
      </c>
      <c r="BB929">
        <v>21</v>
      </c>
      <c r="BC929">
        <v>1</v>
      </c>
      <c r="BD929">
        <v>1</v>
      </c>
      <c r="BE929">
        <v>7</v>
      </c>
      <c r="BF929">
        <v>17</v>
      </c>
      <c r="BG929">
        <v>27</v>
      </c>
      <c r="BH929">
        <v>0</v>
      </c>
      <c r="BI929">
        <v>2</v>
      </c>
      <c r="BJ929">
        <v>1</v>
      </c>
      <c r="BK929">
        <v>2</v>
      </c>
      <c r="BL929">
        <v>903</v>
      </c>
      <c r="BM929">
        <v>0</v>
      </c>
      <c r="BN929">
        <v>44</v>
      </c>
      <c r="BO929">
        <v>0</v>
      </c>
      <c r="BP929">
        <v>14</v>
      </c>
      <c r="BQ929">
        <v>44</v>
      </c>
      <c r="BR929">
        <v>0</v>
      </c>
      <c r="BS929">
        <v>10</v>
      </c>
      <c r="BT929">
        <v>8</v>
      </c>
      <c r="BU929">
        <v>1</v>
      </c>
      <c r="BV929">
        <v>0</v>
      </c>
      <c r="BW929">
        <v>914</v>
      </c>
      <c r="BX929">
        <v>1</v>
      </c>
      <c r="BY929">
        <v>18</v>
      </c>
      <c r="BZ929">
        <v>1</v>
      </c>
      <c r="CA929">
        <v>6</v>
      </c>
      <c r="CB929">
        <v>23</v>
      </c>
      <c r="CC929">
        <v>9</v>
      </c>
      <c r="CD929">
        <v>1</v>
      </c>
      <c r="CE929">
        <v>0</v>
      </c>
      <c r="CF929">
        <v>0</v>
      </c>
      <c r="CG929">
        <v>0</v>
      </c>
      <c r="CH929">
        <v>860</v>
      </c>
      <c r="CI929">
        <v>4</v>
      </c>
      <c r="CJ929">
        <v>1</v>
      </c>
      <c r="CK929">
        <v>16</v>
      </c>
      <c r="CL929">
        <v>1</v>
      </c>
      <c r="CM929">
        <v>18</v>
      </c>
      <c r="CN929">
        <v>9</v>
      </c>
      <c r="CO929">
        <v>0</v>
      </c>
      <c r="CP929">
        <v>0</v>
      </c>
      <c r="CQ929">
        <v>4</v>
      </c>
      <c r="CR929">
        <v>6</v>
      </c>
      <c r="CS929">
        <v>915</v>
      </c>
      <c r="CT929">
        <v>0</v>
      </c>
      <c r="CU929">
        <v>6</v>
      </c>
      <c r="CV929">
        <v>0</v>
      </c>
      <c r="CW929">
        <v>3</v>
      </c>
      <c r="CX929">
        <v>12</v>
      </c>
      <c r="CY929">
        <v>8</v>
      </c>
      <c r="CZ929">
        <v>6</v>
      </c>
      <c r="DA929">
        <v>3</v>
      </c>
      <c r="DB929">
        <v>2</v>
      </c>
      <c r="DC929">
        <v>0</v>
      </c>
      <c r="DD929">
        <v>988</v>
      </c>
      <c r="DE929">
        <v>4</v>
      </c>
      <c r="DF929">
        <v>2</v>
      </c>
      <c r="DG929">
        <v>9</v>
      </c>
      <c r="DH929">
        <v>1</v>
      </c>
      <c r="DI929">
        <v>0</v>
      </c>
      <c r="DJ929">
        <v>1</v>
      </c>
      <c r="DK929">
        <v>2</v>
      </c>
      <c r="DL929">
        <v>4</v>
      </c>
      <c r="DM929">
        <v>2</v>
      </c>
      <c r="DN929">
        <v>5</v>
      </c>
      <c r="DO929">
        <v>948</v>
      </c>
      <c r="DP929">
        <v>2</v>
      </c>
      <c r="DQ929">
        <v>11</v>
      </c>
      <c r="DR929">
        <v>8</v>
      </c>
      <c r="DS929">
        <v>0</v>
      </c>
      <c r="DT929">
        <v>0</v>
      </c>
      <c r="DU929">
        <v>4</v>
      </c>
      <c r="DV929">
        <v>27</v>
      </c>
      <c r="DW929">
        <v>1</v>
      </c>
      <c r="DX929">
        <v>15</v>
      </c>
      <c r="DY929">
        <v>23</v>
      </c>
      <c r="DZ929">
        <v>920</v>
      </c>
      <c r="EA929">
        <v>0.94130000000000003</v>
      </c>
      <c r="EB929">
        <v>0.944119875218007</v>
      </c>
      <c r="EC929">
        <v>0.94136804046635303</v>
      </c>
      <c r="ED929">
        <v>0.94100423135349998</v>
      </c>
      <c r="EE929">
        <f>SUM(Table1[[#This Row],[ratio_0]:[ratio_9]])</f>
        <v>280</v>
      </c>
      <c r="EF929" s="1">
        <f>(Table1[[#This Row],[predicted_0]]-Table1[[#This Row],[actual_0]])/Table1[[#This Row],[actual_0]]</f>
        <v>8.0612244897959179E-2</v>
      </c>
      <c r="EG929" s="1">
        <f>(Table1[[#This Row],[predicted_1]]-Table1[[#This Row],[actual_1]])/Table1[[#This Row],[actual_1]]</f>
        <v>0.1092511013215859</v>
      </c>
      <c r="EH929" s="1">
        <f>(Table1[[#This Row],[predicted_2]]-Table1[[#This Row],[actual_2]])/Table1[[#This Row],[actual_2]]</f>
        <v>-0.1618217054263566</v>
      </c>
      <c r="EI929" s="1">
        <f>(Table1[[#This Row],[predicted_3]]-Table1[[#This Row],[actual_3]])/Table1[[#This Row],[actual_3]]</f>
        <v>-7.8217821782178218E-2</v>
      </c>
      <c r="EJ929" s="1">
        <f>(Table1[[#This Row],[predicted_4]]-Table1[[#This Row],[actual_4]])/Table1[[#This Row],[actual_4]]</f>
        <v>-5.4989816700610997E-2</v>
      </c>
      <c r="EK929" s="1">
        <f>(Table1[[#This Row],[predicted_5]]-Table1[[#This Row],[actual_5]])/Table1[[#This Row],[actual_5]]</f>
        <v>5.9417040358744393E-2</v>
      </c>
      <c r="EL929" s="1">
        <f>(Table1[[#This Row],[predicted_6]]-Table1[[#This Row],[actual_6]])/Table1[[#This Row],[actual_6]]</f>
        <v>-1.1482254697286013E-2</v>
      </c>
      <c r="EM929" s="1">
        <f>(Table1[[#This Row],[predicted_7]]-Table1[[#This Row],[actual_7]])/Table1[[#This Row],[actual_7]]</f>
        <v>1.3618677042801557E-2</v>
      </c>
      <c r="EN929" s="1">
        <f>(Table1[[#This Row],[predicted_8]]-Table1[[#This Row],[actual_8]])/Table1[[#This Row],[actual_8]]</f>
        <v>0.10472279260780287</v>
      </c>
      <c r="EO929" s="1">
        <f>(Table1[[#This Row],[predicted_9]]-Table1[[#This Row],[actual_9]])/Table1[[#This Row],[actual_9]]</f>
        <v>-6.0455896927651138E-2</v>
      </c>
      <c r="EP929" s="1">
        <f>1+(Table1[[#This Row],[error_ratio_0]]-EF$2)</f>
        <v>1.0785714285714285</v>
      </c>
      <c r="EQ929" s="1">
        <f>1+(Table1[[#This Row],[error_ratio_1]]-EG$2)</f>
        <v>1.1074889867841409</v>
      </c>
      <c r="ER929" s="1">
        <f>1+(Table1[[#This Row],[error_ratio_2]]-EH$2)</f>
        <v>0.84302325581395343</v>
      </c>
      <c r="ES929" s="1">
        <f>1+(Table1[[#This Row],[error_ratio_3]]-EI$2)</f>
        <v>0.91188118811881191</v>
      </c>
      <c r="ET929" s="1">
        <f>1+(Table1[[#This Row],[error_ratio_4]]-EJ$2)</f>
        <v>0.94399185336048874</v>
      </c>
      <c r="EU929" s="1">
        <f>1+(Table1[[#This Row],[error_ratio_5]]-EK$2)</f>
        <v>1.0582959641255605</v>
      </c>
      <c r="EV929" s="1">
        <f>1+(Table1[[#This Row],[error_ratio_6]]-EL$2)</f>
        <v>0.99478079331941549</v>
      </c>
      <c r="EW929" s="1">
        <f>1+(Table1[[#This Row],[error_ratio_7]]-EM$2)</f>
        <v>1.0116731517509727</v>
      </c>
      <c r="EX929" s="1">
        <f>1+(Table1[[#This Row],[error_ratio_8]]-EN$2)</f>
        <v>1.1078028747433264</v>
      </c>
      <c r="EY929" s="1">
        <f>1+(Table1[[#This Row],[error_ratio_9]]-EO$2)</f>
        <v>0.94350842418235881</v>
      </c>
    </row>
    <row r="930" spans="1:155" x14ac:dyDescent="0.75">
      <c r="A930">
        <v>10</v>
      </c>
      <c r="B930">
        <v>100</v>
      </c>
      <c r="C930">
        <v>10</v>
      </c>
      <c r="D930">
        <v>10</v>
      </c>
      <c r="E930">
        <v>10</v>
      </c>
      <c r="F930">
        <v>10</v>
      </c>
      <c r="G930">
        <v>10</v>
      </c>
      <c r="H930">
        <v>10</v>
      </c>
      <c r="I930">
        <v>10</v>
      </c>
      <c r="J930">
        <v>10</v>
      </c>
      <c r="K930">
        <v>997</v>
      </c>
      <c r="L930">
        <v>1170</v>
      </c>
      <c r="M930">
        <v>984</v>
      </c>
      <c r="N930">
        <v>1061</v>
      </c>
      <c r="O930">
        <v>905</v>
      </c>
      <c r="P930">
        <v>832</v>
      </c>
      <c r="Q930">
        <v>953</v>
      </c>
      <c r="R930">
        <v>1034</v>
      </c>
      <c r="S930">
        <v>970</v>
      </c>
      <c r="T930">
        <v>1094</v>
      </c>
      <c r="U930">
        <v>980</v>
      </c>
      <c r="V930">
        <v>1135</v>
      </c>
      <c r="W930">
        <v>1032</v>
      </c>
      <c r="X930">
        <v>1010</v>
      </c>
      <c r="Y930">
        <v>982</v>
      </c>
      <c r="Z930">
        <v>892</v>
      </c>
      <c r="AA930">
        <v>958</v>
      </c>
      <c r="AB930">
        <v>1028</v>
      </c>
      <c r="AC930">
        <v>974</v>
      </c>
      <c r="AD930">
        <v>1009</v>
      </c>
      <c r="AE930">
        <v>959</v>
      </c>
      <c r="AF930">
        <v>0</v>
      </c>
      <c r="AG930">
        <v>1</v>
      </c>
      <c r="AH930">
        <v>3</v>
      </c>
      <c r="AI930">
        <v>3</v>
      </c>
      <c r="AJ930">
        <v>1</v>
      </c>
      <c r="AK930">
        <v>1</v>
      </c>
      <c r="AL930">
        <v>4</v>
      </c>
      <c r="AM930">
        <v>4</v>
      </c>
      <c r="AN930">
        <v>4</v>
      </c>
      <c r="AO930">
        <v>0</v>
      </c>
      <c r="AP930">
        <v>1130</v>
      </c>
      <c r="AQ930">
        <v>1</v>
      </c>
      <c r="AR930">
        <v>1</v>
      </c>
      <c r="AS930">
        <v>0</v>
      </c>
      <c r="AT930">
        <v>1</v>
      </c>
      <c r="AU930">
        <v>0</v>
      </c>
      <c r="AV930">
        <v>1</v>
      </c>
      <c r="AW930">
        <v>1</v>
      </c>
      <c r="AX930">
        <v>0</v>
      </c>
      <c r="AY930">
        <v>7</v>
      </c>
      <c r="AZ930">
        <v>7</v>
      </c>
      <c r="BA930">
        <v>963</v>
      </c>
      <c r="BB930">
        <v>16</v>
      </c>
      <c r="BC930">
        <v>4</v>
      </c>
      <c r="BD930">
        <v>0</v>
      </c>
      <c r="BE930">
        <v>4</v>
      </c>
      <c r="BF930">
        <v>24</v>
      </c>
      <c r="BG930">
        <v>6</v>
      </c>
      <c r="BH930">
        <v>1</v>
      </c>
      <c r="BI930">
        <v>3</v>
      </c>
      <c r="BJ930">
        <v>1</v>
      </c>
      <c r="BK930">
        <v>5</v>
      </c>
      <c r="BL930">
        <v>979</v>
      </c>
      <c r="BM930">
        <v>0</v>
      </c>
      <c r="BN930">
        <v>4</v>
      </c>
      <c r="BO930">
        <v>0</v>
      </c>
      <c r="BP930">
        <v>9</v>
      </c>
      <c r="BQ930">
        <v>8</v>
      </c>
      <c r="BR930">
        <v>1</v>
      </c>
      <c r="BS930">
        <v>1</v>
      </c>
      <c r="BT930">
        <v>9</v>
      </c>
      <c r="BU930">
        <v>1</v>
      </c>
      <c r="BV930">
        <v>2</v>
      </c>
      <c r="BW930">
        <v>890</v>
      </c>
      <c r="BX930">
        <v>0</v>
      </c>
      <c r="BY930">
        <v>8</v>
      </c>
      <c r="BZ930">
        <v>3</v>
      </c>
      <c r="CA930">
        <v>2</v>
      </c>
      <c r="CB930">
        <v>66</v>
      </c>
      <c r="CC930">
        <v>6</v>
      </c>
      <c r="CD930">
        <v>2</v>
      </c>
      <c r="CE930">
        <v>0</v>
      </c>
      <c r="CF930">
        <v>38</v>
      </c>
      <c r="CG930">
        <v>0</v>
      </c>
      <c r="CH930">
        <v>819</v>
      </c>
      <c r="CI930">
        <v>5</v>
      </c>
      <c r="CJ930">
        <v>2</v>
      </c>
      <c r="CK930">
        <v>16</v>
      </c>
      <c r="CL930">
        <v>4</v>
      </c>
      <c r="CM930">
        <v>11</v>
      </c>
      <c r="CN930">
        <v>4</v>
      </c>
      <c r="CO930">
        <v>1</v>
      </c>
      <c r="CP930">
        <v>0</v>
      </c>
      <c r="CQ930">
        <v>3</v>
      </c>
      <c r="CR930">
        <v>4</v>
      </c>
      <c r="CS930">
        <v>931</v>
      </c>
      <c r="CT930">
        <v>0</v>
      </c>
      <c r="CU930">
        <v>4</v>
      </c>
      <c r="CV930">
        <v>0</v>
      </c>
      <c r="CW930">
        <v>2</v>
      </c>
      <c r="CX930">
        <v>10</v>
      </c>
      <c r="CY930">
        <v>10</v>
      </c>
      <c r="CZ930">
        <v>0</v>
      </c>
      <c r="DA930">
        <v>2</v>
      </c>
      <c r="DB930">
        <v>0</v>
      </c>
      <c r="DC930">
        <v>0</v>
      </c>
      <c r="DD930">
        <v>978</v>
      </c>
      <c r="DE930">
        <v>1</v>
      </c>
      <c r="DF930">
        <v>25</v>
      </c>
      <c r="DG930">
        <v>3</v>
      </c>
      <c r="DH930">
        <v>1</v>
      </c>
      <c r="DI930">
        <v>2</v>
      </c>
      <c r="DJ930">
        <v>9</v>
      </c>
      <c r="DK930">
        <v>2</v>
      </c>
      <c r="DL930">
        <v>1</v>
      </c>
      <c r="DM930">
        <v>3</v>
      </c>
      <c r="DN930">
        <v>6</v>
      </c>
      <c r="DO930">
        <v>925</v>
      </c>
      <c r="DP930">
        <v>22</v>
      </c>
      <c r="DQ930">
        <v>5</v>
      </c>
      <c r="DR930">
        <v>6</v>
      </c>
      <c r="DS930">
        <v>0</v>
      </c>
      <c r="DT930">
        <v>13</v>
      </c>
      <c r="DU930">
        <v>1</v>
      </c>
      <c r="DV930">
        <v>2</v>
      </c>
      <c r="DW930">
        <v>1</v>
      </c>
      <c r="DX930">
        <v>7</v>
      </c>
      <c r="DY930">
        <v>3</v>
      </c>
      <c r="DZ930">
        <v>971</v>
      </c>
      <c r="EA930">
        <v>0.95450000000000002</v>
      </c>
      <c r="EB930">
        <v>0.95608041951688905</v>
      </c>
      <c r="EC930">
        <v>0.95362967812738397</v>
      </c>
      <c r="ED930">
        <v>0.95428817674246802</v>
      </c>
      <c r="EE930">
        <f>SUM(Table1[[#This Row],[ratio_0]:[ratio_9]])</f>
        <v>190</v>
      </c>
      <c r="EF930" s="1">
        <f>(Table1[[#This Row],[predicted_0]]-Table1[[#This Row],[actual_0]])/Table1[[#This Row],[actual_0]]</f>
        <v>1.7346938775510204E-2</v>
      </c>
      <c r="EG930" s="1">
        <f>(Table1[[#This Row],[predicted_1]]-Table1[[#This Row],[actual_1]])/Table1[[#This Row],[actual_1]]</f>
        <v>3.0837004405286344E-2</v>
      </c>
      <c r="EH930" s="1">
        <f>(Table1[[#This Row],[predicted_2]]-Table1[[#This Row],[actual_2]])/Table1[[#This Row],[actual_2]]</f>
        <v>-4.6511627906976744E-2</v>
      </c>
      <c r="EI930" s="1">
        <f>(Table1[[#This Row],[predicted_3]]-Table1[[#This Row],[actual_3]])/Table1[[#This Row],[actual_3]]</f>
        <v>5.0495049504950498E-2</v>
      </c>
      <c r="EJ930" s="1">
        <f>(Table1[[#This Row],[predicted_4]]-Table1[[#This Row],[actual_4]])/Table1[[#This Row],[actual_4]]</f>
        <v>-7.8411405295315678E-2</v>
      </c>
      <c r="EK930" s="1">
        <f>(Table1[[#This Row],[predicted_5]]-Table1[[#This Row],[actual_5]])/Table1[[#This Row],[actual_5]]</f>
        <v>-6.726457399103139E-2</v>
      </c>
      <c r="EL930" s="1">
        <f>(Table1[[#This Row],[predicted_6]]-Table1[[#This Row],[actual_6]])/Table1[[#This Row],[actual_6]]</f>
        <v>-5.2192066805845511E-3</v>
      </c>
      <c r="EM930" s="1">
        <f>(Table1[[#This Row],[predicted_7]]-Table1[[#This Row],[actual_7]])/Table1[[#This Row],[actual_7]]</f>
        <v>5.8365758754863814E-3</v>
      </c>
      <c r="EN930" s="1">
        <f>(Table1[[#This Row],[predicted_8]]-Table1[[#This Row],[actual_8]])/Table1[[#This Row],[actual_8]]</f>
        <v>-4.1067761806981521E-3</v>
      </c>
      <c r="EO930" s="1">
        <f>(Table1[[#This Row],[predicted_9]]-Table1[[#This Row],[actual_9]])/Table1[[#This Row],[actual_9]]</f>
        <v>8.424182358771061E-2</v>
      </c>
      <c r="EP930" s="1">
        <f>1+(Table1[[#This Row],[error_ratio_0]]-EF$2)</f>
        <v>1.0153061224489797</v>
      </c>
      <c r="EQ930" s="1">
        <f>1+(Table1[[#This Row],[error_ratio_1]]-EG$2)</f>
        <v>1.0290748898678415</v>
      </c>
      <c r="ER930" s="1">
        <f>1+(Table1[[#This Row],[error_ratio_2]]-EH$2)</f>
        <v>0.95833333333333337</v>
      </c>
      <c r="ES930" s="1">
        <f>1+(Table1[[#This Row],[error_ratio_3]]-EI$2)</f>
        <v>1.0405940594059406</v>
      </c>
      <c r="ET930" s="1">
        <f>1+(Table1[[#This Row],[error_ratio_4]]-EJ$2)</f>
        <v>0.92057026476578407</v>
      </c>
      <c r="EU930" s="1">
        <f>1+(Table1[[#This Row],[error_ratio_5]]-EK$2)</f>
        <v>0.93161434977578472</v>
      </c>
      <c r="EV930" s="1">
        <f>1+(Table1[[#This Row],[error_ratio_6]]-EL$2)</f>
        <v>1.0010438413361169</v>
      </c>
      <c r="EW930" s="1">
        <f>1+(Table1[[#This Row],[error_ratio_7]]-EM$2)</f>
        <v>1.0038910505836576</v>
      </c>
      <c r="EX930" s="1">
        <f>1+(Table1[[#This Row],[error_ratio_8]]-EN$2)</f>
        <v>0.99897330595482547</v>
      </c>
      <c r="EY930" s="1">
        <f>1+(Table1[[#This Row],[error_ratio_9]]-EO$2)</f>
        <v>1.0882061446977205</v>
      </c>
    </row>
    <row r="931" spans="1:155" x14ac:dyDescent="0.75">
      <c r="A931">
        <v>100</v>
      </c>
      <c r="B931">
        <v>10</v>
      </c>
      <c r="C931">
        <v>10</v>
      </c>
      <c r="D931">
        <v>10</v>
      </c>
      <c r="E931">
        <v>10</v>
      </c>
      <c r="F931">
        <v>10</v>
      </c>
      <c r="G931">
        <v>10</v>
      </c>
      <c r="H931">
        <v>10</v>
      </c>
      <c r="I931">
        <v>10</v>
      </c>
      <c r="J931">
        <v>10</v>
      </c>
      <c r="K931">
        <v>1103</v>
      </c>
      <c r="L931">
        <v>1156</v>
      </c>
      <c r="M931">
        <v>1078</v>
      </c>
      <c r="N931">
        <v>953</v>
      </c>
      <c r="O931">
        <v>907</v>
      </c>
      <c r="P931">
        <v>878</v>
      </c>
      <c r="Q931">
        <v>953</v>
      </c>
      <c r="R931">
        <v>979</v>
      </c>
      <c r="S931">
        <v>833</v>
      </c>
      <c r="T931">
        <v>1160</v>
      </c>
      <c r="U931">
        <v>980</v>
      </c>
      <c r="V931">
        <v>1135</v>
      </c>
      <c r="W931">
        <v>1032</v>
      </c>
      <c r="X931">
        <v>1010</v>
      </c>
      <c r="Y931">
        <v>982</v>
      </c>
      <c r="Z931">
        <v>892</v>
      </c>
      <c r="AA931">
        <v>958</v>
      </c>
      <c r="AB931">
        <v>1028</v>
      </c>
      <c r="AC931">
        <v>974</v>
      </c>
      <c r="AD931">
        <v>1009</v>
      </c>
      <c r="AE931">
        <v>977</v>
      </c>
      <c r="AF931">
        <v>0</v>
      </c>
      <c r="AG931">
        <v>0</v>
      </c>
      <c r="AH931">
        <v>1</v>
      </c>
      <c r="AI931">
        <v>0</v>
      </c>
      <c r="AJ931">
        <v>1</v>
      </c>
      <c r="AK931">
        <v>0</v>
      </c>
      <c r="AL931">
        <v>0</v>
      </c>
      <c r="AM931">
        <v>1</v>
      </c>
      <c r="AN931">
        <v>0</v>
      </c>
      <c r="AO931">
        <v>0</v>
      </c>
      <c r="AP931">
        <v>1124</v>
      </c>
      <c r="AQ931">
        <v>5</v>
      </c>
      <c r="AR931">
        <v>0</v>
      </c>
      <c r="AS931">
        <v>0</v>
      </c>
      <c r="AT931">
        <v>0</v>
      </c>
      <c r="AU931">
        <v>4</v>
      </c>
      <c r="AV931">
        <v>0</v>
      </c>
      <c r="AW931">
        <v>2</v>
      </c>
      <c r="AX931">
        <v>0</v>
      </c>
      <c r="AY931">
        <v>10</v>
      </c>
      <c r="AZ931">
        <v>1</v>
      </c>
      <c r="BA931">
        <v>1003</v>
      </c>
      <c r="BB931">
        <v>6</v>
      </c>
      <c r="BC931">
        <v>0</v>
      </c>
      <c r="BD931">
        <v>0</v>
      </c>
      <c r="BE931">
        <v>4</v>
      </c>
      <c r="BF931">
        <v>7</v>
      </c>
      <c r="BG931">
        <v>0</v>
      </c>
      <c r="BH931">
        <v>1</v>
      </c>
      <c r="BI931">
        <v>17</v>
      </c>
      <c r="BJ931">
        <v>1</v>
      </c>
      <c r="BK931">
        <v>30</v>
      </c>
      <c r="BL931">
        <v>901</v>
      </c>
      <c r="BM931">
        <v>0</v>
      </c>
      <c r="BN931">
        <v>29</v>
      </c>
      <c r="BO931">
        <v>1</v>
      </c>
      <c r="BP931">
        <v>12</v>
      </c>
      <c r="BQ931">
        <v>4</v>
      </c>
      <c r="BR931">
        <v>15</v>
      </c>
      <c r="BS931">
        <v>4</v>
      </c>
      <c r="BT931">
        <v>6</v>
      </c>
      <c r="BU931">
        <v>4</v>
      </c>
      <c r="BV931">
        <v>2</v>
      </c>
      <c r="BW931">
        <v>896</v>
      </c>
      <c r="BX931">
        <v>0</v>
      </c>
      <c r="BY931">
        <v>9</v>
      </c>
      <c r="BZ931">
        <v>1</v>
      </c>
      <c r="CA931">
        <v>1</v>
      </c>
      <c r="CB931">
        <v>59</v>
      </c>
      <c r="CC931">
        <v>28</v>
      </c>
      <c r="CD931">
        <v>0</v>
      </c>
      <c r="CE931">
        <v>2</v>
      </c>
      <c r="CF931">
        <v>4</v>
      </c>
      <c r="CG931">
        <v>0</v>
      </c>
      <c r="CH931">
        <v>830</v>
      </c>
      <c r="CI931">
        <v>6</v>
      </c>
      <c r="CJ931">
        <v>8</v>
      </c>
      <c r="CK931">
        <v>1</v>
      </c>
      <c r="CL931">
        <v>13</v>
      </c>
      <c r="CM931">
        <v>23</v>
      </c>
      <c r="CN931">
        <v>3</v>
      </c>
      <c r="CO931">
        <v>3</v>
      </c>
      <c r="CP931">
        <v>0</v>
      </c>
      <c r="CQ931">
        <v>3</v>
      </c>
      <c r="CR931">
        <v>3</v>
      </c>
      <c r="CS931">
        <v>922</v>
      </c>
      <c r="CT931">
        <v>0</v>
      </c>
      <c r="CU931">
        <v>1</v>
      </c>
      <c r="CV931">
        <v>0</v>
      </c>
      <c r="CW931">
        <v>5</v>
      </c>
      <c r="CX931">
        <v>6</v>
      </c>
      <c r="CY931">
        <v>21</v>
      </c>
      <c r="CZ931">
        <v>23</v>
      </c>
      <c r="DA931">
        <v>0</v>
      </c>
      <c r="DB931">
        <v>0</v>
      </c>
      <c r="DC931">
        <v>0</v>
      </c>
      <c r="DD931">
        <v>937</v>
      </c>
      <c r="DE931">
        <v>1</v>
      </c>
      <c r="DF931">
        <v>35</v>
      </c>
      <c r="DG931">
        <v>29</v>
      </c>
      <c r="DH931">
        <v>8</v>
      </c>
      <c r="DI931">
        <v>10</v>
      </c>
      <c r="DJ931">
        <v>13</v>
      </c>
      <c r="DK931">
        <v>6</v>
      </c>
      <c r="DL931">
        <v>9</v>
      </c>
      <c r="DM931">
        <v>6</v>
      </c>
      <c r="DN931">
        <v>8</v>
      </c>
      <c r="DO931">
        <v>822</v>
      </c>
      <c r="DP931">
        <v>63</v>
      </c>
      <c r="DQ931">
        <v>10</v>
      </c>
      <c r="DR931">
        <v>7</v>
      </c>
      <c r="DS931">
        <v>0</v>
      </c>
      <c r="DT931">
        <v>3</v>
      </c>
      <c r="DU931">
        <v>2</v>
      </c>
      <c r="DV931">
        <v>6</v>
      </c>
      <c r="DW931">
        <v>1</v>
      </c>
      <c r="DX931">
        <v>6</v>
      </c>
      <c r="DY931">
        <v>0</v>
      </c>
      <c r="DZ931">
        <v>974</v>
      </c>
      <c r="EA931">
        <v>0.93859999999999999</v>
      </c>
      <c r="EB931">
        <v>0.94181691313859905</v>
      </c>
      <c r="EC931">
        <v>0.937729748362089</v>
      </c>
      <c r="ED931">
        <v>0.93810744905625698</v>
      </c>
      <c r="EE931">
        <f>SUM(Table1[[#This Row],[ratio_0]:[ratio_9]])</f>
        <v>190</v>
      </c>
      <c r="EF931" s="1">
        <f>(Table1[[#This Row],[predicted_0]]-Table1[[#This Row],[actual_0]])/Table1[[#This Row],[actual_0]]</f>
        <v>0.12551020408163266</v>
      </c>
      <c r="EG931" s="1">
        <f>(Table1[[#This Row],[predicted_1]]-Table1[[#This Row],[actual_1]])/Table1[[#This Row],[actual_1]]</f>
        <v>1.8502202643171806E-2</v>
      </c>
      <c r="EH931" s="1">
        <f>(Table1[[#This Row],[predicted_2]]-Table1[[#This Row],[actual_2]])/Table1[[#This Row],[actual_2]]</f>
        <v>4.4573643410852716E-2</v>
      </c>
      <c r="EI931" s="1">
        <f>(Table1[[#This Row],[predicted_3]]-Table1[[#This Row],[actual_3]])/Table1[[#This Row],[actual_3]]</f>
        <v>-5.6435643564356437E-2</v>
      </c>
      <c r="EJ931" s="1">
        <f>(Table1[[#This Row],[predicted_4]]-Table1[[#This Row],[actual_4]])/Table1[[#This Row],[actual_4]]</f>
        <v>-7.637474541751528E-2</v>
      </c>
      <c r="EK931" s="1">
        <f>(Table1[[#This Row],[predicted_5]]-Table1[[#This Row],[actual_5]])/Table1[[#This Row],[actual_5]]</f>
        <v>-1.5695067264573991E-2</v>
      </c>
      <c r="EL931" s="1">
        <f>(Table1[[#This Row],[predicted_6]]-Table1[[#This Row],[actual_6]])/Table1[[#This Row],[actual_6]]</f>
        <v>-5.2192066805845511E-3</v>
      </c>
      <c r="EM931" s="1">
        <f>(Table1[[#This Row],[predicted_7]]-Table1[[#This Row],[actual_7]])/Table1[[#This Row],[actual_7]]</f>
        <v>-4.7665369649805445E-2</v>
      </c>
      <c r="EN931" s="1">
        <f>(Table1[[#This Row],[predicted_8]]-Table1[[#This Row],[actual_8]])/Table1[[#This Row],[actual_8]]</f>
        <v>-0.14476386036960986</v>
      </c>
      <c r="EO931" s="1">
        <f>(Table1[[#This Row],[predicted_9]]-Table1[[#This Row],[actual_9]])/Table1[[#This Row],[actual_9]]</f>
        <v>0.14965312190287414</v>
      </c>
      <c r="EP931" s="1">
        <f>1+(Table1[[#This Row],[error_ratio_0]]-EF$2)</f>
        <v>1.1234693877551021</v>
      </c>
      <c r="EQ931" s="1">
        <f>1+(Table1[[#This Row],[error_ratio_1]]-EG$2)</f>
        <v>1.0167400881057269</v>
      </c>
      <c r="ER931" s="1">
        <f>1+(Table1[[#This Row],[error_ratio_2]]-EH$2)</f>
        <v>1.0494186046511629</v>
      </c>
      <c r="ES931" s="1">
        <f>1+(Table1[[#This Row],[error_ratio_3]]-EI$2)</f>
        <v>0.9336633663366336</v>
      </c>
      <c r="ET931" s="1">
        <f>1+(Table1[[#This Row],[error_ratio_4]]-EJ$2)</f>
        <v>0.92260692464358451</v>
      </c>
      <c r="EU931" s="1">
        <f>1+(Table1[[#This Row],[error_ratio_5]]-EK$2)</f>
        <v>0.98318385650224216</v>
      </c>
      <c r="EV931" s="1">
        <f>1+(Table1[[#This Row],[error_ratio_6]]-EL$2)</f>
        <v>1.0010438413361169</v>
      </c>
      <c r="EW931" s="1">
        <f>1+(Table1[[#This Row],[error_ratio_7]]-EM$2)</f>
        <v>0.95038910505836571</v>
      </c>
      <c r="EX931" s="1">
        <f>1+(Table1[[#This Row],[error_ratio_8]]-EN$2)</f>
        <v>0.85831622176591371</v>
      </c>
      <c r="EY931" s="1">
        <f>1+(Table1[[#This Row],[error_ratio_9]]-EO$2)</f>
        <v>1.153617443012884</v>
      </c>
    </row>
    <row r="932" spans="1:155" x14ac:dyDescent="0.75">
      <c r="A932">
        <v>100</v>
      </c>
      <c r="B932">
        <v>100</v>
      </c>
      <c r="C932">
        <v>100</v>
      </c>
      <c r="D932">
        <v>100</v>
      </c>
      <c r="E932">
        <v>100</v>
      </c>
      <c r="F932">
        <v>100</v>
      </c>
      <c r="G932">
        <v>100</v>
      </c>
      <c r="H932">
        <v>100</v>
      </c>
      <c r="I932">
        <v>100</v>
      </c>
      <c r="J932">
        <v>100</v>
      </c>
      <c r="K932">
        <v>982</v>
      </c>
      <c r="L932">
        <v>1137</v>
      </c>
      <c r="M932">
        <v>1027</v>
      </c>
      <c r="N932">
        <v>1020</v>
      </c>
      <c r="O932">
        <v>983</v>
      </c>
      <c r="P932">
        <v>893</v>
      </c>
      <c r="Q932">
        <v>952</v>
      </c>
      <c r="R932">
        <v>1030</v>
      </c>
      <c r="S932">
        <v>971</v>
      </c>
      <c r="T932">
        <v>1005</v>
      </c>
      <c r="U932">
        <v>980</v>
      </c>
      <c r="V932">
        <v>1135</v>
      </c>
      <c r="W932">
        <v>1032</v>
      </c>
      <c r="X932">
        <v>1010</v>
      </c>
      <c r="Y932">
        <v>982</v>
      </c>
      <c r="Z932">
        <v>892</v>
      </c>
      <c r="AA932">
        <v>958</v>
      </c>
      <c r="AB932">
        <v>1028</v>
      </c>
      <c r="AC932">
        <v>974</v>
      </c>
      <c r="AD932">
        <v>1009</v>
      </c>
      <c r="AE932">
        <v>974</v>
      </c>
      <c r="AF932">
        <v>0</v>
      </c>
      <c r="AG932">
        <v>0</v>
      </c>
      <c r="AH932">
        <v>0</v>
      </c>
      <c r="AI932">
        <v>0</v>
      </c>
      <c r="AJ932">
        <v>0</v>
      </c>
      <c r="AK932">
        <v>1</v>
      </c>
      <c r="AL932">
        <v>2</v>
      </c>
      <c r="AM932">
        <v>2</v>
      </c>
      <c r="AN932">
        <v>1</v>
      </c>
      <c r="AO932">
        <v>0</v>
      </c>
      <c r="AP932">
        <v>1131</v>
      </c>
      <c r="AQ932">
        <v>0</v>
      </c>
      <c r="AR932">
        <v>2</v>
      </c>
      <c r="AS932">
        <v>0</v>
      </c>
      <c r="AT932">
        <v>1</v>
      </c>
      <c r="AU932">
        <v>1</v>
      </c>
      <c r="AV932">
        <v>0</v>
      </c>
      <c r="AW932">
        <v>0</v>
      </c>
      <c r="AX932">
        <v>0</v>
      </c>
      <c r="AY932">
        <v>1</v>
      </c>
      <c r="AZ932">
        <v>1</v>
      </c>
      <c r="BA932">
        <v>1018</v>
      </c>
      <c r="BB932">
        <v>4</v>
      </c>
      <c r="BC932">
        <v>1</v>
      </c>
      <c r="BD932">
        <v>0</v>
      </c>
      <c r="BE932">
        <v>0</v>
      </c>
      <c r="BF932">
        <v>4</v>
      </c>
      <c r="BG932">
        <v>3</v>
      </c>
      <c r="BH932">
        <v>0</v>
      </c>
      <c r="BI932">
        <v>0</v>
      </c>
      <c r="BJ932">
        <v>0</v>
      </c>
      <c r="BK932">
        <v>1</v>
      </c>
      <c r="BL932">
        <v>1003</v>
      </c>
      <c r="BM932">
        <v>0</v>
      </c>
      <c r="BN932">
        <v>3</v>
      </c>
      <c r="BO932">
        <v>0</v>
      </c>
      <c r="BP932">
        <v>2</v>
      </c>
      <c r="BQ932">
        <v>1</v>
      </c>
      <c r="BR932">
        <v>0</v>
      </c>
      <c r="BS932">
        <v>0</v>
      </c>
      <c r="BT932">
        <v>0</v>
      </c>
      <c r="BU932">
        <v>2</v>
      </c>
      <c r="BV932">
        <v>0</v>
      </c>
      <c r="BW932">
        <v>974</v>
      </c>
      <c r="BX932">
        <v>0</v>
      </c>
      <c r="BY932">
        <v>3</v>
      </c>
      <c r="BZ932">
        <v>2</v>
      </c>
      <c r="CA932">
        <v>0</v>
      </c>
      <c r="CB932">
        <v>1</v>
      </c>
      <c r="CC932">
        <v>1</v>
      </c>
      <c r="CD932">
        <v>0</v>
      </c>
      <c r="CE932">
        <v>0</v>
      </c>
      <c r="CF932">
        <v>4</v>
      </c>
      <c r="CG932">
        <v>0</v>
      </c>
      <c r="CH932">
        <v>885</v>
      </c>
      <c r="CI932">
        <v>1</v>
      </c>
      <c r="CJ932">
        <v>1</v>
      </c>
      <c r="CK932">
        <v>0</v>
      </c>
      <c r="CL932">
        <v>0</v>
      </c>
      <c r="CM932">
        <v>5</v>
      </c>
      <c r="CN932">
        <v>2</v>
      </c>
      <c r="CO932">
        <v>1</v>
      </c>
      <c r="CP932">
        <v>1</v>
      </c>
      <c r="CQ932">
        <v>1</v>
      </c>
      <c r="CR932">
        <v>1</v>
      </c>
      <c r="CS932">
        <v>946</v>
      </c>
      <c r="CT932">
        <v>0</v>
      </c>
      <c r="CU932">
        <v>1</v>
      </c>
      <c r="CV932">
        <v>0</v>
      </c>
      <c r="CW932">
        <v>0</v>
      </c>
      <c r="CX932">
        <v>1</v>
      </c>
      <c r="CY932">
        <v>4</v>
      </c>
      <c r="CZ932">
        <v>1</v>
      </c>
      <c r="DA932">
        <v>0</v>
      </c>
      <c r="DB932">
        <v>0</v>
      </c>
      <c r="DC932">
        <v>0</v>
      </c>
      <c r="DD932">
        <v>1016</v>
      </c>
      <c r="DE932">
        <v>1</v>
      </c>
      <c r="DF932">
        <v>5</v>
      </c>
      <c r="DG932">
        <v>1</v>
      </c>
      <c r="DH932">
        <v>0</v>
      </c>
      <c r="DI932">
        <v>1</v>
      </c>
      <c r="DJ932">
        <v>1</v>
      </c>
      <c r="DK932">
        <v>0</v>
      </c>
      <c r="DL932">
        <v>2</v>
      </c>
      <c r="DM932">
        <v>0</v>
      </c>
      <c r="DN932">
        <v>2</v>
      </c>
      <c r="DO932">
        <v>962</v>
      </c>
      <c r="DP932">
        <v>5</v>
      </c>
      <c r="DQ932">
        <v>0</v>
      </c>
      <c r="DR932">
        <v>2</v>
      </c>
      <c r="DS932">
        <v>0</v>
      </c>
      <c r="DT932">
        <v>4</v>
      </c>
      <c r="DU932">
        <v>7</v>
      </c>
      <c r="DV932">
        <v>1</v>
      </c>
      <c r="DW932">
        <v>0</v>
      </c>
      <c r="DX932">
        <v>1</v>
      </c>
      <c r="DY932">
        <v>1</v>
      </c>
      <c r="DZ932">
        <v>993</v>
      </c>
      <c r="EA932">
        <v>0.99019999999999997</v>
      </c>
      <c r="EB932">
        <v>0.99019282002637798</v>
      </c>
      <c r="EC932">
        <v>0.99014857034933401</v>
      </c>
      <c r="ED932">
        <v>0.99016578185231097</v>
      </c>
      <c r="EE932">
        <f>SUM(Table1[[#This Row],[ratio_0]:[ratio_9]])</f>
        <v>1000</v>
      </c>
      <c r="EF932" s="1">
        <f>(Table1[[#This Row],[predicted_0]]-Table1[[#This Row],[actual_0]])/Table1[[#This Row],[actual_0]]</f>
        <v>2.0408163265306124E-3</v>
      </c>
      <c r="EG932" s="1">
        <f>(Table1[[#This Row],[predicted_1]]-Table1[[#This Row],[actual_1]])/Table1[[#This Row],[actual_1]]</f>
        <v>1.762114537444934E-3</v>
      </c>
      <c r="EH932" s="1">
        <f>(Table1[[#This Row],[predicted_2]]-Table1[[#This Row],[actual_2]])/Table1[[#This Row],[actual_2]]</f>
        <v>-4.8449612403100775E-3</v>
      </c>
      <c r="EI932" s="1">
        <f>(Table1[[#This Row],[predicted_3]]-Table1[[#This Row],[actual_3]])/Table1[[#This Row],[actual_3]]</f>
        <v>9.9009900990099011E-3</v>
      </c>
      <c r="EJ932" s="1">
        <f>(Table1[[#This Row],[predicted_4]]-Table1[[#This Row],[actual_4]])/Table1[[#This Row],[actual_4]]</f>
        <v>1.0183299389002036E-3</v>
      </c>
      <c r="EK932" s="1">
        <f>(Table1[[#This Row],[predicted_5]]-Table1[[#This Row],[actual_5]])/Table1[[#This Row],[actual_5]]</f>
        <v>1.1210762331838565E-3</v>
      </c>
      <c r="EL932" s="1">
        <f>(Table1[[#This Row],[predicted_6]]-Table1[[#This Row],[actual_6]])/Table1[[#This Row],[actual_6]]</f>
        <v>-6.2630480167014616E-3</v>
      </c>
      <c r="EM932" s="1">
        <f>(Table1[[#This Row],[predicted_7]]-Table1[[#This Row],[actual_7]])/Table1[[#This Row],[actual_7]]</f>
        <v>1.9455252918287938E-3</v>
      </c>
      <c r="EN932" s="1">
        <f>(Table1[[#This Row],[predicted_8]]-Table1[[#This Row],[actual_8]])/Table1[[#This Row],[actual_8]]</f>
        <v>-3.0800821355236141E-3</v>
      </c>
      <c r="EO932" s="1">
        <f>(Table1[[#This Row],[predicted_9]]-Table1[[#This Row],[actual_9]])/Table1[[#This Row],[actual_9]]</f>
        <v>-3.9643211100099107E-3</v>
      </c>
      <c r="EP932" s="1">
        <f>1+(Table1[[#This Row],[error_ratio_0]]-EF$2)</f>
        <v>1</v>
      </c>
      <c r="EQ932" s="1">
        <f>1+(Table1[[#This Row],[error_ratio_1]]-EG$2)</f>
        <v>1</v>
      </c>
      <c r="ER932" s="1">
        <f>1+(Table1[[#This Row],[error_ratio_2]]-EH$2)</f>
        <v>1</v>
      </c>
      <c r="ES932" s="1">
        <f>1+(Table1[[#This Row],[error_ratio_3]]-EI$2)</f>
        <v>1</v>
      </c>
      <c r="ET932" s="1">
        <f>1+(Table1[[#This Row],[error_ratio_4]]-EJ$2)</f>
        <v>1</v>
      </c>
      <c r="EU932" s="1">
        <f>1+(Table1[[#This Row],[error_ratio_5]]-EK$2)</f>
        <v>1</v>
      </c>
      <c r="EV932" s="1">
        <f>1+(Table1[[#This Row],[error_ratio_6]]-EL$2)</f>
        <v>1</v>
      </c>
      <c r="EW932" s="1">
        <f>1+(Table1[[#This Row],[error_ratio_7]]-EM$2)</f>
        <v>1</v>
      </c>
      <c r="EX932" s="1">
        <f>1+(Table1[[#This Row],[error_ratio_8]]-EN$2)</f>
        <v>1</v>
      </c>
      <c r="EY932" s="1">
        <f>1+(Table1[[#This Row],[error_ratio_9]]-EO$2)</f>
        <v>1</v>
      </c>
    </row>
  </sheetData>
  <phoneticPr fontId="18" type="noConversion"/>
  <pageMargins left="0.7" right="0.7" top="0.75" bottom="0.75" header="0.3" footer="0.3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experimentsdata - Copy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2019-09-02T16:24:45Z</dcterms:created>
  <dcterms:modified xsi:type="dcterms:W3CDTF">2019-09-02T17:45:19Z</dcterms:modified>
</cp:coreProperties>
</file>